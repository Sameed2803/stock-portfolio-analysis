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S5\Desktop\Asset Management\"/>
    </mc:Choice>
  </mc:AlternateContent>
  <xr:revisionPtr revIDLastSave="0" documentId="13_ncr:1_{E7E04424-7F3F-48C2-8944-BDE195D4A707}" xr6:coauthVersionLast="47" xr6:coauthVersionMax="47" xr10:uidLastSave="{00000000-0000-0000-0000-000000000000}"/>
  <bookViews>
    <workbookView xWindow="-120" yWindow="-120" windowWidth="29040" windowHeight="16440" firstSheet="1" activeTab="1" xr2:uid="{00000000-000D-0000-FFFF-FFFF00000000}"/>
  </bookViews>
  <sheets>
    <sheet name="Prices" sheetId="1" r:id="rId1"/>
    <sheet name="Returns" sheetId="2" r:id="rId2"/>
    <sheet name="Statistics" sheetId="3" r:id="rId3"/>
    <sheet name="Portfolio Weights Returns" sheetId="8" r:id="rId4"/>
    <sheet name="Portfolio Weights Std" sheetId="9" r:id="rId5"/>
    <sheet name="Plot" sheetId="10" r:id="rId6"/>
    <sheet name="Analytical MVP" sheetId="11" r:id="rId7"/>
    <sheet name="Efficient Frontier (Only)" sheetId="12" r:id="rId8"/>
    <sheet name="Lagrangian" sheetId="13" r:id="rId9"/>
  </sheets>
  <definedNames>
    <definedName name="_xlnm._FilterDatabase" localSheetId="6" hidden="1">'Analytical MVP'!$A$1:$F$3722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22" i="11" l="1" a="1"/>
  <c r="I3722" i="11" s="1"/>
  <c r="J18" i="11"/>
  <c r="H1950" i="11" a="1"/>
  <c r="H1950" i="11" s="1"/>
  <c r="J17" i="11"/>
  <c r="R4" i="9"/>
  <c r="S4" i="9"/>
  <c r="T4" i="9"/>
  <c r="R5" i="9"/>
  <c r="S5" i="9"/>
  <c r="T5" i="9"/>
  <c r="R6" i="9"/>
  <c r="S6" i="9"/>
  <c r="T6" i="9"/>
  <c r="J8" i="11"/>
  <c r="J9" i="11"/>
  <c r="A3722" i="11" a="1"/>
  <c r="A3722" i="11" s="1"/>
  <c r="E3721" i="11"/>
  <c r="E3718" i="11"/>
  <c r="E3716" i="11"/>
  <c r="E3713" i="11"/>
  <c r="E3708" i="11"/>
  <c r="E3702" i="11"/>
  <c r="E3698" i="11"/>
  <c r="E3692" i="11"/>
  <c r="E3684" i="11"/>
  <c r="E3678" i="11"/>
  <c r="E3670" i="11"/>
  <c r="E3659" i="11"/>
  <c r="E3652" i="11"/>
  <c r="E3640" i="11"/>
  <c r="E3627" i="11"/>
  <c r="E3612" i="11"/>
  <c r="E3605" i="11"/>
  <c r="E3590" i="11"/>
  <c r="E3581" i="11"/>
  <c r="E3563" i="11"/>
  <c r="E3544" i="11"/>
  <c r="E3534" i="11"/>
  <c r="E3513" i="11"/>
  <c r="E3493" i="11"/>
  <c r="E3482" i="11"/>
  <c r="E3457" i="11"/>
  <c r="E3445" i="11"/>
  <c r="E3419" i="11"/>
  <c r="E3393" i="11"/>
  <c r="E3376" i="11"/>
  <c r="E3346" i="11"/>
  <c r="E3334" i="11"/>
  <c r="E3302" i="11"/>
  <c r="E3284" i="11"/>
  <c r="E3252" i="11"/>
  <c r="E3232" i="11"/>
  <c r="E3195" i="11"/>
  <c r="E3175" i="11"/>
  <c r="E3133" i="11"/>
  <c r="E3118" i="11"/>
  <c r="E3074" i="11"/>
  <c r="E3051" i="11"/>
  <c r="E3006" i="11"/>
  <c r="E2979" i="11"/>
  <c r="E2956" i="11"/>
  <c r="E2898" i="11"/>
  <c r="E2875" i="11"/>
  <c r="E2811" i="11"/>
  <c r="E2769" i="11"/>
  <c r="E2727" i="11"/>
  <c r="E2650" i="11"/>
  <c r="E2612" i="11"/>
  <c r="E2573" i="11"/>
  <c r="E2489" i="11"/>
  <c r="E2451" i="11"/>
  <c r="E2405" i="11"/>
  <c r="E2365" i="11"/>
  <c r="E2285" i="11"/>
  <c r="E2242" i="11"/>
  <c r="E2199" i="11"/>
  <c r="E3720" i="11"/>
  <c r="E3719" i="11"/>
  <c r="E3715" i="11"/>
  <c r="E3711" i="11"/>
  <c r="E3705" i="11"/>
  <c r="E3703" i="11"/>
  <c r="E3696" i="11"/>
  <c r="E3688" i="11"/>
  <c r="E3679" i="11"/>
  <c r="E3674" i="11"/>
  <c r="E3665" i="11"/>
  <c r="E3653" i="11"/>
  <c r="E3647" i="11"/>
  <c r="E3634" i="11"/>
  <c r="E3621" i="11"/>
  <c r="E3613" i="11"/>
  <c r="E3598" i="11"/>
  <c r="E3582" i="11"/>
  <c r="E3571" i="11"/>
  <c r="E3554" i="11"/>
  <c r="E3535" i="11"/>
  <c r="E3524" i="11"/>
  <c r="E3503" i="11"/>
  <c r="E3483" i="11"/>
  <c r="E3467" i="11"/>
  <c r="E3446" i="11"/>
  <c r="E3433" i="11"/>
  <c r="E3404" i="11"/>
  <c r="E3377" i="11"/>
  <c r="E3365" i="11"/>
  <c r="E3335" i="11"/>
  <c r="E3318" i="11"/>
  <c r="E3285" i="11"/>
  <c r="E3264" i="11"/>
  <c r="E3233" i="11"/>
  <c r="E3214" i="11"/>
  <c r="E3176" i="11"/>
  <c r="E3157" i="11"/>
  <c r="E3119" i="11"/>
  <c r="E3096" i="11"/>
  <c r="E3052" i="11"/>
  <c r="E3025" i="11"/>
  <c r="E2980" i="11"/>
  <c r="E2957" i="11"/>
  <c r="E2899" i="11"/>
  <c r="E2876" i="11"/>
  <c r="E2844" i="11"/>
  <c r="E2770" i="11"/>
  <c r="E2728" i="11"/>
  <c r="E2651" i="11"/>
  <c r="E2613" i="11"/>
  <c r="E2574" i="11"/>
  <c r="E2490" i="11"/>
  <c r="E2452" i="11"/>
  <c r="E2406" i="11"/>
  <c r="E2366" i="11"/>
  <c r="E2286" i="11"/>
  <c r="E2243" i="11"/>
  <c r="E2200" i="11"/>
  <c r="E2159" i="11"/>
  <c r="E2069" i="11"/>
  <c r="E3717" i="11"/>
  <c r="E3714" i="11"/>
  <c r="E3709" i="11"/>
  <c r="E3706" i="11"/>
  <c r="E3699" i="11"/>
  <c r="E3693" i="11"/>
  <c r="E3685" i="11"/>
  <c r="E3680" i="11"/>
  <c r="E3671" i="11"/>
  <c r="E3660" i="11"/>
  <c r="E3654" i="11"/>
  <c r="E3641" i="11"/>
  <c r="E3628" i="11"/>
  <c r="E3614" i="11"/>
  <c r="E3606" i="11"/>
  <c r="E3591" i="11"/>
  <c r="E3572" i="11"/>
  <c r="E3564" i="11"/>
  <c r="E3545" i="11"/>
  <c r="E3525" i="11"/>
  <c r="E3514" i="11"/>
  <c r="E3494" i="11"/>
  <c r="E3468" i="11"/>
  <c r="E3458" i="11"/>
  <c r="E3434" i="11"/>
  <c r="E3420" i="11"/>
  <c r="E3394" i="11"/>
  <c r="E3366" i="11"/>
  <c r="E3347" i="11"/>
  <c r="E3319" i="11"/>
  <c r="E3303" i="11"/>
  <c r="E3265" i="11"/>
  <c r="E3253" i="11"/>
  <c r="E3215" i="11"/>
  <c r="E3196" i="11"/>
  <c r="E3158" i="11"/>
  <c r="E3134" i="11"/>
  <c r="E3097" i="11"/>
  <c r="E3075" i="11"/>
  <c r="E3026" i="11"/>
  <c r="E3007" i="11"/>
  <c r="E2958" i="11"/>
  <c r="E2928" i="11"/>
  <c r="E2877" i="11"/>
  <c r="E2845" i="11"/>
  <c r="E2771" i="11"/>
  <c r="E2729" i="11"/>
  <c r="E2694" i="11"/>
  <c r="E2614" i="11"/>
  <c r="E2575" i="11"/>
  <c r="E2528" i="11"/>
  <c r="E2453" i="11"/>
  <c r="E2407" i="11"/>
  <c r="E2367" i="11"/>
  <c r="E2287" i="11"/>
  <c r="E2244" i="11"/>
  <c r="E2201" i="11"/>
  <c r="E2118" i="11"/>
  <c r="E2070" i="11"/>
  <c r="E2034" i="11"/>
  <c r="E1991" i="11"/>
  <c r="E3712" i="11"/>
  <c r="E3710" i="11"/>
  <c r="E3704" i="11"/>
  <c r="E3697" i="11"/>
  <c r="E3689" i="11"/>
  <c r="E3686" i="11"/>
  <c r="E3675" i="11"/>
  <c r="E3666" i="11"/>
  <c r="E3655" i="11"/>
  <c r="E3648" i="11"/>
  <c r="E3635" i="11"/>
  <c r="E3622" i="11"/>
  <c r="E3615" i="11"/>
  <c r="E3599" i="11"/>
  <c r="E3583" i="11"/>
  <c r="E3573" i="11"/>
  <c r="E3555" i="11"/>
  <c r="E3536" i="11"/>
  <c r="E3526" i="11"/>
  <c r="E3504" i="11"/>
  <c r="E3484" i="11"/>
  <c r="E3469" i="11"/>
  <c r="E3447" i="11"/>
  <c r="E3421" i="11"/>
  <c r="E3405" i="11"/>
  <c r="E3378" i="11"/>
  <c r="E3348" i="11"/>
  <c r="E3336" i="11"/>
  <c r="E3304" i="11"/>
  <c r="E3286" i="11"/>
  <c r="E3254" i="11"/>
  <c r="E3234" i="11"/>
  <c r="E3197" i="11"/>
  <c r="E3177" i="11"/>
  <c r="E3135" i="11"/>
  <c r="E3098" i="11"/>
  <c r="E3076" i="11"/>
  <c r="E3027" i="11"/>
  <c r="E3008" i="11"/>
  <c r="E2981" i="11"/>
  <c r="E2929" i="11"/>
  <c r="E2900" i="11"/>
  <c r="E2846" i="11"/>
  <c r="E2812" i="11"/>
  <c r="E2730" i="11"/>
  <c r="E2695" i="11"/>
  <c r="E2615" i="11"/>
  <c r="E2576" i="11"/>
  <c r="E2529" i="11"/>
  <c r="E2454" i="11"/>
  <c r="E2408" i="11"/>
  <c r="E2368" i="11"/>
  <c r="E2288" i="11"/>
  <c r="E2245" i="11"/>
  <c r="E2202" i="11"/>
  <c r="E2119" i="11"/>
  <c r="E2071" i="11"/>
  <c r="E2035" i="11"/>
  <c r="E1992" i="11"/>
  <c r="E1908" i="11"/>
  <c r="E1868" i="11"/>
  <c r="E3707" i="11"/>
  <c r="E3700" i="11"/>
  <c r="E3694" i="11"/>
  <c r="E3690" i="11"/>
  <c r="E3681" i="11"/>
  <c r="E3672" i="11"/>
  <c r="E3661" i="11"/>
  <c r="E3656" i="11"/>
  <c r="E3642" i="11"/>
  <c r="E3629" i="11"/>
  <c r="E3623" i="11"/>
  <c r="E3607" i="11"/>
  <c r="E3592" i="11"/>
  <c r="E3574" i="11"/>
  <c r="E3565" i="11"/>
  <c r="E3546" i="11"/>
  <c r="E3527" i="11"/>
  <c r="E3515" i="11"/>
  <c r="E3495" i="11"/>
  <c r="E3470" i="11"/>
  <c r="E3459" i="11"/>
  <c r="E3435" i="11"/>
  <c r="E3406" i="11"/>
  <c r="E3395" i="11"/>
  <c r="E3367" i="11"/>
  <c r="E3349" i="11"/>
  <c r="E3320" i="11"/>
  <c r="E3287" i="11"/>
  <c r="E3266" i="11"/>
  <c r="E3235" i="11"/>
  <c r="E3216" i="11"/>
  <c r="E3178" i="11"/>
  <c r="E3159" i="11"/>
  <c r="E3120" i="11"/>
  <c r="E3077" i="11"/>
  <c r="E3053" i="11"/>
  <c r="E3009" i="11"/>
  <c r="E2982" i="11"/>
  <c r="E2930" i="11"/>
  <c r="E2901" i="11"/>
  <c r="E2878" i="11"/>
  <c r="E2813" i="11"/>
  <c r="E2772" i="11"/>
  <c r="E2696" i="11"/>
  <c r="E2652" i="11"/>
  <c r="E2577" i="11"/>
  <c r="E2530" i="11"/>
  <c r="E2491" i="11"/>
  <c r="E2409" i="11"/>
  <c r="E2369" i="11"/>
  <c r="E2326" i="11"/>
  <c r="E2246" i="11"/>
  <c r="E2203" i="11"/>
  <c r="E2160" i="11"/>
  <c r="E2072" i="11"/>
  <c r="E2036" i="11"/>
  <c r="E1993" i="11"/>
  <c r="E1909" i="11"/>
  <c r="E1869" i="11"/>
  <c r="E1823" i="11"/>
  <c r="E1781" i="11"/>
  <c r="E3701" i="11"/>
  <c r="E3695" i="11"/>
  <c r="E3687" i="11"/>
  <c r="E3676" i="11"/>
  <c r="E3667" i="11"/>
  <c r="E3662" i="11"/>
  <c r="E3649" i="11"/>
  <c r="E3636" i="11"/>
  <c r="E3630" i="11"/>
  <c r="E3616" i="11"/>
  <c r="E3600" i="11"/>
  <c r="E3584" i="11"/>
  <c r="E3575" i="11"/>
  <c r="E3556" i="11"/>
  <c r="E3537" i="11"/>
  <c r="E3528" i="11"/>
  <c r="E3505" i="11"/>
  <c r="E3485" i="11"/>
  <c r="E3471" i="11"/>
  <c r="E3448" i="11"/>
  <c r="E3422" i="11"/>
  <c r="E3407" i="11"/>
  <c r="E3379" i="11"/>
  <c r="E3350" i="11"/>
  <c r="E3337" i="11"/>
  <c r="E3305" i="11"/>
  <c r="E3288" i="11"/>
  <c r="E3255" i="11"/>
  <c r="E3217" i="11"/>
  <c r="E3198" i="11"/>
  <c r="E3160" i="11"/>
  <c r="E3136" i="11"/>
  <c r="E3099" i="11"/>
  <c r="E3078" i="11"/>
  <c r="E3028" i="11"/>
  <c r="E3010" i="11"/>
  <c r="E2959" i="11"/>
  <c r="E2931" i="11"/>
  <c r="E2879" i="11"/>
  <c r="E2847" i="11"/>
  <c r="E2773" i="11"/>
  <c r="E2731" i="11"/>
  <c r="E2653" i="11"/>
  <c r="E2616" i="11"/>
  <c r="E2531" i="11"/>
  <c r="E2492" i="11"/>
  <c r="E2455" i="11"/>
  <c r="E2370" i="11"/>
  <c r="E2327" i="11"/>
  <c r="E2247" i="11"/>
  <c r="E2204" i="11"/>
  <c r="E2161" i="11"/>
  <c r="E2073" i="11"/>
  <c r="E2037" i="11"/>
  <c r="E1994" i="11"/>
  <c r="E1945" i="11"/>
  <c r="E1870" i="11"/>
  <c r="E1824" i="11"/>
  <c r="E1782" i="11"/>
  <c r="E1740" i="11"/>
  <c r="E1660" i="11"/>
  <c r="E3691" i="11"/>
  <c r="E3682" i="11"/>
  <c r="E3677" i="11"/>
  <c r="E3668" i="11"/>
  <c r="E3657" i="11"/>
  <c r="E3643" i="11"/>
  <c r="E3637" i="11"/>
  <c r="E3624" i="11"/>
  <c r="E3608" i="11"/>
  <c r="E3593" i="11"/>
  <c r="E3585" i="11"/>
  <c r="E3566" i="11"/>
  <c r="E3547" i="11"/>
  <c r="E3538" i="11"/>
  <c r="E3516" i="11"/>
  <c r="E3496" i="11"/>
  <c r="E3472" i="11"/>
  <c r="E3460" i="11"/>
  <c r="E3436" i="11"/>
  <c r="E3408" i="11"/>
  <c r="E3396" i="11"/>
  <c r="E3368" i="11"/>
  <c r="E3351" i="11"/>
  <c r="E3321" i="11"/>
  <c r="E3289" i="11"/>
  <c r="E3267" i="11"/>
  <c r="E3236" i="11"/>
  <c r="E3218" i="11"/>
  <c r="E3179" i="11"/>
  <c r="E3137" i="11"/>
  <c r="E3121" i="11"/>
  <c r="E3079" i="11"/>
  <c r="E3054" i="11"/>
  <c r="E3011" i="11"/>
  <c r="E2983" i="11"/>
  <c r="E2932" i="11"/>
  <c r="E2902" i="11"/>
  <c r="E2848" i="11"/>
  <c r="E2814" i="11"/>
  <c r="E2732" i="11"/>
  <c r="E2697" i="11"/>
  <c r="E2617" i="11"/>
  <c r="E2578" i="11"/>
  <c r="E2493" i="11"/>
  <c r="E2456" i="11"/>
  <c r="E2371" i="11"/>
  <c r="E2328" i="11"/>
  <c r="E2289" i="11"/>
  <c r="E2205" i="11"/>
  <c r="E2162" i="11"/>
  <c r="E2120" i="11"/>
  <c r="E2038" i="11"/>
  <c r="E1995" i="11"/>
  <c r="E1946" i="11"/>
  <c r="E1871" i="11"/>
  <c r="E1825" i="11"/>
  <c r="E1783" i="11"/>
  <c r="E1741" i="11"/>
  <c r="E1661" i="11"/>
  <c r="E1617" i="11"/>
  <c r="E1570" i="11"/>
  <c r="E3683" i="11"/>
  <c r="E3673" i="11"/>
  <c r="E3663" i="11"/>
  <c r="E3650" i="11"/>
  <c r="E3644" i="11"/>
  <c r="E3631" i="11"/>
  <c r="E3617" i="11"/>
  <c r="E3601" i="11"/>
  <c r="E3594" i="11"/>
  <c r="E3576" i="11"/>
  <c r="E3557" i="11"/>
  <c r="E3548" i="11"/>
  <c r="E3529" i="11"/>
  <c r="E3506" i="11"/>
  <c r="E3486" i="11"/>
  <c r="E3473" i="11"/>
  <c r="E3449" i="11"/>
  <c r="E3423" i="11"/>
  <c r="E3409" i="11"/>
  <c r="E3380" i="11"/>
  <c r="E3352" i="11"/>
  <c r="E3338" i="11"/>
  <c r="E3306" i="11"/>
  <c r="E3290" i="11"/>
  <c r="E3256" i="11"/>
  <c r="E3219" i="11"/>
  <c r="E3199" i="11"/>
  <c r="E3161" i="11"/>
  <c r="E3138" i="11"/>
  <c r="E3100" i="11"/>
  <c r="E3055" i="11"/>
  <c r="E3029" i="11"/>
  <c r="E2984" i="11"/>
  <c r="E2960" i="11"/>
  <c r="E2903" i="11"/>
  <c r="E2880" i="11"/>
  <c r="E2815" i="11"/>
  <c r="E2774" i="11"/>
  <c r="E2698" i="11"/>
  <c r="E2654" i="11"/>
  <c r="E2579" i="11"/>
  <c r="E2532" i="11"/>
  <c r="E2457" i="11"/>
  <c r="E2410" i="11"/>
  <c r="E2372" i="11"/>
  <c r="E2290" i="11"/>
  <c r="E2248" i="11"/>
  <c r="E2163" i="11"/>
  <c r="E2121" i="11"/>
  <c r="E2074" i="11"/>
  <c r="E1996" i="11"/>
  <c r="E1947" i="11"/>
  <c r="E1910" i="11"/>
  <c r="E1826" i="11"/>
  <c r="E1784" i="11"/>
  <c r="E1742" i="11"/>
  <c r="E1698" i="11"/>
  <c r="E1618" i="11"/>
  <c r="E1571" i="11"/>
  <c r="E1535" i="11"/>
  <c r="E1492" i="11"/>
  <c r="E3669" i="11"/>
  <c r="E3664" i="11"/>
  <c r="E3651" i="11"/>
  <c r="E3638" i="11"/>
  <c r="E3625" i="11"/>
  <c r="E3618" i="11"/>
  <c r="E3602" i="11"/>
  <c r="E3586" i="11"/>
  <c r="E3567" i="11"/>
  <c r="E3558" i="11"/>
  <c r="E3539" i="11"/>
  <c r="E3517" i="11"/>
  <c r="E3507" i="11"/>
  <c r="E3487" i="11"/>
  <c r="E3461" i="11"/>
  <c r="E3437" i="11"/>
  <c r="E3424" i="11"/>
  <c r="E3397" i="11"/>
  <c r="E3369" i="11"/>
  <c r="E3353" i="11"/>
  <c r="E3322" i="11"/>
  <c r="E3291" i="11"/>
  <c r="E3268" i="11"/>
  <c r="E3237" i="11"/>
  <c r="E3220" i="11"/>
  <c r="E3180" i="11"/>
  <c r="E3139" i="11"/>
  <c r="E3122" i="11"/>
  <c r="E3080" i="11"/>
  <c r="E3056" i="11"/>
  <c r="E3012" i="11"/>
  <c r="E2961" i="11"/>
  <c r="E2933" i="11"/>
  <c r="E2881" i="11"/>
  <c r="E2849" i="11"/>
  <c r="E2775" i="11"/>
  <c r="E2733" i="11"/>
  <c r="E2655" i="11"/>
  <c r="E2618" i="11"/>
  <c r="E2533" i="11"/>
  <c r="E2494" i="11"/>
  <c r="E2411" i="11"/>
  <c r="E2373" i="11"/>
  <c r="E2329" i="11"/>
  <c r="E2249" i="11"/>
  <c r="E2206" i="11"/>
  <c r="E2122" i="11"/>
  <c r="E2075" i="11"/>
  <c r="E2039" i="11"/>
  <c r="E1948" i="11"/>
  <c r="E1911" i="11"/>
  <c r="E1872" i="11"/>
  <c r="E1785" i="11"/>
  <c r="E1743" i="11"/>
  <c r="E1699" i="11"/>
  <c r="E1662" i="11"/>
  <c r="E1572" i="11"/>
  <c r="E1536" i="11"/>
  <c r="E1493" i="11"/>
  <c r="E1448" i="11"/>
  <c r="E1365" i="11"/>
  <c r="E3658" i="11"/>
  <c r="E3645" i="11"/>
  <c r="E3639" i="11"/>
  <c r="E3626" i="11"/>
  <c r="E3609" i="11"/>
  <c r="E3595" i="11"/>
  <c r="E3587" i="11"/>
  <c r="E3568" i="11"/>
  <c r="E3549" i="11"/>
  <c r="E3530" i="11"/>
  <c r="E3518" i="11"/>
  <c r="E3497" i="11"/>
  <c r="E3474" i="11"/>
  <c r="E3450" i="11"/>
  <c r="E3438" i="11"/>
  <c r="E3410" i="11"/>
  <c r="E3381" i="11"/>
  <c r="E3370" i="11"/>
  <c r="E3339" i="11"/>
  <c r="E3307" i="11"/>
  <c r="E3292" i="11"/>
  <c r="E3257" i="11"/>
  <c r="E3221" i="11"/>
  <c r="E3200" i="11"/>
  <c r="E3162" i="11"/>
  <c r="E3140" i="11"/>
  <c r="E3101" i="11"/>
  <c r="E3057" i="11"/>
  <c r="E3030" i="11"/>
  <c r="E2985" i="11"/>
  <c r="E2962" i="11"/>
  <c r="E2904" i="11"/>
  <c r="E2882" i="11"/>
  <c r="E2816" i="11"/>
  <c r="E2776" i="11"/>
  <c r="E2699" i="11"/>
  <c r="E2656" i="11"/>
  <c r="E2580" i="11"/>
  <c r="E2534" i="11"/>
  <c r="E2458" i="11"/>
  <c r="E2412" i="11"/>
  <c r="E2330" i="11"/>
  <c r="E2291" i="11"/>
  <c r="E2207" i="11"/>
  <c r="E2164" i="11"/>
  <c r="E2076" i="11"/>
  <c r="E2040" i="11"/>
  <c r="E1997" i="11"/>
  <c r="E1912" i="11"/>
  <c r="E1873" i="11"/>
  <c r="E1827" i="11"/>
  <c r="E1744" i="11"/>
  <c r="E1700" i="11"/>
  <c r="E1663" i="11"/>
  <c r="E1619" i="11"/>
  <c r="E1537" i="11"/>
  <c r="E1494" i="11"/>
  <c r="E1449" i="11"/>
  <c r="E1407" i="11"/>
  <c r="E1325" i="11"/>
  <c r="E1280" i="11"/>
  <c r="E3646" i="11"/>
  <c r="E3632" i="11"/>
  <c r="E3619" i="11"/>
  <c r="E3610" i="11"/>
  <c r="E3596" i="11"/>
  <c r="E3577" i="11"/>
  <c r="E3559" i="11"/>
  <c r="E3550" i="11"/>
  <c r="E3531" i="11"/>
  <c r="E3508" i="11"/>
  <c r="E3488" i="11"/>
  <c r="E3475" i="11"/>
  <c r="E3451" i="11"/>
  <c r="E3425" i="11"/>
  <c r="E3411" i="11"/>
  <c r="E3382" i="11"/>
  <c r="E3354" i="11"/>
  <c r="E3323" i="11"/>
  <c r="E3308" i="11"/>
  <c r="E3269" i="11"/>
  <c r="E3238" i="11"/>
  <c r="E3222" i="11"/>
  <c r="E3181" i="11"/>
  <c r="E3163" i="11"/>
  <c r="E3123" i="11"/>
  <c r="E3081" i="11"/>
  <c r="E3058" i="11"/>
  <c r="E3013" i="11"/>
  <c r="E2986" i="11"/>
  <c r="E2934" i="11"/>
  <c r="E2883" i="11"/>
  <c r="E2850" i="11"/>
  <c r="E2777" i="11"/>
  <c r="E2734" i="11"/>
  <c r="E2657" i="11"/>
  <c r="E2619" i="11"/>
  <c r="E2535" i="11"/>
  <c r="E2495" i="11"/>
  <c r="E2413" i="11"/>
  <c r="E2374" i="11"/>
  <c r="E2292" i="11"/>
  <c r="E2250" i="11"/>
  <c r="E2165" i="11"/>
  <c r="E2123" i="11"/>
  <c r="E2077" i="11"/>
  <c r="E1998" i="11"/>
  <c r="E1949" i="11"/>
  <c r="E1913" i="11"/>
  <c r="E1828" i="11"/>
  <c r="E1786" i="11"/>
  <c r="E1701" i="11"/>
  <c r="E1664" i="11"/>
  <c r="E1620" i="11"/>
  <c r="E1573" i="11"/>
  <c r="E1495" i="11"/>
  <c r="E1450" i="11"/>
  <c r="E1408" i="11"/>
  <c r="E1366" i="11"/>
  <c r="E1281" i="11"/>
  <c r="E1242" i="11"/>
  <c r="E1196" i="11"/>
  <c r="E3633" i="11"/>
  <c r="E3620" i="11"/>
  <c r="E3603" i="11"/>
  <c r="E3588" i="11"/>
  <c r="E3578" i="11"/>
  <c r="E3560" i="11"/>
  <c r="E3540" i="11"/>
  <c r="E3519" i="11"/>
  <c r="E3509" i="11"/>
  <c r="E3489" i="11"/>
  <c r="E3462" i="11"/>
  <c r="E3439" i="11"/>
  <c r="E3426" i="11"/>
  <c r="E3398" i="11"/>
  <c r="E3371" i="11"/>
  <c r="E3355" i="11"/>
  <c r="E3324" i="11"/>
  <c r="E3293" i="11"/>
  <c r="E3270" i="11"/>
  <c r="E3239" i="11"/>
  <c r="E3201" i="11"/>
  <c r="E3182" i="11"/>
  <c r="E3141" i="11"/>
  <c r="E3102" i="11"/>
  <c r="E3082" i="11"/>
  <c r="E3031" i="11"/>
  <c r="E3014" i="11"/>
  <c r="E2963" i="11"/>
  <c r="E2905" i="11"/>
  <c r="E2884" i="11"/>
  <c r="E2817" i="11"/>
  <c r="E2778" i="11"/>
  <c r="E2700" i="11"/>
  <c r="E2658" i="11"/>
  <c r="E2581" i="11"/>
  <c r="E2536" i="11"/>
  <c r="E2459" i="11"/>
  <c r="E2414" i="11"/>
  <c r="E2331" i="11"/>
  <c r="E2293" i="11"/>
  <c r="E2208" i="11"/>
  <c r="E2166" i="11"/>
  <c r="E2078" i="11"/>
  <c r="E2041" i="11"/>
  <c r="E1950" i="11"/>
  <c r="E1914" i="11"/>
  <c r="E1874" i="11"/>
  <c r="E1787" i="11"/>
  <c r="E1745" i="11"/>
  <c r="E1702" i="11"/>
  <c r="E1621" i="11"/>
  <c r="E1574" i="11"/>
  <c r="E1538" i="11"/>
  <c r="E1451" i="11"/>
  <c r="E1409" i="11"/>
  <c r="E1367" i="11"/>
  <c r="E1326" i="11"/>
  <c r="E1243" i="11"/>
  <c r="E1197" i="11"/>
  <c r="E1150" i="11"/>
  <c r="E1111" i="11"/>
  <c r="E3611" i="11"/>
  <c r="E3604" i="11"/>
  <c r="E3589" i="11"/>
  <c r="E3569" i="11"/>
  <c r="E3551" i="11"/>
  <c r="E3541" i="11"/>
  <c r="E3520" i="11"/>
  <c r="E3498" i="11"/>
  <c r="E3476" i="11"/>
  <c r="E3463" i="11"/>
  <c r="E3440" i="11"/>
  <c r="E3412" i="11"/>
  <c r="E3383" i="11"/>
  <c r="E3372" i="11"/>
  <c r="E3340" i="11"/>
  <c r="E3309" i="11"/>
  <c r="E3294" i="11"/>
  <c r="E3258" i="11"/>
  <c r="E3223" i="11"/>
  <c r="E3202" i="11"/>
  <c r="E3164" i="11"/>
  <c r="E3124" i="11"/>
  <c r="E3103" i="11"/>
  <c r="E3059" i="11"/>
  <c r="E3032" i="11"/>
  <c r="E2987" i="11"/>
  <c r="E2935" i="11"/>
  <c r="E2906" i="11"/>
  <c r="E2851" i="11"/>
  <c r="E2818" i="11"/>
  <c r="E2735" i="11"/>
  <c r="E2659" i="11"/>
  <c r="E2620" i="11"/>
  <c r="E2537" i="11"/>
  <c r="E2496" i="11"/>
  <c r="E2415" i="11"/>
  <c r="E2375" i="11"/>
  <c r="E2294" i="11"/>
  <c r="E2251" i="11"/>
  <c r="E2167" i="11"/>
  <c r="E2124" i="11"/>
  <c r="E2079" i="11"/>
  <c r="E1999" i="11"/>
  <c r="E1951" i="11"/>
  <c r="E1875" i="11"/>
  <c r="E1829" i="11"/>
  <c r="E1788" i="11"/>
  <c r="E1703" i="11"/>
  <c r="E1665" i="11"/>
  <c r="E1575" i="11"/>
  <c r="E1539" i="11"/>
  <c r="E1496" i="11"/>
  <c r="E1452" i="11"/>
  <c r="E1368" i="11"/>
  <c r="E1327" i="11"/>
  <c r="E1282" i="11"/>
  <c r="E1244" i="11"/>
  <c r="E1151" i="11"/>
  <c r="E1112" i="11"/>
  <c r="E1072" i="11"/>
  <c r="E1025" i="11"/>
  <c r="E3597" i="11"/>
  <c r="E3579" i="11"/>
  <c r="E3570" i="11"/>
  <c r="E3552" i="11"/>
  <c r="E3532" i="11"/>
  <c r="E3510" i="11"/>
  <c r="E3499" i="11"/>
  <c r="E3477" i="11"/>
  <c r="E3452" i="11"/>
  <c r="E3427" i="11"/>
  <c r="E3413" i="11"/>
  <c r="E3384" i="11"/>
  <c r="E3356" i="11"/>
  <c r="E3341" i="11"/>
  <c r="E3310" i="11"/>
  <c r="E3271" i="11"/>
  <c r="E3259" i="11"/>
  <c r="E3224" i="11"/>
  <c r="E3183" i="11"/>
  <c r="E3165" i="11"/>
  <c r="E3125" i="11"/>
  <c r="E3083" i="11"/>
  <c r="E3060" i="11"/>
  <c r="E3015" i="11"/>
  <c r="E2964" i="11"/>
  <c r="E2936" i="11"/>
  <c r="E2885" i="11"/>
  <c r="E2852" i="11"/>
  <c r="E2779" i="11"/>
  <c r="E2701" i="11"/>
  <c r="E2660" i="11"/>
  <c r="E2582" i="11"/>
  <c r="E2538" i="11"/>
  <c r="E2460" i="11"/>
  <c r="E2416" i="11"/>
  <c r="E2332" i="11"/>
  <c r="E2295" i="11"/>
  <c r="E2209" i="11"/>
  <c r="E2168" i="11"/>
  <c r="E2080" i="11"/>
  <c r="E2042" i="11"/>
  <c r="E1952" i="11"/>
  <c r="E1915" i="11"/>
  <c r="E1876" i="11"/>
  <c r="E1789" i="11"/>
  <c r="E1746" i="11"/>
  <c r="E1666" i="11"/>
  <c r="E1622" i="11"/>
  <c r="E1576" i="11"/>
  <c r="E1497" i="11"/>
  <c r="E1453" i="11"/>
  <c r="E1410" i="11"/>
  <c r="E1369" i="11"/>
  <c r="E1283" i="11"/>
  <c r="E1245" i="11"/>
  <c r="E1198" i="11"/>
  <c r="E1152" i="11"/>
  <c r="E1073" i="11"/>
  <c r="E1026" i="11"/>
  <c r="E978" i="11"/>
  <c r="E936" i="11"/>
  <c r="E3580" i="11"/>
  <c r="E3561" i="11"/>
  <c r="E3553" i="11"/>
  <c r="E3533" i="11"/>
  <c r="E3511" i="11"/>
  <c r="E3490" i="11"/>
  <c r="E3478" i="11"/>
  <c r="E3453" i="11"/>
  <c r="E3428" i="11"/>
  <c r="E3399" i="11"/>
  <c r="E3385" i="11"/>
  <c r="E3357" i="11"/>
  <c r="E3325" i="11"/>
  <c r="E3295" i="11"/>
  <c r="E3272" i="11"/>
  <c r="E3240" i="11"/>
  <c r="E3203" i="11"/>
  <c r="E3184" i="11"/>
  <c r="E3142" i="11"/>
  <c r="E3104" i="11"/>
  <c r="E3084" i="11"/>
  <c r="E3033" i="11"/>
  <c r="E2988" i="11"/>
  <c r="E2965" i="11"/>
  <c r="E2907" i="11"/>
  <c r="E2886" i="11"/>
  <c r="E2819" i="11"/>
  <c r="E2736" i="11"/>
  <c r="E2702" i="11"/>
  <c r="E2621" i="11"/>
  <c r="E2583" i="11"/>
  <c r="E2497" i="11"/>
  <c r="E2461" i="11"/>
  <c r="E2376" i="11"/>
  <c r="E2333" i="11"/>
  <c r="E2252" i="11"/>
  <c r="E2210" i="11"/>
  <c r="E2125" i="11"/>
  <c r="E2081" i="11"/>
  <c r="E2000" i="11"/>
  <c r="E1953" i="11"/>
  <c r="E1877" i="11"/>
  <c r="E1830" i="11"/>
  <c r="E1790" i="11"/>
  <c r="E1704" i="11"/>
  <c r="E1667" i="11"/>
  <c r="E1577" i="11"/>
  <c r="E1540" i="11"/>
  <c r="E1498" i="11"/>
  <c r="E1411" i="11"/>
  <c r="E1370" i="11"/>
  <c r="E1328" i="11"/>
  <c r="E1284" i="11"/>
  <c r="E1199" i="11"/>
  <c r="E1153" i="11"/>
  <c r="E1113" i="11"/>
  <c r="E1074" i="11"/>
  <c r="E979" i="11"/>
  <c r="E937" i="11"/>
  <c r="E892" i="11"/>
  <c r="E844" i="11"/>
  <c r="E3562" i="11"/>
  <c r="E3542" i="11"/>
  <c r="E3521" i="11"/>
  <c r="E3512" i="11"/>
  <c r="E3491" i="11"/>
  <c r="E3464" i="11"/>
  <c r="E3441" i="11"/>
  <c r="E3429" i="11"/>
  <c r="E3400" i="11"/>
  <c r="E3373" i="11"/>
  <c r="E3342" i="11"/>
  <c r="E3326" i="11"/>
  <c r="E3296" i="11"/>
  <c r="E3260" i="11"/>
  <c r="E3241" i="11"/>
  <c r="E3204" i="11"/>
  <c r="E3166" i="11"/>
  <c r="E3143" i="11"/>
  <c r="E3105" i="11"/>
  <c r="E3061" i="11"/>
  <c r="E3034" i="11"/>
  <c r="E2989" i="11"/>
  <c r="E2937" i="11"/>
  <c r="E2908" i="11"/>
  <c r="E2853" i="11"/>
  <c r="E2820" i="11"/>
  <c r="E2737" i="11"/>
  <c r="E2661" i="11"/>
  <c r="E2622" i="11"/>
  <c r="E2539" i="11"/>
  <c r="E2498" i="11"/>
  <c r="E2417" i="11"/>
  <c r="E2377" i="11"/>
  <c r="E2296" i="11"/>
  <c r="E2253" i="11"/>
  <c r="E2169" i="11"/>
  <c r="E2126" i="11"/>
  <c r="E2043" i="11"/>
  <c r="E2001" i="11"/>
  <c r="E1916" i="11"/>
  <c r="E1878" i="11"/>
  <c r="E1791" i="11"/>
  <c r="E1747" i="11"/>
  <c r="E1705" i="11"/>
  <c r="E1623" i="11"/>
  <c r="E1578" i="11"/>
  <c r="E1499" i="11"/>
  <c r="E1454" i="11"/>
  <c r="E1412" i="11"/>
  <c r="E1329" i="11"/>
  <c r="E1285" i="11"/>
  <c r="E1246" i="11"/>
  <c r="E1200" i="11"/>
  <c r="E1114" i="11"/>
  <c r="E1075" i="11"/>
  <c r="E1027" i="11"/>
  <c r="E980" i="11"/>
  <c r="E893" i="11"/>
  <c r="E845" i="11"/>
  <c r="E797" i="11"/>
  <c r="E747" i="11"/>
  <c r="E3543" i="11"/>
  <c r="E3522" i="11"/>
  <c r="E3500" i="11"/>
  <c r="E3492" i="11"/>
  <c r="E3465" i="11"/>
  <c r="E3442" i="11"/>
  <c r="E3414" i="11"/>
  <c r="E3401" i="11"/>
  <c r="E3374" i="11"/>
  <c r="E3343" i="11"/>
  <c r="E3311" i="11"/>
  <c r="E3297" i="11"/>
  <c r="E3261" i="11"/>
  <c r="E3225" i="11"/>
  <c r="E3205" i="11"/>
  <c r="E3167" i="11"/>
  <c r="E3126" i="11"/>
  <c r="E3106" i="11"/>
  <c r="E3062" i="11"/>
  <c r="E3016" i="11"/>
  <c r="E2990" i="11"/>
  <c r="E2938" i="11"/>
  <c r="E2887" i="11"/>
  <c r="E2854" i="11"/>
  <c r="E2780" i="11"/>
  <c r="E2738" i="11"/>
  <c r="E2662" i="11"/>
  <c r="E2584" i="11"/>
  <c r="E2540" i="11"/>
  <c r="E2462" i="11"/>
  <c r="E2418" i="11"/>
  <c r="E2334" i="11"/>
  <c r="E2297" i="11"/>
  <c r="E2211" i="11"/>
  <c r="E2170" i="11"/>
  <c r="E2082" i="11"/>
  <c r="E2044" i="11"/>
  <c r="E1954" i="11"/>
  <c r="E1917" i="11"/>
  <c r="E1831" i="11"/>
  <c r="E1792" i="11"/>
  <c r="E1706" i="11"/>
  <c r="E1668" i="11"/>
  <c r="E1624" i="11"/>
  <c r="E1541" i="11"/>
  <c r="E1500" i="11"/>
  <c r="E1413" i="11"/>
  <c r="E1371" i="11"/>
  <c r="E1330" i="11"/>
  <c r="E1286" i="11"/>
  <c r="E1201" i="11"/>
  <c r="E1154" i="11"/>
  <c r="E1115" i="11"/>
  <c r="E1028" i="11"/>
  <c r="E981" i="11"/>
  <c r="E938" i="11"/>
  <c r="E894" i="11"/>
  <c r="E846" i="11"/>
  <c r="E748" i="11"/>
  <c r="E700" i="11"/>
  <c r="E656" i="11"/>
  <c r="E3523" i="11"/>
  <c r="E3501" i="11"/>
  <c r="E3479" i="11"/>
  <c r="E3466" i="11"/>
  <c r="E3443" i="11"/>
  <c r="E3415" i="11"/>
  <c r="E3386" i="11"/>
  <c r="E3375" i="11"/>
  <c r="E3344" i="11"/>
  <c r="E3312" i="11"/>
  <c r="E3273" i="11"/>
  <c r="E3262" i="11"/>
  <c r="E3226" i="11"/>
  <c r="E3185" i="11"/>
  <c r="E3168" i="11"/>
  <c r="E3127" i="11"/>
  <c r="E3085" i="11"/>
  <c r="E3063" i="11"/>
  <c r="E3017" i="11"/>
  <c r="E2966" i="11"/>
  <c r="E2939" i="11"/>
  <c r="E2888" i="11"/>
  <c r="E2821" i="11"/>
  <c r="E2781" i="11"/>
  <c r="E2703" i="11"/>
  <c r="E2663" i="11"/>
  <c r="E2585" i="11"/>
  <c r="E2499" i="11"/>
  <c r="E2463" i="11"/>
  <c r="E2378" i="11"/>
  <c r="E2335" i="11"/>
  <c r="E2254" i="11"/>
  <c r="E2212" i="11"/>
  <c r="E2127" i="11"/>
  <c r="E2083" i="11"/>
  <c r="E2002" i="11"/>
  <c r="E1955" i="11"/>
  <c r="E1879" i="11"/>
  <c r="E1832" i="11"/>
  <c r="E1748" i="11"/>
  <c r="E1707" i="11"/>
  <c r="E1625" i="11"/>
  <c r="E1579" i="11"/>
  <c r="E1542" i="11"/>
  <c r="E1455" i="11"/>
  <c r="E1414" i="11"/>
  <c r="E1372" i="11"/>
  <c r="E1287" i="11"/>
  <c r="E1247" i="11"/>
  <c r="E1202" i="11"/>
  <c r="E1116" i="11"/>
  <c r="E1076" i="11"/>
  <c r="E1029" i="11"/>
  <c r="E982" i="11"/>
  <c r="E895" i="11"/>
  <c r="E847" i="11"/>
  <c r="E798" i="11"/>
  <c r="E749" i="11"/>
  <c r="E701" i="11"/>
  <c r="E657" i="11"/>
  <c r="E565" i="11"/>
  <c r="E3502" i="11"/>
  <c r="E3480" i="11"/>
  <c r="E3454" i="11"/>
  <c r="E3444" i="11"/>
  <c r="E3416" i="11"/>
  <c r="E3387" i="11"/>
  <c r="E3358" i="11"/>
  <c r="E3345" i="11"/>
  <c r="E3313" i="11"/>
  <c r="E3274" i="11"/>
  <c r="E3242" i="11"/>
  <c r="E3227" i="11"/>
  <c r="E3186" i="11"/>
  <c r="E3144" i="11"/>
  <c r="E3128" i="11"/>
  <c r="E3086" i="11"/>
  <c r="E3035" i="11"/>
  <c r="E3018" i="11"/>
  <c r="E2967" i="11"/>
  <c r="E2909" i="11"/>
  <c r="E2889" i="11"/>
  <c r="E2822" i="11"/>
  <c r="E2739" i="11"/>
  <c r="E2704" i="11"/>
  <c r="E2623" i="11"/>
  <c r="E2586" i="11"/>
  <c r="E2500" i="11"/>
  <c r="E2419" i="11"/>
  <c r="E2379" i="11"/>
  <c r="E2298" i="11"/>
  <c r="E2255" i="11"/>
  <c r="E2171" i="11"/>
  <c r="E2128" i="11"/>
  <c r="E2045" i="11"/>
  <c r="E2003" i="11"/>
  <c r="E1918" i="11"/>
  <c r="E1880" i="11"/>
  <c r="E1793" i="11"/>
  <c r="E1749" i="11"/>
  <c r="E1669" i="11"/>
  <c r="E1626" i="11"/>
  <c r="E1580" i="11"/>
  <c r="E1501" i="11"/>
  <c r="E1456" i="11"/>
  <c r="E1373" i="11"/>
  <c r="E1331" i="11"/>
  <c r="E1288" i="11"/>
  <c r="E1203" i="11"/>
  <c r="E1155" i="11"/>
  <c r="E1117" i="11"/>
  <c r="E1077" i="11"/>
  <c r="E983" i="11"/>
  <c r="E939" i="11"/>
  <c r="E896" i="11"/>
  <c r="E848" i="11"/>
  <c r="E750" i="11"/>
  <c r="E702" i="11"/>
  <c r="E658" i="11"/>
  <c r="E611" i="11"/>
  <c r="E566" i="11"/>
  <c r="E519" i="11"/>
  <c r="E3481" i="11"/>
  <c r="E3455" i="11"/>
  <c r="E3430" i="11"/>
  <c r="E3417" i="11"/>
  <c r="E3388" i="11"/>
  <c r="E3359" i="11"/>
  <c r="E3327" i="11"/>
  <c r="E3314" i="11"/>
  <c r="E3275" i="11"/>
  <c r="E3243" i="11"/>
  <c r="E3228" i="11"/>
  <c r="E3187" i="11"/>
  <c r="E3145" i="11"/>
  <c r="E3107" i="11"/>
  <c r="E3087" i="11"/>
  <c r="E3036" i="11"/>
  <c r="E2991" i="11"/>
  <c r="E2968" i="11"/>
  <c r="E2910" i="11"/>
  <c r="E2855" i="11"/>
  <c r="E2823" i="11"/>
  <c r="E2740" i="11"/>
  <c r="E2705" i="11"/>
  <c r="E2624" i="11"/>
  <c r="E2541" i="11"/>
  <c r="E2501" i="11"/>
  <c r="E2420" i="11"/>
  <c r="E2380" i="11"/>
  <c r="E2299" i="11"/>
  <c r="E2256" i="11"/>
  <c r="E2172" i="11"/>
  <c r="E2084" i="11"/>
  <c r="E2046" i="11"/>
  <c r="E1956" i="11"/>
  <c r="E1919" i="11"/>
  <c r="E1833" i="11"/>
  <c r="E1794" i="11"/>
  <c r="E1750" i="11"/>
  <c r="E1670" i="11"/>
  <c r="E1627" i="11"/>
  <c r="E1543" i="11"/>
  <c r="E1502" i="11"/>
  <c r="E1415" i="11"/>
  <c r="E1374" i="11"/>
  <c r="E1332" i="11"/>
  <c r="E1248" i="11"/>
  <c r="E1204" i="11"/>
  <c r="E1156" i="11"/>
  <c r="E1078" i="11"/>
  <c r="E1030" i="11"/>
  <c r="E984" i="11"/>
  <c r="E940" i="11"/>
  <c r="E849" i="11"/>
  <c r="E799" i="11"/>
  <c r="E751" i="11"/>
  <c r="E703" i="11"/>
  <c r="E659" i="11"/>
  <c r="E567" i="11"/>
  <c r="E520" i="11"/>
  <c r="E477" i="11"/>
  <c r="E436" i="11"/>
  <c r="E3456" i="11"/>
  <c r="E3431" i="11"/>
  <c r="E3418" i="11"/>
  <c r="E3389" i="11"/>
  <c r="E3360" i="11"/>
  <c r="E3328" i="11"/>
  <c r="E3315" i="11"/>
  <c r="E3276" i="11"/>
  <c r="E3244" i="11"/>
  <c r="E3206" i="11"/>
  <c r="E3188" i="11"/>
  <c r="E3146" i="11"/>
  <c r="E3108" i="11"/>
  <c r="E3088" i="11"/>
  <c r="E3037" i="11"/>
  <c r="E2992" i="11"/>
  <c r="E2969" i="11"/>
  <c r="E2911" i="11"/>
  <c r="E2856" i="11"/>
  <c r="E2824" i="11"/>
  <c r="E2741" i="11"/>
  <c r="E2664" i="11"/>
  <c r="E2625" i="11"/>
  <c r="E2542" i="11"/>
  <c r="E2502" i="11"/>
  <c r="E2421" i="11"/>
  <c r="E2336" i="11"/>
  <c r="E2300" i="11"/>
  <c r="E2213" i="11"/>
  <c r="E2173" i="11"/>
  <c r="E2085" i="11"/>
  <c r="E2047" i="11"/>
  <c r="E1957" i="11"/>
  <c r="E1920" i="11"/>
  <c r="E1834" i="11"/>
  <c r="E1795" i="11"/>
  <c r="E1708" i="11"/>
  <c r="E1671" i="11"/>
  <c r="E1581" i="11"/>
  <c r="E1544" i="11"/>
  <c r="E1457" i="11"/>
  <c r="E1416" i="11"/>
  <c r="E1375" i="11"/>
  <c r="E1289" i="11"/>
  <c r="E1249" i="11"/>
  <c r="E1205" i="11"/>
  <c r="E1118" i="11"/>
  <c r="E1079" i="11"/>
  <c r="E1031" i="11"/>
  <c r="E941" i="11"/>
  <c r="E897" i="11"/>
  <c r="E850" i="11"/>
  <c r="E800" i="11"/>
  <c r="E752" i="11"/>
  <c r="E660" i="11"/>
  <c r="E612" i="11"/>
  <c r="E568" i="11"/>
  <c r="E521" i="11"/>
  <c r="E478" i="11"/>
  <c r="E437" i="11"/>
  <c r="E398" i="11"/>
  <c r="E3432" i="11"/>
  <c r="E3402" i="11"/>
  <c r="E3390" i="11"/>
  <c r="E3361" i="11"/>
  <c r="E3329" i="11"/>
  <c r="E3298" i="11"/>
  <c r="E3277" i="11"/>
  <c r="E3245" i="11"/>
  <c r="E3207" i="11"/>
  <c r="E3189" i="11"/>
  <c r="E3147" i="11"/>
  <c r="E3109" i="11"/>
  <c r="E3064" i="11"/>
  <c r="E3038" i="11"/>
  <c r="E2993" i="11"/>
  <c r="E2940" i="11"/>
  <c r="E2912" i="11"/>
  <c r="E2857" i="11"/>
  <c r="E2782" i="11"/>
  <c r="E2742" i="11"/>
  <c r="E2665" i="11"/>
  <c r="E2626" i="11"/>
  <c r="E2543" i="11"/>
  <c r="E2464" i="11"/>
  <c r="E2422" i="11"/>
  <c r="E2337" i="11"/>
  <c r="E2301" i="11"/>
  <c r="E2214" i="11"/>
  <c r="E2129" i="11"/>
  <c r="E2086" i="11"/>
  <c r="E2004" i="11"/>
  <c r="E1958" i="11"/>
  <c r="E1881" i="11"/>
  <c r="E1835" i="11"/>
  <c r="E1751" i="11"/>
  <c r="E1709" i="11"/>
  <c r="E1628" i="11"/>
  <c r="E1582" i="11"/>
  <c r="E1545" i="11"/>
  <c r="E1458" i="11"/>
  <c r="E1417" i="11"/>
  <c r="E1333" i="11"/>
  <c r="E1290" i="11"/>
  <c r="E1250" i="11"/>
  <c r="E1157" i="11"/>
  <c r="E1119" i="11"/>
  <c r="E1080" i="11"/>
  <c r="E985" i="11"/>
  <c r="E942" i="11"/>
  <c r="E898" i="11"/>
  <c r="E851" i="11"/>
  <c r="E753" i="11"/>
  <c r="E704" i="11"/>
  <c r="E661" i="11"/>
  <c r="E613" i="11"/>
  <c r="E569" i="11"/>
  <c r="E522" i="11"/>
  <c r="E438" i="11"/>
  <c r="E399" i="11"/>
  <c r="E359" i="11"/>
  <c r="E318" i="11"/>
  <c r="E3403" i="11"/>
  <c r="E3391" i="11"/>
  <c r="E3362" i="11"/>
  <c r="E3330" i="11"/>
  <c r="E3299" i="11"/>
  <c r="E3278" i="11"/>
  <c r="E3246" i="11"/>
  <c r="E3208" i="11"/>
  <c r="E3169" i="11"/>
  <c r="E3148" i="11"/>
  <c r="E3110" i="11"/>
  <c r="E3065" i="11"/>
  <c r="E3039" i="11"/>
  <c r="E2994" i="11"/>
  <c r="E2941" i="11"/>
  <c r="E2913" i="11"/>
  <c r="E2858" i="11"/>
  <c r="E2783" i="11"/>
  <c r="E2743" i="11"/>
  <c r="E2666" i="11"/>
  <c r="E2587" i="11"/>
  <c r="E2544" i="11"/>
  <c r="E2465" i="11"/>
  <c r="E2423" i="11"/>
  <c r="E2338" i="11"/>
  <c r="E2257" i="11"/>
  <c r="E2215" i="11"/>
  <c r="E2130" i="11"/>
  <c r="E2087" i="11"/>
  <c r="E2005" i="11"/>
  <c r="E1959" i="11"/>
  <c r="E1882" i="11"/>
  <c r="E1836" i="11"/>
  <c r="E1752" i="11"/>
  <c r="E1710" i="11"/>
  <c r="E1629" i="11"/>
  <c r="E1583" i="11"/>
  <c r="E1503" i="11"/>
  <c r="E1459" i="11"/>
  <c r="E1418" i="11"/>
  <c r="E1334" i="11"/>
  <c r="E1291" i="11"/>
  <c r="E1206" i="11"/>
  <c r="E1158" i="11"/>
  <c r="E1120" i="11"/>
  <c r="E1032" i="11"/>
  <c r="E986" i="11"/>
  <c r="E943" i="11"/>
  <c r="E899" i="11"/>
  <c r="E801" i="11"/>
  <c r="E754" i="11"/>
  <c r="E705" i="11"/>
  <c r="E662" i="11"/>
  <c r="E570" i="11"/>
  <c r="E523" i="11"/>
  <c r="E479" i="11"/>
  <c r="E439" i="11"/>
  <c r="E400" i="11"/>
  <c r="E360" i="11"/>
  <c r="E319" i="11"/>
  <c r="E284" i="11"/>
  <c r="E3392" i="11"/>
  <c r="E3363" i="11"/>
  <c r="E3331" i="11"/>
  <c r="E3300" i="11"/>
  <c r="E3279" i="11"/>
  <c r="E3247" i="11"/>
  <c r="E3209" i="11"/>
  <c r="E3170" i="11"/>
  <c r="E3149" i="11"/>
  <c r="E3111" i="11"/>
  <c r="E3066" i="11"/>
  <c r="E3040" i="11"/>
  <c r="E2995" i="11"/>
  <c r="E2942" i="11"/>
  <c r="E2914" i="11"/>
  <c r="E2859" i="11"/>
  <c r="E2784" i="11"/>
  <c r="E2744" i="11"/>
  <c r="E2667" i="11"/>
  <c r="E2588" i="11"/>
  <c r="E2545" i="11"/>
  <c r="E2466" i="11"/>
  <c r="E2424" i="11"/>
  <c r="E2339" i="11"/>
  <c r="E2258" i="11"/>
  <c r="E2216" i="11"/>
  <c r="E2131" i="11"/>
  <c r="E2088" i="11"/>
  <c r="E2006" i="11"/>
  <c r="E1960" i="11"/>
  <c r="E1883" i="11"/>
  <c r="E1837" i="11"/>
  <c r="E1753" i="11"/>
  <c r="E1711" i="11"/>
  <c r="E1630" i="11"/>
  <c r="E1584" i="11"/>
  <c r="E1504" i="11"/>
  <c r="E1460" i="11"/>
  <c r="E1376" i="11"/>
  <c r="E1335" i="11"/>
  <c r="E1292" i="11"/>
  <c r="E1207" i="11"/>
  <c r="E1159" i="11"/>
  <c r="E1121" i="11"/>
  <c r="E1033" i="11"/>
  <c r="E987" i="11"/>
  <c r="E944" i="11"/>
  <c r="E852" i="11"/>
  <c r="E802" i="11"/>
  <c r="E755" i="11"/>
  <c r="E706" i="11"/>
  <c r="E614" i="11"/>
  <c r="E571" i="11"/>
  <c r="E524" i="11"/>
  <c r="E480" i="11"/>
  <c r="E440" i="11"/>
  <c r="E401" i="11"/>
  <c r="E361" i="11"/>
  <c r="E320" i="11"/>
  <c r="E248" i="11"/>
  <c r="E215" i="11"/>
  <c r="E3364" i="11"/>
  <c r="E3332" i="11"/>
  <c r="E3301" i="11"/>
  <c r="E3280" i="11"/>
  <c r="E3248" i="11"/>
  <c r="E3210" i="11"/>
  <c r="E3171" i="11"/>
  <c r="E3150" i="11"/>
  <c r="E3112" i="11"/>
  <c r="E3067" i="11"/>
  <c r="E3041" i="11"/>
  <c r="E2996" i="11"/>
  <c r="E2943" i="11"/>
  <c r="E2915" i="11"/>
  <c r="E2860" i="11"/>
  <c r="E2785" i="11"/>
  <c r="E2745" i="11"/>
  <c r="E2668" i="11"/>
  <c r="E2589" i="11"/>
  <c r="E2546" i="11"/>
  <c r="E2467" i="11"/>
  <c r="E2381" i="11"/>
  <c r="E2340" i="11"/>
  <c r="E2259" i="11"/>
  <c r="E2217" i="11"/>
  <c r="E2132" i="11"/>
  <c r="E2089" i="11"/>
  <c r="E2007" i="11"/>
  <c r="E1961" i="11"/>
  <c r="E1884" i="11"/>
  <c r="E1838" i="11"/>
  <c r="E1754" i="11"/>
  <c r="E1712" i="11"/>
  <c r="E1631" i="11"/>
  <c r="E1585" i="11"/>
  <c r="E1505" i="11"/>
  <c r="E1461" i="11"/>
  <c r="E1377" i="11"/>
  <c r="E1336" i="11"/>
  <c r="E1293" i="11"/>
  <c r="E1208" i="11"/>
  <c r="E1160" i="11"/>
  <c r="E1081" i="11"/>
  <c r="E1034" i="11"/>
  <c r="E988" i="11"/>
  <c r="E900" i="11"/>
  <c r="E853" i="11"/>
  <c r="E803" i="11"/>
  <c r="E756" i="11"/>
  <c r="E663" i="11"/>
  <c r="E615" i="11"/>
  <c r="E572" i="11"/>
  <c r="E525" i="11"/>
  <c r="E481" i="11"/>
  <c r="E441" i="11"/>
  <c r="E362" i="11"/>
  <c r="E321" i="11"/>
  <c r="E285" i="11"/>
  <c r="E249" i="11"/>
  <c r="E216" i="11"/>
  <c r="E181" i="11"/>
  <c r="E3333" i="11"/>
  <c r="E3316" i="11"/>
  <c r="E3281" i="11"/>
  <c r="E3249" i="11"/>
  <c r="E3211" i="11"/>
  <c r="E3190" i="11"/>
  <c r="E3151" i="11"/>
  <c r="E3113" i="11"/>
  <c r="E3068" i="11"/>
  <c r="E3042" i="11"/>
  <c r="E2997" i="11"/>
  <c r="E2944" i="11"/>
  <c r="E2916" i="11"/>
  <c r="E2861" i="11"/>
  <c r="E2786" i="11"/>
  <c r="E2746" i="11"/>
  <c r="E2669" i="11"/>
  <c r="E2590" i="11"/>
  <c r="E2547" i="11"/>
  <c r="E2468" i="11"/>
  <c r="E2425" i="11"/>
  <c r="E2341" i="11"/>
  <c r="E2260" i="11"/>
  <c r="E2218" i="11"/>
  <c r="E2133" i="11"/>
  <c r="E2090" i="11"/>
  <c r="E2008" i="11"/>
  <c r="E1962" i="11"/>
  <c r="E1885" i="11"/>
  <c r="E1839" i="11"/>
  <c r="E1755" i="11"/>
  <c r="E1713" i="11"/>
  <c r="E1632" i="11"/>
  <c r="E1586" i="11"/>
  <c r="E1506" i="11"/>
  <c r="E1462" i="11"/>
  <c r="E1378" i="11"/>
  <c r="E1337" i="11"/>
  <c r="E1251" i="11"/>
  <c r="E1209" i="11"/>
  <c r="E1161" i="11"/>
  <c r="E1082" i="11"/>
  <c r="E1035" i="11"/>
  <c r="E989" i="11"/>
  <c r="E901" i="11"/>
  <c r="E854" i="11"/>
  <c r="E804" i="11"/>
  <c r="E757" i="11"/>
  <c r="E664" i="11"/>
  <c r="E616" i="11"/>
  <c r="E573" i="11"/>
  <c r="E526" i="11"/>
  <c r="E482" i="11"/>
  <c r="E402" i="11"/>
  <c r="E363" i="11"/>
  <c r="E322" i="11"/>
  <c r="E286" i="11"/>
  <c r="E250" i="11"/>
  <c r="E217" i="11"/>
  <c r="E182" i="11"/>
  <c r="E149" i="11"/>
  <c r="E3317" i="11"/>
  <c r="E3282" i="11"/>
  <c r="E3250" i="11"/>
  <c r="E3212" i="11"/>
  <c r="E3191" i="11"/>
  <c r="E3152" i="11"/>
  <c r="E3114" i="11"/>
  <c r="E3089" i="11"/>
  <c r="E3043" i="11"/>
  <c r="E2998" i="11"/>
  <c r="E2945" i="11"/>
  <c r="E2917" i="11"/>
  <c r="E2862" i="11"/>
  <c r="E2787" i="11"/>
  <c r="E2747" i="11"/>
  <c r="E2670" i="11"/>
  <c r="E2591" i="11"/>
  <c r="E2548" i="11"/>
  <c r="E2469" i="11"/>
  <c r="E2426" i="11"/>
  <c r="E2342" i="11"/>
  <c r="E2261" i="11"/>
  <c r="E2219" i="11"/>
  <c r="E2134" i="11"/>
  <c r="E2091" i="11"/>
  <c r="E2009" i="11"/>
  <c r="E1963" i="11"/>
  <c r="E1886" i="11"/>
  <c r="E1840" i="11"/>
  <c r="E1756" i="11"/>
  <c r="E1714" i="11"/>
  <c r="E1633" i="11"/>
  <c r="E1587" i="11"/>
  <c r="E1507" i="11"/>
  <c r="E1463" i="11"/>
  <c r="E1379" i="11"/>
  <c r="E1338" i="11"/>
  <c r="E1252" i="11"/>
  <c r="E1210" i="11"/>
  <c r="E1162" i="11"/>
  <c r="E1083" i="11"/>
  <c r="E1036" i="11"/>
  <c r="E990" i="11"/>
  <c r="E902" i="11"/>
  <c r="E855" i="11"/>
  <c r="E805" i="11"/>
  <c r="E758" i="11"/>
  <c r="E665" i="11"/>
  <c r="E617" i="11"/>
  <c r="E574" i="11"/>
  <c r="E527" i="11"/>
  <c r="E483" i="11"/>
  <c r="E403" i="11"/>
  <c r="E364" i="11"/>
  <c r="E323" i="11"/>
  <c r="E287" i="11"/>
  <c r="E251" i="11"/>
  <c r="E218" i="11"/>
  <c r="E183" i="11"/>
  <c r="E150" i="11"/>
  <c r="E118" i="11"/>
  <c r="E3283" i="11"/>
  <c r="E3251" i="11"/>
  <c r="E3229" i="11"/>
  <c r="E3192" i="11"/>
  <c r="E3153" i="11"/>
  <c r="E3115" i="11"/>
  <c r="E3090" i="11"/>
  <c r="E3044" i="11"/>
  <c r="E2999" i="11"/>
  <c r="E2970" i="11"/>
  <c r="E2918" i="11"/>
  <c r="E2863" i="11"/>
  <c r="E2825" i="11"/>
  <c r="E2748" i="11"/>
  <c r="E2671" i="11"/>
  <c r="E2627" i="11"/>
  <c r="E2549" i="11"/>
  <c r="E2470" i="11"/>
  <c r="E2427" i="11"/>
  <c r="E2343" i="11"/>
  <c r="E2302" i="11"/>
  <c r="E2220" i="11"/>
  <c r="E2135" i="11"/>
  <c r="E2092" i="11"/>
  <c r="E2010" i="11"/>
  <c r="E1964" i="11"/>
  <c r="E1887" i="11"/>
  <c r="E1841" i="11"/>
  <c r="E1757" i="11"/>
  <c r="E1715" i="11"/>
  <c r="E1634" i="11"/>
  <c r="E1588" i="11"/>
  <c r="E1508" i="11"/>
  <c r="E1464" i="11"/>
  <c r="E1380" i="11"/>
  <c r="E1339" i="11"/>
  <c r="E1294" i="11"/>
  <c r="E1211" i="11"/>
  <c r="E1163" i="11"/>
  <c r="E1084" i="11"/>
  <c r="E1037" i="11"/>
  <c r="E991" i="11"/>
  <c r="E903" i="11"/>
  <c r="E856" i="11"/>
  <c r="E806" i="11"/>
  <c r="E759" i="11"/>
  <c r="E666" i="11"/>
  <c r="E618" i="11"/>
  <c r="E575" i="11"/>
  <c r="E528" i="11"/>
  <c r="E484" i="11"/>
  <c r="E404" i="11"/>
  <c r="E365" i="11"/>
  <c r="E324" i="11"/>
  <c r="E288" i="11"/>
  <c r="E252" i="11"/>
  <c r="E219" i="11"/>
  <c r="E184" i="11"/>
  <c r="E151" i="11"/>
  <c r="E119" i="11"/>
  <c r="E91" i="11"/>
  <c r="E3263" i="11"/>
  <c r="E3230" i="11"/>
  <c r="E3193" i="11"/>
  <c r="E3154" i="11"/>
  <c r="E3129" i="11"/>
  <c r="E3091" i="11"/>
  <c r="E3045" i="11"/>
  <c r="E3000" i="11"/>
  <c r="E2971" i="11"/>
  <c r="E2919" i="11"/>
  <c r="E2864" i="11"/>
  <c r="E2826" i="11"/>
  <c r="E2749" i="11"/>
  <c r="E2672" i="11"/>
  <c r="E2628" i="11"/>
  <c r="E2550" i="11"/>
  <c r="E2503" i="11"/>
  <c r="E2428" i="11"/>
  <c r="E2344" i="11"/>
  <c r="E2303" i="11"/>
  <c r="E2221" i="11"/>
  <c r="E2174" i="11"/>
  <c r="E2093" i="11"/>
  <c r="E2011" i="11"/>
  <c r="E1965" i="11"/>
  <c r="E1888" i="11"/>
  <c r="E1842" i="11"/>
  <c r="E1758" i="11"/>
  <c r="E1716" i="11"/>
  <c r="E1635" i="11"/>
  <c r="E1589" i="11"/>
  <c r="E1509" i="11"/>
  <c r="E1465" i="11"/>
  <c r="E1381" i="11"/>
  <c r="E1340" i="11"/>
  <c r="E1295" i="11"/>
  <c r="E1212" i="11"/>
  <c r="E1164" i="11"/>
  <c r="E1122" i="11"/>
  <c r="E1038" i="11"/>
  <c r="E992" i="11"/>
  <c r="E945" i="11"/>
  <c r="E857" i="11"/>
  <c r="E807" i="11"/>
  <c r="E760" i="11"/>
  <c r="E667" i="11"/>
  <c r="E619" i="11"/>
  <c r="E576" i="11"/>
  <c r="E529" i="11"/>
  <c r="E485" i="11"/>
  <c r="E405" i="11"/>
  <c r="E366" i="11"/>
  <c r="E325" i="11"/>
  <c r="E289" i="11"/>
  <c r="E253" i="11"/>
  <c r="E220" i="11"/>
  <c r="E185" i="11"/>
  <c r="E152" i="11"/>
  <c r="E120" i="11"/>
  <c r="E92" i="11"/>
  <c r="E67" i="11"/>
  <c r="E3231" i="11"/>
  <c r="E3194" i="11"/>
  <c r="E3172" i="11"/>
  <c r="E3130" i="11"/>
  <c r="E3092" i="11"/>
  <c r="E3046" i="11"/>
  <c r="E3019" i="11"/>
  <c r="E2972" i="11"/>
  <c r="E2920" i="11"/>
  <c r="E2890" i="11"/>
  <c r="E2827" i="11"/>
  <c r="E2750" i="11"/>
  <c r="E2706" i="11"/>
  <c r="E2629" i="11"/>
  <c r="E2551" i="11"/>
  <c r="E2504" i="11"/>
  <c r="E2429" i="11"/>
  <c r="E2382" i="11"/>
  <c r="E2304" i="11"/>
  <c r="E2222" i="11"/>
  <c r="E2175" i="11"/>
  <c r="E2094" i="11"/>
  <c r="E2048" i="11"/>
  <c r="E1966" i="11"/>
  <c r="E1921" i="11"/>
  <c r="E1843" i="11"/>
  <c r="E1796" i="11"/>
  <c r="E1717" i="11"/>
  <c r="E1672" i="11"/>
  <c r="E1590" i="11"/>
  <c r="E1546" i="11"/>
  <c r="E1466" i="11"/>
  <c r="E1419" i="11"/>
  <c r="E1341" i="11"/>
  <c r="E1296" i="11"/>
  <c r="E1213" i="11"/>
  <c r="E1165" i="11"/>
  <c r="E1123" i="11"/>
  <c r="E1039" i="11"/>
  <c r="E993" i="11"/>
  <c r="E946" i="11"/>
  <c r="E858" i="11"/>
  <c r="E808" i="11"/>
  <c r="E761" i="11"/>
  <c r="E707" i="11"/>
  <c r="E620" i="11"/>
  <c r="E577" i="11"/>
  <c r="E530" i="11"/>
  <c r="E486" i="11"/>
  <c r="E442" i="11"/>
  <c r="E367" i="11"/>
  <c r="E326" i="11"/>
  <c r="E290" i="11"/>
  <c r="E254" i="11"/>
  <c r="E221" i="11"/>
  <c r="E186" i="11"/>
  <c r="E153" i="11"/>
  <c r="E121" i="11"/>
  <c r="E93" i="11"/>
  <c r="E68" i="11"/>
  <c r="E44" i="11"/>
  <c r="E3213" i="11"/>
  <c r="E3173" i="11"/>
  <c r="E3131" i="11"/>
  <c r="E3093" i="11"/>
  <c r="E3069" i="11"/>
  <c r="E3020" i="11"/>
  <c r="E2973" i="11"/>
  <c r="E2946" i="11"/>
  <c r="E2891" i="11"/>
  <c r="E2828" i="11"/>
  <c r="E2788" i="11"/>
  <c r="E2707" i="11"/>
  <c r="E2630" i="11"/>
  <c r="E2592" i="11"/>
  <c r="E2505" i="11"/>
  <c r="E2430" i="11"/>
  <c r="E2383" i="11"/>
  <c r="E2305" i="11"/>
  <c r="E2262" i="11"/>
  <c r="E2176" i="11"/>
  <c r="E2095" i="11"/>
  <c r="E2049" i="11"/>
  <c r="E1967" i="11"/>
  <c r="E1922" i="11"/>
  <c r="E1844" i="11"/>
  <c r="E1797" i="11"/>
  <c r="E1718" i="11"/>
  <c r="E1673" i="11"/>
  <c r="E1591" i="11"/>
  <c r="E1547" i="11"/>
  <c r="E1467" i="11"/>
  <c r="E1420" i="11"/>
  <c r="E1382" i="11"/>
  <c r="E1297" i="11"/>
  <c r="E1253" i="11"/>
  <c r="E1166" i="11"/>
  <c r="E1124" i="11"/>
  <c r="E1085" i="11"/>
  <c r="E994" i="11"/>
  <c r="E947" i="11"/>
  <c r="E904" i="11"/>
  <c r="E809" i="11"/>
  <c r="E762" i="11"/>
  <c r="E708" i="11"/>
  <c r="E668" i="11"/>
  <c r="E578" i="11"/>
  <c r="E531" i="11"/>
  <c r="E487" i="11"/>
  <c r="E443" i="11"/>
  <c r="E406" i="11"/>
  <c r="E368" i="11"/>
  <c r="E291" i="11"/>
  <c r="E255" i="11"/>
  <c r="E222" i="11"/>
  <c r="E187" i="11"/>
  <c r="E154" i="11"/>
  <c r="E122" i="11"/>
  <c r="E94" i="11"/>
  <c r="E69" i="11"/>
  <c r="E45" i="11"/>
  <c r="E25" i="11"/>
  <c r="E3174" i="11"/>
  <c r="E3155" i="11"/>
  <c r="E3116" i="11"/>
  <c r="E3070" i="11"/>
  <c r="E3021" i="11"/>
  <c r="E3001" i="11"/>
  <c r="E2947" i="11"/>
  <c r="E2892" i="11"/>
  <c r="E2865" i="11"/>
  <c r="E2789" i="11"/>
  <c r="E2708" i="11"/>
  <c r="E2673" i="11"/>
  <c r="E2593" i="11"/>
  <c r="E2506" i="11"/>
  <c r="E2471" i="11"/>
  <c r="E2384" i="11"/>
  <c r="E2345" i="11"/>
  <c r="E2263" i="11"/>
  <c r="E2177" i="11"/>
  <c r="E2136" i="11"/>
  <c r="E2050" i="11"/>
  <c r="E2012" i="11"/>
  <c r="E1923" i="11"/>
  <c r="E1889" i="11"/>
  <c r="E1798" i="11"/>
  <c r="E1759" i="11"/>
  <c r="E1674" i="11"/>
  <c r="E1636" i="11"/>
  <c r="E1548" i="11"/>
  <c r="E1510" i="11"/>
  <c r="E1421" i="11"/>
  <c r="E1383" i="11"/>
  <c r="E1298" i="11"/>
  <c r="E1254" i="11"/>
  <c r="E1214" i="11"/>
  <c r="E1125" i="11"/>
  <c r="E1086" i="11"/>
  <c r="E1040" i="11"/>
  <c r="E948" i="11"/>
  <c r="E905" i="11"/>
  <c r="E859" i="11"/>
  <c r="E763" i="11"/>
  <c r="E709" i="11"/>
  <c r="E669" i="11"/>
  <c r="E621" i="11"/>
  <c r="E532" i="11"/>
  <c r="E488" i="11"/>
  <c r="E444" i="11"/>
  <c r="E407" i="11"/>
  <c r="E369" i="11"/>
  <c r="E327" i="11"/>
  <c r="E292" i="11"/>
  <c r="E256" i="11"/>
  <c r="E188" i="11"/>
  <c r="E155" i="11"/>
  <c r="E123" i="11"/>
  <c r="E124" i="11"/>
  <c r="E95" i="11"/>
  <c r="E70" i="11"/>
  <c r="E46" i="11"/>
  <c r="E26" i="11"/>
  <c r="E3156" i="11"/>
  <c r="E3117" i="11"/>
  <c r="E3071" i="11"/>
  <c r="E3047" i="11"/>
  <c r="E3002" i="11"/>
  <c r="E2948" i="11"/>
  <c r="E2921" i="11"/>
  <c r="E2866" i="11"/>
  <c r="E2790" i="11"/>
  <c r="E2751" i="11"/>
  <c r="E2674" i="11"/>
  <c r="E2594" i="11"/>
  <c r="E2552" i="11"/>
  <c r="E2472" i="11"/>
  <c r="E2431" i="11"/>
  <c r="E2346" i="11"/>
  <c r="E2264" i="11"/>
  <c r="E2223" i="11"/>
  <c r="E2137" i="11"/>
  <c r="E2096" i="11"/>
  <c r="E2013" i="11"/>
  <c r="E1968" i="11"/>
  <c r="E1890" i="11"/>
  <c r="E1799" i="11"/>
  <c r="E1760" i="11"/>
  <c r="E1675" i="11"/>
  <c r="E1637" i="11"/>
  <c r="E1592" i="11"/>
  <c r="E1511" i="11"/>
  <c r="E1468" i="11"/>
  <c r="E1384" i="11"/>
  <c r="E1342" i="11"/>
  <c r="E1255" i="11"/>
  <c r="E1215" i="11"/>
  <c r="E1167" i="11"/>
  <c r="E1087" i="11"/>
  <c r="E1041" i="11"/>
  <c r="E995" i="11"/>
  <c r="E906" i="11"/>
  <c r="E860" i="11"/>
  <c r="E810" i="11"/>
  <c r="E710" i="11"/>
  <c r="E670" i="11"/>
  <c r="E622" i="11"/>
  <c r="E579" i="11"/>
  <c r="E533" i="11"/>
  <c r="E445" i="11"/>
  <c r="E408" i="11"/>
  <c r="E370" i="11"/>
  <c r="E328" i="11"/>
  <c r="E293" i="11"/>
  <c r="E257" i="11"/>
  <c r="E223" i="11"/>
  <c r="E189" i="11"/>
  <c r="E156" i="11"/>
  <c r="E125" i="11"/>
  <c r="E96" i="11"/>
  <c r="E71" i="11"/>
  <c r="E47" i="11"/>
  <c r="E27" i="11"/>
  <c r="E9" i="11"/>
  <c r="E3132" i="11"/>
  <c r="E3094" i="11"/>
  <c r="E3048" i="11"/>
  <c r="E3022" i="11"/>
  <c r="E2974" i="11"/>
  <c r="E2922" i="11"/>
  <c r="E2867" i="11"/>
  <c r="E2829" i="11"/>
  <c r="E2752" i="11"/>
  <c r="E2709" i="11"/>
  <c r="E2631" i="11"/>
  <c r="E2553" i="11"/>
  <c r="E2507" i="11"/>
  <c r="E2432" i="11"/>
  <c r="E2347" i="11"/>
  <c r="E2306" i="11"/>
  <c r="E2224" i="11"/>
  <c r="E2178" i="11"/>
  <c r="E2097" i="11"/>
  <c r="E2051" i="11"/>
  <c r="E1969" i="11"/>
  <c r="E1891" i="11"/>
  <c r="E1845" i="11"/>
  <c r="E1761" i="11"/>
  <c r="E1719" i="11"/>
  <c r="E1638" i="11"/>
  <c r="E1593" i="11"/>
  <c r="E1549" i="11"/>
  <c r="E1469" i="11"/>
  <c r="E1422" i="11"/>
  <c r="E1343" i="11"/>
  <c r="E1299" i="11"/>
  <c r="E1216" i="11"/>
  <c r="E1168" i="11"/>
  <c r="E1126" i="11"/>
  <c r="E1042" i="11"/>
  <c r="E996" i="11"/>
  <c r="E949" i="11"/>
  <c r="E861" i="11"/>
  <c r="E811" i="11"/>
  <c r="E764" i="11"/>
  <c r="E711" i="11"/>
  <c r="E623" i="11"/>
  <c r="E580" i="11"/>
  <c r="E534" i="11"/>
  <c r="E489" i="11"/>
  <c r="E446" i="11"/>
  <c r="E409" i="11"/>
  <c r="E329" i="11"/>
  <c r="E294" i="11"/>
  <c r="E258" i="11"/>
  <c r="E224" i="11"/>
  <c r="E190" i="11"/>
  <c r="E157" i="11"/>
  <c r="E126" i="11"/>
  <c r="E97" i="11"/>
  <c r="E72" i="11"/>
  <c r="E48" i="11"/>
  <c r="E49" i="11"/>
  <c r="E28" i="11"/>
  <c r="E10" i="11"/>
  <c r="E3095" i="11"/>
  <c r="E3072" i="11"/>
  <c r="E3023" i="11"/>
  <c r="E2975" i="11"/>
  <c r="E2949" i="11"/>
  <c r="E2893" i="11"/>
  <c r="E2830" i="11"/>
  <c r="E2791" i="11"/>
  <c r="E2710" i="11"/>
  <c r="E2632" i="11"/>
  <c r="E2595" i="11"/>
  <c r="E2508" i="11"/>
  <c r="E2473" i="11"/>
  <c r="E2385" i="11"/>
  <c r="E2307" i="11"/>
  <c r="E2265" i="11"/>
  <c r="E2179" i="11"/>
  <c r="E2138" i="11"/>
  <c r="E2052" i="11"/>
  <c r="E1970" i="11"/>
  <c r="E1924" i="11"/>
  <c r="E1846" i="11"/>
  <c r="E1800" i="11"/>
  <c r="E1720" i="11"/>
  <c r="E1676" i="11"/>
  <c r="E1594" i="11"/>
  <c r="E1550" i="11"/>
  <c r="E1512" i="11"/>
  <c r="E1423" i="11"/>
  <c r="E1385" i="11"/>
  <c r="E1300" i="11"/>
  <c r="E1256" i="11"/>
  <c r="E1217" i="11"/>
  <c r="E1127" i="11"/>
  <c r="E1088" i="11"/>
  <c r="E1043" i="11"/>
  <c r="E950" i="11"/>
  <c r="E907" i="11"/>
  <c r="E862" i="11"/>
  <c r="E765" i="11"/>
  <c r="E712" i="11"/>
  <c r="E671" i="11"/>
  <c r="E624" i="11"/>
  <c r="E535" i="11"/>
  <c r="E490" i="11"/>
  <c r="E447" i="11"/>
  <c r="E410" i="11"/>
  <c r="E371" i="11"/>
  <c r="E330" i="11"/>
  <c r="E295" i="11"/>
  <c r="E259" i="11"/>
  <c r="E225" i="11"/>
  <c r="E191" i="11"/>
  <c r="E158" i="11"/>
  <c r="E127" i="11"/>
  <c r="E98" i="11"/>
  <c r="E73" i="11"/>
  <c r="E50" i="11"/>
  <c r="E29" i="11"/>
  <c r="E11" i="11"/>
  <c r="E2" i="11"/>
  <c r="J10" i="11" s="1"/>
  <c r="E3073" i="11"/>
  <c r="E3049" i="11"/>
  <c r="E3003" i="11"/>
  <c r="E2950" i="11"/>
  <c r="E2923" i="11"/>
  <c r="E2868" i="11"/>
  <c r="E2792" i="11"/>
  <c r="E2753" i="11"/>
  <c r="E2675" i="11"/>
  <c r="E2596" i="11"/>
  <c r="E2554" i="11"/>
  <c r="E2474" i="11"/>
  <c r="E2386" i="11"/>
  <c r="E2348" i="11"/>
  <c r="E2266" i="11"/>
  <c r="E2225" i="11"/>
  <c r="E2139" i="11"/>
  <c r="E2098" i="11"/>
  <c r="E2014" i="11"/>
  <c r="E1971" i="11"/>
  <c r="E1892" i="11"/>
  <c r="E1801" i="11"/>
  <c r="E1762" i="11"/>
  <c r="E1721" i="11"/>
  <c r="E1639" i="11"/>
  <c r="E1595" i="11"/>
  <c r="E1513" i="11"/>
  <c r="E1470" i="11"/>
  <c r="E1386" i="11"/>
  <c r="E1344" i="11"/>
  <c r="E1257" i="11"/>
  <c r="E1218" i="11"/>
  <c r="E1169" i="11"/>
  <c r="E1089" i="11"/>
  <c r="E1044" i="11"/>
  <c r="E997" i="11"/>
  <c r="E908" i="11"/>
  <c r="E863" i="11"/>
  <c r="E812" i="11"/>
  <c r="E766" i="11"/>
  <c r="E672" i="11"/>
  <c r="E625" i="11"/>
  <c r="E581" i="11"/>
  <c r="E536" i="11"/>
  <c r="E491" i="11"/>
  <c r="E448" i="11"/>
  <c r="E372" i="11"/>
  <c r="E331" i="11"/>
  <c r="E296" i="11"/>
  <c r="E260" i="11"/>
  <c r="E226" i="11"/>
  <c r="E192" i="11"/>
  <c r="E159" i="11"/>
  <c r="E128" i="11"/>
  <c r="E99" i="11"/>
  <c r="E74" i="11"/>
  <c r="E51" i="11"/>
  <c r="E52" i="11"/>
  <c r="E30" i="11"/>
  <c r="E12" i="11"/>
  <c r="E3" i="11"/>
  <c r="E3050" i="11"/>
  <c r="E3004" i="11"/>
  <c r="E2976" i="11"/>
  <c r="E2924" i="11"/>
  <c r="E2869" i="11"/>
  <c r="E2831" i="11"/>
  <c r="E2754" i="11"/>
  <c r="E2711" i="11"/>
  <c r="E2633" i="11"/>
  <c r="E2555" i="11"/>
  <c r="E2509" i="11"/>
  <c r="E2433" i="11"/>
  <c r="E2349" i="11"/>
  <c r="E2308" i="11"/>
  <c r="E2226" i="11"/>
  <c r="E2180" i="11"/>
  <c r="E2099" i="11"/>
  <c r="E2053" i="11"/>
  <c r="E1972" i="11"/>
  <c r="E1925" i="11"/>
  <c r="E1847" i="11"/>
  <c r="E1802" i="11"/>
  <c r="E1722" i="11"/>
  <c r="E1677" i="11"/>
  <c r="E1596" i="11"/>
  <c r="E1551" i="11"/>
  <c r="E1471" i="11"/>
  <c r="E1424" i="11"/>
  <c r="E1345" i="11"/>
  <c r="E1301" i="11"/>
  <c r="E1258" i="11"/>
  <c r="E1170" i="11"/>
  <c r="E1128" i="11"/>
  <c r="E1090" i="11"/>
  <c r="E998" i="11"/>
  <c r="E951" i="11"/>
  <c r="E909" i="11"/>
  <c r="E864" i="11"/>
  <c r="E767" i="11"/>
  <c r="E713" i="11"/>
  <c r="E673" i="11"/>
  <c r="E626" i="11"/>
  <c r="E537" i="11"/>
  <c r="E492" i="11"/>
  <c r="E449" i="11"/>
  <c r="E411" i="11"/>
  <c r="E373" i="11"/>
  <c r="E332" i="11"/>
  <c r="E297" i="11"/>
  <c r="E261" i="11"/>
  <c r="E227" i="11"/>
  <c r="E193" i="11"/>
  <c r="E160" i="11"/>
  <c r="E129" i="11"/>
  <c r="E100" i="11"/>
  <c r="E75" i="11"/>
  <c r="E53" i="11"/>
  <c r="E31" i="11"/>
  <c r="E32" i="11"/>
  <c r="E13" i="11"/>
  <c r="E4" i="11"/>
  <c r="E3024" i="11"/>
  <c r="E2977" i="11"/>
  <c r="E2951" i="11"/>
  <c r="E2894" i="11"/>
  <c r="E2832" i="11"/>
  <c r="E2793" i="11"/>
  <c r="E2712" i="11"/>
  <c r="E2676" i="11"/>
  <c r="E2597" i="11"/>
  <c r="E2510" i="11"/>
  <c r="E2475" i="11"/>
  <c r="E2387" i="11"/>
  <c r="E2350" i="11"/>
  <c r="E2267" i="11"/>
  <c r="E2181" i="11"/>
  <c r="E2140" i="11"/>
  <c r="E2054" i="11"/>
  <c r="E2015" i="11"/>
  <c r="E1926" i="11"/>
  <c r="E1893" i="11"/>
  <c r="E1803" i="11"/>
  <c r="E1763" i="11"/>
  <c r="E1678" i="11"/>
  <c r="E1640" i="11"/>
  <c r="E1552" i="11"/>
  <c r="E1514" i="11"/>
  <c r="E1472" i="11"/>
  <c r="E1387" i="11"/>
  <c r="E1346" i="11"/>
  <c r="E1259" i="11"/>
  <c r="E1219" i="11"/>
  <c r="E1171" i="11"/>
  <c r="E1091" i="11"/>
  <c r="E1045" i="11"/>
  <c r="E999" i="11"/>
  <c r="E910" i="11"/>
  <c r="E865" i="11"/>
  <c r="E813" i="11"/>
  <c r="E768" i="11"/>
  <c r="E714" i="11"/>
  <c r="E627" i="11"/>
  <c r="E582" i="11"/>
  <c r="E538" i="11"/>
  <c r="E493" i="11"/>
  <c r="E450" i="11"/>
  <c r="E412" i="11"/>
  <c r="E374" i="11"/>
  <c r="E333" i="11"/>
  <c r="E262" i="11"/>
  <c r="E228" i="11"/>
  <c r="E194" i="11"/>
  <c r="E195" i="11"/>
  <c r="E161" i="11"/>
  <c r="E130" i="11"/>
  <c r="E101" i="11"/>
  <c r="E76" i="11"/>
  <c r="E54" i="11"/>
  <c r="E33" i="11"/>
  <c r="E14" i="11"/>
  <c r="E15" i="11"/>
  <c r="E5" i="11"/>
  <c r="E3005" i="11"/>
  <c r="E2952" i="11"/>
  <c r="E2925" i="11"/>
  <c r="E2870" i="11"/>
  <c r="E2833" i="11"/>
  <c r="E2755" i="11"/>
  <c r="E2677" i="11"/>
  <c r="E2634" i="11"/>
  <c r="E2556" i="11"/>
  <c r="E2476" i="11"/>
  <c r="E2434" i="11"/>
  <c r="E2351" i="11"/>
  <c r="E2309" i="11"/>
  <c r="E2227" i="11"/>
  <c r="E2182" i="11"/>
  <c r="E2100" i="11"/>
  <c r="E2016" i="11"/>
  <c r="E1973" i="11"/>
  <c r="E1894" i="11"/>
  <c r="E1848" i="11"/>
  <c r="E1764" i="11"/>
  <c r="E1723" i="11"/>
  <c r="E1679" i="11"/>
  <c r="E1597" i="11"/>
  <c r="E1553" i="11"/>
  <c r="E1473" i="11"/>
  <c r="E1425" i="11"/>
  <c r="E1347" i="11"/>
  <c r="E1302" i="11"/>
  <c r="E1260" i="11"/>
  <c r="E1172" i="11"/>
  <c r="E1129" i="11"/>
  <c r="E1092" i="11"/>
  <c r="E1000" i="11"/>
  <c r="E952" i="11"/>
  <c r="E911" i="11"/>
  <c r="E866" i="11"/>
  <c r="E769" i="11"/>
  <c r="E715" i="11"/>
  <c r="E674" i="11"/>
  <c r="E628" i="11"/>
  <c r="E583" i="11"/>
  <c r="E539" i="11"/>
  <c r="E451" i="11"/>
  <c r="E413" i="11"/>
  <c r="E375" i="11"/>
  <c r="E334" i="11"/>
  <c r="E298" i="11"/>
  <c r="E263" i="11"/>
  <c r="E229" i="11"/>
  <c r="E196" i="11"/>
  <c r="E162" i="11"/>
  <c r="E131" i="11"/>
  <c r="E102" i="11"/>
  <c r="E103" i="11"/>
  <c r="E77" i="11"/>
  <c r="E55" i="11"/>
  <c r="E34" i="11"/>
  <c r="E16" i="11"/>
  <c r="E17" i="11"/>
  <c r="E6" i="11"/>
  <c r="E2978" i="11"/>
  <c r="E2953" i="11"/>
  <c r="E2895" i="11"/>
  <c r="E2834" i="11"/>
  <c r="E2794" i="11"/>
  <c r="E2713" i="11"/>
  <c r="E2635" i="11"/>
  <c r="E2598" i="11"/>
  <c r="E2511" i="11"/>
  <c r="E2477" i="11"/>
  <c r="E2388" i="11"/>
  <c r="E2310" i="11"/>
  <c r="E2268" i="11"/>
  <c r="E2183" i="11"/>
  <c r="E2141" i="11"/>
  <c r="E2055" i="11"/>
  <c r="E2017" i="11"/>
  <c r="E1927" i="11"/>
  <c r="E1895" i="11"/>
  <c r="E1804" i="11"/>
  <c r="E1765" i="11"/>
  <c r="E1680" i="11"/>
  <c r="E1641" i="11"/>
  <c r="E1554" i="11"/>
  <c r="E1515" i="11"/>
  <c r="E1474" i="11"/>
  <c r="E1388" i="11"/>
  <c r="E1348" i="11"/>
  <c r="E1303" i="11"/>
  <c r="E1220" i="11"/>
  <c r="E1173" i="11"/>
  <c r="E1130" i="11"/>
  <c r="E1046" i="11"/>
  <c r="E1001" i="11"/>
  <c r="E953" i="11"/>
  <c r="E867" i="11"/>
  <c r="E814" i="11"/>
  <c r="E770" i="11"/>
  <c r="E716" i="11"/>
  <c r="E675" i="11"/>
  <c r="E629" i="11"/>
  <c r="E540" i="11"/>
  <c r="E494" i="11"/>
  <c r="E452" i="11"/>
  <c r="E414" i="11"/>
  <c r="E376" i="11"/>
  <c r="E335" i="11"/>
  <c r="E299" i="11"/>
  <c r="E264" i="11"/>
  <c r="E230" i="11"/>
  <c r="E197" i="11"/>
  <c r="E163" i="11"/>
  <c r="E132" i="11"/>
  <c r="E104" i="11"/>
  <c r="E105" i="11"/>
  <c r="E78" i="11"/>
  <c r="E56" i="11"/>
  <c r="E35" i="11"/>
  <c r="E18" i="11"/>
  <c r="E19" i="11"/>
  <c r="E7" i="11"/>
  <c r="E2954" i="11"/>
  <c r="E2926" i="11"/>
  <c r="E2871" i="11"/>
  <c r="E2795" i="11"/>
  <c r="E2756" i="11"/>
  <c r="E2678" i="11"/>
  <c r="E2636" i="11"/>
  <c r="E2557" i="11"/>
  <c r="E2478" i="11"/>
  <c r="E2435" i="11"/>
  <c r="E2352" i="11"/>
  <c r="E2311" i="11"/>
  <c r="E2228" i="11"/>
  <c r="E2184" i="11"/>
  <c r="E2101" i="11"/>
  <c r="E2056" i="11"/>
  <c r="E1974" i="11"/>
  <c r="E1928" i="11"/>
  <c r="E1849" i="11"/>
  <c r="E1805" i="11"/>
  <c r="E1724" i="11"/>
  <c r="E1681" i="11"/>
  <c r="E1598" i="11"/>
  <c r="E1555" i="11"/>
  <c r="E1516" i="11"/>
  <c r="E1426" i="11"/>
  <c r="E1389" i="11"/>
  <c r="E1304" i="11"/>
  <c r="E1261" i="11"/>
  <c r="E1221" i="11"/>
  <c r="E1131" i="11"/>
  <c r="E1093" i="11"/>
  <c r="E1047" i="11"/>
  <c r="E1002" i="11"/>
  <c r="E912" i="11"/>
  <c r="E868" i="11"/>
  <c r="E815" i="11"/>
  <c r="E771" i="11"/>
  <c r="E717" i="11"/>
  <c r="E630" i="11"/>
  <c r="E584" i="11"/>
  <c r="E541" i="11"/>
  <c r="E495" i="11"/>
  <c r="E453" i="11"/>
  <c r="E415" i="11"/>
  <c r="E377" i="11"/>
  <c r="E336" i="11"/>
  <c r="E300" i="11"/>
  <c r="E265" i="11"/>
  <c r="E231" i="11"/>
  <c r="E198" i="11"/>
  <c r="E164" i="11"/>
  <c r="E133" i="11"/>
  <c r="E106" i="11"/>
  <c r="E107" i="11"/>
  <c r="E79" i="11"/>
  <c r="E57" i="11"/>
  <c r="E36" i="11"/>
  <c r="E37" i="11"/>
  <c r="E20" i="11"/>
  <c r="E8" i="11"/>
  <c r="E2955" i="11"/>
  <c r="E2896" i="11"/>
  <c r="E2835" i="11"/>
  <c r="E2796" i="11"/>
  <c r="E2714" i="11"/>
  <c r="E2637" i="11"/>
  <c r="E2599" i="11"/>
  <c r="E2512" i="11"/>
  <c r="E2479" i="11"/>
  <c r="E2389" i="11"/>
  <c r="E2353" i="11"/>
  <c r="E2269" i="11"/>
  <c r="E2185" i="11"/>
  <c r="E2142" i="11"/>
  <c r="E2057" i="11"/>
  <c r="E2018" i="11"/>
  <c r="E1929" i="11"/>
  <c r="E1896" i="11"/>
  <c r="E1850" i="11"/>
  <c r="E1766" i="11"/>
  <c r="E1725" i="11"/>
  <c r="E1642" i="11"/>
  <c r="E1599" i="11"/>
  <c r="E1517" i="11"/>
  <c r="E1475" i="11"/>
  <c r="E1427" i="11"/>
  <c r="E1349" i="11"/>
  <c r="E1305" i="11"/>
  <c r="E1262" i="11"/>
  <c r="E1174" i="11"/>
  <c r="E1132" i="11"/>
  <c r="E1094" i="11"/>
  <c r="E1048" i="11"/>
  <c r="E954" i="11"/>
  <c r="E913" i="11"/>
  <c r="E869" i="11"/>
  <c r="E816" i="11"/>
  <c r="E718" i="11"/>
  <c r="E676" i="11"/>
  <c r="E631" i="11"/>
  <c r="E585" i="11"/>
  <c r="E542" i="11"/>
  <c r="E496" i="11"/>
  <c r="E454" i="11"/>
  <c r="E416" i="11"/>
  <c r="E378" i="11"/>
  <c r="E337" i="11"/>
  <c r="E301" i="11"/>
  <c r="E266" i="11"/>
  <c r="E232" i="11"/>
  <c r="E199" i="11"/>
  <c r="E165" i="11"/>
  <c r="E134" i="11"/>
  <c r="E135" i="11"/>
  <c r="E108" i="11"/>
  <c r="E80" i="11"/>
  <c r="E58" i="11"/>
  <c r="E59" i="11"/>
  <c r="E38" i="11"/>
  <c r="E21" i="11"/>
  <c r="E22" i="11"/>
  <c r="E2927" i="11"/>
  <c r="E2872" i="11"/>
  <c r="E2836" i="11"/>
  <c r="E2757" i="11"/>
  <c r="E2679" i="11"/>
  <c r="E2638" i="11"/>
  <c r="E2558" i="11"/>
  <c r="E2513" i="11"/>
  <c r="E2436" i="11"/>
  <c r="E2354" i="11"/>
  <c r="E2312" i="11"/>
  <c r="E2229" i="11"/>
  <c r="E2186" i="11"/>
  <c r="E2102" i="11"/>
  <c r="E2058" i="11"/>
  <c r="E1975" i="11"/>
  <c r="E1930" i="11"/>
  <c r="E1851" i="11"/>
  <c r="E1806" i="11"/>
  <c r="E1767" i="11"/>
  <c r="E1682" i="11"/>
  <c r="E1643" i="11"/>
  <c r="E1556" i="11"/>
  <c r="E1518" i="11"/>
  <c r="E1476" i="11"/>
  <c r="E1390" i="11"/>
  <c r="E1350" i="11"/>
  <c r="E1306" i="11"/>
  <c r="E1222" i="11"/>
  <c r="E1175" i="11"/>
  <c r="E1133" i="11"/>
  <c r="E1049" i="11"/>
  <c r="E1003" i="11"/>
  <c r="E955" i="11"/>
  <c r="E914" i="11"/>
  <c r="E870" i="11"/>
  <c r="E772" i="11"/>
  <c r="E719" i="11"/>
  <c r="E677" i="11"/>
  <c r="E632" i="11"/>
  <c r="E586" i="11"/>
  <c r="E543" i="11"/>
  <c r="E497" i="11"/>
  <c r="E455" i="11"/>
  <c r="E417" i="11"/>
  <c r="E379" i="11"/>
  <c r="E338" i="11"/>
  <c r="E302" i="11"/>
  <c r="E267" i="11"/>
  <c r="E233" i="11"/>
  <c r="E200" i="11"/>
  <c r="E166" i="11"/>
  <c r="E167" i="11"/>
  <c r="E136" i="11"/>
  <c r="E109" i="11"/>
  <c r="E81" i="11"/>
  <c r="E82" i="11"/>
  <c r="E60" i="11"/>
  <c r="E39" i="11"/>
  <c r="E40" i="11"/>
  <c r="E23" i="11"/>
  <c r="E2897" i="11"/>
  <c r="E2837" i="11"/>
  <c r="E2797" i="11"/>
  <c r="E2715" i="11"/>
  <c r="E2680" i="11"/>
  <c r="E2600" i="11"/>
  <c r="E2559" i="11"/>
  <c r="E2480" i="11"/>
  <c r="E2390" i="11"/>
  <c r="E2355" i="11"/>
  <c r="E2270" i="11"/>
  <c r="E2230" i="11"/>
  <c r="E2143" i="11"/>
  <c r="E2103" i="11"/>
  <c r="E2019" i="11"/>
  <c r="E1976" i="11"/>
  <c r="E1897" i="11"/>
  <c r="E1852" i="11"/>
  <c r="E1807" i="11"/>
  <c r="E1726" i="11"/>
  <c r="E1683" i="11"/>
  <c r="E1600" i="11"/>
  <c r="E1557" i="11"/>
  <c r="E1519" i="11"/>
  <c r="E1428" i="11"/>
  <c r="E1391" i="11"/>
  <c r="E1351" i="11"/>
  <c r="E1263" i="11"/>
  <c r="E1223" i="11"/>
  <c r="E1176" i="11"/>
  <c r="E1134" i="11"/>
  <c r="E1050" i="11"/>
  <c r="E1004" i="11"/>
  <c r="E956" i="11"/>
  <c r="E915" i="11"/>
  <c r="E817" i="11"/>
  <c r="E773" i="11"/>
  <c r="E720" i="11"/>
  <c r="E678" i="11"/>
  <c r="E633" i="11"/>
  <c r="E587" i="11"/>
  <c r="E544" i="11"/>
  <c r="E498" i="11"/>
  <c r="E456" i="11"/>
  <c r="E418" i="11"/>
  <c r="E380" i="11"/>
  <c r="E339" i="11"/>
  <c r="E303" i="11"/>
  <c r="E268" i="11"/>
  <c r="E234" i="11"/>
  <c r="E201" i="11"/>
  <c r="E202" i="11"/>
  <c r="E168" i="11"/>
  <c r="E137" i="11"/>
  <c r="E110" i="11"/>
  <c r="E111" i="11"/>
  <c r="E83" i="11"/>
  <c r="E61" i="11"/>
  <c r="E62" i="11"/>
  <c r="E41" i="11"/>
  <c r="E24" i="11"/>
  <c r="E2873" i="11"/>
  <c r="E2838" i="11"/>
  <c r="E2758" i="11"/>
  <c r="E2716" i="11"/>
  <c r="E2639" i="11"/>
  <c r="E2601" i="11"/>
  <c r="E2514" i="11"/>
  <c r="E2437" i="11"/>
  <c r="E2391" i="11"/>
  <c r="E2313" i="11"/>
  <c r="E2271" i="11"/>
  <c r="E2187" i="11"/>
  <c r="E2144" i="11"/>
  <c r="E2059" i="11"/>
  <c r="E2020" i="11"/>
  <c r="E1977" i="11"/>
  <c r="E1898" i="11"/>
  <c r="E1853" i="11"/>
  <c r="E1768" i="11"/>
  <c r="E1727" i="11"/>
  <c r="E1644" i="11"/>
  <c r="E1601" i="11"/>
  <c r="E1558" i="11"/>
  <c r="E1477" i="11"/>
  <c r="E1429" i="11"/>
  <c r="E1392" i="11"/>
  <c r="E1307" i="11"/>
  <c r="E1264" i="11"/>
  <c r="E1224" i="11"/>
  <c r="E1177" i="11"/>
  <c r="E1095" i="11"/>
  <c r="E1051" i="11"/>
  <c r="E1005" i="11"/>
  <c r="E957" i="11"/>
  <c r="E916" i="11"/>
  <c r="E818" i="11"/>
  <c r="E774" i="11"/>
  <c r="E721" i="11"/>
  <c r="E679" i="11"/>
  <c r="E634" i="11"/>
  <c r="E588" i="11"/>
  <c r="E545" i="11"/>
  <c r="E499" i="11"/>
  <c r="E457" i="11"/>
  <c r="E419" i="11"/>
  <c r="E381" i="11"/>
  <c r="E340" i="11"/>
  <c r="E304" i="11"/>
  <c r="E269" i="11"/>
  <c r="E270" i="11"/>
  <c r="E235" i="11"/>
  <c r="E203" i="11"/>
  <c r="E169" i="11"/>
  <c r="E138" i="11"/>
  <c r="E139" i="11"/>
  <c r="E112" i="11"/>
  <c r="E84" i="11"/>
  <c r="E85" i="11"/>
  <c r="E63" i="11"/>
  <c r="E42" i="11"/>
  <c r="E43" i="11"/>
  <c r="E2874" i="11"/>
  <c r="E2798" i="11"/>
  <c r="E2759" i="11"/>
  <c r="E2681" i="11"/>
  <c r="E2640" i="11"/>
  <c r="E2560" i="11"/>
  <c r="E2515" i="11"/>
  <c r="E2438" i="11"/>
  <c r="E2356" i="11"/>
  <c r="E2314" i="11"/>
  <c r="E2231" i="11"/>
  <c r="E2188" i="11"/>
  <c r="E2145" i="11"/>
  <c r="E2060" i="11"/>
  <c r="E2021" i="11"/>
  <c r="E1931" i="11"/>
  <c r="E1899" i="11"/>
  <c r="E1808" i="11"/>
  <c r="E1769" i="11"/>
  <c r="E1728" i="11"/>
  <c r="E1645" i="11"/>
  <c r="E1602" i="11"/>
  <c r="E1520" i="11"/>
  <c r="E1478" i="11"/>
  <c r="E1430" i="11"/>
  <c r="E1393" i="11"/>
  <c r="E1308" i="11"/>
  <c r="E1265" i="11"/>
  <c r="E1225" i="11"/>
  <c r="E1178" i="11"/>
  <c r="E1096" i="11"/>
  <c r="E1052" i="11"/>
  <c r="E1006" i="11"/>
  <c r="E958" i="11"/>
  <c r="E917" i="11"/>
  <c r="E819" i="11"/>
  <c r="E775" i="11"/>
  <c r="E722" i="11"/>
  <c r="E680" i="11"/>
  <c r="E635" i="11"/>
  <c r="E589" i="11"/>
  <c r="E546" i="11"/>
  <c r="E500" i="11"/>
  <c r="E458" i="11"/>
  <c r="E420" i="11"/>
  <c r="E382" i="11"/>
  <c r="E341" i="11"/>
  <c r="E342" i="11"/>
  <c r="E305" i="11"/>
  <c r="E271" i="11"/>
  <c r="E236" i="11"/>
  <c r="E204" i="11"/>
  <c r="E205" i="11"/>
  <c r="E170" i="11"/>
  <c r="E140" i="11"/>
  <c r="E141" i="11"/>
  <c r="E113" i="11"/>
  <c r="E86" i="11"/>
  <c r="E87" i="11"/>
  <c r="E64" i="11"/>
  <c r="E65" i="11"/>
  <c r="E2839" i="11"/>
  <c r="E2799" i="11"/>
  <c r="E2717" i="11"/>
  <c r="E2682" i="11"/>
  <c r="E2602" i="11"/>
  <c r="E2561" i="11"/>
  <c r="E2481" i="11"/>
  <c r="E2439" i="11"/>
  <c r="E2357" i="11"/>
  <c r="E2315" i="11"/>
  <c r="E2232" i="11"/>
  <c r="E2189" i="11"/>
  <c r="E2104" i="11"/>
  <c r="E2061" i="11"/>
  <c r="E1978" i="11"/>
  <c r="E1932" i="11"/>
  <c r="E1854" i="11"/>
  <c r="E1809" i="11"/>
  <c r="E1770" i="11"/>
  <c r="E1684" i="11"/>
  <c r="E1646" i="11"/>
  <c r="E1603" i="11"/>
  <c r="E1521" i="11"/>
  <c r="E1479" i="11"/>
  <c r="E1431" i="11"/>
  <c r="E1352" i="11"/>
  <c r="E1309" i="11"/>
  <c r="E1266" i="11"/>
  <c r="E1226" i="11"/>
  <c r="E1179" i="11"/>
  <c r="E1097" i="11"/>
  <c r="E1053" i="11"/>
  <c r="E1007" i="11"/>
  <c r="E959" i="11"/>
  <c r="E918" i="11"/>
  <c r="E871" i="11"/>
  <c r="E820" i="11"/>
  <c r="E723" i="11"/>
  <c r="E681" i="11"/>
  <c r="E636" i="11"/>
  <c r="E590" i="11"/>
  <c r="E547" i="11"/>
  <c r="E501" i="11"/>
  <c r="E502" i="11"/>
  <c r="E459" i="11"/>
  <c r="E421" i="11"/>
  <c r="E383" i="11"/>
  <c r="E343" i="11"/>
  <c r="E306" i="11"/>
  <c r="E272" i="11"/>
  <c r="E273" i="11"/>
  <c r="E237" i="11"/>
  <c r="E206" i="11"/>
  <c r="E171" i="11"/>
  <c r="E172" i="11"/>
  <c r="E142" i="11"/>
  <c r="E143" i="11"/>
  <c r="E114" i="11"/>
  <c r="E88" i="11"/>
  <c r="E89" i="11"/>
  <c r="E66" i="11"/>
  <c r="E2840" i="11"/>
  <c r="E2760" i="11"/>
  <c r="E2718" i="11"/>
  <c r="E2641" i="11"/>
  <c r="E2603" i="11"/>
  <c r="E2516" i="11"/>
  <c r="E2482" i="11"/>
  <c r="E2392" i="11"/>
  <c r="E2358" i="11"/>
  <c r="E2272" i="11"/>
  <c r="E2233" i="11"/>
  <c r="E2146" i="11"/>
  <c r="E2105" i="11"/>
  <c r="E2062" i="11"/>
  <c r="E1979" i="11"/>
  <c r="E1933" i="11"/>
  <c r="E1855" i="11"/>
  <c r="E1810" i="11"/>
  <c r="E1771" i="11"/>
  <c r="E1685" i="11"/>
  <c r="E1647" i="11"/>
  <c r="E1604" i="11"/>
  <c r="E1522" i="11"/>
  <c r="E1480" i="11"/>
  <c r="E1432" i="11"/>
  <c r="E1353" i="11"/>
  <c r="E1310" i="11"/>
  <c r="E1267" i="11"/>
  <c r="E1227" i="11"/>
  <c r="E1180" i="11"/>
  <c r="E1098" i="11"/>
  <c r="E1054" i="11"/>
  <c r="E1008" i="11"/>
  <c r="E960" i="11"/>
  <c r="E919" i="11"/>
  <c r="E872" i="11"/>
  <c r="E821" i="11"/>
  <c r="E776" i="11"/>
  <c r="E724" i="11"/>
  <c r="E682" i="11"/>
  <c r="E637" i="11"/>
  <c r="E591" i="11"/>
  <c r="E548" i="11"/>
  <c r="E503" i="11"/>
  <c r="E460" i="11"/>
  <c r="E422" i="11"/>
  <c r="E384" i="11"/>
  <c r="E385" i="11"/>
  <c r="E344" i="11"/>
  <c r="E307" i="11"/>
  <c r="E274" i="11"/>
  <c r="E238" i="11"/>
  <c r="E239" i="11"/>
  <c r="E207" i="11"/>
  <c r="E173" i="11"/>
  <c r="E174" i="11"/>
  <c r="E144" i="11"/>
  <c r="E145" i="11"/>
  <c r="E115" i="11"/>
  <c r="E116" i="11"/>
  <c r="E90" i="11"/>
  <c r="E2841" i="11"/>
  <c r="E2761" i="11"/>
  <c r="E2719" i="11"/>
  <c r="E2642" i="11"/>
  <c r="E2562" i="11"/>
  <c r="E2517" i="11"/>
  <c r="E2440" i="11"/>
  <c r="E2393" i="11"/>
  <c r="E2359" i="11"/>
  <c r="E2273" i="11"/>
  <c r="E2234" i="11"/>
  <c r="E2147" i="11"/>
  <c r="E2106" i="11"/>
  <c r="E2022" i="11"/>
  <c r="E1980" i="11"/>
  <c r="E1934" i="11"/>
  <c r="E1856" i="11"/>
  <c r="E1811" i="11"/>
  <c r="E1729" i="11"/>
  <c r="E1686" i="11"/>
  <c r="E1648" i="11"/>
  <c r="E1605" i="11"/>
  <c r="E1523" i="11"/>
  <c r="E1481" i="11"/>
  <c r="E1433" i="11"/>
  <c r="E1394" i="11"/>
  <c r="E1311" i="11"/>
  <c r="E1268" i="11"/>
  <c r="E1228" i="11"/>
  <c r="E1181" i="11"/>
  <c r="E1135" i="11"/>
  <c r="E1055" i="11"/>
  <c r="E1009" i="11"/>
  <c r="E961" i="11"/>
  <c r="E920" i="11"/>
  <c r="E873" i="11"/>
  <c r="E822" i="11"/>
  <c r="E777" i="11"/>
  <c r="E725" i="11"/>
  <c r="E683" i="11"/>
  <c r="E638" i="11"/>
  <c r="E592" i="11"/>
  <c r="E549" i="11"/>
  <c r="E504" i="11"/>
  <c r="E505" i="11"/>
  <c r="E461" i="11"/>
  <c r="E423" i="11"/>
  <c r="E386" i="11"/>
  <c r="E345" i="11"/>
  <c r="E346" i="11"/>
  <c r="E308" i="11"/>
  <c r="E275" i="11"/>
  <c r="E240" i="11"/>
  <c r="E241" i="11"/>
  <c r="E208" i="11"/>
  <c r="E209" i="11"/>
  <c r="E175" i="11"/>
  <c r="E176" i="11"/>
  <c r="E146" i="11"/>
  <c r="E147" i="11"/>
  <c r="E117" i="11"/>
  <c r="E2800" i="11"/>
  <c r="E2762" i="11"/>
  <c r="E2683" i="11"/>
  <c r="E2643" i="11"/>
  <c r="E2563" i="11"/>
  <c r="E2518" i="11"/>
  <c r="E2441" i="11"/>
  <c r="E2394" i="11"/>
  <c r="E2316" i="11"/>
  <c r="E2274" i="11"/>
  <c r="E2190" i="11"/>
  <c r="E2148" i="11"/>
  <c r="E2107" i="11"/>
  <c r="E2023" i="11"/>
  <c r="E1981" i="11"/>
  <c r="E1935" i="11"/>
  <c r="E1857" i="11"/>
  <c r="E1812" i="11"/>
  <c r="E1730" i="11"/>
  <c r="E1687" i="11"/>
  <c r="E1649" i="11"/>
  <c r="E1606" i="11"/>
  <c r="E1524" i="11"/>
  <c r="E1482" i="11"/>
  <c r="E1434" i="11"/>
  <c r="E1395" i="11"/>
  <c r="E1312" i="11"/>
  <c r="E1269" i="11"/>
  <c r="E1229" i="11"/>
  <c r="E1182" i="11"/>
  <c r="E1136" i="11"/>
  <c r="E1099" i="11"/>
  <c r="E1056" i="11"/>
  <c r="E1010" i="11"/>
  <c r="E962" i="11"/>
  <c r="E874" i="11"/>
  <c r="E823" i="11"/>
  <c r="E778" i="11"/>
  <c r="E726" i="11"/>
  <c r="E727" i="11"/>
  <c r="E684" i="11"/>
  <c r="E639" i="11"/>
  <c r="E593" i="11"/>
  <c r="E550" i="11"/>
  <c r="E506" i="11"/>
  <c r="E462" i="11"/>
  <c r="E463" i="11"/>
  <c r="E424" i="11"/>
  <c r="E387" i="11"/>
  <c r="E347" i="11"/>
  <c r="E348" i="11"/>
  <c r="E309" i="11"/>
  <c r="E276" i="11"/>
  <c r="E277" i="11"/>
  <c r="E242" i="11"/>
  <c r="E243" i="11"/>
  <c r="E210" i="11"/>
  <c r="E177" i="11"/>
  <c r="E178" i="11"/>
  <c r="E179" i="11"/>
  <c r="E148" i="11"/>
  <c r="E2801" i="11"/>
  <c r="E2763" i="11"/>
  <c r="E2684" i="11"/>
  <c r="E2644" i="11"/>
  <c r="E2564" i="11"/>
  <c r="E2519" i="11"/>
  <c r="E2442" i="11"/>
  <c r="E2395" i="11"/>
  <c r="E2317" i="11"/>
  <c r="E2275" i="11"/>
  <c r="E2191" i="11"/>
  <c r="E2149" i="11"/>
  <c r="E2108" i="11"/>
  <c r="E2024" i="11"/>
  <c r="E1982" i="11"/>
  <c r="E1936" i="11"/>
  <c r="E1858" i="11"/>
  <c r="E1813" i="11"/>
  <c r="E1772" i="11"/>
  <c r="E1688" i="11"/>
  <c r="E1650" i="11"/>
  <c r="E1607" i="11"/>
  <c r="E1559" i="11"/>
  <c r="E1483" i="11"/>
  <c r="E1435" i="11"/>
  <c r="E1396" i="11"/>
  <c r="E1354" i="11"/>
  <c r="E1313" i="11"/>
  <c r="E1230" i="11"/>
  <c r="E1183" i="11"/>
  <c r="E1137" i="11"/>
  <c r="E1100" i="11"/>
  <c r="E1057" i="11"/>
  <c r="E1011" i="11"/>
  <c r="E963" i="11"/>
  <c r="E921" i="11"/>
  <c r="E875" i="11"/>
  <c r="E824" i="11"/>
  <c r="E779" i="11"/>
  <c r="E728" i="11"/>
  <c r="E685" i="11"/>
  <c r="E640" i="11"/>
  <c r="E594" i="11"/>
  <c r="E595" i="11"/>
  <c r="E551" i="11"/>
  <c r="E507" i="11"/>
  <c r="E464" i="11"/>
  <c r="E465" i="11"/>
  <c r="E425" i="11"/>
  <c r="E388" i="11"/>
  <c r="E349" i="11"/>
  <c r="E350" i="11"/>
  <c r="E310" i="11"/>
  <c r="E311" i="11"/>
  <c r="E278" i="11"/>
  <c r="E244" i="11"/>
  <c r="E245" i="11"/>
  <c r="E211" i="11"/>
  <c r="E212" i="11"/>
  <c r="E213" i="11"/>
  <c r="E180" i="11"/>
  <c r="E2802" i="11"/>
  <c r="E2720" i="11"/>
  <c r="E2685" i="11"/>
  <c r="E2604" i="11"/>
  <c r="E2565" i="11"/>
  <c r="E2520" i="11"/>
  <c r="E2443" i="11"/>
  <c r="E2396" i="11"/>
  <c r="E2318" i="11"/>
  <c r="E2276" i="11"/>
  <c r="E2192" i="11"/>
  <c r="E2150" i="11"/>
  <c r="E2109" i="11"/>
  <c r="E2025" i="11"/>
  <c r="E1983" i="11"/>
  <c r="E1937" i="11"/>
  <c r="E1859" i="11"/>
  <c r="E1814" i="11"/>
  <c r="E1773" i="11"/>
  <c r="E1689" i="11"/>
  <c r="E1651" i="11"/>
  <c r="E1608" i="11"/>
  <c r="E1560" i="11"/>
  <c r="E1525" i="11"/>
  <c r="E1436" i="11"/>
  <c r="E1397" i="11"/>
  <c r="E1355" i="11"/>
  <c r="E1314" i="11"/>
  <c r="E1270" i="11"/>
  <c r="E1231" i="11"/>
  <c r="E1184" i="11"/>
  <c r="E1138" i="11"/>
  <c r="E1058" i="11"/>
  <c r="E1012" i="11"/>
  <c r="E964" i="11"/>
  <c r="E922" i="11"/>
  <c r="E876" i="11"/>
  <c r="E877" i="11"/>
  <c r="E825" i="11"/>
  <c r="E780" i="11"/>
  <c r="E729" i="11"/>
  <c r="E686" i="11"/>
  <c r="E641" i="11"/>
  <c r="E596" i="11"/>
  <c r="E597" i="11"/>
  <c r="E552" i="11"/>
  <c r="E508" i="11"/>
  <c r="E466" i="11"/>
  <c r="E467" i="11"/>
  <c r="E426" i="11"/>
  <c r="E389" i="11"/>
  <c r="E390" i="11"/>
  <c r="E351" i="11"/>
  <c r="E352" i="11"/>
  <c r="E312" i="11"/>
  <c r="E313" i="11"/>
  <c r="E279" i="11"/>
  <c r="E280" i="11"/>
  <c r="E246" i="11"/>
  <c r="E247" i="11"/>
  <c r="E214" i="11"/>
  <c r="E2803" i="11"/>
  <c r="E2721" i="11"/>
  <c r="E2686" i="11"/>
  <c r="E2605" i="11"/>
  <c r="E2566" i="11"/>
  <c r="E2483" i="11"/>
  <c r="E2444" i="11"/>
  <c r="E2397" i="11"/>
  <c r="E2319" i="11"/>
  <c r="E2277" i="11"/>
  <c r="E2193" i="11"/>
  <c r="E2151" i="11"/>
  <c r="E2110" i="11"/>
  <c r="E2026" i="11"/>
  <c r="E1984" i="11"/>
  <c r="E1938" i="11"/>
  <c r="E1860" i="11"/>
  <c r="E1815" i="11"/>
  <c r="E1774" i="11"/>
  <c r="E1731" i="11"/>
  <c r="E1652" i="11"/>
  <c r="E1609" i="11"/>
  <c r="E1561" i="11"/>
  <c r="E1526" i="11"/>
  <c r="E1484" i="11"/>
  <c r="E1437" i="11"/>
  <c r="E1356" i="11"/>
  <c r="E1315" i="11"/>
  <c r="E1271" i="11"/>
  <c r="E1232" i="11"/>
  <c r="E1185" i="11"/>
  <c r="E1139" i="11"/>
  <c r="E1101" i="11"/>
  <c r="E1059" i="11"/>
  <c r="E1013" i="11"/>
  <c r="E965" i="11"/>
  <c r="E923" i="11"/>
  <c r="E878" i="11"/>
  <c r="E826" i="11"/>
  <c r="E781" i="11"/>
  <c r="E782" i="11"/>
  <c r="E730" i="11"/>
  <c r="E687" i="11"/>
  <c r="E642" i="11"/>
  <c r="E598" i="11"/>
  <c r="E599" i="11"/>
  <c r="E553" i="11"/>
  <c r="E509" i="11"/>
  <c r="E510" i="11"/>
  <c r="E468" i="11"/>
  <c r="E427" i="11"/>
  <c r="E428" i="11"/>
  <c r="E391" i="11"/>
  <c r="E392" i="11"/>
  <c r="E353" i="11"/>
  <c r="E354" i="11"/>
  <c r="E314" i="11"/>
  <c r="E315" i="11"/>
  <c r="E281" i="11"/>
  <c r="E282" i="11"/>
  <c r="E283" i="11"/>
  <c r="E2804" i="11"/>
  <c r="E2722" i="11"/>
  <c r="E2687" i="11"/>
  <c r="E2606" i="11"/>
  <c r="E2567" i="11"/>
  <c r="E2521" i="11"/>
  <c r="E2445" i="11"/>
  <c r="E2398" i="11"/>
  <c r="E2320" i="11"/>
  <c r="E2278" i="11"/>
  <c r="E2235" i="11"/>
  <c r="E2152" i="11"/>
  <c r="E2111" i="11"/>
  <c r="E2063" i="11"/>
  <c r="E1985" i="11"/>
  <c r="E1939" i="11"/>
  <c r="E1900" i="11"/>
  <c r="E1816" i="11"/>
  <c r="E1775" i="11"/>
  <c r="E1732" i="11"/>
  <c r="E1690" i="11"/>
  <c r="E1653" i="11"/>
  <c r="E1562" i="11"/>
  <c r="E1527" i="11"/>
  <c r="E1485" i="11"/>
  <c r="E1438" i="11"/>
  <c r="E1398" i="11"/>
  <c r="E1357" i="11"/>
  <c r="E1316" i="11"/>
  <c r="E1272" i="11"/>
  <c r="E1233" i="11"/>
  <c r="E1186" i="11"/>
  <c r="E1140" i="11"/>
  <c r="E1102" i="11"/>
  <c r="E1060" i="11"/>
  <c r="E1014" i="11"/>
  <c r="E966" i="11"/>
  <c r="E924" i="11"/>
  <c r="E879" i="11"/>
  <c r="E827" i="11"/>
  <c r="E783" i="11"/>
  <c r="E784" i="11"/>
  <c r="E731" i="11"/>
  <c r="E688" i="11"/>
  <c r="E643" i="11"/>
  <c r="E644" i="11"/>
  <c r="E600" i="11"/>
  <c r="E554" i="11"/>
  <c r="E555" i="11"/>
  <c r="E511" i="11"/>
  <c r="E469" i="11"/>
  <c r="E470" i="11"/>
  <c r="E429" i="11"/>
  <c r="E430" i="11"/>
  <c r="E393" i="11"/>
  <c r="E394" i="11"/>
  <c r="E355" i="11"/>
  <c r="E356" i="11"/>
  <c r="E357" i="11"/>
  <c r="E316" i="11"/>
  <c r="E317" i="11"/>
  <c r="E2805" i="11"/>
  <c r="E2723" i="11"/>
  <c r="E2688" i="11"/>
  <c r="E2607" i="11"/>
  <c r="E2568" i="11"/>
  <c r="E2522" i="11"/>
  <c r="E2446" i="11"/>
  <c r="E2399" i="11"/>
  <c r="E2321" i="11"/>
  <c r="E2279" i="11"/>
  <c r="E2236" i="11"/>
  <c r="E2153" i="11"/>
  <c r="E2112" i="11"/>
  <c r="E2064" i="11"/>
  <c r="E2027" i="11"/>
  <c r="E1940" i="11"/>
  <c r="E1901" i="11"/>
  <c r="E1861" i="11"/>
  <c r="E1817" i="11"/>
  <c r="E1733" i="11"/>
  <c r="E1691" i="11"/>
  <c r="E1654" i="11"/>
  <c r="E1610" i="11"/>
  <c r="E1563" i="11"/>
  <c r="E1528" i="11"/>
  <c r="E1439" i="11"/>
  <c r="E1399" i="11"/>
  <c r="E1358" i="11"/>
  <c r="E1317" i="11"/>
  <c r="E1273" i="11"/>
  <c r="E1234" i="11"/>
  <c r="E1187" i="11"/>
  <c r="E1141" i="11"/>
  <c r="E1103" i="11"/>
  <c r="E1061" i="11"/>
  <c r="E1015" i="11"/>
  <c r="E1016" i="11"/>
  <c r="E967" i="11"/>
  <c r="E925" i="11"/>
  <c r="E880" i="11"/>
  <c r="E828" i="11"/>
  <c r="E785" i="11"/>
  <c r="E786" i="11"/>
  <c r="E732" i="11"/>
  <c r="E689" i="11"/>
  <c r="E690" i="11"/>
  <c r="E645" i="11"/>
  <c r="E601" i="11"/>
  <c r="E602" i="11"/>
  <c r="E556" i="11"/>
  <c r="E557" i="11"/>
  <c r="E512" i="11"/>
  <c r="E513" i="11"/>
  <c r="E471" i="11"/>
  <c r="E472" i="11"/>
  <c r="E431" i="11"/>
  <c r="E432" i="11"/>
  <c r="E395" i="11"/>
  <c r="E396" i="11"/>
  <c r="E397" i="11"/>
  <c r="E358" i="11"/>
  <c r="E2806" i="11"/>
  <c r="E2724" i="11"/>
  <c r="E2689" i="11"/>
  <c r="E2645" i="11"/>
  <c r="E2569" i="11"/>
  <c r="E2523" i="11"/>
  <c r="E2447" i="11"/>
  <c r="E2400" i="11"/>
  <c r="E2360" i="11"/>
  <c r="E2280" i="11"/>
  <c r="E2237" i="11"/>
  <c r="E2194" i="11"/>
  <c r="E2113" i="11"/>
  <c r="E2065" i="11"/>
  <c r="E2028" i="11"/>
  <c r="E1986" i="11"/>
  <c r="E1902" i="11"/>
  <c r="E1862" i="11"/>
  <c r="E1818" i="11"/>
  <c r="E1776" i="11"/>
  <c r="E1734" i="11"/>
  <c r="E1692" i="11"/>
  <c r="E1611" i="11"/>
  <c r="E1564" i="11"/>
  <c r="E1529" i="11"/>
  <c r="E1486" i="11"/>
  <c r="E1440" i="11"/>
  <c r="E1400" i="11"/>
  <c r="E1359" i="11"/>
  <c r="E1318" i="11"/>
  <c r="E1274" i="11"/>
  <c r="E1235" i="11"/>
  <c r="E1188" i="11"/>
  <c r="E1142" i="11"/>
  <c r="E1104" i="11"/>
  <c r="E1062" i="11"/>
  <c r="E1017" i="11"/>
  <c r="E1018" i="11"/>
  <c r="E968" i="11"/>
  <c r="E926" i="11"/>
  <c r="E881" i="11"/>
  <c r="E829" i="11"/>
  <c r="E830" i="11"/>
  <c r="E787" i="11"/>
  <c r="E733" i="11"/>
  <c r="E734" i="11"/>
  <c r="E691" i="11"/>
  <c r="E646" i="11"/>
  <c r="E647" i="11"/>
  <c r="E603" i="11"/>
  <c r="E604" i="11"/>
  <c r="E558" i="11"/>
  <c r="E559" i="11"/>
  <c r="E514" i="11"/>
  <c r="E515" i="11"/>
  <c r="E473" i="11"/>
  <c r="E474" i="11"/>
  <c r="E475" i="11"/>
  <c r="E433" i="11"/>
  <c r="E434" i="11"/>
  <c r="E435" i="11"/>
  <c r="E2807" i="11"/>
  <c r="E2764" i="11"/>
  <c r="E2690" i="11"/>
  <c r="E2646" i="11"/>
  <c r="E2570" i="11"/>
  <c r="E2524" i="11"/>
  <c r="E2484" i="11"/>
  <c r="E2401" i="11"/>
  <c r="E2361" i="11"/>
  <c r="E2322" i="11"/>
  <c r="E2238" i="11"/>
  <c r="E2195" i="11"/>
  <c r="E2154" i="11"/>
  <c r="E2114" i="11"/>
  <c r="E2029" i="11"/>
  <c r="E1987" i="11"/>
  <c r="E1941" i="11"/>
  <c r="E1903" i="11"/>
  <c r="E1863" i="11"/>
  <c r="E1777" i="11"/>
  <c r="E1735" i="11"/>
  <c r="E1693" i="11"/>
  <c r="E1655" i="11"/>
  <c r="E1612" i="11"/>
  <c r="E1565" i="11"/>
  <c r="E1530" i="11"/>
  <c r="E1487" i="11"/>
  <c r="E1441" i="11"/>
  <c r="E1401" i="11"/>
  <c r="E1360" i="11"/>
  <c r="E1319" i="11"/>
  <c r="E1275" i="11"/>
  <c r="E1236" i="11"/>
  <c r="E1189" i="11"/>
  <c r="E1143" i="11"/>
  <c r="E1105" i="11"/>
  <c r="E1063" i="11"/>
  <c r="E1064" i="11"/>
  <c r="E1019" i="11"/>
  <c r="E969" i="11"/>
  <c r="E927" i="11"/>
  <c r="E928" i="11"/>
  <c r="E882" i="11"/>
  <c r="E831" i="11"/>
  <c r="E832" i="11"/>
  <c r="E788" i="11"/>
  <c r="E735" i="11"/>
  <c r="E736" i="11"/>
  <c r="E692" i="11"/>
  <c r="E693" i="11"/>
  <c r="E648" i="11"/>
  <c r="E649" i="11"/>
  <c r="E605" i="11"/>
  <c r="E606" i="11"/>
  <c r="E560" i="11"/>
  <c r="E561" i="11"/>
  <c r="E562" i="11"/>
  <c r="E516" i="11"/>
  <c r="E517" i="11"/>
  <c r="E518" i="11"/>
  <c r="E476" i="11"/>
  <c r="E2808" i="11"/>
  <c r="E2765" i="11"/>
  <c r="E2691" i="11"/>
  <c r="E2647" i="11"/>
  <c r="E2608" i="11"/>
  <c r="E2525" i="11"/>
  <c r="E2485" i="11"/>
  <c r="E2448" i="11"/>
  <c r="E2362" i="11"/>
  <c r="E2323" i="11"/>
  <c r="E2281" i="11"/>
  <c r="E2239" i="11"/>
  <c r="E2155" i="11"/>
  <c r="E2115" i="11"/>
  <c r="E2066" i="11"/>
  <c r="E2030" i="11"/>
  <c r="E1942" i="11"/>
  <c r="E1904" i="11"/>
  <c r="E1864" i="11"/>
  <c r="E1819" i="11"/>
  <c r="E1778" i="11"/>
  <c r="E1736" i="11"/>
  <c r="E1694" i="11"/>
  <c r="E1656" i="11"/>
  <c r="E1613" i="11"/>
  <c r="E1566" i="11"/>
  <c r="E1488" i="11"/>
  <c r="E1442" i="11"/>
  <c r="E1443" i="11"/>
  <c r="E1402" i="11"/>
  <c r="E1361" i="11"/>
  <c r="E1320" i="11"/>
  <c r="E1276" i="11"/>
  <c r="E1237" i="11"/>
  <c r="E1190" i="11"/>
  <c r="E1144" i="11"/>
  <c r="E1106" i="11"/>
  <c r="E1107" i="11"/>
  <c r="E1065" i="11"/>
  <c r="E1020" i="11"/>
  <c r="E970" i="11"/>
  <c r="E971" i="11"/>
  <c r="E929" i="11"/>
  <c r="E883" i="11"/>
  <c r="E884" i="11"/>
  <c r="E833" i="11"/>
  <c r="E834" i="11"/>
  <c r="E789" i="11"/>
  <c r="E737" i="11"/>
  <c r="E738" i="11"/>
  <c r="E694" i="11"/>
  <c r="E695" i="11"/>
  <c r="E696" i="11"/>
  <c r="E650" i="11"/>
  <c r="E651" i="11"/>
  <c r="E607" i="11"/>
  <c r="E608" i="11"/>
  <c r="E609" i="11"/>
  <c r="E610" i="11"/>
  <c r="E563" i="11"/>
  <c r="E564" i="11"/>
  <c r="E2809" i="11"/>
  <c r="E2766" i="11"/>
  <c r="E2725" i="11"/>
  <c r="E2648" i="11"/>
  <c r="E2609" i="11"/>
  <c r="E2571" i="11"/>
  <c r="E2486" i="11"/>
  <c r="E2449" i="11"/>
  <c r="E2402" i="11"/>
  <c r="E2363" i="11"/>
  <c r="E2282" i="11"/>
  <c r="E2240" i="11"/>
  <c r="E2196" i="11"/>
  <c r="E2156" i="11"/>
  <c r="E2067" i="11"/>
  <c r="E2031" i="11"/>
  <c r="E1988" i="11"/>
  <c r="E1943" i="11"/>
  <c r="E1905" i="11"/>
  <c r="E1865" i="11"/>
  <c r="E1820" i="11"/>
  <c r="E1737" i="11"/>
  <c r="E1695" i="11"/>
  <c r="E1657" i="11"/>
  <c r="E1614" i="11"/>
  <c r="E1567" i="11"/>
  <c r="E1531" i="11"/>
  <c r="E1489" i="11"/>
  <c r="E1444" i="11"/>
  <c r="E1403" i="11"/>
  <c r="E1404" i="11"/>
  <c r="E1362" i="11"/>
  <c r="E1321" i="11"/>
  <c r="E1277" i="11"/>
  <c r="E1238" i="11"/>
  <c r="E1191" i="11"/>
  <c r="E1192" i="11"/>
  <c r="E1145" i="11"/>
  <c r="E1108" i="11"/>
  <c r="E1066" i="11"/>
  <c r="E1067" i="11"/>
  <c r="E1021" i="11"/>
  <c r="E972" i="11"/>
  <c r="E973" i="11"/>
  <c r="E930" i="11"/>
  <c r="E885" i="11"/>
  <c r="E886" i="11"/>
  <c r="E835" i="11"/>
  <c r="E836" i="11"/>
  <c r="E790" i="11"/>
  <c r="E791" i="11"/>
  <c r="E739" i="11"/>
  <c r="E740" i="11"/>
  <c r="E741" i="11"/>
  <c r="E697" i="11"/>
  <c r="E698" i="11"/>
  <c r="E699" i="11"/>
  <c r="E652" i="11"/>
  <c r="E653" i="11"/>
  <c r="E654" i="11"/>
  <c r="E655" i="11"/>
  <c r="E2842" i="11"/>
  <c r="E2767" i="11"/>
  <c r="E2726" i="11"/>
  <c r="E2692" i="11"/>
  <c r="E2610" i="11"/>
  <c r="E2572" i="11"/>
  <c r="E2526" i="11"/>
  <c r="E2487" i="11"/>
  <c r="E2403" i="11"/>
  <c r="E2364" i="11"/>
  <c r="E2324" i="11"/>
  <c r="E2283" i="11"/>
  <c r="E2197" i="11"/>
  <c r="E2157" i="11"/>
  <c r="E2116" i="11"/>
  <c r="E2068" i="11"/>
  <c r="E2032" i="11"/>
  <c r="E1989" i="11"/>
  <c r="E1906" i="11"/>
  <c r="E1866" i="11"/>
  <c r="E1821" i="11"/>
  <c r="E1779" i="11"/>
  <c r="E1738" i="11"/>
  <c r="E1696" i="11"/>
  <c r="E1658" i="11"/>
  <c r="E1615" i="11"/>
  <c r="E1568" i="11"/>
  <c r="E1532" i="11"/>
  <c r="E1490" i="11"/>
  <c r="E1445" i="11"/>
  <c r="E1446" i="11"/>
  <c r="E1405" i="11"/>
  <c r="E1363" i="11"/>
  <c r="E1322" i="11"/>
  <c r="E1278" i="11"/>
  <c r="E1239" i="11"/>
  <c r="E1240" i="11"/>
  <c r="E1193" i="11"/>
  <c r="E1146" i="11"/>
  <c r="E1147" i="11"/>
  <c r="E1109" i="11"/>
  <c r="E1068" i="11"/>
  <c r="E1069" i="11"/>
  <c r="E1022" i="11"/>
  <c r="E974" i="11"/>
  <c r="E975" i="11"/>
  <c r="E931" i="11"/>
  <c r="E932" i="11"/>
  <c r="E887" i="11"/>
  <c r="E888" i="11"/>
  <c r="E837" i="11"/>
  <c r="E838" i="11"/>
  <c r="E839" i="11"/>
  <c r="E792" i="11"/>
  <c r="E793" i="11"/>
  <c r="E794" i="11"/>
  <c r="E742" i="11"/>
  <c r="E743" i="11"/>
  <c r="E744" i="11"/>
  <c r="E745" i="11"/>
  <c r="E746" i="11"/>
  <c r="E2843" i="11"/>
  <c r="E2810" i="11"/>
  <c r="E2768" i="11"/>
  <c r="E2693" i="11"/>
  <c r="E2649" i="11"/>
  <c r="E2611" i="11"/>
  <c r="E2527" i="11"/>
  <c r="E2488" i="11"/>
  <c r="E2450" i="11"/>
  <c r="E2404" i="11"/>
  <c r="E2325" i="11"/>
  <c r="E2284" i="11"/>
  <c r="E2241" i="11"/>
  <c r="E2198" i="11"/>
  <c r="E2158" i="11"/>
  <c r="E2117" i="11"/>
  <c r="E2033" i="11"/>
  <c r="E1990" i="11"/>
  <c r="E1944" i="11"/>
  <c r="E1907" i="11"/>
  <c r="E1867" i="11"/>
  <c r="E1822" i="11"/>
  <c r="E1780" i="11"/>
  <c r="E1739" i="11"/>
  <c r="E1697" i="11"/>
  <c r="E1659" i="11"/>
  <c r="E1616" i="11"/>
  <c r="E1569" i="11"/>
  <c r="E1533" i="11"/>
  <c r="E1534" i="11"/>
  <c r="E1491" i="11"/>
  <c r="E1447" i="11"/>
  <c r="E1406" i="11"/>
  <c r="E1364" i="11"/>
  <c r="E1323" i="11"/>
  <c r="E1324" i="11"/>
  <c r="E1279" i="11"/>
  <c r="E1241" i="11"/>
  <c r="E1194" i="11"/>
  <c r="E1195" i="11"/>
  <c r="E1148" i="11"/>
  <c r="E1149" i="11"/>
  <c r="E1110" i="11"/>
  <c r="E1070" i="11"/>
  <c r="E1071" i="11"/>
  <c r="E1023" i="11"/>
  <c r="E1024" i="11"/>
  <c r="E976" i="11"/>
  <c r="E977" i="11"/>
  <c r="E933" i="11"/>
  <c r="E934" i="11"/>
  <c r="E935" i="11"/>
  <c r="E889" i="11"/>
  <c r="E890" i="11"/>
  <c r="E891" i="11"/>
  <c r="E840" i="11"/>
  <c r="E841" i="11"/>
  <c r="E842" i="11"/>
  <c r="E843" i="11"/>
  <c r="E795" i="11"/>
  <c r="E796" i="11"/>
  <c r="E3722" i="11"/>
  <c r="A3721" i="11" a="1"/>
  <c r="A3721" i="11" s="1"/>
  <c r="A3718" i="11" a="1"/>
  <c r="A3718" i="11" s="1"/>
  <c r="A3716" i="11" a="1"/>
  <c r="A3716" i="11" s="1"/>
  <c r="A3713" i="11" a="1"/>
  <c r="A3713" i="11" s="1"/>
  <c r="A3708" i="11" a="1"/>
  <c r="A3708" i="11" s="1"/>
  <c r="A3702" i="11" a="1"/>
  <c r="A3702" i="11" s="1"/>
  <c r="A3698" i="11" a="1"/>
  <c r="A3698" i="11" s="1"/>
  <c r="A3692" i="11" a="1"/>
  <c r="A3692" i="11" s="1"/>
  <c r="A3684" i="11" a="1"/>
  <c r="A3684" i="11" s="1"/>
  <c r="A3678" i="11" a="1"/>
  <c r="A3678" i="11" s="1"/>
  <c r="A3670" i="11" a="1"/>
  <c r="A3670" i="11" s="1"/>
  <c r="A3659" i="11" a="1"/>
  <c r="A3659" i="11" s="1"/>
  <c r="A3652" i="11" a="1"/>
  <c r="A3652" i="11" s="1"/>
  <c r="A3640" i="11" a="1"/>
  <c r="A3640" i="11" s="1"/>
  <c r="A3627" i="11" a="1"/>
  <c r="A3627" i="11" s="1"/>
  <c r="A3612" i="11" a="1"/>
  <c r="A3612" i="11" s="1"/>
  <c r="A3605" i="11" a="1"/>
  <c r="A3605" i="11" s="1"/>
  <c r="A3590" i="11" a="1"/>
  <c r="A3590" i="11" s="1"/>
  <c r="A3581" i="11" a="1"/>
  <c r="A3581" i="11" s="1"/>
  <c r="A3563" i="11" a="1"/>
  <c r="A3563" i="11" s="1"/>
  <c r="A3544" i="11" a="1"/>
  <c r="A3544" i="11" s="1"/>
  <c r="A3534" i="11" a="1"/>
  <c r="A3534" i="11" s="1"/>
  <c r="A3513" i="11" a="1"/>
  <c r="A3513" i="11" s="1"/>
  <c r="A3493" i="11" a="1"/>
  <c r="A3493" i="11" s="1"/>
  <c r="A3482" i="11" a="1"/>
  <c r="A3482" i="11" s="1"/>
  <c r="A3457" i="11" a="1"/>
  <c r="A3457" i="11" s="1"/>
  <c r="A3445" i="11" a="1"/>
  <c r="A3445" i="11" s="1"/>
  <c r="A3419" i="11" a="1"/>
  <c r="A3419" i="11" s="1"/>
  <c r="A3393" i="11" a="1"/>
  <c r="A3393" i="11" s="1"/>
  <c r="A3376" i="11" a="1"/>
  <c r="A3376" i="11" s="1"/>
  <c r="A3346" i="11" a="1"/>
  <c r="A3346" i="11" s="1"/>
  <c r="A3334" i="11" a="1"/>
  <c r="A3334" i="11" s="1"/>
  <c r="A3302" i="11" a="1"/>
  <c r="A3302" i="11" s="1"/>
  <c r="A3284" i="11" a="1"/>
  <c r="A3284" i="11" s="1"/>
  <c r="A3252" i="11" a="1"/>
  <c r="A3252" i="11" s="1"/>
  <c r="A3232" i="11" a="1"/>
  <c r="A3232" i="11" s="1"/>
  <c r="A3195" i="11" a="1"/>
  <c r="A3195" i="11" s="1"/>
  <c r="A3175" i="11" a="1"/>
  <c r="A3175" i="11" s="1"/>
  <c r="A3133" i="11" a="1"/>
  <c r="A3133" i="11" s="1"/>
  <c r="A3118" i="11" a="1"/>
  <c r="A3118" i="11" s="1"/>
  <c r="A3074" i="11" a="1"/>
  <c r="A3074" i="11" s="1"/>
  <c r="A3051" i="11" a="1"/>
  <c r="A3051" i="11" s="1"/>
  <c r="A3006" i="11" a="1"/>
  <c r="A3006" i="11" s="1"/>
  <c r="A2979" i="11" a="1"/>
  <c r="A2979" i="11" s="1"/>
  <c r="A2956" i="11" a="1"/>
  <c r="A2956" i="11" s="1"/>
  <c r="A2898" i="11" a="1"/>
  <c r="A2898" i="11" s="1"/>
  <c r="A2875" i="11" a="1"/>
  <c r="A2875" i="11" s="1"/>
  <c r="A2811" i="11" a="1"/>
  <c r="A2811" i="11" s="1"/>
  <c r="A2769" i="11" a="1"/>
  <c r="A2769" i="11" s="1"/>
  <c r="A2727" i="11" a="1"/>
  <c r="A2727" i="11" s="1"/>
  <c r="A2650" i="11" a="1"/>
  <c r="A2650" i="11" s="1"/>
  <c r="A2612" i="11" a="1"/>
  <c r="A2612" i="11" s="1"/>
  <c r="A2573" i="11" a="1"/>
  <c r="A2573" i="11" s="1"/>
  <c r="A2489" i="11" a="1"/>
  <c r="A2489" i="11" s="1"/>
  <c r="A2451" i="11" a="1"/>
  <c r="A2451" i="11" s="1"/>
  <c r="A2405" i="11" a="1"/>
  <c r="A2405" i="11" s="1"/>
  <c r="A2365" i="11" a="1"/>
  <c r="A2365" i="11" s="1"/>
  <c r="A2285" i="11" a="1"/>
  <c r="A2285" i="11" s="1"/>
  <c r="A2242" i="11" a="1"/>
  <c r="A2242" i="11" s="1"/>
  <c r="A2199" i="11" a="1"/>
  <c r="A2199" i="11" s="1"/>
  <c r="A3720" i="11" a="1"/>
  <c r="A3720" i="11" s="1"/>
  <c r="A3719" i="11" a="1"/>
  <c r="A3719" i="11" s="1"/>
  <c r="A3715" i="11" a="1"/>
  <c r="A3715" i="11" s="1"/>
  <c r="A3711" i="11" a="1"/>
  <c r="A3711" i="11" s="1"/>
  <c r="A3705" i="11" a="1"/>
  <c r="A3705" i="11" s="1"/>
  <c r="A3703" i="11" a="1"/>
  <c r="A3703" i="11" s="1"/>
  <c r="A3696" i="11" a="1"/>
  <c r="A3696" i="11" s="1"/>
  <c r="A3688" i="11" a="1"/>
  <c r="A3688" i="11" s="1"/>
  <c r="A3679" i="11" a="1"/>
  <c r="A3679" i="11" s="1"/>
  <c r="A3674" i="11" a="1"/>
  <c r="A3674" i="11" s="1"/>
  <c r="A3665" i="11" a="1"/>
  <c r="A3665" i="11" s="1"/>
  <c r="A3653" i="11" a="1"/>
  <c r="A3653" i="11" s="1"/>
  <c r="A3647" i="11" a="1"/>
  <c r="A3647" i="11" s="1"/>
  <c r="A3634" i="11" a="1"/>
  <c r="A3634" i="11" s="1"/>
  <c r="A3621" i="11" a="1"/>
  <c r="A3621" i="11" s="1"/>
  <c r="A3613" i="11" a="1"/>
  <c r="A3613" i="11" s="1"/>
  <c r="A3598" i="11" a="1"/>
  <c r="A3598" i="11" s="1"/>
  <c r="A3582" i="11" a="1"/>
  <c r="A3582" i="11" s="1"/>
  <c r="A3571" i="11" a="1"/>
  <c r="A3571" i="11" s="1"/>
  <c r="A3554" i="11" a="1"/>
  <c r="A3554" i="11" s="1"/>
  <c r="A3535" i="11" a="1"/>
  <c r="A3535" i="11" s="1"/>
  <c r="A3524" i="11" a="1"/>
  <c r="A3524" i="11" s="1"/>
  <c r="A3503" i="11" a="1"/>
  <c r="A3503" i="11" s="1"/>
  <c r="A3483" i="11" a="1"/>
  <c r="A3483" i="11" s="1"/>
  <c r="A3467" i="11" a="1"/>
  <c r="A3467" i="11" s="1"/>
  <c r="A3446" i="11" a="1"/>
  <c r="A3446" i="11" s="1"/>
  <c r="A3433" i="11" a="1"/>
  <c r="A3433" i="11" s="1"/>
  <c r="A3404" i="11" a="1"/>
  <c r="A3404" i="11" s="1"/>
  <c r="A3377" i="11" a="1"/>
  <c r="A3377" i="11" s="1"/>
  <c r="A3365" i="11" a="1"/>
  <c r="A3365" i="11" s="1"/>
  <c r="A3335" i="11" a="1"/>
  <c r="A3335" i="11" s="1"/>
  <c r="A3318" i="11" a="1"/>
  <c r="A3318" i="11" s="1"/>
  <c r="A3285" i="11" a="1"/>
  <c r="A3285" i="11" s="1"/>
  <c r="A3264" i="11" a="1"/>
  <c r="A3264" i="11" s="1"/>
  <c r="A3233" i="11" a="1"/>
  <c r="A3233" i="11" s="1"/>
  <c r="A3214" i="11" a="1"/>
  <c r="A3214" i="11" s="1"/>
  <c r="A3176" i="11" a="1"/>
  <c r="A3176" i="11" s="1"/>
  <c r="A3157" i="11" a="1"/>
  <c r="A3157" i="11" s="1"/>
  <c r="A3119" i="11" a="1"/>
  <c r="A3119" i="11" s="1"/>
  <c r="A3096" i="11" a="1"/>
  <c r="A3096" i="11" s="1"/>
  <c r="A3052" i="11" a="1"/>
  <c r="A3052" i="11" s="1"/>
  <c r="A3025" i="11" a="1"/>
  <c r="A3025" i="11" s="1"/>
  <c r="A2980" i="11" a="1"/>
  <c r="A2980" i="11" s="1"/>
  <c r="A2957" i="11" a="1"/>
  <c r="A2957" i="11" s="1"/>
  <c r="A2899" i="11" a="1"/>
  <c r="A2899" i="11" s="1"/>
  <c r="A2876" i="11" a="1"/>
  <c r="A2876" i="11" s="1"/>
  <c r="A2844" i="11" a="1"/>
  <c r="A2844" i="11" s="1"/>
  <c r="A2770" i="11" a="1"/>
  <c r="A2770" i="11" s="1"/>
  <c r="A2728" i="11" a="1"/>
  <c r="A2728" i="11" s="1"/>
  <c r="A2651" i="11" a="1"/>
  <c r="A2651" i="11" s="1"/>
  <c r="A2613" i="11" a="1"/>
  <c r="A2613" i="11" s="1"/>
  <c r="A2574" i="11" a="1"/>
  <c r="A2574" i="11" s="1"/>
  <c r="A2490" i="11" a="1"/>
  <c r="A2490" i="11" s="1"/>
  <c r="A2452" i="11" a="1"/>
  <c r="A2452" i="11" s="1"/>
  <c r="A2406" i="11" a="1"/>
  <c r="A2406" i="11" s="1"/>
  <c r="A2366" i="11" a="1"/>
  <c r="A2366" i="11" s="1"/>
  <c r="A2286" i="11" a="1"/>
  <c r="A2286" i="11" s="1"/>
  <c r="A2243" i="11" a="1"/>
  <c r="A2243" i="11" s="1"/>
  <c r="A2200" i="11" a="1"/>
  <c r="A2200" i="11" s="1"/>
  <c r="A2159" i="11" a="1"/>
  <c r="A2159" i="11" s="1"/>
  <c r="A2069" i="11" a="1"/>
  <c r="A2069" i="11" s="1"/>
  <c r="A3717" i="11" a="1"/>
  <c r="A3717" i="11" s="1"/>
  <c r="A3714" i="11" a="1"/>
  <c r="A3714" i="11" s="1"/>
  <c r="A3709" i="11" a="1"/>
  <c r="A3709" i="11" s="1"/>
  <c r="A3706" i="11" a="1"/>
  <c r="A3706" i="11" s="1"/>
  <c r="A3699" i="11" a="1"/>
  <c r="A3699" i="11" s="1"/>
  <c r="A3693" i="11" a="1"/>
  <c r="A3693" i="11" s="1"/>
  <c r="A3685" i="11" a="1"/>
  <c r="A3685" i="11" s="1"/>
  <c r="A3680" i="11" a="1"/>
  <c r="A3680" i="11" s="1"/>
  <c r="A3671" i="11" a="1"/>
  <c r="A3671" i="11" s="1"/>
  <c r="A3660" i="11" a="1"/>
  <c r="A3660" i="11" s="1"/>
  <c r="A3654" i="11" a="1"/>
  <c r="A3654" i="11" s="1"/>
  <c r="A3641" i="11" a="1"/>
  <c r="A3641" i="11" s="1"/>
  <c r="A3628" i="11" a="1"/>
  <c r="A3628" i="11" s="1"/>
  <c r="A3614" i="11" a="1"/>
  <c r="A3614" i="11" s="1"/>
  <c r="A3606" i="11" a="1"/>
  <c r="A3606" i="11" s="1"/>
  <c r="A3591" i="11" a="1"/>
  <c r="A3591" i="11" s="1"/>
  <c r="A3572" i="11" a="1"/>
  <c r="A3572" i="11" s="1"/>
  <c r="A3564" i="11" a="1"/>
  <c r="A3564" i="11" s="1"/>
  <c r="A3545" i="11" a="1"/>
  <c r="A3545" i="11" s="1"/>
  <c r="A3525" i="11" a="1"/>
  <c r="A3525" i="11" s="1"/>
  <c r="A3514" i="11" a="1"/>
  <c r="A3514" i="11" s="1"/>
  <c r="A3494" i="11" a="1"/>
  <c r="A3494" i="11" s="1"/>
  <c r="A3468" i="11" a="1"/>
  <c r="A3468" i="11" s="1"/>
  <c r="A3458" i="11" a="1"/>
  <c r="A3458" i="11" s="1"/>
  <c r="A3434" i="11" a="1"/>
  <c r="A3434" i="11" s="1"/>
  <c r="A3420" i="11" a="1"/>
  <c r="A3420" i="11" s="1"/>
  <c r="A3394" i="11" a="1"/>
  <c r="A3394" i="11" s="1"/>
  <c r="A3366" i="11" a="1"/>
  <c r="A3366" i="11" s="1"/>
  <c r="A3347" i="11" a="1"/>
  <c r="A3347" i="11" s="1"/>
  <c r="A3319" i="11" a="1"/>
  <c r="A3319" i="11" s="1"/>
  <c r="A3303" i="11" a="1"/>
  <c r="A3303" i="11" s="1"/>
  <c r="A3265" i="11" a="1"/>
  <c r="A3265" i="11" s="1"/>
  <c r="A3253" i="11" a="1"/>
  <c r="A3253" i="11" s="1"/>
  <c r="A3215" i="11" a="1"/>
  <c r="A3215" i="11" s="1"/>
  <c r="A3196" i="11" a="1"/>
  <c r="A3196" i="11" s="1"/>
  <c r="A3158" i="11" a="1"/>
  <c r="A3158" i="11" s="1"/>
  <c r="A3134" i="11" a="1"/>
  <c r="A3134" i="11" s="1"/>
  <c r="A3097" i="11" a="1"/>
  <c r="A3097" i="11" s="1"/>
  <c r="A3075" i="11" a="1"/>
  <c r="A3075" i="11" s="1"/>
  <c r="A3026" i="11" a="1"/>
  <c r="A3026" i="11" s="1"/>
  <c r="A3007" i="11" a="1"/>
  <c r="A3007" i="11" s="1"/>
  <c r="A2958" i="11" a="1"/>
  <c r="A2958" i="11" s="1"/>
  <c r="A2928" i="11" a="1"/>
  <c r="A2928" i="11" s="1"/>
  <c r="A2877" i="11" a="1"/>
  <c r="A2877" i="11" s="1"/>
  <c r="A2845" i="11" a="1"/>
  <c r="A2845" i="11" s="1"/>
  <c r="A2771" i="11" a="1"/>
  <c r="A2771" i="11" s="1"/>
  <c r="A2729" i="11" a="1"/>
  <c r="A2729" i="11" s="1"/>
  <c r="A2694" i="11" a="1"/>
  <c r="A2694" i="11" s="1"/>
  <c r="A2614" i="11" a="1"/>
  <c r="A2614" i="11" s="1"/>
  <c r="A2575" i="11" a="1"/>
  <c r="A2575" i="11" s="1"/>
  <c r="A2528" i="11" a="1"/>
  <c r="A2528" i="11" s="1"/>
  <c r="A2453" i="11" a="1"/>
  <c r="A2453" i="11" s="1"/>
  <c r="A2407" i="11" a="1"/>
  <c r="A2407" i="11" s="1"/>
  <c r="A2367" i="11" a="1"/>
  <c r="A2367" i="11" s="1"/>
  <c r="A2287" i="11" a="1"/>
  <c r="A2287" i="11" s="1"/>
  <c r="A2244" i="11" a="1"/>
  <c r="A2244" i="11" s="1"/>
  <c r="A2201" i="11" a="1"/>
  <c r="A2201" i="11" s="1"/>
  <c r="A2118" i="11" a="1"/>
  <c r="A2118" i="11" s="1"/>
  <c r="A2070" i="11" a="1"/>
  <c r="A2070" i="11" s="1"/>
  <c r="A2034" i="11" a="1"/>
  <c r="A2034" i="11" s="1"/>
  <c r="A1991" i="11" a="1"/>
  <c r="A1991" i="11" s="1"/>
  <c r="A3712" i="11" a="1"/>
  <c r="A3712" i="11" s="1"/>
  <c r="A3710" i="11" a="1"/>
  <c r="A3710" i="11" s="1"/>
  <c r="A3704" i="11" a="1"/>
  <c r="A3704" i="11" s="1"/>
  <c r="A3697" i="11" a="1"/>
  <c r="A3697" i="11" s="1"/>
  <c r="A3689" i="11" a="1"/>
  <c r="A3689" i="11" s="1"/>
  <c r="A3686" i="11" a="1"/>
  <c r="A3686" i="11" s="1"/>
  <c r="A3675" i="11" a="1"/>
  <c r="A3675" i="11" s="1"/>
  <c r="A3666" i="11" a="1"/>
  <c r="A3666" i="11" s="1"/>
  <c r="A3655" i="11" a="1"/>
  <c r="A3655" i="11" s="1"/>
  <c r="A3648" i="11" a="1"/>
  <c r="A3648" i="11" s="1"/>
  <c r="A3635" i="11" a="1"/>
  <c r="A3635" i="11" s="1"/>
  <c r="A3622" i="11" a="1"/>
  <c r="A3622" i="11" s="1"/>
  <c r="A3615" i="11" a="1"/>
  <c r="A3615" i="11" s="1"/>
  <c r="A3599" i="11" a="1"/>
  <c r="A3599" i="11" s="1"/>
  <c r="A3583" i="11" a="1"/>
  <c r="A3583" i="11" s="1"/>
  <c r="A3573" i="11" a="1"/>
  <c r="A3573" i="11" s="1"/>
  <c r="A3555" i="11" a="1"/>
  <c r="A3555" i="11" s="1"/>
  <c r="A3536" i="11" a="1"/>
  <c r="A3536" i="11" s="1"/>
  <c r="A3526" i="11" a="1"/>
  <c r="A3526" i="11" s="1"/>
  <c r="A3504" i="11" a="1"/>
  <c r="A3504" i="11" s="1"/>
  <c r="A3484" i="11" a="1"/>
  <c r="A3484" i="11" s="1"/>
  <c r="A3469" i="11" a="1"/>
  <c r="A3469" i="11" s="1"/>
  <c r="A3447" i="11" a="1"/>
  <c r="A3447" i="11" s="1"/>
  <c r="A3421" i="11" a="1"/>
  <c r="A3421" i="11" s="1"/>
  <c r="A3405" i="11" a="1"/>
  <c r="A3405" i="11" s="1"/>
  <c r="A3378" i="11" a="1"/>
  <c r="A3378" i="11" s="1"/>
  <c r="A3348" i="11" a="1"/>
  <c r="A3348" i="11" s="1"/>
  <c r="A3336" i="11" a="1"/>
  <c r="A3336" i="11" s="1"/>
  <c r="A3304" i="11" a="1"/>
  <c r="A3304" i="11" s="1"/>
  <c r="A3286" i="11" a="1"/>
  <c r="A3286" i="11" s="1"/>
  <c r="A3254" i="11" a="1"/>
  <c r="A3254" i="11" s="1"/>
  <c r="A3234" i="11" a="1"/>
  <c r="A3234" i="11" s="1"/>
  <c r="A3197" i="11" a="1"/>
  <c r="A3197" i="11" s="1"/>
  <c r="A3177" i="11" a="1"/>
  <c r="A3177" i="11" s="1"/>
  <c r="A3135" i="11" a="1"/>
  <c r="A3135" i="11" s="1"/>
  <c r="A3098" i="11" a="1"/>
  <c r="A3098" i="11" s="1"/>
  <c r="A3076" i="11" a="1"/>
  <c r="A3076" i="11" s="1"/>
  <c r="A3027" i="11" a="1"/>
  <c r="A3027" i="11" s="1"/>
  <c r="A3008" i="11" a="1"/>
  <c r="A3008" i="11" s="1"/>
  <c r="A2981" i="11" a="1"/>
  <c r="A2981" i="11" s="1"/>
  <c r="A2929" i="11" a="1"/>
  <c r="A2929" i="11" s="1"/>
  <c r="A2900" i="11" a="1"/>
  <c r="A2900" i="11" s="1"/>
  <c r="A2846" i="11" a="1"/>
  <c r="A2846" i="11" s="1"/>
  <c r="A2812" i="11" a="1"/>
  <c r="A2812" i="11" s="1"/>
  <c r="A2730" i="11" a="1"/>
  <c r="A2730" i="11" s="1"/>
  <c r="A2695" i="11" a="1"/>
  <c r="A2695" i="11" s="1"/>
  <c r="A2615" i="11" a="1"/>
  <c r="A2615" i="11" s="1"/>
  <c r="A2576" i="11" a="1"/>
  <c r="A2576" i="11" s="1"/>
  <c r="A2529" i="11" a="1"/>
  <c r="A2529" i="11" s="1"/>
  <c r="A2454" i="11" a="1"/>
  <c r="A2454" i="11" s="1"/>
  <c r="A2408" i="11" a="1"/>
  <c r="A2408" i="11" s="1"/>
  <c r="A2368" i="11" a="1"/>
  <c r="A2368" i="11" s="1"/>
  <c r="A2288" i="11" a="1"/>
  <c r="A2288" i="11" s="1"/>
  <c r="A2245" i="11" a="1"/>
  <c r="A2245" i="11" s="1"/>
  <c r="A2202" i="11" a="1"/>
  <c r="A2202" i="11" s="1"/>
  <c r="A2119" i="11" a="1"/>
  <c r="A2119" i="11" s="1"/>
  <c r="A2071" i="11" a="1"/>
  <c r="A2071" i="11" s="1"/>
  <c r="A2035" i="11" a="1"/>
  <c r="A2035" i="11" s="1"/>
  <c r="A1992" i="11" a="1"/>
  <c r="A1992" i="11" s="1"/>
  <c r="A1908" i="11" a="1"/>
  <c r="A1908" i="11" s="1"/>
  <c r="A1868" i="11" a="1"/>
  <c r="A1868" i="11" s="1"/>
  <c r="A3707" i="11" a="1"/>
  <c r="A3707" i="11" s="1"/>
  <c r="A3700" i="11" a="1"/>
  <c r="A3700" i="11" s="1"/>
  <c r="A3694" i="11" a="1"/>
  <c r="A3694" i="11" s="1"/>
  <c r="A3690" i="11" a="1"/>
  <c r="A3690" i="11" s="1"/>
  <c r="A3681" i="11" a="1"/>
  <c r="A3681" i="11" s="1"/>
  <c r="A3672" i="11" a="1"/>
  <c r="A3672" i="11" s="1"/>
  <c r="A3661" i="11" a="1"/>
  <c r="A3661" i="11" s="1"/>
  <c r="A3656" i="11" a="1"/>
  <c r="A3656" i="11" s="1"/>
  <c r="A3642" i="11" a="1"/>
  <c r="A3642" i="11" s="1"/>
  <c r="A3629" i="11" a="1"/>
  <c r="A3629" i="11" s="1"/>
  <c r="A3623" i="11" a="1"/>
  <c r="A3623" i="11" s="1"/>
  <c r="A3607" i="11" a="1"/>
  <c r="A3607" i="11" s="1"/>
  <c r="A3592" i="11" a="1"/>
  <c r="A3592" i="11" s="1"/>
  <c r="A3574" i="11" a="1"/>
  <c r="A3574" i="11" s="1"/>
  <c r="A3565" i="11" a="1"/>
  <c r="A3565" i="11" s="1"/>
  <c r="A3546" i="11" a="1"/>
  <c r="A3546" i="11" s="1"/>
  <c r="A3527" i="11" a="1"/>
  <c r="A3527" i="11" s="1"/>
  <c r="A3515" i="11" a="1"/>
  <c r="A3515" i="11" s="1"/>
  <c r="A3495" i="11" a="1"/>
  <c r="A3495" i="11" s="1"/>
  <c r="A3470" i="11" a="1"/>
  <c r="A3470" i="11" s="1"/>
  <c r="A3459" i="11" a="1"/>
  <c r="A3459" i="11" s="1"/>
  <c r="A3435" i="11" a="1"/>
  <c r="A3435" i="11" s="1"/>
  <c r="A3406" i="11" a="1"/>
  <c r="A3406" i="11" s="1"/>
  <c r="A3395" i="11" a="1"/>
  <c r="A3395" i="11" s="1"/>
  <c r="A3367" i="11" a="1"/>
  <c r="A3367" i="11" s="1"/>
  <c r="A3349" i="11" a="1"/>
  <c r="A3349" i="11" s="1"/>
  <c r="A3320" i="11" a="1"/>
  <c r="A3320" i="11" s="1"/>
  <c r="A3287" i="11" a="1"/>
  <c r="A3287" i="11" s="1"/>
  <c r="A3266" i="11" a="1"/>
  <c r="A3266" i="11" s="1"/>
  <c r="A3235" i="11" a="1"/>
  <c r="A3235" i="11" s="1"/>
  <c r="A3216" i="11" a="1"/>
  <c r="A3216" i="11" s="1"/>
  <c r="A3178" i="11" a="1"/>
  <c r="A3178" i="11" s="1"/>
  <c r="A3159" i="11" a="1"/>
  <c r="A3159" i="11" s="1"/>
  <c r="A3120" i="11" a="1"/>
  <c r="A3120" i="11" s="1"/>
  <c r="A3077" i="11" a="1"/>
  <c r="A3077" i="11" s="1"/>
  <c r="A3053" i="11" a="1"/>
  <c r="A3053" i="11" s="1"/>
  <c r="A3009" i="11" a="1"/>
  <c r="A3009" i="11" s="1"/>
  <c r="A2982" i="11" a="1"/>
  <c r="A2982" i="11" s="1"/>
  <c r="A2930" i="11" a="1"/>
  <c r="A2930" i="11" s="1"/>
  <c r="A2901" i="11" a="1"/>
  <c r="A2901" i="11" s="1"/>
  <c r="A2878" i="11" a="1"/>
  <c r="A2878" i="11" s="1"/>
  <c r="A2813" i="11" a="1"/>
  <c r="A2813" i="11" s="1"/>
  <c r="A2772" i="11" a="1"/>
  <c r="A2772" i="11" s="1"/>
  <c r="A2696" i="11" a="1"/>
  <c r="A2696" i="11" s="1"/>
  <c r="A2652" i="11" a="1"/>
  <c r="A2652" i="11" s="1"/>
  <c r="A2577" i="11" a="1"/>
  <c r="A2577" i="11" s="1"/>
  <c r="A2530" i="11" a="1"/>
  <c r="A2530" i="11" s="1"/>
  <c r="A2491" i="11" a="1"/>
  <c r="A2491" i="11" s="1"/>
  <c r="A2409" i="11" a="1"/>
  <c r="A2409" i="11" s="1"/>
  <c r="A2369" i="11" a="1"/>
  <c r="A2369" i="11" s="1"/>
  <c r="A2326" i="11" a="1"/>
  <c r="A2326" i="11" s="1"/>
  <c r="A2246" i="11" a="1"/>
  <c r="A2246" i="11" s="1"/>
  <c r="A2203" i="11" a="1"/>
  <c r="A2203" i="11" s="1"/>
  <c r="A2160" i="11" a="1"/>
  <c r="A2160" i="11" s="1"/>
  <c r="A2072" i="11" a="1"/>
  <c r="A2072" i="11" s="1"/>
  <c r="A2036" i="11" a="1"/>
  <c r="A2036" i="11" s="1"/>
  <c r="A1993" i="11" a="1"/>
  <c r="A1993" i="11" s="1"/>
  <c r="A1909" i="11" a="1"/>
  <c r="A1909" i="11" s="1"/>
  <c r="A1869" i="11" a="1"/>
  <c r="A1869" i="11" s="1"/>
  <c r="A1823" i="11" a="1"/>
  <c r="A1823" i="11" s="1"/>
  <c r="A1781" i="11" a="1"/>
  <c r="A1781" i="11" s="1"/>
  <c r="A3701" i="11" a="1"/>
  <c r="A3701" i="11" s="1"/>
  <c r="A3695" i="11" a="1"/>
  <c r="A3695" i="11" s="1"/>
  <c r="A3687" i="11" a="1"/>
  <c r="A3687" i="11" s="1"/>
  <c r="A3676" i="11" a="1"/>
  <c r="A3676" i="11" s="1"/>
  <c r="A3667" i="11" a="1"/>
  <c r="A3667" i="11" s="1"/>
  <c r="A3662" i="11" a="1"/>
  <c r="A3662" i="11" s="1"/>
  <c r="A3649" i="11" a="1"/>
  <c r="A3649" i="11" s="1"/>
  <c r="A3636" i="11" a="1"/>
  <c r="A3636" i="11" s="1"/>
  <c r="A3630" i="11" a="1"/>
  <c r="A3630" i="11" s="1"/>
  <c r="A3616" i="11" a="1"/>
  <c r="A3616" i="11" s="1"/>
  <c r="A3600" i="11" a="1"/>
  <c r="A3600" i="11" s="1"/>
  <c r="A3584" i="11" a="1"/>
  <c r="A3584" i="11" s="1"/>
  <c r="A3575" i="11" a="1"/>
  <c r="A3575" i="11" s="1"/>
  <c r="A3556" i="11" a="1"/>
  <c r="A3556" i="11" s="1"/>
  <c r="A3537" i="11" a="1"/>
  <c r="A3537" i="11" s="1"/>
  <c r="A3528" i="11" a="1"/>
  <c r="A3528" i="11" s="1"/>
  <c r="A3505" i="11" a="1"/>
  <c r="A3505" i="11" s="1"/>
  <c r="A3485" i="11" a="1"/>
  <c r="A3485" i="11" s="1"/>
  <c r="A3471" i="11" a="1"/>
  <c r="A3471" i="11" s="1"/>
  <c r="A3448" i="11" a="1"/>
  <c r="A3448" i="11" s="1"/>
  <c r="A3422" i="11" a="1"/>
  <c r="A3422" i="11" s="1"/>
  <c r="A3407" i="11" a="1"/>
  <c r="A3407" i="11" s="1"/>
  <c r="A3379" i="11" a="1"/>
  <c r="A3379" i="11" s="1"/>
  <c r="A3350" i="11" a="1"/>
  <c r="A3350" i="11" s="1"/>
  <c r="A3337" i="11" a="1"/>
  <c r="A3337" i="11" s="1"/>
  <c r="A3305" i="11" a="1"/>
  <c r="A3305" i="11" s="1"/>
  <c r="A3288" i="11" a="1"/>
  <c r="A3288" i="11" s="1"/>
  <c r="A3255" i="11" a="1"/>
  <c r="A3255" i="11" s="1"/>
  <c r="A3217" i="11" a="1"/>
  <c r="A3217" i="11" s="1"/>
  <c r="A3198" i="11" a="1"/>
  <c r="A3198" i="11" s="1"/>
  <c r="A3160" i="11" a="1"/>
  <c r="A3160" i="11" s="1"/>
  <c r="A3136" i="11" a="1"/>
  <c r="A3136" i="11" s="1"/>
  <c r="A3099" i="11" a="1"/>
  <c r="A3099" i="11" s="1"/>
  <c r="A3078" i="11" a="1"/>
  <c r="A3078" i="11" s="1"/>
  <c r="A3028" i="11" a="1"/>
  <c r="A3028" i="11" s="1"/>
  <c r="A3010" i="11" a="1"/>
  <c r="A3010" i="11" s="1"/>
  <c r="A2959" i="11" a="1"/>
  <c r="A2959" i="11" s="1"/>
  <c r="A2931" i="11" a="1"/>
  <c r="A2931" i="11" s="1"/>
  <c r="A2879" i="11" a="1"/>
  <c r="A2879" i="11" s="1"/>
  <c r="A2847" i="11" a="1"/>
  <c r="A2847" i="11" s="1"/>
  <c r="A2773" i="11" a="1"/>
  <c r="A2773" i="11" s="1"/>
  <c r="A2731" i="11" a="1"/>
  <c r="A2731" i="11" s="1"/>
  <c r="A2653" i="11" a="1"/>
  <c r="A2653" i="11" s="1"/>
  <c r="A2616" i="11" a="1"/>
  <c r="A2616" i="11" s="1"/>
  <c r="A2531" i="11" a="1"/>
  <c r="A2531" i="11" s="1"/>
  <c r="A2492" i="11" a="1"/>
  <c r="A2492" i="11" s="1"/>
  <c r="A2455" i="11" a="1"/>
  <c r="A2455" i="11" s="1"/>
  <c r="A2370" i="11" a="1"/>
  <c r="A2370" i="11" s="1"/>
  <c r="A2327" i="11" a="1"/>
  <c r="A2327" i="11" s="1"/>
  <c r="A2247" i="11" a="1"/>
  <c r="A2247" i="11" s="1"/>
  <c r="A2204" i="11" a="1"/>
  <c r="A2204" i="11" s="1"/>
  <c r="A2161" i="11" a="1"/>
  <c r="A2161" i="11" s="1"/>
  <c r="A2073" i="11" a="1"/>
  <c r="A2073" i="11" s="1"/>
  <c r="A2037" i="11" a="1"/>
  <c r="A2037" i="11" s="1"/>
  <c r="A1994" i="11" a="1"/>
  <c r="A1994" i="11" s="1"/>
  <c r="A1945" i="11" a="1"/>
  <c r="A1945" i="11" s="1"/>
  <c r="A1870" i="11" a="1"/>
  <c r="A1870" i="11" s="1"/>
  <c r="A1824" i="11" a="1"/>
  <c r="A1824" i="11" s="1"/>
  <c r="A1782" i="11" a="1"/>
  <c r="A1782" i="11" s="1"/>
  <c r="A1740" i="11" a="1"/>
  <c r="A1740" i="11" s="1"/>
  <c r="A1660" i="11" a="1"/>
  <c r="A1660" i="11" s="1"/>
  <c r="A3691" i="11" a="1"/>
  <c r="A3691" i="11" s="1"/>
  <c r="A3682" i="11" a="1"/>
  <c r="A3682" i="11" s="1"/>
  <c r="A3677" i="11" a="1"/>
  <c r="A3677" i="11" s="1"/>
  <c r="A3668" i="11" a="1"/>
  <c r="A3668" i="11" s="1"/>
  <c r="A3657" i="11" a="1"/>
  <c r="A3657" i="11" s="1"/>
  <c r="A3643" i="11" a="1"/>
  <c r="A3643" i="11" s="1"/>
  <c r="A3637" i="11" a="1"/>
  <c r="A3637" i="11" s="1"/>
  <c r="A3624" i="11" a="1"/>
  <c r="A3624" i="11" s="1"/>
  <c r="A3608" i="11" a="1"/>
  <c r="A3608" i="11" s="1"/>
  <c r="A3593" i="11" a="1"/>
  <c r="A3593" i="11" s="1"/>
  <c r="A3585" i="11" a="1"/>
  <c r="A3585" i="11" s="1"/>
  <c r="A3566" i="11" a="1"/>
  <c r="A3566" i="11" s="1"/>
  <c r="A3547" i="11" a="1"/>
  <c r="A3547" i="11" s="1"/>
  <c r="A3538" i="11" a="1"/>
  <c r="A3538" i="11" s="1"/>
  <c r="A3516" i="11" a="1"/>
  <c r="A3516" i="11" s="1"/>
  <c r="A3496" i="11" a="1"/>
  <c r="A3496" i="11" s="1"/>
  <c r="A3472" i="11" a="1"/>
  <c r="A3472" i="11" s="1"/>
  <c r="A3460" i="11" a="1"/>
  <c r="A3460" i="11" s="1"/>
  <c r="A3436" i="11" a="1"/>
  <c r="A3436" i="11" s="1"/>
  <c r="A3408" i="11" a="1"/>
  <c r="A3408" i="11" s="1"/>
  <c r="A3396" i="11" a="1"/>
  <c r="A3396" i="11" s="1"/>
  <c r="A3368" i="11" a="1"/>
  <c r="A3368" i="11" s="1"/>
  <c r="A3351" i="11" a="1"/>
  <c r="A3351" i="11" s="1"/>
  <c r="A3321" i="11" a="1"/>
  <c r="A3321" i="11" s="1"/>
  <c r="A3289" i="11" a="1"/>
  <c r="A3289" i="11" s="1"/>
  <c r="A3267" i="11" a="1"/>
  <c r="A3267" i="11" s="1"/>
  <c r="A3236" i="11" a="1"/>
  <c r="A3236" i="11" s="1"/>
  <c r="A3218" i="11" a="1"/>
  <c r="A3218" i="11" s="1"/>
  <c r="A3179" i="11" a="1"/>
  <c r="A3179" i="11" s="1"/>
  <c r="A3137" i="11" a="1"/>
  <c r="A3137" i="11" s="1"/>
  <c r="A3121" i="11" a="1"/>
  <c r="A3121" i="11" s="1"/>
  <c r="A3079" i="11" a="1"/>
  <c r="A3079" i="11" s="1"/>
  <c r="A3054" i="11" a="1"/>
  <c r="A3054" i="11" s="1"/>
  <c r="A3011" i="11" a="1"/>
  <c r="A3011" i="11" s="1"/>
  <c r="A2983" i="11" a="1"/>
  <c r="A2983" i="11" s="1"/>
  <c r="A2932" i="11" a="1"/>
  <c r="A2932" i="11" s="1"/>
  <c r="A2902" i="11" a="1"/>
  <c r="A2902" i="11" s="1"/>
  <c r="A2848" i="11" a="1"/>
  <c r="A2848" i="11" s="1"/>
  <c r="A2814" i="11" a="1"/>
  <c r="A2814" i="11" s="1"/>
  <c r="A2732" i="11" a="1"/>
  <c r="A2732" i="11" s="1"/>
  <c r="A2697" i="11" a="1"/>
  <c r="A2697" i="11" s="1"/>
  <c r="A2617" i="11" a="1"/>
  <c r="A2617" i="11" s="1"/>
  <c r="A2578" i="11" a="1"/>
  <c r="A2578" i="11" s="1"/>
  <c r="A2493" i="11" a="1"/>
  <c r="A2493" i="11" s="1"/>
  <c r="A2456" i="11" a="1"/>
  <c r="A2456" i="11" s="1"/>
  <c r="A2371" i="11" a="1"/>
  <c r="A2371" i="11" s="1"/>
  <c r="A2328" i="11" a="1"/>
  <c r="A2328" i="11" s="1"/>
  <c r="A2289" i="11" a="1"/>
  <c r="A2289" i="11" s="1"/>
  <c r="A2205" i="11" a="1"/>
  <c r="A2205" i="11" s="1"/>
  <c r="A2162" i="11" a="1"/>
  <c r="A2162" i="11" s="1"/>
  <c r="A2120" i="11" a="1"/>
  <c r="A2120" i="11" s="1"/>
  <c r="A2038" i="11" a="1"/>
  <c r="A2038" i="11" s="1"/>
  <c r="A1995" i="11" a="1"/>
  <c r="A1995" i="11" s="1"/>
  <c r="A1946" i="11" a="1"/>
  <c r="A1946" i="11" s="1"/>
  <c r="A1871" i="11" a="1"/>
  <c r="A1871" i="11" s="1"/>
  <c r="A1825" i="11" a="1"/>
  <c r="A1825" i="11" s="1"/>
  <c r="A1783" i="11" a="1"/>
  <c r="A1783" i="11" s="1"/>
  <c r="A1741" i="11" a="1"/>
  <c r="A1741" i="11" s="1"/>
  <c r="A1661" i="11" a="1"/>
  <c r="A1661" i="11" s="1"/>
  <c r="A1617" i="11" a="1"/>
  <c r="A1617" i="11" s="1"/>
  <c r="A1570" i="11" a="1"/>
  <c r="A1570" i="11" s="1"/>
  <c r="A3683" i="11" a="1"/>
  <c r="A3683" i="11" s="1"/>
  <c r="A3673" i="11" a="1"/>
  <c r="A3673" i="11" s="1"/>
  <c r="A3663" i="11" a="1"/>
  <c r="A3663" i="11" s="1"/>
  <c r="A3650" i="11" a="1"/>
  <c r="A3650" i="11" s="1"/>
  <c r="A3644" i="11" a="1"/>
  <c r="A3644" i="11" s="1"/>
  <c r="A3631" i="11" a="1"/>
  <c r="A3631" i="11" s="1"/>
  <c r="A3617" i="11" a="1"/>
  <c r="A3617" i="11" s="1"/>
  <c r="A3601" i="11" a="1"/>
  <c r="A3601" i="11" s="1"/>
  <c r="A3594" i="11" a="1"/>
  <c r="A3594" i="11" s="1"/>
  <c r="A3576" i="11" a="1"/>
  <c r="A3576" i="11" s="1"/>
  <c r="A3557" i="11" a="1"/>
  <c r="A3557" i="11" s="1"/>
  <c r="A3548" i="11" a="1"/>
  <c r="A3548" i="11" s="1"/>
  <c r="A3529" i="11" a="1"/>
  <c r="A3529" i="11" s="1"/>
  <c r="A3506" i="11" a="1"/>
  <c r="A3506" i="11" s="1"/>
  <c r="A3486" i="11" a="1"/>
  <c r="A3486" i="11" s="1"/>
  <c r="A3473" i="11" a="1"/>
  <c r="A3473" i="11" s="1"/>
  <c r="A3449" i="11" a="1"/>
  <c r="A3449" i="11" s="1"/>
  <c r="A3423" i="11" a="1"/>
  <c r="A3423" i="11" s="1"/>
  <c r="A3409" i="11" a="1"/>
  <c r="A3409" i="11" s="1"/>
  <c r="A3380" i="11" a="1"/>
  <c r="A3380" i="11" s="1"/>
  <c r="A3352" i="11" a="1"/>
  <c r="A3352" i="11" s="1"/>
  <c r="A3338" i="11" a="1"/>
  <c r="A3338" i="11" s="1"/>
  <c r="A3306" i="11" a="1"/>
  <c r="A3306" i="11" s="1"/>
  <c r="A3290" i="11" a="1"/>
  <c r="A3290" i="11" s="1"/>
  <c r="A3256" i="11" a="1"/>
  <c r="A3256" i="11" s="1"/>
  <c r="A3219" i="11" a="1"/>
  <c r="A3219" i="11" s="1"/>
  <c r="A3199" i="11" a="1"/>
  <c r="A3199" i="11" s="1"/>
  <c r="A3161" i="11" a="1"/>
  <c r="A3161" i="11" s="1"/>
  <c r="A3138" i="11" a="1"/>
  <c r="A3138" i="11" s="1"/>
  <c r="A3100" i="11" a="1"/>
  <c r="A3100" i="11" s="1"/>
  <c r="A3055" i="11" a="1"/>
  <c r="A3055" i="11" s="1"/>
  <c r="A3029" i="11" a="1"/>
  <c r="A3029" i="11" s="1"/>
  <c r="A2984" i="11" a="1"/>
  <c r="A2984" i="11" s="1"/>
  <c r="A2960" i="11" a="1"/>
  <c r="A2960" i="11" s="1"/>
  <c r="A2903" i="11" a="1"/>
  <c r="A2903" i="11" s="1"/>
  <c r="A2880" i="11" a="1"/>
  <c r="A2880" i="11" s="1"/>
  <c r="A2815" i="11" a="1"/>
  <c r="A2815" i="11" s="1"/>
  <c r="A2774" i="11" a="1"/>
  <c r="A2774" i="11" s="1"/>
  <c r="A2698" i="11" a="1"/>
  <c r="A2698" i="11" s="1"/>
  <c r="A2654" i="11" a="1"/>
  <c r="A2654" i="11" s="1"/>
  <c r="A2579" i="11" a="1"/>
  <c r="A2579" i="11" s="1"/>
  <c r="A2532" i="11" a="1"/>
  <c r="A2532" i="11" s="1"/>
  <c r="A2457" i="11" a="1"/>
  <c r="A2457" i="11" s="1"/>
  <c r="A2410" i="11" a="1"/>
  <c r="A2410" i="11" s="1"/>
  <c r="A2372" i="11" a="1"/>
  <c r="A2372" i="11" s="1"/>
  <c r="A2290" i="11" a="1"/>
  <c r="A2290" i="11" s="1"/>
  <c r="A2248" i="11" a="1"/>
  <c r="A2248" i="11" s="1"/>
  <c r="A2163" i="11" a="1"/>
  <c r="A2163" i="11" s="1"/>
  <c r="A2121" i="11" a="1"/>
  <c r="A2121" i="11" s="1"/>
  <c r="A2074" i="11" a="1"/>
  <c r="A2074" i="11" s="1"/>
  <c r="A1996" i="11" a="1"/>
  <c r="A1996" i="11" s="1"/>
  <c r="A1947" i="11" a="1"/>
  <c r="A1947" i="11" s="1"/>
  <c r="A1910" i="11" a="1"/>
  <c r="A1910" i="11" s="1"/>
  <c r="A1826" i="11" a="1"/>
  <c r="A1826" i="11" s="1"/>
  <c r="A1784" i="11" a="1"/>
  <c r="A1784" i="11" s="1"/>
  <c r="A1742" i="11" a="1"/>
  <c r="A1742" i="11" s="1"/>
  <c r="A1698" i="11" a="1"/>
  <c r="A1698" i="11" s="1"/>
  <c r="A1618" i="11" a="1"/>
  <c r="A1618" i="11" s="1"/>
  <c r="A1571" i="11" a="1"/>
  <c r="A1571" i="11" s="1"/>
  <c r="A1535" i="11" a="1"/>
  <c r="A1535" i="11" s="1"/>
  <c r="A1492" i="11" a="1"/>
  <c r="A1492" i="11" s="1"/>
  <c r="A3669" i="11" a="1"/>
  <c r="A3669" i="11" s="1"/>
  <c r="A3664" i="11" a="1"/>
  <c r="A3664" i="11" s="1"/>
  <c r="A3651" i="11" a="1"/>
  <c r="A3651" i="11" s="1"/>
  <c r="A3638" i="11" a="1"/>
  <c r="A3638" i="11" s="1"/>
  <c r="A3625" i="11" a="1"/>
  <c r="A3625" i="11" s="1"/>
  <c r="A3618" i="11" a="1"/>
  <c r="A3618" i="11" s="1"/>
  <c r="A3602" i="11" a="1"/>
  <c r="A3602" i="11" s="1"/>
  <c r="A3586" i="11" a="1"/>
  <c r="A3586" i="11" s="1"/>
  <c r="A3567" i="11" a="1"/>
  <c r="A3567" i="11" s="1"/>
  <c r="A3558" i="11" a="1"/>
  <c r="A3558" i="11" s="1"/>
  <c r="A3539" i="11" a="1"/>
  <c r="A3539" i="11" s="1"/>
  <c r="A3517" i="11" a="1"/>
  <c r="A3517" i="11" s="1"/>
  <c r="A3507" i="11" a="1"/>
  <c r="A3507" i="11" s="1"/>
  <c r="A3487" i="11" a="1"/>
  <c r="A3487" i="11" s="1"/>
  <c r="A3461" i="11" a="1"/>
  <c r="A3461" i="11" s="1"/>
  <c r="A3437" i="11" a="1"/>
  <c r="A3437" i="11" s="1"/>
  <c r="A3424" i="11" a="1"/>
  <c r="A3424" i="11" s="1"/>
  <c r="A3397" i="11" a="1"/>
  <c r="A3397" i="11" s="1"/>
  <c r="A3369" i="11" a="1"/>
  <c r="A3369" i="11" s="1"/>
  <c r="A3353" i="11" a="1"/>
  <c r="A3353" i="11" s="1"/>
  <c r="A3322" i="11" a="1"/>
  <c r="A3322" i="11" s="1"/>
  <c r="A3291" i="11" a="1"/>
  <c r="A3291" i="11" s="1"/>
  <c r="A3268" i="11" a="1"/>
  <c r="A3268" i="11" s="1"/>
  <c r="A3237" i="11" a="1"/>
  <c r="A3237" i="11" s="1"/>
  <c r="A3220" i="11" a="1"/>
  <c r="A3220" i="11" s="1"/>
  <c r="A3180" i="11" a="1"/>
  <c r="A3180" i="11" s="1"/>
  <c r="A3139" i="11" a="1"/>
  <c r="A3139" i="11" s="1"/>
  <c r="A3122" i="11" a="1"/>
  <c r="A3122" i="11" s="1"/>
  <c r="A3080" i="11" a="1"/>
  <c r="A3080" i="11" s="1"/>
  <c r="A3056" i="11" a="1"/>
  <c r="A3056" i="11" s="1"/>
  <c r="A3012" i="11" a="1"/>
  <c r="A3012" i="11" s="1"/>
  <c r="A2961" i="11" a="1"/>
  <c r="A2961" i="11" s="1"/>
  <c r="A2933" i="11" a="1"/>
  <c r="A2933" i="11" s="1"/>
  <c r="A2881" i="11" a="1"/>
  <c r="A2881" i="11" s="1"/>
  <c r="A2849" i="11" a="1"/>
  <c r="A2849" i="11" s="1"/>
  <c r="A2775" i="11" a="1"/>
  <c r="A2775" i="11" s="1"/>
  <c r="A2733" i="11" a="1"/>
  <c r="A2733" i="11" s="1"/>
  <c r="A2655" i="11" a="1"/>
  <c r="A2655" i="11" s="1"/>
  <c r="A2618" i="11" a="1"/>
  <c r="A2618" i="11" s="1"/>
  <c r="A2533" i="11" a="1"/>
  <c r="A2533" i="11" s="1"/>
  <c r="A2494" i="11" a="1"/>
  <c r="A2494" i="11" s="1"/>
  <c r="A2411" i="11" a="1"/>
  <c r="A2411" i="11" s="1"/>
  <c r="A2373" i="11" a="1"/>
  <c r="A2373" i="11" s="1"/>
  <c r="A2329" i="11" a="1"/>
  <c r="A2329" i="11" s="1"/>
  <c r="A2249" i="11" a="1"/>
  <c r="A2249" i="11" s="1"/>
  <c r="A2206" i="11" a="1"/>
  <c r="A2206" i="11" s="1"/>
  <c r="A2122" i="11" a="1"/>
  <c r="A2122" i="11" s="1"/>
  <c r="A2075" i="11" a="1"/>
  <c r="A2075" i="11" s="1"/>
  <c r="A2039" i="11" a="1"/>
  <c r="A2039" i="11" s="1"/>
  <c r="A1948" i="11" a="1"/>
  <c r="A1948" i="11" s="1"/>
  <c r="A1911" i="11" a="1"/>
  <c r="A1911" i="11" s="1"/>
  <c r="A1872" i="11" a="1"/>
  <c r="A1872" i="11" s="1"/>
  <c r="A1785" i="11" a="1"/>
  <c r="A1785" i="11" s="1"/>
  <c r="A1743" i="11" a="1"/>
  <c r="A1743" i="11" s="1"/>
  <c r="A1699" i="11" a="1"/>
  <c r="A1699" i="11" s="1"/>
  <c r="A1662" i="11" a="1"/>
  <c r="A1662" i="11" s="1"/>
  <c r="A1572" i="11" a="1"/>
  <c r="A1572" i="11" s="1"/>
  <c r="A1536" i="11" a="1"/>
  <c r="A1536" i="11" s="1"/>
  <c r="A1493" i="11" a="1"/>
  <c r="A1493" i="11" s="1"/>
  <c r="A1448" i="11" a="1"/>
  <c r="A1448" i="11" s="1"/>
  <c r="A1365" i="11" a="1"/>
  <c r="A1365" i="11" s="1"/>
  <c r="A3658" i="11" a="1"/>
  <c r="A3658" i="11" s="1"/>
  <c r="A3645" i="11" a="1"/>
  <c r="A3645" i="11" s="1"/>
  <c r="A3639" i="11" a="1"/>
  <c r="A3639" i="11" s="1"/>
  <c r="A3626" i="11" a="1"/>
  <c r="A3626" i="11" s="1"/>
  <c r="A3609" i="11" a="1"/>
  <c r="A3609" i="11" s="1"/>
  <c r="A3595" i="11" a="1"/>
  <c r="A3595" i="11" s="1"/>
  <c r="A3587" i="11" a="1"/>
  <c r="A3587" i="11" s="1"/>
  <c r="A3568" i="11" a="1"/>
  <c r="A3568" i="11" s="1"/>
  <c r="A3549" i="11" a="1"/>
  <c r="A3549" i="11" s="1"/>
  <c r="A3530" i="11" a="1"/>
  <c r="A3530" i="11" s="1"/>
  <c r="A3518" i="11" a="1"/>
  <c r="A3518" i="11" s="1"/>
  <c r="A3497" i="11" a="1"/>
  <c r="A3497" i="11" s="1"/>
  <c r="A3474" i="11" a="1"/>
  <c r="A3474" i="11" s="1"/>
  <c r="A3450" i="11" a="1"/>
  <c r="A3450" i="11" s="1"/>
  <c r="A3438" i="11" a="1"/>
  <c r="A3438" i="11" s="1"/>
  <c r="A3410" i="11" a="1"/>
  <c r="A3410" i="11" s="1"/>
  <c r="A3381" i="11" a="1"/>
  <c r="A3381" i="11" s="1"/>
  <c r="A3370" i="11" a="1"/>
  <c r="A3370" i="11" s="1"/>
  <c r="A3339" i="11" a="1"/>
  <c r="A3339" i="11" s="1"/>
  <c r="A3307" i="11" a="1"/>
  <c r="A3307" i="11" s="1"/>
  <c r="A3292" i="11" a="1"/>
  <c r="A3292" i="11" s="1"/>
  <c r="A3257" i="11" a="1"/>
  <c r="A3257" i="11" s="1"/>
  <c r="A3221" i="11" a="1"/>
  <c r="A3221" i="11" s="1"/>
  <c r="A3200" i="11" a="1"/>
  <c r="A3200" i="11" s="1"/>
  <c r="A3162" i="11" a="1"/>
  <c r="A3162" i="11" s="1"/>
  <c r="A3140" i="11" a="1"/>
  <c r="A3140" i="11" s="1"/>
  <c r="A3101" i="11" a="1"/>
  <c r="A3101" i="11" s="1"/>
  <c r="A3057" i="11" a="1"/>
  <c r="A3057" i="11" s="1"/>
  <c r="A3030" i="11" a="1"/>
  <c r="A3030" i="11" s="1"/>
  <c r="A2985" i="11" a="1"/>
  <c r="A2985" i="11" s="1"/>
  <c r="A2962" i="11" a="1"/>
  <c r="A2962" i="11" s="1"/>
  <c r="A2904" i="11" a="1"/>
  <c r="A2904" i="11" s="1"/>
  <c r="A2882" i="11" a="1"/>
  <c r="A2882" i="11" s="1"/>
  <c r="A2816" i="11" a="1"/>
  <c r="A2816" i="11" s="1"/>
  <c r="A2776" i="11" a="1"/>
  <c r="A2776" i="11" s="1"/>
  <c r="A2699" i="11" a="1"/>
  <c r="A2699" i="11" s="1"/>
  <c r="A2656" i="11" a="1"/>
  <c r="A2656" i="11" s="1"/>
  <c r="A2580" i="11" a="1"/>
  <c r="A2580" i="11" s="1"/>
  <c r="A2534" i="11" a="1"/>
  <c r="A2534" i="11" s="1"/>
  <c r="A2458" i="11" a="1"/>
  <c r="A2458" i="11" s="1"/>
  <c r="A2412" i="11" a="1"/>
  <c r="A2412" i="11" s="1"/>
  <c r="A2330" i="11" a="1"/>
  <c r="A2330" i="11" s="1"/>
  <c r="A2291" i="11" a="1"/>
  <c r="A2291" i="11" s="1"/>
  <c r="A2207" i="11" a="1"/>
  <c r="A2207" i="11" s="1"/>
  <c r="A2164" i="11" a="1"/>
  <c r="A2164" i="11" s="1"/>
  <c r="A2076" i="11" a="1"/>
  <c r="A2076" i="11" s="1"/>
  <c r="A2040" i="11" a="1"/>
  <c r="A2040" i="11" s="1"/>
  <c r="A1997" i="11" a="1"/>
  <c r="A1997" i="11" s="1"/>
  <c r="A1912" i="11" a="1"/>
  <c r="A1912" i="11" s="1"/>
  <c r="A1873" i="11" a="1"/>
  <c r="A1873" i="11" s="1"/>
  <c r="A1827" i="11" a="1"/>
  <c r="A1827" i="11" s="1"/>
  <c r="A1744" i="11" a="1"/>
  <c r="A1744" i="11" s="1"/>
  <c r="A1700" i="11" a="1"/>
  <c r="A1700" i="11" s="1"/>
  <c r="A1663" i="11" a="1"/>
  <c r="A1663" i="11" s="1"/>
  <c r="A1619" i="11" a="1"/>
  <c r="A1619" i="11" s="1"/>
  <c r="A1537" i="11" a="1"/>
  <c r="A1537" i="11" s="1"/>
  <c r="A1494" i="11" a="1"/>
  <c r="A1494" i="11" s="1"/>
  <c r="A1449" i="11" a="1"/>
  <c r="A1449" i="11" s="1"/>
  <c r="A1407" i="11" a="1"/>
  <c r="A1407" i="11" s="1"/>
  <c r="A1325" i="11" a="1"/>
  <c r="A1325" i="11" s="1"/>
  <c r="A1280" i="11" a="1"/>
  <c r="A1280" i="11" s="1"/>
  <c r="A3646" i="11" a="1"/>
  <c r="A3646" i="11" s="1"/>
  <c r="A3632" i="11" a="1"/>
  <c r="A3632" i="11" s="1"/>
  <c r="A3619" i="11" a="1"/>
  <c r="A3619" i="11" s="1"/>
  <c r="A3610" i="11" a="1"/>
  <c r="A3610" i="11" s="1"/>
  <c r="A3596" i="11" a="1"/>
  <c r="A3596" i="11" s="1"/>
  <c r="A3577" i="11" a="1"/>
  <c r="A3577" i="11" s="1"/>
  <c r="A3559" i="11" a="1"/>
  <c r="A3559" i="11" s="1"/>
  <c r="A3550" i="11" a="1"/>
  <c r="A3550" i="11" s="1"/>
  <c r="A3531" i="11" a="1"/>
  <c r="A3531" i="11" s="1"/>
  <c r="A3508" i="11" a="1"/>
  <c r="A3508" i="11" s="1"/>
  <c r="A3488" i="11" a="1"/>
  <c r="A3488" i="11" s="1"/>
  <c r="A3475" i="11" a="1"/>
  <c r="A3475" i="11" s="1"/>
  <c r="A3451" i="11" a="1"/>
  <c r="A3451" i="11" s="1"/>
  <c r="A3425" i="11" a="1"/>
  <c r="A3425" i="11" s="1"/>
  <c r="A3411" i="11" a="1"/>
  <c r="A3411" i="11" s="1"/>
  <c r="A3382" i="11" a="1"/>
  <c r="A3382" i="11" s="1"/>
  <c r="A3354" i="11" a="1"/>
  <c r="A3354" i="11" s="1"/>
  <c r="A3323" i="11" a="1"/>
  <c r="A3323" i="11" s="1"/>
  <c r="A3308" i="11" a="1"/>
  <c r="A3308" i="11" s="1"/>
  <c r="A3269" i="11" a="1"/>
  <c r="A3269" i="11" s="1"/>
  <c r="A3238" i="11" a="1"/>
  <c r="A3238" i="11" s="1"/>
  <c r="A3222" i="11" a="1"/>
  <c r="A3222" i="11" s="1"/>
  <c r="A3181" i="11" a="1"/>
  <c r="A3181" i="11" s="1"/>
  <c r="A3163" i="11" a="1"/>
  <c r="A3163" i="11" s="1"/>
  <c r="A3123" i="11" a="1"/>
  <c r="A3123" i="11" s="1"/>
  <c r="A3081" i="11" a="1"/>
  <c r="A3081" i="11" s="1"/>
  <c r="A3058" i="11" a="1"/>
  <c r="A3058" i="11" s="1"/>
  <c r="A3013" i="11" a="1"/>
  <c r="A3013" i="11" s="1"/>
  <c r="A2986" i="11" a="1"/>
  <c r="A2986" i="11" s="1"/>
  <c r="A2934" i="11" a="1"/>
  <c r="A2934" i="11" s="1"/>
  <c r="A2883" i="11" a="1"/>
  <c r="A2883" i="11" s="1"/>
  <c r="A2850" i="11" a="1"/>
  <c r="A2850" i="11" s="1"/>
  <c r="A2777" i="11" a="1"/>
  <c r="A2777" i="11" s="1"/>
  <c r="A2734" i="11" a="1"/>
  <c r="A2734" i="11" s="1"/>
  <c r="A2657" i="11" a="1"/>
  <c r="A2657" i="11" s="1"/>
  <c r="A2619" i="11" a="1"/>
  <c r="A2619" i="11" s="1"/>
  <c r="A2535" i="11" a="1"/>
  <c r="A2535" i="11" s="1"/>
  <c r="A2495" i="11" a="1"/>
  <c r="A2495" i="11" s="1"/>
  <c r="A2413" i="11" a="1"/>
  <c r="A2413" i="11" s="1"/>
  <c r="A2374" i="11" a="1"/>
  <c r="A2374" i="11" s="1"/>
  <c r="A2292" i="11" a="1"/>
  <c r="A2292" i="11" s="1"/>
  <c r="A2250" i="11" a="1"/>
  <c r="A2250" i="11" s="1"/>
  <c r="A2165" i="11" a="1"/>
  <c r="A2165" i="11" s="1"/>
  <c r="A2123" i="11" a="1"/>
  <c r="A2123" i="11" s="1"/>
  <c r="A2077" i="11" a="1"/>
  <c r="A2077" i="11" s="1"/>
  <c r="A1998" i="11" a="1"/>
  <c r="A1998" i="11" s="1"/>
  <c r="A1949" i="11" a="1"/>
  <c r="A1949" i="11" s="1"/>
  <c r="A1913" i="11" a="1"/>
  <c r="A1913" i="11" s="1"/>
  <c r="A1828" i="11" a="1"/>
  <c r="A1828" i="11" s="1"/>
  <c r="A1786" i="11" a="1"/>
  <c r="A1786" i="11" s="1"/>
  <c r="A1701" i="11" a="1"/>
  <c r="A1701" i="11" s="1"/>
  <c r="A1664" i="11" a="1"/>
  <c r="A1664" i="11" s="1"/>
  <c r="A1620" i="11" a="1"/>
  <c r="A1620" i="11" s="1"/>
  <c r="A1573" i="11" a="1"/>
  <c r="A1573" i="11" s="1"/>
  <c r="A1495" i="11" a="1"/>
  <c r="A1495" i="11" s="1"/>
  <c r="A1450" i="11" a="1"/>
  <c r="A1450" i="11" s="1"/>
  <c r="A1408" i="11" a="1"/>
  <c r="A1408" i="11" s="1"/>
  <c r="A1366" i="11" a="1"/>
  <c r="A1366" i="11" s="1"/>
  <c r="A1281" i="11" a="1"/>
  <c r="A1281" i="11" s="1"/>
  <c r="A1242" i="11" a="1"/>
  <c r="A1242" i="11" s="1"/>
  <c r="A1196" i="11" a="1"/>
  <c r="A1196" i="11" s="1"/>
  <c r="A3633" i="11" a="1"/>
  <c r="A3633" i="11" s="1"/>
  <c r="A3620" i="11" a="1"/>
  <c r="A3620" i="11" s="1"/>
  <c r="A3603" i="11" a="1"/>
  <c r="A3603" i="11" s="1"/>
  <c r="A3588" i="11" a="1"/>
  <c r="A3588" i="11" s="1"/>
  <c r="A3578" i="11" a="1"/>
  <c r="A3578" i="11" s="1"/>
  <c r="A3560" i="11" a="1"/>
  <c r="A3560" i="11" s="1"/>
  <c r="A3540" i="11" a="1"/>
  <c r="A3540" i="11" s="1"/>
  <c r="A3519" i="11" a="1"/>
  <c r="A3519" i="11" s="1"/>
  <c r="A3509" i="11" a="1"/>
  <c r="A3509" i="11" s="1"/>
  <c r="A3489" i="11" a="1"/>
  <c r="A3489" i="11" s="1"/>
  <c r="A3462" i="11" a="1"/>
  <c r="A3462" i="11" s="1"/>
  <c r="A3439" i="11" a="1"/>
  <c r="A3439" i="11" s="1"/>
  <c r="A3426" i="11" a="1"/>
  <c r="A3426" i="11" s="1"/>
  <c r="A3398" i="11" a="1"/>
  <c r="A3398" i="11" s="1"/>
  <c r="A3371" i="11" a="1"/>
  <c r="A3371" i="11" s="1"/>
  <c r="A3355" i="11" a="1"/>
  <c r="A3355" i="11" s="1"/>
  <c r="A3324" i="11" a="1"/>
  <c r="A3324" i="11" s="1"/>
  <c r="A3293" i="11" a="1"/>
  <c r="A3293" i="11" s="1"/>
  <c r="A3270" i="11" a="1"/>
  <c r="A3270" i="11" s="1"/>
  <c r="A3239" i="11" a="1"/>
  <c r="A3239" i="11" s="1"/>
  <c r="A3201" i="11" a="1"/>
  <c r="A3201" i="11" s="1"/>
  <c r="A3182" i="11" a="1"/>
  <c r="A3182" i="11" s="1"/>
  <c r="A3141" i="11" a="1"/>
  <c r="A3141" i="11" s="1"/>
  <c r="A3102" i="11" a="1"/>
  <c r="A3102" i="11" s="1"/>
  <c r="A3082" i="11" a="1"/>
  <c r="A3082" i="11" s="1"/>
  <c r="A3031" i="11" a="1"/>
  <c r="A3031" i="11" s="1"/>
  <c r="A3014" i="11" a="1"/>
  <c r="A3014" i="11" s="1"/>
  <c r="A2963" i="11" a="1"/>
  <c r="A2963" i="11" s="1"/>
  <c r="A2905" i="11" a="1"/>
  <c r="A2905" i="11" s="1"/>
  <c r="A2884" i="11" a="1"/>
  <c r="A2884" i="11" s="1"/>
  <c r="A2817" i="11" a="1"/>
  <c r="A2817" i="11" s="1"/>
  <c r="A2778" i="11" a="1"/>
  <c r="A2778" i="11" s="1"/>
  <c r="A2700" i="11" a="1"/>
  <c r="A2700" i="11" s="1"/>
  <c r="A2658" i="11" a="1"/>
  <c r="A2658" i="11" s="1"/>
  <c r="A2581" i="11" a="1"/>
  <c r="A2581" i="11" s="1"/>
  <c r="A2536" i="11" a="1"/>
  <c r="A2536" i="11" s="1"/>
  <c r="A2459" i="11" a="1"/>
  <c r="A2459" i="11" s="1"/>
  <c r="A2414" i="11" a="1"/>
  <c r="A2414" i="11" s="1"/>
  <c r="A2331" i="11" a="1"/>
  <c r="A2331" i="11" s="1"/>
  <c r="A2293" i="11" a="1"/>
  <c r="A2293" i="11" s="1"/>
  <c r="A2208" i="11" a="1"/>
  <c r="A2208" i="11" s="1"/>
  <c r="A2166" i="11" a="1"/>
  <c r="A2166" i="11" s="1"/>
  <c r="A2078" i="11" a="1"/>
  <c r="A2078" i="11" s="1"/>
  <c r="A2041" i="11" a="1"/>
  <c r="A2041" i="11" s="1"/>
  <c r="A1950" i="11" a="1"/>
  <c r="A1950" i="11" s="1"/>
  <c r="A1914" i="11" a="1"/>
  <c r="A1914" i="11" s="1"/>
  <c r="A1874" i="11" a="1"/>
  <c r="A1874" i="11" s="1"/>
  <c r="A1787" i="11" a="1"/>
  <c r="A1787" i="11" s="1"/>
  <c r="A1745" i="11" a="1"/>
  <c r="A1745" i="11" s="1"/>
  <c r="A1702" i="11" a="1"/>
  <c r="A1702" i="11" s="1"/>
  <c r="A1621" i="11" a="1"/>
  <c r="A1621" i="11" s="1"/>
  <c r="A1574" i="11" a="1"/>
  <c r="A1574" i="11" s="1"/>
  <c r="A1538" i="11" a="1"/>
  <c r="A1538" i="11" s="1"/>
  <c r="A1451" i="11" a="1"/>
  <c r="A1451" i="11" s="1"/>
  <c r="A1409" i="11" a="1"/>
  <c r="A1409" i="11" s="1"/>
  <c r="A1367" i="11" a="1"/>
  <c r="A1367" i="11" s="1"/>
  <c r="A1326" i="11" a="1"/>
  <c r="A1326" i="11" s="1"/>
  <c r="A1243" i="11" a="1"/>
  <c r="A1243" i="11" s="1"/>
  <c r="A1197" i="11" a="1"/>
  <c r="A1197" i="11" s="1"/>
  <c r="A1150" i="11" a="1"/>
  <c r="A1150" i="11" s="1"/>
  <c r="A1111" i="11" a="1"/>
  <c r="A1111" i="11" s="1"/>
  <c r="A3611" i="11" a="1"/>
  <c r="A3611" i="11" s="1"/>
  <c r="A3604" i="11" a="1"/>
  <c r="A3604" i="11" s="1"/>
  <c r="A3589" i="11" a="1"/>
  <c r="A3589" i="11" s="1"/>
  <c r="A3569" i="11" a="1"/>
  <c r="A3569" i="11" s="1"/>
  <c r="A3551" i="11" a="1"/>
  <c r="A3551" i="11" s="1"/>
  <c r="A3541" i="11" a="1"/>
  <c r="A3541" i="11" s="1"/>
  <c r="A3520" i="11" a="1"/>
  <c r="A3520" i="11" s="1"/>
  <c r="A3498" i="11" a="1"/>
  <c r="A3498" i="11" s="1"/>
  <c r="A3476" i="11" a="1"/>
  <c r="A3476" i="11" s="1"/>
  <c r="A3463" i="11" a="1"/>
  <c r="A3463" i="11" s="1"/>
  <c r="A3440" i="11" a="1"/>
  <c r="A3440" i="11" s="1"/>
  <c r="A3412" i="11" a="1"/>
  <c r="A3412" i="11" s="1"/>
  <c r="A3383" i="11" a="1"/>
  <c r="A3383" i="11" s="1"/>
  <c r="A3372" i="11" a="1"/>
  <c r="A3372" i="11" s="1"/>
  <c r="A3340" i="11" a="1"/>
  <c r="A3340" i="11" s="1"/>
  <c r="A3309" i="11" a="1"/>
  <c r="A3309" i="11" s="1"/>
  <c r="A3294" i="11" a="1"/>
  <c r="A3294" i="11" s="1"/>
  <c r="A3258" i="11" a="1"/>
  <c r="A3258" i="11" s="1"/>
  <c r="A3223" i="11" a="1"/>
  <c r="A3223" i="11" s="1"/>
  <c r="A3202" i="11" a="1"/>
  <c r="A3202" i="11" s="1"/>
  <c r="A3164" i="11" a="1"/>
  <c r="A3164" i="11" s="1"/>
  <c r="A3124" i="11" a="1"/>
  <c r="A3124" i="11" s="1"/>
  <c r="A3103" i="11" a="1"/>
  <c r="A3103" i="11" s="1"/>
  <c r="A3059" i="11" a="1"/>
  <c r="A3059" i="11" s="1"/>
  <c r="A3032" i="11" a="1"/>
  <c r="A3032" i="11" s="1"/>
  <c r="A2987" i="11" a="1"/>
  <c r="A2987" i="11" s="1"/>
  <c r="A2935" i="11" a="1"/>
  <c r="A2935" i="11" s="1"/>
  <c r="A2906" i="11" a="1"/>
  <c r="A2906" i="11" s="1"/>
  <c r="A2851" i="11" a="1"/>
  <c r="A2851" i="11" s="1"/>
  <c r="A2818" i="11" a="1"/>
  <c r="A2818" i="11" s="1"/>
  <c r="A2735" i="11" a="1"/>
  <c r="A2735" i="11" s="1"/>
  <c r="A2659" i="11" a="1"/>
  <c r="A2659" i="11" s="1"/>
  <c r="A2620" i="11" a="1"/>
  <c r="A2620" i="11" s="1"/>
  <c r="A2537" i="11" a="1"/>
  <c r="A2537" i="11" s="1"/>
  <c r="A2496" i="11" a="1"/>
  <c r="A2496" i="11" s="1"/>
  <c r="A2415" i="11" a="1"/>
  <c r="A2415" i="11" s="1"/>
  <c r="A2375" i="11" a="1"/>
  <c r="A2375" i="11" s="1"/>
  <c r="A2294" i="11" a="1"/>
  <c r="A2294" i="11" s="1"/>
  <c r="A2251" i="11" a="1"/>
  <c r="A2251" i="11" s="1"/>
  <c r="A2167" i="11" a="1"/>
  <c r="A2167" i="11" s="1"/>
  <c r="A2124" i="11" a="1"/>
  <c r="A2124" i="11" s="1"/>
  <c r="A2079" i="11" a="1"/>
  <c r="A2079" i="11" s="1"/>
  <c r="A1999" i="11" a="1"/>
  <c r="A1999" i="11" s="1"/>
  <c r="A1951" i="11" a="1"/>
  <c r="A1951" i="11" s="1"/>
  <c r="A1875" i="11" a="1"/>
  <c r="A1875" i="11" s="1"/>
  <c r="A1829" i="11" a="1"/>
  <c r="A1829" i="11" s="1"/>
  <c r="A1788" i="11" a="1"/>
  <c r="A1788" i="11" s="1"/>
  <c r="A1703" i="11" a="1"/>
  <c r="A1703" i="11" s="1"/>
  <c r="A1665" i="11" a="1"/>
  <c r="A1665" i="11" s="1"/>
  <c r="A1575" i="11" a="1"/>
  <c r="A1575" i="11" s="1"/>
  <c r="A1539" i="11" a="1"/>
  <c r="A1539" i="11" s="1"/>
  <c r="A1496" i="11" a="1"/>
  <c r="A1496" i="11" s="1"/>
  <c r="A1452" i="11" a="1"/>
  <c r="A1452" i="11" s="1"/>
  <c r="A1368" i="11" a="1"/>
  <c r="A1368" i="11" s="1"/>
  <c r="A1327" i="11" a="1"/>
  <c r="A1327" i="11" s="1"/>
  <c r="A1282" i="11" a="1"/>
  <c r="A1282" i="11" s="1"/>
  <c r="A1244" i="11" a="1"/>
  <c r="A1244" i="11" s="1"/>
  <c r="A1151" i="11" a="1"/>
  <c r="A1151" i="11" s="1"/>
  <c r="A1112" i="11" a="1"/>
  <c r="A1112" i="11" s="1"/>
  <c r="A1072" i="11" a="1"/>
  <c r="A1072" i="11" s="1"/>
  <c r="A1025" i="11" a="1"/>
  <c r="A1025" i="11" s="1"/>
  <c r="A3597" i="11" a="1"/>
  <c r="A3597" i="11" s="1"/>
  <c r="A3579" i="11" a="1"/>
  <c r="A3579" i="11" s="1"/>
  <c r="A3570" i="11" a="1"/>
  <c r="A3570" i="11" s="1"/>
  <c r="A3552" i="11" a="1"/>
  <c r="A3552" i="11" s="1"/>
  <c r="A3532" i="11" a="1"/>
  <c r="A3532" i="11" s="1"/>
  <c r="A3510" i="11" a="1"/>
  <c r="A3510" i="11" s="1"/>
  <c r="A3499" i="11" a="1"/>
  <c r="A3499" i="11" s="1"/>
  <c r="A3477" i="11" a="1"/>
  <c r="A3477" i="11" s="1"/>
  <c r="A3452" i="11" a="1"/>
  <c r="A3452" i="11" s="1"/>
  <c r="A3427" i="11" a="1"/>
  <c r="A3427" i="11" s="1"/>
  <c r="A3413" i="11" a="1"/>
  <c r="A3413" i="11" s="1"/>
  <c r="A3384" i="11" a="1"/>
  <c r="A3384" i="11" s="1"/>
  <c r="A3356" i="11" a="1"/>
  <c r="A3356" i="11" s="1"/>
  <c r="A3341" i="11" a="1"/>
  <c r="A3341" i="11" s="1"/>
  <c r="A3310" i="11" a="1"/>
  <c r="A3310" i="11" s="1"/>
  <c r="A3271" i="11" a="1"/>
  <c r="A3271" i="11" s="1"/>
  <c r="A3259" i="11" a="1"/>
  <c r="A3259" i="11" s="1"/>
  <c r="A3224" i="11" a="1"/>
  <c r="A3224" i="11" s="1"/>
  <c r="A3183" i="11" a="1"/>
  <c r="A3183" i="11" s="1"/>
  <c r="A3165" i="11" a="1"/>
  <c r="A3165" i="11" s="1"/>
  <c r="A3125" i="11" a="1"/>
  <c r="A3125" i="11" s="1"/>
  <c r="A3083" i="11" a="1"/>
  <c r="A3083" i="11" s="1"/>
  <c r="A3060" i="11" a="1"/>
  <c r="A3060" i="11" s="1"/>
  <c r="A3015" i="11" a="1"/>
  <c r="A3015" i="11" s="1"/>
  <c r="A2964" i="11" a="1"/>
  <c r="A2964" i="11" s="1"/>
  <c r="A2936" i="11" a="1"/>
  <c r="A2936" i="11" s="1"/>
  <c r="A2885" i="11" a="1"/>
  <c r="A2885" i="11" s="1"/>
  <c r="A2852" i="11" a="1"/>
  <c r="A2852" i="11" s="1"/>
  <c r="A2779" i="11" a="1"/>
  <c r="A2779" i="11" s="1"/>
  <c r="A2701" i="11" a="1"/>
  <c r="A2701" i="11" s="1"/>
  <c r="A2660" i="11" a="1"/>
  <c r="A2660" i="11" s="1"/>
  <c r="A2582" i="11" a="1"/>
  <c r="A2582" i="11" s="1"/>
  <c r="A2538" i="11" a="1"/>
  <c r="A2538" i="11" s="1"/>
  <c r="A2460" i="11" a="1"/>
  <c r="A2460" i="11" s="1"/>
  <c r="A2416" i="11" a="1"/>
  <c r="A2416" i="11" s="1"/>
  <c r="A2332" i="11" a="1"/>
  <c r="A2332" i="11" s="1"/>
  <c r="A2295" i="11" a="1"/>
  <c r="A2295" i="11" s="1"/>
  <c r="A2209" i="11" a="1"/>
  <c r="A2209" i="11" s="1"/>
  <c r="A2168" i="11" a="1"/>
  <c r="A2168" i="11" s="1"/>
  <c r="A2080" i="11" a="1"/>
  <c r="A2080" i="11" s="1"/>
  <c r="A2042" i="11" a="1"/>
  <c r="A2042" i="11" s="1"/>
  <c r="A1952" i="11" a="1"/>
  <c r="A1952" i="11" s="1"/>
  <c r="A1915" i="11" a="1"/>
  <c r="A1915" i="11" s="1"/>
  <c r="A1876" i="11" a="1"/>
  <c r="A1876" i="11" s="1"/>
  <c r="A1789" i="11" a="1"/>
  <c r="A1789" i="11" s="1"/>
  <c r="A1746" i="11" a="1"/>
  <c r="A1746" i="11" s="1"/>
  <c r="A1666" i="11" a="1"/>
  <c r="A1666" i="11" s="1"/>
  <c r="A1622" i="11" a="1"/>
  <c r="A1622" i="11" s="1"/>
  <c r="A1576" i="11" a="1"/>
  <c r="A1576" i="11" s="1"/>
  <c r="A1497" i="11" a="1"/>
  <c r="A1497" i="11" s="1"/>
  <c r="A1453" i="11" a="1"/>
  <c r="A1453" i="11" s="1"/>
  <c r="A1410" i="11" a="1"/>
  <c r="A1410" i="11" s="1"/>
  <c r="A1369" i="11" a="1"/>
  <c r="A1369" i="11" s="1"/>
  <c r="A1283" i="11" a="1"/>
  <c r="A1283" i="11" s="1"/>
  <c r="A1245" i="11" a="1"/>
  <c r="A1245" i="11" s="1"/>
  <c r="A1198" i="11" a="1"/>
  <c r="A1198" i="11" s="1"/>
  <c r="A1152" i="11" a="1"/>
  <c r="A1152" i="11" s="1"/>
  <c r="A1073" i="11" a="1"/>
  <c r="A1073" i="11" s="1"/>
  <c r="A1026" i="11" a="1"/>
  <c r="A1026" i="11" s="1"/>
  <c r="A978" i="11" a="1"/>
  <c r="A978" i="11" s="1"/>
  <c r="A936" i="11" a="1"/>
  <c r="A936" i="11" s="1"/>
  <c r="A3580" i="11" a="1"/>
  <c r="A3580" i="11" s="1"/>
  <c r="A3561" i="11" a="1"/>
  <c r="A3561" i="11" s="1"/>
  <c r="A3553" i="11" a="1"/>
  <c r="A3553" i="11" s="1"/>
  <c r="A3533" i="11" a="1"/>
  <c r="A3533" i="11" s="1"/>
  <c r="A3511" i="11" a="1"/>
  <c r="A3511" i="11" s="1"/>
  <c r="A3490" i="11" a="1"/>
  <c r="A3490" i="11" s="1"/>
  <c r="A3478" i="11" a="1"/>
  <c r="A3478" i="11" s="1"/>
  <c r="A3453" i="11" a="1"/>
  <c r="A3453" i="11" s="1"/>
  <c r="A3428" i="11" a="1"/>
  <c r="A3428" i="11" s="1"/>
  <c r="A3399" i="11" a="1"/>
  <c r="A3399" i="11" s="1"/>
  <c r="A3385" i="11" a="1"/>
  <c r="A3385" i="11" s="1"/>
  <c r="A3357" i="11" a="1"/>
  <c r="A3357" i="11" s="1"/>
  <c r="A3325" i="11" a="1"/>
  <c r="A3325" i="11" s="1"/>
  <c r="A3295" i="11" a="1"/>
  <c r="A3295" i="11" s="1"/>
  <c r="A3272" i="11" a="1"/>
  <c r="A3272" i="11" s="1"/>
  <c r="A3240" i="11" a="1"/>
  <c r="A3240" i="11" s="1"/>
  <c r="A3203" i="11" a="1"/>
  <c r="A3203" i="11" s="1"/>
  <c r="A3184" i="11" a="1"/>
  <c r="A3184" i="11" s="1"/>
  <c r="A3142" i="11" a="1"/>
  <c r="A3142" i="11" s="1"/>
  <c r="A3104" i="11" a="1"/>
  <c r="A3104" i="11" s="1"/>
  <c r="A3084" i="11" a="1"/>
  <c r="A3084" i="11" s="1"/>
  <c r="A3033" i="11" a="1"/>
  <c r="A3033" i="11" s="1"/>
  <c r="A2988" i="11" a="1"/>
  <c r="A2988" i="11" s="1"/>
  <c r="A2965" i="11" a="1"/>
  <c r="A2965" i="11" s="1"/>
  <c r="A2907" i="11" a="1"/>
  <c r="A2907" i="11" s="1"/>
  <c r="A2886" i="11" a="1"/>
  <c r="A2886" i="11" s="1"/>
  <c r="A2819" i="11" a="1"/>
  <c r="A2819" i="11" s="1"/>
  <c r="A2736" i="11" a="1"/>
  <c r="A2736" i="11" s="1"/>
  <c r="A2702" i="11" a="1"/>
  <c r="A2702" i="11" s="1"/>
  <c r="A2621" i="11" a="1"/>
  <c r="A2621" i="11" s="1"/>
  <c r="A2583" i="11" a="1"/>
  <c r="A2583" i="11" s="1"/>
  <c r="A2497" i="11" a="1"/>
  <c r="A2497" i="11" s="1"/>
  <c r="A2461" i="11" a="1"/>
  <c r="A2461" i="11" s="1"/>
  <c r="A2376" i="11" a="1"/>
  <c r="A2376" i="11" s="1"/>
  <c r="A2333" i="11" a="1"/>
  <c r="A2333" i="11" s="1"/>
  <c r="A2252" i="11" a="1"/>
  <c r="A2252" i="11" s="1"/>
  <c r="A2210" i="11" a="1"/>
  <c r="A2210" i="11" s="1"/>
  <c r="A2125" i="11" a="1"/>
  <c r="A2125" i="11" s="1"/>
  <c r="A2081" i="11" a="1"/>
  <c r="A2081" i="11" s="1"/>
  <c r="A2000" i="11" a="1"/>
  <c r="A2000" i="11" s="1"/>
  <c r="A1953" i="11" a="1"/>
  <c r="A1953" i="11" s="1"/>
  <c r="A1877" i="11" a="1"/>
  <c r="A1877" i="11" s="1"/>
  <c r="A1830" i="11" a="1"/>
  <c r="A1830" i="11" s="1"/>
  <c r="A1790" i="11" a="1"/>
  <c r="A1790" i="11" s="1"/>
  <c r="A1704" i="11" a="1"/>
  <c r="A1704" i="11" s="1"/>
  <c r="A1667" i="11" a="1"/>
  <c r="A1667" i="11" s="1"/>
  <c r="A1577" i="11" a="1"/>
  <c r="A1577" i="11" s="1"/>
  <c r="A1540" i="11" a="1"/>
  <c r="A1540" i="11" s="1"/>
  <c r="A1498" i="11" a="1"/>
  <c r="A1498" i="11" s="1"/>
  <c r="A1411" i="11" a="1"/>
  <c r="A1411" i="11" s="1"/>
  <c r="A1370" i="11" a="1"/>
  <c r="A1370" i="11" s="1"/>
  <c r="A1328" i="11" a="1"/>
  <c r="A1328" i="11" s="1"/>
  <c r="A1284" i="11" a="1"/>
  <c r="A1284" i="11" s="1"/>
  <c r="A1199" i="11" a="1"/>
  <c r="A1199" i="11" s="1"/>
  <c r="A1153" i="11" a="1"/>
  <c r="A1153" i="11" s="1"/>
  <c r="A1113" i="11" a="1"/>
  <c r="A1113" i="11" s="1"/>
  <c r="A1074" i="11" a="1"/>
  <c r="A1074" i="11" s="1"/>
  <c r="A979" i="11" a="1"/>
  <c r="A979" i="11" s="1"/>
  <c r="A937" i="11" a="1"/>
  <c r="A937" i="11" s="1"/>
  <c r="A892" i="11" a="1"/>
  <c r="A892" i="11" s="1"/>
  <c r="A844" i="11" a="1"/>
  <c r="A844" i="11" s="1"/>
  <c r="A3562" i="11" a="1"/>
  <c r="A3562" i="11" s="1"/>
  <c r="A3542" i="11" a="1"/>
  <c r="A3542" i="11" s="1"/>
  <c r="A3521" i="11" a="1"/>
  <c r="A3521" i="11" s="1"/>
  <c r="A3512" i="11" a="1"/>
  <c r="A3512" i="11" s="1"/>
  <c r="A3491" i="11" a="1"/>
  <c r="A3491" i="11" s="1"/>
  <c r="A3464" i="11" a="1"/>
  <c r="A3464" i="11" s="1"/>
  <c r="A3441" i="11" a="1"/>
  <c r="A3441" i="11" s="1"/>
  <c r="A3429" i="11" a="1"/>
  <c r="A3429" i="11" s="1"/>
  <c r="A3400" i="11" a="1"/>
  <c r="A3400" i="11" s="1"/>
  <c r="A3373" i="11" a="1"/>
  <c r="A3373" i="11" s="1"/>
  <c r="A3342" i="11" a="1"/>
  <c r="A3342" i="11" s="1"/>
  <c r="A3326" i="11" a="1"/>
  <c r="A3326" i="11" s="1"/>
  <c r="A3296" i="11" a="1"/>
  <c r="A3296" i="11" s="1"/>
  <c r="A3260" i="11" a="1"/>
  <c r="A3260" i="11" s="1"/>
  <c r="A3241" i="11" a="1"/>
  <c r="A3241" i="11" s="1"/>
  <c r="A3204" i="11" a="1"/>
  <c r="A3204" i="11" s="1"/>
  <c r="A3166" i="11" a="1"/>
  <c r="A3166" i="11" s="1"/>
  <c r="A3143" i="11" a="1"/>
  <c r="A3143" i="11" s="1"/>
  <c r="A3105" i="11" a="1"/>
  <c r="A3105" i="11" s="1"/>
  <c r="A3061" i="11" a="1"/>
  <c r="A3061" i="11" s="1"/>
  <c r="A3034" i="11" a="1"/>
  <c r="A3034" i="11" s="1"/>
  <c r="A2989" i="11" a="1"/>
  <c r="A2989" i="11" s="1"/>
  <c r="A2937" i="11" a="1"/>
  <c r="A2937" i="11" s="1"/>
  <c r="A2908" i="11" a="1"/>
  <c r="A2908" i="11" s="1"/>
  <c r="A2853" i="11" a="1"/>
  <c r="A2853" i="11" s="1"/>
  <c r="A2820" i="11" a="1"/>
  <c r="A2820" i="11" s="1"/>
  <c r="A2737" i="11" a="1"/>
  <c r="A2737" i="11" s="1"/>
  <c r="A2661" i="11" a="1"/>
  <c r="A2661" i="11" s="1"/>
  <c r="A2622" i="11" a="1"/>
  <c r="A2622" i="11" s="1"/>
  <c r="A2539" i="11" a="1"/>
  <c r="A2539" i="11" s="1"/>
  <c r="A2498" i="11" a="1"/>
  <c r="A2498" i="11" s="1"/>
  <c r="A2417" i="11" a="1"/>
  <c r="A2417" i="11" s="1"/>
  <c r="A2377" i="11" a="1"/>
  <c r="A2377" i="11" s="1"/>
  <c r="A2296" i="11" a="1"/>
  <c r="A2296" i="11" s="1"/>
  <c r="A2253" i="11" a="1"/>
  <c r="A2253" i="11" s="1"/>
  <c r="A2169" i="11" a="1"/>
  <c r="A2169" i="11" s="1"/>
  <c r="A2126" i="11" a="1"/>
  <c r="A2126" i="11" s="1"/>
  <c r="A2043" i="11" a="1"/>
  <c r="A2043" i="11" s="1"/>
  <c r="A2001" i="11" a="1"/>
  <c r="A2001" i="11" s="1"/>
  <c r="A1916" i="11" a="1"/>
  <c r="A1916" i="11" s="1"/>
  <c r="A1878" i="11" a="1"/>
  <c r="A1878" i="11" s="1"/>
  <c r="A1791" i="11" a="1"/>
  <c r="A1791" i="11" s="1"/>
  <c r="A1747" i="11" a="1"/>
  <c r="A1747" i="11" s="1"/>
  <c r="A1705" i="11" a="1"/>
  <c r="A1705" i="11" s="1"/>
  <c r="A1623" i="11" a="1"/>
  <c r="A1623" i="11" s="1"/>
  <c r="A1578" i="11" a="1"/>
  <c r="A1578" i="11" s="1"/>
  <c r="A1499" i="11" a="1"/>
  <c r="A1499" i="11" s="1"/>
  <c r="A1454" i="11" a="1"/>
  <c r="A1454" i="11" s="1"/>
  <c r="A1412" i="11" a="1"/>
  <c r="A1412" i="11" s="1"/>
  <c r="A1329" i="11" a="1"/>
  <c r="A1329" i="11" s="1"/>
  <c r="A1285" i="11" a="1"/>
  <c r="A1285" i="11" s="1"/>
  <c r="A1246" i="11" a="1"/>
  <c r="A1246" i="11" s="1"/>
  <c r="A1200" i="11" a="1"/>
  <c r="A1200" i="11" s="1"/>
  <c r="A1114" i="11" a="1"/>
  <c r="A1114" i="11" s="1"/>
  <c r="A1075" i="11" a="1"/>
  <c r="A1075" i="11" s="1"/>
  <c r="A1027" i="11" a="1"/>
  <c r="A1027" i="11" s="1"/>
  <c r="A980" i="11" a="1"/>
  <c r="A980" i="11" s="1"/>
  <c r="A893" i="11" a="1"/>
  <c r="A893" i="11" s="1"/>
  <c r="A845" i="11" a="1"/>
  <c r="A845" i="11" s="1"/>
  <c r="A797" i="11" a="1"/>
  <c r="A797" i="11" s="1"/>
  <c r="A747" i="11" a="1"/>
  <c r="A747" i="11" s="1"/>
  <c r="A3543" i="11" a="1"/>
  <c r="A3543" i="11" s="1"/>
  <c r="A3522" i="11" a="1"/>
  <c r="A3522" i="11" s="1"/>
  <c r="A3500" i="11" a="1"/>
  <c r="A3500" i="11" s="1"/>
  <c r="A3492" i="11" a="1"/>
  <c r="A3492" i="11" s="1"/>
  <c r="A3465" i="11" a="1"/>
  <c r="A3465" i="11" s="1"/>
  <c r="A3442" i="11" a="1"/>
  <c r="A3442" i="11" s="1"/>
  <c r="A3414" i="11" a="1"/>
  <c r="A3414" i="11" s="1"/>
  <c r="A3401" i="11" a="1"/>
  <c r="A3401" i="11" s="1"/>
  <c r="A3374" i="11" a="1"/>
  <c r="A3374" i="11" s="1"/>
  <c r="A3343" i="11" a="1"/>
  <c r="A3343" i="11" s="1"/>
  <c r="A3311" i="11" a="1"/>
  <c r="A3311" i="11" s="1"/>
  <c r="A3297" i="11" a="1"/>
  <c r="A3297" i="11" s="1"/>
  <c r="A3261" i="11" a="1"/>
  <c r="A3261" i="11" s="1"/>
  <c r="A3225" i="11" a="1"/>
  <c r="A3225" i="11" s="1"/>
  <c r="A3205" i="11" a="1"/>
  <c r="A3205" i="11" s="1"/>
  <c r="A3167" i="11" a="1"/>
  <c r="A3167" i="11" s="1"/>
  <c r="A3126" i="11" a="1"/>
  <c r="A3126" i="11" s="1"/>
  <c r="A3106" i="11" a="1"/>
  <c r="A3106" i="11" s="1"/>
  <c r="A3062" i="11" a="1"/>
  <c r="A3062" i="11" s="1"/>
  <c r="A3016" i="11" a="1"/>
  <c r="A3016" i="11" s="1"/>
  <c r="A2990" i="11" a="1"/>
  <c r="A2990" i="11" s="1"/>
  <c r="A2938" i="11" a="1"/>
  <c r="A2938" i="11" s="1"/>
  <c r="A2887" i="11" a="1"/>
  <c r="A2887" i="11" s="1"/>
  <c r="A2854" i="11" a="1"/>
  <c r="A2854" i="11" s="1"/>
  <c r="A2780" i="11" a="1"/>
  <c r="A2780" i="11" s="1"/>
  <c r="A2738" i="11" a="1"/>
  <c r="A2738" i="11" s="1"/>
  <c r="A2662" i="11" a="1"/>
  <c r="A2662" i="11" s="1"/>
  <c r="A2584" i="11" a="1"/>
  <c r="A2584" i="11" s="1"/>
  <c r="A2540" i="11" a="1"/>
  <c r="A2540" i="11" s="1"/>
  <c r="A2462" i="11" a="1"/>
  <c r="A2462" i="11" s="1"/>
  <c r="A2418" i="11" a="1"/>
  <c r="A2418" i="11" s="1"/>
  <c r="A2334" i="11" a="1"/>
  <c r="A2334" i="11" s="1"/>
  <c r="A2297" i="11" a="1"/>
  <c r="A2297" i="11" s="1"/>
  <c r="A2211" i="11" a="1"/>
  <c r="A2211" i="11" s="1"/>
  <c r="A2170" i="11" a="1"/>
  <c r="A2170" i="11" s="1"/>
  <c r="A2082" i="11" a="1"/>
  <c r="A2082" i="11" s="1"/>
  <c r="A2044" i="11" a="1"/>
  <c r="A2044" i="11" s="1"/>
  <c r="A1954" i="11" a="1"/>
  <c r="A1954" i="11" s="1"/>
  <c r="A1917" i="11" a="1"/>
  <c r="A1917" i="11" s="1"/>
  <c r="A1831" i="11" a="1"/>
  <c r="A1831" i="11" s="1"/>
  <c r="A1792" i="11" a="1"/>
  <c r="A1792" i="11" s="1"/>
  <c r="A1706" i="11" a="1"/>
  <c r="A1706" i="11" s="1"/>
  <c r="A1668" i="11" a="1"/>
  <c r="A1668" i="11" s="1"/>
  <c r="A1624" i="11" a="1"/>
  <c r="A1624" i="11" s="1"/>
  <c r="A1541" i="11" a="1"/>
  <c r="A1541" i="11" s="1"/>
  <c r="A1500" i="11" a="1"/>
  <c r="A1500" i="11" s="1"/>
  <c r="A1413" i="11" a="1"/>
  <c r="A1413" i="11" s="1"/>
  <c r="A1371" i="11" a="1"/>
  <c r="A1371" i="11" s="1"/>
  <c r="A1330" i="11" a="1"/>
  <c r="A1330" i="11" s="1"/>
  <c r="A1286" i="11" a="1"/>
  <c r="A1286" i="11" s="1"/>
  <c r="A1201" i="11" a="1"/>
  <c r="A1201" i="11" s="1"/>
  <c r="A1154" i="11" a="1"/>
  <c r="A1154" i="11" s="1"/>
  <c r="A1115" i="11" a="1"/>
  <c r="A1115" i="11" s="1"/>
  <c r="A1028" i="11" a="1"/>
  <c r="A1028" i="11" s="1"/>
  <c r="A981" i="11" a="1"/>
  <c r="A981" i="11" s="1"/>
  <c r="A938" i="11" a="1"/>
  <c r="A938" i="11" s="1"/>
  <c r="A894" i="11" a="1"/>
  <c r="A894" i="11" s="1"/>
  <c r="A846" i="11" a="1"/>
  <c r="A846" i="11" s="1"/>
  <c r="A748" i="11" a="1"/>
  <c r="A748" i="11" s="1"/>
  <c r="A700" i="11" a="1"/>
  <c r="A700" i="11" s="1"/>
  <c r="A656" i="11" a="1"/>
  <c r="A656" i="11" s="1"/>
  <c r="A3523" i="11" a="1"/>
  <c r="A3523" i="11" s="1"/>
  <c r="A3501" i="11" a="1"/>
  <c r="A3501" i="11" s="1"/>
  <c r="A3479" i="11" a="1"/>
  <c r="A3479" i="11" s="1"/>
  <c r="A3466" i="11" a="1"/>
  <c r="A3466" i="11" s="1"/>
  <c r="A3443" i="11" a="1"/>
  <c r="A3443" i="11" s="1"/>
  <c r="A3415" i="11" a="1"/>
  <c r="A3415" i="11" s="1"/>
  <c r="A3386" i="11" a="1"/>
  <c r="A3386" i="11" s="1"/>
  <c r="A3375" i="11" a="1"/>
  <c r="A3375" i="11" s="1"/>
  <c r="A3344" i="11" a="1"/>
  <c r="A3344" i="11" s="1"/>
  <c r="A3312" i="11" a="1"/>
  <c r="A3312" i="11" s="1"/>
  <c r="A3273" i="11" a="1"/>
  <c r="A3273" i="11" s="1"/>
  <c r="A3262" i="11" a="1"/>
  <c r="A3262" i="11" s="1"/>
  <c r="A3226" i="11" a="1"/>
  <c r="A3226" i="11" s="1"/>
  <c r="A3185" i="11" a="1"/>
  <c r="A3185" i="11" s="1"/>
  <c r="A3168" i="11" a="1"/>
  <c r="A3168" i="11" s="1"/>
  <c r="A3127" i="11" a="1"/>
  <c r="A3127" i="11" s="1"/>
  <c r="A3085" i="11" a="1"/>
  <c r="A3085" i="11" s="1"/>
  <c r="A3063" i="11" a="1"/>
  <c r="A3063" i="11" s="1"/>
  <c r="A3017" i="11" a="1"/>
  <c r="A3017" i="11" s="1"/>
  <c r="A2966" i="11" a="1"/>
  <c r="A2966" i="11" s="1"/>
  <c r="A2939" i="11" a="1"/>
  <c r="A2939" i="11" s="1"/>
  <c r="A2888" i="11" a="1"/>
  <c r="A2888" i="11" s="1"/>
  <c r="A2821" i="11" a="1"/>
  <c r="A2821" i="11" s="1"/>
  <c r="A2781" i="11" a="1"/>
  <c r="A2781" i="11" s="1"/>
  <c r="A2703" i="11" a="1"/>
  <c r="A2703" i="11" s="1"/>
  <c r="A2663" i="11" a="1"/>
  <c r="A2663" i="11" s="1"/>
  <c r="A2585" i="11" a="1"/>
  <c r="A2585" i="11" s="1"/>
  <c r="A2499" i="11" a="1"/>
  <c r="A2499" i="11" s="1"/>
  <c r="A2463" i="11" a="1"/>
  <c r="A2463" i="11" s="1"/>
  <c r="A2378" i="11" a="1"/>
  <c r="A2378" i="11" s="1"/>
  <c r="A2335" i="11" a="1"/>
  <c r="A2335" i="11" s="1"/>
  <c r="A2254" i="11" a="1"/>
  <c r="A2254" i="11" s="1"/>
  <c r="A2212" i="11" a="1"/>
  <c r="A2212" i="11" s="1"/>
  <c r="A2127" i="11" a="1"/>
  <c r="A2127" i="11" s="1"/>
  <c r="A2083" i="11" a="1"/>
  <c r="A2083" i="11" s="1"/>
  <c r="A2002" i="11" a="1"/>
  <c r="A2002" i="11" s="1"/>
  <c r="A1955" i="11" a="1"/>
  <c r="A1955" i="11" s="1"/>
  <c r="A1879" i="11" a="1"/>
  <c r="A1879" i="11" s="1"/>
  <c r="A1832" i="11" a="1"/>
  <c r="A1832" i="11" s="1"/>
  <c r="A1748" i="11" a="1"/>
  <c r="A1748" i="11" s="1"/>
  <c r="A1707" i="11" a="1"/>
  <c r="A1707" i="11" s="1"/>
  <c r="A1625" i="11" a="1"/>
  <c r="A1625" i="11" s="1"/>
  <c r="A1579" i="11" a="1"/>
  <c r="A1579" i="11" s="1"/>
  <c r="A1542" i="11" a="1"/>
  <c r="A1542" i="11" s="1"/>
  <c r="A1455" i="11" a="1"/>
  <c r="A1455" i="11" s="1"/>
  <c r="A1414" i="11" a="1"/>
  <c r="A1414" i="11" s="1"/>
  <c r="A1372" i="11" a="1"/>
  <c r="A1372" i="11" s="1"/>
  <c r="A1287" i="11" a="1"/>
  <c r="A1287" i="11" s="1"/>
  <c r="A1247" i="11" a="1"/>
  <c r="A1247" i="11" s="1"/>
  <c r="A1202" i="11" a="1"/>
  <c r="A1202" i="11" s="1"/>
  <c r="A1116" i="11" a="1"/>
  <c r="A1116" i="11" s="1"/>
  <c r="A1076" i="11" a="1"/>
  <c r="A1076" i="11" s="1"/>
  <c r="A1029" i="11" a="1"/>
  <c r="A1029" i="11" s="1"/>
  <c r="A982" i="11" a="1"/>
  <c r="A982" i="11" s="1"/>
  <c r="A895" i="11" a="1"/>
  <c r="A895" i="11" s="1"/>
  <c r="A847" i="11" a="1"/>
  <c r="A847" i="11" s="1"/>
  <c r="A798" i="11" a="1"/>
  <c r="A798" i="11" s="1"/>
  <c r="A749" i="11" a="1"/>
  <c r="A749" i="11" s="1"/>
  <c r="A701" i="11" a="1"/>
  <c r="A701" i="11" s="1"/>
  <c r="A657" i="11" a="1"/>
  <c r="A657" i="11" s="1"/>
  <c r="A565" i="11" a="1"/>
  <c r="A565" i="11" s="1"/>
  <c r="A3502" i="11" a="1"/>
  <c r="A3502" i="11" s="1"/>
  <c r="A3480" i="11" a="1"/>
  <c r="A3480" i="11" s="1"/>
  <c r="A3454" i="11" a="1"/>
  <c r="A3454" i="11" s="1"/>
  <c r="A3444" i="11" a="1"/>
  <c r="A3444" i="11" s="1"/>
  <c r="A3416" i="11" a="1"/>
  <c r="A3416" i="11" s="1"/>
  <c r="A3387" i="11" a="1"/>
  <c r="A3387" i="11" s="1"/>
  <c r="A3358" i="11" a="1"/>
  <c r="A3358" i="11" s="1"/>
  <c r="A3345" i="11" a="1"/>
  <c r="A3345" i="11" s="1"/>
  <c r="A3313" i="11" a="1"/>
  <c r="A3313" i="11" s="1"/>
  <c r="A3274" i="11" a="1"/>
  <c r="A3274" i="11" s="1"/>
  <c r="A3242" i="11" a="1"/>
  <c r="A3242" i="11" s="1"/>
  <c r="A3227" i="11" a="1"/>
  <c r="A3227" i="11" s="1"/>
  <c r="A3186" i="11" a="1"/>
  <c r="A3186" i="11" s="1"/>
  <c r="A3144" i="11" a="1"/>
  <c r="A3144" i="11" s="1"/>
  <c r="A3128" i="11" a="1"/>
  <c r="A3128" i="11" s="1"/>
  <c r="A3086" i="11" a="1"/>
  <c r="A3086" i="11" s="1"/>
  <c r="A3035" i="11" a="1"/>
  <c r="A3035" i="11" s="1"/>
  <c r="A3018" i="11" a="1"/>
  <c r="A3018" i="11" s="1"/>
  <c r="A2967" i="11" a="1"/>
  <c r="A2967" i="11" s="1"/>
  <c r="A2909" i="11" a="1"/>
  <c r="A2909" i="11" s="1"/>
  <c r="A2889" i="11" a="1"/>
  <c r="A2889" i="11" s="1"/>
  <c r="A2822" i="11" a="1"/>
  <c r="A2822" i="11" s="1"/>
  <c r="A2739" i="11" a="1"/>
  <c r="A2739" i="11" s="1"/>
  <c r="A2704" i="11" a="1"/>
  <c r="A2704" i="11" s="1"/>
  <c r="A2623" i="11" a="1"/>
  <c r="A2623" i="11" s="1"/>
  <c r="A2586" i="11" a="1"/>
  <c r="A2586" i="11" s="1"/>
  <c r="A2500" i="11" a="1"/>
  <c r="A2500" i="11" s="1"/>
  <c r="A2419" i="11" a="1"/>
  <c r="A2419" i="11" s="1"/>
  <c r="A2379" i="11" a="1"/>
  <c r="A2379" i="11" s="1"/>
  <c r="A2298" i="11" a="1"/>
  <c r="A2298" i="11" s="1"/>
  <c r="A2255" i="11" a="1"/>
  <c r="A2255" i="11" s="1"/>
  <c r="A2171" i="11" a="1"/>
  <c r="A2171" i="11" s="1"/>
  <c r="A2128" i="11" a="1"/>
  <c r="A2128" i="11" s="1"/>
  <c r="A2045" i="11" a="1"/>
  <c r="A2045" i="11" s="1"/>
  <c r="A2003" i="11" a="1"/>
  <c r="A2003" i="11" s="1"/>
  <c r="A1918" i="11" a="1"/>
  <c r="A1918" i="11" s="1"/>
  <c r="A1880" i="11" a="1"/>
  <c r="A1880" i="11" s="1"/>
  <c r="A1793" i="11" a="1"/>
  <c r="A1793" i="11" s="1"/>
  <c r="A1749" i="11" a="1"/>
  <c r="A1749" i="11" s="1"/>
  <c r="A1669" i="11" a="1"/>
  <c r="A1669" i="11" s="1"/>
  <c r="A1626" i="11" a="1"/>
  <c r="A1626" i="11" s="1"/>
  <c r="A1580" i="11" a="1"/>
  <c r="A1580" i="11" s="1"/>
  <c r="A1501" i="11" a="1"/>
  <c r="A1501" i="11" s="1"/>
  <c r="A1456" i="11" a="1"/>
  <c r="A1456" i="11" s="1"/>
  <c r="A1373" i="11" a="1"/>
  <c r="A1373" i="11" s="1"/>
  <c r="A1331" i="11" a="1"/>
  <c r="A1331" i="11" s="1"/>
  <c r="A1288" i="11" a="1"/>
  <c r="A1288" i="11" s="1"/>
  <c r="A1203" i="11" a="1"/>
  <c r="A1203" i="11" s="1"/>
  <c r="A1155" i="11" a="1"/>
  <c r="A1155" i="11" s="1"/>
  <c r="A1117" i="11" a="1"/>
  <c r="A1117" i="11" s="1"/>
  <c r="A1077" i="11" a="1"/>
  <c r="A1077" i="11" s="1"/>
  <c r="A983" i="11" a="1"/>
  <c r="A983" i="11" s="1"/>
  <c r="A939" i="11" a="1"/>
  <c r="A939" i="11" s="1"/>
  <c r="A896" i="11" a="1"/>
  <c r="A896" i="11" s="1"/>
  <c r="A848" i="11" a="1"/>
  <c r="A848" i="11" s="1"/>
  <c r="A750" i="11" a="1"/>
  <c r="A750" i="11" s="1"/>
  <c r="A702" i="11" a="1"/>
  <c r="A702" i="11" s="1"/>
  <c r="A658" i="11" a="1"/>
  <c r="A658" i="11" s="1"/>
  <c r="A611" i="11" a="1"/>
  <c r="A611" i="11" s="1"/>
  <c r="A566" i="11" a="1"/>
  <c r="A566" i="11" s="1"/>
  <c r="A519" i="11" a="1"/>
  <c r="A519" i="11" s="1"/>
  <c r="A3481" i="11" a="1"/>
  <c r="A3481" i="11" s="1"/>
  <c r="A3455" i="11" a="1"/>
  <c r="A3455" i="11" s="1"/>
  <c r="A3430" i="11" a="1"/>
  <c r="A3430" i="11" s="1"/>
  <c r="A3417" i="11" a="1"/>
  <c r="A3417" i="11" s="1"/>
  <c r="A3388" i="11" a="1"/>
  <c r="A3388" i="11" s="1"/>
  <c r="A3359" i="11" a="1"/>
  <c r="A3359" i="11" s="1"/>
  <c r="A3327" i="11" a="1"/>
  <c r="A3327" i="11" s="1"/>
  <c r="A3314" i="11" a="1"/>
  <c r="A3314" i="11" s="1"/>
  <c r="A3275" i="11" a="1"/>
  <c r="A3275" i="11" s="1"/>
  <c r="A3243" i="11" a="1"/>
  <c r="A3243" i="11" s="1"/>
  <c r="A3228" i="11" a="1"/>
  <c r="A3228" i="11" s="1"/>
  <c r="A3187" i="11" a="1"/>
  <c r="A3187" i="11" s="1"/>
  <c r="A3145" i="11" a="1"/>
  <c r="A3145" i="11" s="1"/>
  <c r="A3107" i="11" a="1"/>
  <c r="A3107" i="11" s="1"/>
  <c r="A3087" i="11" a="1"/>
  <c r="A3087" i="11" s="1"/>
  <c r="A3036" i="11" a="1"/>
  <c r="A3036" i="11" s="1"/>
  <c r="A2991" i="11" a="1"/>
  <c r="A2991" i="11" s="1"/>
  <c r="A2968" i="11" a="1"/>
  <c r="A2968" i="11" s="1"/>
  <c r="A2910" i="11" a="1"/>
  <c r="A2910" i="11" s="1"/>
  <c r="A2855" i="11" a="1"/>
  <c r="A2855" i="11" s="1"/>
  <c r="A2823" i="11" a="1"/>
  <c r="A2823" i="11" s="1"/>
  <c r="A2740" i="11" a="1"/>
  <c r="A2740" i="11" s="1"/>
  <c r="A2705" i="11" a="1"/>
  <c r="A2705" i="11" s="1"/>
  <c r="A2624" i="11" a="1"/>
  <c r="A2624" i="11" s="1"/>
  <c r="A2541" i="11" a="1"/>
  <c r="A2541" i="11" s="1"/>
  <c r="A2501" i="11" a="1"/>
  <c r="A2501" i="11" s="1"/>
  <c r="A2420" i="11" a="1"/>
  <c r="A2420" i="11" s="1"/>
  <c r="A2380" i="11" a="1"/>
  <c r="A2380" i="11" s="1"/>
  <c r="A2299" i="11" a="1"/>
  <c r="A2299" i="11" s="1"/>
  <c r="A2256" i="11" a="1"/>
  <c r="A2256" i="11" s="1"/>
  <c r="A2172" i="11" a="1"/>
  <c r="A2172" i="11" s="1"/>
  <c r="A2084" i="11" a="1"/>
  <c r="A2084" i="11" s="1"/>
  <c r="A2046" i="11" a="1"/>
  <c r="A2046" i="11" s="1"/>
  <c r="A1956" i="11" a="1"/>
  <c r="A1956" i="11" s="1"/>
  <c r="A1919" i="11" a="1"/>
  <c r="A1919" i="11" s="1"/>
  <c r="A1833" i="11" a="1"/>
  <c r="A1833" i="11" s="1"/>
  <c r="A1794" i="11" a="1"/>
  <c r="A1794" i="11" s="1"/>
  <c r="A1750" i="11" a="1"/>
  <c r="A1750" i="11" s="1"/>
  <c r="A1670" i="11" a="1"/>
  <c r="A1670" i="11" s="1"/>
  <c r="A1627" i="11" a="1"/>
  <c r="A1627" i="11" s="1"/>
  <c r="A1543" i="11" a="1"/>
  <c r="A1543" i="11" s="1"/>
  <c r="A1502" i="11" a="1"/>
  <c r="A1502" i="11" s="1"/>
  <c r="A1415" i="11" a="1"/>
  <c r="A1415" i="11" s="1"/>
  <c r="A1374" i="11" a="1"/>
  <c r="A1374" i="11" s="1"/>
  <c r="A1332" i="11" a="1"/>
  <c r="A1332" i="11" s="1"/>
  <c r="A1248" i="11" a="1"/>
  <c r="A1248" i="11" s="1"/>
  <c r="A1204" i="11" a="1"/>
  <c r="A1204" i="11" s="1"/>
  <c r="A1156" i="11" a="1"/>
  <c r="A1156" i="11" s="1"/>
  <c r="A1078" i="11" a="1"/>
  <c r="A1078" i="11" s="1"/>
  <c r="A1030" i="11" a="1"/>
  <c r="A1030" i="11" s="1"/>
  <c r="A984" i="11" a="1"/>
  <c r="A984" i="11" s="1"/>
  <c r="A940" i="11" a="1"/>
  <c r="A940" i="11" s="1"/>
  <c r="A849" i="11" a="1"/>
  <c r="A849" i="11" s="1"/>
  <c r="A799" i="11" a="1"/>
  <c r="A799" i="11" s="1"/>
  <c r="A751" i="11" a="1"/>
  <c r="A751" i="11" s="1"/>
  <c r="A703" i="11" a="1"/>
  <c r="A703" i="11" s="1"/>
  <c r="A659" i="11" a="1"/>
  <c r="A659" i="11" s="1"/>
  <c r="A567" i="11" a="1"/>
  <c r="A567" i="11" s="1"/>
  <c r="A520" i="11" a="1"/>
  <c r="A520" i="11" s="1"/>
  <c r="A477" i="11" a="1"/>
  <c r="A477" i="11" s="1"/>
  <c r="A436" i="11" a="1"/>
  <c r="A436" i="11" s="1"/>
  <c r="A3456" i="11" a="1"/>
  <c r="A3456" i="11" s="1"/>
  <c r="A3431" i="11" a="1"/>
  <c r="A3431" i="11" s="1"/>
  <c r="A3418" i="11" a="1"/>
  <c r="A3418" i="11" s="1"/>
  <c r="A3389" i="11" a="1"/>
  <c r="A3389" i="11" s="1"/>
  <c r="A3360" i="11" a="1"/>
  <c r="A3360" i="11" s="1"/>
  <c r="A3328" i="11" a="1"/>
  <c r="A3328" i="11" s="1"/>
  <c r="A3315" i="11" a="1"/>
  <c r="A3315" i="11" s="1"/>
  <c r="A3276" i="11" a="1"/>
  <c r="A3276" i="11" s="1"/>
  <c r="A3244" i="11" a="1"/>
  <c r="A3244" i="11" s="1"/>
  <c r="A3206" i="11" a="1"/>
  <c r="A3206" i="11" s="1"/>
  <c r="A3188" i="11" a="1"/>
  <c r="A3188" i="11" s="1"/>
  <c r="A3146" i="11" a="1"/>
  <c r="A3146" i="11" s="1"/>
  <c r="A3108" i="11" a="1"/>
  <c r="A3108" i="11" s="1"/>
  <c r="A3088" i="11" a="1"/>
  <c r="A3088" i="11" s="1"/>
  <c r="A3037" i="11" a="1"/>
  <c r="A3037" i="11" s="1"/>
  <c r="A2992" i="11" a="1"/>
  <c r="A2992" i="11" s="1"/>
  <c r="A2969" i="11" a="1"/>
  <c r="A2969" i="11" s="1"/>
  <c r="A2911" i="11" a="1"/>
  <c r="A2911" i="11" s="1"/>
  <c r="A2856" i="11" a="1"/>
  <c r="A2856" i="11" s="1"/>
  <c r="A2824" i="11" a="1"/>
  <c r="A2824" i="11" s="1"/>
  <c r="A2741" i="11" a="1"/>
  <c r="A2741" i="11" s="1"/>
  <c r="A2664" i="11" a="1"/>
  <c r="A2664" i="11" s="1"/>
  <c r="A2625" i="11" a="1"/>
  <c r="A2625" i="11" s="1"/>
  <c r="A2542" i="11" a="1"/>
  <c r="A2542" i="11" s="1"/>
  <c r="A2502" i="11" a="1"/>
  <c r="A2502" i="11" s="1"/>
  <c r="A2421" i="11" a="1"/>
  <c r="A2421" i="11" s="1"/>
  <c r="A2336" i="11" a="1"/>
  <c r="A2336" i="11" s="1"/>
  <c r="A2300" i="11" a="1"/>
  <c r="A2300" i="11" s="1"/>
  <c r="A2213" i="11" a="1"/>
  <c r="A2213" i="11" s="1"/>
  <c r="A2173" i="11" a="1"/>
  <c r="A2173" i="11" s="1"/>
  <c r="A2085" i="11" a="1"/>
  <c r="A2085" i="11" s="1"/>
  <c r="A2047" i="11" a="1"/>
  <c r="A2047" i="11" s="1"/>
  <c r="A1957" i="11" a="1"/>
  <c r="A1957" i="11" s="1"/>
  <c r="A1920" i="11" a="1"/>
  <c r="A1920" i="11" s="1"/>
  <c r="A1834" i="11" a="1"/>
  <c r="A1834" i="11" s="1"/>
  <c r="A1795" i="11" a="1"/>
  <c r="A1795" i="11" s="1"/>
  <c r="A1708" i="11" a="1"/>
  <c r="A1708" i="11" s="1"/>
  <c r="A1671" i="11" a="1"/>
  <c r="A1671" i="11" s="1"/>
  <c r="A1581" i="11" a="1"/>
  <c r="A1581" i="11" s="1"/>
  <c r="A1544" i="11" a="1"/>
  <c r="A1544" i="11" s="1"/>
  <c r="A1457" i="11" a="1"/>
  <c r="A1457" i="11" s="1"/>
  <c r="A1416" i="11" a="1"/>
  <c r="A1416" i="11" s="1"/>
  <c r="A1375" i="11" a="1"/>
  <c r="A1375" i="11" s="1"/>
  <c r="A1289" i="11" a="1"/>
  <c r="A1289" i="11" s="1"/>
  <c r="A1249" i="11" a="1"/>
  <c r="A1249" i="11" s="1"/>
  <c r="A1205" i="11" a="1"/>
  <c r="A1205" i="11" s="1"/>
  <c r="A1118" i="11" a="1"/>
  <c r="A1118" i="11" s="1"/>
  <c r="A1079" i="11" a="1"/>
  <c r="A1079" i="11" s="1"/>
  <c r="A1031" i="11" a="1"/>
  <c r="A1031" i="11" s="1"/>
  <c r="A941" i="11" a="1"/>
  <c r="A941" i="11" s="1"/>
  <c r="A897" i="11" a="1"/>
  <c r="A897" i="11" s="1"/>
  <c r="A850" i="11" a="1"/>
  <c r="A850" i="11" s="1"/>
  <c r="A800" i="11" a="1"/>
  <c r="A800" i="11" s="1"/>
  <c r="A752" i="11" a="1"/>
  <c r="A752" i="11" s="1"/>
  <c r="A660" i="11" a="1"/>
  <c r="A660" i="11" s="1"/>
  <c r="A612" i="11" a="1"/>
  <c r="A612" i="11" s="1"/>
  <c r="A568" i="11" a="1"/>
  <c r="A568" i="11" s="1"/>
  <c r="A521" i="11" a="1"/>
  <c r="A521" i="11" s="1"/>
  <c r="A478" i="11" a="1"/>
  <c r="A478" i="11" s="1"/>
  <c r="A437" i="11" a="1"/>
  <c r="A437" i="11" s="1"/>
  <c r="A398" i="11" a="1"/>
  <c r="A398" i="11" s="1"/>
  <c r="A3432" i="11" a="1"/>
  <c r="A3432" i="11" s="1"/>
  <c r="A3402" i="11" a="1"/>
  <c r="A3402" i="11" s="1"/>
  <c r="A3390" i="11" a="1"/>
  <c r="A3390" i="11" s="1"/>
  <c r="A3361" i="11" a="1"/>
  <c r="A3361" i="11" s="1"/>
  <c r="A3329" i="11" a="1"/>
  <c r="A3329" i="11" s="1"/>
  <c r="A3298" i="11" a="1"/>
  <c r="A3298" i="11" s="1"/>
  <c r="A3277" i="11" a="1"/>
  <c r="A3277" i="11" s="1"/>
  <c r="A3245" i="11" a="1"/>
  <c r="A3245" i="11" s="1"/>
  <c r="A3207" i="11" a="1"/>
  <c r="A3207" i="11" s="1"/>
  <c r="A3189" i="11" a="1"/>
  <c r="A3189" i="11" s="1"/>
  <c r="A3147" i="11" a="1"/>
  <c r="A3147" i="11" s="1"/>
  <c r="A3109" i="11" a="1"/>
  <c r="A3109" i="11" s="1"/>
  <c r="A3064" i="11" a="1"/>
  <c r="A3064" i="11" s="1"/>
  <c r="A3038" i="11" a="1"/>
  <c r="A3038" i="11" s="1"/>
  <c r="A2993" i="11" a="1"/>
  <c r="A2993" i="11" s="1"/>
  <c r="A2940" i="11" a="1"/>
  <c r="A2940" i="11" s="1"/>
  <c r="A2912" i="11" a="1"/>
  <c r="A2912" i="11" s="1"/>
  <c r="A2857" i="11" a="1"/>
  <c r="A2857" i="11" s="1"/>
  <c r="A2782" i="11" a="1"/>
  <c r="A2782" i="11" s="1"/>
  <c r="A2742" i="11" a="1"/>
  <c r="A2742" i="11" s="1"/>
  <c r="A2665" i="11" a="1"/>
  <c r="A2665" i="11" s="1"/>
  <c r="A2626" i="11" a="1"/>
  <c r="A2626" i="11" s="1"/>
  <c r="A2543" i="11" a="1"/>
  <c r="A2543" i="11" s="1"/>
  <c r="A2464" i="11" a="1"/>
  <c r="A2464" i="11" s="1"/>
  <c r="A2422" i="11" a="1"/>
  <c r="A2422" i="11" s="1"/>
  <c r="A2337" i="11" a="1"/>
  <c r="A2337" i="11" s="1"/>
  <c r="A2301" i="11" a="1"/>
  <c r="A2301" i="11" s="1"/>
  <c r="A2214" i="11" a="1"/>
  <c r="A2214" i="11" s="1"/>
  <c r="A2129" i="11" a="1"/>
  <c r="A2129" i="11" s="1"/>
  <c r="A2086" i="11" a="1"/>
  <c r="A2086" i="11" s="1"/>
  <c r="A2004" i="11" a="1"/>
  <c r="A2004" i="11" s="1"/>
  <c r="A1958" i="11" a="1"/>
  <c r="A1958" i="11" s="1"/>
  <c r="A1881" i="11" a="1"/>
  <c r="A1881" i="11" s="1"/>
  <c r="A1835" i="11" a="1"/>
  <c r="A1835" i="11" s="1"/>
  <c r="A1751" i="11" a="1"/>
  <c r="A1751" i="11" s="1"/>
  <c r="A1709" i="11" a="1"/>
  <c r="A1709" i="11" s="1"/>
  <c r="A1628" i="11" a="1"/>
  <c r="A1628" i="11" s="1"/>
  <c r="A1582" i="11" a="1"/>
  <c r="A1582" i="11" s="1"/>
  <c r="A1545" i="11" a="1"/>
  <c r="A1545" i="11" s="1"/>
  <c r="A1458" i="11" a="1"/>
  <c r="A1458" i="11" s="1"/>
  <c r="A1417" i="11" a="1"/>
  <c r="A1417" i="11" s="1"/>
  <c r="A1333" i="11" a="1"/>
  <c r="A1333" i="11" s="1"/>
  <c r="A1290" i="11" a="1"/>
  <c r="A1290" i="11" s="1"/>
  <c r="A1250" i="11" a="1"/>
  <c r="A1250" i="11" s="1"/>
  <c r="A1157" i="11" a="1"/>
  <c r="A1157" i="11" s="1"/>
  <c r="A1119" i="11" a="1"/>
  <c r="A1119" i="11" s="1"/>
  <c r="A1080" i="11" a="1"/>
  <c r="A1080" i="11" s="1"/>
  <c r="A985" i="11" a="1"/>
  <c r="A985" i="11" s="1"/>
  <c r="A942" i="11" a="1"/>
  <c r="A942" i="11" s="1"/>
  <c r="A898" i="11" a="1"/>
  <c r="A898" i="11" s="1"/>
  <c r="A851" i="11" a="1"/>
  <c r="A851" i="11" s="1"/>
  <c r="A753" i="11" a="1"/>
  <c r="A753" i="11" s="1"/>
  <c r="A704" i="11" a="1"/>
  <c r="A704" i="11" s="1"/>
  <c r="A661" i="11" a="1"/>
  <c r="A661" i="11" s="1"/>
  <c r="A613" i="11" a="1"/>
  <c r="A613" i="11" s="1"/>
  <c r="A569" i="11" a="1"/>
  <c r="A569" i="11" s="1"/>
  <c r="A522" i="11" a="1"/>
  <c r="A522" i="11" s="1"/>
  <c r="A438" i="11" a="1"/>
  <c r="A438" i="11" s="1"/>
  <c r="A399" i="11" a="1"/>
  <c r="A399" i="11" s="1"/>
  <c r="A359" i="11" a="1"/>
  <c r="A359" i="11" s="1"/>
  <c r="A318" i="11" a="1"/>
  <c r="A318" i="11" s="1"/>
  <c r="A3403" i="11" a="1"/>
  <c r="A3403" i="11" s="1"/>
  <c r="A3391" i="11" a="1"/>
  <c r="A3391" i="11" s="1"/>
  <c r="A3362" i="11" a="1"/>
  <c r="A3362" i="11" s="1"/>
  <c r="A3330" i="11" a="1"/>
  <c r="A3330" i="11" s="1"/>
  <c r="A3299" i="11" a="1"/>
  <c r="A3299" i="11" s="1"/>
  <c r="A3278" i="11" a="1"/>
  <c r="A3278" i="11" s="1"/>
  <c r="A3246" i="11" a="1"/>
  <c r="A3246" i="11" s="1"/>
  <c r="A3208" i="11" a="1"/>
  <c r="A3208" i="11" s="1"/>
  <c r="A3169" i="11" a="1"/>
  <c r="A3169" i="11" s="1"/>
  <c r="A3148" i="11" a="1"/>
  <c r="A3148" i="11" s="1"/>
  <c r="A3110" i="11" a="1"/>
  <c r="A3110" i="11" s="1"/>
  <c r="A3065" i="11" a="1"/>
  <c r="A3065" i="11" s="1"/>
  <c r="A3039" i="11" a="1"/>
  <c r="A3039" i="11" s="1"/>
  <c r="A2994" i="11" a="1"/>
  <c r="A2994" i="11" s="1"/>
  <c r="A2941" i="11" a="1"/>
  <c r="A2941" i="11" s="1"/>
  <c r="A2913" i="11" a="1"/>
  <c r="A2913" i="11" s="1"/>
  <c r="A2858" i="11" a="1"/>
  <c r="A2858" i="11" s="1"/>
  <c r="A2783" i="11" a="1"/>
  <c r="A2783" i="11" s="1"/>
  <c r="A2743" i="11" a="1"/>
  <c r="A2743" i="11" s="1"/>
  <c r="A2666" i="11" a="1"/>
  <c r="A2666" i="11" s="1"/>
  <c r="A2587" i="11" a="1"/>
  <c r="A2587" i="11" s="1"/>
  <c r="A2544" i="11" a="1"/>
  <c r="A2544" i="11" s="1"/>
  <c r="A2465" i="11" a="1"/>
  <c r="A2465" i="11" s="1"/>
  <c r="A2423" i="11" a="1"/>
  <c r="A2423" i="11" s="1"/>
  <c r="A2338" i="11" a="1"/>
  <c r="A2338" i="11" s="1"/>
  <c r="A2257" i="11" a="1"/>
  <c r="A2257" i="11" s="1"/>
  <c r="A2215" i="11" a="1"/>
  <c r="A2215" i="11" s="1"/>
  <c r="A2130" i="11" a="1"/>
  <c r="A2130" i="11" s="1"/>
  <c r="A2087" i="11" a="1"/>
  <c r="A2087" i="11" s="1"/>
  <c r="A2005" i="11" a="1"/>
  <c r="A2005" i="11" s="1"/>
  <c r="A1959" i="11" a="1"/>
  <c r="A1959" i="11" s="1"/>
  <c r="A1882" i="11" a="1"/>
  <c r="A1882" i="11" s="1"/>
  <c r="A1836" i="11" a="1"/>
  <c r="A1836" i="11" s="1"/>
  <c r="A1752" i="11" a="1"/>
  <c r="A1752" i="11" s="1"/>
  <c r="A1710" i="11" a="1"/>
  <c r="A1710" i="11" s="1"/>
  <c r="A1629" i="11" a="1"/>
  <c r="A1629" i="11" s="1"/>
  <c r="A1583" i="11" a="1"/>
  <c r="A1583" i="11" s="1"/>
  <c r="A1503" i="11" a="1"/>
  <c r="A1503" i="11" s="1"/>
  <c r="A1459" i="11" a="1"/>
  <c r="A1459" i="11" s="1"/>
  <c r="A1418" i="11" a="1"/>
  <c r="A1418" i="11" s="1"/>
  <c r="A1334" i="11" a="1"/>
  <c r="A1334" i="11" s="1"/>
  <c r="A1291" i="11" a="1"/>
  <c r="A1291" i="11" s="1"/>
  <c r="A1206" i="11" a="1"/>
  <c r="A1206" i="11" s="1"/>
  <c r="A1158" i="11" a="1"/>
  <c r="A1158" i="11" s="1"/>
  <c r="A1120" i="11" a="1"/>
  <c r="A1120" i="11" s="1"/>
  <c r="A1032" i="11" a="1"/>
  <c r="A1032" i="11" s="1"/>
  <c r="A986" i="11" a="1"/>
  <c r="A986" i="11" s="1"/>
  <c r="A943" i="11" a="1"/>
  <c r="A943" i="11" s="1"/>
  <c r="A899" i="11" a="1"/>
  <c r="A899" i="11" s="1"/>
  <c r="A801" i="11" a="1"/>
  <c r="A801" i="11" s="1"/>
  <c r="A754" i="11" a="1"/>
  <c r="A754" i="11" s="1"/>
  <c r="A705" i="11" a="1"/>
  <c r="A705" i="11" s="1"/>
  <c r="A662" i="11" a="1"/>
  <c r="A662" i="11" s="1"/>
  <c r="A570" i="11" a="1"/>
  <c r="A570" i="11" s="1"/>
  <c r="A523" i="11" a="1"/>
  <c r="A523" i="11" s="1"/>
  <c r="A479" i="11" a="1"/>
  <c r="A479" i="11" s="1"/>
  <c r="A439" i="11" a="1"/>
  <c r="A439" i="11" s="1"/>
  <c r="A400" i="11" a="1"/>
  <c r="A400" i="11" s="1"/>
  <c r="A360" i="11" a="1"/>
  <c r="A360" i="11" s="1"/>
  <c r="A319" i="11" a="1"/>
  <c r="A319" i="11" s="1"/>
  <c r="A284" i="11" a="1"/>
  <c r="A284" i="11" s="1"/>
  <c r="A3392" i="11" a="1"/>
  <c r="A3392" i="11" s="1"/>
  <c r="A3363" i="11" a="1"/>
  <c r="A3363" i="11" s="1"/>
  <c r="A3331" i="11" a="1"/>
  <c r="A3331" i="11" s="1"/>
  <c r="A3300" i="11" a="1"/>
  <c r="A3300" i="11" s="1"/>
  <c r="A3279" i="11" a="1"/>
  <c r="A3279" i="11" s="1"/>
  <c r="A3247" i="11" a="1"/>
  <c r="A3247" i="11" s="1"/>
  <c r="A3209" i="11" a="1"/>
  <c r="A3209" i="11" s="1"/>
  <c r="A3170" i="11" a="1"/>
  <c r="A3170" i="11" s="1"/>
  <c r="A3149" i="11" a="1"/>
  <c r="A3149" i="11" s="1"/>
  <c r="A3111" i="11" a="1"/>
  <c r="A3111" i="11" s="1"/>
  <c r="A3066" i="11" a="1"/>
  <c r="A3066" i="11" s="1"/>
  <c r="A3040" i="11" a="1"/>
  <c r="A3040" i="11" s="1"/>
  <c r="A2995" i="11" a="1"/>
  <c r="A2995" i="11" s="1"/>
  <c r="A2942" i="11" a="1"/>
  <c r="A2942" i="11" s="1"/>
  <c r="A2914" i="11" a="1"/>
  <c r="A2914" i="11" s="1"/>
  <c r="A2859" i="11" a="1"/>
  <c r="A2859" i="11" s="1"/>
  <c r="A2784" i="11" a="1"/>
  <c r="A2784" i="11" s="1"/>
  <c r="A2744" i="11" a="1"/>
  <c r="A2744" i="11" s="1"/>
  <c r="A2667" i="11" a="1"/>
  <c r="A2667" i="11" s="1"/>
  <c r="A2588" i="11" a="1"/>
  <c r="A2588" i="11" s="1"/>
  <c r="A2545" i="11" a="1"/>
  <c r="A2545" i="11" s="1"/>
  <c r="A2466" i="11" a="1"/>
  <c r="A2466" i="11" s="1"/>
  <c r="A2424" i="11" a="1"/>
  <c r="A2424" i="11" s="1"/>
  <c r="A2339" i="11" a="1"/>
  <c r="A2339" i="11" s="1"/>
  <c r="A2258" i="11" a="1"/>
  <c r="A2258" i="11" s="1"/>
  <c r="A2216" i="11" a="1"/>
  <c r="A2216" i="11" s="1"/>
  <c r="A2131" i="11" a="1"/>
  <c r="A2131" i="11" s="1"/>
  <c r="A2088" i="11" a="1"/>
  <c r="A2088" i="11" s="1"/>
  <c r="A2006" i="11" a="1"/>
  <c r="A2006" i="11" s="1"/>
  <c r="A1960" i="11" a="1"/>
  <c r="A1960" i="11" s="1"/>
  <c r="A1883" i="11" a="1"/>
  <c r="A1883" i="11" s="1"/>
  <c r="A1837" i="11" a="1"/>
  <c r="A1837" i="11" s="1"/>
  <c r="A1753" i="11" a="1"/>
  <c r="A1753" i="11" s="1"/>
  <c r="A1711" i="11" a="1"/>
  <c r="A1711" i="11" s="1"/>
  <c r="A1630" i="11" a="1"/>
  <c r="A1630" i="11" s="1"/>
  <c r="A1584" i="11" a="1"/>
  <c r="A1584" i="11" s="1"/>
  <c r="A1504" i="11" a="1"/>
  <c r="A1504" i="11" s="1"/>
  <c r="A1460" i="11" a="1"/>
  <c r="A1460" i="11" s="1"/>
  <c r="A1376" i="11" a="1"/>
  <c r="A1376" i="11" s="1"/>
  <c r="A1335" i="11" a="1"/>
  <c r="A1335" i="11" s="1"/>
  <c r="A1292" i="11" a="1"/>
  <c r="A1292" i="11" s="1"/>
  <c r="A1207" i="11" a="1"/>
  <c r="A1207" i="11" s="1"/>
  <c r="A1159" i="11" a="1"/>
  <c r="A1159" i="11" s="1"/>
  <c r="A1121" i="11" a="1"/>
  <c r="A1121" i="11" s="1"/>
  <c r="A1033" i="11" a="1"/>
  <c r="A1033" i="11" s="1"/>
  <c r="A987" i="11" a="1"/>
  <c r="A987" i="11" s="1"/>
  <c r="A944" i="11" a="1"/>
  <c r="A944" i="11" s="1"/>
  <c r="A852" i="11" a="1"/>
  <c r="A852" i="11" s="1"/>
  <c r="A802" i="11" a="1"/>
  <c r="A802" i="11" s="1"/>
  <c r="A755" i="11" a="1"/>
  <c r="A755" i="11" s="1"/>
  <c r="A706" i="11" a="1"/>
  <c r="A706" i="11" s="1"/>
  <c r="A614" i="11" a="1"/>
  <c r="A614" i="11" s="1"/>
  <c r="A571" i="11" a="1"/>
  <c r="A571" i="11" s="1"/>
  <c r="A524" i="11" a="1"/>
  <c r="A524" i="11" s="1"/>
  <c r="A480" i="11" a="1"/>
  <c r="A480" i="11" s="1"/>
  <c r="A440" i="11" a="1"/>
  <c r="A440" i="11" s="1"/>
  <c r="A401" i="11" a="1"/>
  <c r="A401" i="11" s="1"/>
  <c r="A361" i="11" a="1"/>
  <c r="A361" i="11" s="1"/>
  <c r="A320" i="11" a="1"/>
  <c r="A320" i="11" s="1"/>
  <c r="A248" i="11" a="1"/>
  <c r="A248" i="11" s="1"/>
  <c r="A215" i="11" a="1"/>
  <c r="A215" i="11" s="1"/>
  <c r="A3364" i="11" a="1"/>
  <c r="A3364" i="11" s="1"/>
  <c r="A3332" i="11" a="1"/>
  <c r="A3332" i="11" s="1"/>
  <c r="A3301" i="11" a="1"/>
  <c r="A3301" i="11" s="1"/>
  <c r="A3280" i="11" a="1"/>
  <c r="A3280" i="11" s="1"/>
  <c r="A3248" i="11" a="1"/>
  <c r="A3248" i="11" s="1"/>
  <c r="A3210" i="11" a="1"/>
  <c r="A3210" i="11" s="1"/>
  <c r="A3171" i="11" a="1"/>
  <c r="A3171" i="11" s="1"/>
  <c r="A3150" i="11" a="1"/>
  <c r="A3150" i="11" s="1"/>
  <c r="A3112" i="11" a="1"/>
  <c r="A3112" i="11" s="1"/>
  <c r="A3067" i="11" a="1"/>
  <c r="A3067" i="11" s="1"/>
  <c r="A3041" i="11" a="1"/>
  <c r="A3041" i="11" s="1"/>
  <c r="A2996" i="11" a="1"/>
  <c r="A2996" i="11" s="1"/>
  <c r="A2943" i="11" a="1"/>
  <c r="A2943" i="11" s="1"/>
  <c r="A2915" i="11" a="1"/>
  <c r="A2915" i="11" s="1"/>
  <c r="A2860" i="11" a="1"/>
  <c r="A2860" i="11" s="1"/>
  <c r="A2785" i="11" a="1"/>
  <c r="A2785" i="11" s="1"/>
  <c r="A2745" i="11" a="1"/>
  <c r="A2745" i="11" s="1"/>
  <c r="A2668" i="11" a="1"/>
  <c r="A2668" i="11" s="1"/>
  <c r="A2589" i="11" a="1"/>
  <c r="A2589" i="11" s="1"/>
  <c r="A2546" i="11" a="1"/>
  <c r="A2546" i="11" s="1"/>
  <c r="A2467" i="11" a="1"/>
  <c r="A2467" i="11" s="1"/>
  <c r="A2381" i="11" a="1"/>
  <c r="A2381" i="11" s="1"/>
  <c r="A2340" i="11" a="1"/>
  <c r="A2340" i="11" s="1"/>
  <c r="A2259" i="11" a="1"/>
  <c r="A2259" i="11" s="1"/>
  <c r="A2217" i="11" a="1"/>
  <c r="A2217" i="11" s="1"/>
  <c r="A2132" i="11" a="1"/>
  <c r="A2132" i="11" s="1"/>
  <c r="A2089" i="11" a="1"/>
  <c r="A2089" i="11" s="1"/>
  <c r="A2007" i="11" a="1"/>
  <c r="A2007" i="11" s="1"/>
  <c r="A1961" i="11" a="1"/>
  <c r="A1961" i="11" s="1"/>
  <c r="A1884" i="11" a="1"/>
  <c r="A1884" i="11" s="1"/>
  <c r="A1838" i="11" a="1"/>
  <c r="A1838" i="11" s="1"/>
  <c r="A1754" i="11" a="1"/>
  <c r="A1754" i="11" s="1"/>
  <c r="A1712" i="11" a="1"/>
  <c r="A1712" i="11" s="1"/>
  <c r="A1631" i="11" a="1"/>
  <c r="A1631" i="11" s="1"/>
  <c r="A1585" i="11" a="1"/>
  <c r="A1585" i="11" s="1"/>
  <c r="A1505" i="11" a="1"/>
  <c r="A1505" i="11" s="1"/>
  <c r="A1461" i="11" a="1"/>
  <c r="A1461" i="11" s="1"/>
  <c r="A1377" i="11" a="1"/>
  <c r="A1377" i="11" s="1"/>
  <c r="A1336" i="11" a="1"/>
  <c r="A1336" i="11" s="1"/>
  <c r="A1293" i="11" a="1"/>
  <c r="A1293" i="11" s="1"/>
  <c r="A1208" i="11" a="1"/>
  <c r="A1208" i="11" s="1"/>
  <c r="A1160" i="11" a="1"/>
  <c r="A1160" i="11" s="1"/>
  <c r="A1081" i="11" a="1"/>
  <c r="A1081" i="11" s="1"/>
  <c r="A1034" i="11" a="1"/>
  <c r="A1034" i="11" s="1"/>
  <c r="A988" i="11" a="1"/>
  <c r="A988" i="11" s="1"/>
  <c r="A900" i="11" a="1"/>
  <c r="A900" i="11" s="1"/>
  <c r="A853" i="11" a="1"/>
  <c r="A853" i="11" s="1"/>
  <c r="A803" i="11" a="1"/>
  <c r="A803" i="11" s="1"/>
  <c r="A756" i="11" a="1"/>
  <c r="A756" i="11" s="1"/>
  <c r="A663" i="11" a="1"/>
  <c r="A663" i="11" s="1"/>
  <c r="A615" i="11" a="1"/>
  <c r="A615" i="11" s="1"/>
  <c r="A572" i="11" a="1"/>
  <c r="A572" i="11" s="1"/>
  <c r="A525" i="11" a="1"/>
  <c r="A525" i="11" s="1"/>
  <c r="A481" i="11" a="1"/>
  <c r="A481" i="11" s="1"/>
  <c r="A441" i="11" a="1"/>
  <c r="A441" i="11" s="1"/>
  <c r="A362" i="11" a="1"/>
  <c r="A362" i="11" s="1"/>
  <c r="A321" i="11" a="1"/>
  <c r="A321" i="11" s="1"/>
  <c r="A285" i="11" a="1"/>
  <c r="A285" i="11" s="1"/>
  <c r="A249" i="11" a="1"/>
  <c r="A249" i="11" s="1"/>
  <c r="A216" i="11" a="1"/>
  <c r="A216" i="11" s="1"/>
  <c r="A181" i="11" a="1"/>
  <c r="A181" i="11" s="1"/>
  <c r="A3333" i="11" a="1"/>
  <c r="A3333" i="11" s="1"/>
  <c r="A3316" i="11" a="1"/>
  <c r="A3316" i="11" s="1"/>
  <c r="A3281" i="11" a="1"/>
  <c r="A3281" i="11" s="1"/>
  <c r="A3249" i="11" a="1"/>
  <c r="A3249" i="11" s="1"/>
  <c r="A3211" i="11" a="1"/>
  <c r="A3211" i="11" s="1"/>
  <c r="A3190" i="11" a="1"/>
  <c r="A3190" i="11" s="1"/>
  <c r="A3151" i="11" a="1"/>
  <c r="A3151" i="11" s="1"/>
  <c r="A3113" i="11" a="1"/>
  <c r="A3113" i="11" s="1"/>
  <c r="A3068" i="11" a="1"/>
  <c r="A3068" i="11" s="1"/>
  <c r="A3042" i="11" a="1"/>
  <c r="A3042" i="11" s="1"/>
  <c r="A2997" i="11" a="1"/>
  <c r="A2997" i="11" s="1"/>
  <c r="A2944" i="11" a="1"/>
  <c r="A2944" i="11" s="1"/>
  <c r="A2916" i="11" a="1"/>
  <c r="A2916" i="11" s="1"/>
  <c r="A2861" i="11" a="1"/>
  <c r="A2861" i="11" s="1"/>
  <c r="A2786" i="11" a="1"/>
  <c r="A2786" i="11" s="1"/>
  <c r="A2746" i="11" a="1"/>
  <c r="A2746" i="11" s="1"/>
  <c r="A2669" i="11" a="1"/>
  <c r="A2669" i="11" s="1"/>
  <c r="A2590" i="11" a="1"/>
  <c r="A2590" i="11" s="1"/>
  <c r="A2547" i="11" a="1"/>
  <c r="A2547" i="11" s="1"/>
  <c r="A2468" i="11" a="1"/>
  <c r="A2468" i="11" s="1"/>
  <c r="A2425" i="11" a="1"/>
  <c r="A2425" i="11" s="1"/>
  <c r="A2341" i="11" a="1"/>
  <c r="A2341" i="11" s="1"/>
  <c r="A2260" i="11" a="1"/>
  <c r="A2260" i="11" s="1"/>
  <c r="A2218" i="11" a="1"/>
  <c r="A2218" i="11" s="1"/>
  <c r="A2133" i="11" a="1"/>
  <c r="A2133" i="11" s="1"/>
  <c r="A2090" i="11" a="1"/>
  <c r="A2090" i="11" s="1"/>
  <c r="A2008" i="11" a="1"/>
  <c r="A2008" i="11" s="1"/>
  <c r="A1962" i="11" a="1"/>
  <c r="A1962" i="11" s="1"/>
  <c r="A1885" i="11" a="1"/>
  <c r="A1885" i="11" s="1"/>
  <c r="A1839" i="11" a="1"/>
  <c r="A1839" i="11" s="1"/>
  <c r="A1755" i="11" a="1"/>
  <c r="A1755" i="11" s="1"/>
  <c r="A1713" i="11" a="1"/>
  <c r="A1713" i="11" s="1"/>
  <c r="A1632" i="11" a="1"/>
  <c r="A1632" i="11" s="1"/>
  <c r="A1586" i="11" a="1"/>
  <c r="A1586" i="11" s="1"/>
  <c r="A1506" i="11" a="1"/>
  <c r="A1506" i="11" s="1"/>
  <c r="A1462" i="11" a="1"/>
  <c r="A1462" i="11" s="1"/>
  <c r="A1378" i="11" a="1"/>
  <c r="A1378" i="11" s="1"/>
  <c r="A1337" i="11" a="1"/>
  <c r="A1337" i="11" s="1"/>
  <c r="A1251" i="11" a="1"/>
  <c r="A1251" i="11" s="1"/>
  <c r="A1209" i="11" a="1"/>
  <c r="A1209" i="11" s="1"/>
  <c r="A1161" i="11" a="1"/>
  <c r="A1161" i="11" s="1"/>
  <c r="A1082" i="11" a="1"/>
  <c r="A1082" i="11" s="1"/>
  <c r="A1035" i="11" a="1"/>
  <c r="A1035" i="11" s="1"/>
  <c r="A989" i="11" a="1"/>
  <c r="A989" i="11" s="1"/>
  <c r="A901" i="11" a="1"/>
  <c r="A901" i="11" s="1"/>
  <c r="A854" i="11" a="1"/>
  <c r="A854" i="11" s="1"/>
  <c r="A804" i="11" a="1"/>
  <c r="A804" i="11" s="1"/>
  <c r="A757" i="11" a="1"/>
  <c r="A757" i="11" s="1"/>
  <c r="A664" i="11" a="1"/>
  <c r="A664" i="11" s="1"/>
  <c r="A616" i="11" a="1"/>
  <c r="A616" i="11" s="1"/>
  <c r="A573" i="11" a="1"/>
  <c r="A573" i="11" s="1"/>
  <c r="A526" i="11" a="1"/>
  <c r="A526" i="11" s="1"/>
  <c r="A482" i="11" a="1"/>
  <c r="A482" i="11" s="1"/>
  <c r="A402" i="11" a="1"/>
  <c r="A402" i="11" s="1"/>
  <c r="A363" i="11" a="1"/>
  <c r="A363" i="11" s="1"/>
  <c r="A322" i="11" a="1"/>
  <c r="A322" i="11" s="1"/>
  <c r="A286" i="11" a="1"/>
  <c r="A286" i="11" s="1"/>
  <c r="A250" i="11" a="1"/>
  <c r="A250" i="11" s="1"/>
  <c r="A217" i="11" a="1"/>
  <c r="A217" i="11" s="1"/>
  <c r="A182" i="11" a="1"/>
  <c r="A182" i="11" s="1"/>
  <c r="A149" i="11" a="1"/>
  <c r="A149" i="11" s="1"/>
  <c r="A3317" i="11" a="1"/>
  <c r="A3317" i="11" s="1"/>
  <c r="A3282" i="11" a="1"/>
  <c r="A3282" i="11" s="1"/>
  <c r="A3250" i="11" a="1"/>
  <c r="A3250" i="11" s="1"/>
  <c r="A3212" i="11" a="1"/>
  <c r="A3212" i="11" s="1"/>
  <c r="A3191" i="11" a="1"/>
  <c r="A3191" i="11" s="1"/>
  <c r="A3152" i="11" a="1"/>
  <c r="A3152" i="11" s="1"/>
  <c r="A3114" i="11" a="1"/>
  <c r="A3114" i="11" s="1"/>
  <c r="A3089" i="11" a="1"/>
  <c r="A3089" i="11" s="1"/>
  <c r="A3043" i="11" a="1"/>
  <c r="A3043" i="11" s="1"/>
  <c r="A2998" i="11" a="1"/>
  <c r="A2998" i="11" s="1"/>
  <c r="A2945" i="11" a="1"/>
  <c r="A2945" i="11" s="1"/>
  <c r="A2917" i="11" a="1"/>
  <c r="A2917" i="11" s="1"/>
  <c r="A2862" i="11" a="1"/>
  <c r="A2862" i="11" s="1"/>
  <c r="A2787" i="11" a="1"/>
  <c r="A2787" i="11" s="1"/>
  <c r="A2747" i="11" a="1"/>
  <c r="A2747" i="11" s="1"/>
  <c r="A2670" i="11" a="1"/>
  <c r="A2670" i="11" s="1"/>
  <c r="A2591" i="11" a="1"/>
  <c r="A2591" i="11" s="1"/>
  <c r="A2548" i="11" a="1"/>
  <c r="A2548" i="11" s="1"/>
  <c r="A2469" i="11" a="1"/>
  <c r="A2469" i="11" s="1"/>
  <c r="A2426" i="11" a="1"/>
  <c r="A2426" i="11" s="1"/>
  <c r="A2342" i="11" a="1"/>
  <c r="A2342" i="11" s="1"/>
  <c r="A2261" i="11" a="1"/>
  <c r="A2261" i="11" s="1"/>
  <c r="A2219" i="11" a="1"/>
  <c r="A2219" i="11" s="1"/>
  <c r="A2134" i="11" a="1"/>
  <c r="A2134" i="11" s="1"/>
  <c r="A2091" i="11" a="1"/>
  <c r="A2091" i="11" s="1"/>
  <c r="A2009" i="11" a="1"/>
  <c r="A2009" i="11" s="1"/>
  <c r="A1963" i="11" a="1"/>
  <c r="A1963" i="11" s="1"/>
  <c r="A1886" i="11" a="1"/>
  <c r="A1886" i="11" s="1"/>
  <c r="A1840" i="11" a="1"/>
  <c r="A1840" i="11" s="1"/>
  <c r="A1756" i="11" a="1"/>
  <c r="A1756" i="11" s="1"/>
  <c r="A1714" i="11" a="1"/>
  <c r="A1714" i="11" s="1"/>
  <c r="A1633" i="11" a="1"/>
  <c r="A1633" i="11" s="1"/>
  <c r="A1587" i="11" a="1"/>
  <c r="A1587" i="11" s="1"/>
  <c r="A1507" i="11" a="1"/>
  <c r="A1507" i="11" s="1"/>
  <c r="A1463" i="11" a="1"/>
  <c r="A1463" i="11" s="1"/>
  <c r="A1379" i="11" a="1"/>
  <c r="A1379" i="11" s="1"/>
  <c r="A1338" i="11" a="1"/>
  <c r="A1338" i="11" s="1"/>
  <c r="A1252" i="11" a="1"/>
  <c r="A1252" i="11" s="1"/>
  <c r="A1210" i="11" a="1"/>
  <c r="A1210" i="11" s="1"/>
  <c r="A1162" i="11" a="1"/>
  <c r="A1162" i="11" s="1"/>
  <c r="A1083" i="11" a="1"/>
  <c r="A1083" i="11" s="1"/>
  <c r="A1036" i="11" a="1"/>
  <c r="A1036" i="11" s="1"/>
  <c r="A990" i="11" a="1"/>
  <c r="A990" i="11" s="1"/>
  <c r="A902" i="11" a="1"/>
  <c r="A902" i="11" s="1"/>
  <c r="A855" i="11" a="1"/>
  <c r="A855" i="11" s="1"/>
  <c r="A805" i="11" a="1"/>
  <c r="A805" i="11" s="1"/>
  <c r="A758" i="11" a="1"/>
  <c r="A758" i="11" s="1"/>
  <c r="A665" i="11" a="1"/>
  <c r="A665" i="11" s="1"/>
  <c r="A617" i="11" a="1"/>
  <c r="A617" i="11" s="1"/>
  <c r="A574" i="11" a="1"/>
  <c r="A574" i="11" s="1"/>
  <c r="A527" i="11" a="1"/>
  <c r="A527" i="11" s="1"/>
  <c r="A483" i="11" a="1"/>
  <c r="A483" i="11" s="1"/>
  <c r="A403" i="11" a="1"/>
  <c r="A403" i="11" s="1"/>
  <c r="A364" i="11" a="1"/>
  <c r="A364" i="11" s="1"/>
  <c r="A323" i="11" a="1"/>
  <c r="A323" i="11" s="1"/>
  <c r="A287" i="11" a="1"/>
  <c r="A287" i="11" s="1"/>
  <c r="A251" i="11" a="1"/>
  <c r="A251" i="11" s="1"/>
  <c r="A218" i="11" a="1"/>
  <c r="A218" i="11" s="1"/>
  <c r="A183" i="11" a="1"/>
  <c r="A183" i="11" s="1"/>
  <c r="A150" i="11" a="1"/>
  <c r="A150" i="11" s="1"/>
  <c r="A118" i="11" a="1"/>
  <c r="A118" i="11" s="1"/>
  <c r="A3283" i="11" a="1"/>
  <c r="A3283" i="11" s="1"/>
  <c r="A3251" i="11" a="1"/>
  <c r="A3251" i="11" s="1"/>
  <c r="A3229" i="11" a="1"/>
  <c r="A3229" i="11" s="1"/>
  <c r="A3192" i="11" a="1"/>
  <c r="A3192" i="11" s="1"/>
  <c r="A3153" i="11" a="1"/>
  <c r="A3153" i="11" s="1"/>
  <c r="A3115" i="11" a="1"/>
  <c r="A3115" i="11" s="1"/>
  <c r="A3090" i="11" a="1"/>
  <c r="A3090" i="11" s="1"/>
  <c r="A3044" i="11" a="1"/>
  <c r="A3044" i="11" s="1"/>
  <c r="A2999" i="11" a="1"/>
  <c r="A2999" i="11" s="1"/>
  <c r="A2970" i="11" a="1"/>
  <c r="A2970" i="11" s="1"/>
  <c r="A2918" i="11" a="1"/>
  <c r="A2918" i="11" s="1"/>
  <c r="A2863" i="11" a="1"/>
  <c r="A2863" i="11" s="1"/>
  <c r="A2825" i="11" a="1"/>
  <c r="A2825" i="11" s="1"/>
  <c r="A2748" i="11" a="1"/>
  <c r="A2748" i="11" s="1"/>
  <c r="A2671" i="11" a="1"/>
  <c r="A2671" i="11" s="1"/>
  <c r="A2627" i="11" a="1"/>
  <c r="A2627" i="11" s="1"/>
  <c r="A2549" i="11" a="1"/>
  <c r="A2549" i="11" s="1"/>
  <c r="A2470" i="11" a="1"/>
  <c r="A2470" i="11" s="1"/>
  <c r="A2427" i="11" a="1"/>
  <c r="A2427" i="11" s="1"/>
  <c r="A2343" i="11" a="1"/>
  <c r="A2343" i="11" s="1"/>
  <c r="A2302" i="11" a="1"/>
  <c r="A2302" i="11" s="1"/>
  <c r="A2220" i="11" a="1"/>
  <c r="A2220" i="11" s="1"/>
  <c r="A2135" i="11" a="1"/>
  <c r="A2135" i="11" s="1"/>
  <c r="A2092" i="11" a="1"/>
  <c r="A2092" i="11" s="1"/>
  <c r="A2010" i="11" a="1"/>
  <c r="A2010" i="11" s="1"/>
  <c r="A1964" i="11" a="1"/>
  <c r="A1964" i="11" s="1"/>
  <c r="A1887" i="11" a="1"/>
  <c r="A1887" i="11" s="1"/>
  <c r="A1841" i="11" a="1"/>
  <c r="A1841" i="11" s="1"/>
  <c r="A1757" i="11" a="1"/>
  <c r="A1757" i="11" s="1"/>
  <c r="A1715" i="11" a="1"/>
  <c r="A1715" i="11" s="1"/>
  <c r="A1634" i="11" a="1"/>
  <c r="A1634" i="11" s="1"/>
  <c r="A1588" i="11" a="1"/>
  <c r="A1588" i="11" s="1"/>
  <c r="A1508" i="11" a="1"/>
  <c r="A1508" i="11" s="1"/>
  <c r="A1464" i="11" a="1"/>
  <c r="A1464" i="11" s="1"/>
  <c r="A1380" i="11" a="1"/>
  <c r="A1380" i="11" s="1"/>
  <c r="A1339" i="11" a="1"/>
  <c r="A1339" i="11" s="1"/>
  <c r="A1294" i="11" a="1"/>
  <c r="A1294" i="11" s="1"/>
  <c r="A1211" i="11" a="1"/>
  <c r="A1211" i="11" s="1"/>
  <c r="A1163" i="11" a="1"/>
  <c r="A1163" i="11" s="1"/>
  <c r="A1084" i="11" a="1"/>
  <c r="A1084" i="11" s="1"/>
  <c r="A1037" i="11" a="1"/>
  <c r="A1037" i="11" s="1"/>
  <c r="A991" i="11" a="1"/>
  <c r="A991" i="11" s="1"/>
  <c r="A903" i="11" a="1"/>
  <c r="A903" i="11" s="1"/>
  <c r="A856" i="11" a="1"/>
  <c r="A856" i="11" s="1"/>
  <c r="A806" i="11" a="1"/>
  <c r="A806" i="11" s="1"/>
  <c r="A759" i="11" a="1"/>
  <c r="A759" i="11" s="1"/>
  <c r="A666" i="11" a="1"/>
  <c r="A666" i="11" s="1"/>
  <c r="A618" i="11" a="1"/>
  <c r="A618" i="11" s="1"/>
  <c r="A575" i="11" a="1"/>
  <c r="A575" i="11" s="1"/>
  <c r="A528" i="11" a="1"/>
  <c r="A528" i="11" s="1"/>
  <c r="A484" i="11" a="1"/>
  <c r="A484" i="11" s="1"/>
  <c r="A404" i="11" a="1"/>
  <c r="A404" i="11" s="1"/>
  <c r="A365" i="11" a="1"/>
  <c r="A365" i="11" s="1"/>
  <c r="A324" i="11" a="1"/>
  <c r="A324" i="11" s="1"/>
  <c r="A288" i="11" a="1"/>
  <c r="A288" i="11" s="1"/>
  <c r="A252" i="11" a="1"/>
  <c r="A252" i="11" s="1"/>
  <c r="A219" i="11" a="1"/>
  <c r="A219" i="11" s="1"/>
  <c r="A184" i="11" a="1"/>
  <c r="A184" i="11" s="1"/>
  <c r="A151" i="11" a="1"/>
  <c r="A151" i="11" s="1"/>
  <c r="A119" i="11" a="1"/>
  <c r="A119" i="11" s="1"/>
  <c r="A91" i="11" a="1"/>
  <c r="A91" i="11" s="1"/>
  <c r="A3263" i="11" a="1"/>
  <c r="A3263" i="11" s="1"/>
  <c r="A3230" i="11" a="1"/>
  <c r="A3230" i="11" s="1"/>
  <c r="A3193" i="11" a="1"/>
  <c r="A3193" i="11" s="1"/>
  <c r="A3154" i="11" a="1"/>
  <c r="A3154" i="11" s="1"/>
  <c r="A3129" i="11" a="1"/>
  <c r="A3129" i="11" s="1"/>
  <c r="A3091" i="11" a="1"/>
  <c r="A3091" i="11" s="1"/>
  <c r="A3045" i="11" a="1"/>
  <c r="A3045" i="11" s="1"/>
  <c r="A3000" i="11" a="1"/>
  <c r="A3000" i="11" s="1"/>
  <c r="A2971" i="11" a="1"/>
  <c r="A2971" i="11" s="1"/>
  <c r="A2919" i="11" a="1"/>
  <c r="A2919" i="11" s="1"/>
  <c r="A2864" i="11" a="1"/>
  <c r="A2864" i="11" s="1"/>
  <c r="A2826" i="11" a="1"/>
  <c r="A2826" i="11" s="1"/>
  <c r="A2749" i="11" a="1"/>
  <c r="A2749" i="11" s="1"/>
  <c r="A2672" i="11" a="1"/>
  <c r="A2672" i="11" s="1"/>
  <c r="A2628" i="11" a="1"/>
  <c r="A2628" i="11" s="1"/>
  <c r="A2550" i="11" a="1"/>
  <c r="A2550" i="11" s="1"/>
  <c r="A2503" i="11" a="1"/>
  <c r="A2503" i="11" s="1"/>
  <c r="A2428" i="11" a="1"/>
  <c r="A2428" i="11" s="1"/>
  <c r="A2344" i="11" a="1"/>
  <c r="A2344" i="11" s="1"/>
  <c r="A2303" i="11" a="1"/>
  <c r="A2303" i="11" s="1"/>
  <c r="A2221" i="11" a="1"/>
  <c r="A2221" i="11" s="1"/>
  <c r="A2174" i="11" a="1"/>
  <c r="A2174" i="11" s="1"/>
  <c r="A2093" i="11" a="1"/>
  <c r="A2093" i="11" s="1"/>
  <c r="A2011" i="11" a="1"/>
  <c r="A2011" i="11" s="1"/>
  <c r="A1965" i="11" a="1"/>
  <c r="A1965" i="11" s="1"/>
  <c r="A1888" i="11" a="1"/>
  <c r="A1888" i="11" s="1"/>
  <c r="A1842" i="11" a="1"/>
  <c r="A1842" i="11" s="1"/>
  <c r="A1758" i="11" a="1"/>
  <c r="A1758" i="11" s="1"/>
  <c r="A1716" i="11" a="1"/>
  <c r="A1716" i="11" s="1"/>
  <c r="A1635" i="11" a="1"/>
  <c r="A1635" i="11" s="1"/>
  <c r="A1589" i="11" a="1"/>
  <c r="A1589" i="11" s="1"/>
  <c r="A1509" i="11" a="1"/>
  <c r="A1509" i="11" s="1"/>
  <c r="A1465" i="11" a="1"/>
  <c r="A1465" i="11" s="1"/>
  <c r="A1381" i="11" a="1"/>
  <c r="A1381" i="11" s="1"/>
  <c r="A1340" i="11" a="1"/>
  <c r="A1340" i="11" s="1"/>
  <c r="A1295" i="11" a="1"/>
  <c r="A1295" i="11" s="1"/>
  <c r="A1212" i="11" a="1"/>
  <c r="A1212" i="11" s="1"/>
  <c r="A1164" i="11" a="1"/>
  <c r="A1164" i="11" s="1"/>
  <c r="A1122" i="11" a="1"/>
  <c r="A1122" i="11" s="1"/>
  <c r="A1038" i="11" a="1"/>
  <c r="A1038" i="11" s="1"/>
  <c r="A992" i="11" a="1"/>
  <c r="A992" i="11" s="1"/>
  <c r="A945" i="11" a="1"/>
  <c r="A945" i="11" s="1"/>
  <c r="A857" i="11" a="1"/>
  <c r="A857" i="11" s="1"/>
  <c r="A807" i="11" a="1"/>
  <c r="A807" i="11" s="1"/>
  <c r="A760" i="11" a="1"/>
  <c r="A760" i="11" s="1"/>
  <c r="A667" i="11" a="1"/>
  <c r="A667" i="11" s="1"/>
  <c r="A619" i="11" a="1"/>
  <c r="A619" i="11" s="1"/>
  <c r="A576" i="11" a="1"/>
  <c r="A576" i="11" s="1"/>
  <c r="A529" i="11" a="1"/>
  <c r="A529" i="11" s="1"/>
  <c r="A485" i="11" a="1"/>
  <c r="A485" i="11" s="1"/>
  <c r="A405" i="11" a="1"/>
  <c r="A405" i="11" s="1"/>
  <c r="A366" i="11" a="1"/>
  <c r="A366" i="11" s="1"/>
  <c r="A325" i="11" a="1"/>
  <c r="A325" i="11" s="1"/>
  <c r="A289" i="11" a="1"/>
  <c r="A289" i="11" s="1"/>
  <c r="A253" i="11" a="1"/>
  <c r="A253" i="11" s="1"/>
  <c r="A220" i="11" a="1"/>
  <c r="A220" i="11" s="1"/>
  <c r="A185" i="11" a="1"/>
  <c r="A185" i="11" s="1"/>
  <c r="A152" i="11" a="1"/>
  <c r="A152" i="11" s="1"/>
  <c r="A120" i="11" a="1"/>
  <c r="A120" i="11" s="1"/>
  <c r="A92" i="11" a="1"/>
  <c r="A92" i="11" s="1"/>
  <c r="A67" i="11" a="1"/>
  <c r="A67" i="11" s="1"/>
  <c r="A3231" i="11" a="1"/>
  <c r="A3231" i="11" s="1"/>
  <c r="A3194" i="11" a="1"/>
  <c r="A3194" i="11" s="1"/>
  <c r="A3172" i="11" a="1"/>
  <c r="A3172" i="11" s="1"/>
  <c r="A3130" i="11" a="1"/>
  <c r="A3130" i="11" s="1"/>
  <c r="A3092" i="11" a="1"/>
  <c r="A3092" i="11" s="1"/>
  <c r="A3046" i="11" a="1"/>
  <c r="A3046" i="11" s="1"/>
  <c r="A3019" i="11" a="1"/>
  <c r="A3019" i="11" s="1"/>
  <c r="A2972" i="11" a="1"/>
  <c r="A2972" i="11" s="1"/>
  <c r="A2920" i="11" a="1"/>
  <c r="A2920" i="11" s="1"/>
  <c r="A2890" i="11" a="1"/>
  <c r="A2890" i="11" s="1"/>
  <c r="A2827" i="11" a="1"/>
  <c r="A2827" i="11" s="1"/>
  <c r="A2750" i="11" a="1"/>
  <c r="A2750" i="11" s="1"/>
  <c r="A2706" i="11" a="1"/>
  <c r="A2706" i="11" s="1"/>
  <c r="A2629" i="11" a="1"/>
  <c r="A2629" i="11" s="1"/>
  <c r="A2551" i="11" a="1"/>
  <c r="A2551" i="11" s="1"/>
  <c r="A2504" i="11" a="1"/>
  <c r="A2504" i="11" s="1"/>
  <c r="A2429" i="11" a="1"/>
  <c r="A2429" i="11" s="1"/>
  <c r="A2382" i="11" a="1"/>
  <c r="A2382" i="11" s="1"/>
  <c r="A2304" i="11" a="1"/>
  <c r="A2304" i="11" s="1"/>
  <c r="A2222" i="11" a="1"/>
  <c r="A2222" i="11" s="1"/>
  <c r="A2175" i="11" a="1"/>
  <c r="A2175" i="11" s="1"/>
  <c r="A2094" i="11" a="1"/>
  <c r="A2094" i="11" s="1"/>
  <c r="A2048" i="11" a="1"/>
  <c r="A2048" i="11" s="1"/>
  <c r="A1966" i="11" a="1"/>
  <c r="A1966" i="11" s="1"/>
  <c r="A1921" i="11" a="1"/>
  <c r="A1921" i="11" s="1"/>
  <c r="A1843" i="11" a="1"/>
  <c r="A1843" i="11" s="1"/>
  <c r="A1796" i="11" a="1"/>
  <c r="A1796" i="11" s="1"/>
  <c r="A1717" i="11" a="1"/>
  <c r="A1717" i="11" s="1"/>
  <c r="A1672" i="11" a="1"/>
  <c r="A1672" i="11" s="1"/>
  <c r="A1590" i="11" a="1"/>
  <c r="A1590" i="11" s="1"/>
  <c r="A1546" i="11" a="1"/>
  <c r="A1546" i="11" s="1"/>
  <c r="A1466" i="11" a="1"/>
  <c r="A1466" i="11" s="1"/>
  <c r="A1419" i="11" a="1"/>
  <c r="A1419" i="11" s="1"/>
  <c r="A1341" i="11" a="1"/>
  <c r="A1341" i="11" s="1"/>
  <c r="A1296" i="11" a="1"/>
  <c r="A1296" i="11" s="1"/>
  <c r="A1213" i="11" a="1"/>
  <c r="A1213" i="11" s="1"/>
  <c r="A1165" i="11" a="1"/>
  <c r="A1165" i="11" s="1"/>
  <c r="A1123" i="11" a="1"/>
  <c r="A1123" i="11" s="1"/>
  <c r="A1039" i="11" a="1"/>
  <c r="A1039" i="11" s="1"/>
  <c r="A993" i="11" a="1"/>
  <c r="A993" i="11" s="1"/>
  <c r="A946" i="11" a="1"/>
  <c r="A946" i="11" s="1"/>
  <c r="A858" i="11" a="1"/>
  <c r="A858" i="11" s="1"/>
  <c r="A808" i="11" a="1"/>
  <c r="A808" i="11" s="1"/>
  <c r="A761" i="11" a="1"/>
  <c r="A761" i="11" s="1"/>
  <c r="A707" i="11" a="1"/>
  <c r="A707" i="11" s="1"/>
  <c r="A620" i="11" a="1"/>
  <c r="A620" i="11" s="1"/>
  <c r="A577" i="11" a="1"/>
  <c r="A577" i="11" s="1"/>
  <c r="A530" i="11" a="1"/>
  <c r="A530" i="11" s="1"/>
  <c r="A486" i="11" a="1"/>
  <c r="A486" i="11" s="1"/>
  <c r="A442" i="11" a="1"/>
  <c r="A442" i="11" s="1"/>
  <c r="A367" i="11" a="1"/>
  <c r="A367" i="11" s="1"/>
  <c r="A326" i="11" a="1"/>
  <c r="A326" i="11" s="1"/>
  <c r="A290" i="11" a="1"/>
  <c r="A290" i="11" s="1"/>
  <c r="A254" i="11" a="1"/>
  <c r="A254" i="11" s="1"/>
  <c r="A221" i="11" a="1"/>
  <c r="A221" i="11" s="1"/>
  <c r="A186" i="11" a="1"/>
  <c r="A186" i="11" s="1"/>
  <c r="A153" i="11" a="1"/>
  <c r="A153" i="11" s="1"/>
  <c r="A121" i="11" a="1"/>
  <c r="A121" i="11" s="1"/>
  <c r="A93" i="11" a="1"/>
  <c r="A93" i="11" s="1"/>
  <c r="A68" i="11" a="1"/>
  <c r="A68" i="11" s="1"/>
  <c r="A44" i="11" a="1"/>
  <c r="A44" i="11" s="1"/>
  <c r="A3213" i="11" a="1"/>
  <c r="A3213" i="11" s="1"/>
  <c r="A3173" i="11" a="1"/>
  <c r="A3173" i="11" s="1"/>
  <c r="A3131" i="11" a="1"/>
  <c r="A3131" i="11" s="1"/>
  <c r="A3093" i="11" a="1"/>
  <c r="A3093" i="11" s="1"/>
  <c r="A3069" i="11" a="1"/>
  <c r="A3069" i="11" s="1"/>
  <c r="A3020" i="11" a="1"/>
  <c r="A3020" i="11" s="1"/>
  <c r="A2973" i="11" a="1"/>
  <c r="A2973" i="11" s="1"/>
  <c r="A2946" i="11" a="1"/>
  <c r="A2946" i="11" s="1"/>
  <c r="A2891" i="11" a="1"/>
  <c r="A2891" i="11" s="1"/>
  <c r="A2828" i="11" a="1"/>
  <c r="A2828" i="11" s="1"/>
  <c r="A2788" i="11" a="1"/>
  <c r="A2788" i="11" s="1"/>
  <c r="A2707" i="11" a="1"/>
  <c r="A2707" i="11" s="1"/>
  <c r="A2630" i="11" a="1"/>
  <c r="A2630" i="11" s="1"/>
  <c r="A2592" i="11" a="1"/>
  <c r="A2592" i="11" s="1"/>
  <c r="A2505" i="11" a="1"/>
  <c r="A2505" i="11" s="1"/>
  <c r="A2430" i="11" a="1"/>
  <c r="A2430" i="11" s="1"/>
  <c r="A2383" i="11" a="1"/>
  <c r="A2383" i="11" s="1"/>
  <c r="A2305" i="11" a="1"/>
  <c r="A2305" i="11" s="1"/>
  <c r="A2262" i="11" a="1"/>
  <c r="A2262" i="11" s="1"/>
  <c r="A2176" i="11" a="1"/>
  <c r="A2176" i="11" s="1"/>
  <c r="A2095" i="11" a="1"/>
  <c r="A2095" i="11" s="1"/>
  <c r="A2049" i="11" a="1"/>
  <c r="A2049" i="11" s="1"/>
  <c r="A1967" i="11" a="1"/>
  <c r="A1967" i="11" s="1"/>
  <c r="A1922" i="11" a="1"/>
  <c r="A1922" i="11" s="1"/>
  <c r="A1844" i="11" a="1"/>
  <c r="A1844" i="11" s="1"/>
  <c r="A1797" i="11" a="1"/>
  <c r="A1797" i="11" s="1"/>
  <c r="A1718" i="11" a="1"/>
  <c r="A1718" i="11" s="1"/>
  <c r="A1673" i="11" a="1"/>
  <c r="A1673" i="11" s="1"/>
  <c r="A1591" i="11" a="1"/>
  <c r="A1591" i="11" s="1"/>
  <c r="A1547" i="11" a="1"/>
  <c r="A1547" i="11" s="1"/>
  <c r="A1467" i="11" a="1"/>
  <c r="A1467" i="11" s="1"/>
  <c r="A1420" i="11" a="1"/>
  <c r="A1420" i="11" s="1"/>
  <c r="A1382" i="11" a="1"/>
  <c r="A1382" i="11" s="1"/>
  <c r="A1297" i="11" a="1"/>
  <c r="A1297" i="11" s="1"/>
  <c r="A1253" i="11" a="1"/>
  <c r="A1253" i="11" s="1"/>
  <c r="A1166" i="11" a="1"/>
  <c r="A1166" i="11" s="1"/>
  <c r="A1124" i="11" a="1"/>
  <c r="A1124" i="11" s="1"/>
  <c r="A1085" i="11" a="1"/>
  <c r="A1085" i="11" s="1"/>
  <c r="A994" i="11" a="1"/>
  <c r="A994" i="11" s="1"/>
  <c r="A947" i="11" a="1"/>
  <c r="A947" i="11" s="1"/>
  <c r="A904" i="11" a="1"/>
  <c r="A904" i="11" s="1"/>
  <c r="A809" i="11" a="1"/>
  <c r="A809" i="11" s="1"/>
  <c r="A762" i="11" a="1"/>
  <c r="A762" i="11" s="1"/>
  <c r="A708" i="11" a="1"/>
  <c r="A708" i="11" s="1"/>
  <c r="A668" i="11" a="1"/>
  <c r="A668" i="11" s="1"/>
  <c r="A578" i="11" a="1"/>
  <c r="A578" i="11" s="1"/>
  <c r="A531" i="11" a="1"/>
  <c r="A531" i="11" s="1"/>
  <c r="A487" i="11" a="1"/>
  <c r="A487" i="11" s="1"/>
  <c r="A443" i="11" a="1"/>
  <c r="A443" i="11" s="1"/>
  <c r="A406" i="11" a="1"/>
  <c r="A406" i="11" s="1"/>
  <c r="A368" i="11" a="1"/>
  <c r="A368" i="11" s="1"/>
  <c r="A291" i="11" a="1"/>
  <c r="A291" i="11" s="1"/>
  <c r="A255" i="11" a="1"/>
  <c r="A255" i="11" s="1"/>
  <c r="A222" i="11" a="1"/>
  <c r="A222" i="11" s="1"/>
  <c r="A187" i="11" a="1"/>
  <c r="A187" i="11" s="1"/>
  <c r="A154" i="11" a="1"/>
  <c r="A154" i="11" s="1"/>
  <c r="A122" i="11" a="1"/>
  <c r="A122" i="11" s="1"/>
  <c r="A94" i="11" a="1"/>
  <c r="A94" i="11" s="1"/>
  <c r="A69" i="11" a="1"/>
  <c r="A69" i="11" s="1"/>
  <c r="A45" i="11" a="1"/>
  <c r="A45" i="11" s="1"/>
  <c r="A25" i="11" a="1"/>
  <c r="A25" i="11" s="1"/>
  <c r="A3174" i="11" a="1"/>
  <c r="A3174" i="11" s="1"/>
  <c r="A3155" i="11" a="1"/>
  <c r="A3155" i="11" s="1"/>
  <c r="A3116" i="11" a="1"/>
  <c r="A3116" i="11" s="1"/>
  <c r="A3070" i="11" a="1"/>
  <c r="A3070" i="11" s="1"/>
  <c r="A3021" i="11" a="1"/>
  <c r="A3021" i="11" s="1"/>
  <c r="A3001" i="11" a="1"/>
  <c r="A3001" i="11" s="1"/>
  <c r="A2947" i="11" a="1"/>
  <c r="A2947" i="11" s="1"/>
  <c r="A2892" i="11" a="1"/>
  <c r="A2892" i="11" s="1"/>
  <c r="A2865" i="11" a="1"/>
  <c r="A2865" i="11" s="1"/>
  <c r="A2789" i="11" a="1"/>
  <c r="A2789" i="11" s="1"/>
  <c r="A2708" i="11" a="1"/>
  <c r="A2708" i="11" s="1"/>
  <c r="A2673" i="11" a="1"/>
  <c r="A2673" i="11" s="1"/>
  <c r="A2593" i="11" a="1"/>
  <c r="A2593" i="11" s="1"/>
  <c r="A2506" i="11" a="1"/>
  <c r="A2506" i="11" s="1"/>
  <c r="A2471" i="11" a="1"/>
  <c r="A2471" i="11" s="1"/>
  <c r="A2384" i="11" a="1"/>
  <c r="A2384" i="11" s="1"/>
  <c r="A2345" i="11" a="1"/>
  <c r="A2345" i="11" s="1"/>
  <c r="A2263" i="11" a="1"/>
  <c r="A2263" i="11" s="1"/>
  <c r="A2177" i="11" a="1"/>
  <c r="A2177" i="11" s="1"/>
  <c r="A2136" i="11" a="1"/>
  <c r="A2136" i="11" s="1"/>
  <c r="A2050" i="11" a="1"/>
  <c r="A2050" i="11" s="1"/>
  <c r="A2012" i="11" a="1"/>
  <c r="A2012" i="11" s="1"/>
  <c r="A1923" i="11" a="1"/>
  <c r="A1923" i="11" s="1"/>
  <c r="A1889" i="11" a="1"/>
  <c r="A1889" i="11" s="1"/>
  <c r="A1798" i="11" a="1"/>
  <c r="A1798" i="11" s="1"/>
  <c r="A1759" i="11" a="1"/>
  <c r="A1759" i="11" s="1"/>
  <c r="A1674" i="11" a="1"/>
  <c r="A1674" i="11" s="1"/>
  <c r="A1636" i="11" a="1"/>
  <c r="A1636" i="11" s="1"/>
  <c r="A1548" i="11" a="1"/>
  <c r="A1548" i="11" s="1"/>
  <c r="A1510" i="11" a="1"/>
  <c r="A1510" i="11" s="1"/>
  <c r="A1421" i="11" a="1"/>
  <c r="A1421" i="11" s="1"/>
  <c r="A1383" i="11" a="1"/>
  <c r="A1383" i="11" s="1"/>
  <c r="A1298" i="11" a="1"/>
  <c r="A1298" i="11" s="1"/>
  <c r="A1254" i="11" a="1"/>
  <c r="A1254" i="11" s="1"/>
  <c r="A1214" i="11" a="1"/>
  <c r="A1214" i="11" s="1"/>
  <c r="A1125" i="11" a="1"/>
  <c r="A1125" i="11" s="1"/>
  <c r="A1086" i="11" a="1"/>
  <c r="A1086" i="11" s="1"/>
  <c r="A1040" i="11" a="1"/>
  <c r="A1040" i="11" s="1"/>
  <c r="A948" i="11" a="1"/>
  <c r="A948" i="11" s="1"/>
  <c r="A905" i="11" a="1"/>
  <c r="A905" i="11" s="1"/>
  <c r="A859" i="11" a="1"/>
  <c r="A859" i="11" s="1"/>
  <c r="A763" i="11" a="1"/>
  <c r="A763" i="11" s="1"/>
  <c r="A709" i="11" a="1"/>
  <c r="A709" i="11" s="1"/>
  <c r="A669" i="11" a="1"/>
  <c r="A669" i="11" s="1"/>
  <c r="A621" i="11" a="1"/>
  <c r="A621" i="11" s="1"/>
  <c r="A532" i="11" a="1"/>
  <c r="A532" i="11" s="1"/>
  <c r="A488" i="11" a="1"/>
  <c r="A488" i="11" s="1"/>
  <c r="A444" i="11" a="1"/>
  <c r="A444" i="11" s="1"/>
  <c r="A407" i="11" a="1"/>
  <c r="A407" i="11" s="1"/>
  <c r="A369" i="11" a="1"/>
  <c r="A369" i="11" s="1"/>
  <c r="A327" i="11" a="1"/>
  <c r="A327" i="11" s="1"/>
  <c r="A292" i="11" a="1"/>
  <c r="A292" i="11" s="1"/>
  <c r="A256" i="11" a="1"/>
  <c r="A256" i="11" s="1"/>
  <c r="A188" i="11" a="1"/>
  <c r="A188" i="11" s="1"/>
  <c r="A155" i="11" a="1"/>
  <c r="A155" i="11" s="1"/>
  <c r="A123" i="11" a="1"/>
  <c r="A123" i="11" s="1"/>
  <c r="A124" i="11" a="1"/>
  <c r="A124" i="11" s="1"/>
  <c r="A95" i="11" a="1"/>
  <c r="A95" i="11" s="1"/>
  <c r="A70" i="11" a="1"/>
  <c r="A70" i="11" s="1"/>
  <c r="A46" i="11" a="1"/>
  <c r="A46" i="11" s="1"/>
  <c r="A26" i="11" a="1"/>
  <c r="A26" i="11" s="1"/>
  <c r="A3156" i="11" a="1"/>
  <c r="A3156" i="11" s="1"/>
  <c r="A3117" i="11" a="1"/>
  <c r="A3117" i="11" s="1"/>
  <c r="A3071" i="11" a="1"/>
  <c r="A3071" i="11" s="1"/>
  <c r="A3047" i="11" a="1"/>
  <c r="A3047" i="11" s="1"/>
  <c r="A3002" i="11" a="1"/>
  <c r="A3002" i="11" s="1"/>
  <c r="A2948" i="11" a="1"/>
  <c r="A2948" i="11" s="1"/>
  <c r="A2921" i="11" a="1"/>
  <c r="A2921" i="11" s="1"/>
  <c r="A2866" i="11" a="1"/>
  <c r="A2866" i="11" s="1"/>
  <c r="A2790" i="11" a="1"/>
  <c r="A2790" i="11" s="1"/>
  <c r="A2751" i="11" a="1"/>
  <c r="A2751" i="11" s="1"/>
  <c r="A2674" i="11" a="1"/>
  <c r="A2674" i="11" s="1"/>
  <c r="A2594" i="11" a="1"/>
  <c r="A2594" i="11" s="1"/>
  <c r="A2552" i="11" a="1"/>
  <c r="A2552" i="11" s="1"/>
  <c r="A2472" i="11" a="1"/>
  <c r="A2472" i="11" s="1"/>
  <c r="A2431" i="11" a="1"/>
  <c r="A2431" i="11" s="1"/>
  <c r="A2346" i="11" a="1"/>
  <c r="A2346" i="11" s="1"/>
  <c r="A2264" i="11" a="1"/>
  <c r="A2264" i="11" s="1"/>
  <c r="A2223" i="11" a="1"/>
  <c r="A2223" i="11" s="1"/>
  <c r="A2137" i="11" a="1"/>
  <c r="A2137" i="11" s="1"/>
  <c r="A2096" i="11" a="1"/>
  <c r="A2096" i="11" s="1"/>
  <c r="A2013" i="11" a="1"/>
  <c r="A2013" i="11" s="1"/>
  <c r="A1968" i="11" a="1"/>
  <c r="A1968" i="11" s="1"/>
  <c r="A1890" i="11" a="1"/>
  <c r="A1890" i="11" s="1"/>
  <c r="A1799" i="11" a="1"/>
  <c r="A1799" i="11" s="1"/>
  <c r="A1760" i="11" a="1"/>
  <c r="A1760" i="11" s="1"/>
  <c r="A1675" i="11" a="1"/>
  <c r="A1675" i="11" s="1"/>
  <c r="A1637" i="11" a="1"/>
  <c r="A1637" i="11" s="1"/>
  <c r="A1592" i="11" a="1"/>
  <c r="A1592" i="11" s="1"/>
  <c r="A1511" i="11" a="1"/>
  <c r="A1511" i="11" s="1"/>
  <c r="A1468" i="11" a="1"/>
  <c r="A1468" i="11" s="1"/>
  <c r="A1384" i="11" a="1"/>
  <c r="A1384" i="11" s="1"/>
  <c r="A1342" i="11" a="1"/>
  <c r="A1342" i="11" s="1"/>
  <c r="A1255" i="11" a="1"/>
  <c r="A1255" i="11" s="1"/>
  <c r="A1215" i="11" a="1"/>
  <c r="A1215" i="11" s="1"/>
  <c r="A1167" i="11" a="1"/>
  <c r="A1167" i="11" s="1"/>
  <c r="A1087" i="11" a="1"/>
  <c r="A1087" i="11" s="1"/>
  <c r="A1041" i="11" a="1"/>
  <c r="A1041" i="11" s="1"/>
  <c r="A995" i="11" a="1"/>
  <c r="A995" i="11" s="1"/>
  <c r="A906" i="11" a="1"/>
  <c r="A906" i="11" s="1"/>
  <c r="A860" i="11" a="1"/>
  <c r="A860" i="11" s="1"/>
  <c r="A810" i="11" a="1"/>
  <c r="A810" i="11" s="1"/>
  <c r="A710" i="11" a="1"/>
  <c r="A710" i="11" s="1"/>
  <c r="A670" i="11" a="1"/>
  <c r="A670" i="11" s="1"/>
  <c r="A622" i="11" a="1"/>
  <c r="A622" i="11" s="1"/>
  <c r="A579" i="11" a="1"/>
  <c r="A579" i="11" s="1"/>
  <c r="A533" i="11" a="1"/>
  <c r="A533" i="11" s="1"/>
  <c r="A445" i="11" a="1"/>
  <c r="A445" i="11" s="1"/>
  <c r="A408" i="11" a="1"/>
  <c r="A408" i="11" s="1"/>
  <c r="A370" i="11" a="1"/>
  <c r="A370" i="11" s="1"/>
  <c r="A328" i="11" a="1"/>
  <c r="A328" i="11" s="1"/>
  <c r="A293" i="11" a="1"/>
  <c r="A293" i="11" s="1"/>
  <c r="A257" i="11" a="1"/>
  <c r="A257" i="11" s="1"/>
  <c r="A223" i="11" a="1"/>
  <c r="A223" i="11" s="1"/>
  <c r="A189" i="11" a="1"/>
  <c r="A189" i="11" s="1"/>
  <c r="A156" i="11" a="1"/>
  <c r="A156" i="11" s="1"/>
  <c r="A125" i="11" a="1"/>
  <c r="A125" i="11" s="1"/>
  <c r="A96" i="11" a="1"/>
  <c r="A96" i="11" s="1"/>
  <c r="A71" i="11" a="1"/>
  <c r="A71" i="11" s="1"/>
  <c r="A47" i="11" a="1"/>
  <c r="A47" i="11" s="1"/>
  <c r="A27" i="11" a="1"/>
  <c r="A27" i="11" s="1"/>
  <c r="A9" i="11" a="1"/>
  <c r="A9" i="11" s="1"/>
  <c r="A3132" i="11" a="1"/>
  <c r="A3132" i="11" s="1"/>
  <c r="A3094" i="11" a="1"/>
  <c r="A3094" i="11" s="1"/>
  <c r="A3048" i="11" a="1"/>
  <c r="A3048" i="11" s="1"/>
  <c r="A3022" i="11" a="1"/>
  <c r="A3022" i="11" s="1"/>
  <c r="A2974" i="11" a="1"/>
  <c r="A2974" i="11" s="1"/>
  <c r="A2922" i="11" a="1"/>
  <c r="A2922" i="11" s="1"/>
  <c r="A2867" i="11" a="1"/>
  <c r="A2867" i="11" s="1"/>
  <c r="A2829" i="11" a="1"/>
  <c r="A2829" i="11" s="1"/>
  <c r="A2752" i="11" a="1"/>
  <c r="A2752" i="11" s="1"/>
  <c r="A2709" i="11" a="1"/>
  <c r="A2709" i="11" s="1"/>
  <c r="A2631" i="11" a="1"/>
  <c r="A2631" i="11" s="1"/>
  <c r="A2553" i="11" a="1"/>
  <c r="A2553" i="11" s="1"/>
  <c r="A2507" i="11" a="1"/>
  <c r="A2507" i="11" s="1"/>
  <c r="A2432" i="11" a="1"/>
  <c r="A2432" i="11" s="1"/>
  <c r="A2347" i="11" a="1"/>
  <c r="A2347" i="11" s="1"/>
  <c r="A2306" i="11" a="1"/>
  <c r="A2306" i="11" s="1"/>
  <c r="A2224" i="11" a="1"/>
  <c r="A2224" i="11" s="1"/>
  <c r="A2178" i="11" a="1"/>
  <c r="A2178" i="11" s="1"/>
  <c r="A2097" i="11" a="1"/>
  <c r="A2097" i="11" s="1"/>
  <c r="A2051" i="11" a="1"/>
  <c r="A2051" i="11" s="1"/>
  <c r="A1969" i="11" a="1"/>
  <c r="A1969" i="11" s="1"/>
  <c r="A1891" i="11" a="1"/>
  <c r="A1891" i="11" s="1"/>
  <c r="A1845" i="11" a="1"/>
  <c r="A1845" i="11" s="1"/>
  <c r="A1761" i="11" a="1"/>
  <c r="A1761" i="11" s="1"/>
  <c r="A1719" i="11" a="1"/>
  <c r="A1719" i="11" s="1"/>
  <c r="A1638" i="11" a="1"/>
  <c r="A1638" i="11" s="1"/>
  <c r="A1593" i="11" a="1"/>
  <c r="A1593" i="11" s="1"/>
  <c r="A1549" i="11" a="1"/>
  <c r="A1549" i="11" s="1"/>
  <c r="A1469" i="11" a="1"/>
  <c r="A1469" i="11" s="1"/>
  <c r="A1422" i="11" a="1"/>
  <c r="A1422" i="11" s="1"/>
  <c r="A1343" i="11" a="1"/>
  <c r="A1343" i="11" s="1"/>
  <c r="A1299" i="11" a="1"/>
  <c r="A1299" i="11" s="1"/>
  <c r="A1216" i="11" a="1"/>
  <c r="A1216" i="11" s="1"/>
  <c r="A1168" i="11" a="1"/>
  <c r="A1168" i="11" s="1"/>
  <c r="A1126" i="11" a="1"/>
  <c r="A1126" i="11" s="1"/>
  <c r="A1042" i="11" a="1"/>
  <c r="A1042" i="11" s="1"/>
  <c r="A996" i="11" a="1"/>
  <c r="A996" i="11" s="1"/>
  <c r="A949" i="11" a="1"/>
  <c r="A949" i="11" s="1"/>
  <c r="A861" i="11" a="1"/>
  <c r="A861" i="11" s="1"/>
  <c r="A811" i="11" a="1"/>
  <c r="A811" i="11" s="1"/>
  <c r="A764" i="11" a="1"/>
  <c r="A764" i="11" s="1"/>
  <c r="A711" i="11" a="1"/>
  <c r="A711" i="11" s="1"/>
  <c r="A623" i="11" a="1"/>
  <c r="A623" i="11" s="1"/>
  <c r="A580" i="11" a="1"/>
  <c r="A580" i="11" s="1"/>
  <c r="A534" i="11" a="1"/>
  <c r="A534" i="11" s="1"/>
  <c r="A489" i="11" a="1"/>
  <c r="A489" i="11" s="1"/>
  <c r="A446" i="11" a="1"/>
  <c r="A446" i="11" s="1"/>
  <c r="A409" i="11" a="1"/>
  <c r="A409" i="11" s="1"/>
  <c r="A329" i="11" a="1"/>
  <c r="A329" i="11" s="1"/>
  <c r="A294" i="11" a="1"/>
  <c r="A294" i="11" s="1"/>
  <c r="A258" i="11" a="1"/>
  <c r="A258" i="11" s="1"/>
  <c r="A224" i="11" a="1"/>
  <c r="A224" i="11" s="1"/>
  <c r="A190" i="11" a="1"/>
  <c r="A190" i="11" s="1"/>
  <c r="A157" i="11" a="1"/>
  <c r="A157" i="11" s="1"/>
  <c r="A126" i="11" a="1"/>
  <c r="A126" i="11" s="1"/>
  <c r="A97" i="11" a="1"/>
  <c r="A97" i="11" s="1"/>
  <c r="A72" i="11" a="1"/>
  <c r="A72" i="11" s="1"/>
  <c r="A48" i="11" a="1"/>
  <c r="A48" i="11" s="1"/>
  <c r="A49" i="11" a="1"/>
  <c r="A49" i="11" s="1"/>
  <c r="A28" i="11" a="1"/>
  <c r="A28" i="11" s="1"/>
  <c r="A10" i="11" a="1"/>
  <c r="A10" i="11" s="1"/>
  <c r="A3095" i="11" a="1"/>
  <c r="A3095" i="11" s="1"/>
  <c r="A3072" i="11" a="1"/>
  <c r="A3072" i="11" s="1"/>
  <c r="A3023" i="11" a="1"/>
  <c r="A3023" i="11" s="1"/>
  <c r="A2975" i="11" a="1"/>
  <c r="A2975" i="11" s="1"/>
  <c r="A2949" i="11" a="1"/>
  <c r="A2949" i="11" s="1"/>
  <c r="A2893" i="11" a="1"/>
  <c r="A2893" i="11" s="1"/>
  <c r="A2830" i="11" a="1"/>
  <c r="A2830" i="11" s="1"/>
  <c r="A2791" i="11" a="1"/>
  <c r="A2791" i="11" s="1"/>
  <c r="A2710" i="11" a="1"/>
  <c r="A2710" i="11" s="1"/>
  <c r="A2632" i="11" a="1"/>
  <c r="A2632" i="11" s="1"/>
  <c r="A2595" i="11" a="1"/>
  <c r="A2595" i="11" s="1"/>
  <c r="A2508" i="11" a="1"/>
  <c r="A2508" i="11" s="1"/>
  <c r="A2473" i="11" a="1"/>
  <c r="A2473" i="11" s="1"/>
  <c r="A2385" i="11" a="1"/>
  <c r="A2385" i="11" s="1"/>
  <c r="A2307" i="11" a="1"/>
  <c r="A2307" i="11" s="1"/>
  <c r="A2265" i="11" a="1"/>
  <c r="A2265" i="11" s="1"/>
  <c r="A2179" i="11" a="1"/>
  <c r="A2179" i="11" s="1"/>
  <c r="A2138" i="11" a="1"/>
  <c r="A2138" i="11" s="1"/>
  <c r="A2052" i="11" a="1"/>
  <c r="A2052" i="11" s="1"/>
  <c r="A1970" i="11" a="1"/>
  <c r="A1970" i="11" s="1"/>
  <c r="A1924" i="11" a="1"/>
  <c r="A1924" i="11" s="1"/>
  <c r="A1846" i="11" a="1"/>
  <c r="A1846" i="11" s="1"/>
  <c r="A1800" i="11" a="1"/>
  <c r="A1800" i="11" s="1"/>
  <c r="A1720" i="11" a="1"/>
  <c r="A1720" i="11" s="1"/>
  <c r="A1676" i="11" a="1"/>
  <c r="A1676" i="11" s="1"/>
  <c r="A1594" i="11" a="1"/>
  <c r="A1594" i="11" s="1"/>
  <c r="A1550" i="11" a="1"/>
  <c r="A1550" i="11" s="1"/>
  <c r="A1512" i="11" a="1"/>
  <c r="A1512" i="11" s="1"/>
  <c r="A1423" i="11" a="1"/>
  <c r="A1423" i="11" s="1"/>
  <c r="A1385" i="11" a="1"/>
  <c r="A1385" i="11" s="1"/>
  <c r="A1300" i="11" a="1"/>
  <c r="A1300" i="11" s="1"/>
  <c r="A1256" i="11" a="1"/>
  <c r="A1256" i="11" s="1"/>
  <c r="A1217" i="11" a="1"/>
  <c r="A1217" i="11" s="1"/>
  <c r="A1127" i="11" a="1"/>
  <c r="A1127" i="11" s="1"/>
  <c r="A1088" i="11" a="1"/>
  <c r="A1088" i="11" s="1"/>
  <c r="A1043" i="11" a="1"/>
  <c r="A1043" i="11" s="1"/>
  <c r="A950" i="11" a="1"/>
  <c r="A950" i="11" s="1"/>
  <c r="A907" i="11" a="1"/>
  <c r="A907" i="11" s="1"/>
  <c r="A862" i="11" a="1"/>
  <c r="A862" i="11" s="1"/>
  <c r="A765" i="11" a="1"/>
  <c r="A765" i="11" s="1"/>
  <c r="A712" i="11" a="1"/>
  <c r="A712" i="11" s="1"/>
  <c r="A671" i="11" a="1"/>
  <c r="A671" i="11" s="1"/>
  <c r="A624" i="11" a="1"/>
  <c r="A624" i="11" s="1"/>
  <c r="A535" i="11" a="1"/>
  <c r="A535" i="11" s="1"/>
  <c r="A490" i="11" a="1"/>
  <c r="A490" i="11" s="1"/>
  <c r="A447" i="11" a="1"/>
  <c r="A447" i="11" s="1"/>
  <c r="A410" i="11" a="1"/>
  <c r="A410" i="11" s="1"/>
  <c r="A371" i="11" a="1"/>
  <c r="A371" i="11" s="1"/>
  <c r="A330" i="11" a="1"/>
  <c r="A330" i="11" s="1"/>
  <c r="A295" i="11" a="1"/>
  <c r="A295" i="11" s="1"/>
  <c r="A259" i="11" a="1"/>
  <c r="A259" i="11" s="1"/>
  <c r="A225" i="11" a="1"/>
  <c r="A225" i="11" s="1"/>
  <c r="A191" i="11" a="1"/>
  <c r="A191" i="11" s="1"/>
  <c r="A158" i="11" a="1"/>
  <c r="A158" i="11" s="1"/>
  <c r="A127" i="11" a="1"/>
  <c r="A127" i="11" s="1"/>
  <c r="A98" i="11" a="1"/>
  <c r="A98" i="11" s="1"/>
  <c r="A73" i="11" a="1"/>
  <c r="A73" i="11" s="1"/>
  <c r="A50" i="11" a="1"/>
  <c r="A50" i="11" s="1"/>
  <c r="A29" i="11" a="1"/>
  <c r="A29" i="11" s="1"/>
  <c r="A11" i="11" a="1"/>
  <c r="A11" i="11" s="1"/>
  <c r="A2" i="11" a="1"/>
  <c r="A2" i="11" s="1"/>
  <c r="A3073" i="11" a="1"/>
  <c r="A3073" i="11" s="1"/>
  <c r="A3049" i="11" a="1"/>
  <c r="A3049" i="11" s="1"/>
  <c r="A3003" i="11" a="1"/>
  <c r="A3003" i="11" s="1"/>
  <c r="A2950" i="11" a="1"/>
  <c r="A2950" i="11" s="1"/>
  <c r="A2923" i="11" a="1"/>
  <c r="A2923" i="11" s="1"/>
  <c r="A2868" i="11" a="1"/>
  <c r="A2868" i="11" s="1"/>
  <c r="A2792" i="11" a="1"/>
  <c r="A2792" i="11" s="1"/>
  <c r="A2753" i="11" a="1"/>
  <c r="A2753" i="11" s="1"/>
  <c r="A2675" i="11" a="1"/>
  <c r="A2675" i="11" s="1"/>
  <c r="A2596" i="11" a="1"/>
  <c r="A2596" i="11" s="1"/>
  <c r="A2554" i="11" a="1"/>
  <c r="A2554" i="11" s="1"/>
  <c r="A2474" i="11" a="1"/>
  <c r="A2474" i="11" s="1"/>
  <c r="A2386" i="11" a="1"/>
  <c r="A2386" i="11" s="1"/>
  <c r="A2348" i="11" a="1"/>
  <c r="A2348" i="11" s="1"/>
  <c r="A2266" i="11" a="1"/>
  <c r="A2266" i="11" s="1"/>
  <c r="A2225" i="11" a="1"/>
  <c r="A2225" i="11" s="1"/>
  <c r="A2139" i="11" a="1"/>
  <c r="A2139" i="11" s="1"/>
  <c r="A2098" i="11" a="1"/>
  <c r="A2098" i="11" s="1"/>
  <c r="A2014" i="11" a="1"/>
  <c r="A2014" i="11" s="1"/>
  <c r="A1971" i="11" a="1"/>
  <c r="A1971" i="11" s="1"/>
  <c r="A1892" i="11" a="1"/>
  <c r="A1892" i="11" s="1"/>
  <c r="A1801" i="11" a="1"/>
  <c r="A1801" i="11" s="1"/>
  <c r="A1762" i="11" a="1"/>
  <c r="A1762" i="11" s="1"/>
  <c r="A1721" i="11" a="1"/>
  <c r="A1721" i="11" s="1"/>
  <c r="A1639" i="11" a="1"/>
  <c r="A1639" i="11" s="1"/>
  <c r="A1595" i="11" a="1"/>
  <c r="A1595" i="11" s="1"/>
  <c r="A1513" i="11" a="1"/>
  <c r="A1513" i="11" s="1"/>
  <c r="A1470" i="11" a="1"/>
  <c r="A1470" i="11" s="1"/>
  <c r="A1386" i="11" a="1"/>
  <c r="A1386" i="11" s="1"/>
  <c r="A1344" i="11" a="1"/>
  <c r="A1344" i="11" s="1"/>
  <c r="A1257" i="11" a="1"/>
  <c r="A1257" i="11" s="1"/>
  <c r="A1218" i="11" a="1"/>
  <c r="A1218" i="11" s="1"/>
  <c r="A1169" i="11" a="1"/>
  <c r="A1169" i="11" s="1"/>
  <c r="A1089" i="11" a="1"/>
  <c r="A1089" i="11" s="1"/>
  <c r="A1044" i="11" a="1"/>
  <c r="A1044" i="11" s="1"/>
  <c r="A997" i="11" a="1"/>
  <c r="A997" i="11" s="1"/>
  <c r="A908" i="11" a="1"/>
  <c r="A908" i="11" s="1"/>
  <c r="A863" i="11" a="1"/>
  <c r="A863" i="11" s="1"/>
  <c r="A812" i="11" a="1"/>
  <c r="A812" i="11" s="1"/>
  <c r="A766" i="11" a="1"/>
  <c r="A766" i="11" s="1"/>
  <c r="A672" i="11" a="1"/>
  <c r="A672" i="11" s="1"/>
  <c r="A625" i="11" a="1"/>
  <c r="A625" i="11" s="1"/>
  <c r="A581" i="11" a="1"/>
  <c r="A581" i="11" s="1"/>
  <c r="A536" i="11" a="1"/>
  <c r="A536" i="11" s="1"/>
  <c r="A491" i="11" a="1"/>
  <c r="A491" i="11" s="1"/>
  <c r="A448" i="11" a="1"/>
  <c r="A448" i="11" s="1"/>
  <c r="A372" i="11" a="1"/>
  <c r="A372" i="11" s="1"/>
  <c r="A331" i="11" a="1"/>
  <c r="A331" i="11" s="1"/>
  <c r="A296" i="11" a="1"/>
  <c r="A296" i="11" s="1"/>
  <c r="A260" i="11" a="1"/>
  <c r="A260" i="11" s="1"/>
  <c r="A226" i="11" a="1"/>
  <c r="A226" i="11" s="1"/>
  <c r="A192" i="11" a="1"/>
  <c r="A192" i="11" s="1"/>
  <c r="A159" i="11" a="1"/>
  <c r="A159" i="11" s="1"/>
  <c r="A128" i="11" a="1"/>
  <c r="A128" i="11" s="1"/>
  <c r="A99" i="11" a="1"/>
  <c r="A99" i="11" s="1"/>
  <c r="A74" i="11" a="1"/>
  <c r="A74" i="11" s="1"/>
  <c r="A51" i="11" a="1"/>
  <c r="A51" i="11" s="1"/>
  <c r="A52" i="11" a="1"/>
  <c r="A52" i="11" s="1"/>
  <c r="A30" i="11" a="1"/>
  <c r="A30" i="11" s="1"/>
  <c r="A12" i="11" a="1"/>
  <c r="A12" i="11" s="1"/>
  <c r="A3" i="11" a="1"/>
  <c r="A3" i="11" s="1"/>
  <c r="A3050" i="11" a="1"/>
  <c r="A3050" i="11" s="1"/>
  <c r="A3004" i="11" a="1"/>
  <c r="A3004" i="11" s="1"/>
  <c r="A2976" i="11" a="1"/>
  <c r="A2976" i="11" s="1"/>
  <c r="A2924" i="11" a="1"/>
  <c r="A2924" i="11" s="1"/>
  <c r="A2869" i="11" a="1"/>
  <c r="A2869" i="11" s="1"/>
  <c r="A2831" i="11" a="1"/>
  <c r="A2831" i="11" s="1"/>
  <c r="A2754" i="11" a="1"/>
  <c r="A2754" i="11" s="1"/>
  <c r="A2711" i="11" a="1"/>
  <c r="A2711" i="11" s="1"/>
  <c r="A2633" i="11" a="1"/>
  <c r="A2633" i="11" s="1"/>
  <c r="A2555" i="11" a="1"/>
  <c r="A2555" i="11" s="1"/>
  <c r="A2509" i="11" a="1"/>
  <c r="A2509" i="11" s="1"/>
  <c r="A2433" i="11" a="1"/>
  <c r="A2433" i="11" s="1"/>
  <c r="A2349" i="11" a="1"/>
  <c r="A2349" i="11" s="1"/>
  <c r="A2308" i="11" a="1"/>
  <c r="A2308" i="11" s="1"/>
  <c r="A2226" i="11" a="1"/>
  <c r="A2226" i="11" s="1"/>
  <c r="A2180" i="11" a="1"/>
  <c r="A2180" i="11" s="1"/>
  <c r="A2099" i="11" a="1"/>
  <c r="A2099" i="11" s="1"/>
  <c r="A2053" i="11" a="1"/>
  <c r="A2053" i="11" s="1"/>
  <c r="A1972" i="11" a="1"/>
  <c r="A1972" i="11" s="1"/>
  <c r="A1925" i="11" a="1"/>
  <c r="A1925" i="11" s="1"/>
  <c r="A1847" i="11" a="1"/>
  <c r="A1847" i="11" s="1"/>
  <c r="A1802" i="11" a="1"/>
  <c r="A1802" i="11" s="1"/>
  <c r="A1722" i="11" a="1"/>
  <c r="A1722" i="11" s="1"/>
  <c r="A1677" i="11" a="1"/>
  <c r="A1677" i="11" s="1"/>
  <c r="A1596" i="11" a="1"/>
  <c r="A1596" i="11" s="1"/>
  <c r="A1551" i="11" a="1"/>
  <c r="A1551" i="11" s="1"/>
  <c r="A1471" i="11" a="1"/>
  <c r="A1471" i="11" s="1"/>
  <c r="A1424" i="11" a="1"/>
  <c r="A1424" i="11" s="1"/>
  <c r="A1345" i="11" a="1"/>
  <c r="A1345" i="11" s="1"/>
  <c r="A1301" i="11" a="1"/>
  <c r="A1301" i="11" s="1"/>
  <c r="A1258" i="11" a="1"/>
  <c r="A1258" i="11" s="1"/>
  <c r="A1170" i="11" a="1"/>
  <c r="A1170" i="11" s="1"/>
  <c r="A1128" i="11" a="1"/>
  <c r="A1128" i="11" s="1"/>
  <c r="A1090" i="11" a="1"/>
  <c r="A1090" i="11" s="1"/>
  <c r="A998" i="11" a="1"/>
  <c r="A998" i="11" s="1"/>
  <c r="A951" i="11" a="1"/>
  <c r="A951" i="11" s="1"/>
  <c r="A909" i="11" a="1"/>
  <c r="A909" i="11" s="1"/>
  <c r="A864" i="11" a="1"/>
  <c r="A864" i="11" s="1"/>
  <c r="A767" i="11" a="1"/>
  <c r="A767" i="11" s="1"/>
  <c r="A713" i="11" a="1"/>
  <c r="A713" i="11" s="1"/>
  <c r="A673" i="11" a="1"/>
  <c r="A673" i="11" s="1"/>
  <c r="A626" i="11" a="1"/>
  <c r="A626" i="11" s="1"/>
  <c r="A537" i="11" a="1"/>
  <c r="A537" i="11" s="1"/>
  <c r="A492" i="11" a="1"/>
  <c r="A492" i="11" s="1"/>
  <c r="A449" i="11" a="1"/>
  <c r="A449" i="11" s="1"/>
  <c r="A411" i="11" a="1"/>
  <c r="A411" i="11" s="1"/>
  <c r="A373" i="11" a="1"/>
  <c r="A373" i="11" s="1"/>
  <c r="A332" i="11" a="1"/>
  <c r="A332" i="11" s="1"/>
  <c r="A297" i="11" a="1"/>
  <c r="A297" i="11" s="1"/>
  <c r="A261" i="11" a="1"/>
  <c r="A261" i="11" s="1"/>
  <c r="A227" i="11" a="1"/>
  <c r="A227" i="11" s="1"/>
  <c r="A193" i="11" a="1"/>
  <c r="A193" i="11" s="1"/>
  <c r="A160" i="11" a="1"/>
  <c r="A160" i="11" s="1"/>
  <c r="A129" i="11" a="1"/>
  <c r="A129" i="11" s="1"/>
  <c r="A100" i="11" a="1"/>
  <c r="A100" i="11" s="1"/>
  <c r="A75" i="11" a="1"/>
  <c r="A75" i="11" s="1"/>
  <c r="A53" i="11" a="1"/>
  <c r="A53" i="11" s="1"/>
  <c r="A31" i="11" a="1"/>
  <c r="A31" i="11" s="1"/>
  <c r="A32" i="11" a="1"/>
  <c r="A32" i="11" s="1"/>
  <c r="A13" i="11" a="1"/>
  <c r="A13" i="11" s="1"/>
  <c r="A4" i="11" a="1"/>
  <c r="A4" i="11" s="1"/>
  <c r="A3024" i="11" a="1"/>
  <c r="A3024" i="11" s="1"/>
  <c r="A2977" i="11" a="1"/>
  <c r="A2977" i="11" s="1"/>
  <c r="A2951" i="11" a="1"/>
  <c r="A2951" i="11" s="1"/>
  <c r="A2894" i="11" a="1"/>
  <c r="A2894" i="11" s="1"/>
  <c r="A2832" i="11" a="1"/>
  <c r="A2832" i="11" s="1"/>
  <c r="A2793" i="11" a="1"/>
  <c r="A2793" i="11" s="1"/>
  <c r="A2712" i="11" a="1"/>
  <c r="A2712" i="11" s="1"/>
  <c r="A2676" i="11" a="1"/>
  <c r="A2676" i="11" s="1"/>
  <c r="A2597" i="11" a="1"/>
  <c r="A2597" i="11" s="1"/>
  <c r="A2510" i="11" a="1"/>
  <c r="A2510" i="11" s="1"/>
  <c r="A2475" i="11" a="1"/>
  <c r="A2475" i="11" s="1"/>
  <c r="A2387" i="11" a="1"/>
  <c r="A2387" i="11" s="1"/>
  <c r="A2350" i="11" a="1"/>
  <c r="A2350" i="11" s="1"/>
  <c r="A2267" i="11" a="1"/>
  <c r="A2267" i="11" s="1"/>
  <c r="A2181" i="11" a="1"/>
  <c r="A2181" i="11" s="1"/>
  <c r="A2140" i="11" a="1"/>
  <c r="A2140" i="11" s="1"/>
  <c r="A2054" i="11" a="1"/>
  <c r="A2054" i="11" s="1"/>
  <c r="A2015" i="11" a="1"/>
  <c r="A2015" i="11" s="1"/>
  <c r="A1926" i="11" a="1"/>
  <c r="A1926" i="11" s="1"/>
  <c r="A1893" i="11" a="1"/>
  <c r="A1893" i="11" s="1"/>
  <c r="A1803" i="11" a="1"/>
  <c r="A1803" i="11" s="1"/>
  <c r="A1763" i="11" a="1"/>
  <c r="A1763" i="11" s="1"/>
  <c r="A1678" i="11" a="1"/>
  <c r="A1678" i="11" s="1"/>
  <c r="A1640" i="11" a="1"/>
  <c r="A1640" i="11" s="1"/>
  <c r="A1552" i="11" a="1"/>
  <c r="A1552" i="11" s="1"/>
  <c r="A1514" i="11" a="1"/>
  <c r="A1514" i="11" s="1"/>
  <c r="A1472" i="11" a="1"/>
  <c r="A1472" i="11" s="1"/>
  <c r="A1387" i="11" a="1"/>
  <c r="A1387" i="11" s="1"/>
  <c r="A1346" i="11" a="1"/>
  <c r="A1346" i="11" s="1"/>
  <c r="A1259" i="11" a="1"/>
  <c r="A1259" i="11" s="1"/>
  <c r="A1219" i="11" a="1"/>
  <c r="A1219" i="11" s="1"/>
  <c r="A1171" i="11" a="1"/>
  <c r="A1171" i="11" s="1"/>
  <c r="A1091" i="11" a="1"/>
  <c r="A1091" i="11" s="1"/>
  <c r="A1045" i="11" a="1"/>
  <c r="A1045" i="11" s="1"/>
  <c r="A999" i="11" a="1"/>
  <c r="A999" i="11" s="1"/>
  <c r="A910" i="11" a="1"/>
  <c r="A910" i="11" s="1"/>
  <c r="A865" i="11" a="1"/>
  <c r="A865" i="11" s="1"/>
  <c r="A813" i="11" a="1"/>
  <c r="A813" i="11" s="1"/>
  <c r="A768" i="11" a="1"/>
  <c r="A768" i="11" s="1"/>
  <c r="A714" i="11" a="1"/>
  <c r="A714" i="11" s="1"/>
  <c r="A627" i="11" a="1"/>
  <c r="A627" i="11" s="1"/>
  <c r="A582" i="11" a="1"/>
  <c r="A582" i="11" s="1"/>
  <c r="A538" i="11" a="1"/>
  <c r="A538" i="11" s="1"/>
  <c r="A493" i="11" a="1"/>
  <c r="A493" i="11" s="1"/>
  <c r="A450" i="11" a="1"/>
  <c r="A450" i="11" s="1"/>
  <c r="A412" i="11" a="1"/>
  <c r="A412" i="11" s="1"/>
  <c r="A374" i="11" a="1"/>
  <c r="A374" i="11" s="1"/>
  <c r="A333" i="11" a="1"/>
  <c r="A333" i="11" s="1"/>
  <c r="A262" i="11" a="1"/>
  <c r="A262" i="11" s="1"/>
  <c r="A228" i="11" a="1"/>
  <c r="A228" i="11" s="1"/>
  <c r="A194" i="11" a="1"/>
  <c r="A194" i="11" s="1"/>
  <c r="A195" i="11" a="1"/>
  <c r="A195" i="11" s="1"/>
  <c r="A161" i="11" a="1"/>
  <c r="A161" i="11" s="1"/>
  <c r="A130" i="11" a="1"/>
  <c r="A130" i="11" s="1"/>
  <c r="A101" i="11" a="1"/>
  <c r="A101" i="11" s="1"/>
  <c r="A76" i="11" a="1"/>
  <c r="A76" i="11" s="1"/>
  <c r="A54" i="11" a="1"/>
  <c r="A54" i="11" s="1"/>
  <c r="A33" i="11" a="1"/>
  <c r="A33" i="11" s="1"/>
  <c r="A14" i="11" a="1"/>
  <c r="A14" i="11" s="1"/>
  <c r="A15" i="11" a="1"/>
  <c r="A15" i="11" s="1"/>
  <c r="A5" i="11" a="1"/>
  <c r="A5" i="11" s="1"/>
  <c r="A3005" i="11" a="1"/>
  <c r="A3005" i="11" s="1"/>
  <c r="A2952" i="11" a="1"/>
  <c r="A2952" i="11" s="1"/>
  <c r="A2925" i="11" a="1"/>
  <c r="A2925" i="11" s="1"/>
  <c r="A2870" i="11" a="1"/>
  <c r="A2870" i="11" s="1"/>
  <c r="A2833" i="11" a="1"/>
  <c r="A2833" i="11" s="1"/>
  <c r="A2755" i="11" a="1"/>
  <c r="A2755" i="11" s="1"/>
  <c r="A2677" i="11" a="1"/>
  <c r="A2677" i="11" s="1"/>
  <c r="A2634" i="11" a="1"/>
  <c r="A2634" i="11" s="1"/>
  <c r="A2556" i="11" a="1"/>
  <c r="A2556" i="11" s="1"/>
  <c r="A2476" i="11" a="1"/>
  <c r="A2476" i="11" s="1"/>
  <c r="A2434" i="11" a="1"/>
  <c r="A2434" i="11" s="1"/>
  <c r="A2351" i="11" a="1"/>
  <c r="A2351" i="11" s="1"/>
  <c r="A2309" i="11" a="1"/>
  <c r="A2309" i="11" s="1"/>
  <c r="A2227" i="11" a="1"/>
  <c r="A2227" i="11" s="1"/>
  <c r="A2182" i="11" a="1"/>
  <c r="A2182" i="11" s="1"/>
  <c r="A2100" i="11" a="1"/>
  <c r="A2100" i="11" s="1"/>
  <c r="A2016" i="11" a="1"/>
  <c r="A2016" i="11" s="1"/>
  <c r="A1973" i="11" a="1"/>
  <c r="A1973" i="11" s="1"/>
  <c r="A1894" i="11" a="1"/>
  <c r="A1894" i="11" s="1"/>
  <c r="A1848" i="11" a="1"/>
  <c r="A1848" i="11" s="1"/>
  <c r="A1764" i="11" a="1"/>
  <c r="A1764" i="11" s="1"/>
  <c r="A1723" i="11" a="1"/>
  <c r="A1723" i="11" s="1"/>
  <c r="A1679" i="11" a="1"/>
  <c r="A1679" i="11" s="1"/>
  <c r="A1597" i="11" a="1"/>
  <c r="A1597" i="11" s="1"/>
  <c r="A1553" i="11" a="1"/>
  <c r="A1553" i="11" s="1"/>
  <c r="A1473" i="11" a="1"/>
  <c r="A1473" i="11" s="1"/>
  <c r="A1425" i="11" a="1"/>
  <c r="A1425" i="11" s="1"/>
  <c r="A1347" i="11" a="1"/>
  <c r="A1347" i="11" s="1"/>
  <c r="A1302" i="11" a="1"/>
  <c r="A1302" i="11" s="1"/>
  <c r="A1260" i="11" a="1"/>
  <c r="A1260" i="11" s="1"/>
  <c r="A1172" i="11" a="1"/>
  <c r="A1172" i="11" s="1"/>
  <c r="A1129" i="11" a="1"/>
  <c r="A1129" i="11" s="1"/>
  <c r="A1092" i="11" a="1"/>
  <c r="A1092" i="11" s="1"/>
  <c r="A1000" i="11" a="1"/>
  <c r="A1000" i="11" s="1"/>
  <c r="A952" i="11" a="1"/>
  <c r="A952" i="11" s="1"/>
  <c r="A911" i="11" a="1"/>
  <c r="A911" i="11" s="1"/>
  <c r="A866" i="11" a="1"/>
  <c r="A866" i="11" s="1"/>
  <c r="A769" i="11" a="1"/>
  <c r="A769" i="11" s="1"/>
  <c r="A715" i="11" a="1"/>
  <c r="A715" i="11" s="1"/>
  <c r="A674" i="11" a="1"/>
  <c r="A674" i="11" s="1"/>
  <c r="A628" i="11" a="1"/>
  <c r="A628" i="11" s="1"/>
  <c r="A583" i="11" a="1"/>
  <c r="A583" i="11" s="1"/>
  <c r="A539" i="11" a="1"/>
  <c r="A539" i="11" s="1"/>
  <c r="A451" i="11" a="1"/>
  <c r="A451" i="11" s="1"/>
  <c r="A413" i="11" a="1"/>
  <c r="A413" i="11" s="1"/>
  <c r="A375" i="11" a="1"/>
  <c r="A375" i="11" s="1"/>
  <c r="A334" i="11" a="1"/>
  <c r="A334" i="11" s="1"/>
  <c r="A298" i="11" a="1"/>
  <c r="A298" i="11" s="1"/>
  <c r="A263" i="11" a="1"/>
  <c r="A263" i="11" s="1"/>
  <c r="A229" i="11" a="1"/>
  <c r="A229" i="11" s="1"/>
  <c r="A196" i="11" a="1"/>
  <c r="A196" i="11" s="1"/>
  <c r="A162" i="11" a="1"/>
  <c r="A162" i="11" s="1"/>
  <c r="A131" i="11" a="1"/>
  <c r="A131" i="11" s="1"/>
  <c r="A102" i="11" a="1"/>
  <c r="A102" i="11" s="1"/>
  <c r="A103" i="11" a="1"/>
  <c r="A103" i="11" s="1"/>
  <c r="A77" i="11" a="1"/>
  <c r="A77" i="11" s="1"/>
  <c r="A55" i="11" a="1"/>
  <c r="A55" i="11" s="1"/>
  <c r="A34" i="11" a="1"/>
  <c r="A34" i="11" s="1"/>
  <c r="A16" i="11" a="1"/>
  <c r="A16" i="11" s="1"/>
  <c r="A17" i="11" a="1"/>
  <c r="A17" i="11" s="1"/>
  <c r="A6" i="11" a="1"/>
  <c r="A6" i="11" s="1"/>
  <c r="A2978" i="11" a="1"/>
  <c r="A2978" i="11" s="1"/>
  <c r="A2953" i="11" a="1"/>
  <c r="A2953" i="11" s="1"/>
  <c r="A2895" i="11" a="1"/>
  <c r="A2895" i="11" s="1"/>
  <c r="A2834" i="11" a="1"/>
  <c r="A2834" i="11" s="1"/>
  <c r="A2794" i="11" a="1"/>
  <c r="A2794" i="11" s="1"/>
  <c r="A2713" i="11" a="1"/>
  <c r="A2713" i="11" s="1"/>
  <c r="A2635" i="11" a="1"/>
  <c r="A2635" i="11" s="1"/>
  <c r="A2598" i="11" a="1"/>
  <c r="A2598" i="11" s="1"/>
  <c r="A2511" i="11" a="1"/>
  <c r="A2511" i="11" s="1"/>
  <c r="A2477" i="11" a="1"/>
  <c r="A2477" i="11" s="1"/>
  <c r="A2388" i="11" a="1"/>
  <c r="A2388" i="11" s="1"/>
  <c r="A2310" i="11" a="1"/>
  <c r="A2310" i="11" s="1"/>
  <c r="A2268" i="11" a="1"/>
  <c r="A2268" i="11" s="1"/>
  <c r="A2183" i="11" a="1"/>
  <c r="A2183" i="11" s="1"/>
  <c r="A2141" i="11" a="1"/>
  <c r="A2141" i="11" s="1"/>
  <c r="A2055" i="11" a="1"/>
  <c r="A2055" i="11" s="1"/>
  <c r="A2017" i="11" a="1"/>
  <c r="A2017" i="11" s="1"/>
  <c r="A1927" i="11" a="1"/>
  <c r="A1927" i="11" s="1"/>
  <c r="A1895" i="11" a="1"/>
  <c r="A1895" i="11" s="1"/>
  <c r="A1804" i="11" a="1"/>
  <c r="A1804" i="11" s="1"/>
  <c r="A1765" i="11" a="1"/>
  <c r="A1765" i="11" s="1"/>
  <c r="A1680" i="11" a="1"/>
  <c r="A1680" i="11" s="1"/>
  <c r="A1641" i="11" a="1"/>
  <c r="A1641" i="11" s="1"/>
  <c r="A1554" i="11" a="1"/>
  <c r="A1554" i="11" s="1"/>
  <c r="A1515" i="11" a="1"/>
  <c r="A1515" i="11" s="1"/>
  <c r="A1474" i="11" a="1"/>
  <c r="A1474" i="11" s="1"/>
  <c r="A1388" i="11" a="1"/>
  <c r="A1388" i="11" s="1"/>
  <c r="A1348" i="11" a="1"/>
  <c r="A1348" i="11" s="1"/>
  <c r="A1303" i="11" a="1"/>
  <c r="A1303" i="11" s="1"/>
  <c r="A1220" i="11" a="1"/>
  <c r="A1220" i="11" s="1"/>
  <c r="A1173" i="11" a="1"/>
  <c r="A1173" i="11" s="1"/>
  <c r="A1130" i="11" a="1"/>
  <c r="A1130" i="11" s="1"/>
  <c r="A1046" i="11" a="1"/>
  <c r="A1046" i="11" s="1"/>
  <c r="A1001" i="11" a="1"/>
  <c r="A1001" i="11" s="1"/>
  <c r="A953" i="11" a="1"/>
  <c r="A953" i="11" s="1"/>
  <c r="A867" i="11" a="1"/>
  <c r="A867" i="11" s="1"/>
  <c r="A814" i="11" a="1"/>
  <c r="A814" i="11" s="1"/>
  <c r="A770" i="11" a="1"/>
  <c r="A770" i="11" s="1"/>
  <c r="A716" i="11" a="1"/>
  <c r="A716" i="11" s="1"/>
  <c r="A675" i="11" a="1"/>
  <c r="A675" i="11" s="1"/>
  <c r="A629" i="11" a="1"/>
  <c r="A629" i="11" s="1"/>
  <c r="A540" i="11" a="1"/>
  <c r="A540" i="11" s="1"/>
  <c r="A494" i="11" a="1"/>
  <c r="A494" i="11" s="1"/>
  <c r="A452" i="11" a="1"/>
  <c r="A452" i="11" s="1"/>
  <c r="A414" i="11" a="1"/>
  <c r="A414" i="11" s="1"/>
  <c r="A376" i="11" a="1"/>
  <c r="A376" i="11" s="1"/>
  <c r="A335" i="11" a="1"/>
  <c r="A335" i="11" s="1"/>
  <c r="A299" i="11" a="1"/>
  <c r="A299" i="11" s="1"/>
  <c r="A264" i="11" a="1"/>
  <c r="A264" i="11" s="1"/>
  <c r="A230" i="11" a="1"/>
  <c r="A230" i="11" s="1"/>
  <c r="A197" i="11" a="1"/>
  <c r="A197" i="11" s="1"/>
  <c r="A163" i="11" a="1"/>
  <c r="A163" i="11" s="1"/>
  <c r="A132" i="11" a="1"/>
  <c r="A132" i="11" s="1"/>
  <c r="A104" i="11" a="1"/>
  <c r="A104" i="11" s="1"/>
  <c r="A105" i="11" a="1"/>
  <c r="A105" i="11" s="1"/>
  <c r="A78" i="11" a="1"/>
  <c r="A78" i="11" s="1"/>
  <c r="A56" i="11" a="1"/>
  <c r="A56" i="11" s="1"/>
  <c r="A35" i="11" a="1"/>
  <c r="A35" i="11" s="1"/>
  <c r="A18" i="11" a="1"/>
  <c r="A18" i="11" s="1"/>
  <c r="A19" i="11" a="1"/>
  <c r="A19" i="11" s="1"/>
  <c r="A7" i="11" a="1"/>
  <c r="A7" i="11" s="1"/>
  <c r="A2954" i="11" a="1"/>
  <c r="A2954" i="11" s="1"/>
  <c r="A2926" i="11" a="1"/>
  <c r="A2926" i="11" s="1"/>
  <c r="A2871" i="11" a="1"/>
  <c r="A2871" i="11" s="1"/>
  <c r="A2795" i="11" a="1"/>
  <c r="A2795" i="11" s="1"/>
  <c r="A2756" i="11" a="1"/>
  <c r="A2756" i="11" s="1"/>
  <c r="A2678" i="11" a="1"/>
  <c r="A2678" i="11" s="1"/>
  <c r="A2636" i="11" a="1"/>
  <c r="A2636" i="11" s="1"/>
  <c r="A2557" i="11" a="1"/>
  <c r="A2557" i="11" s="1"/>
  <c r="A2478" i="11" a="1"/>
  <c r="A2478" i="11" s="1"/>
  <c r="A2435" i="11" a="1"/>
  <c r="A2435" i="11" s="1"/>
  <c r="A2352" i="11" a="1"/>
  <c r="A2352" i="11" s="1"/>
  <c r="A2311" i="11" a="1"/>
  <c r="A2311" i="11" s="1"/>
  <c r="A2228" i="11" a="1"/>
  <c r="A2228" i="11" s="1"/>
  <c r="A2184" i="11" a="1"/>
  <c r="A2184" i="11" s="1"/>
  <c r="A2101" i="11" a="1"/>
  <c r="A2101" i="11" s="1"/>
  <c r="A2056" i="11" a="1"/>
  <c r="A2056" i="11" s="1"/>
  <c r="A1974" i="11" a="1"/>
  <c r="A1974" i="11" s="1"/>
  <c r="A1928" i="11" a="1"/>
  <c r="A1928" i="11" s="1"/>
  <c r="A1849" i="11" a="1"/>
  <c r="A1849" i="11" s="1"/>
  <c r="A1805" i="11" a="1"/>
  <c r="A1805" i="11" s="1"/>
  <c r="A1724" i="11" a="1"/>
  <c r="A1724" i="11" s="1"/>
  <c r="A1681" i="11" a="1"/>
  <c r="A1681" i="11" s="1"/>
  <c r="A1598" i="11" a="1"/>
  <c r="A1598" i="11" s="1"/>
  <c r="A1555" i="11" a="1"/>
  <c r="A1555" i="11" s="1"/>
  <c r="A1516" i="11" a="1"/>
  <c r="A1516" i="11" s="1"/>
  <c r="A1426" i="11" a="1"/>
  <c r="A1426" i="11" s="1"/>
  <c r="A1389" i="11" a="1"/>
  <c r="A1389" i="11" s="1"/>
  <c r="A1304" i="11" a="1"/>
  <c r="A1304" i="11" s="1"/>
  <c r="A1261" i="11" a="1"/>
  <c r="A1261" i="11" s="1"/>
  <c r="A1221" i="11" a="1"/>
  <c r="A1221" i="11" s="1"/>
  <c r="A1131" i="11" a="1"/>
  <c r="A1131" i="11" s="1"/>
  <c r="A1093" i="11" a="1"/>
  <c r="A1093" i="11" s="1"/>
  <c r="A1047" i="11" a="1"/>
  <c r="A1047" i="11" s="1"/>
  <c r="A1002" i="11" a="1"/>
  <c r="A1002" i="11" s="1"/>
  <c r="A912" i="11" a="1"/>
  <c r="A912" i="11" s="1"/>
  <c r="A868" i="11" a="1"/>
  <c r="A868" i="11" s="1"/>
  <c r="A815" i="11" a="1"/>
  <c r="A815" i="11" s="1"/>
  <c r="A771" i="11" a="1"/>
  <c r="A771" i="11" s="1"/>
  <c r="A717" i="11" a="1"/>
  <c r="A717" i="11" s="1"/>
  <c r="A630" i="11" a="1"/>
  <c r="A630" i="11" s="1"/>
  <c r="A584" i="11" a="1"/>
  <c r="A584" i="11" s="1"/>
  <c r="A541" i="11" a="1"/>
  <c r="A541" i="11" s="1"/>
  <c r="A495" i="11" a="1"/>
  <c r="A495" i="11" s="1"/>
  <c r="A453" i="11" a="1"/>
  <c r="A453" i="11" s="1"/>
  <c r="A415" i="11" a="1"/>
  <c r="A415" i="11" s="1"/>
  <c r="A377" i="11" a="1"/>
  <c r="A377" i="11" s="1"/>
  <c r="A336" i="11" a="1"/>
  <c r="A336" i="11" s="1"/>
  <c r="A300" i="11" a="1"/>
  <c r="A300" i="11" s="1"/>
  <c r="A265" i="11" a="1"/>
  <c r="A265" i="11" s="1"/>
  <c r="A231" i="11" a="1"/>
  <c r="A231" i="11" s="1"/>
  <c r="A198" i="11" a="1"/>
  <c r="A198" i="11" s="1"/>
  <c r="A164" i="11" a="1"/>
  <c r="A164" i="11" s="1"/>
  <c r="A133" i="11" a="1"/>
  <c r="A133" i="11" s="1"/>
  <c r="A106" i="11" a="1"/>
  <c r="A106" i="11" s="1"/>
  <c r="A107" i="11" a="1"/>
  <c r="A107" i="11" s="1"/>
  <c r="A79" i="11" a="1"/>
  <c r="A79" i="11" s="1"/>
  <c r="A57" i="11" a="1"/>
  <c r="A57" i="11" s="1"/>
  <c r="A36" i="11" a="1"/>
  <c r="A36" i="11" s="1"/>
  <c r="A37" i="11" a="1"/>
  <c r="A37" i="11" s="1"/>
  <c r="A20" i="11" a="1"/>
  <c r="A20" i="11" s="1"/>
  <c r="A8" i="11" a="1"/>
  <c r="A8" i="11" s="1"/>
  <c r="A2955" i="11" a="1"/>
  <c r="A2955" i="11" s="1"/>
  <c r="A2896" i="11" a="1"/>
  <c r="A2896" i="11" s="1"/>
  <c r="A2835" i="11" a="1"/>
  <c r="A2835" i="11" s="1"/>
  <c r="A2796" i="11" a="1"/>
  <c r="A2796" i="11" s="1"/>
  <c r="A2714" i="11" a="1"/>
  <c r="A2714" i="11" s="1"/>
  <c r="A2637" i="11" a="1"/>
  <c r="A2637" i="11" s="1"/>
  <c r="A2599" i="11" a="1"/>
  <c r="A2599" i="11" s="1"/>
  <c r="A2512" i="11" a="1"/>
  <c r="A2512" i="11" s="1"/>
  <c r="A2479" i="11" a="1"/>
  <c r="A2479" i="11" s="1"/>
  <c r="A2389" i="11" a="1"/>
  <c r="A2389" i="11" s="1"/>
  <c r="A2353" i="11" a="1"/>
  <c r="A2353" i="11" s="1"/>
  <c r="A2269" i="11" a="1"/>
  <c r="A2269" i="11" s="1"/>
  <c r="A2185" i="11" a="1"/>
  <c r="A2185" i="11" s="1"/>
  <c r="A2142" i="11" a="1"/>
  <c r="A2142" i="11" s="1"/>
  <c r="A2057" i="11" a="1"/>
  <c r="A2057" i="11" s="1"/>
  <c r="A2018" i="11" a="1"/>
  <c r="A2018" i="11" s="1"/>
  <c r="A1929" i="11" a="1"/>
  <c r="A1929" i="11" s="1"/>
  <c r="A1896" i="11" a="1"/>
  <c r="A1896" i="11" s="1"/>
  <c r="A1850" i="11" a="1"/>
  <c r="A1850" i="11" s="1"/>
  <c r="A1766" i="11" a="1"/>
  <c r="A1766" i="11" s="1"/>
  <c r="A1725" i="11" a="1"/>
  <c r="A1725" i="11" s="1"/>
  <c r="A1642" i="11" a="1"/>
  <c r="A1642" i="11" s="1"/>
  <c r="A1599" i="11" a="1"/>
  <c r="A1599" i="11" s="1"/>
  <c r="A1517" i="11" a="1"/>
  <c r="A1517" i="11" s="1"/>
  <c r="A1475" i="11" a="1"/>
  <c r="A1475" i="11" s="1"/>
  <c r="A1427" i="11" a="1"/>
  <c r="A1427" i="11" s="1"/>
  <c r="A1349" i="11" a="1"/>
  <c r="A1349" i="11" s="1"/>
  <c r="A1305" i="11" a="1"/>
  <c r="A1305" i="11" s="1"/>
  <c r="A1262" i="11" a="1"/>
  <c r="A1262" i="11" s="1"/>
  <c r="A1174" i="11" a="1"/>
  <c r="A1174" i="11" s="1"/>
  <c r="A1132" i="11" a="1"/>
  <c r="A1132" i="11" s="1"/>
  <c r="A1094" i="11" a="1"/>
  <c r="A1094" i="11" s="1"/>
  <c r="A1048" i="11" a="1"/>
  <c r="A1048" i="11" s="1"/>
  <c r="A954" i="11" a="1"/>
  <c r="A954" i="11" s="1"/>
  <c r="A913" i="11" a="1"/>
  <c r="A913" i="11" s="1"/>
  <c r="A869" i="11" a="1"/>
  <c r="A869" i="11" s="1"/>
  <c r="A816" i="11" a="1"/>
  <c r="A816" i="11" s="1"/>
  <c r="A718" i="11" a="1"/>
  <c r="A718" i="11" s="1"/>
  <c r="A676" i="11" a="1"/>
  <c r="A676" i="11" s="1"/>
  <c r="A631" i="11" a="1"/>
  <c r="A631" i="11" s="1"/>
  <c r="A585" i="11" a="1"/>
  <c r="A585" i="11" s="1"/>
  <c r="A542" i="11" a="1"/>
  <c r="A542" i="11" s="1"/>
  <c r="A496" i="11" a="1"/>
  <c r="A496" i="11" s="1"/>
  <c r="A454" i="11" a="1"/>
  <c r="A454" i="11" s="1"/>
  <c r="A416" i="11" a="1"/>
  <c r="A416" i="11" s="1"/>
  <c r="A378" i="11" a="1"/>
  <c r="A378" i="11" s="1"/>
  <c r="A337" i="11" a="1"/>
  <c r="A337" i="11" s="1"/>
  <c r="A301" i="11" a="1"/>
  <c r="A301" i="11" s="1"/>
  <c r="A266" i="11" a="1"/>
  <c r="A266" i="11" s="1"/>
  <c r="A232" i="11" a="1"/>
  <c r="A232" i="11" s="1"/>
  <c r="A199" i="11" a="1"/>
  <c r="A199" i="11" s="1"/>
  <c r="A165" i="11" a="1"/>
  <c r="A165" i="11" s="1"/>
  <c r="A134" i="11" a="1"/>
  <c r="A134" i="11" s="1"/>
  <c r="A135" i="11" a="1"/>
  <c r="A135" i="11" s="1"/>
  <c r="A108" i="11" a="1"/>
  <c r="A108" i="11" s="1"/>
  <c r="A80" i="11" a="1"/>
  <c r="A80" i="11" s="1"/>
  <c r="A58" i="11" a="1"/>
  <c r="A58" i="11" s="1"/>
  <c r="A59" i="11" a="1"/>
  <c r="A59" i="11" s="1"/>
  <c r="A38" i="11" a="1"/>
  <c r="A38" i="11" s="1"/>
  <c r="A21" i="11" a="1"/>
  <c r="A21" i="11" s="1"/>
  <c r="A22" i="11" a="1"/>
  <c r="A22" i="11" s="1"/>
  <c r="A2927" i="11" a="1"/>
  <c r="A2927" i="11" s="1"/>
  <c r="A2872" i="11" a="1"/>
  <c r="A2872" i="11" s="1"/>
  <c r="A2836" i="11" a="1"/>
  <c r="A2836" i="11" s="1"/>
  <c r="A2757" i="11" a="1"/>
  <c r="A2757" i="11" s="1"/>
  <c r="A2679" i="11" a="1"/>
  <c r="A2679" i="11" s="1"/>
  <c r="A2638" i="11" a="1"/>
  <c r="A2638" i="11" s="1"/>
  <c r="A2558" i="11" a="1"/>
  <c r="A2558" i="11" s="1"/>
  <c r="A2513" i="11" a="1"/>
  <c r="A2513" i="11" s="1"/>
  <c r="A2436" i="11" a="1"/>
  <c r="A2436" i="11" s="1"/>
  <c r="A2354" i="11" a="1"/>
  <c r="A2354" i="11" s="1"/>
  <c r="A2312" i="11" a="1"/>
  <c r="A2312" i="11" s="1"/>
  <c r="A2229" i="11" a="1"/>
  <c r="A2229" i="11" s="1"/>
  <c r="A2186" i="11" a="1"/>
  <c r="A2186" i="11" s="1"/>
  <c r="A2102" i="11" a="1"/>
  <c r="A2102" i="11" s="1"/>
  <c r="A2058" i="11" a="1"/>
  <c r="A2058" i="11" s="1"/>
  <c r="A1975" i="11" a="1"/>
  <c r="A1975" i="11" s="1"/>
  <c r="A1930" i="11" a="1"/>
  <c r="A1930" i="11" s="1"/>
  <c r="A1851" i="11" a="1"/>
  <c r="A1851" i="11" s="1"/>
  <c r="A1806" i="11" a="1"/>
  <c r="A1806" i="11" s="1"/>
  <c r="A1767" i="11" a="1"/>
  <c r="A1767" i="11" s="1"/>
  <c r="A1682" i="11" a="1"/>
  <c r="A1682" i="11" s="1"/>
  <c r="A1643" i="11" a="1"/>
  <c r="A1643" i="11" s="1"/>
  <c r="A1556" i="11" a="1"/>
  <c r="A1556" i="11" s="1"/>
  <c r="A1518" i="11" a="1"/>
  <c r="A1518" i="11" s="1"/>
  <c r="A1476" i="11" a="1"/>
  <c r="A1476" i="11" s="1"/>
  <c r="A1390" i="11" a="1"/>
  <c r="A1390" i="11" s="1"/>
  <c r="A1350" i="11" a="1"/>
  <c r="A1350" i="11" s="1"/>
  <c r="A1306" i="11" a="1"/>
  <c r="A1306" i="11" s="1"/>
  <c r="A1222" i="11" a="1"/>
  <c r="A1222" i="11" s="1"/>
  <c r="A1175" i="11" a="1"/>
  <c r="A1175" i="11" s="1"/>
  <c r="A1133" i="11" a="1"/>
  <c r="A1133" i="11" s="1"/>
  <c r="A1049" i="11" a="1"/>
  <c r="A1049" i="11" s="1"/>
  <c r="A1003" i="11" a="1"/>
  <c r="A1003" i="11" s="1"/>
  <c r="A955" i="11" a="1"/>
  <c r="A955" i="11" s="1"/>
  <c r="A914" i="11" a="1"/>
  <c r="A914" i="11" s="1"/>
  <c r="A870" i="11" a="1"/>
  <c r="A870" i="11" s="1"/>
  <c r="A772" i="11" a="1"/>
  <c r="A772" i="11" s="1"/>
  <c r="A719" i="11" a="1"/>
  <c r="A719" i="11" s="1"/>
  <c r="A677" i="11" a="1"/>
  <c r="A677" i="11" s="1"/>
  <c r="A632" i="11" a="1"/>
  <c r="A632" i="11" s="1"/>
  <c r="A586" i="11" a="1"/>
  <c r="A586" i="11" s="1"/>
  <c r="A543" i="11" a="1"/>
  <c r="A543" i="11" s="1"/>
  <c r="A497" i="11" a="1"/>
  <c r="A497" i="11" s="1"/>
  <c r="A455" i="11" a="1"/>
  <c r="A455" i="11" s="1"/>
  <c r="A417" i="11" a="1"/>
  <c r="A417" i="11" s="1"/>
  <c r="A379" i="11" a="1"/>
  <c r="A379" i="11" s="1"/>
  <c r="A338" i="11" a="1"/>
  <c r="A338" i="11" s="1"/>
  <c r="A302" i="11" a="1"/>
  <c r="A302" i="11" s="1"/>
  <c r="A267" i="11" a="1"/>
  <c r="A267" i="11" s="1"/>
  <c r="A233" i="11" a="1"/>
  <c r="A233" i="11" s="1"/>
  <c r="A200" i="11" a="1"/>
  <c r="A200" i="11" s="1"/>
  <c r="A166" i="11" a="1"/>
  <c r="A166" i="11" s="1"/>
  <c r="A167" i="11" a="1"/>
  <c r="A167" i="11" s="1"/>
  <c r="A136" i="11" a="1"/>
  <c r="A136" i="11" s="1"/>
  <c r="A109" i="11" a="1"/>
  <c r="A109" i="11" s="1"/>
  <c r="A81" i="11" a="1"/>
  <c r="A81" i="11" s="1"/>
  <c r="A82" i="11" a="1"/>
  <c r="A82" i="11" s="1"/>
  <c r="A60" i="11" a="1"/>
  <c r="A60" i="11" s="1"/>
  <c r="A39" i="11" a="1"/>
  <c r="A39" i="11" s="1"/>
  <c r="A40" i="11" a="1"/>
  <c r="A40" i="11" s="1"/>
  <c r="A23" i="11" a="1"/>
  <c r="A23" i="11" s="1"/>
  <c r="A2897" i="11" a="1"/>
  <c r="A2897" i="11" s="1"/>
  <c r="A2837" i="11" a="1"/>
  <c r="A2837" i="11" s="1"/>
  <c r="A2797" i="11" a="1"/>
  <c r="A2797" i="11" s="1"/>
  <c r="A2715" i="11" a="1"/>
  <c r="A2715" i="11" s="1"/>
  <c r="A2680" i="11" a="1"/>
  <c r="A2680" i="11" s="1"/>
  <c r="A2600" i="11" a="1"/>
  <c r="A2600" i="11" s="1"/>
  <c r="A2559" i="11" a="1"/>
  <c r="A2559" i="11" s="1"/>
  <c r="A2480" i="11" a="1"/>
  <c r="A2480" i="11" s="1"/>
  <c r="A2390" i="11" a="1"/>
  <c r="A2390" i="11" s="1"/>
  <c r="A2355" i="11" a="1"/>
  <c r="A2355" i="11" s="1"/>
  <c r="A2270" i="11" a="1"/>
  <c r="A2270" i="11" s="1"/>
  <c r="A2230" i="11" a="1"/>
  <c r="A2230" i="11" s="1"/>
  <c r="A2143" i="11" a="1"/>
  <c r="A2143" i="11" s="1"/>
  <c r="A2103" i="11" a="1"/>
  <c r="A2103" i="11" s="1"/>
  <c r="A2019" i="11" a="1"/>
  <c r="A2019" i="11" s="1"/>
  <c r="A1976" i="11" a="1"/>
  <c r="A1976" i="11" s="1"/>
  <c r="A1897" i="11" a="1"/>
  <c r="A1897" i="11" s="1"/>
  <c r="A1852" i="11" a="1"/>
  <c r="A1852" i="11" s="1"/>
  <c r="A1807" i="11" a="1"/>
  <c r="A1807" i="11" s="1"/>
  <c r="A1726" i="11" a="1"/>
  <c r="A1726" i="11" s="1"/>
  <c r="A1683" i="11" a="1"/>
  <c r="A1683" i="11" s="1"/>
  <c r="A1600" i="11" a="1"/>
  <c r="A1600" i="11" s="1"/>
  <c r="A1557" i="11" a="1"/>
  <c r="A1557" i="11" s="1"/>
  <c r="A1519" i="11" a="1"/>
  <c r="A1519" i="11" s="1"/>
  <c r="A1428" i="11" a="1"/>
  <c r="A1428" i="11" s="1"/>
  <c r="A1391" i="11" a="1"/>
  <c r="A1391" i="11" s="1"/>
  <c r="A1351" i="11" a="1"/>
  <c r="A1351" i="11" s="1"/>
  <c r="A1263" i="11" a="1"/>
  <c r="A1263" i="11" s="1"/>
  <c r="A1223" i="11" a="1"/>
  <c r="A1223" i="11" s="1"/>
  <c r="A1176" i="11" a="1"/>
  <c r="A1176" i="11" s="1"/>
  <c r="A1134" i="11" a="1"/>
  <c r="A1134" i="11" s="1"/>
  <c r="A1050" i="11" a="1"/>
  <c r="A1050" i="11" s="1"/>
  <c r="A1004" i="11" a="1"/>
  <c r="A1004" i="11" s="1"/>
  <c r="A956" i="11" a="1"/>
  <c r="A956" i="11" s="1"/>
  <c r="A915" i="11" a="1"/>
  <c r="A915" i="11" s="1"/>
  <c r="A817" i="11" a="1"/>
  <c r="A817" i="11" s="1"/>
  <c r="A773" i="11" a="1"/>
  <c r="A773" i="11" s="1"/>
  <c r="A720" i="11" a="1"/>
  <c r="A720" i="11" s="1"/>
  <c r="A678" i="11" a="1"/>
  <c r="A678" i="11" s="1"/>
  <c r="A633" i="11" a="1"/>
  <c r="A633" i="11" s="1"/>
  <c r="A587" i="11" a="1"/>
  <c r="A587" i="11" s="1"/>
  <c r="A544" i="11" a="1"/>
  <c r="A544" i="11" s="1"/>
  <c r="A498" i="11" a="1"/>
  <c r="A498" i="11" s="1"/>
  <c r="A456" i="11" a="1"/>
  <c r="A456" i="11" s="1"/>
  <c r="A418" i="11" a="1"/>
  <c r="A418" i="11" s="1"/>
  <c r="A380" i="11" a="1"/>
  <c r="A380" i="11" s="1"/>
  <c r="A339" i="11" a="1"/>
  <c r="A339" i="11" s="1"/>
  <c r="A303" i="11" a="1"/>
  <c r="A303" i="11" s="1"/>
  <c r="A268" i="11" a="1"/>
  <c r="A268" i="11" s="1"/>
  <c r="A234" i="11" a="1"/>
  <c r="A234" i="11" s="1"/>
  <c r="A201" i="11" a="1"/>
  <c r="A201" i="11" s="1"/>
  <c r="A202" i="11" a="1"/>
  <c r="A202" i="11" s="1"/>
  <c r="A168" i="11" a="1"/>
  <c r="A168" i="11" s="1"/>
  <c r="A137" i="11" a="1"/>
  <c r="A137" i="11" s="1"/>
  <c r="A110" i="11" a="1"/>
  <c r="A110" i="11" s="1"/>
  <c r="A111" i="11" a="1"/>
  <c r="A111" i="11" s="1"/>
  <c r="A83" i="11" a="1"/>
  <c r="A83" i="11" s="1"/>
  <c r="A61" i="11" a="1"/>
  <c r="A61" i="11" s="1"/>
  <c r="A62" i="11" a="1"/>
  <c r="A62" i="11" s="1"/>
  <c r="A41" i="11" a="1"/>
  <c r="A41" i="11" s="1"/>
  <c r="A24" i="11" a="1"/>
  <c r="A24" i="11" s="1"/>
  <c r="A2873" i="11" a="1"/>
  <c r="A2873" i="11" s="1"/>
  <c r="A2838" i="11" a="1"/>
  <c r="A2838" i="11" s="1"/>
  <c r="A2758" i="11" a="1"/>
  <c r="A2758" i="11" s="1"/>
  <c r="A2716" i="11" a="1"/>
  <c r="A2716" i="11" s="1"/>
  <c r="A2639" i="11" a="1"/>
  <c r="A2639" i="11" s="1"/>
  <c r="A2601" i="11" a="1"/>
  <c r="A2601" i="11" s="1"/>
  <c r="A2514" i="11" a="1"/>
  <c r="A2514" i="11" s="1"/>
  <c r="A2437" i="11" a="1"/>
  <c r="A2437" i="11" s="1"/>
  <c r="A2391" i="11" a="1"/>
  <c r="A2391" i="11" s="1"/>
  <c r="A2313" i="11" a="1"/>
  <c r="A2313" i="11" s="1"/>
  <c r="A2271" i="11" a="1"/>
  <c r="A2271" i="11" s="1"/>
  <c r="A2187" i="11" a="1"/>
  <c r="A2187" i="11" s="1"/>
  <c r="A2144" i="11" a="1"/>
  <c r="A2144" i="11" s="1"/>
  <c r="A2059" i="11" a="1"/>
  <c r="A2059" i="11" s="1"/>
  <c r="A2020" i="11" a="1"/>
  <c r="A2020" i="11" s="1"/>
  <c r="A1977" i="11" a="1"/>
  <c r="A1977" i="11" s="1"/>
  <c r="A1898" i="11" a="1"/>
  <c r="A1898" i="11" s="1"/>
  <c r="A1853" i="11" a="1"/>
  <c r="A1853" i="11" s="1"/>
  <c r="A1768" i="11" a="1"/>
  <c r="A1768" i="11" s="1"/>
  <c r="A1727" i="11" a="1"/>
  <c r="A1727" i="11" s="1"/>
  <c r="A1644" i="11" a="1"/>
  <c r="A1644" i="11" s="1"/>
  <c r="A1601" i="11" a="1"/>
  <c r="A1601" i="11" s="1"/>
  <c r="A1558" i="11" a="1"/>
  <c r="A1558" i="11" s="1"/>
  <c r="A1477" i="11" a="1"/>
  <c r="A1477" i="11" s="1"/>
  <c r="A1429" i="11" a="1"/>
  <c r="A1429" i="11" s="1"/>
  <c r="A1392" i="11" a="1"/>
  <c r="A1392" i="11" s="1"/>
  <c r="A1307" i="11" a="1"/>
  <c r="A1307" i="11" s="1"/>
  <c r="A1264" i="11" a="1"/>
  <c r="A1264" i="11" s="1"/>
  <c r="A1224" i="11" a="1"/>
  <c r="A1224" i="11" s="1"/>
  <c r="A1177" i="11" a="1"/>
  <c r="A1177" i="11" s="1"/>
  <c r="A1095" i="11" a="1"/>
  <c r="A1095" i="11" s="1"/>
  <c r="A1051" i="11" a="1"/>
  <c r="A1051" i="11" s="1"/>
  <c r="A1005" i="11" a="1"/>
  <c r="A1005" i="11" s="1"/>
  <c r="A957" i="11" a="1"/>
  <c r="A957" i="11" s="1"/>
  <c r="A916" i="11" a="1"/>
  <c r="A916" i="11" s="1"/>
  <c r="A818" i="11" a="1"/>
  <c r="A818" i="11" s="1"/>
  <c r="A774" i="11" a="1"/>
  <c r="A774" i="11" s="1"/>
  <c r="A721" i="11" a="1"/>
  <c r="A721" i="11" s="1"/>
  <c r="A679" i="11" a="1"/>
  <c r="A679" i="11" s="1"/>
  <c r="A634" i="11" a="1"/>
  <c r="A634" i="11" s="1"/>
  <c r="A588" i="11" a="1"/>
  <c r="A588" i="11" s="1"/>
  <c r="A545" i="11" a="1"/>
  <c r="A545" i="11" s="1"/>
  <c r="A499" i="11" a="1"/>
  <c r="A499" i="11" s="1"/>
  <c r="A457" i="11" a="1"/>
  <c r="A457" i="11" s="1"/>
  <c r="A419" i="11" a="1"/>
  <c r="A419" i="11" s="1"/>
  <c r="A381" i="11" a="1"/>
  <c r="A381" i="11" s="1"/>
  <c r="A340" i="11" a="1"/>
  <c r="A340" i="11" s="1"/>
  <c r="A304" i="11" a="1"/>
  <c r="A304" i="11" s="1"/>
  <c r="A269" i="11" a="1"/>
  <c r="A269" i="11" s="1"/>
  <c r="A270" i="11" a="1"/>
  <c r="A270" i="11" s="1"/>
  <c r="A235" i="11" a="1"/>
  <c r="A235" i="11" s="1"/>
  <c r="A203" i="11" a="1"/>
  <c r="A203" i="11" s="1"/>
  <c r="A169" i="11" a="1"/>
  <c r="A169" i="11" s="1"/>
  <c r="A138" i="11" a="1"/>
  <c r="A138" i="11" s="1"/>
  <c r="A139" i="11" a="1"/>
  <c r="A139" i="11" s="1"/>
  <c r="A112" i="11" a="1"/>
  <c r="A112" i="11" s="1"/>
  <c r="A84" i="11" a="1"/>
  <c r="A84" i="11" s="1"/>
  <c r="A85" i="11" a="1"/>
  <c r="A85" i="11" s="1"/>
  <c r="A63" i="11" a="1"/>
  <c r="A63" i="11" s="1"/>
  <c r="A42" i="11" a="1"/>
  <c r="A42" i="11" s="1"/>
  <c r="A43" i="11" a="1"/>
  <c r="A43" i="11" s="1"/>
  <c r="A2874" i="11" a="1"/>
  <c r="A2874" i="11" s="1"/>
  <c r="A2798" i="11" a="1"/>
  <c r="A2798" i="11" s="1"/>
  <c r="A2759" i="11" a="1"/>
  <c r="A2759" i="11" s="1"/>
  <c r="A2681" i="11" a="1"/>
  <c r="A2681" i="11" s="1"/>
  <c r="A2640" i="11" a="1"/>
  <c r="A2640" i="11" s="1"/>
  <c r="A2560" i="11" a="1"/>
  <c r="A2560" i="11" s="1"/>
  <c r="A2515" i="11" a="1"/>
  <c r="A2515" i="11" s="1"/>
  <c r="A2438" i="11" a="1"/>
  <c r="A2438" i="11" s="1"/>
  <c r="A2356" i="11" a="1"/>
  <c r="A2356" i="11" s="1"/>
  <c r="A2314" i="11" a="1"/>
  <c r="A2314" i="11" s="1"/>
  <c r="A2231" i="11" a="1"/>
  <c r="A2231" i="11" s="1"/>
  <c r="A2188" i="11" a="1"/>
  <c r="A2188" i="11" s="1"/>
  <c r="A2145" i="11" a="1"/>
  <c r="A2145" i="11" s="1"/>
  <c r="A2060" i="11" a="1"/>
  <c r="A2060" i="11" s="1"/>
  <c r="A2021" i="11" a="1"/>
  <c r="A2021" i="11" s="1"/>
  <c r="A1931" i="11" a="1"/>
  <c r="A1931" i="11" s="1"/>
  <c r="A1899" i="11" a="1"/>
  <c r="A1899" i="11" s="1"/>
  <c r="A1808" i="11" a="1"/>
  <c r="A1808" i="11" s="1"/>
  <c r="A1769" i="11" a="1"/>
  <c r="A1769" i="11" s="1"/>
  <c r="A1728" i="11" a="1"/>
  <c r="A1728" i="11" s="1"/>
  <c r="A1645" i="11" a="1"/>
  <c r="A1645" i="11" s="1"/>
  <c r="A1602" i="11" a="1"/>
  <c r="A1602" i="11" s="1"/>
  <c r="A1520" i="11" a="1"/>
  <c r="A1520" i="11" s="1"/>
  <c r="A1478" i="11" a="1"/>
  <c r="A1478" i="11" s="1"/>
  <c r="A1430" i="11" a="1"/>
  <c r="A1430" i="11" s="1"/>
  <c r="A1393" i="11" a="1"/>
  <c r="A1393" i="11" s="1"/>
  <c r="A1308" i="11" a="1"/>
  <c r="A1308" i="11" s="1"/>
  <c r="A1265" i="11" a="1"/>
  <c r="A1265" i="11" s="1"/>
  <c r="A1225" i="11" a="1"/>
  <c r="A1225" i="11" s="1"/>
  <c r="A1178" i="11" a="1"/>
  <c r="A1178" i="11" s="1"/>
  <c r="A1096" i="11" a="1"/>
  <c r="A1096" i="11" s="1"/>
  <c r="A1052" i="11" a="1"/>
  <c r="A1052" i="11" s="1"/>
  <c r="A1006" i="11" a="1"/>
  <c r="A1006" i="11" s="1"/>
  <c r="A958" i="11" a="1"/>
  <c r="A958" i="11" s="1"/>
  <c r="A917" i="11" a="1"/>
  <c r="A917" i="11" s="1"/>
  <c r="A819" i="11" a="1"/>
  <c r="A819" i="11" s="1"/>
  <c r="A775" i="11" a="1"/>
  <c r="A775" i="11" s="1"/>
  <c r="A722" i="11" a="1"/>
  <c r="A722" i="11" s="1"/>
  <c r="A680" i="11" a="1"/>
  <c r="A680" i="11" s="1"/>
  <c r="A635" i="11" a="1"/>
  <c r="A635" i="11" s="1"/>
  <c r="A589" i="11" a="1"/>
  <c r="A589" i="11" s="1"/>
  <c r="A546" i="11" a="1"/>
  <c r="A546" i="11" s="1"/>
  <c r="A500" i="11" a="1"/>
  <c r="A500" i="11" s="1"/>
  <c r="A458" i="11" a="1"/>
  <c r="A458" i="11" s="1"/>
  <c r="A420" i="11" a="1"/>
  <c r="A420" i="11" s="1"/>
  <c r="A382" i="11" a="1"/>
  <c r="A382" i="11" s="1"/>
  <c r="A341" i="11" a="1"/>
  <c r="A341" i="11" s="1"/>
  <c r="A342" i="11" a="1"/>
  <c r="A342" i="11" s="1"/>
  <c r="A305" i="11" a="1"/>
  <c r="A305" i="11" s="1"/>
  <c r="A271" i="11" a="1"/>
  <c r="A271" i="11" s="1"/>
  <c r="A236" i="11" a="1"/>
  <c r="A236" i="11" s="1"/>
  <c r="A204" i="11" a="1"/>
  <c r="A204" i="11" s="1"/>
  <c r="A205" i="11" a="1"/>
  <c r="A205" i="11" s="1"/>
  <c r="A170" i="11" a="1"/>
  <c r="A170" i="11" s="1"/>
  <c r="A140" i="11" a="1"/>
  <c r="A140" i="11" s="1"/>
  <c r="A141" i="11" a="1"/>
  <c r="A141" i="11" s="1"/>
  <c r="A113" i="11" a="1"/>
  <c r="A113" i="11" s="1"/>
  <c r="A86" i="11" a="1"/>
  <c r="A86" i="11" s="1"/>
  <c r="A87" i="11" a="1"/>
  <c r="A87" i="11" s="1"/>
  <c r="A64" i="11" a="1"/>
  <c r="A64" i="11" s="1"/>
  <c r="A65" i="11" a="1"/>
  <c r="A65" i="11" s="1"/>
  <c r="A2839" i="11" a="1"/>
  <c r="A2839" i="11" s="1"/>
  <c r="A2799" i="11" a="1"/>
  <c r="A2799" i="11" s="1"/>
  <c r="A2717" i="11" a="1"/>
  <c r="A2717" i="11" s="1"/>
  <c r="A2682" i="11" a="1"/>
  <c r="A2682" i="11" s="1"/>
  <c r="A2602" i="11" a="1"/>
  <c r="A2602" i="11" s="1"/>
  <c r="A2561" i="11" a="1"/>
  <c r="A2561" i="11" s="1"/>
  <c r="A2481" i="11" a="1"/>
  <c r="A2481" i="11" s="1"/>
  <c r="A2439" i="11" a="1"/>
  <c r="A2439" i="11" s="1"/>
  <c r="A2357" i="11" a="1"/>
  <c r="A2357" i="11" s="1"/>
  <c r="A2315" i="11" a="1"/>
  <c r="A2315" i="11" s="1"/>
  <c r="A2232" i="11" a="1"/>
  <c r="A2232" i="11" s="1"/>
  <c r="A2189" i="11" a="1"/>
  <c r="A2189" i="11" s="1"/>
  <c r="A2104" i="11" a="1"/>
  <c r="A2104" i="11" s="1"/>
  <c r="A2061" i="11" a="1"/>
  <c r="A2061" i="11" s="1"/>
  <c r="A1978" i="11" a="1"/>
  <c r="A1978" i="11" s="1"/>
  <c r="A1932" i="11" a="1"/>
  <c r="A1932" i="11" s="1"/>
  <c r="A1854" i="11" a="1"/>
  <c r="A1854" i="11" s="1"/>
  <c r="A1809" i="11" a="1"/>
  <c r="A1809" i="11" s="1"/>
  <c r="A1770" i="11" a="1"/>
  <c r="A1770" i="11" s="1"/>
  <c r="A1684" i="11" a="1"/>
  <c r="A1684" i="11" s="1"/>
  <c r="A1646" i="11" a="1"/>
  <c r="A1646" i="11" s="1"/>
  <c r="A1603" i="11" a="1"/>
  <c r="A1603" i="11" s="1"/>
  <c r="A1521" i="11" a="1"/>
  <c r="A1521" i="11" s="1"/>
  <c r="A1479" i="11" a="1"/>
  <c r="A1479" i="11" s="1"/>
  <c r="A1431" i="11" a="1"/>
  <c r="A1431" i="11" s="1"/>
  <c r="A1352" i="11" a="1"/>
  <c r="A1352" i="11" s="1"/>
  <c r="A1309" i="11" a="1"/>
  <c r="A1309" i="11" s="1"/>
  <c r="A1266" i="11" a="1"/>
  <c r="A1266" i="11" s="1"/>
  <c r="A1226" i="11" a="1"/>
  <c r="A1226" i="11" s="1"/>
  <c r="A1179" i="11" a="1"/>
  <c r="A1179" i="11" s="1"/>
  <c r="A1097" i="11" a="1"/>
  <c r="A1097" i="11" s="1"/>
  <c r="A1053" i="11" a="1"/>
  <c r="A1053" i="11" s="1"/>
  <c r="A1007" i="11" a="1"/>
  <c r="A1007" i="11" s="1"/>
  <c r="A959" i="11" a="1"/>
  <c r="A959" i="11" s="1"/>
  <c r="A918" i="11" a="1"/>
  <c r="A918" i="11" s="1"/>
  <c r="A871" i="11" a="1"/>
  <c r="A871" i="11" s="1"/>
  <c r="A820" i="11" a="1"/>
  <c r="A820" i="11" s="1"/>
  <c r="A723" i="11" a="1"/>
  <c r="A723" i="11" s="1"/>
  <c r="A681" i="11" a="1"/>
  <c r="A681" i="11" s="1"/>
  <c r="A636" i="11" a="1"/>
  <c r="A636" i="11" s="1"/>
  <c r="A590" i="11" a="1"/>
  <c r="A590" i="11" s="1"/>
  <c r="A547" i="11" a="1"/>
  <c r="A547" i="11" s="1"/>
  <c r="A501" i="11" a="1"/>
  <c r="A501" i="11" s="1"/>
  <c r="A502" i="11" a="1"/>
  <c r="A502" i="11" s="1"/>
  <c r="A459" i="11" a="1"/>
  <c r="A459" i="11" s="1"/>
  <c r="A421" i="11" a="1"/>
  <c r="A421" i="11" s="1"/>
  <c r="A383" i="11" a="1"/>
  <c r="A383" i="11" s="1"/>
  <c r="A343" i="11" a="1"/>
  <c r="A343" i="11" s="1"/>
  <c r="A306" i="11" a="1"/>
  <c r="A306" i="11" s="1"/>
  <c r="A272" i="11" a="1"/>
  <c r="A272" i="11" s="1"/>
  <c r="A273" i="11" a="1"/>
  <c r="A273" i="11" s="1"/>
  <c r="A237" i="11" a="1"/>
  <c r="A237" i="11" s="1"/>
  <c r="A206" i="11" a="1"/>
  <c r="A206" i="11" s="1"/>
  <c r="A171" i="11" a="1"/>
  <c r="A171" i="11" s="1"/>
  <c r="A172" i="11" a="1"/>
  <c r="A172" i="11" s="1"/>
  <c r="A142" i="11" a="1"/>
  <c r="A142" i="11" s="1"/>
  <c r="A143" i="11" a="1"/>
  <c r="A143" i="11" s="1"/>
  <c r="A114" i="11" a="1"/>
  <c r="A114" i="11" s="1"/>
  <c r="A88" i="11" a="1"/>
  <c r="A88" i="11" s="1"/>
  <c r="A89" i="11" a="1"/>
  <c r="A89" i="11" s="1"/>
  <c r="A66" i="11" a="1"/>
  <c r="A66" i="11" s="1"/>
  <c r="A2840" i="11" a="1"/>
  <c r="A2840" i="11" s="1"/>
  <c r="A2760" i="11" a="1"/>
  <c r="A2760" i="11" s="1"/>
  <c r="A2718" i="11" a="1"/>
  <c r="A2718" i="11" s="1"/>
  <c r="A2641" i="11" a="1"/>
  <c r="A2641" i="11" s="1"/>
  <c r="A2603" i="11" a="1"/>
  <c r="A2603" i="11" s="1"/>
  <c r="A2516" i="11" a="1"/>
  <c r="A2516" i="11" s="1"/>
  <c r="A2482" i="11" a="1"/>
  <c r="A2482" i="11" s="1"/>
  <c r="A2392" i="11" a="1"/>
  <c r="A2392" i="11" s="1"/>
  <c r="A2358" i="11" a="1"/>
  <c r="A2358" i="11" s="1"/>
  <c r="A2272" i="11" a="1"/>
  <c r="A2272" i="11" s="1"/>
  <c r="A2233" i="11" a="1"/>
  <c r="A2233" i="11" s="1"/>
  <c r="A2146" i="11" a="1"/>
  <c r="A2146" i="11" s="1"/>
  <c r="A2105" i="11" a="1"/>
  <c r="A2105" i="11" s="1"/>
  <c r="A2062" i="11" a="1"/>
  <c r="A2062" i="11" s="1"/>
  <c r="A1979" i="11" a="1"/>
  <c r="A1979" i="11" s="1"/>
  <c r="A1933" i="11" a="1"/>
  <c r="A1933" i="11" s="1"/>
  <c r="A1855" i="11" a="1"/>
  <c r="A1855" i="11" s="1"/>
  <c r="A1810" i="11" a="1"/>
  <c r="A1810" i="11" s="1"/>
  <c r="A1771" i="11" a="1"/>
  <c r="A1771" i="11" s="1"/>
  <c r="A1685" i="11" a="1"/>
  <c r="A1685" i="11" s="1"/>
  <c r="A1647" i="11" a="1"/>
  <c r="A1647" i="11" s="1"/>
  <c r="A1604" i="11" a="1"/>
  <c r="A1604" i="11" s="1"/>
  <c r="A1522" i="11" a="1"/>
  <c r="A1522" i="11" s="1"/>
  <c r="A1480" i="11" a="1"/>
  <c r="A1480" i="11" s="1"/>
  <c r="A1432" i="11" a="1"/>
  <c r="A1432" i="11" s="1"/>
  <c r="A1353" i="11" a="1"/>
  <c r="A1353" i="11" s="1"/>
  <c r="A1310" i="11" a="1"/>
  <c r="A1310" i="11" s="1"/>
  <c r="A1267" i="11" a="1"/>
  <c r="A1267" i="11" s="1"/>
  <c r="A1227" i="11" a="1"/>
  <c r="A1227" i="11" s="1"/>
  <c r="A1180" i="11" a="1"/>
  <c r="A1180" i="11" s="1"/>
  <c r="A1098" i="11" a="1"/>
  <c r="A1098" i="11" s="1"/>
  <c r="A1054" i="11" a="1"/>
  <c r="A1054" i="11" s="1"/>
  <c r="A1008" i="11" a="1"/>
  <c r="A1008" i="11" s="1"/>
  <c r="A960" i="11" a="1"/>
  <c r="A960" i="11" s="1"/>
  <c r="A919" i="11" a="1"/>
  <c r="A919" i="11" s="1"/>
  <c r="A872" i="11" a="1"/>
  <c r="A872" i="11" s="1"/>
  <c r="A821" i="11" a="1"/>
  <c r="A821" i="11" s="1"/>
  <c r="A776" i="11" a="1"/>
  <c r="A776" i="11" s="1"/>
  <c r="A724" i="11" a="1"/>
  <c r="A724" i="11" s="1"/>
  <c r="A682" i="11" a="1"/>
  <c r="A682" i="11" s="1"/>
  <c r="A637" i="11" a="1"/>
  <c r="A637" i="11" s="1"/>
  <c r="A591" i="11" a="1"/>
  <c r="A591" i="11" s="1"/>
  <c r="A548" i="11" a="1"/>
  <c r="A548" i="11" s="1"/>
  <c r="A503" i="11" a="1"/>
  <c r="A503" i="11" s="1"/>
  <c r="A460" i="11" a="1"/>
  <c r="A460" i="11" s="1"/>
  <c r="A422" i="11" a="1"/>
  <c r="A422" i="11" s="1"/>
  <c r="A384" i="11" a="1"/>
  <c r="A384" i="11" s="1"/>
  <c r="A385" i="11" a="1"/>
  <c r="A385" i="11" s="1"/>
  <c r="A344" i="11" a="1"/>
  <c r="A344" i="11" s="1"/>
  <c r="A307" i="11" a="1"/>
  <c r="A307" i="11" s="1"/>
  <c r="A274" i="11" a="1"/>
  <c r="A274" i="11" s="1"/>
  <c r="A238" i="11" a="1"/>
  <c r="A238" i="11" s="1"/>
  <c r="A239" i="11" a="1"/>
  <c r="A239" i="11" s="1"/>
  <c r="A207" i="11" a="1"/>
  <c r="A207" i="11" s="1"/>
  <c r="A173" i="11" a="1"/>
  <c r="A173" i="11" s="1"/>
  <c r="A174" i="11" a="1"/>
  <c r="A174" i="11" s="1"/>
  <c r="A144" i="11" a="1"/>
  <c r="A144" i="11" s="1"/>
  <c r="A145" i="11" a="1"/>
  <c r="A145" i="11" s="1"/>
  <c r="A115" i="11" a="1"/>
  <c r="A115" i="11" s="1"/>
  <c r="A116" i="11" a="1"/>
  <c r="A116" i="11" s="1"/>
  <c r="A90" i="11" a="1"/>
  <c r="A90" i="11" s="1"/>
  <c r="A2841" i="11" a="1"/>
  <c r="A2841" i="11" s="1"/>
  <c r="A2761" i="11" a="1"/>
  <c r="A2761" i="11" s="1"/>
  <c r="A2719" i="11" a="1"/>
  <c r="A2719" i="11" s="1"/>
  <c r="A2642" i="11" a="1"/>
  <c r="A2642" i="11" s="1"/>
  <c r="A2562" i="11" a="1"/>
  <c r="A2562" i="11" s="1"/>
  <c r="A2517" i="11" a="1"/>
  <c r="A2517" i="11" s="1"/>
  <c r="A2440" i="11" a="1"/>
  <c r="A2440" i="11" s="1"/>
  <c r="A2393" i="11" a="1"/>
  <c r="A2393" i="11" s="1"/>
  <c r="A2359" i="11" a="1"/>
  <c r="A2359" i="11" s="1"/>
  <c r="A2273" i="11" a="1"/>
  <c r="A2273" i="11" s="1"/>
  <c r="A2234" i="11" a="1"/>
  <c r="A2234" i="11" s="1"/>
  <c r="A2147" i="11" a="1"/>
  <c r="A2147" i="11" s="1"/>
  <c r="A2106" i="11" a="1"/>
  <c r="A2106" i="11" s="1"/>
  <c r="A2022" i="11" a="1"/>
  <c r="A2022" i="11" s="1"/>
  <c r="A1980" i="11" a="1"/>
  <c r="A1980" i="11" s="1"/>
  <c r="A1934" i="11" a="1"/>
  <c r="A1934" i="11" s="1"/>
  <c r="A1856" i="11" a="1"/>
  <c r="A1856" i="11" s="1"/>
  <c r="A1811" i="11" a="1"/>
  <c r="A1811" i="11" s="1"/>
  <c r="A1729" i="11" a="1"/>
  <c r="A1729" i="11" s="1"/>
  <c r="A1686" i="11" a="1"/>
  <c r="A1686" i="11" s="1"/>
  <c r="A1648" i="11" a="1"/>
  <c r="A1648" i="11" s="1"/>
  <c r="A1605" i="11" a="1"/>
  <c r="A1605" i="11" s="1"/>
  <c r="A1523" i="11" a="1"/>
  <c r="A1523" i="11" s="1"/>
  <c r="A1481" i="11" a="1"/>
  <c r="A1481" i="11" s="1"/>
  <c r="A1433" i="11" a="1"/>
  <c r="A1433" i="11" s="1"/>
  <c r="A1394" i="11" a="1"/>
  <c r="A1394" i="11" s="1"/>
  <c r="A1311" i="11" a="1"/>
  <c r="A1311" i="11" s="1"/>
  <c r="A1268" i="11" a="1"/>
  <c r="A1268" i="11" s="1"/>
  <c r="A1228" i="11" a="1"/>
  <c r="A1228" i="11" s="1"/>
  <c r="A1181" i="11" a="1"/>
  <c r="A1181" i="11" s="1"/>
  <c r="A1135" i="11" a="1"/>
  <c r="A1135" i="11" s="1"/>
  <c r="A1055" i="11" a="1"/>
  <c r="A1055" i="11" s="1"/>
  <c r="A1009" i="11" a="1"/>
  <c r="A1009" i="11" s="1"/>
  <c r="A961" i="11" a="1"/>
  <c r="A961" i="11" s="1"/>
  <c r="A920" i="11" a="1"/>
  <c r="A920" i="11" s="1"/>
  <c r="A873" i="11" a="1"/>
  <c r="A873" i="11" s="1"/>
  <c r="A822" i="11" a="1"/>
  <c r="A822" i="11" s="1"/>
  <c r="A777" i="11" a="1"/>
  <c r="A777" i="11" s="1"/>
  <c r="A725" i="11" a="1"/>
  <c r="A725" i="11" s="1"/>
  <c r="A683" i="11" a="1"/>
  <c r="A683" i="11" s="1"/>
  <c r="A638" i="11" a="1"/>
  <c r="A638" i="11" s="1"/>
  <c r="A592" i="11" a="1"/>
  <c r="A592" i="11" s="1"/>
  <c r="A549" i="11" a="1"/>
  <c r="A549" i="11" s="1"/>
  <c r="A504" i="11" a="1"/>
  <c r="A504" i="11" s="1"/>
  <c r="A505" i="11" a="1"/>
  <c r="A505" i="11" s="1"/>
  <c r="A461" i="11" a="1"/>
  <c r="A461" i="11" s="1"/>
  <c r="A423" i="11" a="1"/>
  <c r="A423" i="11" s="1"/>
  <c r="A386" i="11" a="1"/>
  <c r="A386" i="11" s="1"/>
  <c r="A345" i="11" a="1"/>
  <c r="A345" i="11" s="1"/>
  <c r="A346" i="11" a="1"/>
  <c r="A346" i="11" s="1"/>
  <c r="A308" i="11" a="1"/>
  <c r="A308" i="11" s="1"/>
  <c r="A275" i="11" a="1"/>
  <c r="A275" i="11" s="1"/>
  <c r="A240" i="11" a="1"/>
  <c r="A240" i="11" s="1"/>
  <c r="A241" i="11" a="1"/>
  <c r="A241" i="11" s="1"/>
  <c r="A208" i="11" a="1"/>
  <c r="A208" i="11" s="1"/>
  <c r="A209" i="11" a="1"/>
  <c r="A209" i="11" s="1"/>
  <c r="A175" i="11" a="1"/>
  <c r="A175" i="11" s="1"/>
  <c r="A176" i="11" a="1"/>
  <c r="A176" i="11" s="1"/>
  <c r="A146" i="11" a="1"/>
  <c r="A146" i="11" s="1"/>
  <c r="A147" i="11" a="1"/>
  <c r="A147" i="11" s="1"/>
  <c r="A117" i="11" a="1"/>
  <c r="A117" i="11" s="1"/>
  <c r="A2800" i="11" a="1"/>
  <c r="A2800" i="11" s="1"/>
  <c r="A2762" i="11" a="1"/>
  <c r="A2762" i="11" s="1"/>
  <c r="A2683" i="11" a="1"/>
  <c r="A2683" i="11" s="1"/>
  <c r="A2643" i="11" a="1"/>
  <c r="A2643" i="11" s="1"/>
  <c r="A2563" i="11" a="1"/>
  <c r="A2563" i="11" s="1"/>
  <c r="A2518" i="11" a="1"/>
  <c r="A2518" i="11" s="1"/>
  <c r="A2441" i="11" a="1"/>
  <c r="A2441" i="11" s="1"/>
  <c r="A2394" i="11" a="1"/>
  <c r="A2394" i="11" s="1"/>
  <c r="A2316" i="11" a="1"/>
  <c r="A2316" i="11" s="1"/>
  <c r="A2274" i="11" a="1"/>
  <c r="A2274" i="11" s="1"/>
  <c r="A2190" i="11" a="1"/>
  <c r="A2190" i="11" s="1"/>
  <c r="A2148" i="11" a="1"/>
  <c r="A2148" i="11" s="1"/>
  <c r="A2107" i="11" a="1"/>
  <c r="A2107" i="11" s="1"/>
  <c r="A2023" i="11" a="1"/>
  <c r="A2023" i="11" s="1"/>
  <c r="A1981" i="11" a="1"/>
  <c r="A1981" i="11" s="1"/>
  <c r="A1935" i="11" a="1"/>
  <c r="A1935" i="11" s="1"/>
  <c r="A1857" i="11" a="1"/>
  <c r="A1857" i="11" s="1"/>
  <c r="A1812" i="11" a="1"/>
  <c r="A1812" i="11" s="1"/>
  <c r="A1730" i="11" a="1"/>
  <c r="A1730" i="11" s="1"/>
  <c r="A1687" i="11" a="1"/>
  <c r="A1687" i="11" s="1"/>
  <c r="A1649" i="11" a="1"/>
  <c r="A1649" i="11" s="1"/>
  <c r="A1606" i="11" a="1"/>
  <c r="A1606" i="11" s="1"/>
  <c r="A1524" i="11" a="1"/>
  <c r="A1524" i="11" s="1"/>
  <c r="A1482" i="11" a="1"/>
  <c r="A1482" i="11" s="1"/>
  <c r="A1434" i="11" a="1"/>
  <c r="A1434" i="11" s="1"/>
  <c r="A1395" i="11" a="1"/>
  <c r="A1395" i="11" s="1"/>
  <c r="A1312" i="11" a="1"/>
  <c r="A1312" i="11" s="1"/>
  <c r="A1269" i="11" a="1"/>
  <c r="A1269" i="11" s="1"/>
  <c r="A1229" i="11" a="1"/>
  <c r="A1229" i="11" s="1"/>
  <c r="A1182" i="11" a="1"/>
  <c r="A1182" i="11" s="1"/>
  <c r="A1136" i="11" a="1"/>
  <c r="A1136" i="11" s="1"/>
  <c r="A1099" i="11" a="1"/>
  <c r="A1099" i="11" s="1"/>
  <c r="A1056" i="11" a="1"/>
  <c r="A1056" i="11" s="1"/>
  <c r="A1010" i="11" a="1"/>
  <c r="A1010" i="11" s="1"/>
  <c r="A962" i="11" a="1"/>
  <c r="A962" i="11" s="1"/>
  <c r="A874" i="11" a="1"/>
  <c r="A874" i="11" s="1"/>
  <c r="A823" i="11" a="1"/>
  <c r="A823" i="11" s="1"/>
  <c r="A778" i="11" a="1"/>
  <c r="A778" i="11" s="1"/>
  <c r="A726" i="11" a="1"/>
  <c r="A726" i="11" s="1"/>
  <c r="A727" i="11" a="1"/>
  <c r="A727" i="11" s="1"/>
  <c r="A684" i="11" a="1"/>
  <c r="A684" i="11" s="1"/>
  <c r="A639" i="11" a="1"/>
  <c r="A639" i="11" s="1"/>
  <c r="A593" i="11" a="1"/>
  <c r="A593" i="11" s="1"/>
  <c r="A550" i="11" a="1"/>
  <c r="A550" i="11" s="1"/>
  <c r="A506" i="11" a="1"/>
  <c r="A506" i="11" s="1"/>
  <c r="A462" i="11" a="1"/>
  <c r="A462" i="11" s="1"/>
  <c r="A463" i="11" a="1"/>
  <c r="A463" i="11" s="1"/>
  <c r="A424" i="11" a="1"/>
  <c r="A424" i="11" s="1"/>
  <c r="A387" i="11" a="1"/>
  <c r="A387" i="11" s="1"/>
  <c r="A347" i="11" a="1"/>
  <c r="A347" i="11" s="1"/>
  <c r="A348" i="11" a="1"/>
  <c r="A348" i="11" s="1"/>
  <c r="A309" i="11" a="1"/>
  <c r="A309" i="11" s="1"/>
  <c r="A276" i="11" a="1"/>
  <c r="A276" i="11" s="1"/>
  <c r="A277" i="11" a="1"/>
  <c r="A277" i="11" s="1"/>
  <c r="A242" i="11" a="1"/>
  <c r="A242" i="11" s="1"/>
  <c r="A243" i="11" a="1"/>
  <c r="A243" i="11" s="1"/>
  <c r="A210" i="11" a="1"/>
  <c r="A210" i="11" s="1"/>
  <c r="A177" i="11" a="1"/>
  <c r="A177" i="11" s="1"/>
  <c r="A178" i="11" a="1"/>
  <c r="A178" i="11" s="1"/>
  <c r="A179" i="11" a="1"/>
  <c r="A179" i="11" s="1"/>
  <c r="A148" i="11" a="1"/>
  <c r="A148" i="11" s="1"/>
  <c r="A2801" i="11" a="1"/>
  <c r="A2801" i="11" s="1"/>
  <c r="A2763" i="11" a="1"/>
  <c r="A2763" i="11" s="1"/>
  <c r="A2684" i="11" a="1"/>
  <c r="A2684" i="11" s="1"/>
  <c r="A2644" i="11" a="1"/>
  <c r="A2644" i="11" s="1"/>
  <c r="A2564" i="11" a="1"/>
  <c r="A2564" i="11" s="1"/>
  <c r="A2519" i="11" a="1"/>
  <c r="A2519" i="11" s="1"/>
  <c r="A2442" i="11" a="1"/>
  <c r="A2442" i="11" s="1"/>
  <c r="A2395" i="11" a="1"/>
  <c r="A2395" i="11" s="1"/>
  <c r="A2317" i="11" a="1"/>
  <c r="A2317" i="11" s="1"/>
  <c r="A2275" i="11" a="1"/>
  <c r="A2275" i="11" s="1"/>
  <c r="A2191" i="11" a="1"/>
  <c r="A2191" i="11" s="1"/>
  <c r="A2149" i="11" a="1"/>
  <c r="A2149" i="11" s="1"/>
  <c r="A2108" i="11" a="1"/>
  <c r="A2108" i="11" s="1"/>
  <c r="A2024" i="11" a="1"/>
  <c r="A2024" i="11" s="1"/>
  <c r="A1982" i="11" a="1"/>
  <c r="A1982" i="11" s="1"/>
  <c r="A1936" i="11" a="1"/>
  <c r="A1936" i="11" s="1"/>
  <c r="A1858" i="11" a="1"/>
  <c r="A1858" i="11" s="1"/>
  <c r="A1813" i="11" a="1"/>
  <c r="A1813" i="11" s="1"/>
  <c r="A1772" i="11" a="1"/>
  <c r="A1772" i="11" s="1"/>
  <c r="A1688" i="11" a="1"/>
  <c r="A1688" i="11" s="1"/>
  <c r="A1650" i="11" a="1"/>
  <c r="A1650" i="11" s="1"/>
  <c r="A1607" i="11" a="1"/>
  <c r="A1607" i="11" s="1"/>
  <c r="A1559" i="11" a="1"/>
  <c r="A1559" i="11" s="1"/>
  <c r="A1483" i="11" a="1"/>
  <c r="A1483" i="11" s="1"/>
  <c r="A1435" i="11" a="1"/>
  <c r="A1435" i="11" s="1"/>
  <c r="A1396" i="11" a="1"/>
  <c r="A1396" i="11" s="1"/>
  <c r="A1354" i="11" a="1"/>
  <c r="A1354" i="11" s="1"/>
  <c r="A1313" i="11" a="1"/>
  <c r="A1313" i="11" s="1"/>
  <c r="A1230" i="11" a="1"/>
  <c r="A1230" i="11" s="1"/>
  <c r="A1183" i="11" a="1"/>
  <c r="A1183" i="11" s="1"/>
  <c r="A1137" i="11" a="1"/>
  <c r="A1137" i="11" s="1"/>
  <c r="A1100" i="11" a="1"/>
  <c r="A1100" i="11" s="1"/>
  <c r="A1057" i="11" a="1"/>
  <c r="A1057" i="11" s="1"/>
  <c r="A1011" i="11" a="1"/>
  <c r="A1011" i="11" s="1"/>
  <c r="A963" i="11" a="1"/>
  <c r="A963" i="11" s="1"/>
  <c r="A921" i="11" a="1"/>
  <c r="A921" i="11" s="1"/>
  <c r="A875" i="11" a="1"/>
  <c r="A875" i="11" s="1"/>
  <c r="A824" i="11" a="1"/>
  <c r="A824" i="11" s="1"/>
  <c r="A779" i="11" a="1"/>
  <c r="A779" i="11" s="1"/>
  <c r="A728" i="11" a="1"/>
  <c r="A728" i="11" s="1"/>
  <c r="A685" i="11" a="1"/>
  <c r="A685" i="11" s="1"/>
  <c r="A640" i="11" a="1"/>
  <c r="A640" i="11" s="1"/>
  <c r="A594" i="11" a="1"/>
  <c r="A594" i="11" s="1"/>
  <c r="A595" i="11" a="1"/>
  <c r="A595" i="11" s="1"/>
  <c r="A551" i="11" a="1"/>
  <c r="A551" i="11" s="1"/>
  <c r="A507" i="11" a="1"/>
  <c r="A507" i="11" s="1"/>
  <c r="A464" i="11" a="1"/>
  <c r="A464" i="11" s="1"/>
  <c r="A465" i="11" a="1"/>
  <c r="A465" i="11" s="1"/>
  <c r="A425" i="11" a="1"/>
  <c r="A425" i="11" s="1"/>
  <c r="A388" i="11" a="1"/>
  <c r="A388" i="11" s="1"/>
  <c r="A349" i="11" a="1"/>
  <c r="A349" i="11" s="1"/>
  <c r="A350" i="11" a="1"/>
  <c r="A350" i="11" s="1"/>
  <c r="A310" i="11" a="1"/>
  <c r="A310" i="11" s="1"/>
  <c r="A311" i="11" a="1"/>
  <c r="A311" i="11" s="1"/>
  <c r="A278" i="11" a="1"/>
  <c r="A278" i="11" s="1"/>
  <c r="A244" i="11" a="1"/>
  <c r="A244" i="11" s="1"/>
  <c r="A245" i="11" a="1"/>
  <c r="A245" i="11" s="1"/>
  <c r="A211" i="11" a="1"/>
  <c r="A211" i="11" s="1"/>
  <c r="A212" i="11" a="1"/>
  <c r="A212" i="11" s="1"/>
  <c r="A213" i="11" a="1"/>
  <c r="A213" i="11" s="1"/>
  <c r="A180" i="11" a="1"/>
  <c r="A180" i="11" s="1"/>
  <c r="A2802" i="11" a="1"/>
  <c r="A2802" i="11" s="1"/>
  <c r="A2720" i="11" a="1"/>
  <c r="A2720" i="11" s="1"/>
  <c r="A2685" i="11" a="1"/>
  <c r="A2685" i="11" s="1"/>
  <c r="A2604" i="11" a="1"/>
  <c r="A2604" i="11" s="1"/>
  <c r="A2565" i="11" a="1"/>
  <c r="A2565" i="11" s="1"/>
  <c r="A2520" i="11" a="1"/>
  <c r="A2520" i="11" s="1"/>
  <c r="A2443" i="11" a="1"/>
  <c r="A2443" i="11" s="1"/>
  <c r="A2396" i="11" a="1"/>
  <c r="A2396" i="11" s="1"/>
  <c r="A2318" i="11" a="1"/>
  <c r="A2318" i="11" s="1"/>
  <c r="A2276" i="11" a="1"/>
  <c r="A2276" i="11" s="1"/>
  <c r="A2192" i="11" a="1"/>
  <c r="A2192" i="11" s="1"/>
  <c r="A2150" i="11" a="1"/>
  <c r="A2150" i="11" s="1"/>
  <c r="A2109" i="11" a="1"/>
  <c r="A2109" i="11" s="1"/>
  <c r="A2025" i="11" a="1"/>
  <c r="A2025" i="11" s="1"/>
  <c r="A1983" i="11" a="1"/>
  <c r="A1983" i="11" s="1"/>
  <c r="A1937" i="11" a="1"/>
  <c r="A1937" i="11" s="1"/>
  <c r="A1859" i="11" a="1"/>
  <c r="A1859" i="11" s="1"/>
  <c r="A1814" i="11" a="1"/>
  <c r="A1814" i="11" s="1"/>
  <c r="A1773" i="11" a="1"/>
  <c r="A1773" i="11" s="1"/>
  <c r="A1689" i="11" a="1"/>
  <c r="A1689" i="11" s="1"/>
  <c r="A1651" i="11" a="1"/>
  <c r="A1651" i="11" s="1"/>
  <c r="A1608" i="11" a="1"/>
  <c r="A1608" i="11" s="1"/>
  <c r="A1560" i="11" a="1"/>
  <c r="A1560" i="11" s="1"/>
  <c r="A1525" i="11" a="1"/>
  <c r="A1525" i="11" s="1"/>
  <c r="A1436" i="11" a="1"/>
  <c r="A1436" i="11" s="1"/>
  <c r="A1397" i="11" a="1"/>
  <c r="A1397" i="11" s="1"/>
  <c r="A1355" i="11" a="1"/>
  <c r="A1355" i="11" s="1"/>
  <c r="A1314" i="11" a="1"/>
  <c r="A1314" i="11" s="1"/>
  <c r="A1270" i="11" a="1"/>
  <c r="A1270" i="11" s="1"/>
  <c r="A1231" i="11" a="1"/>
  <c r="A1231" i="11" s="1"/>
  <c r="A1184" i="11" a="1"/>
  <c r="A1184" i="11" s="1"/>
  <c r="A1138" i="11" a="1"/>
  <c r="A1138" i="11" s="1"/>
  <c r="A1058" i="11" a="1"/>
  <c r="A1058" i="11" s="1"/>
  <c r="A1012" i="11" a="1"/>
  <c r="A1012" i="11" s="1"/>
  <c r="A964" i="11" a="1"/>
  <c r="A964" i="11" s="1"/>
  <c r="A922" i="11" a="1"/>
  <c r="A922" i="11" s="1"/>
  <c r="A876" i="11" a="1"/>
  <c r="A876" i="11" s="1"/>
  <c r="A877" i="11" a="1"/>
  <c r="A877" i="11" s="1"/>
  <c r="A825" i="11" a="1"/>
  <c r="A825" i="11" s="1"/>
  <c r="A780" i="11" a="1"/>
  <c r="A780" i="11" s="1"/>
  <c r="A729" i="11" a="1"/>
  <c r="A729" i="11" s="1"/>
  <c r="A686" i="11" a="1"/>
  <c r="A686" i="11" s="1"/>
  <c r="A641" i="11" a="1"/>
  <c r="A641" i="11" s="1"/>
  <c r="A596" i="11" a="1"/>
  <c r="A596" i="11" s="1"/>
  <c r="A597" i="11" a="1"/>
  <c r="A597" i="11" s="1"/>
  <c r="A552" i="11" a="1"/>
  <c r="A552" i="11" s="1"/>
  <c r="A508" i="11" a="1"/>
  <c r="A508" i="11" s="1"/>
  <c r="A466" i="11" a="1"/>
  <c r="A466" i="11" s="1"/>
  <c r="A467" i="11" a="1"/>
  <c r="A467" i="11" s="1"/>
  <c r="A426" i="11" a="1"/>
  <c r="A426" i="11" s="1"/>
  <c r="A389" i="11" a="1"/>
  <c r="A389" i="11" s="1"/>
  <c r="A390" i="11" a="1"/>
  <c r="A390" i="11" s="1"/>
  <c r="A351" i="11" a="1"/>
  <c r="A351" i="11" s="1"/>
  <c r="A352" i="11" a="1"/>
  <c r="A352" i="11" s="1"/>
  <c r="A312" i="11" a="1"/>
  <c r="A312" i="11" s="1"/>
  <c r="A313" i="11" a="1"/>
  <c r="A313" i="11" s="1"/>
  <c r="A279" i="11" a="1"/>
  <c r="A279" i="11" s="1"/>
  <c r="A280" i="11" a="1"/>
  <c r="A280" i="11" s="1"/>
  <c r="A246" i="11" a="1"/>
  <c r="A246" i="11" s="1"/>
  <c r="A247" i="11" a="1"/>
  <c r="A247" i="11" s="1"/>
  <c r="A214" i="11" a="1"/>
  <c r="A214" i="11" s="1"/>
  <c r="A2803" i="11" a="1"/>
  <c r="A2803" i="11" s="1"/>
  <c r="A2721" i="11" a="1"/>
  <c r="A2721" i="11" s="1"/>
  <c r="A2686" i="11" a="1"/>
  <c r="A2686" i="11" s="1"/>
  <c r="A2605" i="11" a="1"/>
  <c r="A2605" i="11" s="1"/>
  <c r="A2566" i="11" a="1"/>
  <c r="A2566" i="11" s="1"/>
  <c r="A2483" i="11" a="1"/>
  <c r="A2483" i="11" s="1"/>
  <c r="A2444" i="11" a="1"/>
  <c r="A2444" i="11" s="1"/>
  <c r="A2397" i="11" a="1"/>
  <c r="A2397" i="11" s="1"/>
  <c r="A2319" i="11" a="1"/>
  <c r="A2319" i="11" s="1"/>
  <c r="A2277" i="11" a="1"/>
  <c r="A2277" i="11" s="1"/>
  <c r="A2193" i="11" a="1"/>
  <c r="A2193" i="11" s="1"/>
  <c r="A2151" i="11" a="1"/>
  <c r="A2151" i="11" s="1"/>
  <c r="A2110" i="11" a="1"/>
  <c r="A2110" i="11" s="1"/>
  <c r="A2026" i="11" a="1"/>
  <c r="A2026" i="11" s="1"/>
  <c r="A1984" i="11" a="1"/>
  <c r="A1984" i="11" s="1"/>
  <c r="A1938" i="11" a="1"/>
  <c r="A1938" i="11" s="1"/>
  <c r="A1860" i="11" a="1"/>
  <c r="A1860" i="11" s="1"/>
  <c r="A1815" i="11" a="1"/>
  <c r="A1815" i="11" s="1"/>
  <c r="A1774" i="11" a="1"/>
  <c r="A1774" i="11" s="1"/>
  <c r="A1731" i="11" a="1"/>
  <c r="A1731" i="11" s="1"/>
  <c r="A1652" i="11" a="1"/>
  <c r="A1652" i="11" s="1"/>
  <c r="A1609" i="11" a="1"/>
  <c r="A1609" i="11" s="1"/>
  <c r="A1561" i="11" a="1"/>
  <c r="A1561" i="11" s="1"/>
  <c r="A1526" i="11" a="1"/>
  <c r="A1526" i="11" s="1"/>
  <c r="A1484" i="11" a="1"/>
  <c r="A1484" i="11" s="1"/>
  <c r="A1437" i="11" a="1"/>
  <c r="A1437" i="11" s="1"/>
  <c r="A1356" i="11" a="1"/>
  <c r="A1356" i="11" s="1"/>
  <c r="A1315" i="11" a="1"/>
  <c r="A1315" i="11" s="1"/>
  <c r="A1271" i="11" a="1"/>
  <c r="A1271" i="11" s="1"/>
  <c r="A1232" i="11" a="1"/>
  <c r="A1232" i="11" s="1"/>
  <c r="A1185" i="11" a="1"/>
  <c r="A1185" i="11" s="1"/>
  <c r="A1139" i="11" a="1"/>
  <c r="A1139" i="11" s="1"/>
  <c r="A1101" i="11" a="1"/>
  <c r="A1101" i="11" s="1"/>
  <c r="A1059" i="11" a="1"/>
  <c r="A1059" i="11" s="1"/>
  <c r="A1013" i="11" a="1"/>
  <c r="A1013" i="11" s="1"/>
  <c r="A965" i="11" a="1"/>
  <c r="A965" i="11" s="1"/>
  <c r="A923" i="11" a="1"/>
  <c r="A923" i="11" s="1"/>
  <c r="A878" i="11" a="1"/>
  <c r="A878" i="11" s="1"/>
  <c r="A826" i="11" a="1"/>
  <c r="A826" i="11" s="1"/>
  <c r="A781" i="11" a="1"/>
  <c r="A781" i="11" s="1"/>
  <c r="A782" i="11" a="1"/>
  <c r="A782" i="11" s="1"/>
  <c r="A730" i="11" a="1"/>
  <c r="A730" i="11" s="1"/>
  <c r="A687" i="11" a="1"/>
  <c r="A687" i="11" s="1"/>
  <c r="A642" i="11" a="1"/>
  <c r="A642" i="11" s="1"/>
  <c r="A598" i="11" a="1"/>
  <c r="A598" i="11" s="1"/>
  <c r="A599" i="11" a="1"/>
  <c r="A599" i="11" s="1"/>
  <c r="A553" i="11" a="1"/>
  <c r="A553" i="11" s="1"/>
  <c r="A509" i="11" a="1"/>
  <c r="A509" i="11" s="1"/>
  <c r="A510" i="11" a="1"/>
  <c r="A510" i="11" s="1"/>
  <c r="A468" i="11" a="1"/>
  <c r="A468" i="11" s="1"/>
  <c r="A427" i="11" a="1"/>
  <c r="A427" i="11" s="1"/>
  <c r="A428" i="11" a="1"/>
  <c r="A428" i="11" s="1"/>
  <c r="A391" i="11" a="1"/>
  <c r="A391" i="11" s="1"/>
  <c r="A392" i="11" a="1"/>
  <c r="A392" i="11" s="1"/>
  <c r="A353" i="11" a="1"/>
  <c r="A353" i="11" s="1"/>
  <c r="A354" i="11" a="1"/>
  <c r="A354" i="11" s="1"/>
  <c r="A314" i="11" a="1"/>
  <c r="A314" i="11" s="1"/>
  <c r="A315" i="11" a="1"/>
  <c r="A315" i="11" s="1"/>
  <c r="A281" i="11" a="1"/>
  <c r="A281" i="11" s="1"/>
  <c r="A282" i="11" a="1"/>
  <c r="A282" i="11" s="1"/>
  <c r="A283" i="11" a="1"/>
  <c r="A283" i="11" s="1"/>
  <c r="A2804" i="11" a="1"/>
  <c r="A2804" i="11" s="1"/>
  <c r="A2722" i="11" a="1"/>
  <c r="A2722" i="11" s="1"/>
  <c r="A2687" i="11" a="1"/>
  <c r="A2687" i="11" s="1"/>
  <c r="A2606" i="11" a="1"/>
  <c r="A2606" i="11" s="1"/>
  <c r="A2567" i="11" a="1"/>
  <c r="A2567" i="11" s="1"/>
  <c r="A2521" i="11" a="1"/>
  <c r="A2521" i="11" s="1"/>
  <c r="A2445" i="11" a="1"/>
  <c r="A2445" i="11" s="1"/>
  <c r="A2398" i="11" a="1"/>
  <c r="A2398" i="11" s="1"/>
  <c r="A2320" i="11" a="1"/>
  <c r="A2320" i="11" s="1"/>
  <c r="A2278" i="11" a="1"/>
  <c r="A2278" i="11" s="1"/>
  <c r="A2235" i="11" a="1"/>
  <c r="A2235" i="11" s="1"/>
  <c r="A2152" i="11" a="1"/>
  <c r="A2152" i="11" s="1"/>
  <c r="A2111" i="11" a="1"/>
  <c r="A2111" i="11" s="1"/>
  <c r="A2063" i="11" a="1"/>
  <c r="A2063" i="11" s="1"/>
  <c r="A1985" i="11" a="1"/>
  <c r="A1985" i="11" s="1"/>
  <c r="A1939" i="11" a="1"/>
  <c r="A1939" i="11" s="1"/>
  <c r="A1900" i="11" a="1"/>
  <c r="A1900" i="11" s="1"/>
  <c r="A1816" i="11" a="1"/>
  <c r="A1816" i="11" s="1"/>
  <c r="A1775" i="11" a="1"/>
  <c r="A1775" i="11" s="1"/>
  <c r="A1732" i="11" a="1"/>
  <c r="A1732" i="11" s="1"/>
  <c r="A1690" i="11" a="1"/>
  <c r="A1690" i="11" s="1"/>
  <c r="A1653" i="11" a="1"/>
  <c r="A1653" i="11" s="1"/>
  <c r="A1562" i="11" a="1"/>
  <c r="A1562" i="11" s="1"/>
  <c r="A1527" i="11" a="1"/>
  <c r="A1527" i="11" s="1"/>
  <c r="A1485" i="11" a="1"/>
  <c r="A1485" i="11" s="1"/>
  <c r="A1438" i="11" a="1"/>
  <c r="A1438" i="11" s="1"/>
  <c r="A1398" i="11" a="1"/>
  <c r="A1398" i="11" s="1"/>
  <c r="A1357" i="11" a="1"/>
  <c r="A1357" i="11" s="1"/>
  <c r="A1316" i="11" a="1"/>
  <c r="A1316" i="11" s="1"/>
  <c r="A1272" i="11" a="1"/>
  <c r="A1272" i="11" s="1"/>
  <c r="A1233" i="11" a="1"/>
  <c r="A1233" i="11" s="1"/>
  <c r="A1186" i="11" a="1"/>
  <c r="A1186" i="11" s="1"/>
  <c r="A1140" i="11" a="1"/>
  <c r="A1140" i="11" s="1"/>
  <c r="A1102" i="11" a="1"/>
  <c r="A1102" i="11" s="1"/>
  <c r="A1060" i="11" a="1"/>
  <c r="A1060" i="11" s="1"/>
  <c r="A1014" i="11" a="1"/>
  <c r="A1014" i="11" s="1"/>
  <c r="A966" i="11" a="1"/>
  <c r="A966" i="11" s="1"/>
  <c r="A924" i="11" a="1"/>
  <c r="A924" i="11" s="1"/>
  <c r="A879" i="11" a="1"/>
  <c r="A879" i="11" s="1"/>
  <c r="A827" i="11" a="1"/>
  <c r="A827" i="11" s="1"/>
  <c r="A783" i="11" a="1"/>
  <c r="A783" i="11" s="1"/>
  <c r="A784" i="11" a="1"/>
  <c r="A784" i="11" s="1"/>
  <c r="A731" i="11" a="1"/>
  <c r="A731" i="11" s="1"/>
  <c r="A688" i="11" a="1"/>
  <c r="A688" i="11" s="1"/>
  <c r="A643" i="11" a="1"/>
  <c r="A643" i="11" s="1"/>
  <c r="A644" i="11" a="1"/>
  <c r="A644" i="11" s="1"/>
  <c r="A600" i="11" a="1"/>
  <c r="A600" i="11" s="1"/>
  <c r="A554" i="11" a="1"/>
  <c r="A554" i="11" s="1"/>
  <c r="A555" i="11" a="1"/>
  <c r="A555" i="11" s="1"/>
  <c r="A511" i="11" a="1"/>
  <c r="A511" i="11" s="1"/>
  <c r="A469" i="11" a="1"/>
  <c r="A469" i="11" s="1"/>
  <c r="A470" i="11" a="1"/>
  <c r="A470" i="11" s="1"/>
  <c r="A429" i="11" a="1"/>
  <c r="A429" i="11" s="1"/>
  <c r="A430" i="11" a="1"/>
  <c r="A430" i="11" s="1"/>
  <c r="A393" i="11" a="1"/>
  <c r="A393" i="11" s="1"/>
  <c r="A394" i="11" a="1"/>
  <c r="A394" i="11" s="1"/>
  <c r="A355" i="11" a="1"/>
  <c r="A355" i="11" s="1"/>
  <c r="A356" i="11" a="1"/>
  <c r="A356" i="11" s="1"/>
  <c r="A357" i="11" a="1"/>
  <c r="A357" i="11" s="1"/>
  <c r="A316" i="11" a="1"/>
  <c r="A316" i="11" s="1"/>
  <c r="A317" i="11" a="1"/>
  <c r="A317" i="11" s="1"/>
  <c r="A2805" i="11" a="1"/>
  <c r="A2805" i="11" s="1"/>
  <c r="A2723" i="11" a="1"/>
  <c r="A2723" i="11" s="1"/>
  <c r="A2688" i="11" a="1"/>
  <c r="A2688" i="11" s="1"/>
  <c r="A2607" i="11" a="1"/>
  <c r="A2607" i="11" s="1"/>
  <c r="A2568" i="11" a="1"/>
  <c r="A2568" i="11" s="1"/>
  <c r="A2522" i="11" a="1"/>
  <c r="A2522" i="11" s="1"/>
  <c r="A2446" i="11" a="1"/>
  <c r="A2446" i="11" s="1"/>
  <c r="A2399" i="11" a="1"/>
  <c r="A2399" i="11" s="1"/>
  <c r="A2321" i="11" a="1"/>
  <c r="A2321" i="11" s="1"/>
  <c r="A2279" i="11" a="1"/>
  <c r="A2279" i="11" s="1"/>
  <c r="A2236" i="11" a="1"/>
  <c r="A2236" i="11" s="1"/>
  <c r="A2153" i="11" a="1"/>
  <c r="A2153" i="11" s="1"/>
  <c r="A2112" i="11" a="1"/>
  <c r="A2112" i="11" s="1"/>
  <c r="A2064" i="11" a="1"/>
  <c r="A2064" i="11" s="1"/>
  <c r="A2027" i="11" a="1"/>
  <c r="A2027" i="11" s="1"/>
  <c r="A1940" i="11" a="1"/>
  <c r="A1940" i="11" s="1"/>
  <c r="A1901" i="11" a="1"/>
  <c r="A1901" i="11" s="1"/>
  <c r="A1861" i="11" a="1"/>
  <c r="A1861" i="11" s="1"/>
  <c r="A1817" i="11" a="1"/>
  <c r="A1817" i="11" s="1"/>
  <c r="A1733" i="11" a="1"/>
  <c r="A1733" i="11" s="1"/>
  <c r="A1691" i="11" a="1"/>
  <c r="A1691" i="11" s="1"/>
  <c r="A1654" i="11" a="1"/>
  <c r="A1654" i="11" s="1"/>
  <c r="A1610" i="11" a="1"/>
  <c r="A1610" i="11" s="1"/>
  <c r="A1563" i="11" a="1"/>
  <c r="A1563" i="11" s="1"/>
  <c r="A1528" i="11" a="1"/>
  <c r="A1528" i="11" s="1"/>
  <c r="A1439" i="11" a="1"/>
  <c r="A1439" i="11" s="1"/>
  <c r="A1399" i="11" a="1"/>
  <c r="A1399" i="11" s="1"/>
  <c r="A1358" i="11" a="1"/>
  <c r="A1358" i="11" s="1"/>
  <c r="A1317" i="11" a="1"/>
  <c r="A1317" i="11" s="1"/>
  <c r="A1273" i="11" a="1"/>
  <c r="A1273" i="11" s="1"/>
  <c r="A1234" i="11" a="1"/>
  <c r="A1234" i="11" s="1"/>
  <c r="A1187" i="11" a="1"/>
  <c r="A1187" i="11" s="1"/>
  <c r="A1141" i="11" a="1"/>
  <c r="A1141" i="11" s="1"/>
  <c r="A1103" i="11" a="1"/>
  <c r="A1103" i="11" s="1"/>
  <c r="A1061" i="11" a="1"/>
  <c r="A1061" i="11" s="1"/>
  <c r="A1015" i="11" a="1"/>
  <c r="A1015" i="11" s="1"/>
  <c r="A1016" i="11" a="1"/>
  <c r="A1016" i="11" s="1"/>
  <c r="A967" i="11" a="1"/>
  <c r="A967" i="11" s="1"/>
  <c r="A925" i="11" a="1"/>
  <c r="A925" i="11" s="1"/>
  <c r="A880" i="11" a="1"/>
  <c r="A880" i="11" s="1"/>
  <c r="A828" i="11" a="1"/>
  <c r="A828" i="11" s="1"/>
  <c r="A785" i="11" a="1"/>
  <c r="A785" i="11" s="1"/>
  <c r="A786" i="11" a="1"/>
  <c r="A786" i="11" s="1"/>
  <c r="A732" i="11" a="1"/>
  <c r="A732" i="11" s="1"/>
  <c r="A689" i="11" a="1"/>
  <c r="A689" i="11" s="1"/>
  <c r="A690" i="11" a="1"/>
  <c r="A690" i="11" s="1"/>
  <c r="A645" i="11" a="1"/>
  <c r="A645" i="11" s="1"/>
  <c r="A601" i="11" a="1"/>
  <c r="A601" i="11" s="1"/>
  <c r="A602" i="11" a="1"/>
  <c r="A602" i="11" s="1"/>
  <c r="A556" i="11" a="1"/>
  <c r="A556" i="11" s="1"/>
  <c r="A557" i="11" a="1"/>
  <c r="A557" i="11" s="1"/>
  <c r="A512" i="11" a="1"/>
  <c r="A512" i="11" s="1"/>
  <c r="A513" i="11" a="1"/>
  <c r="A513" i="11" s="1"/>
  <c r="A471" i="11" a="1"/>
  <c r="A471" i="11" s="1"/>
  <c r="A472" i="11" a="1"/>
  <c r="A472" i="11" s="1"/>
  <c r="A431" i="11" a="1"/>
  <c r="A431" i="11" s="1"/>
  <c r="A432" i="11" a="1"/>
  <c r="A432" i="11" s="1"/>
  <c r="A395" i="11" a="1"/>
  <c r="A395" i="11" s="1"/>
  <c r="A396" i="11" a="1"/>
  <c r="A396" i="11" s="1"/>
  <c r="A397" i="11" a="1"/>
  <c r="A397" i="11" s="1"/>
  <c r="A358" i="11" a="1"/>
  <c r="A358" i="11" s="1"/>
  <c r="A2806" i="11" a="1"/>
  <c r="A2806" i="11" s="1"/>
  <c r="A2724" i="11" a="1"/>
  <c r="A2724" i="11" s="1"/>
  <c r="A2689" i="11" a="1"/>
  <c r="A2689" i="11" s="1"/>
  <c r="A2645" i="11" a="1"/>
  <c r="A2645" i="11" s="1"/>
  <c r="A2569" i="11" a="1"/>
  <c r="A2569" i="11" s="1"/>
  <c r="A2523" i="11" a="1"/>
  <c r="A2523" i="11" s="1"/>
  <c r="A2447" i="11" a="1"/>
  <c r="A2447" i="11" s="1"/>
  <c r="A2400" i="11" a="1"/>
  <c r="A2400" i="11" s="1"/>
  <c r="A2360" i="11" a="1"/>
  <c r="A2360" i="11" s="1"/>
  <c r="A2280" i="11" a="1"/>
  <c r="A2280" i="11" s="1"/>
  <c r="A2237" i="11" a="1"/>
  <c r="A2237" i="11" s="1"/>
  <c r="A2194" i="11" a="1"/>
  <c r="A2194" i="11" s="1"/>
  <c r="A2113" i="11" a="1"/>
  <c r="A2113" i="11" s="1"/>
  <c r="A2065" i="11" a="1"/>
  <c r="A2065" i="11" s="1"/>
  <c r="A2028" i="11" a="1"/>
  <c r="A2028" i="11" s="1"/>
  <c r="A1986" i="11" a="1"/>
  <c r="A1986" i="11" s="1"/>
  <c r="A1902" i="11" a="1"/>
  <c r="A1902" i="11" s="1"/>
  <c r="A1862" i="11" a="1"/>
  <c r="A1862" i="11" s="1"/>
  <c r="A1818" i="11" a="1"/>
  <c r="A1818" i="11" s="1"/>
  <c r="A1776" i="11" a="1"/>
  <c r="A1776" i="11" s="1"/>
  <c r="A1734" i="11" a="1"/>
  <c r="A1734" i="11" s="1"/>
  <c r="A1692" i="11" a="1"/>
  <c r="A1692" i="11" s="1"/>
  <c r="A1611" i="11" a="1"/>
  <c r="A1611" i="11" s="1"/>
  <c r="A1564" i="11" a="1"/>
  <c r="A1564" i="11" s="1"/>
  <c r="A1529" i="11" a="1"/>
  <c r="A1529" i="11" s="1"/>
  <c r="A1486" i="11" a="1"/>
  <c r="A1486" i="11" s="1"/>
  <c r="A1440" i="11" a="1"/>
  <c r="A1440" i="11" s="1"/>
  <c r="A1400" i="11" a="1"/>
  <c r="A1400" i="11" s="1"/>
  <c r="A1359" i="11" a="1"/>
  <c r="A1359" i="11" s="1"/>
  <c r="A1318" i="11" a="1"/>
  <c r="A1318" i="11" s="1"/>
  <c r="A1274" i="11" a="1"/>
  <c r="A1274" i="11" s="1"/>
  <c r="A1235" i="11" a="1"/>
  <c r="A1235" i="11" s="1"/>
  <c r="A1188" i="11" a="1"/>
  <c r="A1188" i="11" s="1"/>
  <c r="A1142" i="11" a="1"/>
  <c r="A1142" i="11" s="1"/>
  <c r="A1104" i="11" a="1"/>
  <c r="A1104" i="11" s="1"/>
  <c r="A1062" i="11" a="1"/>
  <c r="A1062" i="11" s="1"/>
  <c r="A1017" i="11" a="1"/>
  <c r="A1017" i="11" s="1"/>
  <c r="A1018" i="11" a="1"/>
  <c r="A1018" i="11" s="1"/>
  <c r="A968" i="11" a="1"/>
  <c r="A968" i="11" s="1"/>
  <c r="A926" i="11" a="1"/>
  <c r="A926" i="11" s="1"/>
  <c r="A881" i="11" a="1"/>
  <c r="A881" i="11" s="1"/>
  <c r="A829" i="11" a="1"/>
  <c r="A829" i="11" s="1"/>
  <c r="A830" i="11" a="1"/>
  <c r="A830" i="11" s="1"/>
  <c r="A787" i="11" a="1"/>
  <c r="A787" i="11" s="1"/>
  <c r="A733" i="11" a="1"/>
  <c r="A733" i="11" s="1"/>
  <c r="A734" i="11" a="1"/>
  <c r="A734" i="11" s="1"/>
  <c r="A691" i="11" a="1"/>
  <c r="A691" i="11" s="1"/>
  <c r="A646" i="11" a="1"/>
  <c r="A646" i="11" s="1"/>
  <c r="A647" i="11" a="1"/>
  <c r="A647" i="11" s="1"/>
  <c r="A603" i="11" a="1"/>
  <c r="A603" i="11" s="1"/>
  <c r="A604" i="11" a="1"/>
  <c r="A604" i="11" s="1"/>
  <c r="A558" i="11" a="1"/>
  <c r="A558" i="11" s="1"/>
  <c r="A559" i="11" a="1"/>
  <c r="A559" i="11" s="1"/>
  <c r="A514" i="11" a="1"/>
  <c r="A514" i="11" s="1"/>
  <c r="A515" i="11" a="1"/>
  <c r="A515" i="11" s="1"/>
  <c r="A473" i="11" a="1"/>
  <c r="A473" i="11" s="1"/>
  <c r="A474" i="11" a="1"/>
  <c r="A474" i="11" s="1"/>
  <c r="A475" i="11" a="1"/>
  <c r="A475" i="11" s="1"/>
  <c r="A433" i="11" a="1"/>
  <c r="A433" i="11" s="1"/>
  <c r="A434" i="11" a="1"/>
  <c r="A434" i="11" s="1"/>
  <c r="A435" i="11" a="1"/>
  <c r="A435" i="11" s="1"/>
  <c r="A2807" i="11" a="1"/>
  <c r="A2807" i="11" s="1"/>
  <c r="A2764" i="11" a="1"/>
  <c r="A2764" i="11" s="1"/>
  <c r="A2690" i="11" a="1"/>
  <c r="A2690" i="11" s="1"/>
  <c r="A2646" i="11" a="1"/>
  <c r="A2646" i="11" s="1"/>
  <c r="A2570" i="11" a="1"/>
  <c r="A2570" i="11" s="1"/>
  <c r="A2524" i="11" a="1"/>
  <c r="A2524" i="11" s="1"/>
  <c r="A2484" i="11" a="1"/>
  <c r="A2484" i="11" s="1"/>
  <c r="A2401" i="11" a="1"/>
  <c r="A2401" i="11" s="1"/>
  <c r="A2361" i="11" a="1"/>
  <c r="A2361" i="11" s="1"/>
  <c r="A2322" i="11" a="1"/>
  <c r="A2322" i="11" s="1"/>
  <c r="A2238" i="11" a="1"/>
  <c r="A2238" i="11" s="1"/>
  <c r="A2195" i="11" a="1"/>
  <c r="A2195" i="11" s="1"/>
  <c r="A2154" i="11" a="1"/>
  <c r="A2154" i="11" s="1"/>
  <c r="A2114" i="11" a="1"/>
  <c r="A2114" i="11" s="1"/>
  <c r="A2029" i="11" a="1"/>
  <c r="A2029" i="11" s="1"/>
  <c r="A1987" i="11" a="1"/>
  <c r="A1987" i="11" s="1"/>
  <c r="A1941" i="11" a="1"/>
  <c r="A1941" i="11" s="1"/>
  <c r="A1903" i="11" a="1"/>
  <c r="A1903" i="11" s="1"/>
  <c r="A1863" i="11" a="1"/>
  <c r="A1863" i="11" s="1"/>
  <c r="A1777" i="11" a="1"/>
  <c r="A1777" i="11" s="1"/>
  <c r="A1735" i="11" a="1"/>
  <c r="A1735" i="11" s="1"/>
  <c r="A1693" i="11" a="1"/>
  <c r="A1693" i="11" s="1"/>
  <c r="A1655" i="11" a="1"/>
  <c r="A1655" i="11" s="1"/>
  <c r="A1612" i="11" a="1"/>
  <c r="A1612" i="11" s="1"/>
  <c r="A1565" i="11" a="1"/>
  <c r="A1565" i="11" s="1"/>
  <c r="A1530" i="11" a="1"/>
  <c r="A1530" i="11" s="1"/>
  <c r="A1487" i="11" a="1"/>
  <c r="A1487" i="11" s="1"/>
  <c r="A1441" i="11" a="1"/>
  <c r="A1441" i="11" s="1"/>
  <c r="A1401" i="11" a="1"/>
  <c r="A1401" i="11" s="1"/>
  <c r="A1360" i="11" a="1"/>
  <c r="A1360" i="11" s="1"/>
  <c r="A1319" i="11" a="1"/>
  <c r="A1319" i="11" s="1"/>
  <c r="A1275" i="11" a="1"/>
  <c r="A1275" i="11" s="1"/>
  <c r="A1236" i="11" a="1"/>
  <c r="A1236" i="11" s="1"/>
  <c r="A1189" i="11" a="1"/>
  <c r="A1189" i="11" s="1"/>
  <c r="A1143" i="11" a="1"/>
  <c r="A1143" i="11" s="1"/>
  <c r="A1105" i="11" a="1"/>
  <c r="A1105" i="11" s="1"/>
  <c r="A1063" i="11" a="1"/>
  <c r="A1063" i="11" s="1"/>
  <c r="A1064" i="11" a="1"/>
  <c r="A1064" i="11" s="1"/>
  <c r="A1019" i="11" a="1"/>
  <c r="A1019" i="11" s="1"/>
  <c r="A969" i="11" a="1"/>
  <c r="A969" i="11" s="1"/>
  <c r="A927" i="11" a="1"/>
  <c r="A927" i="11" s="1"/>
  <c r="A928" i="11" a="1"/>
  <c r="A928" i="11" s="1"/>
  <c r="A882" i="11" a="1"/>
  <c r="A882" i="11" s="1"/>
  <c r="A831" i="11" a="1"/>
  <c r="A831" i="11" s="1"/>
  <c r="A832" i="11" a="1"/>
  <c r="A832" i="11" s="1"/>
  <c r="A788" i="11" a="1"/>
  <c r="A788" i="11" s="1"/>
  <c r="A735" i="11" a="1"/>
  <c r="A735" i="11" s="1"/>
  <c r="A736" i="11" a="1"/>
  <c r="A736" i="11" s="1"/>
  <c r="A692" i="11" a="1"/>
  <c r="A692" i="11" s="1"/>
  <c r="A693" i="11" a="1"/>
  <c r="A693" i="11" s="1"/>
  <c r="A648" i="11" a="1"/>
  <c r="A648" i="11" s="1"/>
  <c r="A649" i="11" a="1"/>
  <c r="A649" i="11" s="1"/>
  <c r="A605" i="11" a="1"/>
  <c r="A605" i="11" s="1"/>
  <c r="A606" i="11" a="1"/>
  <c r="A606" i="11" s="1"/>
  <c r="A560" i="11" a="1"/>
  <c r="A560" i="11" s="1"/>
  <c r="A561" i="11" a="1"/>
  <c r="A561" i="11" s="1"/>
  <c r="A562" i="11" a="1"/>
  <c r="A562" i="11" s="1"/>
  <c r="A516" i="11" a="1"/>
  <c r="A516" i="11" s="1"/>
  <c r="A517" i="11" a="1"/>
  <c r="A517" i="11" s="1"/>
  <c r="A518" i="11" a="1"/>
  <c r="A518" i="11" s="1"/>
  <c r="A476" i="11" a="1"/>
  <c r="A476" i="11" s="1"/>
  <c r="A2808" i="11" a="1"/>
  <c r="A2808" i="11" s="1"/>
  <c r="A2765" i="11" a="1"/>
  <c r="A2765" i="11" s="1"/>
  <c r="A2691" i="11" a="1"/>
  <c r="A2691" i="11" s="1"/>
  <c r="A2647" i="11" a="1"/>
  <c r="A2647" i="11" s="1"/>
  <c r="A2608" i="11" a="1"/>
  <c r="A2608" i="11" s="1"/>
  <c r="A2525" i="11" a="1"/>
  <c r="A2525" i="11" s="1"/>
  <c r="A2485" i="11" a="1"/>
  <c r="A2485" i="11" s="1"/>
  <c r="A2448" i="11" a="1"/>
  <c r="A2448" i="11" s="1"/>
  <c r="A2362" i="11" a="1"/>
  <c r="A2362" i="11" s="1"/>
  <c r="A2323" i="11" a="1"/>
  <c r="A2323" i="11" s="1"/>
  <c r="A2281" i="11" a="1"/>
  <c r="A2281" i="11" s="1"/>
  <c r="A2239" i="11" a="1"/>
  <c r="A2239" i="11" s="1"/>
  <c r="A2155" i="11" a="1"/>
  <c r="A2155" i="11" s="1"/>
  <c r="A2115" i="11" a="1"/>
  <c r="A2115" i="11" s="1"/>
  <c r="A2066" i="11" a="1"/>
  <c r="A2066" i="11" s="1"/>
  <c r="A2030" i="11" a="1"/>
  <c r="A2030" i="11" s="1"/>
  <c r="A1942" i="11" a="1"/>
  <c r="A1942" i="11" s="1"/>
  <c r="A1904" i="11" a="1"/>
  <c r="A1904" i="11" s="1"/>
  <c r="A1864" i="11" a="1"/>
  <c r="A1864" i="11" s="1"/>
  <c r="A1819" i="11" a="1"/>
  <c r="A1819" i="11" s="1"/>
  <c r="A1778" i="11" a="1"/>
  <c r="A1778" i="11" s="1"/>
  <c r="A1736" i="11" a="1"/>
  <c r="A1736" i="11" s="1"/>
  <c r="A1694" i="11" a="1"/>
  <c r="A1694" i="11" s="1"/>
  <c r="A1656" i="11" a="1"/>
  <c r="A1656" i="11" s="1"/>
  <c r="A1613" i="11" a="1"/>
  <c r="A1613" i="11" s="1"/>
  <c r="A1566" i="11" a="1"/>
  <c r="A1566" i="11" s="1"/>
  <c r="A1488" i="11" a="1"/>
  <c r="A1488" i="11" s="1"/>
  <c r="A1442" i="11" a="1"/>
  <c r="A1442" i="11" s="1"/>
  <c r="A1443" i="11" a="1"/>
  <c r="A1443" i="11" s="1"/>
  <c r="A1402" i="11" a="1"/>
  <c r="A1402" i="11" s="1"/>
  <c r="A1361" i="11" a="1"/>
  <c r="A1361" i="11" s="1"/>
  <c r="A1320" i="11" a="1"/>
  <c r="A1320" i="11" s="1"/>
  <c r="A1276" i="11" a="1"/>
  <c r="A1276" i="11" s="1"/>
  <c r="A1237" i="11" a="1"/>
  <c r="A1237" i="11" s="1"/>
  <c r="A1190" i="11" a="1"/>
  <c r="A1190" i="11" s="1"/>
  <c r="A1144" i="11" a="1"/>
  <c r="A1144" i="11" s="1"/>
  <c r="A1106" i="11" a="1"/>
  <c r="A1106" i="11" s="1"/>
  <c r="A1107" i="11" a="1"/>
  <c r="A1107" i="11" s="1"/>
  <c r="A1065" i="11" a="1"/>
  <c r="A1065" i="11" s="1"/>
  <c r="A1020" i="11" a="1"/>
  <c r="A1020" i="11" s="1"/>
  <c r="A970" i="11" a="1"/>
  <c r="A970" i="11" s="1"/>
  <c r="A971" i="11" a="1"/>
  <c r="A971" i="11" s="1"/>
  <c r="A929" i="11" a="1"/>
  <c r="A929" i="11" s="1"/>
  <c r="A883" i="11" a="1"/>
  <c r="A883" i="11" s="1"/>
  <c r="A884" i="11" a="1"/>
  <c r="A884" i="11" s="1"/>
  <c r="A833" i="11" a="1"/>
  <c r="A833" i="11" s="1"/>
  <c r="A834" i="11" a="1"/>
  <c r="A834" i="11" s="1"/>
  <c r="A789" i="11" a="1"/>
  <c r="A789" i="11" s="1"/>
  <c r="A737" i="11" a="1"/>
  <c r="A737" i="11" s="1"/>
  <c r="A738" i="11" a="1"/>
  <c r="A738" i="11" s="1"/>
  <c r="A694" i="11" a="1"/>
  <c r="A694" i="11" s="1"/>
  <c r="A695" i="11" a="1"/>
  <c r="A695" i="11" s="1"/>
  <c r="A696" i="11" a="1"/>
  <c r="A696" i="11" s="1"/>
  <c r="A650" i="11" a="1"/>
  <c r="A650" i="11" s="1"/>
  <c r="A651" i="11" a="1"/>
  <c r="A651" i="11" s="1"/>
  <c r="A607" i="11" a="1"/>
  <c r="A607" i="11" s="1"/>
  <c r="A608" i="11" a="1"/>
  <c r="A608" i="11" s="1"/>
  <c r="A609" i="11" a="1"/>
  <c r="A609" i="11" s="1"/>
  <c r="A610" i="11" a="1"/>
  <c r="A610" i="11" s="1"/>
  <c r="A563" i="11" a="1"/>
  <c r="A563" i="11" s="1"/>
  <c r="A564" i="11" a="1"/>
  <c r="A564" i="11" s="1"/>
  <c r="A2809" i="11" a="1"/>
  <c r="A2809" i="11" s="1"/>
  <c r="A2766" i="11" a="1"/>
  <c r="A2766" i="11" s="1"/>
  <c r="A2725" i="11" a="1"/>
  <c r="A2725" i="11" s="1"/>
  <c r="A2648" i="11" a="1"/>
  <c r="A2648" i="11" s="1"/>
  <c r="A2609" i="11" a="1"/>
  <c r="A2609" i="11" s="1"/>
  <c r="A2571" i="11" a="1"/>
  <c r="A2571" i="11" s="1"/>
  <c r="A2486" i="11" a="1"/>
  <c r="A2486" i="11" s="1"/>
  <c r="A2449" i="11" a="1"/>
  <c r="A2449" i="11" s="1"/>
  <c r="A2402" i="11" a="1"/>
  <c r="A2402" i="11" s="1"/>
  <c r="A2363" i="11" a="1"/>
  <c r="A2363" i="11" s="1"/>
  <c r="A2282" i="11" a="1"/>
  <c r="A2282" i="11" s="1"/>
  <c r="A2240" i="11" a="1"/>
  <c r="A2240" i="11" s="1"/>
  <c r="A2196" i="11" a="1"/>
  <c r="A2196" i="11" s="1"/>
  <c r="A2156" i="11" a="1"/>
  <c r="A2156" i="11" s="1"/>
  <c r="A2067" i="11" a="1"/>
  <c r="A2067" i="11" s="1"/>
  <c r="A2031" i="11" a="1"/>
  <c r="A2031" i="11" s="1"/>
  <c r="A1988" i="11" a="1"/>
  <c r="A1988" i="11" s="1"/>
  <c r="A1943" i="11" a="1"/>
  <c r="A1943" i="11" s="1"/>
  <c r="A1905" i="11" a="1"/>
  <c r="A1905" i="11" s="1"/>
  <c r="A1865" i="11" a="1"/>
  <c r="A1865" i="11" s="1"/>
  <c r="A1820" i="11" a="1"/>
  <c r="A1820" i="11" s="1"/>
  <c r="A1737" i="11" a="1"/>
  <c r="A1737" i="11" s="1"/>
  <c r="A1695" i="11" a="1"/>
  <c r="A1695" i="11" s="1"/>
  <c r="A1657" i="11" a="1"/>
  <c r="A1657" i="11" s="1"/>
  <c r="A1614" i="11" a="1"/>
  <c r="A1614" i="11" s="1"/>
  <c r="A1567" i="11" a="1"/>
  <c r="A1567" i="11" s="1"/>
  <c r="A1531" i="11" a="1"/>
  <c r="A1531" i="11" s="1"/>
  <c r="A1489" i="11" a="1"/>
  <c r="A1489" i="11" s="1"/>
  <c r="A1444" i="11" a="1"/>
  <c r="A1444" i="11" s="1"/>
  <c r="A1403" i="11" a="1"/>
  <c r="A1403" i="11" s="1"/>
  <c r="A1404" i="11" a="1"/>
  <c r="A1404" i="11" s="1"/>
  <c r="A1362" i="11" a="1"/>
  <c r="A1362" i="11" s="1"/>
  <c r="A1321" i="11" a="1"/>
  <c r="A1321" i="11" s="1"/>
  <c r="A1277" i="11" a="1"/>
  <c r="A1277" i="11" s="1"/>
  <c r="A1238" i="11" a="1"/>
  <c r="A1238" i="11" s="1"/>
  <c r="A1191" i="11" a="1"/>
  <c r="A1191" i="11" s="1"/>
  <c r="A1192" i="11" a="1"/>
  <c r="A1192" i="11" s="1"/>
  <c r="A1145" i="11" a="1"/>
  <c r="A1145" i="11" s="1"/>
  <c r="A1108" i="11" a="1"/>
  <c r="A1108" i="11" s="1"/>
  <c r="A1066" i="11" a="1"/>
  <c r="A1066" i="11" s="1"/>
  <c r="A1067" i="11" a="1"/>
  <c r="A1067" i="11" s="1"/>
  <c r="A1021" i="11" a="1"/>
  <c r="A1021" i="11" s="1"/>
  <c r="A972" i="11" a="1"/>
  <c r="A972" i="11" s="1"/>
  <c r="A973" i="11" a="1"/>
  <c r="A973" i="11" s="1"/>
  <c r="A930" i="11" a="1"/>
  <c r="A930" i="11" s="1"/>
  <c r="A885" i="11" a="1"/>
  <c r="A885" i="11" s="1"/>
  <c r="A886" i="11" a="1"/>
  <c r="A886" i="11" s="1"/>
  <c r="A835" i="11" a="1"/>
  <c r="A835" i="11" s="1"/>
  <c r="A836" i="11" a="1"/>
  <c r="A836" i="11" s="1"/>
  <c r="A790" i="11" a="1"/>
  <c r="A790" i="11" s="1"/>
  <c r="A791" i="11" a="1"/>
  <c r="A791" i="11" s="1"/>
  <c r="A739" i="11" a="1"/>
  <c r="A739" i="11" s="1"/>
  <c r="A740" i="11" a="1"/>
  <c r="A740" i="11" s="1"/>
  <c r="A741" i="11" a="1"/>
  <c r="A741" i="11" s="1"/>
  <c r="A697" i="11" a="1"/>
  <c r="A697" i="11" s="1"/>
  <c r="A698" i="11" a="1"/>
  <c r="A698" i="11" s="1"/>
  <c r="A699" i="11" a="1"/>
  <c r="A699" i="11" s="1"/>
  <c r="A652" i="11" a="1"/>
  <c r="A652" i="11" s="1"/>
  <c r="A653" i="11" a="1"/>
  <c r="A653" i="11" s="1"/>
  <c r="A654" i="11" a="1"/>
  <c r="A654" i="11" s="1"/>
  <c r="A655" i="11" a="1"/>
  <c r="A655" i="11" s="1"/>
  <c r="A2842" i="11" a="1"/>
  <c r="A2842" i="11" s="1"/>
  <c r="A2767" i="11" a="1"/>
  <c r="A2767" i="11" s="1"/>
  <c r="A2726" i="11" a="1"/>
  <c r="A2726" i="11" s="1"/>
  <c r="A2692" i="11" a="1"/>
  <c r="A2692" i="11" s="1"/>
  <c r="A2610" i="11" a="1"/>
  <c r="A2610" i="11" s="1"/>
  <c r="A2572" i="11" a="1"/>
  <c r="A2572" i="11" s="1"/>
  <c r="A2526" i="11" a="1"/>
  <c r="A2526" i="11" s="1"/>
  <c r="A2487" i="11" a="1"/>
  <c r="A2487" i="11" s="1"/>
  <c r="A2403" i="11" a="1"/>
  <c r="A2403" i="11" s="1"/>
  <c r="A2364" i="11" a="1"/>
  <c r="A2364" i="11" s="1"/>
  <c r="A2324" i="11" a="1"/>
  <c r="A2324" i="11" s="1"/>
  <c r="A2283" i="11" a="1"/>
  <c r="A2283" i="11" s="1"/>
  <c r="A2197" i="11" a="1"/>
  <c r="A2197" i="11" s="1"/>
  <c r="A2157" i="11" a="1"/>
  <c r="A2157" i="11" s="1"/>
  <c r="A2116" i="11" a="1"/>
  <c r="A2116" i="11" s="1"/>
  <c r="A2068" i="11" a="1"/>
  <c r="A2068" i="11" s="1"/>
  <c r="A2032" i="11" a="1"/>
  <c r="A2032" i="11" s="1"/>
  <c r="A1989" i="11" a="1"/>
  <c r="A1989" i="11" s="1"/>
  <c r="A1906" i="11" a="1"/>
  <c r="A1906" i="11" s="1"/>
  <c r="A1866" i="11" a="1"/>
  <c r="A1866" i="11" s="1"/>
  <c r="A1821" i="11" a="1"/>
  <c r="A1821" i="11" s="1"/>
  <c r="A1779" i="11" a="1"/>
  <c r="A1779" i="11" s="1"/>
  <c r="A1738" i="11" a="1"/>
  <c r="A1738" i="11" s="1"/>
  <c r="A1696" i="11" a="1"/>
  <c r="A1696" i="11" s="1"/>
  <c r="A1658" i="11" a="1"/>
  <c r="A1658" i="11" s="1"/>
  <c r="A1615" i="11" a="1"/>
  <c r="A1615" i="11" s="1"/>
  <c r="A1568" i="11" a="1"/>
  <c r="A1568" i="11" s="1"/>
  <c r="A1532" i="11" a="1"/>
  <c r="A1532" i="11" s="1"/>
  <c r="A1490" i="11" a="1"/>
  <c r="A1490" i="11" s="1"/>
  <c r="A1445" i="11" a="1"/>
  <c r="A1445" i="11" s="1"/>
  <c r="A1446" i="11" a="1"/>
  <c r="A1446" i="11" s="1"/>
  <c r="A1405" i="11" a="1"/>
  <c r="A1405" i="11" s="1"/>
  <c r="A1363" i="11" a="1"/>
  <c r="A1363" i="11" s="1"/>
  <c r="A1322" i="11" a="1"/>
  <c r="A1322" i="11" s="1"/>
  <c r="A1278" i="11" a="1"/>
  <c r="A1278" i="11" s="1"/>
  <c r="A1239" i="11" a="1"/>
  <c r="A1239" i="11" s="1"/>
  <c r="A1240" i="11" a="1"/>
  <c r="A1240" i="11" s="1"/>
  <c r="A1193" i="11" a="1"/>
  <c r="A1193" i="11" s="1"/>
  <c r="A1146" i="11" a="1"/>
  <c r="A1146" i="11" s="1"/>
  <c r="A1147" i="11" a="1"/>
  <c r="A1147" i="11" s="1"/>
  <c r="A1109" i="11" a="1"/>
  <c r="A1109" i="11" s="1"/>
  <c r="A1068" i="11" a="1"/>
  <c r="A1068" i="11" s="1"/>
  <c r="A1069" i="11" a="1"/>
  <c r="A1069" i="11" s="1"/>
  <c r="A1022" i="11" a="1"/>
  <c r="A1022" i="11" s="1"/>
  <c r="A974" i="11" a="1"/>
  <c r="A974" i="11" s="1"/>
  <c r="A975" i="11" a="1"/>
  <c r="A975" i="11" s="1"/>
  <c r="A931" i="11" a="1"/>
  <c r="A931" i="11" s="1"/>
  <c r="A932" i="11" a="1"/>
  <c r="A932" i="11" s="1"/>
  <c r="A887" i="11" a="1"/>
  <c r="A887" i="11" s="1"/>
  <c r="A888" i="11" a="1"/>
  <c r="A888" i="11" s="1"/>
  <c r="A837" i="11" a="1"/>
  <c r="A837" i="11" s="1"/>
  <c r="A838" i="11" a="1"/>
  <c r="A838" i="11" s="1"/>
  <c r="A839" i="11" a="1"/>
  <c r="A839" i="11" s="1"/>
  <c r="A792" i="11" a="1"/>
  <c r="A792" i="11" s="1"/>
  <c r="A793" i="11" a="1"/>
  <c r="A793" i="11" s="1"/>
  <c r="A794" i="11" a="1"/>
  <c r="A794" i="11" s="1"/>
  <c r="A742" i="11" a="1"/>
  <c r="A742" i="11" s="1"/>
  <c r="A743" i="11" a="1"/>
  <c r="A743" i="11" s="1"/>
  <c r="A744" i="11" a="1"/>
  <c r="A744" i="11" s="1"/>
  <c r="A745" i="11" a="1"/>
  <c r="A745" i="11" s="1"/>
  <c r="A746" i="11" a="1"/>
  <c r="A746" i="11" s="1"/>
  <c r="A2843" i="11" a="1"/>
  <c r="A2843" i="11" s="1"/>
  <c r="A2810" i="11" a="1"/>
  <c r="A2810" i="11" s="1"/>
  <c r="A2768" i="11" a="1"/>
  <c r="A2768" i="11" s="1"/>
  <c r="A2693" i="11" a="1"/>
  <c r="A2693" i="11" s="1"/>
  <c r="A2649" i="11" a="1"/>
  <c r="A2649" i="11" s="1"/>
  <c r="A2611" i="11" a="1"/>
  <c r="A2611" i="11" s="1"/>
  <c r="A2527" i="11" a="1"/>
  <c r="A2527" i="11" s="1"/>
  <c r="A2488" i="11" a="1"/>
  <c r="A2488" i="11" s="1"/>
  <c r="A2450" i="11" a="1"/>
  <c r="A2450" i="11" s="1"/>
  <c r="A2404" i="11" a="1"/>
  <c r="A2404" i="11" s="1"/>
  <c r="A2325" i="11" a="1"/>
  <c r="A2325" i="11" s="1"/>
  <c r="A2284" i="11" a="1"/>
  <c r="A2284" i="11" s="1"/>
  <c r="A2241" i="11" a="1"/>
  <c r="A2241" i="11" s="1"/>
  <c r="A2198" i="11" a="1"/>
  <c r="A2198" i="11" s="1"/>
  <c r="A2158" i="11" a="1"/>
  <c r="A2158" i="11" s="1"/>
  <c r="A2117" i="11" a="1"/>
  <c r="A2117" i="11" s="1"/>
  <c r="A2033" i="11" a="1"/>
  <c r="A2033" i="11" s="1"/>
  <c r="A1990" i="11" a="1"/>
  <c r="A1990" i="11" s="1"/>
  <c r="A1944" i="11" a="1"/>
  <c r="A1944" i="11" s="1"/>
  <c r="A1907" i="11" a="1"/>
  <c r="A1907" i="11" s="1"/>
  <c r="A1867" i="11" a="1"/>
  <c r="A1867" i="11" s="1"/>
  <c r="A1822" i="11" a="1"/>
  <c r="A1822" i="11" s="1"/>
  <c r="A1780" i="11" a="1"/>
  <c r="A1780" i="11" s="1"/>
  <c r="A1739" i="11" a="1"/>
  <c r="A1739" i="11" s="1"/>
  <c r="A1697" i="11" a="1"/>
  <c r="A1697" i="11" s="1"/>
  <c r="A1659" i="11" a="1"/>
  <c r="A1659" i="11" s="1"/>
  <c r="A1616" i="11" a="1"/>
  <c r="A1616" i="11" s="1"/>
  <c r="A1569" i="11" a="1"/>
  <c r="A1569" i="11" s="1"/>
  <c r="A1533" i="11" a="1"/>
  <c r="A1533" i="11" s="1"/>
  <c r="A1534" i="11" a="1"/>
  <c r="A1534" i="11" s="1"/>
  <c r="A1491" i="11" a="1"/>
  <c r="A1491" i="11" s="1"/>
  <c r="A1447" i="11" a="1"/>
  <c r="A1447" i="11" s="1"/>
  <c r="A1406" i="11" a="1"/>
  <c r="A1406" i="11" s="1"/>
  <c r="A1364" i="11" a="1"/>
  <c r="A1364" i="11" s="1"/>
  <c r="A1323" i="11" a="1"/>
  <c r="A1323" i="11" s="1"/>
  <c r="A1324" i="11" a="1"/>
  <c r="A1324" i="11" s="1"/>
  <c r="A1279" i="11" a="1"/>
  <c r="A1279" i="11" s="1"/>
  <c r="A1241" i="11" a="1"/>
  <c r="A1241" i="11" s="1"/>
  <c r="A1194" i="11" a="1"/>
  <c r="A1194" i="11" s="1"/>
  <c r="A1195" i="11" a="1"/>
  <c r="A1195" i="11" s="1"/>
  <c r="A1148" i="11" a="1"/>
  <c r="A1148" i="11" s="1"/>
  <c r="A1149" i="11" a="1"/>
  <c r="A1149" i="11" s="1"/>
  <c r="A1110" i="11" a="1"/>
  <c r="A1110" i="11" s="1"/>
  <c r="A1070" i="11" a="1"/>
  <c r="A1070" i="11" s="1"/>
  <c r="A1071" i="11" a="1"/>
  <c r="A1071" i="11" s="1"/>
  <c r="A1023" i="11" a="1"/>
  <c r="A1023" i="11" s="1"/>
  <c r="A1024" i="11" a="1"/>
  <c r="A1024" i="11" s="1"/>
  <c r="A976" i="11" a="1"/>
  <c r="A976" i="11" s="1"/>
  <c r="A977" i="11" a="1"/>
  <c r="A977" i="11" s="1"/>
  <c r="A933" i="11" a="1"/>
  <c r="A933" i="11" s="1"/>
  <c r="A934" i="11" a="1"/>
  <c r="A934" i="11" s="1"/>
  <c r="A935" i="11" a="1"/>
  <c r="A935" i="11" s="1"/>
  <c r="A889" i="11" a="1"/>
  <c r="A889" i="11" s="1"/>
  <c r="A890" i="11" a="1"/>
  <c r="A890" i="11" s="1"/>
  <c r="A891" i="11" a="1"/>
  <c r="A891" i="11" s="1"/>
  <c r="A840" i="11" a="1"/>
  <c r="A840" i="11" s="1"/>
  <c r="A841" i="11" a="1"/>
  <c r="A841" i="11" s="1"/>
  <c r="A842" i="11" a="1"/>
  <c r="A842" i="11" s="1"/>
  <c r="A843" i="11" a="1"/>
  <c r="A843" i="11" s="1"/>
  <c r="A795" i="11" a="1"/>
  <c r="A795" i="11" s="1"/>
  <c r="A796" i="11" a="1"/>
  <c r="A796" i="11" s="1"/>
  <c r="A2" i="10" a="1"/>
  <c r="A2" i="10" s="1"/>
  <c r="B3" i="10" a="1"/>
  <c r="B3" i="10" s="1"/>
  <c r="B4" i="10" a="1"/>
  <c r="B4" i="10" s="1"/>
  <c r="B5" i="10" a="1"/>
  <c r="B5" i="10" s="1"/>
  <c r="B6" i="10" a="1"/>
  <c r="B6" i="10" s="1"/>
  <c r="B7" i="10" a="1"/>
  <c r="B7" i="10" s="1"/>
  <c r="B8" i="10" a="1"/>
  <c r="B8" i="10" s="1"/>
  <c r="B9" i="10" a="1"/>
  <c r="B9" i="10" s="1"/>
  <c r="B10" i="10" a="1"/>
  <c r="B10" i="10" s="1"/>
  <c r="B11" i="10" a="1"/>
  <c r="B11" i="10" s="1"/>
  <c r="B12" i="10" a="1"/>
  <c r="B12" i="10" s="1"/>
  <c r="B13" i="10" a="1"/>
  <c r="B13" i="10" s="1"/>
  <c r="B14" i="10" a="1"/>
  <c r="B14" i="10" s="1"/>
  <c r="B15" i="10" a="1"/>
  <c r="B15" i="10" s="1"/>
  <c r="B16" i="10" a="1"/>
  <c r="B16" i="10" s="1"/>
  <c r="B17" i="10" a="1"/>
  <c r="B17" i="10" s="1"/>
  <c r="B18" i="10" a="1"/>
  <c r="B18" i="10" s="1"/>
  <c r="B19" i="10" a="1"/>
  <c r="B19" i="10" s="1"/>
  <c r="B20" i="10" a="1"/>
  <c r="B20" i="10" s="1"/>
  <c r="B21" i="10" a="1"/>
  <c r="B21" i="10" s="1"/>
  <c r="B22" i="10" a="1"/>
  <c r="B22" i="10" s="1"/>
  <c r="B23" i="10" a="1"/>
  <c r="B23" i="10" s="1"/>
  <c r="B24" i="10" a="1"/>
  <c r="B24" i="10" s="1"/>
  <c r="B25" i="10" a="1"/>
  <c r="B25" i="10" s="1"/>
  <c r="B26" i="10" a="1"/>
  <c r="B26" i="10" s="1"/>
  <c r="B27" i="10" a="1"/>
  <c r="B27" i="10" s="1"/>
  <c r="B28" i="10" a="1"/>
  <c r="B28" i="10" s="1"/>
  <c r="B29" i="10" a="1"/>
  <c r="B29" i="10" s="1"/>
  <c r="B30" i="10" a="1"/>
  <c r="B30" i="10" s="1"/>
  <c r="B31" i="10" a="1"/>
  <c r="B31" i="10" s="1"/>
  <c r="B32" i="10" a="1"/>
  <c r="B32" i="10" s="1"/>
  <c r="B33" i="10" a="1"/>
  <c r="B33" i="10" s="1"/>
  <c r="B34" i="10" a="1"/>
  <c r="B34" i="10" s="1"/>
  <c r="B35" i="10" a="1"/>
  <c r="B35" i="10" s="1"/>
  <c r="B36" i="10" a="1"/>
  <c r="B36" i="10" s="1"/>
  <c r="B37" i="10" a="1"/>
  <c r="B37" i="10" s="1"/>
  <c r="B38" i="10" a="1"/>
  <c r="B38" i="10" s="1"/>
  <c r="B39" i="10" a="1"/>
  <c r="B39" i="10" s="1"/>
  <c r="B40" i="10" a="1"/>
  <c r="B40" i="10" s="1"/>
  <c r="B41" i="10" a="1"/>
  <c r="B41" i="10" s="1"/>
  <c r="B42" i="10" a="1"/>
  <c r="B42" i="10" s="1"/>
  <c r="B43" i="10" a="1"/>
  <c r="B43" i="10" s="1"/>
  <c r="B44" i="10" a="1"/>
  <c r="B44" i="10" s="1"/>
  <c r="B45" i="10" a="1"/>
  <c r="B45" i="10" s="1"/>
  <c r="B46" i="10" a="1"/>
  <c r="B46" i="10" s="1"/>
  <c r="B47" i="10" a="1"/>
  <c r="B47" i="10" s="1"/>
  <c r="B48" i="10" a="1"/>
  <c r="B48" i="10" s="1"/>
  <c r="B49" i="10" a="1"/>
  <c r="B49" i="10" s="1"/>
  <c r="B50" i="10" a="1"/>
  <c r="B50" i="10" s="1"/>
  <c r="B51" i="10" a="1"/>
  <c r="B51" i="10" s="1"/>
  <c r="B52" i="10" a="1"/>
  <c r="B52" i="10" s="1"/>
  <c r="B53" i="10" a="1"/>
  <c r="B53" i="10" s="1"/>
  <c r="B54" i="10" a="1"/>
  <c r="B54" i="10" s="1"/>
  <c r="B55" i="10" a="1"/>
  <c r="B55" i="10" s="1"/>
  <c r="B56" i="10" a="1"/>
  <c r="B56" i="10" s="1"/>
  <c r="B57" i="10" a="1"/>
  <c r="B57" i="10" s="1"/>
  <c r="B58" i="10" a="1"/>
  <c r="B58" i="10" s="1"/>
  <c r="B59" i="10" a="1"/>
  <c r="B59" i="10" s="1"/>
  <c r="B60" i="10" a="1"/>
  <c r="B60" i="10" s="1"/>
  <c r="B61" i="10" a="1"/>
  <c r="B61" i="10" s="1"/>
  <c r="B62" i="10" a="1"/>
  <c r="B62" i="10" s="1"/>
  <c r="B63" i="10" a="1"/>
  <c r="B63" i="10" s="1"/>
  <c r="B64" i="10" a="1"/>
  <c r="B64" i="10" s="1"/>
  <c r="B65" i="10" a="1"/>
  <c r="B65" i="10" s="1"/>
  <c r="B66" i="10" a="1"/>
  <c r="B66" i="10" s="1"/>
  <c r="B67" i="10" a="1"/>
  <c r="B67" i="10" s="1"/>
  <c r="B68" i="10" a="1"/>
  <c r="B68" i="10" s="1"/>
  <c r="B69" i="10" a="1"/>
  <c r="B69" i="10" s="1"/>
  <c r="B70" i="10" a="1"/>
  <c r="B70" i="10" s="1"/>
  <c r="B71" i="10" a="1"/>
  <c r="B71" i="10" s="1"/>
  <c r="B72" i="10" a="1"/>
  <c r="B72" i="10" s="1"/>
  <c r="B73" i="10" a="1"/>
  <c r="B73" i="10" s="1"/>
  <c r="B74" i="10" a="1"/>
  <c r="B74" i="10" s="1"/>
  <c r="B75" i="10" a="1"/>
  <c r="B75" i="10" s="1"/>
  <c r="B76" i="10" a="1"/>
  <c r="B76" i="10" s="1"/>
  <c r="B77" i="10" a="1"/>
  <c r="B77" i="10" s="1"/>
  <c r="B78" i="10" a="1"/>
  <c r="B78" i="10" s="1"/>
  <c r="B79" i="10" a="1"/>
  <c r="B79" i="10" s="1"/>
  <c r="B80" i="10" a="1"/>
  <c r="B80" i="10" s="1"/>
  <c r="B81" i="10" a="1"/>
  <c r="B81" i="10" s="1"/>
  <c r="B82" i="10" a="1"/>
  <c r="B82" i="10" s="1"/>
  <c r="B83" i="10" a="1"/>
  <c r="B83" i="10" s="1"/>
  <c r="B84" i="10" a="1"/>
  <c r="B84" i="10" s="1"/>
  <c r="B85" i="10" a="1"/>
  <c r="B85" i="10" s="1"/>
  <c r="B86" i="10" a="1"/>
  <c r="B86" i="10" s="1"/>
  <c r="B87" i="10" a="1"/>
  <c r="B87" i="10" s="1"/>
  <c r="B88" i="10" a="1"/>
  <c r="B88" i="10" s="1"/>
  <c r="B89" i="10" a="1"/>
  <c r="B89" i="10" s="1"/>
  <c r="B90" i="10" a="1"/>
  <c r="B90" i="10" s="1"/>
  <c r="B91" i="10" a="1"/>
  <c r="B91" i="10" s="1"/>
  <c r="B92" i="10" a="1"/>
  <c r="B92" i="10" s="1"/>
  <c r="B93" i="10" a="1"/>
  <c r="B93" i="10" s="1"/>
  <c r="B94" i="10" a="1"/>
  <c r="B94" i="10" s="1"/>
  <c r="B95" i="10" a="1"/>
  <c r="B95" i="10" s="1"/>
  <c r="B96" i="10" a="1"/>
  <c r="B96" i="10" s="1"/>
  <c r="B97" i="10" a="1"/>
  <c r="B97" i="10" s="1"/>
  <c r="B98" i="10" a="1"/>
  <c r="B98" i="10" s="1"/>
  <c r="B99" i="10" a="1"/>
  <c r="B99" i="10" s="1"/>
  <c r="B100" i="10" a="1"/>
  <c r="B100" i="10" s="1"/>
  <c r="B101" i="10" a="1"/>
  <c r="B101" i="10" s="1"/>
  <c r="B102" i="10" a="1"/>
  <c r="B102" i="10" s="1"/>
  <c r="B103" i="10" a="1"/>
  <c r="B103" i="10" s="1"/>
  <c r="B104" i="10" a="1"/>
  <c r="B104" i="10" s="1"/>
  <c r="B105" i="10" a="1"/>
  <c r="B105" i="10" s="1"/>
  <c r="B106" i="10" a="1"/>
  <c r="B106" i="10" s="1"/>
  <c r="B107" i="10" a="1"/>
  <c r="B107" i="10" s="1"/>
  <c r="B108" i="10" a="1"/>
  <c r="B108" i="10" s="1"/>
  <c r="B109" i="10" a="1"/>
  <c r="B109" i="10" s="1"/>
  <c r="B110" i="10" a="1"/>
  <c r="B110" i="10" s="1"/>
  <c r="B111" i="10" a="1"/>
  <c r="B111" i="10" s="1"/>
  <c r="B112" i="10" a="1"/>
  <c r="B112" i="10" s="1"/>
  <c r="B113" i="10" a="1"/>
  <c r="B113" i="10" s="1"/>
  <c r="B114" i="10" a="1"/>
  <c r="B114" i="10" s="1"/>
  <c r="B115" i="10" a="1"/>
  <c r="B115" i="10" s="1"/>
  <c r="B116" i="10" a="1"/>
  <c r="B116" i="10" s="1"/>
  <c r="B117" i="10" a="1"/>
  <c r="B117" i="10" s="1"/>
  <c r="B118" i="10" a="1"/>
  <c r="B118" i="10" s="1"/>
  <c r="B119" i="10" a="1"/>
  <c r="B119" i="10" s="1"/>
  <c r="B120" i="10" a="1"/>
  <c r="B120" i="10" s="1"/>
  <c r="B121" i="10" a="1"/>
  <c r="B121" i="10" s="1"/>
  <c r="B122" i="10" a="1"/>
  <c r="B122" i="10" s="1"/>
  <c r="B123" i="10" a="1"/>
  <c r="B123" i="10" s="1"/>
  <c r="B124" i="10" a="1"/>
  <c r="B124" i="10" s="1"/>
  <c r="B125" i="10" a="1"/>
  <c r="B125" i="10" s="1"/>
  <c r="B126" i="10" a="1"/>
  <c r="B126" i="10" s="1"/>
  <c r="B127" i="10" a="1"/>
  <c r="B127" i="10" s="1"/>
  <c r="B128" i="10" a="1"/>
  <c r="B128" i="10" s="1"/>
  <c r="B129" i="10" a="1"/>
  <c r="B129" i="10" s="1"/>
  <c r="B130" i="10" a="1"/>
  <c r="B130" i="10" s="1"/>
  <c r="B131" i="10" a="1"/>
  <c r="B131" i="10" s="1"/>
  <c r="B132" i="10" a="1"/>
  <c r="B132" i="10" s="1"/>
  <c r="B133" i="10" a="1"/>
  <c r="B133" i="10" s="1"/>
  <c r="B134" i="10" a="1"/>
  <c r="B134" i="10" s="1"/>
  <c r="B135" i="10" a="1"/>
  <c r="B135" i="10" s="1"/>
  <c r="B136" i="10" a="1"/>
  <c r="B136" i="10" s="1"/>
  <c r="B137" i="10" a="1"/>
  <c r="B137" i="10" s="1"/>
  <c r="B138" i="10" a="1"/>
  <c r="B138" i="10" s="1"/>
  <c r="B139" i="10" a="1"/>
  <c r="B139" i="10" s="1"/>
  <c r="B140" i="10" a="1"/>
  <c r="B140" i="10" s="1"/>
  <c r="B141" i="10" a="1"/>
  <c r="B141" i="10" s="1"/>
  <c r="B142" i="10" a="1"/>
  <c r="B142" i="10" s="1"/>
  <c r="B143" i="10" a="1"/>
  <c r="B143" i="10" s="1"/>
  <c r="B144" i="10" a="1"/>
  <c r="B144" i="10" s="1"/>
  <c r="B145" i="10" a="1"/>
  <c r="B145" i="10" s="1"/>
  <c r="B146" i="10" a="1"/>
  <c r="B146" i="10" s="1"/>
  <c r="B147" i="10" a="1"/>
  <c r="B147" i="10" s="1"/>
  <c r="B148" i="10" a="1"/>
  <c r="B148" i="10" s="1"/>
  <c r="B149" i="10" a="1"/>
  <c r="B149" i="10" s="1"/>
  <c r="B150" i="10" a="1"/>
  <c r="B150" i="10" s="1"/>
  <c r="B151" i="10" a="1"/>
  <c r="B151" i="10" s="1"/>
  <c r="B152" i="10" a="1"/>
  <c r="B152" i="10" s="1"/>
  <c r="B153" i="10" a="1"/>
  <c r="B153" i="10" s="1"/>
  <c r="B154" i="10" a="1"/>
  <c r="B154" i="10" s="1"/>
  <c r="B155" i="10" a="1"/>
  <c r="B155" i="10" s="1"/>
  <c r="B156" i="10" a="1"/>
  <c r="B156" i="10" s="1"/>
  <c r="B157" i="10" a="1"/>
  <c r="B157" i="10" s="1"/>
  <c r="B158" i="10" a="1"/>
  <c r="B158" i="10" s="1"/>
  <c r="B159" i="10" a="1"/>
  <c r="B159" i="10" s="1"/>
  <c r="B160" i="10" a="1"/>
  <c r="B160" i="10" s="1"/>
  <c r="B161" i="10" a="1"/>
  <c r="B161" i="10" s="1"/>
  <c r="B162" i="10" a="1"/>
  <c r="B162" i="10" s="1"/>
  <c r="B163" i="10" a="1"/>
  <c r="B163" i="10" s="1"/>
  <c r="B164" i="10" a="1"/>
  <c r="B164" i="10" s="1"/>
  <c r="B165" i="10" a="1"/>
  <c r="B165" i="10" s="1"/>
  <c r="B166" i="10" a="1"/>
  <c r="B166" i="10" s="1"/>
  <c r="B167" i="10" a="1"/>
  <c r="B167" i="10" s="1"/>
  <c r="B168" i="10" a="1"/>
  <c r="B168" i="10" s="1"/>
  <c r="B169" i="10" a="1"/>
  <c r="B169" i="10" s="1"/>
  <c r="B170" i="10" a="1"/>
  <c r="B170" i="10" s="1"/>
  <c r="B171" i="10" a="1"/>
  <c r="B171" i="10" s="1"/>
  <c r="B172" i="10" a="1"/>
  <c r="B172" i="10" s="1"/>
  <c r="B173" i="10" a="1"/>
  <c r="B173" i="10" s="1"/>
  <c r="B174" i="10" a="1"/>
  <c r="B174" i="10" s="1"/>
  <c r="B175" i="10" a="1"/>
  <c r="B175" i="10" s="1"/>
  <c r="B176" i="10" a="1"/>
  <c r="B176" i="10" s="1"/>
  <c r="B177" i="10" a="1"/>
  <c r="B177" i="10" s="1"/>
  <c r="B178" i="10" a="1"/>
  <c r="B178" i="10" s="1"/>
  <c r="B179" i="10" a="1"/>
  <c r="B179" i="10" s="1"/>
  <c r="B180" i="10" a="1"/>
  <c r="B180" i="10" s="1"/>
  <c r="B181" i="10" a="1"/>
  <c r="B181" i="10" s="1"/>
  <c r="B182" i="10" a="1"/>
  <c r="B182" i="10" s="1"/>
  <c r="B183" i="10" a="1"/>
  <c r="B183" i="10" s="1"/>
  <c r="B184" i="10" a="1"/>
  <c r="B184" i="10" s="1"/>
  <c r="B185" i="10" a="1"/>
  <c r="B185" i="10" s="1"/>
  <c r="B186" i="10" a="1"/>
  <c r="B186" i="10" s="1"/>
  <c r="B187" i="10" a="1"/>
  <c r="B187" i="10" s="1"/>
  <c r="B188" i="10" a="1"/>
  <c r="B188" i="10" s="1"/>
  <c r="B189" i="10" a="1"/>
  <c r="B189" i="10" s="1"/>
  <c r="B190" i="10" a="1"/>
  <c r="B190" i="10" s="1"/>
  <c r="B191" i="10" a="1"/>
  <c r="B191" i="10" s="1"/>
  <c r="B192" i="10" a="1"/>
  <c r="B192" i="10" s="1"/>
  <c r="B193" i="10" a="1"/>
  <c r="B193" i="10" s="1"/>
  <c r="B194" i="10" a="1"/>
  <c r="B194" i="10" s="1"/>
  <c r="B195" i="10" a="1"/>
  <c r="B195" i="10" s="1"/>
  <c r="B196" i="10" a="1"/>
  <c r="B196" i="10" s="1"/>
  <c r="B197" i="10" a="1"/>
  <c r="B197" i="10" s="1"/>
  <c r="B198" i="10" a="1"/>
  <c r="B198" i="10" s="1"/>
  <c r="B199" i="10" a="1"/>
  <c r="B199" i="10" s="1"/>
  <c r="B200" i="10" a="1"/>
  <c r="B200" i="10" s="1"/>
  <c r="B201" i="10" a="1"/>
  <c r="B201" i="10" s="1"/>
  <c r="B202" i="10" a="1"/>
  <c r="B202" i="10" s="1"/>
  <c r="B203" i="10" a="1"/>
  <c r="B203" i="10" s="1"/>
  <c r="B204" i="10" a="1"/>
  <c r="B204" i="10" s="1"/>
  <c r="B205" i="10" a="1"/>
  <c r="B205" i="10" s="1"/>
  <c r="B206" i="10" a="1"/>
  <c r="B206" i="10" s="1"/>
  <c r="B207" i="10" a="1"/>
  <c r="B207" i="10" s="1"/>
  <c r="B208" i="10" a="1"/>
  <c r="B208" i="10" s="1"/>
  <c r="B209" i="10" a="1"/>
  <c r="B209" i="10" s="1"/>
  <c r="B210" i="10" a="1"/>
  <c r="B210" i="10" s="1"/>
  <c r="B211" i="10" a="1"/>
  <c r="B211" i="10" s="1"/>
  <c r="B212" i="10" a="1"/>
  <c r="B212" i="10" s="1"/>
  <c r="B213" i="10" a="1"/>
  <c r="B213" i="10" s="1"/>
  <c r="B214" i="10" a="1"/>
  <c r="B214" i="10" s="1"/>
  <c r="B215" i="10" a="1"/>
  <c r="B215" i="10" s="1"/>
  <c r="B216" i="10" a="1"/>
  <c r="B216" i="10" s="1"/>
  <c r="B217" i="10" a="1"/>
  <c r="B217" i="10" s="1"/>
  <c r="B218" i="10" a="1"/>
  <c r="B218" i="10" s="1"/>
  <c r="B219" i="10" a="1"/>
  <c r="B219" i="10" s="1"/>
  <c r="B220" i="10" a="1"/>
  <c r="B220" i="10" s="1"/>
  <c r="B221" i="10" a="1"/>
  <c r="B221" i="10" s="1"/>
  <c r="B222" i="10" a="1"/>
  <c r="B222" i="10" s="1"/>
  <c r="B223" i="10" a="1"/>
  <c r="B223" i="10" s="1"/>
  <c r="B224" i="10" a="1"/>
  <c r="B224" i="10" s="1"/>
  <c r="B225" i="10" a="1"/>
  <c r="B225" i="10" s="1"/>
  <c r="B226" i="10" a="1"/>
  <c r="B226" i="10" s="1"/>
  <c r="B227" i="10" a="1"/>
  <c r="B227" i="10" s="1"/>
  <c r="B228" i="10" a="1"/>
  <c r="B228" i="10" s="1"/>
  <c r="B229" i="10" a="1"/>
  <c r="B229" i="10" s="1"/>
  <c r="B230" i="10" a="1"/>
  <c r="B230" i="10" s="1"/>
  <c r="B231" i="10" a="1"/>
  <c r="B231" i="10" s="1"/>
  <c r="B232" i="10" a="1"/>
  <c r="B232" i="10" s="1"/>
  <c r="B233" i="10" a="1"/>
  <c r="B233" i="10" s="1"/>
  <c r="B234" i="10" a="1"/>
  <c r="B234" i="10" s="1"/>
  <c r="B235" i="10" a="1"/>
  <c r="B235" i="10" s="1"/>
  <c r="B236" i="10" a="1"/>
  <c r="B236" i="10" s="1"/>
  <c r="B237" i="10" a="1"/>
  <c r="B237" i="10" s="1"/>
  <c r="B238" i="10" a="1"/>
  <c r="B238" i="10" s="1"/>
  <c r="B239" i="10" a="1"/>
  <c r="B239" i="10" s="1"/>
  <c r="B240" i="10" a="1"/>
  <c r="B240" i="10" s="1"/>
  <c r="B241" i="10" a="1"/>
  <c r="B241" i="10" s="1"/>
  <c r="B242" i="10" a="1"/>
  <c r="B242" i="10" s="1"/>
  <c r="B243" i="10" a="1"/>
  <c r="B243" i="10" s="1"/>
  <c r="B244" i="10" a="1"/>
  <c r="B244" i="10" s="1"/>
  <c r="B245" i="10" a="1"/>
  <c r="B245" i="10" s="1"/>
  <c r="B246" i="10" a="1"/>
  <c r="B246" i="10" s="1"/>
  <c r="B247" i="10" a="1"/>
  <c r="B247" i="10" s="1"/>
  <c r="B248" i="10" a="1"/>
  <c r="B248" i="10" s="1"/>
  <c r="B249" i="10" a="1"/>
  <c r="B249" i="10" s="1"/>
  <c r="B250" i="10" a="1"/>
  <c r="B250" i="10" s="1"/>
  <c r="B251" i="10" a="1"/>
  <c r="B251" i="10" s="1"/>
  <c r="B252" i="10" a="1"/>
  <c r="B252" i="10" s="1"/>
  <c r="B253" i="10" a="1"/>
  <c r="B253" i="10" s="1"/>
  <c r="B254" i="10" a="1"/>
  <c r="B254" i="10" s="1"/>
  <c r="B255" i="10" a="1"/>
  <c r="B255" i="10" s="1"/>
  <c r="B256" i="10" a="1"/>
  <c r="B256" i="10" s="1"/>
  <c r="B257" i="10" a="1"/>
  <c r="B257" i="10" s="1"/>
  <c r="B258" i="10" a="1"/>
  <c r="B258" i="10" s="1"/>
  <c r="B259" i="10" a="1"/>
  <c r="B259" i="10" s="1"/>
  <c r="B260" i="10" a="1"/>
  <c r="B260" i="10" s="1"/>
  <c r="B261" i="10" a="1"/>
  <c r="B261" i="10" s="1"/>
  <c r="B262" i="10" a="1"/>
  <c r="B262" i="10" s="1"/>
  <c r="B263" i="10" a="1"/>
  <c r="B263" i="10" s="1"/>
  <c r="B264" i="10" a="1"/>
  <c r="B264" i="10" s="1"/>
  <c r="B265" i="10" a="1"/>
  <c r="B265" i="10" s="1"/>
  <c r="B266" i="10" a="1"/>
  <c r="B266" i="10" s="1"/>
  <c r="B267" i="10" a="1"/>
  <c r="B267" i="10" s="1"/>
  <c r="B268" i="10" a="1"/>
  <c r="B268" i="10" s="1"/>
  <c r="B269" i="10" a="1"/>
  <c r="B269" i="10" s="1"/>
  <c r="B270" i="10" a="1"/>
  <c r="B270" i="10" s="1"/>
  <c r="B271" i="10" a="1"/>
  <c r="B271" i="10" s="1"/>
  <c r="B272" i="10" a="1"/>
  <c r="B272" i="10" s="1"/>
  <c r="B273" i="10" a="1"/>
  <c r="B273" i="10" s="1"/>
  <c r="B274" i="10" a="1"/>
  <c r="B274" i="10" s="1"/>
  <c r="B275" i="10" a="1"/>
  <c r="B275" i="10" s="1"/>
  <c r="B276" i="10" a="1"/>
  <c r="B276" i="10" s="1"/>
  <c r="B277" i="10" a="1"/>
  <c r="B277" i="10" s="1"/>
  <c r="B278" i="10" a="1"/>
  <c r="B278" i="10" s="1"/>
  <c r="B279" i="10" a="1"/>
  <c r="B279" i="10" s="1"/>
  <c r="B280" i="10" a="1"/>
  <c r="B280" i="10" s="1"/>
  <c r="B281" i="10" a="1"/>
  <c r="B281" i="10" s="1"/>
  <c r="B282" i="10" a="1"/>
  <c r="B282" i="10" s="1"/>
  <c r="B283" i="10" a="1"/>
  <c r="B283" i="10" s="1"/>
  <c r="B284" i="10" a="1"/>
  <c r="B284" i="10" s="1"/>
  <c r="B285" i="10" a="1"/>
  <c r="B285" i="10" s="1"/>
  <c r="B286" i="10" a="1"/>
  <c r="B286" i="10" s="1"/>
  <c r="B287" i="10" a="1"/>
  <c r="B287" i="10" s="1"/>
  <c r="B288" i="10" a="1"/>
  <c r="B288" i="10" s="1"/>
  <c r="B289" i="10" a="1"/>
  <c r="B289" i="10" s="1"/>
  <c r="B290" i="10" a="1"/>
  <c r="B290" i="10" s="1"/>
  <c r="B291" i="10" a="1"/>
  <c r="B291" i="10" s="1"/>
  <c r="B292" i="10" a="1"/>
  <c r="B292" i="10" s="1"/>
  <c r="B293" i="10" a="1"/>
  <c r="B293" i="10" s="1"/>
  <c r="B294" i="10" a="1"/>
  <c r="B294" i="10" s="1"/>
  <c r="B295" i="10" a="1"/>
  <c r="B295" i="10" s="1"/>
  <c r="B296" i="10" a="1"/>
  <c r="B296" i="10" s="1"/>
  <c r="B297" i="10" a="1"/>
  <c r="B297" i="10" s="1"/>
  <c r="B298" i="10" a="1"/>
  <c r="B298" i="10" s="1"/>
  <c r="B299" i="10" a="1"/>
  <c r="B299" i="10" s="1"/>
  <c r="B300" i="10" a="1"/>
  <c r="B300" i="10" s="1"/>
  <c r="B301" i="10" a="1"/>
  <c r="B301" i="10" s="1"/>
  <c r="B302" i="10" a="1"/>
  <c r="B302" i="10" s="1"/>
  <c r="B303" i="10" a="1"/>
  <c r="B303" i="10" s="1"/>
  <c r="B304" i="10" a="1"/>
  <c r="B304" i="10" s="1"/>
  <c r="B305" i="10" a="1"/>
  <c r="B305" i="10" s="1"/>
  <c r="B306" i="10" a="1"/>
  <c r="B306" i="10" s="1"/>
  <c r="B307" i="10" a="1"/>
  <c r="B307" i="10" s="1"/>
  <c r="B308" i="10" a="1"/>
  <c r="B308" i="10" s="1"/>
  <c r="B309" i="10" a="1"/>
  <c r="B309" i="10" s="1"/>
  <c r="B310" i="10" a="1"/>
  <c r="B310" i="10" s="1"/>
  <c r="B311" i="10" a="1"/>
  <c r="B311" i="10" s="1"/>
  <c r="B312" i="10" a="1"/>
  <c r="B312" i="10" s="1"/>
  <c r="B313" i="10" a="1"/>
  <c r="B313" i="10" s="1"/>
  <c r="B314" i="10" a="1"/>
  <c r="B314" i="10" s="1"/>
  <c r="B315" i="10" a="1"/>
  <c r="B315" i="10" s="1"/>
  <c r="B316" i="10" a="1"/>
  <c r="B316" i="10" s="1"/>
  <c r="B317" i="10" a="1"/>
  <c r="B317" i="10" s="1"/>
  <c r="B318" i="10" a="1"/>
  <c r="B318" i="10" s="1"/>
  <c r="B319" i="10" a="1"/>
  <c r="B319" i="10" s="1"/>
  <c r="B320" i="10" a="1"/>
  <c r="B320" i="10" s="1"/>
  <c r="B321" i="10" a="1"/>
  <c r="B321" i="10" s="1"/>
  <c r="B322" i="10" a="1"/>
  <c r="B322" i="10" s="1"/>
  <c r="B323" i="10" a="1"/>
  <c r="B323" i="10" s="1"/>
  <c r="B324" i="10" a="1"/>
  <c r="B324" i="10" s="1"/>
  <c r="B325" i="10" a="1"/>
  <c r="B325" i="10" s="1"/>
  <c r="B326" i="10" a="1"/>
  <c r="B326" i="10" s="1"/>
  <c r="B327" i="10" a="1"/>
  <c r="B327" i="10" s="1"/>
  <c r="B328" i="10" a="1"/>
  <c r="B328" i="10" s="1"/>
  <c r="B329" i="10" a="1"/>
  <c r="B329" i="10" s="1"/>
  <c r="B330" i="10" a="1"/>
  <c r="B330" i="10" s="1"/>
  <c r="B331" i="10" a="1"/>
  <c r="B331" i="10" s="1"/>
  <c r="B332" i="10" a="1"/>
  <c r="B332" i="10" s="1"/>
  <c r="B333" i="10" a="1"/>
  <c r="B333" i="10" s="1"/>
  <c r="B334" i="10" a="1"/>
  <c r="B334" i="10" s="1"/>
  <c r="B335" i="10" a="1"/>
  <c r="B335" i="10" s="1"/>
  <c r="B336" i="10" a="1"/>
  <c r="B336" i="10" s="1"/>
  <c r="B337" i="10" a="1"/>
  <c r="B337" i="10" s="1"/>
  <c r="B338" i="10" a="1"/>
  <c r="B338" i="10" s="1"/>
  <c r="B339" i="10" a="1"/>
  <c r="B339" i="10" s="1"/>
  <c r="B340" i="10" a="1"/>
  <c r="B340" i="10" s="1"/>
  <c r="B341" i="10" a="1"/>
  <c r="B341" i="10" s="1"/>
  <c r="B342" i="10" a="1"/>
  <c r="B342" i="10" s="1"/>
  <c r="B343" i="10" a="1"/>
  <c r="B343" i="10" s="1"/>
  <c r="B344" i="10" a="1"/>
  <c r="B344" i="10" s="1"/>
  <c r="B345" i="10" a="1"/>
  <c r="B345" i="10" s="1"/>
  <c r="B346" i="10" a="1"/>
  <c r="B346" i="10" s="1"/>
  <c r="B347" i="10" a="1"/>
  <c r="B347" i="10" s="1"/>
  <c r="B348" i="10" a="1"/>
  <c r="B348" i="10" s="1"/>
  <c r="B349" i="10" a="1"/>
  <c r="B349" i="10" s="1"/>
  <c r="B350" i="10" a="1"/>
  <c r="B350" i="10" s="1"/>
  <c r="B351" i="10" a="1"/>
  <c r="B351" i="10" s="1"/>
  <c r="B352" i="10" a="1"/>
  <c r="B352" i="10" s="1"/>
  <c r="B353" i="10" a="1"/>
  <c r="B353" i="10" s="1"/>
  <c r="B354" i="10" a="1"/>
  <c r="B354" i="10" s="1"/>
  <c r="B355" i="10" a="1"/>
  <c r="B355" i="10" s="1"/>
  <c r="B356" i="10" a="1"/>
  <c r="B356" i="10" s="1"/>
  <c r="B357" i="10" a="1"/>
  <c r="B357" i="10" s="1"/>
  <c r="B358" i="10" a="1"/>
  <c r="B358" i="10" s="1"/>
  <c r="B359" i="10" a="1"/>
  <c r="B359" i="10" s="1"/>
  <c r="B360" i="10" a="1"/>
  <c r="B360" i="10" s="1"/>
  <c r="B361" i="10" a="1"/>
  <c r="B361" i="10" s="1"/>
  <c r="B362" i="10" a="1"/>
  <c r="B362" i="10" s="1"/>
  <c r="B363" i="10" a="1"/>
  <c r="B363" i="10" s="1"/>
  <c r="B364" i="10" a="1"/>
  <c r="B364" i="10" s="1"/>
  <c r="B365" i="10" a="1"/>
  <c r="B365" i="10" s="1"/>
  <c r="B366" i="10" a="1"/>
  <c r="B366" i="10" s="1"/>
  <c r="B367" i="10" a="1"/>
  <c r="B367" i="10" s="1"/>
  <c r="B368" i="10" a="1"/>
  <c r="B368" i="10" s="1"/>
  <c r="B369" i="10" a="1"/>
  <c r="B369" i="10" s="1"/>
  <c r="B370" i="10" a="1"/>
  <c r="B370" i="10" s="1"/>
  <c r="B371" i="10" a="1"/>
  <c r="B371" i="10" s="1"/>
  <c r="B372" i="10" a="1"/>
  <c r="B372" i="10" s="1"/>
  <c r="B373" i="10" a="1"/>
  <c r="B373" i="10" s="1"/>
  <c r="B374" i="10" a="1"/>
  <c r="B374" i="10" s="1"/>
  <c r="B375" i="10" a="1"/>
  <c r="B375" i="10" s="1"/>
  <c r="B376" i="10" a="1"/>
  <c r="B376" i="10" s="1"/>
  <c r="B377" i="10" a="1"/>
  <c r="B377" i="10" s="1"/>
  <c r="B378" i="10" a="1"/>
  <c r="B378" i="10" s="1"/>
  <c r="B379" i="10" a="1"/>
  <c r="B379" i="10" s="1"/>
  <c r="B380" i="10" a="1"/>
  <c r="B380" i="10" s="1"/>
  <c r="B381" i="10" a="1"/>
  <c r="B381" i="10" s="1"/>
  <c r="B382" i="10" a="1"/>
  <c r="B382" i="10" s="1"/>
  <c r="B383" i="10" a="1"/>
  <c r="B383" i="10" s="1"/>
  <c r="B384" i="10" a="1"/>
  <c r="B384" i="10" s="1"/>
  <c r="B385" i="10" a="1"/>
  <c r="B385" i="10" s="1"/>
  <c r="B386" i="10" a="1"/>
  <c r="B386" i="10" s="1"/>
  <c r="B387" i="10" a="1"/>
  <c r="B387" i="10" s="1"/>
  <c r="B388" i="10" a="1"/>
  <c r="B388" i="10" s="1"/>
  <c r="B389" i="10" a="1"/>
  <c r="B389" i="10" s="1"/>
  <c r="B390" i="10" a="1"/>
  <c r="B390" i="10" s="1"/>
  <c r="B391" i="10" a="1"/>
  <c r="B391" i="10" s="1"/>
  <c r="B392" i="10" a="1"/>
  <c r="B392" i="10" s="1"/>
  <c r="B393" i="10" a="1"/>
  <c r="B393" i="10" s="1"/>
  <c r="B394" i="10" a="1"/>
  <c r="B394" i="10" s="1"/>
  <c r="B395" i="10" a="1"/>
  <c r="B395" i="10" s="1"/>
  <c r="B396" i="10" a="1"/>
  <c r="B396" i="10" s="1"/>
  <c r="B397" i="10" a="1"/>
  <c r="B397" i="10" s="1"/>
  <c r="B398" i="10" a="1"/>
  <c r="B398" i="10" s="1"/>
  <c r="B399" i="10" a="1"/>
  <c r="B399" i="10" s="1"/>
  <c r="B400" i="10" a="1"/>
  <c r="B400" i="10" s="1"/>
  <c r="B401" i="10" a="1"/>
  <c r="B401" i="10" s="1"/>
  <c r="B402" i="10" a="1"/>
  <c r="B402" i="10" s="1"/>
  <c r="B403" i="10" a="1"/>
  <c r="B403" i="10" s="1"/>
  <c r="B404" i="10" a="1"/>
  <c r="B404" i="10" s="1"/>
  <c r="B405" i="10" a="1"/>
  <c r="B405" i="10" s="1"/>
  <c r="B406" i="10" a="1"/>
  <c r="B406" i="10" s="1"/>
  <c r="B407" i="10" a="1"/>
  <c r="B407" i="10" s="1"/>
  <c r="B408" i="10" a="1"/>
  <c r="B408" i="10" s="1"/>
  <c r="B409" i="10" a="1"/>
  <c r="B409" i="10" s="1"/>
  <c r="B410" i="10" a="1"/>
  <c r="B410" i="10" s="1"/>
  <c r="B411" i="10" a="1"/>
  <c r="B411" i="10" s="1"/>
  <c r="B412" i="10" a="1"/>
  <c r="B412" i="10" s="1"/>
  <c r="B413" i="10" a="1"/>
  <c r="B413" i="10" s="1"/>
  <c r="B414" i="10" a="1"/>
  <c r="B414" i="10" s="1"/>
  <c r="B415" i="10" a="1"/>
  <c r="B415" i="10" s="1"/>
  <c r="B416" i="10" a="1"/>
  <c r="B416" i="10" s="1"/>
  <c r="B417" i="10" a="1"/>
  <c r="B417" i="10" s="1"/>
  <c r="B418" i="10" a="1"/>
  <c r="B418" i="10" s="1"/>
  <c r="B419" i="10" a="1"/>
  <c r="B419" i="10" s="1"/>
  <c r="B420" i="10" a="1"/>
  <c r="B420" i="10" s="1"/>
  <c r="B421" i="10" a="1"/>
  <c r="B421" i="10" s="1"/>
  <c r="B422" i="10" a="1"/>
  <c r="B422" i="10" s="1"/>
  <c r="B423" i="10" a="1"/>
  <c r="B423" i="10" s="1"/>
  <c r="B424" i="10" a="1"/>
  <c r="B424" i="10" s="1"/>
  <c r="B425" i="10" a="1"/>
  <c r="B425" i="10" s="1"/>
  <c r="B426" i="10" a="1"/>
  <c r="B426" i="10" s="1"/>
  <c r="B427" i="10" a="1"/>
  <c r="B427" i="10" s="1"/>
  <c r="B428" i="10" a="1"/>
  <c r="B428" i="10" s="1"/>
  <c r="B429" i="10" a="1"/>
  <c r="B429" i="10" s="1"/>
  <c r="B430" i="10" a="1"/>
  <c r="B430" i="10" s="1"/>
  <c r="B431" i="10" a="1"/>
  <c r="B431" i="10" s="1"/>
  <c r="B432" i="10" a="1"/>
  <c r="B432" i="10" s="1"/>
  <c r="B433" i="10" a="1"/>
  <c r="B433" i="10" s="1"/>
  <c r="B434" i="10" a="1"/>
  <c r="B434" i="10" s="1"/>
  <c r="B435" i="10" a="1"/>
  <c r="B435" i="10" s="1"/>
  <c r="B436" i="10" a="1"/>
  <c r="B436" i="10" s="1"/>
  <c r="B437" i="10" a="1"/>
  <c r="B437" i="10" s="1"/>
  <c r="B438" i="10" a="1"/>
  <c r="B438" i="10" s="1"/>
  <c r="B439" i="10" a="1"/>
  <c r="B439" i="10" s="1"/>
  <c r="B440" i="10" a="1"/>
  <c r="B440" i="10" s="1"/>
  <c r="B441" i="10" a="1"/>
  <c r="B441" i="10" s="1"/>
  <c r="B442" i="10" a="1"/>
  <c r="B442" i="10" s="1"/>
  <c r="B443" i="10" a="1"/>
  <c r="B443" i="10" s="1"/>
  <c r="B444" i="10" a="1"/>
  <c r="B444" i="10" s="1"/>
  <c r="B445" i="10" a="1"/>
  <c r="B445" i="10" s="1"/>
  <c r="B446" i="10" a="1"/>
  <c r="B446" i="10" s="1"/>
  <c r="B447" i="10" a="1"/>
  <c r="B447" i="10" s="1"/>
  <c r="B448" i="10" a="1"/>
  <c r="B448" i="10" s="1"/>
  <c r="B449" i="10" a="1"/>
  <c r="B449" i="10" s="1"/>
  <c r="B450" i="10" a="1"/>
  <c r="B450" i="10" s="1"/>
  <c r="B451" i="10" a="1"/>
  <c r="B451" i="10" s="1"/>
  <c r="B452" i="10" a="1"/>
  <c r="B452" i="10" s="1"/>
  <c r="B453" i="10" a="1"/>
  <c r="B453" i="10" s="1"/>
  <c r="B454" i="10" a="1"/>
  <c r="B454" i="10" s="1"/>
  <c r="B455" i="10" a="1"/>
  <c r="B455" i="10" s="1"/>
  <c r="B456" i="10" a="1"/>
  <c r="B456" i="10" s="1"/>
  <c r="B457" i="10" a="1"/>
  <c r="B457" i="10" s="1"/>
  <c r="B458" i="10" a="1"/>
  <c r="B458" i="10" s="1"/>
  <c r="B459" i="10" a="1"/>
  <c r="B459" i="10" s="1"/>
  <c r="B460" i="10" a="1"/>
  <c r="B460" i="10" s="1"/>
  <c r="B461" i="10" a="1"/>
  <c r="B461" i="10" s="1"/>
  <c r="B462" i="10" a="1"/>
  <c r="B462" i="10" s="1"/>
  <c r="B463" i="10" a="1"/>
  <c r="B463" i="10" s="1"/>
  <c r="B464" i="10" a="1"/>
  <c r="B464" i="10" s="1"/>
  <c r="B465" i="10" a="1"/>
  <c r="B465" i="10" s="1"/>
  <c r="B466" i="10" a="1"/>
  <c r="B466" i="10" s="1"/>
  <c r="B467" i="10" a="1"/>
  <c r="B467" i="10" s="1"/>
  <c r="B468" i="10" a="1"/>
  <c r="B468" i="10" s="1"/>
  <c r="B469" i="10" a="1"/>
  <c r="B469" i="10" s="1"/>
  <c r="B470" i="10" a="1"/>
  <c r="B470" i="10" s="1"/>
  <c r="B471" i="10" a="1"/>
  <c r="B471" i="10" s="1"/>
  <c r="B472" i="10" a="1"/>
  <c r="B472" i="10" s="1"/>
  <c r="B473" i="10" a="1"/>
  <c r="B473" i="10" s="1"/>
  <c r="B474" i="10" a="1"/>
  <c r="B474" i="10" s="1"/>
  <c r="B475" i="10" a="1"/>
  <c r="B475" i="10" s="1"/>
  <c r="B476" i="10" a="1"/>
  <c r="B476" i="10" s="1"/>
  <c r="B477" i="10" a="1"/>
  <c r="B477" i="10" s="1"/>
  <c r="B478" i="10" a="1"/>
  <c r="B478" i="10" s="1"/>
  <c r="B479" i="10" a="1"/>
  <c r="B479" i="10" s="1"/>
  <c r="B480" i="10" a="1"/>
  <c r="B480" i="10" s="1"/>
  <c r="B481" i="10" a="1"/>
  <c r="B481" i="10" s="1"/>
  <c r="B482" i="10" a="1"/>
  <c r="B482" i="10" s="1"/>
  <c r="B483" i="10" a="1"/>
  <c r="B483" i="10" s="1"/>
  <c r="B484" i="10" a="1"/>
  <c r="B484" i="10" s="1"/>
  <c r="B485" i="10" a="1"/>
  <c r="B485" i="10" s="1"/>
  <c r="B486" i="10" a="1"/>
  <c r="B486" i="10" s="1"/>
  <c r="B487" i="10" a="1"/>
  <c r="B487" i="10" s="1"/>
  <c r="B488" i="10" a="1"/>
  <c r="B488" i="10" s="1"/>
  <c r="B489" i="10" a="1"/>
  <c r="B489" i="10" s="1"/>
  <c r="B490" i="10" a="1"/>
  <c r="B490" i="10" s="1"/>
  <c r="B491" i="10" a="1"/>
  <c r="B491" i="10" s="1"/>
  <c r="B492" i="10" a="1"/>
  <c r="B492" i="10" s="1"/>
  <c r="B493" i="10" a="1"/>
  <c r="B493" i="10" s="1"/>
  <c r="B494" i="10" a="1"/>
  <c r="B494" i="10" s="1"/>
  <c r="B495" i="10" a="1"/>
  <c r="B495" i="10" s="1"/>
  <c r="B496" i="10" a="1"/>
  <c r="B496" i="10" s="1"/>
  <c r="B497" i="10" a="1"/>
  <c r="B497" i="10" s="1"/>
  <c r="B498" i="10" a="1"/>
  <c r="B498" i="10" s="1"/>
  <c r="B499" i="10" a="1"/>
  <c r="B499" i="10" s="1"/>
  <c r="B500" i="10" a="1"/>
  <c r="B500" i="10" s="1"/>
  <c r="B501" i="10" a="1"/>
  <c r="B501" i="10" s="1"/>
  <c r="B502" i="10" a="1"/>
  <c r="B502" i="10" s="1"/>
  <c r="B503" i="10" a="1"/>
  <c r="B503" i="10" s="1"/>
  <c r="B504" i="10" a="1"/>
  <c r="B504" i="10" s="1"/>
  <c r="B505" i="10" a="1"/>
  <c r="B505" i="10" s="1"/>
  <c r="B506" i="10" a="1"/>
  <c r="B506" i="10" s="1"/>
  <c r="B507" i="10" a="1"/>
  <c r="B507" i="10" s="1"/>
  <c r="B508" i="10" a="1"/>
  <c r="B508" i="10" s="1"/>
  <c r="B509" i="10" a="1"/>
  <c r="B509" i="10" s="1"/>
  <c r="B510" i="10" a="1"/>
  <c r="B510" i="10" s="1"/>
  <c r="B511" i="10" a="1"/>
  <c r="B511" i="10" s="1"/>
  <c r="B512" i="10" a="1"/>
  <c r="B512" i="10" s="1"/>
  <c r="B513" i="10" a="1"/>
  <c r="B513" i="10" s="1"/>
  <c r="B514" i="10" a="1"/>
  <c r="B514" i="10" s="1"/>
  <c r="B515" i="10" a="1"/>
  <c r="B515" i="10" s="1"/>
  <c r="B516" i="10" a="1"/>
  <c r="B516" i="10" s="1"/>
  <c r="B517" i="10" a="1"/>
  <c r="B517" i="10" s="1"/>
  <c r="B518" i="10" a="1"/>
  <c r="B518" i="10" s="1"/>
  <c r="B519" i="10" a="1"/>
  <c r="B519" i="10" s="1"/>
  <c r="B520" i="10" a="1"/>
  <c r="B520" i="10" s="1"/>
  <c r="B521" i="10" a="1"/>
  <c r="B521" i="10" s="1"/>
  <c r="B522" i="10" a="1"/>
  <c r="B522" i="10" s="1"/>
  <c r="B523" i="10" a="1"/>
  <c r="B523" i="10" s="1"/>
  <c r="B524" i="10" a="1"/>
  <c r="B524" i="10" s="1"/>
  <c r="B525" i="10" a="1"/>
  <c r="B525" i="10" s="1"/>
  <c r="B526" i="10" a="1"/>
  <c r="B526" i="10" s="1"/>
  <c r="B527" i="10" a="1"/>
  <c r="B527" i="10" s="1"/>
  <c r="B528" i="10" a="1"/>
  <c r="B528" i="10" s="1"/>
  <c r="B529" i="10" a="1"/>
  <c r="B529" i="10" s="1"/>
  <c r="B530" i="10" a="1"/>
  <c r="B530" i="10" s="1"/>
  <c r="B531" i="10" a="1"/>
  <c r="B531" i="10" s="1"/>
  <c r="B532" i="10" a="1"/>
  <c r="B532" i="10" s="1"/>
  <c r="B533" i="10" a="1"/>
  <c r="B533" i="10" s="1"/>
  <c r="B534" i="10" a="1"/>
  <c r="B534" i="10" s="1"/>
  <c r="B535" i="10" a="1"/>
  <c r="B535" i="10" s="1"/>
  <c r="B536" i="10" a="1"/>
  <c r="B536" i="10" s="1"/>
  <c r="B537" i="10" a="1"/>
  <c r="B537" i="10" s="1"/>
  <c r="B538" i="10" a="1"/>
  <c r="B538" i="10" s="1"/>
  <c r="B539" i="10" a="1"/>
  <c r="B539" i="10" s="1"/>
  <c r="B540" i="10" a="1"/>
  <c r="B540" i="10" s="1"/>
  <c r="B541" i="10" a="1"/>
  <c r="B541" i="10" s="1"/>
  <c r="B542" i="10" a="1"/>
  <c r="B542" i="10" s="1"/>
  <c r="B543" i="10" a="1"/>
  <c r="B543" i="10" s="1"/>
  <c r="B544" i="10" a="1"/>
  <c r="B544" i="10" s="1"/>
  <c r="B545" i="10" a="1"/>
  <c r="B545" i="10" s="1"/>
  <c r="B546" i="10" a="1"/>
  <c r="B546" i="10" s="1"/>
  <c r="B547" i="10" a="1"/>
  <c r="B547" i="10" s="1"/>
  <c r="B548" i="10" a="1"/>
  <c r="B548" i="10" s="1"/>
  <c r="B549" i="10" a="1"/>
  <c r="B549" i="10" s="1"/>
  <c r="B550" i="10" a="1"/>
  <c r="B550" i="10" s="1"/>
  <c r="B551" i="10" a="1"/>
  <c r="B551" i="10" s="1"/>
  <c r="B552" i="10" a="1"/>
  <c r="B552" i="10" s="1"/>
  <c r="B553" i="10" a="1"/>
  <c r="B553" i="10" s="1"/>
  <c r="B554" i="10" a="1"/>
  <c r="B554" i="10" s="1"/>
  <c r="B555" i="10" a="1"/>
  <c r="B555" i="10" s="1"/>
  <c r="B556" i="10" a="1"/>
  <c r="B556" i="10" s="1"/>
  <c r="B557" i="10" a="1"/>
  <c r="B557" i="10" s="1"/>
  <c r="B558" i="10" a="1"/>
  <c r="B558" i="10" s="1"/>
  <c r="B559" i="10" a="1"/>
  <c r="B559" i="10" s="1"/>
  <c r="B560" i="10" a="1"/>
  <c r="B560" i="10" s="1"/>
  <c r="B561" i="10" a="1"/>
  <c r="B561" i="10" s="1"/>
  <c r="B562" i="10" a="1"/>
  <c r="B562" i="10" s="1"/>
  <c r="B563" i="10" a="1"/>
  <c r="B563" i="10" s="1"/>
  <c r="B564" i="10" a="1"/>
  <c r="B564" i="10" s="1"/>
  <c r="B565" i="10" a="1"/>
  <c r="B565" i="10" s="1"/>
  <c r="B566" i="10" a="1"/>
  <c r="B566" i="10" s="1"/>
  <c r="B567" i="10" a="1"/>
  <c r="B567" i="10" s="1"/>
  <c r="B568" i="10" a="1"/>
  <c r="B568" i="10" s="1"/>
  <c r="B569" i="10" a="1"/>
  <c r="B569" i="10" s="1"/>
  <c r="B570" i="10" a="1"/>
  <c r="B570" i="10" s="1"/>
  <c r="B571" i="10" a="1"/>
  <c r="B571" i="10" s="1"/>
  <c r="B572" i="10" a="1"/>
  <c r="B572" i="10" s="1"/>
  <c r="B573" i="10" a="1"/>
  <c r="B573" i="10" s="1"/>
  <c r="B574" i="10" a="1"/>
  <c r="B574" i="10" s="1"/>
  <c r="B575" i="10" a="1"/>
  <c r="B575" i="10" s="1"/>
  <c r="B576" i="10" a="1"/>
  <c r="B576" i="10" s="1"/>
  <c r="B577" i="10" a="1"/>
  <c r="B577" i="10" s="1"/>
  <c r="B578" i="10" a="1"/>
  <c r="B578" i="10" s="1"/>
  <c r="B579" i="10" a="1"/>
  <c r="B579" i="10" s="1"/>
  <c r="B580" i="10" a="1"/>
  <c r="B580" i="10" s="1"/>
  <c r="B581" i="10" a="1"/>
  <c r="B581" i="10" s="1"/>
  <c r="B582" i="10" a="1"/>
  <c r="B582" i="10" s="1"/>
  <c r="B583" i="10" a="1"/>
  <c r="B583" i="10" s="1"/>
  <c r="B584" i="10" a="1"/>
  <c r="B584" i="10" s="1"/>
  <c r="B585" i="10" a="1"/>
  <c r="B585" i="10" s="1"/>
  <c r="B586" i="10" a="1"/>
  <c r="B586" i="10" s="1"/>
  <c r="B587" i="10" a="1"/>
  <c r="B587" i="10" s="1"/>
  <c r="B588" i="10" a="1"/>
  <c r="B588" i="10" s="1"/>
  <c r="B589" i="10" a="1"/>
  <c r="B589" i="10" s="1"/>
  <c r="B590" i="10" a="1"/>
  <c r="B590" i="10" s="1"/>
  <c r="B591" i="10" a="1"/>
  <c r="B591" i="10" s="1"/>
  <c r="B592" i="10" a="1"/>
  <c r="B592" i="10" s="1"/>
  <c r="B593" i="10" a="1"/>
  <c r="B593" i="10" s="1"/>
  <c r="B594" i="10" a="1"/>
  <c r="B594" i="10" s="1"/>
  <c r="B595" i="10" a="1"/>
  <c r="B595" i="10" s="1"/>
  <c r="B596" i="10" a="1"/>
  <c r="B596" i="10" s="1"/>
  <c r="B597" i="10" a="1"/>
  <c r="B597" i="10" s="1"/>
  <c r="B598" i="10" a="1"/>
  <c r="B598" i="10" s="1"/>
  <c r="B599" i="10" a="1"/>
  <c r="B599" i="10" s="1"/>
  <c r="B600" i="10" a="1"/>
  <c r="B600" i="10" s="1"/>
  <c r="B601" i="10" a="1"/>
  <c r="B601" i="10" s="1"/>
  <c r="B602" i="10" a="1"/>
  <c r="B602" i="10" s="1"/>
  <c r="B603" i="10" a="1"/>
  <c r="B603" i="10" s="1"/>
  <c r="B604" i="10" a="1"/>
  <c r="B604" i="10" s="1"/>
  <c r="B605" i="10" a="1"/>
  <c r="B605" i="10" s="1"/>
  <c r="B606" i="10" a="1"/>
  <c r="B606" i="10" s="1"/>
  <c r="B607" i="10" a="1"/>
  <c r="B607" i="10" s="1"/>
  <c r="B608" i="10" a="1"/>
  <c r="B608" i="10" s="1"/>
  <c r="B609" i="10" a="1"/>
  <c r="B609" i="10" s="1"/>
  <c r="B610" i="10" a="1"/>
  <c r="B610" i="10" s="1"/>
  <c r="B611" i="10" a="1"/>
  <c r="B611" i="10" s="1"/>
  <c r="B612" i="10" a="1"/>
  <c r="B612" i="10" s="1"/>
  <c r="B613" i="10" a="1"/>
  <c r="B613" i="10" s="1"/>
  <c r="B614" i="10" a="1"/>
  <c r="B614" i="10" s="1"/>
  <c r="B615" i="10" a="1"/>
  <c r="B615" i="10" s="1"/>
  <c r="B616" i="10" a="1"/>
  <c r="B616" i="10" s="1"/>
  <c r="B617" i="10" a="1"/>
  <c r="B617" i="10" s="1"/>
  <c r="B618" i="10" a="1"/>
  <c r="B618" i="10" s="1"/>
  <c r="B619" i="10" a="1"/>
  <c r="B619" i="10" s="1"/>
  <c r="B620" i="10" a="1"/>
  <c r="B620" i="10" s="1"/>
  <c r="B621" i="10" a="1"/>
  <c r="B621" i="10" s="1"/>
  <c r="B622" i="10" a="1"/>
  <c r="B622" i="10" s="1"/>
  <c r="B623" i="10" a="1"/>
  <c r="B623" i="10" s="1"/>
  <c r="B624" i="10" a="1"/>
  <c r="B624" i="10" s="1"/>
  <c r="B625" i="10" a="1"/>
  <c r="B625" i="10" s="1"/>
  <c r="B626" i="10" a="1"/>
  <c r="B626" i="10" s="1"/>
  <c r="B627" i="10" a="1"/>
  <c r="B627" i="10" s="1"/>
  <c r="B628" i="10" a="1"/>
  <c r="B628" i="10" s="1"/>
  <c r="B629" i="10" a="1"/>
  <c r="B629" i="10" s="1"/>
  <c r="B630" i="10" a="1"/>
  <c r="B630" i="10" s="1"/>
  <c r="B631" i="10" a="1"/>
  <c r="B631" i="10" s="1"/>
  <c r="B632" i="10" a="1"/>
  <c r="B632" i="10" s="1"/>
  <c r="B633" i="10" a="1"/>
  <c r="B633" i="10" s="1"/>
  <c r="B634" i="10" a="1"/>
  <c r="B634" i="10" s="1"/>
  <c r="B635" i="10" a="1"/>
  <c r="B635" i="10" s="1"/>
  <c r="B636" i="10" a="1"/>
  <c r="B636" i="10" s="1"/>
  <c r="B637" i="10" a="1"/>
  <c r="B637" i="10" s="1"/>
  <c r="B638" i="10" a="1"/>
  <c r="B638" i="10" s="1"/>
  <c r="B639" i="10" a="1"/>
  <c r="B639" i="10" s="1"/>
  <c r="B640" i="10" a="1"/>
  <c r="B640" i="10" s="1"/>
  <c r="B641" i="10" a="1"/>
  <c r="B641" i="10" s="1"/>
  <c r="B642" i="10" a="1"/>
  <c r="B642" i="10" s="1"/>
  <c r="B643" i="10" a="1"/>
  <c r="B643" i="10" s="1"/>
  <c r="B644" i="10" a="1"/>
  <c r="B644" i="10" s="1"/>
  <c r="B645" i="10" a="1"/>
  <c r="B645" i="10" s="1"/>
  <c r="B646" i="10" a="1"/>
  <c r="B646" i="10" s="1"/>
  <c r="B647" i="10" a="1"/>
  <c r="B647" i="10" s="1"/>
  <c r="B648" i="10" a="1"/>
  <c r="B648" i="10" s="1"/>
  <c r="B649" i="10" a="1"/>
  <c r="B649" i="10" s="1"/>
  <c r="B650" i="10" a="1"/>
  <c r="B650" i="10" s="1"/>
  <c r="B651" i="10" a="1"/>
  <c r="B651" i="10" s="1"/>
  <c r="B652" i="10" a="1"/>
  <c r="B652" i="10" s="1"/>
  <c r="B653" i="10" a="1"/>
  <c r="B653" i="10" s="1"/>
  <c r="B654" i="10" a="1"/>
  <c r="B654" i="10" s="1"/>
  <c r="B655" i="10" a="1"/>
  <c r="B655" i="10" s="1"/>
  <c r="B656" i="10" a="1"/>
  <c r="B656" i="10" s="1"/>
  <c r="B657" i="10" a="1"/>
  <c r="B657" i="10" s="1"/>
  <c r="B658" i="10" a="1"/>
  <c r="B658" i="10" s="1"/>
  <c r="B659" i="10" a="1"/>
  <c r="B659" i="10" s="1"/>
  <c r="B660" i="10" a="1"/>
  <c r="B660" i="10" s="1"/>
  <c r="B661" i="10" a="1"/>
  <c r="B661" i="10" s="1"/>
  <c r="B662" i="10" a="1"/>
  <c r="B662" i="10" s="1"/>
  <c r="B663" i="10" a="1"/>
  <c r="B663" i="10" s="1"/>
  <c r="B664" i="10" a="1"/>
  <c r="B664" i="10" s="1"/>
  <c r="B665" i="10" a="1"/>
  <c r="B665" i="10" s="1"/>
  <c r="B666" i="10" a="1"/>
  <c r="B666" i="10" s="1"/>
  <c r="B667" i="10" a="1"/>
  <c r="B667" i="10" s="1"/>
  <c r="B668" i="10" a="1"/>
  <c r="B668" i="10" s="1"/>
  <c r="B669" i="10" a="1"/>
  <c r="B669" i="10" s="1"/>
  <c r="B670" i="10" a="1"/>
  <c r="B670" i="10" s="1"/>
  <c r="B671" i="10" a="1"/>
  <c r="B671" i="10" s="1"/>
  <c r="B672" i="10" a="1"/>
  <c r="B672" i="10" s="1"/>
  <c r="B673" i="10" a="1"/>
  <c r="B673" i="10" s="1"/>
  <c r="B674" i="10" a="1"/>
  <c r="B674" i="10" s="1"/>
  <c r="B675" i="10" a="1"/>
  <c r="B675" i="10" s="1"/>
  <c r="B676" i="10" a="1"/>
  <c r="B676" i="10" s="1"/>
  <c r="B677" i="10" a="1"/>
  <c r="B677" i="10" s="1"/>
  <c r="B678" i="10" a="1"/>
  <c r="B678" i="10" s="1"/>
  <c r="B679" i="10" a="1"/>
  <c r="B679" i="10" s="1"/>
  <c r="B680" i="10" a="1"/>
  <c r="B680" i="10" s="1"/>
  <c r="B681" i="10" a="1"/>
  <c r="B681" i="10" s="1"/>
  <c r="B682" i="10" a="1"/>
  <c r="B682" i="10" s="1"/>
  <c r="B683" i="10" a="1"/>
  <c r="B683" i="10" s="1"/>
  <c r="B684" i="10" a="1"/>
  <c r="B684" i="10" s="1"/>
  <c r="B685" i="10" a="1"/>
  <c r="B685" i="10" s="1"/>
  <c r="B686" i="10" a="1"/>
  <c r="B686" i="10" s="1"/>
  <c r="B687" i="10" a="1"/>
  <c r="B687" i="10" s="1"/>
  <c r="B688" i="10" a="1"/>
  <c r="B688" i="10" s="1"/>
  <c r="B689" i="10" a="1"/>
  <c r="B689" i="10" s="1"/>
  <c r="B690" i="10" a="1"/>
  <c r="B690" i="10" s="1"/>
  <c r="B691" i="10" a="1"/>
  <c r="B691" i="10" s="1"/>
  <c r="B692" i="10" a="1"/>
  <c r="B692" i="10" s="1"/>
  <c r="B693" i="10" a="1"/>
  <c r="B693" i="10" s="1"/>
  <c r="B694" i="10" a="1"/>
  <c r="B694" i="10" s="1"/>
  <c r="B695" i="10" a="1"/>
  <c r="B695" i="10" s="1"/>
  <c r="B696" i="10" a="1"/>
  <c r="B696" i="10" s="1"/>
  <c r="B697" i="10" a="1"/>
  <c r="B697" i="10" s="1"/>
  <c r="B698" i="10" a="1"/>
  <c r="B698" i="10" s="1"/>
  <c r="B699" i="10" a="1"/>
  <c r="B699" i="10" s="1"/>
  <c r="B700" i="10" a="1"/>
  <c r="B700" i="10" s="1"/>
  <c r="B701" i="10" a="1"/>
  <c r="B701" i="10" s="1"/>
  <c r="B702" i="10" a="1"/>
  <c r="B702" i="10" s="1"/>
  <c r="B703" i="10" a="1"/>
  <c r="B703" i="10" s="1"/>
  <c r="B704" i="10" a="1"/>
  <c r="B704" i="10" s="1"/>
  <c r="B705" i="10" a="1"/>
  <c r="B705" i="10" s="1"/>
  <c r="B706" i="10" a="1"/>
  <c r="B706" i="10" s="1"/>
  <c r="B707" i="10" a="1"/>
  <c r="B707" i="10" s="1"/>
  <c r="B708" i="10" a="1"/>
  <c r="B708" i="10" s="1"/>
  <c r="B709" i="10" a="1"/>
  <c r="B709" i="10" s="1"/>
  <c r="B710" i="10" a="1"/>
  <c r="B710" i="10" s="1"/>
  <c r="B711" i="10" a="1"/>
  <c r="B711" i="10" s="1"/>
  <c r="B712" i="10" a="1"/>
  <c r="B712" i="10" s="1"/>
  <c r="B713" i="10" a="1"/>
  <c r="B713" i="10" s="1"/>
  <c r="B714" i="10" a="1"/>
  <c r="B714" i="10" s="1"/>
  <c r="B715" i="10" a="1"/>
  <c r="B715" i="10" s="1"/>
  <c r="B716" i="10" a="1"/>
  <c r="B716" i="10" s="1"/>
  <c r="B717" i="10" a="1"/>
  <c r="B717" i="10" s="1"/>
  <c r="B718" i="10" a="1"/>
  <c r="B718" i="10" s="1"/>
  <c r="B719" i="10" a="1"/>
  <c r="B719" i="10" s="1"/>
  <c r="B720" i="10" a="1"/>
  <c r="B720" i="10" s="1"/>
  <c r="B721" i="10" a="1"/>
  <c r="B721" i="10" s="1"/>
  <c r="B722" i="10" a="1"/>
  <c r="B722" i="10" s="1"/>
  <c r="B723" i="10" a="1"/>
  <c r="B723" i="10" s="1"/>
  <c r="B724" i="10" a="1"/>
  <c r="B724" i="10" s="1"/>
  <c r="B725" i="10" a="1"/>
  <c r="B725" i="10" s="1"/>
  <c r="B726" i="10" a="1"/>
  <c r="B726" i="10" s="1"/>
  <c r="B727" i="10" a="1"/>
  <c r="B727" i="10" s="1"/>
  <c r="B728" i="10" a="1"/>
  <c r="B728" i="10" s="1"/>
  <c r="B729" i="10" a="1"/>
  <c r="B729" i="10" s="1"/>
  <c r="B730" i="10" a="1"/>
  <c r="B730" i="10" s="1"/>
  <c r="B731" i="10" a="1"/>
  <c r="B731" i="10" s="1"/>
  <c r="B732" i="10" a="1"/>
  <c r="B732" i="10" s="1"/>
  <c r="B733" i="10" a="1"/>
  <c r="B733" i="10" s="1"/>
  <c r="B734" i="10" a="1"/>
  <c r="B734" i="10" s="1"/>
  <c r="B735" i="10" a="1"/>
  <c r="B735" i="10" s="1"/>
  <c r="B736" i="10" a="1"/>
  <c r="B736" i="10" s="1"/>
  <c r="B737" i="10" a="1"/>
  <c r="B737" i="10" s="1"/>
  <c r="B738" i="10" a="1"/>
  <c r="B738" i="10" s="1"/>
  <c r="B739" i="10" a="1"/>
  <c r="B739" i="10" s="1"/>
  <c r="B740" i="10" a="1"/>
  <c r="B740" i="10" s="1"/>
  <c r="B741" i="10" a="1"/>
  <c r="B741" i="10" s="1"/>
  <c r="B742" i="10" a="1"/>
  <c r="B742" i="10" s="1"/>
  <c r="B743" i="10" a="1"/>
  <c r="B743" i="10" s="1"/>
  <c r="B744" i="10" a="1"/>
  <c r="B744" i="10" s="1"/>
  <c r="B745" i="10" a="1"/>
  <c r="B745" i="10" s="1"/>
  <c r="B746" i="10" a="1"/>
  <c r="B746" i="10" s="1"/>
  <c r="B747" i="10" a="1"/>
  <c r="B747" i="10" s="1"/>
  <c r="B748" i="10" a="1"/>
  <c r="B748" i="10" s="1"/>
  <c r="B749" i="10" a="1"/>
  <c r="B749" i="10" s="1"/>
  <c r="B750" i="10" a="1"/>
  <c r="B750" i="10" s="1"/>
  <c r="B751" i="10" a="1"/>
  <c r="B751" i="10" s="1"/>
  <c r="B752" i="10" a="1"/>
  <c r="B752" i="10" s="1"/>
  <c r="B753" i="10" a="1"/>
  <c r="B753" i="10" s="1"/>
  <c r="B754" i="10" a="1"/>
  <c r="B754" i="10" s="1"/>
  <c r="B755" i="10" a="1"/>
  <c r="B755" i="10" s="1"/>
  <c r="B756" i="10" a="1"/>
  <c r="B756" i="10" s="1"/>
  <c r="B757" i="10" a="1"/>
  <c r="B757" i="10" s="1"/>
  <c r="B758" i="10" a="1"/>
  <c r="B758" i="10" s="1"/>
  <c r="B759" i="10" a="1"/>
  <c r="B759" i="10" s="1"/>
  <c r="B760" i="10" a="1"/>
  <c r="B760" i="10" s="1"/>
  <c r="B761" i="10" a="1"/>
  <c r="B761" i="10" s="1"/>
  <c r="B762" i="10" a="1"/>
  <c r="B762" i="10" s="1"/>
  <c r="B763" i="10" a="1"/>
  <c r="B763" i="10" s="1"/>
  <c r="B764" i="10" a="1"/>
  <c r="B764" i="10" s="1"/>
  <c r="B765" i="10" a="1"/>
  <c r="B765" i="10" s="1"/>
  <c r="B766" i="10" a="1"/>
  <c r="B766" i="10" s="1"/>
  <c r="B767" i="10" a="1"/>
  <c r="B767" i="10" s="1"/>
  <c r="B768" i="10" a="1"/>
  <c r="B768" i="10" s="1"/>
  <c r="B769" i="10" a="1"/>
  <c r="B769" i="10" s="1"/>
  <c r="B770" i="10" a="1"/>
  <c r="B770" i="10" s="1"/>
  <c r="B771" i="10" a="1"/>
  <c r="B771" i="10" s="1"/>
  <c r="B772" i="10" a="1"/>
  <c r="B772" i="10" s="1"/>
  <c r="B773" i="10" a="1"/>
  <c r="B773" i="10" s="1"/>
  <c r="B774" i="10" a="1"/>
  <c r="B774" i="10" s="1"/>
  <c r="B775" i="10" a="1"/>
  <c r="B775" i="10" s="1"/>
  <c r="B776" i="10" a="1"/>
  <c r="B776" i="10" s="1"/>
  <c r="B777" i="10" a="1"/>
  <c r="B777" i="10" s="1"/>
  <c r="B778" i="10" a="1"/>
  <c r="B778" i="10" s="1"/>
  <c r="B779" i="10" a="1"/>
  <c r="B779" i="10" s="1"/>
  <c r="B780" i="10" a="1"/>
  <c r="B780" i="10" s="1"/>
  <c r="B781" i="10" a="1"/>
  <c r="B781" i="10" s="1"/>
  <c r="B782" i="10" a="1"/>
  <c r="B782" i="10" s="1"/>
  <c r="B783" i="10" a="1"/>
  <c r="B783" i="10" s="1"/>
  <c r="B784" i="10" a="1"/>
  <c r="B784" i="10" s="1"/>
  <c r="B785" i="10" a="1"/>
  <c r="B785" i="10" s="1"/>
  <c r="B786" i="10" a="1"/>
  <c r="B786" i="10" s="1"/>
  <c r="B787" i="10" a="1"/>
  <c r="B787" i="10" s="1"/>
  <c r="B788" i="10" a="1"/>
  <c r="B788" i="10" s="1"/>
  <c r="B789" i="10" a="1"/>
  <c r="B789" i="10" s="1"/>
  <c r="B790" i="10" a="1"/>
  <c r="B790" i="10" s="1"/>
  <c r="B791" i="10" a="1"/>
  <c r="B791" i="10" s="1"/>
  <c r="B792" i="10" a="1"/>
  <c r="B792" i="10" s="1"/>
  <c r="B793" i="10" a="1"/>
  <c r="B793" i="10" s="1"/>
  <c r="B794" i="10" a="1"/>
  <c r="B794" i="10" s="1"/>
  <c r="B795" i="10" a="1"/>
  <c r="B795" i="10" s="1"/>
  <c r="B796" i="10" a="1"/>
  <c r="B796" i="10" s="1"/>
  <c r="B797" i="10" a="1"/>
  <c r="B797" i="10" s="1"/>
  <c r="B798" i="10" a="1"/>
  <c r="B798" i="10" s="1"/>
  <c r="B799" i="10" a="1"/>
  <c r="B799" i="10" s="1"/>
  <c r="B800" i="10" a="1"/>
  <c r="B800" i="10" s="1"/>
  <c r="B801" i="10" a="1"/>
  <c r="B801" i="10" s="1"/>
  <c r="B802" i="10" a="1"/>
  <c r="B802" i="10" s="1"/>
  <c r="B803" i="10" a="1"/>
  <c r="B803" i="10" s="1"/>
  <c r="B804" i="10" a="1"/>
  <c r="B804" i="10" s="1"/>
  <c r="B805" i="10" a="1"/>
  <c r="B805" i="10" s="1"/>
  <c r="B806" i="10" a="1"/>
  <c r="B806" i="10" s="1"/>
  <c r="B807" i="10" a="1"/>
  <c r="B807" i="10" s="1"/>
  <c r="B808" i="10" a="1"/>
  <c r="B808" i="10" s="1"/>
  <c r="B809" i="10" a="1"/>
  <c r="B809" i="10" s="1"/>
  <c r="B810" i="10" a="1"/>
  <c r="B810" i="10" s="1"/>
  <c r="B811" i="10" a="1"/>
  <c r="B811" i="10" s="1"/>
  <c r="B812" i="10" a="1"/>
  <c r="B812" i="10" s="1"/>
  <c r="B813" i="10" a="1"/>
  <c r="B813" i="10" s="1"/>
  <c r="B814" i="10" a="1"/>
  <c r="B814" i="10" s="1"/>
  <c r="B815" i="10" a="1"/>
  <c r="B815" i="10" s="1"/>
  <c r="B816" i="10" a="1"/>
  <c r="B816" i="10" s="1"/>
  <c r="B817" i="10" a="1"/>
  <c r="B817" i="10" s="1"/>
  <c r="B818" i="10" a="1"/>
  <c r="B818" i="10" s="1"/>
  <c r="B819" i="10" a="1"/>
  <c r="B819" i="10" s="1"/>
  <c r="B820" i="10" a="1"/>
  <c r="B820" i="10" s="1"/>
  <c r="B821" i="10" a="1"/>
  <c r="B821" i="10" s="1"/>
  <c r="B822" i="10" a="1"/>
  <c r="B822" i="10" s="1"/>
  <c r="B823" i="10" a="1"/>
  <c r="B823" i="10" s="1"/>
  <c r="B824" i="10" a="1"/>
  <c r="B824" i="10" s="1"/>
  <c r="B825" i="10" a="1"/>
  <c r="B825" i="10" s="1"/>
  <c r="B826" i="10" a="1"/>
  <c r="B826" i="10" s="1"/>
  <c r="B827" i="10" a="1"/>
  <c r="B827" i="10" s="1"/>
  <c r="B828" i="10" a="1"/>
  <c r="B828" i="10" s="1"/>
  <c r="B829" i="10" a="1"/>
  <c r="B829" i="10" s="1"/>
  <c r="B830" i="10" a="1"/>
  <c r="B830" i="10" s="1"/>
  <c r="B831" i="10" a="1"/>
  <c r="B831" i="10" s="1"/>
  <c r="B832" i="10" a="1"/>
  <c r="B832" i="10" s="1"/>
  <c r="B833" i="10" a="1"/>
  <c r="B833" i="10" s="1"/>
  <c r="B834" i="10" a="1"/>
  <c r="B834" i="10" s="1"/>
  <c r="B835" i="10" a="1"/>
  <c r="B835" i="10" s="1"/>
  <c r="B836" i="10" a="1"/>
  <c r="B836" i="10" s="1"/>
  <c r="B837" i="10" a="1"/>
  <c r="B837" i="10" s="1"/>
  <c r="B838" i="10" a="1"/>
  <c r="B838" i="10" s="1"/>
  <c r="B839" i="10" a="1"/>
  <c r="B839" i="10" s="1"/>
  <c r="B840" i="10" a="1"/>
  <c r="B840" i="10" s="1"/>
  <c r="B841" i="10" a="1"/>
  <c r="B841" i="10" s="1"/>
  <c r="B842" i="10" a="1"/>
  <c r="B842" i="10" s="1"/>
  <c r="B843" i="10" a="1"/>
  <c r="B843" i="10" s="1"/>
  <c r="B844" i="10" a="1"/>
  <c r="B844" i="10" s="1"/>
  <c r="B845" i="10" a="1"/>
  <c r="B845" i="10" s="1"/>
  <c r="B846" i="10" a="1"/>
  <c r="B846" i="10" s="1"/>
  <c r="B847" i="10" a="1"/>
  <c r="B847" i="10" s="1"/>
  <c r="B848" i="10" a="1"/>
  <c r="B848" i="10" s="1"/>
  <c r="B849" i="10" a="1"/>
  <c r="B849" i="10" s="1"/>
  <c r="B850" i="10" a="1"/>
  <c r="B850" i="10" s="1"/>
  <c r="B851" i="10" a="1"/>
  <c r="B851" i="10" s="1"/>
  <c r="B852" i="10" a="1"/>
  <c r="B852" i="10" s="1"/>
  <c r="B853" i="10" a="1"/>
  <c r="B853" i="10" s="1"/>
  <c r="B854" i="10" a="1"/>
  <c r="B854" i="10" s="1"/>
  <c r="B855" i="10" a="1"/>
  <c r="B855" i="10" s="1"/>
  <c r="B856" i="10" a="1"/>
  <c r="B856" i="10" s="1"/>
  <c r="B857" i="10" a="1"/>
  <c r="B857" i="10" s="1"/>
  <c r="B858" i="10" a="1"/>
  <c r="B858" i="10" s="1"/>
  <c r="B859" i="10" a="1"/>
  <c r="B859" i="10" s="1"/>
  <c r="B860" i="10" a="1"/>
  <c r="B860" i="10" s="1"/>
  <c r="B861" i="10" a="1"/>
  <c r="B861" i="10" s="1"/>
  <c r="B862" i="10" a="1"/>
  <c r="B862" i="10" s="1"/>
  <c r="B863" i="10" a="1"/>
  <c r="B863" i="10" s="1"/>
  <c r="B864" i="10" a="1"/>
  <c r="B864" i="10" s="1"/>
  <c r="B865" i="10" a="1"/>
  <c r="B865" i="10" s="1"/>
  <c r="B866" i="10" a="1"/>
  <c r="B866" i="10" s="1"/>
  <c r="B867" i="10" a="1"/>
  <c r="B867" i="10" s="1"/>
  <c r="B868" i="10" a="1"/>
  <c r="B868" i="10" s="1"/>
  <c r="B869" i="10" a="1"/>
  <c r="B869" i="10" s="1"/>
  <c r="B870" i="10" a="1"/>
  <c r="B870" i="10" s="1"/>
  <c r="B871" i="10" a="1"/>
  <c r="B871" i="10" s="1"/>
  <c r="B872" i="10" a="1"/>
  <c r="B872" i="10" s="1"/>
  <c r="B873" i="10" a="1"/>
  <c r="B873" i="10" s="1"/>
  <c r="B874" i="10" a="1"/>
  <c r="B874" i="10" s="1"/>
  <c r="B875" i="10" a="1"/>
  <c r="B875" i="10" s="1"/>
  <c r="B876" i="10" a="1"/>
  <c r="B876" i="10" s="1"/>
  <c r="B877" i="10" a="1"/>
  <c r="B877" i="10" s="1"/>
  <c r="B878" i="10" a="1"/>
  <c r="B878" i="10" s="1"/>
  <c r="B879" i="10" a="1"/>
  <c r="B879" i="10" s="1"/>
  <c r="B880" i="10" a="1"/>
  <c r="B880" i="10" s="1"/>
  <c r="B881" i="10" a="1"/>
  <c r="B881" i="10" s="1"/>
  <c r="B882" i="10" a="1"/>
  <c r="B882" i="10" s="1"/>
  <c r="B883" i="10" a="1"/>
  <c r="B883" i="10" s="1"/>
  <c r="B884" i="10" a="1"/>
  <c r="B884" i="10" s="1"/>
  <c r="B885" i="10" a="1"/>
  <c r="B885" i="10" s="1"/>
  <c r="B886" i="10" a="1"/>
  <c r="B886" i="10" s="1"/>
  <c r="B887" i="10" a="1"/>
  <c r="B887" i="10" s="1"/>
  <c r="B888" i="10" a="1"/>
  <c r="B888" i="10" s="1"/>
  <c r="B889" i="10" a="1"/>
  <c r="B889" i="10" s="1"/>
  <c r="B890" i="10" a="1"/>
  <c r="B890" i="10" s="1"/>
  <c r="B891" i="10" a="1"/>
  <c r="B891" i="10" s="1"/>
  <c r="B892" i="10" a="1"/>
  <c r="B892" i="10" s="1"/>
  <c r="B893" i="10" a="1"/>
  <c r="B893" i="10" s="1"/>
  <c r="B894" i="10" a="1"/>
  <c r="B894" i="10" s="1"/>
  <c r="B895" i="10" a="1"/>
  <c r="B895" i="10" s="1"/>
  <c r="B896" i="10" a="1"/>
  <c r="B896" i="10" s="1"/>
  <c r="B897" i="10" a="1"/>
  <c r="B897" i="10" s="1"/>
  <c r="B898" i="10" a="1"/>
  <c r="B898" i="10" s="1"/>
  <c r="B899" i="10" a="1"/>
  <c r="B899" i="10" s="1"/>
  <c r="B900" i="10" a="1"/>
  <c r="B900" i="10" s="1"/>
  <c r="B901" i="10" a="1"/>
  <c r="B901" i="10" s="1"/>
  <c r="B902" i="10" a="1"/>
  <c r="B902" i="10" s="1"/>
  <c r="B903" i="10" a="1"/>
  <c r="B903" i="10" s="1"/>
  <c r="B904" i="10" a="1"/>
  <c r="B904" i="10" s="1"/>
  <c r="B905" i="10" a="1"/>
  <c r="B905" i="10" s="1"/>
  <c r="B906" i="10" a="1"/>
  <c r="B906" i="10" s="1"/>
  <c r="B907" i="10" a="1"/>
  <c r="B907" i="10" s="1"/>
  <c r="B908" i="10" a="1"/>
  <c r="B908" i="10" s="1"/>
  <c r="B909" i="10" a="1"/>
  <c r="B909" i="10" s="1"/>
  <c r="B910" i="10" a="1"/>
  <c r="B910" i="10" s="1"/>
  <c r="B911" i="10" a="1"/>
  <c r="B911" i="10" s="1"/>
  <c r="B912" i="10" a="1"/>
  <c r="B912" i="10" s="1"/>
  <c r="B913" i="10" a="1"/>
  <c r="B913" i="10" s="1"/>
  <c r="B914" i="10" a="1"/>
  <c r="B914" i="10" s="1"/>
  <c r="B915" i="10" a="1"/>
  <c r="B915" i="10" s="1"/>
  <c r="B916" i="10" a="1"/>
  <c r="B916" i="10" s="1"/>
  <c r="B917" i="10" a="1"/>
  <c r="B917" i="10" s="1"/>
  <c r="B918" i="10" a="1"/>
  <c r="B918" i="10" s="1"/>
  <c r="B919" i="10" a="1"/>
  <c r="B919" i="10" s="1"/>
  <c r="B920" i="10" a="1"/>
  <c r="B920" i="10" s="1"/>
  <c r="B921" i="10" a="1"/>
  <c r="B921" i="10" s="1"/>
  <c r="B922" i="10" a="1"/>
  <c r="B922" i="10" s="1"/>
  <c r="B923" i="10" a="1"/>
  <c r="B923" i="10" s="1"/>
  <c r="B924" i="10" a="1"/>
  <c r="B924" i="10" s="1"/>
  <c r="B925" i="10" a="1"/>
  <c r="B925" i="10" s="1"/>
  <c r="B926" i="10" a="1"/>
  <c r="B926" i="10" s="1"/>
  <c r="B927" i="10" a="1"/>
  <c r="B927" i="10" s="1"/>
  <c r="B928" i="10" a="1"/>
  <c r="B928" i="10" s="1"/>
  <c r="B929" i="10" a="1"/>
  <c r="B929" i="10" s="1"/>
  <c r="B930" i="10" a="1"/>
  <c r="B930" i="10" s="1"/>
  <c r="B931" i="10" a="1"/>
  <c r="B931" i="10" s="1"/>
  <c r="B932" i="10" a="1"/>
  <c r="B932" i="10" s="1"/>
  <c r="B933" i="10" a="1"/>
  <c r="B933" i="10" s="1"/>
  <c r="B934" i="10" a="1"/>
  <c r="B934" i="10" s="1"/>
  <c r="B935" i="10" a="1"/>
  <c r="B935" i="10" s="1"/>
  <c r="B936" i="10" a="1"/>
  <c r="B936" i="10" s="1"/>
  <c r="B937" i="10" a="1"/>
  <c r="B937" i="10" s="1"/>
  <c r="B938" i="10" a="1"/>
  <c r="B938" i="10" s="1"/>
  <c r="B939" i="10" a="1"/>
  <c r="B939" i="10" s="1"/>
  <c r="B940" i="10" a="1"/>
  <c r="B940" i="10" s="1"/>
  <c r="B941" i="10" a="1"/>
  <c r="B941" i="10" s="1"/>
  <c r="B942" i="10" a="1"/>
  <c r="B942" i="10" s="1"/>
  <c r="B943" i="10" a="1"/>
  <c r="B943" i="10" s="1"/>
  <c r="B944" i="10" a="1"/>
  <c r="B944" i="10" s="1"/>
  <c r="B945" i="10" a="1"/>
  <c r="B945" i="10" s="1"/>
  <c r="B946" i="10" a="1"/>
  <c r="B946" i="10" s="1"/>
  <c r="B947" i="10" a="1"/>
  <c r="B947" i="10" s="1"/>
  <c r="B948" i="10" a="1"/>
  <c r="B948" i="10" s="1"/>
  <c r="B949" i="10" a="1"/>
  <c r="B949" i="10" s="1"/>
  <c r="B950" i="10" a="1"/>
  <c r="B950" i="10" s="1"/>
  <c r="B951" i="10" a="1"/>
  <c r="B951" i="10" s="1"/>
  <c r="B952" i="10" a="1"/>
  <c r="B952" i="10" s="1"/>
  <c r="B953" i="10" a="1"/>
  <c r="B953" i="10" s="1"/>
  <c r="B954" i="10" a="1"/>
  <c r="B954" i="10" s="1"/>
  <c r="B955" i="10" a="1"/>
  <c r="B955" i="10" s="1"/>
  <c r="B956" i="10" a="1"/>
  <c r="B956" i="10" s="1"/>
  <c r="B957" i="10" a="1"/>
  <c r="B957" i="10" s="1"/>
  <c r="B958" i="10" a="1"/>
  <c r="B958" i="10" s="1"/>
  <c r="B959" i="10" a="1"/>
  <c r="B959" i="10" s="1"/>
  <c r="B960" i="10" a="1"/>
  <c r="B960" i="10" s="1"/>
  <c r="B961" i="10" a="1"/>
  <c r="B961" i="10" s="1"/>
  <c r="B962" i="10" a="1"/>
  <c r="B962" i="10" s="1"/>
  <c r="B963" i="10" a="1"/>
  <c r="B963" i="10" s="1"/>
  <c r="B964" i="10" a="1"/>
  <c r="B964" i="10" s="1"/>
  <c r="B965" i="10" a="1"/>
  <c r="B965" i="10" s="1"/>
  <c r="B966" i="10" a="1"/>
  <c r="B966" i="10" s="1"/>
  <c r="B967" i="10" a="1"/>
  <c r="B967" i="10" s="1"/>
  <c r="B968" i="10" a="1"/>
  <c r="B968" i="10" s="1"/>
  <c r="B969" i="10" a="1"/>
  <c r="B969" i="10" s="1"/>
  <c r="B970" i="10" a="1"/>
  <c r="B970" i="10" s="1"/>
  <c r="B971" i="10" a="1"/>
  <c r="B971" i="10" s="1"/>
  <c r="B972" i="10" a="1"/>
  <c r="B972" i="10" s="1"/>
  <c r="B973" i="10" a="1"/>
  <c r="B973" i="10" s="1"/>
  <c r="B974" i="10" a="1"/>
  <c r="B974" i="10" s="1"/>
  <c r="B975" i="10" a="1"/>
  <c r="B975" i="10" s="1"/>
  <c r="B976" i="10" a="1"/>
  <c r="B976" i="10" s="1"/>
  <c r="B977" i="10" a="1"/>
  <c r="B977" i="10" s="1"/>
  <c r="B978" i="10" a="1"/>
  <c r="B978" i="10" s="1"/>
  <c r="B979" i="10" a="1"/>
  <c r="B979" i="10" s="1"/>
  <c r="B980" i="10" a="1"/>
  <c r="B980" i="10" s="1"/>
  <c r="B981" i="10" a="1"/>
  <c r="B981" i="10" s="1"/>
  <c r="B982" i="10" a="1"/>
  <c r="B982" i="10" s="1"/>
  <c r="B983" i="10" a="1"/>
  <c r="B983" i="10" s="1"/>
  <c r="B984" i="10" a="1"/>
  <c r="B984" i="10" s="1"/>
  <c r="B985" i="10" a="1"/>
  <c r="B985" i="10" s="1"/>
  <c r="B986" i="10" a="1"/>
  <c r="B986" i="10" s="1"/>
  <c r="B987" i="10" a="1"/>
  <c r="B987" i="10" s="1"/>
  <c r="B988" i="10" a="1"/>
  <c r="B988" i="10" s="1"/>
  <c r="B989" i="10" a="1"/>
  <c r="B989" i="10" s="1"/>
  <c r="B990" i="10" a="1"/>
  <c r="B990" i="10" s="1"/>
  <c r="B991" i="10" a="1"/>
  <c r="B991" i="10" s="1"/>
  <c r="B992" i="10" a="1"/>
  <c r="B992" i="10" s="1"/>
  <c r="B993" i="10" a="1"/>
  <c r="B993" i="10" s="1"/>
  <c r="B994" i="10" a="1"/>
  <c r="B994" i="10" s="1"/>
  <c r="B995" i="10" a="1"/>
  <c r="B995" i="10" s="1"/>
  <c r="B996" i="10" a="1"/>
  <c r="B996" i="10" s="1"/>
  <c r="B997" i="10" a="1"/>
  <c r="B997" i="10" s="1"/>
  <c r="B998" i="10" a="1"/>
  <c r="B998" i="10" s="1"/>
  <c r="B999" i="10" a="1"/>
  <c r="B999" i="10" s="1"/>
  <c r="B1000" i="10" a="1"/>
  <c r="B1000" i="10" s="1"/>
  <c r="B1001" i="10" a="1"/>
  <c r="B1001" i="10" s="1"/>
  <c r="B1002" i="10" a="1"/>
  <c r="B1002" i="10" s="1"/>
  <c r="B1003" i="10" a="1"/>
  <c r="B1003" i="10" s="1"/>
  <c r="B1004" i="10" a="1"/>
  <c r="B1004" i="10" s="1"/>
  <c r="B1005" i="10" a="1"/>
  <c r="B1005" i="10" s="1"/>
  <c r="B1006" i="10" a="1"/>
  <c r="B1006" i="10" s="1"/>
  <c r="B1007" i="10" a="1"/>
  <c r="B1007" i="10" s="1"/>
  <c r="B1008" i="10" a="1"/>
  <c r="B1008" i="10" s="1"/>
  <c r="B1009" i="10" a="1"/>
  <c r="B1009" i="10" s="1"/>
  <c r="B1010" i="10" a="1"/>
  <c r="B1010" i="10" s="1"/>
  <c r="B1011" i="10" a="1"/>
  <c r="B1011" i="10" s="1"/>
  <c r="B1012" i="10" a="1"/>
  <c r="B1012" i="10" s="1"/>
  <c r="B1013" i="10" a="1"/>
  <c r="B1013" i="10" s="1"/>
  <c r="B1014" i="10" a="1"/>
  <c r="B1014" i="10" s="1"/>
  <c r="B1015" i="10" a="1"/>
  <c r="B1015" i="10" s="1"/>
  <c r="B1016" i="10" a="1"/>
  <c r="B1016" i="10" s="1"/>
  <c r="B1017" i="10" a="1"/>
  <c r="B1017" i="10" s="1"/>
  <c r="B1018" i="10" a="1"/>
  <c r="B1018" i="10" s="1"/>
  <c r="B1019" i="10" a="1"/>
  <c r="B1019" i="10" s="1"/>
  <c r="B1020" i="10" a="1"/>
  <c r="B1020" i="10" s="1"/>
  <c r="B1021" i="10" a="1"/>
  <c r="B1021" i="10" s="1"/>
  <c r="B1022" i="10" a="1"/>
  <c r="B1022" i="10" s="1"/>
  <c r="B1023" i="10" a="1"/>
  <c r="B1023" i="10" s="1"/>
  <c r="B1024" i="10" a="1"/>
  <c r="B1024" i="10" s="1"/>
  <c r="B1025" i="10" a="1"/>
  <c r="B1025" i="10" s="1"/>
  <c r="B1026" i="10" a="1"/>
  <c r="B1026" i="10" s="1"/>
  <c r="B1027" i="10" a="1"/>
  <c r="B1027" i="10" s="1"/>
  <c r="B1028" i="10" a="1"/>
  <c r="B1028" i="10" s="1"/>
  <c r="B1029" i="10" a="1"/>
  <c r="B1029" i="10" s="1"/>
  <c r="B1030" i="10" a="1"/>
  <c r="B1030" i="10" s="1"/>
  <c r="B1031" i="10" a="1"/>
  <c r="B1031" i="10" s="1"/>
  <c r="B1032" i="10" a="1"/>
  <c r="B1032" i="10" s="1"/>
  <c r="B1033" i="10" a="1"/>
  <c r="B1033" i="10" s="1"/>
  <c r="B1034" i="10" a="1"/>
  <c r="B1034" i="10" s="1"/>
  <c r="B1035" i="10" a="1"/>
  <c r="B1035" i="10" s="1"/>
  <c r="B1036" i="10" a="1"/>
  <c r="B1036" i="10" s="1"/>
  <c r="B1037" i="10" a="1"/>
  <c r="B1037" i="10" s="1"/>
  <c r="B1038" i="10" a="1"/>
  <c r="B1038" i="10" s="1"/>
  <c r="B1039" i="10" a="1"/>
  <c r="B1039" i="10" s="1"/>
  <c r="B1040" i="10" a="1"/>
  <c r="B1040" i="10" s="1"/>
  <c r="B1041" i="10" a="1"/>
  <c r="B1041" i="10" s="1"/>
  <c r="B1042" i="10" a="1"/>
  <c r="B1042" i="10" s="1"/>
  <c r="B1043" i="10" a="1"/>
  <c r="B1043" i="10" s="1"/>
  <c r="B1044" i="10" a="1"/>
  <c r="B1044" i="10" s="1"/>
  <c r="B1045" i="10" a="1"/>
  <c r="B1045" i="10" s="1"/>
  <c r="B1046" i="10" a="1"/>
  <c r="B1046" i="10" s="1"/>
  <c r="B1047" i="10" a="1"/>
  <c r="B1047" i="10" s="1"/>
  <c r="B1048" i="10" a="1"/>
  <c r="B1048" i="10" s="1"/>
  <c r="B1049" i="10" a="1"/>
  <c r="B1049" i="10" s="1"/>
  <c r="B1050" i="10" a="1"/>
  <c r="B1050" i="10" s="1"/>
  <c r="B1051" i="10" a="1"/>
  <c r="B1051" i="10" s="1"/>
  <c r="B1052" i="10" a="1"/>
  <c r="B1052" i="10" s="1"/>
  <c r="B1053" i="10" a="1"/>
  <c r="B1053" i="10" s="1"/>
  <c r="B1054" i="10" a="1"/>
  <c r="B1054" i="10" s="1"/>
  <c r="B1055" i="10" a="1"/>
  <c r="B1055" i="10" s="1"/>
  <c r="B1056" i="10" a="1"/>
  <c r="B1056" i="10" s="1"/>
  <c r="B1057" i="10" a="1"/>
  <c r="B1057" i="10" s="1"/>
  <c r="B1058" i="10" a="1"/>
  <c r="B1058" i="10" s="1"/>
  <c r="B1059" i="10" a="1"/>
  <c r="B1059" i="10" s="1"/>
  <c r="B1060" i="10" a="1"/>
  <c r="B1060" i="10" s="1"/>
  <c r="B1061" i="10" a="1"/>
  <c r="B1061" i="10" s="1"/>
  <c r="B1062" i="10" a="1"/>
  <c r="B1062" i="10" s="1"/>
  <c r="B1063" i="10" a="1"/>
  <c r="B1063" i="10" s="1"/>
  <c r="B1064" i="10" a="1"/>
  <c r="B1064" i="10" s="1"/>
  <c r="B1065" i="10" a="1"/>
  <c r="B1065" i="10" s="1"/>
  <c r="B1066" i="10" a="1"/>
  <c r="B1066" i="10" s="1"/>
  <c r="B1067" i="10" a="1"/>
  <c r="B1067" i="10" s="1"/>
  <c r="B1068" i="10" a="1"/>
  <c r="B1068" i="10" s="1"/>
  <c r="B1069" i="10" a="1"/>
  <c r="B1069" i="10" s="1"/>
  <c r="B1070" i="10" a="1"/>
  <c r="B1070" i="10" s="1"/>
  <c r="B1071" i="10" a="1"/>
  <c r="B1071" i="10" s="1"/>
  <c r="B1072" i="10" a="1"/>
  <c r="B1072" i="10" s="1"/>
  <c r="B1073" i="10" a="1"/>
  <c r="B1073" i="10" s="1"/>
  <c r="B1074" i="10" a="1"/>
  <c r="B1074" i="10" s="1"/>
  <c r="B1075" i="10" a="1"/>
  <c r="B1075" i="10" s="1"/>
  <c r="B1076" i="10" a="1"/>
  <c r="B1076" i="10" s="1"/>
  <c r="B1077" i="10" a="1"/>
  <c r="B1077" i="10" s="1"/>
  <c r="B1078" i="10" a="1"/>
  <c r="B1078" i="10" s="1"/>
  <c r="B1079" i="10" a="1"/>
  <c r="B1079" i="10" s="1"/>
  <c r="B1080" i="10" a="1"/>
  <c r="B1080" i="10" s="1"/>
  <c r="B1081" i="10" a="1"/>
  <c r="B1081" i="10" s="1"/>
  <c r="B1082" i="10" a="1"/>
  <c r="B1082" i="10" s="1"/>
  <c r="B1083" i="10" a="1"/>
  <c r="B1083" i="10" s="1"/>
  <c r="B1084" i="10" a="1"/>
  <c r="B1084" i="10" s="1"/>
  <c r="B1085" i="10" a="1"/>
  <c r="B1085" i="10" s="1"/>
  <c r="B1086" i="10" a="1"/>
  <c r="B1086" i="10" s="1"/>
  <c r="B1087" i="10" a="1"/>
  <c r="B1087" i="10" s="1"/>
  <c r="B1088" i="10" a="1"/>
  <c r="B1088" i="10" s="1"/>
  <c r="B1089" i="10" a="1"/>
  <c r="B1089" i="10" s="1"/>
  <c r="B1090" i="10" a="1"/>
  <c r="B1090" i="10" s="1"/>
  <c r="B1091" i="10" a="1"/>
  <c r="B1091" i="10" s="1"/>
  <c r="B1092" i="10" a="1"/>
  <c r="B1092" i="10" s="1"/>
  <c r="B1093" i="10" a="1"/>
  <c r="B1093" i="10" s="1"/>
  <c r="B1094" i="10" a="1"/>
  <c r="B1094" i="10" s="1"/>
  <c r="B1095" i="10" a="1"/>
  <c r="B1095" i="10" s="1"/>
  <c r="B1096" i="10" a="1"/>
  <c r="B1096" i="10" s="1"/>
  <c r="B1097" i="10" a="1"/>
  <c r="B1097" i="10" s="1"/>
  <c r="B1098" i="10" a="1"/>
  <c r="B1098" i="10" s="1"/>
  <c r="B1099" i="10" a="1"/>
  <c r="B1099" i="10" s="1"/>
  <c r="B1100" i="10" a="1"/>
  <c r="B1100" i="10" s="1"/>
  <c r="B1101" i="10" a="1"/>
  <c r="B1101" i="10" s="1"/>
  <c r="B1102" i="10" a="1"/>
  <c r="B1102" i="10" s="1"/>
  <c r="B1103" i="10" a="1"/>
  <c r="B1103" i="10" s="1"/>
  <c r="B1104" i="10" a="1"/>
  <c r="B1104" i="10" s="1"/>
  <c r="B1105" i="10" a="1"/>
  <c r="B1105" i="10" s="1"/>
  <c r="B1106" i="10" a="1"/>
  <c r="B1106" i="10" s="1"/>
  <c r="B1107" i="10" a="1"/>
  <c r="B1107" i="10" s="1"/>
  <c r="B1108" i="10" a="1"/>
  <c r="B1108" i="10" s="1"/>
  <c r="B1109" i="10" a="1"/>
  <c r="B1109" i="10" s="1"/>
  <c r="B1110" i="10" a="1"/>
  <c r="B1110" i="10" s="1"/>
  <c r="B1111" i="10" a="1"/>
  <c r="B1111" i="10" s="1"/>
  <c r="B1112" i="10" a="1"/>
  <c r="B1112" i="10" s="1"/>
  <c r="B1113" i="10" a="1"/>
  <c r="B1113" i="10" s="1"/>
  <c r="B1114" i="10" a="1"/>
  <c r="B1114" i="10" s="1"/>
  <c r="B1115" i="10" a="1"/>
  <c r="B1115" i="10" s="1"/>
  <c r="B1116" i="10" a="1"/>
  <c r="B1116" i="10" s="1"/>
  <c r="B1117" i="10" a="1"/>
  <c r="B1117" i="10" s="1"/>
  <c r="B1118" i="10" a="1"/>
  <c r="B1118" i="10" s="1"/>
  <c r="B1119" i="10" a="1"/>
  <c r="B1119" i="10" s="1"/>
  <c r="B1120" i="10" a="1"/>
  <c r="B1120" i="10" s="1"/>
  <c r="B1121" i="10" a="1"/>
  <c r="B1121" i="10" s="1"/>
  <c r="B1122" i="10" a="1"/>
  <c r="B1122" i="10" s="1"/>
  <c r="B1123" i="10" a="1"/>
  <c r="B1123" i="10" s="1"/>
  <c r="B1124" i="10" a="1"/>
  <c r="B1124" i="10" s="1"/>
  <c r="B1125" i="10" a="1"/>
  <c r="B1125" i="10" s="1"/>
  <c r="B1126" i="10" a="1"/>
  <c r="B1126" i="10" s="1"/>
  <c r="B1127" i="10" a="1"/>
  <c r="B1127" i="10" s="1"/>
  <c r="B1128" i="10" a="1"/>
  <c r="B1128" i="10" s="1"/>
  <c r="B1129" i="10" a="1"/>
  <c r="B1129" i="10" s="1"/>
  <c r="B1130" i="10" a="1"/>
  <c r="B1130" i="10" s="1"/>
  <c r="B1131" i="10" a="1"/>
  <c r="B1131" i="10" s="1"/>
  <c r="B1132" i="10" a="1"/>
  <c r="B1132" i="10" s="1"/>
  <c r="B1133" i="10" a="1"/>
  <c r="B1133" i="10" s="1"/>
  <c r="B1134" i="10" a="1"/>
  <c r="B1134" i="10" s="1"/>
  <c r="B1135" i="10" a="1"/>
  <c r="B1135" i="10" s="1"/>
  <c r="B1136" i="10" a="1"/>
  <c r="B1136" i="10" s="1"/>
  <c r="B1137" i="10" a="1"/>
  <c r="B1137" i="10" s="1"/>
  <c r="B1138" i="10" a="1"/>
  <c r="B1138" i="10" s="1"/>
  <c r="B1139" i="10" a="1"/>
  <c r="B1139" i="10" s="1"/>
  <c r="B1140" i="10" a="1"/>
  <c r="B1140" i="10" s="1"/>
  <c r="B1141" i="10" a="1"/>
  <c r="B1141" i="10" s="1"/>
  <c r="B1142" i="10" a="1"/>
  <c r="B1142" i="10" s="1"/>
  <c r="B1143" i="10" a="1"/>
  <c r="B1143" i="10" s="1"/>
  <c r="B1144" i="10" a="1"/>
  <c r="B1144" i="10" s="1"/>
  <c r="B1145" i="10" a="1"/>
  <c r="B1145" i="10" s="1"/>
  <c r="B1146" i="10" a="1"/>
  <c r="B1146" i="10" s="1"/>
  <c r="B1147" i="10" a="1"/>
  <c r="B1147" i="10" s="1"/>
  <c r="B1148" i="10" a="1"/>
  <c r="B1148" i="10" s="1"/>
  <c r="B1149" i="10" a="1"/>
  <c r="B1149" i="10" s="1"/>
  <c r="B1150" i="10" a="1"/>
  <c r="B1150" i="10" s="1"/>
  <c r="B1151" i="10" a="1"/>
  <c r="B1151" i="10" s="1"/>
  <c r="B1152" i="10" a="1"/>
  <c r="B1152" i="10" s="1"/>
  <c r="B1153" i="10" a="1"/>
  <c r="B1153" i="10" s="1"/>
  <c r="B1154" i="10" a="1"/>
  <c r="B1154" i="10" s="1"/>
  <c r="B1155" i="10" a="1"/>
  <c r="B1155" i="10" s="1"/>
  <c r="B1156" i="10" a="1"/>
  <c r="B1156" i="10" s="1"/>
  <c r="B1157" i="10" a="1"/>
  <c r="B1157" i="10" s="1"/>
  <c r="B1158" i="10" a="1"/>
  <c r="B1158" i="10" s="1"/>
  <c r="B1159" i="10" a="1"/>
  <c r="B1159" i="10" s="1"/>
  <c r="B1160" i="10" a="1"/>
  <c r="B1160" i="10" s="1"/>
  <c r="B1161" i="10" a="1"/>
  <c r="B1161" i="10" s="1"/>
  <c r="B1162" i="10" a="1"/>
  <c r="B1162" i="10" s="1"/>
  <c r="B1163" i="10" a="1"/>
  <c r="B1163" i="10" s="1"/>
  <c r="B1164" i="10" a="1"/>
  <c r="B1164" i="10" s="1"/>
  <c r="B1165" i="10" a="1"/>
  <c r="B1165" i="10" s="1"/>
  <c r="B1166" i="10" a="1"/>
  <c r="B1166" i="10" s="1"/>
  <c r="B1167" i="10" a="1"/>
  <c r="B1167" i="10" s="1"/>
  <c r="B1168" i="10" a="1"/>
  <c r="B1168" i="10" s="1"/>
  <c r="B1169" i="10" a="1"/>
  <c r="B1169" i="10" s="1"/>
  <c r="B1170" i="10" a="1"/>
  <c r="B1170" i="10" s="1"/>
  <c r="B1171" i="10" a="1"/>
  <c r="B1171" i="10" s="1"/>
  <c r="B1172" i="10" a="1"/>
  <c r="B1172" i="10" s="1"/>
  <c r="B1173" i="10" a="1"/>
  <c r="B1173" i="10" s="1"/>
  <c r="B1174" i="10" a="1"/>
  <c r="B1174" i="10" s="1"/>
  <c r="B1175" i="10" a="1"/>
  <c r="B1175" i="10" s="1"/>
  <c r="B1176" i="10" a="1"/>
  <c r="B1176" i="10" s="1"/>
  <c r="B1177" i="10" a="1"/>
  <c r="B1177" i="10" s="1"/>
  <c r="B1178" i="10" a="1"/>
  <c r="B1178" i="10" s="1"/>
  <c r="B1179" i="10" a="1"/>
  <c r="B1179" i="10" s="1"/>
  <c r="B1180" i="10" a="1"/>
  <c r="B1180" i="10" s="1"/>
  <c r="B1181" i="10" a="1"/>
  <c r="B1181" i="10" s="1"/>
  <c r="B1182" i="10" a="1"/>
  <c r="B1182" i="10" s="1"/>
  <c r="B1183" i="10" a="1"/>
  <c r="B1183" i="10" s="1"/>
  <c r="B1184" i="10" a="1"/>
  <c r="B1184" i="10" s="1"/>
  <c r="B1185" i="10" a="1"/>
  <c r="B1185" i="10" s="1"/>
  <c r="B1186" i="10" a="1"/>
  <c r="B1186" i="10" s="1"/>
  <c r="B1187" i="10" a="1"/>
  <c r="B1187" i="10" s="1"/>
  <c r="B1188" i="10" a="1"/>
  <c r="B1188" i="10" s="1"/>
  <c r="B1189" i="10" a="1"/>
  <c r="B1189" i="10" s="1"/>
  <c r="B1190" i="10" a="1"/>
  <c r="B1190" i="10" s="1"/>
  <c r="B1191" i="10" a="1"/>
  <c r="B1191" i="10" s="1"/>
  <c r="B1192" i="10" a="1"/>
  <c r="B1192" i="10" s="1"/>
  <c r="B1193" i="10" a="1"/>
  <c r="B1193" i="10" s="1"/>
  <c r="B1194" i="10" a="1"/>
  <c r="B1194" i="10" s="1"/>
  <c r="B1195" i="10" a="1"/>
  <c r="B1195" i="10" s="1"/>
  <c r="B1196" i="10" a="1"/>
  <c r="B1196" i="10" s="1"/>
  <c r="B1197" i="10" a="1"/>
  <c r="B1197" i="10" s="1"/>
  <c r="B1198" i="10" a="1"/>
  <c r="B1198" i="10" s="1"/>
  <c r="B1199" i="10" a="1"/>
  <c r="B1199" i="10" s="1"/>
  <c r="B1200" i="10" a="1"/>
  <c r="B1200" i="10" s="1"/>
  <c r="B1201" i="10" a="1"/>
  <c r="B1201" i="10" s="1"/>
  <c r="B1202" i="10" a="1"/>
  <c r="B1202" i="10" s="1"/>
  <c r="B1203" i="10" a="1"/>
  <c r="B1203" i="10" s="1"/>
  <c r="B1204" i="10" a="1"/>
  <c r="B1204" i="10" s="1"/>
  <c r="B1205" i="10" a="1"/>
  <c r="B1205" i="10" s="1"/>
  <c r="B1206" i="10" a="1"/>
  <c r="B1206" i="10" s="1"/>
  <c r="B1207" i="10" a="1"/>
  <c r="B1207" i="10" s="1"/>
  <c r="B1208" i="10" a="1"/>
  <c r="B1208" i="10" s="1"/>
  <c r="B1209" i="10" a="1"/>
  <c r="B1209" i="10" s="1"/>
  <c r="B1210" i="10" a="1"/>
  <c r="B1210" i="10" s="1"/>
  <c r="B1211" i="10" a="1"/>
  <c r="B1211" i="10" s="1"/>
  <c r="B1212" i="10" a="1"/>
  <c r="B1212" i="10" s="1"/>
  <c r="B1213" i="10" a="1"/>
  <c r="B1213" i="10" s="1"/>
  <c r="B1214" i="10" a="1"/>
  <c r="B1214" i="10" s="1"/>
  <c r="B1215" i="10" a="1"/>
  <c r="B1215" i="10" s="1"/>
  <c r="B1216" i="10" a="1"/>
  <c r="B1216" i="10" s="1"/>
  <c r="B1217" i="10" a="1"/>
  <c r="B1217" i="10" s="1"/>
  <c r="B1218" i="10" a="1"/>
  <c r="B1218" i="10" s="1"/>
  <c r="B1219" i="10" a="1"/>
  <c r="B1219" i="10" s="1"/>
  <c r="B1220" i="10" a="1"/>
  <c r="B1220" i="10" s="1"/>
  <c r="B1221" i="10" a="1"/>
  <c r="B1221" i="10" s="1"/>
  <c r="B1222" i="10" a="1"/>
  <c r="B1222" i="10" s="1"/>
  <c r="B1223" i="10" a="1"/>
  <c r="B1223" i="10" s="1"/>
  <c r="B1224" i="10" a="1"/>
  <c r="B1224" i="10" s="1"/>
  <c r="B1225" i="10" a="1"/>
  <c r="B1225" i="10" s="1"/>
  <c r="B1226" i="10" a="1"/>
  <c r="B1226" i="10" s="1"/>
  <c r="B1227" i="10" a="1"/>
  <c r="B1227" i="10" s="1"/>
  <c r="B1228" i="10" a="1"/>
  <c r="B1228" i="10" s="1"/>
  <c r="B1229" i="10" a="1"/>
  <c r="B1229" i="10" s="1"/>
  <c r="B1230" i="10" a="1"/>
  <c r="B1230" i="10" s="1"/>
  <c r="B1231" i="10" a="1"/>
  <c r="B1231" i="10" s="1"/>
  <c r="B1232" i="10" a="1"/>
  <c r="B1232" i="10" s="1"/>
  <c r="B1233" i="10" a="1"/>
  <c r="B1233" i="10" s="1"/>
  <c r="B1234" i="10" a="1"/>
  <c r="B1234" i="10" s="1"/>
  <c r="B1235" i="10" a="1"/>
  <c r="B1235" i="10" s="1"/>
  <c r="B1236" i="10" a="1"/>
  <c r="B1236" i="10" s="1"/>
  <c r="B1237" i="10" a="1"/>
  <c r="B1237" i="10" s="1"/>
  <c r="B1238" i="10" a="1"/>
  <c r="B1238" i="10" s="1"/>
  <c r="B1239" i="10" a="1"/>
  <c r="B1239" i="10" s="1"/>
  <c r="B1240" i="10" a="1"/>
  <c r="B1240" i="10" s="1"/>
  <c r="B1241" i="10" a="1"/>
  <c r="B1241" i="10" s="1"/>
  <c r="B1242" i="10" a="1"/>
  <c r="B1242" i="10" s="1"/>
  <c r="B1243" i="10" a="1"/>
  <c r="B1243" i="10" s="1"/>
  <c r="B1244" i="10" a="1"/>
  <c r="B1244" i="10" s="1"/>
  <c r="B1245" i="10" a="1"/>
  <c r="B1245" i="10" s="1"/>
  <c r="B1246" i="10" a="1"/>
  <c r="B1246" i="10" s="1"/>
  <c r="B1247" i="10" a="1"/>
  <c r="B1247" i="10" s="1"/>
  <c r="B1248" i="10" a="1"/>
  <c r="B1248" i="10" s="1"/>
  <c r="B1249" i="10" a="1"/>
  <c r="B1249" i="10" s="1"/>
  <c r="B1250" i="10" a="1"/>
  <c r="B1250" i="10" s="1"/>
  <c r="B1251" i="10" a="1"/>
  <c r="B1251" i="10" s="1"/>
  <c r="B1252" i="10" a="1"/>
  <c r="B1252" i="10" s="1"/>
  <c r="B1253" i="10" a="1"/>
  <c r="B1253" i="10" s="1"/>
  <c r="B1254" i="10" a="1"/>
  <c r="B1254" i="10" s="1"/>
  <c r="B1255" i="10" a="1"/>
  <c r="B1255" i="10" s="1"/>
  <c r="B1256" i="10" a="1"/>
  <c r="B1256" i="10" s="1"/>
  <c r="B1257" i="10" a="1"/>
  <c r="B1257" i="10" s="1"/>
  <c r="B1258" i="10" a="1"/>
  <c r="B1258" i="10" s="1"/>
  <c r="B1259" i="10" a="1"/>
  <c r="B1259" i="10" s="1"/>
  <c r="B1260" i="10" a="1"/>
  <c r="B1260" i="10" s="1"/>
  <c r="B1261" i="10" a="1"/>
  <c r="B1261" i="10" s="1"/>
  <c r="B1262" i="10" a="1"/>
  <c r="B1262" i="10" s="1"/>
  <c r="B1263" i="10" a="1"/>
  <c r="B1263" i="10" s="1"/>
  <c r="B1264" i="10" a="1"/>
  <c r="B1264" i="10" s="1"/>
  <c r="B1265" i="10" a="1"/>
  <c r="B1265" i="10" s="1"/>
  <c r="B1266" i="10" a="1"/>
  <c r="B1266" i="10" s="1"/>
  <c r="B1267" i="10" a="1"/>
  <c r="B1267" i="10" s="1"/>
  <c r="B1268" i="10" a="1"/>
  <c r="B1268" i="10" s="1"/>
  <c r="B1269" i="10" a="1"/>
  <c r="B1269" i="10" s="1"/>
  <c r="B1270" i="10" a="1"/>
  <c r="B1270" i="10" s="1"/>
  <c r="B1271" i="10" a="1"/>
  <c r="B1271" i="10" s="1"/>
  <c r="B1272" i="10" a="1"/>
  <c r="B1272" i="10" s="1"/>
  <c r="B1273" i="10" a="1"/>
  <c r="B1273" i="10" s="1"/>
  <c r="B1274" i="10" a="1"/>
  <c r="B1274" i="10" s="1"/>
  <c r="B1275" i="10" a="1"/>
  <c r="B1275" i="10" s="1"/>
  <c r="B1276" i="10" a="1"/>
  <c r="B1276" i="10" s="1"/>
  <c r="B1277" i="10" a="1"/>
  <c r="B1277" i="10" s="1"/>
  <c r="B1278" i="10" a="1"/>
  <c r="B1278" i="10" s="1"/>
  <c r="B1279" i="10" a="1"/>
  <c r="B1279" i="10" s="1"/>
  <c r="B1280" i="10" a="1"/>
  <c r="B1280" i="10" s="1"/>
  <c r="B1281" i="10" a="1"/>
  <c r="B1281" i="10" s="1"/>
  <c r="B1282" i="10" a="1"/>
  <c r="B1282" i="10" s="1"/>
  <c r="B1283" i="10" a="1"/>
  <c r="B1283" i="10" s="1"/>
  <c r="B1284" i="10" a="1"/>
  <c r="B1284" i="10" s="1"/>
  <c r="B1285" i="10" a="1"/>
  <c r="B1285" i="10" s="1"/>
  <c r="B1286" i="10" a="1"/>
  <c r="B1286" i="10" s="1"/>
  <c r="B1287" i="10" a="1"/>
  <c r="B1287" i="10" s="1"/>
  <c r="B1288" i="10" a="1"/>
  <c r="B1288" i="10" s="1"/>
  <c r="B1289" i="10" a="1"/>
  <c r="B1289" i="10" s="1"/>
  <c r="B1290" i="10" a="1"/>
  <c r="B1290" i="10" s="1"/>
  <c r="B1291" i="10" a="1"/>
  <c r="B1291" i="10" s="1"/>
  <c r="B1292" i="10" a="1"/>
  <c r="B1292" i="10" s="1"/>
  <c r="B1293" i="10" a="1"/>
  <c r="B1293" i="10" s="1"/>
  <c r="B1294" i="10" a="1"/>
  <c r="B1294" i="10" s="1"/>
  <c r="B1295" i="10" a="1"/>
  <c r="B1295" i="10" s="1"/>
  <c r="B1296" i="10" a="1"/>
  <c r="B1296" i="10" s="1"/>
  <c r="B1297" i="10" a="1"/>
  <c r="B1297" i="10" s="1"/>
  <c r="B1298" i="10" a="1"/>
  <c r="B1298" i="10" s="1"/>
  <c r="B1299" i="10" a="1"/>
  <c r="B1299" i="10" s="1"/>
  <c r="B1300" i="10" a="1"/>
  <c r="B1300" i="10" s="1"/>
  <c r="B1301" i="10" a="1"/>
  <c r="B1301" i="10" s="1"/>
  <c r="B1302" i="10" a="1"/>
  <c r="B1302" i="10" s="1"/>
  <c r="B1303" i="10" a="1"/>
  <c r="B1303" i="10" s="1"/>
  <c r="B1304" i="10" a="1"/>
  <c r="B1304" i="10" s="1"/>
  <c r="B1305" i="10" a="1"/>
  <c r="B1305" i="10" s="1"/>
  <c r="B1306" i="10" a="1"/>
  <c r="B1306" i="10" s="1"/>
  <c r="B1307" i="10" a="1"/>
  <c r="B1307" i="10" s="1"/>
  <c r="B1308" i="10" a="1"/>
  <c r="B1308" i="10" s="1"/>
  <c r="B1309" i="10" a="1"/>
  <c r="B1309" i="10" s="1"/>
  <c r="B1310" i="10" a="1"/>
  <c r="B1310" i="10" s="1"/>
  <c r="B1311" i="10" a="1"/>
  <c r="B1311" i="10" s="1"/>
  <c r="B1312" i="10" a="1"/>
  <c r="B1312" i="10" s="1"/>
  <c r="B1313" i="10" a="1"/>
  <c r="B1313" i="10" s="1"/>
  <c r="B1314" i="10" a="1"/>
  <c r="B1314" i="10" s="1"/>
  <c r="B1315" i="10" a="1"/>
  <c r="B1315" i="10" s="1"/>
  <c r="B1316" i="10" a="1"/>
  <c r="B1316" i="10" s="1"/>
  <c r="B1317" i="10" a="1"/>
  <c r="B1317" i="10" s="1"/>
  <c r="B1318" i="10" a="1"/>
  <c r="B1318" i="10" s="1"/>
  <c r="B1319" i="10" a="1"/>
  <c r="B1319" i="10" s="1"/>
  <c r="B1320" i="10" a="1"/>
  <c r="B1320" i="10" s="1"/>
  <c r="B1321" i="10" a="1"/>
  <c r="B1321" i="10" s="1"/>
  <c r="B1322" i="10" a="1"/>
  <c r="B1322" i="10" s="1"/>
  <c r="B1323" i="10" a="1"/>
  <c r="B1323" i="10" s="1"/>
  <c r="B1324" i="10" a="1"/>
  <c r="B1324" i="10" s="1"/>
  <c r="B1325" i="10" a="1"/>
  <c r="B1325" i="10" s="1"/>
  <c r="B1326" i="10" a="1"/>
  <c r="B1326" i="10" s="1"/>
  <c r="B1327" i="10" a="1"/>
  <c r="B1327" i="10" s="1"/>
  <c r="B1328" i="10" a="1"/>
  <c r="B1328" i="10" s="1"/>
  <c r="B1329" i="10" a="1"/>
  <c r="B1329" i="10" s="1"/>
  <c r="B1330" i="10" a="1"/>
  <c r="B1330" i="10" s="1"/>
  <c r="B1331" i="10" a="1"/>
  <c r="B1331" i="10" s="1"/>
  <c r="B1332" i="10" a="1"/>
  <c r="B1332" i="10" s="1"/>
  <c r="B1333" i="10" a="1"/>
  <c r="B1333" i="10" s="1"/>
  <c r="B1334" i="10" a="1"/>
  <c r="B1334" i="10" s="1"/>
  <c r="B1335" i="10" a="1"/>
  <c r="B1335" i="10" s="1"/>
  <c r="B1336" i="10" a="1"/>
  <c r="B1336" i="10" s="1"/>
  <c r="B1337" i="10" a="1"/>
  <c r="B1337" i="10" s="1"/>
  <c r="B1338" i="10" a="1"/>
  <c r="B1338" i="10" s="1"/>
  <c r="B1339" i="10" a="1"/>
  <c r="B1339" i="10" s="1"/>
  <c r="B1340" i="10" a="1"/>
  <c r="B1340" i="10" s="1"/>
  <c r="B1341" i="10" a="1"/>
  <c r="B1341" i="10" s="1"/>
  <c r="B1342" i="10" a="1"/>
  <c r="B1342" i="10" s="1"/>
  <c r="B1343" i="10" a="1"/>
  <c r="B1343" i="10" s="1"/>
  <c r="B1344" i="10" a="1"/>
  <c r="B1344" i="10" s="1"/>
  <c r="B1345" i="10" a="1"/>
  <c r="B1345" i="10" s="1"/>
  <c r="B1346" i="10" a="1"/>
  <c r="B1346" i="10" s="1"/>
  <c r="B1347" i="10" a="1"/>
  <c r="B1347" i="10" s="1"/>
  <c r="B1348" i="10" a="1"/>
  <c r="B1348" i="10" s="1"/>
  <c r="B1349" i="10" a="1"/>
  <c r="B1349" i="10" s="1"/>
  <c r="B1350" i="10" a="1"/>
  <c r="B1350" i="10" s="1"/>
  <c r="B1351" i="10" a="1"/>
  <c r="B1351" i="10" s="1"/>
  <c r="B1352" i="10" a="1"/>
  <c r="B1352" i="10" s="1"/>
  <c r="B1353" i="10" a="1"/>
  <c r="B1353" i="10" s="1"/>
  <c r="B1354" i="10" a="1"/>
  <c r="B1354" i="10" s="1"/>
  <c r="B1355" i="10" a="1"/>
  <c r="B1355" i="10" s="1"/>
  <c r="B1356" i="10" a="1"/>
  <c r="B1356" i="10" s="1"/>
  <c r="B1357" i="10" a="1"/>
  <c r="B1357" i="10" s="1"/>
  <c r="B1358" i="10" a="1"/>
  <c r="B1358" i="10" s="1"/>
  <c r="B1359" i="10" a="1"/>
  <c r="B1359" i="10" s="1"/>
  <c r="B1360" i="10" a="1"/>
  <c r="B1360" i="10" s="1"/>
  <c r="B1361" i="10" a="1"/>
  <c r="B1361" i="10" s="1"/>
  <c r="B1362" i="10" a="1"/>
  <c r="B1362" i="10" s="1"/>
  <c r="B1363" i="10" a="1"/>
  <c r="B1363" i="10" s="1"/>
  <c r="B1364" i="10" a="1"/>
  <c r="B1364" i="10" s="1"/>
  <c r="B1365" i="10" a="1"/>
  <c r="B1365" i="10" s="1"/>
  <c r="B1366" i="10" a="1"/>
  <c r="B1366" i="10" s="1"/>
  <c r="B1367" i="10" a="1"/>
  <c r="B1367" i="10" s="1"/>
  <c r="B1368" i="10" a="1"/>
  <c r="B1368" i="10" s="1"/>
  <c r="B1369" i="10" a="1"/>
  <c r="B1369" i="10" s="1"/>
  <c r="B1370" i="10" a="1"/>
  <c r="B1370" i="10" s="1"/>
  <c r="B1371" i="10" a="1"/>
  <c r="B1371" i="10" s="1"/>
  <c r="B1372" i="10" a="1"/>
  <c r="B1372" i="10" s="1"/>
  <c r="B1373" i="10" a="1"/>
  <c r="B1373" i="10" s="1"/>
  <c r="B1374" i="10" a="1"/>
  <c r="B1374" i="10" s="1"/>
  <c r="B1375" i="10" a="1"/>
  <c r="B1375" i="10" s="1"/>
  <c r="B1376" i="10" a="1"/>
  <c r="B1376" i="10" s="1"/>
  <c r="B1377" i="10" a="1"/>
  <c r="B1377" i="10" s="1"/>
  <c r="B1378" i="10" a="1"/>
  <c r="B1378" i="10" s="1"/>
  <c r="B1379" i="10" a="1"/>
  <c r="B1379" i="10" s="1"/>
  <c r="B1380" i="10" a="1"/>
  <c r="B1380" i="10" s="1"/>
  <c r="B1381" i="10" a="1"/>
  <c r="B1381" i="10" s="1"/>
  <c r="B1382" i="10" a="1"/>
  <c r="B1382" i="10" s="1"/>
  <c r="B1383" i="10" a="1"/>
  <c r="B1383" i="10" s="1"/>
  <c r="B1384" i="10" a="1"/>
  <c r="B1384" i="10" s="1"/>
  <c r="B1385" i="10" a="1"/>
  <c r="B1385" i="10" s="1"/>
  <c r="B1386" i="10" a="1"/>
  <c r="B1386" i="10" s="1"/>
  <c r="B1387" i="10" a="1"/>
  <c r="B1387" i="10" s="1"/>
  <c r="B1388" i="10" a="1"/>
  <c r="B1388" i="10" s="1"/>
  <c r="B1389" i="10" a="1"/>
  <c r="B1389" i="10" s="1"/>
  <c r="B1390" i="10" a="1"/>
  <c r="B1390" i="10" s="1"/>
  <c r="B1391" i="10" a="1"/>
  <c r="B1391" i="10" s="1"/>
  <c r="B1392" i="10" a="1"/>
  <c r="B1392" i="10" s="1"/>
  <c r="B1393" i="10" a="1"/>
  <c r="B1393" i="10" s="1"/>
  <c r="B1394" i="10" a="1"/>
  <c r="B1394" i="10" s="1"/>
  <c r="B1395" i="10" a="1"/>
  <c r="B1395" i="10" s="1"/>
  <c r="B1396" i="10" a="1"/>
  <c r="B1396" i="10" s="1"/>
  <c r="B1397" i="10" a="1"/>
  <c r="B1397" i="10" s="1"/>
  <c r="B1398" i="10" a="1"/>
  <c r="B1398" i="10" s="1"/>
  <c r="B1399" i="10" a="1"/>
  <c r="B1399" i="10" s="1"/>
  <c r="B1400" i="10" a="1"/>
  <c r="B1400" i="10" s="1"/>
  <c r="B1401" i="10" a="1"/>
  <c r="B1401" i="10" s="1"/>
  <c r="B1402" i="10" a="1"/>
  <c r="B1402" i="10" s="1"/>
  <c r="B1403" i="10" a="1"/>
  <c r="B1403" i="10" s="1"/>
  <c r="B1404" i="10" a="1"/>
  <c r="B1404" i="10" s="1"/>
  <c r="B1405" i="10" a="1"/>
  <c r="B1405" i="10" s="1"/>
  <c r="B1406" i="10" a="1"/>
  <c r="B1406" i="10" s="1"/>
  <c r="B1407" i="10" a="1"/>
  <c r="B1407" i="10" s="1"/>
  <c r="B1408" i="10" a="1"/>
  <c r="B1408" i="10" s="1"/>
  <c r="B1409" i="10" a="1"/>
  <c r="B1409" i="10" s="1"/>
  <c r="B1410" i="10" a="1"/>
  <c r="B1410" i="10" s="1"/>
  <c r="B1411" i="10" a="1"/>
  <c r="B1411" i="10" s="1"/>
  <c r="B1412" i="10" a="1"/>
  <c r="B1412" i="10" s="1"/>
  <c r="B1413" i="10" a="1"/>
  <c r="B1413" i="10" s="1"/>
  <c r="B1414" i="10" a="1"/>
  <c r="B1414" i="10" s="1"/>
  <c r="B1415" i="10" a="1"/>
  <c r="B1415" i="10" s="1"/>
  <c r="B1416" i="10" a="1"/>
  <c r="B1416" i="10" s="1"/>
  <c r="B1417" i="10" a="1"/>
  <c r="B1417" i="10" s="1"/>
  <c r="B1418" i="10" a="1"/>
  <c r="B1418" i="10" s="1"/>
  <c r="B1419" i="10" a="1"/>
  <c r="B1419" i="10" s="1"/>
  <c r="B1420" i="10" a="1"/>
  <c r="B1420" i="10" s="1"/>
  <c r="B1421" i="10" a="1"/>
  <c r="B1421" i="10" s="1"/>
  <c r="B1422" i="10" a="1"/>
  <c r="B1422" i="10" s="1"/>
  <c r="B1423" i="10" a="1"/>
  <c r="B1423" i="10" s="1"/>
  <c r="B1424" i="10" a="1"/>
  <c r="B1424" i="10" s="1"/>
  <c r="B1425" i="10" a="1"/>
  <c r="B1425" i="10" s="1"/>
  <c r="B1426" i="10" a="1"/>
  <c r="B1426" i="10" s="1"/>
  <c r="B1427" i="10" a="1"/>
  <c r="B1427" i="10" s="1"/>
  <c r="B1428" i="10" a="1"/>
  <c r="B1428" i="10" s="1"/>
  <c r="B1429" i="10" a="1"/>
  <c r="B1429" i="10" s="1"/>
  <c r="B1430" i="10" a="1"/>
  <c r="B1430" i="10" s="1"/>
  <c r="B1431" i="10" a="1"/>
  <c r="B1431" i="10" s="1"/>
  <c r="B1432" i="10" a="1"/>
  <c r="B1432" i="10" s="1"/>
  <c r="B1433" i="10" a="1"/>
  <c r="B1433" i="10" s="1"/>
  <c r="B1434" i="10" a="1"/>
  <c r="B1434" i="10" s="1"/>
  <c r="B1435" i="10" a="1"/>
  <c r="B1435" i="10" s="1"/>
  <c r="B1436" i="10" a="1"/>
  <c r="B1436" i="10" s="1"/>
  <c r="B1437" i="10" a="1"/>
  <c r="B1437" i="10" s="1"/>
  <c r="B1438" i="10" a="1"/>
  <c r="B1438" i="10" s="1"/>
  <c r="B1439" i="10" a="1"/>
  <c r="B1439" i="10" s="1"/>
  <c r="B1440" i="10" a="1"/>
  <c r="B1440" i="10" s="1"/>
  <c r="B1441" i="10" a="1"/>
  <c r="B1441" i="10" s="1"/>
  <c r="B1442" i="10" a="1"/>
  <c r="B1442" i="10" s="1"/>
  <c r="B1443" i="10" a="1"/>
  <c r="B1443" i="10" s="1"/>
  <c r="B1444" i="10" a="1"/>
  <c r="B1444" i="10" s="1"/>
  <c r="B1445" i="10" a="1"/>
  <c r="B1445" i="10" s="1"/>
  <c r="B1446" i="10" a="1"/>
  <c r="B1446" i="10" s="1"/>
  <c r="B1447" i="10" a="1"/>
  <c r="B1447" i="10" s="1"/>
  <c r="B1448" i="10" a="1"/>
  <c r="B1448" i="10" s="1"/>
  <c r="B1449" i="10" a="1"/>
  <c r="B1449" i="10" s="1"/>
  <c r="B1450" i="10" a="1"/>
  <c r="B1450" i="10" s="1"/>
  <c r="B1451" i="10" a="1"/>
  <c r="B1451" i="10" s="1"/>
  <c r="B1452" i="10" a="1"/>
  <c r="B1452" i="10" s="1"/>
  <c r="B1453" i="10" a="1"/>
  <c r="B1453" i="10" s="1"/>
  <c r="B1454" i="10" a="1"/>
  <c r="B1454" i="10" s="1"/>
  <c r="B1455" i="10" a="1"/>
  <c r="B1455" i="10" s="1"/>
  <c r="B1456" i="10" a="1"/>
  <c r="B1456" i="10" s="1"/>
  <c r="B1457" i="10" a="1"/>
  <c r="B1457" i="10" s="1"/>
  <c r="B1458" i="10" a="1"/>
  <c r="B1458" i="10" s="1"/>
  <c r="B1459" i="10" a="1"/>
  <c r="B1459" i="10" s="1"/>
  <c r="B1460" i="10" a="1"/>
  <c r="B1460" i="10" s="1"/>
  <c r="B1461" i="10" a="1"/>
  <c r="B1461" i="10" s="1"/>
  <c r="B1462" i="10" a="1"/>
  <c r="B1462" i="10" s="1"/>
  <c r="B1463" i="10" a="1"/>
  <c r="B1463" i="10" s="1"/>
  <c r="B1464" i="10" a="1"/>
  <c r="B1464" i="10" s="1"/>
  <c r="B1465" i="10" a="1"/>
  <c r="B1465" i="10" s="1"/>
  <c r="B1466" i="10" a="1"/>
  <c r="B1466" i="10" s="1"/>
  <c r="B1467" i="10" a="1"/>
  <c r="B1467" i="10" s="1"/>
  <c r="B1468" i="10" a="1"/>
  <c r="B1468" i="10" s="1"/>
  <c r="B1469" i="10" a="1"/>
  <c r="B1469" i="10" s="1"/>
  <c r="B1470" i="10" a="1"/>
  <c r="B1470" i="10" s="1"/>
  <c r="B1471" i="10" a="1"/>
  <c r="B1471" i="10" s="1"/>
  <c r="B1472" i="10" a="1"/>
  <c r="B1472" i="10" s="1"/>
  <c r="B1473" i="10" a="1"/>
  <c r="B1473" i="10" s="1"/>
  <c r="B1474" i="10" a="1"/>
  <c r="B1474" i="10" s="1"/>
  <c r="B1475" i="10" a="1"/>
  <c r="B1475" i="10" s="1"/>
  <c r="B1476" i="10" a="1"/>
  <c r="B1476" i="10" s="1"/>
  <c r="B1477" i="10" a="1"/>
  <c r="B1477" i="10" s="1"/>
  <c r="B1478" i="10" a="1"/>
  <c r="B1478" i="10" s="1"/>
  <c r="B1479" i="10" a="1"/>
  <c r="B1479" i="10" s="1"/>
  <c r="B1480" i="10" a="1"/>
  <c r="B1480" i="10" s="1"/>
  <c r="B1481" i="10" a="1"/>
  <c r="B1481" i="10" s="1"/>
  <c r="B1482" i="10" a="1"/>
  <c r="B1482" i="10" s="1"/>
  <c r="B1483" i="10" a="1"/>
  <c r="B1483" i="10" s="1"/>
  <c r="B1484" i="10" a="1"/>
  <c r="B1484" i="10" s="1"/>
  <c r="B1485" i="10" a="1"/>
  <c r="B1485" i="10" s="1"/>
  <c r="B1486" i="10" a="1"/>
  <c r="B1486" i="10" s="1"/>
  <c r="B1487" i="10" a="1"/>
  <c r="B1487" i="10" s="1"/>
  <c r="B1488" i="10" a="1"/>
  <c r="B1488" i="10" s="1"/>
  <c r="B1489" i="10" a="1"/>
  <c r="B1489" i="10" s="1"/>
  <c r="B1490" i="10" a="1"/>
  <c r="B1490" i="10" s="1"/>
  <c r="B1491" i="10" a="1"/>
  <c r="B1491" i="10" s="1"/>
  <c r="B1492" i="10" a="1"/>
  <c r="B1492" i="10" s="1"/>
  <c r="B1493" i="10" a="1"/>
  <c r="B1493" i="10" s="1"/>
  <c r="B1494" i="10" a="1"/>
  <c r="B1494" i="10" s="1"/>
  <c r="B1495" i="10" a="1"/>
  <c r="B1495" i="10" s="1"/>
  <c r="B1496" i="10" a="1"/>
  <c r="B1496" i="10" s="1"/>
  <c r="B1497" i="10" a="1"/>
  <c r="B1497" i="10" s="1"/>
  <c r="B1498" i="10" a="1"/>
  <c r="B1498" i="10" s="1"/>
  <c r="B1499" i="10" a="1"/>
  <c r="B1499" i="10" s="1"/>
  <c r="B1500" i="10" a="1"/>
  <c r="B1500" i="10" s="1"/>
  <c r="B1501" i="10" a="1"/>
  <c r="B1501" i="10" s="1"/>
  <c r="B1502" i="10" a="1"/>
  <c r="B1502" i="10" s="1"/>
  <c r="B1503" i="10" a="1"/>
  <c r="B1503" i="10" s="1"/>
  <c r="B1504" i="10" a="1"/>
  <c r="B1504" i="10" s="1"/>
  <c r="B1505" i="10" a="1"/>
  <c r="B1505" i="10" s="1"/>
  <c r="B1506" i="10" a="1"/>
  <c r="B1506" i="10" s="1"/>
  <c r="B1507" i="10" a="1"/>
  <c r="B1507" i="10" s="1"/>
  <c r="B1508" i="10" a="1"/>
  <c r="B1508" i="10" s="1"/>
  <c r="B1509" i="10" a="1"/>
  <c r="B1509" i="10" s="1"/>
  <c r="B1510" i="10" a="1"/>
  <c r="B1510" i="10" s="1"/>
  <c r="B1511" i="10" a="1"/>
  <c r="B1511" i="10" s="1"/>
  <c r="B1512" i="10" a="1"/>
  <c r="B1512" i="10" s="1"/>
  <c r="B1513" i="10" a="1"/>
  <c r="B1513" i="10" s="1"/>
  <c r="B1514" i="10" a="1"/>
  <c r="B1514" i="10" s="1"/>
  <c r="B1515" i="10" a="1"/>
  <c r="B1515" i="10" s="1"/>
  <c r="B1516" i="10" a="1"/>
  <c r="B1516" i="10" s="1"/>
  <c r="B1517" i="10" a="1"/>
  <c r="B1517" i="10" s="1"/>
  <c r="B1518" i="10" a="1"/>
  <c r="B1518" i="10" s="1"/>
  <c r="B1519" i="10" a="1"/>
  <c r="B1519" i="10" s="1"/>
  <c r="B1520" i="10" a="1"/>
  <c r="B1520" i="10" s="1"/>
  <c r="B1521" i="10" a="1"/>
  <c r="B1521" i="10" s="1"/>
  <c r="B1522" i="10" a="1"/>
  <c r="B1522" i="10" s="1"/>
  <c r="B1523" i="10" a="1"/>
  <c r="B1523" i="10" s="1"/>
  <c r="B1524" i="10" a="1"/>
  <c r="B1524" i="10" s="1"/>
  <c r="B1525" i="10" a="1"/>
  <c r="B1525" i="10" s="1"/>
  <c r="B1526" i="10" a="1"/>
  <c r="B1526" i="10" s="1"/>
  <c r="B1527" i="10" a="1"/>
  <c r="B1527" i="10" s="1"/>
  <c r="B1528" i="10" a="1"/>
  <c r="B1528" i="10" s="1"/>
  <c r="B1529" i="10" a="1"/>
  <c r="B1529" i="10" s="1"/>
  <c r="B1530" i="10" a="1"/>
  <c r="B1530" i="10" s="1"/>
  <c r="B1531" i="10" a="1"/>
  <c r="B1531" i="10" s="1"/>
  <c r="B1532" i="10" a="1"/>
  <c r="B1532" i="10" s="1"/>
  <c r="B1533" i="10" a="1"/>
  <c r="B1533" i="10" s="1"/>
  <c r="B1534" i="10" a="1"/>
  <c r="B1534" i="10" s="1"/>
  <c r="B1535" i="10" a="1"/>
  <c r="B1535" i="10" s="1"/>
  <c r="B1536" i="10" a="1"/>
  <c r="B1536" i="10" s="1"/>
  <c r="B1537" i="10" a="1"/>
  <c r="B1537" i="10" s="1"/>
  <c r="B1538" i="10" a="1"/>
  <c r="B1538" i="10" s="1"/>
  <c r="B1539" i="10" a="1"/>
  <c r="B1539" i="10" s="1"/>
  <c r="B1540" i="10" a="1"/>
  <c r="B1540" i="10" s="1"/>
  <c r="B1541" i="10" a="1"/>
  <c r="B1541" i="10" s="1"/>
  <c r="B1542" i="10" a="1"/>
  <c r="B1542" i="10" s="1"/>
  <c r="B1543" i="10" a="1"/>
  <c r="B1543" i="10" s="1"/>
  <c r="B1544" i="10" a="1"/>
  <c r="B1544" i="10" s="1"/>
  <c r="B1545" i="10" a="1"/>
  <c r="B1545" i="10" s="1"/>
  <c r="B1546" i="10" a="1"/>
  <c r="B1546" i="10" s="1"/>
  <c r="B1547" i="10" a="1"/>
  <c r="B1547" i="10" s="1"/>
  <c r="B1548" i="10" a="1"/>
  <c r="B1548" i="10" s="1"/>
  <c r="B1549" i="10" a="1"/>
  <c r="B1549" i="10" s="1"/>
  <c r="B1550" i="10" a="1"/>
  <c r="B1550" i="10" s="1"/>
  <c r="B1551" i="10" a="1"/>
  <c r="B1551" i="10" s="1"/>
  <c r="B1552" i="10" a="1"/>
  <c r="B1552" i="10" s="1"/>
  <c r="B1553" i="10" a="1"/>
  <c r="B1553" i="10" s="1"/>
  <c r="B1554" i="10" a="1"/>
  <c r="B1554" i="10" s="1"/>
  <c r="B1555" i="10" a="1"/>
  <c r="B1555" i="10" s="1"/>
  <c r="B1556" i="10" a="1"/>
  <c r="B1556" i="10" s="1"/>
  <c r="B1557" i="10" a="1"/>
  <c r="B1557" i="10" s="1"/>
  <c r="B1558" i="10" a="1"/>
  <c r="B1558" i="10" s="1"/>
  <c r="B1559" i="10" a="1"/>
  <c r="B1559" i="10" s="1"/>
  <c r="B1560" i="10" a="1"/>
  <c r="B1560" i="10" s="1"/>
  <c r="B1561" i="10" a="1"/>
  <c r="B1561" i="10" s="1"/>
  <c r="B1562" i="10" a="1"/>
  <c r="B1562" i="10" s="1"/>
  <c r="B1563" i="10" a="1"/>
  <c r="B1563" i="10" s="1"/>
  <c r="B1564" i="10" a="1"/>
  <c r="B1564" i="10" s="1"/>
  <c r="B1565" i="10" a="1"/>
  <c r="B1565" i="10" s="1"/>
  <c r="B1566" i="10" a="1"/>
  <c r="B1566" i="10" s="1"/>
  <c r="B1567" i="10" a="1"/>
  <c r="B1567" i="10" s="1"/>
  <c r="B1568" i="10" a="1"/>
  <c r="B1568" i="10" s="1"/>
  <c r="B1569" i="10" a="1"/>
  <c r="B1569" i="10" s="1"/>
  <c r="B1570" i="10" a="1"/>
  <c r="B1570" i="10" s="1"/>
  <c r="B1571" i="10" a="1"/>
  <c r="B1571" i="10" s="1"/>
  <c r="B1572" i="10" a="1"/>
  <c r="B1572" i="10" s="1"/>
  <c r="B1573" i="10" a="1"/>
  <c r="B1573" i="10" s="1"/>
  <c r="B1574" i="10" a="1"/>
  <c r="B1574" i="10" s="1"/>
  <c r="B1575" i="10" a="1"/>
  <c r="B1575" i="10" s="1"/>
  <c r="B1576" i="10" a="1"/>
  <c r="B1576" i="10" s="1"/>
  <c r="B1577" i="10" a="1"/>
  <c r="B1577" i="10" s="1"/>
  <c r="B1578" i="10" a="1"/>
  <c r="B1578" i="10" s="1"/>
  <c r="B1579" i="10" a="1"/>
  <c r="B1579" i="10" s="1"/>
  <c r="B1580" i="10" a="1"/>
  <c r="B1580" i="10" s="1"/>
  <c r="B1581" i="10" a="1"/>
  <c r="B1581" i="10" s="1"/>
  <c r="B1582" i="10" a="1"/>
  <c r="B1582" i="10" s="1"/>
  <c r="B1583" i="10" a="1"/>
  <c r="B1583" i="10" s="1"/>
  <c r="B1584" i="10" a="1"/>
  <c r="B1584" i="10" s="1"/>
  <c r="B1585" i="10" a="1"/>
  <c r="B1585" i="10" s="1"/>
  <c r="B1586" i="10" a="1"/>
  <c r="B1586" i="10" s="1"/>
  <c r="B1587" i="10" a="1"/>
  <c r="B1587" i="10" s="1"/>
  <c r="B1588" i="10" a="1"/>
  <c r="B1588" i="10" s="1"/>
  <c r="B1589" i="10" a="1"/>
  <c r="B1589" i="10" s="1"/>
  <c r="B1590" i="10" a="1"/>
  <c r="B1590" i="10" s="1"/>
  <c r="B1591" i="10" a="1"/>
  <c r="B1591" i="10" s="1"/>
  <c r="B1592" i="10" a="1"/>
  <c r="B1592" i="10" s="1"/>
  <c r="B1593" i="10" a="1"/>
  <c r="B1593" i="10" s="1"/>
  <c r="B1594" i="10" a="1"/>
  <c r="B1594" i="10" s="1"/>
  <c r="B1595" i="10" a="1"/>
  <c r="B1595" i="10" s="1"/>
  <c r="B1596" i="10" a="1"/>
  <c r="B1596" i="10" s="1"/>
  <c r="B1597" i="10" a="1"/>
  <c r="B1597" i="10" s="1"/>
  <c r="B1598" i="10" a="1"/>
  <c r="B1598" i="10" s="1"/>
  <c r="B1599" i="10" a="1"/>
  <c r="B1599" i="10" s="1"/>
  <c r="B1600" i="10" a="1"/>
  <c r="B1600" i="10" s="1"/>
  <c r="B1601" i="10" a="1"/>
  <c r="B1601" i="10" s="1"/>
  <c r="B1602" i="10" a="1"/>
  <c r="B1602" i="10" s="1"/>
  <c r="B1603" i="10" a="1"/>
  <c r="B1603" i="10" s="1"/>
  <c r="B1604" i="10" a="1"/>
  <c r="B1604" i="10" s="1"/>
  <c r="B1605" i="10" a="1"/>
  <c r="B1605" i="10" s="1"/>
  <c r="B1606" i="10" a="1"/>
  <c r="B1606" i="10" s="1"/>
  <c r="B1607" i="10" a="1"/>
  <c r="B1607" i="10" s="1"/>
  <c r="B1608" i="10" a="1"/>
  <c r="B1608" i="10" s="1"/>
  <c r="B1609" i="10" a="1"/>
  <c r="B1609" i="10" s="1"/>
  <c r="B1610" i="10" a="1"/>
  <c r="B1610" i="10" s="1"/>
  <c r="B1611" i="10" a="1"/>
  <c r="B1611" i="10" s="1"/>
  <c r="B1612" i="10" a="1"/>
  <c r="B1612" i="10" s="1"/>
  <c r="B1613" i="10" a="1"/>
  <c r="B1613" i="10" s="1"/>
  <c r="B1614" i="10" a="1"/>
  <c r="B1614" i="10" s="1"/>
  <c r="B1615" i="10" a="1"/>
  <c r="B1615" i="10" s="1"/>
  <c r="B1616" i="10" a="1"/>
  <c r="B1616" i="10" s="1"/>
  <c r="B1617" i="10" a="1"/>
  <c r="B1617" i="10" s="1"/>
  <c r="B1618" i="10" a="1"/>
  <c r="B1618" i="10" s="1"/>
  <c r="B1619" i="10" a="1"/>
  <c r="B1619" i="10" s="1"/>
  <c r="B1620" i="10" a="1"/>
  <c r="B1620" i="10" s="1"/>
  <c r="B1621" i="10" a="1"/>
  <c r="B1621" i="10" s="1"/>
  <c r="B1622" i="10" a="1"/>
  <c r="B1622" i="10" s="1"/>
  <c r="B1623" i="10" a="1"/>
  <c r="B1623" i="10" s="1"/>
  <c r="B1624" i="10" a="1"/>
  <c r="B1624" i="10" s="1"/>
  <c r="B1625" i="10" a="1"/>
  <c r="B1625" i="10" s="1"/>
  <c r="B1626" i="10" a="1"/>
  <c r="B1626" i="10" s="1"/>
  <c r="B1627" i="10" a="1"/>
  <c r="B1627" i="10" s="1"/>
  <c r="B1628" i="10" a="1"/>
  <c r="B1628" i="10" s="1"/>
  <c r="B1629" i="10" a="1"/>
  <c r="B1629" i="10" s="1"/>
  <c r="B1630" i="10" a="1"/>
  <c r="B1630" i="10" s="1"/>
  <c r="B1631" i="10" a="1"/>
  <c r="B1631" i="10" s="1"/>
  <c r="B1632" i="10" a="1"/>
  <c r="B1632" i="10" s="1"/>
  <c r="B1633" i="10" a="1"/>
  <c r="B1633" i="10" s="1"/>
  <c r="B1634" i="10" a="1"/>
  <c r="B1634" i="10" s="1"/>
  <c r="B1635" i="10" a="1"/>
  <c r="B1635" i="10" s="1"/>
  <c r="B1636" i="10" a="1"/>
  <c r="B1636" i="10" s="1"/>
  <c r="B1637" i="10" a="1"/>
  <c r="B1637" i="10" s="1"/>
  <c r="B1638" i="10" a="1"/>
  <c r="B1638" i="10" s="1"/>
  <c r="B1639" i="10" a="1"/>
  <c r="B1639" i="10" s="1"/>
  <c r="B1640" i="10" a="1"/>
  <c r="B1640" i="10" s="1"/>
  <c r="B1641" i="10" a="1"/>
  <c r="B1641" i="10" s="1"/>
  <c r="B1642" i="10" a="1"/>
  <c r="B1642" i="10" s="1"/>
  <c r="B1643" i="10" a="1"/>
  <c r="B1643" i="10" s="1"/>
  <c r="B1644" i="10" a="1"/>
  <c r="B1644" i="10" s="1"/>
  <c r="B1645" i="10" a="1"/>
  <c r="B1645" i="10" s="1"/>
  <c r="B1646" i="10" a="1"/>
  <c r="B1646" i="10" s="1"/>
  <c r="B1647" i="10" a="1"/>
  <c r="B1647" i="10" s="1"/>
  <c r="B1648" i="10" a="1"/>
  <c r="B1648" i="10" s="1"/>
  <c r="B1649" i="10" a="1"/>
  <c r="B1649" i="10" s="1"/>
  <c r="B1650" i="10" a="1"/>
  <c r="B1650" i="10" s="1"/>
  <c r="B1651" i="10" a="1"/>
  <c r="B1651" i="10" s="1"/>
  <c r="B1652" i="10" a="1"/>
  <c r="B1652" i="10" s="1"/>
  <c r="B1653" i="10" a="1"/>
  <c r="B1653" i="10" s="1"/>
  <c r="B1654" i="10" a="1"/>
  <c r="B1654" i="10" s="1"/>
  <c r="B1655" i="10" a="1"/>
  <c r="B1655" i="10" s="1"/>
  <c r="B1656" i="10" a="1"/>
  <c r="B1656" i="10" s="1"/>
  <c r="B1657" i="10" a="1"/>
  <c r="B1657" i="10" s="1"/>
  <c r="B1658" i="10" a="1"/>
  <c r="B1658" i="10" s="1"/>
  <c r="B1659" i="10" a="1"/>
  <c r="B1659" i="10" s="1"/>
  <c r="B1660" i="10" a="1"/>
  <c r="B1660" i="10" s="1"/>
  <c r="B1661" i="10" a="1"/>
  <c r="B1661" i="10" s="1"/>
  <c r="B1662" i="10" a="1"/>
  <c r="B1662" i="10" s="1"/>
  <c r="B1663" i="10" a="1"/>
  <c r="B1663" i="10" s="1"/>
  <c r="B1664" i="10" a="1"/>
  <c r="B1664" i="10" s="1"/>
  <c r="B1665" i="10" a="1"/>
  <c r="B1665" i="10" s="1"/>
  <c r="B1666" i="10" a="1"/>
  <c r="B1666" i="10" s="1"/>
  <c r="B1667" i="10" a="1"/>
  <c r="B1667" i="10" s="1"/>
  <c r="B1668" i="10" a="1"/>
  <c r="B1668" i="10" s="1"/>
  <c r="B1669" i="10" a="1"/>
  <c r="B1669" i="10" s="1"/>
  <c r="B1670" i="10" a="1"/>
  <c r="B1670" i="10" s="1"/>
  <c r="B1671" i="10" a="1"/>
  <c r="B1671" i="10" s="1"/>
  <c r="B1672" i="10" a="1"/>
  <c r="B1672" i="10" s="1"/>
  <c r="B1673" i="10" a="1"/>
  <c r="B1673" i="10" s="1"/>
  <c r="B1674" i="10" a="1"/>
  <c r="B1674" i="10" s="1"/>
  <c r="B1675" i="10" a="1"/>
  <c r="B1675" i="10" s="1"/>
  <c r="B1676" i="10" a="1"/>
  <c r="B1676" i="10" s="1"/>
  <c r="B1677" i="10" a="1"/>
  <c r="B1677" i="10" s="1"/>
  <c r="B1678" i="10" a="1"/>
  <c r="B1678" i="10" s="1"/>
  <c r="B1679" i="10" a="1"/>
  <c r="B1679" i="10" s="1"/>
  <c r="B1680" i="10" a="1"/>
  <c r="B1680" i="10" s="1"/>
  <c r="B1681" i="10" a="1"/>
  <c r="B1681" i="10" s="1"/>
  <c r="B1682" i="10" a="1"/>
  <c r="B1682" i="10" s="1"/>
  <c r="B1683" i="10" a="1"/>
  <c r="B1683" i="10" s="1"/>
  <c r="B1684" i="10" a="1"/>
  <c r="B1684" i="10" s="1"/>
  <c r="B1685" i="10" a="1"/>
  <c r="B1685" i="10" s="1"/>
  <c r="B1686" i="10" a="1"/>
  <c r="B1686" i="10" s="1"/>
  <c r="B1687" i="10" a="1"/>
  <c r="B1687" i="10" s="1"/>
  <c r="B1688" i="10" a="1"/>
  <c r="B1688" i="10" s="1"/>
  <c r="B1689" i="10" a="1"/>
  <c r="B1689" i="10" s="1"/>
  <c r="B1690" i="10" a="1"/>
  <c r="B1690" i="10" s="1"/>
  <c r="B1691" i="10" a="1"/>
  <c r="B1691" i="10" s="1"/>
  <c r="B1692" i="10" a="1"/>
  <c r="B1692" i="10" s="1"/>
  <c r="B1693" i="10" a="1"/>
  <c r="B1693" i="10" s="1"/>
  <c r="B1694" i="10" a="1"/>
  <c r="B1694" i="10" s="1"/>
  <c r="B1695" i="10" a="1"/>
  <c r="B1695" i="10" s="1"/>
  <c r="B1696" i="10" a="1"/>
  <c r="B1696" i="10" s="1"/>
  <c r="B1697" i="10" a="1"/>
  <c r="B1697" i="10" s="1"/>
  <c r="B1698" i="10" a="1"/>
  <c r="B1698" i="10" s="1"/>
  <c r="B1699" i="10" a="1"/>
  <c r="B1699" i="10" s="1"/>
  <c r="B1700" i="10" a="1"/>
  <c r="B1700" i="10" s="1"/>
  <c r="B1701" i="10" a="1"/>
  <c r="B1701" i="10" s="1"/>
  <c r="B1702" i="10" a="1"/>
  <c r="B1702" i="10" s="1"/>
  <c r="B1703" i="10" a="1"/>
  <c r="B1703" i="10" s="1"/>
  <c r="B1704" i="10" a="1"/>
  <c r="B1704" i="10" s="1"/>
  <c r="B1705" i="10" a="1"/>
  <c r="B1705" i="10" s="1"/>
  <c r="B1706" i="10" a="1"/>
  <c r="B1706" i="10" s="1"/>
  <c r="B1707" i="10" a="1"/>
  <c r="B1707" i="10" s="1"/>
  <c r="B1708" i="10" a="1"/>
  <c r="B1708" i="10" s="1"/>
  <c r="B1709" i="10" a="1"/>
  <c r="B1709" i="10" s="1"/>
  <c r="B1710" i="10" a="1"/>
  <c r="B1710" i="10" s="1"/>
  <c r="B1711" i="10" a="1"/>
  <c r="B1711" i="10" s="1"/>
  <c r="B1712" i="10" a="1"/>
  <c r="B1712" i="10" s="1"/>
  <c r="B1713" i="10" a="1"/>
  <c r="B1713" i="10" s="1"/>
  <c r="B1714" i="10" a="1"/>
  <c r="B1714" i="10" s="1"/>
  <c r="B1715" i="10" a="1"/>
  <c r="B1715" i="10" s="1"/>
  <c r="B1716" i="10" a="1"/>
  <c r="B1716" i="10" s="1"/>
  <c r="B1717" i="10" a="1"/>
  <c r="B1717" i="10" s="1"/>
  <c r="B1718" i="10" a="1"/>
  <c r="B1718" i="10" s="1"/>
  <c r="B1719" i="10" a="1"/>
  <c r="B1719" i="10" s="1"/>
  <c r="B1720" i="10" a="1"/>
  <c r="B1720" i="10" s="1"/>
  <c r="B1721" i="10" a="1"/>
  <c r="B1721" i="10" s="1"/>
  <c r="B1722" i="10" a="1"/>
  <c r="B1722" i="10" s="1"/>
  <c r="B1723" i="10" a="1"/>
  <c r="B1723" i="10" s="1"/>
  <c r="B1724" i="10" a="1"/>
  <c r="B1724" i="10" s="1"/>
  <c r="B1725" i="10" a="1"/>
  <c r="B1725" i="10" s="1"/>
  <c r="B1726" i="10" a="1"/>
  <c r="B1726" i="10" s="1"/>
  <c r="B1727" i="10" a="1"/>
  <c r="B1727" i="10" s="1"/>
  <c r="B1728" i="10" a="1"/>
  <c r="B1728" i="10" s="1"/>
  <c r="B1729" i="10" a="1"/>
  <c r="B1729" i="10" s="1"/>
  <c r="B1730" i="10" a="1"/>
  <c r="B1730" i="10" s="1"/>
  <c r="B1731" i="10" a="1"/>
  <c r="B1731" i="10" s="1"/>
  <c r="B1732" i="10" a="1"/>
  <c r="B1732" i="10" s="1"/>
  <c r="B1733" i="10" a="1"/>
  <c r="B1733" i="10" s="1"/>
  <c r="B1734" i="10" a="1"/>
  <c r="B1734" i="10" s="1"/>
  <c r="B1735" i="10" a="1"/>
  <c r="B1735" i="10" s="1"/>
  <c r="B1736" i="10" a="1"/>
  <c r="B1736" i="10" s="1"/>
  <c r="B1737" i="10" a="1"/>
  <c r="B1737" i="10" s="1"/>
  <c r="B1738" i="10" a="1"/>
  <c r="B1738" i="10" s="1"/>
  <c r="B1739" i="10" a="1"/>
  <c r="B1739" i="10" s="1"/>
  <c r="B1740" i="10" a="1"/>
  <c r="B1740" i="10" s="1"/>
  <c r="B1741" i="10" a="1"/>
  <c r="B1741" i="10" s="1"/>
  <c r="B1742" i="10" a="1"/>
  <c r="B1742" i="10" s="1"/>
  <c r="B1743" i="10" a="1"/>
  <c r="B1743" i="10" s="1"/>
  <c r="B1744" i="10" a="1"/>
  <c r="B1744" i="10" s="1"/>
  <c r="B1745" i="10" a="1"/>
  <c r="B1745" i="10" s="1"/>
  <c r="B1746" i="10" a="1"/>
  <c r="B1746" i="10" s="1"/>
  <c r="B1747" i="10" a="1"/>
  <c r="B1747" i="10" s="1"/>
  <c r="B1748" i="10" a="1"/>
  <c r="B1748" i="10" s="1"/>
  <c r="B1749" i="10" a="1"/>
  <c r="B1749" i="10" s="1"/>
  <c r="B1750" i="10" a="1"/>
  <c r="B1750" i="10" s="1"/>
  <c r="B1751" i="10" a="1"/>
  <c r="B1751" i="10" s="1"/>
  <c r="B1752" i="10" a="1"/>
  <c r="B1752" i="10" s="1"/>
  <c r="B1753" i="10" a="1"/>
  <c r="B1753" i="10" s="1"/>
  <c r="B1754" i="10" a="1"/>
  <c r="B1754" i="10" s="1"/>
  <c r="B1755" i="10" a="1"/>
  <c r="B1755" i="10" s="1"/>
  <c r="B1756" i="10" a="1"/>
  <c r="B1756" i="10" s="1"/>
  <c r="B1757" i="10" a="1"/>
  <c r="B1757" i="10" s="1"/>
  <c r="B1758" i="10" a="1"/>
  <c r="B1758" i="10" s="1"/>
  <c r="B1759" i="10" a="1"/>
  <c r="B1759" i="10" s="1"/>
  <c r="B1760" i="10" a="1"/>
  <c r="B1760" i="10" s="1"/>
  <c r="B1761" i="10" a="1"/>
  <c r="B1761" i="10" s="1"/>
  <c r="B1762" i="10" a="1"/>
  <c r="B1762" i="10" s="1"/>
  <c r="B1763" i="10" a="1"/>
  <c r="B1763" i="10" s="1"/>
  <c r="B1764" i="10" a="1"/>
  <c r="B1764" i="10" s="1"/>
  <c r="B1765" i="10" a="1"/>
  <c r="B1765" i="10" s="1"/>
  <c r="B1766" i="10" a="1"/>
  <c r="B1766" i="10" s="1"/>
  <c r="B1767" i="10" a="1"/>
  <c r="B1767" i="10" s="1"/>
  <c r="B1768" i="10" a="1"/>
  <c r="B1768" i="10" s="1"/>
  <c r="B1769" i="10" a="1"/>
  <c r="B1769" i="10" s="1"/>
  <c r="B1770" i="10" a="1"/>
  <c r="B1770" i="10" s="1"/>
  <c r="B1771" i="10" a="1"/>
  <c r="B1771" i="10" s="1"/>
  <c r="B1772" i="10" a="1"/>
  <c r="B1772" i="10" s="1"/>
  <c r="B1773" i="10" a="1"/>
  <c r="B1773" i="10" s="1"/>
  <c r="B1774" i="10" a="1"/>
  <c r="B1774" i="10" s="1"/>
  <c r="B1775" i="10" a="1"/>
  <c r="B1775" i="10" s="1"/>
  <c r="B1776" i="10" a="1"/>
  <c r="B1776" i="10" s="1"/>
  <c r="B1777" i="10" a="1"/>
  <c r="B1777" i="10" s="1"/>
  <c r="B1778" i="10" a="1"/>
  <c r="B1778" i="10" s="1"/>
  <c r="B1779" i="10" a="1"/>
  <c r="B1779" i="10" s="1"/>
  <c r="B1780" i="10" a="1"/>
  <c r="B1780" i="10" s="1"/>
  <c r="B1781" i="10" a="1"/>
  <c r="B1781" i="10" s="1"/>
  <c r="B1782" i="10" a="1"/>
  <c r="B1782" i="10" s="1"/>
  <c r="B1783" i="10" a="1"/>
  <c r="B1783" i="10" s="1"/>
  <c r="B1784" i="10" a="1"/>
  <c r="B1784" i="10" s="1"/>
  <c r="B1785" i="10" a="1"/>
  <c r="B1785" i="10" s="1"/>
  <c r="B1786" i="10" a="1"/>
  <c r="B1786" i="10" s="1"/>
  <c r="B1787" i="10" a="1"/>
  <c r="B1787" i="10" s="1"/>
  <c r="B1788" i="10" a="1"/>
  <c r="B1788" i="10" s="1"/>
  <c r="B1789" i="10" a="1"/>
  <c r="B1789" i="10" s="1"/>
  <c r="B1790" i="10" a="1"/>
  <c r="B1790" i="10" s="1"/>
  <c r="B1791" i="10" a="1"/>
  <c r="B1791" i="10" s="1"/>
  <c r="B1792" i="10" a="1"/>
  <c r="B1792" i="10" s="1"/>
  <c r="B1793" i="10" a="1"/>
  <c r="B1793" i="10" s="1"/>
  <c r="B1794" i="10" a="1"/>
  <c r="B1794" i="10" s="1"/>
  <c r="B1795" i="10" a="1"/>
  <c r="B1795" i="10" s="1"/>
  <c r="B1796" i="10" a="1"/>
  <c r="B1796" i="10" s="1"/>
  <c r="B1797" i="10" a="1"/>
  <c r="B1797" i="10" s="1"/>
  <c r="B1798" i="10" a="1"/>
  <c r="B1798" i="10" s="1"/>
  <c r="B1799" i="10" a="1"/>
  <c r="B1799" i="10" s="1"/>
  <c r="B1800" i="10" a="1"/>
  <c r="B1800" i="10" s="1"/>
  <c r="B1801" i="10" a="1"/>
  <c r="B1801" i="10" s="1"/>
  <c r="B1802" i="10" a="1"/>
  <c r="B1802" i="10" s="1"/>
  <c r="B1803" i="10" a="1"/>
  <c r="B1803" i="10" s="1"/>
  <c r="B1804" i="10" a="1"/>
  <c r="B1804" i="10" s="1"/>
  <c r="B1805" i="10" a="1"/>
  <c r="B1805" i="10" s="1"/>
  <c r="B1806" i="10" a="1"/>
  <c r="B1806" i="10" s="1"/>
  <c r="B1807" i="10" a="1"/>
  <c r="B1807" i="10" s="1"/>
  <c r="B1808" i="10" a="1"/>
  <c r="B1808" i="10" s="1"/>
  <c r="B1809" i="10" a="1"/>
  <c r="B1809" i="10" s="1"/>
  <c r="B1810" i="10" a="1"/>
  <c r="B1810" i="10" s="1"/>
  <c r="B1811" i="10" a="1"/>
  <c r="B1811" i="10" s="1"/>
  <c r="B1812" i="10" a="1"/>
  <c r="B1812" i="10" s="1"/>
  <c r="B1813" i="10" a="1"/>
  <c r="B1813" i="10" s="1"/>
  <c r="B1814" i="10" a="1"/>
  <c r="B1814" i="10" s="1"/>
  <c r="B1815" i="10" a="1"/>
  <c r="B1815" i="10" s="1"/>
  <c r="B1816" i="10" a="1"/>
  <c r="B1816" i="10" s="1"/>
  <c r="B1817" i="10" a="1"/>
  <c r="B1817" i="10" s="1"/>
  <c r="B1818" i="10" a="1"/>
  <c r="B1818" i="10" s="1"/>
  <c r="B1819" i="10" a="1"/>
  <c r="B1819" i="10" s="1"/>
  <c r="B1820" i="10" a="1"/>
  <c r="B1820" i="10" s="1"/>
  <c r="B1821" i="10" a="1"/>
  <c r="B1821" i="10" s="1"/>
  <c r="B1822" i="10" a="1"/>
  <c r="B1822" i="10" s="1"/>
  <c r="B1823" i="10" a="1"/>
  <c r="B1823" i="10" s="1"/>
  <c r="B1824" i="10" a="1"/>
  <c r="B1824" i="10" s="1"/>
  <c r="B1825" i="10" a="1"/>
  <c r="B1825" i="10" s="1"/>
  <c r="B1826" i="10" a="1"/>
  <c r="B1826" i="10" s="1"/>
  <c r="B1827" i="10" a="1"/>
  <c r="B1827" i="10" s="1"/>
  <c r="B1828" i="10" a="1"/>
  <c r="B1828" i="10" s="1"/>
  <c r="B1829" i="10" a="1"/>
  <c r="B1829" i="10" s="1"/>
  <c r="B1830" i="10" a="1"/>
  <c r="B1830" i="10" s="1"/>
  <c r="B1831" i="10" a="1"/>
  <c r="B1831" i="10" s="1"/>
  <c r="B1832" i="10" a="1"/>
  <c r="B1832" i="10" s="1"/>
  <c r="B1833" i="10" a="1"/>
  <c r="B1833" i="10" s="1"/>
  <c r="B1834" i="10" a="1"/>
  <c r="B1834" i="10" s="1"/>
  <c r="B1835" i="10" a="1"/>
  <c r="B1835" i="10" s="1"/>
  <c r="B1836" i="10" a="1"/>
  <c r="B1836" i="10" s="1"/>
  <c r="B1837" i="10" a="1"/>
  <c r="B1837" i="10" s="1"/>
  <c r="B1838" i="10" a="1"/>
  <c r="B1838" i="10" s="1"/>
  <c r="B1839" i="10" a="1"/>
  <c r="B1839" i="10" s="1"/>
  <c r="B1840" i="10" a="1"/>
  <c r="B1840" i="10" s="1"/>
  <c r="B1841" i="10" a="1"/>
  <c r="B1841" i="10" s="1"/>
  <c r="B1842" i="10" a="1"/>
  <c r="B1842" i="10" s="1"/>
  <c r="B1843" i="10" a="1"/>
  <c r="B1843" i="10" s="1"/>
  <c r="B1844" i="10" a="1"/>
  <c r="B1844" i="10" s="1"/>
  <c r="B1845" i="10" a="1"/>
  <c r="B1845" i="10" s="1"/>
  <c r="B1846" i="10" a="1"/>
  <c r="B1846" i="10" s="1"/>
  <c r="B1847" i="10" a="1"/>
  <c r="B1847" i="10" s="1"/>
  <c r="B1848" i="10" a="1"/>
  <c r="B1848" i="10" s="1"/>
  <c r="B1849" i="10" a="1"/>
  <c r="B1849" i="10" s="1"/>
  <c r="B1850" i="10" a="1"/>
  <c r="B1850" i="10" s="1"/>
  <c r="B1851" i="10" a="1"/>
  <c r="B1851" i="10" s="1"/>
  <c r="B1852" i="10" a="1"/>
  <c r="B1852" i="10" s="1"/>
  <c r="B1853" i="10" a="1"/>
  <c r="B1853" i="10" s="1"/>
  <c r="B1854" i="10" a="1"/>
  <c r="B1854" i="10" s="1"/>
  <c r="B1855" i="10" a="1"/>
  <c r="B1855" i="10" s="1"/>
  <c r="B1856" i="10" a="1"/>
  <c r="B1856" i="10" s="1"/>
  <c r="B1857" i="10" a="1"/>
  <c r="B1857" i="10" s="1"/>
  <c r="B1858" i="10" a="1"/>
  <c r="B1858" i="10" s="1"/>
  <c r="B1859" i="10" a="1"/>
  <c r="B1859" i="10" s="1"/>
  <c r="B1860" i="10" a="1"/>
  <c r="B1860" i="10" s="1"/>
  <c r="B1861" i="10" a="1"/>
  <c r="B1861" i="10" s="1"/>
  <c r="B1862" i="10" a="1"/>
  <c r="B1862" i="10" s="1"/>
  <c r="B1863" i="10" a="1"/>
  <c r="B1863" i="10" s="1"/>
  <c r="B1864" i="10" a="1"/>
  <c r="B1864" i="10" s="1"/>
  <c r="B1865" i="10" a="1"/>
  <c r="B1865" i="10" s="1"/>
  <c r="B1866" i="10" a="1"/>
  <c r="B1866" i="10" s="1"/>
  <c r="B1867" i="10" a="1"/>
  <c r="B1867" i="10" s="1"/>
  <c r="B1868" i="10" a="1"/>
  <c r="B1868" i="10" s="1"/>
  <c r="B1869" i="10" a="1"/>
  <c r="B1869" i="10" s="1"/>
  <c r="B1870" i="10" a="1"/>
  <c r="B1870" i="10" s="1"/>
  <c r="B1871" i="10" a="1"/>
  <c r="B1871" i="10" s="1"/>
  <c r="B1872" i="10" a="1"/>
  <c r="B1872" i="10" s="1"/>
  <c r="B1873" i="10" a="1"/>
  <c r="B1873" i="10" s="1"/>
  <c r="B1874" i="10" a="1"/>
  <c r="B1874" i="10" s="1"/>
  <c r="B1875" i="10" a="1"/>
  <c r="B1875" i="10" s="1"/>
  <c r="B1876" i="10" a="1"/>
  <c r="B1876" i="10" s="1"/>
  <c r="B1877" i="10" a="1"/>
  <c r="B1877" i="10" s="1"/>
  <c r="B1878" i="10" a="1"/>
  <c r="B1878" i="10" s="1"/>
  <c r="B1879" i="10" a="1"/>
  <c r="B1879" i="10" s="1"/>
  <c r="B1880" i="10" a="1"/>
  <c r="B1880" i="10" s="1"/>
  <c r="B1881" i="10" a="1"/>
  <c r="B1881" i="10" s="1"/>
  <c r="B1882" i="10" a="1"/>
  <c r="B1882" i="10" s="1"/>
  <c r="B1883" i="10" a="1"/>
  <c r="B1883" i="10" s="1"/>
  <c r="B1884" i="10" a="1"/>
  <c r="B1884" i="10" s="1"/>
  <c r="B1885" i="10" a="1"/>
  <c r="B1885" i="10" s="1"/>
  <c r="B1886" i="10" a="1"/>
  <c r="B1886" i="10" s="1"/>
  <c r="B1887" i="10" a="1"/>
  <c r="B1887" i="10" s="1"/>
  <c r="B1888" i="10" a="1"/>
  <c r="B1888" i="10" s="1"/>
  <c r="B1889" i="10" a="1"/>
  <c r="B1889" i="10" s="1"/>
  <c r="B1890" i="10" a="1"/>
  <c r="B1890" i="10" s="1"/>
  <c r="B1891" i="10" a="1"/>
  <c r="B1891" i="10" s="1"/>
  <c r="B1892" i="10" a="1"/>
  <c r="B1892" i="10" s="1"/>
  <c r="B1893" i="10" a="1"/>
  <c r="B1893" i="10" s="1"/>
  <c r="B1894" i="10" a="1"/>
  <c r="B1894" i="10" s="1"/>
  <c r="B1895" i="10" a="1"/>
  <c r="B1895" i="10" s="1"/>
  <c r="B1896" i="10" a="1"/>
  <c r="B1896" i="10" s="1"/>
  <c r="B1897" i="10" a="1"/>
  <c r="B1897" i="10" s="1"/>
  <c r="B1898" i="10" a="1"/>
  <c r="B1898" i="10" s="1"/>
  <c r="B1899" i="10" a="1"/>
  <c r="B1899" i="10" s="1"/>
  <c r="B1900" i="10" a="1"/>
  <c r="B1900" i="10" s="1"/>
  <c r="B1901" i="10" a="1"/>
  <c r="B1901" i="10" s="1"/>
  <c r="B1902" i="10" a="1"/>
  <c r="B1902" i="10" s="1"/>
  <c r="B1903" i="10" a="1"/>
  <c r="B1903" i="10" s="1"/>
  <c r="B1904" i="10" a="1"/>
  <c r="B1904" i="10" s="1"/>
  <c r="B1905" i="10" a="1"/>
  <c r="B1905" i="10" s="1"/>
  <c r="B1906" i="10" a="1"/>
  <c r="B1906" i="10" s="1"/>
  <c r="B1907" i="10" a="1"/>
  <c r="B1907" i="10" s="1"/>
  <c r="B1908" i="10" a="1"/>
  <c r="B1908" i="10" s="1"/>
  <c r="B1909" i="10" a="1"/>
  <c r="B1909" i="10" s="1"/>
  <c r="B1910" i="10" a="1"/>
  <c r="B1910" i="10" s="1"/>
  <c r="B1911" i="10" a="1"/>
  <c r="B1911" i="10" s="1"/>
  <c r="B1912" i="10" a="1"/>
  <c r="B1912" i="10" s="1"/>
  <c r="B1913" i="10" a="1"/>
  <c r="B1913" i="10" s="1"/>
  <c r="B1914" i="10" a="1"/>
  <c r="B1914" i="10" s="1"/>
  <c r="B1915" i="10" a="1"/>
  <c r="B1915" i="10" s="1"/>
  <c r="B1916" i="10" a="1"/>
  <c r="B1916" i="10" s="1"/>
  <c r="B1917" i="10" a="1"/>
  <c r="B1917" i="10" s="1"/>
  <c r="B1918" i="10" a="1"/>
  <c r="B1918" i="10" s="1"/>
  <c r="B1919" i="10" a="1"/>
  <c r="B1919" i="10" s="1"/>
  <c r="B1920" i="10" a="1"/>
  <c r="B1920" i="10" s="1"/>
  <c r="B1921" i="10" a="1"/>
  <c r="B1921" i="10" s="1"/>
  <c r="B1922" i="10" a="1"/>
  <c r="B1922" i="10" s="1"/>
  <c r="B1923" i="10" a="1"/>
  <c r="B1923" i="10" s="1"/>
  <c r="B1924" i="10" a="1"/>
  <c r="B1924" i="10" s="1"/>
  <c r="B1925" i="10" a="1"/>
  <c r="B1925" i="10" s="1"/>
  <c r="B1926" i="10" a="1"/>
  <c r="B1926" i="10" s="1"/>
  <c r="B1927" i="10" a="1"/>
  <c r="B1927" i="10" s="1"/>
  <c r="B1928" i="10" a="1"/>
  <c r="B1928" i="10" s="1"/>
  <c r="B1929" i="10" a="1"/>
  <c r="B1929" i="10" s="1"/>
  <c r="B1930" i="10" a="1"/>
  <c r="B1930" i="10" s="1"/>
  <c r="B1931" i="10" a="1"/>
  <c r="B1931" i="10" s="1"/>
  <c r="B1932" i="10" a="1"/>
  <c r="B1932" i="10" s="1"/>
  <c r="B1933" i="10" a="1"/>
  <c r="B1933" i="10" s="1"/>
  <c r="B1934" i="10" a="1"/>
  <c r="B1934" i="10" s="1"/>
  <c r="B1935" i="10" a="1"/>
  <c r="B1935" i="10" s="1"/>
  <c r="B1936" i="10" a="1"/>
  <c r="B1936" i="10" s="1"/>
  <c r="B1937" i="10" a="1"/>
  <c r="B1937" i="10" s="1"/>
  <c r="B1938" i="10" a="1"/>
  <c r="B1938" i="10" s="1"/>
  <c r="B1939" i="10" a="1"/>
  <c r="B1939" i="10" s="1"/>
  <c r="B1940" i="10" a="1"/>
  <c r="B1940" i="10" s="1"/>
  <c r="B1941" i="10" a="1"/>
  <c r="B1941" i="10" s="1"/>
  <c r="B1942" i="10" a="1"/>
  <c r="B1942" i="10" s="1"/>
  <c r="B1943" i="10" a="1"/>
  <c r="B1943" i="10" s="1"/>
  <c r="B1944" i="10" a="1"/>
  <c r="B1944" i="10" s="1"/>
  <c r="B1945" i="10" a="1"/>
  <c r="B1945" i="10" s="1"/>
  <c r="B1946" i="10" a="1"/>
  <c r="B1946" i="10" s="1"/>
  <c r="B1947" i="10" a="1"/>
  <c r="B1947" i="10" s="1"/>
  <c r="B1948" i="10" a="1"/>
  <c r="B1948" i="10" s="1"/>
  <c r="B1949" i="10" a="1"/>
  <c r="B1949" i="10" s="1"/>
  <c r="B1950" i="10" a="1"/>
  <c r="B1950" i="10" s="1"/>
  <c r="B1951" i="10" a="1"/>
  <c r="B1951" i="10" s="1"/>
  <c r="B1952" i="10" a="1"/>
  <c r="B1952" i="10" s="1"/>
  <c r="B1953" i="10" a="1"/>
  <c r="B1953" i="10" s="1"/>
  <c r="B1954" i="10" a="1"/>
  <c r="B1954" i="10" s="1"/>
  <c r="B1955" i="10" a="1"/>
  <c r="B1955" i="10" s="1"/>
  <c r="B1956" i="10" a="1"/>
  <c r="B1956" i="10" s="1"/>
  <c r="B1957" i="10" a="1"/>
  <c r="B1957" i="10" s="1"/>
  <c r="B1958" i="10" a="1"/>
  <c r="B1958" i="10" s="1"/>
  <c r="B1959" i="10" a="1"/>
  <c r="B1959" i="10" s="1"/>
  <c r="B1960" i="10" a="1"/>
  <c r="B1960" i="10" s="1"/>
  <c r="B1961" i="10" a="1"/>
  <c r="B1961" i="10" s="1"/>
  <c r="B1962" i="10" a="1"/>
  <c r="B1962" i="10" s="1"/>
  <c r="B1963" i="10" a="1"/>
  <c r="B1963" i="10" s="1"/>
  <c r="B1964" i="10" a="1"/>
  <c r="B1964" i="10" s="1"/>
  <c r="B1965" i="10" a="1"/>
  <c r="B1965" i="10" s="1"/>
  <c r="B1966" i="10" a="1"/>
  <c r="B1966" i="10" s="1"/>
  <c r="B1967" i="10" a="1"/>
  <c r="B1967" i="10" s="1"/>
  <c r="B1968" i="10" a="1"/>
  <c r="B1968" i="10" s="1"/>
  <c r="B1969" i="10" a="1"/>
  <c r="B1969" i="10" s="1"/>
  <c r="B1970" i="10" a="1"/>
  <c r="B1970" i="10" s="1"/>
  <c r="B1971" i="10" a="1"/>
  <c r="B1971" i="10" s="1"/>
  <c r="B1972" i="10" a="1"/>
  <c r="B1972" i="10" s="1"/>
  <c r="B1973" i="10" a="1"/>
  <c r="B1973" i="10" s="1"/>
  <c r="B1974" i="10" a="1"/>
  <c r="B1974" i="10" s="1"/>
  <c r="B1975" i="10" a="1"/>
  <c r="B1975" i="10" s="1"/>
  <c r="B1976" i="10" a="1"/>
  <c r="B1976" i="10" s="1"/>
  <c r="B1977" i="10" a="1"/>
  <c r="B1977" i="10" s="1"/>
  <c r="B1978" i="10" a="1"/>
  <c r="B1978" i="10" s="1"/>
  <c r="B1979" i="10" a="1"/>
  <c r="B1979" i="10" s="1"/>
  <c r="B1980" i="10" a="1"/>
  <c r="B1980" i="10" s="1"/>
  <c r="B1981" i="10" a="1"/>
  <c r="B1981" i="10" s="1"/>
  <c r="B1982" i="10" a="1"/>
  <c r="B1982" i="10" s="1"/>
  <c r="B1983" i="10" a="1"/>
  <c r="B1983" i="10" s="1"/>
  <c r="B1984" i="10" a="1"/>
  <c r="B1984" i="10" s="1"/>
  <c r="B1985" i="10" a="1"/>
  <c r="B1985" i="10" s="1"/>
  <c r="B1986" i="10" a="1"/>
  <c r="B1986" i="10" s="1"/>
  <c r="B1987" i="10" a="1"/>
  <c r="B1987" i="10" s="1"/>
  <c r="B1988" i="10" a="1"/>
  <c r="B1988" i="10" s="1"/>
  <c r="B1989" i="10" a="1"/>
  <c r="B1989" i="10" s="1"/>
  <c r="B1990" i="10" a="1"/>
  <c r="B1990" i="10" s="1"/>
  <c r="B1991" i="10" a="1"/>
  <c r="B1991" i="10" s="1"/>
  <c r="B1992" i="10" a="1"/>
  <c r="B1992" i="10" s="1"/>
  <c r="B1993" i="10" a="1"/>
  <c r="B1993" i="10" s="1"/>
  <c r="B1994" i="10" a="1"/>
  <c r="B1994" i="10" s="1"/>
  <c r="B1995" i="10" a="1"/>
  <c r="B1995" i="10" s="1"/>
  <c r="B1996" i="10" a="1"/>
  <c r="B1996" i="10" s="1"/>
  <c r="B1997" i="10" a="1"/>
  <c r="B1997" i="10" s="1"/>
  <c r="B1998" i="10" a="1"/>
  <c r="B1998" i="10" s="1"/>
  <c r="B1999" i="10" a="1"/>
  <c r="B1999" i="10" s="1"/>
  <c r="B2000" i="10" a="1"/>
  <c r="B2000" i="10" s="1"/>
  <c r="B2001" i="10" a="1"/>
  <c r="B2001" i="10" s="1"/>
  <c r="B2002" i="10" a="1"/>
  <c r="B2002" i="10" s="1"/>
  <c r="B2003" i="10" a="1"/>
  <c r="B2003" i="10" s="1"/>
  <c r="B2004" i="10" a="1"/>
  <c r="B2004" i="10" s="1"/>
  <c r="B2005" i="10" a="1"/>
  <c r="B2005" i="10" s="1"/>
  <c r="B2006" i="10" a="1"/>
  <c r="B2006" i="10" s="1"/>
  <c r="B2007" i="10" a="1"/>
  <c r="B2007" i="10" s="1"/>
  <c r="B2008" i="10" a="1"/>
  <c r="B2008" i="10" s="1"/>
  <c r="B2009" i="10" a="1"/>
  <c r="B2009" i="10" s="1"/>
  <c r="B2010" i="10" a="1"/>
  <c r="B2010" i="10" s="1"/>
  <c r="B2011" i="10" a="1"/>
  <c r="B2011" i="10" s="1"/>
  <c r="B2012" i="10" a="1"/>
  <c r="B2012" i="10" s="1"/>
  <c r="B2013" i="10" a="1"/>
  <c r="B2013" i="10" s="1"/>
  <c r="B2014" i="10" a="1"/>
  <c r="B2014" i="10" s="1"/>
  <c r="B2015" i="10" a="1"/>
  <c r="B2015" i="10" s="1"/>
  <c r="B2016" i="10" a="1"/>
  <c r="B2016" i="10" s="1"/>
  <c r="B2017" i="10" a="1"/>
  <c r="B2017" i="10" s="1"/>
  <c r="B2018" i="10" a="1"/>
  <c r="B2018" i="10" s="1"/>
  <c r="B2019" i="10" a="1"/>
  <c r="B2019" i="10" s="1"/>
  <c r="B2020" i="10" a="1"/>
  <c r="B2020" i="10" s="1"/>
  <c r="B2021" i="10" a="1"/>
  <c r="B2021" i="10" s="1"/>
  <c r="B2022" i="10" a="1"/>
  <c r="B2022" i="10" s="1"/>
  <c r="B2023" i="10" a="1"/>
  <c r="B2023" i="10" s="1"/>
  <c r="B2024" i="10" a="1"/>
  <c r="B2024" i="10" s="1"/>
  <c r="B2025" i="10" a="1"/>
  <c r="B2025" i="10" s="1"/>
  <c r="B2026" i="10" a="1"/>
  <c r="B2026" i="10" s="1"/>
  <c r="B2027" i="10" a="1"/>
  <c r="B2027" i="10" s="1"/>
  <c r="B2028" i="10" a="1"/>
  <c r="B2028" i="10" s="1"/>
  <c r="B2029" i="10" a="1"/>
  <c r="B2029" i="10" s="1"/>
  <c r="B2030" i="10" a="1"/>
  <c r="B2030" i="10" s="1"/>
  <c r="B2031" i="10" a="1"/>
  <c r="B2031" i="10" s="1"/>
  <c r="B2032" i="10" a="1"/>
  <c r="B2032" i="10" s="1"/>
  <c r="B2033" i="10" a="1"/>
  <c r="B2033" i="10" s="1"/>
  <c r="B2034" i="10" a="1"/>
  <c r="B2034" i="10" s="1"/>
  <c r="B2035" i="10" a="1"/>
  <c r="B2035" i="10" s="1"/>
  <c r="B2036" i="10" a="1"/>
  <c r="B2036" i="10" s="1"/>
  <c r="B2037" i="10" a="1"/>
  <c r="B2037" i="10" s="1"/>
  <c r="B2038" i="10" a="1"/>
  <c r="B2038" i="10" s="1"/>
  <c r="B2039" i="10" a="1"/>
  <c r="B2039" i="10" s="1"/>
  <c r="B2040" i="10" a="1"/>
  <c r="B2040" i="10" s="1"/>
  <c r="B2041" i="10" a="1"/>
  <c r="B2041" i="10" s="1"/>
  <c r="B2042" i="10" a="1"/>
  <c r="B2042" i="10" s="1"/>
  <c r="B2043" i="10" a="1"/>
  <c r="B2043" i="10" s="1"/>
  <c r="B2044" i="10" a="1"/>
  <c r="B2044" i="10" s="1"/>
  <c r="B2045" i="10" a="1"/>
  <c r="B2045" i="10" s="1"/>
  <c r="B2046" i="10" a="1"/>
  <c r="B2046" i="10" s="1"/>
  <c r="B2047" i="10" a="1"/>
  <c r="B2047" i="10" s="1"/>
  <c r="B2048" i="10" a="1"/>
  <c r="B2048" i="10" s="1"/>
  <c r="B2049" i="10" a="1"/>
  <c r="B2049" i="10" s="1"/>
  <c r="B2050" i="10" a="1"/>
  <c r="B2050" i="10" s="1"/>
  <c r="B2051" i="10" a="1"/>
  <c r="B2051" i="10" s="1"/>
  <c r="B2052" i="10" a="1"/>
  <c r="B2052" i="10" s="1"/>
  <c r="B2053" i="10" a="1"/>
  <c r="B2053" i="10" s="1"/>
  <c r="B2054" i="10" a="1"/>
  <c r="B2054" i="10" s="1"/>
  <c r="B2055" i="10" a="1"/>
  <c r="B2055" i="10" s="1"/>
  <c r="B2056" i="10" a="1"/>
  <c r="B2056" i="10" s="1"/>
  <c r="B2057" i="10" a="1"/>
  <c r="B2057" i="10" s="1"/>
  <c r="B2058" i="10" a="1"/>
  <c r="B2058" i="10" s="1"/>
  <c r="B2059" i="10" a="1"/>
  <c r="B2059" i="10" s="1"/>
  <c r="B2060" i="10" a="1"/>
  <c r="B2060" i="10" s="1"/>
  <c r="B2061" i="10" a="1"/>
  <c r="B2061" i="10" s="1"/>
  <c r="B2062" i="10" a="1"/>
  <c r="B2062" i="10" s="1"/>
  <c r="B2063" i="10" a="1"/>
  <c r="B2063" i="10" s="1"/>
  <c r="B2064" i="10" a="1"/>
  <c r="B2064" i="10" s="1"/>
  <c r="B2065" i="10" a="1"/>
  <c r="B2065" i="10" s="1"/>
  <c r="B2066" i="10" a="1"/>
  <c r="B2066" i="10" s="1"/>
  <c r="B2067" i="10" a="1"/>
  <c r="B2067" i="10" s="1"/>
  <c r="B2068" i="10" a="1"/>
  <c r="B2068" i="10" s="1"/>
  <c r="B2069" i="10" a="1"/>
  <c r="B2069" i="10" s="1"/>
  <c r="B2070" i="10" a="1"/>
  <c r="B2070" i="10" s="1"/>
  <c r="B2071" i="10" a="1"/>
  <c r="B2071" i="10" s="1"/>
  <c r="B2072" i="10" a="1"/>
  <c r="B2072" i="10" s="1"/>
  <c r="B2073" i="10" a="1"/>
  <c r="B2073" i="10" s="1"/>
  <c r="B2074" i="10" a="1"/>
  <c r="B2074" i="10" s="1"/>
  <c r="B2075" i="10" a="1"/>
  <c r="B2075" i="10" s="1"/>
  <c r="B2076" i="10" a="1"/>
  <c r="B2076" i="10" s="1"/>
  <c r="B2077" i="10" a="1"/>
  <c r="B2077" i="10" s="1"/>
  <c r="B2078" i="10" a="1"/>
  <c r="B2078" i="10" s="1"/>
  <c r="B2079" i="10" a="1"/>
  <c r="B2079" i="10" s="1"/>
  <c r="B2080" i="10" a="1"/>
  <c r="B2080" i="10" s="1"/>
  <c r="B2081" i="10" a="1"/>
  <c r="B2081" i="10" s="1"/>
  <c r="B2082" i="10" a="1"/>
  <c r="B2082" i="10" s="1"/>
  <c r="B2083" i="10" a="1"/>
  <c r="B2083" i="10" s="1"/>
  <c r="B2084" i="10" a="1"/>
  <c r="B2084" i="10" s="1"/>
  <c r="B2085" i="10" a="1"/>
  <c r="B2085" i="10" s="1"/>
  <c r="B2086" i="10" a="1"/>
  <c r="B2086" i="10" s="1"/>
  <c r="B2087" i="10" a="1"/>
  <c r="B2087" i="10" s="1"/>
  <c r="B2088" i="10" a="1"/>
  <c r="B2088" i="10" s="1"/>
  <c r="B2089" i="10" a="1"/>
  <c r="B2089" i="10" s="1"/>
  <c r="B2090" i="10" a="1"/>
  <c r="B2090" i="10" s="1"/>
  <c r="B2091" i="10" a="1"/>
  <c r="B2091" i="10" s="1"/>
  <c r="B2092" i="10" a="1"/>
  <c r="B2092" i="10" s="1"/>
  <c r="B2093" i="10" a="1"/>
  <c r="B2093" i="10" s="1"/>
  <c r="B2094" i="10" a="1"/>
  <c r="B2094" i="10" s="1"/>
  <c r="B2095" i="10" a="1"/>
  <c r="B2095" i="10" s="1"/>
  <c r="B2096" i="10" a="1"/>
  <c r="B2096" i="10" s="1"/>
  <c r="B2097" i="10" a="1"/>
  <c r="B2097" i="10" s="1"/>
  <c r="B2098" i="10" a="1"/>
  <c r="B2098" i="10" s="1"/>
  <c r="B2099" i="10" a="1"/>
  <c r="B2099" i="10" s="1"/>
  <c r="B2100" i="10" a="1"/>
  <c r="B2100" i="10" s="1"/>
  <c r="B2101" i="10" a="1"/>
  <c r="B2101" i="10" s="1"/>
  <c r="B2102" i="10" a="1"/>
  <c r="B2102" i="10" s="1"/>
  <c r="B2103" i="10" a="1"/>
  <c r="B2103" i="10" s="1"/>
  <c r="B2104" i="10" a="1"/>
  <c r="B2104" i="10" s="1"/>
  <c r="B2105" i="10" a="1"/>
  <c r="B2105" i="10" s="1"/>
  <c r="B2106" i="10" a="1"/>
  <c r="B2106" i="10" s="1"/>
  <c r="B2107" i="10" a="1"/>
  <c r="B2107" i="10" s="1"/>
  <c r="B2108" i="10" a="1"/>
  <c r="B2108" i="10" s="1"/>
  <c r="B2109" i="10" a="1"/>
  <c r="B2109" i="10" s="1"/>
  <c r="B2110" i="10" a="1"/>
  <c r="B2110" i="10" s="1"/>
  <c r="B2111" i="10" a="1"/>
  <c r="B2111" i="10" s="1"/>
  <c r="B2112" i="10" a="1"/>
  <c r="B2112" i="10" s="1"/>
  <c r="B2113" i="10" a="1"/>
  <c r="B2113" i="10" s="1"/>
  <c r="B2114" i="10" a="1"/>
  <c r="B2114" i="10" s="1"/>
  <c r="B2115" i="10" a="1"/>
  <c r="B2115" i="10" s="1"/>
  <c r="B2116" i="10" a="1"/>
  <c r="B2116" i="10" s="1"/>
  <c r="B2117" i="10" a="1"/>
  <c r="B2117" i="10" s="1"/>
  <c r="B2118" i="10" a="1"/>
  <c r="B2118" i="10" s="1"/>
  <c r="B2119" i="10" a="1"/>
  <c r="B2119" i="10" s="1"/>
  <c r="B2120" i="10" a="1"/>
  <c r="B2120" i="10" s="1"/>
  <c r="B2121" i="10" a="1"/>
  <c r="B2121" i="10" s="1"/>
  <c r="B2122" i="10" a="1"/>
  <c r="B2122" i="10" s="1"/>
  <c r="B2123" i="10" a="1"/>
  <c r="B2123" i="10" s="1"/>
  <c r="B2124" i="10" a="1"/>
  <c r="B2124" i="10" s="1"/>
  <c r="B2125" i="10" a="1"/>
  <c r="B2125" i="10" s="1"/>
  <c r="B2126" i="10" a="1"/>
  <c r="B2126" i="10" s="1"/>
  <c r="B2127" i="10" a="1"/>
  <c r="B2127" i="10" s="1"/>
  <c r="B2128" i="10" a="1"/>
  <c r="B2128" i="10" s="1"/>
  <c r="B2129" i="10" a="1"/>
  <c r="B2129" i="10" s="1"/>
  <c r="B2130" i="10" a="1"/>
  <c r="B2130" i="10" s="1"/>
  <c r="B2131" i="10" a="1"/>
  <c r="B2131" i="10" s="1"/>
  <c r="B2132" i="10" a="1"/>
  <c r="B2132" i="10" s="1"/>
  <c r="B2133" i="10" a="1"/>
  <c r="B2133" i="10" s="1"/>
  <c r="B2134" i="10" a="1"/>
  <c r="B2134" i="10" s="1"/>
  <c r="B2135" i="10" a="1"/>
  <c r="B2135" i="10" s="1"/>
  <c r="B2136" i="10" a="1"/>
  <c r="B2136" i="10" s="1"/>
  <c r="B2137" i="10" a="1"/>
  <c r="B2137" i="10" s="1"/>
  <c r="B2138" i="10" a="1"/>
  <c r="B2138" i="10" s="1"/>
  <c r="B2139" i="10" a="1"/>
  <c r="B2139" i="10" s="1"/>
  <c r="B2140" i="10" a="1"/>
  <c r="B2140" i="10" s="1"/>
  <c r="B2141" i="10" a="1"/>
  <c r="B2141" i="10" s="1"/>
  <c r="B2142" i="10" a="1"/>
  <c r="B2142" i="10" s="1"/>
  <c r="B2143" i="10" a="1"/>
  <c r="B2143" i="10" s="1"/>
  <c r="B2144" i="10" a="1"/>
  <c r="B2144" i="10" s="1"/>
  <c r="B2145" i="10" a="1"/>
  <c r="B2145" i="10" s="1"/>
  <c r="B2146" i="10" a="1"/>
  <c r="B2146" i="10" s="1"/>
  <c r="B2147" i="10" a="1"/>
  <c r="B2147" i="10" s="1"/>
  <c r="B2148" i="10" a="1"/>
  <c r="B2148" i="10" s="1"/>
  <c r="B2149" i="10" a="1"/>
  <c r="B2149" i="10" s="1"/>
  <c r="B2150" i="10" a="1"/>
  <c r="B2150" i="10" s="1"/>
  <c r="B2151" i="10" a="1"/>
  <c r="B2151" i="10" s="1"/>
  <c r="B2152" i="10" a="1"/>
  <c r="B2152" i="10" s="1"/>
  <c r="B2153" i="10" a="1"/>
  <c r="B2153" i="10" s="1"/>
  <c r="B2154" i="10" a="1"/>
  <c r="B2154" i="10" s="1"/>
  <c r="B2155" i="10" a="1"/>
  <c r="B2155" i="10" s="1"/>
  <c r="B2156" i="10" a="1"/>
  <c r="B2156" i="10" s="1"/>
  <c r="B2157" i="10" a="1"/>
  <c r="B2157" i="10" s="1"/>
  <c r="B2158" i="10" a="1"/>
  <c r="B2158" i="10" s="1"/>
  <c r="B2159" i="10" a="1"/>
  <c r="B2159" i="10" s="1"/>
  <c r="B2160" i="10" a="1"/>
  <c r="B2160" i="10" s="1"/>
  <c r="B2161" i="10" a="1"/>
  <c r="B2161" i="10" s="1"/>
  <c r="B2162" i="10" a="1"/>
  <c r="B2162" i="10" s="1"/>
  <c r="B2163" i="10" a="1"/>
  <c r="B2163" i="10" s="1"/>
  <c r="B2164" i="10" a="1"/>
  <c r="B2164" i="10" s="1"/>
  <c r="B2165" i="10" a="1"/>
  <c r="B2165" i="10" s="1"/>
  <c r="B2166" i="10" a="1"/>
  <c r="B2166" i="10" s="1"/>
  <c r="B2167" i="10" a="1"/>
  <c r="B2167" i="10" s="1"/>
  <c r="B2168" i="10" a="1"/>
  <c r="B2168" i="10" s="1"/>
  <c r="B2169" i="10" a="1"/>
  <c r="B2169" i="10" s="1"/>
  <c r="B2170" i="10" a="1"/>
  <c r="B2170" i="10" s="1"/>
  <c r="B2171" i="10" a="1"/>
  <c r="B2171" i="10" s="1"/>
  <c r="B2172" i="10" a="1"/>
  <c r="B2172" i="10" s="1"/>
  <c r="B2173" i="10" a="1"/>
  <c r="B2173" i="10" s="1"/>
  <c r="B2174" i="10" a="1"/>
  <c r="B2174" i="10" s="1"/>
  <c r="B2175" i="10" a="1"/>
  <c r="B2175" i="10" s="1"/>
  <c r="B2176" i="10" a="1"/>
  <c r="B2176" i="10" s="1"/>
  <c r="B2177" i="10" a="1"/>
  <c r="B2177" i="10" s="1"/>
  <c r="B2178" i="10" a="1"/>
  <c r="B2178" i="10" s="1"/>
  <c r="B2179" i="10" a="1"/>
  <c r="B2179" i="10" s="1"/>
  <c r="B2180" i="10" a="1"/>
  <c r="B2180" i="10" s="1"/>
  <c r="B2181" i="10" a="1"/>
  <c r="B2181" i="10" s="1"/>
  <c r="B2182" i="10" a="1"/>
  <c r="B2182" i="10" s="1"/>
  <c r="B2183" i="10" a="1"/>
  <c r="B2183" i="10" s="1"/>
  <c r="B2184" i="10" a="1"/>
  <c r="B2184" i="10" s="1"/>
  <c r="B2185" i="10" a="1"/>
  <c r="B2185" i="10" s="1"/>
  <c r="B2186" i="10" a="1"/>
  <c r="B2186" i="10" s="1"/>
  <c r="B2187" i="10" a="1"/>
  <c r="B2187" i="10" s="1"/>
  <c r="B2188" i="10" a="1"/>
  <c r="B2188" i="10" s="1"/>
  <c r="B2189" i="10" a="1"/>
  <c r="B2189" i="10" s="1"/>
  <c r="B2190" i="10" a="1"/>
  <c r="B2190" i="10" s="1"/>
  <c r="B2191" i="10" a="1"/>
  <c r="B2191" i="10" s="1"/>
  <c r="B2192" i="10" a="1"/>
  <c r="B2192" i="10" s="1"/>
  <c r="B2193" i="10" a="1"/>
  <c r="B2193" i="10" s="1"/>
  <c r="B2194" i="10" a="1"/>
  <c r="B2194" i="10" s="1"/>
  <c r="B2195" i="10" a="1"/>
  <c r="B2195" i="10" s="1"/>
  <c r="B2196" i="10" a="1"/>
  <c r="B2196" i="10" s="1"/>
  <c r="B2197" i="10" a="1"/>
  <c r="B2197" i="10" s="1"/>
  <c r="B2198" i="10" a="1"/>
  <c r="B2198" i="10" s="1"/>
  <c r="B2199" i="10" a="1"/>
  <c r="B2199" i="10" s="1"/>
  <c r="B2200" i="10" a="1"/>
  <c r="B2200" i="10" s="1"/>
  <c r="B2201" i="10" a="1"/>
  <c r="B2201" i="10" s="1"/>
  <c r="B2202" i="10" a="1"/>
  <c r="B2202" i="10" s="1"/>
  <c r="B2203" i="10" a="1"/>
  <c r="B2203" i="10" s="1"/>
  <c r="B2204" i="10" a="1"/>
  <c r="B2204" i="10" s="1"/>
  <c r="B2205" i="10" a="1"/>
  <c r="B2205" i="10" s="1"/>
  <c r="B2206" i="10" a="1"/>
  <c r="B2206" i="10" s="1"/>
  <c r="B2207" i="10" a="1"/>
  <c r="B2207" i="10" s="1"/>
  <c r="B2208" i="10" a="1"/>
  <c r="B2208" i="10" s="1"/>
  <c r="B2209" i="10" a="1"/>
  <c r="B2209" i="10" s="1"/>
  <c r="B2210" i="10" a="1"/>
  <c r="B2210" i="10" s="1"/>
  <c r="B2211" i="10" a="1"/>
  <c r="B2211" i="10" s="1"/>
  <c r="B2212" i="10" a="1"/>
  <c r="B2212" i="10" s="1"/>
  <c r="B2213" i="10" a="1"/>
  <c r="B2213" i="10" s="1"/>
  <c r="B2214" i="10" a="1"/>
  <c r="B2214" i="10" s="1"/>
  <c r="B2215" i="10" a="1"/>
  <c r="B2215" i="10" s="1"/>
  <c r="B2216" i="10" a="1"/>
  <c r="B2216" i="10" s="1"/>
  <c r="B2217" i="10" a="1"/>
  <c r="B2217" i="10" s="1"/>
  <c r="B2218" i="10" a="1"/>
  <c r="B2218" i="10" s="1"/>
  <c r="B2219" i="10" a="1"/>
  <c r="B2219" i="10" s="1"/>
  <c r="B2220" i="10" a="1"/>
  <c r="B2220" i="10" s="1"/>
  <c r="B2221" i="10" a="1"/>
  <c r="B2221" i="10" s="1"/>
  <c r="B2222" i="10" a="1"/>
  <c r="B2222" i="10" s="1"/>
  <c r="B2223" i="10" a="1"/>
  <c r="B2223" i="10" s="1"/>
  <c r="B2224" i="10" a="1"/>
  <c r="B2224" i="10" s="1"/>
  <c r="B2225" i="10" a="1"/>
  <c r="B2225" i="10" s="1"/>
  <c r="B2226" i="10" a="1"/>
  <c r="B2226" i="10" s="1"/>
  <c r="B2227" i="10" a="1"/>
  <c r="B2227" i="10" s="1"/>
  <c r="B2228" i="10" a="1"/>
  <c r="B2228" i="10" s="1"/>
  <c r="B2229" i="10" a="1"/>
  <c r="B2229" i="10" s="1"/>
  <c r="B2230" i="10" a="1"/>
  <c r="B2230" i="10" s="1"/>
  <c r="B2231" i="10" a="1"/>
  <c r="B2231" i="10" s="1"/>
  <c r="B2232" i="10" a="1"/>
  <c r="B2232" i="10" s="1"/>
  <c r="B2233" i="10" a="1"/>
  <c r="B2233" i="10" s="1"/>
  <c r="B2234" i="10" a="1"/>
  <c r="B2234" i="10" s="1"/>
  <c r="B2235" i="10" a="1"/>
  <c r="B2235" i="10" s="1"/>
  <c r="B2236" i="10" a="1"/>
  <c r="B2236" i="10" s="1"/>
  <c r="B2237" i="10" a="1"/>
  <c r="B2237" i="10" s="1"/>
  <c r="B2238" i="10" a="1"/>
  <c r="B2238" i="10" s="1"/>
  <c r="B2239" i="10" a="1"/>
  <c r="B2239" i="10" s="1"/>
  <c r="B2240" i="10" a="1"/>
  <c r="B2240" i="10" s="1"/>
  <c r="B2241" i="10" a="1"/>
  <c r="B2241" i="10" s="1"/>
  <c r="B2242" i="10" a="1"/>
  <c r="B2242" i="10" s="1"/>
  <c r="B2243" i="10" a="1"/>
  <c r="B2243" i="10" s="1"/>
  <c r="B2244" i="10" a="1"/>
  <c r="B2244" i="10" s="1"/>
  <c r="B2245" i="10" a="1"/>
  <c r="B2245" i="10" s="1"/>
  <c r="B2246" i="10" a="1"/>
  <c r="B2246" i="10" s="1"/>
  <c r="B2247" i="10" a="1"/>
  <c r="B2247" i="10" s="1"/>
  <c r="B2248" i="10" a="1"/>
  <c r="B2248" i="10" s="1"/>
  <c r="B2249" i="10" a="1"/>
  <c r="B2249" i="10" s="1"/>
  <c r="B2250" i="10" a="1"/>
  <c r="B2250" i="10" s="1"/>
  <c r="B2251" i="10" a="1"/>
  <c r="B2251" i="10" s="1"/>
  <c r="B2252" i="10" a="1"/>
  <c r="B2252" i="10" s="1"/>
  <c r="B2253" i="10" a="1"/>
  <c r="B2253" i="10" s="1"/>
  <c r="B2254" i="10" a="1"/>
  <c r="B2254" i="10" s="1"/>
  <c r="B2255" i="10" a="1"/>
  <c r="B2255" i="10" s="1"/>
  <c r="B2256" i="10" a="1"/>
  <c r="B2256" i="10" s="1"/>
  <c r="B2257" i="10" a="1"/>
  <c r="B2257" i="10" s="1"/>
  <c r="B2258" i="10" a="1"/>
  <c r="B2258" i="10" s="1"/>
  <c r="B2259" i="10" a="1"/>
  <c r="B2259" i="10" s="1"/>
  <c r="B2260" i="10" a="1"/>
  <c r="B2260" i="10" s="1"/>
  <c r="B2261" i="10" a="1"/>
  <c r="B2261" i="10" s="1"/>
  <c r="B2262" i="10" a="1"/>
  <c r="B2262" i="10" s="1"/>
  <c r="B2263" i="10" a="1"/>
  <c r="B2263" i="10" s="1"/>
  <c r="B2264" i="10" a="1"/>
  <c r="B2264" i="10" s="1"/>
  <c r="B2265" i="10" a="1"/>
  <c r="B2265" i="10" s="1"/>
  <c r="B2266" i="10" a="1"/>
  <c r="B2266" i="10" s="1"/>
  <c r="B2267" i="10" a="1"/>
  <c r="B2267" i="10" s="1"/>
  <c r="B2268" i="10" a="1"/>
  <c r="B2268" i="10" s="1"/>
  <c r="B2269" i="10" a="1"/>
  <c r="B2269" i="10" s="1"/>
  <c r="B2270" i="10" a="1"/>
  <c r="B2270" i="10" s="1"/>
  <c r="B2271" i="10" a="1"/>
  <c r="B2271" i="10" s="1"/>
  <c r="B2272" i="10" a="1"/>
  <c r="B2272" i="10" s="1"/>
  <c r="B2273" i="10" a="1"/>
  <c r="B2273" i="10" s="1"/>
  <c r="B2274" i="10" a="1"/>
  <c r="B2274" i="10" s="1"/>
  <c r="B2275" i="10" a="1"/>
  <c r="B2275" i="10" s="1"/>
  <c r="B2276" i="10" a="1"/>
  <c r="B2276" i="10" s="1"/>
  <c r="B2277" i="10" a="1"/>
  <c r="B2277" i="10" s="1"/>
  <c r="B2278" i="10" a="1"/>
  <c r="B2278" i="10" s="1"/>
  <c r="B2279" i="10" a="1"/>
  <c r="B2279" i="10" s="1"/>
  <c r="B2280" i="10" a="1"/>
  <c r="B2280" i="10" s="1"/>
  <c r="B2281" i="10" a="1"/>
  <c r="B2281" i="10" s="1"/>
  <c r="B2282" i="10" a="1"/>
  <c r="B2282" i="10" s="1"/>
  <c r="B2283" i="10" a="1"/>
  <c r="B2283" i="10" s="1"/>
  <c r="B2284" i="10" a="1"/>
  <c r="B2284" i="10" s="1"/>
  <c r="B2285" i="10" a="1"/>
  <c r="B2285" i="10" s="1"/>
  <c r="B2286" i="10" a="1"/>
  <c r="B2286" i="10" s="1"/>
  <c r="B2287" i="10" a="1"/>
  <c r="B2287" i="10" s="1"/>
  <c r="B2288" i="10" a="1"/>
  <c r="B2288" i="10" s="1"/>
  <c r="B2289" i="10" a="1"/>
  <c r="B2289" i="10" s="1"/>
  <c r="B2290" i="10" a="1"/>
  <c r="B2290" i="10" s="1"/>
  <c r="B2291" i="10" a="1"/>
  <c r="B2291" i="10" s="1"/>
  <c r="B2292" i="10" a="1"/>
  <c r="B2292" i="10" s="1"/>
  <c r="B2293" i="10" a="1"/>
  <c r="B2293" i="10" s="1"/>
  <c r="B2294" i="10" a="1"/>
  <c r="B2294" i="10" s="1"/>
  <c r="B2295" i="10" a="1"/>
  <c r="B2295" i="10" s="1"/>
  <c r="B2296" i="10" a="1"/>
  <c r="B2296" i="10" s="1"/>
  <c r="B2297" i="10" a="1"/>
  <c r="B2297" i="10" s="1"/>
  <c r="B2298" i="10" a="1"/>
  <c r="B2298" i="10" s="1"/>
  <c r="B2299" i="10" a="1"/>
  <c r="B2299" i="10" s="1"/>
  <c r="B2300" i="10" a="1"/>
  <c r="B2300" i="10" s="1"/>
  <c r="B2301" i="10" a="1"/>
  <c r="B2301" i="10" s="1"/>
  <c r="B2302" i="10" a="1"/>
  <c r="B2302" i="10" s="1"/>
  <c r="B2303" i="10" a="1"/>
  <c r="B2303" i="10" s="1"/>
  <c r="B2304" i="10" a="1"/>
  <c r="B2304" i="10" s="1"/>
  <c r="B2305" i="10" a="1"/>
  <c r="B2305" i="10" s="1"/>
  <c r="B2306" i="10" a="1"/>
  <c r="B2306" i="10" s="1"/>
  <c r="B2307" i="10" a="1"/>
  <c r="B2307" i="10" s="1"/>
  <c r="B2308" i="10" a="1"/>
  <c r="B2308" i="10" s="1"/>
  <c r="B2309" i="10" a="1"/>
  <c r="B2309" i="10" s="1"/>
  <c r="B2310" i="10" a="1"/>
  <c r="B2310" i="10" s="1"/>
  <c r="B2311" i="10" a="1"/>
  <c r="B2311" i="10" s="1"/>
  <c r="B2312" i="10" a="1"/>
  <c r="B2312" i="10" s="1"/>
  <c r="B2313" i="10" a="1"/>
  <c r="B2313" i="10" s="1"/>
  <c r="B2314" i="10" a="1"/>
  <c r="B2314" i="10" s="1"/>
  <c r="B2315" i="10" a="1"/>
  <c r="B2315" i="10" s="1"/>
  <c r="B2316" i="10" a="1"/>
  <c r="B2316" i="10" s="1"/>
  <c r="B2317" i="10" a="1"/>
  <c r="B2317" i="10" s="1"/>
  <c r="B2318" i="10" a="1"/>
  <c r="B2318" i="10" s="1"/>
  <c r="B2319" i="10" a="1"/>
  <c r="B2319" i="10" s="1"/>
  <c r="B2320" i="10" a="1"/>
  <c r="B2320" i="10" s="1"/>
  <c r="B2321" i="10" a="1"/>
  <c r="B2321" i="10" s="1"/>
  <c r="B2322" i="10" a="1"/>
  <c r="B2322" i="10" s="1"/>
  <c r="B2323" i="10" a="1"/>
  <c r="B2323" i="10" s="1"/>
  <c r="B2324" i="10" a="1"/>
  <c r="B2324" i="10" s="1"/>
  <c r="B2325" i="10" a="1"/>
  <c r="B2325" i="10" s="1"/>
  <c r="B2326" i="10" a="1"/>
  <c r="B2326" i="10" s="1"/>
  <c r="B2327" i="10" a="1"/>
  <c r="B2327" i="10" s="1"/>
  <c r="B2328" i="10" a="1"/>
  <c r="B2328" i="10" s="1"/>
  <c r="B2329" i="10" a="1"/>
  <c r="B2329" i="10" s="1"/>
  <c r="B2330" i="10" a="1"/>
  <c r="B2330" i="10" s="1"/>
  <c r="B2331" i="10" a="1"/>
  <c r="B2331" i="10" s="1"/>
  <c r="B2332" i="10" a="1"/>
  <c r="B2332" i="10" s="1"/>
  <c r="B2333" i="10" a="1"/>
  <c r="B2333" i="10" s="1"/>
  <c r="B2334" i="10" a="1"/>
  <c r="B2334" i="10" s="1"/>
  <c r="B2335" i="10" a="1"/>
  <c r="B2335" i="10" s="1"/>
  <c r="B2336" i="10" a="1"/>
  <c r="B2336" i="10" s="1"/>
  <c r="B2337" i="10" a="1"/>
  <c r="B2337" i="10" s="1"/>
  <c r="B2338" i="10" a="1"/>
  <c r="B2338" i="10" s="1"/>
  <c r="B2339" i="10" a="1"/>
  <c r="B2339" i="10" s="1"/>
  <c r="B2340" i="10" a="1"/>
  <c r="B2340" i="10" s="1"/>
  <c r="B2341" i="10" a="1"/>
  <c r="B2341" i="10" s="1"/>
  <c r="B2342" i="10" a="1"/>
  <c r="B2342" i="10" s="1"/>
  <c r="B2343" i="10" a="1"/>
  <c r="B2343" i="10" s="1"/>
  <c r="B2344" i="10" a="1"/>
  <c r="B2344" i="10" s="1"/>
  <c r="B2345" i="10" a="1"/>
  <c r="B2345" i="10" s="1"/>
  <c r="B2346" i="10" a="1"/>
  <c r="B2346" i="10" s="1"/>
  <c r="B2347" i="10" a="1"/>
  <c r="B2347" i="10" s="1"/>
  <c r="B2348" i="10" a="1"/>
  <c r="B2348" i="10" s="1"/>
  <c r="B2349" i="10" a="1"/>
  <c r="B2349" i="10" s="1"/>
  <c r="B2350" i="10" a="1"/>
  <c r="B2350" i="10" s="1"/>
  <c r="B2351" i="10" a="1"/>
  <c r="B2351" i="10" s="1"/>
  <c r="B2352" i="10" a="1"/>
  <c r="B2352" i="10" s="1"/>
  <c r="B2353" i="10" a="1"/>
  <c r="B2353" i="10" s="1"/>
  <c r="B2354" i="10" a="1"/>
  <c r="B2354" i="10" s="1"/>
  <c r="B2355" i="10" a="1"/>
  <c r="B2355" i="10" s="1"/>
  <c r="B2356" i="10" a="1"/>
  <c r="B2356" i="10" s="1"/>
  <c r="B2357" i="10" a="1"/>
  <c r="B2357" i="10" s="1"/>
  <c r="B2358" i="10" a="1"/>
  <c r="B2358" i="10" s="1"/>
  <c r="B2359" i="10" a="1"/>
  <c r="B2359" i="10" s="1"/>
  <c r="B2360" i="10" a="1"/>
  <c r="B2360" i="10" s="1"/>
  <c r="B2361" i="10" a="1"/>
  <c r="B2361" i="10" s="1"/>
  <c r="B2362" i="10" a="1"/>
  <c r="B2362" i="10" s="1"/>
  <c r="B2363" i="10" a="1"/>
  <c r="B2363" i="10" s="1"/>
  <c r="B2364" i="10" a="1"/>
  <c r="B2364" i="10" s="1"/>
  <c r="B2365" i="10" a="1"/>
  <c r="B2365" i="10" s="1"/>
  <c r="B2366" i="10" a="1"/>
  <c r="B2366" i="10" s="1"/>
  <c r="B2367" i="10" a="1"/>
  <c r="B2367" i="10" s="1"/>
  <c r="B2368" i="10" a="1"/>
  <c r="B2368" i="10" s="1"/>
  <c r="B2369" i="10" a="1"/>
  <c r="B2369" i="10" s="1"/>
  <c r="B2370" i="10" a="1"/>
  <c r="B2370" i="10" s="1"/>
  <c r="B2371" i="10" a="1"/>
  <c r="B2371" i="10" s="1"/>
  <c r="B2372" i="10" a="1"/>
  <c r="B2372" i="10" s="1"/>
  <c r="B2373" i="10" a="1"/>
  <c r="B2373" i="10" s="1"/>
  <c r="B2374" i="10" a="1"/>
  <c r="B2374" i="10" s="1"/>
  <c r="B2375" i="10" a="1"/>
  <c r="B2375" i="10" s="1"/>
  <c r="B2376" i="10" a="1"/>
  <c r="B2376" i="10" s="1"/>
  <c r="B2377" i="10" a="1"/>
  <c r="B2377" i="10" s="1"/>
  <c r="B2378" i="10" a="1"/>
  <c r="B2378" i="10" s="1"/>
  <c r="B2379" i="10" a="1"/>
  <c r="B2379" i="10" s="1"/>
  <c r="B2380" i="10" a="1"/>
  <c r="B2380" i="10" s="1"/>
  <c r="B2381" i="10" a="1"/>
  <c r="B2381" i="10" s="1"/>
  <c r="B2382" i="10" a="1"/>
  <c r="B2382" i="10" s="1"/>
  <c r="B2383" i="10" a="1"/>
  <c r="B2383" i="10" s="1"/>
  <c r="B2384" i="10" a="1"/>
  <c r="B2384" i="10" s="1"/>
  <c r="B2385" i="10" a="1"/>
  <c r="B2385" i="10" s="1"/>
  <c r="B2386" i="10" a="1"/>
  <c r="B2386" i="10" s="1"/>
  <c r="B2387" i="10" a="1"/>
  <c r="B2387" i="10" s="1"/>
  <c r="B2388" i="10" a="1"/>
  <c r="B2388" i="10" s="1"/>
  <c r="B2389" i="10" a="1"/>
  <c r="B2389" i="10" s="1"/>
  <c r="B2390" i="10" a="1"/>
  <c r="B2390" i="10" s="1"/>
  <c r="B2391" i="10" a="1"/>
  <c r="B2391" i="10" s="1"/>
  <c r="B2392" i="10" a="1"/>
  <c r="B2392" i="10" s="1"/>
  <c r="B2393" i="10" a="1"/>
  <c r="B2393" i="10" s="1"/>
  <c r="B2394" i="10" a="1"/>
  <c r="B2394" i="10" s="1"/>
  <c r="B2395" i="10" a="1"/>
  <c r="B2395" i="10" s="1"/>
  <c r="B2396" i="10" a="1"/>
  <c r="B2396" i="10" s="1"/>
  <c r="B2397" i="10" a="1"/>
  <c r="B2397" i="10" s="1"/>
  <c r="B2398" i="10" a="1"/>
  <c r="B2398" i="10" s="1"/>
  <c r="B2399" i="10" a="1"/>
  <c r="B2399" i="10" s="1"/>
  <c r="B2400" i="10" a="1"/>
  <c r="B2400" i="10" s="1"/>
  <c r="B2401" i="10" a="1"/>
  <c r="B2401" i="10" s="1"/>
  <c r="B2402" i="10" a="1"/>
  <c r="B2402" i="10" s="1"/>
  <c r="B2403" i="10" a="1"/>
  <c r="B2403" i="10" s="1"/>
  <c r="B2404" i="10" a="1"/>
  <c r="B2404" i="10" s="1"/>
  <c r="B2405" i="10" a="1"/>
  <c r="B2405" i="10" s="1"/>
  <c r="B2406" i="10" a="1"/>
  <c r="B2406" i="10" s="1"/>
  <c r="B2407" i="10" a="1"/>
  <c r="B2407" i="10" s="1"/>
  <c r="B2408" i="10" a="1"/>
  <c r="B2408" i="10" s="1"/>
  <c r="B2409" i="10" a="1"/>
  <c r="B2409" i="10" s="1"/>
  <c r="B2410" i="10" a="1"/>
  <c r="B2410" i="10" s="1"/>
  <c r="B2411" i="10" a="1"/>
  <c r="B2411" i="10" s="1"/>
  <c r="B2412" i="10" a="1"/>
  <c r="B2412" i="10" s="1"/>
  <c r="B2413" i="10" a="1"/>
  <c r="B2413" i="10" s="1"/>
  <c r="B2414" i="10" a="1"/>
  <c r="B2414" i="10" s="1"/>
  <c r="B2415" i="10" a="1"/>
  <c r="B2415" i="10" s="1"/>
  <c r="B2416" i="10" a="1"/>
  <c r="B2416" i="10" s="1"/>
  <c r="B2417" i="10" a="1"/>
  <c r="B2417" i="10" s="1"/>
  <c r="B2418" i="10" a="1"/>
  <c r="B2418" i="10" s="1"/>
  <c r="B2419" i="10" a="1"/>
  <c r="B2419" i="10" s="1"/>
  <c r="B2420" i="10" a="1"/>
  <c r="B2420" i="10" s="1"/>
  <c r="B2421" i="10" a="1"/>
  <c r="B2421" i="10" s="1"/>
  <c r="B2422" i="10" a="1"/>
  <c r="B2422" i="10" s="1"/>
  <c r="B2423" i="10" a="1"/>
  <c r="B2423" i="10" s="1"/>
  <c r="B2424" i="10" a="1"/>
  <c r="B2424" i="10" s="1"/>
  <c r="B2425" i="10" a="1"/>
  <c r="B2425" i="10" s="1"/>
  <c r="B2426" i="10" a="1"/>
  <c r="B2426" i="10" s="1"/>
  <c r="B2427" i="10" a="1"/>
  <c r="B2427" i="10" s="1"/>
  <c r="B2428" i="10" a="1"/>
  <c r="B2428" i="10" s="1"/>
  <c r="B2429" i="10" a="1"/>
  <c r="B2429" i="10" s="1"/>
  <c r="B2430" i="10" a="1"/>
  <c r="B2430" i="10" s="1"/>
  <c r="B2431" i="10" a="1"/>
  <c r="B2431" i="10" s="1"/>
  <c r="B2432" i="10" a="1"/>
  <c r="B2432" i="10" s="1"/>
  <c r="B2433" i="10" a="1"/>
  <c r="B2433" i="10" s="1"/>
  <c r="B2434" i="10" a="1"/>
  <c r="B2434" i="10" s="1"/>
  <c r="B2435" i="10" a="1"/>
  <c r="B2435" i="10" s="1"/>
  <c r="B2436" i="10" a="1"/>
  <c r="B2436" i="10" s="1"/>
  <c r="B2437" i="10" a="1"/>
  <c r="B2437" i="10" s="1"/>
  <c r="B2438" i="10" a="1"/>
  <c r="B2438" i="10" s="1"/>
  <c r="B2439" i="10" a="1"/>
  <c r="B2439" i="10" s="1"/>
  <c r="B2440" i="10" a="1"/>
  <c r="B2440" i="10" s="1"/>
  <c r="B2441" i="10" a="1"/>
  <c r="B2441" i="10" s="1"/>
  <c r="B2442" i="10" a="1"/>
  <c r="B2442" i="10" s="1"/>
  <c r="B2443" i="10" a="1"/>
  <c r="B2443" i="10" s="1"/>
  <c r="B2444" i="10" a="1"/>
  <c r="B2444" i="10" s="1"/>
  <c r="B2445" i="10" a="1"/>
  <c r="B2445" i="10" s="1"/>
  <c r="B2446" i="10" a="1"/>
  <c r="B2446" i="10" s="1"/>
  <c r="B2447" i="10" a="1"/>
  <c r="B2447" i="10" s="1"/>
  <c r="B2448" i="10" a="1"/>
  <c r="B2448" i="10" s="1"/>
  <c r="B2449" i="10" a="1"/>
  <c r="B2449" i="10" s="1"/>
  <c r="B2450" i="10" a="1"/>
  <c r="B2450" i="10" s="1"/>
  <c r="B2451" i="10" a="1"/>
  <c r="B2451" i="10" s="1"/>
  <c r="B2452" i="10" a="1"/>
  <c r="B2452" i="10" s="1"/>
  <c r="B2453" i="10" a="1"/>
  <c r="B2453" i="10" s="1"/>
  <c r="B2454" i="10" a="1"/>
  <c r="B2454" i="10" s="1"/>
  <c r="B2455" i="10" a="1"/>
  <c r="B2455" i="10" s="1"/>
  <c r="B2456" i="10" a="1"/>
  <c r="B2456" i="10" s="1"/>
  <c r="B2457" i="10" a="1"/>
  <c r="B2457" i="10" s="1"/>
  <c r="B2458" i="10" a="1"/>
  <c r="B2458" i="10" s="1"/>
  <c r="B2459" i="10" a="1"/>
  <c r="B2459" i="10" s="1"/>
  <c r="B2460" i="10" a="1"/>
  <c r="B2460" i="10" s="1"/>
  <c r="B2461" i="10" a="1"/>
  <c r="B2461" i="10" s="1"/>
  <c r="B2462" i="10" a="1"/>
  <c r="B2462" i="10" s="1"/>
  <c r="B2463" i="10" a="1"/>
  <c r="B2463" i="10" s="1"/>
  <c r="B2464" i="10" a="1"/>
  <c r="B2464" i="10" s="1"/>
  <c r="B2465" i="10" a="1"/>
  <c r="B2465" i="10" s="1"/>
  <c r="B2466" i="10" a="1"/>
  <c r="B2466" i="10" s="1"/>
  <c r="B2467" i="10" a="1"/>
  <c r="B2467" i="10" s="1"/>
  <c r="B2468" i="10" a="1"/>
  <c r="B2468" i="10" s="1"/>
  <c r="B2469" i="10" a="1"/>
  <c r="B2469" i="10" s="1"/>
  <c r="B2470" i="10" a="1"/>
  <c r="B2470" i="10" s="1"/>
  <c r="B2471" i="10" a="1"/>
  <c r="B2471" i="10" s="1"/>
  <c r="B2472" i="10" a="1"/>
  <c r="B2472" i="10" s="1"/>
  <c r="B2473" i="10" a="1"/>
  <c r="B2473" i="10" s="1"/>
  <c r="B2474" i="10" a="1"/>
  <c r="B2474" i="10" s="1"/>
  <c r="B2475" i="10" a="1"/>
  <c r="B2475" i="10" s="1"/>
  <c r="B2476" i="10" a="1"/>
  <c r="B2476" i="10" s="1"/>
  <c r="B2477" i="10" a="1"/>
  <c r="B2477" i="10" s="1"/>
  <c r="B2478" i="10" a="1"/>
  <c r="B2478" i="10" s="1"/>
  <c r="B2479" i="10" a="1"/>
  <c r="B2479" i="10" s="1"/>
  <c r="B2480" i="10" a="1"/>
  <c r="B2480" i="10" s="1"/>
  <c r="B2481" i="10" a="1"/>
  <c r="B2481" i="10" s="1"/>
  <c r="B2482" i="10" a="1"/>
  <c r="B2482" i="10" s="1"/>
  <c r="B2483" i="10" a="1"/>
  <c r="B2483" i="10" s="1"/>
  <c r="B2484" i="10" a="1"/>
  <c r="B2484" i="10" s="1"/>
  <c r="B2485" i="10" a="1"/>
  <c r="B2485" i="10" s="1"/>
  <c r="B2486" i="10" a="1"/>
  <c r="B2486" i="10" s="1"/>
  <c r="B2487" i="10" a="1"/>
  <c r="B2487" i="10" s="1"/>
  <c r="B2488" i="10" a="1"/>
  <c r="B2488" i="10" s="1"/>
  <c r="B2489" i="10" a="1"/>
  <c r="B2489" i="10" s="1"/>
  <c r="B2490" i="10" a="1"/>
  <c r="B2490" i="10" s="1"/>
  <c r="B2491" i="10" a="1"/>
  <c r="B2491" i="10" s="1"/>
  <c r="B2492" i="10" a="1"/>
  <c r="B2492" i="10" s="1"/>
  <c r="B2493" i="10" a="1"/>
  <c r="B2493" i="10" s="1"/>
  <c r="B2494" i="10" a="1"/>
  <c r="B2494" i="10" s="1"/>
  <c r="B2495" i="10" a="1"/>
  <c r="B2495" i="10" s="1"/>
  <c r="B2496" i="10" a="1"/>
  <c r="B2496" i="10" s="1"/>
  <c r="B2497" i="10" a="1"/>
  <c r="B2497" i="10" s="1"/>
  <c r="B2498" i="10" a="1"/>
  <c r="B2498" i="10" s="1"/>
  <c r="B2499" i="10" a="1"/>
  <c r="B2499" i="10" s="1"/>
  <c r="B2500" i="10" a="1"/>
  <c r="B2500" i="10" s="1"/>
  <c r="B2501" i="10" a="1"/>
  <c r="B2501" i="10" s="1"/>
  <c r="B2502" i="10" a="1"/>
  <c r="B2502" i="10" s="1"/>
  <c r="B2503" i="10" a="1"/>
  <c r="B2503" i="10" s="1"/>
  <c r="B2504" i="10" a="1"/>
  <c r="B2504" i="10" s="1"/>
  <c r="B2505" i="10" a="1"/>
  <c r="B2505" i="10" s="1"/>
  <c r="B2506" i="10" a="1"/>
  <c r="B2506" i="10" s="1"/>
  <c r="B2507" i="10" a="1"/>
  <c r="B2507" i="10" s="1"/>
  <c r="B2508" i="10" a="1"/>
  <c r="B2508" i="10" s="1"/>
  <c r="B2509" i="10" a="1"/>
  <c r="B2509" i="10" s="1"/>
  <c r="B2510" i="10" a="1"/>
  <c r="B2510" i="10" s="1"/>
  <c r="B2511" i="10" a="1"/>
  <c r="B2511" i="10" s="1"/>
  <c r="B2512" i="10" a="1"/>
  <c r="B2512" i="10" s="1"/>
  <c r="B2513" i="10" a="1"/>
  <c r="B2513" i="10" s="1"/>
  <c r="B2514" i="10" a="1"/>
  <c r="B2514" i="10" s="1"/>
  <c r="B2515" i="10" a="1"/>
  <c r="B2515" i="10" s="1"/>
  <c r="B2516" i="10" a="1"/>
  <c r="B2516" i="10" s="1"/>
  <c r="B2517" i="10" a="1"/>
  <c r="B2517" i="10" s="1"/>
  <c r="B2518" i="10" a="1"/>
  <c r="B2518" i="10" s="1"/>
  <c r="B2519" i="10" a="1"/>
  <c r="B2519" i="10" s="1"/>
  <c r="B2520" i="10" a="1"/>
  <c r="B2520" i="10" s="1"/>
  <c r="B2521" i="10" a="1"/>
  <c r="B2521" i="10" s="1"/>
  <c r="B2522" i="10" a="1"/>
  <c r="B2522" i="10" s="1"/>
  <c r="B2523" i="10" a="1"/>
  <c r="B2523" i="10" s="1"/>
  <c r="B2524" i="10" a="1"/>
  <c r="B2524" i="10" s="1"/>
  <c r="B2525" i="10" a="1"/>
  <c r="B2525" i="10" s="1"/>
  <c r="B2526" i="10" a="1"/>
  <c r="B2526" i="10" s="1"/>
  <c r="B2527" i="10" a="1"/>
  <c r="B2527" i="10" s="1"/>
  <c r="B2528" i="10" a="1"/>
  <c r="B2528" i="10" s="1"/>
  <c r="B2529" i="10" a="1"/>
  <c r="B2529" i="10" s="1"/>
  <c r="B2530" i="10" a="1"/>
  <c r="B2530" i="10" s="1"/>
  <c r="B2531" i="10" a="1"/>
  <c r="B2531" i="10" s="1"/>
  <c r="B2532" i="10" a="1"/>
  <c r="B2532" i="10" s="1"/>
  <c r="B2533" i="10" a="1"/>
  <c r="B2533" i="10" s="1"/>
  <c r="B2534" i="10" a="1"/>
  <c r="B2534" i="10" s="1"/>
  <c r="B2535" i="10" a="1"/>
  <c r="B2535" i="10" s="1"/>
  <c r="B2536" i="10" a="1"/>
  <c r="B2536" i="10" s="1"/>
  <c r="B2537" i="10" a="1"/>
  <c r="B2537" i="10" s="1"/>
  <c r="B2538" i="10" a="1"/>
  <c r="B2538" i="10" s="1"/>
  <c r="B2539" i="10" a="1"/>
  <c r="B2539" i="10" s="1"/>
  <c r="B2540" i="10" a="1"/>
  <c r="B2540" i="10" s="1"/>
  <c r="B2541" i="10" a="1"/>
  <c r="B2541" i="10" s="1"/>
  <c r="B2542" i="10" a="1"/>
  <c r="B2542" i="10" s="1"/>
  <c r="B2543" i="10" a="1"/>
  <c r="B2543" i="10" s="1"/>
  <c r="B2544" i="10" a="1"/>
  <c r="B2544" i="10" s="1"/>
  <c r="B2545" i="10" a="1"/>
  <c r="B2545" i="10" s="1"/>
  <c r="B2546" i="10" a="1"/>
  <c r="B2546" i="10" s="1"/>
  <c r="B2547" i="10" a="1"/>
  <c r="B2547" i="10" s="1"/>
  <c r="B2548" i="10" a="1"/>
  <c r="B2548" i="10" s="1"/>
  <c r="B2549" i="10" a="1"/>
  <c r="B2549" i="10" s="1"/>
  <c r="B2550" i="10" a="1"/>
  <c r="B2550" i="10" s="1"/>
  <c r="B2551" i="10" a="1"/>
  <c r="B2551" i="10" s="1"/>
  <c r="B2552" i="10" a="1"/>
  <c r="B2552" i="10" s="1"/>
  <c r="B2553" i="10" a="1"/>
  <c r="B2553" i="10" s="1"/>
  <c r="B2554" i="10" a="1"/>
  <c r="B2554" i="10" s="1"/>
  <c r="B2555" i="10" a="1"/>
  <c r="B2555" i="10" s="1"/>
  <c r="B2556" i="10" a="1"/>
  <c r="B2556" i="10" s="1"/>
  <c r="B2557" i="10" a="1"/>
  <c r="B2557" i="10" s="1"/>
  <c r="B2558" i="10" a="1"/>
  <c r="B2558" i="10" s="1"/>
  <c r="B2559" i="10" a="1"/>
  <c r="B2559" i="10" s="1"/>
  <c r="B2560" i="10" a="1"/>
  <c r="B2560" i="10" s="1"/>
  <c r="B2561" i="10" a="1"/>
  <c r="B2561" i="10" s="1"/>
  <c r="B2562" i="10" a="1"/>
  <c r="B2562" i="10" s="1"/>
  <c r="B2563" i="10" a="1"/>
  <c r="B2563" i="10" s="1"/>
  <c r="B2564" i="10" a="1"/>
  <c r="B2564" i="10" s="1"/>
  <c r="B2565" i="10" a="1"/>
  <c r="B2565" i="10" s="1"/>
  <c r="B2566" i="10" a="1"/>
  <c r="B2566" i="10" s="1"/>
  <c r="B2567" i="10" a="1"/>
  <c r="B2567" i="10" s="1"/>
  <c r="B2568" i="10" a="1"/>
  <c r="B2568" i="10" s="1"/>
  <c r="B2569" i="10" a="1"/>
  <c r="B2569" i="10" s="1"/>
  <c r="B2570" i="10" a="1"/>
  <c r="B2570" i="10" s="1"/>
  <c r="B2571" i="10" a="1"/>
  <c r="B2571" i="10" s="1"/>
  <c r="B2572" i="10" a="1"/>
  <c r="B2572" i="10" s="1"/>
  <c r="B2573" i="10" a="1"/>
  <c r="B2573" i="10" s="1"/>
  <c r="B2574" i="10" a="1"/>
  <c r="B2574" i="10" s="1"/>
  <c r="B2575" i="10" a="1"/>
  <c r="B2575" i="10" s="1"/>
  <c r="B2576" i="10" a="1"/>
  <c r="B2576" i="10" s="1"/>
  <c r="B2577" i="10" a="1"/>
  <c r="B2577" i="10" s="1"/>
  <c r="B2578" i="10" a="1"/>
  <c r="B2578" i="10" s="1"/>
  <c r="B2579" i="10" a="1"/>
  <c r="B2579" i="10" s="1"/>
  <c r="B2580" i="10" a="1"/>
  <c r="B2580" i="10" s="1"/>
  <c r="B2581" i="10" a="1"/>
  <c r="B2581" i="10" s="1"/>
  <c r="B2582" i="10" a="1"/>
  <c r="B2582" i="10" s="1"/>
  <c r="B2583" i="10" a="1"/>
  <c r="B2583" i="10" s="1"/>
  <c r="B2584" i="10" a="1"/>
  <c r="B2584" i="10" s="1"/>
  <c r="B2585" i="10" a="1"/>
  <c r="B2585" i="10" s="1"/>
  <c r="B2586" i="10" a="1"/>
  <c r="B2586" i="10" s="1"/>
  <c r="B2587" i="10" a="1"/>
  <c r="B2587" i="10" s="1"/>
  <c r="B2588" i="10" a="1"/>
  <c r="B2588" i="10" s="1"/>
  <c r="B2589" i="10" a="1"/>
  <c r="B2589" i="10" s="1"/>
  <c r="B2590" i="10" a="1"/>
  <c r="B2590" i="10" s="1"/>
  <c r="B2591" i="10" a="1"/>
  <c r="B2591" i="10" s="1"/>
  <c r="B2592" i="10" a="1"/>
  <c r="B2592" i="10" s="1"/>
  <c r="B2593" i="10" a="1"/>
  <c r="B2593" i="10" s="1"/>
  <c r="B2594" i="10" a="1"/>
  <c r="B2594" i="10" s="1"/>
  <c r="B2595" i="10" a="1"/>
  <c r="B2595" i="10" s="1"/>
  <c r="B2596" i="10" a="1"/>
  <c r="B2596" i="10" s="1"/>
  <c r="B2597" i="10" a="1"/>
  <c r="B2597" i="10" s="1"/>
  <c r="B2598" i="10" a="1"/>
  <c r="B2598" i="10" s="1"/>
  <c r="B2599" i="10" a="1"/>
  <c r="B2599" i="10" s="1"/>
  <c r="B2600" i="10" a="1"/>
  <c r="B2600" i="10" s="1"/>
  <c r="B2601" i="10" a="1"/>
  <c r="B2601" i="10" s="1"/>
  <c r="B2602" i="10" a="1"/>
  <c r="B2602" i="10" s="1"/>
  <c r="B2603" i="10" a="1"/>
  <c r="B2603" i="10" s="1"/>
  <c r="B2604" i="10" a="1"/>
  <c r="B2604" i="10" s="1"/>
  <c r="B2605" i="10" a="1"/>
  <c r="B2605" i="10" s="1"/>
  <c r="B2606" i="10" a="1"/>
  <c r="B2606" i="10" s="1"/>
  <c r="B2607" i="10" a="1"/>
  <c r="B2607" i="10" s="1"/>
  <c r="B2608" i="10" a="1"/>
  <c r="B2608" i="10" s="1"/>
  <c r="B2609" i="10" a="1"/>
  <c r="B2609" i="10" s="1"/>
  <c r="B2610" i="10" a="1"/>
  <c r="B2610" i="10" s="1"/>
  <c r="B2611" i="10" a="1"/>
  <c r="B2611" i="10" s="1"/>
  <c r="B2612" i="10" a="1"/>
  <c r="B2612" i="10" s="1"/>
  <c r="B2613" i="10" a="1"/>
  <c r="B2613" i="10" s="1"/>
  <c r="B2614" i="10" a="1"/>
  <c r="B2614" i="10" s="1"/>
  <c r="B2615" i="10" a="1"/>
  <c r="B2615" i="10" s="1"/>
  <c r="B2616" i="10" a="1"/>
  <c r="B2616" i="10" s="1"/>
  <c r="B2617" i="10" a="1"/>
  <c r="B2617" i="10" s="1"/>
  <c r="B2618" i="10" a="1"/>
  <c r="B2618" i="10" s="1"/>
  <c r="B2619" i="10" a="1"/>
  <c r="B2619" i="10" s="1"/>
  <c r="B2620" i="10" a="1"/>
  <c r="B2620" i="10" s="1"/>
  <c r="B2621" i="10" a="1"/>
  <c r="B2621" i="10" s="1"/>
  <c r="B2622" i="10" a="1"/>
  <c r="B2622" i="10" s="1"/>
  <c r="B2623" i="10" a="1"/>
  <c r="B2623" i="10" s="1"/>
  <c r="B2624" i="10" a="1"/>
  <c r="B2624" i="10" s="1"/>
  <c r="B2625" i="10" a="1"/>
  <c r="B2625" i="10" s="1"/>
  <c r="B2626" i="10" a="1"/>
  <c r="B2626" i="10" s="1"/>
  <c r="B2627" i="10" a="1"/>
  <c r="B2627" i="10" s="1"/>
  <c r="B2628" i="10" a="1"/>
  <c r="B2628" i="10" s="1"/>
  <c r="B2629" i="10" a="1"/>
  <c r="B2629" i="10" s="1"/>
  <c r="B2630" i="10" a="1"/>
  <c r="B2630" i="10" s="1"/>
  <c r="B2631" i="10" a="1"/>
  <c r="B2631" i="10" s="1"/>
  <c r="B2632" i="10" a="1"/>
  <c r="B2632" i="10" s="1"/>
  <c r="B2633" i="10" a="1"/>
  <c r="B2633" i="10" s="1"/>
  <c r="B2634" i="10" a="1"/>
  <c r="B2634" i="10" s="1"/>
  <c r="B2635" i="10" a="1"/>
  <c r="B2635" i="10" s="1"/>
  <c r="B2636" i="10" a="1"/>
  <c r="B2636" i="10" s="1"/>
  <c r="B2637" i="10" a="1"/>
  <c r="B2637" i="10" s="1"/>
  <c r="B2638" i="10" a="1"/>
  <c r="B2638" i="10" s="1"/>
  <c r="B2639" i="10" a="1"/>
  <c r="B2639" i="10" s="1"/>
  <c r="B2640" i="10" a="1"/>
  <c r="B2640" i="10" s="1"/>
  <c r="B2641" i="10" a="1"/>
  <c r="B2641" i="10" s="1"/>
  <c r="B2642" i="10" a="1"/>
  <c r="B2642" i="10" s="1"/>
  <c r="B2643" i="10" a="1"/>
  <c r="B2643" i="10" s="1"/>
  <c r="B2644" i="10" a="1"/>
  <c r="B2644" i="10" s="1"/>
  <c r="B2645" i="10" a="1"/>
  <c r="B2645" i="10" s="1"/>
  <c r="B2646" i="10" a="1"/>
  <c r="B2646" i="10" s="1"/>
  <c r="B2647" i="10" a="1"/>
  <c r="B2647" i="10" s="1"/>
  <c r="B2648" i="10" a="1"/>
  <c r="B2648" i="10" s="1"/>
  <c r="B2649" i="10" a="1"/>
  <c r="B2649" i="10" s="1"/>
  <c r="B2650" i="10" a="1"/>
  <c r="B2650" i="10" s="1"/>
  <c r="B2651" i="10" a="1"/>
  <c r="B2651" i="10" s="1"/>
  <c r="B2652" i="10" a="1"/>
  <c r="B2652" i="10" s="1"/>
  <c r="B2653" i="10" a="1"/>
  <c r="B2653" i="10" s="1"/>
  <c r="B2654" i="10" a="1"/>
  <c r="B2654" i="10" s="1"/>
  <c r="B2655" i="10" a="1"/>
  <c r="B2655" i="10" s="1"/>
  <c r="B2656" i="10" a="1"/>
  <c r="B2656" i="10" s="1"/>
  <c r="B2657" i="10" a="1"/>
  <c r="B2657" i="10" s="1"/>
  <c r="B2658" i="10" a="1"/>
  <c r="B2658" i="10" s="1"/>
  <c r="B2659" i="10" a="1"/>
  <c r="B2659" i="10" s="1"/>
  <c r="B2660" i="10" a="1"/>
  <c r="B2660" i="10" s="1"/>
  <c r="B2661" i="10" a="1"/>
  <c r="B2661" i="10" s="1"/>
  <c r="B2662" i="10" a="1"/>
  <c r="B2662" i="10" s="1"/>
  <c r="B2663" i="10" a="1"/>
  <c r="B2663" i="10" s="1"/>
  <c r="B2664" i="10" a="1"/>
  <c r="B2664" i="10" s="1"/>
  <c r="B2665" i="10" a="1"/>
  <c r="B2665" i="10" s="1"/>
  <c r="B2666" i="10" a="1"/>
  <c r="B2666" i="10" s="1"/>
  <c r="B2667" i="10" a="1"/>
  <c r="B2667" i="10" s="1"/>
  <c r="B2668" i="10" a="1"/>
  <c r="B2668" i="10" s="1"/>
  <c r="B2669" i="10" a="1"/>
  <c r="B2669" i="10" s="1"/>
  <c r="B2670" i="10" a="1"/>
  <c r="B2670" i="10" s="1"/>
  <c r="B2671" i="10" a="1"/>
  <c r="B2671" i="10" s="1"/>
  <c r="B2672" i="10" a="1"/>
  <c r="B2672" i="10" s="1"/>
  <c r="B2673" i="10" a="1"/>
  <c r="B2673" i="10" s="1"/>
  <c r="B2674" i="10" a="1"/>
  <c r="B2674" i="10" s="1"/>
  <c r="B2675" i="10" a="1"/>
  <c r="B2675" i="10" s="1"/>
  <c r="B2676" i="10" a="1"/>
  <c r="B2676" i="10" s="1"/>
  <c r="B2677" i="10" a="1"/>
  <c r="B2677" i="10" s="1"/>
  <c r="B2678" i="10" a="1"/>
  <c r="B2678" i="10" s="1"/>
  <c r="B2679" i="10" a="1"/>
  <c r="B2679" i="10" s="1"/>
  <c r="B2680" i="10" a="1"/>
  <c r="B2680" i="10" s="1"/>
  <c r="B2681" i="10" a="1"/>
  <c r="B2681" i="10" s="1"/>
  <c r="B2682" i="10" a="1"/>
  <c r="B2682" i="10" s="1"/>
  <c r="B2683" i="10" a="1"/>
  <c r="B2683" i="10" s="1"/>
  <c r="B2684" i="10" a="1"/>
  <c r="B2684" i="10" s="1"/>
  <c r="B2685" i="10" a="1"/>
  <c r="B2685" i="10" s="1"/>
  <c r="B2686" i="10" a="1"/>
  <c r="B2686" i="10" s="1"/>
  <c r="B2687" i="10" a="1"/>
  <c r="B2687" i="10" s="1"/>
  <c r="B2688" i="10" a="1"/>
  <c r="B2688" i="10" s="1"/>
  <c r="B2689" i="10" a="1"/>
  <c r="B2689" i="10" s="1"/>
  <c r="B2690" i="10" a="1"/>
  <c r="B2690" i="10" s="1"/>
  <c r="B2691" i="10" a="1"/>
  <c r="B2691" i="10" s="1"/>
  <c r="B2692" i="10" a="1"/>
  <c r="B2692" i="10" s="1"/>
  <c r="B2693" i="10" a="1"/>
  <c r="B2693" i="10" s="1"/>
  <c r="B2694" i="10" a="1"/>
  <c r="B2694" i="10" s="1"/>
  <c r="B2695" i="10" a="1"/>
  <c r="B2695" i="10" s="1"/>
  <c r="B2696" i="10" a="1"/>
  <c r="B2696" i="10" s="1"/>
  <c r="B2697" i="10" a="1"/>
  <c r="B2697" i="10" s="1"/>
  <c r="B2698" i="10" a="1"/>
  <c r="B2698" i="10" s="1"/>
  <c r="B2699" i="10" a="1"/>
  <c r="B2699" i="10" s="1"/>
  <c r="B2700" i="10" a="1"/>
  <c r="B2700" i="10" s="1"/>
  <c r="B2701" i="10" a="1"/>
  <c r="B2701" i="10" s="1"/>
  <c r="B2702" i="10" a="1"/>
  <c r="B2702" i="10" s="1"/>
  <c r="B2703" i="10" a="1"/>
  <c r="B2703" i="10" s="1"/>
  <c r="B2704" i="10" a="1"/>
  <c r="B2704" i="10" s="1"/>
  <c r="B2705" i="10" a="1"/>
  <c r="B2705" i="10" s="1"/>
  <c r="B2706" i="10" a="1"/>
  <c r="B2706" i="10" s="1"/>
  <c r="B2707" i="10" a="1"/>
  <c r="B2707" i="10" s="1"/>
  <c r="B2708" i="10" a="1"/>
  <c r="B2708" i="10" s="1"/>
  <c r="B2709" i="10" a="1"/>
  <c r="B2709" i="10" s="1"/>
  <c r="B2710" i="10" a="1"/>
  <c r="B2710" i="10" s="1"/>
  <c r="B2711" i="10" a="1"/>
  <c r="B2711" i="10" s="1"/>
  <c r="B2712" i="10" a="1"/>
  <c r="B2712" i="10" s="1"/>
  <c r="B2713" i="10" a="1"/>
  <c r="B2713" i="10" s="1"/>
  <c r="B2714" i="10" a="1"/>
  <c r="B2714" i="10" s="1"/>
  <c r="B2715" i="10" a="1"/>
  <c r="B2715" i="10" s="1"/>
  <c r="B2716" i="10" a="1"/>
  <c r="B2716" i="10" s="1"/>
  <c r="B2717" i="10" a="1"/>
  <c r="B2717" i="10" s="1"/>
  <c r="B2718" i="10" a="1"/>
  <c r="B2718" i="10" s="1"/>
  <c r="B2719" i="10" a="1"/>
  <c r="B2719" i="10" s="1"/>
  <c r="B2720" i="10" a="1"/>
  <c r="B2720" i="10" s="1"/>
  <c r="B2721" i="10" a="1"/>
  <c r="B2721" i="10" s="1"/>
  <c r="B2722" i="10" a="1"/>
  <c r="B2722" i="10" s="1"/>
  <c r="B2723" i="10" a="1"/>
  <c r="B2723" i="10" s="1"/>
  <c r="B2724" i="10" a="1"/>
  <c r="B2724" i="10" s="1"/>
  <c r="B2725" i="10" a="1"/>
  <c r="B2725" i="10" s="1"/>
  <c r="B2726" i="10" a="1"/>
  <c r="B2726" i="10" s="1"/>
  <c r="B2727" i="10" a="1"/>
  <c r="B2727" i="10" s="1"/>
  <c r="B2728" i="10" a="1"/>
  <c r="B2728" i="10" s="1"/>
  <c r="B2729" i="10" a="1"/>
  <c r="B2729" i="10" s="1"/>
  <c r="B2730" i="10" a="1"/>
  <c r="B2730" i="10" s="1"/>
  <c r="B2731" i="10" a="1"/>
  <c r="B2731" i="10" s="1"/>
  <c r="B2732" i="10" a="1"/>
  <c r="B2732" i="10" s="1"/>
  <c r="B2733" i="10" a="1"/>
  <c r="B2733" i="10" s="1"/>
  <c r="B2734" i="10" a="1"/>
  <c r="B2734" i="10" s="1"/>
  <c r="B2735" i="10" a="1"/>
  <c r="B2735" i="10" s="1"/>
  <c r="B2736" i="10" a="1"/>
  <c r="B2736" i="10" s="1"/>
  <c r="B2737" i="10" a="1"/>
  <c r="B2737" i="10" s="1"/>
  <c r="B2738" i="10" a="1"/>
  <c r="B2738" i="10" s="1"/>
  <c r="B2739" i="10" a="1"/>
  <c r="B2739" i="10" s="1"/>
  <c r="B2740" i="10" a="1"/>
  <c r="B2740" i="10" s="1"/>
  <c r="B2741" i="10" a="1"/>
  <c r="B2741" i="10" s="1"/>
  <c r="B2742" i="10" a="1"/>
  <c r="B2742" i="10" s="1"/>
  <c r="B2743" i="10" a="1"/>
  <c r="B2743" i="10" s="1"/>
  <c r="B2744" i="10" a="1"/>
  <c r="B2744" i="10" s="1"/>
  <c r="B2745" i="10" a="1"/>
  <c r="B2745" i="10" s="1"/>
  <c r="B2746" i="10" a="1"/>
  <c r="B2746" i="10" s="1"/>
  <c r="B2747" i="10" a="1"/>
  <c r="B2747" i="10" s="1"/>
  <c r="B2748" i="10" a="1"/>
  <c r="B2748" i="10" s="1"/>
  <c r="B2749" i="10" a="1"/>
  <c r="B2749" i="10" s="1"/>
  <c r="B2750" i="10" a="1"/>
  <c r="B2750" i="10" s="1"/>
  <c r="B2751" i="10" a="1"/>
  <c r="B2751" i="10" s="1"/>
  <c r="B2752" i="10" a="1"/>
  <c r="B2752" i="10" s="1"/>
  <c r="B2753" i="10" a="1"/>
  <c r="B2753" i="10" s="1"/>
  <c r="B2754" i="10" a="1"/>
  <c r="B2754" i="10" s="1"/>
  <c r="B2755" i="10" a="1"/>
  <c r="B2755" i="10" s="1"/>
  <c r="B2756" i="10" a="1"/>
  <c r="B2756" i="10" s="1"/>
  <c r="B2757" i="10" a="1"/>
  <c r="B2757" i="10" s="1"/>
  <c r="B2758" i="10" a="1"/>
  <c r="B2758" i="10" s="1"/>
  <c r="B2759" i="10" a="1"/>
  <c r="B2759" i="10" s="1"/>
  <c r="B2760" i="10" a="1"/>
  <c r="B2760" i="10" s="1"/>
  <c r="B2761" i="10" a="1"/>
  <c r="B2761" i="10" s="1"/>
  <c r="B2762" i="10" a="1"/>
  <c r="B2762" i="10" s="1"/>
  <c r="B2763" i="10" a="1"/>
  <c r="B2763" i="10" s="1"/>
  <c r="B2764" i="10" a="1"/>
  <c r="B2764" i="10" s="1"/>
  <c r="B2765" i="10" a="1"/>
  <c r="B2765" i="10" s="1"/>
  <c r="B2766" i="10" a="1"/>
  <c r="B2766" i="10" s="1"/>
  <c r="B2767" i="10" a="1"/>
  <c r="B2767" i="10" s="1"/>
  <c r="B2768" i="10" a="1"/>
  <c r="B2768" i="10" s="1"/>
  <c r="B2769" i="10" a="1"/>
  <c r="B2769" i="10" s="1"/>
  <c r="B2770" i="10" a="1"/>
  <c r="B2770" i="10" s="1"/>
  <c r="B2771" i="10" a="1"/>
  <c r="B2771" i="10" s="1"/>
  <c r="B2772" i="10" a="1"/>
  <c r="B2772" i="10" s="1"/>
  <c r="B2773" i="10" a="1"/>
  <c r="B2773" i="10" s="1"/>
  <c r="B2774" i="10" a="1"/>
  <c r="B2774" i="10" s="1"/>
  <c r="B2775" i="10" a="1"/>
  <c r="B2775" i="10" s="1"/>
  <c r="B2776" i="10" a="1"/>
  <c r="B2776" i="10" s="1"/>
  <c r="B2777" i="10" a="1"/>
  <c r="B2777" i="10" s="1"/>
  <c r="B2778" i="10" a="1"/>
  <c r="B2778" i="10" s="1"/>
  <c r="B2779" i="10" a="1"/>
  <c r="B2779" i="10" s="1"/>
  <c r="B2780" i="10" a="1"/>
  <c r="B2780" i="10" s="1"/>
  <c r="B2781" i="10" a="1"/>
  <c r="B2781" i="10" s="1"/>
  <c r="B2782" i="10" a="1"/>
  <c r="B2782" i="10" s="1"/>
  <c r="B2783" i="10" a="1"/>
  <c r="B2783" i="10" s="1"/>
  <c r="B2784" i="10" a="1"/>
  <c r="B2784" i="10" s="1"/>
  <c r="B2785" i="10" a="1"/>
  <c r="B2785" i="10" s="1"/>
  <c r="B2786" i="10" a="1"/>
  <c r="B2786" i="10" s="1"/>
  <c r="B2787" i="10" a="1"/>
  <c r="B2787" i="10" s="1"/>
  <c r="B2788" i="10" a="1"/>
  <c r="B2788" i="10" s="1"/>
  <c r="B2789" i="10" a="1"/>
  <c r="B2789" i="10" s="1"/>
  <c r="B2790" i="10" a="1"/>
  <c r="B2790" i="10" s="1"/>
  <c r="B2791" i="10" a="1"/>
  <c r="B2791" i="10" s="1"/>
  <c r="B2792" i="10" a="1"/>
  <c r="B2792" i="10" s="1"/>
  <c r="B2793" i="10" a="1"/>
  <c r="B2793" i="10" s="1"/>
  <c r="B2794" i="10" a="1"/>
  <c r="B2794" i="10" s="1"/>
  <c r="B2795" i="10" a="1"/>
  <c r="B2795" i="10" s="1"/>
  <c r="B2796" i="10" a="1"/>
  <c r="B2796" i="10" s="1"/>
  <c r="B2797" i="10" a="1"/>
  <c r="B2797" i="10" s="1"/>
  <c r="B2798" i="10" a="1"/>
  <c r="B2798" i="10" s="1"/>
  <c r="B2799" i="10" a="1"/>
  <c r="B2799" i="10" s="1"/>
  <c r="B2800" i="10" a="1"/>
  <c r="B2800" i="10" s="1"/>
  <c r="B2801" i="10" a="1"/>
  <c r="B2801" i="10" s="1"/>
  <c r="B2802" i="10" a="1"/>
  <c r="B2802" i="10" s="1"/>
  <c r="B2803" i="10" a="1"/>
  <c r="B2803" i="10" s="1"/>
  <c r="B2804" i="10" a="1"/>
  <c r="B2804" i="10" s="1"/>
  <c r="B2805" i="10" a="1"/>
  <c r="B2805" i="10" s="1"/>
  <c r="B2806" i="10" a="1"/>
  <c r="B2806" i="10" s="1"/>
  <c r="B2807" i="10" a="1"/>
  <c r="B2807" i="10" s="1"/>
  <c r="B2808" i="10" a="1"/>
  <c r="B2808" i="10" s="1"/>
  <c r="B2809" i="10" a="1"/>
  <c r="B2809" i="10" s="1"/>
  <c r="B2810" i="10" a="1"/>
  <c r="B2810" i="10" s="1"/>
  <c r="B2811" i="10" a="1"/>
  <c r="B2811" i="10" s="1"/>
  <c r="B2812" i="10" a="1"/>
  <c r="B2812" i="10" s="1"/>
  <c r="B2813" i="10" a="1"/>
  <c r="B2813" i="10" s="1"/>
  <c r="B2814" i="10" a="1"/>
  <c r="B2814" i="10" s="1"/>
  <c r="B2815" i="10" a="1"/>
  <c r="B2815" i="10" s="1"/>
  <c r="B2816" i="10" a="1"/>
  <c r="B2816" i="10" s="1"/>
  <c r="B2817" i="10" a="1"/>
  <c r="B2817" i="10" s="1"/>
  <c r="B2818" i="10" a="1"/>
  <c r="B2818" i="10" s="1"/>
  <c r="B2819" i="10" a="1"/>
  <c r="B2819" i="10" s="1"/>
  <c r="B2820" i="10" a="1"/>
  <c r="B2820" i="10" s="1"/>
  <c r="B2821" i="10" a="1"/>
  <c r="B2821" i="10" s="1"/>
  <c r="B2822" i="10" a="1"/>
  <c r="B2822" i="10" s="1"/>
  <c r="B2823" i="10" a="1"/>
  <c r="B2823" i="10" s="1"/>
  <c r="B2824" i="10" a="1"/>
  <c r="B2824" i="10" s="1"/>
  <c r="B2825" i="10" a="1"/>
  <c r="B2825" i="10" s="1"/>
  <c r="B2826" i="10" a="1"/>
  <c r="B2826" i="10" s="1"/>
  <c r="B2827" i="10" a="1"/>
  <c r="B2827" i="10" s="1"/>
  <c r="B2828" i="10" a="1"/>
  <c r="B2828" i="10" s="1"/>
  <c r="B2829" i="10" a="1"/>
  <c r="B2829" i="10" s="1"/>
  <c r="B2830" i="10" a="1"/>
  <c r="B2830" i="10" s="1"/>
  <c r="B2831" i="10" a="1"/>
  <c r="B2831" i="10" s="1"/>
  <c r="B2832" i="10" a="1"/>
  <c r="B2832" i="10" s="1"/>
  <c r="B2833" i="10" a="1"/>
  <c r="B2833" i="10" s="1"/>
  <c r="B2834" i="10" a="1"/>
  <c r="B2834" i="10" s="1"/>
  <c r="B2835" i="10" a="1"/>
  <c r="B2835" i="10" s="1"/>
  <c r="B2836" i="10" a="1"/>
  <c r="B2836" i="10" s="1"/>
  <c r="B2837" i="10" a="1"/>
  <c r="B2837" i="10" s="1"/>
  <c r="B2838" i="10" a="1"/>
  <c r="B2838" i="10" s="1"/>
  <c r="B2839" i="10" a="1"/>
  <c r="B2839" i="10" s="1"/>
  <c r="B2840" i="10" a="1"/>
  <c r="B2840" i="10" s="1"/>
  <c r="B2841" i="10" a="1"/>
  <c r="B2841" i="10" s="1"/>
  <c r="B2842" i="10" a="1"/>
  <c r="B2842" i="10" s="1"/>
  <c r="B2843" i="10" a="1"/>
  <c r="B2843" i="10" s="1"/>
  <c r="B2844" i="10" a="1"/>
  <c r="B2844" i="10" s="1"/>
  <c r="B2845" i="10" a="1"/>
  <c r="B2845" i="10" s="1"/>
  <c r="B2846" i="10" a="1"/>
  <c r="B2846" i="10" s="1"/>
  <c r="B2847" i="10" a="1"/>
  <c r="B2847" i="10" s="1"/>
  <c r="B2848" i="10" a="1"/>
  <c r="B2848" i="10" s="1"/>
  <c r="B2849" i="10" a="1"/>
  <c r="B2849" i="10" s="1"/>
  <c r="B2850" i="10" a="1"/>
  <c r="B2850" i="10" s="1"/>
  <c r="B2851" i="10" a="1"/>
  <c r="B2851" i="10" s="1"/>
  <c r="B2852" i="10" a="1"/>
  <c r="B2852" i="10" s="1"/>
  <c r="B2853" i="10" a="1"/>
  <c r="B2853" i="10" s="1"/>
  <c r="B2854" i="10" a="1"/>
  <c r="B2854" i="10" s="1"/>
  <c r="B2855" i="10" a="1"/>
  <c r="B2855" i="10" s="1"/>
  <c r="B2856" i="10" a="1"/>
  <c r="B2856" i="10" s="1"/>
  <c r="B2857" i="10" a="1"/>
  <c r="B2857" i="10" s="1"/>
  <c r="B2858" i="10" a="1"/>
  <c r="B2858" i="10" s="1"/>
  <c r="B2859" i="10" a="1"/>
  <c r="B2859" i="10" s="1"/>
  <c r="B2860" i="10" a="1"/>
  <c r="B2860" i="10" s="1"/>
  <c r="B2861" i="10" a="1"/>
  <c r="B2861" i="10" s="1"/>
  <c r="B2862" i="10" a="1"/>
  <c r="B2862" i="10" s="1"/>
  <c r="B2863" i="10" a="1"/>
  <c r="B2863" i="10" s="1"/>
  <c r="B2864" i="10" a="1"/>
  <c r="B2864" i="10" s="1"/>
  <c r="B2865" i="10" a="1"/>
  <c r="B2865" i="10" s="1"/>
  <c r="B2866" i="10" a="1"/>
  <c r="B2866" i="10" s="1"/>
  <c r="B2867" i="10" a="1"/>
  <c r="B2867" i="10" s="1"/>
  <c r="B2868" i="10" a="1"/>
  <c r="B2868" i="10" s="1"/>
  <c r="B2869" i="10" a="1"/>
  <c r="B2869" i="10" s="1"/>
  <c r="B2870" i="10" a="1"/>
  <c r="B2870" i="10" s="1"/>
  <c r="B2871" i="10" a="1"/>
  <c r="B2871" i="10" s="1"/>
  <c r="B2872" i="10" a="1"/>
  <c r="B2872" i="10" s="1"/>
  <c r="B2873" i="10" a="1"/>
  <c r="B2873" i="10" s="1"/>
  <c r="B2874" i="10" a="1"/>
  <c r="B2874" i="10" s="1"/>
  <c r="B2875" i="10" a="1"/>
  <c r="B2875" i="10" s="1"/>
  <c r="B2876" i="10" a="1"/>
  <c r="B2876" i="10" s="1"/>
  <c r="B2877" i="10" a="1"/>
  <c r="B2877" i="10" s="1"/>
  <c r="B2878" i="10" a="1"/>
  <c r="B2878" i="10" s="1"/>
  <c r="B2879" i="10" a="1"/>
  <c r="B2879" i="10" s="1"/>
  <c r="B2880" i="10" a="1"/>
  <c r="B2880" i="10" s="1"/>
  <c r="B2881" i="10" a="1"/>
  <c r="B2881" i="10" s="1"/>
  <c r="B2882" i="10" a="1"/>
  <c r="B2882" i="10" s="1"/>
  <c r="B2883" i="10" a="1"/>
  <c r="B2883" i="10" s="1"/>
  <c r="B2884" i="10" a="1"/>
  <c r="B2884" i="10" s="1"/>
  <c r="B2885" i="10" a="1"/>
  <c r="B2885" i="10" s="1"/>
  <c r="B2886" i="10" a="1"/>
  <c r="B2886" i="10" s="1"/>
  <c r="B2887" i="10" a="1"/>
  <c r="B2887" i="10" s="1"/>
  <c r="B2888" i="10" a="1"/>
  <c r="B2888" i="10" s="1"/>
  <c r="B2889" i="10" a="1"/>
  <c r="B2889" i="10" s="1"/>
  <c r="B2890" i="10" a="1"/>
  <c r="B2890" i="10" s="1"/>
  <c r="B2891" i="10" a="1"/>
  <c r="B2891" i="10" s="1"/>
  <c r="B2892" i="10" a="1"/>
  <c r="B2892" i="10" s="1"/>
  <c r="B2893" i="10" a="1"/>
  <c r="B2893" i="10" s="1"/>
  <c r="B2894" i="10" a="1"/>
  <c r="B2894" i="10" s="1"/>
  <c r="B2895" i="10" a="1"/>
  <c r="B2895" i="10" s="1"/>
  <c r="B2896" i="10" a="1"/>
  <c r="B2896" i="10" s="1"/>
  <c r="B2897" i="10" a="1"/>
  <c r="B2897" i="10" s="1"/>
  <c r="B2898" i="10" a="1"/>
  <c r="B2898" i="10" s="1"/>
  <c r="B2899" i="10" a="1"/>
  <c r="B2899" i="10" s="1"/>
  <c r="B2900" i="10" a="1"/>
  <c r="B2900" i="10" s="1"/>
  <c r="B2901" i="10" a="1"/>
  <c r="B2901" i="10" s="1"/>
  <c r="B2902" i="10" a="1"/>
  <c r="B2902" i="10" s="1"/>
  <c r="B2903" i="10" a="1"/>
  <c r="B2903" i="10" s="1"/>
  <c r="B2904" i="10" a="1"/>
  <c r="B2904" i="10" s="1"/>
  <c r="B2905" i="10" a="1"/>
  <c r="B2905" i="10" s="1"/>
  <c r="B2906" i="10" a="1"/>
  <c r="B2906" i="10" s="1"/>
  <c r="B2907" i="10" a="1"/>
  <c r="B2907" i="10" s="1"/>
  <c r="B2908" i="10" a="1"/>
  <c r="B2908" i="10" s="1"/>
  <c r="B2909" i="10" a="1"/>
  <c r="B2909" i="10" s="1"/>
  <c r="B2910" i="10" a="1"/>
  <c r="B2910" i="10" s="1"/>
  <c r="B2911" i="10" a="1"/>
  <c r="B2911" i="10" s="1"/>
  <c r="B2912" i="10" a="1"/>
  <c r="B2912" i="10" s="1"/>
  <c r="B2913" i="10" a="1"/>
  <c r="B2913" i="10" s="1"/>
  <c r="B2914" i="10" a="1"/>
  <c r="B2914" i="10" s="1"/>
  <c r="B2915" i="10" a="1"/>
  <c r="B2915" i="10" s="1"/>
  <c r="B2916" i="10" a="1"/>
  <c r="B2916" i="10" s="1"/>
  <c r="B2917" i="10" a="1"/>
  <c r="B2917" i="10" s="1"/>
  <c r="B2918" i="10" a="1"/>
  <c r="B2918" i="10" s="1"/>
  <c r="B2919" i="10" a="1"/>
  <c r="B2919" i="10" s="1"/>
  <c r="B2920" i="10" a="1"/>
  <c r="B2920" i="10" s="1"/>
  <c r="B2921" i="10" a="1"/>
  <c r="B2921" i="10" s="1"/>
  <c r="B2922" i="10" a="1"/>
  <c r="B2922" i="10" s="1"/>
  <c r="B2923" i="10" a="1"/>
  <c r="B2923" i="10" s="1"/>
  <c r="B2924" i="10" a="1"/>
  <c r="B2924" i="10" s="1"/>
  <c r="B2925" i="10" a="1"/>
  <c r="B2925" i="10" s="1"/>
  <c r="B2926" i="10" a="1"/>
  <c r="B2926" i="10" s="1"/>
  <c r="B2927" i="10" a="1"/>
  <c r="B2927" i="10" s="1"/>
  <c r="B2928" i="10" a="1"/>
  <c r="B2928" i="10" s="1"/>
  <c r="B2929" i="10" a="1"/>
  <c r="B2929" i="10" s="1"/>
  <c r="B2930" i="10" a="1"/>
  <c r="B2930" i="10" s="1"/>
  <c r="B2931" i="10" a="1"/>
  <c r="B2931" i="10" s="1"/>
  <c r="B2932" i="10" a="1"/>
  <c r="B2932" i="10" s="1"/>
  <c r="B2933" i="10" a="1"/>
  <c r="B2933" i="10" s="1"/>
  <c r="B2934" i="10" a="1"/>
  <c r="B2934" i="10" s="1"/>
  <c r="B2935" i="10" a="1"/>
  <c r="B2935" i="10" s="1"/>
  <c r="B2936" i="10" a="1"/>
  <c r="B2936" i="10" s="1"/>
  <c r="B2937" i="10" a="1"/>
  <c r="B2937" i="10" s="1"/>
  <c r="B2938" i="10" a="1"/>
  <c r="B2938" i="10" s="1"/>
  <c r="B2939" i="10" a="1"/>
  <c r="B2939" i="10" s="1"/>
  <c r="B2940" i="10" a="1"/>
  <c r="B2940" i="10" s="1"/>
  <c r="B2941" i="10" a="1"/>
  <c r="B2941" i="10" s="1"/>
  <c r="B2942" i="10" a="1"/>
  <c r="B2942" i="10" s="1"/>
  <c r="B2943" i="10" a="1"/>
  <c r="B2943" i="10" s="1"/>
  <c r="B2944" i="10" a="1"/>
  <c r="B2944" i="10" s="1"/>
  <c r="B2945" i="10" a="1"/>
  <c r="B2945" i="10" s="1"/>
  <c r="B2946" i="10" a="1"/>
  <c r="B2946" i="10" s="1"/>
  <c r="B2947" i="10" a="1"/>
  <c r="B2947" i="10" s="1"/>
  <c r="B2948" i="10" a="1"/>
  <c r="B2948" i="10" s="1"/>
  <c r="B2949" i="10" a="1"/>
  <c r="B2949" i="10" s="1"/>
  <c r="B2950" i="10" a="1"/>
  <c r="B2950" i="10" s="1"/>
  <c r="B2951" i="10" a="1"/>
  <c r="B2951" i="10" s="1"/>
  <c r="B2952" i="10" a="1"/>
  <c r="B2952" i="10" s="1"/>
  <c r="B2953" i="10" a="1"/>
  <c r="B2953" i="10" s="1"/>
  <c r="B2954" i="10" a="1"/>
  <c r="B2954" i="10" s="1"/>
  <c r="B2955" i="10" a="1"/>
  <c r="B2955" i="10" s="1"/>
  <c r="B2956" i="10" a="1"/>
  <c r="B2956" i="10" s="1"/>
  <c r="B2957" i="10" a="1"/>
  <c r="B2957" i="10" s="1"/>
  <c r="B2958" i="10" a="1"/>
  <c r="B2958" i="10" s="1"/>
  <c r="B2959" i="10" a="1"/>
  <c r="B2959" i="10" s="1"/>
  <c r="B2960" i="10" a="1"/>
  <c r="B2960" i="10" s="1"/>
  <c r="B2961" i="10" a="1"/>
  <c r="B2961" i="10" s="1"/>
  <c r="B2962" i="10" a="1"/>
  <c r="B2962" i="10" s="1"/>
  <c r="B2963" i="10" a="1"/>
  <c r="B2963" i="10" s="1"/>
  <c r="B2964" i="10" a="1"/>
  <c r="B2964" i="10" s="1"/>
  <c r="B2965" i="10" a="1"/>
  <c r="B2965" i="10" s="1"/>
  <c r="B2966" i="10" a="1"/>
  <c r="B2966" i="10" s="1"/>
  <c r="B2967" i="10" a="1"/>
  <c r="B2967" i="10" s="1"/>
  <c r="B2968" i="10" a="1"/>
  <c r="B2968" i="10" s="1"/>
  <c r="B2969" i="10" a="1"/>
  <c r="B2969" i="10" s="1"/>
  <c r="B2970" i="10" a="1"/>
  <c r="B2970" i="10" s="1"/>
  <c r="B2971" i="10" a="1"/>
  <c r="B2971" i="10" s="1"/>
  <c r="B2972" i="10" a="1"/>
  <c r="B2972" i="10" s="1"/>
  <c r="B2973" i="10" a="1"/>
  <c r="B2973" i="10" s="1"/>
  <c r="B2974" i="10" a="1"/>
  <c r="B2974" i="10" s="1"/>
  <c r="B2975" i="10" a="1"/>
  <c r="B2975" i="10" s="1"/>
  <c r="B2976" i="10" a="1"/>
  <c r="B2976" i="10" s="1"/>
  <c r="B2977" i="10" a="1"/>
  <c r="B2977" i="10" s="1"/>
  <c r="B2978" i="10" a="1"/>
  <c r="B2978" i="10" s="1"/>
  <c r="B2979" i="10" a="1"/>
  <c r="B2979" i="10" s="1"/>
  <c r="B2980" i="10" a="1"/>
  <c r="B2980" i="10" s="1"/>
  <c r="B2981" i="10" a="1"/>
  <c r="B2981" i="10" s="1"/>
  <c r="B2982" i="10" a="1"/>
  <c r="B2982" i="10" s="1"/>
  <c r="B2983" i="10" a="1"/>
  <c r="B2983" i="10" s="1"/>
  <c r="B2984" i="10" a="1"/>
  <c r="B2984" i="10" s="1"/>
  <c r="B2985" i="10" a="1"/>
  <c r="B2985" i="10" s="1"/>
  <c r="B2986" i="10" a="1"/>
  <c r="B2986" i="10" s="1"/>
  <c r="B2987" i="10" a="1"/>
  <c r="B2987" i="10" s="1"/>
  <c r="B2988" i="10" a="1"/>
  <c r="B2988" i="10" s="1"/>
  <c r="B2989" i="10" a="1"/>
  <c r="B2989" i="10" s="1"/>
  <c r="B2990" i="10" a="1"/>
  <c r="B2990" i="10" s="1"/>
  <c r="B2991" i="10" a="1"/>
  <c r="B2991" i="10" s="1"/>
  <c r="B2992" i="10" a="1"/>
  <c r="B2992" i="10" s="1"/>
  <c r="B2993" i="10" a="1"/>
  <c r="B2993" i="10" s="1"/>
  <c r="B2994" i="10" a="1"/>
  <c r="B2994" i="10" s="1"/>
  <c r="B2995" i="10" a="1"/>
  <c r="B2995" i="10" s="1"/>
  <c r="B2996" i="10" a="1"/>
  <c r="B2996" i="10" s="1"/>
  <c r="B2997" i="10" a="1"/>
  <c r="B2997" i="10" s="1"/>
  <c r="B2998" i="10" a="1"/>
  <c r="B2998" i="10" s="1"/>
  <c r="B2999" i="10" a="1"/>
  <c r="B2999" i="10" s="1"/>
  <c r="B3000" i="10" a="1"/>
  <c r="B3000" i="10" s="1"/>
  <c r="B3001" i="10" a="1"/>
  <c r="B3001" i="10" s="1"/>
  <c r="B3002" i="10" a="1"/>
  <c r="B3002" i="10" s="1"/>
  <c r="B3003" i="10" a="1"/>
  <c r="B3003" i="10" s="1"/>
  <c r="B3004" i="10" a="1"/>
  <c r="B3004" i="10" s="1"/>
  <c r="B3005" i="10" a="1"/>
  <c r="B3005" i="10" s="1"/>
  <c r="B3006" i="10" a="1"/>
  <c r="B3006" i="10" s="1"/>
  <c r="B3007" i="10" a="1"/>
  <c r="B3007" i="10" s="1"/>
  <c r="B3008" i="10" a="1"/>
  <c r="B3008" i="10" s="1"/>
  <c r="B3009" i="10" a="1"/>
  <c r="B3009" i="10" s="1"/>
  <c r="B3010" i="10" a="1"/>
  <c r="B3010" i="10" s="1"/>
  <c r="B3011" i="10" a="1"/>
  <c r="B3011" i="10" s="1"/>
  <c r="B3012" i="10" a="1"/>
  <c r="B3012" i="10" s="1"/>
  <c r="B3013" i="10" a="1"/>
  <c r="B3013" i="10" s="1"/>
  <c r="B3014" i="10" a="1"/>
  <c r="B3014" i="10" s="1"/>
  <c r="B3015" i="10" a="1"/>
  <c r="B3015" i="10" s="1"/>
  <c r="B3016" i="10" a="1"/>
  <c r="B3016" i="10" s="1"/>
  <c r="B3017" i="10" a="1"/>
  <c r="B3017" i="10" s="1"/>
  <c r="B3018" i="10" a="1"/>
  <c r="B3018" i="10" s="1"/>
  <c r="B3019" i="10" a="1"/>
  <c r="B3019" i="10" s="1"/>
  <c r="B3020" i="10" a="1"/>
  <c r="B3020" i="10" s="1"/>
  <c r="B3021" i="10" a="1"/>
  <c r="B3021" i="10" s="1"/>
  <c r="B3022" i="10" a="1"/>
  <c r="B3022" i="10" s="1"/>
  <c r="B3023" i="10" a="1"/>
  <c r="B3023" i="10" s="1"/>
  <c r="B3024" i="10" a="1"/>
  <c r="B3024" i="10" s="1"/>
  <c r="B3025" i="10" a="1"/>
  <c r="B3025" i="10" s="1"/>
  <c r="B3026" i="10" a="1"/>
  <c r="B3026" i="10" s="1"/>
  <c r="B3027" i="10" a="1"/>
  <c r="B3027" i="10" s="1"/>
  <c r="B3028" i="10" a="1"/>
  <c r="B3028" i="10" s="1"/>
  <c r="B3029" i="10" a="1"/>
  <c r="B3029" i="10" s="1"/>
  <c r="B3030" i="10" a="1"/>
  <c r="B3030" i="10" s="1"/>
  <c r="B3031" i="10" a="1"/>
  <c r="B3031" i="10" s="1"/>
  <c r="B3032" i="10" a="1"/>
  <c r="B3032" i="10" s="1"/>
  <c r="B3033" i="10" a="1"/>
  <c r="B3033" i="10" s="1"/>
  <c r="B3034" i="10" a="1"/>
  <c r="B3034" i="10" s="1"/>
  <c r="B3035" i="10" a="1"/>
  <c r="B3035" i="10" s="1"/>
  <c r="B3036" i="10" a="1"/>
  <c r="B3036" i="10" s="1"/>
  <c r="B3037" i="10" a="1"/>
  <c r="B3037" i="10" s="1"/>
  <c r="B3038" i="10" a="1"/>
  <c r="B3038" i="10" s="1"/>
  <c r="B3039" i="10" a="1"/>
  <c r="B3039" i="10" s="1"/>
  <c r="B3040" i="10" a="1"/>
  <c r="B3040" i="10" s="1"/>
  <c r="B3041" i="10" a="1"/>
  <c r="B3041" i="10" s="1"/>
  <c r="B3042" i="10" a="1"/>
  <c r="B3042" i="10" s="1"/>
  <c r="B3043" i="10" a="1"/>
  <c r="B3043" i="10" s="1"/>
  <c r="B3044" i="10" a="1"/>
  <c r="B3044" i="10" s="1"/>
  <c r="B3045" i="10" a="1"/>
  <c r="B3045" i="10" s="1"/>
  <c r="B3046" i="10" a="1"/>
  <c r="B3046" i="10" s="1"/>
  <c r="B3047" i="10" a="1"/>
  <c r="B3047" i="10" s="1"/>
  <c r="B3048" i="10" a="1"/>
  <c r="B3048" i="10" s="1"/>
  <c r="B3049" i="10" a="1"/>
  <c r="B3049" i="10" s="1"/>
  <c r="B3050" i="10" a="1"/>
  <c r="B3050" i="10" s="1"/>
  <c r="B3051" i="10" a="1"/>
  <c r="B3051" i="10" s="1"/>
  <c r="B3052" i="10" a="1"/>
  <c r="B3052" i="10" s="1"/>
  <c r="B3053" i="10" a="1"/>
  <c r="B3053" i="10" s="1"/>
  <c r="B3054" i="10" a="1"/>
  <c r="B3054" i="10" s="1"/>
  <c r="B3055" i="10" a="1"/>
  <c r="B3055" i="10" s="1"/>
  <c r="B3056" i="10" a="1"/>
  <c r="B3056" i="10" s="1"/>
  <c r="B3057" i="10" a="1"/>
  <c r="B3057" i="10" s="1"/>
  <c r="B3058" i="10" a="1"/>
  <c r="B3058" i="10" s="1"/>
  <c r="B3059" i="10" a="1"/>
  <c r="B3059" i="10" s="1"/>
  <c r="B3060" i="10" a="1"/>
  <c r="B3060" i="10" s="1"/>
  <c r="B3061" i="10" a="1"/>
  <c r="B3061" i="10" s="1"/>
  <c r="B3062" i="10" a="1"/>
  <c r="B3062" i="10" s="1"/>
  <c r="B3063" i="10" a="1"/>
  <c r="B3063" i="10" s="1"/>
  <c r="B3064" i="10" a="1"/>
  <c r="B3064" i="10" s="1"/>
  <c r="B3065" i="10" a="1"/>
  <c r="B3065" i="10" s="1"/>
  <c r="B3066" i="10" a="1"/>
  <c r="B3066" i="10" s="1"/>
  <c r="B3067" i="10" a="1"/>
  <c r="B3067" i="10" s="1"/>
  <c r="B3068" i="10" a="1"/>
  <c r="B3068" i="10" s="1"/>
  <c r="B3069" i="10" a="1"/>
  <c r="B3069" i="10" s="1"/>
  <c r="B3070" i="10" a="1"/>
  <c r="B3070" i="10" s="1"/>
  <c r="B3071" i="10" a="1"/>
  <c r="B3071" i="10" s="1"/>
  <c r="B3072" i="10" a="1"/>
  <c r="B3072" i="10" s="1"/>
  <c r="B3073" i="10" a="1"/>
  <c r="B3073" i="10" s="1"/>
  <c r="B3074" i="10" a="1"/>
  <c r="B3074" i="10" s="1"/>
  <c r="B3075" i="10" a="1"/>
  <c r="B3075" i="10" s="1"/>
  <c r="B3076" i="10" a="1"/>
  <c r="B3076" i="10" s="1"/>
  <c r="B3077" i="10" a="1"/>
  <c r="B3077" i="10" s="1"/>
  <c r="B3078" i="10" a="1"/>
  <c r="B3078" i="10" s="1"/>
  <c r="B3079" i="10" a="1"/>
  <c r="B3079" i="10" s="1"/>
  <c r="B3080" i="10" a="1"/>
  <c r="B3080" i="10" s="1"/>
  <c r="B3081" i="10" a="1"/>
  <c r="B3081" i="10" s="1"/>
  <c r="B3082" i="10" a="1"/>
  <c r="B3082" i="10" s="1"/>
  <c r="B3083" i="10" a="1"/>
  <c r="B3083" i="10" s="1"/>
  <c r="B3084" i="10" a="1"/>
  <c r="B3084" i="10" s="1"/>
  <c r="B3085" i="10" a="1"/>
  <c r="B3085" i="10" s="1"/>
  <c r="B3086" i="10" a="1"/>
  <c r="B3086" i="10" s="1"/>
  <c r="B3087" i="10" a="1"/>
  <c r="B3087" i="10" s="1"/>
  <c r="B3088" i="10" a="1"/>
  <c r="B3088" i="10" s="1"/>
  <c r="B3089" i="10" a="1"/>
  <c r="B3089" i="10" s="1"/>
  <c r="B3090" i="10" a="1"/>
  <c r="B3090" i="10" s="1"/>
  <c r="B3091" i="10" a="1"/>
  <c r="B3091" i="10" s="1"/>
  <c r="B3092" i="10" a="1"/>
  <c r="B3092" i="10" s="1"/>
  <c r="B3093" i="10" a="1"/>
  <c r="B3093" i="10" s="1"/>
  <c r="B3094" i="10" a="1"/>
  <c r="B3094" i="10" s="1"/>
  <c r="B3095" i="10" a="1"/>
  <c r="B3095" i="10" s="1"/>
  <c r="B3096" i="10" a="1"/>
  <c r="B3096" i="10" s="1"/>
  <c r="B3097" i="10" a="1"/>
  <c r="B3097" i="10" s="1"/>
  <c r="B3098" i="10" a="1"/>
  <c r="B3098" i="10" s="1"/>
  <c r="B3099" i="10" a="1"/>
  <c r="B3099" i="10" s="1"/>
  <c r="B3100" i="10" a="1"/>
  <c r="B3100" i="10" s="1"/>
  <c r="B3101" i="10" a="1"/>
  <c r="B3101" i="10" s="1"/>
  <c r="B3102" i="10" a="1"/>
  <c r="B3102" i="10" s="1"/>
  <c r="B3103" i="10" a="1"/>
  <c r="B3103" i="10" s="1"/>
  <c r="B3104" i="10" a="1"/>
  <c r="B3104" i="10" s="1"/>
  <c r="B3105" i="10" a="1"/>
  <c r="B3105" i="10" s="1"/>
  <c r="B3106" i="10" a="1"/>
  <c r="B3106" i="10" s="1"/>
  <c r="B3107" i="10" a="1"/>
  <c r="B3107" i="10" s="1"/>
  <c r="B3108" i="10" a="1"/>
  <c r="B3108" i="10" s="1"/>
  <c r="B3109" i="10" a="1"/>
  <c r="B3109" i="10" s="1"/>
  <c r="B3110" i="10" a="1"/>
  <c r="B3110" i="10" s="1"/>
  <c r="B3111" i="10" a="1"/>
  <c r="B3111" i="10" s="1"/>
  <c r="B3112" i="10" a="1"/>
  <c r="B3112" i="10" s="1"/>
  <c r="B3113" i="10" a="1"/>
  <c r="B3113" i="10" s="1"/>
  <c r="B3114" i="10" a="1"/>
  <c r="B3114" i="10" s="1"/>
  <c r="B3115" i="10" a="1"/>
  <c r="B3115" i="10" s="1"/>
  <c r="B3116" i="10" a="1"/>
  <c r="B3116" i="10" s="1"/>
  <c r="B3117" i="10" a="1"/>
  <c r="B3117" i="10" s="1"/>
  <c r="B3118" i="10" a="1"/>
  <c r="B3118" i="10" s="1"/>
  <c r="B3119" i="10" a="1"/>
  <c r="B3119" i="10" s="1"/>
  <c r="B3120" i="10" a="1"/>
  <c r="B3120" i="10" s="1"/>
  <c r="B3121" i="10" a="1"/>
  <c r="B3121" i="10" s="1"/>
  <c r="B3122" i="10" a="1"/>
  <c r="B3122" i="10" s="1"/>
  <c r="B3123" i="10" a="1"/>
  <c r="B3123" i="10" s="1"/>
  <c r="B3124" i="10" a="1"/>
  <c r="B3124" i="10" s="1"/>
  <c r="B3125" i="10" a="1"/>
  <c r="B3125" i="10" s="1"/>
  <c r="B3126" i="10" a="1"/>
  <c r="B3126" i="10" s="1"/>
  <c r="B3127" i="10" a="1"/>
  <c r="B3127" i="10" s="1"/>
  <c r="B3128" i="10" a="1"/>
  <c r="B3128" i="10" s="1"/>
  <c r="B3129" i="10" a="1"/>
  <c r="B3129" i="10" s="1"/>
  <c r="B3130" i="10" a="1"/>
  <c r="B3130" i="10" s="1"/>
  <c r="B3131" i="10" a="1"/>
  <c r="B3131" i="10" s="1"/>
  <c r="B3132" i="10" a="1"/>
  <c r="B3132" i="10" s="1"/>
  <c r="B3133" i="10" a="1"/>
  <c r="B3133" i="10" s="1"/>
  <c r="B3134" i="10" a="1"/>
  <c r="B3134" i="10" s="1"/>
  <c r="B3135" i="10" a="1"/>
  <c r="B3135" i="10" s="1"/>
  <c r="B3136" i="10" a="1"/>
  <c r="B3136" i="10" s="1"/>
  <c r="B3137" i="10" a="1"/>
  <c r="B3137" i="10" s="1"/>
  <c r="B3138" i="10" a="1"/>
  <c r="B3138" i="10" s="1"/>
  <c r="B3139" i="10" a="1"/>
  <c r="B3139" i="10" s="1"/>
  <c r="B3140" i="10" a="1"/>
  <c r="B3140" i="10" s="1"/>
  <c r="B3141" i="10" a="1"/>
  <c r="B3141" i="10" s="1"/>
  <c r="B3142" i="10" a="1"/>
  <c r="B3142" i="10" s="1"/>
  <c r="B3143" i="10" a="1"/>
  <c r="B3143" i="10" s="1"/>
  <c r="B3144" i="10" a="1"/>
  <c r="B3144" i="10" s="1"/>
  <c r="B3145" i="10" a="1"/>
  <c r="B3145" i="10" s="1"/>
  <c r="B3146" i="10" a="1"/>
  <c r="B3146" i="10" s="1"/>
  <c r="B3147" i="10" a="1"/>
  <c r="B3147" i="10" s="1"/>
  <c r="B3148" i="10" a="1"/>
  <c r="B3148" i="10" s="1"/>
  <c r="B3149" i="10" a="1"/>
  <c r="B3149" i="10" s="1"/>
  <c r="B3150" i="10" a="1"/>
  <c r="B3150" i="10" s="1"/>
  <c r="B3151" i="10" a="1"/>
  <c r="B3151" i="10" s="1"/>
  <c r="B3152" i="10" a="1"/>
  <c r="B3152" i="10" s="1"/>
  <c r="B3153" i="10" a="1"/>
  <c r="B3153" i="10" s="1"/>
  <c r="B3154" i="10" a="1"/>
  <c r="B3154" i="10" s="1"/>
  <c r="B3155" i="10" a="1"/>
  <c r="B3155" i="10" s="1"/>
  <c r="B3156" i="10" a="1"/>
  <c r="B3156" i="10" s="1"/>
  <c r="B3157" i="10" a="1"/>
  <c r="B3157" i="10" s="1"/>
  <c r="B3158" i="10" a="1"/>
  <c r="B3158" i="10" s="1"/>
  <c r="B3159" i="10" a="1"/>
  <c r="B3159" i="10" s="1"/>
  <c r="B3160" i="10" a="1"/>
  <c r="B3160" i="10" s="1"/>
  <c r="B3161" i="10" a="1"/>
  <c r="B3161" i="10" s="1"/>
  <c r="B3162" i="10" a="1"/>
  <c r="B3162" i="10" s="1"/>
  <c r="B3163" i="10" a="1"/>
  <c r="B3163" i="10" s="1"/>
  <c r="B3164" i="10" a="1"/>
  <c r="B3164" i="10" s="1"/>
  <c r="B3165" i="10" a="1"/>
  <c r="B3165" i="10" s="1"/>
  <c r="B3166" i="10" a="1"/>
  <c r="B3166" i="10" s="1"/>
  <c r="B3167" i="10" a="1"/>
  <c r="B3167" i="10" s="1"/>
  <c r="B3168" i="10" a="1"/>
  <c r="B3168" i="10" s="1"/>
  <c r="B3169" i="10" a="1"/>
  <c r="B3169" i="10" s="1"/>
  <c r="B3170" i="10" a="1"/>
  <c r="B3170" i="10" s="1"/>
  <c r="B3171" i="10" a="1"/>
  <c r="B3171" i="10" s="1"/>
  <c r="B3172" i="10" a="1"/>
  <c r="B3172" i="10" s="1"/>
  <c r="B3173" i="10" a="1"/>
  <c r="B3173" i="10" s="1"/>
  <c r="B3174" i="10" a="1"/>
  <c r="B3174" i="10" s="1"/>
  <c r="B3175" i="10" a="1"/>
  <c r="B3175" i="10" s="1"/>
  <c r="B3176" i="10" a="1"/>
  <c r="B3176" i="10" s="1"/>
  <c r="B3177" i="10" a="1"/>
  <c r="B3177" i="10" s="1"/>
  <c r="B3178" i="10" a="1"/>
  <c r="B3178" i="10" s="1"/>
  <c r="B3179" i="10" a="1"/>
  <c r="B3179" i="10" s="1"/>
  <c r="B3180" i="10" a="1"/>
  <c r="B3180" i="10" s="1"/>
  <c r="B3181" i="10" a="1"/>
  <c r="B3181" i="10" s="1"/>
  <c r="B3182" i="10" a="1"/>
  <c r="B3182" i="10" s="1"/>
  <c r="B3183" i="10" a="1"/>
  <c r="B3183" i="10" s="1"/>
  <c r="B3184" i="10" a="1"/>
  <c r="B3184" i="10" s="1"/>
  <c r="B3185" i="10" a="1"/>
  <c r="B3185" i="10" s="1"/>
  <c r="B3186" i="10" a="1"/>
  <c r="B3186" i="10" s="1"/>
  <c r="B3187" i="10" a="1"/>
  <c r="B3187" i="10" s="1"/>
  <c r="B3188" i="10" a="1"/>
  <c r="B3188" i="10" s="1"/>
  <c r="B3189" i="10" a="1"/>
  <c r="B3189" i="10" s="1"/>
  <c r="B3190" i="10" a="1"/>
  <c r="B3190" i="10" s="1"/>
  <c r="B3191" i="10" a="1"/>
  <c r="B3191" i="10" s="1"/>
  <c r="B3192" i="10" a="1"/>
  <c r="B3192" i="10" s="1"/>
  <c r="B3193" i="10" a="1"/>
  <c r="B3193" i="10" s="1"/>
  <c r="B3194" i="10" a="1"/>
  <c r="B3194" i="10" s="1"/>
  <c r="B3195" i="10" a="1"/>
  <c r="B3195" i="10" s="1"/>
  <c r="B3196" i="10" a="1"/>
  <c r="B3196" i="10" s="1"/>
  <c r="B3197" i="10" a="1"/>
  <c r="B3197" i="10" s="1"/>
  <c r="B3198" i="10" a="1"/>
  <c r="B3198" i="10" s="1"/>
  <c r="B3199" i="10" a="1"/>
  <c r="B3199" i="10" s="1"/>
  <c r="B3200" i="10" a="1"/>
  <c r="B3200" i="10" s="1"/>
  <c r="B3201" i="10" a="1"/>
  <c r="B3201" i="10" s="1"/>
  <c r="B3202" i="10" a="1"/>
  <c r="B3202" i="10" s="1"/>
  <c r="B3203" i="10" a="1"/>
  <c r="B3203" i="10" s="1"/>
  <c r="B3204" i="10" a="1"/>
  <c r="B3204" i="10" s="1"/>
  <c r="B3205" i="10" a="1"/>
  <c r="B3205" i="10" s="1"/>
  <c r="B3206" i="10" a="1"/>
  <c r="B3206" i="10" s="1"/>
  <c r="B3207" i="10" a="1"/>
  <c r="B3207" i="10" s="1"/>
  <c r="B3208" i="10" a="1"/>
  <c r="B3208" i="10" s="1"/>
  <c r="B3209" i="10" a="1"/>
  <c r="B3209" i="10" s="1"/>
  <c r="B3210" i="10" a="1"/>
  <c r="B3210" i="10" s="1"/>
  <c r="B3211" i="10" a="1"/>
  <c r="B3211" i="10" s="1"/>
  <c r="B3212" i="10" a="1"/>
  <c r="B3212" i="10" s="1"/>
  <c r="B3213" i="10" a="1"/>
  <c r="B3213" i="10" s="1"/>
  <c r="B3214" i="10" a="1"/>
  <c r="B3214" i="10" s="1"/>
  <c r="B3215" i="10" a="1"/>
  <c r="B3215" i="10" s="1"/>
  <c r="B3216" i="10" a="1"/>
  <c r="B3216" i="10" s="1"/>
  <c r="B3217" i="10" a="1"/>
  <c r="B3217" i="10" s="1"/>
  <c r="B3218" i="10" a="1"/>
  <c r="B3218" i="10" s="1"/>
  <c r="B3219" i="10" a="1"/>
  <c r="B3219" i="10" s="1"/>
  <c r="B3220" i="10" a="1"/>
  <c r="B3220" i="10" s="1"/>
  <c r="B3221" i="10" a="1"/>
  <c r="B3221" i="10" s="1"/>
  <c r="B3222" i="10" a="1"/>
  <c r="B3222" i="10" s="1"/>
  <c r="B3223" i="10" a="1"/>
  <c r="B3223" i="10" s="1"/>
  <c r="B3224" i="10" a="1"/>
  <c r="B3224" i="10" s="1"/>
  <c r="B3225" i="10" a="1"/>
  <c r="B3225" i="10" s="1"/>
  <c r="B3226" i="10" a="1"/>
  <c r="B3226" i="10" s="1"/>
  <c r="B3227" i="10" a="1"/>
  <c r="B3227" i="10" s="1"/>
  <c r="B3228" i="10" a="1"/>
  <c r="B3228" i="10" s="1"/>
  <c r="B3229" i="10" a="1"/>
  <c r="B3229" i="10" s="1"/>
  <c r="B3230" i="10" a="1"/>
  <c r="B3230" i="10" s="1"/>
  <c r="B3231" i="10" a="1"/>
  <c r="B3231" i="10" s="1"/>
  <c r="B3232" i="10" a="1"/>
  <c r="B3232" i="10" s="1"/>
  <c r="B3233" i="10" a="1"/>
  <c r="B3233" i="10" s="1"/>
  <c r="B3234" i="10" a="1"/>
  <c r="B3234" i="10" s="1"/>
  <c r="B3235" i="10" a="1"/>
  <c r="B3235" i="10" s="1"/>
  <c r="B3236" i="10" a="1"/>
  <c r="B3236" i="10" s="1"/>
  <c r="B3237" i="10" a="1"/>
  <c r="B3237" i="10" s="1"/>
  <c r="B3238" i="10" a="1"/>
  <c r="B3238" i="10" s="1"/>
  <c r="B3239" i="10" a="1"/>
  <c r="B3239" i="10" s="1"/>
  <c r="B3240" i="10" a="1"/>
  <c r="B3240" i="10" s="1"/>
  <c r="B3241" i="10" a="1"/>
  <c r="B3241" i="10" s="1"/>
  <c r="B3242" i="10" a="1"/>
  <c r="B3242" i="10" s="1"/>
  <c r="B3243" i="10" a="1"/>
  <c r="B3243" i="10" s="1"/>
  <c r="B3244" i="10" a="1"/>
  <c r="B3244" i="10" s="1"/>
  <c r="B3245" i="10" a="1"/>
  <c r="B3245" i="10" s="1"/>
  <c r="B3246" i="10" a="1"/>
  <c r="B3246" i="10" s="1"/>
  <c r="B3247" i="10" a="1"/>
  <c r="B3247" i="10" s="1"/>
  <c r="B3248" i="10" a="1"/>
  <c r="B3248" i="10" s="1"/>
  <c r="B3249" i="10" a="1"/>
  <c r="B3249" i="10" s="1"/>
  <c r="B3250" i="10" a="1"/>
  <c r="B3250" i="10" s="1"/>
  <c r="B3251" i="10" a="1"/>
  <c r="B3251" i="10" s="1"/>
  <c r="B3252" i="10" a="1"/>
  <c r="B3252" i="10" s="1"/>
  <c r="B3253" i="10" a="1"/>
  <c r="B3253" i="10" s="1"/>
  <c r="B3254" i="10" a="1"/>
  <c r="B3254" i="10" s="1"/>
  <c r="B3255" i="10" a="1"/>
  <c r="B3255" i="10" s="1"/>
  <c r="B3256" i="10" a="1"/>
  <c r="B3256" i="10" s="1"/>
  <c r="B3257" i="10" a="1"/>
  <c r="B3257" i="10" s="1"/>
  <c r="B3258" i="10" a="1"/>
  <c r="B3258" i="10" s="1"/>
  <c r="B3259" i="10" a="1"/>
  <c r="B3259" i="10" s="1"/>
  <c r="B3260" i="10" a="1"/>
  <c r="B3260" i="10" s="1"/>
  <c r="B3261" i="10" a="1"/>
  <c r="B3261" i="10" s="1"/>
  <c r="B3262" i="10" a="1"/>
  <c r="B3262" i="10" s="1"/>
  <c r="B3263" i="10" a="1"/>
  <c r="B3263" i="10" s="1"/>
  <c r="B3264" i="10" a="1"/>
  <c r="B3264" i="10" s="1"/>
  <c r="B3265" i="10" a="1"/>
  <c r="B3265" i="10" s="1"/>
  <c r="B3266" i="10" a="1"/>
  <c r="B3266" i="10" s="1"/>
  <c r="B3267" i="10" a="1"/>
  <c r="B3267" i="10" s="1"/>
  <c r="B3268" i="10" a="1"/>
  <c r="B3268" i="10" s="1"/>
  <c r="B3269" i="10" a="1"/>
  <c r="B3269" i="10" s="1"/>
  <c r="B3270" i="10" a="1"/>
  <c r="B3270" i="10" s="1"/>
  <c r="B3271" i="10" a="1"/>
  <c r="B3271" i="10" s="1"/>
  <c r="B3272" i="10" a="1"/>
  <c r="B3272" i="10" s="1"/>
  <c r="B3273" i="10" a="1"/>
  <c r="B3273" i="10" s="1"/>
  <c r="B3274" i="10" a="1"/>
  <c r="B3274" i="10" s="1"/>
  <c r="B3275" i="10" a="1"/>
  <c r="B3275" i="10" s="1"/>
  <c r="B3276" i="10" a="1"/>
  <c r="B3276" i="10" s="1"/>
  <c r="B3277" i="10" a="1"/>
  <c r="B3277" i="10" s="1"/>
  <c r="B3278" i="10" a="1"/>
  <c r="B3278" i="10" s="1"/>
  <c r="B3279" i="10" a="1"/>
  <c r="B3279" i="10" s="1"/>
  <c r="B3280" i="10" a="1"/>
  <c r="B3280" i="10" s="1"/>
  <c r="B3281" i="10" a="1"/>
  <c r="B3281" i="10" s="1"/>
  <c r="B3282" i="10" a="1"/>
  <c r="B3282" i="10" s="1"/>
  <c r="B3283" i="10" a="1"/>
  <c r="B3283" i="10" s="1"/>
  <c r="B3284" i="10" a="1"/>
  <c r="B3284" i="10" s="1"/>
  <c r="B3285" i="10" a="1"/>
  <c r="B3285" i="10" s="1"/>
  <c r="B3286" i="10" a="1"/>
  <c r="B3286" i="10" s="1"/>
  <c r="B3287" i="10" a="1"/>
  <c r="B3287" i="10" s="1"/>
  <c r="B3288" i="10" a="1"/>
  <c r="B3288" i="10" s="1"/>
  <c r="B3289" i="10" a="1"/>
  <c r="B3289" i="10" s="1"/>
  <c r="B3290" i="10" a="1"/>
  <c r="B3290" i="10" s="1"/>
  <c r="B3291" i="10" a="1"/>
  <c r="B3291" i="10" s="1"/>
  <c r="B3292" i="10" a="1"/>
  <c r="B3292" i="10" s="1"/>
  <c r="B3293" i="10" a="1"/>
  <c r="B3293" i="10" s="1"/>
  <c r="B3294" i="10" a="1"/>
  <c r="B3294" i="10" s="1"/>
  <c r="B3295" i="10" a="1"/>
  <c r="B3295" i="10" s="1"/>
  <c r="B3296" i="10" a="1"/>
  <c r="B3296" i="10" s="1"/>
  <c r="B3297" i="10" a="1"/>
  <c r="B3297" i="10" s="1"/>
  <c r="B3298" i="10" a="1"/>
  <c r="B3298" i="10" s="1"/>
  <c r="B3299" i="10" a="1"/>
  <c r="B3299" i="10" s="1"/>
  <c r="B3300" i="10" a="1"/>
  <c r="B3300" i="10" s="1"/>
  <c r="B3301" i="10" a="1"/>
  <c r="B3301" i="10" s="1"/>
  <c r="B3302" i="10" a="1"/>
  <c r="B3302" i="10" s="1"/>
  <c r="B3303" i="10" a="1"/>
  <c r="B3303" i="10" s="1"/>
  <c r="B3304" i="10" a="1"/>
  <c r="B3304" i="10" s="1"/>
  <c r="B3305" i="10" a="1"/>
  <c r="B3305" i="10" s="1"/>
  <c r="B3306" i="10" a="1"/>
  <c r="B3306" i="10" s="1"/>
  <c r="B3307" i="10" a="1"/>
  <c r="B3307" i="10" s="1"/>
  <c r="B3308" i="10" a="1"/>
  <c r="B3308" i="10" s="1"/>
  <c r="B3309" i="10" a="1"/>
  <c r="B3309" i="10" s="1"/>
  <c r="B3310" i="10" a="1"/>
  <c r="B3310" i="10" s="1"/>
  <c r="B3311" i="10" a="1"/>
  <c r="B3311" i="10" s="1"/>
  <c r="B3312" i="10" a="1"/>
  <c r="B3312" i="10" s="1"/>
  <c r="B3313" i="10" a="1"/>
  <c r="B3313" i="10" s="1"/>
  <c r="B3314" i="10" a="1"/>
  <c r="B3314" i="10" s="1"/>
  <c r="B3315" i="10" a="1"/>
  <c r="B3315" i="10" s="1"/>
  <c r="B3316" i="10" a="1"/>
  <c r="B3316" i="10" s="1"/>
  <c r="B3317" i="10" a="1"/>
  <c r="B3317" i="10" s="1"/>
  <c r="B3318" i="10" a="1"/>
  <c r="B3318" i="10" s="1"/>
  <c r="B3319" i="10" a="1"/>
  <c r="B3319" i="10" s="1"/>
  <c r="B3320" i="10" a="1"/>
  <c r="B3320" i="10" s="1"/>
  <c r="B3321" i="10" a="1"/>
  <c r="B3321" i="10" s="1"/>
  <c r="B3322" i="10" a="1"/>
  <c r="B3322" i="10" s="1"/>
  <c r="B3323" i="10" a="1"/>
  <c r="B3323" i="10" s="1"/>
  <c r="B3324" i="10" a="1"/>
  <c r="B3324" i="10" s="1"/>
  <c r="B3325" i="10" a="1"/>
  <c r="B3325" i="10" s="1"/>
  <c r="B3326" i="10" a="1"/>
  <c r="B3326" i="10" s="1"/>
  <c r="B3327" i="10" a="1"/>
  <c r="B3327" i="10" s="1"/>
  <c r="B3328" i="10" a="1"/>
  <c r="B3328" i="10" s="1"/>
  <c r="B3329" i="10" a="1"/>
  <c r="B3329" i="10" s="1"/>
  <c r="B3330" i="10" a="1"/>
  <c r="B3330" i="10" s="1"/>
  <c r="B3331" i="10" a="1"/>
  <c r="B3331" i="10" s="1"/>
  <c r="B3332" i="10" a="1"/>
  <c r="B3332" i="10" s="1"/>
  <c r="B3333" i="10" a="1"/>
  <c r="B3333" i="10" s="1"/>
  <c r="B3334" i="10" a="1"/>
  <c r="B3334" i="10" s="1"/>
  <c r="B3335" i="10" a="1"/>
  <c r="B3335" i="10" s="1"/>
  <c r="B3336" i="10" a="1"/>
  <c r="B3336" i="10" s="1"/>
  <c r="B3337" i="10" a="1"/>
  <c r="B3337" i="10" s="1"/>
  <c r="B3338" i="10" a="1"/>
  <c r="B3338" i="10" s="1"/>
  <c r="B3339" i="10" a="1"/>
  <c r="B3339" i="10" s="1"/>
  <c r="B3340" i="10" a="1"/>
  <c r="B3340" i="10" s="1"/>
  <c r="B3341" i="10" a="1"/>
  <c r="B3341" i="10" s="1"/>
  <c r="B3342" i="10" a="1"/>
  <c r="B3342" i="10" s="1"/>
  <c r="B3343" i="10" a="1"/>
  <c r="B3343" i="10" s="1"/>
  <c r="B3344" i="10" a="1"/>
  <c r="B3344" i="10" s="1"/>
  <c r="B3345" i="10" a="1"/>
  <c r="B3345" i="10" s="1"/>
  <c r="B3346" i="10" a="1"/>
  <c r="B3346" i="10" s="1"/>
  <c r="B3347" i="10" a="1"/>
  <c r="B3347" i="10" s="1"/>
  <c r="B3348" i="10" a="1"/>
  <c r="B3348" i="10" s="1"/>
  <c r="B3349" i="10" a="1"/>
  <c r="B3349" i="10" s="1"/>
  <c r="B3350" i="10" a="1"/>
  <c r="B3350" i="10" s="1"/>
  <c r="B3351" i="10" a="1"/>
  <c r="B3351" i="10" s="1"/>
  <c r="B3352" i="10" a="1"/>
  <c r="B3352" i="10" s="1"/>
  <c r="B3353" i="10" a="1"/>
  <c r="B3353" i="10" s="1"/>
  <c r="B3354" i="10" a="1"/>
  <c r="B3354" i="10" s="1"/>
  <c r="B3355" i="10" a="1"/>
  <c r="B3355" i="10" s="1"/>
  <c r="B3356" i="10" a="1"/>
  <c r="B3356" i="10" s="1"/>
  <c r="B3357" i="10" a="1"/>
  <c r="B3357" i="10" s="1"/>
  <c r="B3358" i="10" a="1"/>
  <c r="B3358" i="10" s="1"/>
  <c r="B3359" i="10" a="1"/>
  <c r="B3359" i="10" s="1"/>
  <c r="B3360" i="10" a="1"/>
  <c r="B3360" i="10" s="1"/>
  <c r="B3361" i="10" a="1"/>
  <c r="B3361" i="10" s="1"/>
  <c r="B3362" i="10" a="1"/>
  <c r="B3362" i="10" s="1"/>
  <c r="B3363" i="10" a="1"/>
  <c r="B3363" i="10" s="1"/>
  <c r="B3364" i="10" a="1"/>
  <c r="B3364" i="10" s="1"/>
  <c r="B3365" i="10" a="1"/>
  <c r="B3365" i="10" s="1"/>
  <c r="B3366" i="10" a="1"/>
  <c r="B3366" i="10" s="1"/>
  <c r="B3367" i="10" a="1"/>
  <c r="B3367" i="10" s="1"/>
  <c r="B3368" i="10" a="1"/>
  <c r="B3368" i="10" s="1"/>
  <c r="B3369" i="10" a="1"/>
  <c r="B3369" i="10" s="1"/>
  <c r="B3370" i="10" a="1"/>
  <c r="B3370" i="10" s="1"/>
  <c r="B3371" i="10" a="1"/>
  <c r="B3371" i="10" s="1"/>
  <c r="B3372" i="10" a="1"/>
  <c r="B3372" i="10" s="1"/>
  <c r="B3373" i="10" a="1"/>
  <c r="B3373" i="10" s="1"/>
  <c r="B3374" i="10" a="1"/>
  <c r="B3374" i="10" s="1"/>
  <c r="B3375" i="10" a="1"/>
  <c r="B3375" i="10" s="1"/>
  <c r="B3376" i="10" a="1"/>
  <c r="B3376" i="10" s="1"/>
  <c r="B3377" i="10" a="1"/>
  <c r="B3377" i="10" s="1"/>
  <c r="B3378" i="10" a="1"/>
  <c r="B3378" i="10" s="1"/>
  <c r="B3379" i="10" a="1"/>
  <c r="B3379" i="10" s="1"/>
  <c r="B3380" i="10" a="1"/>
  <c r="B3380" i="10" s="1"/>
  <c r="B3381" i="10" a="1"/>
  <c r="B3381" i="10" s="1"/>
  <c r="B3382" i="10" a="1"/>
  <c r="B3382" i="10" s="1"/>
  <c r="B3383" i="10" a="1"/>
  <c r="B3383" i="10" s="1"/>
  <c r="B3384" i="10" a="1"/>
  <c r="B3384" i="10" s="1"/>
  <c r="B3385" i="10" a="1"/>
  <c r="B3385" i="10" s="1"/>
  <c r="B3386" i="10" a="1"/>
  <c r="B3386" i="10" s="1"/>
  <c r="B3387" i="10" a="1"/>
  <c r="B3387" i="10" s="1"/>
  <c r="B3388" i="10" a="1"/>
  <c r="B3388" i="10" s="1"/>
  <c r="B3389" i="10" a="1"/>
  <c r="B3389" i="10" s="1"/>
  <c r="B3390" i="10" a="1"/>
  <c r="B3390" i="10" s="1"/>
  <c r="B3391" i="10" a="1"/>
  <c r="B3391" i="10" s="1"/>
  <c r="B3392" i="10" a="1"/>
  <c r="B3392" i="10" s="1"/>
  <c r="B3393" i="10" a="1"/>
  <c r="B3393" i="10" s="1"/>
  <c r="B3394" i="10" a="1"/>
  <c r="B3394" i="10" s="1"/>
  <c r="B3395" i="10" a="1"/>
  <c r="B3395" i="10" s="1"/>
  <c r="B3396" i="10" a="1"/>
  <c r="B3396" i="10" s="1"/>
  <c r="B3397" i="10" a="1"/>
  <c r="B3397" i="10" s="1"/>
  <c r="B3398" i="10" a="1"/>
  <c r="B3398" i="10" s="1"/>
  <c r="B3399" i="10" a="1"/>
  <c r="B3399" i="10" s="1"/>
  <c r="B3400" i="10" a="1"/>
  <c r="B3400" i="10" s="1"/>
  <c r="B3401" i="10" a="1"/>
  <c r="B3401" i="10" s="1"/>
  <c r="B3402" i="10" a="1"/>
  <c r="B3402" i="10" s="1"/>
  <c r="B3403" i="10" a="1"/>
  <c r="B3403" i="10" s="1"/>
  <c r="B3404" i="10" a="1"/>
  <c r="B3404" i="10" s="1"/>
  <c r="B3405" i="10" a="1"/>
  <c r="B3405" i="10" s="1"/>
  <c r="B3406" i="10" a="1"/>
  <c r="B3406" i="10" s="1"/>
  <c r="B3407" i="10" a="1"/>
  <c r="B3407" i="10" s="1"/>
  <c r="B3408" i="10" a="1"/>
  <c r="B3408" i="10" s="1"/>
  <c r="B3409" i="10" a="1"/>
  <c r="B3409" i="10" s="1"/>
  <c r="B3410" i="10" a="1"/>
  <c r="B3410" i="10" s="1"/>
  <c r="B3411" i="10" a="1"/>
  <c r="B3411" i="10" s="1"/>
  <c r="B3412" i="10" a="1"/>
  <c r="B3412" i="10" s="1"/>
  <c r="B3413" i="10" a="1"/>
  <c r="B3413" i="10" s="1"/>
  <c r="B3414" i="10" a="1"/>
  <c r="B3414" i="10" s="1"/>
  <c r="B3415" i="10" a="1"/>
  <c r="B3415" i="10" s="1"/>
  <c r="B3416" i="10" a="1"/>
  <c r="B3416" i="10" s="1"/>
  <c r="B3417" i="10" a="1"/>
  <c r="B3417" i="10" s="1"/>
  <c r="B3418" i="10" a="1"/>
  <c r="B3418" i="10" s="1"/>
  <c r="B3419" i="10" a="1"/>
  <c r="B3419" i="10" s="1"/>
  <c r="B3420" i="10" a="1"/>
  <c r="B3420" i="10" s="1"/>
  <c r="B3421" i="10" a="1"/>
  <c r="B3421" i="10" s="1"/>
  <c r="B3422" i="10" a="1"/>
  <c r="B3422" i="10" s="1"/>
  <c r="B3423" i="10" a="1"/>
  <c r="B3423" i="10" s="1"/>
  <c r="B3424" i="10" a="1"/>
  <c r="B3424" i="10" s="1"/>
  <c r="B3425" i="10" a="1"/>
  <c r="B3425" i="10" s="1"/>
  <c r="B3426" i="10" a="1"/>
  <c r="B3426" i="10" s="1"/>
  <c r="B3427" i="10" a="1"/>
  <c r="B3427" i="10" s="1"/>
  <c r="B3428" i="10" a="1"/>
  <c r="B3428" i="10" s="1"/>
  <c r="B3429" i="10" a="1"/>
  <c r="B3429" i="10" s="1"/>
  <c r="B3430" i="10" a="1"/>
  <c r="B3430" i="10" s="1"/>
  <c r="B3431" i="10" a="1"/>
  <c r="B3431" i="10" s="1"/>
  <c r="B3432" i="10" a="1"/>
  <c r="B3432" i="10" s="1"/>
  <c r="B3433" i="10" a="1"/>
  <c r="B3433" i="10" s="1"/>
  <c r="B3434" i="10" a="1"/>
  <c r="B3434" i="10" s="1"/>
  <c r="B3435" i="10" a="1"/>
  <c r="B3435" i="10" s="1"/>
  <c r="B3436" i="10" a="1"/>
  <c r="B3436" i="10" s="1"/>
  <c r="B3437" i="10" a="1"/>
  <c r="B3437" i="10" s="1"/>
  <c r="B3438" i="10" a="1"/>
  <c r="B3438" i="10" s="1"/>
  <c r="B3439" i="10" a="1"/>
  <c r="B3439" i="10" s="1"/>
  <c r="B3440" i="10" a="1"/>
  <c r="B3440" i="10" s="1"/>
  <c r="B3441" i="10" a="1"/>
  <c r="B3441" i="10" s="1"/>
  <c r="B3442" i="10" a="1"/>
  <c r="B3442" i="10" s="1"/>
  <c r="B3443" i="10" a="1"/>
  <c r="B3443" i="10" s="1"/>
  <c r="B3444" i="10" a="1"/>
  <c r="B3444" i="10" s="1"/>
  <c r="B3445" i="10" a="1"/>
  <c r="B3445" i="10" s="1"/>
  <c r="B3446" i="10" a="1"/>
  <c r="B3446" i="10" s="1"/>
  <c r="B3447" i="10" a="1"/>
  <c r="B3447" i="10" s="1"/>
  <c r="B3448" i="10" a="1"/>
  <c r="B3448" i="10" s="1"/>
  <c r="B3449" i="10" a="1"/>
  <c r="B3449" i="10" s="1"/>
  <c r="B3450" i="10" a="1"/>
  <c r="B3450" i="10" s="1"/>
  <c r="B3451" i="10" a="1"/>
  <c r="B3451" i="10" s="1"/>
  <c r="B3452" i="10" a="1"/>
  <c r="B3452" i="10" s="1"/>
  <c r="B3453" i="10" a="1"/>
  <c r="B3453" i="10" s="1"/>
  <c r="B3454" i="10" a="1"/>
  <c r="B3454" i="10" s="1"/>
  <c r="B3455" i="10" a="1"/>
  <c r="B3455" i="10" s="1"/>
  <c r="B3456" i="10" a="1"/>
  <c r="B3456" i="10" s="1"/>
  <c r="B3457" i="10" a="1"/>
  <c r="B3457" i="10" s="1"/>
  <c r="B3458" i="10" a="1"/>
  <c r="B3458" i="10" s="1"/>
  <c r="B3459" i="10" a="1"/>
  <c r="B3459" i="10" s="1"/>
  <c r="B3460" i="10" a="1"/>
  <c r="B3460" i="10" s="1"/>
  <c r="B3461" i="10" a="1"/>
  <c r="B3461" i="10" s="1"/>
  <c r="B3462" i="10" a="1"/>
  <c r="B3462" i="10" s="1"/>
  <c r="B3463" i="10" a="1"/>
  <c r="B3463" i="10" s="1"/>
  <c r="B3464" i="10" a="1"/>
  <c r="B3464" i="10" s="1"/>
  <c r="B3465" i="10" a="1"/>
  <c r="B3465" i="10" s="1"/>
  <c r="B3466" i="10" a="1"/>
  <c r="B3466" i="10" s="1"/>
  <c r="B3467" i="10" a="1"/>
  <c r="B3467" i="10" s="1"/>
  <c r="B3468" i="10" a="1"/>
  <c r="B3468" i="10" s="1"/>
  <c r="B3469" i="10" a="1"/>
  <c r="B3469" i="10" s="1"/>
  <c r="B3470" i="10" a="1"/>
  <c r="B3470" i="10" s="1"/>
  <c r="B3471" i="10" a="1"/>
  <c r="B3471" i="10" s="1"/>
  <c r="B3472" i="10" a="1"/>
  <c r="B3472" i="10" s="1"/>
  <c r="B3473" i="10" a="1"/>
  <c r="B3473" i="10" s="1"/>
  <c r="B3474" i="10" a="1"/>
  <c r="B3474" i="10" s="1"/>
  <c r="B3475" i="10" a="1"/>
  <c r="B3475" i="10" s="1"/>
  <c r="B3476" i="10" a="1"/>
  <c r="B3476" i="10" s="1"/>
  <c r="B3477" i="10" a="1"/>
  <c r="B3477" i="10" s="1"/>
  <c r="B3478" i="10" a="1"/>
  <c r="B3478" i="10" s="1"/>
  <c r="B3479" i="10" a="1"/>
  <c r="B3479" i="10" s="1"/>
  <c r="B3480" i="10" a="1"/>
  <c r="B3480" i="10" s="1"/>
  <c r="B3481" i="10" a="1"/>
  <c r="B3481" i="10" s="1"/>
  <c r="B3482" i="10" a="1"/>
  <c r="B3482" i="10" s="1"/>
  <c r="B3483" i="10" a="1"/>
  <c r="B3483" i="10" s="1"/>
  <c r="B3484" i="10" a="1"/>
  <c r="B3484" i="10" s="1"/>
  <c r="B3485" i="10" a="1"/>
  <c r="B3485" i="10" s="1"/>
  <c r="B3486" i="10" a="1"/>
  <c r="B3486" i="10" s="1"/>
  <c r="B3487" i="10" a="1"/>
  <c r="B3487" i="10" s="1"/>
  <c r="B3488" i="10" a="1"/>
  <c r="B3488" i="10" s="1"/>
  <c r="B3489" i="10" a="1"/>
  <c r="B3489" i="10" s="1"/>
  <c r="B3490" i="10" a="1"/>
  <c r="B3490" i="10" s="1"/>
  <c r="B3491" i="10" a="1"/>
  <c r="B3491" i="10" s="1"/>
  <c r="B3492" i="10" a="1"/>
  <c r="B3492" i="10" s="1"/>
  <c r="B3493" i="10" a="1"/>
  <c r="B3493" i="10" s="1"/>
  <c r="B3494" i="10" a="1"/>
  <c r="B3494" i="10" s="1"/>
  <c r="B3495" i="10" a="1"/>
  <c r="B3495" i="10" s="1"/>
  <c r="B3496" i="10" a="1"/>
  <c r="B3496" i="10" s="1"/>
  <c r="B3497" i="10" a="1"/>
  <c r="B3497" i="10" s="1"/>
  <c r="B3498" i="10" a="1"/>
  <c r="B3498" i="10" s="1"/>
  <c r="B3499" i="10" a="1"/>
  <c r="B3499" i="10" s="1"/>
  <c r="B3500" i="10" a="1"/>
  <c r="B3500" i="10" s="1"/>
  <c r="B3501" i="10" a="1"/>
  <c r="B3501" i="10" s="1"/>
  <c r="B3502" i="10" a="1"/>
  <c r="B3502" i="10" s="1"/>
  <c r="B3503" i="10" a="1"/>
  <c r="B3503" i="10" s="1"/>
  <c r="B3504" i="10" a="1"/>
  <c r="B3504" i="10" s="1"/>
  <c r="B3505" i="10" a="1"/>
  <c r="B3505" i="10" s="1"/>
  <c r="B3506" i="10" a="1"/>
  <c r="B3506" i="10" s="1"/>
  <c r="B3507" i="10" a="1"/>
  <c r="B3507" i="10" s="1"/>
  <c r="B3508" i="10" a="1"/>
  <c r="B3508" i="10" s="1"/>
  <c r="B3509" i="10" a="1"/>
  <c r="B3509" i="10" s="1"/>
  <c r="B3510" i="10" a="1"/>
  <c r="B3510" i="10" s="1"/>
  <c r="B3511" i="10" a="1"/>
  <c r="B3511" i="10" s="1"/>
  <c r="B3512" i="10" a="1"/>
  <c r="B3512" i="10" s="1"/>
  <c r="B3513" i="10" a="1"/>
  <c r="B3513" i="10" s="1"/>
  <c r="B3514" i="10" a="1"/>
  <c r="B3514" i="10" s="1"/>
  <c r="B3515" i="10" a="1"/>
  <c r="B3515" i="10" s="1"/>
  <c r="B3516" i="10" a="1"/>
  <c r="B3516" i="10" s="1"/>
  <c r="B3517" i="10" a="1"/>
  <c r="B3517" i="10" s="1"/>
  <c r="B3518" i="10" a="1"/>
  <c r="B3518" i="10" s="1"/>
  <c r="B3519" i="10" a="1"/>
  <c r="B3519" i="10" s="1"/>
  <c r="B3520" i="10" a="1"/>
  <c r="B3520" i="10" s="1"/>
  <c r="B3521" i="10" a="1"/>
  <c r="B3521" i="10" s="1"/>
  <c r="B3522" i="10" a="1"/>
  <c r="B3522" i="10" s="1"/>
  <c r="B3523" i="10" a="1"/>
  <c r="B3523" i="10" s="1"/>
  <c r="B3524" i="10" a="1"/>
  <c r="B3524" i="10" s="1"/>
  <c r="B3525" i="10" a="1"/>
  <c r="B3525" i="10" s="1"/>
  <c r="B3526" i="10" a="1"/>
  <c r="B3526" i="10" s="1"/>
  <c r="B3527" i="10" a="1"/>
  <c r="B3527" i="10" s="1"/>
  <c r="B3528" i="10" a="1"/>
  <c r="B3528" i="10" s="1"/>
  <c r="B3529" i="10" a="1"/>
  <c r="B3529" i="10" s="1"/>
  <c r="B3530" i="10" a="1"/>
  <c r="B3530" i="10" s="1"/>
  <c r="B3531" i="10" a="1"/>
  <c r="B3531" i="10" s="1"/>
  <c r="B3532" i="10" a="1"/>
  <c r="B3532" i="10" s="1"/>
  <c r="B3533" i="10" a="1"/>
  <c r="B3533" i="10" s="1"/>
  <c r="B3534" i="10" a="1"/>
  <c r="B3534" i="10" s="1"/>
  <c r="B3535" i="10" a="1"/>
  <c r="B3535" i="10" s="1"/>
  <c r="B3536" i="10" a="1"/>
  <c r="B3536" i="10" s="1"/>
  <c r="B3537" i="10" a="1"/>
  <c r="B3537" i="10" s="1"/>
  <c r="B3538" i="10" a="1"/>
  <c r="B3538" i="10" s="1"/>
  <c r="B3539" i="10" a="1"/>
  <c r="B3539" i="10" s="1"/>
  <c r="B3540" i="10" a="1"/>
  <c r="B3540" i="10" s="1"/>
  <c r="B3541" i="10" a="1"/>
  <c r="B3541" i="10" s="1"/>
  <c r="B3542" i="10" a="1"/>
  <c r="B3542" i="10" s="1"/>
  <c r="B3543" i="10" a="1"/>
  <c r="B3543" i="10" s="1"/>
  <c r="B3544" i="10" a="1"/>
  <c r="B3544" i="10" s="1"/>
  <c r="B3545" i="10" a="1"/>
  <c r="B3545" i="10" s="1"/>
  <c r="B3546" i="10" a="1"/>
  <c r="B3546" i="10" s="1"/>
  <c r="B3547" i="10" a="1"/>
  <c r="B3547" i="10" s="1"/>
  <c r="B3548" i="10" a="1"/>
  <c r="B3548" i="10" s="1"/>
  <c r="B3549" i="10" a="1"/>
  <c r="B3549" i="10" s="1"/>
  <c r="B3550" i="10" a="1"/>
  <c r="B3550" i="10" s="1"/>
  <c r="B3551" i="10" a="1"/>
  <c r="B3551" i="10" s="1"/>
  <c r="B3552" i="10" a="1"/>
  <c r="B3552" i="10" s="1"/>
  <c r="B3553" i="10" a="1"/>
  <c r="B3553" i="10" s="1"/>
  <c r="B3554" i="10" a="1"/>
  <c r="B3554" i="10" s="1"/>
  <c r="B3555" i="10" a="1"/>
  <c r="B3555" i="10" s="1"/>
  <c r="B3556" i="10" a="1"/>
  <c r="B3556" i="10" s="1"/>
  <c r="B3557" i="10" a="1"/>
  <c r="B3557" i="10" s="1"/>
  <c r="B3558" i="10" a="1"/>
  <c r="B3558" i="10" s="1"/>
  <c r="B3559" i="10" a="1"/>
  <c r="B3559" i="10" s="1"/>
  <c r="B3560" i="10" a="1"/>
  <c r="B3560" i="10" s="1"/>
  <c r="B3561" i="10" a="1"/>
  <c r="B3561" i="10" s="1"/>
  <c r="B3562" i="10" a="1"/>
  <c r="B3562" i="10" s="1"/>
  <c r="B3563" i="10" a="1"/>
  <c r="B3563" i="10" s="1"/>
  <c r="B3564" i="10" a="1"/>
  <c r="B3564" i="10" s="1"/>
  <c r="B3565" i="10" a="1"/>
  <c r="B3565" i="10" s="1"/>
  <c r="B3566" i="10" a="1"/>
  <c r="B3566" i="10" s="1"/>
  <c r="B3567" i="10" a="1"/>
  <c r="B3567" i="10" s="1"/>
  <c r="B3568" i="10" a="1"/>
  <c r="B3568" i="10" s="1"/>
  <c r="B3569" i="10" a="1"/>
  <c r="B3569" i="10" s="1"/>
  <c r="B3570" i="10" a="1"/>
  <c r="B3570" i="10" s="1"/>
  <c r="B3571" i="10" a="1"/>
  <c r="B3571" i="10" s="1"/>
  <c r="B3572" i="10" a="1"/>
  <c r="B3572" i="10" s="1"/>
  <c r="B3573" i="10" a="1"/>
  <c r="B3573" i="10" s="1"/>
  <c r="B3574" i="10" a="1"/>
  <c r="B3574" i="10" s="1"/>
  <c r="B3575" i="10" a="1"/>
  <c r="B3575" i="10" s="1"/>
  <c r="B3576" i="10" a="1"/>
  <c r="B3576" i="10" s="1"/>
  <c r="B3577" i="10" a="1"/>
  <c r="B3577" i="10" s="1"/>
  <c r="B3578" i="10" a="1"/>
  <c r="B3578" i="10" s="1"/>
  <c r="B3579" i="10" a="1"/>
  <c r="B3579" i="10" s="1"/>
  <c r="B3580" i="10" a="1"/>
  <c r="B3580" i="10" s="1"/>
  <c r="B3581" i="10" a="1"/>
  <c r="B3581" i="10" s="1"/>
  <c r="B3582" i="10" a="1"/>
  <c r="B3582" i="10" s="1"/>
  <c r="B3583" i="10" a="1"/>
  <c r="B3583" i="10" s="1"/>
  <c r="B3584" i="10" a="1"/>
  <c r="B3584" i="10" s="1"/>
  <c r="B3585" i="10" a="1"/>
  <c r="B3585" i="10" s="1"/>
  <c r="B3586" i="10" a="1"/>
  <c r="B3586" i="10" s="1"/>
  <c r="B3587" i="10" a="1"/>
  <c r="B3587" i="10" s="1"/>
  <c r="B3588" i="10" a="1"/>
  <c r="B3588" i="10" s="1"/>
  <c r="B3589" i="10" a="1"/>
  <c r="B3589" i="10" s="1"/>
  <c r="B3590" i="10" a="1"/>
  <c r="B3590" i="10" s="1"/>
  <c r="B3591" i="10" a="1"/>
  <c r="B3591" i="10" s="1"/>
  <c r="B3592" i="10" a="1"/>
  <c r="B3592" i="10" s="1"/>
  <c r="B3593" i="10" a="1"/>
  <c r="B3593" i="10" s="1"/>
  <c r="B3594" i="10" a="1"/>
  <c r="B3594" i="10" s="1"/>
  <c r="B3595" i="10" a="1"/>
  <c r="B3595" i="10" s="1"/>
  <c r="B3596" i="10" a="1"/>
  <c r="B3596" i="10" s="1"/>
  <c r="B3597" i="10" a="1"/>
  <c r="B3597" i="10" s="1"/>
  <c r="B3598" i="10" a="1"/>
  <c r="B3598" i="10" s="1"/>
  <c r="B3599" i="10" a="1"/>
  <c r="B3599" i="10" s="1"/>
  <c r="B3600" i="10" a="1"/>
  <c r="B3600" i="10" s="1"/>
  <c r="B3601" i="10" a="1"/>
  <c r="B3601" i="10" s="1"/>
  <c r="B3602" i="10" a="1"/>
  <c r="B3602" i="10" s="1"/>
  <c r="B3603" i="10" a="1"/>
  <c r="B3603" i="10" s="1"/>
  <c r="B3604" i="10" a="1"/>
  <c r="B3604" i="10" s="1"/>
  <c r="B3605" i="10" a="1"/>
  <c r="B3605" i="10" s="1"/>
  <c r="B3606" i="10" a="1"/>
  <c r="B3606" i="10" s="1"/>
  <c r="B3607" i="10" a="1"/>
  <c r="B3607" i="10" s="1"/>
  <c r="B3608" i="10" a="1"/>
  <c r="B3608" i="10" s="1"/>
  <c r="B3609" i="10" a="1"/>
  <c r="B3609" i="10" s="1"/>
  <c r="B3610" i="10" a="1"/>
  <c r="B3610" i="10" s="1"/>
  <c r="B3611" i="10" a="1"/>
  <c r="B3611" i="10" s="1"/>
  <c r="B3612" i="10" a="1"/>
  <c r="B3612" i="10" s="1"/>
  <c r="B3613" i="10" a="1"/>
  <c r="B3613" i="10" s="1"/>
  <c r="B3614" i="10" a="1"/>
  <c r="B3614" i="10" s="1"/>
  <c r="B3615" i="10" a="1"/>
  <c r="B3615" i="10" s="1"/>
  <c r="B3616" i="10" a="1"/>
  <c r="B3616" i="10" s="1"/>
  <c r="B3617" i="10" a="1"/>
  <c r="B3617" i="10" s="1"/>
  <c r="B3618" i="10" a="1"/>
  <c r="B3618" i="10" s="1"/>
  <c r="B3619" i="10" a="1"/>
  <c r="B3619" i="10" s="1"/>
  <c r="B3620" i="10" a="1"/>
  <c r="B3620" i="10" s="1"/>
  <c r="B3621" i="10" a="1"/>
  <c r="B3621" i="10" s="1"/>
  <c r="B3622" i="10" a="1"/>
  <c r="B3622" i="10" s="1"/>
  <c r="B3623" i="10" a="1"/>
  <c r="B3623" i="10" s="1"/>
  <c r="B3624" i="10" a="1"/>
  <c r="B3624" i="10" s="1"/>
  <c r="B3625" i="10" a="1"/>
  <c r="B3625" i="10" s="1"/>
  <c r="B3626" i="10" a="1"/>
  <c r="B3626" i="10" s="1"/>
  <c r="B3627" i="10" a="1"/>
  <c r="B3627" i="10" s="1"/>
  <c r="B3628" i="10" a="1"/>
  <c r="B3628" i="10" s="1"/>
  <c r="B3629" i="10" a="1"/>
  <c r="B3629" i="10" s="1"/>
  <c r="B3630" i="10" a="1"/>
  <c r="B3630" i="10" s="1"/>
  <c r="B3631" i="10" a="1"/>
  <c r="B3631" i="10" s="1"/>
  <c r="B3632" i="10" a="1"/>
  <c r="B3632" i="10" s="1"/>
  <c r="B3633" i="10" a="1"/>
  <c r="B3633" i="10" s="1"/>
  <c r="B3634" i="10" a="1"/>
  <c r="B3634" i="10" s="1"/>
  <c r="B3635" i="10" a="1"/>
  <c r="B3635" i="10" s="1"/>
  <c r="B3636" i="10" a="1"/>
  <c r="B3636" i="10" s="1"/>
  <c r="B3637" i="10" a="1"/>
  <c r="B3637" i="10" s="1"/>
  <c r="B3638" i="10" a="1"/>
  <c r="B3638" i="10" s="1"/>
  <c r="B3639" i="10" a="1"/>
  <c r="B3639" i="10" s="1"/>
  <c r="B3640" i="10" a="1"/>
  <c r="B3640" i="10" s="1"/>
  <c r="B3641" i="10" a="1"/>
  <c r="B3641" i="10" s="1"/>
  <c r="B3642" i="10" a="1"/>
  <c r="B3642" i="10" s="1"/>
  <c r="B3643" i="10" a="1"/>
  <c r="B3643" i="10" s="1"/>
  <c r="B3644" i="10" a="1"/>
  <c r="B3644" i="10" s="1"/>
  <c r="B3645" i="10" a="1"/>
  <c r="B3645" i="10" s="1"/>
  <c r="B3646" i="10" a="1"/>
  <c r="B3646" i="10" s="1"/>
  <c r="B3647" i="10" a="1"/>
  <c r="B3647" i="10" s="1"/>
  <c r="B3648" i="10" a="1"/>
  <c r="B3648" i="10" s="1"/>
  <c r="B3649" i="10" a="1"/>
  <c r="B3649" i="10" s="1"/>
  <c r="B3650" i="10" a="1"/>
  <c r="B3650" i="10" s="1"/>
  <c r="B3651" i="10" a="1"/>
  <c r="B3651" i="10" s="1"/>
  <c r="B3652" i="10" a="1"/>
  <c r="B3652" i="10" s="1"/>
  <c r="B3653" i="10" a="1"/>
  <c r="B3653" i="10" s="1"/>
  <c r="B3654" i="10" a="1"/>
  <c r="B3654" i="10" s="1"/>
  <c r="B3655" i="10" a="1"/>
  <c r="B3655" i="10" s="1"/>
  <c r="B3656" i="10" a="1"/>
  <c r="B3656" i="10" s="1"/>
  <c r="B3657" i="10" a="1"/>
  <c r="B3657" i="10" s="1"/>
  <c r="B3658" i="10" a="1"/>
  <c r="B3658" i="10" s="1"/>
  <c r="B3659" i="10" a="1"/>
  <c r="B3659" i="10" s="1"/>
  <c r="B3660" i="10" a="1"/>
  <c r="B3660" i="10" s="1"/>
  <c r="B3661" i="10" a="1"/>
  <c r="B3661" i="10" s="1"/>
  <c r="B3662" i="10" a="1"/>
  <c r="B3662" i="10" s="1"/>
  <c r="B3663" i="10" a="1"/>
  <c r="B3663" i="10" s="1"/>
  <c r="B3664" i="10" a="1"/>
  <c r="B3664" i="10" s="1"/>
  <c r="B3665" i="10" a="1"/>
  <c r="B3665" i="10" s="1"/>
  <c r="B3666" i="10" a="1"/>
  <c r="B3666" i="10" s="1"/>
  <c r="B3667" i="10" a="1"/>
  <c r="B3667" i="10" s="1"/>
  <c r="B3668" i="10" a="1"/>
  <c r="B3668" i="10" s="1"/>
  <c r="B3669" i="10" a="1"/>
  <c r="B3669" i="10" s="1"/>
  <c r="B3670" i="10" a="1"/>
  <c r="B3670" i="10" s="1"/>
  <c r="B3671" i="10" a="1"/>
  <c r="B3671" i="10" s="1"/>
  <c r="B3672" i="10" a="1"/>
  <c r="B3672" i="10" s="1"/>
  <c r="B3673" i="10" a="1"/>
  <c r="B3673" i="10" s="1"/>
  <c r="B3674" i="10" a="1"/>
  <c r="B3674" i="10" s="1"/>
  <c r="B3675" i="10" a="1"/>
  <c r="B3675" i="10" s="1"/>
  <c r="B3676" i="10" a="1"/>
  <c r="B3676" i="10" s="1"/>
  <c r="B3677" i="10" a="1"/>
  <c r="B3677" i="10" s="1"/>
  <c r="B3678" i="10" a="1"/>
  <c r="B3678" i="10" s="1"/>
  <c r="B3679" i="10" a="1"/>
  <c r="B3679" i="10" s="1"/>
  <c r="B3680" i="10" a="1"/>
  <c r="B3680" i="10" s="1"/>
  <c r="B3681" i="10" a="1"/>
  <c r="B3681" i="10" s="1"/>
  <c r="B3682" i="10" a="1"/>
  <c r="B3682" i="10" s="1"/>
  <c r="B3683" i="10" a="1"/>
  <c r="B3683" i="10" s="1"/>
  <c r="B3684" i="10" a="1"/>
  <c r="B3684" i="10" s="1"/>
  <c r="B3685" i="10" a="1"/>
  <c r="B3685" i="10" s="1"/>
  <c r="B3686" i="10" a="1"/>
  <c r="B3686" i="10" s="1"/>
  <c r="B3687" i="10" a="1"/>
  <c r="B3687" i="10" s="1"/>
  <c r="B3688" i="10" a="1"/>
  <c r="B3688" i="10" s="1"/>
  <c r="B3689" i="10" a="1"/>
  <c r="B3689" i="10" s="1"/>
  <c r="B3690" i="10" a="1"/>
  <c r="B3690" i="10" s="1"/>
  <c r="B3691" i="10" a="1"/>
  <c r="B3691" i="10" s="1"/>
  <c r="B3692" i="10" a="1"/>
  <c r="B3692" i="10" s="1"/>
  <c r="B3693" i="10" a="1"/>
  <c r="B3693" i="10" s="1"/>
  <c r="B3694" i="10" a="1"/>
  <c r="B3694" i="10" s="1"/>
  <c r="B3695" i="10" a="1"/>
  <c r="B3695" i="10" s="1"/>
  <c r="B3696" i="10" a="1"/>
  <c r="B3696" i="10" s="1"/>
  <c r="B3697" i="10" a="1"/>
  <c r="B3697" i="10" s="1"/>
  <c r="B3698" i="10" a="1"/>
  <c r="B3698" i="10" s="1"/>
  <c r="B3699" i="10" a="1"/>
  <c r="B3699" i="10" s="1"/>
  <c r="B3700" i="10" a="1"/>
  <c r="B3700" i="10" s="1"/>
  <c r="B3701" i="10" a="1"/>
  <c r="B3701" i="10" s="1"/>
  <c r="B3702" i="10" a="1"/>
  <c r="B3702" i="10" s="1"/>
  <c r="B3703" i="10" a="1"/>
  <c r="B3703" i="10" s="1"/>
  <c r="B3704" i="10" a="1"/>
  <c r="B3704" i="10" s="1"/>
  <c r="B3705" i="10" a="1"/>
  <c r="B3705" i="10" s="1"/>
  <c r="B3706" i="10" a="1"/>
  <c r="B3706" i="10" s="1"/>
  <c r="B3707" i="10" a="1"/>
  <c r="B3707" i="10" s="1"/>
  <c r="B3708" i="10" a="1"/>
  <c r="B3708" i="10" s="1"/>
  <c r="B3709" i="10" a="1"/>
  <c r="B3709" i="10" s="1"/>
  <c r="B3710" i="10" a="1"/>
  <c r="B3710" i="10" s="1"/>
  <c r="B3711" i="10" a="1"/>
  <c r="B3711" i="10" s="1"/>
  <c r="B3712" i="10" a="1"/>
  <c r="B3712" i="10" s="1"/>
  <c r="B3713" i="10" a="1"/>
  <c r="B3713" i="10" s="1"/>
  <c r="B3714" i="10" a="1"/>
  <c r="B3714" i="10" s="1"/>
  <c r="B3715" i="10" a="1"/>
  <c r="B3715" i="10" s="1"/>
  <c r="B3716" i="10" a="1"/>
  <c r="B3716" i="10" s="1"/>
  <c r="B3717" i="10" a="1"/>
  <c r="B3717" i="10" s="1"/>
  <c r="B3718" i="10" a="1"/>
  <c r="B3718" i="10" s="1"/>
  <c r="B3719" i="10" a="1"/>
  <c r="B3719" i="10" s="1"/>
  <c r="B3720" i="10" a="1"/>
  <c r="B3720" i="10" s="1"/>
  <c r="B3721" i="10" a="1"/>
  <c r="B3721" i="10" s="1"/>
  <c r="B3722" i="10" a="1"/>
  <c r="B3722" i="10" s="1"/>
  <c r="B2" i="10" a="1"/>
  <c r="B2" i="10" s="1"/>
  <c r="A3722" i="10" a="1"/>
  <c r="A3722" i="10" s="1"/>
  <c r="A3" i="10" a="1"/>
  <c r="A3" i="10" s="1"/>
  <c r="A4" i="10" a="1"/>
  <c r="A4" i="10" s="1"/>
  <c r="A5" i="10" a="1"/>
  <c r="A5" i="10" s="1"/>
  <c r="A6" i="10" a="1"/>
  <c r="A6" i="10" s="1"/>
  <c r="A7" i="10" a="1"/>
  <c r="A7" i="10" s="1"/>
  <c r="A8" i="10" a="1"/>
  <c r="A8" i="10" s="1"/>
  <c r="A9" i="10" a="1"/>
  <c r="A9" i="10" s="1"/>
  <c r="A10" i="10" a="1"/>
  <c r="A10" i="10" s="1"/>
  <c r="A11" i="10" a="1"/>
  <c r="A11" i="10" s="1"/>
  <c r="A12" i="10" a="1"/>
  <c r="A12" i="10" s="1"/>
  <c r="A13" i="10" a="1"/>
  <c r="A13" i="10" s="1"/>
  <c r="A14" i="10" a="1"/>
  <c r="A14" i="10" s="1"/>
  <c r="A15" i="10" a="1"/>
  <c r="A15" i="10" s="1"/>
  <c r="A16" i="10" a="1"/>
  <c r="A16" i="10" s="1"/>
  <c r="A17" i="10" a="1"/>
  <c r="A17" i="10" s="1"/>
  <c r="A18" i="10" a="1"/>
  <c r="A18" i="10" s="1"/>
  <c r="A19" i="10" a="1"/>
  <c r="A19" i="10" s="1"/>
  <c r="A20" i="10" a="1"/>
  <c r="A20" i="10" s="1"/>
  <c r="A21" i="10" a="1"/>
  <c r="A21" i="10" s="1"/>
  <c r="A22" i="10" a="1"/>
  <c r="A22" i="10" s="1"/>
  <c r="A23" i="10" a="1"/>
  <c r="A23" i="10" s="1"/>
  <c r="A24" i="10" a="1"/>
  <c r="A24" i="10" s="1"/>
  <c r="A25" i="10" a="1"/>
  <c r="A25" i="10" s="1"/>
  <c r="A26" i="10" a="1"/>
  <c r="A26" i="10" s="1"/>
  <c r="A27" i="10" a="1"/>
  <c r="A27" i="10" s="1"/>
  <c r="A28" i="10" a="1"/>
  <c r="A28" i="10" s="1"/>
  <c r="A29" i="10" a="1"/>
  <c r="A29" i="10" s="1"/>
  <c r="A30" i="10" a="1"/>
  <c r="A30" i="10" s="1"/>
  <c r="A31" i="10" a="1"/>
  <c r="A31" i="10" s="1"/>
  <c r="A32" i="10" a="1"/>
  <c r="A32" i="10" s="1"/>
  <c r="A33" i="10" a="1"/>
  <c r="A33" i="10" s="1"/>
  <c r="A34" i="10" a="1"/>
  <c r="A34" i="10" s="1"/>
  <c r="A35" i="10" a="1"/>
  <c r="A35" i="10" s="1"/>
  <c r="A36" i="10" a="1"/>
  <c r="A36" i="10" s="1"/>
  <c r="A37" i="10" a="1"/>
  <c r="A37" i="10" s="1"/>
  <c r="A38" i="10" a="1"/>
  <c r="A38" i="10" s="1"/>
  <c r="A39" i="10" a="1"/>
  <c r="A39" i="10" s="1"/>
  <c r="A40" i="10" a="1"/>
  <c r="A40" i="10" s="1"/>
  <c r="A41" i="10" a="1"/>
  <c r="A41" i="10" s="1"/>
  <c r="A42" i="10" a="1"/>
  <c r="A42" i="10" s="1"/>
  <c r="A43" i="10" a="1"/>
  <c r="A43" i="10" s="1"/>
  <c r="A44" i="10" a="1"/>
  <c r="A44" i="10" s="1"/>
  <c r="A45" i="10" a="1"/>
  <c r="A45" i="10" s="1"/>
  <c r="A46" i="10" a="1"/>
  <c r="A46" i="10" s="1"/>
  <c r="A47" i="10" a="1"/>
  <c r="A47" i="10" s="1"/>
  <c r="A48" i="10" a="1"/>
  <c r="A48" i="10" s="1"/>
  <c r="A49" i="10" a="1"/>
  <c r="A49" i="10" s="1"/>
  <c r="A50" i="10" a="1"/>
  <c r="A50" i="10" s="1"/>
  <c r="A51" i="10" a="1"/>
  <c r="A51" i="10" s="1"/>
  <c r="A52" i="10" a="1"/>
  <c r="A52" i="10" s="1"/>
  <c r="A53" i="10" a="1"/>
  <c r="A53" i="10" s="1"/>
  <c r="A54" i="10" a="1"/>
  <c r="A54" i="10" s="1"/>
  <c r="A55" i="10" a="1"/>
  <c r="A55" i="10" s="1"/>
  <c r="A56" i="10" a="1"/>
  <c r="A56" i="10" s="1"/>
  <c r="A57" i="10" a="1"/>
  <c r="A57" i="10" s="1"/>
  <c r="A58" i="10" a="1"/>
  <c r="A58" i="10" s="1"/>
  <c r="A59" i="10" a="1"/>
  <c r="A59" i="10" s="1"/>
  <c r="A60" i="10" a="1"/>
  <c r="A60" i="10" s="1"/>
  <c r="A61" i="10" a="1"/>
  <c r="A61" i="10" s="1"/>
  <c r="A62" i="10" a="1"/>
  <c r="A62" i="10" s="1"/>
  <c r="A63" i="10" a="1"/>
  <c r="A63" i="10" s="1"/>
  <c r="A64" i="10" a="1"/>
  <c r="A64" i="10" s="1"/>
  <c r="A65" i="10" a="1"/>
  <c r="A65" i="10" s="1"/>
  <c r="A66" i="10" a="1"/>
  <c r="A66" i="10" s="1"/>
  <c r="A67" i="10" a="1"/>
  <c r="A67" i="10" s="1"/>
  <c r="A68" i="10" a="1"/>
  <c r="A68" i="10" s="1"/>
  <c r="A69" i="10" a="1"/>
  <c r="A69" i="10" s="1"/>
  <c r="A70" i="10" a="1"/>
  <c r="A70" i="10" s="1"/>
  <c r="A71" i="10" a="1"/>
  <c r="A71" i="10" s="1"/>
  <c r="A72" i="10" a="1"/>
  <c r="A72" i="10" s="1"/>
  <c r="A73" i="10" a="1"/>
  <c r="A73" i="10" s="1"/>
  <c r="A74" i="10" a="1"/>
  <c r="A74" i="10" s="1"/>
  <c r="A75" i="10" a="1"/>
  <c r="A75" i="10" s="1"/>
  <c r="A76" i="10" a="1"/>
  <c r="A76" i="10" s="1"/>
  <c r="A77" i="10" a="1"/>
  <c r="A77" i="10" s="1"/>
  <c r="A78" i="10" a="1"/>
  <c r="A78" i="10" s="1"/>
  <c r="A79" i="10" a="1"/>
  <c r="A79" i="10" s="1"/>
  <c r="A80" i="10" a="1"/>
  <c r="A80" i="10" s="1"/>
  <c r="A81" i="10" a="1"/>
  <c r="A81" i="10" s="1"/>
  <c r="A82" i="10" a="1"/>
  <c r="A82" i="10" s="1"/>
  <c r="A83" i="10" a="1"/>
  <c r="A83" i="10" s="1"/>
  <c r="A84" i="10" a="1"/>
  <c r="A84" i="10" s="1"/>
  <c r="A85" i="10" a="1"/>
  <c r="A85" i="10" s="1"/>
  <c r="A86" i="10" a="1"/>
  <c r="A86" i="10" s="1"/>
  <c r="A87" i="10" a="1"/>
  <c r="A87" i="10" s="1"/>
  <c r="A88" i="10" a="1"/>
  <c r="A88" i="10" s="1"/>
  <c r="A89" i="10" a="1"/>
  <c r="A89" i="10" s="1"/>
  <c r="A90" i="10" a="1"/>
  <c r="A90" i="10" s="1"/>
  <c r="A91" i="10" a="1"/>
  <c r="A91" i="10" s="1"/>
  <c r="A92" i="10" a="1"/>
  <c r="A92" i="10" s="1"/>
  <c r="A93" i="10" a="1"/>
  <c r="A93" i="10" s="1"/>
  <c r="A94" i="10" a="1"/>
  <c r="A94" i="10" s="1"/>
  <c r="A95" i="10" a="1"/>
  <c r="A95" i="10" s="1"/>
  <c r="A96" i="10" a="1"/>
  <c r="A96" i="10" s="1"/>
  <c r="A97" i="10" a="1"/>
  <c r="A97" i="10" s="1"/>
  <c r="A98" i="10" a="1"/>
  <c r="A98" i="10" s="1"/>
  <c r="A99" i="10" a="1"/>
  <c r="A99" i="10" s="1"/>
  <c r="A100" i="10" a="1"/>
  <c r="A100" i="10" s="1"/>
  <c r="A101" i="10" a="1"/>
  <c r="A101" i="10" s="1"/>
  <c r="A102" i="10" a="1"/>
  <c r="A102" i="10" s="1"/>
  <c r="A103" i="10" a="1"/>
  <c r="A103" i="10" s="1"/>
  <c r="A104" i="10" a="1"/>
  <c r="A104" i="10" s="1"/>
  <c r="A105" i="10" a="1"/>
  <c r="A105" i="10" s="1"/>
  <c r="A106" i="10" a="1"/>
  <c r="A106" i="10" s="1"/>
  <c r="A107" i="10" a="1"/>
  <c r="A107" i="10" s="1"/>
  <c r="A108" i="10" a="1"/>
  <c r="A108" i="10" s="1"/>
  <c r="A109" i="10" a="1"/>
  <c r="A109" i="10" s="1"/>
  <c r="A110" i="10" a="1"/>
  <c r="A110" i="10" s="1"/>
  <c r="A111" i="10" a="1"/>
  <c r="A111" i="10" s="1"/>
  <c r="A112" i="10" a="1"/>
  <c r="A112" i="10" s="1"/>
  <c r="A113" i="10" a="1"/>
  <c r="A113" i="10" s="1"/>
  <c r="A114" i="10" a="1"/>
  <c r="A114" i="10" s="1"/>
  <c r="A115" i="10" a="1"/>
  <c r="A115" i="10" s="1"/>
  <c r="A116" i="10" a="1"/>
  <c r="A116" i="10" s="1"/>
  <c r="A117" i="10" a="1"/>
  <c r="A117" i="10" s="1"/>
  <c r="A118" i="10" a="1"/>
  <c r="A118" i="10" s="1"/>
  <c r="A119" i="10" a="1"/>
  <c r="A119" i="10" s="1"/>
  <c r="A120" i="10" a="1"/>
  <c r="A120" i="10" s="1"/>
  <c r="A121" i="10" a="1"/>
  <c r="A121" i="10" s="1"/>
  <c r="A122" i="10" a="1"/>
  <c r="A122" i="10" s="1"/>
  <c r="A123" i="10" a="1"/>
  <c r="A123" i="10" s="1"/>
  <c r="A124" i="10" a="1"/>
  <c r="A124" i="10" s="1"/>
  <c r="A125" i="10" a="1"/>
  <c r="A125" i="10" s="1"/>
  <c r="A126" i="10" a="1"/>
  <c r="A126" i="10" s="1"/>
  <c r="A127" i="10" a="1"/>
  <c r="A127" i="10" s="1"/>
  <c r="A128" i="10" a="1"/>
  <c r="A128" i="10" s="1"/>
  <c r="A129" i="10" a="1"/>
  <c r="A129" i="10" s="1"/>
  <c r="A130" i="10" a="1"/>
  <c r="A130" i="10" s="1"/>
  <c r="A131" i="10" a="1"/>
  <c r="A131" i="10" s="1"/>
  <c r="A132" i="10" a="1"/>
  <c r="A132" i="10" s="1"/>
  <c r="A133" i="10" a="1"/>
  <c r="A133" i="10" s="1"/>
  <c r="A134" i="10" a="1"/>
  <c r="A134" i="10" s="1"/>
  <c r="A135" i="10" a="1"/>
  <c r="A135" i="10" s="1"/>
  <c r="A136" i="10" a="1"/>
  <c r="A136" i="10" s="1"/>
  <c r="A137" i="10" a="1"/>
  <c r="A137" i="10" s="1"/>
  <c r="A138" i="10" a="1"/>
  <c r="A138" i="10" s="1"/>
  <c r="A139" i="10" a="1"/>
  <c r="A139" i="10" s="1"/>
  <c r="A140" i="10" a="1"/>
  <c r="A140" i="10" s="1"/>
  <c r="A141" i="10" a="1"/>
  <c r="A141" i="10" s="1"/>
  <c r="A142" i="10" a="1"/>
  <c r="A142" i="10" s="1"/>
  <c r="A143" i="10" a="1"/>
  <c r="A143" i="10" s="1"/>
  <c r="A144" i="10" a="1"/>
  <c r="A144" i="10" s="1"/>
  <c r="A145" i="10" a="1"/>
  <c r="A145" i="10" s="1"/>
  <c r="A146" i="10" a="1"/>
  <c r="A146" i="10" s="1"/>
  <c r="A147" i="10" a="1"/>
  <c r="A147" i="10" s="1"/>
  <c r="A148" i="10" a="1"/>
  <c r="A148" i="10" s="1"/>
  <c r="A149" i="10" a="1"/>
  <c r="A149" i="10" s="1"/>
  <c r="A150" i="10" a="1"/>
  <c r="A150" i="10" s="1"/>
  <c r="A151" i="10" a="1"/>
  <c r="A151" i="10" s="1"/>
  <c r="A152" i="10" a="1"/>
  <c r="A152" i="10" s="1"/>
  <c r="A153" i="10" a="1"/>
  <c r="A153" i="10" s="1"/>
  <c r="A154" i="10" a="1"/>
  <c r="A154" i="10" s="1"/>
  <c r="A155" i="10" a="1"/>
  <c r="A155" i="10" s="1"/>
  <c r="A156" i="10" a="1"/>
  <c r="A156" i="10" s="1"/>
  <c r="A157" i="10" a="1"/>
  <c r="A157" i="10" s="1"/>
  <c r="A158" i="10" a="1"/>
  <c r="A158" i="10" s="1"/>
  <c r="A159" i="10" a="1"/>
  <c r="A159" i="10" s="1"/>
  <c r="A160" i="10" a="1"/>
  <c r="A160" i="10" s="1"/>
  <c r="A161" i="10" a="1"/>
  <c r="A161" i="10" s="1"/>
  <c r="A162" i="10" a="1"/>
  <c r="A162" i="10" s="1"/>
  <c r="A163" i="10" a="1"/>
  <c r="A163" i="10" s="1"/>
  <c r="A164" i="10" a="1"/>
  <c r="A164" i="10" s="1"/>
  <c r="A165" i="10" a="1"/>
  <c r="A165" i="10" s="1"/>
  <c r="A166" i="10" a="1"/>
  <c r="A166" i="10" s="1"/>
  <c r="A167" i="10" a="1"/>
  <c r="A167" i="10" s="1"/>
  <c r="A168" i="10" a="1"/>
  <c r="A168" i="10" s="1"/>
  <c r="A169" i="10" a="1"/>
  <c r="A169" i="10" s="1"/>
  <c r="A170" i="10" a="1"/>
  <c r="A170" i="10" s="1"/>
  <c r="A171" i="10" a="1"/>
  <c r="A171" i="10" s="1"/>
  <c r="A172" i="10" a="1"/>
  <c r="A172" i="10" s="1"/>
  <c r="A173" i="10" a="1"/>
  <c r="A173" i="10" s="1"/>
  <c r="A174" i="10" a="1"/>
  <c r="A174" i="10" s="1"/>
  <c r="A175" i="10" a="1"/>
  <c r="A175" i="10" s="1"/>
  <c r="A176" i="10" a="1"/>
  <c r="A176" i="10" s="1"/>
  <c r="A177" i="10" a="1"/>
  <c r="A177" i="10" s="1"/>
  <c r="A178" i="10" a="1"/>
  <c r="A178" i="10" s="1"/>
  <c r="A179" i="10" a="1"/>
  <c r="A179" i="10" s="1"/>
  <c r="A180" i="10" a="1"/>
  <c r="A180" i="10" s="1"/>
  <c r="A181" i="10" a="1"/>
  <c r="A181" i="10" s="1"/>
  <c r="A182" i="10" a="1"/>
  <c r="A182" i="10" s="1"/>
  <c r="A183" i="10" a="1"/>
  <c r="A183" i="10" s="1"/>
  <c r="A184" i="10" a="1"/>
  <c r="A184" i="10" s="1"/>
  <c r="A185" i="10" a="1"/>
  <c r="A185" i="10" s="1"/>
  <c r="A186" i="10" a="1"/>
  <c r="A186" i="10" s="1"/>
  <c r="A187" i="10" a="1"/>
  <c r="A187" i="10" s="1"/>
  <c r="A188" i="10" a="1"/>
  <c r="A188" i="10" s="1"/>
  <c r="A189" i="10" a="1"/>
  <c r="A189" i="10" s="1"/>
  <c r="A190" i="10" a="1"/>
  <c r="A190" i="10" s="1"/>
  <c r="A191" i="10" a="1"/>
  <c r="A191" i="10" s="1"/>
  <c r="A192" i="10" a="1"/>
  <c r="A192" i="10" s="1"/>
  <c r="A193" i="10" a="1"/>
  <c r="A193" i="10" s="1"/>
  <c r="A194" i="10" a="1"/>
  <c r="A194" i="10" s="1"/>
  <c r="A195" i="10" a="1"/>
  <c r="A195" i="10" s="1"/>
  <c r="A196" i="10" a="1"/>
  <c r="A196" i="10" s="1"/>
  <c r="A197" i="10" a="1"/>
  <c r="A197" i="10" s="1"/>
  <c r="A198" i="10" a="1"/>
  <c r="A198" i="10" s="1"/>
  <c r="A199" i="10" a="1"/>
  <c r="A199" i="10" s="1"/>
  <c r="A200" i="10" a="1"/>
  <c r="A200" i="10" s="1"/>
  <c r="A201" i="10" a="1"/>
  <c r="A201" i="10" s="1"/>
  <c r="A202" i="10" a="1"/>
  <c r="A202" i="10" s="1"/>
  <c r="A203" i="10" a="1"/>
  <c r="A203" i="10" s="1"/>
  <c r="A204" i="10" a="1"/>
  <c r="A204" i="10" s="1"/>
  <c r="A205" i="10" a="1"/>
  <c r="A205" i="10" s="1"/>
  <c r="A206" i="10" a="1"/>
  <c r="A206" i="10" s="1"/>
  <c r="A207" i="10" a="1"/>
  <c r="A207" i="10" s="1"/>
  <c r="A208" i="10" a="1"/>
  <c r="A208" i="10" s="1"/>
  <c r="A209" i="10" a="1"/>
  <c r="A209" i="10" s="1"/>
  <c r="A210" i="10" a="1"/>
  <c r="A210" i="10" s="1"/>
  <c r="A211" i="10" a="1"/>
  <c r="A211" i="10" s="1"/>
  <c r="A212" i="10" a="1"/>
  <c r="A212" i="10" s="1"/>
  <c r="A213" i="10" a="1"/>
  <c r="A213" i="10" s="1"/>
  <c r="A214" i="10" a="1"/>
  <c r="A214" i="10" s="1"/>
  <c r="A215" i="10" a="1"/>
  <c r="A215" i="10" s="1"/>
  <c r="A216" i="10" a="1"/>
  <c r="A216" i="10" s="1"/>
  <c r="A217" i="10" a="1"/>
  <c r="A217" i="10" s="1"/>
  <c r="A218" i="10" a="1"/>
  <c r="A218" i="10" s="1"/>
  <c r="A219" i="10" a="1"/>
  <c r="A219" i="10" s="1"/>
  <c r="A220" i="10" a="1"/>
  <c r="A220" i="10" s="1"/>
  <c r="A221" i="10" a="1"/>
  <c r="A221" i="10" s="1"/>
  <c r="A222" i="10" a="1"/>
  <c r="A222" i="10" s="1"/>
  <c r="A223" i="10" a="1"/>
  <c r="A223" i="10" s="1"/>
  <c r="A224" i="10" a="1"/>
  <c r="A224" i="10" s="1"/>
  <c r="A225" i="10" a="1"/>
  <c r="A225" i="10" s="1"/>
  <c r="A226" i="10" a="1"/>
  <c r="A226" i="10" s="1"/>
  <c r="A227" i="10" a="1"/>
  <c r="A227" i="10" s="1"/>
  <c r="A228" i="10" a="1"/>
  <c r="A228" i="10" s="1"/>
  <c r="A229" i="10" a="1"/>
  <c r="A229" i="10" s="1"/>
  <c r="A230" i="10" a="1"/>
  <c r="A230" i="10" s="1"/>
  <c r="A231" i="10" a="1"/>
  <c r="A231" i="10" s="1"/>
  <c r="A232" i="10" a="1"/>
  <c r="A232" i="10" s="1"/>
  <c r="A233" i="10" a="1"/>
  <c r="A233" i="10" s="1"/>
  <c r="A234" i="10" a="1"/>
  <c r="A234" i="10" s="1"/>
  <c r="A235" i="10" a="1"/>
  <c r="A235" i="10" s="1"/>
  <c r="A236" i="10" a="1"/>
  <c r="A236" i="10" s="1"/>
  <c r="A237" i="10" a="1"/>
  <c r="A237" i="10" s="1"/>
  <c r="A238" i="10" a="1"/>
  <c r="A238" i="10" s="1"/>
  <c r="A239" i="10" a="1"/>
  <c r="A239" i="10" s="1"/>
  <c r="A240" i="10" a="1"/>
  <c r="A240" i="10" s="1"/>
  <c r="A241" i="10" a="1"/>
  <c r="A241" i="10" s="1"/>
  <c r="A242" i="10" a="1"/>
  <c r="A242" i="10" s="1"/>
  <c r="A243" i="10" a="1"/>
  <c r="A243" i="10" s="1"/>
  <c r="A244" i="10" a="1"/>
  <c r="A244" i="10" s="1"/>
  <c r="A245" i="10" a="1"/>
  <c r="A245" i="10" s="1"/>
  <c r="A246" i="10" a="1"/>
  <c r="A246" i="10" s="1"/>
  <c r="A247" i="10" a="1"/>
  <c r="A247" i="10" s="1"/>
  <c r="A248" i="10" a="1"/>
  <c r="A248" i="10" s="1"/>
  <c r="A249" i="10" a="1"/>
  <c r="A249" i="10" s="1"/>
  <c r="A250" i="10" a="1"/>
  <c r="A250" i="10" s="1"/>
  <c r="A251" i="10" a="1"/>
  <c r="A251" i="10" s="1"/>
  <c r="A252" i="10" a="1"/>
  <c r="A252" i="10" s="1"/>
  <c r="A253" i="10" a="1"/>
  <c r="A253" i="10" s="1"/>
  <c r="A254" i="10" a="1"/>
  <c r="A254" i="10" s="1"/>
  <c r="A255" i="10" a="1"/>
  <c r="A255" i="10" s="1"/>
  <c r="A256" i="10" a="1"/>
  <c r="A256" i="10" s="1"/>
  <c r="A257" i="10" a="1"/>
  <c r="A257" i="10" s="1"/>
  <c r="A258" i="10" a="1"/>
  <c r="A258" i="10" s="1"/>
  <c r="A259" i="10" a="1"/>
  <c r="A259" i="10" s="1"/>
  <c r="A260" i="10" a="1"/>
  <c r="A260" i="10" s="1"/>
  <c r="A261" i="10" a="1"/>
  <c r="A261" i="10" s="1"/>
  <c r="A262" i="10" a="1"/>
  <c r="A262" i="10" s="1"/>
  <c r="A263" i="10" a="1"/>
  <c r="A263" i="10" s="1"/>
  <c r="A264" i="10" a="1"/>
  <c r="A264" i="10" s="1"/>
  <c r="A265" i="10" a="1"/>
  <c r="A265" i="10" s="1"/>
  <c r="A266" i="10" a="1"/>
  <c r="A266" i="10" s="1"/>
  <c r="A267" i="10" a="1"/>
  <c r="A267" i="10" s="1"/>
  <c r="A268" i="10" a="1"/>
  <c r="A268" i="10" s="1"/>
  <c r="A269" i="10" a="1"/>
  <c r="A269" i="10" s="1"/>
  <c r="A270" i="10" a="1"/>
  <c r="A270" i="10" s="1"/>
  <c r="A271" i="10" a="1"/>
  <c r="A271" i="10" s="1"/>
  <c r="A272" i="10" a="1"/>
  <c r="A272" i="10" s="1"/>
  <c r="A273" i="10" a="1"/>
  <c r="A273" i="10" s="1"/>
  <c r="A274" i="10" a="1"/>
  <c r="A274" i="10" s="1"/>
  <c r="A275" i="10" a="1"/>
  <c r="A275" i="10" s="1"/>
  <c r="A276" i="10" a="1"/>
  <c r="A276" i="10" s="1"/>
  <c r="A277" i="10" a="1"/>
  <c r="A277" i="10" s="1"/>
  <c r="A278" i="10" a="1"/>
  <c r="A278" i="10" s="1"/>
  <c r="A279" i="10" a="1"/>
  <c r="A279" i="10" s="1"/>
  <c r="A280" i="10" a="1"/>
  <c r="A280" i="10" s="1"/>
  <c r="A281" i="10" a="1"/>
  <c r="A281" i="10" s="1"/>
  <c r="A282" i="10" a="1"/>
  <c r="A282" i="10" s="1"/>
  <c r="A283" i="10" a="1"/>
  <c r="A283" i="10" s="1"/>
  <c r="A284" i="10" a="1"/>
  <c r="A284" i="10" s="1"/>
  <c r="A285" i="10" a="1"/>
  <c r="A285" i="10" s="1"/>
  <c r="A286" i="10" a="1"/>
  <c r="A286" i="10" s="1"/>
  <c r="A287" i="10" a="1"/>
  <c r="A287" i="10" s="1"/>
  <c r="A288" i="10" a="1"/>
  <c r="A288" i="10" s="1"/>
  <c r="A289" i="10" a="1"/>
  <c r="A289" i="10" s="1"/>
  <c r="A290" i="10" a="1"/>
  <c r="A290" i="10" s="1"/>
  <c r="A291" i="10" a="1"/>
  <c r="A291" i="10" s="1"/>
  <c r="A292" i="10" a="1"/>
  <c r="A292" i="10" s="1"/>
  <c r="A293" i="10" a="1"/>
  <c r="A293" i="10" s="1"/>
  <c r="A294" i="10" a="1"/>
  <c r="A294" i="10" s="1"/>
  <c r="A295" i="10" a="1"/>
  <c r="A295" i="10" s="1"/>
  <c r="A296" i="10" a="1"/>
  <c r="A296" i="10" s="1"/>
  <c r="A297" i="10" a="1"/>
  <c r="A297" i="10" s="1"/>
  <c r="A298" i="10" a="1"/>
  <c r="A298" i="10" s="1"/>
  <c r="A299" i="10" a="1"/>
  <c r="A299" i="10" s="1"/>
  <c r="A300" i="10" a="1"/>
  <c r="A300" i="10" s="1"/>
  <c r="A301" i="10" a="1"/>
  <c r="A301" i="10" s="1"/>
  <c r="A302" i="10" a="1"/>
  <c r="A302" i="10" s="1"/>
  <c r="A303" i="10" a="1"/>
  <c r="A303" i="10" s="1"/>
  <c r="A304" i="10" a="1"/>
  <c r="A304" i="10" s="1"/>
  <c r="A305" i="10" a="1"/>
  <c r="A305" i="10" s="1"/>
  <c r="A306" i="10" a="1"/>
  <c r="A306" i="10" s="1"/>
  <c r="A307" i="10" a="1"/>
  <c r="A307" i="10" s="1"/>
  <c r="A308" i="10" a="1"/>
  <c r="A308" i="10" s="1"/>
  <c r="A309" i="10" a="1"/>
  <c r="A309" i="10" s="1"/>
  <c r="A310" i="10" a="1"/>
  <c r="A310" i="10" s="1"/>
  <c r="A311" i="10" a="1"/>
  <c r="A311" i="10" s="1"/>
  <c r="A312" i="10" a="1"/>
  <c r="A312" i="10" s="1"/>
  <c r="A313" i="10" a="1"/>
  <c r="A313" i="10" s="1"/>
  <c r="A314" i="10" a="1"/>
  <c r="A314" i="10" s="1"/>
  <c r="A315" i="10" a="1"/>
  <c r="A315" i="10" s="1"/>
  <c r="A316" i="10" a="1"/>
  <c r="A316" i="10" s="1"/>
  <c r="A317" i="10" a="1"/>
  <c r="A317" i="10" s="1"/>
  <c r="A318" i="10" a="1"/>
  <c r="A318" i="10" s="1"/>
  <c r="A319" i="10" a="1"/>
  <c r="A319" i="10" s="1"/>
  <c r="A320" i="10" a="1"/>
  <c r="A320" i="10" s="1"/>
  <c r="A321" i="10" a="1"/>
  <c r="A321" i="10" s="1"/>
  <c r="A322" i="10" a="1"/>
  <c r="A322" i="10" s="1"/>
  <c r="A323" i="10" a="1"/>
  <c r="A323" i="10" s="1"/>
  <c r="A324" i="10" a="1"/>
  <c r="A324" i="10" s="1"/>
  <c r="A325" i="10" a="1"/>
  <c r="A325" i="10" s="1"/>
  <c r="A326" i="10" a="1"/>
  <c r="A326" i="10" s="1"/>
  <c r="A327" i="10" a="1"/>
  <c r="A327" i="10" s="1"/>
  <c r="A328" i="10" a="1"/>
  <c r="A328" i="10" s="1"/>
  <c r="A329" i="10" a="1"/>
  <c r="A329" i="10" s="1"/>
  <c r="A330" i="10" a="1"/>
  <c r="A330" i="10" s="1"/>
  <c r="A331" i="10" a="1"/>
  <c r="A331" i="10" s="1"/>
  <c r="A332" i="10" a="1"/>
  <c r="A332" i="10" s="1"/>
  <c r="A333" i="10" a="1"/>
  <c r="A333" i="10" s="1"/>
  <c r="A334" i="10" a="1"/>
  <c r="A334" i="10" s="1"/>
  <c r="A335" i="10" a="1"/>
  <c r="A335" i="10" s="1"/>
  <c r="A336" i="10" a="1"/>
  <c r="A336" i="10" s="1"/>
  <c r="A337" i="10" a="1"/>
  <c r="A337" i="10" s="1"/>
  <c r="A338" i="10" a="1"/>
  <c r="A338" i="10" s="1"/>
  <c r="A339" i="10" a="1"/>
  <c r="A339" i="10" s="1"/>
  <c r="A340" i="10" a="1"/>
  <c r="A340" i="10" s="1"/>
  <c r="A341" i="10" a="1"/>
  <c r="A341" i="10" s="1"/>
  <c r="A342" i="10" a="1"/>
  <c r="A342" i="10" s="1"/>
  <c r="A343" i="10" a="1"/>
  <c r="A343" i="10" s="1"/>
  <c r="A344" i="10" a="1"/>
  <c r="A344" i="10" s="1"/>
  <c r="A345" i="10" a="1"/>
  <c r="A345" i="10" s="1"/>
  <c r="A346" i="10" a="1"/>
  <c r="A346" i="10" s="1"/>
  <c r="A347" i="10" a="1"/>
  <c r="A347" i="10" s="1"/>
  <c r="A348" i="10" a="1"/>
  <c r="A348" i="10" s="1"/>
  <c r="A349" i="10" a="1"/>
  <c r="A349" i="10" s="1"/>
  <c r="A350" i="10" a="1"/>
  <c r="A350" i="10" s="1"/>
  <c r="A351" i="10" a="1"/>
  <c r="A351" i="10" s="1"/>
  <c r="A352" i="10" a="1"/>
  <c r="A352" i="10" s="1"/>
  <c r="A353" i="10" a="1"/>
  <c r="A353" i="10" s="1"/>
  <c r="A354" i="10" a="1"/>
  <c r="A354" i="10" s="1"/>
  <c r="A355" i="10" a="1"/>
  <c r="A355" i="10" s="1"/>
  <c r="A356" i="10" a="1"/>
  <c r="A356" i="10" s="1"/>
  <c r="A357" i="10" a="1"/>
  <c r="A357" i="10" s="1"/>
  <c r="A358" i="10" a="1"/>
  <c r="A358" i="10" s="1"/>
  <c r="A359" i="10" a="1"/>
  <c r="A359" i="10" s="1"/>
  <c r="A360" i="10" a="1"/>
  <c r="A360" i="10" s="1"/>
  <c r="A361" i="10" a="1"/>
  <c r="A361" i="10" s="1"/>
  <c r="A362" i="10" a="1"/>
  <c r="A362" i="10" s="1"/>
  <c r="A363" i="10" a="1"/>
  <c r="A363" i="10" s="1"/>
  <c r="A364" i="10" a="1"/>
  <c r="A364" i="10" s="1"/>
  <c r="A365" i="10" a="1"/>
  <c r="A365" i="10" s="1"/>
  <c r="A366" i="10" a="1"/>
  <c r="A366" i="10" s="1"/>
  <c r="A367" i="10" a="1"/>
  <c r="A367" i="10" s="1"/>
  <c r="A368" i="10" a="1"/>
  <c r="A368" i="10" s="1"/>
  <c r="A369" i="10" a="1"/>
  <c r="A369" i="10" s="1"/>
  <c r="A370" i="10" a="1"/>
  <c r="A370" i="10" s="1"/>
  <c r="A371" i="10" a="1"/>
  <c r="A371" i="10" s="1"/>
  <c r="A372" i="10" a="1"/>
  <c r="A372" i="10" s="1"/>
  <c r="A373" i="10" a="1"/>
  <c r="A373" i="10" s="1"/>
  <c r="A374" i="10" a="1"/>
  <c r="A374" i="10" s="1"/>
  <c r="A375" i="10" a="1"/>
  <c r="A375" i="10" s="1"/>
  <c r="A376" i="10" a="1"/>
  <c r="A376" i="10" s="1"/>
  <c r="A377" i="10" a="1"/>
  <c r="A377" i="10" s="1"/>
  <c r="A378" i="10" a="1"/>
  <c r="A378" i="10" s="1"/>
  <c r="A379" i="10" a="1"/>
  <c r="A379" i="10" s="1"/>
  <c r="A380" i="10" a="1"/>
  <c r="A380" i="10" s="1"/>
  <c r="A381" i="10" a="1"/>
  <c r="A381" i="10" s="1"/>
  <c r="A382" i="10" a="1"/>
  <c r="A382" i="10" s="1"/>
  <c r="A383" i="10" a="1"/>
  <c r="A383" i="10" s="1"/>
  <c r="A384" i="10" a="1"/>
  <c r="A384" i="10" s="1"/>
  <c r="A385" i="10" a="1"/>
  <c r="A385" i="10" s="1"/>
  <c r="A386" i="10" a="1"/>
  <c r="A386" i="10" s="1"/>
  <c r="A387" i="10" a="1"/>
  <c r="A387" i="10" s="1"/>
  <c r="A388" i="10" a="1"/>
  <c r="A388" i="10" s="1"/>
  <c r="A389" i="10" a="1"/>
  <c r="A389" i="10" s="1"/>
  <c r="A390" i="10" a="1"/>
  <c r="A390" i="10" s="1"/>
  <c r="A391" i="10" a="1"/>
  <c r="A391" i="10" s="1"/>
  <c r="A392" i="10" a="1"/>
  <c r="A392" i="10" s="1"/>
  <c r="A393" i="10" a="1"/>
  <c r="A393" i="10" s="1"/>
  <c r="A394" i="10" a="1"/>
  <c r="A394" i="10" s="1"/>
  <c r="A395" i="10" a="1"/>
  <c r="A395" i="10" s="1"/>
  <c r="A396" i="10" a="1"/>
  <c r="A396" i="10" s="1"/>
  <c r="A397" i="10" a="1"/>
  <c r="A397" i="10" s="1"/>
  <c r="A398" i="10" a="1"/>
  <c r="A398" i="10" s="1"/>
  <c r="A399" i="10" a="1"/>
  <c r="A399" i="10" s="1"/>
  <c r="A400" i="10" a="1"/>
  <c r="A400" i="10" s="1"/>
  <c r="A401" i="10" a="1"/>
  <c r="A401" i="10" s="1"/>
  <c r="A402" i="10" a="1"/>
  <c r="A402" i="10" s="1"/>
  <c r="A403" i="10" a="1"/>
  <c r="A403" i="10" s="1"/>
  <c r="A404" i="10" a="1"/>
  <c r="A404" i="10" s="1"/>
  <c r="A405" i="10" a="1"/>
  <c r="A405" i="10" s="1"/>
  <c r="A406" i="10" a="1"/>
  <c r="A406" i="10" s="1"/>
  <c r="A407" i="10" a="1"/>
  <c r="A407" i="10" s="1"/>
  <c r="A408" i="10" a="1"/>
  <c r="A408" i="10" s="1"/>
  <c r="A409" i="10" a="1"/>
  <c r="A409" i="10" s="1"/>
  <c r="A410" i="10" a="1"/>
  <c r="A410" i="10" s="1"/>
  <c r="A411" i="10" a="1"/>
  <c r="A411" i="10" s="1"/>
  <c r="A412" i="10" a="1"/>
  <c r="A412" i="10" s="1"/>
  <c r="A413" i="10" a="1"/>
  <c r="A413" i="10" s="1"/>
  <c r="A414" i="10" a="1"/>
  <c r="A414" i="10" s="1"/>
  <c r="A415" i="10" a="1"/>
  <c r="A415" i="10" s="1"/>
  <c r="A416" i="10" a="1"/>
  <c r="A416" i="10" s="1"/>
  <c r="A417" i="10" a="1"/>
  <c r="A417" i="10" s="1"/>
  <c r="A418" i="10" a="1"/>
  <c r="A418" i="10" s="1"/>
  <c r="A419" i="10" a="1"/>
  <c r="A419" i="10" s="1"/>
  <c r="A420" i="10" a="1"/>
  <c r="A420" i="10" s="1"/>
  <c r="A421" i="10" a="1"/>
  <c r="A421" i="10" s="1"/>
  <c r="A422" i="10" a="1"/>
  <c r="A422" i="10" s="1"/>
  <c r="A423" i="10" a="1"/>
  <c r="A423" i="10" s="1"/>
  <c r="A424" i="10" a="1"/>
  <c r="A424" i="10" s="1"/>
  <c r="A425" i="10" a="1"/>
  <c r="A425" i="10" s="1"/>
  <c r="A426" i="10" a="1"/>
  <c r="A426" i="10" s="1"/>
  <c r="A427" i="10" a="1"/>
  <c r="A427" i="10" s="1"/>
  <c r="A428" i="10" a="1"/>
  <c r="A428" i="10" s="1"/>
  <c r="A429" i="10" a="1"/>
  <c r="A429" i="10" s="1"/>
  <c r="A430" i="10" a="1"/>
  <c r="A430" i="10" s="1"/>
  <c r="A431" i="10" a="1"/>
  <c r="A431" i="10" s="1"/>
  <c r="A432" i="10" a="1"/>
  <c r="A432" i="10" s="1"/>
  <c r="A433" i="10" a="1"/>
  <c r="A433" i="10" s="1"/>
  <c r="A434" i="10" a="1"/>
  <c r="A434" i="10" s="1"/>
  <c r="A435" i="10" a="1"/>
  <c r="A435" i="10" s="1"/>
  <c r="A436" i="10" a="1"/>
  <c r="A436" i="10" s="1"/>
  <c r="A437" i="10" a="1"/>
  <c r="A437" i="10" s="1"/>
  <c r="A438" i="10" a="1"/>
  <c r="A438" i="10" s="1"/>
  <c r="A439" i="10" a="1"/>
  <c r="A439" i="10" s="1"/>
  <c r="A440" i="10" a="1"/>
  <c r="A440" i="10" s="1"/>
  <c r="A441" i="10" a="1"/>
  <c r="A441" i="10" s="1"/>
  <c r="A442" i="10" a="1"/>
  <c r="A442" i="10" s="1"/>
  <c r="A443" i="10" a="1"/>
  <c r="A443" i="10" s="1"/>
  <c r="A444" i="10" a="1"/>
  <c r="A444" i="10" s="1"/>
  <c r="A445" i="10" a="1"/>
  <c r="A445" i="10" s="1"/>
  <c r="A446" i="10" a="1"/>
  <c r="A446" i="10" s="1"/>
  <c r="A447" i="10" a="1"/>
  <c r="A447" i="10" s="1"/>
  <c r="A448" i="10" a="1"/>
  <c r="A448" i="10" s="1"/>
  <c r="A449" i="10" a="1"/>
  <c r="A449" i="10" s="1"/>
  <c r="A450" i="10" a="1"/>
  <c r="A450" i="10" s="1"/>
  <c r="A451" i="10" a="1"/>
  <c r="A451" i="10" s="1"/>
  <c r="A452" i="10" a="1"/>
  <c r="A452" i="10" s="1"/>
  <c r="A453" i="10" a="1"/>
  <c r="A453" i="10" s="1"/>
  <c r="A454" i="10" a="1"/>
  <c r="A454" i="10" s="1"/>
  <c r="A455" i="10" a="1"/>
  <c r="A455" i="10" s="1"/>
  <c r="A456" i="10" a="1"/>
  <c r="A456" i="10" s="1"/>
  <c r="A457" i="10" a="1"/>
  <c r="A457" i="10" s="1"/>
  <c r="A458" i="10" a="1"/>
  <c r="A458" i="10" s="1"/>
  <c r="A459" i="10" a="1"/>
  <c r="A459" i="10" s="1"/>
  <c r="A460" i="10" a="1"/>
  <c r="A460" i="10" s="1"/>
  <c r="A461" i="10" a="1"/>
  <c r="A461" i="10" s="1"/>
  <c r="A462" i="10" a="1"/>
  <c r="A462" i="10" s="1"/>
  <c r="A463" i="10" a="1"/>
  <c r="A463" i="10" s="1"/>
  <c r="A464" i="10" a="1"/>
  <c r="A464" i="10" s="1"/>
  <c r="A465" i="10" a="1"/>
  <c r="A465" i="10" s="1"/>
  <c r="A466" i="10" a="1"/>
  <c r="A466" i="10" s="1"/>
  <c r="A467" i="10" a="1"/>
  <c r="A467" i="10" s="1"/>
  <c r="A468" i="10" a="1"/>
  <c r="A468" i="10" s="1"/>
  <c r="A469" i="10" a="1"/>
  <c r="A469" i="10" s="1"/>
  <c r="A470" i="10" a="1"/>
  <c r="A470" i="10" s="1"/>
  <c r="A471" i="10" a="1"/>
  <c r="A471" i="10" s="1"/>
  <c r="A472" i="10" a="1"/>
  <c r="A472" i="10" s="1"/>
  <c r="A473" i="10" a="1"/>
  <c r="A473" i="10" s="1"/>
  <c r="A474" i="10" a="1"/>
  <c r="A474" i="10" s="1"/>
  <c r="A475" i="10" a="1"/>
  <c r="A475" i="10" s="1"/>
  <c r="A476" i="10" a="1"/>
  <c r="A476" i="10" s="1"/>
  <c r="A477" i="10" a="1"/>
  <c r="A477" i="10" s="1"/>
  <c r="A478" i="10" a="1"/>
  <c r="A478" i="10" s="1"/>
  <c r="A479" i="10" a="1"/>
  <c r="A479" i="10" s="1"/>
  <c r="A480" i="10" a="1"/>
  <c r="A480" i="10" s="1"/>
  <c r="A481" i="10" a="1"/>
  <c r="A481" i="10" s="1"/>
  <c r="A482" i="10" a="1"/>
  <c r="A482" i="10" s="1"/>
  <c r="A483" i="10" a="1"/>
  <c r="A483" i="10" s="1"/>
  <c r="A484" i="10" a="1"/>
  <c r="A484" i="10" s="1"/>
  <c r="A485" i="10" a="1"/>
  <c r="A485" i="10" s="1"/>
  <c r="A486" i="10" a="1"/>
  <c r="A486" i="10" s="1"/>
  <c r="A487" i="10" a="1"/>
  <c r="A487" i="10" s="1"/>
  <c r="A488" i="10" a="1"/>
  <c r="A488" i="10" s="1"/>
  <c r="A489" i="10" a="1"/>
  <c r="A489" i="10" s="1"/>
  <c r="A490" i="10" a="1"/>
  <c r="A490" i="10" s="1"/>
  <c r="A491" i="10" a="1"/>
  <c r="A491" i="10" s="1"/>
  <c r="A492" i="10" a="1"/>
  <c r="A492" i="10" s="1"/>
  <c r="A493" i="10" a="1"/>
  <c r="A493" i="10" s="1"/>
  <c r="A494" i="10" a="1"/>
  <c r="A494" i="10" s="1"/>
  <c r="A495" i="10" a="1"/>
  <c r="A495" i="10" s="1"/>
  <c r="A496" i="10" a="1"/>
  <c r="A496" i="10" s="1"/>
  <c r="A497" i="10" a="1"/>
  <c r="A497" i="10" s="1"/>
  <c r="A498" i="10" a="1"/>
  <c r="A498" i="10" s="1"/>
  <c r="A499" i="10" a="1"/>
  <c r="A499" i="10" s="1"/>
  <c r="A500" i="10" a="1"/>
  <c r="A500" i="10" s="1"/>
  <c r="A501" i="10" a="1"/>
  <c r="A501" i="10" s="1"/>
  <c r="A502" i="10" a="1"/>
  <c r="A502" i="10" s="1"/>
  <c r="A503" i="10" a="1"/>
  <c r="A503" i="10" s="1"/>
  <c r="A504" i="10" a="1"/>
  <c r="A504" i="10" s="1"/>
  <c r="A505" i="10" a="1"/>
  <c r="A505" i="10" s="1"/>
  <c r="A506" i="10" a="1"/>
  <c r="A506" i="10" s="1"/>
  <c r="A507" i="10" a="1"/>
  <c r="A507" i="10" s="1"/>
  <c r="A508" i="10" a="1"/>
  <c r="A508" i="10" s="1"/>
  <c r="A509" i="10" a="1"/>
  <c r="A509" i="10" s="1"/>
  <c r="A510" i="10" a="1"/>
  <c r="A510" i="10" s="1"/>
  <c r="A511" i="10" a="1"/>
  <c r="A511" i="10" s="1"/>
  <c r="A512" i="10" a="1"/>
  <c r="A512" i="10" s="1"/>
  <c r="A513" i="10" a="1"/>
  <c r="A513" i="10" s="1"/>
  <c r="A514" i="10" a="1"/>
  <c r="A514" i="10" s="1"/>
  <c r="A515" i="10" a="1"/>
  <c r="A515" i="10" s="1"/>
  <c r="A516" i="10" a="1"/>
  <c r="A516" i="10" s="1"/>
  <c r="A517" i="10" a="1"/>
  <c r="A517" i="10" s="1"/>
  <c r="A518" i="10" a="1"/>
  <c r="A518" i="10" s="1"/>
  <c r="A519" i="10" a="1"/>
  <c r="A519" i="10" s="1"/>
  <c r="A520" i="10" a="1"/>
  <c r="A520" i="10" s="1"/>
  <c r="A521" i="10" a="1"/>
  <c r="A521" i="10" s="1"/>
  <c r="A522" i="10" a="1"/>
  <c r="A522" i="10" s="1"/>
  <c r="A523" i="10" a="1"/>
  <c r="A523" i="10" s="1"/>
  <c r="A524" i="10" a="1"/>
  <c r="A524" i="10" s="1"/>
  <c r="A525" i="10" a="1"/>
  <c r="A525" i="10" s="1"/>
  <c r="A526" i="10" a="1"/>
  <c r="A526" i="10" s="1"/>
  <c r="A527" i="10" a="1"/>
  <c r="A527" i="10" s="1"/>
  <c r="A528" i="10" a="1"/>
  <c r="A528" i="10" s="1"/>
  <c r="A529" i="10" a="1"/>
  <c r="A529" i="10" s="1"/>
  <c r="A530" i="10" a="1"/>
  <c r="A530" i="10" s="1"/>
  <c r="A531" i="10" a="1"/>
  <c r="A531" i="10" s="1"/>
  <c r="A532" i="10" a="1"/>
  <c r="A532" i="10" s="1"/>
  <c r="A533" i="10" a="1"/>
  <c r="A533" i="10" s="1"/>
  <c r="A534" i="10" a="1"/>
  <c r="A534" i="10" s="1"/>
  <c r="A535" i="10" a="1"/>
  <c r="A535" i="10" s="1"/>
  <c r="A536" i="10" a="1"/>
  <c r="A536" i="10" s="1"/>
  <c r="A537" i="10" a="1"/>
  <c r="A537" i="10" s="1"/>
  <c r="A538" i="10" a="1"/>
  <c r="A538" i="10" s="1"/>
  <c r="A539" i="10" a="1"/>
  <c r="A539" i="10" s="1"/>
  <c r="A540" i="10" a="1"/>
  <c r="A540" i="10" s="1"/>
  <c r="A541" i="10" a="1"/>
  <c r="A541" i="10" s="1"/>
  <c r="A542" i="10" a="1"/>
  <c r="A542" i="10" s="1"/>
  <c r="A543" i="10" a="1"/>
  <c r="A543" i="10" s="1"/>
  <c r="A544" i="10" a="1"/>
  <c r="A544" i="10" s="1"/>
  <c r="A545" i="10" a="1"/>
  <c r="A545" i="10" s="1"/>
  <c r="A546" i="10" a="1"/>
  <c r="A546" i="10" s="1"/>
  <c r="A547" i="10" a="1"/>
  <c r="A547" i="10" s="1"/>
  <c r="A548" i="10" a="1"/>
  <c r="A548" i="10" s="1"/>
  <c r="A549" i="10" a="1"/>
  <c r="A549" i="10" s="1"/>
  <c r="A550" i="10" a="1"/>
  <c r="A550" i="10" s="1"/>
  <c r="A551" i="10" a="1"/>
  <c r="A551" i="10" s="1"/>
  <c r="A552" i="10" a="1"/>
  <c r="A552" i="10" s="1"/>
  <c r="A553" i="10" a="1"/>
  <c r="A553" i="10" s="1"/>
  <c r="A554" i="10" a="1"/>
  <c r="A554" i="10" s="1"/>
  <c r="A555" i="10" a="1"/>
  <c r="A555" i="10" s="1"/>
  <c r="A556" i="10" a="1"/>
  <c r="A556" i="10" s="1"/>
  <c r="A557" i="10" a="1"/>
  <c r="A557" i="10" s="1"/>
  <c r="A558" i="10" a="1"/>
  <c r="A558" i="10" s="1"/>
  <c r="A559" i="10" a="1"/>
  <c r="A559" i="10" s="1"/>
  <c r="A560" i="10" a="1"/>
  <c r="A560" i="10" s="1"/>
  <c r="A561" i="10" a="1"/>
  <c r="A561" i="10" s="1"/>
  <c r="A562" i="10" a="1"/>
  <c r="A562" i="10" s="1"/>
  <c r="A563" i="10" a="1"/>
  <c r="A563" i="10" s="1"/>
  <c r="A564" i="10" a="1"/>
  <c r="A564" i="10" s="1"/>
  <c r="A565" i="10" a="1"/>
  <c r="A565" i="10" s="1"/>
  <c r="A566" i="10" a="1"/>
  <c r="A566" i="10" s="1"/>
  <c r="A567" i="10" a="1"/>
  <c r="A567" i="10" s="1"/>
  <c r="A568" i="10" a="1"/>
  <c r="A568" i="10" s="1"/>
  <c r="A569" i="10" a="1"/>
  <c r="A569" i="10" s="1"/>
  <c r="A570" i="10" a="1"/>
  <c r="A570" i="10" s="1"/>
  <c r="A571" i="10" a="1"/>
  <c r="A571" i="10" s="1"/>
  <c r="A572" i="10" a="1"/>
  <c r="A572" i="10" s="1"/>
  <c r="A573" i="10" a="1"/>
  <c r="A573" i="10" s="1"/>
  <c r="A574" i="10" a="1"/>
  <c r="A574" i="10" s="1"/>
  <c r="A575" i="10" a="1"/>
  <c r="A575" i="10" s="1"/>
  <c r="A576" i="10" a="1"/>
  <c r="A576" i="10" s="1"/>
  <c r="A577" i="10" a="1"/>
  <c r="A577" i="10" s="1"/>
  <c r="A578" i="10" a="1"/>
  <c r="A578" i="10" s="1"/>
  <c r="A579" i="10" a="1"/>
  <c r="A579" i="10" s="1"/>
  <c r="A580" i="10" a="1"/>
  <c r="A580" i="10" s="1"/>
  <c r="A581" i="10" a="1"/>
  <c r="A581" i="10" s="1"/>
  <c r="A582" i="10" a="1"/>
  <c r="A582" i="10" s="1"/>
  <c r="A583" i="10" a="1"/>
  <c r="A583" i="10" s="1"/>
  <c r="A584" i="10" a="1"/>
  <c r="A584" i="10" s="1"/>
  <c r="A585" i="10" a="1"/>
  <c r="A585" i="10" s="1"/>
  <c r="A586" i="10" a="1"/>
  <c r="A586" i="10" s="1"/>
  <c r="A587" i="10" a="1"/>
  <c r="A587" i="10" s="1"/>
  <c r="A588" i="10" a="1"/>
  <c r="A588" i="10" s="1"/>
  <c r="A589" i="10" a="1"/>
  <c r="A589" i="10" s="1"/>
  <c r="A590" i="10" a="1"/>
  <c r="A590" i="10" s="1"/>
  <c r="A591" i="10" a="1"/>
  <c r="A591" i="10" s="1"/>
  <c r="A592" i="10" a="1"/>
  <c r="A592" i="10" s="1"/>
  <c r="A593" i="10" a="1"/>
  <c r="A593" i="10" s="1"/>
  <c r="A594" i="10" a="1"/>
  <c r="A594" i="10" s="1"/>
  <c r="A595" i="10" a="1"/>
  <c r="A595" i="10" s="1"/>
  <c r="A596" i="10" a="1"/>
  <c r="A596" i="10" s="1"/>
  <c r="A597" i="10" a="1"/>
  <c r="A597" i="10" s="1"/>
  <c r="A598" i="10" a="1"/>
  <c r="A598" i="10" s="1"/>
  <c r="A599" i="10" a="1"/>
  <c r="A599" i="10" s="1"/>
  <c r="A600" i="10" a="1"/>
  <c r="A600" i="10" s="1"/>
  <c r="A601" i="10" a="1"/>
  <c r="A601" i="10" s="1"/>
  <c r="A602" i="10" a="1"/>
  <c r="A602" i="10" s="1"/>
  <c r="A603" i="10" a="1"/>
  <c r="A603" i="10" s="1"/>
  <c r="A604" i="10" a="1"/>
  <c r="A604" i="10" s="1"/>
  <c r="A605" i="10" a="1"/>
  <c r="A605" i="10" s="1"/>
  <c r="A606" i="10" a="1"/>
  <c r="A606" i="10" s="1"/>
  <c r="A607" i="10" a="1"/>
  <c r="A607" i="10" s="1"/>
  <c r="A608" i="10" a="1"/>
  <c r="A608" i="10" s="1"/>
  <c r="A609" i="10" a="1"/>
  <c r="A609" i="10" s="1"/>
  <c r="A610" i="10" a="1"/>
  <c r="A610" i="10" s="1"/>
  <c r="A611" i="10" a="1"/>
  <c r="A611" i="10" s="1"/>
  <c r="A612" i="10" a="1"/>
  <c r="A612" i="10" s="1"/>
  <c r="A613" i="10" a="1"/>
  <c r="A613" i="10" s="1"/>
  <c r="A614" i="10" a="1"/>
  <c r="A614" i="10" s="1"/>
  <c r="A615" i="10" a="1"/>
  <c r="A615" i="10" s="1"/>
  <c r="A616" i="10" a="1"/>
  <c r="A616" i="10" s="1"/>
  <c r="A617" i="10" a="1"/>
  <c r="A617" i="10" s="1"/>
  <c r="A618" i="10" a="1"/>
  <c r="A618" i="10" s="1"/>
  <c r="A619" i="10" a="1"/>
  <c r="A619" i="10" s="1"/>
  <c r="A620" i="10" a="1"/>
  <c r="A620" i="10" s="1"/>
  <c r="A621" i="10" a="1"/>
  <c r="A621" i="10" s="1"/>
  <c r="A622" i="10" a="1"/>
  <c r="A622" i="10" s="1"/>
  <c r="A623" i="10" a="1"/>
  <c r="A623" i="10" s="1"/>
  <c r="A624" i="10" a="1"/>
  <c r="A624" i="10" s="1"/>
  <c r="A625" i="10" a="1"/>
  <c r="A625" i="10" s="1"/>
  <c r="A626" i="10" a="1"/>
  <c r="A626" i="10" s="1"/>
  <c r="A627" i="10" a="1"/>
  <c r="A627" i="10" s="1"/>
  <c r="A628" i="10" a="1"/>
  <c r="A628" i="10" s="1"/>
  <c r="A629" i="10" a="1"/>
  <c r="A629" i="10" s="1"/>
  <c r="A630" i="10" a="1"/>
  <c r="A630" i="10" s="1"/>
  <c r="A631" i="10" a="1"/>
  <c r="A631" i="10" s="1"/>
  <c r="A632" i="10" a="1"/>
  <c r="A632" i="10" s="1"/>
  <c r="A633" i="10" a="1"/>
  <c r="A633" i="10" s="1"/>
  <c r="A634" i="10" a="1"/>
  <c r="A634" i="10" s="1"/>
  <c r="A635" i="10" a="1"/>
  <c r="A635" i="10" s="1"/>
  <c r="A636" i="10" a="1"/>
  <c r="A636" i="10" s="1"/>
  <c r="A637" i="10" a="1"/>
  <c r="A637" i="10" s="1"/>
  <c r="A638" i="10" a="1"/>
  <c r="A638" i="10" s="1"/>
  <c r="A639" i="10" a="1"/>
  <c r="A639" i="10" s="1"/>
  <c r="A640" i="10" a="1"/>
  <c r="A640" i="10" s="1"/>
  <c r="A641" i="10" a="1"/>
  <c r="A641" i="10" s="1"/>
  <c r="A642" i="10" a="1"/>
  <c r="A642" i="10" s="1"/>
  <c r="A643" i="10" a="1"/>
  <c r="A643" i="10" s="1"/>
  <c r="A644" i="10" a="1"/>
  <c r="A644" i="10" s="1"/>
  <c r="A645" i="10" a="1"/>
  <c r="A645" i="10" s="1"/>
  <c r="A646" i="10" a="1"/>
  <c r="A646" i="10" s="1"/>
  <c r="A647" i="10" a="1"/>
  <c r="A647" i="10" s="1"/>
  <c r="A648" i="10" a="1"/>
  <c r="A648" i="10" s="1"/>
  <c r="A649" i="10" a="1"/>
  <c r="A649" i="10" s="1"/>
  <c r="A650" i="10" a="1"/>
  <c r="A650" i="10" s="1"/>
  <c r="A651" i="10" a="1"/>
  <c r="A651" i="10" s="1"/>
  <c r="A652" i="10" a="1"/>
  <c r="A652" i="10" s="1"/>
  <c r="A653" i="10" a="1"/>
  <c r="A653" i="10" s="1"/>
  <c r="A654" i="10" a="1"/>
  <c r="A654" i="10" s="1"/>
  <c r="A655" i="10" a="1"/>
  <c r="A655" i="10" s="1"/>
  <c r="A656" i="10" a="1"/>
  <c r="A656" i="10" s="1"/>
  <c r="A657" i="10" a="1"/>
  <c r="A657" i="10" s="1"/>
  <c r="A658" i="10" a="1"/>
  <c r="A658" i="10" s="1"/>
  <c r="A659" i="10" a="1"/>
  <c r="A659" i="10" s="1"/>
  <c r="A660" i="10" a="1"/>
  <c r="A660" i="10" s="1"/>
  <c r="A661" i="10" a="1"/>
  <c r="A661" i="10" s="1"/>
  <c r="A662" i="10" a="1"/>
  <c r="A662" i="10" s="1"/>
  <c r="A663" i="10" a="1"/>
  <c r="A663" i="10" s="1"/>
  <c r="A664" i="10" a="1"/>
  <c r="A664" i="10" s="1"/>
  <c r="A665" i="10" a="1"/>
  <c r="A665" i="10" s="1"/>
  <c r="A666" i="10" a="1"/>
  <c r="A666" i="10" s="1"/>
  <c r="A667" i="10" a="1"/>
  <c r="A667" i="10" s="1"/>
  <c r="A668" i="10" a="1"/>
  <c r="A668" i="10" s="1"/>
  <c r="A669" i="10" a="1"/>
  <c r="A669" i="10" s="1"/>
  <c r="A670" i="10" a="1"/>
  <c r="A670" i="10" s="1"/>
  <c r="A671" i="10" a="1"/>
  <c r="A671" i="10" s="1"/>
  <c r="A672" i="10" a="1"/>
  <c r="A672" i="10" s="1"/>
  <c r="A673" i="10" a="1"/>
  <c r="A673" i="10" s="1"/>
  <c r="A674" i="10" a="1"/>
  <c r="A674" i="10" s="1"/>
  <c r="A675" i="10" a="1"/>
  <c r="A675" i="10" s="1"/>
  <c r="A676" i="10" a="1"/>
  <c r="A676" i="10" s="1"/>
  <c r="A677" i="10" a="1"/>
  <c r="A677" i="10" s="1"/>
  <c r="A678" i="10" a="1"/>
  <c r="A678" i="10" s="1"/>
  <c r="A679" i="10" a="1"/>
  <c r="A679" i="10" s="1"/>
  <c r="A680" i="10" a="1"/>
  <c r="A680" i="10" s="1"/>
  <c r="A681" i="10" a="1"/>
  <c r="A681" i="10" s="1"/>
  <c r="A682" i="10" a="1"/>
  <c r="A682" i="10" s="1"/>
  <c r="A683" i="10" a="1"/>
  <c r="A683" i="10" s="1"/>
  <c r="A684" i="10" a="1"/>
  <c r="A684" i="10" s="1"/>
  <c r="A685" i="10" a="1"/>
  <c r="A685" i="10" s="1"/>
  <c r="A686" i="10" a="1"/>
  <c r="A686" i="10" s="1"/>
  <c r="A687" i="10" a="1"/>
  <c r="A687" i="10" s="1"/>
  <c r="A688" i="10" a="1"/>
  <c r="A688" i="10" s="1"/>
  <c r="A689" i="10" a="1"/>
  <c r="A689" i="10" s="1"/>
  <c r="A690" i="10" a="1"/>
  <c r="A690" i="10" s="1"/>
  <c r="A691" i="10" a="1"/>
  <c r="A691" i="10" s="1"/>
  <c r="A692" i="10" a="1"/>
  <c r="A692" i="10" s="1"/>
  <c r="A693" i="10" a="1"/>
  <c r="A693" i="10" s="1"/>
  <c r="A694" i="10" a="1"/>
  <c r="A694" i="10" s="1"/>
  <c r="A695" i="10" a="1"/>
  <c r="A695" i="10" s="1"/>
  <c r="A696" i="10" a="1"/>
  <c r="A696" i="10" s="1"/>
  <c r="A697" i="10" a="1"/>
  <c r="A697" i="10" s="1"/>
  <c r="A698" i="10" a="1"/>
  <c r="A698" i="10" s="1"/>
  <c r="A699" i="10" a="1"/>
  <c r="A699" i="10" s="1"/>
  <c r="A700" i="10" a="1"/>
  <c r="A700" i="10" s="1"/>
  <c r="A701" i="10" a="1"/>
  <c r="A701" i="10" s="1"/>
  <c r="A702" i="10" a="1"/>
  <c r="A702" i="10" s="1"/>
  <c r="A703" i="10" a="1"/>
  <c r="A703" i="10" s="1"/>
  <c r="A704" i="10" a="1"/>
  <c r="A704" i="10" s="1"/>
  <c r="A705" i="10" a="1"/>
  <c r="A705" i="10" s="1"/>
  <c r="A706" i="10" a="1"/>
  <c r="A706" i="10" s="1"/>
  <c r="A707" i="10" a="1"/>
  <c r="A707" i="10" s="1"/>
  <c r="A708" i="10" a="1"/>
  <c r="A708" i="10" s="1"/>
  <c r="A709" i="10" a="1"/>
  <c r="A709" i="10" s="1"/>
  <c r="A710" i="10" a="1"/>
  <c r="A710" i="10" s="1"/>
  <c r="A711" i="10" a="1"/>
  <c r="A711" i="10" s="1"/>
  <c r="A712" i="10" a="1"/>
  <c r="A712" i="10" s="1"/>
  <c r="A713" i="10" a="1"/>
  <c r="A713" i="10" s="1"/>
  <c r="A714" i="10" a="1"/>
  <c r="A714" i="10" s="1"/>
  <c r="A715" i="10" a="1"/>
  <c r="A715" i="10" s="1"/>
  <c r="A716" i="10" a="1"/>
  <c r="A716" i="10" s="1"/>
  <c r="A717" i="10" a="1"/>
  <c r="A717" i="10" s="1"/>
  <c r="A718" i="10" a="1"/>
  <c r="A718" i="10" s="1"/>
  <c r="A719" i="10" a="1"/>
  <c r="A719" i="10" s="1"/>
  <c r="A720" i="10" a="1"/>
  <c r="A720" i="10" s="1"/>
  <c r="A721" i="10" a="1"/>
  <c r="A721" i="10" s="1"/>
  <c r="A722" i="10" a="1"/>
  <c r="A722" i="10" s="1"/>
  <c r="A723" i="10" a="1"/>
  <c r="A723" i="10" s="1"/>
  <c r="A724" i="10" a="1"/>
  <c r="A724" i="10" s="1"/>
  <c r="A725" i="10" a="1"/>
  <c r="A725" i="10" s="1"/>
  <c r="A726" i="10" a="1"/>
  <c r="A726" i="10" s="1"/>
  <c r="A727" i="10" a="1"/>
  <c r="A727" i="10" s="1"/>
  <c r="A728" i="10" a="1"/>
  <c r="A728" i="10" s="1"/>
  <c r="A729" i="10" a="1"/>
  <c r="A729" i="10" s="1"/>
  <c r="A730" i="10" a="1"/>
  <c r="A730" i="10" s="1"/>
  <c r="A731" i="10" a="1"/>
  <c r="A731" i="10" s="1"/>
  <c r="A732" i="10" a="1"/>
  <c r="A732" i="10" s="1"/>
  <c r="A733" i="10" a="1"/>
  <c r="A733" i="10" s="1"/>
  <c r="A734" i="10" a="1"/>
  <c r="A734" i="10" s="1"/>
  <c r="A735" i="10" a="1"/>
  <c r="A735" i="10" s="1"/>
  <c r="A736" i="10" a="1"/>
  <c r="A736" i="10" s="1"/>
  <c r="A737" i="10" a="1"/>
  <c r="A737" i="10" s="1"/>
  <c r="A738" i="10" a="1"/>
  <c r="A738" i="10" s="1"/>
  <c r="A739" i="10" a="1"/>
  <c r="A739" i="10" s="1"/>
  <c r="A740" i="10" a="1"/>
  <c r="A740" i="10" s="1"/>
  <c r="A741" i="10" a="1"/>
  <c r="A741" i="10" s="1"/>
  <c r="A742" i="10" a="1"/>
  <c r="A742" i="10" s="1"/>
  <c r="A743" i="10" a="1"/>
  <c r="A743" i="10" s="1"/>
  <c r="A744" i="10" a="1"/>
  <c r="A744" i="10" s="1"/>
  <c r="A745" i="10" a="1"/>
  <c r="A745" i="10" s="1"/>
  <c r="A746" i="10" a="1"/>
  <c r="A746" i="10" s="1"/>
  <c r="A747" i="10" a="1"/>
  <c r="A747" i="10" s="1"/>
  <c r="A748" i="10" a="1"/>
  <c r="A748" i="10" s="1"/>
  <c r="A749" i="10" a="1"/>
  <c r="A749" i="10" s="1"/>
  <c r="A750" i="10" a="1"/>
  <c r="A750" i="10" s="1"/>
  <c r="A751" i="10" a="1"/>
  <c r="A751" i="10" s="1"/>
  <c r="A752" i="10" a="1"/>
  <c r="A752" i="10" s="1"/>
  <c r="A753" i="10" a="1"/>
  <c r="A753" i="10" s="1"/>
  <c r="A754" i="10" a="1"/>
  <c r="A754" i="10" s="1"/>
  <c r="A755" i="10" a="1"/>
  <c r="A755" i="10" s="1"/>
  <c r="A756" i="10" a="1"/>
  <c r="A756" i="10" s="1"/>
  <c r="A757" i="10" a="1"/>
  <c r="A757" i="10" s="1"/>
  <c r="A758" i="10" a="1"/>
  <c r="A758" i="10" s="1"/>
  <c r="A759" i="10" a="1"/>
  <c r="A759" i="10" s="1"/>
  <c r="A760" i="10" a="1"/>
  <c r="A760" i="10" s="1"/>
  <c r="A761" i="10" a="1"/>
  <c r="A761" i="10" s="1"/>
  <c r="A762" i="10" a="1"/>
  <c r="A762" i="10" s="1"/>
  <c r="A763" i="10" a="1"/>
  <c r="A763" i="10" s="1"/>
  <c r="A764" i="10" a="1"/>
  <c r="A764" i="10" s="1"/>
  <c r="A765" i="10" a="1"/>
  <c r="A765" i="10" s="1"/>
  <c r="A766" i="10" a="1"/>
  <c r="A766" i="10" s="1"/>
  <c r="A767" i="10" a="1"/>
  <c r="A767" i="10" s="1"/>
  <c r="A768" i="10" a="1"/>
  <c r="A768" i="10" s="1"/>
  <c r="A769" i="10" a="1"/>
  <c r="A769" i="10" s="1"/>
  <c r="A770" i="10" a="1"/>
  <c r="A770" i="10" s="1"/>
  <c r="A771" i="10" a="1"/>
  <c r="A771" i="10" s="1"/>
  <c r="A772" i="10" a="1"/>
  <c r="A772" i="10" s="1"/>
  <c r="A773" i="10" a="1"/>
  <c r="A773" i="10" s="1"/>
  <c r="A774" i="10" a="1"/>
  <c r="A774" i="10" s="1"/>
  <c r="A775" i="10" a="1"/>
  <c r="A775" i="10" s="1"/>
  <c r="A776" i="10" a="1"/>
  <c r="A776" i="10" s="1"/>
  <c r="A777" i="10" a="1"/>
  <c r="A777" i="10" s="1"/>
  <c r="A778" i="10" a="1"/>
  <c r="A778" i="10" s="1"/>
  <c r="A779" i="10" a="1"/>
  <c r="A779" i="10" s="1"/>
  <c r="A780" i="10" a="1"/>
  <c r="A780" i="10" s="1"/>
  <c r="A781" i="10" a="1"/>
  <c r="A781" i="10" s="1"/>
  <c r="A782" i="10" a="1"/>
  <c r="A782" i="10" s="1"/>
  <c r="A783" i="10" a="1"/>
  <c r="A783" i="10" s="1"/>
  <c r="A784" i="10" a="1"/>
  <c r="A784" i="10" s="1"/>
  <c r="A785" i="10" a="1"/>
  <c r="A785" i="10" s="1"/>
  <c r="A786" i="10" a="1"/>
  <c r="A786" i="10" s="1"/>
  <c r="A787" i="10" a="1"/>
  <c r="A787" i="10" s="1"/>
  <c r="A788" i="10" a="1"/>
  <c r="A788" i="10" s="1"/>
  <c r="A789" i="10" a="1"/>
  <c r="A789" i="10" s="1"/>
  <c r="A790" i="10" a="1"/>
  <c r="A790" i="10" s="1"/>
  <c r="A791" i="10" a="1"/>
  <c r="A791" i="10" s="1"/>
  <c r="A792" i="10" a="1"/>
  <c r="A792" i="10" s="1"/>
  <c r="A793" i="10" a="1"/>
  <c r="A793" i="10" s="1"/>
  <c r="A794" i="10" a="1"/>
  <c r="A794" i="10" s="1"/>
  <c r="A795" i="10" a="1"/>
  <c r="A795" i="10" s="1"/>
  <c r="A796" i="10" a="1"/>
  <c r="A796" i="10" s="1"/>
  <c r="A797" i="10" a="1"/>
  <c r="A797" i="10" s="1"/>
  <c r="A798" i="10" a="1"/>
  <c r="A798" i="10" s="1"/>
  <c r="A799" i="10" a="1"/>
  <c r="A799" i="10" s="1"/>
  <c r="A800" i="10" a="1"/>
  <c r="A800" i="10" s="1"/>
  <c r="A801" i="10" a="1"/>
  <c r="A801" i="10" s="1"/>
  <c r="A802" i="10" a="1"/>
  <c r="A802" i="10" s="1"/>
  <c r="A803" i="10" a="1"/>
  <c r="A803" i="10" s="1"/>
  <c r="A804" i="10" a="1"/>
  <c r="A804" i="10" s="1"/>
  <c r="A805" i="10" a="1"/>
  <c r="A805" i="10" s="1"/>
  <c r="A806" i="10" a="1"/>
  <c r="A806" i="10" s="1"/>
  <c r="A807" i="10" a="1"/>
  <c r="A807" i="10" s="1"/>
  <c r="A808" i="10" a="1"/>
  <c r="A808" i="10" s="1"/>
  <c r="A809" i="10" a="1"/>
  <c r="A809" i="10" s="1"/>
  <c r="A810" i="10" a="1"/>
  <c r="A810" i="10" s="1"/>
  <c r="A811" i="10" a="1"/>
  <c r="A811" i="10" s="1"/>
  <c r="A812" i="10" a="1"/>
  <c r="A812" i="10" s="1"/>
  <c r="A813" i="10" a="1"/>
  <c r="A813" i="10" s="1"/>
  <c r="A814" i="10" a="1"/>
  <c r="A814" i="10" s="1"/>
  <c r="A815" i="10" a="1"/>
  <c r="A815" i="10" s="1"/>
  <c r="A816" i="10" a="1"/>
  <c r="A816" i="10" s="1"/>
  <c r="A817" i="10" a="1"/>
  <c r="A817" i="10" s="1"/>
  <c r="A818" i="10" a="1"/>
  <c r="A818" i="10" s="1"/>
  <c r="A819" i="10" a="1"/>
  <c r="A819" i="10" s="1"/>
  <c r="A820" i="10" a="1"/>
  <c r="A820" i="10" s="1"/>
  <c r="A821" i="10" a="1"/>
  <c r="A821" i="10" s="1"/>
  <c r="A822" i="10" a="1"/>
  <c r="A822" i="10" s="1"/>
  <c r="A823" i="10" a="1"/>
  <c r="A823" i="10" s="1"/>
  <c r="A824" i="10" a="1"/>
  <c r="A824" i="10" s="1"/>
  <c r="A825" i="10" a="1"/>
  <c r="A825" i="10" s="1"/>
  <c r="A826" i="10" a="1"/>
  <c r="A826" i="10" s="1"/>
  <c r="A827" i="10" a="1"/>
  <c r="A827" i="10" s="1"/>
  <c r="A828" i="10" a="1"/>
  <c r="A828" i="10" s="1"/>
  <c r="A829" i="10" a="1"/>
  <c r="A829" i="10" s="1"/>
  <c r="A830" i="10" a="1"/>
  <c r="A830" i="10" s="1"/>
  <c r="A831" i="10" a="1"/>
  <c r="A831" i="10" s="1"/>
  <c r="A832" i="10" a="1"/>
  <c r="A832" i="10" s="1"/>
  <c r="A833" i="10" a="1"/>
  <c r="A833" i="10" s="1"/>
  <c r="A834" i="10" a="1"/>
  <c r="A834" i="10" s="1"/>
  <c r="A835" i="10" a="1"/>
  <c r="A835" i="10" s="1"/>
  <c r="A836" i="10" a="1"/>
  <c r="A836" i="10" s="1"/>
  <c r="A837" i="10" a="1"/>
  <c r="A837" i="10" s="1"/>
  <c r="A838" i="10" a="1"/>
  <c r="A838" i="10" s="1"/>
  <c r="A839" i="10" a="1"/>
  <c r="A839" i="10" s="1"/>
  <c r="A840" i="10" a="1"/>
  <c r="A840" i="10" s="1"/>
  <c r="A841" i="10" a="1"/>
  <c r="A841" i="10" s="1"/>
  <c r="A842" i="10" a="1"/>
  <c r="A842" i="10" s="1"/>
  <c r="A843" i="10" a="1"/>
  <c r="A843" i="10" s="1"/>
  <c r="A844" i="10" a="1"/>
  <c r="A844" i="10" s="1"/>
  <c r="A845" i="10" a="1"/>
  <c r="A845" i="10" s="1"/>
  <c r="A846" i="10" a="1"/>
  <c r="A846" i="10" s="1"/>
  <c r="A847" i="10" a="1"/>
  <c r="A847" i="10" s="1"/>
  <c r="A848" i="10" a="1"/>
  <c r="A848" i="10" s="1"/>
  <c r="A849" i="10" a="1"/>
  <c r="A849" i="10" s="1"/>
  <c r="A850" i="10" a="1"/>
  <c r="A850" i="10" s="1"/>
  <c r="A851" i="10" a="1"/>
  <c r="A851" i="10" s="1"/>
  <c r="A852" i="10" a="1"/>
  <c r="A852" i="10" s="1"/>
  <c r="A853" i="10" a="1"/>
  <c r="A853" i="10" s="1"/>
  <c r="A854" i="10" a="1"/>
  <c r="A854" i="10" s="1"/>
  <c r="A855" i="10" a="1"/>
  <c r="A855" i="10" s="1"/>
  <c r="A856" i="10" a="1"/>
  <c r="A856" i="10" s="1"/>
  <c r="A857" i="10" a="1"/>
  <c r="A857" i="10" s="1"/>
  <c r="A858" i="10" a="1"/>
  <c r="A858" i="10" s="1"/>
  <c r="A859" i="10" a="1"/>
  <c r="A859" i="10" s="1"/>
  <c r="A860" i="10" a="1"/>
  <c r="A860" i="10" s="1"/>
  <c r="A861" i="10" a="1"/>
  <c r="A861" i="10" s="1"/>
  <c r="A862" i="10" a="1"/>
  <c r="A862" i="10" s="1"/>
  <c r="A863" i="10" a="1"/>
  <c r="A863" i="10" s="1"/>
  <c r="A864" i="10" a="1"/>
  <c r="A864" i="10" s="1"/>
  <c r="A865" i="10" a="1"/>
  <c r="A865" i="10" s="1"/>
  <c r="A866" i="10" a="1"/>
  <c r="A866" i="10" s="1"/>
  <c r="A867" i="10" a="1"/>
  <c r="A867" i="10" s="1"/>
  <c r="A868" i="10" a="1"/>
  <c r="A868" i="10" s="1"/>
  <c r="A869" i="10" a="1"/>
  <c r="A869" i="10" s="1"/>
  <c r="A870" i="10" a="1"/>
  <c r="A870" i="10" s="1"/>
  <c r="A871" i="10" a="1"/>
  <c r="A871" i="10" s="1"/>
  <c r="A872" i="10" a="1"/>
  <c r="A872" i="10" s="1"/>
  <c r="A873" i="10" a="1"/>
  <c r="A873" i="10" s="1"/>
  <c r="A874" i="10" a="1"/>
  <c r="A874" i="10" s="1"/>
  <c r="A875" i="10" a="1"/>
  <c r="A875" i="10" s="1"/>
  <c r="A876" i="10" a="1"/>
  <c r="A876" i="10" s="1"/>
  <c r="A877" i="10" a="1"/>
  <c r="A877" i="10" s="1"/>
  <c r="A878" i="10" a="1"/>
  <c r="A878" i="10" s="1"/>
  <c r="A879" i="10" a="1"/>
  <c r="A879" i="10" s="1"/>
  <c r="A880" i="10" a="1"/>
  <c r="A880" i="10" s="1"/>
  <c r="A881" i="10" a="1"/>
  <c r="A881" i="10" s="1"/>
  <c r="A882" i="10" a="1"/>
  <c r="A882" i="10" s="1"/>
  <c r="A883" i="10" a="1"/>
  <c r="A883" i="10" s="1"/>
  <c r="A884" i="10" a="1"/>
  <c r="A884" i="10" s="1"/>
  <c r="A885" i="10" a="1"/>
  <c r="A885" i="10" s="1"/>
  <c r="A886" i="10" a="1"/>
  <c r="A886" i="10" s="1"/>
  <c r="A887" i="10" a="1"/>
  <c r="A887" i="10" s="1"/>
  <c r="A888" i="10" a="1"/>
  <c r="A888" i="10" s="1"/>
  <c r="A889" i="10" a="1"/>
  <c r="A889" i="10" s="1"/>
  <c r="A890" i="10" a="1"/>
  <c r="A890" i="10" s="1"/>
  <c r="A891" i="10" a="1"/>
  <c r="A891" i="10" s="1"/>
  <c r="A892" i="10" a="1"/>
  <c r="A892" i="10" s="1"/>
  <c r="A893" i="10" a="1"/>
  <c r="A893" i="10" s="1"/>
  <c r="A894" i="10" a="1"/>
  <c r="A894" i="10" s="1"/>
  <c r="A895" i="10" a="1"/>
  <c r="A895" i="10" s="1"/>
  <c r="A896" i="10" a="1"/>
  <c r="A896" i="10" s="1"/>
  <c r="A897" i="10" a="1"/>
  <c r="A897" i="10" s="1"/>
  <c r="A898" i="10" a="1"/>
  <c r="A898" i="10" s="1"/>
  <c r="A899" i="10" a="1"/>
  <c r="A899" i="10" s="1"/>
  <c r="A900" i="10" a="1"/>
  <c r="A900" i="10" s="1"/>
  <c r="A901" i="10" a="1"/>
  <c r="A901" i="10" s="1"/>
  <c r="A902" i="10" a="1"/>
  <c r="A902" i="10" s="1"/>
  <c r="A903" i="10" a="1"/>
  <c r="A903" i="10" s="1"/>
  <c r="A904" i="10" a="1"/>
  <c r="A904" i="10" s="1"/>
  <c r="A905" i="10" a="1"/>
  <c r="A905" i="10" s="1"/>
  <c r="A906" i="10" a="1"/>
  <c r="A906" i="10" s="1"/>
  <c r="A907" i="10" a="1"/>
  <c r="A907" i="10" s="1"/>
  <c r="A908" i="10" a="1"/>
  <c r="A908" i="10" s="1"/>
  <c r="A909" i="10" a="1"/>
  <c r="A909" i="10" s="1"/>
  <c r="A910" i="10" a="1"/>
  <c r="A910" i="10" s="1"/>
  <c r="A911" i="10" a="1"/>
  <c r="A911" i="10" s="1"/>
  <c r="A912" i="10" a="1"/>
  <c r="A912" i="10" s="1"/>
  <c r="A913" i="10" a="1"/>
  <c r="A913" i="10" s="1"/>
  <c r="A914" i="10" a="1"/>
  <c r="A914" i="10" s="1"/>
  <c r="A915" i="10" a="1"/>
  <c r="A915" i="10" s="1"/>
  <c r="A916" i="10" a="1"/>
  <c r="A916" i="10" s="1"/>
  <c r="A917" i="10" a="1"/>
  <c r="A917" i="10" s="1"/>
  <c r="A918" i="10" a="1"/>
  <c r="A918" i="10" s="1"/>
  <c r="A919" i="10" a="1"/>
  <c r="A919" i="10" s="1"/>
  <c r="A920" i="10" a="1"/>
  <c r="A920" i="10" s="1"/>
  <c r="A921" i="10" a="1"/>
  <c r="A921" i="10" s="1"/>
  <c r="A922" i="10" a="1"/>
  <c r="A922" i="10" s="1"/>
  <c r="A923" i="10" a="1"/>
  <c r="A923" i="10" s="1"/>
  <c r="A924" i="10" a="1"/>
  <c r="A924" i="10" s="1"/>
  <c r="A925" i="10" a="1"/>
  <c r="A925" i="10" s="1"/>
  <c r="A926" i="10" a="1"/>
  <c r="A926" i="10" s="1"/>
  <c r="A927" i="10" a="1"/>
  <c r="A927" i="10" s="1"/>
  <c r="A928" i="10" a="1"/>
  <c r="A928" i="10" s="1"/>
  <c r="A929" i="10" a="1"/>
  <c r="A929" i="10" s="1"/>
  <c r="A930" i="10" a="1"/>
  <c r="A930" i="10" s="1"/>
  <c r="A931" i="10" a="1"/>
  <c r="A931" i="10" s="1"/>
  <c r="A932" i="10" a="1"/>
  <c r="A932" i="10" s="1"/>
  <c r="A933" i="10" a="1"/>
  <c r="A933" i="10" s="1"/>
  <c r="A934" i="10" a="1"/>
  <c r="A934" i="10" s="1"/>
  <c r="A935" i="10" a="1"/>
  <c r="A935" i="10" s="1"/>
  <c r="A936" i="10" a="1"/>
  <c r="A936" i="10" s="1"/>
  <c r="A937" i="10" a="1"/>
  <c r="A937" i="10" s="1"/>
  <c r="A938" i="10" a="1"/>
  <c r="A938" i="10" s="1"/>
  <c r="A939" i="10" a="1"/>
  <c r="A939" i="10" s="1"/>
  <c r="A940" i="10" a="1"/>
  <c r="A940" i="10" s="1"/>
  <c r="A941" i="10" a="1"/>
  <c r="A941" i="10" s="1"/>
  <c r="A942" i="10" a="1"/>
  <c r="A942" i="10" s="1"/>
  <c r="A943" i="10" a="1"/>
  <c r="A943" i="10" s="1"/>
  <c r="A944" i="10" a="1"/>
  <c r="A944" i="10" s="1"/>
  <c r="A945" i="10" a="1"/>
  <c r="A945" i="10" s="1"/>
  <c r="A946" i="10" a="1"/>
  <c r="A946" i="10" s="1"/>
  <c r="A947" i="10" a="1"/>
  <c r="A947" i="10" s="1"/>
  <c r="A948" i="10" a="1"/>
  <c r="A948" i="10" s="1"/>
  <c r="A949" i="10" a="1"/>
  <c r="A949" i="10" s="1"/>
  <c r="A950" i="10" a="1"/>
  <c r="A950" i="10" s="1"/>
  <c r="A951" i="10" a="1"/>
  <c r="A951" i="10" s="1"/>
  <c r="A952" i="10" a="1"/>
  <c r="A952" i="10" s="1"/>
  <c r="A953" i="10" a="1"/>
  <c r="A953" i="10" s="1"/>
  <c r="A954" i="10" a="1"/>
  <c r="A954" i="10" s="1"/>
  <c r="A955" i="10" a="1"/>
  <c r="A955" i="10" s="1"/>
  <c r="A956" i="10" a="1"/>
  <c r="A956" i="10" s="1"/>
  <c r="A957" i="10" a="1"/>
  <c r="A957" i="10" s="1"/>
  <c r="A958" i="10" a="1"/>
  <c r="A958" i="10" s="1"/>
  <c r="A959" i="10" a="1"/>
  <c r="A959" i="10" s="1"/>
  <c r="A960" i="10" a="1"/>
  <c r="A960" i="10" s="1"/>
  <c r="A961" i="10" a="1"/>
  <c r="A961" i="10" s="1"/>
  <c r="A962" i="10" a="1"/>
  <c r="A962" i="10" s="1"/>
  <c r="A963" i="10" a="1"/>
  <c r="A963" i="10" s="1"/>
  <c r="A964" i="10" a="1"/>
  <c r="A964" i="10" s="1"/>
  <c r="A965" i="10" a="1"/>
  <c r="A965" i="10" s="1"/>
  <c r="A966" i="10" a="1"/>
  <c r="A966" i="10" s="1"/>
  <c r="A967" i="10" a="1"/>
  <c r="A967" i="10" s="1"/>
  <c r="A968" i="10" a="1"/>
  <c r="A968" i="10" s="1"/>
  <c r="A969" i="10" a="1"/>
  <c r="A969" i="10" s="1"/>
  <c r="A970" i="10" a="1"/>
  <c r="A970" i="10" s="1"/>
  <c r="A971" i="10" a="1"/>
  <c r="A971" i="10" s="1"/>
  <c r="A972" i="10" a="1"/>
  <c r="A972" i="10" s="1"/>
  <c r="A973" i="10" a="1"/>
  <c r="A973" i="10" s="1"/>
  <c r="A974" i="10" a="1"/>
  <c r="A974" i="10" s="1"/>
  <c r="A975" i="10" a="1"/>
  <c r="A975" i="10" s="1"/>
  <c r="A976" i="10" a="1"/>
  <c r="A976" i="10" s="1"/>
  <c r="A977" i="10" a="1"/>
  <c r="A977" i="10" s="1"/>
  <c r="A978" i="10" a="1"/>
  <c r="A978" i="10" s="1"/>
  <c r="A979" i="10" a="1"/>
  <c r="A979" i="10" s="1"/>
  <c r="A980" i="10" a="1"/>
  <c r="A980" i="10" s="1"/>
  <c r="A981" i="10" a="1"/>
  <c r="A981" i="10" s="1"/>
  <c r="A982" i="10" a="1"/>
  <c r="A982" i="10" s="1"/>
  <c r="A983" i="10" a="1"/>
  <c r="A983" i="10" s="1"/>
  <c r="A984" i="10" a="1"/>
  <c r="A984" i="10" s="1"/>
  <c r="A985" i="10" a="1"/>
  <c r="A985" i="10" s="1"/>
  <c r="A986" i="10" a="1"/>
  <c r="A986" i="10" s="1"/>
  <c r="A987" i="10" a="1"/>
  <c r="A987" i="10" s="1"/>
  <c r="A988" i="10" a="1"/>
  <c r="A988" i="10" s="1"/>
  <c r="A989" i="10" a="1"/>
  <c r="A989" i="10" s="1"/>
  <c r="A990" i="10" a="1"/>
  <c r="A990" i="10" s="1"/>
  <c r="A991" i="10" a="1"/>
  <c r="A991" i="10" s="1"/>
  <c r="A992" i="10" a="1"/>
  <c r="A992" i="10" s="1"/>
  <c r="A993" i="10" a="1"/>
  <c r="A993" i="10" s="1"/>
  <c r="A994" i="10" a="1"/>
  <c r="A994" i="10" s="1"/>
  <c r="A995" i="10" a="1"/>
  <c r="A995" i="10" s="1"/>
  <c r="A996" i="10" a="1"/>
  <c r="A996" i="10" s="1"/>
  <c r="A997" i="10" a="1"/>
  <c r="A997" i="10" s="1"/>
  <c r="A998" i="10" a="1"/>
  <c r="A998" i="10" s="1"/>
  <c r="A999" i="10" a="1"/>
  <c r="A999" i="10" s="1"/>
  <c r="A1000" i="10" a="1"/>
  <c r="A1000" i="10" s="1"/>
  <c r="A1001" i="10" a="1"/>
  <c r="A1001" i="10" s="1"/>
  <c r="A1002" i="10" a="1"/>
  <c r="A1002" i="10" s="1"/>
  <c r="A1003" i="10" a="1"/>
  <c r="A1003" i="10" s="1"/>
  <c r="A1004" i="10" a="1"/>
  <c r="A1004" i="10" s="1"/>
  <c r="A1005" i="10" a="1"/>
  <c r="A1005" i="10" s="1"/>
  <c r="A1006" i="10" a="1"/>
  <c r="A1006" i="10" s="1"/>
  <c r="A1007" i="10" a="1"/>
  <c r="A1007" i="10" s="1"/>
  <c r="A1008" i="10" a="1"/>
  <c r="A1008" i="10" s="1"/>
  <c r="A1009" i="10" a="1"/>
  <c r="A1009" i="10" s="1"/>
  <c r="A1010" i="10" a="1"/>
  <c r="A1010" i="10" s="1"/>
  <c r="A1011" i="10" a="1"/>
  <c r="A1011" i="10" s="1"/>
  <c r="A1012" i="10" a="1"/>
  <c r="A1012" i="10" s="1"/>
  <c r="A1013" i="10" a="1"/>
  <c r="A1013" i="10" s="1"/>
  <c r="A1014" i="10" a="1"/>
  <c r="A1014" i="10" s="1"/>
  <c r="A1015" i="10" a="1"/>
  <c r="A1015" i="10" s="1"/>
  <c r="A1016" i="10" a="1"/>
  <c r="A1016" i="10" s="1"/>
  <c r="A1017" i="10" a="1"/>
  <c r="A1017" i="10" s="1"/>
  <c r="A1018" i="10" a="1"/>
  <c r="A1018" i="10" s="1"/>
  <c r="A1019" i="10" a="1"/>
  <c r="A1019" i="10" s="1"/>
  <c r="A1020" i="10" a="1"/>
  <c r="A1020" i="10" s="1"/>
  <c r="A1021" i="10" a="1"/>
  <c r="A1021" i="10" s="1"/>
  <c r="A1022" i="10" a="1"/>
  <c r="A1022" i="10" s="1"/>
  <c r="A1023" i="10" a="1"/>
  <c r="A1023" i="10" s="1"/>
  <c r="A1024" i="10" a="1"/>
  <c r="A1024" i="10" s="1"/>
  <c r="A1025" i="10" a="1"/>
  <c r="A1025" i="10" s="1"/>
  <c r="A1026" i="10" a="1"/>
  <c r="A1026" i="10" s="1"/>
  <c r="A1027" i="10" a="1"/>
  <c r="A1027" i="10" s="1"/>
  <c r="A1028" i="10" a="1"/>
  <c r="A1028" i="10" s="1"/>
  <c r="A1029" i="10" a="1"/>
  <c r="A1029" i="10" s="1"/>
  <c r="A1030" i="10" a="1"/>
  <c r="A1030" i="10" s="1"/>
  <c r="A1031" i="10" a="1"/>
  <c r="A1031" i="10" s="1"/>
  <c r="A1032" i="10" a="1"/>
  <c r="A1032" i="10" s="1"/>
  <c r="A1033" i="10" a="1"/>
  <c r="A1033" i="10" s="1"/>
  <c r="A1034" i="10" a="1"/>
  <c r="A1034" i="10" s="1"/>
  <c r="A1035" i="10" a="1"/>
  <c r="A1035" i="10" s="1"/>
  <c r="A1036" i="10" a="1"/>
  <c r="A1036" i="10" s="1"/>
  <c r="A1037" i="10" a="1"/>
  <c r="A1037" i="10" s="1"/>
  <c r="A1038" i="10" a="1"/>
  <c r="A1038" i="10" s="1"/>
  <c r="A1039" i="10" a="1"/>
  <c r="A1039" i="10" s="1"/>
  <c r="A1040" i="10" a="1"/>
  <c r="A1040" i="10" s="1"/>
  <c r="A1041" i="10" a="1"/>
  <c r="A1041" i="10" s="1"/>
  <c r="A1042" i="10" a="1"/>
  <c r="A1042" i="10" s="1"/>
  <c r="A1043" i="10" a="1"/>
  <c r="A1043" i="10" s="1"/>
  <c r="A1044" i="10" a="1"/>
  <c r="A1044" i="10" s="1"/>
  <c r="A1045" i="10" a="1"/>
  <c r="A1045" i="10" s="1"/>
  <c r="A1046" i="10" a="1"/>
  <c r="A1046" i="10" s="1"/>
  <c r="A1047" i="10" a="1"/>
  <c r="A1047" i="10" s="1"/>
  <c r="A1048" i="10" a="1"/>
  <c r="A1048" i="10" s="1"/>
  <c r="A1049" i="10" a="1"/>
  <c r="A1049" i="10" s="1"/>
  <c r="A1050" i="10" a="1"/>
  <c r="A1050" i="10" s="1"/>
  <c r="A1051" i="10" a="1"/>
  <c r="A1051" i="10" s="1"/>
  <c r="A1052" i="10" a="1"/>
  <c r="A1052" i="10" s="1"/>
  <c r="A1053" i="10" a="1"/>
  <c r="A1053" i="10" s="1"/>
  <c r="A1054" i="10" a="1"/>
  <c r="A1054" i="10" s="1"/>
  <c r="A1055" i="10" a="1"/>
  <c r="A1055" i="10" s="1"/>
  <c r="A1056" i="10" a="1"/>
  <c r="A1056" i="10" s="1"/>
  <c r="A1057" i="10" a="1"/>
  <c r="A1057" i="10" s="1"/>
  <c r="A1058" i="10" a="1"/>
  <c r="A1058" i="10" s="1"/>
  <c r="A1059" i="10" a="1"/>
  <c r="A1059" i="10" s="1"/>
  <c r="A1060" i="10" a="1"/>
  <c r="A1060" i="10" s="1"/>
  <c r="A1061" i="10" a="1"/>
  <c r="A1061" i="10" s="1"/>
  <c r="A1062" i="10" a="1"/>
  <c r="A1062" i="10" s="1"/>
  <c r="A1063" i="10" a="1"/>
  <c r="A1063" i="10" s="1"/>
  <c r="A1064" i="10" a="1"/>
  <c r="A1064" i="10" s="1"/>
  <c r="A1065" i="10" a="1"/>
  <c r="A1065" i="10" s="1"/>
  <c r="A1066" i="10" a="1"/>
  <c r="A1066" i="10" s="1"/>
  <c r="A1067" i="10" a="1"/>
  <c r="A1067" i="10" s="1"/>
  <c r="A1068" i="10" a="1"/>
  <c r="A1068" i="10" s="1"/>
  <c r="A1069" i="10" a="1"/>
  <c r="A1069" i="10" s="1"/>
  <c r="A1070" i="10" a="1"/>
  <c r="A1070" i="10" s="1"/>
  <c r="A1071" i="10" a="1"/>
  <c r="A1071" i="10" s="1"/>
  <c r="A1072" i="10" a="1"/>
  <c r="A1072" i="10" s="1"/>
  <c r="A1073" i="10" a="1"/>
  <c r="A1073" i="10" s="1"/>
  <c r="A1074" i="10" a="1"/>
  <c r="A1074" i="10" s="1"/>
  <c r="A1075" i="10" a="1"/>
  <c r="A1075" i="10" s="1"/>
  <c r="A1076" i="10" a="1"/>
  <c r="A1076" i="10" s="1"/>
  <c r="A1077" i="10" a="1"/>
  <c r="A1077" i="10" s="1"/>
  <c r="A1078" i="10" a="1"/>
  <c r="A1078" i="10" s="1"/>
  <c r="A1079" i="10" a="1"/>
  <c r="A1079" i="10" s="1"/>
  <c r="A1080" i="10" a="1"/>
  <c r="A1080" i="10" s="1"/>
  <c r="A1081" i="10" a="1"/>
  <c r="A1081" i="10" s="1"/>
  <c r="A1082" i="10" a="1"/>
  <c r="A1082" i="10" s="1"/>
  <c r="A1083" i="10" a="1"/>
  <c r="A1083" i="10" s="1"/>
  <c r="A1084" i="10" a="1"/>
  <c r="A1084" i="10" s="1"/>
  <c r="A1085" i="10" a="1"/>
  <c r="A1085" i="10" s="1"/>
  <c r="A1086" i="10" a="1"/>
  <c r="A1086" i="10" s="1"/>
  <c r="A1087" i="10" a="1"/>
  <c r="A1087" i="10" s="1"/>
  <c r="A1088" i="10" a="1"/>
  <c r="A1088" i="10" s="1"/>
  <c r="A1089" i="10" a="1"/>
  <c r="A1089" i="10" s="1"/>
  <c r="A1090" i="10" a="1"/>
  <c r="A1090" i="10" s="1"/>
  <c r="A1091" i="10" a="1"/>
  <c r="A1091" i="10" s="1"/>
  <c r="A1092" i="10" a="1"/>
  <c r="A1092" i="10" s="1"/>
  <c r="A1093" i="10" a="1"/>
  <c r="A1093" i="10" s="1"/>
  <c r="A1094" i="10" a="1"/>
  <c r="A1094" i="10" s="1"/>
  <c r="A1095" i="10" a="1"/>
  <c r="A1095" i="10" s="1"/>
  <c r="A1096" i="10" a="1"/>
  <c r="A1096" i="10" s="1"/>
  <c r="A1097" i="10" a="1"/>
  <c r="A1097" i="10" s="1"/>
  <c r="A1098" i="10" a="1"/>
  <c r="A1098" i="10" s="1"/>
  <c r="A1099" i="10" a="1"/>
  <c r="A1099" i="10" s="1"/>
  <c r="A1100" i="10" a="1"/>
  <c r="A1100" i="10" s="1"/>
  <c r="A1101" i="10" a="1"/>
  <c r="A1101" i="10" s="1"/>
  <c r="A1102" i="10" a="1"/>
  <c r="A1102" i="10" s="1"/>
  <c r="A1103" i="10" a="1"/>
  <c r="A1103" i="10" s="1"/>
  <c r="A1104" i="10" a="1"/>
  <c r="A1104" i="10" s="1"/>
  <c r="A1105" i="10" a="1"/>
  <c r="A1105" i="10" s="1"/>
  <c r="A1106" i="10" a="1"/>
  <c r="A1106" i="10" s="1"/>
  <c r="A1107" i="10" a="1"/>
  <c r="A1107" i="10" s="1"/>
  <c r="A1108" i="10" a="1"/>
  <c r="A1108" i="10" s="1"/>
  <c r="A1109" i="10" a="1"/>
  <c r="A1109" i="10" s="1"/>
  <c r="A1110" i="10" a="1"/>
  <c r="A1110" i="10" s="1"/>
  <c r="A1111" i="10" a="1"/>
  <c r="A1111" i="10" s="1"/>
  <c r="A1112" i="10" a="1"/>
  <c r="A1112" i="10" s="1"/>
  <c r="A1113" i="10" a="1"/>
  <c r="A1113" i="10" s="1"/>
  <c r="A1114" i="10" a="1"/>
  <c r="A1114" i="10" s="1"/>
  <c r="A1115" i="10" a="1"/>
  <c r="A1115" i="10" s="1"/>
  <c r="A1116" i="10" a="1"/>
  <c r="A1116" i="10" s="1"/>
  <c r="A1117" i="10" a="1"/>
  <c r="A1117" i="10" s="1"/>
  <c r="A1118" i="10" a="1"/>
  <c r="A1118" i="10" s="1"/>
  <c r="A1119" i="10" a="1"/>
  <c r="A1119" i="10" s="1"/>
  <c r="A1120" i="10" a="1"/>
  <c r="A1120" i="10" s="1"/>
  <c r="A1121" i="10" a="1"/>
  <c r="A1121" i="10" s="1"/>
  <c r="A1122" i="10" a="1"/>
  <c r="A1122" i="10" s="1"/>
  <c r="A1123" i="10" a="1"/>
  <c r="A1123" i="10" s="1"/>
  <c r="A1124" i="10" a="1"/>
  <c r="A1124" i="10" s="1"/>
  <c r="A1125" i="10" a="1"/>
  <c r="A1125" i="10" s="1"/>
  <c r="A1126" i="10" a="1"/>
  <c r="A1126" i="10" s="1"/>
  <c r="A1127" i="10" a="1"/>
  <c r="A1127" i="10" s="1"/>
  <c r="A1128" i="10" a="1"/>
  <c r="A1128" i="10" s="1"/>
  <c r="A1129" i="10" a="1"/>
  <c r="A1129" i="10" s="1"/>
  <c r="A1130" i="10" a="1"/>
  <c r="A1130" i="10" s="1"/>
  <c r="A1131" i="10" a="1"/>
  <c r="A1131" i="10" s="1"/>
  <c r="A1132" i="10" a="1"/>
  <c r="A1132" i="10" s="1"/>
  <c r="A1133" i="10" a="1"/>
  <c r="A1133" i="10" s="1"/>
  <c r="A1134" i="10" a="1"/>
  <c r="A1134" i="10" s="1"/>
  <c r="A1135" i="10" a="1"/>
  <c r="A1135" i="10" s="1"/>
  <c r="A1136" i="10" a="1"/>
  <c r="A1136" i="10" s="1"/>
  <c r="A1137" i="10" a="1"/>
  <c r="A1137" i="10" s="1"/>
  <c r="A1138" i="10" a="1"/>
  <c r="A1138" i="10" s="1"/>
  <c r="A1139" i="10" a="1"/>
  <c r="A1139" i="10" s="1"/>
  <c r="A1140" i="10" a="1"/>
  <c r="A1140" i="10" s="1"/>
  <c r="A1141" i="10" a="1"/>
  <c r="A1141" i="10" s="1"/>
  <c r="A1142" i="10" a="1"/>
  <c r="A1142" i="10" s="1"/>
  <c r="A1143" i="10" a="1"/>
  <c r="A1143" i="10" s="1"/>
  <c r="A1144" i="10" a="1"/>
  <c r="A1144" i="10" s="1"/>
  <c r="A1145" i="10" a="1"/>
  <c r="A1145" i="10" s="1"/>
  <c r="A1146" i="10" a="1"/>
  <c r="A1146" i="10" s="1"/>
  <c r="A1147" i="10" a="1"/>
  <c r="A1147" i="10" s="1"/>
  <c r="A1148" i="10" a="1"/>
  <c r="A1148" i="10" s="1"/>
  <c r="A1149" i="10" a="1"/>
  <c r="A1149" i="10" s="1"/>
  <c r="A1150" i="10" a="1"/>
  <c r="A1150" i="10" s="1"/>
  <c r="A1151" i="10" a="1"/>
  <c r="A1151" i="10" s="1"/>
  <c r="A1152" i="10" a="1"/>
  <c r="A1152" i="10" s="1"/>
  <c r="A1153" i="10" a="1"/>
  <c r="A1153" i="10" s="1"/>
  <c r="A1154" i="10" a="1"/>
  <c r="A1154" i="10" s="1"/>
  <c r="A1155" i="10" a="1"/>
  <c r="A1155" i="10" s="1"/>
  <c r="A1156" i="10" a="1"/>
  <c r="A1156" i="10" s="1"/>
  <c r="A1157" i="10" a="1"/>
  <c r="A1157" i="10" s="1"/>
  <c r="A1158" i="10" a="1"/>
  <c r="A1158" i="10" s="1"/>
  <c r="A1159" i="10" a="1"/>
  <c r="A1159" i="10" s="1"/>
  <c r="A1160" i="10" a="1"/>
  <c r="A1160" i="10" s="1"/>
  <c r="A1161" i="10" a="1"/>
  <c r="A1161" i="10" s="1"/>
  <c r="A1162" i="10" a="1"/>
  <c r="A1162" i="10" s="1"/>
  <c r="A1163" i="10" a="1"/>
  <c r="A1163" i="10" s="1"/>
  <c r="A1164" i="10" a="1"/>
  <c r="A1164" i="10" s="1"/>
  <c r="A1165" i="10" a="1"/>
  <c r="A1165" i="10" s="1"/>
  <c r="A1166" i="10" a="1"/>
  <c r="A1166" i="10" s="1"/>
  <c r="A1167" i="10" a="1"/>
  <c r="A1167" i="10" s="1"/>
  <c r="A1168" i="10" a="1"/>
  <c r="A1168" i="10" s="1"/>
  <c r="A1169" i="10" a="1"/>
  <c r="A1169" i="10" s="1"/>
  <c r="A1170" i="10" a="1"/>
  <c r="A1170" i="10" s="1"/>
  <c r="A1171" i="10" a="1"/>
  <c r="A1171" i="10" s="1"/>
  <c r="A1172" i="10" a="1"/>
  <c r="A1172" i="10" s="1"/>
  <c r="A1173" i="10" a="1"/>
  <c r="A1173" i="10" s="1"/>
  <c r="A1174" i="10" a="1"/>
  <c r="A1174" i="10" s="1"/>
  <c r="A1175" i="10" a="1"/>
  <c r="A1175" i="10" s="1"/>
  <c r="A1176" i="10" a="1"/>
  <c r="A1176" i="10" s="1"/>
  <c r="A1177" i="10" a="1"/>
  <c r="A1177" i="10" s="1"/>
  <c r="A1178" i="10" a="1"/>
  <c r="A1178" i="10" s="1"/>
  <c r="A1179" i="10" a="1"/>
  <c r="A1179" i="10" s="1"/>
  <c r="A1180" i="10" a="1"/>
  <c r="A1180" i="10" s="1"/>
  <c r="A1181" i="10" a="1"/>
  <c r="A1181" i="10" s="1"/>
  <c r="A1182" i="10" a="1"/>
  <c r="A1182" i="10" s="1"/>
  <c r="A1183" i="10" a="1"/>
  <c r="A1183" i="10" s="1"/>
  <c r="A1184" i="10" a="1"/>
  <c r="A1184" i="10" s="1"/>
  <c r="A1185" i="10" a="1"/>
  <c r="A1185" i="10" s="1"/>
  <c r="A1186" i="10" a="1"/>
  <c r="A1186" i="10" s="1"/>
  <c r="A1187" i="10" a="1"/>
  <c r="A1187" i="10" s="1"/>
  <c r="A1188" i="10" a="1"/>
  <c r="A1188" i="10" s="1"/>
  <c r="A1189" i="10" a="1"/>
  <c r="A1189" i="10" s="1"/>
  <c r="A1190" i="10" a="1"/>
  <c r="A1190" i="10" s="1"/>
  <c r="A1191" i="10" a="1"/>
  <c r="A1191" i="10" s="1"/>
  <c r="A1192" i="10" a="1"/>
  <c r="A1192" i="10" s="1"/>
  <c r="A1193" i="10" a="1"/>
  <c r="A1193" i="10" s="1"/>
  <c r="A1194" i="10" a="1"/>
  <c r="A1194" i="10" s="1"/>
  <c r="A1195" i="10" a="1"/>
  <c r="A1195" i="10" s="1"/>
  <c r="A1196" i="10" a="1"/>
  <c r="A1196" i="10" s="1"/>
  <c r="A1197" i="10" a="1"/>
  <c r="A1197" i="10" s="1"/>
  <c r="A1198" i="10" a="1"/>
  <c r="A1198" i="10" s="1"/>
  <c r="A1199" i="10" a="1"/>
  <c r="A1199" i="10" s="1"/>
  <c r="A1200" i="10" a="1"/>
  <c r="A1200" i="10" s="1"/>
  <c r="A1201" i="10" a="1"/>
  <c r="A1201" i="10" s="1"/>
  <c r="A1202" i="10" a="1"/>
  <c r="A1202" i="10" s="1"/>
  <c r="A1203" i="10" a="1"/>
  <c r="A1203" i="10" s="1"/>
  <c r="A1204" i="10" a="1"/>
  <c r="A1204" i="10" s="1"/>
  <c r="A1205" i="10" a="1"/>
  <c r="A1205" i="10" s="1"/>
  <c r="A1206" i="10" a="1"/>
  <c r="A1206" i="10" s="1"/>
  <c r="A1207" i="10" a="1"/>
  <c r="A1207" i="10" s="1"/>
  <c r="A1208" i="10" a="1"/>
  <c r="A1208" i="10" s="1"/>
  <c r="A1209" i="10" a="1"/>
  <c r="A1209" i="10" s="1"/>
  <c r="A1210" i="10" a="1"/>
  <c r="A1210" i="10" s="1"/>
  <c r="A1211" i="10" a="1"/>
  <c r="A1211" i="10" s="1"/>
  <c r="A1212" i="10" a="1"/>
  <c r="A1212" i="10" s="1"/>
  <c r="A1213" i="10" a="1"/>
  <c r="A1213" i="10" s="1"/>
  <c r="A1214" i="10" a="1"/>
  <c r="A1214" i="10" s="1"/>
  <c r="A1215" i="10" a="1"/>
  <c r="A1215" i="10" s="1"/>
  <c r="A1216" i="10" a="1"/>
  <c r="A1216" i="10" s="1"/>
  <c r="A1217" i="10" a="1"/>
  <c r="A1217" i="10" s="1"/>
  <c r="A1218" i="10" a="1"/>
  <c r="A1218" i="10" s="1"/>
  <c r="A1219" i="10" a="1"/>
  <c r="A1219" i="10" s="1"/>
  <c r="A1220" i="10" a="1"/>
  <c r="A1220" i="10" s="1"/>
  <c r="A1221" i="10" a="1"/>
  <c r="A1221" i="10" s="1"/>
  <c r="A1222" i="10" a="1"/>
  <c r="A1222" i="10" s="1"/>
  <c r="A1223" i="10" a="1"/>
  <c r="A1223" i="10" s="1"/>
  <c r="A1224" i="10" a="1"/>
  <c r="A1224" i="10" s="1"/>
  <c r="A1225" i="10" a="1"/>
  <c r="A1225" i="10" s="1"/>
  <c r="A1226" i="10" a="1"/>
  <c r="A1226" i="10" s="1"/>
  <c r="A1227" i="10" a="1"/>
  <c r="A1227" i="10" s="1"/>
  <c r="A1228" i="10" a="1"/>
  <c r="A1228" i="10" s="1"/>
  <c r="A1229" i="10" a="1"/>
  <c r="A1229" i="10" s="1"/>
  <c r="A1230" i="10" a="1"/>
  <c r="A1230" i="10" s="1"/>
  <c r="A1231" i="10" a="1"/>
  <c r="A1231" i="10" s="1"/>
  <c r="A1232" i="10" a="1"/>
  <c r="A1232" i="10" s="1"/>
  <c r="A1233" i="10" a="1"/>
  <c r="A1233" i="10" s="1"/>
  <c r="A1234" i="10" a="1"/>
  <c r="A1234" i="10" s="1"/>
  <c r="A1235" i="10" a="1"/>
  <c r="A1235" i="10" s="1"/>
  <c r="A1236" i="10" a="1"/>
  <c r="A1236" i="10" s="1"/>
  <c r="A1237" i="10" a="1"/>
  <c r="A1237" i="10" s="1"/>
  <c r="A1238" i="10" a="1"/>
  <c r="A1238" i="10" s="1"/>
  <c r="A1239" i="10" a="1"/>
  <c r="A1239" i="10" s="1"/>
  <c r="A1240" i="10" a="1"/>
  <c r="A1240" i="10" s="1"/>
  <c r="A1241" i="10" a="1"/>
  <c r="A1241" i="10" s="1"/>
  <c r="A1242" i="10" a="1"/>
  <c r="A1242" i="10" s="1"/>
  <c r="A1243" i="10" a="1"/>
  <c r="A1243" i="10" s="1"/>
  <c r="A1244" i="10" a="1"/>
  <c r="A1244" i="10" s="1"/>
  <c r="A1245" i="10" a="1"/>
  <c r="A1245" i="10" s="1"/>
  <c r="A1246" i="10" a="1"/>
  <c r="A1246" i="10" s="1"/>
  <c r="A1247" i="10" a="1"/>
  <c r="A1247" i="10" s="1"/>
  <c r="A1248" i="10" a="1"/>
  <c r="A1248" i="10" s="1"/>
  <c r="A1249" i="10" a="1"/>
  <c r="A1249" i="10" s="1"/>
  <c r="A1250" i="10" a="1"/>
  <c r="A1250" i="10" s="1"/>
  <c r="A1251" i="10" a="1"/>
  <c r="A1251" i="10" s="1"/>
  <c r="A1252" i="10" a="1"/>
  <c r="A1252" i="10" s="1"/>
  <c r="A1253" i="10" a="1"/>
  <c r="A1253" i="10" s="1"/>
  <c r="A1254" i="10" a="1"/>
  <c r="A1254" i="10" s="1"/>
  <c r="A1255" i="10" a="1"/>
  <c r="A1255" i="10" s="1"/>
  <c r="A1256" i="10" a="1"/>
  <c r="A1256" i="10" s="1"/>
  <c r="A1257" i="10" a="1"/>
  <c r="A1257" i="10" s="1"/>
  <c r="A1258" i="10" a="1"/>
  <c r="A1258" i="10" s="1"/>
  <c r="A1259" i="10" a="1"/>
  <c r="A1259" i="10" s="1"/>
  <c r="A1260" i="10" a="1"/>
  <c r="A1260" i="10" s="1"/>
  <c r="A1261" i="10" a="1"/>
  <c r="A1261" i="10" s="1"/>
  <c r="A1262" i="10" a="1"/>
  <c r="A1262" i="10" s="1"/>
  <c r="A1263" i="10" a="1"/>
  <c r="A1263" i="10" s="1"/>
  <c r="A1264" i="10" a="1"/>
  <c r="A1264" i="10" s="1"/>
  <c r="A1265" i="10" a="1"/>
  <c r="A1265" i="10" s="1"/>
  <c r="A1266" i="10" a="1"/>
  <c r="A1266" i="10" s="1"/>
  <c r="A1267" i="10" a="1"/>
  <c r="A1267" i="10" s="1"/>
  <c r="A1268" i="10" a="1"/>
  <c r="A1268" i="10" s="1"/>
  <c r="A1269" i="10" a="1"/>
  <c r="A1269" i="10" s="1"/>
  <c r="A1270" i="10" a="1"/>
  <c r="A1270" i="10" s="1"/>
  <c r="A1271" i="10" a="1"/>
  <c r="A1271" i="10" s="1"/>
  <c r="A1272" i="10" a="1"/>
  <c r="A1272" i="10" s="1"/>
  <c r="A1273" i="10" a="1"/>
  <c r="A1273" i="10" s="1"/>
  <c r="A1274" i="10" a="1"/>
  <c r="A1274" i="10" s="1"/>
  <c r="A1275" i="10" a="1"/>
  <c r="A1275" i="10" s="1"/>
  <c r="A1276" i="10" a="1"/>
  <c r="A1276" i="10" s="1"/>
  <c r="A1277" i="10" a="1"/>
  <c r="A1277" i="10" s="1"/>
  <c r="A1278" i="10" a="1"/>
  <c r="A1278" i="10" s="1"/>
  <c r="A1279" i="10" a="1"/>
  <c r="A1279" i="10" s="1"/>
  <c r="A1280" i="10" a="1"/>
  <c r="A1280" i="10" s="1"/>
  <c r="A1281" i="10" a="1"/>
  <c r="A1281" i="10" s="1"/>
  <c r="A1282" i="10" a="1"/>
  <c r="A1282" i="10" s="1"/>
  <c r="A1283" i="10" a="1"/>
  <c r="A1283" i="10" s="1"/>
  <c r="A1284" i="10" a="1"/>
  <c r="A1284" i="10" s="1"/>
  <c r="A1285" i="10" a="1"/>
  <c r="A1285" i="10" s="1"/>
  <c r="A1286" i="10" a="1"/>
  <c r="A1286" i="10" s="1"/>
  <c r="A1287" i="10" a="1"/>
  <c r="A1287" i="10" s="1"/>
  <c r="A1288" i="10" a="1"/>
  <c r="A1288" i="10" s="1"/>
  <c r="A1289" i="10" a="1"/>
  <c r="A1289" i="10" s="1"/>
  <c r="A1290" i="10" a="1"/>
  <c r="A1290" i="10" s="1"/>
  <c r="A1291" i="10" a="1"/>
  <c r="A1291" i="10" s="1"/>
  <c r="A1292" i="10" a="1"/>
  <c r="A1292" i="10" s="1"/>
  <c r="A1293" i="10" a="1"/>
  <c r="A1293" i="10" s="1"/>
  <c r="A1294" i="10" a="1"/>
  <c r="A1294" i="10" s="1"/>
  <c r="A1295" i="10" a="1"/>
  <c r="A1295" i="10" s="1"/>
  <c r="A1296" i="10" a="1"/>
  <c r="A1296" i="10" s="1"/>
  <c r="A1297" i="10" a="1"/>
  <c r="A1297" i="10" s="1"/>
  <c r="A1298" i="10" a="1"/>
  <c r="A1298" i="10" s="1"/>
  <c r="A1299" i="10" a="1"/>
  <c r="A1299" i="10" s="1"/>
  <c r="A1300" i="10" a="1"/>
  <c r="A1300" i="10" s="1"/>
  <c r="A1301" i="10" a="1"/>
  <c r="A1301" i="10" s="1"/>
  <c r="A1302" i="10" a="1"/>
  <c r="A1302" i="10" s="1"/>
  <c r="A1303" i="10" a="1"/>
  <c r="A1303" i="10" s="1"/>
  <c r="A1304" i="10" a="1"/>
  <c r="A1304" i="10" s="1"/>
  <c r="A1305" i="10" a="1"/>
  <c r="A1305" i="10" s="1"/>
  <c r="A1306" i="10" a="1"/>
  <c r="A1306" i="10" s="1"/>
  <c r="A1307" i="10" a="1"/>
  <c r="A1307" i="10" s="1"/>
  <c r="A1308" i="10" a="1"/>
  <c r="A1308" i="10" s="1"/>
  <c r="A1309" i="10" a="1"/>
  <c r="A1309" i="10" s="1"/>
  <c r="A1310" i="10" a="1"/>
  <c r="A1310" i="10" s="1"/>
  <c r="A1311" i="10" a="1"/>
  <c r="A1311" i="10" s="1"/>
  <c r="A1312" i="10" a="1"/>
  <c r="A1312" i="10" s="1"/>
  <c r="A1313" i="10" a="1"/>
  <c r="A1313" i="10" s="1"/>
  <c r="A1314" i="10" a="1"/>
  <c r="A1314" i="10" s="1"/>
  <c r="A1315" i="10" a="1"/>
  <c r="A1315" i="10" s="1"/>
  <c r="A1316" i="10" a="1"/>
  <c r="A1316" i="10" s="1"/>
  <c r="A1317" i="10" a="1"/>
  <c r="A1317" i="10" s="1"/>
  <c r="A1318" i="10" a="1"/>
  <c r="A1318" i="10" s="1"/>
  <c r="A1319" i="10" a="1"/>
  <c r="A1319" i="10" s="1"/>
  <c r="A1320" i="10" a="1"/>
  <c r="A1320" i="10" s="1"/>
  <c r="A1321" i="10" a="1"/>
  <c r="A1321" i="10" s="1"/>
  <c r="A1322" i="10" a="1"/>
  <c r="A1322" i="10" s="1"/>
  <c r="A1323" i="10" a="1"/>
  <c r="A1323" i="10" s="1"/>
  <c r="A1324" i="10" a="1"/>
  <c r="A1324" i="10" s="1"/>
  <c r="A1325" i="10" a="1"/>
  <c r="A1325" i="10" s="1"/>
  <c r="A1326" i="10" a="1"/>
  <c r="A1326" i="10" s="1"/>
  <c r="A1327" i="10" a="1"/>
  <c r="A1327" i="10" s="1"/>
  <c r="A1328" i="10" a="1"/>
  <c r="A1328" i="10" s="1"/>
  <c r="A1329" i="10" a="1"/>
  <c r="A1329" i="10" s="1"/>
  <c r="A1330" i="10" a="1"/>
  <c r="A1330" i="10" s="1"/>
  <c r="A1331" i="10" a="1"/>
  <c r="A1331" i="10" s="1"/>
  <c r="A1332" i="10" a="1"/>
  <c r="A1332" i="10" s="1"/>
  <c r="A1333" i="10" a="1"/>
  <c r="A1333" i="10" s="1"/>
  <c r="A1334" i="10" a="1"/>
  <c r="A1334" i="10" s="1"/>
  <c r="A1335" i="10" a="1"/>
  <c r="A1335" i="10" s="1"/>
  <c r="A1336" i="10" a="1"/>
  <c r="A1336" i="10" s="1"/>
  <c r="A1337" i="10" a="1"/>
  <c r="A1337" i="10" s="1"/>
  <c r="A1338" i="10" a="1"/>
  <c r="A1338" i="10" s="1"/>
  <c r="A1339" i="10" a="1"/>
  <c r="A1339" i="10" s="1"/>
  <c r="A1340" i="10" a="1"/>
  <c r="A1340" i="10" s="1"/>
  <c r="A1341" i="10" a="1"/>
  <c r="A1341" i="10" s="1"/>
  <c r="A1342" i="10" a="1"/>
  <c r="A1342" i="10" s="1"/>
  <c r="A1343" i="10" a="1"/>
  <c r="A1343" i="10" s="1"/>
  <c r="A1344" i="10" a="1"/>
  <c r="A1344" i="10" s="1"/>
  <c r="A1345" i="10" a="1"/>
  <c r="A1345" i="10" s="1"/>
  <c r="A1346" i="10" a="1"/>
  <c r="A1346" i="10" s="1"/>
  <c r="A1347" i="10" a="1"/>
  <c r="A1347" i="10" s="1"/>
  <c r="A1348" i="10" a="1"/>
  <c r="A1348" i="10" s="1"/>
  <c r="A1349" i="10" a="1"/>
  <c r="A1349" i="10" s="1"/>
  <c r="A1350" i="10" a="1"/>
  <c r="A1350" i="10" s="1"/>
  <c r="A1351" i="10" a="1"/>
  <c r="A1351" i="10" s="1"/>
  <c r="A1352" i="10" a="1"/>
  <c r="A1352" i="10" s="1"/>
  <c r="A1353" i="10" a="1"/>
  <c r="A1353" i="10" s="1"/>
  <c r="A1354" i="10" a="1"/>
  <c r="A1354" i="10" s="1"/>
  <c r="A1355" i="10" a="1"/>
  <c r="A1355" i="10" s="1"/>
  <c r="A1356" i="10" a="1"/>
  <c r="A1356" i="10" s="1"/>
  <c r="A1357" i="10" a="1"/>
  <c r="A1357" i="10" s="1"/>
  <c r="A1358" i="10" a="1"/>
  <c r="A1358" i="10" s="1"/>
  <c r="A1359" i="10" a="1"/>
  <c r="A1359" i="10" s="1"/>
  <c r="A1360" i="10" a="1"/>
  <c r="A1360" i="10" s="1"/>
  <c r="A1361" i="10" a="1"/>
  <c r="A1361" i="10" s="1"/>
  <c r="A1362" i="10" a="1"/>
  <c r="A1362" i="10" s="1"/>
  <c r="A1363" i="10" a="1"/>
  <c r="A1363" i="10" s="1"/>
  <c r="A1364" i="10" a="1"/>
  <c r="A1364" i="10" s="1"/>
  <c r="A1365" i="10" a="1"/>
  <c r="A1365" i="10" s="1"/>
  <c r="A1366" i="10" a="1"/>
  <c r="A1366" i="10" s="1"/>
  <c r="A1367" i="10" a="1"/>
  <c r="A1367" i="10" s="1"/>
  <c r="A1368" i="10" a="1"/>
  <c r="A1368" i="10" s="1"/>
  <c r="A1369" i="10" a="1"/>
  <c r="A1369" i="10" s="1"/>
  <c r="A1370" i="10" a="1"/>
  <c r="A1370" i="10" s="1"/>
  <c r="A1371" i="10" a="1"/>
  <c r="A1371" i="10" s="1"/>
  <c r="A1372" i="10" a="1"/>
  <c r="A1372" i="10" s="1"/>
  <c r="A1373" i="10" a="1"/>
  <c r="A1373" i="10" s="1"/>
  <c r="A1374" i="10" a="1"/>
  <c r="A1374" i="10" s="1"/>
  <c r="A1375" i="10" a="1"/>
  <c r="A1375" i="10" s="1"/>
  <c r="A1376" i="10" a="1"/>
  <c r="A1376" i="10" s="1"/>
  <c r="A1377" i="10" a="1"/>
  <c r="A1377" i="10" s="1"/>
  <c r="A1378" i="10" a="1"/>
  <c r="A1378" i="10" s="1"/>
  <c r="A1379" i="10" a="1"/>
  <c r="A1379" i="10" s="1"/>
  <c r="A1380" i="10" a="1"/>
  <c r="A1380" i="10" s="1"/>
  <c r="A1381" i="10" a="1"/>
  <c r="A1381" i="10" s="1"/>
  <c r="A1382" i="10" a="1"/>
  <c r="A1382" i="10" s="1"/>
  <c r="A1383" i="10" a="1"/>
  <c r="A1383" i="10" s="1"/>
  <c r="A1384" i="10" a="1"/>
  <c r="A1384" i="10" s="1"/>
  <c r="A1385" i="10" a="1"/>
  <c r="A1385" i="10" s="1"/>
  <c r="A1386" i="10" a="1"/>
  <c r="A1386" i="10" s="1"/>
  <c r="A1387" i="10" a="1"/>
  <c r="A1387" i="10" s="1"/>
  <c r="A1388" i="10" a="1"/>
  <c r="A1388" i="10" s="1"/>
  <c r="A1389" i="10" a="1"/>
  <c r="A1389" i="10" s="1"/>
  <c r="A1390" i="10" a="1"/>
  <c r="A1390" i="10" s="1"/>
  <c r="A1391" i="10" a="1"/>
  <c r="A1391" i="10" s="1"/>
  <c r="A1392" i="10" a="1"/>
  <c r="A1392" i="10" s="1"/>
  <c r="A1393" i="10" a="1"/>
  <c r="A1393" i="10" s="1"/>
  <c r="A1394" i="10" a="1"/>
  <c r="A1394" i="10" s="1"/>
  <c r="A1395" i="10" a="1"/>
  <c r="A1395" i="10" s="1"/>
  <c r="A1396" i="10" a="1"/>
  <c r="A1396" i="10" s="1"/>
  <c r="A1397" i="10" a="1"/>
  <c r="A1397" i="10" s="1"/>
  <c r="A1398" i="10" a="1"/>
  <c r="A1398" i="10" s="1"/>
  <c r="A1399" i="10" a="1"/>
  <c r="A1399" i="10" s="1"/>
  <c r="A1400" i="10" a="1"/>
  <c r="A1400" i="10" s="1"/>
  <c r="A1401" i="10" a="1"/>
  <c r="A1401" i="10" s="1"/>
  <c r="A1402" i="10" a="1"/>
  <c r="A1402" i="10" s="1"/>
  <c r="A1403" i="10" a="1"/>
  <c r="A1403" i="10" s="1"/>
  <c r="A1404" i="10" a="1"/>
  <c r="A1404" i="10" s="1"/>
  <c r="A1405" i="10" a="1"/>
  <c r="A1405" i="10" s="1"/>
  <c r="A1406" i="10" a="1"/>
  <c r="A1406" i="10" s="1"/>
  <c r="A1407" i="10" a="1"/>
  <c r="A1407" i="10" s="1"/>
  <c r="A1408" i="10" a="1"/>
  <c r="A1408" i="10" s="1"/>
  <c r="A1409" i="10" a="1"/>
  <c r="A1409" i="10" s="1"/>
  <c r="A1410" i="10" a="1"/>
  <c r="A1410" i="10" s="1"/>
  <c r="A1411" i="10" a="1"/>
  <c r="A1411" i="10" s="1"/>
  <c r="A1412" i="10" a="1"/>
  <c r="A1412" i="10" s="1"/>
  <c r="A1413" i="10" a="1"/>
  <c r="A1413" i="10" s="1"/>
  <c r="A1414" i="10" a="1"/>
  <c r="A1414" i="10" s="1"/>
  <c r="A1415" i="10" a="1"/>
  <c r="A1415" i="10" s="1"/>
  <c r="A1416" i="10" a="1"/>
  <c r="A1416" i="10" s="1"/>
  <c r="A1417" i="10" a="1"/>
  <c r="A1417" i="10" s="1"/>
  <c r="A1418" i="10" a="1"/>
  <c r="A1418" i="10" s="1"/>
  <c r="A1419" i="10" a="1"/>
  <c r="A1419" i="10" s="1"/>
  <c r="A1420" i="10" a="1"/>
  <c r="A1420" i="10" s="1"/>
  <c r="A1421" i="10" a="1"/>
  <c r="A1421" i="10" s="1"/>
  <c r="A1422" i="10" a="1"/>
  <c r="A1422" i="10" s="1"/>
  <c r="A1423" i="10" a="1"/>
  <c r="A1423" i="10" s="1"/>
  <c r="A1424" i="10" a="1"/>
  <c r="A1424" i="10" s="1"/>
  <c r="A1425" i="10" a="1"/>
  <c r="A1425" i="10" s="1"/>
  <c r="A1426" i="10" a="1"/>
  <c r="A1426" i="10" s="1"/>
  <c r="A1427" i="10" a="1"/>
  <c r="A1427" i="10" s="1"/>
  <c r="A1428" i="10" a="1"/>
  <c r="A1428" i="10" s="1"/>
  <c r="A1429" i="10" a="1"/>
  <c r="A1429" i="10" s="1"/>
  <c r="A1430" i="10" a="1"/>
  <c r="A1430" i="10" s="1"/>
  <c r="A1431" i="10" a="1"/>
  <c r="A1431" i="10" s="1"/>
  <c r="A1432" i="10" a="1"/>
  <c r="A1432" i="10" s="1"/>
  <c r="A1433" i="10" a="1"/>
  <c r="A1433" i="10" s="1"/>
  <c r="A1434" i="10" a="1"/>
  <c r="A1434" i="10" s="1"/>
  <c r="A1435" i="10" a="1"/>
  <c r="A1435" i="10" s="1"/>
  <c r="A1436" i="10" a="1"/>
  <c r="A1436" i="10" s="1"/>
  <c r="A1437" i="10" a="1"/>
  <c r="A1437" i="10" s="1"/>
  <c r="A1438" i="10" a="1"/>
  <c r="A1438" i="10" s="1"/>
  <c r="A1439" i="10" a="1"/>
  <c r="A1439" i="10" s="1"/>
  <c r="A1440" i="10" a="1"/>
  <c r="A1440" i="10" s="1"/>
  <c r="A1441" i="10" a="1"/>
  <c r="A1441" i="10" s="1"/>
  <c r="A1442" i="10" a="1"/>
  <c r="A1442" i="10" s="1"/>
  <c r="A1443" i="10" a="1"/>
  <c r="A1443" i="10" s="1"/>
  <c r="A1444" i="10" a="1"/>
  <c r="A1444" i="10" s="1"/>
  <c r="A1445" i="10" a="1"/>
  <c r="A1445" i="10" s="1"/>
  <c r="A1446" i="10" a="1"/>
  <c r="A1446" i="10" s="1"/>
  <c r="A1447" i="10" a="1"/>
  <c r="A1447" i="10" s="1"/>
  <c r="A1448" i="10" a="1"/>
  <c r="A1448" i="10" s="1"/>
  <c r="A1449" i="10" a="1"/>
  <c r="A1449" i="10" s="1"/>
  <c r="A1450" i="10" a="1"/>
  <c r="A1450" i="10" s="1"/>
  <c r="A1451" i="10" a="1"/>
  <c r="A1451" i="10" s="1"/>
  <c r="A1452" i="10" a="1"/>
  <c r="A1452" i="10" s="1"/>
  <c r="A1453" i="10" a="1"/>
  <c r="A1453" i="10" s="1"/>
  <c r="A1454" i="10" a="1"/>
  <c r="A1454" i="10" s="1"/>
  <c r="A1455" i="10" a="1"/>
  <c r="A1455" i="10" s="1"/>
  <c r="A1456" i="10" a="1"/>
  <c r="A1456" i="10" s="1"/>
  <c r="A1457" i="10" a="1"/>
  <c r="A1457" i="10" s="1"/>
  <c r="A1458" i="10" a="1"/>
  <c r="A1458" i="10" s="1"/>
  <c r="A1459" i="10" a="1"/>
  <c r="A1459" i="10" s="1"/>
  <c r="A1460" i="10" a="1"/>
  <c r="A1460" i="10" s="1"/>
  <c r="A1461" i="10" a="1"/>
  <c r="A1461" i="10" s="1"/>
  <c r="A1462" i="10" a="1"/>
  <c r="A1462" i="10" s="1"/>
  <c r="A1463" i="10" a="1"/>
  <c r="A1463" i="10" s="1"/>
  <c r="A1464" i="10" a="1"/>
  <c r="A1464" i="10" s="1"/>
  <c r="A1465" i="10" a="1"/>
  <c r="A1465" i="10" s="1"/>
  <c r="A1466" i="10" a="1"/>
  <c r="A1466" i="10" s="1"/>
  <c r="A1467" i="10" a="1"/>
  <c r="A1467" i="10" s="1"/>
  <c r="A1468" i="10" a="1"/>
  <c r="A1468" i="10" s="1"/>
  <c r="A1469" i="10" a="1"/>
  <c r="A1469" i="10" s="1"/>
  <c r="A1470" i="10" a="1"/>
  <c r="A1470" i="10" s="1"/>
  <c r="A1471" i="10" a="1"/>
  <c r="A1471" i="10" s="1"/>
  <c r="A1472" i="10" a="1"/>
  <c r="A1472" i="10" s="1"/>
  <c r="A1473" i="10" a="1"/>
  <c r="A1473" i="10" s="1"/>
  <c r="A1474" i="10" a="1"/>
  <c r="A1474" i="10" s="1"/>
  <c r="A1475" i="10" a="1"/>
  <c r="A1475" i="10" s="1"/>
  <c r="A1476" i="10" a="1"/>
  <c r="A1476" i="10" s="1"/>
  <c r="A1477" i="10" a="1"/>
  <c r="A1477" i="10" s="1"/>
  <c r="A1478" i="10" a="1"/>
  <c r="A1478" i="10" s="1"/>
  <c r="A1479" i="10" a="1"/>
  <c r="A1479" i="10" s="1"/>
  <c r="A1480" i="10" a="1"/>
  <c r="A1480" i="10" s="1"/>
  <c r="A1481" i="10" a="1"/>
  <c r="A1481" i="10" s="1"/>
  <c r="A1482" i="10" a="1"/>
  <c r="A1482" i="10" s="1"/>
  <c r="A1483" i="10" a="1"/>
  <c r="A1483" i="10" s="1"/>
  <c r="A1484" i="10" a="1"/>
  <c r="A1484" i="10" s="1"/>
  <c r="A1485" i="10" a="1"/>
  <c r="A1485" i="10" s="1"/>
  <c r="A1486" i="10" a="1"/>
  <c r="A1486" i="10" s="1"/>
  <c r="A1487" i="10" a="1"/>
  <c r="A1487" i="10" s="1"/>
  <c r="A1488" i="10" a="1"/>
  <c r="A1488" i="10" s="1"/>
  <c r="A1489" i="10" a="1"/>
  <c r="A1489" i="10" s="1"/>
  <c r="A1490" i="10" a="1"/>
  <c r="A1490" i="10" s="1"/>
  <c r="A1491" i="10" a="1"/>
  <c r="A1491" i="10" s="1"/>
  <c r="A1492" i="10" a="1"/>
  <c r="A1492" i="10" s="1"/>
  <c r="A1493" i="10" a="1"/>
  <c r="A1493" i="10" s="1"/>
  <c r="A1494" i="10" a="1"/>
  <c r="A1494" i="10" s="1"/>
  <c r="A1495" i="10" a="1"/>
  <c r="A1495" i="10" s="1"/>
  <c r="A1496" i="10" a="1"/>
  <c r="A1496" i="10" s="1"/>
  <c r="A1497" i="10" a="1"/>
  <c r="A1497" i="10" s="1"/>
  <c r="A1498" i="10" a="1"/>
  <c r="A1498" i="10" s="1"/>
  <c r="A1499" i="10" a="1"/>
  <c r="A1499" i="10" s="1"/>
  <c r="A1500" i="10" a="1"/>
  <c r="A1500" i="10" s="1"/>
  <c r="A1501" i="10" a="1"/>
  <c r="A1501" i="10" s="1"/>
  <c r="A1502" i="10" a="1"/>
  <c r="A1502" i="10" s="1"/>
  <c r="A1503" i="10" a="1"/>
  <c r="A1503" i="10" s="1"/>
  <c r="A1504" i="10" a="1"/>
  <c r="A1504" i="10" s="1"/>
  <c r="A1505" i="10" a="1"/>
  <c r="A1505" i="10" s="1"/>
  <c r="A1506" i="10" a="1"/>
  <c r="A1506" i="10" s="1"/>
  <c r="A1507" i="10" a="1"/>
  <c r="A1507" i="10" s="1"/>
  <c r="A1508" i="10" a="1"/>
  <c r="A1508" i="10" s="1"/>
  <c r="A1509" i="10" a="1"/>
  <c r="A1509" i="10" s="1"/>
  <c r="A1510" i="10" a="1"/>
  <c r="A1510" i="10" s="1"/>
  <c r="A1511" i="10" a="1"/>
  <c r="A1511" i="10" s="1"/>
  <c r="A1512" i="10" a="1"/>
  <c r="A1512" i="10" s="1"/>
  <c r="A1513" i="10" a="1"/>
  <c r="A1513" i="10" s="1"/>
  <c r="A1514" i="10" a="1"/>
  <c r="A1514" i="10" s="1"/>
  <c r="A1515" i="10" a="1"/>
  <c r="A1515" i="10" s="1"/>
  <c r="A1516" i="10" a="1"/>
  <c r="A1516" i="10" s="1"/>
  <c r="A1517" i="10" a="1"/>
  <c r="A1517" i="10" s="1"/>
  <c r="A1518" i="10" a="1"/>
  <c r="A1518" i="10" s="1"/>
  <c r="A1519" i="10" a="1"/>
  <c r="A1519" i="10" s="1"/>
  <c r="A1520" i="10" a="1"/>
  <c r="A1520" i="10" s="1"/>
  <c r="A1521" i="10" a="1"/>
  <c r="A1521" i="10" s="1"/>
  <c r="A1522" i="10" a="1"/>
  <c r="A1522" i="10" s="1"/>
  <c r="A1523" i="10" a="1"/>
  <c r="A1523" i="10" s="1"/>
  <c r="A1524" i="10" a="1"/>
  <c r="A1524" i="10" s="1"/>
  <c r="A1525" i="10" a="1"/>
  <c r="A1525" i="10" s="1"/>
  <c r="A1526" i="10" a="1"/>
  <c r="A1526" i="10" s="1"/>
  <c r="A1527" i="10" a="1"/>
  <c r="A1527" i="10" s="1"/>
  <c r="A1528" i="10" a="1"/>
  <c r="A1528" i="10" s="1"/>
  <c r="A1529" i="10" a="1"/>
  <c r="A1529" i="10" s="1"/>
  <c r="A1530" i="10" a="1"/>
  <c r="A1530" i="10" s="1"/>
  <c r="A1531" i="10" a="1"/>
  <c r="A1531" i="10" s="1"/>
  <c r="A1532" i="10" a="1"/>
  <c r="A1532" i="10" s="1"/>
  <c r="A1533" i="10" a="1"/>
  <c r="A1533" i="10" s="1"/>
  <c r="A1534" i="10" a="1"/>
  <c r="A1534" i="10" s="1"/>
  <c r="A1535" i="10" a="1"/>
  <c r="A1535" i="10" s="1"/>
  <c r="A1536" i="10" a="1"/>
  <c r="A1536" i="10" s="1"/>
  <c r="A1537" i="10" a="1"/>
  <c r="A1537" i="10" s="1"/>
  <c r="A1538" i="10" a="1"/>
  <c r="A1538" i="10" s="1"/>
  <c r="A1539" i="10" a="1"/>
  <c r="A1539" i="10" s="1"/>
  <c r="A1540" i="10" a="1"/>
  <c r="A1540" i="10" s="1"/>
  <c r="A1541" i="10" a="1"/>
  <c r="A1541" i="10" s="1"/>
  <c r="A1542" i="10" a="1"/>
  <c r="A1542" i="10" s="1"/>
  <c r="A1543" i="10" a="1"/>
  <c r="A1543" i="10" s="1"/>
  <c r="A1544" i="10" a="1"/>
  <c r="A1544" i="10" s="1"/>
  <c r="A1545" i="10" a="1"/>
  <c r="A1545" i="10" s="1"/>
  <c r="A1546" i="10" a="1"/>
  <c r="A1546" i="10" s="1"/>
  <c r="A1547" i="10" a="1"/>
  <c r="A1547" i="10" s="1"/>
  <c r="A1548" i="10" a="1"/>
  <c r="A1548" i="10" s="1"/>
  <c r="A1549" i="10" a="1"/>
  <c r="A1549" i="10" s="1"/>
  <c r="A1550" i="10" a="1"/>
  <c r="A1550" i="10" s="1"/>
  <c r="A1551" i="10" a="1"/>
  <c r="A1551" i="10" s="1"/>
  <c r="A1552" i="10" a="1"/>
  <c r="A1552" i="10" s="1"/>
  <c r="A1553" i="10" a="1"/>
  <c r="A1553" i="10" s="1"/>
  <c r="A1554" i="10" a="1"/>
  <c r="A1554" i="10" s="1"/>
  <c r="A1555" i="10" a="1"/>
  <c r="A1555" i="10" s="1"/>
  <c r="A1556" i="10" a="1"/>
  <c r="A1556" i="10" s="1"/>
  <c r="A1557" i="10" a="1"/>
  <c r="A1557" i="10" s="1"/>
  <c r="A1558" i="10" a="1"/>
  <c r="A1558" i="10" s="1"/>
  <c r="A1559" i="10" a="1"/>
  <c r="A1559" i="10" s="1"/>
  <c r="A1560" i="10" a="1"/>
  <c r="A1560" i="10" s="1"/>
  <c r="A1561" i="10" a="1"/>
  <c r="A1561" i="10" s="1"/>
  <c r="A1562" i="10" a="1"/>
  <c r="A1562" i="10" s="1"/>
  <c r="A1563" i="10" a="1"/>
  <c r="A1563" i="10" s="1"/>
  <c r="A1564" i="10" a="1"/>
  <c r="A1564" i="10" s="1"/>
  <c r="A1565" i="10" a="1"/>
  <c r="A1565" i="10" s="1"/>
  <c r="A1566" i="10" a="1"/>
  <c r="A1566" i="10" s="1"/>
  <c r="A1567" i="10" a="1"/>
  <c r="A1567" i="10" s="1"/>
  <c r="A1568" i="10" a="1"/>
  <c r="A1568" i="10" s="1"/>
  <c r="A1569" i="10" a="1"/>
  <c r="A1569" i="10" s="1"/>
  <c r="A1570" i="10" a="1"/>
  <c r="A1570" i="10" s="1"/>
  <c r="A1571" i="10" a="1"/>
  <c r="A1571" i="10" s="1"/>
  <c r="A1572" i="10" a="1"/>
  <c r="A1572" i="10" s="1"/>
  <c r="A1573" i="10" a="1"/>
  <c r="A1573" i="10" s="1"/>
  <c r="A1574" i="10" a="1"/>
  <c r="A1574" i="10" s="1"/>
  <c r="A1575" i="10" a="1"/>
  <c r="A1575" i="10" s="1"/>
  <c r="A1576" i="10" a="1"/>
  <c r="A1576" i="10" s="1"/>
  <c r="A1577" i="10" a="1"/>
  <c r="A1577" i="10" s="1"/>
  <c r="A1578" i="10" a="1"/>
  <c r="A1578" i="10" s="1"/>
  <c r="A1579" i="10" a="1"/>
  <c r="A1579" i="10" s="1"/>
  <c r="A1580" i="10" a="1"/>
  <c r="A1580" i="10" s="1"/>
  <c r="A1581" i="10" a="1"/>
  <c r="A1581" i="10" s="1"/>
  <c r="A1582" i="10" a="1"/>
  <c r="A1582" i="10" s="1"/>
  <c r="A1583" i="10" a="1"/>
  <c r="A1583" i="10" s="1"/>
  <c r="A1584" i="10" a="1"/>
  <c r="A1584" i="10" s="1"/>
  <c r="A1585" i="10" a="1"/>
  <c r="A1585" i="10" s="1"/>
  <c r="A1586" i="10" a="1"/>
  <c r="A1586" i="10" s="1"/>
  <c r="A1587" i="10" a="1"/>
  <c r="A1587" i="10" s="1"/>
  <c r="A1588" i="10" a="1"/>
  <c r="A1588" i="10" s="1"/>
  <c r="A1589" i="10" a="1"/>
  <c r="A1589" i="10" s="1"/>
  <c r="A1590" i="10" a="1"/>
  <c r="A1590" i="10" s="1"/>
  <c r="A1591" i="10" a="1"/>
  <c r="A1591" i="10" s="1"/>
  <c r="A1592" i="10" a="1"/>
  <c r="A1592" i="10" s="1"/>
  <c r="A1593" i="10" a="1"/>
  <c r="A1593" i="10" s="1"/>
  <c r="A1594" i="10" a="1"/>
  <c r="A1594" i="10" s="1"/>
  <c r="A1595" i="10" a="1"/>
  <c r="A1595" i="10" s="1"/>
  <c r="A1596" i="10" a="1"/>
  <c r="A1596" i="10" s="1"/>
  <c r="A1597" i="10" a="1"/>
  <c r="A1597" i="10" s="1"/>
  <c r="A1598" i="10" a="1"/>
  <c r="A1598" i="10" s="1"/>
  <c r="A1599" i="10" a="1"/>
  <c r="A1599" i="10" s="1"/>
  <c r="A1600" i="10" a="1"/>
  <c r="A1600" i="10" s="1"/>
  <c r="A1601" i="10" a="1"/>
  <c r="A1601" i="10" s="1"/>
  <c r="A1602" i="10" a="1"/>
  <c r="A1602" i="10" s="1"/>
  <c r="A1603" i="10" a="1"/>
  <c r="A1603" i="10" s="1"/>
  <c r="A1604" i="10" a="1"/>
  <c r="A1604" i="10" s="1"/>
  <c r="A1605" i="10" a="1"/>
  <c r="A1605" i="10" s="1"/>
  <c r="A1606" i="10" a="1"/>
  <c r="A1606" i="10" s="1"/>
  <c r="A1607" i="10" a="1"/>
  <c r="A1607" i="10" s="1"/>
  <c r="A1608" i="10" a="1"/>
  <c r="A1608" i="10" s="1"/>
  <c r="A1609" i="10" a="1"/>
  <c r="A1609" i="10" s="1"/>
  <c r="A1610" i="10" a="1"/>
  <c r="A1610" i="10" s="1"/>
  <c r="A1611" i="10" a="1"/>
  <c r="A1611" i="10" s="1"/>
  <c r="A1612" i="10" a="1"/>
  <c r="A1612" i="10" s="1"/>
  <c r="A1613" i="10" a="1"/>
  <c r="A1613" i="10" s="1"/>
  <c r="A1614" i="10" a="1"/>
  <c r="A1614" i="10" s="1"/>
  <c r="A1615" i="10" a="1"/>
  <c r="A1615" i="10" s="1"/>
  <c r="A1616" i="10" a="1"/>
  <c r="A1616" i="10" s="1"/>
  <c r="A1617" i="10" a="1"/>
  <c r="A1617" i="10" s="1"/>
  <c r="A1618" i="10" a="1"/>
  <c r="A1618" i="10" s="1"/>
  <c r="A1619" i="10" a="1"/>
  <c r="A1619" i="10" s="1"/>
  <c r="A1620" i="10" a="1"/>
  <c r="A1620" i="10" s="1"/>
  <c r="A1621" i="10" a="1"/>
  <c r="A1621" i="10" s="1"/>
  <c r="A1622" i="10" a="1"/>
  <c r="A1622" i="10" s="1"/>
  <c r="A1623" i="10" a="1"/>
  <c r="A1623" i="10" s="1"/>
  <c r="A1624" i="10" a="1"/>
  <c r="A1624" i="10" s="1"/>
  <c r="A1625" i="10" a="1"/>
  <c r="A1625" i="10" s="1"/>
  <c r="A1626" i="10" a="1"/>
  <c r="A1626" i="10" s="1"/>
  <c r="A1627" i="10" a="1"/>
  <c r="A1627" i="10" s="1"/>
  <c r="A1628" i="10" a="1"/>
  <c r="A1628" i="10" s="1"/>
  <c r="A1629" i="10" a="1"/>
  <c r="A1629" i="10" s="1"/>
  <c r="A1630" i="10" a="1"/>
  <c r="A1630" i="10" s="1"/>
  <c r="A1631" i="10" a="1"/>
  <c r="A1631" i="10" s="1"/>
  <c r="A1632" i="10" a="1"/>
  <c r="A1632" i="10" s="1"/>
  <c r="A1633" i="10" a="1"/>
  <c r="A1633" i="10" s="1"/>
  <c r="A1634" i="10" a="1"/>
  <c r="A1634" i="10" s="1"/>
  <c r="A1635" i="10" a="1"/>
  <c r="A1635" i="10" s="1"/>
  <c r="A1636" i="10" a="1"/>
  <c r="A1636" i="10" s="1"/>
  <c r="A1637" i="10" a="1"/>
  <c r="A1637" i="10" s="1"/>
  <c r="A1638" i="10" a="1"/>
  <c r="A1638" i="10" s="1"/>
  <c r="A1639" i="10" a="1"/>
  <c r="A1639" i="10" s="1"/>
  <c r="A1640" i="10" a="1"/>
  <c r="A1640" i="10" s="1"/>
  <c r="A1641" i="10" a="1"/>
  <c r="A1641" i="10" s="1"/>
  <c r="A1642" i="10" a="1"/>
  <c r="A1642" i="10" s="1"/>
  <c r="A1643" i="10" a="1"/>
  <c r="A1643" i="10" s="1"/>
  <c r="A1644" i="10" a="1"/>
  <c r="A1644" i="10" s="1"/>
  <c r="A1645" i="10" a="1"/>
  <c r="A1645" i="10" s="1"/>
  <c r="A1646" i="10" a="1"/>
  <c r="A1646" i="10" s="1"/>
  <c r="A1647" i="10" a="1"/>
  <c r="A1647" i="10" s="1"/>
  <c r="A1648" i="10" a="1"/>
  <c r="A1648" i="10" s="1"/>
  <c r="A1649" i="10" a="1"/>
  <c r="A1649" i="10" s="1"/>
  <c r="A1650" i="10" a="1"/>
  <c r="A1650" i="10" s="1"/>
  <c r="A1651" i="10" a="1"/>
  <c r="A1651" i="10" s="1"/>
  <c r="A1652" i="10" a="1"/>
  <c r="A1652" i="10" s="1"/>
  <c r="A1653" i="10" a="1"/>
  <c r="A1653" i="10" s="1"/>
  <c r="A1654" i="10" a="1"/>
  <c r="A1654" i="10" s="1"/>
  <c r="A1655" i="10" a="1"/>
  <c r="A1655" i="10" s="1"/>
  <c r="A1656" i="10" a="1"/>
  <c r="A1656" i="10" s="1"/>
  <c r="A1657" i="10" a="1"/>
  <c r="A1657" i="10" s="1"/>
  <c r="A1658" i="10" a="1"/>
  <c r="A1658" i="10" s="1"/>
  <c r="A1659" i="10" a="1"/>
  <c r="A1659" i="10" s="1"/>
  <c r="A1660" i="10" a="1"/>
  <c r="A1660" i="10" s="1"/>
  <c r="A1661" i="10" a="1"/>
  <c r="A1661" i="10" s="1"/>
  <c r="A1662" i="10" a="1"/>
  <c r="A1662" i="10" s="1"/>
  <c r="A1663" i="10" a="1"/>
  <c r="A1663" i="10" s="1"/>
  <c r="A1664" i="10" a="1"/>
  <c r="A1664" i="10" s="1"/>
  <c r="A1665" i="10" a="1"/>
  <c r="A1665" i="10" s="1"/>
  <c r="A1666" i="10" a="1"/>
  <c r="A1666" i="10" s="1"/>
  <c r="A1667" i="10" a="1"/>
  <c r="A1667" i="10" s="1"/>
  <c r="A1668" i="10" a="1"/>
  <c r="A1668" i="10" s="1"/>
  <c r="A1669" i="10" a="1"/>
  <c r="A1669" i="10" s="1"/>
  <c r="A1670" i="10" a="1"/>
  <c r="A1670" i="10" s="1"/>
  <c r="A1671" i="10" a="1"/>
  <c r="A1671" i="10" s="1"/>
  <c r="A1672" i="10" a="1"/>
  <c r="A1672" i="10" s="1"/>
  <c r="A1673" i="10" a="1"/>
  <c r="A1673" i="10" s="1"/>
  <c r="A1674" i="10" a="1"/>
  <c r="A1674" i="10" s="1"/>
  <c r="A1675" i="10" a="1"/>
  <c r="A1675" i="10" s="1"/>
  <c r="A1676" i="10" a="1"/>
  <c r="A1676" i="10" s="1"/>
  <c r="A1677" i="10" a="1"/>
  <c r="A1677" i="10" s="1"/>
  <c r="A1678" i="10" a="1"/>
  <c r="A1678" i="10" s="1"/>
  <c r="A1679" i="10" a="1"/>
  <c r="A1679" i="10" s="1"/>
  <c r="A1680" i="10" a="1"/>
  <c r="A1680" i="10" s="1"/>
  <c r="A1681" i="10" a="1"/>
  <c r="A1681" i="10" s="1"/>
  <c r="A1682" i="10" a="1"/>
  <c r="A1682" i="10" s="1"/>
  <c r="A1683" i="10" a="1"/>
  <c r="A1683" i="10" s="1"/>
  <c r="A1684" i="10" a="1"/>
  <c r="A1684" i="10" s="1"/>
  <c r="A1685" i="10" a="1"/>
  <c r="A1685" i="10" s="1"/>
  <c r="A1686" i="10" a="1"/>
  <c r="A1686" i="10" s="1"/>
  <c r="A1687" i="10" a="1"/>
  <c r="A1687" i="10" s="1"/>
  <c r="A1688" i="10" a="1"/>
  <c r="A1688" i="10" s="1"/>
  <c r="A1689" i="10" a="1"/>
  <c r="A1689" i="10" s="1"/>
  <c r="A1690" i="10" a="1"/>
  <c r="A1690" i="10" s="1"/>
  <c r="A1691" i="10" a="1"/>
  <c r="A1691" i="10" s="1"/>
  <c r="A1692" i="10" a="1"/>
  <c r="A1692" i="10" s="1"/>
  <c r="A1693" i="10" a="1"/>
  <c r="A1693" i="10" s="1"/>
  <c r="A1694" i="10" a="1"/>
  <c r="A1694" i="10" s="1"/>
  <c r="A1695" i="10" a="1"/>
  <c r="A1695" i="10" s="1"/>
  <c r="A1696" i="10" a="1"/>
  <c r="A1696" i="10" s="1"/>
  <c r="A1697" i="10" a="1"/>
  <c r="A1697" i="10" s="1"/>
  <c r="A1698" i="10" a="1"/>
  <c r="A1698" i="10" s="1"/>
  <c r="A1699" i="10" a="1"/>
  <c r="A1699" i="10" s="1"/>
  <c r="A1700" i="10" a="1"/>
  <c r="A1700" i="10" s="1"/>
  <c r="A1701" i="10" a="1"/>
  <c r="A1701" i="10" s="1"/>
  <c r="A1702" i="10" a="1"/>
  <c r="A1702" i="10" s="1"/>
  <c r="A1703" i="10" a="1"/>
  <c r="A1703" i="10" s="1"/>
  <c r="A1704" i="10" a="1"/>
  <c r="A1704" i="10" s="1"/>
  <c r="A1705" i="10" a="1"/>
  <c r="A1705" i="10" s="1"/>
  <c r="A1706" i="10" a="1"/>
  <c r="A1706" i="10" s="1"/>
  <c r="A1707" i="10" a="1"/>
  <c r="A1707" i="10" s="1"/>
  <c r="A1708" i="10" a="1"/>
  <c r="A1708" i="10" s="1"/>
  <c r="A1709" i="10" a="1"/>
  <c r="A1709" i="10" s="1"/>
  <c r="A1710" i="10" a="1"/>
  <c r="A1710" i="10" s="1"/>
  <c r="A1711" i="10" a="1"/>
  <c r="A1711" i="10" s="1"/>
  <c r="A1712" i="10" a="1"/>
  <c r="A1712" i="10" s="1"/>
  <c r="A1713" i="10" a="1"/>
  <c r="A1713" i="10" s="1"/>
  <c r="A1714" i="10" a="1"/>
  <c r="A1714" i="10" s="1"/>
  <c r="A1715" i="10" a="1"/>
  <c r="A1715" i="10" s="1"/>
  <c r="A1716" i="10" a="1"/>
  <c r="A1716" i="10" s="1"/>
  <c r="A1717" i="10" a="1"/>
  <c r="A1717" i="10" s="1"/>
  <c r="A1718" i="10" a="1"/>
  <c r="A1718" i="10" s="1"/>
  <c r="A1719" i="10" a="1"/>
  <c r="A1719" i="10" s="1"/>
  <c r="A1720" i="10" a="1"/>
  <c r="A1720" i="10" s="1"/>
  <c r="A1721" i="10" a="1"/>
  <c r="A1721" i="10" s="1"/>
  <c r="A1722" i="10" a="1"/>
  <c r="A1722" i="10" s="1"/>
  <c r="A1723" i="10" a="1"/>
  <c r="A1723" i="10" s="1"/>
  <c r="A1724" i="10" a="1"/>
  <c r="A1724" i="10" s="1"/>
  <c r="A1725" i="10" a="1"/>
  <c r="A1725" i="10" s="1"/>
  <c r="A1726" i="10" a="1"/>
  <c r="A1726" i="10" s="1"/>
  <c r="A1727" i="10" a="1"/>
  <c r="A1727" i="10" s="1"/>
  <c r="A1728" i="10" a="1"/>
  <c r="A1728" i="10" s="1"/>
  <c r="A1729" i="10" a="1"/>
  <c r="A1729" i="10" s="1"/>
  <c r="A1730" i="10" a="1"/>
  <c r="A1730" i="10" s="1"/>
  <c r="A1731" i="10" a="1"/>
  <c r="A1731" i="10" s="1"/>
  <c r="A1732" i="10" a="1"/>
  <c r="A1732" i="10" s="1"/>
  <c r="A1733" i="10" a="1"/>
  <c r="A1733" i="10" s="1"/>
  <c r="A1734" i="10" a="1"/>
  <c r="A1734" i="10" s="1"/>
  <c r="A1735" i="10" a="1"/>
  <c r="A1735" i="10" s="1"/>
  <c r="A1736" i="10" a="1"/>
  <c r="A1736" i="10" s="1"/>
  <c r="A1737" i="10" a="1"/>
  <c r="A1737" i="10" s="1"/>
  <c r="A1738" i="10" a="1"/>
  <c r="A1738" i="10" s="1"/>
  <c r="A1739" i="10" a="1"/>
  <c r="A1739" i="10" s="1"/>
  <c r="A1740" i="10" a="1"/>
  <c r="A1740" i="10" s="1"/>
  <c r="A1741" i="10" a="1"/>
  <c r="A1741" i="10" s="1"/>
  <c r="A1742" i="10" a="1"/>
  <c r="A1742" i="10" s="1"/>
  <c r="A1743" i="10" a="1"/>
  <c r="A1743" i="10" s="1"/>
  <c r="A1744" i="10" a="1"/>
  <c r="A1744" i="10" s="1"/>
  <c r="A1745" i="10" a="1"/>
  <c r="A1745" i="10" s="1"/>
  <c r="A1746" i="10" a="1"/>
  <c r="A1746" i="10" s="1"/>
  <c r="A1747" i="10" a="1"/>
  <c r="A1747" i="10" s="1"/>
  <c r="A1748" i="10" a="1"/>
  <c r="A1748" i="10" s="1"/>
  <c r="A1749" i="10" a="1"/>
  <c r="A1749" i="10" s="1"/>
  <c r="A1750" i="10" a="1"/>
  <c r="A1750" i="10" s="1"/>
  <c r="A1751" i="10" a="1"/>
  <c r="A1751" i="10" s="1"/>
  <c r="A1752" i="10" a="1"/>
  <c r="A1752" i="10" s="1"/>
  <c r="A1753" i="10" a="1"/>
  <c r="A1753" i="10" s="1"/>
  <c r="A1754" i="10" a="1"/>
  <c r="A1754" i="10" s="1"/>
  <c r="A1755" i="10" a="1"/>
  <c r="A1755" i="10" s="1"/>
  <c r="A1756" i="10" a="1"/>
  <c r="A1756" i="10" s="1"/>
  <c r="A1757" i="10" a="1"/>
  <c r="A1757" i="10" s="1"/>
  <c r="A1758" i="10" a="1"/>
  <c r="A1758" i="10" s="1"/>
  <c r="A1759" i="10" a="1"/>
  <c r="A1759" i="10" s="1"/>
  <c r="A1760" i="10" a="1"/>
  <c r="A1760" i="10" s="1"/>
  <c r="A1761" i="10" a="1"/>
  <c r="A1761" i="10" s="1"/>
  <c r="A1762" i="10" a="1"/>
  <c r="A1762" i="10" s="1"/>
  <c r="A1763" i="10" a="1"/>
  <c r="A1763" i="10" s="1"/>
  <c r="A1764" i="10" a="1"/>
  <c r="A1764" i="10" s="1"/>
  <c r="A1765" i="10" a="1"/>
  <c r="A1765" i="10" s="1"/>
  <c r="A1766" i="10" a="1"/>
  <c r="A1766" i="10" s="1"/>
  <c r="A1767" i="10" a="1"/>
  <c r="A1767" i="10" s="1"/>
  <c r="A1768" i="10" a="1"/>
  <c r="A1768" i="10" s="1"/>
  <c r="A1769" i="10" a="1"/>
  <c r="A1769" i="10" s="1"/>
  <c r="A1770" i="10" a="1"/>
  <c r="A1770" i="10" s="1"/>
  <c r="A1771" i="10" a="1"/>
  <c r="A1771" i="10" s="1"/>
  <c r="A1772" i="10" a="1"/>
  <c r="A1772" i="10" s="1"/>
  <c r="A1773" i="10" a="1"/>
  <c r="A1773" i="10" s="1"/>
  <c r="A1774" i="10" a="1"/>
  <c r="A1774" i="10" s="1"/>
  <c r="A1775" i="10" a="1"/>
  <c r="A1775" i="10" s="1"/>
  <c r="A1776" i="10" a="1"/>
  <c r="A1776" i="10" s="1"/>
  <c r="A1777" i="10" a="1"/>
  <c r="A1777" i="10" s="1"/>
  <c r="A1778" i="10" a="1"/>
  <c r="A1778" i="10" s="1"/>
  <c r="A1779" i="10" a="1"/>
  <c r="A1779" i="10" s="1"/>
  <c r="A1780" i="10" a="1"/>
  <c r="A1780" i="10" s="1"/>
  <c r="A1781" i="10" a="1"/>
  <c r="A1781" i="10" s="1"/>
  <c r="A1782" i="10" a="1"/>
  <c r="A1782" i="10" s="1"/>
  <c r="A1783" i="10" a="1"/>
  <c r="A1783" i="10" s="1"/>
  <c r="A1784" i="10" a="1"/>
  <c r="A1784" i="10" s="1"/>
  <c r="A1785" i="10" a="1"/>
  <c r="A1785" i="10" s="1"/>
  <c r="A1786" i="10" a="1"/>
  <c r="A1786" i="10" s="1"/>
  <c r="A1787" i="10" a="1"/>
  <c r="A1787" i="10" s="1"/>
  <c r="A1788" i="10" a="1"/>
  <c r="A1788" i="10" s="1"/>
  <c r="A1789" i="10" a="1"/>
  <c r="A1789" i="10" s="1"/>
  <c r="A1790" i="10" a="1"/>
  <c r="A1790" i="10" s="1"/>
  <c r="A1791" i="10" a="1"/>
  <c r="A1791" i="10" s="1"/>
  <c r="A1792" i="10" a="1"/>
  <c r="A1792" i="10" s="1"/>
  <c r="A1793" i="10" a="1"/>
  <c r="A1793" i="10" s="1"/>
  <c r="A1794" i="10" a="1"/>
  <c r="A1794" i="10" s="1"/>
  <c r="A1795" i="10" a="1"/>
  <c r="A1795" i="10" s="1"/>
  <c r="A1796" i="10" a="1"/>
  <c r="A1796" i="10" s="1"/>
  <c r="A1797" i="10" a="1"/>
  <c r="A1797" i="10" s="1"/>
  <c r="A1798" i="10" a="1"/>
  <c r="A1798" i="10" s="1"/>
  <c r="A1799" i="10" a="1"/>
  <c r="A1799" i="10" s="1"/>
  <c r="A1800" i="10" a="1"/>
  <c r="A1800" i="10" s="1"/>
  <c r="A1801" i="10" a="1"/>
  <c r="A1801" i="10" s="1"/>
  <c r="A1802" i="10" a="1"/>
  <c r="A1802" i="10" s="1"/>
  <c r="A1803" i="10" a="1"/>
  <c r="A1803" i="10" s="1"/>
  <c r="A1804" i="10" a="1"/>
  <c r="A1804" i="10" s="1"/>
  <c r="A1805" i="10" a="1"/>
  <c r="A1805" i="10" s="1"/>
  <c r="A1806" i="10" a="1"/>
  <c r="A1806" i="10" s="1"/>
  <c r="A1807" i="10" a="1"/>
  <c r="A1807" i="10" s="1"/>
  <c r="A1808" i="10" a="1"/>
  <c r="A1808" i="10" s="1"/>
  <c r="A1809" i="10" a="1"/>
  <c r="A1809" i="10" s="1"/>
  <c r="A1810" i="10" a="1"/>
  <c r="A1810" i="10" s="1"/>
  <c r="A1811" i="10" a="1"/>
  <c r="A1811" i="10" s="1"/>
  <c r="A1812" i="10" a="1"/>
  <c r="A1812" i="10" s="1"/>
  <c r="A1813" i="10" a="1"/>
  <c r="A1813" i="10" s="1"/>
  <c r="A1814" i="10" a="1"/>
  <c r="A1814" i="10" s="1"/>
  <c r="A1815" i="10" a="1"/>
  <c r="A1815" i="10" s="1"/>
  <c r="A1816" i="10" a="1"/>
  <c r="A1816" i="10" s="1"/>
  <c r="A1817" i="10" a="1"/>
  <c r="A1817" i="10" s="1"/>
  <c r="A1818" i="10" a="1"/>
  <c r="A1818" i="10" s="1"/>
  <c r="A1819" i="10" a="1"/>
  <c r="A1819" i="10" s="1"/>
  <c r="A1820" i="10" a="1"/>
  <c r="A1820" i="10" s="1"/>
  <c r="A1821" i="10" a="1"/>
  <c r="A1821" i="10" s="1"/>
  <c r="A1822" i="10" a="1"/>
  <c r="A1822" i="10" s="1"/>
  <c r="A1823" i="10" a="1"/>
  <c r="A1823" i="10" s="1"/>
  <c r="A1824" i="10" a="1"/>
  <c r="A1824" i="10" s="1"/>
  <c r="A1825" i="10" a="1"/>
  <c r="A1825" i="10" s="1"/>
  <c r="A1826" i="10" a="1"/>
  <c r="A1826" i="10" s="1"/>
  <c r="A1827" i="10" a="1"/>
  <c r="A1827" i="10" s="1"/>
  <c r="A1828" i="10" a="1"/>
  <c r="A1828" i="10" s="1"/>
  <c r="A1829" i="10" a="1"/>
  <c r="A1829" i="10" s="1"/>
  <c r="A1830" i="10" a="1"/>
  <c r="A1830" i="10" s="1"/>
  <c r="A1831" i="10" a="1"/>
  <c r="A1831" i="10" s="1"/>
  <c r="A1832" i="10" a="1"/>
  <c r="A1832" i="10" s="1"/>
  <c r="A1833" i="10" a="1"/>
  <c r="A1833" i="10" s="1"/>
  <c r="A1834" i="10" a="1"/>
  <c r="A1834" i="10" s="1"/>
  <c r="A1835" i="10" a="1"/>
  <c r="A1835" i="10" s="1"/>
  <c r="A1836" i="10" a="1"/>
  <c r="A1836" i="10" s="1"/>
  <c r="A1837" i="10" a="1"/>
  <c r="A1837" i="10" s="1"/>
  <c r="A1838" i="10" a="1"/>
  <c r="A1838" i="10" s="1"/>
  <c r="A1839" i="10" a="1"/>
  <c r="A1839" i="10" s="1"/>
  <c r="A1840" i="10" a="1"/>
  <c r="A1840" i="10" s="1"/>
  <c r="A1841" i="10" a="1"/>
  <c r="A1841" i="10" s="1"/>
  <c r="A1842" i="10" a="1"/>
  <c r="A1842" i="10" s="1"/>
  <c r="A1843" i="10" a="1"/>
  <c r="A1843" i="10" s="1"/>
  <c r="A1844" i="10" a="1"/>
  <c r="A1844" i="10" s="1"/>
  <c r="A1845" i="10" a="1"/>
  <c r="A1845" i="10" s="1"/>
  <c r="A1846" i="10" a="1"/>
  <c r="A1846" i="10" s="1"/>
  <c r="A1847" i="10" a="1"/>
  <c r="A1847" i="10" s="1"/>
  <c r="A1848" i="10" a="1"/>
  <c r="A1848" i="10" s="1"/>
  <c r="A1849" i="10" a="1"/>
  <c r="A1849" i="10" s="1"/>
  <c r="A1850" i="10" a="1"/>
  <c r="A1850" i="10" s="1"/>
  <c r="A1851" i="10" a="1"/>
  <c r="A1851" i="10" s="1"/>
  <c r="A1852" i="10" a="1"/>
  <c r="A1852" i="10" s="1"/>
  <c r="A1853" i="10" a="1"/>
  <c r="A1853" i="10" s="1"/>
  <c r="A1854" i="10" a="1"/>
  <c r="A1854" i="10" s="1"/>
  <c r="A1855" i="10" a="1"/>
  <c r="A1855" i="10" s="1"/>
  <c r="A1856" i="10" a="1"/>
  <c r="A1856" i="10" s="1"/>
  <c r="A1857" i="10" a="1"/>
  <c r="A1857" i="10" s="1"/>
  <c r="A1858" i="10" a="1"/>
  <c r="A1858" i="10" s="1"/>
  <c r="A1859" i="10" a="1"/>
  <c r="A1859" i="10" s="1"/>
  <c r="A1860" i="10" a="1"/>
  <c r="A1860" i="10" s="1"/>
  <c r="A1861" i="10" a="1"/>
  <c r="A1861" i="10" s="1"/>
  <c r="A1862" i="10" a="1"/>
  <c r="A1862" i="10" s="1"/>
  <c r="A1863" i="10" a="1"/>
  <c r="A1863" i="10" s="1"/>
  <c r="A1864" i="10" a="1"/>
  <c r="A1864" i="10" s="1"/>
  <c r="A1865" i="10" a="1"/>
  <c r="A1865" i="10" s="1"/>
  <c r="A1866" i="10" a="1"/>
  <c r="A1866" i="10" s="1"/>
  <c r="A1867" i="10" a="1"/>
  <c r="A1867" i="10" s="1"/>
  <c r="A1868" i="10" a="1"/>
  <c r="A1868" i="10" s="1"/>
  <c r="A1869" i="10" a="1"/>
  <c r="A1869" i="10" s="1"/>
  <c r="A1870" i="10" a="1"/>
  <c r="A1870" i="10" s="1"/>
  <c r="A1871" i="10" a="1"/>
  <c r="A1871" i="10" s="1"/>
  <c r="A1872" i="10" a="1"/>
  <c r="A1872" i="10" s="1"/>
  <c r="A1873" i="10" a="1"/>
  <c r="A1873" i="10" s="1"/>
  <c r="A1874" i="10" a="1"/>
  <c r="A1874" i="10" s="1"/>
  <c r="A1875" i="10" a="1"/>
  <c r="A1875" i="10" s="1"/>
  <c r="A1876" i="10" a="1"/>
  <c r="A1876" i="10" s="1"/>
  <c r="A1877" i="10" a="1"/>
  <c r="A1877" i="10" s="1"/>
  <c r="A1878" i="10" a="1"/>
  <c r="A1878" i="10" s="1"/>
  <c r="A1879" i="10" a="1"/>
  <c r="A1879" i="10" s="1"/>
  <c r="A1880" i="10" a="1"/>
  <c r="A1880" i="10" s="1"/>
  <c r="A1881" i="10" a="1"/>
  <c r="A1881" i="10" s="1"/>
  <c r="A1882" i="10" a="1"/>
  <c r="A1882" i="10" s="1"/>
  <c r="A1883" i="10" a="1"/>
  <c r="A1883" i="10" s="1"/>
  <c r="A1884" i="10" a="1"/>
  <c r="A1884" i="10" s="1"/>
  <c r="A1885" i="10" a="1"/>
  <c r="A1885" i="10" s="1"/>
  <c r="A1886" i="10" a="1"/>
  <c r="A1886" i="10" s="1"/>
  <c r="A1887" i="10" a="1"/>
  <c r="A1887" i="10" s="1"/>
  <c r="A1888" i="10" a="1"/>
  <c r="A1888" i="10" s="1"/>
  <c r="A1889" i="10" a="1"/>
  <c r="A1889" i="10" s="1"/>
  <c r="A1890" i="10" a="1"/>
  <c r="A1890" i="10" s="1"/>
  <c r="A1891" i="10" a="1"/>
  <c r="A1891" i="10" s="1"/>
  <c r="A1892" i="10" a="1"/>
  <c r="A1892" i="10" s="1"/>
  <c r="A1893" i="10" a="1"/>
  <c r="A1893" i="10" s="1"/>
  <c r="A1894" i="10" a="1"/>
  <c r="A1894" i="10" s="1"/>
  <c r="A1895" i="10" a="1"/>
  <c r="A1895" i="10" s="1"/>
  <c r="A1896" i="10" a="1"/>
  <c r="A1896" i="10" s="1"/>
  <c r="A1897" i="10" a="1"/>
  <c r="A1897" i="10" s="1"/>
  <c r="A1898" i="10" a="1"/>
  <c r="A1898" i="10" s="1"/>
  <c r="A1899" i="10" a="1"/>
  <c r="A1899" i="10" s="1"/>
  <c r="A1900" i="10" a="1"/>
  <c r="A1900" i="10" s="1"/>
  <c r="A1901" i="10" a="1"/>
  <c r="A1901" i="10" s="1"/>
  <c r="A1902" i="10" a="1"/>
  <c r="A1902" i="10" s="1"/>
  <c r="A1903" i="10" a="1"/>
  <c r="A1903" i="10" s="1"/>
  <c r="A1904" i="10" a="1"/>
  <c r="A1904" i="10" s="1"/>
  <c r="A1905" i="10" a="1"/>
  <c r="A1905" i="10" s="1"/>
  <c r="A1906" i="10" a="1"/>
  <c r="A1906" i="10" s="1"/>
  <c r="A1907" i="10" a="1"/>
  <c r="A1907" i="10" s="1"/>
  <c r="A1908" i="10" a="1"/>
  <c r="A1908" i="10" s="1"/>
  <c r="A1909" i="10" a="1"/>
  <c r="A1909" i="10" s="1"/>
  <c r="A1910" i="10" a="1"/>
  <c r="A1910" i="10" s="1"/>
  <c r="A1911" i="10" a="1"/>
  <c r="A1911" i="10" s="1"/>
  <c r="A1912" i="10" a="1"/>
  <c r="A1912" i="10" s="1"/>
  <c r="A1913" i="10" a="1"/>
  <c r="A1913" i="10" s="1"/>
  <c r="A1914" i="10" a="1"/>
  <c r="A1914" i="10" s="1"/>
  <c r="A1915" i="10" a="1"/>
  <c r="A1915" i="10" s="1"/>
  <c r="A1916" i="10" a="1"/>
  <c r="A1916" i="10" s="1"/>
  <c r="A1917" i="10" a="1"/>
  <c r="A1917" i="10" s="1"/>
  <c r="A1918" i="10" a="1"/>
  <c r="A1918" i="10" s="1"/>
  <c r="A1919" i="10" a="1"/>
  <c r="A1919" i="10" s="1"/>
  <c r="A1920" i="10" a="1"/>
  <c r="A1920" i="10" s="1"/>
  <c r="A1921" i="10" a="1"/>
  <c r="A1921" i="10" s="1"/>
  <c r="A1922" i="10" a="1"/>
  <c r="A1922" i="10" s="1"/>
  <c r="A1923" i="10" a="1"/>
  <c r="A1923" i="10" s="1"/>
  <c r="A1924" i="10" a="1"/>
  <c r="A1924" i="10" s="1"/>
  <c r="A1925" i="10" a="1"/>
  <c r="A1925" i="10" s="1"/>
  <c r="A1926" i="10" a="1"/>
  <c r="A1926" i="10" s="1"/>
  <c r="A1927" i="10" a="1"/>
  <c r="A1927" i="10" s="1"/>
  <c r="A1928" i="10" a="1"/>
  <c r="A1928" i="10" s="1"/>
  <c r="A1929" i="10" a="1"/>
  <c r="A1929" i="10" s="1"/>
  <c r="A1930" i="10" a="1"/>
  <c r="A1930" i="10" s="1"/>
  <c r="A1931" i="10" a="1"/>
  <c r="A1931" i="10" s="1"/>
  <c r="A1932" i="10" a="1"/>
  <c r="A1932" i="10" s="1"/>
  <c r="A1933" i="10" a="1"/>
  <c r="A1933" i="10" s="1"/>
  <c r="A1934" i="10" a="1"/>
  <c r="A1934" i="10" s="1"/>
  <c r="A1935" i="10" a="1"/>
  <c r="A1935" i="10" s="1"/>
  <c r="A1936" i="10" a="1"/>
  <c r="A1936" i="10" s="1"/>
  <c r="A1937" i="10" a="1"/>
  <c r="A1937" i="10" s="1"/>
  <c r="A1938" i="10" a="1"/>
  <c r="A1938" i="10" s="1"/>
  <c r="A1939" i="10" a="1"/>
  <c r="A1939" i="10" s="1"/>
  <c r="A1940" i="10" a="1"/>
  <c r="A1940" i="10" s="1"/>
  <c r="A1941" i="10" a="1"/>
  <c r="A1941" i="10" s="1"/>
  <c r="A1942" i="10" a="1"/>
  <c r="A1942" i="10" s="1"/>
  <c r="A1943" i="10" a="1"/>
  <c r="A1943" i="10" s="1"/>
  <c r="A1944" i="10" a="1"/>
  <c r="A1944" i="10" s="1"/>
  <c r="A1945" i="10" a="1"/>
  <c r="A1945" i="10" s="1"/>
  <c r="A1946" i="10" a="1"/>
  <c r="A1946" i="10" s="1"/>
  <c r="A1947" i="10" a="1"/>
  <c r="A1947" i="10" s="1"/>
  <c r="A1948" i="10" a="1"/>
  <c r="A1948" i="10" s="1"/>
  <c r="A1949" i="10" a="1"/>
  <c r="A1949" i="10" s="1"/>
  <c r="A1950" i="10" a="1"/>
  <c r="A1950" i="10" s="1"/>
  <c r="A1951" i="10" a="1"/>
  <c r="A1951" i="10" s="1"/>
  <c r="A1952" i="10" a="1"/>
  <c r="A1952" i="10" s="1"/>
  <c r="A1953" i="10" a="1"/>
  <c r="A1953" i="10" s="1"/>
  <c r="A1954" i="10" a="1"/>
  <c r="A1954" i="10" s="1"/>
  <c r="A1955" i="10" a="1"/>
  <c r="A1955" i="10" s="1"/>
  <c r="A1956" i="10" a="1"/>
  <c r="A1956" i="10" s="1"/>
  <c r="A1957" i="10" a="1"/>
  <c r="A1957" i="10" s="1"/>
  <c r="A1958" i="10" a="1"/>
  <c r="A1958" i="10" s="1"/>
  <c r="A1959" i="10" a="1"/>
  <c r="A1959" i="10" s="1"/>
  <c r="A1960" i="10" a="1"/>
  <c r="A1960" i="10" s="1"/>
  <c r="A1961" i="10" a="1"/>
  <c r="A1961" i="10" s="1"/>
  <c r="A1962" i="10" a="1"/>
  <c r="A1962" i="10" s="1"/>
  <c r="A1963" i="10" a="1"/>
  <c r="A1963" i="10" s="1"/>
  <c r="A1964" i="10" a="1"/>
  <c r="A1964" i="10" s="1"/>
  <c r="A1965" i="10" a="1"/>
  <c r="A1965" i="10" s="1"/>
  <c r="A1966" i="10" a="1"/>
  <c r="A1966" i="10" s="1"/>
  <c r="A1967" i="10" a="1"/>
  <c r="A1967" i="10" s="1"/>
  <c r="A1968" i="10" a="1"/>
  <c r="A1968" i="10" s="1"/>
  <c r="A1969" i="10" a="1"/>
  <c r="A1969" i="10" s="1"/>
  <c r="A1970" i="10" a="1"/>
  <c r="A1970" i="10" s="1"/>
  <c r="A1971" i="10" a="1"/>
  <c r="A1971" i="10" s="1"/>
  <c r="A1972" i="10" a="1"/>
  <c r="A1972" i="10" s="1"/>
  <c r="A1973" i="10" a="1"/>
  <c r="A1973" i="10" s="1"/>
  <c r="A1974" i="10" a="1"/>
  <c r="A1974" i="10" s="1"/>
  <c r="A1975" i="10" a="1"/>
  <c r="A1975" i="10" s="1"/>
  <c r="A1976" i="10" a="1"/>
  <c r="A1976" i="10" s="1"/>
  <c r="A1977" i="10" a="1"/>
  <c r="A1977" i="10" s="1"/>
  <c r="A1978" i="10" a="1"/>
  <c r="A1978" i="10" s="1"/>
  <c r="A1979" i="10" a="1"/>
  <c r="A1979" i="10" s="1"/>
  <c r="A1980" i="10" a="1"/>
  <c r="A1980" i="10" s="1"/>
  <c r="A1981" i="10" a="1"/>
  <c r="A1981" i="10" s="1"/>
  <c r="A1982" i="10" a="1"/>
  <c r="A1982" i="10" s="1"/>
  <c r="A1983" i="10" a="1"/>
  <c r="A1983" i="10" s="1"/>
  <c r="A1984" i="10" a="1"/>
  <c r="A1984" i="10" s="1"/>
  <c r="A1985" i="10" a="1"/>
  <c r="A1985" i="10" s="1"/>
  <c r="A1986" i="10" a="1"/>
  <c r="A1986" i="10" s="1"/>
  <c r="A1987" i="10" a="1"/>
  <c r="A1987" i="10" s="1"/>
  <c r="A1988" i="10" a="1"/>
  <c r="A1988" i="10" s="1"/>
  <c r="A1989" i="10" a="1"/>
  <c r="A1989" i="10" s="1"/>
  <c r="A1990" i="10" a="1"/>
  <c r="A1990" i="10" s="1"/>
  <c r="A1991" i="10" a="1"/>
  <c r="A1991" i="10" s="1"/>
  <c r="A1992" i="10" a="1"/>
  <c r="A1992" i="10" s="1"/>
  <c r="A1993" i="10" a="1"/>
  <c r="A1993" i="10" s="1"/>
  <c r="A1994" i="10" a="1"/>
  <c r="A1994" i="10" s="1"/>
  <c r="A1995" i="10" a="1"/>
  <c r="A1995" i="10" s="1"/>
  <c r="A1996" i="10" a="1"/>
  <c r="A1996" i="10" s="1"/>
  <c r="A1997" i="10" a="1"/>
  <c r="A1997" i="10" s="1"/>
  <c r="A1998" i="10" a="1"/>
  <c r="A1998" i="10" s="1"/>
  <c r="A1999" i="10" a="1"/>
  <c r="A1999" i="10" s="1"/>
  <c r="A2000" i="10" a="1"/>
  <c r="A2000" i="10" s="1"/>
  <c r="A2001" i="10" a="1"/>
  <c r="A2001" i="10" s="1"/>
  <c r="A2002" i="10" a="1"/>
  <c r="A2002" i="10" s="1"/>
  <c r="A2003" i="10" a="1"/>
  <c r="A2003" i="10" s="1"/>
  <c r="A2004" i="10" a="1"/>
  <c r="A2004" i="10" s="1"/>
  <c r="A2005" i="10" a="1"/>
  <c r="A2005" i="10" s="1"/>
  <c r="A2006" i="10" a="1"/>
  <c r="A2006" i="10" s="1"/>
  <c r="A2007" i="10" a="1"/>
  <c r="A2007" i="10" s="1"/>
  <c r="A2008" i="10" a="1"/>
  <c r="A2008" i="10" s="1"/>
  <c r="A2009" i="10" a="1"/>
  <c r="A2009" i="10" s="1"/>
  <c r="A2010" i="10" a="1"/>
  <c r="A2010" i="10" s="1"/>
  <c r="A2011" i="10" a="1"/>
  <c r="A2011" i="10" s="1"/>
  <c r="A2012" i="10" a="1"/>
  <c r="A2012" i="10" s="1"/>
  <c r="A2013" i="10" a="1"/>
  <c r="A2013" i="10" s="1"/>
  <c r="A2014" i="10" a="1"/>
  <c r="A2014" i="10" s="1"/>
  <c r="A2015" i="10" a="1"/>
  <c r="A2015" i="10" s="1"/>
  <c r="A2016" i="10" a="1"/>
  <c r="A2016" i="10" s="1"/>
  <c r="A2017" i="10" a="1"/>
  <c r="A2017" i="10" s="1"/>
  <c r="A2018" i="10" a="1"/>
  <c r="A2018" i="10" s="1"/>
  <c r="A2019" i="10" a="1"/>
  <c r="A2019" i="10" s="1"/>
  <c r="A2020" i="10" a="1"/>
  <c r="A2020" i="10" s="1"/>
  <c r="A2021" i="10" a="1"/>
  <c r="A2021" i="10" s="1"/>
  <c r="A2022" i="10" a="1"/>
  <c r="A2022" i="10" s="1"/>
  <c r="A2023" i="10" a="1"/>
  <c r="A2023" i="10" s="1"/>
  <c r="A2024" i="10" a="1"/>
  <c r="A2024" i="10" s="1"/>
  <c r="A2025" i="10" a="1"/>
  <c r="A2025" i="10" s="1"/>
  <c r="A2026" i="10" a="1"/>
  <c r="A2026" i="10" s="1"/>
  <c r="A2027" i="10" a="1"/>
  <c r="A2027" i="10" s="1"/>
  <c r="A2028" i="10" a="1"/>
  <c r="A2028" i="10" s="1"/>
  <c r="A2029" i="10" a="1"/>
  <c r="A2029" i="10" s="1"/>
  <c r="A2030" i="10" a="1"/>
  <c r="A2030" i="10" s="1"/>
  <c r="A2031" i="10" a="1"/>
  <c r="A2031" i="10" s="1"/>
  <c r="A2032" i="10" a="1"/>
  <c r="A2032" i="10" s="1"/>
  <c r="A2033" i="10" a="1"/>
  <c r="A2033" i="10" s="1"/>
  <c r="A2034" i="10" a="1"/>
  <c r="A2034" i="10" s="1"/>
  <c r="A2035" i="10" a="1"/>
  <c r="A2035" i="10" s="1"/>
  <c r="A2036" i="10" a="1"/>
  <c r="A2036" i="10" s="1"/>
  <c r="A2037" i="10" a="1"/>
  <c r="A2037" i="10" s="1"/>
  <c r="A2038" i="10" a="1"/>
  <c r="A2038" i="10" s="1"/>
  <c r="A2039" i="10" a="1"/>
  <c r="A2039" i="10" s="1"/>
  <c r="A2040" i="10" a="1"/>
  <c r="A2040" i="10" s="1"/>
  <c r="A2041" i="10" a="1"/>
  <c r="A2041" i="10" s="1"/>
  <c r="A2042" i="10" a="1"/>
  <c r="A2042" i="10" s="1"/>
  <c r="A2043" i="10" a="1"/>
  <c r="A2043" i="10" s="1"/>
  <c r="A2044" i="10" a="1"/>
  <c r="A2044" i="10" s="1"/>
  <c r="A2045" i="10" a="1"/>
  <c r="A2045" i="10" s="1"/>
  <c r="A2046" i="10" a="1"/>
  <c r="A2046" i="10" s="1"/>
  <c r="A2047" i="10" a="1"/>
  <c r="A2047" i="10" s="1"/>
  <c r="A2048" i="10" a="1"/>
  <c r="A2048" i="10" s="1"/>
  <c r="A2049" i="10" a="1"/>
  <c r="A2049" i="10" s="1"/>
  <c r="A2050" i="10" a="1"/>
  <c r="A2050" i="10" s="1"/>
  <c r="A2051" i="10" a="1"/>
  <c r="A2051" i="10" s="1"/>
  <c r="A2052" i="10" a="1"/>
  <c r="A2052" i="10" s="1"/>
  <c r="A2053" i="10" a="1"/>
  <c r="A2053" i="10" s="1"/>
  <c r="A2054" i="10" a="1"/>
  <c r="A2054" i="10" s="1"/>
  <c r="A2055" i="10" a="1"/>
  <c r="A2055" i="10" s="1"/>
  <c r="A2056" i="10" a="1"/>
  <c r="A2056" i="10" s="1"/>
  <c r="A2057" i="10" a="1"/>
  <c r="A2057" i="10" s="1"/>
  <c r="A2058" i="10" a="1"/>
  <c r="A2058" i="10" s="1"/>
  <c r="A2059" i="10" a="1"/>
  <c r="A2059" i="10" s="1"/>
  <c r="A2060" i="10" a="1"/>
  <c r="A2060" i="10" s="1"/>
  <c r="A2061" i="10" a="1"/>
  <c r="A2061" i="10" s="1"/>
  <c r="A2062" i="10" a="1"/>
  <c r="A2062" i="10" s="1"/>
  <c r="A2063" i="10" a="1"/>
  <c r="A2063" i="10" s="1"/>
  <c r="A2064" i="10" a="1"/>
  <c r="A2064" i="10" s="1"/>
  <c r="A2065" i="10" a="1"/>
  <c r="A2065" i="10" s="1"/>
  <c r="A2066" i="10" a="1"/>
  <c r="A2066" i="10" s="1"/>
  <c r="A2067" i="10" a="1"/>
  <c r="A2067" i="10" s="1"/>
  <c r="A2068" i="10" a="1"/>
  <c r="A2068" i="10" s="1"/>
  <c r="A2069" i="10" a="1"/>
  <c r="A2069" i="10" s="1"/>
  <c r="A2070" i="10" a="1"/>
  <c r="A2070" i="10" s="1"/>
  <c r="A2071" i="10" a="1"/>
  <c r="A2071" i="10" s="1"/>
  <c r="A2072" i="10" a="1"/>
  <c r="A2072" i="10" s="1"/>
  <c r="A2073" i="10" a="1"/>
  <c r="A2073" i="10" s="1"/>
  <c r="A2074" i="10" a="1"/>
  <c r="A2074" i="10" s="1"/>
  <c r="A2075" i="10" a="1"/>
  <c r="A2075" i="10" s="1"/>
  <c r="A2076" i="10" a="1"/>
  <c r="A2076" i="10" s="1"/>
  <c r="A2077" i="10" a="1"/>
  <c r="A2077" i="10" s="1"/>
  <c r="A2078" i="10" a="1"/>
  <c r="A2078" i="10" s="1"/>
  <c r="A2079" i="10" a="1"/>
  <c r="A2079" i="10" s="1"/>
  <c r="A2080" i="10" a="1"/>
  <c r="A2080" i="10" s="1"/>
  <c r="A2081" i="10" a="1"/>
  <c r="A2081" i="10" s="1"/>
  <c r="A2082" i="10" a="1"/>
  <c r="A2082" i="10" s="1"/>
  <c r="A2083" i="10" a="1"/>
  <c r="A2083" i="10" s="1"/>
  <c r="A2084" i="10" a="1"/>
  <c r="A2084" i="10" s="1"/>
  <c r="A2085" i="10" a="1"/>
  <c r="A2085" i="10" s="1"/>
  <c r="A2086" i="10" a="1"/>
  <c r="A2086" i="10" s="1"/>
  <c r="A2087" i="10" a="1"/>
  <c r="A2087" i="10" s="1"/>
  <c r="A2088" i="10" a="1"/>
  <c r="A2088" i="10" s="1"/>
  <c r="A2089" i="10" a="1"/>
  <c r="A2089" i="10" s="1"/>
  <c r="A2090" i="10" a="1"/>
  <c r="A2090" i="10" s="1"/>
  <c r="A2091" i="10" a="1"/>
  <c r="A2091" i="10" s="1"/>
  <c r="A2092" i="10" a="1"/>
  <c r="A2092" i="10" s="1"/>
  <c r="A2093" i="10" a="1"/>
  <c r="A2093" i="10" s="1"/>
  <c r="A2094" i="10" a="1"/>
  <c r="A2094" i="10" s="1"/>
  <c r="A2095" i="10" a="1"/>
  <c r="A2095" i="10" s="1"/>
  <c r="A2096" i="10" a="1"/>
  <c r="A2096" i="10" s="1"/>
  <c r="A2097" i="10" a="1"/>
  <c r="A2097" i="10" s="1"/>
  <c r="A2098" i="10" a="1"/>
  <c r="A2098" i="10" s="1"/>
  <c r="A2099" i="10" a="1"/>
  <c r="A2099" i="10" s="1"/>
  <c r="A2100" i="10" a="1"/>
  <c r="A2100" i="10" s="1"/>
  <c r="A2101" i="10" a="1"/>
  <c r="A2101" i="10" s="1"/>
  <c r="A2102" i="10" a="1"/>
  <c r="A2102" i="10" s="1"/>
  <c r="A2103" i="10" a="1"/>
  <c r="A2103" i="10" s="1"/>
  <c r="A2104" i="10" a="1"/>
  <c r="A2104" i="10" s="1"/>
  <c r="A2105" i="10" a="1"/>
  <c r="A2105" i="10" s="1"/>
  <c r="A2106" i="10" a="1"/>
  <c r="A2106" i="10" s="1"/>
  <c r="A2107" i="10" a="1"/>
  <c r="A2107" i="10" s="1"/>
  <c r="A2108" i="10" a="1"/>
  <c r="A2108" i="10" s="1"/>
  <c r="A2109" i="10" a="1"/>
  <c r="A2109" i="10" s="1"/>
  <c r="A2110" i="10" a="1"/>
  <c r="A2110" i="10" s="1"/>
  <c r="A2111" i="10" a="1"/>
  <c r="A2111" i="10" s="1"/>
  <c r="A2112" i="10" a="1"/>
  <c r="A2112" i="10" s="1"/>
  <c r="A2113" i="10" a="1"/>
  <c r="A2113" i="10" s="1"/>
  <c r="A2114" i="10" a="1"/>
  <c r="A2114" i="10" s="1"/>
  <c r="A2115" i="10" a="1"/>
  <c r="A2115" i="10" s="1"/>
  <c r="A2116" i="10" a="1"/>
  <c r="A2116" i="10" s="1"/>
  <c r="A2117" i="10" a="1"/>
  <c r="A2117" i="10" s="1"/>
  <c r="A2118" i="10" a="1"/>
  <c r="A2118" i="10" s="1"/>
  <c r="A2119" i="10" a="1"/>
  <c r="A2119" i="10" s="1"/>
  <c r="A2120" i="10" a="1"/>
  <c r="A2120" i="10" s="1"/>
  <c r="A2121" i="10" a="1"/>
  <c r="A2121" i="10" s="1"/>
  <c r="A2122" i="10" a="1"/>
  <c r="A2122" i="10" s="1"/>
  <c r="A2123" i="10" a="1"/>
  <c r="A2123" i="10" s="1"/>
  <c r="A2124" i="10" a="1"/>
  <c r="A2124" i="10" s="1"/>
  <c r="A2125" i="10" a="1"/>
  <c r="A2125" i="10" s="1"/>
  <c r="A2126" i="10" a="1"/>
  <c r="A2126" i="10" s="1"/>
  <c r="A2127" i="10" a="1"/>
  <c r="A2127" i="10" s="1"/>
  <c r="A2128" i="10" a="1"/>
  <c r="A2128" i="10" s="1"/>
  <c r="A2129" i="10" a="1"/>
  <c r="A2129" i="10" s="1"/>
  <c r="A2130" i="10" a="1"/>
  <c r="A2130" i="10" s="1"/>
  <c r="A2131" i="10" a="1"/>
  <c r="A2131" i="10" s="1"/>
  <c r="A2132" i="10" a="1"/>
  <c r="A2132" i="10" s="1"/>
  <c r="A2133" i="10" a="1"/>
  <c r="A2133" i="10" s="1"/>
  <c r="A2134" i="10" a="1"/>
  <c r="A2134" i="10" s="1"/>
  <c r="A2135" i="10" a="1"/>
  <c r="A2135" i="10" s="1"/>
  <c r="A2136" i="10" a="1"/>
  <c r="A2136" i="10" s="1"/>
  <c r="A2137" i="10" a="1"/>
  <c r="A2137" i="10" s="1"/>
  <c r="A2138" i="10" a="1"/>
  <c r="A2138" i="10" s="1"/>
  <c r="A2139" i="10" a="1"/>
  <c r="A2139" i="10" s="1"/>
  <c r="A2140" i="10" a="1"/>
  <c r="A2140" i="10" s="1"/>
  <c r="A2141" i="10" a="1"/>
  <c r="A2141" i="10" s="1"/>
  <c r="A2142" i="10" a="1"/>
  <c r="A2142" i="10" s="1"/>
  <c r="A2143" i="10" a="1"/>
  <c r="A2143" i="10" s="1"/>
  <c r="A2144" i="10" a="1"/>
  <c r="A2144" i="10" s="1"/>
  <c r="A2145" i="10" a="1"/>
  <c r="A2145" i="10" s="1"/>
  <c r="A2146" i="10" a="1"/>
  <c r="A2146" i="10" s="1"/>
  <c r="A2147" i="10" a="1"/>
  <c r="A2147" i="10" s="1"/>
  <c r="A2148" i="10" a="1"/>
  <c r="A2148" i="10" s="1"/>
  <c r="A2149" i="10" a="1"/>
  <c r="A2149" i="10" s="1"/>
  <c r="A2150" i="10" a="1"/>
  <c r="A2150" i="10" s="1"/>
  <c r="A2151" i="10" a="1"/>
  <c r="A2151" i="10" s="1"/>
  <c r="A2152" i="10" a="1"/>
  <c r="A2152" i="10" s="1"/>
  <c r="A2153" i="10" a="1"/>
  <c r="A2153" i="10" s="1"/>
  <c r="A2154" i="10" a="1"/>
  <c r="A2154" i="10" s="1"/>
  <c r="A2155" i="10" a="1"/>
  <c r="A2155" i="10" s="1"/>
  <c r="A2156" i="10" a="1"/>
  <c r="A2156" i="10" s="1"/>
  <c r="A2157" i="10" a="1"/>
  <c r="A2157" i="10" s="1"/>
  <c r="A2158" i="10" a="1"/>
  <c r="A2158" i="10" s="1"/>
  <c r="A2159" i="10" a="1"/>
  <c r="A2159" i="10" s="1"/>
  <c r="A2160" i="10" a="1"/>
  <c r="A2160" i="10" s="1"/>
  <c r="A2161" i="10" a="1"/>
  <c r="A2161" i="10" s="1"/>
  <c r="A2162" i="10" a="1"/>
  <c r="A2162" i="10" s="1"/>
  <c r="A2163" i="10" a="1"/>
  <c r="A2163" i="10" s="1"/>
  <c r="A2164" i="10" a="1"/>
  <c r="A2164" i="10" s="1"/>
  <c r="A2165" i="10" a="1"/>
  <c r="A2165" i="10" s="1"/>
  <c r="A2166" i="10" a="1"/>
  <c r="A2166" i="10" s="1"/>
  <c r="A2167" i="10" a="1"/>
  <c r="A2167" i="10" s="1"/>
  <c r="A2168" i="10" a="1"/>
  <c r="A2168" i="10" s="1"/>
  <c r="A2169" i="10" a="1"/>
  <c r="A2169" i="10" s="1"/>
  <c r="A2170" i="10" a="1"/>
  <c r="A2170" i="10" s="1"/>
  <c r="A2171" i="10" a="1"/>
  <c r="A2171" i="10" s="1"/>
  <c r="A2172" i="10" a="1"/>
  <c r="A2172" i="10" s="1"/>
  <c r="A2173" i="10" a="1"/>
  <c r="A2173" i="10" s="1"/>
  <c r="A2174" i="10" a="1"/>
  <c r="A2174" i="10" s="1"/>
  <c r="A2175" i="10" a="1"/>
  <c r="A2175" i="10" s="1"/>
  <c r="A2176" i="10" a="1"/>
  <c r="A2176" i="10" s="1"/>
  <c r="A2177" i="10" a="1"/>
  <c r="A2177" i="10" s="1"/>
  <c r="A2178" i="10" a="1"/>
  <c r="A2178" i="10" s="1"/>
  <c r="A2179" i="10" a="1"/>
  <c r="A2179" i="10" s="1"/>
  <c r="A2180" i="10" a="1"/>
  <c r="A2180" i="10" s="1"/>
  <c r="A2181" i="10" a="1"/>
  <c r="A2181" i="10" s="1"/>
  <c r="A2182" i="10" a="1"/>
  <c r="A2182" i="10" s="1"/>
  <c r="A2183" i="10" a="1"/>
  <c r="A2183" i="10" s="1"/>
  <c r="A2184" i="10" a="1"/>
  <c r="A2184" i="10" s="1"/>
  <c r="A2185" i="10" a="1"/>
  <c r="A2185" i="10" s="1"/>
  <c r="A2186" i="10" a="1"/>
  <c r="A2186" i="10" s="1"/>
  <c r="A2187" i="10" a="1"/>
  <c r="A2187" i="10" s="1"/>
  <c r="A2188" i="10" a="1"/>
  <c r="A2188" i="10" s="1"/>
  <c r="A2189" i="10" a="1"/>
  <c r="A2189" i="10" s="1"/>
  <c r="A2190" i="10" a="1"/>
  <c r="A2190" i="10" s="1"/>
  <c r="A2191" i="10" a="1"/>
  <c r="A2191" i="10" s="1"/>
  <c r="A2192" i="10" a="1"/>
  <c r="A2192" i="10" s="1"/>
  <c r="A2193" i="10" a="1"/>
  <c r="A2193" i="10" s="1"/>
  <c r="A2194" i="10" a="1"/>
  <c r="A2194" i="10" s="1"/>
  <c r="A2195" i="10" a="1"/>
  <c r="A2195" i="10" s="1"/>
  <c r="A2196" i="10" a="1"/>
  <c r="A2196" i="10" s="1"/>
  <c r="A2197" i="10" a="1"/>
  <c r="A2197" i="10" s="1"/>
  <c r="A2198" i="10" a="1"/>
  <c r="A2198" i="10" s="1"/>
  <c r="A2199" i="10" a="1"/>
  <c r="A2199" i="10" s="1"/>
  <c r="A2200" i="10" a="1"/>
  <c r="A2200" i="10" s="1"/>
  <c r="A2201" i="10" a="1"/>
  <c r="A2201" i="10" s="1"/>
  <c r="A2202" i="10" a="1"/>
  <c r="A2202" i="10" s="1"/>
  <c r="A2203" i="10" a="1"/>
  <c r="A2203" i="10" s="1"/>
  <c r="A2204" i="10" a="1"/>
  <c r="A2204" i="10" s="1"/>
  <c r="A2205" i="10" a="1"/>
  <c r="A2205" i="10" s="1"/>
  <c r="A2206" i="10" a="1"/>
  <c r="A2206" i="10" s="1"/>
  <c r="A2207" i="10" a="1"/>
  <c r="A2207" i="10" s="1"/>
  <c r="A2208" i="10" a="1"/>
  <c r="A2208" i="10" s="1"/>
  <c r="A2209" i="10" a="1"/>
  <c r="A2209" i="10" s="1"/>
  <c r="A2210" i="10" a="1"/>
  <c r="A2210" i="10" s="1"/>
  <c r="A2211" i="10" a="1"/>
  <c r="A2211" i="10" s="1"/>
  <c r="A2212" i="10" a="1"/>
  <c r="A2212" i="10" s="1"/>
  <c r="A2213" i="10" a="1"/>
  <c r="A2213" i="10" s="1"/>
  <c r="A2214" i="10" a="1"/>
  <c r="A2214" i="10" s="1"/>
  <c r="A2215" i="10" a="1"/>
  <c r="A2215" i="10" s="1"/>
  <c r="A2216" i="10" a="1"/>
  <c r="A2216" i="10" s="1"/>
  <c r="A2217" i="10" a="1"/>
  <c r="A2217" i="10" s="1"/>
  <c r="A2218" i="10" a="1"/>
  <c r="A2218" i="10" s="1"/>
  <c r="A2219" i="10" a="1"/>
  <c r="A2219" i="10" s="1"/>
  <c r="A2220" i="10" a="1"/>
  <c r="A2220" i="10" s="1"/>
  <c r="A2221" i="10" a="1"/>
  <c r="A2221" i="10" s="1"/>
  <c r="A2222" i="10" a="1"/>
  <c r="A2222" i="10" s="1"/>
  <c r="A2223" i="10" a="1"/>
  <c r="A2223" i="10" s="1"/>
  <c r="A2224" i="10" a="1"/>
  <c r="A2224" i="10" s="1"/>
  <c r="A2225" i="10" a="1"/>
  <c r="A2225" i="10" s="1"/>
  <c r="A2226" i="10" a="1"/>
  <c r="A2226" i="10" s="1"/>
  <c r="A2227" i="10" a="1"/>
  <c r="A2227" i="10" s="1"/>
  <c r="A2228" i="10" a="1"/>
  <c r="A2228" i="10" s="1"/>
  <c r="A2229" i="10" a="1"/>
  <c r="A2229" i="10" s="1"/>
  <c r="A2230" i="10" a="1"/>
  <c r="A2230" i="10" s="1"/>
  <c r="A2231" i="10" a="1"/>
  <c r="A2231" i="10" s="1"/>
  <c r="A2232" i="10" a="1"/>
  <c r="A2232" i="10" s="1"/>
  <c r="A2233" i="10" a="1"/>
  <c r="A2233" i="10" s="1"/>
  <c r="A2234" i="10" a="1"/>
  <c r="A2234" i="10" s="1"/>
  <c r="A2235" i="10" a="1"/>
  <c r="A2235" i="10" s="1"/>
  <c r="A2236" i="10" a="1"/>
  <c r="A2236" i="10" s="1"/>
  <c r="A2237" i="10" a="1"/>
  <c r="A2237" i="10" s="1"/>
  <c r="A2238" i="10" a="1"/>
  <c r="A2238" i="10" s="1"/>
  <c r="A2239" i="10" a="1"/>
  <c r="A2239" i="10" s="1"/>
  <c r="A2240" i="10" a="1"/>
  <c r="A2240" i="10" s="1"/>
  <c r="A2241" i="10" a="1"/>
  <c r="A2241" i="10" s="1"/>
  <c r="A2242" i="10" a="1"/>
  <c r="A2242" i="10" s="1"/>
  <c r="A2243" i="10" a="1"/>
  <c r="A2243" i="10" s="1"/>
  <c r="A2244" i="10" a="1"/>
  <c r="A2244" i="10" s="1"/>
  <c r="A2245" i="10" a="1"/>
  <c r="A2245" i="10" s="1"/>
  <c r="A2246" i="10" a="1"/>
  <c r="A2246" i="10" s="1"/>
  <c r="A2247" i="10" a="1"/>
  <c r="A2247" i="10" s="1"/>
  <c r="A2248" i="10" a="1"/>
  <c r="A2248" i="10" s="1"/>
  <c r="A2249" i="10" a="1"/>
  <c r="A2249" i="10" s="1"/>
  <c r="A2250" i="10" a="1"/>
  <c r="A2250" i="10" s="1"/>
  <c r="A2251" i="10" a="1"/>
  <c r="A2251" i="10" s="1"/>
  <c r="A2252" i="10" a="1"/>
  <c r="A2252" i="10" s="1"/>
  <c r="A2253" i="10" a="1"/>
  <c r="A2253" i="10" s="1"/>
  <c r="A2254" i="10" a="1"/>
  <c r="A2254" i="10" s="1"/>
  <c r="A2255" i="10" a="1"/>
  <c r="A2255" i="10" s="1"/>
  <c r="A2256" i="10" a="1"/>
  <c r="A2256" i="10" s="1"/>
  <c r="A2257" i="10" a="1"/>
  <c r="A2257" i="10" s="1"/>
  <c r="A2258" i="10" a="1"/>
  <c r="A2258" i="10" s="1"/>
  <c r="A2259" i="10" a="1"/>
  <c r="A2259" i="10" s="1"/>
  <c r="A2260" i="10" a="1"/>
  <c r="A2260" i="10" s="1"/>
  <c r="A2261" i="10" a="1"/>
  <c r="A2261" i="10" s="1"/>
  <c r="A2262" i="10" a="1"/>
  <c r="A2262" i="10" s="1"/>
  <c r="A2263" i="10" a="1"/>
  <c r="A2263" i="10" s="1"/>
  <c r="A2264" i="10" a="1"/>
  <c r="A2264" i="10" s="1"/>
  <c r="A2265" i="10" a="1"/>
  <c r="A2265" i="10" s="1"/>
  <c r="A2266" i="10" a="1"/>
  <c r="A2266" i="10" s="1"/>
  <c r="A2267" i="10" a="1"/>
  <c r="A2267" i="10" s="1"/>
  <c r="A2268" i="10" a="1"/>
  <c r="A2268" i="10" s="1"/>
  <c r="A2269" i="10" a="1"/>
  <c r="A2269" i="10" s="1"/>
  <c r="A2270" i="10" a="1"/>
  <c r="A2270" i="10" s="1"/>
  <c r="A2271" i="10" a="1"/>
  <c r="A2271" i="10" s="1"/>
  <c r="A2272" i="10" a="1"/>
  <c r="A2272" i="10" s="1"/>
  <c r="A2273" i="10" a="1"/>
  <c r="A2273" i="10" s="1"/>
  <c r="A2274" i="10" a="1"/>
  <c r="A2274" i="10" s="1"/>
  <c r="A2275" i="10" a="1"/>
  <c r="A2275" i="10" s="1"/>
  <c r="A2276" i="10" a="1"/>
  <c r="A2276" i="10" s="1"/>
  <c r="A2277" i="10" a="1"/>
  <c r="A2277" i="10" s="1"/>
  <c r="A2278" i="10" a="1"/>
  <c r="A2278" i="10" s="1"/>
  <c r="A2279" i="10" a="1"/>
  <c r="A2279" i="10" s="1"/>
  <c r="A2280" i="10" a="1"/>
  <c r="A2280" i="10" s="1"/>
  <c r="A2281" i="10" a="1"/>
  <c r="A2281" i="10" s="1"/>
  <c r="A2282" i="10" a="1"/>
  <c r="A2282" i="10" s="1"/>
  <c r="A2283" i="10" a="1"/>
  <c r="A2283" i="10" s="1"/>
  <c r="A2284" i="10" a="1"/>
  <c r="A2284" i="10" s="1"/>
  <c r="A2285" i="10" a="1"/>
  <c r="A2285" i="10" s="1"/>
  <c r="A2286" i="10" a="1"/>
  <c r="A2286" i="10" s="1"/>
  <c r="A2287" i="10" a="1"/>
  <c r="A2287" i="10" s="1"/>
  <c r="A2288" i="10" a="1"/>
  <c r="A2288" i="10" s="1"/>
  <c r="A2289" i="10" a="1"/>
  <c r="A2289" i="10" s="1"/>
  <c r="A2290" i="10" a="1"/>
  <c r="A2290" i="10" s="1"/>
  <c r="A2291" i="10" a="1"/>
  <c r="A2291" i="10" s="1"/>
  <c r="A2292" i="10" a="1"/>
  <c r="A2292" i="10" s="1"/>
  <c r="A2293" i="10" a="1"/>
  <c r="A2293" i="10" s="1"/>
  <c r="A2294" i="10" a="1"/>
  <c r="A2294" i="10" s="1"/>
  <c r="A2295" i="10" a="1"/>
  <c r="A2295" i="10" s="1"/>
  <c r="A2296" i="10" a="1"/>
  <c r="A2296" i="10" s="1"/>
  <c r="A2297" i="10" a="1"/>
  <c r="A2297" i="10" s="1"/>
  <c r="A2298" i="10" a="1"/>
  <c r="A2298" i="10" s="1"/>
  <c r="A2299" i="10" a="1"/>
  <c r="A2299" i="10" s="1"/>
  <c r="A2300" i="10" a="1"/>
  <c r="A2300" i="10" s="1"/>
  <c r="A2301" i="10" a="1"/>
  <c r="A2301" i="10" s="1"/>
  <c r="A2302" i="10" a="1"/>
  <c r="A2302" i="10" s="1"/>
  <c r="A2303" i="10" a="1"/>
  <c r="A2303" i="10" s="1"/>
  <c r="A2304" i="10" a="1"/>
  <c r="A2304" i="10" s="1"/>
  <c r="A2305" i="10" a="1"/>
  <c r="A2305" i="10" s="1"/>
  <c r="A2306" i="10" a="1"/>
  <c r="A2306" i="10" s="1"/>
  <c r="A2307" i="10" a="1"/>
  <c r="A2307" i="10" s="1"/>
  <c r="A2308" i="10" a="1"/>
  <c r="A2308" i="10" s="1"/>
  <c r="A2309" i="10" a="1"/>
  <c r="A2309" i="10" s="1"/>
  <c r="A2310" i="10" a="1"/>
  <c r="A2310" i="10" s="1"/>
  <c r="A2311" i="10" a="1"/>
  <c r="A2311" i="10" s="1"/>
  <c r="A2312" i="10" a="1"/>
  <c r="A2312" i="10" s="1"/>
  <c r="A2313" i="10" a="1"/>
  <c r="A2313" i="10" s="1"/>
  <c r="A2314" i="10" a="1"/>
  <c r="A2314" i="10" s="1"/>
  <c r="A2315" i="10" a="1"/>
  <c r="A2315" i="10" s="1"/>
  <c r="A2316" i="10" a="1"/>
  <c r="A2316" i="10" s="1"/>
  <c r="A2317" i="10" a="1"/>
  <c r="A2317" i="10" s="1"/>
  <c r="A2318" i="10" a="1"/>
  <c r="A2318" i="10" s="1"/>
  <c r="A2319" i="10" a="1"/>
  <c r="A2319" i="10" s="1"/>
  <c r="A2320" i="10" a="1"/>
  <c r="A2320" i="10" s="1"/>
  <c r="A2321" i="10" a="1"/>
  <c r="A2321" i="10" s="1"/>
  <c r="A2322" i="10" a="1"/>
  <c r="A2322" i="10" s="1"/>
  <c r="A2323" i="10" a="1"/>
  <c r="A2323" i="10" s="1"/>
  <c r="A2324" i="10" a="1"/>
  <c r="A2324" i="10" s="1"/>
  <c r="A2325" i="10" a="1"/>
  <c r="A2325" i="10" s="1"/>
  <c r="A2326" i="10" a="1"/>
  <c r="A2326" i="10" s="1"/>
  <c r="A2327" i="10" a="1"/>
  <c r="A2327" i="10" s="1"/>
  <c r="A2328" i="10" a="1"/>
  <c r="A2328" i="10" s="1"/>
  <c r="A2329" i="10" a="1"/>
  <c r="A2329" i="10" s="1"/>
  <c r="A2330" i="10" a="1"/>
  <c r="A2330" i="10" s="1"/>
  <c r="A2331" i="10" a="1"/>
  <c r="A2331" i="10" s="1"/>
  <c r="A2332" i="10" a="1"/>
  <c r="A2332" i="10" s="1"/>
  <c r="A2333" i="10" a="1"/>
  <c r="A2333" i="10" s="1"/>
  <c r="A2334" i="10" a="1"/>
  <c r="A2334" i="10" s="1"/>
  <c r="A2335" i="10" a="1"/>
  <c r="A2335" i="10" s="1"/>
  <c r="A2336" i="10" a="1"/>
  <c r="A2336" i="10" s="1"/>
  <c r="A2337" i="10" a="1"/>
  <c r="A2337" i="10" s="1"/>
  <c r="A2338" i="10" a="1"/>
  <c r="A2338" i="10" s="1"/>
  <c r="A2339" i="10" a="1"/>
  <c r="A2339" i="10" s="1"/>
  <c r="A2340" i="10" a="1"/>
  <c r="A2340" i="10" s="1"/>
  <c r="A2341" i="10" a="1"/>
  <c r="A2341" i="10" s="1"/>
  <c r="A2342" i="10" a="1"/>
  <c r="A2342" i="10" s="1"/>
  <c r="A2343" i="10" a="1"/>
  <c r="A2343" i="10" s="1"/>
  <c r="A2344" i="10" a="1"/>
  <c r="A2344" i="10" s="1"/>
  <c r="A2345" i="10" a="1"/>
  <c r="A2345" i="10" s="1"/>
  <c r="A2346" i="10" a="1"/>
  <c r="A2346" i="10" s="1"/>
  <c r="A2347" i="10" a="1"/>
  <c r="A2347" i="10" s="1"/>
  <c r="A2348" i="10" a="1"/>
  <c r="A2348" i="10" s="1"/>
  <c r="A2349" i="10" a="1"/>
  <c r="A2349" i="10" s="1"/>
  <c r="A2350" i="10" a="1"/>
  <c r="A2350" i="10" s="1"/>
  <c r="A2351" i="10" a="1"/>
  <c r="A2351" i="10" s="1"/>
  <c r="A2352" i="10" a="1"/>
  <c r="A2352" i="10" s="1"/>
  <c r="A2353" i="10" a="1"/>
  <c r="A2353" i="10" s="1"/>
  <c r="A2354" i="10" a="1"/>
  <c r="A2354" i="10" s="1"/>
  <c r="A2355" i="10" a="1"/>
  <c r="A2355" i="10" s="1"/>
  <c r="A2356" i="10" a="1"/>
  <c r="A2356" i="10" s="1"/>
  <c r="A2357" i="10" a="1"/>
  <c r="A2357" i="10" s="1"/>
  <c r="A2358" i="10" a="1"/>
  <c r="A2358" i="10" s="1"/>
  <c r="A2359" i="10" a="1"/>
  <c r="A2359" i="10" s="1"/>
  <c r="A2360" i="10" a="1"/>
  <c r="A2360" i="10" s="1"/>
  <c r="A2361" i="10" a="1"/>
  <c r="A2361" i="10" s="1"/>
  <c r="A2362" i="10" a="1"/>
  <c r="A2362" i="10" s="1"/>
  <c r="A2363" i="10" a="1"/>
  <c r="A2363" i="10" s="1"/>
  <c r="A2364" i="10" a="1"/>
  <c r="A2364" i="10" s="1"/>
  <c r="A2365" i="10" a="1"/>
  <c r="A2365" i="10" s="1"/>
  <c r="A2366" i="10" a="1"/>
  <c r="A2366" i="10" s="1"/>
  <c r="A2367" i="10" a="1"/>
  <c r="A2367" i="10" s="1"/>
  <c r="A2368" i="10" a="1"/>
  <c r="A2368" i="10" s="1"/>
  <c r="A2369" i="10" a="1"/>
  <c r="A2369" i="10" s="1"/>
  <c r="A2370" i="10" a="1"/>
  <c r="A2370" i="10" s="1"/>
  <c r="A2371" i="10" a="1"/>
  <c r="A2371" i="10" s="1"/>
  <c r="A2372" i="10" a="1"/>
  <c r="A2372" i="10" s="1"/>
  <c r="A2373" i="10" a="1"/>
  <c r="A2373" i="10" s="1"/>
  <c r="A2374" i="10" a="1"/>
  <c r="A2374" i="10" s="1"/>
  <c r="A2375" i="10" a="1"/>
  <c r="A2375" i="10" s="1"/>
  <c r="A2376" i="10" a="1"/>
  <c r="A2376" i="10" s="1"/>
  <c r="A2377" i="10" a="1"/>
  <c r="A2377" i="10" s="1"/>
  <c r="A2378" i="10" a="1"/>
  <c r="A2378" i="10" s="1"/>
  <c r="A2379" i="10" a="1"/>
  <c r="A2379" i="10" s="1"/>
  <c r="A2380" i="10" a="1"/>
  <c r="A2380" i="10" s="1"/>
  <c r="A2381" i="10" a="1"/>
  <c r="A2381" i="10" s="1"/>
  <c r="A2382" i="10" a="1"/>
  <c r="A2382" i="10" s="1"/>
  <c r="A2383" i="10" a="1"/>
  <c r="A2383" i="10" s="1"/>
  <c r="A2384" i="10" a="1"/>
  <c r="A2384" i="10" s="1"/>
  <c r="A2385" i="10" a="1"/>
  <c r="A2385" i="10" s="1"/>
  <c r="A2386" i="10" a="1"/>
  <c r="A2386" i="10" s="1"/>
  <c r="A2387" i="10" a="1"/>
  <c r="A2387" i="10" s="1"/>
  <c r="A2388" i="10" a="1"/>
  <c r="A2388" i="10" s="1"/>
  <c r="A2389" i="10" a="1"/>
  <c r="A2389" i="10" s="1"/>
  <c r="A2390" i="10" a="1"/>
  <c r="A2390" i="10" s="1"/>
  <c r="A2391" i="10" a="1"/>
  <c r="A2391" i="10" s="1"/>
  <c r="A2392" i="10" a="1"/>
  <c r="A2392" i="10" s="1"/>
  <c r="A2393" i="10" a="1"/>
  <c r="A2393" i="10" s="1"/>
  <c r="A2394" i="10" a="1"/>
  <c r="A2394" i="10" s="1"/>
  <c r="A2395" i="10" a="1"/>
  <c r="A2395" i="10" s="1"/>
  <c r="A2396" i="10" a="1"/>
  <c r="A2396" i="10" s="1"/>
  <c r="A2397" i="10" a="1"/>
  <c r="A2397" i="10" s="1"/>
  <c r="A2398" i="10" a="1"/>
  <c r="A2398" i="10" s="1"/>
  <c r="A2399" i="10" a="1"/>
  <c r="A2399" i="10" s="1"/>
  <c r="A2400" i="10" a="1"/>
  <c r="A2400" i="10" s="1"/>
  <c r="A2401" i="10" a="1"/>
  <c r="A2401" i="10" s="1"/>
  <c r="A2402" i="10" a="1"/>
  <c r="A2402" i="10" s="1"/>
  <c r="A2403" i="10" a="1"/>
  <c r="A2403" i="10" s="1"/>
  <c r="A2404" i="10" a="1"/>
  <c r="A2404" i="10" s="1"/>
  <c r="A2405" i="10" a="1"/>
  <c r="A2405" i="10" s="1"/>
  <c r="A2406" i="10" a="1"/>
  <c r="A2406" i="10" s="1"/>
  <c r="A2407" i="10" a="1"/>
  <c r="A2407" i="10" s="1"/>
  <c r="A2408" i="10" a="1"/>
  <c r="A2408" i="10" s="1"/>
  <c r="A2409" i="10" a="1"/>
  <c r="A2409" i="10" s="1"/>
  <c r="A2410" i="10" a="1"/>
  <c r="A2410" i="10" s="1"/>
  <c r="A2411" i="10" a="1"/>
  <c r="A2411" i="10" s="1"/>
  <c r="A2412" i="10" a="1"/>
  <c r="A2412" i="10" s="1"/>
  <c r="A2413" i="10" a="1"/>
  <c r="A2413" i="10" s="1"/>
  <c r="A2414" i="10" a="1"/>
  <c r="A2414" i="10" s="1"/>
  <c r="A2415" i="10" a="1"/>
  <c r="A2415" i="10" s="1"/>
  <c r="A2416" i="10" a="1"/>
  <c r="A2416" i="10" s="1"/>
  <c r="A2417" i="10" a="1"/>
  <c r="A2417" i="10" s="1"/>
  <c r="A2418" i="10" a="1"/>
  <c r="A2418" i="10" s="1"/>
  <c r="A2419" i="10" a="1"/>
  <c r="A2419" i="10" s="1"/>
  <c r="A2420" i="10" a="1"/>
  <c r="A2420" i="10" s="1"/>
  <c r="A2421" i="10" a="1"/>
  <c r="A2421" i="10" s="1"/>
  <c r="A2422" i="10" a="1"/>
  <c r="A2422" i="10" s="1"/>
  <c r="A2423" i="10" a="1"/>
  <c r="A2423" i="10" s="1"/>
  <c r="A2424" i="10" a="1"/>
  <c r="A2424" i="10" s="1"/>
  <c r="A2425" i="10" a="1"/>
  <c r="A2425" i="10" s="1"/>
  <c r="A2426" i="10" a="1"/>
  <c r="A2426" i="10" s="1"/>
  <c r="A2427" i="10" a="1"/>
  <c r="A2427" i="10" s="1"/>
  <c r="A2428" i="10" a="1"/>
  <c r="A2428" i="10" s="1"/>
  <c r="A2429" i="10" a="1"/>
  <c r="A2429" i="10" s="1"/>
  <c r="A2430" i="10" a="1"/>
  <c r="A2430" i="10" s="1"/>
  <c r="A2431" i="10" a="1"/>
  <c r="A2431" i="10" s="1"/>
  <c r="A2432" i="10" a="1"/>
  <c r="A2432" i="10" s="1"/>
  <c r="A2433" i="10" a="1"/>
  <c r="A2433" i="10" s="1"/>
  <c r="A2434" i="10" a="1"/>
  <c r="A2434" i="10" s="1"/>
  <c r="A2435" i="10" a="1"/>
  <c r="A2435" i="10" s="1"/>
  <c r="A2436" i="10" a="1"/>
  <c r="A2436" i="10" s="1"/>
  <c r="A2437" i="10" a="1"/>
  <c r="A2437" i="10" s="1"/>
  <c r="A2438" i="10" a="1"/>
  <c r="A2438" i="10" s="1"/>
  <c r="A2439" i="10" a="1"/>
  <c r="A2439" i="10" s="1"/>
  <c r="A2440" i="10" a="1"/>
  <c r="A2440" i="10" s="1"/>
  <c r="A2441" i="10" a="1"/>
  <c r="A2441" i="10" s="1"/>
  <c r="A2442" i="10" a="1"/>
  <c r="A2442" i="10" s="1"/>
  <c r="A2443" i="10" a="1"/>
  <c r="A2443" i="10" s="1"/>
  <c r="A2444" i="10" a="1"/>
  <c r="A2444" i="10" s="1"/>
  <c r="A2445" i="10" a="1"/>
  <c r="A2445" i="10" s="1"/>
  <c r="A2446" i="10" a="1"/>
  <c r="A2446" i="10" s="1"/>
  <c r="A2447" i="10" a="1"/>
  <c r="A2447" i="10" s="1"/>
  <c r="A2448" i="10" a="1"/>
  <c r="A2448" i="10" s="1"/>
  <c r="A2449" i="10" a="1"/>
  <c r="A2449" i="10" s="1"/>
  <c r="A2450" i="10" a="1"/>
  <c r="A2450" i="10" s="1"/>
  <c r="A2451" i="10" a="1"/>
  <c r="A2451" i="10" s="1"/>
  <c r="A2452" i="10" a="1"/>
  <c r="A2452" i="10" s="1"/>
  <c r="A2453" i="10" a="1"/>
  <c r="A2453" i="10" s="1"/>
  <c r="A2454" i="10" a="1"/>
  <c r="A2454" i="10" s="1"/>
  <c r="A2455" i="10" a="1"/>
  <c r="A2455" i="10" s="1"/>
  <c r="A2456" i="10" a="1"/>
  <c r="A2456" i="10" s="1"/>
  <c r="A2457" i="10" a="1"/>
  <c r="A2457" i="10" s="1"/>
  <c r="A2458" i="10" a="1"/>
  <c r="A2458" i="10" s="1"/>
  <c r="A2459" i="10" a="1"/>
  <c r="A2459" i="10" s="1"/>
  <c r="A2460" i="10" a="1"/>
  <c r="A2460" i="10" s="1"/>
  <c r="A2461" i="10" a="1"/>
  <c r="A2461" i="10" s="1"/>
  <c r="A2462" i="10" a="1"/>
  <c r="A2462" i="10" s="1"/>
  <c r="A2463" i="10" a="1"/>
  <c r="A2463" i="10" s="1"/>
  <c r="A2464" i="10" a="1"/>
  <c r="A2464" i="10" s="1"/>
  <c r="A2465" i="10" a="1"/>
  <c r="A2465" i="10" s="1"/>
  <c r="A2466" i="10" a="1"/>
  <c r="A2466" i="10" s="1"/>
  <c r="A2467" i="10" a="1"/>
  <c r="A2467" i="10" s="1"/>
  <c r="A2468" i="10" a="1"/>
  <c r="A2468" i="10" s="1"/>
  <c r="A2469" i="10" a="1"/>
  <c r="A2469" i="10" s="1"/>
  <c r="A2470" i="10" a="1"/>
  <c r="A2470" i="10" s="1"/>
  <c r="A2471" i="10" a="1"/>
  <c r="A2471" i="10" s="1"/>
  <c r="A2472" i="10" a="1"/>
  <c r="A2472" i="10" s="1"/>
  <c r="A2473" i="10" a="1"/>
  <c r="A2473" i="10" s="1"/>
  <c r="A2474" i="10" a="1"/>
  <c r="A2474" i="10" s="1"/>
  <c r="A2475" i="10" a="1"/>
  <c r="A2475" i="10" s="1"/>
  <c r="A2476" i="10" a="1"/>
  <c r="A2476" i="10" s="1"/>
  <c r="A2477" i="10" a="1"/>
  <c r="A2477" i="10" s="1"/>
  <c r="A2478" i="10" a="1"/>
  <c r="A2478" i="10" s="1"/>
  <c r="A2479" i="10" a="1"/>
  <c r="A2479" i="10" s="1"/>
  <c r="A2480" i="10" a="1"/>
  <c r="A2480" i="10" s="1"/>
  <c r="A2481" i="10" a="1"/>
  <c r="A2481" i="10" s="1"/>
  <c r="A2482" i="10" a="1"/>
  <c r="A2482" i="10" s="1"/>
  <c r="A2483" i="10" a="1"/>
  <c r="A2483" i="10" s="1"/>
  <c r="A2484" i="10" a="1"/>
  <c r="A2484" i="10" s="1"/>
  <c r="A2485" i="10" a="1"/>
  <c r="A2485" i="10" s="1"/>
  <c r="A2486" i="10" a="1"/>
  <c r="A2486" i="10" s="1"/>
  <c r="A2487" i="10" a="1"/>
  <c r="A2487" i="10" s="1"/>
  <c r="A2488" i="10" a="1"/>
  <c r="A2488" i="10" s="1"/>
  <c r="A2489" i="10" a="1"/>
  <c r="A2489" i="10" s="1"/>
  <c r="A2490" i="10" a="1"/>
  <c r="A2490" i="10" s="1"/>
  <c r="A2491" i="10" a="1"/>
  <c r="A2491" i="10" s="1"/>
  <c r="A2492" i="10" a="1"/>
  <c r="A2492" i="10" s="1"/>
  <c r="A2493" i="10" a="1"/>
  <c r="A2493" i="10" s="1"/>
  <c r="A2494" i="10" a="1"/>
  <c r="A2494" i="10" s="1"/>
  <c r="A2495" i="10" a="1"/>
  <c r="A2495" i="10" s="1"/>
  <c r="A2496" i="10" a="1"/>
  <c r="A2496" i="10" s="1"/>
  <c r="A2497" i="10" a="1"/>
  <c r="A2497" i="10" s="1"/>
  <c r="A2498" i="10" a="1"/>
  <c r="A2498" i="10" s="1"/>
  <c r="A2499" i="10" a="1"/>
  <c r="A2499" i="10" s="1"/>
  <c r="A2500" i="10" a="1"/>
  <c r="A2500" i="10" s="1"/>
  <c r="A2501" i="10" a="1"/>
  <c r="A2501" i="10" s="1"/>
  <c r="A2502" i="10" a="1"/>
  <c r="A2502" i="10" s="1"/>
  <c r="A2503" i="10" a="1"/>
  <c r="A2503" i="10" s="1"/>
  <c r="A2504" i="10" a="1"/>
  <c r="A2504" i="10" s="1"/>
  <c r="A2505" i="10" a="1"/>
  <c r="A2505" i="10" s="1"/>
  <c r="A2506" i="10" a="1"/>
  <c r="A2506" i="10" s="1"/>
  <c r="A2507" i="10" a="1"/>
  <c r="A2507" i="10" s="1"/>
  <c r="A2508" i="10" a="1"/>
  <c r="A2508" i="10" s="1"/>
  <c r="A2509" i="10" a="1"/>
  <c r="A2509" i="10" s="1"/>
  <c r="A2510" i="10" a="1"/>
  <c r="A2510" i="10" s="1"/>
  <c r="A2511" i="10" a="1"/>
  <c r="A2511" i="10" s="1"/>
  <c r="A2512" i="10" a="1"/>
  <c r="A2512" i="10" s="1"/>
  <c r="A2513" i="10" a="1"/>
  <c r="A2513" i="10" s="1"/>
  <c r="A2514" i="10" a="1"/>
  <c r="A2514" i="10" s="1"/>
  <c r="A2515" i="10" a="1"/>
  <c r="A2515" i="10" s="1"/>
  <c r="A2516" i="10" a="1"/>
  <c r="A2516" i="10" s="1"/>
  <c r="A2517" i="10" a="1"/>
  <c r="A2517" i="10" s="1"/>
  <c r="A2518" i="10" a="1"/>
  <c r="A2518" i="10" s="1"/>
  <c r="A2519" i="10" a="1"/>
  <c r="A2519" i="10" s="1"/>
  <c r="A2520" i="10" a="1"/>
  <c r="A2520" i="10" s="1"/>
  <c r="A2521" i="10" a="1"/>
  <c r="A2521" i="10" s="1"/>
  <c r="A2522" i="10" a="1"/>
  <c r="A2522" i="10" s="1"/>
  <c r="A2523" i="10" a="1"/>
  <c r="A2523" i="10" s="1"/>
  <c r="A2524" i="10" a="1"/>
  <c r="A2524" i="10" s="1"/>
  <c r="A2525" i="10" a="1"/>
  <c r="A2525" i="10" s="1"/>
  <c r="A2526" i="10" a="1"/>
  <c r="A2526" i="10" s="1"/>
  <c r="A2527" i="10" a="1"/>
  <c r="A2527" i="10" s="1"/>
  <c r="A2528" i="10" a="1"/>
  <c r="A2528" i="10" s="1"/>
  <c r="A2529" i="10" a="1"/>
  <c r="A2529" i="10" s="1"/>
  <c r="A2530" i="10" a="1"/>
  <c r="A2530" i="10" s="1"/>
  <c r="A2531" i="10" a="1"/>
  <c r="A2531" i="10" s="1"/>
  <c r="A2532" i="10" a="1"/>
  <c r="A2532" i="10" s="1"/>
  <c r="A2533" i="10" a="1"/>
  <c r="A2533" i="10" s="1"/>
  <c r="A2534" i="10" a="1"/>
  <c r="A2534" i="10" s="1"/>
  <c r="A2535" i="10" a="1"/>
  <c r="A2535" i="10" s="1"/>
  <c r="A2536" i="10" a="1"/>
  <c r="A2536" i="10" s="1"/>
  <c r="A2537" i="10" a="1"/>
  <c r="A2537" i="10" s="1"/>
  <c r="A2538" i="10" a="1"/>
  <c r="A2538" i="10" s="1"/>
  <c r="A2539" i="10" a="1"/>
  <c r="A2539" i="10" s="1"/>
  <c r="A2540" i="10" a="1"/>
  <c r="A2540" i="10" s="1"/>
  <c r="A2541" i="10" a="1"/>
  <c r="A2541" i="10" s="1"/>
  <c r="A2542" i="10" a="1"/>
  <c r="A2542" i="10" s="1"/>
  <c r="A2543" i="10" a="1"/>
  <c r="A2543" i="10" s="1"/>
  <c r="A2544" i="10" a="1"/>
  <c r="A2544" i="10" s="1"/>
  <c r="A2545" i="10" a="1"/>
  <c r="A2545" i="10" s="1"/>
  <c r="A2546" i="10" a="1"/>
  <c r="A2546" i="10" s="1"/>
  <c r="A2547" i="10" a="1"/>
  <c r="A2547" i="10" s="1"/>
  <c r="A2548" i="10" a="1"/>
  <c r="A2548" i="10" s="1"/>
  <c r="A2549" i="10" a="1"/>
  <c r="A2549" i="10" s="1"/>
  <c r="A2550" i="10" a="1"/>
  <c r="A2550" i="10" s="1"/>
  <c r="A2551" i="10" a="1"/>
  <c r="A2551" i="10" s="1"/>
  <c r="A2552" i="10" a="1"/>
  <c r="A2552" i="10" s="1"/>
  <c r="A2553" i="10" a="1"/>
  <c r="A2553" i="10" s="1"/>
  <c r="A2554" i="10" a="1"/>
  <c r="A2554" i="10" s="1"/>
  <c r="A2555" i="10" a="1"/>
  <c r="A2555" i="10" s="1"/>
  <c r="A2556" i="10" a="1"/>
  <c r="A2556" i="10" s="1"/>
  <c r="A2557" i="10" a="1"/>
  <c r="A2557" i="10" s="1"/>
  <c r="A2558" i="10" a="1"/>
  <c r="A2558" i="10" s="1"/>
  <c r="A2559" i="10" a="1"/>
  <c r="A2559" i="10" s="1"/>
  <c r="A2560" i="10" a="1"/>
  <c r="A2560" i="10" s="1"/>
  <c r="A2561" i="10" a="1"/>
  <c r="A2561" i="10" s="1"/>
  <c r="A2562" i="10" a="1"/>
  <c r="A2562" i="10" s="1"/>
  <c r="A2563" i="10" a="1"/>
  <c r="A2563" i="10" s="1"/>
  <c r="A2564" i="10" a="1"/>
  <c r="A2564" i="10" s="1"/>
  <c r="A2565" i="10" a="1"/>
  <c r="A2565" i="10" s="1"/>
  <c r="A2566" i="10" a="1"/>
  <c r="A2566" i="10" s="1"/>
  <c r="A2567" i="10" a="1"/>
  <c r="A2567" i="10" s="1"/>
  <c r="A2568" i="10" a="1"/>
  <c r="A2568" i="10" s="1"/>
  <c r="A2569" i="10" a="1"/>
  <c r="A2569" i="10" s="1"/>
  <c r="A2570" i="10" a="1"/>
  <c r="A2570" i="10" s="1"/>
  <c r="A2571" i="10" a="1"/>
  <c r="A2571" i="10" s="1"/>
  <c r="A2572" i="10" a="1"/>
  <c r="A2572" i="10" s="1"/>
  <c r="A2573" i="10" a="1"/>
  <c r="A2573" i="10" s="1"/>
  <c r="A2574" i="10" a="1"/>
  <c r="A2574" i="10" s="1"/>
  <c r="A2575" i="10" a="1"/>
  <c r="A2575" i="10" s="1"/>
  <c r="A2576" i="10" a="1"/>
  <c r="A2576" i="10" s="1"/>
  <c r="A2577" i="10" a="1"/>
  <c r="A2577" i="10" s="1"/>
  <c r="A2578" i="10" a="1"/>
  <c r="A2578" i="10" s="1"/>
  <c r="A2579" i="10" a="1"/>
  <c r="A2579" i="10" s="1"/>
  <c r="A2580" i="10" a="1"/>
  <c r="A2580" i="10" s="1"/>
  <c r="A2581" i="10" a="1"/>
  <c r="A2581" i="10" s="1"/>
  <c r="A2582" i="10" a="1"/>
  <c r="A2582" i="10" s="1"/>
  <c r="A2583" i="10" a="1"/>
  <c r="A2583" i="10" s="1"/>
  <c r="A2584" i="10" a="1"/>
  <c r="A2584" i="10" s="1"/>
  <c r="A2585" i="10" a="1"/>
  <c r="A2585" i="10" s="1"/>
  <c r="A2586" i="10" a="1"/>
  <c r="A2586" i="10" s="1"/>
  <c r="A2587" i="10" a="1"/>
  <c r="A2587" i="10" s="1"/>
  <c r="A2588" i="10" a="1"/>
  <c r="A2588" i="10" s="1"/>
  <c r="A2589" i="10" a="1"/>
  <c r="A2589" i="10" s="1"/>
  <c r="A2590" i="10" a="1"/>
  <c r="A2590" i="10" s="1"/>
  <c r="A2591" i="10" a="1"/>
  <c r="A2591" i="10" s="1"/>
  <c r="A2592" i="10" a="1"/>
  <c r="A2592" i="10" s="1"/>
  <c r="A2593" i="10" a="1"/>
  <c r="A2593" i="10" s="1"/>
  <c r="A2594" i="10" a="1"/>
  <c r="A2594" i="10" s="1"/>
  <c r="A2595" i="10" a="1"/>
  <c r="A2595" i="10" s="1"/>
  <c r="A2596" i="10" a="1"/>
  <c r="A2596" i="10" s="1"/>
  <c r="A2597" i="10" a="1"/>
  <c r="A2597" i="10" s="1"/>
  <c r="A2598" i="10" a="1"/>
  <c r="A2598" i="10" s="1"/>
  <c r="A2599" i="10" a="1"/>
  <c r="A2599" i="10" s="1"/>
  <c r="A2600" i="10" a="1"/>
  <c r="A2600" i="10" s="1"/>
  <c r="A2601" i="10" a="1"/>
  <c r="A2601" i="10" s="1"/>
  <c r="A2602" i="10" a="1"/>
  <c r="A2602" i="10" s="1"/>
  <c r="A2603" i="10" a="1"/>
  <c r="A2603" i="10" s="1"/>
  <c r="A2604" i="10" a="1"/>
  <c r="A2604" i="10" s="1"/>
  <c r="A2605" i="10" a="1"/>
  <c r="A2605" i="10" s="1"/>
  <c r="A2606" i="10" a="1"/>
  <c r="A2606" i="10" s="1"/>
  <c r="A2607" i="10" a="1"/>
  <c r="A2607" i="10" s="1"/>
  <c r="A2608" i="10" a="1"/>
  <c r="A2608" i="10" s="1"/>
  <c r="A2609" i="10" a="1"/>
  <c r="A2609" i="10" s="1"/>
  <c r="A2610" i="10" a="1"/>
  <c r="A2610" i="10" s="1"/>
  <c r="A2611" i="10" a="1"/>
  <c r="A2611" i="10" s="1"/>
  <c r="A2612" i="10" a="1"/>
  <c r="A2612" i="10" s="1"/>
  <c r="A2613" i="10" a="1"/>
  <c r="A2613" i="10" s="1"/>
  <c r="A2614" i="10" a="1"/>
  <c r="A2614" i="10" s="1"/>
  <c r="A2615" i="10" a="1"/>
  <c r="A2615" i="10" s="1"/>
  <c r="A2616" i="10" a="1"/>
  <c r="A2616" i="10" s="1"/>
  <c r="A2617" i="10" a="1"/>
  <c r="A2617" i="10" s="1"/>
  <c r="A2618" i="10" a="1"/>
  <c r="A2618" i="10" s="1"/>
  <c r="A2619" i="10" a="1"/>
  <c r="A2619" i="10" s="1"/>
  <c r="A2620" i="10" a="1"/>
  <c r="A2620" i="10" s="1"/>
  <c r="A2621" i="10" a="1"/>
  <c r="A2621" i="10" s="1"/>
  <c r="A2622" i="10" a="1"/>
  <c r="A2622" i="10" s="1"/>
  <c r="A2623" i="10" a="1"/>
  <c r="A2623" i="10" s="1"/>
  <c r="A2624" i="10" a="1"/>
  <c r="A2624" i="10" s="1"/>
  <c r="A2625" i="10" a="1"/>
  <c r="A2625" i="10" s="1"/>
  <c r="A2626" i="10" a="1"/>
  <c r="A2626" i="10" s="1"/>
  <c r="A2627" i="10" a="1"/>
  <c r="A2627" i="10" s="1"/>
  <c r="A2628" i="10" a="1"/>
  <c r="A2628" i="10" s="1"/>
  <c r="A2629" i="10" a="1"/>
  <c r="A2629" i="10" s="1"/>
  <c r="A2630" i="10" a="1"/>
  <c r="A2630" i="10" s="1"/>
  <c r="A2631" i="10" a="1"/>
  <c r="A2631" i="10" s="1"/>
  <c r="A2632" i="10" a="1"/>
  <c r="A2632" i="10" s="1"/>
  <c r="A2633" i="10" a="1"/>
  <c r="A2633" i="10" s="1"/>
  <c r="A2634" i="10" a="1"/>
  <c r="A2634" i="10" s="1"/>
  <c r="A2635" i="10" a="1"/>
  <c r="A2635" i="10" s="1"/>
  <c r="A2636" i="10" a="1"/>
  <c r="A2636" i="10" s="1"/>
  <c r="A2637" i="10" a="1"/>
  <c r="A2637" i="10" s="1"/>
  <c r="A2638" i="10" a="1"/>
  <c r="A2638" i="10" s="1"/>
  <c r="A2639" i="10" a="1"/>
  <c r="A2639" i="10" s="1"/>
  <c r="A2640" i="10" a="1"/>
  <c r="A2640" i="10" s="1"/>
  <c r="A2641" i="10" a="1"/>
  <c r="A2641" i="10" s="1"/>
  <c r="A2642" i="10" a="1"/>
  <c r="A2642" i="10" s="1"/>
  <c r="A2643" i="10" a="1"/>
  <c r="A2643" i="10" s="1"/>
  <c r="A2644" i="10" a="1"/>
  <c r="A2644" i="10" s="1"/>
  <c r="A2645" i="10" a="1"/>
  <c r="A2645" i="10" s="1"/>
  <c r="A2646" i="10" a="1"/>
  <c r="A2646" i="10" s="1"/>
  <c r="A2647" i="10" a="1"/>
  <c r="A2647" i="10" s="1"/>
  <c r="A2648" i="10" a="1"/>
  <c r="A2648" i="10" s="1"/>
  <c r="A2649" i="10" a="1"/>
  <c r="A2649" i="10" s="1"/>
  <c r="A2650" i="10" a="1"/>
  <c r="A2650" i="10" s="1"/>
  <c r="A2651" i="10" a="1"/>
  <c r="A2651" i="10" s="1"/>
  <c r="A2652" i="10" a="1"/>
  <c r="A2652" i="10" s="1"/>
  <c r="A2653" i="10" a="1"/>
  <c r="A2653" i="10" s="1"/>
  <c r="A2654" i="10" a="1"/>
  <c r="A2654" i="10" s="1"/>
  <c r="A2655" i="10" a="1"/>
  <c r="A2655" i="10" s="1"/>
  <c r="A2656" i="10" a="1"/>
  <c r="A2656" i="10" s="1"/>
  <c r="A2657" i="10" a="1"/>
  <c r="A2657" i="10" s="1"/>
  <c r="A2658" i="10" a="1"/>
  <c r="A2658" i="10" s="1"/>
  <c r="A2659" i="10" a="1"/>
  <c r="A2659" i="10" s="1"/>
  <c r="A2660" i="10" a="1"/>
  <c r="A2660" i="10" s="1"/>
  <c r="A2661" i="10" a="1"/>
  <c r="A2661" i="10" s="1"/>
  <c r="A2662" i="10" a="1"/>
  <c r="A2662" i="10" s="1"/>
  <c r="A2663" i="10" a="1"/>
  <c r="A2663" i="10" s="1"/>
  <c r="A2664" i="10" a="1"/>
  <c r="A2664" i="10" s="1"/>
  <c r="A2665" i="10" a="1"/>
  <c r="A2665" i="10" s="1"/>
  <c r="A2666" i="10" a="1"/>
  <c r="A2666" i="10" s="1"/>
  <c r="A2667" i="10" a="1"/>
  <c r="A2667" i="10" s="1"/>
  <c r="A2668" i="10" a="1"/>
  <c r="A2668" i="10" s="1"/>
  <c r="A2669" i="10" a="1"/>
  <c r="A2669" i="10" s="1"/>
  <c r="A2670" i="10" a="1"/>
  <c r="A2670" i="10" s="1"/>
  <c r="A2671" i="10" a="1"/>
  <c r="A2671" i="10" s="1"/>
  <c r="A2672" i="10" a="1"/>
  <c r="A2672" i="10" s="1"/>
  <c r="A2673" i="10" a="1"/>
  <c r="A2673" i="10" s="1"/>
  <c r="A2674" i="10" a="1"/>
  <c r="A2674" i="10" s="1"/>
  <c r="A2675" i="10" a="1"/>
  <c r="A2675" i="10" s="1"/>
  <c r="A2676" i="10" a="1"/>
  <c r="A2676" i="10" s="1"/>
  <c r="A2677" i="10" a="1"/>
  <c r="A2677" i="10" s="1"/>
  <c r="A2678" i="10" a="1"/>
  <c r="A2678" i="10" s="1"/>
  <c r="A2679" i="10" a="1"/>
  <c r="A2679" i="10" s="1"/>
  <c r="A2680" i="10" a="1"/>
  <c r="A2680" i="10" s="1"/>
  <c r="A2681" i="10" a="1"/>
  <c r="A2681" i="10" s="1"/>
  <c r="A2682" i="10" a="1"/>
  <c r="A2682" i="10" s="1"/>
  <c r="A2683" i="10" a="1"/>
  <c r="A2683" i="10" s="1"/>
  <c r="A2684" i="10" a="1"/>
  <c r="A2684" i="10" s="1"/>
  <c r="A2685" i="10" a="1"/>
  <c r="A2685" i="10" s="1"/>
  <c r="A2686" i="10" a="1"/>
  <c r="A2686" i="10" s="1"/>
  <c r="A2687" i="10" a="1"/>
  <c r="A2687" i="10" s="1"/>
  <c r="A2688" i="10" a="1"/>
  <c r="A2688" i="10" s="1"/>
  <c r="A2689" i="10" a="1"/>
  <c r="A2689" i="10" s="1"/>
  <c r="A2690" i="10" a="1"/>
  <c r="A2690" i="10" s="1"/>
  <c r="A2691" i="10" a="1"/>
  <c r="A2691" i="10" s="1"/>
  <c r="A2692" i="10" a="1"/>
  <c r="A2692" i="10" s="1"/>
  <c r="A2693" i="10" a="1"/>
  <c r="A2693" i="10" s="1"/>
  <c r="A2694" i="10" a="1"/>
  <c r="A2694" i="10" s="1"/>
  <c r="A2695" i="10" a="1"/>
  <c r="A2695" i="10" s="1"/>
  <c r="A2696" i="10" a="1"/>
  <c r="A2696" i="10" s="1"/>
  <c r="A2697" i="10" a="1"/>
  <c r="A2697" i="10" s="1"/>
  <c r="A2698" i="10" a="1"/>
  <c r="A2698" i="10" s="1"/>
  <c r="A2699" i="10" a="1"/>
  <c r="A2699" i="10" s="1"/>
  <c r="A2700" i="10" a="1"/>
  <c r="A2700" i="10" s="1"/>
  <c r="A2701" i="10" a="1"/>
  <c r="A2701" i="10" s="1"/>
  <c r="A2702" i="10" a="1"/>
  <c r="A2702" i="10" s="1"/>
  <c r="A2703" i="10" a="1"/>
  <c r="A2703" i="10" s="1"/>
  <c r="A2704" i="10" a="1"/>
  <c r="A2704" i="10" s="1"/>
  <c r="A2705" i="10" a="1"/>
  <c r="A2705" i="10" s="1"/>
  <c r="A2706" i="10" a="1"/>
  <c r="A2706" i="10" s="1"/>
  <c r="A2707" i="10" a="1"/>
  <c r="A2707" i="10" s="1"/>
  <c r="A2708" i="10" a="1"/>
  <c r="A2708" i="10" s="1"/>
  <c r="A2709" i="10" a="1"/>
  <c r="A2709" i="10" s="1"/>
  <c r="A2710" i="10" a="1"/>
  <c r="A2710" i="10" s="1"/>
  <c r="A2711" i="10" a="1"/>
  <c r="A2711" i="10" s="1"/>
  <c r="A2712" i="10" a="1"/>
  <c r="A2712" i="10" s="1"/>
  <c r="A2713" i="10" a="1"/>
  <c r="A2713" i="10" s="1"/>
  <c r="A2714" i="10" a="1"/>
  <c r="A2714" i="10" s="1"/>
  <c r="A2715" i="10" a="1"/>
  <c r="A2715" i="10" s="1"/>
  <c r="A2716" i="10" a="1"/>
  <c r="A2716" i="10" s="1"/>
  <c r="A2717" i="10" a="1"/>
  <c r="A2717" i="10" s="1"/>
  <c r="A2718" i="10" a="1"/>
  <c r="A2718" i="10" s="1"/>
  <c r="A2719" i="10" a="1"/>
  <c r="A2719" i="10" s="1"/>
  <c r="A2720" i="10" a="1"/>
  <c r="A2720" i="10" s="1"/>
  <c r="A2721" i="10" a="1"/>
  <c r="A2721" i="10" s="1"/>
  <c r="A2722" i="10" a="1"/>
  <c r="A2722" i="10" s="1"/>
  <c r="A2723" i="10" a="1"/>
  <c r="A2723" i="10" s="1"/>
  <c r="A2724" i="10" a="1"/>
  <c r="A2724" i="10" s="1"/>
  <c r="A2725" i="10" a="1"/>
  <c r="A2725" i="10" s="1"/>
  <c r="A2726" i="10" a="1"/>
  <c r="A2726" i="10" s="1"/>
  <c r="A2727" i="10" a="1"/>
  <c r="A2727" i="10" s="1"/>
  <c r="A2728" i="10" a="1"/>
  <c r="A2728" i="10" s="1"/>
  <c r="A2729" i="10" a="1"/>
  <c r="A2729" i="10" s="1"/>
  <c r="A2730" i="10" a="1"/>
  <c r="A2730" i="10" s="1"/>
  <c r="A2731" i="10" a="1"/>
  <c r="A2731" i="10" s="1"/>
  <c r="A2732" i="10" a="1"/>
  <c r="A2732" i="10" s="1"/>
  <c r="A2733" i="10" a="1"/>
  <c r="A2733" i="10" s="1"/>
  <c r="A2734" i="10" a="1"/>
  <c r="A2734" i="10" s="1"/>
  <c r="A2735" i="10" a="1"/>
  <c r="A2735" i="10" s="1"/>
  <c r="A2736" i="10" a="1"/>
  <c r="A2736" i="10" s="1"/>
  <c r="A2737" i="10" a="1"/>
  <c r="A2737" i="10" s="1"/>
  <c r="A2738" i="10" a="1"/>
  <c r="A2738" i="10" s="1"/>
  <c r="A2739" i="10" a="1"/>
  <c r="A2739" i="10" s="1"/>
  <c r="A2740" i="10" a="1"/>
  <c r="A2740" i="10" s="1"/>
  <c r="A2741" i="10" a="1"/>
  <c r="A2741" i="10" s="1"/>
  <c r="A2742" i="10" a="1"/>
  <c r="A2742" i="10" s="1"/>
  <c r="A2743" i="10" a="1"/>
  <c r="A2743" i="10" s="1"/>
  <c r="A2744" i="10" a="1"/>
  <c r="A2744" i="10" s="1"/>
  <c r="A2745" i="10" a="1"/>
  <c r="A2745" i="10" s="1"/>
  <c r="A2746" i="10" a="1"/>
  <c r="A2746" i="10" s="1"/>
  <c r="A2747" i="10" a="1"/>
  <c r="A2747" i="10" s="1"/>
  <c r="A2748" i="10" a="1"/>
  <c r="A2748" i="10" s="1"/>
  <c r="A2749" i="10" a="1"/>
  <c r="A2749" i="10" s="1"/>
  <c r="A2750" i="10" a="1"/>
  <c r="A2750" i="10" s="1"/>
  <c r="A2751" i="10" a="1"/>
  <c r="A2751" i="10" s="1"/>
  <c r="A2752" i="10" a="1"/>
  <c r="A2752" i="10" s="1"/>
  <c r="A2753" i="10" a="1"/>
  <c r="A2753" i="10" s="1"/>
  <c r="A2754" i="10" a="1"/>
  <c r="A2754" i="10" s="1"/>
  <c r="A2755" i="10" a="1"/>
  <c r="A2755" i="10" s="1"/>
  <c r="A2756" i="10" a="1"/>
  <c r="A2756" i="10" s="1"/>
  <c r="A2757" i="10" a="1"/>
  <c r="A2757" i="10" s="1"/>
  <c r="A2758" i="10" a="1"/>
  <c r="A2758" i="10" s="1"/>
  <c r="A2759" i="10" a="1"/>
  <c r="A2759" i="10" s="1"/>
  <c r="A2760" i="10" a="1"/>
  <c r="A2760" i="10" s="1"/>
  <c r="A2761" i="10" a="1"/>
  <c r="A2761" i="10" s="1"/>
  <c r="A2762" i="10" a="1"/>
  <c r="A2762" i="10" s="1"/>
  <c r="A2763" i="10" a="1"/>
  <c r="A2763" i="10" s="1"/>
  <c r="A2764" i="10" a="1"/>
  <c r="A2764" i="10" s="1"/>
  <c r="A2765" i="10" a="1"/>
  <c r="A2765" i="10" s="1"/>
  <c r="A2766" i="10" a="1"/>
  <c r="A2766" i="10" s="1"/>
  <c r="A2767" i="10" a="1"/>
  <c r="A2767" i="10" s="1"/>
  <c r="A2768" i="10" a="1"/>
  <c r="A2768" i="10" s="1"/>
  <c r="A2769" i="10" a="1"/>
  <c r="A2769" i="10" s="1"/>
  <c r="A2770" i="10" a="1"/>
  <c r="A2770" i="10" s="1"/>
  <c r="A2771" i="10" a="1"/>
  <c r="A2771" i="10" s="1"/>
  <c r="A2772" i="10" a="1"/>
  <c r="A2772" i="10" s="1"/>
  <c r="A2773" i="10" a="1"/>
  <c r="A2773" i="10" s="1"/>
  <c r="A2774" i="10" a="1"/>
  <c r="A2774" i="10" s="1"/>
  <c r="A2775" i="10" a="1"/>
  <c r="A2775" i="10" s="1"/>
  <c r="A2776" i="10" a="1"/>
  <c r="A2776" i="10" s="1"/>
  <c r="A2777" i="10" a="1"/>
  <c r="A2777" i="10" s="1"/>
  <c r="A2778" i="10" a="1"/>
  <c r="A2778" i="10" s="1"/>
  <c r="A2779" i="10" a="1"/>
  <c r="A2779" i="10" s="1"/>
  <c r="A2780" i="10" a="1"/>
  <c r="A2780" i="10" s="1"/>
  <c r="A2781" i="10" a="1"/>
  <c r="A2781" i="10" s="1"/>
  <c r="A2782" i="10" a="1"/>
  <c r="A2782" i="10" s="1"/>
  <c r="A2783" i="10" a="1"/>
  <c r="A2783" i="10" s="1"/>
  <c r="A2784" i="10" a="1"/>
  <c r="A2784" i="10" s="1"/>
  <c r="A2785" i="10" a="1"/>
  <c r="A2785" i="10" s="1"/>
  <c r="A2786" i="10" a="1"/>
  <c r="A2786" i="10" s="1"/>
  <c r="A2787" i="10" a="1"/>
  <c r="A2787" i="10" s="1"/>
  <c r="A2788" i="10" a="1"/>
  <c r="A2788" i="10" s="1"/>
  <c r="A2789" i="10" a="1"/>
  <c r="A2789" i="10" s="1"/>
  <c r="A2790" i="10" a="1"/>
  <c r="A2790" i="10" s="1"/>
  <c r="A2791" i="10" a="1"/>
  <c r="A2791" i="10" s="1"/>
  <c r="A2792" i="10" a="1"/>
  <c r="A2792" i="10" s="1"/>
  <c r="A2793" i="10" a="1"/>
  <c r="A2793" i="10" s="1"/>
  <c r="A2794" i="10" a="1"/>
  <c r="A2794" i="10" s="1"/>
  <c r="A2795" i="10" a="1"/>
  <c r="A2795" i="10" s="1"/>
  <c r="A2796" i="10" a="1"/>
  <c r="A2796" i="10" s="1"/>
  <c r="A2797" i="10" a="1"/>
  <c r="A2797" i="10" s="1"/>
  <c r="A2798" i="10" a="1"/>
  <c r="A2798" i="10" s="1"/>
  <c r="A2799" i="10" a="1"/>
  <c r="A2799" i="10" s="1"/>
  <c r="A2800" i="10" a="1"/>
  <c r="A2800" i="10" s="1"/>
  <c r="A2801" i="10" a="1"/>
  <c r="A2801" i="10" s="1"/>
  <c r="A2802" i="10" a="1"/>
  <c r="A2802" i="10" s="1"/>
  <c r="A2803" i="10" a="1"/>
  <c r="A2803" i="10" s="1"/>
  <c r="A2804" i="10" a="1"/>
  <c r="A2804" i="10" s="1"/>
  <c r="A2805" i="10" a="1"/>
  <c r="A2805" i="10" s="1"/>
  <c r="A2806" i="10" a="1"/>
  <c r="A2806" i="10" s="1"/>
  <c r="A2807" i="10" a="1"/>
  <c r="A2807" i="10" s="1"/>
  <c r="A2808" i="10" a="1"/>
  <c r="A2808" i="10" s="1"/>
  <c r="A2809" i="10" a="1"/>
  <c r="A2809" i="10" s="1"/>
  <c r="A2810" i="10" a="1"/>
  <c r="A2810" i="10" s="1"/>
  <c r="A2811" i="10" a="1"/>
  <c r="A2811" i="10" s="1"/>
  <c r="A2812" i="10" a="1"/>
  <c r="A2812" i="10" s="1"/>
  <c r="A2813" i="10" a="1"/>
  <c r="A2813" i="10" s="1"/>
  <c r="A2814" i="10" a="1"/>
  <c r="A2814" i="10" s="1"/>
  <c r="A2815" i="10" a="1"/>
  <c r="A2815" i="10" s="1"/>
  <c r="A2816" i="10" a="1"/>
  <c r="A2816" i="10" s="1"/>
  <c r="A2817" i="10" a="1"/>
  <c r="A2817" i="10" s="1"/>
  <c r="A2818" i="10" a="1"/>
  <c r="A2818" i="10" s="1"/>
  <c r="A2819" i="10" a="1"/>
  <c r="A2819" i="10" s="1"/>
  <c r="A2820" i="10" a="1"/>
  <c r="A2820" i="10" s="1"/>
  <c r="A2821" i="10" a="1"/>
  <c r="A2821" i="10" s="1"/>
  <c r="A2822" i="10" a="1"/>
  <c r="A2822" i="10" s="1"/>
  <c r="A2823" i="10" a="1"/>
  <c r="A2823" i="10" s="1"/>
  <c r="A2824" i="10" a="1"/>
  <c r="A2824" i="10" s="1"/>
  <c r="A2825" i="10" a="1"/>
  <c r="A2825" i="10" s="1"/>
  <c r="A2826" i="10" a="1"/>
  <c r="A2826" i="10" s="1"/>
  <c r="A2827" i="10" a="1"/>
  <c r="A2827" i="10" s="1"/>
  <c r="A2828" i="10" a="1"/>
  <c r="A2828" i="10" s="1"/>
  <c r="A2829" i="10" a="1"/>
  <c r="A2829" i="10" s="1"/>
  <c r="A2830" i="10" a="1"/>
  <c r="A2830" i="10" s="1"/>
  <c r="A2831" i="10" a="1"/>
  <c r="A2831" i="10" s="1"/>
  <c r="A2832" i="10" a="1"/>
  <c r="A2832" i="10" s="1"/>
  <c r="A2833" i="10" a="1"/>
  <c r="A2833" i="10" s="1"/>
  <c r="A2834" i="10" a="1"/>
  <c r="A2834" i="10" s="1"/>
  <c r="A2835" i="10" a="1"/>
  <c r="A2835" i="10" s="1"/>
  <c r="A2836" i="10" a="1"/>
  <c r="A2836" i="10" s="1"/>
  <c r="A2837" i="10" a="1"/>
  <c r="A2837" i="10" s="1"/>
  <c r="A2838" i="10" a="1"/>
  <c r="A2838" i="10" s="1"/>
  <c r="A2839" i="10" a="1"/>
  <c r="A2839" i="10" s="1"/>
  <c r="A2840" i="10" a="1"/>
  <c r="A2840" i="10" s="1"/>
  <c r="A2841" i="10" a="1"/>
  <c r="A2841" i="10" s="1"/>
  <c r="A2842" i="10" a="1"/>
  <c r="A2842" i="10" s="1"/>
  <c r="A2843" i="10" a="1"/>
  <c r="A2843" i="10" s="1"/>
  <c r="A2844" i="10" a="1"/>
  <c r="A2844" i="10" s="1"/>
  <c r="A2845" i="10" a="1"/>
  <c r="A2845" i="10" s="1"/>
  <c r="A2846" i="10" a="1"/>
  <c r="A2846" i="10" s="1"/>
  <c r="A2847" i="10" a="1"/>
  <c r="A2847" i="10" s="1"/>
  <c r="A2848" i="10" a="1"/>
  <c r="A2848" i="10" s="1"/>
  <c r="A2849" i="10" a="1"/>
  <c r="A2849" i="10" s="1"/>
  <c r="A2850" i="10" a="1"/>
  <c r="A2850" i="10" s="1"/>
  <c r="A2851" i="10" a="1"/>
  <c r="A2851" i="10" s="1"/>
  <c r="A2852" i="10" a="1"/>
  <c r="A2852" i="10" s="1"/>
  <c r="A2853" i="10" a="1"/>
  <c r="A2853" i="10" s="1"/>
  <c r="A2854" i="10" a="1"/>
  <c r="A2854" i="10" s="1"/>
  <c r="A2855" i="10" a="1"/>
  <c r="A2855" i="10" s="1"/>
  <c r="A2856" i="10" a="1"/>
  <c r="A2856" i="10" s="1"/>
  <c r="A2857" i="10" a="1"/>
  <c r="A2857" i="10" s="1"/>
  <c r="A2858" i="10" a="1"/>
  <c r="A2858" i="10" s="1"/>
  <c r="A2859" i="10" a="1"/>
  <c r="A2859" i="10" s="1"/>
  <c r="A2860" i="10" a="1"/>
  <c r="A2860" i="10" s="1"/>
  <c r="A2861" i="10" a="1"/>
  <c r="A2861" i="10" s="1"/>
  <c r="A2862" i="10" a="1"/>
  <c r="A2862" i="10" s="1"/>
  <c r="A2863" i="10" a="1"/>
  <c r="A2863" i="10" s="1"/>
  <c r="A2864" i="10" a="1"/>
  <c r="A2864" i="10" s="1"/>
  <c r="A2865" i="10" a="1"/>
  <c r="A2865" i="10" s="1"/>
  <c r="A2866" i="10" a="1"/>
  <c r="A2866" i="10" s="1"/>
  <c r="A2867" i="10" a="1"/>
  <c r="A2867" i="10" s="1"/>
  <c r="A2868" i="10" a="1"/>
  <c r="A2868" i="10" s="1"/>
  <c r="A2869" i="10" a="1"/>
  <c r="A2869" i="10" s="1"/>
  <c r="A2870" i="10" a="1"/>
  <c r="A2870" i="10" s="1"/>
  <c r="A2871" i="10" a="1"/>
  <c r="A2871" i="10" s="1"/>
  <c r="A2872" i="10" a="1"/>
  <c r="A2872" i="10" s="1"/>
  <c r="A2873" i="10" a="1"/>
  <c r="A2873" i="10" s="1"/>
  <c r="A2874" i="10" a="1"/>
  <c r="A2874" i="10" s="1"/>
  <c r="A2875" i="10" a="1"/>
  <c r="A2875" i="10" s="1"/>
  <c r="A2876" i="10" a="1"/>
  <c r="A2876" i="10" s="1"/>
  <c r="A2877" i="10" a="1"/>
  <c r="A2877" i="10" s="1"/>
  <c r="A2878" i="10" a="1"/>
  <c r="A2878" i="10" s="1"/>
  <c r="A2879" i="10" a="1"/>
  <c r="A2879" i="10" s="1"/>
  <c r="A2880" i="10" a="1"/>
  <c r="A2880" i="10" s="1"/>
  <c r="A2881" i="10" a="1"/>
  <c r="A2881" i="10" s="1"/>
  <c r="A2882" i="10" a="1"/>
  <c r="A2882" i="10" s="1"/>
  <c r="A2883" i="10" a="1"/>
  <c r="A2883" i="10" s="1"/>
  <c r="A2884" i="10" a="1"/>
  <c r="A2884" i="10" s="1"/>
  <c r="A2885" i="10" a="1"/>
  <c r="A2885" i="10" s="1"/>
  <c r="A2886" i="10" a="1"/>
  <c r="A2886" i="10" s="1"/>
  <c r="A2887" i="10" a="1"/>
  <c r="A2887" i="10" s="1"/>
  <c r="A2888" i="10" a="1"/>
  <c r="A2888" i="10" s="1"/>
  <c r="A2889" i="10" a="1"/>
  <c r="A2889" i="10" s="1"/>
  <c r="A2890" i="10" a="1"/>
  <c r="A2890" i="10" s="1"/>
  <c r="A2891" i="10" a="1"/>
  <c r="A2891" i="10" s="1"/>
  <c r="A2892" i="10" a="1"/>
  <c r="A2892" i="10" s="1"/>
  <c r="A2893" i="10" a="1"/>
  <c r="A2893" i="10" s="1"/>
  <c r="A2894" i="10" a="1"/>
  <c r="A2894" i="10" s="1"/>
  <c r="A2895" i="10" a="1"/>
  <c r="A2895" i="10" s="1"/>
  <c r="A2896" i="10" a="1"/>
  <c r="A2896" i="10" s="1"/>
  <c r="A2897" i="10" a="1"/>
  <c r="A2897" i="10" s="1"/>
  <c r="A2898" i="10" a="1"/>
  <c r="A2898" i="10" s="1"/>
  <c r="A2899" i="10" a="1"/>
  <c r="A2899" i="10" s="1"/>
  <c r="A2900" i="10" a="1"/>
  <c r="A2900" i="10" s="1"/>
  <c r="A2901" i="10" a="1"/>
  <c r="A2901" i="10" s="1"/>
  <c r="A2902" i="10" a="1"/>
  <c r="A2902" i="10" s="1"/>
  <c r="A2903" i="10" a="1"/>
  <c r="A2903" i="10" s="1"/>
  <c r="A2904" i="10" a="1"/>
  <c r="A2904" i="10" s="1"/>
  <c r="A2905" i="10" a="1"/>
  <c r="A2905" i="10" s="1"/>
  <c r="A2906" i="10" a="1"/>
  <c r="A2906" i="10" s="1"/>
  <c r="A2907" i="10" a="1"/>
  <c r="A2907" i="10" s="1"/>
  <c r="A2908" i="10" a="1"/>
  <c r="A2908" i="10" s="1"/>
  <c r="A2909" i="10" a="1"/>
  <c r="A2909" i="10" s="1"/>
  <c r="A2910" i="10" a="1"/>
  <c r="A2910" i="10" s="1"/>
  <c r="A2911" i="10" a="1"/>
  <c r="A2911" i="10" s="1"/>
  <c r="A2912" i="10" a="1"/>
  <c r="A2912" i="10" s="1"/>
  <c r="A2913" i="10" a="1"/>
  <c r="A2913" i="10" s="1"/>
  <c r="A2914" i="10" a="1"/>
  <c r="A2914" i="10" s="1"/>
  <c r="A2915" i="10" a="1"/>
  <c r="A2915" i="10" s="1"/>
  <c r="A2916" i="10" a="1"/>
  <c r="A2916" i="10" s="1"/>
  <c r="A2917" i="10" a="1"/>
  <c r="A2917" i="10" s="1"/>
  <c r="A2918" i="10" a="1"/>
  <c r="A2918" i="10" s="1"/>
  <c r="A2919" i="10" a="1"/>
  <c r="A2919" i="10" s="1"/>
  <c r="A2920" i="10" a="1"/>
  <c r="A2920" i="10" s="1"/>
  <c r="A2921" i="10" a="1"/>
  <c r="A2921" i="10" s="1"/>
  <c r="A2922" i="10" a="1"/>
  <c r="A2922" i="10" s="1"/>
  <c r="A2923" i="10" a="1"/>
  <c r="A2923" i="10" s="1"/>
  <c r="A2924" i="10" a="1"/>
  <c r="A2924" i="10" s="1"/>
  <c r="A2925" i="10" a="1"/>
  <c r="A2925" i="10" s="1"/>
  <c r="A2926" i="10" a="1"/>
  <c r="A2926" i="10" s="1"/>
  <c r="A2927" i="10" a="1"/>
  <c r="A2927" i="10" s="1"/>
  <c r="A2928" i="10" a="1"/>
  <c r="A2928" i="10" s="1"/>
  <c r="A2929" i="10" a="1"/>
  <c r="A2929" i="10" s="1"/>
  <c r="A2930" i="10" a="1"/>
  <c r="A2930" i="10" s="1"/>
  <c r="A2931" i="10" a="1"/>
  <c r="A2931" i="10" s="1"/>
  <c r="A2932" i="10" a="1"/>
  <c r="A2932" i="10" s="1"/>
  <c r="A2933" i="10" a="1"/>
  <c r="A2933" i="10" s="1"/>
  <c r="A2934" i="10" a="1"/>
  <c r="A2934" i="10" s="1"/>
  <c r="A2935" i="10" a="1"/>
  <c r="A2935" i="10" s="1"/>
  <c r="A2936" i="10" a="1"/>
  <c r="A2936" i="10" s="1"/>
  <c r="A2937" i="10" a="1"/>
  <c r="A2937" i="10" s="1"/>
  <c r="A2938" i="10" a="1"/>
  <c r="A2938" i="10" s="1"/>
  <c r="A2939" i="10" a="1"/>
  <c r="A2939" i="10" s="1"/>
  <c r="A2940" i="10" a="1"/>
  <c r="A2940" i="10" s="1"/>
  <c r="A2941" i="10" a="1"/>
  <c r="A2941" i="10" s="1"/>
  <c r="A2942" i="10" a="1"/>
  <c r="A2942" i="10" s="1"/>
  <c r="A2943" i="10" a="1"/>
  <c r="A2943" i="10" s="1"/>
  <c r="A2944" i="10" a="1"/>
  <c r="A2944" i="10" s="1"/>
  <c r="A2945" i="10" a="1"/>
  <c r="A2945" i="10" s="1"/>
  <c r="A2946" i="10" a="1"/>
  <c r="A2946" i="10" s="1"/>
  <c r="A2947" i="10" a="1"/>
  <c r="A2947" i="10" s="1"/>
  <c r="A2948" i="10" a="1"/>
  <c r="A2948" i="10" s="1"/>
  <c r="A2949" i="10" a="1"/>
  <c r="A2949" i="10" s="1"/>
  <c r="A2950" i="10" a="1"/>
  <c r="A2950" i="10" s="1"/>
  <c r="A2951" i="10" a="1"/>
  <c r="A2951" i="10" s="1"/>
  <c r="A2952" i="10" a="1"/>
  <c r="A2952" i="10" s="1"/>
  <c r="A2953" i="10" a="1"/>
  <c r="A2953" i="10" s="1"/>
  <c r="A2954" i="10" a="1"/>
  <c r="A2954" i="10" s="1"/>
  <c r="A2955" i="10" a="1"/>
  <c r="A2955" i="10" s="1"/>
  <c r="A2956" i="10" a="1"/>
  <c r="A2956" i="10" s="1"/>
  <c r="A2957" i="10" a="1"/>
  <c r="A2957" i="10" s="1"/>
  <c r="A2958" i="10" a="1"/>
  <c r="A2958" i="10" s="1"/>
  <c r="A2959" i="10" a="1"/>
  <c r="A2959" i="10" s="1"/>
  <c r="A2960" i="10" a="1"/>
  <c r="A2960" i="10" s="1"/>
  <c r="A2961" i="10" a="1"/>
  <c r="A2961" i="10" s="1"/>
  <c r="A2962" i="10" a="1"/>
  <c r="A2962" i="10" s="1"/>
  <c r="A2963" i="10" a="1"/>
  <c r="A2963" i="10" s="1"/>
  <c r="A2964" i="10" a="1"/>
  <c r="A2964" i="10" s="1"/>
  <c r="A2965" i="10" a="1"/>
  <c r="A2965" i="10" s="1"/>
  <c r="A2966" i="10" a="1"/>
  <c r="A2966" i="10" s="1"/>
  <c r="A2967" i="10" a="1"/>
  <c r="A2967" i="10" s="1"/>
  <c r="A2968" i="10" a="1"/>
  <c r="A2968" i="10" s="1"/>
  <c r="A2969" i="10" a="1"/>
  <c r="A2969" i="10" s="1"/>
  <c r="A2970" i="10" a="1"/>
  <c r="A2970" i="10" s="1"/>
  <c r="A2971" i="10" a="1"/>
  <c r="A2971" i="10" s="1"/>
  <c r="A2972" i="10" a="1"/>
  <c r="A2972" i="10" s="1"/>
  <c r="A2973" i="10" a="1"/>
  <c r="A2973" i="10" s="1"/>
  <c r="A2974" i="10" a="1"/>
  <c r="A2974" i="10" s="1"/>
  <c r="A2975" i="10" a="1"/>
  <c r="A2975" i="10" s="1"/>
  <c r="A2976" i="10" a="1"/>
  <c r="A2976" i="10" s="1"/>
  <c r="A2977" i="10" a="1"/>
  <c r="A2977" i="10" s="1"/>
  <c r="A2978" i="10" a="1"/>
  <c r="A2978" i="10" s="1"/>
  <c r="A2979" i="10" a="1"/>
  <c r="A2979" i="10" s="1"/>
  <c r="A2980" i="10" a="1"/>
  <c r="A2980" i="10" s="1"/>
  <c r="A2981" i="10" a="1"/>
  <c r="A2981" i="10" s="1"/>
  <c r="A2982" i="10" a="1"/>
  <c r="A2982" i="10" s="1"/>
  <c r="A2983" i="10" a="1"/>
  <c r="A2983" i="10" s="1"/>
  <c r="A2984" i="10" a="1"/>
  <c r="A2984" i="10" s="1"/>
  <c r="A2985" i="10" a="1"/>
  <c r="A2985" i="10" s="1"/>
  <c r="A2986" i="10" a="1"/>
  <c r="A2986" i="10" s="1"/>
  <c r="A2987" i="10" a="1"/>
  <c r="A2987" i="10" s="1"/>
  <c r="A2988" i="10" a="1"/>
  <c r="A2988" i="10" s="1"/>
  <c r="A2989" i="10" a="1"/>
  <c r="A2989" i="10" s="1"/>
  <c r="A2990" i="10" a="1"/>
  <c r="A2990" i="10" s="1"/>
  <c r="A2991" i="10" a="1"/>
  <c r="A2991" i="10" s="1"/>
  <c r="A2992" i="10" a="1"/>
  <c r="A2992" i="10" s="1"/>
  <c r="A2993" i="10" a="1"/>
  <c r="A2993" i="10" s="1"/>
  <c r="A2994" i="10" a="1"/>
  <c r="A2994" i="10" s="1"/>
  <c r="A2995" i="10" a="1"/>
  <c r="A2995" i="10" s="1"/>
  <c r="A2996" i="10" a="1"/>
  <c r="A2996" i="10" s="1"/>
  <c r="A2997" i="10" a="1"/>
  <c r="A2997" i="10" s="1"/>
  <c r="A2998" i="10" a="1"/>
  <c r="A2998" i="10" s="1"/>
  <c r="A2999" i="10" a="1"/>
  <c r="A2999" i="10" s="1"/>
  <c r="A3000" i="10" a="1"/>
  <c r="A3000" i="10" s="1"/>
  <c r="A3001" i="10" a="1"/>
  <c r="A3001" i="10" s="1"/>
  <c r="A3002" i="10" a="1"/>
  <c r="A3002" i="10" s="1"/>
  <c r="A3003" i="10" a="1"/>
  <c r="A3003" i="10" s="1"/>
  <c r="A3004" i="10" a="1"/>
  <c r="A3004" i="10" s="1"/>
  <c r="A3005" i="10" a="1"/>
  <c r="A3005" i="10" s="1"/>
  <c r="A3006" i="10" a="1"/>
  <c r="A3006" i="10" s="1"/>
  <c r="A3007" i="10" a="1"/>
  <c r="A3007" i="10" s="1"/>
  <c r="A3008" i="10" a="1"/>
  <c r="A3008" i="10" s="1"/>
  <c r="A3009" i="10" a="1"/>
  <c r="A3009" i="10" s="1"/>
  <c r="A3010" i="10" a="1"/>
  <c r="A3010" i="10" s="1"/>
  <c r="A3011" i="10" a="1"/>
  <c r="A3011" i="10" s="1"/>
  <c r="A3012" i="10" a="1"/>
  <c r="A3012" i="10" s="1"/>
  <c r="A3013" i="10" a="1"/>
  <c r="A3013" i="10" s="1"/>
  <c r="A3014" i="10" a="1"/>
  <c r="A3014" i="10" s="1"/>
  <c r="A3015" i="10" a="1"/>
  <c r="A3015" i="10" s="1"/>
  <c r="A3016" i="10" a="1"/>
  <c r="A3016" i="10" s="1"/>
  <c r="A3017" i="10" a="1"/>
  <c r="A3017" i="10" s="1"/>
  <c r="A3018" i="10" a="1"/>
  <c r="A3018" i="10" s="1"/>
  <c r="A3019" i="10" a="1"/>
  <c r="A3019" i="10" s="1"/>
  <c r="A3020" i="10" a="1"/>
  <c r="A3020" i="10" s="1"/>
  <c r="A3021" i="10" a="1"/>
  <c r="A3021" i="10" s="1"/>
  <c r="A3022" i="10" a="1"/>
  <c r="A3022" i="10" s="1"/>
  <c r="A3023" i="10" a="1"/>
  <c r="A3023" i="10" s="1"/>
  <c r="A3024" i="10" a="1"/>
  <c r="A3024" i="10" s="1"/>
  <c r="A3025" i="10" a="1"/>
  <c r="A3025" i="10" s="1"/>
  <c r="A3026" i="10" a="1"/>
  <c r="A3026" i="10" s="1"/>
  <c r="A3027" i="10" a="1"/>
  <c r="A3027" i="10" s="1"/>
  <c r="A3028" i="10" a="1"/>
  <c r="A3028" i="10" s="1"/>
  <c r="A3029" i="10" a="1"/>
  <c r="A3029" i="10" s="1"/>
  <c r="A3030" i="10" a="1"/>
  <c r="A3030" i="10" s="1"/>
  <c r="A3031" i="10" a="1"/>
  <c r="A3031" i="10" s="1"/>
  <c r="A3032" i="10" a="1"/>
  <c r="A3032" i="10" s="1"/>
  <c r="A3033" i="10" a="1"/>
  <c r="A3033" i="10" s="1"/>
  <c r="A3034" i="10" a="1"/>
  <c r="A3034" i="10" s="1"/>
  <c r="A3035" i="10" a="1"/>
  <c r="A3035" i="10" s="1"/>
  <c r="A3036" i="10" a="1"/>
  <c r="A3036" i="10" s="1"/>
  <c r="A3037" i="10" a="1"/>
  <c r="A3037" i="10" s="1"/>
  <c r="A3038" i="10" a="1"/>
  <c r="A3038" i="10" s="1"/>
  <c r="A3039" i="10" a="1"/>
  <c r="A3039" i="10" s="1"/>
  <c r="A3040" i="10" a="1"/>
  <c r="A3040" i="10" s="1"/>
  <c r="A3041" i="10" a="1"/>
  <c r="A3041" i="10" s="1"/>
  <c r="A3042" i="10" a="1"/>
  <c r="A3042" i="10" s="1"/>
  <c r="A3043" i="10" a="1"/>
  <c r="A3043" i="10" s="1"/>
  <c r="A3044" i="10" a="1"/>
  <c r="A3044" i="10" s="1"/>
  <c r="A3045" i="10" a="1"/>
  <c r="A3045" i="10" s="1"/>
  <c r="A3046" i="10" a="1"/>
  <c r="A3046" i="10" s="1"/>
  <c r="A3047" i="10" a="1"/>
  <c r="A3047" i="10" s="1"/>
  <c r="A3048" i="10" a="1"/>
  <c r="A3048" i="10" s="1"/>
  <c r="A3049" i="10" a="1"/>
  <c r="A3049" i="10" s="1"/>
  <c r="A3050" i="10" a="1"/>
  <c r="A3050" i="10" s="1"/>
  <c r="A3051" i="10" a="1"/>
  <c r="A3051" i="10" s="1"/>
  <c r="A3052" i="10" a="1"/>
  <c r="A3052" i="10" s="1"/>
  <c r="A3053" i="10" a="1"/>
  <c r="A3053" i="10" s="1"/>
  <c r="A3054" i="10" a="1"/>
  <c r="A3054" i="10" s="1"/>
  <c r="A3055" i="10" a="1"/>
  <c r="A3055" i="10" s="1"/>
  <c r="A3056" i="10" a="1"/>
  <c r="A3056" i="10" s="1"/>
  <c r="A3057" i="10" a="1"/>
  <c r="A3057" i="10" s="1"/>
  <c r="A3058" i="10" a="1"/>
  <c r="A3058" i="10" s="1"/>
  <c r="A3059" i="10" a="1"/>
  <c r="A3059" i="10" s="1"/>
  <c r="A3060" i="10" a="1"/>
  <c r="A3060" i="10" s="1"/>
  <c r="A3061" i="10" a="1"/>
  <c r="A3061" i="10" s="1"/>
  <c r="A3062" i="10" a="1"/>
  <c r="A3062" i="10" s="1"/>
  <c r="A3063" i="10" a="1"/>
  <c r="A3063" i="10" s="1"/>
  <c r="A3064" i="10" a="1"/>
  <c r="A3064" i="10" s="1"/>
  <c r="A3065" i="10" a="1"/>
  <c r="A3065" i="10" s="1"/>
  <c r="A3066" i="10" a="1"/>
  <c r="A3066" i="10" s="1"/>
  <c r="A3067" i="10" a="1"/>
  <c r="A3067" i="10" s="1"/>
  <c r="A3068" i="10" a="1"/>
  <c r="A3068" i="10" s="1"/>
  <c r="A3069" i="10" a="1"/>
  <c r="A3069" i="10" s="1"/>
  <c r="A3070" i="10" a="1"/>
  <c r="A3070" i="10" s="1"/>
  <c r="A3071" i="10" a="1"/>
  <c r="A3071" i="10" s="1"/>
  <c r="A3072" i="10" a="1"/>
  <c r="A3072" i="10" s="1"/>
  <c r="A3073" i="10" a="1"/>
  <c r="A3073" i="10" s="1"/>
  <c r="A3074" i="10" a="1"/>
  <c r="A3074" i="10" s="1"/>
  <c r="A3075" i="10" a="1"/>
  <c r="A3075" i="10" s="1"/>
  <c r="A3076" i="10" a="1"/>
  <c r="A3076" i="10" s="1"/>
  <c r="A3077" i="10" a="1"/>
  <c r="A3077" i="10" s="1"/>
  <c r="A3078" i="10" a="1"/>
  <c r="A3078" i="10" s="1"/>
  <c r="A3079" i="10" a="1"/>
  <c r="A3079" i="10" s="1"/>
  <c r="A3080" i="10" a="1"/>
  <c r="A3080" i="10" s="1"/>
  <c r="A3081" i="10" a="1"/>
  <c r="A3081" i="10" s="1"/>
  <c r="A3082" i="10" a="1"/>
  <c r="A3082" i="10" s="1"/>
  <c r="A3083" i="10" a="1"/>
  <c r="A3083" i="10" s="1"/>
  <c r="A3084" i="10" a="1"/>
  <c r="A3084" i="10" s="1"/>
  <c r="A3085" i="10" a="1"/>
  <c r="A3085" i="10" s="1"/>
  <c r="A3086" i="10" a="1"/>
  <c r="A3086" i="10" s="1"/>
  <c r="A3087" i="10" a="1"/>
  <c r="A3087" i="10" s="1"/>
  <c r="A3088" i="10" a="1"/>
  <c r="A3088" i="10" s="1"/>
  <c r="A3089" i="10" a="1"/>
  <c r="A3089" i="10" s="1"/>
  <c r="A3090" i="10" a="1"/>
  <c r="A3090" i="10" s="1"/>
  <c r="A3091" i="10" a="1"/>
  <c r="A3091" i="10" s="1"/>
  <c r="A3092" i="10" a="1"/>
  <c r="A3092" i="10" s="1"/>
  <c r="A3093" i="10" a="1"/>
  <c r="A3093" i="10" s="1"/>
  <c r="A3094" i="10" a="1"/>
  <c r="A3094" i="10" s="1"/>
  <c r="A3095" i="10" a="1"/>
  <c r="A3095" i="10" s="1"/>
  <c r="A3096" i="10" a="1"/>
  <c r="A3096" i="10" s="1"/>
  <c r="A3097" i="10" a="1"/>
  <c r="A3097" i="10" s="1"/>
  <c r="A3098" i="10" a="1"/>
  <c r="A3098" i="10" s="1"/>
  <c r="A3099" i="10" a="1"/>
  <c r="A3099" i="10" s="1"/>
  <c r="A3100" i="10" a="1"/>
  <c r="A3100" i="10" s="1"/>
  <c r="A3101" i="10" a="1"/>
  <c r="A3101" i="10" s="1"/>
  <c r="A3102" i="10" a="1"/>
  <c r="A3102" i="10" s="1"/>
  <c r="A3103" i="10" a="1"/>
  <c r="A3103" i="10" s="1"/>
  <c r="A3104" i="10" a="1"/>
  <c r="A3104" i="10" s="1"/>
  <c r="A3105" i="10" a="1"/>
  <c r="A3105" i="10" s="1"/>
  <c r="A3106" i="10" a="1"/>
  <c r="A3106" i="10" s="1"/>
  <c r="A3107" i="10" a="1"/>
  <c r="A3107" i="10" s="1"/>
  <c r="A3108" i="10" a="1"/>
  <c r="A3108" i="10" s="1"/>
  <c r="A3109" i="10" a="1"/>
  <c r="A3109" i="10" s="1"/>
  <c r="A3110" i="10" a="1"/>
  <c r="A3110" i="10" s="1"/>
  <c r="A3111" i="10" a="1"/>
  <c r="A3111" i="10" s="1"/>
  <c r="A3112" i="10" a="1"/>
  <c r="A3112" i="10" s="1"/>
  <c r="A3113" i="10" a="1"/>
  <c r="A3113" i="10" s="1"/>
  <c r="A3114" i="10" a="1"/>
  <c r="A3114" i="10" s="1"/>
  <c r="A3115" i="10" a="1"/>
  <c r="A3115" i="10" s="1"/>
  <c r="A3116" i="10" a="1"/>
  <c r="A3116" i="10" s="1"/>
  <c r="A3117" i="10" a="1"/>
  <c r="A3117" i="10" s="1"/>
  <c r="A3118" i="10" a="1"/>
  <c r="A3118" i="10" s="1"/>
  <c r="A3119" i="10" a="1"/>
  <c r="A3119" i="10" s="1"/>
  <c r="A3120" i="10" a="1"/>
  <c r="A3120" i="10" s="1"/>
  <c r="A3121" i="10" a="1"/>
  <c r="A3121" i="10" s="1"/>
  <c r="A3122" i="10" a="1"/>
  <c r="A3122" i="10" s="1"/>
  <c r="A3123" i="10" a="1"/>
  <c r="A3123" i="10" s="1"/>
  <c r="A3124" i="10" a="1"/>
  <c r="A3124" i="10" s="1"/>
  <c r="A3125" i="10" a="1"/>
  <c r="A3125" i="10" s="1"/>
  <c r="A3126" i="10" a="1"/>
  <c r="A3126" i="10" s="1"/>
  <c r="A3127" i="10" a="1"/>
  <c r="A3127" i="10" s="1"/>
  <c r="A3128" i="10" a="1"/>
  <c r="A3128" i="10" s="1"/>
  <c r="A3129" i="10" a="1"/>
  <c r="A3129" i="10" s="1"/>
  <c r="A3130" i="10" a="1"/>
  <c r="A3130" i="10" s="1"/>
  <c r="A3131" i="10" a="1"/>
  <c r="A3131" i="10" s="1"/>
  <c r="A3132" i="10" a="1"/>
  <c r="A3132" i="10" s="1"/>
  <c r="A3133" i="10" a="1"/>
  <c r="A3133" i="10" s="1"/>
  <c r="A3134" i="10" a="1"/>
  <c r="A3134" i="10" s="1"/>
  <c r="A3135" i="10" a="1"/>
  <c r="A3135" i="10" s="1"/>
  <c r="A3136" i="10" a="1"/>
  <c r="A3136" i="10" s="1"/>
  <c r="A3137" i="10" a="1"/>
  <c r="A3137" i="10" s="1"/>
  <c r="A3138" i="10" a="1"/>
  <c r="A3138" i="10" s="1"/>
  <c r="A3139" i="10" a="1"/>
  <c r="A3139" i="10" s="1"/>
  <c r="A3140" i="10" a="1"/>
  <c r="A3140" i="10" s="1"/>
  <c r="A3141" i="10" a="1"/>
  <c r="A3141" i="10" s="1"/>
  <c r="A3142" i="10" a="1"/>
  <c r="A3142" i="10" s="1"/>
  <c r="A3143" i="10" a="1"/>
  <c r="A3143" i="10" s="1"/>
  <c r="A3144" i="10" a="1"/>
  <c r="A3144" i="10" s="1"/>
  <c r="A3145" i="10" a="1"/>
  <c r="A3145" i="10" s="1"/>
  <c r="A3146" i="10" a="1"/>
  <c r="A3146" i="10" s="1"/>
  <c r="A3147" i="10" a="1"/>
  <c r="A3147" i="10" s="1"/>
  <c r="A3148" i="10" a="1"/>
  <c r="A3148" i="10" s="1"/>
  <c r="A3149" i="10" a="1"/>
  <c r="A3149" i="10" s="1"/>
  <c r="A3150" i="10" a="1"/>
  <c r="A3150" i="10" s="1"/>
  <c r="A3151" i="10" a="1"/>
  <c r="A3151" i="10" s="1"/>
  <c r="A3152" i="10" a="1"/>
  <c r="A3152" i="10" s="1"/>
  <c r="A3153" i="10" a="1"/>
  <c r="A3153" i="10" s="1"/>
  <c r="A3154" i="10" a="1"/>
  <c r="A3154" i="10" s="1"/>
  <c r="A3155" i="10" a="1"/>
  <c r="A3155" i="10" s="1"/>
  <c r="A3156" i="10" a="1"/>
  <c r="A3156" i="10" s="1"/>
  <c r="A3157" i="10" a="1"/>
  <c r="A3157" i="10" s="1"/>
  <c r="A3158" i="10" a="1"/>
  <c r="A3158" i="10" s="1"/>
  <c r="A3159" i="10" a="1"/>
  <c r="A3159" i="10" s="1"/>
  <c r="A3160" i="10" a="1"/>
  <c r="A3160" i="10" s="1"/>
  <c r="A3161" i="10" a="1"/>
  <c r="A3161" i="10" s="1"/>
  <c r="A3162" i="10" a="1"/>
  <c r="A3162" i="10" s="1"/>
  <c r="A3163" i="10" a="1"/>
  <c r="A3163" i="10" s="1"/>
  <c r="A3164" i="10" a="1"/>
  <c r="A3164" i="10" s="1"/>
  <c r="A3165" i="10" a="1"/>
  <c r="A3165" i="10" s="1"/>
  <c r="A3166" i="10" a="1"/>
  <c r="A3166" i="10" s="1"/>
  <c r="A3167" i="10" a="1"/>
  <c r="A3167" i="10" s="1"/>
  <c r="A3168" i="10" a="1"/>
  <c r="A3168" i="10" s="1"/>
  <c r="A3169" i="10" a="1"/>
  <c r="A3169" i="10" s="1"/>
  <c r="A3170" i="10" a="1"/>
  <c r="A3170" i="10" s="1"/>
  <c r="A3171" i="10" a="1"/>
  <c r="A3171" i="10" s="1"/>
  <c r="A3172" i="10" a="1"/>
  <c r="A3172" i="10" s="1"/>
  <c r="A3173" i="10" a="1"/>
  <c r="A3173" i="10" s="1"/>
  <c r="A3174" i="10" a="1"/>
  <c r="A3174" i="10" s="1"/>
  <c r="A3175" i="10" a="1"/>
  <c r="A3175" i="10" s="1"/>
  <c r="A3176" i="10" a="1"/>
  <c r="A3176" i="10" s="1"/>
  <c r="A3177" i="10" a="1"/>
  <c r="A3177" i="10" s="1"/>
  <c r="A3178" i="10" a="1"/>
  <c r="A3178" i="10" s="1"/>
  <c r="A3179" i="10" a="1"/>
  <c r="A3179" i="10" s="1"/>
  <c r="A3180" i="10" a="1"/>
  <c r="A3180" i="10" s="1"/>
  <c r="A3181" i="10" a="1"/>
  <c r="A3181" i="10" s="1"/>
  <c r="A3182" i="10" a="1"/>
  <c r="A3182" i="10" s="1"/>
  <c r="A3183" i="10" a="1"/>
  <c r="A3183" i="10" s="1"/>
  <c r="A3184" i="10" a="1"/>
  <c r="A3184" i="10" s="1"/>
  <c r="A3185" i="10" a="1"/>
  <c r="A3185" i="10" s="1"/>
  <c r="A3186" i="10" a="1"/>
  <c r="A3186" i="10" s="1"/>
  <c r="A3187" i="10" a="1"/>
  <c r="A3187" i="10" s="1"/>
  <c r="A3188" i="10" a="1"/>
  <c r="A3188" i="10" s="1"/>
  <c r="A3189" i="10" a="1"/>
  <c r="A3189" i="10" s="1"/>
  <c r="A3190" i="10" a="1"/>
  <c r="A3190" i="10" s="1"/>
  <c r="A3191" i="10" a="1"/>
  <c r="A3191" i="10" s="1"/>
  <c r="A3192" i="10" a="1"/>
  <c r="A3192" i="10" s="1"/>
  <c r="A3193" i="10" a="1"/>
  <c r="A3193" i="10" s="1"/>
  <c r="A3194" i="10" a="1"/>
  <c r="A3194" i="10" s="1"/>
  <c r="A3195" i="10" a="1"/>
  <c r="A3195" i="10" s="1"/>
  <c r="A3196" i="10" a="1"/>
  <c r="A3196" i="10" s="1"/>
  <c r="A3197" i="10" a="1"/>
  <c r="A3197" i="10" s="1"/>
  <c r="A3198" i="10" a="1"/>
  <c r="A3198" i="10" s="1"/>
  <c r="A3199" i="10" a="1"/>
  <c r="A3199" i="10" s="1"/>
  <c r="A3200" i="10" a="1"/>
  <c r="A3200" i="10" s="1"/>
  <c r="A3201" i="10" a="1"/>
  <c r="A3201" i="10" s="1"/>
  <c r="A3202" i="10" a="1"/>
  <c r="A3202" i="10" s="1"/>
  <c r="A3203" i="10" a="1"/>
  <c r="A3203" i="10" s="1"/>
  <c r="A3204" i="10" a="1"/>
  <c r="A3204" i="10" s="1"/>
  <c r="A3205" i="10" a="1"/>
  <c r="A3205" i="10" s="1"/>
  <c r="A3206" i="10" a="1"/>
  <c r="A3206" i="10" s="1"/>
  <c r="A3207" i="10" a="1"/>
  <c r="A3207" i="10" s="1"/>
  <c r="A3208" i="10" a="1"/>
  <c r="A3208" i="10" s="1"/>
  <c r="A3209" i="10" a="1"/>
  <c r="A3209" i="10" s="1"/>
  <c r="A3210" i="10" a="1"/>
  <c r="A3210" i="10" s="1"/>
  <c r="A3211" i="10" a="1"/>
  <c r="A3211" i="10" s="1"/>
  <c r="A3212" i="10" a="1"/>
  <c r="A3212" i="10" s="1"/>
  <c r="A3213" i="10" a="1"/>
  <c r="A3213" i="10" s="1"/>
  <c r="A3214" i="10" a="1"/>
  <c r="A3214" i="10" s="1"/>
  <c r="A3215" i="10" a="1"/>
  <c r="A3215" i="10" s="1"/>
  <c r="A3216" i="10" a="1"/>
  <c r="A3216" i="10" s="1"/>
  <c r="A3217" i="10" a="1"/>
  <c r="A3217" i="10" s="1"/>
  <c r="A3218" i="10" a="1"/>
  <c r="A3218" i="10" s="1"/>
  <c r="A3219" i="10" a="1"/>
  <c r="A3219" i="10" s="1"/>
  <c r="A3220" i="10" a="1"/>
  <c r="A3220" i="10" s="1"/>
  <c r="A3221" i="10" a="1"/>
  <c r="A3221" i="10" s="1"/>
  <c r="A3222" i="10" a="1"/>
  <c r="A3222" i="10" s="1"/>
  <c r="A3223" i="10" a="1"/>
  <c r="A3223" i="10" s="1"/>
  <c r="A3224" i="10" a="1"/>
  <c r="A3224" i="10" s="1"/>
  <c r="A3225" i="10" a="1"/>
  <c r="A3225" i="10" s="1"/>
  <c r="A3226" i="10" a="1"/>
  <c r="A3226" i="10" s="1"/>
  <c r="A3227" i="10" a="1"/>
  <c r="A3227" i="10" s="1"/>
  <c r="A3228" i="10" a="1"/>
  <c r="A3228" i="10" s="1"/>
  <c r="A3229" i="10" a="1"/>
  <c r="A3229" i="10" s="1"/>
  <c r="A3230" i="10" a="1"/>
  <c r="A3230" i="10" s="1"/>
  <c r="A3231" i="10" a="1"/>
  <c r="A3231" i="10" s="1"/>
  <c r="A3232" i="10" a="1"/>
  <c r="A3232" i="10" s="1"/>
  <c r="A3233" i="10" a="1"/>
  <c r="A3233" i="10" s="1"/>
  <c r="A3234" i="10" a="1"/>
  <c r="A3234" i="10" s="1"/>
  <c r="A3235" i="10" a="1"/>
  <c r="A3235" i="10" s="1"/>
  <c r="A3236" i="10" a="1"/>
  <c r="A3236" i="10" s="1"/>
  <c r="A3237" i="10" a="1"/>
  <c r="A3237" i="10" s="1"/>
  <c r="A3238" i="10" a="1"/>
  <c r="A3238" i="10" s="1"/>
  <c r="A3239" i="10" a="1"/>
  <c r="A3239" i="10" s="1"/>
  <c r="A3240" i="10" a="1"/>
  <c r="A3240" i="10" s="1"/>
  <c r="A3241" i="10" a="1"/>
  <c r="A3241" i="10" s="1"/>
  <c r="A3242" i="10" a="1"/>
  <c r="A3242" i="10" s="1"/>
  <c r="A3243" i="10" a="1"/>
  <c r="A3243" i="10" s="1"/>
  <c r="A3244" i="10" a="1"/>
  <c r="A3244" i="10" s="1"/>
  <c r="A3245" i="10" a="1"/>
  <c r="A3245" i="10" s="1"/>
  <c r="A3246" i="10" a="1"/>
  <c r="A3246" i="10" s="1"/>
  <c r="A3247" i="10" a="1"/>
  <c r="A3247" i="10" s="1"/>
  <c r="A3248" i="10" a="1"/>
  <c r="A3248" i="10" s="1"/>
  <c r="A3249" i="10" a="1"/>
  <c r="A3249" i="10" s="1"/>
  <c r="A3250" i="10" a="1"/>
  <c r="A3250" i="10" s="1"/>
  <c r="A3251" i="10" a="1"/>
  <c r="A3251" i="10" s="1"/>
  <c r="A3252" i="10" a="1"/>
  <c r="A3252" i="10" s="1"/>
  <c r="A3253" i="10" a="1"/>
  <c r="A3253" i="10" s="1"/>
  <c r="A3254" i="10" a="1"/>
  <c r="A3254" i="10" s="1"/>
  <c r="A3255" i="10" a="1"/>
  <c r="A3255" i="10" s="1"/>
  <c r="A3256" i="10" a="1"/>
  <c r="A3256" i="10" s="1"/>
  <c r="A3257" i="10" a="1"/>
  <c r="A3257" i="10" s="1"/>
  <c r="A3258" i="10" a="1"/>
  <c r="A3258" i="10" s="1"/>
  <c r="A3259" i="10" a="1"/>
  <c r="A3259" i="10" s="1"/>
  <c r="A3260" i="10" a="1"/>
  <c r="A3260" i="10" s="1"/>
  <c r="A3261" i="10" a="1"/>
  <c r="A3261" i="10" s="1"/>
  <c r="A3262" i="10" a="1"/>
  <c r="A3262" i="10" s="1"/>
  <c r="A3263" i="10" a="1"/>
  <c r="A3263" i="10" s="1"/>
  <c r="A3264" i="10" a="1"/>
  <c r="A3264" i="10" s="1"/>
  <c r="A3265" i="10" a="1"/>
  <c r="A3265" i="10" s="1"/>
  <c r="A3266" i="10" a="1"/>
  <c r="A3266" i="10" s="1"/>
  <c r="A3267" i="10" a="1"/>
  <c r="A3267" i="10" s="1"/>
  <c r="A3268" i="10" a="1"/>
  <c r="A3268" i="10" s="1"/>
  <c r="A3269" i="10" a="1"/>
  <c r="A3269" i="10" s="1"/>
  <c r="A3270" i="10" a="1"/>
  <c r="A3270" i="10" s="1"/>
  <c r="A3271" i="10" a="1"/>
  <c r="A3271" i="10" s="1"/>
  <c r="A3272" i="10" a="1"/>
  <c r="A3272" i="10" s="1"/>
  <c r="A3273" i="10" a="1"/>
  <c r="A3273" i="10" s="1"/>
  <c r="A3274" i="10" a="1"/>
  <c r="A3274" i="10" s="1"/>
  <c r="A3275" i="10" a="1"/>
  <c r="A3275" i="10" s="1"/>
  <c r="A3276" i="10" a="1"/>
  <c r="A3276" i="10" s="1"/>
  <c r="A3277" i="10" a="1"/>
  <c r="A3277" i="10" s="1"/>
  <c r="A3278" i="10" a="1"/>
  <c r="A3278" i="10" s="1"/>
  <c r="A3279" i="10" a="1"/>
  <c r="A3279" i="10" s="1"/>
  <c r="A3280" i="10" a="1"/>
  <c r="A3280" i="10" s="1"/>
  <c r="A3281" i="10" a="1"/>
  <c r="A3281" i="10" s="1"/>
  <c r="A3282" i="10" a="1"/>
  <c r="A3282" i="10" s="1"/>
  <c r="A3283" i="10" a="1"/>
  <c r="A3283" i="10" s="1"/>
  <c r="A3284" i="10" a="1"/>
  <c r="A3284" i="10" s="1"/>
  <c r="A3285" i="10" a="1"/>
  <c r="A3285" i="10" s="1"/>
  <c r="A3286" i="10" a="1"/>
  <c r="A3286" i="10" s="1"/>
  <c r="A3287" i="10" a="1"/>
  <c r="A3287" i="10" s="1"/>
  <c r="A3288" i="10" a="1"/>
  <c r="A3288" i="10" s="1"/>
  <c r="A3289" i="10" a="1"/>
  <c r="A3289" i="10" s="1"/>
  <c r="A3290" i="10" a="1"/>
  <c r="A3290" i="10" s="1"/>
  <c r="A3291" i="10" a="1"/>
  <c r="A3291" i="10" s="1"/>
  <c r="A3292" i="10" a="1"/>
  <c r="A3292" i="10" s="1"/>
  <c r="A3293" i="10" a="1"/>
  <c r="A3293" i="10" s="1"/>
  <c r="A3294" i="10" a="1"/>
  <c r="A3294" i="10" s="1"/>
  <c r="A3295" i="10" a="1"/>
  <c r="A3295" i="10" s="1"/>
  <c r="A3296" i="10" a="1"/>
  <c r="A3296" i="10" s="1"/>
  <c r="A3297" i="10" a="1"/>
  <c r="A3297" i="10" s="1"/>
  <c r="A3298" i="10" a="1"/>
  <c r="A3298" i="10" s="1"/>
  <c r="A3299" i="10" a="1"/>
  <c r="A3299" i="10" s="1"/>
  <c r="A3300" i="10" a="1"/>
  <c r="A3300" i="10" s="1"/>
  <c r="A3301" i="10" a="1"/>
  <c r="A3301" i="10" s="1"/>
  <c r="A3302" i="10" a="1"/>
  <c r="A3302" i="10" s="1"/>
  <c r="A3303" i="10" a="1"/>
  <c r="A3303" i="10" s="1"/>
  <c r="A3304" i="10" a="1"/>
  <c r="A3304" i="10" s="1"/>
  <c r="A3305" i="10" a="1"/>
  <c r="A3305" i="10" s="1"/>
  <c r="A3306" i="10" a="1"/>
  <c r="A3306" i="10" s="1"/>
  <c r="A3307" i="10" a="1"/>
  <c r="A3307" i="10" s="1"/>
  <c r="A3308" i="10" a="1"/>
  <c r="A3308" i="10" s="1"/>
  <c r="A3309" i="10" a="1"/>
  <c r="A3309" i="10" s="1"/>
  <c r="A3310" i="10" a="1"/>
  <c r="A3310" i="10" s="1"/>
  <c r="A3311" i="10" a="1"/>
  <c r="A3311" i="10" s="1"/>
  <c r="A3312" i="10" a="1"/>
  <c r="A3312" i="10" s="1"/>
  <c r="A3313" i="10" a="1"/>
  <c r="A3313" i="10" s="1"/>
  <c r="A3314" i="10" a="1"/>
  <c r="A3314" i="10" s="1"/>
  <c r="A3315" i="10" a="1"/>
  <c r="A3315" i="10" s="1"/>
  <c r="A3316" i="10" a="1"/>
  <c r="A3316" i="10" s="1"/>
  <c r="A3317" i="10" a="1"/>
  <c r="A3317" i="10" s="1"/>
  <c r="A3318" i="10" a="1"/>
  <c r="A3318" i="10" s="1"/>
  <c r="A3319" i="10" a="1"/>
  <c r="A3319" i="10" s="1"/>
  <c r="A3320" i="10" a="1"/>
  <c r="A3320" i="10" s="1"/>
  <c r="A3321" i="10" a="1"/>
  <c r="A3321" i="10" s="1"/>
  <c r="A3322" i="10" a="1"/>
  <c r="A3322" i="10" s="1"/>
  <c r="A3323" i="10" a="1"/>
  <c r="A3323" i="10" s="1"/>
  <c r="A3324" i="10" a="1"/>
  <c r="A3324" i="10" s="1"/>
  <c r="A3325" i="10" a="1"/>
  <c r="A3325" i="10" s="1"/>
  <c r="A3326" i="10" a="1"/>
  <c r="A3326" i="10" s="1"/>
  <c r="A3327" i="10" a="1"/>
  <c r="A3327" i="10" s="1"/>
  <c r="A3328" i="10" a="1"/>
  <c r="A3328" i="10" s="1"/>
  <c r="A3329" i="10" a="1"/>
  <c r="A3329" i="10" s="1"/>
  <c r="A3330" i="10" a="1"/>
  <c r="A3330" i="10" s="1"/>
  <c r="A3331" i="10" a="1"/>
  <c r="A3331" i="10" s="1"/>
  <c r="A3332" i="10" a="1"/>
  <c r="A3332" i="10" s="1"/>
  <c r="A3333" i="10" a="1"/>
  <c r="A3333" i="10" s="1"/>
  <c r="A3334" i="10" a="1"/>
  <c r="A3334" i="10" s="1"/>
  <c r="A3335" i="10" a="1"/>
  <c r="A3335" i="10" s="1"/>
  <c r="A3336" i="10" a="1"/>
  <c r="A3336" i="10" s="1"/>
  <c r="A3337" i="10" a="1"/>
  <c r="A3337" i="10" s="1"/>
  <c r="A3338" i="10" a="1"/>
  <c r="A3338" i="10" s="1"/>
  <c r="A3339" i="10" a="1"/>
  <c r="A3339" i="10" s="1"/>
  <c r="A3340" i="10" a="1"/>
  <c r="A3340" i="10" s="1"/>
  <c r="A3341" i="10" a="1"/>
  <c r="A3341" i="10" s="1"/>
  <c r="A3342" i="10" a="1"/>
  <c r="A3342" i="10" s="1"/>
  <c r="A3343" i="10" a="1"/>
  <c r="A3343" i="10" s="1"/>
  <c r="A3344" i="10" a="1"/>
  <c r="A3344" i="10" s="1"/>
  <c r="A3345" i="10" a="1"/>
  <c r="A3345" i="10" s="1"/>
  <c r="A3346" i="10" a="1"/>
  <c r="A3346" i="10" s="1"/>
  <c r="A3347" i="10" a="1"/>
  <c r="A3347" i="10" s="1"/>
  <c r="A3348" i="10" a="1"/>
  <c r="A3348" i="10" s="1"/>
  <c r="A3349" i="10" a="1"/>
  <c r="A3349" i="10" s="1"/>
  <c r="A3350" i="10" a="1"/>
  <c r="A3350" i="10" s="1"/>
  <c r="A3351" i="10" a="1"/>
  <c r="A3351" i="10" s="1"/>
  <c r="A3352" i="10" a="1"/>
  <c r="A3352" i="10" s="1"/>
  <c r="A3353" i="10" a="1"/>
  <c r="A3353" i="10" s="1"/>
  <c r="A3354" i="10" a="1"/>
  <c r="A3354" i="10" s="1"/>
  <c r="A3355" i="10" a="1"/>
  <c r="A3355" i="10" s="1"/>
  <c r="A3356" i="10" a="1"/>
  <c r="A3356" i="10" s="1"/>
  <c r="A3357" i="10" a="1"/>
  <c r="A3357" i="10" s="1"/>
  <c r="A3358" i="10" a="1"/>
  <c r="A3358" i="10" s="1"/>
  <c r="A3359" i="10" a="1"/>
  <c r="A3359" i="10" s="1"/>
  <c r="A3360" i="10" a="1"/>
  <c r="A3360" i="10" s="1"/>
  <c r="A3361" i="10" a="1"/>
  <c r="A3361" i="10" s="1"/>
  <c r="A3362" i="10" a="1"/>
  <c r="A3362" i="10" s="1"/>
  <c r="A3363" i="10" a="1"/>
  <c r="A3363" i="10" s="1"/>
  <c r="A3364" i="10" a="1"/>
  <c r="A3364" i="10" s="1"/>
  <c r="A3365" i="10" a="1"/>
  <c r="A3365" i="10" s="1"/>
  <c r="A3366" i="10" a="1"/>
  <c r="A3366" i="10" s="1"/>
  <c r="A3367" i="10" a="1"/>
  <c r="A3367" i="10" s="1"/>
  <c r="A3368" i="10" a="1"/>
  <c r="A3368" i="10" s="1"/>
  <c r="A3369" i="10" a="1"/>
  <c r="A3369" i="10" s="1"/>
  <c r="A3370" i="10" a="1"/>
  <c r="A3370" i="10" s="1"/>
  <c r="A3371" i="10" a="1"/>
  <c r="A3371" i="10" s="1"/>
  <c r="A3372" i="10" a="1"/>
  <c r="A3372" i="10" s="1"/>
  <c r="A3373" i="10" a="1"/>
  <c r="A3373" i="10" s="1"/>
  <c r="A3374" i="10" a="1"/>
  <c r="A3374" i="10" s="1"/>
  <c r="A3375" i="10" a="1"/>
  <c r="A3375" i="10" s="1"/>
  <c r="A3376" i="10" a="1"/>
  <c r="A3376" i="10" s="1"/>
  <c r="A3377" i="10" a="1"/>
  <c r="A3377" i="10" s="1"/>
  <c r="A3378" i="10" a="1"/>
  <c r="A3378" i="10" s="1"/>
  <c r="A3379" i="10" a="1"/>
  <c r="A3379" i="10" s="1"/>
  <c r="A3380" i="10" a="1"/>
  <c r="A3380" i="10" s="1"/>
  <c r="A3381" i="10" a="1"/>
  <c r="A3381" i="10" s="1"/>
  <c r="A3382" i="10" a="1"/>
  <c r="A3382" i="10" s="1"/>
  <c r="A3383" i="10" a="1"/>
  <c r="A3383" i="10" s="1"/>
  <c r="A3384" i="10" a="1"/>
  <c r="A3384" i="10" s="1"/>
  <c r="A3385" i="10" a="1"/>
  <c r="A3385" i="10" s="1"/>
  <c r="A3386" i="10" a="1"/>
  <c r="A3386" i="10" s="1"/>
  <c r="A3387" i="10" a="1"/>
  <c r="A3387" i="10" s="1"/>
  <c r="A3388" i="10" a="1"/>
  <c r="A3388" i="10" s="1"/>
  <c r="A3389" i="10" a="1"/>
  <c r="A3389" i="10" s="1"/>
  <c r="A3390" i="10" a="1"/>
  <c r="A3390" i="10" s="1"/>
  <c r="A3391" i="10" a="1"/>
  <c r="A3391" i="10" s="1"/>
  <c r="A3392" i="10" a="1"/>
  <c r="A3392" i="10" s="1"/>
  <c r="A3393" i="10" a="1"/>
  <c r="A3393" i="10" s="1"/>
  <c r="A3394" i="10" a="1"/>
  <c r="A3394" i="10" s="1"/>
  <c r="A3395" i="10" a="1"/>
  <c r="A3395" i="10" s="1"/>
  <c r="A3396" i="10" a="1"/>
  <c r="A3396" i="10" s="1"/>
  <c r="A3397" i="10" a="1"/>
  <c r="A3397" i="10" s="1"/>
  <c r="A3398" i="10" a="1"/>
  <c r="A3398" i="10" s="1"/>
  <c r="A3399" i="10" a="1"/>
  <c r="A3399" i="10" s="1"/>
  <c r="A3400" i="10" a="1"/>
  <c r="A3400" i="10" s="1"/>
  <c r="A3401" i="10" a="1"/>
  <c r="A3401" i="10" s="1"/>
  <c r="A3402" i="10" a="1"/>
  <c r="A3402" i="10" s="1"/>
  <c r="A3403" i="10" a="1"/>
  <c r="A3403" i="10" s="1"/>
  <c r="A3404" i="10" a="1"/>
  <c r="A3404" i="10" s="1"/>
  <c r="A3405" i="10" a="1"/>
  <c r="A3405" i="10" s="1"/>
  <c r="A3406" i="10" a="1"/>
  <c r="A3406" i="10" s="1"/>
  <c r="A3407" i="10" a="1"/>
  <c r="A3407" i="10" s="1"/>
  <c r="A3408" i="10" a="1"/>
  <c r="A3408" i="10" s="1"/>
  <c r="A3409" i="10" a="1"/>
  <c r="A3409" i="10" s="1"/>
  <c r="A3410" i="10" a="1"/>
  <c r="A3410" i="10" s="1"/>
  <c r="A3411" i="10" a="1"/>
  <c r="A3411" i="10" s="1"/>
  <c r="A3412" i="10" a="1"/>
  <c r="A3412" i="10" s="1"/>
  <c r="A3413" i="10" a="1"/>
  <c r="A3413" i="10" s="1"/>
  <c r="A3414" i="10" a="1"/>
  <c r="A3414" i="10" s="1"/>
  <c r="A3415" i="10" a="1"/>
  <c r="A3415" i="10" s="1"/>
  <c r="A3416" i="10" a="1"/>
  <c r="A3416" i="10" s="1"/>
  <c r="A3417" i="10" a="1"/>
  <c r="A3417" i="10" s="1"/>
  <c r="A3418" i="10" a="1"/>
  <c r="A3418" i="10" s="1"/>
  <c r="A3419" i="10" a="1"/>
  <c r="A3419" i="10" s="1"/>
  <c r="A3420" i="10" a="1"/>
  <c r="A3420" i="10" s="1"/>
  <c r="A3421" i="10" a="1"/>
  <c r="A3421" i="10" s="1"/>
  <c r="A3422" i="10" a="1"/>
  <c r="A3422" i="10" s="1"/>
  <c r="A3423" i="10" a="1"/>
  <c r="A3423" i="10" s="1"/>
  <c r="A3424" i="10" a="1"/>
  <c r="A3424" i="10" s="1"/>
  <c r="A3425" i="10" a="1"/>
  <c r="A3425" i="10" s="1"/>
  <c r="A3426" i="10" a="1"/>
  <c r="A3426" i="10" s="1"/>
  <c r="A3427" i="10" a="1"/>
  <c r="A3427" i="10" s="1"/>
  <c r="A3428" i="10" a="1"/>
  <c r="A3428" i="10" s="1"/>
  <c r="A3429" i="10" a="1"/>
  <c r="A3429" i="10" s="1"/>
  <c r="A3430" i="10" a="1"/>
  <c r="A3430" i="10" s="1"/>
  <c r="A3431" i="10" a="1"/>
  <c r="A3431" i="10" s="1"/>
  <c r="A3432" i="10" a="1"/>
  <c r="A3432" i="10" s="1"/>
  <c r="A3433" i="10" a="1"/>
  <c r="A3433" i="10" s="1"/>
  <c r="A3434" i="10" a="1"/>
  <c r="A3434" i="10" s="1"/>
  <c r="A3435" i="10" a="1"/>
  <c r="A3435" i="10" s="1"/>
  <c r="A3436" i="10" a="1"/>
  <c r="A3436" i="10" s="1"/>
  <c r="A3437" i="10" a="1"/>
  <c r="A3437" i="10" s="1"/>
  <c r="A3438" i="10" a="1"/>
  <c r="A3438" i="10" s="1"/>
  <c r="A3439" i="10" a="1"/>
  <c r="A3439" i="10" s="1"/>
  <c r="A3440" i="10" a="1"/>
  <c r="A3440" i="10" s="1"/>
  <c r="A3441" i="10" a="1"/>
  <c r="A3441" i="10" s="1"/>
  <c r="A3442" i="10" a="1"/>
  <c r="A3442" i="10" s="1"/>
  <c r="A3443" i="10" a="1"/>
  <c r="A3443" i="10" s="1"/>
  <c r="A3444" i="10" a="1"/>
  <c r="A3444" i="10" s="1"/>
  <c r="A3445" i="10" a="1"/>
  <c r="A3445" i="10" s="1"/>
  <c r="A3446" i="10" a="1"/>
  <c r="A3446" i="10" s="1"/>
  <c r="A3447" i="10" a="1"/>
  <c r="A3447" i="10" s="1"/>
  <c r="A3448" i="10" a="1"/>
  <c r="A3448" i="10" s="1"/>
  <c r="A3449" i="10" a="1"/>
  <c r="A3449" i="10" s="1"/>
  <c r="A3450" i="10" a="1"/>
  <c r="A3450" i="10" s="1"/>
  <c r="A3451" i="10" a="1"/>
  <c r="A3451" i="10" s="1"/>
  <c r="A3452" i="10" a="1"/>
  <c r="A3452" i="10" s="1"/>
  <c r="A3453" i="10" a="1"/>
  <c r="A3453" i="10" s="1"/>
  <c r="A3454" i="10" a="1"/>
  <c r="A3454" i="10" s="1"/>
  <c r="A3455" i="10" a="1"/>
  <c r="A3455" i="10" s="1"/>
  <c r="A3456" i="10" a="1"/>
  <c r="A3456" i="10" s="1"/>
  <c r="A3457" i="10" a="1"/>
  <c r="A3457" i="10" s="1"/>
  <c r="A3458" i="10" a="1"/>
  <c r="A3458" i="10" s="1"/>
  <c r="A3459" i="10" a="1"/>
  <c r="A3459" i="10" s="1"/>
  <c r="A3460" i="10" a="1"/>
  <c r="A3460" i="10" s="1"/>
  <c r="A3461" i="10" a="1"/>
  <c r="A3461" i="10" s="1"/>
  <c r="A3462" i="10" a="1"/>
  <c r="A3462" i="10" s="1"/>
  <c r="A3463" i="10" a="1"/>
  <c r="A3463" i="10" s="1"/>
  <c r="A3464" i="10" a="1"/>
  <c r="A3464" i="10" s="1"/>
  <c r="A3465" i="10" a="1"/>
  <c r="A3465" i="10" s="1"/>
  <c r="A3466" i="10" a="1"/>
  <c r="A3466" i="10" s="1"/>
  <c r="A3467" i="10" a="1"/>
  <c r="A3467" i="10" s="1"/>
  <c r="A3468" i="10" a="1"/>
  <c r="A3468" i="10" s="1"/>
  <c r="A3469" i="10" a="1"/>
  <c r="A3469" i="10" s="1"/>
  <c r="A3470" i="10" a="1"/>
  <c r="A3470" i="10" s="1"/>
  <c r="A3471" i="10" a="1"/>
  <c r="A3471" i="10" s="1"/>
  <c r="A3472" i="10" a="1"/>
  <c r="A3472" i="10" s="1"/>
  <c r="A3473" i="10" a="1"/>
  <c r="A3473" i="10" s="1"/>
  <c r="A3474" i="10" a="1"/>
  <c r="A3474" i="10" s="1"/>
  <c r="A3475" i="10" a="1"/>
  <c r="A3475" i="10" s="1"/>
  <c r="A3476" i="10" a="1"/>
  <c r="A3476" i="10" s="1"/>
  <c r="A3477" i="10" a="1"/>
  <c r="A3477" i="10" s="1"/>
  <c r="A3478" i="10" a="1"/>
  <c r="A3478" i="10" s="1"/>
  <c r="A3479" i="10" a="1"/>
  <c r="A3479" i="10" s="1"/>
  <c r="A3480" i="10" a="1"/>
  <c r="A3480" i="10" s="1"/>
  <c r="A3481" i="10" a="1"/>
  <c r="A3481" i="10" s="1"/>
  <c r="A3482" i="10" a="1"/>
  <c r="A3482" i="10" s="1"/>
  <c r="A3483" i="10" a="1"/>
  <c r="A3483" i="10" s="1"/>
  <c r="A3484" i="10" a="1"/>
  <c r="A3484" i="10" s="1"/>
  <c r="A3485" i="10" a="1"/>
  <c r="A3485" i="10" s="1"/>
  <c r="A3486" i="10" a="1"/>
  <c r="A3486" i="10" s="1"/>
  <c r="A3487" i="10" a="1"/>
  <c r="A3487" i="10" s="1"/>
  <c r="A3488" i="10" a="1"/>
  <c r="A3488" i="10" s="1"/>
  <c r="A3489" i="10" a="1"/>
  <c r="A3489" i="10" s="1"/>
  <c r="A3490" i="10" a="1"/>
  <c r="A3490" i="10" s="1"/>
  <c r="A3491" i="10" a="1"/>
  <c r="A3491" i="10" s="1"/>
  <c r="A3492" i="10" a="1"/>
  <c r="A3492" i="10" s="1"/>
  <c r="A3493" i="10" a="1"/>
  <c r="A3493" i="10" s="1"/>
  <c r="A3494" i="10" a="1"/>
  <c r="A3494" i="10" s="1"/>
  <c r="A3495" i="10" a="1"/>
  <c r="A3495" i="10" s="1"/>
  <c r="A3496" i="10" a="1"/>
  <c r="A3496" i="10" s="1"/>
  <c r="A3497" i="10" a="1"/>
  <c r="A3497" i="10" s="1"/>
  <c r="A3498" i="10" a="1"/>
  <c r="A3498" i="10" s="1"/>
  <c r="A3499" i="10" a="1"/>
  <c r="A3499" i="10" s="1"/>
  <c r="A3500" i="10" a="1"/>
  <c r="A3500" i="10" s="1"/>
  <c r="A3501" i="10" a="1"/>
  <c r="A3501" i="10" s="1"/>
  <c r="A3502" i="10" a="1"/>
  <c r="A3502" i="10" s="1"/>
  <c r="A3503" i="10" a="1"/>
  <c r="A3503" i="10" s="1"/>
  <c r="A3504" i="10" a="1"/>
  <c r="A3504" i="10" s="1"/>
  <c r="A3505" i="10" a="1"/>
  <c r="A3505" i="10" s="1"/>
  <c r="A3506" i="10" a="1"/>
  <c r="A3506" i="10" s="1"/>
  <c r="A3507" i="10" a="1"/>
  <c r="A3507" i="10" s="1"/>
  <c r="A3508" i="10" a="1"/>
  <c r="A3508" i="10" s="1"/>
  <c r="A3509" i="10" a="1"/>
  <c r="A3509" i="10" s="1"/>
  <c r="A3510" i="10" a="1"/>
  <c r="A3510" i="10" s="1"/>
  <c r="A3511" i="10" a="1"/>
  <c r="A3511" i="10" s="1"/>
  <c r="A3512" i="10" a="1"/>
  <c r="A3512" i="10" s="1"/>
  <c r="A3513" i="10" a="1"/>
  <c r="A3513" i="10" s="1"/>
  <c r="A3514" i="10" a="1"/>
  <c r="A3514" i="10" s="1"/>
  <c r="A3515" i="10" a="1"/>
  <c r="A3515" i="10" s="1"/>
  <c r="A3516" i="10" a="1"/>
  <c r="A3516" i="10" s="1"/>
  <c r="A3517" i="10" a="1"/>
  <c r="A3517" i="10" s="1"/>
  <c r="A3518" i="10" a="1"/>
  <c r="A3518" i="10" s="1"/>
  <c r="A3519" i="10" a="1"/>
  <c r="A3519" i="10" s="1"/>
  <c r="A3520" i="10" a="1"/>
  <c r="A3520" i="10" s="1"/>
  <c r="A3521" i="10" a="1"/>
  <c r="A3521" i="10" s="1"/>
  <c r="A3522" i="10" a="1"/>
  <c r="A3522" i="10" s="1"/>
  <c r="A3523" i="10" a="1"/>
  <c r="A3523" i="10" s="1"/>
  <c r="A3524" i="10" a="1"/>
  <c r="A3524" i="10" s="1"/>
  <c r="A3525" i="10" a="1"/>
  <c r="A3525" i="10" s="1"/>
  <c r="A3526" i="10" a="1"/>
  <c r="A3526" i="10" s="1"/>
  <c r="A3527" i="10" a="1"/>
  <c r="A3527" i="10" s="1"/>
  <c r="A3528" i="10" a="1"/>
  <c r="A3528" i="10" s="1"/>
  <c r="A3529" i="10" a="1"/>
  <c r="A3529" i="10" s="1"/>
  <c r="A3530" i="10" a="1"/>
  <c r="A3530" i="10" s="1"/>
  <c r="A3531" i="10" a="1"/>
  <c r="A3531" i="10" s="1"/>
  <c r="A3532" i="10" a="1"/>
  <c r="A3532" i="10" s="1"/>
  <c r="A3533" i="10" a="1"/>
  <c r="A3533" i="10" s="1"/>
  <c r="A3534" i="10" a="1"/>
  <c r="A3534" i="10" s="1"/>
  <c r="A3535" i="10" a="1"/>
  <c r="A3535" i="10" s="1"/>
  <c r="A3536" i="10" a="1"/>
  <c r="A3536" i="10" s="1"/>
  <c r="A3537" i="10" a="1"/>
  <c r="A3537" i="10" s="1"/>
  <c r="A3538" i="10" a="1"/>
  <c r="A3538" i="10" s="1"/>
  <c r="A3539" i="10" a="1"/>
  <c r="A3539" i="10" s="1"/>
  <c r="A3540" i="10" a="1"/>
  <c r="A3540" i="10" s="1"/>
  <c r="A3541" i="10" a="1"/>
  <c r="A3541" i="10" s="1"/>
  <c r="A3542" i="10" a="1"/>
  <c r="A3542" i="10" s="1"/>
  <c r="A3543" i="10" a="1"/>
  <c r="A3543" i="10" s="1"/>
  <c r="A3544" i="10" a="1"/>
  <c r="A3544" i="10" s="1"/>
  <c r="A3545" i="10" a="1"/>
  <c r="A3545" i="10" s="1"/>
  <c r="A3546" i="10" a="1"/>
  <c r="A3546" i="10" s="1"/>
  <c r="A3547" i="10" a="1"/>
  <c r="A3547" i="10" s="1"/>
  <c r="A3548" i="10" a="1"/>
  <c r="A3548" i="10" s="1"/>
  <c r="A3549" i="10" a="1"/>
  <c r="A3549" i="10" s="1"/>
  <c r="A3550" i="10" a="1"/>
  <c r="A3550" i="10" s="1"/>
  <c r="A3551" i="10" a="1"/>
  <c r="A3551" i="10" s="1"/>
  <c r="A3552" i="10" a="1"/>
  <c r="A3552" i="10" s="1"/>
  <c r="A3553" i="10" a="1"/>
  <c r="A3553" i="10" s="1"/>
  <c r="A3554" i="10" a="1"/>
  <c r="A3554" i="10" s="1"/>
  <c r="A3555" i="10" a="1"/>
  <c r="A3555" i="10" s="1"/>
  <c r="A3556" i="10" a="1"/>
  <c r="A3556" i="10" s="1"/>
  <c r="A3557" i="10" a="1"/>
  <c r="A3557" i="10" s="1"/>
  <c r="A3558" i="10" a="1"/>
  <c r="A3558" i="10" s="1"/>
  <c r="A3559" i="10" a="1"/>
  <c r="A3559" i="10" s="1"/>
  <c r="A3560" i="10" a="1"/>
  <c r="A3560" i="10" s="1"/>
  <c r="A3561" i="10" a="1"/>
  <c r="A3561" i="10" s="1"/>
  <c r="A3562" i="10" a="1"/>
  <c r="A3562" i="10" s="1"/>
  <c r="A3563" i="10" a="1"/>
  <c r="A3563" i="10" s="1"/>
  <c r="A3564" i="10" a="1"/>
  <c r="A3564" i="10" s="1"/>
  <c r="A3565" i="10" a="1"/>
  <c r="A3565" i="10" s="1"/>
  <c r="A3566" i="10" a="1"/>
  <c r="A3566" i="10" s="1"/>
  <c r="A3567" i="10" a="1"/>
  <c r="A3567" i="10" s="1"/>
  <c r="A3568" i="10" a="1"/>
  <c r="A3568" i="10" s="1"/>
  <c r="A3569" i="10" a="1"/>
  <c r="A3569" i="10" s="1"/>
  <c r="A3570" i="10" a="1"/>
  <c r="A3570" i="10" s="1"/>
  <c r="A3571" i="10" a="1"/>
  <c r="A3571" i="10" s="1"/>
  <c r="A3572" i="10" a="1"/>
  <c r="A3572" i="10" s="1"/>
  <c r="A3573" i="10" a="1"/>
  <c r="A3573" i="10" s="1"/>
  <c r="A3574" i="10" a="1"/>
  <c r="A3574" i="10" s="1"/>
  <c r="A3575" i="10" a="1"/>
  <c r="A3575" i="10" s="1"/>
  <c r="A3576" i="10" a="1"/>
  <c r="A3576" i="10" s="1"/>
  <c r="A3577" i="10" a="1"/>
  <c r="A3577" i="10" s="1"/>
  <c r="A3578" i="10" a="1"/>
  <c r="A3578" i="10" s="1"/>
  <c r="A3579" i="10" a="1"/>
  <c r="A3579" i="10" s="1"/>
  <c r="A3580" i="10" a="1"/>
  <c r="A3580" i="10" s="1"/>
  <c r="A3581" i="10" a="1"/>
  <c r="A3581" i="10" s="1"/>
  <c r="A3582" i="10" a="1"/>
  <c r="A3582" i="10" s="1"/>
  <c r="A3583" i="10" a="1"/>
  <c r="A3583" i="10" s="1"/>
  <c r="A3584" i="10" a="1"/>
  <c r="A3584" i="10" s="1"/>
  <c r="A3585" i="10" a="1"/>
  <c r="A3585" i="10" s="1"/>
  <c r="A3586" i="10" a="1"/>
  <c r="A3586" i="10" s="1"/>
  <c r="A3587" i="10" a="1"/>
  <c r="A3587" i="10" s="1"/>
  <c r="A3588" i="10" a="1"/>
  <c r="A3588" i="10" s="1"/>
  <c r="A3589" i="10" a="1"/>
  <c r="A3589" i="10" s="1"/>
  <c r="A3590" i="10" a="1"/>
  <c r="A3590" i="10" s="1"/>
  <c r="A3591" i="10" a="1"/>
  <c r="A3591" i="10" s="1"/>
  <c r="A3592" i="10" a="1"/>
  <c r="A3592" i="10" s="1"/>
  <c r="A3593" i="10" a="1"/>
  <c r="A3593" i="10" s="1"/>
  <c r="A3594" i="10" a="1"/>
  <c r="A3594" i="10" s="1"/>
  <c r="A3595" i="10" a="1"/>
  <c r="A3595" i="10" s="1"/>
  <c r="A3596" i="10" a="1"/>
  <c r="A3596" i="10" s="1"/>
  <c r="A3597" i="10" a="1"/>
  <c r="A3597" i="10" s="1"/>
  <c r="A3598" i="10" a="1"/>
  <c r="A3598" i="10" s="1"/>
  <c r="A3599" i="10" a="1"/>
  <c r="A3599" i="10" s="1"/>
  <c r="A3600" i="10" a="1"/>
  <c r="A3600" i="10" s="1"/>
  <c r="A3601" i="10" a="1"/>
  <c r="A3601" i="10" s="1"/>
  <c r="A3602" i="10" a="1"/>
  <c r="A3602" i="10" s="1"/>
  <c r="A3603" i="10" a="1"/>
  <c r="A3603" i="10" s="1"/>
  <c r="A3604" i="10" a="1"/>
  <c r="A3604" i="10" s="1"/>
  <c r="A3605" i="10" a="1"/>
  <c r="A3605" i="10" s="1"/>
  <c r="A3606" i="10" a="1"/>
  <c r="A3606" i="10" s="1"/>
  <c r="A3607" i="10" a="1"/>
  <c r="A3607" i="10" s="1"/>
  <c r="A3608" i="10" a="1"/>
  <c r="A3608" i="10" s="1"/>
  <c r="A3609" i="10" a="1"/>
  <c r="A3609" i="10" s="1"/>
  <c r="A3610" i="10" a="1"/>
  <c r="A3610" i="10" s="1"/>
  <c r="A3611" i="10" a="1"/>
  <c r="A3611" i="10" s="1"/>
  <c r="A3612" i="10" a="1"/>
  <c r="A3612" i="10" s="1"/>
  <c r="A3613" i="10" a="1"/>
  <c r="A3613" i="10" s="1"/>
  <c r="A3614" i="10" a="1"/>
  <c r="A3614" i="10" s="1"/>
  <c r="A3615" i="10" a="1"/>
  <c r="A3615" i="10" s="1"/>
  <c r="A3616" i="10" a="1"/>
  <c r="A3616" i="10" s="1"/>
  <c r="A3617" i="10" a="1"/>
  <c r="A3617" i="10" s="1"/>
  <c r="A3618" i="10" a="1"/>
  <c r="A3618" i="10" s="1"/>
  <c r="A3619" i="10" a="1"/>
  <c r="A3619" i="10" s="1"/>
  <c r="A3620" i="10" a="1"/>
  <c r="A3620" i="10" s="1"/>
  <c r="A3621" i="10" a="1"/>
  <c r="A3621" i="10" s="1"/>
  <c r="A3622" i="10" a="1"/>
  <c r="A3622" i="10" s="1"/>
  <c r="A3623" i="10" a="1"/>
  <c r="A3623" i="10" s="1"/>
  <c r="A3624" i="10" a="1"/>
  <c r="A3624" i="10" s="1"/>
  <c r="A3625" i="10" a="1"/>
  <c r="A3625" i="10" s="1"/>
  <c r="A3626" i="10" a="1"/>
  <c r="A3626" i="10" s="1"/>
  <c r="A3627" i="10" a="1"/>
  <c r="A3627" i="10" s="1"/>
  <c r="A3628" i="10" a="1"/>
  <c r="A3628" i="10" s="1"/>
  <c r="A3629" i="10" a="1"/>
  <c r="A3629" i="10" s="1"/>
  <c r="A3630" i="10" a="1"/>
  <c r="A3630" i="10" s="1"/>
  <c r="A3631" i="10" a="1"/>
  <c r="A3631" i="10" s="1"/>
  <c r="A3632" i="10" a="1"/>
  <c r="A3632" i="10" s="1"/>
  <c r="A3633" i="10" a="1"/>
  <c r="A3633" i="10" s="1"/>
  <c r="A3634" i="10" a="1"/>
  <c r="A3634" i="10" s="1"/>
  <c r="A3635" i="10" a="1"/>
  <c r="A3635" i="10" s="1"/>
  <c r="A3636" i="10" a="1"/>
  <c r="A3636" i="10" s="1"/>
  <c r="A3637" i="10" a="1"/>
  <c r="A3637" i="10" s="1"/>
  <c r="A3638" i="10" a="1"/>
  <c r="A3638" i="10" s="1"/>
  <c r="A3639" i="10" a="1"/>
  <c r="A3639" i="10" s="1"/>
  <c r="A3640" i="10" a="1"/>
  <c r="A3640" i="10" s="1"/>
  <c r="A3641" i="10" a="1"/>
  <c r="A3641" i="10" s="1"/>
  <c r="A3642" i="10" a="1"/>
  <c r="A3642" i="10" s="1"/>
  <c r="A3643" i="10" a="1"/>
  <c r="A3643" i="10" s="1"/>
  <c r="A3644" i="10" a="1"/>
  <c r="A3644" i="10" s="1"/>
  <c r="A3645" i="10" a="1"/>
  <c r="A3645" i="10" s="1"/>
  <c r="A3646" i="10" a="1"/>
  <c r="A3646" i="10" s="1"/>
  <c r="A3647" i="10" a="1"/>
  <c r="A3647" i="10" s="1"/>
  <c r="A3648" i="10" a="1"/>
  <c r="A3648" i="10" s="1"/>
  <c r="A3649" i="10" a="1"/>
  <c r="A3649" i="10" s="1"/>
  <c r="A3650" i="10" a="1"/>
  <c r="A3650" i="10" s="1"/>
  <c r="A3651" i="10" a="1"/>
  <c r="A3651" i="10" s="1"/>
  <c r="A3652" i="10" a="1"/>
  <c r="A3652" i="10" s="1"/>
  <c r="A3653" i="10" a="1"/>
  <c r="A3653" i="10" s="1"/>
  <c r="A3654" i="10" a="1"/>
  <c r="A3654" i="10" s="1"/>
  <c r="A3655" i="10" a="1"/>
  <c r="A3655" i="10" s="1"/>
  <c r="A3656" i="10" a="1"/>
  <c r="A3656" i="10" s="1"/>
  <c r="A3657" i="10" a="1"/>
  <c r="A3657" i="10" s="1"/>
  <c r="A3658" i="10" a="1"/>
  <c r="A3658" i="10" s="1"/>
  <c r="A3659" i="10" a="1"/>
  <c r="A3659" i="10" s="1"/>
  <c r="A3660" i="10" a="1"/>
  <c r="A3660" i="10" s="1"/>
  <c r="A3661" i="10" a="1"/>
  <c r="A3661" i="10" s="1"/>
  <c r="A3662" i="10" a="1"/>
  <c r="A3662" i="10" s="1"/>
  <c r="A3663" i="10" a="1"/>
  <c r="A3663" i="10" s="1"/>
  <c r="A3664" i="10" a="1"/>
  <c r="A3664" i="10" s="1"/>
  <c r="A3665" i="10" a="1"/>
  <c r="A3665" i="10" s="1"/>
  <c r="A3666" i="10" a="1"/>
  <c r="A3666" i="10" s="1"/>
  <c r="A3667" i="10" a="1"/>
  <c r="A3667" i="10" s="1"/>
  <c r="A3668" i="10" a="1"/>
  <c r="A3668" i="10" s="1"/>
  <c r="A3669" i="10" a="1"/>
  <c r="A3669" i="10" s="1"/>
  <c r="A3670" i="10" a="1"/>
  <c r="A3670" i="10" s="1"/>
  <c r="A3671" i="10" a="1"/>
  <c r="A3671" i="10" s="1"/>
  <c r="A3672" i="10" a="1"/>
  <c r="A3672" i="10" s="1"/>
  <c r="A3673" i="10" a="1"/>
  <c r="A3673" i="10" s="1"/>
  <c r="A3674" i="10" a="1"/>
  <c r="A3674" i="10" s="1"/>
  <c r="A3675" i="10" a="1"/>
  <c r="A3675" i="10" s="1"/>
  <c r="A3676" i="10" a="1"/>
  <c r="A3676" i="10" s="1"/>
  <c r="A3677" i="10" a="1"/>
  <c r="A3677" i="10" s="1"/>
  <c r="A3678" i="10" a="1"/>
  <c r="A3678" i="10" s="1"/>
  <c r="A3679" i="10" a="1"/>
  <c r="A3679" i="10" s="1"/>
  <c r="A3680" i="10" a="1"/>
  <c r="A3680" i="10" s="1"/>
  <c r="A3681" i="10" a="1"/>
  <c r="A3681" i="10" s="1"/>
  <c r="A3682" i="10" a="1"/>
  <c r="A3682" i="10" s="1"/>
  <c r="A3683" i="10" a="1"/>
  <c r="A3683" i="10" s="1"/>
  <c r="A3684" i="10" a="1"/>
  <c r="A3684" i="10" s="1"/>
  <c r="A3685" i="10" a="1"/>
  <c r="A3685" i="10" s="1"/>
  <c r="A3686" i="10" a="1"/>
  <c r="A3686" i="10" s="1"/>
  <c r="A3687" i="10" a="1"/>
  <c r="A3687" i="10" s="1"/>
  <c r="A3688" i="10" a="1"/>
  <c r="A3688" i="10" s="1"/>
  <c r="A3689" i="10" a="1"/>
  <c r="A3689" i="10" s="1"/>
  <c r="A3690" i="10" a="1"/>
  <c r="A3690" i="10" s="1"/>
  <c r="A3691" i="10" a="1"/>
  <c r="A3691" i="10" s="1"/>
  <c r="A3692" i="10" a="1"/>
  <c r="A3692" i="10" s="1"/>
  <c r="A3693" i="10" a="1"/>
  <c r="A3693" i="10" s="1"/>
  <c r="A3694" i="10" a="1"/>
  <c r="A3694" i="10" s="1"/>
  <c r="A3695" i="10" a="1"/>
  <c r="A3695" i="10" s="1"/>
  <c r="A3696" i="10" a="1"/>
  <c r="A3696" i="10" s="1"/>
  <c r="A3697" i="10" a="1"/>
  <c r="A3697" i="10" s="1"/>
  <c r="A3698" i="10" a="1"/>
  <c r="A3698" i="10" s="1"/>
  <c r="A3699" i="10" a="1"/>
  <c r="A3699" i="10" s="1"/>
  <c r="A3700" i="10" a="1"/>
  <c r="A3700" i="10" s="1"/>
  <c r="A3701" i="10" a="1"/>
  <c r="A3701" i="10" s="1"/>
  <c r="A3702" i="10" a="1"/>
  <c r="A3702" i="10" s="1"/>
  <c r="A3703" i="10" a="1"/>
  <c r="A3703" i="10" s="1"/>
  <c r="A3704" i="10" a="1"/>
  <c r="A3704" i="10" s="1"/>
  <c r="A3705" i="10" a="1"/>
  <c r="A3705" i="10" s="1"/>
  <c r="A3706" i="10" a="1"/>
  <c r="A3706" i="10" s="1"/>
  <c r="A3707" i="10" a="1"/>
  <c r="A3707" i="10" s="1"/>
  <c r="A3708" i="10" a="1"/>
  <c r="A3708" i="10" s="1"/>
  <c r="A3709" i="10" a="1"/>
  <c r="A3709" i="10" s="1"/>
  <c r="A3710" i="10" a="1"/>
  <c r="A3710" i="10" s="1"/>
  <c r="A3711" i="10" a="1"/>
  <c r="A3711" i="10" s="1"/>
  <c r="A3712" i="10" a="1"/>
  <c r="A3712" i="10" s="1"/>
  <c r="A3713" i="10" a="1"/>
  <c r="A3713" i="10" s="1"/>
  <c r="A3714" i="10" a="1"/>
  <c r="A3714" i="10" s="1"/>
  <c r="A3715" i="10" a="1"/>
  <c r="A3715" i="10" s="1"/>
  <c r="A3716" i="10" a="1"/>
  <c r="A3716" i="10" s="1"/>
  <c r="A3717" i="10" a="1"/>
  <c r="A3717" i="10" s="1"/>
  <c r="A3718" i="10" a="1"/>
  <c r="A3718" i="10" s="1"/>
  <c r="A3719" i="10" a="1"/>
  <c r="A3719" i="10" s="1"/>
  <c r="A3720" i="10" a="1"/>
  <c r="A3720" i="10" s="1"/>
  <c r="A3721" i="10" a="1"/>
  <c r="A3721" i="10" s="1"/>
  <c r="B4" i="9"/>
  <c r="B4" i="8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6" i="2"/>
  <c r="D5" i="2"/>
  <c r="D4" i="2"/>
  <c r="D3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7" i="2"/>
  <c r="C6" i="2"/>
  <c r="C5" i="2"/>
  <c r="C4" i="2"/>
  <c r="C3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7" i="2"/>
  <c r="B6" i="2"/>
  <c r="B5" i="2"/>
  <c r="B4" i="2"/>
  <c r="B3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8" i="2"/>
  <c r="A7" i="2"/>
  <c r="A6" i="2"/>
  <c r="A5" i="2"/>
  <c r="A4" i="2"/>
  <c r="A3" i="2"/>
  <c r="F843" i="11" l="1" a="1"/>
  <c r="F843" i="11" s="1"/>
  <c r="F890" i="11" a="1"/>
  <c r="F890" i="11" s="1"/>
  <c r="F977" i="11" a="1"/>
  <c r="F977" i="11" s="1"/>
  <c r="F1364" i="11" a="1"/>
  <c r="F1364" i="11" s="1"/>
  <c r="B19" i="3"/>
  <c r="D5" i="3"/>
  <c r="C5" i="3"/>
  <c r="B5" i="3"/>
  <c r="B6" i="13"/>
  <c r="C6" i="13"/>
  <c r="D6" i="13"/>
  <c r="B7" i="13"/>
  <c r="C7" i="13"/>
  <c r="D7" i="13"/>
  <c r="B8" i="13"/>
  <c r="C8" i="13"/>
  <c r="D8" i="13"/>
  <c r="C15" i="13" a="1"/>
  <c r="C15" i="13" s="1"/>
  <c r="F15" i="13" a="1"/>
  <c r="F1533" i="11" a="1"/>
  <c r="F1533" i="11" s="1"/>
  <c r="F2198" i="11" a="1"/>
  <c r="F2198" i="11" s="1"/>
  <c r="F2693" i="11" a="1"/>
  <c r="F2693" i="11" s="1"/>
  <c r="F793" i="11" a="1"/>
  <c r="F793" i="11" s="1"/>
  <c r="F974" i="11" a="1"/>
  <c r="F974" i="11" s="1"/>
  <c r="F1278" i="11" a="1"/>
  <c r="F1278" i="11" s="1"/>
  <c r="F1658" i="11" a="1"/>
  <c r="F1658" i="11" s="1"/>
  <c r="F2116" i="11" a="1"/>
  <c r="F2116" i="11" s="1"/>
  <c r="F2610" i="11" a="1"/>
  <c r="F2610" i="11" s="1"/>
  <c r="F655" i="11" a="1"/>
  <c r="F655" i="11" s="1"/>
  <c r="F698" i="11" a="1"/>
  <c r="F698" i="11" s="1"/>
  <c r="F791" i="11" a="1"/>
  <c r="F791" i="11" s="1"/>
  <c r="F885" i="11" a="1"/>
  <c r="F885" i="11" s="1"/>
  <c r="F1067" i="11" a="1"/>
  <c r="F1067" i="11" s="1"/>
  <c r="F1191" i="11" a="1"/>
  <c r="F1191" i="11" s="1"/>
  <c r="F1404" i="11" a="1"/>
  <c r="F1404" i="11" s="1"/>
  <c r="F1567" i="11" a="1"/>
  <c r="F1567" i="11" s="1"/>
  <c r="F1820" i="11" a="1"/>
  <c r="F1820" i="11" s="1"/>
  <c r="F2031" i="11" a="1"/>
  <c r="F2031" i="11" s="1"/>
  <c r="F2282" i="11" a="1"/>
  <c r="F2282" i="11" s="1"/>
  <c r="F2571" i="11" a="1"/>
  <c r="F2571" i="11" s="1"/>
  <c r="F2809" i="11" a="1"/>
  <c r="F2809" i="11" s="1"/>
  <c r="F608" i="11" a="1"/>
  <c r="F608" i="11" s="1"/>
  <c r="F695" i="11" a="1"/>
  <c r="F695" i="11" s="1"/>
  <c r="F834" i="11" a="1"/>
  <c r="F834" i="11" s="1"/>
  <c r="F971" i="11" a="1"/>
  <c r="F971" i="11" s="1"/>
  <c r="F1106" i="11" a="1"/>
  <c r="F1106" i="11" s="1"/>
  <c r="F1320" i="11" a="1"/>
  <c r="F1320" i="11" s="1"/>
  <c r="F1488" i="11" a="1"/>
  <c r="F1488" i="11" s="1"/>
  <c r="F1736" i="11" a="1"/>
  <c r="F1736" i="11" s="1"/>
  <c r="F1942" i="11" a="1"/>
  <c r="F1942" i="11" s="1"/>
  <c r="F2239" i="11" a="1"/>
  <c r="F2239" i="11" s="1"/>
  <c r="F2485" i="11" a="1"/>
  <c r="F2485" i="11" s="1"/>
  <c r="F2765" i="11" a="1"/>
  <c r="F2765" i="11" s="1"/>
  <c r="F516" i="11" a="1"/>
  <c r="F516" i="11" s="1"/>
  <c r="F605" i="11" a="1"/>
  <c r="F605" i="11" s="1"/>
  <c r="F736" i="11" a="1"/>
  <c r="F736" i="11" s="1"/>
  <c r="F882" i="11" a="1"/>
  <c r="F882" i="11" s="1"/>
  <c r="F1064" i="11" a="1"/>
  <c r="F1064" i="11" s="1"/>
  <c r="F1236" i="11" a="1"/>
  <c r="F1236" i="11" s="1"/>
  <c r="F1441" i="11" a="1"/>
  <c r="F1441" i="11" s="1"/>
  <c r="F1655" i="11" a="1"/>
  <c r="F1655" i="11" s="1"/>
  <c r="F1903" i="11" a="1"/>
  <c r="F1903" i="11" s="1"/>
  <c r="F2154" i="11" a="1"/>
  <c r="F2154" i="11" s="1"/>
  <c r="F2401" i="11" a="1"/>
  <c r="F2401" i="11" s="1"/>
  <c r="F2690" i="11" a="1"/>
  <c r="F2690" i="11" s="1"/>
  <c r="F433" i="11" a="1"/>
  <c r="F433" i="11" s="1"/>
  <c r="F514" i="11" a="1"/>
  <c r="F514" i="11" s="1"/>
  <c r="F647" i="11" a="1"/>
  <c r="F647" i="11" s="1"/>
  <c r="F787" i="11" a="1"/>
  <c r="F787" i="11" s="1"/>
  <c r="F968" i="11" a="1"/>
  <c r="F968" i="11" s="1"/>
  <c r="F1142" i="11" a="1"/>
  <c r="F1142" i="11" s="1"/>
  <c r="F1359" i="11" a="1"/>
  <c r="F1359" i="11" s="1"/>
  <c r="F1564" i="11" a="1"/>
  <c r="F1564" i="11" s="1"/>
  <c r="F1818" i="11" a="1"/>
  <c r="F1818" i="11" s="1"/>
  <c r="F2065" i="11" a="1"/>
  <c r="F2065" i="11" s="1"/>
  <c r="F2360" i="11" a="1"/>
  <c r="F2360" i="11" s="1"/>
  <c r="F2645" i="11" a="1"/>
  <c r="F2645" i="11" s="1"/>
  <c r="F397" i="11" a="1"/>
  <c r="F397" i="11" s="1"/>
  <c r="F472" i="11" a="1"/>
  <c r="F472" i="11" s="1"/>
  <c r="F556" i="11" a="1"/>
  <c r="F556" i="11" s="1"/>
  <c r="F689" i="11" a="1"/>
  <c r="F689" i="11" s="1"/>
  <c r="F880" i="11" a="1"/>
  <c r="F880" i="11" s="1"/>
  <c r="F1061" i="11" a="1"/>
  <c r="F1061" i="11" s="1"/>
  <c r="F1273" i="11" a="1"/>
  <c r="F1273" i="11" s="1"/>
  <c r="F1528" i="11" a="1"/>
  <c r="F1528" i="11" s="1"/>
  <c r="F1733" i="11" a="1"/>
  <c r="F1733" i="11" s="1"/>
  <c r="F2027" i="11" a="1"/>
  <c r="F2027" i="11" s="1"/>
  <c r="F2279" i="11" a="1"/>
  <c r="F2279" i="11" s="1"/>
  <c r="F2568" i="11" a="1"/>
  <c r="F2568" i="11" s="1"/>
  <c r="F317" i="11" a="1"/>
  <c r="F317" i="11" s="1"/>
  <c r="F394" i="11" a="1"/>
  <c r="F394" i="11" s="1"/>
  <c r="F469" i="11" a="1"/>
  <c r="F469" i="11" s="1"/>
  <c r="F644" i="11" a="1"/>
  <c r="F644" i="11" s="1"/>
  <c r="F783" i="11" a="1"/>
  <c r="F783" i="11" s="1"/>
  <c r="F1014" i="11" a="1"/>
  <c r="F1014" i="11" s="1"/>
  <c r="F1233" i="11" a="1"/>
  <c r="F1233" i="11" s="1"/>
  <c r="F1438" i="11" a="1"/>
  <c r="F1438" i="11" s="1"/>
  <c r="F1690" i="11" a="1"/>
  <c r="F1690" i="11" s="1"/>
  <c r="F1939" i="11" a="1"/>
  <c r="F1939" i="11" s="1"/>
  <c r="F2235" i="11" a="1"/>
  <c r="F2235" i="11" s="1"/>
  <c r="F2521" i="11" a="1"/>
  <c r="F2521" i="11" s="1"/>
  <c r="F2804" i="11" a="1"/>
  <c r="F2804" i="11" s="1"/>
  <c r="F314" i="11" a="1"/>
  <c r="F314" i="11" s="1"/>
  <c r="F428" i="11" a="1"/>
  <c r="F428" i="11" s="1"/>
  <c r="F553" i="11" a="1"/>
  <c r="F553" i="11" s="1"/>
  <c r="F730" i="11" a="1"/>
  <c r="F730" i="11" s="1"/>
  <c r="F923" i="11" a="1"/>
  <c r="F923" i="11" s="1"/>
  <c r="F1139" i="11" a="1"/>
  <c r="F1139" i="11" s="1"/>
  <c r="F1356" i="11" a="1"/>
  <c r="F1356" i="11" s="1"/>
  <c r="F1609" i="11" a="1"/>
  <c r="F1609" i="11" s="1"/>
  <c r="F1860" i="11" a="1"/>
  <c r="F1860" i="11" s="1"/>
  <c r="F2151" i="11" a="1"/>
  <c r="F2151" i="11" s="1"/>
  <c r="F2444" i="11" a="1"/>
  <c r="F2444" i="11" s="1"/>
  <c r="F2721" i="11" a="1"/>
  <c r="F2721" i="11" s="1"/>
  <c r="F280" i="11" a="1"/>
  <c r="F280" i="11" s="1"/>
  <c r="F351" i="11" a="1"/>
  <c r="F351" i="11" s="1"/>
  <c r="F466" i="11" a="1"/>
  <c r="F466" i="11" s="1"/>
  <c r="F641" i="11" a="1"/>
  <c r="F641" i="11" s="1"/>
  <c r="F877" i="11" a="1"/>
  <c r="F877" i="11" s="1"/>
  <c r="F1058" i="11" a="1"/>
  <c r="F1058" i="11" s="1"/>
  <c r="F1314" i="11" a="1"/>
  <c r="F1314" i="11" s="1"/>
  <c r="F1560" i="11" a="1"/>
  <c r="F1560" i="11" s="1"/>
  <c r="F1814" i="11" a="1"/>
  <c r="F1814" i="11" s="1"/>
  <c r="F2109" i="11" a="1"/>
  <c r="F2109" i="11" s="1"/>
  <c r="F2396" i="11" a="1"/>
  <c r="F2396" i="11" s="1"/>
  <c r="F2685" i="11" a="1"/>
  <c r="F2685" i="11" s="1"/>
  <c r="F212" i="11" a="1"/>
  <c r="F212" i="11" s="1"/>
  <c r="F311" i="11" a="1"/>
  <c r="F311" i="11" s="1"/>
  <c r="F425" i="11" a="1"/>
  <c r="F425" i="11" s="1"/>
  <c r="F595" i="11" a="1"/>
  <c r="F595" i="11" s="1"/>
  <c r="F779" i="11" a="1"/>
  <c r="F779" i="11" s="1"/>
  <c r="F1011" i="11" a="1"/>
  <c r="F1011" i="11" s="1"/>
  <c r="F1230" i="11" a="1"/>
  <c r="F1230" i="11" s="1"/>
  <c r="F1483" i="11" a="1"/>
  <c r="F1483" i="11" s="1"/>
  <c r="F1772" i="11" a="1"/>
  <c r="F1772" i="11" s="1"/>
  <c r="F2024" i="11" a="1"/>
  <c r="F2024" i="11" s="1"/>
  <c r="F2317" i="11" a="1"/>
  <c r="F2317" i="11" s="1"/>
  <c r="F2644" i="11" a="1"/>
  <c r="F2644" i="11" s="1"/>
  <c r="F179" i="11" a="1"/>
  <c r="F179" i="11" s="1"/>
  <c r="F242" i="11" a="1"/>
  <c r="F242" i="11" s="1"/>
  <c r="F347" i="11" a="1"/>
  <c r="F347" i="11" s="1"/>
  <c r="F506" i="11" a="1"/>
  <c r="F506" i="11" s="1"/>
  <c r="F727" i="11" a="1"/>
  <c r="F727" i="11" s="1"/>
  <c r="F962" i="11" a="1"/>
  <c r="F962" i="11" s="1"/>
  <c r="F1182" i="11" a="1"/>
  <c r="F1182" i="11" s="1"/>
  <c r="F1434" i="11" a="1"/>
  <c r="F1434" i="11" s="1"/>
  <c r="F1687" i="11" a="1"/>
  <c r="F1687" i="11" s="1"/>
  <c r="F1981" i="11" a="1"/>
  <c r="F1981" i="11" s="1"/>
  <c r="F2274" i="11" a="1"/>
  <c r="F2274" i="11" s="1"/>
  <c r="F2563" i="11" a="1"/>
  <c r="F2563" i="11" s="1"/>
  <c r="F117" i="11" a="1"/>
  <c r="F117" i="11" s="1"/>
  <c r="F209" i="11" a="1"/>
  <c r="F209" i="11" s="1"/>
  <c r="F308" i="11" a="1"/>
  <c r="F308" i="11" s="1"/>
  <c r="F461" i="11" a="1"/>
  <c r="F461" i="11" s="1"/>
  <c r="F638" i="11" a="1"/>
  <c r="F638" i="11" s="1"/>
  <c r="F873" i="11" a="1"/>
  <c r="F873" i="11" s="1"/>
  <c r="F1135" i="11" a="1"/>
  <c r="F1135" i="11" s="1"/>
  <c r="F1394" i="11" a="1"/>
  <c r="F1394" i="11" s="1"/>
  <c r="F1648" i="11" a="1"/>
  <c r="F1648" i="11" s="1"/>
  <c r="F1934" i="11" a="1"/>
  <c r="F1934" i="11" s="1"/>
  <c r="F2234" i="11" a="1"/>
  <c r="F2234" i="11" s="1"/>
  <c r="F2517" i="11" a="1"/>
  <c r="F2517" i="11" s="1"/>
  <c r="F2841" i="11" a="1"/>
  <c r="F2841" i="11" s="1"/>
  <c r="F144" i="11" a="1"/>
  <c r="F144" i="11" s="1"/>
  <c r="F238" i="11" a="1"/>
  <c r="F238" i="11" s="1"/>
  <c r="F384" i="11" a="1"/>
  <c r="F384" i="11" s="1"/>
  <c r="F591" i="11" a="1"/>
  <c r="F591" i="11" s="1"/>
  <c r="F821" i="11" a="1"/>
  <c r="F821" i="11" s="1"/>
  <c r="F1070" i="11" a="1"/>
  <c r="F1070" i="11" s="1"/>
  <c r="F1944" i="11" a="1"/>
  <c r="F1944" i="11" s="1"/>
  <c r="F2450" i="11" a="1"/>
  <c r="F2450" i="11" s="1"/>
  <c r="F745" i="11" a="1"/>
  <c r="F745" i="11" s="1"/>
  <c r="F888" i="11" a="1"/>
  <c r="F888" i="11" s="1"/>
  <c r="F1147" i="11" a="1"/>
  <c r="F1147" i="11" s="1"/>
  <c r="F1445" i="11" a="1"/>
  <c r="F1445" i="11" s="1"/>
  <c r="F1866" i="11" a="1"/>
  <c r="F1866" i="11" s="1"/>
  <c r="F2364" i="11" a="1"/>
  <c r="F2364" i="11" s="1"/>
  <c r="F842" i="11" a="1"/>
  <c r="F842" i="11" s="1"/>
  <c r="F889" i="11" a="1"/>
  <c r="F889" i="11" s="1"/>
  <c r="F976" i="11" a="1"/>
  <c r="F976" i="11" s="1"/>
  <c r="F1110" i="11" a="1"/>
  <c r="F1110" i="11" s="1"/>
  <c r="F1241" i="11" a="1"/>
  <c r="F1241" i="11" s="1"/>
  <c r="F1406" i="11" a="1"/>
  <c r="F1406" i="11" s="1"/>
  <c r="F1569" i="11" a="1"/>
  <c r="F1569" i="11" s="1"/>
  <c r="F1780" i="11" a="1"/>
  <c r="F1780" i="11" s="1"/>
  <c r="F1990" i="11" a="1"/>
  <c r="F1990" i="11" s="1"/>
  <c r="F2241" i="11" a="1"/>
  <c r="F2241" i="11" s="1"/>
  <c r="F2488" i="11" a="1"/>
  <c r="F2488" i="11" s="1"/>
  <c r="F2768" i="11" a="1"/>
  <c r="F2768" i="11" s="1"/>
  <c r="F744" i="11" a="1"/>
  <c r="F744" i="11" s="1"/>
  <c r="F792" i="11" a="1"/>
  <c r="F792" i="11" s="1"/>
  <c r="F887" i="11" a="1"/>
  <c r="F887" i="11" s="1"/>
  <c r="F1022" i="11" a="1"/>
  <c r="F1022" i="11" s="1"/>
  <c r="F1146" i="11" a="1"/>
  <c r="F1146" i="11" s="1"/>
  <c r="F1322" i="11" a="1"/>
  <c r="F1322" i="11" s="1"/>
  <c r="F1490" i="11" a="1"/>
  <c r="F1490" i="11" s="1"/>
  <c r="F1696" i="11" a="1"/>
  <c r="F1696" i="11" s="1"/>
  <c r="F1906" i="11" a="1"/>
  <c r="F1906" i="11" s="1"/>
  <c r="F2157" i="11" a="1"/>
  <c r="F2157" i="11" s="1"/>
  <c r="F2403" i="11" a="1"/>
  <c r="F2403" i="11" s="1"/>
  <c r="F2692" i="11" a="1"/>
  <c r="F2692" i="11" s="1"/>
  <c r="F654" i="11" a="1"/>
  <c r="F654" i="11" s="1"/>
  <c r="F697" i="11" a="1"/>
  <c r="F697" i="11" s="1"/>
  <c r="F790" i="11" a="1"/>
  <c r="F790" i="11" s="1"/>
  <c r="F930" i="11" a="1"/>
  <c r="F930" i="11" s="1"/>
  <c r="F1066" i="11" a="1"/>
  <c r="F1066" i="11" s="1"/>
  <c r="F1238" i="11" a="1"/>
  <c r="F1238" i="11" s="1"/>
  <c r="F1403" i="11" a="1"/>
  <c r="F1403" i="11" s="1"/>
  <c r="F1614" i="11" a="1"/>
  <c r="F1614" i="11" s="1"/>
  <c r="F1865" i="11" a="1"/>
  <c r="F1865" i="11" s="1"/>
  <c r="F2067" i="11" a="1"/>
  <c r="F2067" i="11" s="1"/>
  <c r="F2363" i="11" a="1"/>
  <c r="F2363" i="11" s="1"/>
  <c r="F2609" i="11" a="1"/>
  <c r="F2609" i="11" s="1"/>
  <c r="F564" i="11" a="1"/>
  <c r="F564" i="11" s="1"/>
  <c r="F607" i="11" a="1"/>
  <c r="F607" i="11" s="1"/>
  <c r="F694" i="11" a="1"/>
  <c r="F694" i="11" s="1"/>
  <c r="F833" i="11" a="1"/>
  <c r="F833" i="11" s="1"/>
  <c r="F970" i="11" a="1"/>
  <c r="F970" i="11" s="1"/>
  <c r="F1144" i="11" a="1"/>
  <c r="F1144" i="11" s="1"/>
  <c r="F1361" i="11" a="1"/>
  <c r="F1361" i="11" s="1"/>
  <c r="F1566" i="11" a="1"/>
  <c r="F1566" i="11" s="1"/>
  <c r="F1778" i="11" a="1"/>
  <c r="F1778" i="11" s="1"/>
  <c r="F2030" i="11" a="1"/>
  <c r="F2030" i="11" s="1"/>
  <c r="F2281" i="11" a="1"/>
  <c r="F2281" i="11" s="1"/>
  <c r="F2525" i="11" a="1"/>
  <c r="F2525" i="11" s="1"/>
  <c r="F2808" i="11" a="1"/>
  <c r="F2808" i="11" s="1"/>
  <c r="F562" i="11" a="1"/>
  <c r="F562" i="11" s="1"/>
  <c r="F649" i="11" a="1"/>
  <c r="F649" i="11" s="1"/>
  <c r="F735" i="11" a="1"/>
  <c r="F735" i="11" s="1"/>
  <c r="F928" i="11" a="1"/>
  <c r="F928" i="11" s="1"/>
  <c r="F1063" i="11" a="1"/>
  <c r="F1063" i="11" s="1"/>
  <c r="F1275" i="11" a="1"/>
  <c r="F1275" i="11" s="1"/>
  <c r="F1487" i="11" a="1"/>
  <c r="F1487" i="11" s="1"/>
  <c r="F1693" i="11" a="1"/>
  <c r="F1693" i="11" s="1"/>
  <c r="F1941" i="11" a="1"/>
  <c r="F1941" i="11" s="1"/>
  <c r="F2195" i="11" a="1"/>
  <c r="F2195" i="11" s="1"/>
  <c r="F2484" i="11" a="1"/>
  <c r="F2484" i="11" s="1"/>
  <c r="F2764" i="11" a="1"/>
  <c r="F2764" i="11" s="1"/>
  <c r="F475" i="11" a="1"/>
  <c r="F475" i="11" s="1"/>
  <c r="F559" i="11" a="1"/>
  <c r="F559" i="11" s="1"/>
  <c r="F646" i="11" a="1"/>
  <c r="F646" i="11" s="1"/>
  <c r="F830" i="11" a="1"/>
  <c r="F830" i="11" s="1"/>
  <c r="F1018" i="11" a="1"/>
  <c r="F1018" i="11" s="1"/>
  <c r="F1188" i="11" a="1"/>
  <c r="F1188" i="11" s="1"/>
  <c r="F1400" i="11" a="1"/>
  <c r="F1400" i="11" s="1"/>
  <c r="F1611" i="11" a="1"/>
  <c r="F1611" i="11" s="1"/>
  <c r="F1862" i="11" a="1"/>
  <c r="F1862" i="11" s="1"/>
  <c r="F2113" i="11" a="1"/>
  <c r="F2113" i="11" s="1"/>
  <c r="F2400" i="11" a="1"/>
  <c r="F2400" i="11" s="1"/>
  <c r="F2689" i="11" a="1"/>
  <c r="F2689" i="11" s="1"/>
  <c r="F396" i="11" a="1"/>
  <c r="F396" i="11" s="1"/>
  <c r="F471" i="11" a="1"/>
  <c r="F471" i="11" s="1"/>
  <c r="F602" i="11" a="1"/>
  <c r="F602" i="11" s="1"/>
  <c r="F732" i="11" a="1"/>
  <c r="F732" i="11" s="1"/>
  <c r="F925" i="11" a="1"/>
  <c r="F925" i="11" s="1"/>
  <c r="F1103" i="11" a="1"/>
  <c r="F1103" i="11" s="1"/>
  <c r="F1317" i="11" a="1"/>
  <c r="F1317" i="11" s="1"/>
  <c r="F1563" i="11" a="1"/>
  <c r="F1563" i="11" s="1"/>
  <c r="F1817" i="11" a="1"/>
  <c r="F1817" i="11" s="1"/>
  <c r="F2064" i="11" a="1"/>
  <c r="F2064" i="11" s="1"/>
  <c r="F2321" i="11" a="1"/>
  <c r="F2321" i="11" s="1"/>
  <c r="F2607" i="11" a="1"/>
  <c r="F2607" i="11" s="1"/>
  <c r="F316" i="11" a="1"/>
  <c r="F316" i="11" s="1"/>
  <c r="F393" i="11" a="1"/>
  <c r="F393" i="11" s="1"/>
  <c r="F511" i="11" a="1"/>
  <c r="F511" i="11" s="1"/>
  <c r="F643" i="11" a="1"/>
  <c r="F643" i="11" s="1"/>
  <c r="F827" i="11" a="1"/>
  <c r="F827" i="11" s="1"/>
  <c r="F1060" i="11" a="1"/>
  <c r="F1060" i="11" s="1"/>
  <c r="F1272" i="11" a="1"/>
  <c r="F1272" i="11" s="1"/>
  <c r="F1485" i="11" a="1"/>
  <c r="F1485" i="11" s="1"/>
  <c r="F1732" i="11" a="1"/>
  <c r="F1732" i="11" s="1"/>
  <c r="F1985" i="11" a="1"/>
  <c r="F1985" i="11" s="1"/>
  <c r="F2278" i="11" a="1"/>
  <c r="F2278" i="11" s="1"/>
  <c r="F2567" i="11" a="1"/>
  <c r="F2567" i="11" s="1"/>
  <c r="F283" i="11" a="1"/>
  <c r="F283" i="11" s="1"/>
  <c r="F354" i="11" a="1"/>
  <c r="F354" i="11" s="1"/>
  <c r="F427" i="11" a="1"/>
  <c r="F427" i="11" s="1"/>
  <c r="F599" i="11" a="1"/>
  <c r="F599" i="11" s="1"/>
  <c r="F782" i="11" a="1"/>
  <c r="F782" i="11" s="1"/>
  <c r="F965" i="11" a="1"/>
  <c r="F965" i="11" s="1"/>
  <c r="F1185" i="11" a="1"/>
  <c r="F1185" i="11" s="1"/>
  <c r="F1437" i="11" a="1"/>
  <c r="F1437" i="11" s="1"/>
  <c r="F1652" i="11" a="1"/>
  <c r="F1652" i="11" s="1"/>
  <c r="F1938" i="11" a="1"/>
  <c r="F1938" i="11" s="1"/>
  <c r="F2193" i="11" a="1"/>
  <c r="F2193" i="11" s="1"/>
  <c r="F2483" i="11" a="1"/>
  <c r="F2483" i="11" s="1"/>
  <c r="F2803" i="11" a="1"/>
  <c r="F2803" i="11" s="1"/>
  <c r="F279" i="11" a="1"/>
  <c r="F279" i="11" s="1"/>
  <c r="F390" i="11" a="1"/>
  <c r="F390" i="11" s="1"/>
  <c r="F508" i="11" a="1"/>
  <c r="F508" i="11" s="1"/>
  <c r="F686" i="11" a="1"/>
  <c r="F686" i="11" s="1"/>
  <c r="F876" i="11" a="1"/>
  <c r="F876" i="11" s="1"/>
  <c r="F1138" i="11" a="1"/>
  <c r="F1138" i="11" s="1"/>
  <c r="F1355" i="11" a="1"/>
  <c r="F1355" i="11" s="1"/>
  <c r="F1608" i="11" a="1"/>
  <c r="F1608" i="11" s="1"/>
  <c r="F1859" i="11" a="1"/>
  <c r="F1859" i="11" s="1"/>
  <c r="F2150" i="11" a="1"/>
  <c r="F2150" i="11" s="1"/>
  <c r="F2443" i="11" a="1"/>
  <c r="F2443" i="11" s="1"/>
  <c r="F2720" i="11" a="1"/>
  <c r="F2720" i="11" s="1"/>
  <c r="F211" i="11" a="1"/>
  <c r="F211" i="11" s="1"/>
  <c r="F310" i="11" a="1"/>
  <c r="F310" i="11" s="1"/>
  <c r="F465" i="11" a="1"/>
  <c r="F465" i="11" s="1"/>
  <c r="F594" i="11" a="1"/>
  <c r="F594" i="11" s="1"/>
  <c r="F824" i="11" a="1"/>
  <c r="F824" i="11" s="1"/>
  <c r="F1057" i="11" a="1"/>
  <c r="F1057" i="11" s="1"/>
  <c r="F1313" i="11" a="1"/>
  <c r="F1313" i="11" s="1"/>
  <c r="F1559" i="11" a="1"/>
  <c r="F1559" i="11" s="1"/>
  <c r="F1813" i="11" a="1"/>
  <c r="F1813" i="11" s="1"/>
  <c r="F2108" i="11" a="1"/>
  <c r="F2108" i="11" s="1"/>
  <c r="F2395" i="11" a="1"/>
  <c r="F2395" i="11" s="1"/>
  <c r="F2684" i="11" a="1"/>
  <c r="F2684" i="11" s="1"/>
  <c r="F178" i="11" a="1"/>
  <c r="F178" i="11" s="1"/>
  <c r="F277" i="11" a="1"/>
  <c r="F277" i="11" s="1"/>
  <c r="F387" i="11" a="1"/>
  <c r="F387" i="11" s="1"/>
  <c r="F550" i="11" a="1"/>
  <c r="F550" i="11" s="1"/>
  <c r="F726" i="11" a="1"/>
  <c r="F726" i="11" s="1"/>
  <c r="F1010" i="11" a="1"/>
  <c r="F1010" i="11" s="1"/>
  <c r="F1739" i="11" a="1"/>
  <c r="F1739" i="11" s="1"/>
  <c r="F841" i="11" a="1"/>
  <c r="F841" i="11" s="1"/>
  <c r="F935" i="11" a="1"/>
  <c r="F935" i="11" s="1"/>
  <c r="F1024" i="11" a="1"/>
  <c r="F1024" i="11" s="1"/>
  <c r="F1149" i="11" a="1"/>
  <c r="F1149" i="11" s="1"/>
  <c r="F1279" i="11" a="1"/>
  <c r="F1279" i="11" s="1"/>
  <c r="F1447" i="11" a="1"/>
  <c r="F1447" i="11" s="1"/>
  <c r="F1616" i="11" a="1"/>
  <c r="F1616" i="11" s="1"/>
  <c r="F1822" i="11" a="1"/>
  <c r="F1822" i="11" s="1"/>
  <c r="F2033" i="11" a="1"/>
  <c r="F2033" i="11" s="1"/>
  <c r="F2284" i="11" a="1"/>
  <c r="F2284" i="11" s="1"/>
  <c r="F2527" i="11" a="1"/>
  <c r="F2527" i="11" s="1"/>
  <c r="F2810" i="11" a="1"/>
  <c r="F2810" i="11" s="1"/>
  <c r="F743" i="11" a="1"/>
  <c r="F743" i="11" s="1"/>
  <c r="F839" i="11" a="1"/>
  <c r="F839" i="11" s="1"/>
  <c r="F932" i="11" a="1"/>
  <c r="F932" i="11" s="1"/>
  <c r="F1069" i="11" a="1"/>
  <c r="F1069" i="11" s="1"/>
  <c r="F1193" i="11" a="1"/>
  <c r="F1193" i="11" s="1"/>
  <c r="F1363" i="11" a="1"/>
  <c r="F1363" i="11" s="1"/>
  <c r="F1532" i="11" a="1"/>
  <c r="F1532" i="11" s="1"/>
  <c r="F1738" i="11" a="1"/>
  <c r="F1738" i="11" s="1"/>
  <c r="F1989" i="11" a="1"/>
  <c r="F1989" i="11" s="1"/>
  <c r="F2197" i="11" a="1"/>
  <c r="F2197" i="11" s="1"/>
  <c r="F2487" i="11" a="1"/>
  <c r="F2487" i="11" s="1"/>
  <c r="F2726" i="11" a="1"/>
  <c r="F2726" i="11" s="1"/>
  <c r="F653" i="11" a="1"/>
  <c r="F653" i="11" s="1"/>
  <c r="F741" i="11" a="1"/>
  <c r="F741" i="11" s="1"/>
  <c r="F836" i="11" a="1"/>
  <c r="F836" i="11" s="1"/>
  <c r="F973" i="11" a="1"/>
  <c r="F973" i="11" s="1"/>
  <c r="F1108" i="11" a="1"/>
  <c r="F1108" i="11" s="1"/>
  <c r="F1277" i="11" a="1"/>
  <c r="F1277" i="11" s="1"/>
  <c r="F1444" i="11" a="1"/>
  <c r="F1444" i="11" s="1"/>
  <c r="F1657" i="11" a="1"/>
  <c r="F1657" i="11" s="1"/>
  <c r="F1905" i="11" a="1"/>
  <c r="F1905" i="11" s="1"/>
  <c r="F2156" i="11" a="1"/>
  <c r="F2156" i="11" s="1"/>
  <c r="F2402" i="11" a="1"/>
  <c r="F2402" i="11" s="1"/>
  <c r="F2648" i="11" a="1"/>
  <c r="F2648" i="11" s="1"/>
  <c r="F563" i="11" a="1"/>
  <c r="F563" i="11" s="1"/>
  <c r="F651" i="11" a="1"/>
  <c r="F651" i="11" s="1"/>
  <c r="F738" i="11" a="1"/>
  <c r="F738" i="11" s="1"/>
  <c r="F884" i="11" a="1"/>
  <c r="F884" i="11" s="1"/>
  <c r="F1020" i="11" a="1"/>
  <c r="F1020" i="11" s="1"/>
  <c r="F1190" i="11" a="1"/>
  <c r="F1190" i="11" s="1"/>
  <c r="F1402" i="11" a="1"/>
  <c r="F1402" i="11" s="1"/>
  <c r="F1613" i="11" a="1"/>
  <c r="F1613" i="11" s="1"/>
  <c r="F1819" i="11" a="1"/>
  <c r="F1819" i="11" s="1"/>
  <c r="F2066" i="11" a="1"/>
  <c r="F2066" i="11" s="1"/>
  <c r="F2323" i="11" a="1"/>
  <c r="F2323" i="11" s="1"/>
  <c r="F2608" i="11" a="1"/>
  <c r="F2608" i="11" s="1"/>
  <c r="F476" i="11" a="1"/>
  <c r="F476" i="11" s="1"/>
  <c r="F561" i="11" a="1"/>
  <c r="F561" i="11" s="1"/>
  <c r="F648" i="11" a="1"/>
  <c r="F648" i="11" s="1"/>
  <c r="F788" i="11" a="1"/>
  <c r="F788" i="11" s="1"/>
  <c r="F927" i="11" a="1"/>
  <c r="F927" i="11" s="1"/>
  <c r="F1105" i="11" a="1"/>
  <c r="F1105" i="11" s="1"/>
  <c r="F1319" i="11" a="1"/>
  <c r="F1319" i="11" s="1"/>
  <c r="F1530" i="11" a="1"/>
  <c r="F1530" i="11" s="1"/>
  <c r="F1735" i="11" a="1"/>
  <c r="F1735" i="11" s="1"/>
  <c r="F1987" i="11" a="1"/>
  <c r="F1987" i="11" s="1"/>
  <c r="F2238" i="11" a="1"/>
  <c r="F2238" i="11" s="1"/>
  <c r="F2524" i="11" a="1"/>
  <c r="F2524" i="11" s="1"/>
  <c r="F2807" i="11" a="1"/>
  <c r="F2807" i="11" s="1"/>
  <c r="F474" i="11" a="1"/>
  <c r="F474" i="11" s="1"/>
  <c r="F558" i="11" a="1"/>
  <c r="F558" i="11" s="1"/>
  <c r="F691" i="11" a="1"/>
  <c r="F691" i="11" s="1"/>
  <c r="F829" i="11" a="1"/>
  <c r="F829" i="11" s="1"/>
  <c r="F1017" i="11" a="1"/>
  <c r="F1017" i="11" s="1"/>
  <c r="F1235" i="11" a="1"/>
  <c r="F1235" i="11" s="1"/>
  <c r="F1440" i="11" a="1"/>
  <c r="F1440" i="11" s="1"/>
  <c r="F1692" i="11" a="1"/>
  <c r="F1692" i="11" s="1"/>
  <c r="F1902" i="11" a="1"/>
  <c r="F1902" i="11" s="1"/>
  <c r="F2194" i="11" a="1"/>
  <c r="F2194" i="11" s="1"/>
  <c r="F2447" i="11" a="1"/>
  <c r="F2447" i="11" s="1"/>
  <c r="F2724" i="11" a="1"/>
  <c r="F2724" i="11" s="1"/>
  <c r="F395" i="11" a="1"/>
  <c r="F395" i="11" s="1"/>
  <c r="F513" i="11" a="1"/>
  <c r="F513" i="11" s="1"/>
  <c r="F601" i="11" a="1"/>
  <c r="F601" i="11" s="1"/>
  <c r="F786" i="11" a="1"/>
  <c r="F786" i="11" s="1"/>
  <c r="F967" i="11" a="1"/>
  <c r="F967" i="11" s="1"/>
  <c r="F1141" i="11" a="1"/>
  <c r="F1141" i="11" s="1"/>
  <c r="F1358" i="11" a="1"/>
  <c r="F1358" i="11" s="1"/>
  <c r="F1610" i="11" a="1"/>
  <c r="F1610" i="11" s="1"/>
  <c r="F1861" i="11" a="1"/>
  <c r="F1861" i="11" s="1"/>
  <c r="F2112" i="11" a="1"/>
  <c r="F2112" i="11" s="1"/>
  <c r="F2399" i="11" a="1"/>
  <c r="F2399" i="11" s="1"/>
  <c r="F2688" i="11" a="1"/>
  <c r="F2688" i="11" s="1"/>
  <c r="F357" i="11" a="1"/>
  <c r="F357" i="11" s="1"/>
  <c r="F430" i="11" a="1"/>
  <c r="F430" i="11" s="1"/>
  <c r="F555" i="11" a="1"/>
  <c r="F555" i="11" s="1"/>
  <c r="F688" i="11" a="1"/>
  <c r="F688" i="11" s="1"/>
  <c r="F879" i="11" a="1"/>
  <c r="F879" i="11" s="1"/>
  <c r="F1102" i="11" a="1"/>
  <c r="F1102" i="11" s="1"/>
  <c r="F1316" i="11" a="1"/>
  <c r="F1316" i="11" s="1"/>
  <c r="F1527" i="11" a="1"/>
  <c r="F1527" i="11" s="1"/>
  <c r="F1775" i="11" a="1"/>
  <c r="F1775" i="11" s="1"/>
  <c r="F2063" i="11" a="1"/>
  <c r="F2063" i="11" s="1"/>
  <c r="F2320" i="11" a="1"/>
  <c r="F2320" i="11" s="1"/>
  <c r="F2606" i="11" a="1"/>
  <c r="F2606" i="11" s="1"/>
  <c r="F282" i="11" a="1"/>
  <c r="F282" i="11" s="1"/>
  <c r="F353" i="11" a="1"/>
  <c r="F353" i="11" s="1"/>
  <c r="F468" i="11" a="1"/>
  <c r="F468" i="11" s="1"/>
  <c r="F598" i="11" a="1"/>
  <c r="F598" i="11" s="1"/>
  <c r="F781" i="11" a="1"/>
  <c r="F781" i="11" s="1"/>
  <c r="F1013" i="11" a="1"/>
  <c r="F1013" i="11" s="1"/>
  <c r="F1232" i="11" a="1"/>
  <c r="F1232" i="11" s="1"/>
  <c r="F1484" i="11" a="1"/>
  <c r="F1484" i="11" s="1"/>
  <c r="F1731" i="11" a="1"/>
  <c r="F1731" i="11" s="1"/>
  <c r="F1984" i="11" a="1"/>
  <c r="F1984" i="11" s="1"/>
  <c r="F2277" i="11" a="1"/>
  <c r="F2277" i="11" s="1"/>
  <c r="F2566" i="11" a="1"/>
  <c r="F2566" i="11" s="1"/>
  <c r="F214" i="11" a="1"/>
  <c r="F214" i="11" s="1"/>
  <c r="F313" i="11" a="1"/>
  <c r="F313" i="11" s="1"/>
  <c r="F389" i="11" a="1"/>
  <c r="F389" i="11" s="1"/>
  <c r="F552" i="11" a="1"/>
  <c r="F552" i="11" s="1"/>
  <c r="F729" i="11" a="1"/>
  <c r="F729" i="11" s="1"/>
  <c r="F922" i="11" a="1"/>
  <c r="F922" i="11" s="1"/>
  <c r="F1184" i="11" a="1"/>
  <c r="F1184" i="11" s="1"/>
  <c r="F1397" i="11" a="1"/>
  <c r="F1397" i="11" s="1"/>
  <c r="F1651" i="11" a="1"/>
  <c r="F1651" i="11" s="1"/>
  <c r="F1937" i="11" a="1"/>
  <c r="F1937" i="11" s="1"/>
  <c r="F2192" i="11" a="1"/>
  <c r="F2192" i="11" s="1"/>
  <c r="F2520" i="11" a="1"/>
  <c r="F2520" i="11" s="1"/>
  <c r="F2802" i="11" a="1"/>
  <c r="F2802" i="11" s="1"/>
  <c r="F245" i="11" a="1"/>
  <c r="F245" i="11" s="1"/>
  <c r="F350" i="11" a="1"/>
  <c r="F350" i="11" s="1"/>
  <c r="F464" i="11" a="1"/>
  <c r="F464" i="11" s="1"/>
  <c r="F640" i="11" a="1"/>
  <c r="F640" i="11" s="1"/>
  <c r="F875" i="11" a="1"/>
  <c r="F875" i="11" s="1"/>
  <c r="F1100" i="11" a="1"/>
  <c r="F1100" i="11" s="1"/>
  <c r="F1354" i="11" a="1"/>
  <c r="F1354" i="11" s="1"/>
  <c r="F1607" i="11" a="1"/>
  <c r="F1607" i="11" s="1"/>
  <c r="F1858" i="11" a="1"/>
  <c r="F1858" i="11" s="1"/>
  <c r="F2149" i="11" a="1"/>
  <c r="F2149" i="11" s="1"/>
  <c r="F2442" i="11" a="1"/>
  <c r="F2442" i="11" s="1"/>
  <c r="F2763" i="11" a="1"/>
  <c r="F2763" i="11" s="1"/>
  <c r="F177" i="11" a="1"/>
  <c r="F177" i="11" s="1"/>
  <c r="F276" i="11" a="1"/>
  <c r="F276" i="11" s="1"/>
  <c r="F424" i="11" a="1"/>
  <c r="F424" i="11" s="1"/>
  <c r="F593" i="11" a="1"/>
  <c r="F593" i="11" s="1"/>
  <c r="F778" i="11" a="1"/>
  <c r="F778" i="11" s="1"/>
  <c r="F1056" i="11" a="1"/>
  <c r="F1056" i="11" s="1"/>
  <c r="F1269" i="11" a="1"/>
  <c r="F1269" i="11" s="1"/>
  <c r="F1524" i="11" a="1"/>
  <c r="F1524" i="11" s="1"/>
  <c r="F1812" i="11" a="1"/>
  <c r="F1812" i="11" s="1"/>
  <c r="F2107" i="11" a="1"/>
  <c r="F2107" i="11" s="1"/>
  <c r="F2394" i="11" a="1"/>
  <c r="F2394" i="11" s="1"/>
  <c r="F2683" i="11" a="1"/>
  <c r="F2683" i="11" s="1"/>
  <c r="F146" i="11" a="1"/>
  <c r="F146" i="11" s="1"/>
  <c r="F241" i="11" a="1"/>
  <c r="F241" i="11" s="1"/>
  <c r="F345" i="11" a="1"/>
  <c r="F345" i="11" s="1"/>
  <c r="F504" i="11" a="1"/>
  <c r="F504" i="11" s="1"/>
  <c r="F725" i="11" a="1"/>
  <c r="F725" i="11" s="1"/>
  <c r="F1194" i="11" a="1"/>
  <c r="F1194" i="11" s="1"/>
  <c r="F796" i="11" a="1"/>
  <c r="F796" i="11" s="1"/>
  <c r="F934" i="11" a="1"/>
  <c r="F934" i="11" s="1"/>
  <c r="F1023" i="11" a="1"/>
  <c r="F1023" i="11" s="1"/>
  <c r="F1324" i="11" a="1"/>
  <c r="F1324" i="11" s="1"/>
  <c r="F1659" i="11" a="1"/>
  <c r="F1659" i="11" s="1"/>
  <c r="F2117" i="11" a="1"/>
  <c r="F2117" i="11" s="1"/>
  <c r="F2325" i="11" a="1"/>
  <c r="F2325" i="11" s="1"/>
  <c r="F2843" i="11" a="1"/>
  <c r="F2843" i="11" s="1"/>
  <c r="F838" i="11" a="1"/>
  <c r="F838" i="11" s="1"/>
  <c r="F931" i="11" a="1"/>
  <c r="F931" i="11" s="1"/>
  <c r="F1240" i="11" a="1"/>
  <c r="F1240" i="11" s="1"/>
  <c r="F1568" i="11" a="1"/>
  <c r="F1568" i="11" s="1"/>
  <c r="F1779" i="11" a="1"/>
  <c r="F1779" i="11" s="1"/>
  <c r="F2283" i="11" a="1"/>
  <c r="F2283" i="11" s="1"/>
  <c r="F2526" i="11" a="1"/>
  <c r="F2526" i="11" s="1"/>
  <c r="F2767" i="11" a="1"/>
  <c r="F2767" i="11" s="1"/>
  <c r="F652" i="11" a="1"/>
  <c r="F652" i="11" s="1"/>
  <c r="F740" i="11" a="1"/>
  <c r="F740" i="11" s="1"/>
  <c r="F835" i="11" a="1"/>
  <c r="F835" i="11" s="1"/>
  <c r="F972" i="11" a="1"/>
  <c r="F972" i="11" s="1"/>
  <c r="F1145" i="11" a="1"/>
  <c r="F1145" i="11" s="1"/>
  <c r="F1321" i="11" a="1"/>
  <c r="F1321" i="11" s="1"/>
  <c r="F1489" i="11" a="1"/>
  <c r="F1489" i="11" s="1"/>
  <c r="F1695" i="11" a="1"/>
  <c r="F1695" i="11" s="1"/>
  <c r="F1943" i="11" a="1"/>
  <c r="F1943" i="11" s="1"/>
  <c r="F2196" i="11" a="1"/>
  <c r="F2196" i="11" s="1"/>
  <c r="F2449" i="11" a="1"/>
  <c r="F2449" i="11" s="1"/>
  <c r="F2725" i="11" a="1"/>
  <c r="F2725" i="11" s="1"/>
  <c r="F610" i="11" a="1"/>
  <c r="F610" i="11" s="1"/>
  <c r="F650" i="11" a="1"/>
  <c r="F650" i="11" s="1"/>
  <c r="F737" i="11" a="1"/>
  <c r="F737" i="11" s="1"/>
  <c r="F883" i="11" a="1"/>
  <c r="F883" i="11" s="1"/>
  <c r="F1065" i="11" a="1"/>
  <c r="F1065" i="11" s="1"/>
  <c r="F1237" i="11" a="1"/>
  <c r="F1237" i="11" s="1"/>
  <c r="F1443" i="11" a="1"/>
  <c r="F1443" i="11" s="1"/>
  <c r="F1656" i="11" a="1"/>
  <c r="F1656" i="11" s="1"/>
  <c r="F1864" i="11" a="1"/>
  <c r="F1864" i="11" s="1"/>
  <c r="F2115" i="11" a="1"/>
  <c r="F2115" i="11" s="1"/>
  <c r="F2362" i="11" a="1"/>
  <c r="F2362" i="11" s="1"/>
  <c r="F2647" i="11" a="1"/>
  <c r="F2647" i="11" s="1"/>
  <c r="F518" i="11" a="1"/>
  <c r="F518" i="11" s="1"/>
  <c r="F560" i="11" a="1"/>
  <c r="F560" i="11" s="1"/>
  <c r="F693" i="11" a="1"/>
  <c r="F693" i="11" s="1"/>
  <c r="F832" i="11" a="1"/>
  <c r="F832" i="11" s="1"/>
  <c r="F969" i="11" a="1"/>
  <c r="F969" i="11" s="1"/>
  <c r="F1143" i="11" a="1"/>
  <c r="F1143" i="11" s="1"/>
  <c r="F1360" i="11" a="1"/>
  <c r="F1360" i="11" s="1"/>
  <c r="F1565" i="11" a="1"/>
  <c r="F1565" i="11" s="1"/>
  <c r="F1777" i="11" a="1"/>
  <c r="F1777" i="11" s="1"/>
  <c r="F2029" i="11" a="1"/>
  <c r="F2029" i="11" s="1"/>
  <c r="F2322" i="11" a="1"/>
  <c r="F2322" i="11" s="1"/>
  <c r="F2570" i="11" a="1"/>
  <c r="F2570" i="11" s="1"/>
  <c r="F435" i="11" a="1"/>
  <c r="F435" i="11" s="1"/>
  <c r="F473" i="11" a="1"/>
  <c r="F473" i="11" s="1"/>
  <c r="F604" i="11" a="1"/>
  <c r="F604" i="11" s="1"/>
  <c r="F734" i="11" a="1"/>
  <c r="F734" i="11" s="1"/>
  <c r="F881" i="11" a="1"/>
  <c r="F881" i="11" s="1"/>
  <c r="F1062" i="11" a="1"/>
  <c r="F1062" i="11" s="1"/>
  <c r="F1274" i="11" a="1"/>
  <c r="F1274" i="11" s="1"/>
  <c r="F1486" i="11" a="1"/>
  <c r="F1486" i="11" s="1"/>
  <c r="F1734" i="11" a="1"/>
  <c r="F1734" i="11" s="1"/>
  <c r="F1986" i="11" a="1"/>
  <c r="F1986" i="11" s="1"/>
  <c r="F2237" i="11" a="1"/>
  <c r="F2237" i="11" s="1"/>
  <c r="F2523" i="11" a="1"/>
  <c r="F2523" i="11" s="1"/>
  <c r="F2806" i="11" a="1"/>
  <c r="F2806" i="11" s="1"/>
  <c r="F432" i="11" a="1"/>
  <c r="F432" i="11" s="1"/>
  <c r="F512" i="11" a="1"/>
  <c r="F512" i="11" s="1"/>
  <c r="F645" i="11" a="1"/>
  <c r="F645" i="11" s="1"/>
  <c r="F785" i="11" a="1"/>
  <c r="F785" i="11" s="1"/>
  <c r="F1016" i="11" a="1"/>
  <c r="F1016" i="11" s="1"/>
  <c r="F1187" i="11" a="1"/>
  <c r="F1187" i="11" s="1"/>
  <c r="F1399" i="11" a="1"/>
  <c r="F1399" i="11" s="1"/>
  <c r="F1654" i="11" a="1"/>
  <c r="F1654" i="11" s="1"/>
  <c r="F1901" i="11" a="1"/>
  <c r="F1901" i="11" s="1"/>
  <c r="F2153" i="11" a="1"/>
  <c r="F2153" i="11" s="1"/>
  <c r="F2446" i="11" a="1"/>
  <c r="F2446" i="11" s="1"/>
  <c r="F2723" i="11" a="1"/>
  <c r="F2723" i="11" s="1"/>
  <c r="F356" i="11" a="1"/>
  <c r="F356" i="11" s="1"/>
  <c r="F429" i="11" a="1"/>
  <c r="F429" i="11" s="1"/>
  <c r="F554" i="11" a="1"/>
  <c r="F554" i="11" s="1"/>
  <c r="F731" i="11" a="1"/>
  <c r="F731" i="11" s="1"/>
  <c r="F924" i="11" a="1"/>
  <c r="F924" i="11" s="1"/>
  <c r="F1140" i="11" a="1"/>
  <c r="F1140" i="11" s="1"/>
  <c r="F1357" i="11" a="1"/>
  <c r="F1357" i="11" s="1"/>
  <c r="F1562" i="11" a="1"/>
  <c r="F1562" i="11" s="1"/>
  <c r="F1816" i="11" a="1"/>
  <c r="F1816" i="11" s="1"/>
  <c r="F2111" i="11" a="1"/>
  <c r="F2111" i="11" s="1"/>
  <c r="F2398" i="11" a="1"/>
  <c r="F2398" i="11" s="1"/>
  <c r="F2687" i="11" a="1"/>
  <c r="F2687" i="11" s="1"/>
  <c r="F281" i="11" a="1"/>
  <c r="F281" i="11" s="1"/>
  <c r="F392" i="11" a="1"/>
  <c r="F392" i="11" s="1"/>
  <c r="F510" i="11" a="1"/>
  <c r="F510" i="11" s="1"/>
  <c r="F642" i="11" a="1"/>
  <c r="F642" i="11" s="1"/>
  <c r="F826" i="11" a="1"/>
  <c r="F826" i="11" s="1"/>
  <c r="F1059" i="11" a="1"/>
  <c r="F1059" i="11" s="1"/>
  <c r="F1271" i="11" a="1"/>
  <c r="F1271" i="11" s="1"/>
  <c r="F1526" i="11" a="1"/>
  <c r="F1526" i="11" s="1"/>
  <c r="F1774" i="11" a="1"/>
  <c r="F1774" i="11" s="1"/>
  <c r="F2026" i="11" a="1"/>
  <c r="F2026" i="11" s="1"/>
  <c r="F2319" i="11" a="1"/>
  <c r="F2319" i="11" s="1"/>
  <c r="F2605" i="11" a="1"/>
  <c r="F2605" i="11" s="1"/>
  <c r="F247" i="11" a="1"/>
  <c r="F247" i="11" s="1"/>
  <c r="F312" i="11" a="1"/>
  <c r="F312" i="11" s="1"/>
  <c r="F426" i="11" a="1"/>
  <c r="F426" i="11" s="1"/>
  <c r="F597" i="11" a="1"/>
  <c r="F597" i="11" s="1"/>
  <c r="F780" i="11" a="1"/>
  <c r="F780" i="11" s="1"/>
  <c r="F964" i="11" a="1"/>
  <c r="F964" i="11" s="1"/>
  <c r="F1231" i="11" a="1"/>
  <c r="F1231" i="11" s="1"/>
  <c r="F1436" i="11" a="1"/>
  <c r="F1436" i="11" s="1"/>
  <c r="F1689" i="11" a="1"/>
  <c r="F1689" i="11" s="1"/>
  <c r="F1983" i="11" a="1"/>
  <c r="F1983" i="11" s="1"/>
  <c r="F2276" i="11" a="1"/>
  <c r="F2276" i="11" s="1"/>
  <c r="F2565" i="11" a="1"/>
  <c r="F2565" i="11" s="1"/>
  <c r="F180" i="11" a="1"/>
  <c r="F180" i="11" s="1"/>
  <c r="F244" i="11" a="1"/>
  <c r="F244" i="11" s="1"/>
  <c r="F349" i="11" a="1"/>
  <c r="F349" i="11" s="1"/>
  <c r="F507" i="11" a="1"/>
  <c r="F507" i="11" s="1"/>
  <c r="F685" i="11" a="1"/>
  <c r="F685" i="11" s="1"/>
  <c r="F921" i="11" a="1"/>
  <c r="F921" i="11" s="1"/>
  <c r="F1137" i="11" a="1"/>
  <c r="F1137" i="11" s="1"/>
  <c r="F1396" i="11" a="1"/>
  <c r="F1396" i="11" s="1"/>
  <c r="F1650" i="11" a="1"/>
  <c r="F1650" i="11" s="1"/>
  <c r="F1936" i="11" a="1"/>
  <c r="F1936" i="11" s="1"/>
  <c r="F2191" i="11" a="1"/>
  <c r="F2191" i="11" s="1"/>
  <c r="F2519" i="11" a="1"/>
  <c r="F2519" i="11" s="1"/>
  <c r="F2801" i="11" a="1"/>
  <c r="F2801" i="11" s="1"/>
  <c r="F210" i="11" a="1"/>
  <c r="F210" i="11" s="1"/>
  <c r="F309" i="11" a="1"/>
  <c r="F309" i="11" s="1"/>
  <c r="F463" i="11" a="1"/>
  <c r="F463" i="11" s="1"/>
  <c r="F639" i="11" a="1"/>
  <c r="F639" i="11" s="1"/>
  <c r="F823" i="11" a="1"/>
  <c r="F823" i="11" s="1"/>
  <c r="F1099" i="11" a="1"/>
  <c r="F1099" i="11" s="1"/>
  <c r="F1312" i="11" a="1"/>
  <c r="F1312" i="11" s="1"/>
  <c r="F1606" i="11" a="1"/>
  <c r="F1606" i="11" s="1"/>
  <c r="F1857" i="11" a="1"/>
  <c r="F1857" i="11" s="1"/>
  <c r="F2148" i="11" a="1"/>
  <c r="F2148" i="11" s="1"/>
  <c r="F2441" i="11" a="1"/>
  <c r="F2441" i="11" s="1"/>
  <c r="F2762" i="11" a="1"/>
  <c r="F2762" i="11" s="1"/>
  <c r="F176" i="11" a="1"/>
  <c r="F176" i="11" s="1"/>
  <c r="F240" i="11" a="1"/>
  <c r="F240" i="11" s="1"/>
  <c r="F386" i="11" a="1"/>
  <c r="F386" i="11" s="1"/>
  <c r="F549" i="11" a="1"/>
  <c r="F549" i="11" s="1"/>
  <c r="F777" i="11" a="1"/>
  <c r="F777" i="11" s="1"/>
  <c r="F1009" i="11" a="1"/>
  <c r="F1009" i="11" s="1"/>
  <c r="F1268" i="11" a="1"/>
  <c r="F1268" i="11" s="1"/>
  <c r="F840" i="11" a="1"/>
  <c r="F840" i="11" s="1"/>
  <c r="F1148" i="11" a="1"/>
  <c r="F1148" i="11" s="1"/>
  <c r="F1491" i="11" a="1"/>
  <c r="F1491" i="11" s="1"/>
  <c r="F1867" i="11" a="1"/>
  <c r="F1867" i="11" s="1"/>
  <c r="F2611" i="11" a="1"/>
  <c r="F2611" i="11" s="1"/>
  <c r="F742" i="11" a="1"/>
  <c r="F742" i="11" s="1"/>
  <c r="F1068" i="11" a="1"/>
  <c r="F1068" i="11" s="1"/>
  <c r="F1405" i="11" a="1"/>
  <c r="F1405" i="11" s="1"/>
  <c r="F2032" i="11" a="1"/>
  <c r="F2032" i="11" s="1"/>
  <c r="F795" i="11" a="1"/>
  <c r="F795" i="11" s="1"/>
  <c r="F891" i="11" a="1"/>
  <c r="F891" i="11" s="1"/>
  <c r="F933" i="11" a="1"/>
  <c r="F933" i="11" s="1"/>
  <c r="F1071" i="11" a="1"/>
  <c r="F1071" i="11" s="1"/>
  <c r="F1195" i="11" a="1"/>
  <c r="F1195" i="11" s="1"/>
  <c r="F1323" i="11" a="1"/>
  <c r="F1323" i="11" s="1"/>
  <c r="F1534" i="11" a="1"/>
  <c r="F1534" i="11" s="1"/>
  <c r="F1697" i="11" a="1"/>
  <c r="F1697" i="11" s="1"/>
  <c r="F1907" i="11" a="1"/>
  <c r="F1907" i="11" s="1"/>
  <c r="F2158" i="11" a="1"/>
  <c r="F2158" i="11" s="1"/>
  <c r="F2404" i="11" a="1"/>
  <c r="F2404" i="11" s="1"/>
  <c r="F2649" i="11" a="1"/>
  <c r="F2649" i="11" s="1"/>
  <c r="F746" i="11" a="1"/>
  <c r="F746" i="11" s="1"/>
  <c r="F794" i="11" a="1"/>
  <c r="F794" i="11" s="1"/>
  <c r="F837" i="11" a="1"/>
  <c r="F837" i="11" s="1"/>
  <c r="F975" i="11" a="1"/>
  <c r="F975" i="11" s="1"/>
  <c r="F1109" i="11" a="1"/>
  <c r="F1109" i="11" s="1"/>
  <c r="F1239" i="11" a="1"/>
  <c r="F1239" i="11" s="1"/>
  <c r="F1446" i="11" a="1"/>
  <c r="F1446" i="11" s="1"/>
  <c r="F1615" i="11" a="1"/>
  <c r="F1615" i="11" s="1"/>
  <c r="F1821" i="11" a="1"/>
  <c r="F1821" i="11" s="1"/>
  <c r="F2068" i="11" a="1"/>
  <c r="F2068" i="11" s="1"/>
  <c r="F2324" i="11" a="1"/>
  <c r="F2324" i="11" s="1"/>
  <c r="F2572" i="11" a="1"/>
  <c r="F2572" i="11" s="1"/>
  <c r="F2842" i="11" a="1"/>
  <c r="F2842" i="11" s="1"/>
  <c r="F699" i="11" a="1"/>
  <c r="F699" i="11" s="1"/>
  <c r="F739" i="11" a="1"/>
  <c r="F739" i="11" s="1"/>
  <c r="F886" i="11" a="1"/>
  <c r="F886" i="11" s="1"/>
  <c r="F1021" i="11" a="1"/>
  <c r="F1021" i="11" s="1"/>
  <c r="F1192" i="11" a="1"/>
  <c r="F1192" i="11" s="1"/>
  <c r="F1362" i="11" a="1"/>
  <c r="F1362" i="11" s="1"/>
  <c r="F1531" i="11" a="1"/>
  <c r="F1531" i="11" s="1"/>
  <c r="F1737" i="11" a="1"/>
  <c r="F1737" i="11" s="1"/>
  <c r="F1988" i="11" a="1"/>
  <c r="F1988" i="11" s="1"/>
  <c r="F2240" i="11" a="1"/>
  <c r="F2240" i="11" s="1"/>
  <c r="F2486" i="11" a="1"/>
  <c r="F2486" i="11" s="1"/>
  <c r="F2766" i="11" a="1"/>
  <c r="F2766" i="11" s="1"/>
  <c r="F609" i="11" a="1"/>
  <c r="F609" i="11" s="1"/>
  <c r="F696" i="11" a="1"/>
  <c r="F696" i="11" s="1"/>
  <c r="F789" i="11" a="1"/>
  <c r="F789" i="11" s="1"/>
  <c r="F929" i="11" a="1"/>
  <c r="F929" i="11" s="1"/>
  <c r="F1107" i="11" a="1"/>
  <c r="F1107" i="11" s="1"/>
  <c r="F1276" i="11" a="1"/>
  <c r="F1276" i="11" s="1"/>
  <c r="F1442" i="11" a="1"/>
  <c r="F1442" i="11" s="1"/>
  <c r="F1694" i="11" a="1"/>
  <c r="F1694" i="11" s="1"/>
  <c r="F1904" i="11" a="1"/>
  <c r="F1904" i="11" s="1"/>
  <c r="F2155" i="11" a="1"/>
  <c r="F2155" i="11" s="1"/>
  <c r="F2448" i="11" a="1"/>
  <c r="F2448" i="11" s="1"/>
  <c r="F2691" i="11" a="1"/>
  <c r="F2691" i="11" s="1"/>
  <c r="F517" i="11" a="1"/>
  <c r="F517" i="11" s="1"/>
  <c r="F606" i="11" a="1"/>
  <c r="F606" i="11" s="1"/>
  <c r="F692" i="11" a="1"/>
  <c r="F692" i="11" s="1"/>
  <c r="F831" i="11" a="1"/>
  <c r="F831" i="11" s="1"/>
  <c r="F1019" i="11" a="1"/>
  <c r="F1019" i="11" s="1"/>
  <c r="F1189" i="11" a="1"/>
  <c r="F1189" i="11" s="1"/>
  <c r="F1401" i="11" a="1"/>
  <c r="F1401" i="11" s="1"/>
  <c r="F1612" i="11" a="1"/>
  <c r="F1612" i="11" s="1"/>
  <c r="F1863" i="11" a="1"/>
  <c r="F1863" i="11" s="1"/>
  <c r="F2114" i="11" a="1"/>
  <c r="F2114" i="11" s="1"/>
  <c r="F2361" i="11" a="1"/>
  <c r="F2361" i="11" s="1"/>
  <c r="F2646" i="11" a="1"/>
  <c r="F2646" i="11" s="1"/>
  <c r="F434" i="11" a="1"/>
  <c r="F434" i="11" s="1"/>
  <c r="F515" i="11" a="1"/>
  <c r="F515" i="11" s="1"/>
  <c r="F603" i="11" a="1"/>
  <c r="F603" i="11" s="1"/>
  <c r="F733" i="11" a="1"/>
  <c r="F733" i="11" s="1"/>
  <c r="F926" i="11" a="1"/>
  <c r="F926" i="11" s="1"/>
  <c r="F1104" i="11" a="1"/>
  <c r="F1104" i="11" s="1"/>
  <c r="F1318" i="11" a="1"/>
  <c r="F1318" i="11" s="1"/>
  <c r="F1529" i="11" a="1"/>
  <c r="F1529" i="11" s="1"/>
  <c r="F1776" i="11" a="1"/>
  <c r="F1776" i="11" s="1"/>
  <c r="F2028" i="11" a="1"/>
  <c r="F2028" i="11" s="1"/>
  <c r="F2280" i="11" a="1"/>
  <c r="F2280" i="11" s="1"/>
  <c r="F2569" i="11" a="1"/>
  <c r="F2569" i="11" s="1"/>
  <c r="F358" i="11" a="1"/>
  <c r="F358" i="11" s="1"/>
  <c r="F431" i="11" a="1"/>
  <c r="F431" i="11" s="1"/>
  <c r="F557" i="11" a="1"/>
  <c r="F557" i="11" s="1"/>
  <c r="F690" i="11" a="1"/>
  <c r="F690" i="11" s="1"/>
  <c r="F828" i="11" a="1"/>
  <c r="F828" i="11" s="1"/>
  <c r="F1015" i="11" a="1"/>
  <c r="F1015" i="11" s="1"/>
  <c r="F1234" i="11" a="1"/>
  <c r="F1234" i="11" s="1"/>
  <c r="F1439" i="11" a="1"/>
  <c r="F1439" i="11" s="1"/>
  <c r="F1691" i="11" a="1"/>
  <c r="F1691" i="11" s="1"/>
  <c r="F1940" i="11" a="1"/>
  <c r="F1940" i="11" s="1"/>
  <c r="F2236" i="11" a="1"/>
  <c r="F2236" i="11" s="1"/>
  <c r="F2522" i="11" a="1"/>
  <c r="F2522" i="11" s="1"/>
  <c r="F2805" i="11" a="1"/>
  <c r="F2805" i="11" s="1"/>
  <c r="F355" i="11" a="1"/>
  <c r="F355" i="11" s="1"/>
  <c r="F470" i="11" a="1"/>
  <c r="F470" i="11" s="1"/>
  <c r="F600" i="11" a="1"/>
  <c r="F600" i="11" s="1"/>
  <c r="F784" i="11" a="1"/>
  <c r="F784" i="11" s="1"/>
  <c r="F966" i="11" a="1"/>
  <c r="F966" i="11" s="1"/>
  <c r="F1186" i="11" a="1"/>
  <c r="F1186" i="11" s="1"/>
  <c r="F1398" i="11" a="1"/>
  <c r="F1398" i="11" s="1"/>
  <c r="F1653" i="11" a="1"/>
  <c r="F1653" i="11" s="1"/>
  <c r="F1900" i="11" a="1"/>
  <c r="F1900" i="11" s="1"/>
  <c r="F2152" i="11" a="1"/>
  <c r="F2152" i="11" s="1"/>
  <c r="F2445" i="11" a="1"/>
  <c r="F2445" i="11" s="1"/>
  <c r="F2722" i="11" a="1"/>
  <c r="F2722" i="11" s="1"/>
  <c r="F315" i="11" a="1"/>
  <c r="F315" i="11" s="1"/>
  <c r="F391" i="11" a="1"/>
  <c r="F391" i="11" s="1"/>
  <c r="F509" i="11" a="1"/>
  <c r="F509" i="11" s="1"/>
  <c r="F687" i="11" a="1"/>
  <c r="F687" i="11" s="1"/>
  <c r="F878" i="11" a="1"/>
  <c r="F878" i="11" s="1"/>
  <c r="F1101" i="11" a="1"/>
  <c r="F1101" i="11" s="1"/>
  <c r="F1315" i="11" a="1"/>
  <c r="F1315" i="11" s="1"/>
  <c r="F1561" i="11" a="1"/>
  <c r="F1561" i="11" s="1"/>
  <c r="F1815" i="11" a="1"/>
  <c r="F1815" i="11" s="1"/>
  <c r="F2110" i="11" a="1"/>
  <c r="F2110" i="11" s="1"/>
  <c r="F2397" i="11" a="1"/>
  <c r="F2397" i="11" s="1"/>
  <c r="F2686" i="11" a="1"/>
  <c r="F2686" i="11" s="1"/>
  <c r="F246" i="11" a="1"/>
  <c r="F246" i="11" s="1"/>
  <c r="F352" i="11" a="1"/>
  <c r="F352" i="11" s="1"/>
  <c r="F467" i="11" a="1"/>
  <c r="F467" i="11" s="1"/>
  <c r="F596" i="11" a="1"/>
  <c r="F596" i="11" s="1"/>
  <c r="F825" i="11" a="1"/>
  <c r="F825" i="11" s="1"/>
  <c r="F1012" i="11" a="1"/>
  <c r="F1012" i="11" s="1"/>
  <c r="F1270" i="11" a="1"/>
  <c r="F1270" i="11" s="1"/>
  <c r="F1525" i="11" a="1"/>
  <c r="F1525" i="11" s="1"/>
  <c r="F1773" i="11" a="1"/>
  <c r="F1773" i="11" s="1"/>
  <c r="F2025" i="11" a="1"/>
  <c r="F2025" i="11" s="1"/>
  <c r="F2318" i="11" a="1"/>
  <c r="F2318" i="11" s="1"/>
  <c r="F2604" i="11" a="1"/>
  <c r="F2604" i="11" s="1"/>
  <c r="F213" i="11" a="1"/>
  <c r="F213" i="11" s="1"/>
  <c r="F278" i="11" a="1"/>
  <c r="F278" i="11" s="1"/>
  <c r="F388" i="11" a="1"/>
  <c r="F388" i="11" s="1"/>
  <c r="F551" i="11" a="1"/>
  <c r="F551" i="11" s="1"/>
  <c r="F728" i="11" a="1"/>
  <c r="F728" i="11" s="1"/>
  <c r="F963" i="11" a="1"/>
  <c r="F963" i="11" s="1"/>
  <c r="F1183" i="11" a="1"/>
  <c r="F1183" i="11" s="1"/>
  <c r="F1435" i="11" a="1"/>
  <c r="F1435" i="11" s="1"/>
  <c r="F1688" i="11" a="1"/>
  <c r="F1688" i="11" s="1"/>
  <c r="F1982" i="11" a="1"/>
  <c r="F1982" i="11" s="1"/>
  <c r="F2275" i="11" a="1"/>
  <c r="F2275" i="11" s="1"/>
  <c r="F2564" i="11" a="1"/>
  <c r="F2564" i="11" s="1"/>
  <c r="F148" i="11" a="1"/>
  <c r="F148" i="11" s="1"/>
  <c r="F243" i="11" a="1"/>
  <c r="F243" i="11" s="1"/>
  <c r="F348" i="11" a="1"/>
  <c r="F348" i="11" s="1"/>
  <c r="F462" i="11" a="1"/>
  <c r="F462" i="11" s="1"/>
  <c r="F684" i="11" a="1"/>
  <c r="F684" i="11" s="1"/>
  <c r="F874" i="11" a="1"/>
  <c r="F874" i="11" s="1"/>
  <c r="F1136" i="11" a="1"/>
  <c r="F1136" i="11" s="1"/>
  <c r="F1054" i="11" a="1"/>
  <c r="F1054" i="11" s="1"/>
  <c r="F1310" i="11" a="1"/>
  <c r="F1310" i="11" s="1"/>
  <c r="F1604" i="11" a="1"/>
  <c r="F1604" i="11" s="1"/>
  <c r="F1855" i="11" a="1"/>
  <c r="F1855" i="11" s="1"/>
  <c r="F2146" i="11" a="1"/>
  <c r="F2146" i="11" s="1"/>
  <c r="F2482" i="11" a="1"/>
  <c r="F2482" i="11" s="1"/>
  <c r="F2760" i="11" a="1"/>
  <c r="F2760" i="11" s="1"/>
  <c r="F114" i="11" a="1"/>
  <c r="F114" i="11" s="1"/>
  <c r="F206" i="11" a="1"/>
  <c r="F206" i="11" s="1"/>
  <c r="F343" i="11" a="1"/>
  <c r="F343" i="11" s="1"/>
  <c r="F501" i="11" a="1"/>
  <c r="F501" i="11" s="1"/>
  <c r="F723" i="11" a="1"/>
  <c r="F723" i="11" s="1"/>
  <c r="F1007" i="11" a="1"/>
  <c r="F1007" i="11" s="1"/>
  <c r="F1266" i="11" a="1"/>
  <c r="F1266" i="11" s="1"/>
  <c r="F1521" i="11" a="1"/>
  <c r="F1521" i="11" s="1"/>
  <c r="F1809" i="11" a="1"/>
  <c r="F1809" i="11" s="1"/>
  <c r="F2104" i="11" a="1"/>
  <c r="F2104" i="11" s="1"/>
  <c r="F2439" i="11" a="1"/>
  <c r="F2439" i="11" s="1"/>
  <c r="F2717" i="11" a="1"/>
  <c r="F2717" i="11" s="1"/>
  <c r="F87" i="11" a="1"/>
  <c r="F87" i="11" s="1"/>
  <c r="F170" i="11" a="1"/>
  <c r="F170" i="11" s="1"/>
  <c r="F305" i="11" a="1"/>
  <c r="F305" i="11" s="1"/>
  <c r="F458" i="11" a="1"/>
  <c r="F458" i="11" s="1"/>
  <c r="F680" i="11" a="1"/>
  <c r="F680" i="11" s="1"/>
  <c r="F958" i="11" a="1"/>
  <c r="F958" i="11" s="1"/>
  <c r="F1225" i="11" a="1"/>
  <c r="F1225" i="11" s="1"/>
  <c r="F1478" i="11" a="1"/>
  <c r="F1478" i="11" s="1"/>
  <c r="F1769" i="11" a="1"/>
  <c r="F1769" i="11" s="1"/>
  <c r="F2060" i="11" a="1"/>
  <c r="F2060" i="11" s="1"/>
  <c r="F2356" i="11" a="1"/>
  <c r="F2356" i="11" s="1"/>
  <c r="F2681" i="11" a="1"/>
  <c r="F2681" i="11" s="1"/>
  <c r="F42" i="11" a="1"/>
  <c r="F42" i="11" s="1"/>
  <c r="F139" i="11" a="1"/>
  <c r="F139" i="11" s="1"/>
  <c r="F270" i="11" a="1"/>
  <c r="F270" i="11" s="1"/>
  <c r="F419" i="11" a="1"/>
  <c r="F419" i="11" s="1"/>
  <c r="F634" i="11" a="1"/>
  <c r="F634" i="11" s="1"/>
  <c r="F916" i="11" a="1"/>
  <c r="F916" i="11" s="1"/>
  <c r="F1177" i="11" a="1"/>
  <c r="F1177" i="11" s="1"/>
  <c r="F1429" i="11" a="1"/>
  <c r="F1429" i="11" s="1"/>
  <c r="F1727" i="11" a="1"/>
  <c r="F1727" i="11" s="1"/>
  <c r="F2020" i="11" a="1"/>
  <c r="F2020" i="11" s="1"/>
  <c r="F2313" i="11" a="1"/>
  <c r="F2313" i="11" s="1"/>
  <c r="F2639" i="11" a="1"/>
  <c r="F2639" i="11" s="1"/>
  <c r="F24" i="11" a="1"/>
  <c r="F24" i="11" s="1"/>
  <c r="F111" i="11" a="1"/>
  <c r="F111" i="11" s="1"/>
  <c r="F201" i="11" a="1"/>
  <c r="F201" i="11" s="1"/>
  <c r="F380" i="11" a="1"/>
  <c r="F380" i="11" s="1"/>
  <c r="F587" i="11" a="1"/>
  <c r="F587" i="11" s="1"/>
  <c r="F817" i="11" a="1"/>
  <c r="F817" i="11" s="1"/>
  <c r="F1134" i="11" a="1"/>
  <c r="F1134" i="11" s="1"/>
  <c r="F1391" i="11" a="1"/>
  <c r="F1391" i="11" s="1"/>
  <c r="F1683" i="11" a="1"/>
  <c r="F1683" i="11" s="1"/>
  <c r="F1976" i="11" a="1"/>
  <c r="F1976" i="11" s="1"/>
  <c r="F2270" i="11" a="1"/>
  <c r="F2270" i="11" s="1"/>
  <c r="F2600" i="11" a="1"/>
  <c r="F2600" i="11" s="1"/>
  <c r="F2897" i="11" a="1"/>
  <c r="F2897" i="11" s="1"/>
  <c r="F82" i="11" a="1"/>
  <c r="F82" i="11" s="1"/>
  <c r="F166" i="11" a="1"/>
  <c r="F166" i="11" s="1"/>
  <c r="F338" i="11" a="1"/>
  <c r="F338" i="11" s="1"/>
  <c r="F543" i="11" a="1"/>
  <c r="F543" i="11" s="1"/>
  <c r="F772" i="11" a="1"/>
  <c r="F772" i="11" s="1"/>
  <c r="F1049" i="11" a="1"/>
  <c r="F1049" i="11" s="1"/>
  <c r="F1350" i="11" a="1"/>
  <c r="F1350" i="11" s="1"/>
  <c r="F1643" i="11" a="1"/>
  <c r="F1643" i="11" s="1"/>
  <c r="F1930" i="11" a="1"/>
  <c r="F1930" i="11" s="1"/>
  <c r="F2229" i="11" a="1"/>
  <c r="F2229" i="11" s="1"/>
  <c r="F2558" i="11" a="1"/>
  <c r="F2558" i="11" s="1"/>
  <c r="F2872" i="11" a="1"/>
  <c r="F2872" i="11" s="1"/>
  <c r="F59" i="11" a="1"/>
  <c r="F59" i="11" s="1"/>
  <c r="F134" i="11" a="1"/>
  <c r="F134" i="11" s="1"/>
  <c r="F301" i="11" a="1"/>
  <c r="F301" i="11" s="1"/>
  <c r="F496" i="11" a="1"/>
  <c r="F496" i="11" s="1"/>
  <c r="F718" i="11" a="1"/>
  <c r="F718" i="11" s="1"/>
  <c r="F1048" i="11" a="1"/>
  <c r="F1048" i="11" s="1"/>
  <c r="F1305" i="11" a="1"/>
  <c r="F1305" i="11" s="1"/>
  <c r="F1599" i="11" a="1"/>
  <c r="F1599" i="11" s="1"/>
  <c r="F1896" i="11" a="1"/>
  <c r="F1896" i="11" s="1"/>
  <c r="F2512" i="11" a="1"/>
  <c r="F2512" i="11" s="1"/>
  <c r="F2835" i="11" a="1"/>
  <c r="F2835" i="11" s="1"/>
  <c r="F37" i="11" a="1"/>
  <c r="F37" i="11" s="1"/>
  <c r="F453" i="11" a="1"/>
  <c r="F453" i="11" s="1"/>
  <c r="F717" i="11" a="1"/>
  <c r="F717" i="11" s="1"/>
  <c r="F1555" i="11" a="1"/>
  <c r="F1555" i="11" s="1"/>
  <c r="F1849" i="11" a="1"/>
  <c r="F1849" i="11" s="1"/>
  <c r="F2795" i="11" a="1"/>
  <c r="F2795" i="11" s="1"/>
  <c r="F1229" i="11" a="1"/>
  <c r="F1229" i="11" s="1"/>
  <c r="F1482" i="11" a="1"/>
  <c r="F1482" i="11" s="1"/>
  <c r="F1730" i="11" a="1"/>
  <c r="F1730" i="11" s="1"/>
  <c r="F2023" i="11" a="1"/>
  <c r="F2023" i="11" s="1"/>
  <c r="F2316" i="11" a="1"/>
  <c r="F2316" i="11" s="1"/>
  <c r="F2643" i="11" a="1"/>
  <c r="F2643" i="11" s="1"/>
  <c r="F147" i="11" a="1"/>
  <c r="F147" i="11" s="1"/>
  <c r="F208" i="11" a="1"/>
  <c r="F208" i="11" s="1"/>
  <c r="F346" i="11" a="1"/>
  <c r="F346" i="11" s="1"/>
  <c r="F505" i="11" a="1"/>
  <c r="F505" i="11" s="1"/>
  <c r="F683" i="11" a="1"/>
  <c r="F683" i="11" s="1"/>
  <c r="F920" i="11" a="1"/>
  <c r="F920" i="11" s="1"/>
  <c r="F1181" i="11" a="1"/>
  <c r="F1181" i="11" s="1"/>
  <c r="F1433" i="11" a="1"/>
  <c r="F1433" i="11" s="1"/>
  <c r="F1686" i="11" a="1"/>
  <c r="F1686" i="11" s="1"/>
  <c r="F1980" i="11" a="1"/>
  <c r="F1980" i="11" s="1"/>
  <c r="F2273" i="11" a="1"/>
  <c r="F2273" i="11" s="1"/>
  <c r="F2562" i="11" a="1"/>
  <c r="F2562" i="11" s="1"/>
  <c r="F90" i="11" a="1"/>
  <c r="F90" i="11" s="1"/>
  <c r="F174" i="11" a="1"/>
  <c r="F174" i="11" s="1"/>
  <c r="F274" i="11" a="1"/>
  <c r="F274" i="11" s="1"/>
  <c r="F422" i="11" a="1"/>
  <c r="F422" i="11" s="1"/>
  <c r="F637" i="11" a="1"/>
  <c r="F637" i="11" s="1"/>
  <c r="F872" i="11" a="1"/>
  <c r="F872" i="11" s="1"/>
  <c r="F1098" i="11" a="1"/>
  <c r="F1098" i="11" s="1"/>
  <c r="F1353" i="11" a="1"/>
  <c r="F1353" i="11" s="1"/>
  <c r="F1647" i="11" a="1"/>
  <c r="F1647" i="11" s="1"/>
  <c r="F1933" i="11" a="1"/>
  <c r="F1933" i="11" s="1"/>
  <c r="F2233" i="11" a="1"/>
  <c r="F2233" i="11" s="1"/>
  <c r="F2516" i="11" a="1"/>
  <c r="F2516" i="11" s="1"/>
  <c r="F2840" i="11" a="1"/>
  <c r="F2840" i="11" s="1"/>
  <c r="F143" i="11" a="1"/>
  <c r="F143" i="11" s="1"/>
  <c r="F237" i="11" a="1"/>
  <c r="F237" i="11" s="1"/>
  <c r="F383" i="11" a="1"/>
  <c r="F383" i="11" s="1"/>
  <c r="F547" i="11" a="1"/>
  <c r="F547" i="11" s="1"/>
  <c r="F820" i="11" a="1"/>
  <c r="F820" i="11" s="1"/>
  <c r="F1053" i="11" a="1"/>
  <c r="F1053" i="11" s="1"/>
  <c r="F1309" i="11" a="1"/>
  <c r="F1309" i="11" s="1"/>
  <c r="F1603" i="11" a="1"/>
  <c r="F1603" i="11" s="1"/>
  <c r="F1854" i="11" a="1"/>
  <c r="F1854" i="11" s="1"/>
  <c r="F2189" i="11" a="1"/>
  <c r="F2189" i="11" s="1"/>
  <c r="F2481" i="11" a="1"/>
  <c r="F2481" i="11" s="1"/>
  <c r="F2799" i="11" a="1"/>
  <c r="F2799" i="11" s="1"/>
  <c r="F86" i="11" a="1"/>
  <c r="F86" i="11" s="1"/>
  <c r="F205" i="11" a="1"/>
  <c r="F205" i="11" s="1"/>
  <c r="F342" i="11" a="1"/>
  <c r="F342" i="11" s="1"/>
  <c r="F500" i="11" a="1"/>
  <c r="F500" i="11" s="1"/>
  <c r="F722" i="11" a="1"/>
  <c r="F722" i="11" s="1"/>
  <c r="F1006" i="11" a="1"/>
  <c r="F1006" i="11" s="1"/>
  <c r="F1265" i="11" a="1"/>
  <c r="F1265" i="11" s="1"/>
  <c r="F1520" i="11" a="1"/>
  <c r="F1520" i="11" s="1"/>
  <c r="F1808" i="11" a="1"/>
  <c r="F1808" i="11" s="1"/>
  <c r="F2145" i="11" a="1"/>
  <c r="F2145" i="11" s="1"/>
  <c r="F2438" i="11" a="1"/>
  <c r="F2438" i="11" s="1"/>
  <c r="F2759" i="11" a="1"/>
  <c r="F2759" i="11" s="1"/>
  <c r="F63" i="11" a="1"/>
  <c r="F63" i="11" s="1"/>
  <c r="F138" i="11" a="1"/>
  <c r="F138" i="11" s="1"/>
  <c r="F269" i="11" a="1"/>
  <c r="F269" i="11" s="1"/>
  <c r="F457" i="11" a="1"/>
  <c r="F457" i="11" s="1"/>
  <c r="F679" i="11" a="1"/>
  <c r="F679" i="11" s="1"/>
  <c r="F957" i="11" a="1"/>
  <c r="F957" i="11" s="1"/>
  <c r="F1224" i="11" a="1"/>
  <c r="F1224" i="11" s="1"/>
  <c r="F1477" i="11" a="1"/>
  <c r="F1477" i="11" s="1"/>
  <c r="F1768" i="11" a="1"/>
  <c r="F1768" i="11" s="1"/>
  <c r="F2059" i="11" a="1"/>
  <c r="F2059" i="11" s="1"/>
  <c r="F2391" i="11" a="1"/>
  <c r="F2391" i="11" s="1"/>
  <c r="F2716" i="11" a="1"/>
  <c r="F2716" i="11" s="1"/>
  <c r="F41" i="11" a="1"/>
  <c r="F41" i="11" s="1"/>
  <c r="F110" i="11" a="1"/>
  <c r="F110" i="11" s="1"/>
  <c r="F234" i="11" a="1"/>
  <c r="F234" i="11" s="1"/>
  <c r="F418" i="11" a="1"/>
  <c r="F418" i="11" s="1"/>
  <c r="F633" i="11" a="1"/>
  <c r="F633" i="11" s="1"/>
  <c r="F915" i="11" a="1"/>
  <c r="F915" i="11" s="1"/>
  <c r="F1176" i="11" a="1"/>
  <c r="F1176" i="11" s="1"/>
  <c r="F1428" i="11" a="1"/>
  <c r="F1428" i="11" s="1"/>
  <c r="F1726" i="11" a="1"/>
  <c r="F1726" i="11" s="1"/>
  <c r="F2019" i="11" a="1"/>
  <c r="F2019" i="11" s="1"/>
  <c r="F2355" i="11" a="1"/>
  <c r="F2355" i="11" s="1"/>
  <c r="F2680" i="11" a="1"/>
  <c r="F2680" i="11" s="1"/>
  <c r="F23" i="11" a="1"/>
  <c r="F23" i="11" s="1"/>
  <c r="F81" i="11" a="1"/>
  <c r="F81" i="11" s="1"/>
  <c r="F200" i="11" a="1"/>
  <c r="F200" i="11" s="1"/>
  <c r="F379" i="11" a="1"/>
  <c r="F379" i="11" s="1"/>
  <c r="F586" i="11" a="1"/>
  <c r="F586" i="11" s="1"/>
  <c r="F870" i="11" a="1"/>
  <c r="F870" i="11" s="1"/>
  <c r="F1133" i="11" a="1"/>
  <c r="F1133" i="11" s="1"/>
  <c r="F1390" i="11" a="1"/>
  <c r="F1390" i="11" s="1"/>
  <c r="F1682" i="11" a="1"/>
  <c r="F1682" i="11" s="1"/>
  <c r="F1975" i="11" a="1"/>
  <c r="F1975" i="11" s="1"/>
  <c r="F2312" i="11" a="1"/>
  <c r="F2312" i="11" s="1"/>
  <c r="F2638" i="11" a="1"/>
  <c r="F2638" i="11" s="1"/>
  <c r="F2927" i="11" a="1"/>
  <c r="F2927" i="11" s="1"/>
  <c r="F58" i="11" a="1"/>
  <c r="F58" i="11" s="1"/>
  <c r="F165" i="11" a="1"/>
  <c r="F165" i="11" s="1"/>
  <c r="F337" i="11" a="1"/>
  <c r="F337" i="11" s="1"/>
  <c r="F542" i="11" a="1"/>
  <c r="F542" i="11" s="1"/>
  <c r="F816" i="11" a="1"/>
  <c r="F816" i="11" s="1"/>
  <c r="F1094" i="11" a="1"/>
  <c r="F1094" i="11" s="1"/>
  <c r="F1349" i="11" a="1"/>
  <c r="F1349" i="11" s="1"/>
  <c r="F1642" i="11" a="1"/>
  <c r="F1642" i="11" s="1"/>
  <c r="F1929" i="11" a="1"/>
  <c r="F1929" i="11" s="1"/>
  <c r="F2269" i="11" a="1"/>
  <c r="F2269" i="11" s="1"/>
  <c r="F2599" i="11" a="1"/>
  <c r="F2599" i="11" s="1"/>
  <c r="F2896" i="11" a="1"/>
  <c r="F2896" i="11" s="1"/>
  <c r="F300" i="11" a="1"/>
  <c r="F300" i="11" s="1"/>
  <c r="F495" i="11" a="1"/>
  <c r="F495" i="11" s="1"/>
  <c r="F1304" i="11" a="1"/>
  <c r="F1304" i="11" s="1"/>
  <c r="F1598" i="11" a="1"/>
  <c r="F1598" i="11" s="1"/>
  <c r="F2557" i="11" a="1"/>
  <c r="F2557" i="11" s="1"/>
  <c r="F961" i="11" a="1"/>
  <c r="F961" i="11" s="1"/>
  <c r="F1228" i="11" a="1"/>
  <c r="F1228" i="11" s="1"/>
  <c r="F1481" i="11" a="1"/>
  <c r="F1481" i="11" s="1"/>
  <c r="F1729" i="11" a="1"/>
  <c r="F1729" i="11" s="1"/>
  <c r="F2022" i="11" a="1"/>
  <c r="F2022" i="11" s="1"/>
  <c r="F2359" i="11" a="1"/>
  <c r="F2359" i="11" s="1"/>
  <c r="F2642" i="11" a="1"/>
  <c r="F2642" i="11" s="1"/>
  <c r="F116" i="11" a="1"/>
  <c r="F116" i="11" s="1"/>
  <c r="F173" i="11" a="1"/>
  <c r="F173" i="11" s="1"/>
  <c r="F307" i="11" a="1"/>
  <c r="F307" i="11" s="1"/>
  <c r="F460" i="11" a="1"/>
  <c r="F460" i="11" s="1"/>
  <c r="F682" i="11" a="1"/>
  <c r="F682" i="11" s="1"/>
  <c r="F919" i="11" a="1"/>
  <c r="F919" i="11" s="1"/>
  <c r="F1180" i="11" a="1"/>
  <c r="F1180" i="11" s="1"/>
  <c r="F1432" i="11" a="1"/>
  <c r="F1432" i="11" s="1"/>
  <c r="F1685" i="11" a="1"/>
  <c r="F1685" i="11" s="1"/>
  <c r="F1979" i="11" a="1"/>
  <c r="F1979" i="11" s="1"/>
  <c r="F2272" i="11" a="1"/>
  <c r="F2272" i="11" s="1"/>
  <c r="F2603" i="11" a="1"/>
  <c r="F2603" i="11" s="1"/>
  <c r="F66" i="11" a="1"/>
  <c r="F66" i="11" s="1"/>
  <c r="F142" i="11" a="1"/>
  <c r="F142" i="11" s="1"/>
  <c r="F273" i="11" a="1"/>
  <c r="F273" i="11" s="1"/>
  <c r="F421" i="11" a="1"/>
  <c r="F421" i="11" s="1"/>
  <c r="F590" i="11" a="1"/>
  <c r="F590" i="11" s="1"/>
  <c r="F871" i="11" a="1"/>
  <c r="F871" i="11" s="1"/>
  <c r="F1097" i="11" a="1"/>
  <c r="F1097" i="11" s="1"/>
  <c r="F1352" i="11" a="1"/>
  <c r="F1352" i="11" s="1"/>
  <c r="F1646" i="11" a="1"/>
  <c r="F1646" i="11" s="1"/>
  <c r="F1932" i="11" a="1"/>
  <c r="F1932" i="11" s="1"/>
  <c r="F2232" i="11" a="1"/>
  <c r="F2232" i="11" s="1"/>
  <c r="F2561" i="11" a="1"/>
  <c r="F2561" i="11" s="1"/>
  <c r="F2839" i="11" a="1"/>
  <c r="F2839" i="11" s="1"/>
  <c r="F113" i="11" a="1"/>
  <c r="F113" i="11" s="1"/>
  <c r="F204" i="11" a="1"/>
  <c r="F204" i="11" s="1"/>
  <c r="F341" i="11" a="1"/>
  <c r="F341" i="11" s="1"/>
  <c r="F546" i="11" a="1"/>
  <c r="F546" i="11" s="1"/>
  <c r="F775" i="11" a="1"/>
  <c r="F775" i="11" s="1"/>
  <c r="F1052" i="11" a="1"/>
  <c r="F1052" i="11" s="1"/>
  <c r="F1308" i="11" a="1"/>
  <c r="F1308" i="11" s="1"/>
  <c r="F1602" i="11" a="1"/>
  <c r="F1602" i="11" s="1"/>
  <c r="F1899" i="11" a="1"/>
  <c r="F1899" i="11" s="1"/>
  <c r="F2188" i="11" a="1"/>
  <c r="F2188" i="11" s="1"/>
  <c r="F2515" i="11" a="1"/>
  <c r="F2515" i="11" s="1"/>
  <c r="F2798" i="11" a="1"/>
  <c r="F2798" i="11" s="1"/>
  <c r="F85" i="11" a="1"/>
  <c r="F85" i="11" s="1"/>
  <c r="F169" i="11" a="1"/>
  <c r="F169" i="11" s="1"/>
  <c r="F304" i="11" a="1"/>
  <c r="F304" i="11" s="1"/>
  <c r="F499" i="11" a="1"/>
  <c r="F499" i="11" s="1"/>
  <c r="F721" i="11" a="1"/>
  <c r="F721" i="11" s="1"/>
  <c r="F1005" i="11" a="1"/>
  <c r="F1005" i="11" s="1"/>
  <c r="F1264" i="11" a="1"/>
  <c r="F1264" i="11" s="1"/>
  <c r="F1558" i="11" a="1"/>
  <c r="F1558" i="11" s="1"/>
  <c r="F1853" i="11" a="1"/>
  <c r="F1853" i="11" s="1"/>
  <c r="F2144" i="11" a="1"/>
  <c r="F2144" i="11" s="1"/>
  <c r="F2437" i="11" a="1"/>
  <c r="F2437" i="11" s="1"/>
  <c r="F2758" i="11" a="1"/>
  <c r="F2758" i="11" s="1"/>
  <c r="F62" i="11" a="1"/>
  <c r="F62" i="11" s="1"/>
  <c r="F137" i="11" a="1"/>
  <c r="F137" i="11" s="1"/>
  <c r="F268" i="11" a="1"/>
  <c r="F268" i="11" s="1"/>
  <c r="F456" i="11" a="1"/>
  <c r="F456" i="11" s="1"/>
  <c r="F678" i="11" a="1"/>
  <c r="F678" i="11" s="1"/>
  <c r="F956" i="11" a="1"/>
  <c r="F956" i="11" s="1"/>
  <c r="F1223" i="11" a="1"/>
  <c r="F1223" i="11" s="1"/>
  <c r="F1519" i="11" a="1"/>
  <c r="F1519" i="11" s="1"/>
  <c r="F1807" i="11" a="1"/>
  <c r="F1807" i="11" s="1"/>
  <c r="F2103" i="11" a="1"/>
  <c r="F2103" i="11" s="1"/>
  <c r="F2390" i="11" a="1"/>
  <c r="F2390" i="11" s="1"/>
  <c r="F2715" i="11" a="1"/>
  <c r="F2715" i="11" s="1"/>
  <c r="F40" i="11" a="1"/>
  <c r="F40" i="11" s="1"/>
  <c r="F109" i="11" a="1"/>
  <c r="F109" i="11" s="1"/>
  <c r="F233" i="11" a="1"/>
  <c r="F233" i="11" s="1"/>
  <c r="F417" i="11" a="1"/>
  <c r="F417" i="11" s="1"/>
  <c r="F632" i="11" a="1"/>
  <c r="F632" i="11" s="1"/>
  <c r="F914" i="11" a="1"/>
  <c r="F914" i="11" s="1"/>
  <c r="F1175" i="11" a="1"/>
  <c r="F1175" i="11" s="1"/>
  <c r="F1476" i="11" a="1"/>
  <c r="F1476" i="11" s="1"/>
  <c r="F1767" i="11" a="1"/>
  <c r="F1767" i="11" s="1"/>
  <c r="F2058" i="11" a="1"/>
  <c r="F2058" i="11" s="1"/>
  <c r="F2354" i="11" a="1"/>
  <c r="F2354" i="11" s="1"/>
  <c r="F2679" i="11" a="1"/>
  <c r="F2679" i="11" s="1"/>
  <c r="F22" i="11" a="1"/>
  <c r="F22" i="11" s="1"/>
  <c r="F80" i="11" a="1"/>
  <c r="F80" i="11" s="1"/>
  <c r="F199" i="11" a="1"/>
  <c r="F199" i="11" s="1"/>
  <c r="F378" i="11" a="1"/>
  <c r="F378" i="11" s="1"/>
  <c r="F585" i="11" a="1"/>
  <c r="F585" i="11" s="1"/>
  <c r="F869" i="11" a="1"/>
  <c r="F869" i="11" s="1"/>
  <c r="F1132" i="11" a="1"/>
  <c r="F1132" i="11" s="1"/>
  <c r="F1427" i="11" a="1"/>
  <c r="F1427" i="11" s="1"/>
  <c r="F1725" i="11" a="1"/>
  <c r="F1725" i="11" s="1"/>
  <c r="F2018" i="11" a="1"/>
  <c r="F2018" i="11" s="1"/>
  <c r="F2353" i="11" a="1"/>
  <c r="F2353" i="11" s="1"/>
  <c r="F2637" i="11" a="1"/>
  <c r="F2637" i="11" s="1"/>
  <c r="F164" i="11" a="1"/>
  <c r="F164" i="11" s="1"/>
  <c r="F336" i="11" a="1"/>
  <c r="F336" i="11" s="1"/>
  <c r="F1093" i="11" a="1"/>
  <c r="F1093" i="11" s="1"/>
  <c r="F1389" i="11" a="1"/>
  <c r="F1389" i="11" s="1"/>
  <c r="F2311" i="11" a="1"/>
  <c r="F2311" i="11" s="1"/>
  <c r="F1523" i="11" a="1"/>
  <c r="F1523" i="11" s="1"/>
  <c r="F1811" i="11" a="1"/>
  <c r="F1811" i="11" s="1"/>
  <c r="F2106" i="11" a="1"/>
  <c r="F2106" i="11" s="1"/>
  <c r="F2393" i="11" a="1"/>
  <c r="F2393" i="11" s="1"/>
  <c r="F2719" i="11" a="1"/>
  <c r="F2719" i="11" s="1"/>
  <c r="F115" i="11" a="1"/>
  <c r="F115" i="11" s="1"/>
  <c r="F207" i="11" a="1"/>
  <c r="F207" i="11" s="1"/>
  <c r="F344" i="11" a="1"/>
  <c r="F344" i="11" s="1"/>
  <c r="F503" i="11" a="1"/>
  <c r="F503" i="11" s="1"/>
  <c r="F724" i="11" a="1"/>
  <c r="F724" i="11" s="1"/>
  <c r="F960" i="11" a="1"/>
  <c r="F960" i="11" s="1"/>
  <c r="F1227" i="11" a="1"/>
  <c r="F1227" i="11" s="1"/>
  <c r="F1480" i="11" a="1"/>
  <c r="F1480" i="11" s="1"/>
  <c r="F1771" i="11" a="1"/>
  <c r="F1771" i="11" s="1"/>
  <c r="F2062" i="11" a="1"/>
  <c r="F2062" i="11" s="1"/>
  <c r="F2358" i="11" a="1"/>
  <c r="F2358" i="11" s="1"/>
  <c r="F2641" i="11" a="1"/>
  <c r="F2641" i="11" s="1"/>
  <c r="F89" i="11" a="1"/>
  <c r="F89" i="11" s="1"/>
  <c r="F172" i="11" a="1"/>
  <c r="F172" i="11" s="1"/>
  <c r="F272" i="11" a="1"/>
  <c r="F272" i="11" s="1"/>
  <c r="F459" i="11" a="1"/>
  <c r="F459" i="11" s="1"/>
  <c r="F636" i="11" a="1"/>
  <c r="F636" i="11" s="1"/>
  <c r="F918" i="11" a="1"/>
  <c r="F918" i="11" s="1"/>
  <c r="F1179" i="11" a="1"/>
  <c r="F1179" i="11" s="1"/>
  <c r="F1431" i="11" a="1"/>
  <c r="F1431" i="11" s="1"/>
  <c r="F1684" i="11" a="1"/>
  <c r="F1684" i="11" s="1"/>
  <c r="F1978" i="11" a="1"/>
  <c r="F1978" i="11" s="1"/>
  <c r="F2315" i="11" a="1"/>
  <c r="F2315" i="11" s="1"/>
  <c r="F2602" i="11" a="1"/>
  <c r="F2602" i="11" s="1"/>
  <c r="F65" i="11" a="1"/>
  <c r="F65" i="11" s="1"/>
  <c r="F141" i="11" a="1"/>
  <c r="F141" i="11" s="1"/>
  <c r="F236" i="11" a="1"/>
  <c r="F236" i="11" s="1"/>
  <c r="F382" i="11" a="1"/>
  <c r="F382" i="11" s="1"/>
  <c r="F589" i="11" a="1"/>
  <c r="F589" i="11" s="1"/>
  <c r="F819" i="11" a="1"/>
  <c r="F819" i="11" s="1"/>
  <c r="F1096" i="11" a="1"/>
  <c r="F1096" i="11" s="1"/>
  <c r="F1393" i="11" a="1"/>
  <c r="F1393" i="11" s="1"/>
  <c r="F1645" i="11" a="1"/>
  <c r="F1645" i="11" s="1"/>
  <c r="F1931" i="11" a="1"/>
  <c r="F1931" i="11" s="1"/>
  <c r="F2231" i="11" a="1"/>
  <c r="F2231" i="11" s="1"/>
  <c r="F2560" i="11" a="1"/>
  <c r="F2560" i="11" s="1"/>
  <c r="F2874" i="11" a="1"/>
  <c r="F2874" i="11" s="1"/>
  <c r="F84" i="11" a="1"/>
  <c r="F84" i="11" s="1"/>
  <c r="F203" i="11" a="1"/>
  <c r="F203" i="11" s="1"/>
  <c r="F340" i="11" a="1"/>
  <c r="F340" i="11" s="1"/>
  <c r="F545" i="11" a="1"/>
  <c r="F545" i="11" s="1"/>
  <c r="F774" i="11" a="1"/>
  <c r="F774" i="11" s="1"/>
  <c r="F1051" i="11" a="1"/>
  <c r="F1051" i="11" s="1"/>
  <c r="F1307" i="11" a="1"/>
  <c r="F1307" i="11" s="1"/>
  <c r="F1601" i="11" a="1"/>
  <c r="F1601" i="11" s="1"/>
  <c r="F1898" i="11" a="1"/>
  <c r="F1898" i="11" s="1"/>
  <c r="F2187" i="11" a="1"/>
  <c r="F2187" i="11" s="1"/>
  <c r="F2514" i="11" a="1"/>
  <c r="F2514" i="11" s="1"/>
  <c r="F2838" i="11" a="1"/>
  <c r="F2838" i="11" s="1"/>
  <c r="F61" i="11" a="1"/>
  <c r="F61" i="11" s="1"/>
  <c r="F168" i="11" a="1"/>
  <c r="F168" i="11" s="1"/>
  <c r="F303" i="11" a="1"/>
  <c r="F303" i="11" s="1"/>
  <c r="F498" i="11" a="1"/>
  <c r="F498" i="11" s="1"/>
  <c r="F720" i="11" a="1"/>
  <c r="F720" i="11" s="1"/>
  <c r="F1004" i="11" a="1"/>
  <c r="F1004" i="11" s="1"/>
  <c r="F1263" i="11" a="1"/>
  <c r="F1263" i="11" s="1"/>
  <c r="F1557" i="11" a="1"/>
  <c r="F1557" i="11" s="1"/>
  <c r="F1852" i="11" a="1"/>
  <c r="F1852" i="11" s="1"/>
  <c r="F2143" i="11" a="1"/>
  <c r="F2143" i="11" s="1"/>
  <c r="F2480" i="11" a="1"/>
  <c r="F2480" i="11" s="1"/>
  <c r="F2797" i="11" a="1"/>
  <c r="F2797" i="11" s="1"/>
  <c r="F39" i="11" a="1"/>
  <c r="F39" i="11" s="1"/>
  <c r="F136" i="11" a="1"/>
  <c r="F136" i="11" s="1"/>
  <c r="F267" i="11" a="1"/>
  <c r="F267" i="11" s="1"/>
  <c r="F455" i="11" a="1"/>
  <c r="F455" i="11" s="1"/>
  <c r="F677" i="11" a="1"/>
  <c r="F677" i="11" s="1"/>
  <c r="F955" i="11" a="1"/>
  <c r="F955" i="11" s="1"/>
  <c r="F1222" i="11" a="1"/>
  <c r="F1222" i="11" s="1"/>
  <c r="F1518" i="11" a="1"/>
  <c r="F1518" i="11" s="1"/>
  <c r="F1806" i="11" a="1"/>
  <c r="F1806" i="11" s="1"/>
  <c r="F2102" i="11" a="1"/>
  <c r="F2102" i="11" s="1"/>
  <c r="F2436" i="11" a="1"/>
  <c r="F2436" i="11" s="1"/>
  <c r="F2757" i="11" a="1"/>
  <c r="F2757" i="11" s="1"/>
  <c r="F21" i="11" a="1"/>
  <c r="F21" i="11" s="1"/>
  <c r="F108" i="11" a="1"/>
  <c r="F108" i="11" s="1"/>
  <c r="F232" i="11" a="1"/>
  <c r="F232" i="11" s="1"/>
  <c r="F416" i="11" a="1"/>
  <c r="F416" i="11" s="1"/>
  <c r="F631" i="11" a="1"/>
  <c r="F631" i="11" s="1"/>
  <c r="F913" i="11" a="1"/>
  <c r="F913" i="11" s="1"/>
  <c r="F1174" i="11" a="1"/>
  <c r="F1174" i="11" s="1"/>
  <c r="F1475" i="11" a="1"/>
  <c r="F1475" i="11" s="1"/>
  <c r="F1766" i="11" a="1"/>
  <c r="F1766" i="11" s="1"/>
  <c r="F2057" i="11" a="1"/>
  <c r="F2057" i="11" s="1"/>
  <c r="F2389" i="11" a="1"/>
  <c r="F2389" i="11" s="1"/>
  <c r="F8" i="11" a="1"/>
  <c r="F8" i="11" s="1"/>
  <c r="F79" i="11" a="1"/>
  <c r="F79" i="11" s="1"/>
  <c r="F198" i="11" a="1"/>
  <c r="F198" i="11" s="1"/>
  <c r="F868" i="11" a="1"/>
  <c r="F868" i="11" s="1"/>
  <c r="F1131" i="11" a="1"/>
  <c r="F1131" i="11" s="1"/>
  <c r="F2056" i="11" a="1"/>
  <c r="F2056" i="11" s="1"/>
  <c r="F2352" i="11" a="1"/>
  <c r="F2352" i="11" s="1"/>
  <c r="F56" i="11" a="1"/>
  <c r="F56" i="11" s="1"/>
  <c r="F1395" i="11" a="1"/>
  <c r="F1395" i="11" s="1"/>
  <c r="F1649" i="11" a="1"/>
  <c r="F1649" i="11" s="1"/>
  <c r="F1935" i="11" a="1"/>
  <c r="F1935" i="11" s="1"/>
  <c r="F2190" i="11" a="1"/>
  <c r="F2190" i="11" s="1"/>
  <c r="F2518" i="11" a="1"/>
  <c r="F2518" i="11" s="1"/>
  <c r="F2800" i="11" a="1"/>
  <c r="F2800" i="11" s="1"/>
  <c r="F175" i="11" a="1"/>
  <c r="F175" i="11" s="1"/>
  <c r="F275" i="11" a="1"/>
  <c r="F275" i="11" s="1"/>
  <c r="F423" i="11" a="1"/>
  <c r="F423" i="11" s="1"/>
  <c r="F592" i="11" a="1"/>
  <c r="F592" i="11" s="1"/>
  <c r="F822" i="11" a="1"/>
  <c r="F822" i="11" s="1"/>
  <c r="F1055" i="11" a="1"/>
  <c r="F1055" i="11" s="1"/>
  <c r="F1311" i="11" a="1"/>
  <c r="F1311" i="11" s="1"/>
  <c r="F1605" i="11" a="1"/>
  <c r="F1605" i="11" s="1"/>
  <c r="F1856" i="11" a="1"/>
  <c r="F1856" i="11" s="1"/>
  <c r="F2147" i="11" a="1"/>
  <c r="F2147" i="11" s="1"/>
  <c r="F2440" i="11" a="1"/>
  <c r="F2440" i="11" s="1"/>
  <c r="F2761" i="11" a="1"/>
  <c r="F2761" i="11" s="1"/>
  <c r="F145" i="11" a="1"/>
  <c r="F145" i="11" s="1"/>
  <c r="F239" i="11" a="1"/>
  <c r="F239" i="11" s="1"/>
  <c r="F385" i="11" a="1"/>
  <c r="F385" i="11" s="1"/>
  <c r="F548" i="11" a="1"/>
  <c r="F548" i="11" s="1"/>
  <c r="F776" i="11" a="1"/>
  <c r="F776" i="11" s="1"/>
  <c r="F1008" i="11" a="1"/>
  <c r="F1008" i="11" s="1"/>
  <c r="F1267" i="11" a="1"/>
  <c r="F1267" i="11" s="1"/>
  <c r="F1522" i="11" a="1"/>
  <c r="F1522" i="11" s="1"/>
  <c r="F1810" i="11" a="1"/>
  <c r="F1810" i="11" s="1"/>
  <c r="F2105" i="11" a="1"/>
  <c r="F2105" i="11" s="1"/>
  <c r="F2392" i="11" a="1"/>
  <c r="F2392" i="11" s="1"/>
  <c r="F2718" i="11" a="1"/>
  <c r="F2718" i="11" s="1"/>
  <c r="F88" i="11" a="1"/>
  <c r="F88" i="11" s="1"/>
  <c r="F171" i="11" a="1"/>
  <c r="F171" i="11" s="1"/>
  <c r="F306" i="11" a="1"/>
  <c r="F306" i="11" s="1"/>
  <c r="F502" i="11" a="1"/>
  <c r="F502" i="11" s="1"/>
  <c r="F681" i="11" a="1"/>
  <c r="F681" i="11" s="1"/>
  <c r="F959" i="11" a="1"/>
  <c r="F959" i="11" s="1"/>
  <c r="F1226" i="11" a="1"/>
  <c r="F1226" i="11" s="1"/>
  <c r="F1479" i="11" a="1"/>
  <c r="F1479" i="11" s="1"/>
  <c r="F1770" i="11" a="1"/>
  <c r="F1770" i="11" s="1"/>
  <c r="F2061" i="11" a="1"/>
  <c r="F2061" i="11" s="1"/>
  <c r="F2357" i="11" a="1"/>
  <c r="F2357" i="11" s="1"/>
  <c r="F2682" i="11" a="1"/>
  <c r="F2682" i="11" s="1"/>
  <c r="F64" i="11" a="1"/>
  <c r="F64" i="11" s="1"/>
  <c r="F140" i="11" a="1"/>
  <c r="F140" i="11" s="1"/>
  <c r="F271" i="11" a="1"/>
  <c r="F271" i="11" s="1"/>
  <c r="F420" i="11" a="1"/>
  <c r="F420" i="11" s="1"/>
  <c r="F635" i="11" a="1"/>
  <c r="F635" i="11" s="1"/>
  <c r="F917" i="11" a="1"/>
  <c r="F917" i="11" s="1"/>
  <c r="F1178" i="11" a="1"/>
  <c r="F1178" i="11" s="1"/>
  <c r="F1430" i="11" a="1"/>
  <c r="F1430" i="11" s="1"/>
  <c r="F1728" i="11" a="1"/>
  <c r="F1728" i="11" s="1"/>
  <c r="F2021" i="11" a="1"/>
  <c r="F2021" i="11" s="1"/>
  <c r="F2314" i="11" a="1"/>
  <c r="F2314" i="11" s="1"/>
  <c r="F2640" i="11" a="1"/>
  <c r="F2640" i="11" s="1"/>
  <c r="F43" i="11" a="1"/>
  <c r="F43" i="11" s="1"/>
  <c r="F112" i="11" a="1"/>
  <c r="F112" i="11" s="1"/>
  <c r="F235" i="11" a="1"/>
  <c r="F235" i="11" s="1"/>
  <c r="F381" i="11" a="1"/>
  <c r="F381" i="11" s="1"/>
  <c r="F588" i="11" a="1"/>
  <c r="F588" i="11" s="1"/>
  <c r="F818" i="11" a="1"/>
  <c r="F818" i="11" s="1"/>
  <c r="F1095" i="11" a="1"/>
  <c r="F1095" i="11" s="1"/>
  <c r="F1392" i="11" a="1"/>
  <c r="F1392" i="11" s="1"/>
  <c r="F1644" i="11" a="1"/>
  <c r="F1644" i="11" s="1"/>
  <c r="F1977" i="11" a="1"/>
  <c r="F1977" i="11" s="1"/>
  <c r="F2271" i="11" a="1"/>
  <c r="F2271" i="11" s="1"/>
  <c r="F2601" i="11" a="1"/>
  <c r="F2601" i="11" s="1"/>
  <c r="F2873" i="11" a="1"/>
  <c r="F2873" i="11" s="1"/>
  <c r="F83" i="11" a="1"/>
  <c r="F83" i="11" s="1"/>
  <c r="F202" i="11" a="1"/>
  <c r="F202" i="11" s="1"/>
  <c r="F339" i="11" a="1"/>
  <c r="F339" i="11" s="1"/>
  <c r="F544" i="11" a="1"/>
  <c r="F544" i="11" s="1"/>
  <c r="F773" i="11" a="1"/>
  <c r="F773" i="11" s="1"/>
  <c r="F1050" i="11" a="1"/>
  <c r="F1050" i="11" s="1"/>
  <c r="F1351" i="11" a="1"/>
  <c r="F1351" i="11" s="1"/>
  <c r="F1600" i="11" a="1"/>
  <c r="F1600" i="11" s="1"/>
  <c r="F1897" i="11" a="1"/>
  <c r="F1897" i="11" s="1"/>
  <c r="F2230" i="11" a="1"/>
  <c r="F2230" i="11" s="1"/>
  <c r="F2559" i="11" a="1"/>
  <c r="F2559" i="11" s="1"/>
  <c r="F2837" i="11" a="1"/>
  <c r="F2837" i="11" s="1"/>
  <c r="F60" i="11" a="1"/>
  <c r="F60" i="11" s="1"/>
  <c r="F167" i="11" a="1"/>
  <c r="F167" i="11" s="1"/>
  <c r="F302" i="11" a="1"/>
  <c r="F302" i="11" s="1"/>
  <c r="F497" i="11" a="1"/>
  <c r="F497" i="11" s="1"/>
  <c r="F719" i="11" a="1"/>
  <c r="F719" i="11" s="1"/>
  <c r="F1003" i="11" a="1"/>
  <c r="F1003" i="11" s="1"/>
  <c r="F1306" i="11" a="1"/>
  <c r="F1306" i="11" s="1"/>
  <c r="F1556" i="11" a="1"/>
  <c r="F1556" i="11" s="1"/>
  <c r="F1851" i="11" a="1"/>
  <c r="F1851" i="11" s="1"/>
  <c r="F2186" i="11" a="1"/>
  <c r="F2186" i="11" s="1"/>
  <c r="F2513" i="11" a="1"/>
  <c r="F2513" i="11" s="1"/>
  <c r="F2836" i="11" a="1"/>
  <c r="F2836" i="11" s="1"/>
  <c r="F38" i="11" a="1"/>
  <c r="F38" i="11" s="1"/>
  <c r="F135" i="11" a="1"/>
  <c r="F135" i="11" s="1"/>
  <c r="F266" i="11" a="1"/>
  <c r="F266" i="11" s="1"/>
  <c r="F454" i="11" a="1"/>
  <c r="F454" i="11" s="1"/>
  <c r="F676" i="11" a="1"/>
  <c r="F676" i="11" s="1"/>
  <c r="F954" i="11" a="1"/>
  <c r="F954" i="11" s="1"/>
  <c r="F1262" i="11" a="1"/>
  <c r="F1262" i="11" s="1"/>
  <c r="F1517" i="11" a="1"/>
  <c r="F1517" i="11" s="1"/>
  <c r="F1850" i="11" a="1"/>
  <c r="F1850" i="11" s="1"/>
  <c r="F2142" i="11" a="1"/>
  <c r="F2142" i="11" s="1"/>
  <c r="F2796" i="11" a="1"/>
  <c r="F2796" i="11" s="1"/>
  <c r="F20" i="11" a="1"/>
  <c r="F20" i="11" s="1"/>
  <c r="F107" i="11" a="1"/>
  <c r="F107" i="11" s="1"/>
  <c r="F630" i="11" a="1"/>
  <c r="F630" i="11" s="1"/>
  <c r="F912" i="11" a="1"/>
  <c r="F912" i="11" s="1"/>
  <c r="F1805" i="11" a="1"/>
  <c r="F1805" i="11" s="1"/>
  <c r="F2101" i="11" a="1"/>
  <c r="F2101" i="11" s="1"/>
  <c r="F7" i="11" a="1"/>
  <c r="F7" i="11" s="1"/>
  <c r="F2636" i="11" a="1"/>
  <c r="F2636" i="11" s="1"/>
  <c r="F2871" i="11" a="1"/>
  <c r="F2871" i="11" s="1"/>
  <c r="F19" i="11" a="1"/>
  <c r="F19" i="11" s="1"/>
  <c r="F78" i="11" a="1"/>
  <c r="F78" i="11" s="1"/>
  <c r="F163" i="11" a="1"/>
  <c r="F163" i="11" s="1"/>
  <c r="F299" i="11" a="1"/>
  <c r="F299" i="11" s="1"/>
  <c r="F452" i="11" a="1"/>
  <c r="F452" i="11" s="1"/>
  <c r="F675" i="11" a="1"/>
  <c r="F675" i="11" s="1"/>
  <c r="F867" i="11" a="1"/>
  <c r="F867" i="11" s="1"/>
  <c r="F1130" i="11" a="1"/>
  <c r="F1130" i="11" s="1"/>
  <c r="F1348" i="11" a="1"/>
  <c r="F1348" i="11" s="1"/>
  <c r="F1554" i="11" a="1"/>
  <c r="F1554" i="11" s="1"/>
  <c r="F1804" i="11" a="1"/>
  <c r="F1804" i="11" s="1"/>
  <c r="F2055" i="11" a="1"/>
  <c r="F2055" i="11" s="1"/>
  <c r="F2310" i="11" a="1"/>
  <c r="F2310" i="11" s="1"/>
  <c r="F2598" i="11" a="1"/>
  <c r="F2598" i="11" s="1"/>
  <c r="F2834" i="11" a="1"/>
  <c r="F2834" i="11" s="1"/>
  <c r="F6" i="11" a="1"/>
  <c r="F6" i="11" s="1"/>
  <c r="F55" i="11" a="1"/>
  <c r="F55" i="11" s="1"/>
  <c r="F131" i="11" a="1"/>
  <c r="F131" i="11" s="1"/>
  <c r="F263" i="11" a="1"/>
  <c r="F263" i="11" s="1"/>
  <c r="F413" i="11" a="1"/>
  <c r="F413" i="11" s="1"/>
  <c r="F628" i="11" a="1"/>
  <c r="F628" i="11" s="1"/>
  <c r="F866" i="11" a="1"/>
  <c r="F866" i="11" s="1"/>
  <c r="F1092" i="11" a="1"/>
  <c r="F1092" i="11" s="1"/>
  <c r="F1302" i="11" a="1"/>
  <c r="F1302" i="11" s="1"/>
  <c r="F1553" i="11" a="1"/>
  <c r="F1553" i="11" s="1"/>
  <c r="F1764" i="11" a="1"/>
  <c r="F1764" i="11" s="1"/>
  <c r="F2016" i="11" a="1"/>
  <c r="F2016" i="11" s="1"/>
  <c r="F2309" i="11" a="1"/>
  <c r="F2309" i="11" s="1"/>
  <c r="F2556" i="11" a="1"/>
  <c r="F2556" i="11" s="1"/>
  <c r="F2833" i="11" a="1"/>
  <c r="F2833" i="11" s="1"/>
  <c r="F3005" i="11" a="1"/>
  <c r="F3005" i="11" s="1"/>
  <c r="F33" i="11" a="1"/>
  <c r="F33" i="11" s="1"/>
  <c r="F130" i="11" a="1"/>
  <c r="F130" i="11" s="1"/>
  <c r="F228" i="11" a="1"/>
  <c r="F228" i="11" s="1"/>
  <c r="F412" i="11" a="1"/>
  <c r="F412" i="11" s="1"/>
  <c r="F582" i="11" a="1"/>
  <c r="F582" i="11" s="1"/>
  <c r="F813" i="11" a="1"/>
  <c r="F813" i="11" s="1"/>
  <c r="F1045" i="11" a="1"/>
  <c r="F1045" i="11" s="1"/>
  <c r="F1259" i="11" a="1"/>
  <c r="F1259" i="11" s="1"/>
  <c r="F1514" i="11" a="1"/>
  <c r="F1514" i="11" s="1"/>
  <c r="F1763" i="11" a="1"/>
  <c r="F1763" i="11" s="1"/>
  <c r="F2015" i="11" a="1"/>
  <c r="F2015" i="11" s="1"/>
  <c r="F2267" i="11" a="1"/>
  <c r="F2267" i="11" s="1"/>
  <c r="F2510" i="11" a="1"/>
  <c r="F2510" i="11" s="1"/>
  <c r="F2793" i="11" a="1"/>
  <c r="F2793" i="11" s="1"/>
  <c r="F2977" i="11" a="1"/>
  <c r="F2977" i="11" s="1"/>
  <c r="F32" i="11" a="1"/>
  <c r="F32" i="11" s="1"/>
  <c r="F100" i="11" a="1"/>
  <c r="F100" i="11" s="1"/>
  <c r="F227" i="11" a="1"/>
  <c r="F227" i="11" s="1"/>
  <c r="F373" i="11" a="1"/>
  <c r="F373" i="11" s="1"/>
  <c r="F537" i="11" a="1"/>
  <c r="F537" i="11" s="1"/>
  <c r="F767" i="11" a="1"/>
  <c r="F767" i="11" s="1"/>
  <c r="F998" i="11" a="1"/>
  <c r="F998" i="11" s="1"/>
  <c r="F1258" i="11" a="1"/>
  <c r="F1258" i="11" s="1"/>
  <c r="F1471" i="11" a="1"/>
  <c r="F1471" i="11" s="1"/>
  <c r="F1722" i="11" a="1"/>
  <c r="F1722" i="11" s="1"/>
  <c r="F1972" i="11" a="1"/>
  <c r="F1972" i="11" s="1"/>
  <c r="F2226" i="11" a="1"/>
  <c r="F2226" i="11" s="1"/>
  <c r="F2509" i="11" a="1"/>
  <c r="F2509" i="11" s="1"/>
  <c r="F2754" i="11" a="1"/>
  <c r="F2754" i="11" s="1"/>
  <c r="F2976" i="11" a="1"/>
  <c r="F2976" i="11" s="1"/>
  <c r="F12" i="11" a="1"/>
  <c r="F12" i="11" s="1"/>
  <c r="F74" i="11" a="1"/>
  <c r="F74" i="11" s="1"/>
  <c r="F192" i="11" a="1"/>
  <c r="F192" i="11" s="1"/>
  <c r="F331" i="11" a="1"/>
  <c r="F331" i="11" s="1"/>
  <c r="F536" i="11" a="1"/>
  <c r="F536" i="11" s="1"/>
  <c r="F766" i="11" a="1"/>
  <c r="F766" i="11" s="1"/>
  <c r="F997" i="11" a="1"/>
  <c r="F997" i="11" s="1"/>
  <c r="F1218" i="11" a="1"/>
  <c r="F1218" i="11" s="1"/>
  <c r="F1470" i="11" a="1"/>
  <c r="F1470" i="11" s="1"/>
  <c r="F1721" i="11" a="1"/>
  <c r="F1721" i="11" s="1"/>
  <c r="F1971" i="11" a="1"/>
  <c r="F1971" i="11" s="1"/>
  <c r="F2225" i="11" a="1"/>
  <c r="F2225" i="11" s="1"/>
  <c r="F2474" i="11" a="1"/>
  <c r="F2474" i="11" s="1"/>
  <c r="F2753" i="11" a="1"/>
  <c r="F2753" i="11" s="1"/>
  <c r="F2950" i="11" a="1"/>
  <c r="F2950" i="11" s="1"/>
  <c r="F2" i="11" a="1"/>
  <c r="F2" i="11" s="1"/>
  <c r="F73" i="11" a="1"/>
  <c r="F73" i="11" s="1"/>
  <c r="F191" i="11" a="1"/>
  <c r="F191" i="11" s="1"/>
  <c r="F330" i="11" a="1"/>
  <c r="F330" i="11" s="1"/>
  <c r="F490" i="11" a="1"/>
  <c r="F490" i="11" s="1"/>
  <c r="F712" i="11" a="1"/>
  <c r="F712" i="11" s="1"/>
  <c r="F950" i="11" a="1"/>
  <c r="F950" i="11" s="1"/>
  <c r="F1217" i="11" a="1"/>
  <c r="F1217" i="11" s="1"/>
  <c r="F1423" i="11" a="1"/>
  <c r="F1423" i="11" s="1"/>
  <c r="F1676" i="11" a="1"/>
  <c r="F1676" i="11" s="1"/>
  <c r="F1924" i="11" a="1"/>
  <c r="F1924" i="11" s="1"/>
  <c r="F2179" i="11" a="1"/>
  <c r="F2179" i="11" s="1"/>
  <c r="F2473" i="11" a="1"/>
  <c r="F2473" i="11" s="1"/>
  <c r="F2710" i="11" a="1"/>
  <c r="F2710" i="11" s="1"/>
  <c r="F2949" i="11" a="1"/>
  <c r="F2949" i="11" s="1"/>
  <c r="F3095" i="11" a="1"/>
  <c r="F3095" i="11" s="1"/>
  <c r="F48" i="11" a="1"/>
  <c r="F48" i="11" s="1"/>
  <c r="F157" i="11" a="1"/>
  <c r="F157" i="11" s="1"/>
  <c r="F294" i="11" a="1"/>
  <c r="F294" i="11" s="1"/>
  <c r="F489" i="11" a="1"/>
  <c r="F489" i="11" s="1"/>
  <c r="F711" i="11" a="1"/>
  <c r="F711" i="11" s="1"/>
  <c r="F949" i="11" a="1"/>
  <c r="F949" i="11" s="1"/>
  <c r="F1168" i="11" a="1"/>
  <c r="F1168" i="11" s="1"/>
  <c r="F1422" i="11" a="1"/>
  <c r="F1422" i="11" s="1"/>
  <c r="F1638" i="11" a="1"/>
  <c r="F1638" i="11" s="1"/>
  <c r="F1891" i="11" a="1"/>
  <c r="F1891" i="11" s="1"/>
  <c r="F2178" i="11" a="1"/>
  <c r="F2178" i="11" s="1"/>
  <c r="F2432" i="11" a="1"/>
  <c r="F2432" i="11" s="1"/>
  <c r="F2709" i="11" a="1"/>
  <c r="F2709" i="11" s="1"/>
  <c r="F2922" i="11" a="1"/>
  <c r="F2922" i="11" s="1"/>
  <c r="F3094" i="11" a="1"/>
  <c r="F3094" i="11" s="1"/>
  <c r="F47" i="11" a="1"/>
  <c r="F47" i="11" s="1"/>
  <c r="F156" i="11" a="1"/>
  <c r="F156" i="11" s="1"/>
  <c r="F293" i="11" a="1"/>
  <c r="F293" i="11" s="1"/>
  <c r="F445" i="11" a="1"/>
  <c r="F445" i="11" s="1"/>
  <c r="F670" i="11" a="1"/>
  <c r="F670" i="11" s="1"/>
  <c r="F906" i="11" a="1"/>
  <c r="F906" i="11" s="1"/>
  <c r="F1167" i="11" a="1"/>
  <c r="F1167" i="11" s="1"/>
  <c r="F1384" i="11" a="1"/>
  <c r="F1384" i="11" s="1"/>
  <c r="F1637" i="11" a="1"/>
  <c r="F1637" i="11" s="1"/>
  <c r="F1890" i="11" a="1"/>
  <c r="F1890" i="11" s="1"/>
  <c r="F2137" i="11" a="1"/>
  <c r="F2137" i="11" s="1"/>
  <c r="F2431" i="11" a="1"/>
  <c r="F2431" i="11" s="1"/>
  <c r="F2674" i="11" a="1"/>
  <c r="F2674" i="11" s="1"/>
  <c r="F2921" i="11" a="1"/>
  <c r="F2921" i="11" s="1"/>
  <c r="F3071" i="11" a="1"/>
  <c r="F3071" i="11" s="1"/>
  <c r="F46" i="11" a="1"/>
  <c r="F46" i="11" s="1"/>
  <c r="F123" i="11" a="1"/>
  <c r="F123" i="11" s="1"/>
  <c r="F292" i="11" a="1"/>
  <c r="F292" i="11" s="1"/>
  <c r="F444" i="11" a="1"/>
  <c r="F444" i="11" s="1"/>
  <c r="F669" i="11" a="1"/>
  <c r="F669" i="11" s="1"/>
  <c r="F905" i="11" a="1"/>
  <c r="F905" i="11" s="1"/>
  <c r="F1125" i="11" a="1"/>
  <c r="F1125" i="11" s="1"/>
  <c r="F1383" i="11" a="1"/>
  <c r="F1383" i="11" s="1"/>
  <c r="F1636" i="11" a="1"/>
  <c r="F1636" i="11" s="1"/>
  <c r="F1889" i="11" a="1"/>
  <c r="F1889" i="11" s="1"/>
  <c r="F2136" i="11" a="1"/>
  <c r="F2136" i="11" s="1"/>
  <c r="F2384" i="11" a="1"/>
  <c r="F2384" i="11" s="1"/>
  <c r="F2673" i="11" a="1"/>
  <c r="F2673" i="11" s="1"/>
  <c r="F2892" i="11" a="1"/>
  <c r="F2892" i="11" s="1"/>
  <c r="F3070" i="11" a="1"/>
  <c r="F3070" i="11" s="1"/>
  <c r="F25" i="11" a="1"/>
  <c r="F25" i="11" s="1"/>
  <c r="F122" i="11" a="1"/>
  <c r="F122" i="11" s="1"/>
  <c r="F255" i="11" a="1"/>
  <c r="F255" i="11" s="1"/>
  <c r="F443" i="11" a="1"/>
  <c r="F443" i="11" s="1"/>
  <c r="F668" i="11" a="1"/>
  <c r="F668" i="11" s="1"/>
  <c r="F904" i="11" a="1"/>
  <c r="F904" i="11" s="1"/>
  <c r="F1124" i="11" a="1"/>
  <c r="F1124" i="11" s="1"/>
  <c r="F1382" i="11" a="1"/>
  <c r="F1382" i="11" s="1"/>
  <c r="F1591" i="11" a="1"/>
  <c r="F1591" i="11" s="1"/>
  <c r="F1844" i="11" a="1"/>
  <c r="F1844" i="11" s="1"/>
  <c r="F2095" i="11" a="1"/>
  <c r="F2095" i="11" s="1"/>
  <c r="F2383" i="11" a="1"/>
  <c r="F2383" i="11" s="1"/>
  <c r="F2630" i="11" a="1"/>
  <c r="F2630" i="11" s="1"/>
  <c r="F2891" i="11" a="1"/>
  <c r="F2891" i="11" s="1"/>
  <c r="F3069" i="11" a="1"/>
  <c r="F3069" i="11" s="1"/>
  <c r="F3213" i="11" a="1"/>
  <c r="F3213" i="11" s="1"/>
  <c r="F121" i="11" a="1"/>
  <c r="F121" i="11" s="1"/>
  <c r="F254" i="11" a="1"/>
  <c r="F254" i="11" s="1"/>
  <c r="F442" i="11" a="1"/>
  <c r="F442" i="11" s="1"/>
  <c r="F620" i="11" a="1"/>
  <c r="F620" i="11" s="1"/>
  <c r="F858" i="11" a="1"/>
  <c r="F858" i="11" s="1"/>
  <c r="F1123" i="11" a="1"/>
  <c r="F1123" i="11" s="1"/>
  <c r="F1341" i="11" a="1"/>
  <c r="F1341" i="11" s="1"/>
  <c r="F1590" i="11" a="1"/>
  <c r="F1590" i="11" s="1"/>
  <c r="F1843" i="11" a="1"/>
  <c r="F1843" i="11" s="1"/>
  <c r="F2094" i="11" a="1"/>
  <c r="F2094" i="11" s="1"/>
  <c r="F2382" i="11" a="1"/>
  <c r="F2382" i="11" s="1"/>
  <c r="F2629" i="11" a="1"/>
  <c r="F2629" i="11" s="1"/>
  <c r="F2890" i="11" a="1"/>
  <c r="F2890" i="11" s="1"/>
  <c r="F3046" i="11" a="1"/>
  <c r="F3046" i="11" s="1"/>
  <c r="F363" i="11" a="1"/>
  <c r="F363" i="11" s="1"/>
  <c r="F2185" i="11" a="1"/>
  <c r="F2185" i="11" s="1"/>
  <c r="F2479" i="11" a="1"/>
  <c r="F2479" i="11" s="1"/>
  <c r="F2714" i="11" a="1"/>
  <c r="F2714" i="11" s="1"/>
  <c r="F2955" i="11" a="1"/>
  <c r="F2955" i="11" s="1"/>
  <c r="F36" i="11" a="1"/>
  <c r="F36" i="11" s="1"/>
  <c r="F106" i="11" a="1"/>
  <c r="F106" i="11" s="1"/>
  <c r="F231" i="11" a="1"/>
  <c r="F231" i="11" s="1"/>
  <c r="F377" i="11" a="1"/>
  <c r="F377" i="11" s="1"/>
  <c r="F541" i="11" a="1"/>
  <c r="F541" i="11" s="1"/>
  <c r="F771" i="11" a="1"/>
  <c r="F771" i="11" s="1"/>
  <c r="F1002" i="11" a="1"/>
  <c r="F1002" i="11" s="1"/>
  <c r="F1221" i="11" a="1"/>
  <c r="F1221" i="11" s="1"/>
  <c r="F1426" i="11" a="1"/>
  <c r="F1426" i="11" s="1"/>
  <c r="F1681" i="11" a="1"/>
  <c r="F1681" i="11" s="1"/>
  <c r="F1928" i="11" a="1"/>
  <c r="F1928" i="11" s="1"/>
  <c r="F2184" i="11" a="1"/>
  <c r="F2184" i="11" s="1"/>
  <c r="F2435" i="11" a="1"/>
  <c r="F2435" i="11" s="1"/>
  <c r="F2678" i="11" a="1"/>
  <c r="F2678" i="11" s="1"/>
  <c r="F2926" i="11" a="1"/>
  <c r="F2926" i="11" s="1"/>
  <c r="F18" i="11" a="1"/>
  <c r="F18" i="11" s="1"/>
  <c r="F105" i="11" a="1"/>
  <c r="F105" i="11" s="1"/>
  <c r="F197" i="11" a="1"/>
  <c r="F197" i="11" s="1"/>
  <c r="F335" i="11" a="1"/>
  <c r="F335" i="11" s="1"/>
  <c r="F494" i="11" a="1"/>
  <c r="F494" i="11" s="1"/>
  <c r="F716" i="11" a="1"/>
  <c r="F716" i="11" s="1"/>
  <c r="F953" i="11" a="1"/>
  <c r="F953" i="11" s="1"/>
  <c r="F1173" i="11" a="1"/>
  <c r="F1173" i="11" s="1"/>
  <c r="F1388" i="11" a="1"/>
  <c r="F1388" i="11" s="1"/>
  <c r="F1641" i="11" a="1"/>
  <c r="F1641" i="11" s="1"/>
  <c r="F1895" i="11" a="1"/>
  <c r="F1895" i="11" s="1"/>
  <c r="F2141" i="11" a="1"/>
  <c r="F2141" i="11" s="1"/>
  <c r="F2388" i="11" a="1"/>
  <c r="F2388" i="11" s="1"/>
  <c r="F2635" i="11" a="1"/>
  <c r="F2635" i="11" s="1"/>
  <c r="F2895" i="11" a="1"/>
  <c r="F2895" i="11" s="1"/>
  <c r="F17" i="11" a="1"/>
  <c r="F17" i="11" s="1"/>
  <c r="F77" i="11" a="1"/>
  <c r="F77" i="11" s="1"/>
  <c r="F162" i="11" a="1"/>
  <c r="F162" i="11" s="1"/>
  <c r="F298" i="11" a="1"/>
  <c r="F298" i="11" s="1"/>
  <c r="F451" i="11" a="1"/>
  <c r="F451" i="11" s="1"/>
  <c r="F674" i="11" a="1"/>
  <c r="F674" i="11" s="1"/>
  <c r="F911" i="11" a="1"/>
  <c r="F911" i="11" s="1"/>
  <c r="F1129" i="11" a="1"/>
  <c r="F1129" i="11" s="1"/>
  <c r="F1347" i="11" a="1"/>
  <c r="F1347" i="11" s="1"/>
  <c r="F1597" i="11" a="1"/>
  <c r="F1597" i="11" s="1"/>
  <c r="F1848" i="11" a="1"/>
  <c r="F1848" i="11" s="1"/>
  <c r="F2100" i="11" a="1"/>
  <c r="F2100" i="11" s="1"/>
  <c r="F2351" i="11" a="1"/>
  <c r="F2351" i="11" s="1"/>
  <c r="F2634" i="11" a="1"/>
  <c r="F2634" i="11" s="1"/>
  <c r="F2870" i="11" a="1"/>
  <c r="F2870" i="11" s="1"/>
  <c r="F5" i="11" a="1"/>
  <c r="F5" i="11" s="1"/>
  <c r="F54" i="11" a="1"/>
  <c r="F54" i="11" s="1"/>
  <c r="F161" i="11" a="1"/>
  <c r="F161" i="11" s="1"/>
  <c r="F262" i="11" a="1"/>
  <c r="F262" i="11" s="1"/>
  <c r="F450" i="11" a="1"/>
  <c r="F450" i="11" s="1"/>
  <c r="F627" i="11" a="1"/>
  <c r="F627" i="11" s="1"/>
  <c r="F865" i="11" a="1"/>
  <c r="F865" i="11" s="1"/>
  <c r="F1091" i="11" a="1"/>
  <c r="F1091" i="11" s="1"/>
  <c r="F1346" i="11" a="1"/>
  <c r="F1346" i="11" s="1"/>
  <c r="F1552" i="11" a="1"/>
  <c r="F1552" i="11" s="1"/>
  <c r="F1803" i="11" a="1"/>
  <c r="F1803" i="11" s="1"/>
  <c r="F2054" i="11" a="1"/>
  <c r="F2054" i="11" s="1"/>
  <c r="F2350" i="11" a="1"/>
  <c r="F2350" i="11" s="1"/>
  <c r="F2597" i="11" a="1"/>
  <c r="F2597" i="11" s="1"/>
  <c r="F2832" i="11" a="1"/>
  <c r="F2832" i="11" s="1"/>
  <c r="F3024" i="11" a="1"/>
  <c r="F3024" i="11" s="1"/>
  <c r="F31" i="11" a="1"/>
  <c r="F31" i="11" s="1"/>
  <c r="F129" i="11" a="1"/>
  <c r="F129" i="11" s="1"/>
  <c r="F261" i="11" a="1"/>
  <c r="F261" i="11" s="1"/>
  <c r="F411" i="11" a="1"/>
  <c r="F411" i="11" s="1"/>
  <c r="F626" i="11" a="1"/>
  <c r="F626" i="11" s="1"/>
  <c r="F864" i="11" a="1"/>
  <c r="F864" i="11" s="1"/>
  <c r="F1090" i="11" a="1"/>
  <c r="F1090" i="11" s="1"/>
  <c r="F1301" i="11" a="1"/>
  <c r="F1301" i="11" s="1"/>
  <c r="F1551" i="11" a="1"/>
  <c r="F1551" i="11" s="1"/>
  <c r="F1802" i="11" a="1"/>
  <c r="F1802" i="11" s="1"/>
  <c r="F2053" i="11" a="1"/>
  <c r="F2053" i="11" s="1"/>
  <c r="F2308" i="11" a="1"/>
  <c r="F2308" i="11" s="1"/>
  <c r="F2555" i="11" a="1"/>
  <c r="F2555" i="11" s="1"/>
  <c r="F2831" i="11" a="1"/>
  <c r="F2831" i="11" s="1"/>
  <c r="F3004" i="11" a="1"/>
  <c r="F3004" i="11" s="1"/>
  <c r="F30" i="11" a="1"/>
  <c r="F30" i="11" s="1"/>
  <c r="F99" i="11" a="1"/>
  <c r="F99" i="11" s="1"/>
  <c r="F226" i="11" a="1"/>
  <c r="F226" i="11" s="1"/>
  <c r="F372" i="11" a="1"/>
  <c r="F372" i="11" s="1"/>
  <c r="F581" i="11" a="1"/>
  <c r="F581" i="11" s="1"/>
  <c r="F812" i="11" a="1"/>
  <c r="F812" i="11" s="1"/>
  <c r="F1044" i="11" a="1"/>
  <c r="F1044" i="11" s="1"/>
  <c r="F1257" i="11" a="1"/>
  <c r="F1257" i="11" s="1"/>
  <c r="F1513" i="11" a="1"/>
  <c r="F1513" i="11" s="1"/>
  <c r="F1762" i="11" a="1"/>
  <c r="F1762" i="11" s="1"/>
  <c r="F2014" i="11" a="1"/>
  <c r="F2014" i="11" s="1"/>
  <c r="F2266" i="11" a="1"/>
  <c r="F2266" i="11" s="1"/>
  <c r="F2554" i="11" a="1"/>
  <c r="F2554" i="11" s="1"/>
  <c r="F2792" i="11" a="1"/>
  <c r="F2792" i="11" s="1"/>
  <c r="F3003" i="11" a="1"/>
  <c r="F3003" i="11" s="1"/>
  <c r="F11" i="11" a="1"/>
  <c r="F11" i="11" s="1"/>
  <c r="F98" i="11" a="1"/>
  <c r="F98" i="11" s="1"/>
  <c r="F225" i="11" a="1"/>
  <c r="F225" i="11" s="1"/>
  <c r="F371" i="11" a="1"/>
  <c r="F371" i="11" s="1"/>
  <c r="F535" i="11" a="1"/>
  <c r="F535" i="11" s="1"/>
  <c r="F765" i="11" a="1"/>
  <c r="F765" i="11" s="1"/>
  <c r="F1043" i="11" a="1"/>
  <c r="F1043" i="11" s="1"/>
  <c r="F1256" i="11" a="1"/>
  <c r="F1256" i="11" s="1"/>
  <c r="F1512" i="11" a="1"/>
  <c r="F1512" i="11" s="1"/>
  <c r="F1720" i="11" a="1"/>
  <c r="F1720" i="11" s="1"/>
  <c r="F1970" i="11" a="1"/>
  <c r="F1970" i="11" s="1"/>
  <c r="F2265" i="11" a="1"/>
  <c r="F2265" i="11" s="1"/>
  <c r="F2508" i="11" a="1"/>
  <c r="F2508" i="11" s="1"/>
  <c r="F2791" i="11" a="1"/>
  <c r="F2791" i="11" s="1"/>
  <c r="F2975" i="11" a="1"/>
  <c r="F2975" i="11" s="1"/>
  <c r="F10" i="11" a="1"/>
  <c r="F10" i="11" s="1"/>
  <c r="F72" i="11" a="1"/>
  <c r="F72" i="11" s="1"/>
  <c r="F190" i="11" a="1"/>
  <c r="F190" i="11" s="1"/>
  <c r="F329" i="11" a="1"/>
  <c r="F329" i="11" s="1"/>
  <c r="F534" i="11" a="1"/>
  <c r="F534" i="11" s="1"/>
  <c r="F764" i="11" a="1"/>
  <c r="F764" i="11" s="1"/>
  <c r="F996" i="11" a="1"/>
  <c r="F996" i="11" s="1"/>
  <c r="F1216" i="11" a="1"/>
  <c r="F1216" i="11" s="1"/>
  <c r="F1469" i="11" a="1"/>
  <c r="F1469" i="11" s="1"/>
  <c r="F1719" i="11" a="1"/>
  <c r="F1719" i="11" s="1"/>
  <c r="F1969" i="11" a="1"/>
  <c r="F1969" i="11" s="1"/>
  <c r="F2224" i="11" a="1"/>
  <c r="F2224" i="11" s="1"/>
  <c r="F2507" i="11" a="1"/>
  <c r="F2507" i="11" s="1"/>
  <c r="F2752" i="11" a="1"/>
  <c r="F2752" i="11" s="1"/>
  <c r="F2974" i="11" a="1"/>
  <c r="F2974" i="11" s="1"/>
  <c r="F3132" i="11" a="1"/>
  <c r="F3132" i="11" s="1"/>
  <c r="F71" i="11" a="1"/>
  <c r="F71" i="11" s="1"/>
  <c r="F189" i="11" a="1"/>
  <c r="F189" i="11" s="1"/>
  <c r="F328" i="11" a="1"/>
  <c r="F328" i="11" s="1"/>
  <c r="F533" i="11" a="1"/>
  <c r="F533" i="11" s="1"/>
  <c r="F710" i="11" a="1"/>
  <c r="F710" i="11" s="1"/>
  <c r="F995" i="11" a="1"/>
  <c r="F995" i="11" s="1"/>
  <c r="F1215" i="11" a="1"/>
  <c r="F1215" i="11" s="1"/>
  <c r="F1468" i="11" a="1"/>
  <c r="F1468" i="11" s="1"/>
  <c r="F1675" i="11" a="1"/>
  <c r="F1675" i="11" s="1"/>
  <c r="F1968" i="11" a="1"/>
  <c r="F1968" i="11" s="1"/>
  <c r="F2223" i="11" a="1"/>
  <c r="F2223" i="11" s="1"/>
  <c r="F2472" i="11" a="1"/>
  <c r="F2472" i="11" s="1"/>
  <c r="F2751" i="11" a="1"/>
  <c r="F2751" i="11" s="1"/>
  <c r="F2948" i="11" a="1"/>
  <c r="F2948" i="11" s="1"/>
  <c r="F3117" i="11" a="1"/>
  <c r="F3117" i="11" s="1"/>
  <c r="F70" i="11" a="1"/>
  <c r="F70" i="11" s="1"/>
  <c r="F155" i="11" a="1"/>
  <c r="F155" i="11" s="1"/>
  <c r="F327" i="11" a="1"/>
  <c r="F327" i="11" s="1"/>
  <c r="F488" i="11" a="1"/>
  <c r="F488" i="11" s="1"/>
  <c r="F709" i="11" a="1"/>
  <c r="F709" i="11" s="1"/>
  <c r="F57" i="11" a="1"/>
  <c r="F57" i="11" s="1"/>
  <c r="F133" i="11" a="1"/>
  <c r="F133" i="11" s="1"/>
  <c r="F265" i="11" a="1"/>
  <c r="F265" i="11" s="1"/>
  <c r="F415" i="11" a="1"/>
  <c r="F415" i="11" s="1"/>
  <c r="F584" i="11" a="1"/>
  <c r="F584" i="11" s="1"/>
  <c r="F815" i="11" a="1"/>
  <c r="F815" i="11" s="1"/>
  <c r="F1047" i="11" a="1"/>
  <c r="F1047" i="11" s="1"/>
  <c r="F1261" i="11" a="1"/>
  <c r="F1261" i="11" s="1"/>
  <c r="F1516" i="11" a="1"/>
  <c r="F1516" i="11" s="1"/>
  <c r="F1724" i="11" a="1"/>
  <c r="F1724" i="11" s="1"/>
  <c r="F1974" i="11" a="1"/>
  <c r="F1974" i="11" s="1"/>
  <c r="F2228" i="11" a="1"/>
  <c r="F2228" i="11" s="1"/>
  <c r="F2478" i="11" a="1"/>
  <c r="F2478" i="11" s="1"/>
  <c r="F2756" i="11" a="1"/>
  <c r="F2756" i="11" s="1"/>
  <c r="F2954" i="11" a="1"/>
  <c r="F2954" i="11" s="1"/>
  <c r="F35" i="11" a="1"/>
  <c r="F35" i="11" s="1"/>
  <c r="F104" i="11" a="1"/>
  <c r="F104" i="11" s="1"/>
  <c r="F230" i="11" a="1"/>
  <c r="F230" i="11" s="1"/>
  <c r="F376" i="11" a="1"/>
  <c r="F376" i="11" s="1"/>
  <c r="F540" i="11" a="1"/>
  <c r="F540" i="11" s="1"/>
  <c r="F770" i="11" a="1"/>
  <c r="F770" i="11" s="1"/>
  <c r="F1001" i="11" a="1"/>
  <c r="F1001" i="11" s="1"/>
  <c r="F1220" i="11" a="1"/>
  <c r="F1220" i="11" s="1"/>
  <c r="F1474" i="11" a="1"/>
  <c r="F1474" i="11" s="1"/>
  <c r="F1680" i="11" a="1"/>
  <c r="F1680" i="11" s="1"/>
  <c r="F1927" i="11" a="1"/>
  <c r="F1927" i="11" s="1"/>
  <c r="F2183" i="11" a="1"/>
  <c r="F2183" i="11" s="1"/>
  <c r="F2477" i="11" a="1"/>
  <c r="F2477" i="11" s="1"/>
  <c r="F2713" i="11" a="1"/>
  <c r="F2713" i="11" s="1"/>
  <c r="F2953" i="11" a="1"/>
  <c r="F2953" i="11" s="1"/>
  <c r="F16" i="11" a="1"/>
  <c r="F16" i="11" s="1"/>
  <c r="F103" i="11" a="1"/>
  <c r="F103" i="11" s="1"/>
  <c r="F196" i="11" a="1"/>
  <c r="F196" i="11" s="1"/>
  <c r="F334" i="11" a="1"/>
  <c r="F334" i="11" s="1"/>
  <c r="F539" i="11" a="1"/>
  <c r="F539" i="11" s="1"/>
  <c r="F715" i="11" a="1"/>
  <c r="F715" i="11" s="1"/>
  <c r="F952" i="11" a="1"/>
  <c r="F952" i="11" s="1"/>
  <c r="F1172" i="11" a="1"/>
  <c r="F1172" i="11" s="1"/>
  <c r="F1425" i="11" a="1"/>
  <c r="F1425" i="11" s="1"/>
  <c r="F1679" i="11" a="1"/>
  <c r="F1679" i="11" s="1"/>
  <c r="F1894" i="11" a="1"/>
  <c r="F1894" i="11" s="1"/>
  <c r="F2182" i="11" a="1"/>
  <c r="F2182" i="11" s="1"/>
  <c r="F2434" i="11" a="1"/>
  <c r="F2434" i="11" s="1"/>
  <c r="F2677" i="11" a="1"/>
  <c r="F2677" i="11" s="1"/>
  <c r="F2925" i="11" a="1"/>
  <c r="F2925" i="11" s="1"/>
  <c r="F15" i="11" a="1"/>
  <c r="F15" i="11" s="1"/>
  <c r="F76" i="11" a="1"/>
  <c r="F76" i="11" s="1"/>
  <c r="F195" i="11" a="1"/>
  <c r="F195" i="11" s="1"/>
  <c r="F333" i="11" a="1"/>
  <c r="F333" i="11" s="1"/>
  <c r="F493" i="11" a="1"/>
  <c r="F493" i="11" s="1"/>
  <c r="F714" i="11" a="1"/>
  <c r="F714" i="11" s="1"/>
  <c r="F910" i="11" a="1"/>
  <c r="F910" i="11" s="1"/>
  <c r="F1171" i="11" a="1"/>
  <c r="F1171" i="11" s="1"/>
  <c r="F1387" i="11" a="1"/>
  <c r="F1387" i="11" s="1"/>
  <c r="F1640" i="11" a="1"/>
  <c r="F1640" i="11" s="1"/>
  <c r="F1893" i="11" a="1"/>
  <c r="F1893" i="11" s="1"/>
  <c r="F2140" i="11" a="1"/>
  <c r="F2140" i="11" s="1"/>
  <c r="F2387" i="11" a="1"/>
  <c r="F2387" i="11" s="1"/>
  <c r="F2676" i="11" a="1"/>
  <c r="F2676" i="11" s="1"/>
  <c r="F2894" i="11" a="1"/>
  <c r="F2894" i="11" s="1"/>
  <c r="F4" i="11" a="1"/>
  <c r="F4" i="11" s="1"/>
  <c r="F53" i="11" a="1"/>
  <c r="F53" i="11" s="1"/>
  <c r="F160" i="11" a="1"/>
  <c r="F160" i="11" s="1"/>
  <c r="F297" i="11" a="1"/>
  <c r="F297" i="11" s="1"/>
  <c r="F449" i="11" a="1"/>
  <c r="F449" i="11" s="1"/>
  <c r="F673" i="11" a="1"/>
  <c r="F673" i="11" s="1"/>
  <c r="F909" i="11" a="1"/>
  <c r="F909" i="11" s="1"/>
  <c r="F1128" i="11" a="1"/>
  <c r="F1128" i="11" s="1"/>
  <c r="F1345" i="11" a="1"/>
  <c r="F1345" i="11" s="1"/>
  <c r="F1596" i="11" a="1"/>
  <c r="F1596" i="11" s="1"/>
  <c r="F1847" i="11" a="1"/>
  <c r="F1847" i="11" s="1"/>
  <c r="F2099" i="11" a="1"/>
  <c r="F2099" i="11" s="1"/>
  <c r="F2349" i="11" a="1"/>
  <c r="F2349" i="11" s="1"/>
  <c r="F2633" i="11" a="1"/>
  <c r="F2633" i="11" s="1"/>
  <c r="F2869" i="11" a="1"/>
  <c r="F2869" i="11" s="1"/>
  <c r="F3050" i="11" a="1"/>
  <c r="F3050" i="11" s="1"/>
  <c r="F52" i="11" a="1"/>
  <c r="F52" i="11" s="1"/>
  <c r="F128" i="11" a="1"/>
  <c r="F128" i="11" s="1"/>
  <c r="F260" i="11" a="1"/>
  <c r="F260" i="11" s="1"/>
  <c r="F448" i="11" a="1"/>
  <c r="F448" i="11" s="1"/>
  <c r="F625" i="11" a="1"/>
  <c r="F625" i="11" s="1"/>
  <c r="F863" i="11" a="1"/>
  <c r="F863" i="11" s="1"/>
  <c r="F1089" i="11" a="1"/>
  <c r="F1089" i="11" s="1"/>
  <c r="F1344" i="11" a="1"/>
  <c r="F1344" i="11" s="1"/>
  <c r="F1595" i="11" a="1"/>
  <c r="F1595" i="11" s="1"/>
  <c r="F1801" i="11" a="1"/>
  <c r="F1801" i="11" s="1"/>
  <c r="F2098" i="11" a="1"/>
  <c r="F2098" i="11" s="1"/>
  <c r="F2348" i="11" a="1"/>
  <c r="F2348" i="11" s="1"/>
  <c r="F2596" i="11" a="1"/>
  <c r="F2596" i="11" s="1"/>
  <c r="F2868" i="11" a="1"/>
  <c r="F2868" i="11" s="1"/>
  <c r="F3049" i="11" a="1"/>
  <c r="F3049" i="11" s="1"/>
  <c r="F29" i="11" a="1"/>
  <c r="F29" i="11" s="1"/>
  <c r="F127" i="11" a="1"/>
  <c r="F127" i="11" s="1"/>
  <c r="F259" i="11" a="1"/>
  <c r="F259" i="11" s="1"/>
  <c r="F410" i="11" a="1"/>
  <c r="F410" i="11" s="1"/>
  <c r="F624" i="11" a="1"/>
  <c r="F624" i="11" s="1"/>
  <c r="F862" i="11" a="1"/>
  <c r="F862" i="11" s="1"/>
  <c r="F1088" i="11" a="1"/>
  <c r="F1088" i="11" s="1"/>
  <c r="F1300" i="11" a="1"/>
  <c r="F1300" i="11" s="1"/>
  <c r="F1550" i="11" a="1"/>
  <c r="F1550" i="11" s="1"/>
  <c r="F1800" i="11" a="1"/>
  <c r="F1800" i="11" s="1"/>
  <c r="F2052" i="11" a="1"/>
  <c r="F2052" i="11" s="1"/>
  <c r="F2307" i="11" a="1"/>
  <c r="F2307" i="11" s="1"/>
  <c r="F2595" i="11" a="1"/>
  <c r="F2595" i="11" s="1"/>
  <c r="F2830" i="11" a="1"/>
  <c r="F2830" i="11" s="1"/>
  <c r="F3023" i="11" a="1"/>
  <c r="F3023" i="11" s="1"/>
  <c r="F28" i="11" a="1"/>
  <c r="F28" i="11" s="1"/>
  <c r="F97" i="11" a="1"/>
  <c r="F97" i="11" s="1"/>
  <c r="F224" i="11" a="1"/>
  <c r="F224" i="11" s="1"/>
  <c r="F409" i="11" a="1"/>
  <c r="F409" i="11" s="1"/>
  <c r="F580" i="11" a="1"/>
  <c r="F580" i="11" s="1"/>
  <c r="F811" i="11" a="1"/>
  <c r="F811" i="11" s="1"/>
  <c r="F1042" i="11" a="1"/>
  <c r="F1042" i="11" s="1"/>
  <c r="F1299" i="11" a="1"/>
  <c r="F1299" i="11" s="1"/>
  <c r="F1549" i="11" a="1"/>
  <c r="F1549" i="11" s="1"/>
  <c r="F1761" i="11" a="1"/>
  <c r="F1761" i="11" s="1"/>
  <c r="F2051" i="11" a="1"/>
  <c r="F2051" i="11" s="1"/>
  <c r="F2306" i="11" a="1"/>
  <c r="F2306" i="11" s="1"/>
  <c r="F2553" i="11" a="1"/>
  <c r="F2553" i="11" s="1"/>
  <c r="F2829" i="11" a="1"/>
  <c r="F2829" i="11" s="1"/>
  <c r="F3022" i="11" a="1"/>
  <c r="F3022" i="11" s="1"/>
  <c r="F9" i="11" a="1"/>
  <c r="F9" i="11" s="1"/>
  <c r="F96" i="11" a="1"/>
  <c r="F96" i="11" s="1"/>
  <c r="F223" i="11" a="1"/>
  <c r="F223" i="11" s="1"/>
  <c r="F370" i="11" a="1"/>
  <c r="F370" i="11" s="1"/>
  <c r="F579" i="11" a="1"/>
  <c r="F579" i="11" s="1"/>
  <c r="F810" i="11" a="1"/>
  <c r="F810" i="11" s="1"/>
  <c r="F1041" i="11" a="1"/>
  <c r="F1041" i="11" s="1"/>
  <c r="F1255" i="11" a="1"/>
  <c r="F1255" i="11" s="1"/>
  <c r="F1511" i="11" a="1"/>
  <c r="F1511" i="11" s="1"/>
  <c r="F1760" i="11" a="1"/>
  <c r="F1760" i="11" s="1"/>
  <c r="F2013" i="11" a="1"/>
  <c r="F2013" i="11" s="1"/>
  <c r="F2264" i="11" a="1"/>
  <c r="F2264" i="11" s="1"/>
  <c r="F2552" i="11" a="1"/>
  <c r="F2552" i="11" s="1"/>
  <c r="F2790" i="11" a="1"/>
  <c r="F2790" i="11" s="1"/>
  <c r="F3002" i="11" a="1"/>
  <c r="F3002" i="11" s="1"/>
  <c r="F3156" i="11" a="1"/>
  <c r="F3156" i="11" s="1"/>
  <c r="F95" i="11" a="1"/>
  <c r="F95" i="11" s="1"/>
  <c r="F188" i="11" a="1"/>
  <c r="F188" i="11" s="1"/>
  <c r="F369" i="11" a="1"/>
  <c r="F369" i="11" s="1"/>
  <c r="F532" i="11" a="1"/>
  <c r="F532" i="11" s="1"/>
  <c r="F763" i="11" a="1"/>
  <c r="F763" i="11" s="1"/>
  <c r="F1040" i="11" a="1"/>
  <c r="F1040" i="11" s="1"/>
  <c r="F1254" i="11" a="1"/>
  <c r="F1254" i="11" s="1"/>
  <c r="F1510" i="11" a="1"/>
  <c r="F1510" i="11" s="1"/>
  <c r="F1759" i="11" a="1"/>
  <c r="F1759" i="11" s="1"/>
  <c r="F2012" i="11" a="1"/>
  <c r="F2012" i="11" s="1"/>
  <c r="F2263" i="11" a="1"/>
  <c r="F2263" i="11" s="1"/>
  <c r="F667" i="11" a="1"/>
  <c r="F667" i="11" s="1"/>
  <c r="F1164" i="11" a="1"/>
  <c r="F1164" i="11" s="1"/>
  <c r="F482" i="11" a="1"/>
  <c r="F482" i="11" s="1"/>
  <c r="F2861" i="11" a="1"/>
  <c r="F2861" i="11" s="1"/>
  <c r="F132" i="11" a="1"/>
  <c r="F132" i="11" s="1"/>
  <c r="F264" i="11" a="1"/>
  <c r="F264" i="11" s="1"/>
  <c r="F414" i="11" a="1"/>
  <c r="F414" i="11" s="1"/>
  <c r="F629" i="11" a="1"/>
  <c r="F629" i="11" s="1"/>
  <c r="F814" i="11" a="1"/>
  <c r="F814" i="11" s="1"/>
  <c r="F1046" i="11" a="1"/>
  <c r="F1046" i="11" s="1"/>
  <c r="F1303" i="11" a="1"/>
  <c r="F1303" i="11" s="1"/>
  <c r="F1515" i="11" a="1"/>
  <c r="F1515" i="11" s="1"/>
  <c r="F1765" i="11" a="1"/>
  <c r="F1765" i="11" s="1"/>
  <c r="F2017" i="11" a="1"/>
  <c r="F2017" i="11" s="1"/>
  <c r="F2268" i="11" a="1"/>
  <c r="F2268" i="11" s="1"/>
  <c r="F2511" i="11" a="1"/>
  <c r="F2511" i="11" s="1"/>
  <c r="F2794" i="11" a="1"/>
  <c r="F2794" i="11" s="1"/>
  <c r="F2978" i="11" a="1"/>
  <c r="F2978" i="11" s="1"/>
  <c r="F34" i="11" a="1"/>
  <c r="F34" i="11" s="1"/>
  <c r="F102" i="11" a="1"/>
  <c r="F102" i="11" s="1"/>
  <c r="F229" i="11" a="1"/>
  <c r="F229" i="11" s="1"/>
  <c r="F375" i="11" a="1"/>
  <c r="F375" i="11" s="1"/>
  <c r="F583" i="11" a="1"/>
  <c r="F583" i="11" s="1"/>
  <c r="F769" i="11" a="1"/>
  <c r="F769" i="11" s="1"/>
  <c r="F1000" i="11" a="1"/>
  <c r="F1000" i="11" s="1"/>
  <c r="F1260" i="11" a="1"/>
  <c r="F1260" i="11" s="1"/>
  <c r="F1473" i="11" a="1"/>
  <c r="F1473" i="11" s="1"/>
  <c r="F1723" i="11" a="1"/>
  <c r="F1723" i="11" s="1"/>
  <c r="F1973" i="11" a="1"/>
  <c r="F1973" i="11" s="1"/>
  <c r="F2227" i="11" a="1"/>
  <c r="F2227" i="11" s="1"/>
  <c r="F2476" i="11" a="1"/>
  <c r="F2476" i="11" s="1"/>
  <c r="F2755" i="11" a="1"/>
  <c r="F2755" i="11" s="1"/>
  <c r="F2952" i="11" a="1"/>
  <c r="F2952" i="11" s="1"/>
  <c r="F14" i="11" a="1"/>
  <c r="F14" i="11" s="1"/>
  <c r="F101" i="11" a="1"/>
  <c r="F101" i="11" s="1"/>
  <c r="F194" i="11" a="1"/>
  <c r="F194" i="11" s="1"/>
  <c r="F374" i="11" a="1"/>
  <c r="F374" i="11" s="1"/>
  <c r="F538" i="11" a="1"/>
  <c r="F538" i="11" s="1"/>
  <c r="F768" i="11" a="1"/>
  <c r="F768" i="11" s="1"/>
  <c r="F999" i="11" a="1"/>
  <c r="F999" i="11" s="1"/>
  <c r="F1219" i="11" a="1"/>
  <c r="F1219" i="11" s="1"/>
  <c r="F1472" i="11" a="1"/>
  <c r="F1472" i="11" s="1"/>
  <c r="F1678" i="11" a="1"/>
  <c r="F1678" i="11" s="1"/>
  <c r="F1926" i="11" a="1"/>
  <c r="F1926" i="11" s="1"/>
  <c r="F2181" i="11" a="1"/>
  <c r="F2181" i="11" s="1"/>
  <c r="F2475" i="11" a="1"/>
  <c r="F2475" i="11" s="1"/>
  <c r="F2712" i="11" a="1"/>
  <c r="F2712" i="11" s="1"/>
  <c r="F2951" i="11" a="1"/>
  <c r="F2951" i="11" s="1"/>
  <c r="F13" i="11" a="1"/>
  <c r="F13" i="11" s="1"/>
  <c r="F75" i="11" a="1"/>
  <c r="F75" i="11" s="1"/>
  <c r="F193" i="11" a="1"/>
  <c r="F193" i="11" s="1"/>
  <c r="F332" i="11" a="1"/>
  <c r="F332" i="11" s="1"/>
  <c r="F492" i="11" a="1"/>
  <c r="F492" i="11" s="1"/>
  <c r="F713" i="11" a="1"/>
  <c r="F713" i="11" s="1"/>
  <c r="F951" i="11" a="1"/>
  <c r="F951" i="11" s="1"/>
  <c r="F1170" i="11" a="1"/>
  <c r="F1170" i="11" s="1"/>
  <c r="F1424" i="11" a="1"/>
  <c r="F1424" i="11" s="1"/>
  <c r="F1677" i="11" a="1"/>
  <c r="F1677" i="11" s="1"/>
  <c r="F1925" i="11" a="1"/>
  <c r="F1925" i="11" s="1"/>
  <c r="F2180" i="11" a="1"/>
  <c r="F2180" i="11" s="1"/>
  <c r="F2433" i="11" a="1"/>
  <c r="F2433" i="11" s="1"/>
  <c r="F2711" i="11" a="1"/>
  <c r="F2711" i="11" s="1"/>
  <c r="F2924" i="11" a="1"/>
  <c r="F2924" i="11" s="1"/>
  <c r="F3" i="11" a="1"/>
  <c r="F3" i="11" s="1"/>
  <c r="F51" i="11" a="1"/>
  <c r="F51" i="11" s="1"/>
  <c r="F159" i="11" a="1"/>
  <c r="F159" i="11" s="1"/>
  <c r="F296" i="11" a="1"/>
  <c r="F296" i="11" s="1"/>
  <c r="F491" i="11" a="1"/>
  <c r="F491" i="11" s="1"/>
  <c r="F672" i="11" a="1"/>
  <c r="F672" i="11" s="1"/>
  <c r="F908" i="11" a="1"/>
  <c r="F908" i="11" s="1"/>
  <c r="F1169" i="11" a="1"/>
  <c r="F1169" i="11" s="1"/>
  <c r="F1386" i="11" a="1"/>
  <c r="F1386" i="11" s="1"/>
  <c r="F1639" i="11" a="1"/>
  <c r="F1639" i="11" s="1"/>
  <c r="F1892" i="11" a="1"/>
  <c r="F1892" i="11" s="1"/>
  <c r="F2139" i="11" a="1"/>
  <c r="F2139" i="11" s="1"/>
  <c r="F2386" i="11" a="1"/>
  <c r="F2386" i="11" s="1"/>
  <c r="F2675" i="11" a="1"/>
  <c r="F2675" i="11" s="1"/>
  <c r="F2923" i="11" a="1"/>
  <c r="F2923" i="11" s="1"/>
  <c r="F3073" i="11" a="1"/>
  <c r="F3073" i="11" s="1"/>
  <c r="F50" i="11" a="1"/>
  <c r="F50" i="11" s="1"/>
  <c r="F158" i="11" a="1"/>
  <c r="F158" i="11" s="1"/>
  <c r="F295" i="11" a="1"/>
  <c r="F295" i="11" s="1"/>
  <c r="F447" i="11" a="1"/>
  <c r="F447" i="11" s="1"/>
  <c r="F671" i="11" a="1"/>
  <c r="F671" i="11" s="1"/>
  <c r="F907" i="11" a="1"/>
  <c r="F907" i="11" s="1"/>
  <c r="F1127" i="11" a="1"/>
  <c r="F1127" i="11" s="1"/>
  <c r="F1385" i="11" a="1"/>
  <c r="F1385" i="11" s="1"/>
  <c r="F1594" i="11" a="1"/>
  <c r="F1594" i="11" s="1"/>
  <c r="F1846" i="11" a="1"/>
  <c r="F1846" i="11" s="1"/>
  <c r="F2138" i="11" a="1"/>
  <c r="F2138" i="11" s="1"/>
  <c r="F2385" i="11" a="1"/>
  <c r="F2385" i="11" s="1"/>
  <c r="F2632" i="11" a="1"/>
  <c r="F2632" i="11" s="1"/>
  <c r="F2893" i="11" a="1"/>
  <c r="F2893" i="11" s="1"/>
  <c r="F3072" i="11" a="1"/>
  <c r="F3072" i="11" s="1"/>
  <c r="F49" i="11" a="1"/>
  <c r="F49" i="11" s="1"/>
  <c r="F126" i="11" a="1"/>
  <c r="F126" i="11" s="1"/>
  <c r="F258" i="11" a="1"/>
  <c r="F258" i="11" s="1"/>
  <c r="F446" i="11" a="1"/>
  <c r="F446" i="11" s="1"/>
  <c r="F623" i="11" a="1"/>
  <c r="F623" i="11" s="1"/>
  <c r="F861" i="11" a="1"/>
  <c r="F861" i="11" s="1"/>
  <c r="F1126" i="11" a="1"/>
  <c r="F1126" i="11" s="1"/>
  <c r="F1343" i="11" a="1"/>
  <c r="F1343" i="11" s="1"/>
  <c r="F1593" i="11" a="1"/>
  <c r="F1593" i="11" s="1"/>
  <c r="F1845" i="11" a="1"/>
  <c r="F1845" i="11" s="1"/>
  <c r="F2097" i="11" a="1"/>
  <c r="F2097" i="11" s="1"/>
  <c r="F2347" i="11" a="1"/>
  <c r="F2347" i="11" s="1"/>
  <c r="F2631" i="11" a="1"/>
  <c r="F2631" i="11" s="1"/>
  <c r="F2867" i="11" a="1"/>
  <c r="F2867" i="11" s="1"/>
  <c r="F3048" i="11" a="1"/>
  <c r="F3048" i="11" s="1"/>
  <c r="F27" i="11" a="1"/>
  <c r="F27" i="11" s="1"/>
  <c r="F125" i="11" a="1"/>
  <c r="F125" i="11" s="1"/>
  <c r="F257" i="11" a="1"/>
  <c r="F257" i="11" s="1"/>
  <c r="F408" i="11" a="1"/>
  <c r="F408" i="11" s="1"/>
  <c r="F622" i="11" a="1"/>
  <c r="F622" i="11" s="1"/>
  <c r="F860" i="11" a="1"/>
  <c r="F860" i="11" s="1"/>
  <c r="F1087" i="11" a="1"/>
  <c r="F1087" i="11" s="1"/>
  <c r="F1342" i="11" a="1"/>
  <c r="F1342" i="11" s="1"/>
  <c r="F1592" i="11" a="1"/>
  <c r="F1592" i="11" s="1"/>
  <c r="F1799" i="11" a="1"/>
  <c r="F1799" i="11" s="1"/>
  <c r="F2096" i="11" a="1"/>
  <c r="F2096" i="11" s="1"/>
  <c r="F2346" i="11" a="1"/>
  <c r="F2346" i="11" s="1"/>
  <c r="F2594" i="11" a="1"/>
  <c r="F2594" i="11" s="1"/>
  <c r="F2866" i="11" a="1"/>
  <c r="F2866" i="11" s="1"/>
  <c r="F3047" i="11" a="1"/>
  <c r="F3047" i="11" s="1"/>
  <c r="F26" i="11" a="1"/>
  <c r="F26" i="11" s="1"/>
  <c r="F124" i="11" a="1"/>
  <c r="F124" i="11" s="1"/>
  <c r="F256" i="11" a="1"/>
  <c r="F256" i="11" s="1"/>
  <c r="F407" i="11" a="1"/>
  <c r="F407" i="11" s="1"/>
  <c r="F621" i="11" a="1"/>
  <c r="F621" i="11" s="1"/>
  <c r="F859" i="11" a="1"/>
  <c r="F859" i="11" s="1"/>
  <c r="F1086" i="11" a="1"/>
  <c r="F1086" i="11" s="1"/>
  <c r="F1298" i="11" a="1"/>
  <c r="F1298" i="11" s="1"/>
  <c r="F1548" i="11" a="1"/>
  <c r="F1548" i="11" s="1"/>
  <c r="F1798" i="11" a="1"/>
  <c r="F1798" i="11" s="1"/>
  <c r="F2050" i="11" a="1"/>
  <c r="F2050" i="11" s="1"/>
  <c r="F2345" i="11" a="1"/>
  <c r="F2345" i="11" s="1"/>
  <c r="F2593" i="11" a="1"/>
  <c r="F2593" i="11" s="1"/>
  <c r="F2865" i="11" a="1"/>
  <c r="F2865" i="11" s="1"/>
  <c r="F3021" i="11" a="1"/>
  <c r="F3021" i="11" s="1"/>
  <c r="F3174" i="11" a="1"/>
  <c r="F3174" i="11" s="1"/>
  <c r="F94" i="11" a="1"/>
  <c r="F94" i="11" s="1"/>
  <c r="F222" i="11" a="1"/>
  <c r="F222" i="11" s="1"/>
  <c r="F406" i="11" a="1"/>
  <c r="F406" i="11" s="1"/>
  <c r="F578" i="11" a="1"/>
  <c r="F578" i="11" s="1"/>
  <c r="F809" i="11" a="1"/>
  <c r="F809" i="11" s="1"/>
  <c r="F1085" i="11" a="1"/>
  <c r="F1085" i="11" s="1"/>
  <c r="F1297" i="11" a="1"/>
  <c r="F1297" i="11" s="1"/>
  <c r="F1547" i="11" a="1"/>
  <c r="F1547" i="11" s="1"/>
  <c r="F1797" i="11" a="1"/>
  <c r="F1797" i="11" s="1"/>
  <c r="F2049" i="11" a="1"/>
  <c r="F2049" i="11" s="1"/>
  <c r="F2305" i="11" a="1"/>
  <c r="F2305" i="11" s="1"/>
  <c r="F2592" i="11" a="1"/>
  <c r="F2592" i="11" s="1"/>
  <c r="F2828" i="11" a="1"/>
  <c r="F2828" i="11" s="1"/>
  <c r="F3020" i="11" a="1"/>
  <c r="F3020" i="11" s="1"/>
  <c r="F3173" i="11" a="1"/>
  <c r="F3173" i="11" s="1"/>
  <c r="F93" i="11" a="1"/>
  <c r="F93" i="11" s="1"/>
  <c r="F948" i="11" a="1"/>
  <c r="F948" i="11" s="1"/>
  <c r="F1214" i="11" a="1"/>
  <c r="F1214" i="11" s="1"/>
  <c r="F1421" i="11" a="1"/>
  <c r="F1421" i="11" s="1"/>
  <c r="F1674" i="11" a="1"/>
  <c r="F1674" i="11" s="1"/>
  <c r="F1923" i="11" a="1"/>
  <c r="F1923" i="11" s="1"/>
  <c r="F2177" i="11" a="1"/>
  <c r="F2177" i="11" s="1"/>
  <c r="F2471" i="11" a="1"/>
  <c r="F2471" i="11" s="1"/>
  <c r="F2708" i="11" a="1"/>
  <c r="F2708" i="11" s="1"/>
  <c r="F2947" i="11" a="1"/>
  <c r="F2947" i="11" s="1"/>
  <c r="F3116" i="11" a="1"/>
  <c r="F3116" i="11" s="1"/>
  <c r="F45" i="11" a="1"/>
  <c r="F45" i="11" s="1"/>
  <c r="F154" i="11" a="1"/>
  <c r="F154" i="11" s="1"/>
  <c r="F291" i="11" a="1"/>
  <c r="F291" i="11" s="1"/>
  <c r="F487" i="11" a="1"/>
  <c r="F487" i="11" s="1"/>
  <c r="F708" i="11" a="1"/>
  <c r="F708" i="11" s="1"/>
  <c r="F947" i="11" a="1"/>
  <c r="F947" i="11" s="1"/>
  <c r="F1166" i="11" a="1"/>
  <c r="F1166" i="11" s="1"/>
  <c r="F1420" i="11" a="1"/>
  <c r="F1420" i="11" s="1"/>
  <c r="F1673" i="11" a="1"/>
  <c r="F1673" i="11" s="1"/>
  <c r="F1922" i="11" a="1"/>
  <c r="F1922" i="11" s="1"/>
  <c r="F2176" i="11" a="1"/>
  <c r="F2176" i="11" s="1"/>
  <c r="F2430" i="11" a="1"/>
  <c r="F2430" i="11" s="1"/>
  <c r="F2707" i="11" a="1"/>
  <c r="F2707" i="11" s="1"/>
  <c r="F2946" i="11" a="1"/>
  <c r="F2946" i="11" s="1"/>
  <c r="F3093" i="11" a="1"/>
  <c r="F3093" i="11" s="1"/>
  <c r="F44" i="11" a="1"/>
  <c r="F44" i="11" s="1"/>
  <c r="F153" i="11" a="1"/>
  <c r="F153" i="11" s="1"/>
  <c r="F290" i="11" a="1"/>
  <c r="F290" i="11" s="1"/>
  <c r="F486" i="11" a="1"/>
  <c r="F486" i="11" s="1"/>
  <c r="F707" i="11" a="1"/>
  <c r="F707" i="11" s="1"/>
  <c r="F946" i="11" a="1"/>
  <c r="F946" i="11" s="1"/>
  <c r="F1165" i="11" a="1"/>
  <c r="F1165" i="11" s="1"/>
  <c r="F1419" i="11" a="1"/>
  <c r="F1419" i="11" s="1"/>
  <c r="F1672" i="11" a="1"/>
  <c r="F1672" i="11" s="1"/>
  <c r="F1921" i="11" a="1"/>
  <c r="F1921" i="11" s="1"/>
  <c r="F2175" i="11" a="1"/>
  <c r="F2175" i="11" s="1"/>
  <c r="F2429" i="11" a="1"/>
  <c r="F2429" i="11" s="1"/>
  <c r="F2706" i="11" a="1"/>
  <c r="F2706" i="11" s="1"/>
  <c r="F2920" i="11" a="1"/>
  <c r="F2920" i="11" s="1"/>
  <c r="F3092" i="11" a="1"/>
  <c r="F3092" i="11" s="1"/>
  <c r="F3231" i="11" a="1"/>
  <c r="F3231" i="11" s="1"/>
  <c r="F152" i="11" a="1"/>
  <c r="F152" i="11" s="1"/>
  <c r="F289" i="11" a="1"/>
  <c r="F289" i="11" s="1"/>
  <c r="F619" i="11" a="1"/>
  <c r="F619" i="11" s="1"/>
  <c r="F807" i="11" a="1"/>
  <c r="F807" i="11" s="1"/>
  <c r="F1038" i="11" a="1"/>
  <c r="F1038" i="11" s="1"/>
  <c r="F1212" i="11" a="1"/>
  <c r="F1212" i="11" s="1"/>
  <c r="F1465" i="11" a="1"/>
  <c r="F1465" i="11" s="1"/>
  <c r="F1716" i="11" a="1"/>
  <c r="F1716" i="11" s="1"/>
  <c r="F1965" i="11" a="1"/>
  <c r="F1965" i="11" s="1"/>
  <c r="F2221" i="11" a="1"/>
  <c r="F2221" i="11" s="1"/>
  <c r="F2503" i="11" a="1"/>
  <c r="F2503" i="11" s="1"/>
  <c r="F2749" i="11" a="1"/>
  <c r="F2749" i="11" s="1"/>
  <c r="F2971" i="11" a="1"/>
  <c r="F2971" i="11" s="1"/>
  <c r="F3129" i="11" a="1"/>
  <c r="F3129" i="11" s="1"/>
  <c r="F3263" i="11" a="1"/>
  <c r="F3263" i="11" s="1"/>
  <c r="F184" i="11" a="1"/>
  <c r="F184" i="11" s="1"/>
  <c r="F324" i="11" a="1"/>
  <c r="F324" i="11" s="1"/>
  <c r="F528" i="11" a="1"/>
  <c r="F528" i="11" s="1"/>
  <c r="F759" i="11" a="1"/>
  <c r="F759" i="11" s="1"/>
  <c r="F991" i="11" a="1"/>
  <c r="F991" i="11" s="1"/>
  <c r="F1211" i="11" a="1"/>
  <c r="F1211" i="11" s="1"/>
  <c r="F1464" i="11" a="1"/>
  <c r="F1464" i="11" s="1"/>
  <c r="F1715" i="11" a="1"/>
  <c r="F1715" i="11" s="1"/>
  <c r="F1964" i="11" a="1"/>
  <c r="F1964" i="11" s="1"/>
  <c r="F2220" i="11" a="1"/>
  <c r="F2220" i="11" s="1"/>
  <c r="F2470" i="11" a="1"/>
  <c r="F2470" i="11" s="1"/>
  <c r="F2748" i="11" a="1"/>
  <c r="F2748" i="11" s="1"/>
  <c r="F2970" i="11" a="1"/>
  <c r="F2970" i="11" s="1"/>
  <c r="F3115" i="11" a="1"/>
  <c r="F3115" i="11" s="1"/>
  <c r="F3251" i="11" a="1"/>
  <c r="F3251" i="11" s="1"/>
  <c r="F183" i="11" a="1"/>
  <c r="F183" i="11" s="1"/>
  <c r="F323" i="11" a="1"/>
  <c r="F323" i="11" s="1"/>
  <c r="F527" i="11" a="1"/>
  <c r="F527" i="11" s="1"/>
  <c r="F758" i="11" a="1"/>
  <c r="F758" i="11" s="1"/>
  <c r="F990" i="11" a="1"/>
  <c r="F990" i="11" s="1"/>
  <c r="F1210" i="11" a="1"/>
  <c r="F1210" i="11" s="1"/>
  <c r="F1463" i="11" a="1"/>
  <c r="F1463" i="11" s="1"/>
  <c r="F1714" i="11" a="1"/>
  <c r="F1714" i="11" s="1"/>
  <c r="F1963" i="11" a="1"/>
  <c r="F1963" i="11" s="1"/>
  <c r="F2219" i="11" a="1"/>
  <c r="F2219" i="11" s="1"/>
  <c r="F2469" i="11" a="1"/>
  <c r="F2469" i="11" s="1"/>
  <c r="F2747" i="11" a="1"/>
  <c r="F2747" i="11" s="1"/>
  <c r="F2945" i="11" a="1"/>
  <c r="F2945" i="11" s="1"/>
  <c r="F3114" i="11" a="1"/>
  <c r="F3114" i="11" s="1"/>
  <c r="F3250" i="11" a="1"/>
  <c r="F3250" i="11" s="1"/>
  <c r="F182" i="11" a="1"/>
  <c r="F182" i="11" s="1"/>
  <c r="F322" i="11" a="1"/>
  <c r="F322" i="11" s="1"/>
  <c r="F804" i="11" a="1"/>
  <c r="F804" i="11" s="1"/>
  <c r="F1035" i="11" a="1"/>
  <c r="F1035" i="11" s="1"/>
  <c r="F1251" i="11" a="1"/>
  <c r="F1251" i="11" s="1"/>
  <c r="F1506" i="11" a="1"/>
  <c r="F1506" i="11" s="1"/>
  <c r="F1755" i="11" a="1"/>
  <c r="F1755" i="11" s="1"/>
  <c r="F2008" i="11" a="1"/>
  <c r="F2008" i="11" s="1"/>
  <c r="F2260" i="11" a="1"/>
  <c r="F2260" i="11" s="1"/>
  <c r="F2547" i="11" a="1"/>
  <c r="F2547" i="11" s="1"/>
  <c r="F2786" i="11" a="1"/>
  <c r="F2786" i="11" s="1"/>
  <c r="F2944" i="11" a="1"/>
  <c r="F2944" i="11" s="1"/>
  <c r="F3113" i="11" a="1"/>
  <c r="F3113" i="11" s="1"/>
  <c r="F3249" i="11" a="1"/>
  <c r="F3249" i="11" s="1"/>
  <c r="F181" i="11" a="1"/>
  <c r="F181" i="11" s="1"/>
  <c r="F321" i="11" a="1"/>
  <c r="F321" i="11" s="1"/>
  <c r="F525" i="11" a="1"/>
  <c r="F525" i="11" s="1"/>
  <c r="F756" i="11" a="1"/>
  <c r="F756" i="11" s="1"/>
  <c r="F988" i="11" a="1"/>
  <c r="F988" i="11" s="1"/>
  <c r="F1208" i="11" a="1"/>
  <c r="F1208" i="11" s="1"/>
  <c r="F1461" i="11" a="1"/>
  <c r="F1461" i="11" s="1"/>
  <c r="F1712" i="11" a="1"/>
  <c r="F1712" i="11" s="1"/>
  <c r="F1961" i="11" a="1"/>
  <c r="F1961" i="11" s="1"/>
  <c r="F2217" i="11" a="1"/>
  <c r="F2217" i="11" s="1"/>
  <c r="F2467" i="11" a="1"/>
  <c r="F2467" i="11" s="1"/>
  <c r="F2745" i="11" a="1"/>
  <c r="F2745" i="11" s="1"/>
  <c r="F2943" i="11" a="1"/>
  <c r="F2943" i="11" s="1"/>
  <c r="F3112" i="11" a="1"/>
  <c r="F3112" i="11" s="1"/>
  <c r="F3248" i="11" a="1"/>
  <c r="F3248" i="11" s="1"/>
  <c r="F3364" i="11" a="1"/>
  <c r="F3364" i="11" s="1"/>
  <c r="F361" i="11" a="1"/>
  <c r="F361" i="11" s="1"/>
  <c r="F524" i="11" a="1"/>
  <c r="F524" i="11" s="1"/>
  <c r="F755" i="11" a="1"/>
  <c r="F755" i="11" s="1"/>
  <c r="F987" i="11" a="1"/>
  <c r="F987" i="11" s="1"/>
  <c r="F1207" i="11" a="1"/>
  <c r="F1207" i="11" s="1"/>
  <c r="F1460" i="11" a="1"/>
  <c r="F1460" i="11" s="1"/>
  <c r="F1711" i="11" a="1"/>
  <c r="F1711" i="11" s="1"/>
  <c r="F1960" i="11" a="1"/>
  <c r="F1960" i="11" s="1"/>
  <c r="F2216" i="11" a="1"/>
  <c r="F2216" i="11" s="1"/>
  <c r="F2466" i="11" a="1"/>
  <c r="F2466" i="11" s="1"/>
  <c r="F2744" i="11" a="1"/>
  <c r="F2744" i="11" s="1"/>
  <c r="F2942" i="11" a="1"/>
  <c r="F2942" i="11" s="1"/>
  <c r="F3111" i="11" a="1"/>
  <c r="F3111" i="11" s="1"/>
  <c r="F3247" i="11" a="1"/>
  <c r="F3247" i="11" s="1"/>
  <c r="F3363" i="11" a="1"/>
  <c r="F3363" i="11" s="1"/>
  <c r="F360" i="11" a="1"/>
  <c r="F360" i="11" s="1"/>
  <c r="F523" i="11" a="1"/>
  <c r="F523" i="11" s="1"/>
  <c r="F754" i="11" a="1"/>
  <c r="F754" i="11" s="1"/>
  <c r="F986" i="11" a="1"/>
  <c r="F986" i="11" s="1"/>
  <c r="F1206" i="11" a="1"/>
  <c r="F1206" i="11" s="1"/>
  <c r="F1459" i="11" a="1"/>
  <c r="F1459" i="11" s="1"/>
  <c r="F1710" i="11" a="1"/>
  <c r="F1710" i="11" s="1"/>
  <c r="F1959" i="11" a="1"/>
  <c r="F1959" i="11" s="1"/>
  <c r="F2215" i="11" a="1"/>
  <c r="F2215" i="11" s="1"/>
  <c r="F2465" i="11" a="1"/>
  <c r="F2465" i="11" s="1"/>
  <c r="F2743" i="11" a="1"/>
  <c r="F2743" i="11" s="1"/>
  <c r="F2941" i="11" a="1"/>
  <c r="F2941" i="11" s="1"/>
  <c r="F3110" i="11" a="1"/>
  <c r="F3110" i="11" s="1"/>
  <c r="F3246" i="11" a="1"/>
  <c r="F3246" i="11" s="1"/>
  <c r="F3362" i="11" a="1"/>
  <c r="F3362" i="11" s="1"/>
  <c r="F359" i="11" a="1"/>
  <c r="F359" i="11" s="1"/>
  <c r="F569" i="11" a="1"/>
  <c r="F569" i="11" s="1"/>
  <c r="F753" i="11" a="1"/>
  <c r="F753" i="11" s="1"/>
  <c r="F985" i="11" a="1"/>
  <c r="F985" i="11" s="1"/>
  <c r="F1250" i="11" a="1"/>
  <c r="F1250" i="11" s="1"/>
  <c r="F1458" i="11" a="1"/>
  <c r="F1458" i="11" s="1"/>
  <c r="F1709" i="11" a="1"/>
  <c r="F1709" i="11" s="1"/>
  <c r="F1958" i="11" a="1"/>
  <c r="F1958" i="11" s="1"/>
  <c r="F2214" i="11" a="1"/>
  <c r="F2214" i="11" s="1"/>
  <c r="F2464" i="11" a="1"/>
  <c r="F2464" i="11" s="1"/>
  <c r="F2742" i="11" a="1"/>
  <c r="F2742" i="11" s="1"/>
  <c r="F2940" i="11" a="1"/>
  <c r="F2940" i="11" s="1"/>
  <c r="F3109" i="11" a="1"/>
  <c r="F3109" i="11" s="1"/>
  <c r="F3245" i="11" a="1"/>
  <c r="F3245" i="11" s="1"/>
  <c r="F3361" i="11" a="1"/>
  <c r="F3361" i="11" s="1"/>
  <c r="F398" i="11" a="1"/>
  <c r="F398" i="11" s="1"/>
  <c r="F568" i="11" a="1"/>
  <c r="F568" i="11" s="1"/>
  <c r="F800" i="11" a="1"/>
  <c r="F800" i="11" s="1"/>
  <c r="F1031" i="11" a="1"/>
  <c r="F1031" i="11" s="1"/>
  <c r="F1249" i="11" a="1"/>
  <c r="F1249" i="11" s="1"/>
  <c r="F1457" i="11" a="1"/>
  <c r="F1457" i="11" s="1"/>
  <c r="F2506" i="11" a="1"/>
  <c r="F2506" i="11" s="1"/>
  <c r="F2789" i="11" a="1"/>
  <c r="F2789" i="11" s="1"/>
  <c r="F3001" i="11" a="1"/>
  <c r="F3001" i="11" s="1"/>
  <c r="F3155" i="11" a="1"/>
  <c r="F3155" i="11" s="1"/>
  <c r="F69" i="11" a="1"/>
  <c r="F69" i="11" s="1"/>
  <c r="F187" i="11" a="1"/>
  <c r="F187" i="11" s="1"/>
  <c r="F368" i="11" a="1"/>
  <c r="F368" i="11" s="1"/>
  <c r="F531" i="11" a="1"/>
  <c r="F531" i="11" s="1"/>
  <c r="F762" i="11" a="1"/>
  <c r="F762" i="11" s="1"/>
  <c r="F994" i="11" a="1"/>
  <c r="F994" i="11" s="1"/>
  <c r="F1253" i="11" a="1"/>
  <c r="F1253" i="11" s="1"/>
  <c r="F1467" i="11" a="1"/>
  <c r="F1467" i="11" s="1"/>
  <c r="F1718" i="11" a="1"/>
  <c r="F1718" i="11" s="1"/>
  <c r="F1967" i="11" a="1"/>
  <c r="F1967" i="11" s="1"/>
  <c r="F2262" i="11" a="1"/>
  <c r="F2262" i="11" s="1"/>
  <c r="F2505" i="11" a="1"/>
  <c r="F2505" i="11" s="1"/>
  <c r="F2788" i="11" a="1"/>
  <c r="F2788" i="11" s="1"/>
  <c r="F2973" i="11" a="1"/>
  <c r="F2973" i="11" s="1"/>
  <c r="F3131" i="11" a="1"/>
  <c r="F3131" i="11" s="1"/>
  <c r="F68" i="11" a="1"/>
  <c r="F68" i="11" s="1"/>
  <c r="F186" i="11" a="1"/>
  <c r="F186" i="11" s="1"/>
  <c r="F326" i="11" a="1"/>
  <c r="F326" i="11" s="1"/>
  <c r="F530" i="11" a="1"/>
  <c r="F530" i="11" s="1"/>
  <c r="F761" i="11" a="1"/>
  <c r="F761" i="11" s="1"/>
  <c r="F993" i="11" a="1"/>
  <c r="F993" i="11" s="1"/>
  <c r="F1213" i="11" a="1"/>
  <c r="F1213" i="11" s="1"/>
  <c r="F1466" i="11" a="1"/>
  <c r="F1466" i="11" s="1"/>
  <c r="F1717" i="11" a="1"/>
  <c r="F1717" i="11" s="1"/>
  <c r="F1966" i="11" a="1"/>
  <c r="F1966" i="11" s="1"/>
  <c r="F2222" i="11" a="1"/>
  <c r="F2222" i="11" s="1"/>
  <c r="F2504" i="11" a="1"/>
  <c r="F2504" i="11" s="1"/>
  <c r="F2750" i="11" a="1"/>
  <c r="F2750" i="11" s="1"/>
  <c r="F2972" i="11" a="1"/>
  <c r="F2972" i="11" s="1"/>
  <c r="F3130" i="11" a="1"/>
  <c r="F3130" i="11" s="1"/>
  <c r="F67" i="11" a="1"/>
  <c r="F67" i="11" s="1"/>
  <c r="F185" i="11" a="1"/>
  <c r="F185" i="11" s="1"/>
  <c r="F325" i="11" a="1"/>
  <c r="F325" i="11" s="1"/>
  <c r="F485" i="11" a="1"/>
  <c r="F485" i="11" s="1"/>
  <c r="F857" i="11" a="1"/>
  <c r="F857" i="11" s="1"/>
  <c r="F1122" i="11" a="1"/>
  <c r="F1122" i="11" s="1"/>
  <c r="F1295" i="11" a="1"/>
  <c r="F1295" i="11" s="1"/>
  <c r="F1509" i="11" a="1"/>
  <c r="F1509" i="11" s="1"/>
  <c r="F1758" i="11" a="1"/>
  <c r="F1758" i="11" s="1"/>
  <c r="F2011" i="11" a="1"/>
  <c r="F2011" i="11" s="1"/>
  <c r="F2303" i="11" a="1"/>
  <c r="F2303" i="11" s="1"/>
  <c r="F2550" i="11" a="1"/>
  <c r="F2550" i="11" s="1"/>
  <c r="F2826" i="11" a="1"/>
  <c r="F2826" i="11" s="1"/>
  <c r="F3000" i="11" a="1"/>
  <c r="F3000" i="11" s="1"/>
  <c r="F3154" i="11" a="1"/>
  <c r="F3154" i="11" s="1"/>
  <c r="F91" i="11" a="1"/>
  <c r="F91" i="11" s="1"/>
  <c r="F219" i="11" a="1"/>
  <c r="F219" i="11" s="1"/>
  <c r="F365" i="11" a="1"/>
  <c r="F365" i="11" s="1"/>
  <c r="F575" i="11" a="1"/>
  <c r="F575" i="11" s="1"/>
  <c r="F806" i="11" a="1"/>
  <c r="F806" i="11" s="1"/>
  <c r="F1037" i="11" a="1"/>
  <c r="F1037" i="11" s="1"/>
  <c r="F1294" i="11" a="1"/>
  <c r="F1294" i="11" s="1"/>
  <c r="F1508" i="11" a="1"/>
  <c r="F1508" i="11" s="1"/>
  <c r="F1757" i="11" a="1"/>
  <c r="F1757" i="11" s="1"/>
  <c r="F2010" i="11" a="1"/>
  <c r="F2010" i="11" s="1"/>
  <c r="F2302" i="11" a="1"/>
  <c r="F2302" i="11" s="1"/>
  <c r="F2549" i="11" a="1"/>
  <c r="F2549" i="11" s="1"/>
  <c r="F2825" i="11" a="1"/>
  <c r="F2825" i="11" s="1"/>
  <c r="F2999" i="11" a="1"/>
  <c r="F2999" i="11" s="1"/>
  <c r="F3153" i="11" a="1"/>
  <c r="F3153" i="11" s="1"/>
  <c r="F3283" i="11" a="1"/>
  <c r="F3283" i="11" s="1"/>
  <c r="F218" i="11" a="1"/>
  <c r="F218" i="11" s="1"/>
  <c r="F364" i="11" a="1"/>
  <c r="F364" i="11" s="1"/>
  <c r="F574" i="11" a="1"/>
  <c r="F574" i="11" s="1"/>
  <c r="F805" i="11" a="1"/>
  <c r="F805" i="11" s="1"/>
  <c r="F1036" i="11" a="1"/>
  <c r="F1036" i="11" s="1"/>
  <c r="F1252" i="11" a="1"/>
  <c r="F1252" i="11" s="1"/>
  <c r="F1507" i="11" a="1"/>
  <c r="F1507" i="11" s="1"/>
  <c r="F1756" i="11" a="1"/>
  <c r="F1756" i="11" s="1"/>
  <c r="F2009" i="11" a="1"/>
  <c r="F2009" i="11" s="1"/>
  <c r="F2261" i="11" a="1"/>
  <c r="F2261" i="11" s="1"/>
  <c r="F2548" i="11" a="1"/>
  <c r="F2548" i="11" s="1"/>
  <c r="F2787" i="11" a="1"/>
  <c r="F2787" i="11" s="1"/>
  <c r="F2998" i="11" a="1"/>
  <c r="F2998" i="11" s="1"/>
  <c r="F3152" i="11" a="1"/>
  <c r="F3152" i="11" s="1"/>
  <c r="F3282" i="11" a="1"/>
  <c r="F3282" i="11" s="1"/>
  <c r="F217" i="11" a="1"/>
  <c r="F217" i="11" s="1"/>
  <c r="F616" i="11" a="1"/>
  <c r="F616" i="11" s="1"/>
  <c r="F854" i="11" a="1"/>
  <c r="F854" i="11" s="1"/>
  <c r="F1082" i="11" a="1"/>
  <c r="F1082" i="11" s="1"/>
  <c r="F1337" i="11" a="1"/>
  <c r="F1337" i="11" s="1"/>
  <c r="F1586" i="11" a="1"/>
  <c r="F1586" i="11" s="1"/>
  <c r="F1839" i="11" a="1"/>
  <c r="F1839" i="11" s="1"/>
  <c r="F2090" i="11" a="1"/>
  <c r="F2090" i="11" s="1"/>
  <c r="F2341" i="11" a="1"/>
  <c r="F2341" i="11" s="1"/>
  <c r="F2590" i="11" a="1"/>
  <c r="F2590" i="11" s="1"/>
  <c r="F2997" i="11" a="1"/>
  <c r="F2997" i="11" s="1"/>
  <c r="F3151" i="11" a="1"/>
  <c r="F3151" i="11" s="1"/>
  <c r="F3281" i="11" a="1"/>
  <c r="F3281" i="11" s="1"/>
  <c r="F216" i="11" a="1"/>
  <c r="F216" i="11" s="1"/>
  <c r="F362" i="11" a="1"/>
  <c r="F362" i="11" s="1"/>
  <c r="F572" i="11" a="1"/>
  <c r="F572" i="11" s="1"/>
  <c r="F803" i="11" a="1"/>
  <c r="F803" i="11" s="1"/>
  <c r="F1034" i="11" a="1"/>
  <c r="F1034" i="11" s="1"/>
  <c r="F1293" i="11" a="1"/>
  <c r="F1293" i="11" s="1"/>
  <c r="F1505" i="11" a="1"/>
  <c r="F1505" i="11" s="1"/>
  <c r="F1754" i="11" a="1"/>
  <c r="F1754" i="11" s="1"/>
  <c r="F2007" i="11" a="1"/>
  <c r="F2007" i="11" s="1"/>
  <c r="F2259" i="11" a="1"/>
  <c r="F2259" i="11" s="1"/>
  <c r="F2546" i="11" a="1"/>
  <c r="F2546" i="11" s="1"/>
  <c r="F2785" i="11" a="1"/>
  <c r="F2785" i="11" s="1"/>
  <c r="F2996" i="11" a="1"/>
  <c r="F2996" i="11" s="1"/>
  <c r="F3150" i="11" a="1"/>
  <c r="F3150" i="11" s="1"/>
  <c r="F3280" i="11" a="1"/>
  <c r="F3280" i="11" s="1"/>
  <c r="F215" i="11" a="1"/>
  <c r="F215" i="11" s="1"/>
  <c r="F401" i="11" a="1"/>
  <c r="F401" i="11" s="1"/>
  <c r="F571" i="11" a="1"/>
  <c r="F571" i="11" s="1"/>
  <c r="F802" i="11" a="1"/>
  <c r="F802" i="11" s="1"/>
  <c r="F1033" i="11" a="1"/>
  <c r="F1033" i="11" s="1"/>
  <c r="F1292" i="11" a="1"/>
  <c r="F1292" i="11" s="1"/>
  <c r="F1504" i="11" a="1"/>
  <c r="F1504" i="11" s="1"/>
  <c r="F1753" i="11" a="1"/>
  <c r="F1753" i="11" s="1"/>
  <c r="F2006" i="11" a="1"/>
  <c r="F2006" i="11" s="1"/>
  <c r="F2258" i="11" a="1"/>
  <c r="F2258" i="11" s="1"/>
  <c r="F2545" i="11" a="1"/>
  <c r="F2545" i="11" s="1"/>
  <c r="F2784" i="11" a="1"/>
  <c r="F2784" i="11" s="1"/>
  <c r="F2995" i="11" a="1"/>
  <c r="F2995" i="11" s="1"/>
  <c r="F3149" i="11" a="1"/>
  <c r="F3149" i="11" s="1"/>
  <c r="F3279" i="11" a="1"/>
  <c r="F3279" i="11" s="1"/>
  <c r="F3392" i="11" a="1"/>
  <c r="F3392" i="11" s="1"/>
  <c r="F400" i="11" a="1"/>
  <c r="F400" i="11" s="1"/>
  <c r="F570" i="11" a="1"/>
  <c r="F570" i="11" s="1"/>
  <c r="F801" i="11" a="1"/>
  <c r="F801" i="11" s="1"/>
  <c r="F1032" i="11" a="1"/>
  <c r="F1032" i="11" s="1"/>
  <c r="F1291" i="11" a="1"/>
  <c r="F1291" i="11" s="1"/>
  <c r="F1503" i="11" a="1"/>
  <c r="F1503" i="11" s="1"/>
  <c r="F1752" i="11" a="1"/>
  <c r="F1752" i="11" s="1"/>
  <c r="F2005" i="11" a="1"/>
  <c r="F2005" i="11" s="1"/>
  <c r="F2257" i="11" a="1"/>
  <c r="F2257" i="11" s="1"/>
  <c r="F2544" i="11" a="1"/>
  <c r="F2544" i="11" s="1"/>
  <c r="F2783" i="11" a="1"/>
  <c r="F2783" i="11" s="1"/>
  <c r="F2994" i="11" a="1"/>
  <c r="F2994" i="11" s="1"/>
  <c r="F3148" i="11" a="1"/>
  <c r="F3148" i="11" s="1"/>
  <c r="F3278" i="11" a="1"/>
  <c r="F3278" i="11" s="1"/>
  <c r="F3391" i="11" a="1"/>
  <c r="F3391" i="11" s="1"/>
  <c r="F399" i="11" a="1"/>
  <c r="F399" i="11" s="1"/>
  <c r="F613" i="11" a="1"/>
  <c r="F613" i="11" s="1"/>
  <c r="F851" i="11" a="1"/>
  <c r="F851" i="11" s="1"/>
  <c r="F1080" i="11" a="1"/>
  <c r="F1080" i="11" s="1"/>
  <c r="F1290" i="11" a="1"/>
  <c r="F1290" i="11" s="1"/>
  <c r="F1545" i="11" a="1"/>
  <c r="F1545" i="11" s="1"/>
  <c r="F1751" i="11" a="1"/>
  <c r="F1751" i="11" s="1"/>
  <c r="F2004" i="11" a="1"/>
  <c r="F2004" i="11" s="1"/>
  <c r="F2301" i="11" a="1"/>
  <c r="F2301" i="11" s="1"/>
  <c r="F2543" i="11" a="1"/>
  <c r="F2543" i="11" s="1"/>
  <c r="F2782" i="11" a="1"/>
  <c r="F2782" i="11" s="1"/>
  <c r="F2993" i="11" a="1"/>
  <c r="F2993" i="11" s="1"/>
  <c r="F3147" i="11" a="1"/>
  <c r="F3147" i="11" s="1"/>
  <c r="F3277" i="11" a="1"/>
  <c r="F3277" i="11" s="1"/>
  <c r="F3390" i="11" a="1"/>
  <c r="F3390" i="11" s="1"/>
  <c r="F437" i="11" a="1"/>
  <c r="F437" i="11" s="1"/>
  <c r="F612" i="11" a="1"/>
  <c r="F612" i="11" s="1"/>
  <c r="F850" i="11" a="1"/>
  <c r="F850" i="11" s="1"/>
  <c r="F1079" i="11" a="1"/>
  <c r="F1079" i="11" s="1"/>
  <c r="F1289" i="11" a="1"/>
  <c r="F1289" i="11" s="1"/>
  <c r="F1544" i="11" a="1"/>
  <c r="F1544" i="11" s="1"/>
  <c r="F1795" i="11" a="1"/>
  <c r="F1795" i="11" s="1"/>
  <c r="F2047" i="11" a="1"/>
  <c r="F2047" i="11" s="1"/>
  <c r="F2300" i="11" a="1"/>
  <c r="F2300" i="11" s="1"/>
  <c r="F2542" i="11" a="1"/>
  <c r="F2542" i="11" s="1"/>
  <c r="F2824" i="11" a="1"/>
  <c r="F2824" i="11" s="1"/>
  <c r="F2992" i="11" a="1"/>
  <c r="F2992" i="11" s="1"/>
  <c r="F3146" i="11" a="1"/>
  <c r="F3146" i="11" s="1"/>
  <c r="F221" i="11" a="1"/>
  <c r="F221" i="11" s="1"/>
  <c r="F367" i="11" a="1"/>
  <c r="F367" i="11" s="1"/>
  <c r="F577" i="11" a="1"/>
  <c r="F577" i="11" s="1"/>
  <c r="F808" i="11" a="1"/>
  <c r="F808" i="11" s="1"/>
  <c r="F1039" i="11" a="1"/>
  <c r="F1039" i="11" s="1"/>
  <c r="F1296" i="11" a="1"/>
  <c r="F1296" i="11" s="1"/>
  <c r="F1546" i="11" a="1"/>
  <c r="F1546" i="11" s="1"/>
  <c r="F1796" i="11" a="1"/>
  <c r="F1796" i="11" s="1"/>
  <c r="F2048" i="11" a="1"/>
  <c r="F2048" i="11" s="1"/>
  <c r="F2304" i="11" a="1"/>
  <c r="F2304" i="11" s="1"/>
  <c r="F2551" i="11" a="1"/>
  <c r="F2551" i="11" s="1"/>
  <c r="F2827" i="11" a="1"/>
  <c r="F2827" i="11" s="1"/>
  <c r="F3019" i="11" a="1"/>
  <c r="F3019" i="11" s="1"/>
  <c r="F3172" i="11" a="1"/>
  <c r="F3172" i="11" s="1"/>
  <c r="F92" i="11" a="1"/>
  <c r="F92" i="11" s="1"/>
  <c r="F220" i="11" a="1"/>
  <c r="F220" i="11" s="1"/>
  <c r="F366" i="11" a="1"/>
  <c r="F366" i="11" s="1"/>
  <c r="F529" i="11" a="1"/>
  <c r="F529" i="11" s="1"/>
  <c r="F945" i="11" a="1"/>
  <c r="F945" i="11" s="1"/>
  <c r="F1340" i="11" a="1"/>
  <c r="F1340" i="11" s="1"/>
  <c r="F1589" i="11" a="1"/>
  <c r="F1589" i="11" s="1"/>
  <c r="F1842" i="11" a="1"/>
  <c r="F1842" i="11" s="1"/>
  <c r="F2093" i="11" a="1"/>
  <c r="F2093" i="11" s="1"/>
  <c r="F2344" i="11" a="1"/>
  <c r="F2344" i="11" s="1"/>
  <c r="F2628" i="11" a="1"/>
  <c r="F2628" i="11" s="1"/>
  <c r="F2864" i="11" a="1"/>
  <c r="F2864" i="11" s="1"/>
  <c r="F3045" i="11" a="1"/>
  <c r="F3045" i="11" s="1"/>
  <c r="F3193" i="11" a="1"/>
  <c r="F3193" i="11" s="1"/>
  <c r="F119" i="11" a="1"/>
  <c r="F119" i="11" s="1"/>
  <c r="F252" i="11" a="1"/>
  <c r="F252" i="11" s="1"/>
  <c r="F404" i="11" a="1"/>
  <c r="F404" i="11" s="1"/>
  <c r="F618" i="11" a="1"/>
  <c r="F618" i="11" s="1"/>
  <c r="F856" i="11" a="1"/>
  <c r="F856" i="11" s="1"/>
  <c r="F1084" i="11" a="1"/>
  <c r="F1084" i="11" s="1"/>
  <c r="F1339" i="11" a="1"/>
  <c r="F1339" i="11" s="1"/>
  <c r="F1588" i="11" a="1"/>
  <c r="F1588" i="11" s="1"/>
  <c r="F1841" i="11" a="1"/>
  <c r="F1841" i="11" s="1"/>
  <c r="F2092" i="11" a="1"/>
  <c r="F2092" i="11" s="1"/>
  <c r="F2343" i="11" a="1"/>
  <c r="F2343" i="11" s="1"/>
  <c r="F2627" i="11" a="1"/>
  <c r="F2627" i="11" s="1"/>
  <c r="F2863" i="11" a="1"/>
  <c r="F2863" i="11" s="1"/>
  <c r="F3044" i="11" a="1"/>
  <c r="F3044" i="11" s="1"/>
  <c r="F3192" i="11" a="1"/>
  <c r="F3192" i="11" s="1"/>
  <c r="F118" i="11" a="1"/>
  <c r="F118" i="11" s="1"/>
  <c r="F251" i="11" a="1"/>
  <c r="F251" i="11" s="1"/>
  <c r="F403" i="11" a="1"/>
  <c r="F403" i="11" s="1"/>
  <c r="F617" i="11" a="1"/>
  <c r="F617" i="11" s="1"/>
  <c r="F855" i="11" a="1"/>
  <c r="F855" i="11" s="1"/>
  <c r="F1083" i="11" a="1"/>
  <c r="F1083" i="11" s="1"/>
  <c r="F1338" i="11" a="1"/>
  <c r="F1338" i="11" s="1"/>
  <c r="F1587" i="11" a="1"/>
  <c r="F1587" i="11" s="1"/>
  <c r="F1840" i="11" a="1"/>
  <c r="F1840" i="11" s="1"/>
  <c r="F2091" i="11" a="1"/>
  <c r="F2091" i="11" s="1"/>
  <c r="F2342" i="11" a="1"/>
  <c r="F2342" i="11" s="1"/>
  <c r="F2591" i="11" a="1"/>
  <c r="F2591" i="11" s="1"/>
  <c r="F2862" i="11" a="1"/>
  <c r="F2862" i="11" s="1"/>
  <c r="F3043" i="11" a="1"/>
  <c r="F3043" i="11" s="1"/>
  <c r="F3191" i="11" a="1"/>
  <c r="F3191" i="11" s="1"/>
  <c r="F3317" i="11" a="1"/>
  <c r="F3317" i="11" s="1"/>
  <c r="F250" i="11" a="1"/>
  <c r="F250" i="11" s="1"/>
  <c r="F526" i="11" a="1"/>
  <c r="F526" i="11" s="1"/>
  <c r="F664" i="11" a="1"/>
  <c r="F664" i="11" s="1"/>
  <c r="F901" i="11" a="1"/>
  <c r="F901" i="11" s="1"/>
  <c r="F1161" i="11" a="1"/>
  <c r="F1161" i="11" s="1"/>
  <c r="F1378" i="11" a="1"/>
  <c r="F1378" i="11" s="1"/>
  <c r="F1632" i="11" a="1"/>
  <c r="F1632" i="11" s="1"/>
  <c r="F1885" i="11" a="1"/>
  <c r="F1885" i="11" s="1"/>
  <c r="F2133" i="11" a="1"/>
  <c r="F2133" i="11" s="1"/>
  <c r="F2425" i="11" a="1"/>
  <c r="F2425" i="11" s="1"/>
  <c r="F2669" i="11" a="1"/>
  <c r="F2669" i="11" s="1"/>
  <c r="F3042" i="11" a="1"/>
  <c r="F3042" i="11" s="1"/>
  <c r="F3190" i="11" a="1"/>
  <c r="F3190" i="11" s="1"/>
  <c r="F3316" i="11" a="1"/>
  <c r="F3316" i="11" s="1"/>
  <c r="F249" i="11" a="1"/>
  <c r="F249" i="11" s="1"/>
  <c r="F441" i="11" a="1"/>
  <c r="F441" i="11" s="1"/>
  <c r="F615" i="11" a="1"/>
  <c r="F615" i="11" s="1"/>
  <c r="F853" i="11" a="1"/>
  <c r="F853" i="11" s="1"/>
  <c r="F1081" i="11" a="1"/>
  <c r="F1081" i="11" s="1"/>
  <c r="F1336" i="11" a="1"/>
  <c r="F1336" i="11" s="1"/>
  <c r="F1585" i="11" a="1"/>
  <c r="F1585" i="11" s="1"/>
  <c r="F1838" i="11" a="1"/>
  <c r="F1838" i="11" s="1"/>
  <c r="F2089" i="11" a="1"/>
  <c r="F2089" i="11" s="1"/>
  <c r="F2340" i="11" a="1"/>
  <c r="F2340" i="11" s="1"/>
  <c r="F2589" i="11" a="1"/>
  <c r="F2589" i="11" s="1"/>
  <c r="F2860" i="11" a="1"/>
  <c r="F2860" i="11" s="1"/>
  <c r="F3041" i="11" a="1"/>
  <c r="F3041" i="11" s="1"/>
  <c r="F3171" i="11" a="1"/>
  <c r="F3171" i="11" s="1"/>
  <c r="F3301" i="11" a="1"/>
  <c r="F3301" i="11" s="1"/>
  <c r="F248" i="11" a="1"/>
  <c r="F248" i="11" s="1"/>
  <c r="F440" i="11" a="1"/>
  <c r="F440" i="11" s="1"/>
  <c r="F614" i="11" a="1"/>
  <c r="F614" i="11" s="1"/>
  <c r="F852" i="11" a="1"/>
  <c r="F852" i="11" s="1"/>
  <c r="F1121" i="11" a="1"/>
  <c r="F1121" i="11" s="1"/>
  <c r="F1335" i="11" a="1"/>
  <c r="F1335" i="11" s="1"/>
  <c r="F1584" i="11" a="1"/>
  <c r="F1584" i="11" s="1"/>
  <c r="F1837" i="11" a="1"/>
  <c r="F1837" i="11" s="1"/>
  <c r="F2088" i="11" a="1"/>
  <c r="F2088" i="11" s="1"/>
  <c r="F2339" i="11" a="1"/>
  <c r="F2339" i="11" s="1"/>
  <c r="F2588" i="11" a="1"/>
  <c r="F2588" i="11" s="1"/>
  <c r="F2859" i="11" a="1"/>
  <c r="F2859" i="11" s="1"/>
  <c r="F3040" i="11" a="1"/>
  <c r="F3040" i="11" s="1"/>
  <c r="F3170" i="11" a="1"/>
  <c r="F3170" i="11" s="1"/>
  <c r="F3300" i="11" a="1"/>
  <c r="F3300" i="11" s="1"/>
  <c r="F284" i="11" a="1"/>
  <c r="F284" i="11" s="1"/>
  <c r="F439" i="11" a="1"/>
  <c r="F439" i="11" s="1"/>
  <c r="F662" i="11" a="1"/>
  <c r="F662" i="11" s="1"/>
  <c r="F899" i="11" a="1"/>
  <c r="F899" i="11" s="1"/>
  <c r="F1120" i="11" a="1"/>
  <c r="F1120" i="11" s="1"/>
  <c r="F1334" i="11" a="1"/>
  <c r="F1334" i="11" s="1"/>
  <c r="F1583" i="11" a="1"/>
  <c r="F1583" i="11" s="1"/>
  <c r="F1836" i="11" a="1"/>
  <c r="F1836" i="11" s="1"/>
  <c r="F2087" i="11" a="1"/>
  <c r="F2087" i="11" s="1"/>
  <c r="F2338" i="11" a="1"/>
  <c r="F2338" i="11" s="1"/>
  <c r="F2587" i="11" a="1"/>
  <c r="F2587" i="11" s="1"/>
  <c r="F2858" i="11" a="1"/>
  <c r="F2858" i="11" s="1"/>
  <c r="F3039" i="11" a="1"/>
  <c r="F3039" i="11" s="1"/>
  <c r="F3169" i="11" a="1"/>
  <c r="F3169" i="11" s="1"/>
  <c r="F3299" i="11" a="1"/>
  <c r="F3299" i="11" s="1"/>
  <c r="F3403" i="11" a="1"/>
  <c r="F3403" i="11" s="1"/>
  <c r="F438" i="11" a="1"/>
  <c r="F438" i="11" s="1"/>
  <c r="F661" i="11" a="1"/>
  <c r="F661" i="11" s="1"/>
  <c r="F898" i="11" a="1"/>
  <c r="F898" i="11" s="1"/>
  <c r="F1119" i="11" a="1"/>
  <c r="F1119" i="11" s="1"/>
  <c r="F1333" i="11" a="1"/>
  <c r="F1333" i="11" s="1"/>
  <c r="F1582" i="11" a="1"/>
  <c r="F1582" i="11" s="1"/>
  <c r="F1835" i="11" a="1"/>
  <c r="F1835" i="11" s="1"/>
  <c r="F2086" i="11" a="1"/>
  <c r="F2086" i="11" s="1"/>
  <c r="F2337" i="11" a="1"/>
  <c r="F2337" i="11" s="1"/>
  <c r="F2626" i="11" a="1"/>
  <c r="F2626" i="11" s="1"/>
  <c r="F2857" i="11" a="1"/>
  <c r="F2857" i="11" s="1"/>
  <c r="F3038" i="11" a="1"/>
  <c r="F3038" i="11" s="1"/>
  <c r="F3189" i="11" a="1"/>
  <c r="F3189" i="11" s="1"/>
  <c r="F3298" i="11" a="1"/>
  <c r="F3298" i="11" s="1"/>
  <c r="F3402" i="11" a="1"/>
  <c r="F3402" i="11" s="1"/>
  <c r="F478" i="11" a="1"/>
  <c r="F478" i="11" s="1"/>
  <c r="F660" i="11" a="1"/>
  <c r="F660" i="11" s="1"/>
  <c r="F897" i="11" a="1"/>
  <c r="F897" i="11" s="1"/>
  <c r="F1118" i="11" a="1"/>
  <c r="F1118" i="11" s="1"/>
  <c r="F1375" i="11" a="1"/>
  <c r="F1375" i="11" s="1"/>
  <c r="F3194" i="11" a="1"/>
  <c r="F3194" i="11" s="1"/>
  <c r="F120" i="11" a="1"/>
  <c r="F120" i="11" s="1"/>
  <c r="F253" i="11" a="1"/>
  <c r="F253" i="11" s="1"/>
  <c r="F405" i="11" a="1"/>
  <c r="F405" i="11" s="1"/>
  <c r="F576" i="11" a="1"/>
  <c r="F576" i="11" s="1"/>
  <c r="F760" i="11" a="1"/>
  <c r="F760" i="11" s="1"/>
  <c r="F992" i="11" a="1"/>
  <c r="F992" i="11" s="1"/>
  <c r="F1381" i="11" a="1"/>
  <c r="F1381" i="11" s="1"/>
  <c r="F1635" i="11" a="1"/>
  <c r="F1635" i="11" s="1"/>
  <c r="F1888" i="11" a="1"/>
  <c r="F1888" i="11" s="1"/>
  <c r="F2174" i="11" a="1"/>
  <c r="F2174" i="11" s="1"/>
  <c r="F2428" i="11" a="1"/>
  <c r="F2428" i="11" s="1"/>
  <c r="F2672" i="11" a="1"/>
  <c r="F2672" i="11" s="1"/>
  <c r="F2919" i="11" a="1"/>
  <c r="F2919" i="11" s="1"/>
  <c r="F3091" i="11" a="1"/>
  <c r="F3091" i="11" s="1"/>
  <c r="F3230" i="11" a="1"/>
  <c r="F3230" i="11" s="1"/>
  <c r="F151" i="11" a="1"/>
  <c r="F151" i="11" s="1"/>
  <c r="F288" i="11" a="1"/>
  <c r="F288" i="11" s="1"/>
  <c r="F484" i="11" a="1"/>
  <c r="F484" i="11" s="1"/>
  <c r="F666" i="11" a="1"/>
  <c r="F666" i="11" s="1"/>
  <c r="F903" i="11" a="1"/>
  <c r="F903" i="11" s="1"/>
  <c r="F1163" i="11" a="1"/>
  <c r="F1163" i="11" s="1"/>
  <c r="F1380" i="11" a="1"/>
  <c r="F1380" i="11" s="1"/>
  <c r="F1634" i="11" a="1"/>
  <c r="F1634" i="11" s="1"/>
  <c r="F1887" i="11" a="1"/>
  <c r="F1887" i="11" s="1"/>
  <c r="F2135" i="11" a="1"/>
  <c r="F2135" i="11" s="1"/>
  <c r="F2427" i="11" a="1"/>
  <c r="F2427" i="11" s="1"/>
  <c r="F2671" i="11" a="1"/>
  <c r="F2671" i="11" s="1"/>
  <c r="F2918" i="11" a="1"/>
  <c r="F2918" i="11" s="1"/>
  <c r="F3090" i="11" a="1"/>
  <c r="F3090" i="11" s="1"/>
  <c r="F3229" i="11" a="1"/>
  <c r="F3229" i="11" s="1"/>
  <c r="F150" i="11" a="1"/>
  <c r="F150" i="11" s="1"/>
  <c r="F287" i="11" a="1"/>
  <c r="F287" i="11" s="1"/>
  <c r="F483" i="11" a="1"/>
  <c r="F483" i="11" s="1"/>
  <c r="F665" i="11" a="1"/>
  <c r="F665" i="11" s="1"/>
  <c r="F902" i="11" a="1"/>
  <c r="F902" i="11" s="1"/>
  <c r="F1162" i="11" a="1"/>
  <c r="F1162" i="11" s="1"/>
  <c r="F1379" i="11" a="1"/>
  <c r="F1379" i="11" s="1"/>
  <c r="F1633" i="11" a="1"/>
  <c r="F1633" i="11" s="1"/>
  <c r="F1886" i="11" a="1"/>
  <c r="F1886" i="11" s="1"/>
  <c r="F2134" i="11" a="1"/>
  <c r="F2134" i="11" s="1"/>
  <c r="F2426" i="11" a="1"/>
  <c r="F2426" i="11" s="1"/>
  <c r="F2670" i="11" a="1"/>
  <c r="F2670" i="11" s="1"/>
  <c r="F2917" i="11" a="1"/>
  <c r="F2917" i="11" s="1"/>
  <c r="F3089" i="11" a="1"/>
  <c r="F3089" i="11" s="1"/>
  <c r="F3212" i="11" a="1"/>
  <c r="F3212" i="11" s="1"/>
  <c r="F149" i="11" a="1"/>
  <c r="F149" i="11" s="1"/>
  <c r="F286" i="11" a="1"/>
  <c r="F286" i="11" s="1"/>
  <c r="F402" i="11" a="1"/>
  <c r="F402" i="11" s="1"/>
  <c r="F573" i="11" a="1"/>
  <c r="F573" i="11" s="1"/>
  <c r="F757" i="11" a="1"/>
  <c r="F757" i="11" s="1"/>
  <c r="F989" i="11" a="1"/>
  <c r="F989" i="11" s="1"/>
  <c r="F1209" i="11" a="1"/>
  <c r="F1209" i="11" s="1"/>
  <c r="F1462" i="11" a="1"/>
  <c r="F1462" i="11" s="1"/>
  <c r="F1713" i="11" a="1"/>
  <c r="F1713" i="11" s="1"/>
  <c r="F1962" i="11" a="1"/>
  <c r="F1962" i="11" s="1"/>
  <c r="F2218" i="11" a="1"/>
  <c r="F2218" i="11" s="1"/>
  <c r="F2468" i="11" a="1"/>
  <c r="F2468" i="11" s="1"/>
  <c r="F2746" i="11" a="1"/>
  <c r="F2746" i="11" s="1"/>
  <c r="F2916" i="11" a="1"/>
  <c r="F2916" i="11" s="1"/>
  <c r="F3068" i="11" a="1"/>
  <c r="F3068" i="11" s="1"/>
  <c r="F3211" i="11" a="1"/>
  <c r="F3211" i="11" s="1"/>
  <c r="F3333" i="11" a="1"/>
  <c r="F3333" i="11" s="1"/>
  <c r="F285" i="11" a="1"/>
  <c r="F285" i="11" s="1"/>
  <c r="F481" i="11" a="1"/>
  <c r="F481" i="11" s="1"/>
  <c r="F663" i="11" a="1"/>
  <c r="F663" i="11" s="1"/>
  <c r="F900" i="11" a="1"/>
  <c r="F900" i="11" s="1"/>
  <c r="F1160" i="11" a="1"/>
  <c r="F1160" i="11" s="1"/>
  <c r="F1377" i="11" a="1"/>
  <c r="F1377" i="11" s="1"/>
  <c r="F1631" i="11" a="1"/>
  <c r="F1631" i="11" s="1"/>
  <c r="F1884" i="11" a="1"/>
  <c r="F1884" i="11" s="1"/>
  <c r="F2132" i="11" a="1"/>
  <c r="F2132" i="11" s="1"/>
  <c r="F2381" i="11" a="1"/>
  <c r="F2381" i="11" s="1"/>
  <c r="F2668" i="11" a="1"/>
  <c r="F2668" i="11" s="1"/>
  <c r="F2915" i="11" a="1"/>
  <c r="F2915" i="11" s="1"/>
  <c r="F3067" i="11" a="1"/>
  <c r="F3067" i="11" s="1"/>
  <c r="F3210" i="11" a="1"/>
  <c r="F3210" i="11" s="1"/>
  <c r="F3332" i="11" a="1"/>
  <c r="F3332" i="11" s="1"/>
  <c r="F320" i="11" a="1"/>
  <c r="F320" i="11" s="1"/>
  <c r="F480" i="11" a="1"/>
  <c r="F480" i="11" s="1"/>
  <c r="F706" i="11" a="1"/>
  <c r="F706" i="11" s="1"/>
  <c r="F944" i="11" a="1"/>
  <c r="F944" i="11" s="1"/>
  <c r="F1159" i="11" a="1"/>
  <c r="F1159" i="11" s="1"/>
  <c r="F1376" i="11" a="1"/>
  <c r="F1376" i="11" s="1"/>
  <c r="F1630" i="11" a="1"/>
  <c r="F1630" i="11" s="1"/>
  <c r="F1883" i="11" a="1"/>
  <c r="F1883" i="11" s="1"/>
  <c r="F2131" i="11" a="1"/>
  <c r="F2131" i="11" s="1"/>
  <c r="F2424" i="11" a="1"/>
  <c r="F2424" i="11" s="1"/>
  <c r="F2667" i="11" a="1"/>
  <c r="F2667" i="11" s="1"/>
  <c r="F2914" i="11" a="1"/>
  <c r="F2914" i="11" s="1"/>
  <c r="F3066" i="11" a="1"/>
  <c r="F3066" i="11" s="1"/>
  <c r="F3209" i="11" a="1"/>
  <c r="F3209" i="11" s="1"/>
  <c r="F3331" i="11" a="1"/>
  <c r="F3331" i="11" s="1"/>
  <c r="F319" i="11" a="1"/>
  <c r="F319" i="11" s="1"/>
  <c r="F479" i="11" a="1"/>
  <c r="F479" i="11" s="1"/>
  <c r="F705" i="11" a="1"/>
  <c r="F705" i="11" s="1"/>
  <c r="F943" i="11" a="1"/>
  <c r="F943" i="11" s="1"/>
  <c r="F1158" i="11" a="1"/>
  <c r="F1158" i="11" s="1"/>
  <c r="F1418" i="11" a="1"/>
  <c r="F1418" i="11" s="1"/>
  <c r="F1629" i="11" a="1"/>
  <c r="F1629" i="11" s="1"/>
  <c r="F1882" i="11" a="1"/>
  <c r="F1882" i="11" s="1"/>
  <c r="F2130" i="11" a="1"/>
  <c r="F2130" i="11" s="1"/>
  <c r="F2423" i="11" a="1"/>
  <c r="F2423" i="11" s="1"/>
  <c r="F2666" i="11" a="1"/>
  <c r="F2666" i="11" s="1"/>
  <c r="F2913" i="11" a="1"/>
  <c r="F2913" i="11" s="1"/>
  <c r="F3065" i="11" a="1"/>
  <c r="F3065" i="11" s="1"/>
  <c r="F3208" i="11" a="1"/>
  <c r="F3208" i="11" s="1"/>
  <c r="F3330" i="11" a="1"/>
  <c r="F3330" i="11" s="1"/>
  <c r="F318" i="11" a="1"/>
  <c r="F318" i="11" s="1"/>
  <c r="F522" i="11" a="1"/>
  <c r="F522" i="11" s="1"/>
  <c r="F704" i="11" a="1"/>
  <c r="F704" i="11" s="1"/>
  <c r="F942" i="11" a="1"/>
  <c r="F942" i="11" s="1"/>
  <c r="F1157" i="11" a="1"/>
  <c r="F1157" i="11" s="1"/>
  <c r="F1417" i="11" a="1"/>
  <c r="F1417" i="11" s="1"/>
  <c r="F1628" i="11" a="1"/>
  <c r="F1628" i="11" s="1"/>
  <c r="F1881" i="11" a="1"/>
  <c r="F1881" i="11" s="1"/>
  <c r="F2129" i="11" a="1"/>
  <c r="F2129" i="11" s="1"/>
  <c r="F2422" i="11" a="1"/>
  <c r="F2422" i="11" s="1"/>
  <c r="F2665" i="11" a="1"/>
  <c r="F2665" i="11" s="1"/>
  <c r="F2912" i="11" a="1"/>
  <c r="F2912" i="11" s="1"/>
  <c r="F3064" i="11" a="1"/>
  <c r="F3064" i="11" s="1"/>
  <c r="F3207" i="11" a="1"/>
  <c r="F3207" i="11" s="1"/>
  <c r="F3329" i="11" a="1"/>
  <c r="F3329" i="11" s="1"/>
  <c r="F3432" i="11" a="1"/>
  <c r="F3432" i="11" s="1"/>
  <c r="F521" i="11" a="1"/>
  <c r="F521" i="11" s="1"/>
  <c r="F752" i="11" a="1"/>
  <c r="F752" i="11" s="1"/>
  <c r="F941" i="11" a="1"/>
  <c r="F941" i="11" s="1"/>
  <c r="F1205" i="11" a="1"/>
  <c r="F1205" i="11" s="1"/>
  <c r="F1416" i="11" a="1"/>
  <c r="F1416" i="11" s="1"/>
  <c r="F1671" i="11" a="1"/>
  <c r="F1671" i="11" s="1"/>
  <c r="F1920" i="11" a="1"/>
  <c r="F1920" i="11" s="1"/>
  <c r="F2173" i="11" a="1"/>
  <c r="F2173" i="11" s="1"/>
  <c r="F2421" i="11" a="1"/>
  <c r="F2421" i="11" s="1"/>
  <c r="F2664" i="11" a="1"/>
  <c r="F2664" i="11" s="1"/>
  <c r="F2911" i="11" a="1"/>
  <c r="F2911" i="11" s="1"/>
  <c r="F3088" i="11" a="1"/>
  <c r="F3088" i="11" s="1"/>
  <c r="F3206" i="11" a="1"/>
  <c r="F3206" i="11" s="1"/>
  <c r="F1708" i="11" a="1"/>
  <c r="F1708" i="11" s="1"/>
  <c r="F1957" i="11" a="1"/>
  <c r="F1957" i="11" s="1"/>
  <c r="F2213" i="11" a="1"/>
  <c r="F2213" i="11" s="1"/>
  <c r="F2502" i="11" a="1"/>
  <c r="F2502" i="11" s="1"/>
  <c r="F2741" i="11" a="1"/>
  <c r="F2741" i="11" s="1"/>
  <c r="F2969" i="11" a="1"/>
  <c r="F2969" i="11" s="1"/>
  <c r="F3108" i="11" a="1"/>
  <c r="F3108" i="11" s="1"/>
  <c r="F3244" i="11" a="1"/>
  <c r="F3244" i="11" s="1"/>
  <c r="F3360" i="11" a="1"/>
  <c r="F3360" i="11" s="1"/>
  <c r="F3456" i="11" a="1"/>
  <c r="F3456" i="11" s="1"/>
  <c r="F567" i="11" a="1"/>
  <c r="F567" i="11" s="1"/>
  <c r="F799" i="11" a="1"/>
  <c r="F799" i="11" s="1"/>
  <c r="F1030" i="11" a="1"/>
  <c r="F1030" i="11" s="1"/>
  <c r="F1248" i="11" a="1"/>
  <c r="F1248" i="11" s="1"/>
  <c r="F1502" i="11" a="1"/>
  <c r="F1502" i="11" s="1"/>
  <c r="F1750" i="11" a="1"/>
  <c r="F1750" i="11" s="1"/>
  <c r="F1956" i="11" a="1"/>
  <c r="F1956" i="11" s="1"/>
  <c r="F2256" i="11" a="1"/>
  <c r="F2256" i="11" s="1"/>
  <c r="F2501" i="11" a="1"/>
  <c r="F2501" i="11" s="1"/>
  <c r="F2740" i="11" a="1"/>
  <c r="F2740" i="11" s="1"/>
  <c r="F2968" i="11" a="1"/>
  <c r="F2968" i="11" s="1"/>
  <c r="F3107" i="11" a="1"/>
  <c r="F3107" i="11" s="1"/>
  <c r="F3243" i="11" a="1"/>
  <c r="F3243" i="11" s="1"/>
  <c r="F3359" i="11" a="1"/>
  <c r="F3359" i="11" s="1"/>
  <c r="F3455" i="11" a="1"/>
  <c r="F3455" i="11" s="1"/>
  <c r="F611" i="11" a="1"/>
  <c r="F611" i="11" s="1"/>
  <c r="F848" i="11" a="1"/>
  <c r="F848" i="11" s="1"/>
  <c r="F1077" i="11" a="1"/>
  <c r="F1077" i="11" s="1"/>
  <c r="F1288" i="11" a="1"/>
  <c r="F1288" i="11" s="1"/>
  <c r="F1501" i="11" a="1"/>
  <c r="F1501" i="11" s="1"/>
  <c r="F1749" i="11" a="1"/>
  <c r="F1749" i="11" s="1"/>
  <c r="F2003" i="11" a="1"/>
  <c r="F2003" i="11" s="1"/>
  <c r="F2255" i="11" a="1"/>
  <c r="F2255" i="11" s="1"/>
  <c r="F2500" i="11" a="1"/>
  <c r="F2500" i="11" s="1"/>
  <c r="F2739" i="11" a="1"/>
  <c r="F2739" i="11" s="1"/>
  <c r="F2967" i="11" a="1"/>
  <c r="F2967" i="11" s="1"/>
  <c r="F3128" i="11" a="1"/>
  <c r="F3128" i="11" s="1"/>
  <c r="F3242" i="11" a="1"/>
  <c r="F3242" i="11" s="1"/>
  <c r="F3358" i="11" a="1"/>
  <c r="F3358" i="11" s="1"/>
  <c r="F3454" i="11" a="1"/>
  <c r="F3454" i="11" s="1"/>
  <c r="F657" i="11" a="1"/>
  <c r="F657" i="11" s="1"/>
  <c r="F847" i="11" a="1"/>
  <c r="F847" i="11" s="1"/>
  <c r="F1076" i="11" a="1"/>
  <c r="F1076" i="11" s="1"/>
  <c r="F1287" i="11" a="1"/>
  <c r="F1287" i="11" s="1"/>
  <c r="F1542" i="11" a="1"/>
  <c r="F1542" i="11" s="1"/>
  <c r="F1748" i="11" a="1"/>
  <c r="F1748" i="11" s="1"/>
  <c r="F2002" i="11" a="1"/>
  <c r="F2002" i="11" s="1"/>
  <c r="F2254" i="11" a="1"/>
  <c r="F2254" i="11" s="1"/>
  <c r="F2499" i="11" a="1"/>
  <c r="F2499" i="11" s="1"/>
  <c r="F2781" i="11" a="1"/>
  <c r="F2781" i="11" s="1"/>
  <c r="F2966" i="11" a="1"/>
  <c r="F2966" i="11" s="1"/>
  <c r="F3127" i="11" a="1"/>
  <c r="F3127" i="11" s="1"/>
  <c r="F3262" i="11" a="1"/>
  <c r="F3262" i="11" s="1"/>
  <c r="F3375" i="11" a="1"/>
  <c r="F3375" i="11" s="1"/>
  <c r="F3466" i="11" a="1"/>
  <c r="F3466" i="11" s="1"/>
  <c r="F656" i="11" a="1"/>
  <c r="F656" i="11" s="1"/>
  <c r="F894" i="11" a="1"/>
  <c r="F894" i="11" s="1"/>
  <c r="F1115" i="11" a="1"/>
  <c r="F1115" i="11" s="1"/>
  <c r="F1330" i="11" a="1"/>
  <c r="F1330" i="11" s="1"/>
  <c r="F1541" i="11" a="1"/>
  <c r="F1541" i="11" s="1"/>
  <c r="F1792" i="11" a="1"/>
  <c r="F1792" i="11" s="1"/>
  <c r="F2044" i="11" a="1"/>
  <c r="F2044" i="11" s="1"/>
  <c r="F2297" i="11" a="1"/>
  <c r="F2297" i="11" s="1"/>
  <c r="F2540" i="11" a="1"/>
  <c r="F2540" i="11" s="1"/>
  <c r="F2780" i="11" a="1"/>
  <c r="F2780" i="11" s="1"/>
  <c r="F2990" i="11" a="1"/>
  <c r="F2990" i="11" s="1"/>
  <c r="F3126" i="11" a="1"/>
  <c r="F3126" i="11" s="1"/>
  <c r="F3261" i="11" a="1"/>
  <c r="F3261" i="11" s="1"/>
  <c r="F3374" i="11" a="1"/>
  <c r="F3374" i="11" s="1"/>
  <c r="F3465" i="11" a="1"/>
  <c r="F3465" i="11" s="1"/>
  <c r="F3543" i="11" a="1"/>
  <c r="F3543" i="11" s="1"/>
  <c r="F893" i="11" a="1"/>
  <c r="F893" i="11" s="1"/>
  <c r="F1114" i="11" a="1"/>
  <c r="F1114" i="11" s="1"/>
  <c r="F1329" i="11" a="1"/>
  <c r="F1329" i="11" s="1"/>
  <c r="F1578" i="11" a="1"/>
  <c r="F1578" i="11" s="1"/>
  <c r="F1791" i="11" a="1"/>
  <c r="F1791" i="11" s="1"/>
  <c r="F2043" i="11" a="1"/>
  <c r="F2043" i="11" s="1"/>
  <c r="F2296" i="11" a="1"/>
  <c r="F2296" i="11" s="1"/>
  <c r="F2539" i="11" a="1"/>
  <c r="F2539" i="11" s="1"/>
  <c r="F2820" i="11" a="1"/>
  <c r="F2820" i="11" s="1"/>
  <c r="F2989" i="11" a="1"/>
  <c r="F2989" i="11" s="1"/>
  <c r="F3143" i="11" a="1"/>
  <c r="F3143" i="11" s="1"/>
  <c r="F3373" i="11" a="1"/>
  <c r="F3373" i="11" s="1"/>
  <c r="F3464" i="11" a="1"/>
  <c r="F3464" i="11" s="1"/>
  <c r="F937" i="11" a="1"/>
  <c r="F937" i="11" s="1"/>
  <c r="F3276" i="11" a="1"/>
  <c r="F3276" i="11" s="1"/>
  <c r="F3389" i="11" a="1"/>
  <c r="F3389" i="11" s="1"/>
  <c r="F436" i="11" a="1"/>
  <c r="F436" i="11" s="1"/>
  <c r="F659" i="11" a="1"/>
  <c r="F659" i="11" s="1"/>
  <c r="F849" i="11" a="1"/>
  <c r="F849" i="11" s="1"/>
  <c r="F1078" i="11" a="1"/>
  <c r="F1078" i="11" s="1"/>
  <c r="F1332" i="11" a="1"/>
  <c r="F1332" i="11" s="1"/>
  <c r="F1543" i="11" a="1"/>
  <c r="F1543" i="11" s="1"/>
  <c r="F1794" i="11" a="1"/>
  <c r="F1794" i="11" s="1"/>
  <c r="F2046" i="11" a="1"/>
  <c r="F2046" i="11" s="1"/>
  <c r="F2299" i="11" a="1"/>
  <c r="F2299" i="11" s="1"/>
  <c r="F2541" i="11" a="1"/>
  <c r="F2541" i="11" s="1"/>
  <c r="F2823" i="11" a="1"/>
  <c r="F2823" i="11" s="1"/>
  <c r="F2991" i="11" a="1"/>
  <c r="F2991" i="11" s="1"/>
  <c r="F3145" i="11" a="1"/>
  <c r="F3145" i="11" s="1"/>
  <c r="F3275" i="11" a="1"/>
  <c r="F3275" i="11" s="1"/>
  <c r="F3388" i="11" a="1"/>
  <c r="F3388" i="11" s="1"/>
  <c r="F3481" i="11" a="1"/>
  <c r="F3481" i="11" s="1"/>
  <c r="F658" i="11" a="1"/>
  <c r="F658" i="11" s="1"/>
  <c r="F896" i="11" a="1"/>
  <c r="F896" i="11" s="1"/>
  <c r="F1117" i="11" a="1"/>
  <c r="F1117" i="11" s="1"/>
  <c r="F1331" i="11" a="1"/>
  <c r="F1331" i="11" s="1"/>
  <c r="F1580" i="11" a="1"/>
  <c r="F1580" i="11" s="1"/>
  <c r="F1793" i="11" a="1"/>
  <c r="F1793" i="11" s="1"/>
  <c r="F2045" i="11" a="1"/>
  <c r="F2045" i="11" s="1"/>
  <c r="F2298" i="11" a="1"/>
  <c r="F2298" i="11" s="1"/>
  <c r="F2586" i="11" a="1"/>
  <c r="F2586" i="11" s="1"/>
  <c r="F2822" i="11" a="1"/>
  <c r="F2822" i="11" s="1"/>
  <c r="F3018" i="11" a="1"/>
  <c r="F3018" i="11" s="1"/>
  <c r="F3144" i="11" a="1"/>
  <c r="F3144" i="11" s="1"/>
  <c r="F3274" i="11" a="1"/>
  <c r="F3274" i="11" s="1"/>
  <c r="F3387" i="11" a="1"/>
  <c r="F3387" i="11" s="1"/>
  <c r="F3480" i="11" a="1"/>
  <c r="F3480" i="11" s="1"/>
  <c r="F701" i="11" a="1"/>
  <c r="F701" i="11" s="1"/>
  <c r="F895" i="11" a="1"/>
  <c r="F895" i="11" s="1"/>
  <c r="F1116" i="11" a="1"/>
  <c r="F1116" i="11" s="1"/>
  <c r="F1372" i="11" a="1"/>
  <c r="F1372" i="11" s="1"/>
  <c r="F1579" i="11" a="1"/>
  <c r="F1579" i="11" s="1"/>
  <c r="F1832" i="11" a="1"/>
  <c r="F1832" i="11" s="1"/>
  <c r="F2083" i="11" a="1"/>
  <c r="F2083" i="11" s="1"/>
  <c r="F2335" i="11" a="1"/>
  <c r="F2335" i="11" s="1"/>
  <c r="F2585" i="11" a="1"/>
  <c r="F2585" i="11" s="1"/>
  <c r="F2821" i="11" a="1"/>
  <c r="F2821" i="11" s="1"/>
  <c r="F3017" i="11" a="1"/>
  <c r="F3017" i="11" s="1"/>
  <c r="F3168" i="11" a="1"/>
  <c r="F3168" i="11" s="1"/>
  <c r="F3273" i="11" a="1"/>
  <c r="F3273" i="11" s="1"/>
  <c r="F3386" i="11" a="1"/>
  <c r="F3386" i="11" s="1"/>
  <c r="F3479" i="11" a="1"/>
  <c r="F3479" i="11" s="1"/>
  <c r="F700" i="11" a="1"/>
  <c r="F700" i="11" s="1"/>
  <c r="F938" i="11" a="1"/>
  <c r="F938" i="11" s="1"/>
  <c r="F1154" i="11" a="1"/>
  <c r="F1154" i="11" s="1"/>
  <c r="F1371" i="11" a="1"/>
  <c r="F1371" i="11" s="1"/>
  <c r="F1624" i="11" a="1"/>
  <c r="F1624" i="11" s="1"/>
  <c r="F1831" i="11" a="1"/>
  <c r="F1831" i="11" s="1"/>
  <c r="F2082" i="11" a="1"/>
  <c r="F2082" i="11" s="1"/>
  <c r="F2334" i="11" a="1"/>
  <c r="F2334" i="11" s="1"/>
  <c r="F2584" i="11" a="1"/>
  <c r="F2584" i="11" s="1"/>
  <c r="F2854" i="11" a="1"/>
  <c r="F2854" i="11" s="1"/>
  <c r="F3016" i="11" a="1"/>
  <c r="F3016" i="11" s="1"/>
  <c r="F3167" i="11" a="1"/>
  <c r="F3167" i="11" s="1"/>
  <c r="F3297" i="11" a="1"/>
  <c r="F3297" i="11" s="1"/>
  <c r="F3401" i="11" a="1"/>
  <c r="F3401" i="11" s="1"/>
  <c r="F3492" i="11" a="1"/>
  <c r="F3492" i="11" s="1"/>
  <c r="F747" i="11" a="1"/>
  <c r="F747" i="11" s="1"/>
  <c r="F980" i="11" a="1"/>
  <c r="F980" i="11" s="1"/>
  <c r="F1200" i="11" a="1"/>
  <c r="F1200" i="11" s="1"/>
  <c r="F1412" i="11" a="1"/>
  <c r="F1412" i="11" s="1"/>
  <c r="F1623" i="11" a="1"/>
  <c r="F1623" i="11" s="1"/>
  <c r="F1878" i="11" a="1"/>
  <c r="F1878" i="11" s="1"/>
  <c r="F2126" i="11" a="1"/>
  <c r="F2126" i="11" s="1"/>
  <c r="F2377" i="11" a="1"/>
  <c r="F2377" i="11" s="1"/>
  <c r="F2622" i="11" a="1"/>
  <c r="F2622" i="11" s="1"/>
  <c r="F2853" i="11" a="1"/>
  <c r="F2853" i="11" s="1"/>
  <c r="F3034" i="11" a="1"/>
  <c r="F3034" i="11" s="1"/>
  <c r="F3166" i="11" a="1"/>
  <c r="F3166" i="11" s="1"/>
  <c r="F3296" i="11" a="1"/>
  <c r="F3296" i="11" s="1"/>
  <c r="F3400" i="11" a="1"/>
  <c r="F3400" i="11" s="1"/>
  <c r="F3562" i="11" a="1"/>
  <c r="F3562" i="11" s="1"/>
  <c r="F1581" i="11" a="1"/>
  <c r="F1581" i="11" s="1"/>
  <c r="F1834" i="11" a="1"/>
  <c r="F1834" i="11" s="1"/>
  <c r="F2085" i="11" a="1"/>
  <c r="F2085" i="11" s="1"/>
  <c r="F2336" i="11" a="1"/>
  <c r="F2336" i="11" s="1"/>
  <c r="F2625" i="11" a="1"/>
  <c r="F2625" i="11" s="1"/>
  <c r="F2856" i="11" a="1"/>
  <c r="F2856" i="11" s="1"/>
  <c r="F3037" i="11" a="1"/>
  <c r="F3037" i="11" s="1"/>
  <c r="F3188" i="11" a="1"/>
  <c r="F3188" i="11" s="1"/>
  <c r="F3315" i="11" a="1"/>
  <c r="F3315" i="11" s="1"/>
  <c r="F3418" i="11" a="1"/>
  <c r="F3418" i="11" s="1"/>
  <c r="F477" i="11" a="1"/>
  <c r="F477" i="11" s="1"/>
  <c r="F703" i="11" a="1"/>
  <c r="F703" i="11" s="1"/>
  <c r="F940" i="11" a="1"/>
  <c r="F940" i="11" s="1"/>
  <c r="F1156" i="11" a="1"/>
  <c r="F1156" i="11" s="1"/>
  <c r="F1374" i="11" a="1"/>
  <c r="F1374" i="11" s="1"/>
  <c r="F1627" i="11" a="1"/>
  <c r="F1627" i="11" s="1"/>
  <c r="F1833" i="11" a="1"/>
  <c r="F1833" i="11" s="1"/>
  <c r="F2084" i="11" a="1"/>
  <c r="F2084" i="11" s="1"/>
  <c r="F2380" i="11" a="1"/>
  <c r="F2380" i="11" s="1"/>
  <c r="F2624" i="11" a="1"/>
  <c r="F2624" i="11" s="1"/>
  <c r="F2855" i="11" a="1"/>
  <c r="F2855" i="11" s="1"/>
  <c r="F3036" i="11" a="1"/>
  <c r="F3036" i="11" s="1"/>
  <c r="F3187" i="11" a="1"/>
  <c r="F3187" i="11" s="1"/>
  <c r="F3314" i="11" a="1"/>
  <c r="F3314" i="11" s="1"/>
  <c r="F3417" i="11" a="1"/>
  <c r="F3417" i="11" s="1"/>
  <c r="F519" i="11" a="1"/>
  <c r="F519" i="11" s="1"/>
  <c r="F702" i="11" a="1"/>
  <c r="F702" i="11" s="1"/>
  <c r="F939" i="11" a="1"/>
  <c r="F939" i="11" s="1"/>
  <c r="F1155" i="11" a="1"/>
  <c r="F1155" i="11" s="1"/>
  <c r="F1373" i="11" a="1"/>
  <c r="F1373" i="11" s="1"/>
  <c r="F1626" i="11" a="1"/>
  <c r="F1626" i="11" s="1"/>
  <c r="F1880" i="11" a="1"/>
  <c r="F1880" i="11" s="1"/>
  <c r="F2128" i="11" a="1"/>
  <c r="F2128" i="11" s="1"/>
  <c r="F2379" i="11" a="1"/>
  <c r="F2379" i="11" s="1"/>
  <c r="F2623" i="11" a="1"/>
  <c r="F2623" i="11" s="1"/>
  <c r="F2889" i="11" a="1"/>
  <c r="F2889" i="11" s="1"/>
  <c r="F3035" i="11" a="1"/>
  <c r="F3035" i="11" s="1"/>
  <c r="F3186" i="11" a="1"/>
  <c r="F3186" i="11" s="1"/>
  <c r="F3313" i="11" a="1"/>
  <c r="F3313" i="11" s="1"/>
  <c r="F3416" i="11" a="1"/>
  <c r="F3416" i="11" s="1"/>
  <c r="F3502" i="11" a="1"/>
  <c r="F3502" i="11" s="1"/>
  <c r="F749" i="11" a="1"/>
  <c r="F749" i="11" s="1"/>
  <c r="F982" i="11" a="1"/>
  <c r="F982" i="11" s="1"/>
  <c r="F1202" i="11" a="1"/>
  <c r="F1202" i="11" s="1"/>
  <c r="F1414" i="11" a="1"/>
  <c r="F1414" i="11" s="1"/>
  <c r="F1625" i="11" a="1"/>
  <c r="F1625" i="11" s="1"/>
  <c r="F1879" i="11" a="1"/>
  <c r="F1879" i="11" s="1"/>
  <c r="F2127" i="11" a="1"/>
  <c r="F2127" i="11" s="1"/>
  <c r="F2378" i="11" a="1"/>
  <c r="F2378" i="11" s="1"/>
  <c r="F2663" i="11" a="1"/>
  <c r="F2663" i="11" s="1"/>
  <c r="F2888" i="11" a="1"/>
  <c r="F2888" i="11" s="1"/>
  <c r="F3063" i="11" a="1"/>
  <c r="F3063" i="11" s="1"/>
  <c r="F3185" i="11" a="1"/>
  <c r="F3185" i="11" s="1"/>
  <c r="F3312" i="11" a="1"/>
  <c r="F3312" i="11" s="1"/>
  <c r="F3415" i="11" a="1"/>
  <c r="F3415" i="11" s="1"/>
  <c r="F3501" i="11" a="1"/>
  <c r="F3501" i="11" s="1"/>
  <c r="F748" i="11" a="1"/>
  <c r="F748" i="11" s="1"/>
  <c r="F981" i="11" a="1"/>
  <c r="F981" i="11" s="1"/>
  <c r="F1201" i="11" a="1"/>
  <c r="F1201" i="11" s="1"/>
  <c r="F1413" i="11" a="1"/>
  <c r="F1413" i="11" s="1"/>
  <c r="F1668" i="11" a="1"/>
  <c r="F1668" i="11" s="1"/>
  <c r="F1917" i="11" a="1"/>
  <c r="F1917" i="11" s="1"/>
  <c r="F2170" i="11" a="1"/>
  <c r="F2170" i="11" s="1"/>
  <c r="F2418" i="11" a="1"/>
  <c r="F2418" i="11" s="1"/>
  <c r="F2662" i="11" a="1"/>
  <c r="F2662" i="11" s="1"/>
  <c r="F2887" i="11" a="1"/>
  <c r="F2887" i="11" s="1"/>
  <c r="F3062" i="11" a="1"/>
  <c r="F3062" i="11" s="1"/>
  <c r="F3205" i="11" a="1"/>
  <c r="F3205" i="11" s="1"/>
  <c r="F3311" i="11" a="1"/>
  <c r="F3311" i="11" s="1"/>
  <c r="F3414" i="11" a="1"/>
  <c r="F3414" i="11" s="1"/>
  <c r="F3500" i="11" a="1"/>
  <c r="F3500" i="11" s="1"/>
  <c r="F797" i="11" a="1"/>
  <c r="F797" i="11" s="1"/>
  <c r="F1027" i="11" a="1"/>
  <c r="F1027" i="11" s="1"/>
  <c r="F1246" i="11" a="1"/>
  <c r="F1246" i="11" s="1"/>
  <c r="F1454" i="11" a="1"/>
  <c r="F1454" i="11" s="1"/>
  <c r="F1705" i="11" a="1"/>
  <c r="F1705" i="11" s="1"/>
  <c r="F1916" i="11" a="1"/>
  <c r="F1916" i="11" s="1"/>
  <c r="F2169" i="11" a="1"/>
  <c r="F2169" i="11" s="1"/>
  <c r="F2417" i="11" a="1"/>
  <c r="F2417" i="11" s="1"/>
  <c r="F2661" i="11" a="1"/>
  <c r="F2661" i="11" s="1"/>
  <c r="F2908" i="11" a="1"/>
  <c r="F2908" i="11" s="1"/>
  <c r="F3061" i="11" a="1"/>
  <c r="F3061" i="11" s="1"/>
  <c r="F3204" i="11" a="1"/>
  <c r="F3204" i="11" s="1"/>
  <c r="F3326" i="11" a="1"/>
  <c r="F3326" i="11" s="1"/>
  <c r="F3512" i="11" a="1"/>
  <c r="F3512" i="11" s="1"/>
  <c r="F844" i="11" a="1"/>
  <c r="F844" i="11" s="1"/>
  <c r="F3328" i="11" a="1"/>
  <c r="F3328" i="11" s="1"/>
  <c r="F3431" i="11" a="1"/>
  <c r="F3431" i="11" s="1"/>
  <c r="F520" i="11" a="1"/>
  <c r="F520" i="11" s="1"/>
  <c r="F751" i="11" a="1"/>
  <c r="F751" i="11" s="1"/>
  <c r="F984" i="11" a="1"/>
  <c r="F984" i="11" s="1"/>
  <c r="F1204" i="11" a="1"/>
  <c r="F1204" i="11" s="1"/>
  <c r="F1415" i="11" a="1"/>
  <c r="F1415" i="11" s="1"/>
  <c r="F1670" i="11" a="1"/>
  <c r="F1670" i="11" s="1"/>
  <c r="F1919" i="11" a="1"/>
  <c r="F1919" i="11" s="1"/>
  <c r="F2172" i="11" a="1"/>
  <c r="F2172" i="11" s="1"/>
  <c r="F2420" i="11" a="1"/>
  <c r="F2420" i="11" s="1"/>
  <c r="F2705" i="11" a="1"/>
  <c r="F2705" i="11" s="1"/>
  <c r="F2910" i="11" a="1"/>
  <c r="F2910" i="11" s="1"/>
  <c r="F3087" i="11" a="1"/>
  <c r="F3087" i="11" s="1"/>
  <c r="F3228" i="11" a="1"/>
  <c r="F3228" i="11" s="1"/>
  <c r="F3327" i="11" a="1"/>
  <c r="F3327" i="11" s="1"/>
  <c r="F3430" i="11" a="1"/>
  <c r="F3430" i="11" s="1"/>
  <c r="F566" i="11" a="1"/>
  <c r="F566" i="11" s="1"/>
  <c r="F750" i="11" a="1"/>
  <c r="F750" i="11" s="1"/>
  <c r="F983" i="11" a="1"/>
  <c r="F983" i="11" s="1"/>
  <c r="F1203" i="11" a="1"/>
  <c r="F1203" i="11" s="1"/>
  <c r="F1456" i="11" a="1"/>
  <c r="F1456" i="11" s="1"/>
  <c r="F1669" i="11" a="1"/>
  <c r="F1669" i="11" s="1"/>
  <c r="F1918" i="11" a="1"/>
  <c r="F1918" i="11" s="1"/>
  <c r="F2171" i="11" a="1"/>
  <c r="F2171" i="11" s="1"/>
  <c r="F2419" i="11" a="1"/>
  <c r="F2419" i="11" s="1"/>
  <c r="F2704" i="11" a="1"/>
  <c r="F2704" i="11" s="1"/>
  <c r="F2909" i="11" a="1"/>
  <c r="F2909" i="11" s="1"/>
  <c r="F3086" i="11" a="1"/>
  <c r="F3086" i="11" s="1"/>
  <c r="F3227" i="11" a="1"/>
  <c r="F3227" i="11" s="1"/>
  <c r="F3345" i="11" a="1"/>
  <c r="F3345" i="11" s="1"/>
  <c r="F3444" i="11" a="1"/>
  <c r="F3444" i="11" s="1"/>
  <c r="F565" i="11" a="1"/>
  <c r="F565" i="11" s="1"/>
  <c r="F798" i="11" a="1"/>
  <c r="F798" i="11" s="1"/>
  <c r="F1029" i="11" a="1"/>
  <c r="F1029" i="11" s="1"/>
  <c r="F1247" i="11" a="1"/>
  <c r="F1247" i="11" s="1"/>
  <c r="F1455" i="11" a="1"/>
  <c r="F1455" i="11" s="1"/>
  <c r="F1707" i="11" a="1"/>
  <c r="F1707" i="11" s="1"/>
  <c r="F1955" i="11" a="1"/>
  <c r="F1955" i="11" s="1"/>
  <c r="F2212" i="11" a="1"/>
  <c r="F2212" i="11" s="1"/>
  <c r="F2463" i="11" a="1"/>
  <c r="F2463" i="11" s="1"/>
  <c r="F2703" i="11" a="1"/>
  <c r="F2703" i="11" s="1"/>
  <c r="F2939" i="11" a="1"/>
  <c r="F2939" i="11" s="1"/>
  <c r="F3085" i="11" a="1"/>
  <c r="F3085" i="11" s="1"/>
  <c r="F3226" i="11" a="1"/>
  <c r="F3226" i="11" s="1"/>
  <c r="F3344" i="11" a="1"/>
  <c r="F3344" i="11" s="1"/>
  <c r="F3443" i="11" a="1"/>
  <c r="F3443" i="11" s="1"/>
  <c r="F3523" i="11" a="1"/>
  <c r="F3523" i="11" s="1"/>
  <c r="F846" i="11" a="1"/>
  <c r="F846" i="11" s="1"/>
  <c r="F1028" i="11" a="1"/>
  <c r="F1028" i="11" s="1"/>
  <c r="F1286" i="11" a="1"/>
  <c r="F1286" i="11" s="1"/>
  <c r="F1500" i="11" a="1"/>
  <c r="F1500" i="11" s="1"/>
  <c r="F1706" i="11" a="1"/>
  <c r="F1706" i="11" s="1"/>
  <c r="F1954" i="11" a="1"/>
  <c r="F1954" i="11" s="1"/>
  <c r="F2211" i="11" a="1"/>
  <c r="F2211" i="11" s="1"/>
  <c r="F2462" i="11" a="1"/>
  <c r="F2462" i="11" s="1"/>
  <c r="F2738" i="11" a="1"/>
  <c r="F2738" i="11" s="1"/>
  <c r="F2938" i="11" a="1"/>
  <c r="F2938" i="11" s="1"/>
  <c r="F3106" i="11" a="1"/>
  <c r="F3106" i="11" s="1"/>
  <c r="F3225" i="11" a="1"/>
  <c r="F3225" i="11" s="1"/>
  <c r="F3343" i="11" a="1"/>
  <c r="F3343" i="11" s="1"/>
  <c r="F3442" i="11" a="1"/>
  <c r="F3442" i="11" s="1"/>
  <c r="F3522" i="11" a="1"/>
  <c r="F3522" i="11" s="1"/>
  <c r="F845" i="11" a="1"/>
  <c r="F845" i="11" s="1"/>
  <c r="F1075" i="11" a="1"/>
  <c r="F1075" i="11" s="1"/>
  <c r="F1285" i="11" a="1"/>
  <c r="F1285" i="11" s="1"/>
  <c r="F1499" i="11" a="1"/>
  <c r="F1499" i="11" s="1"/>
  <c r="F1747" i="11" a="1"/>
  <c r="F1747" i="11" s="1"/>
  <c r="F2001" i="11" a="1"/>
  <c r="F2001" i="11" s="1"/>
  <c r="F2253" i="11" a="1"/>
  <c r="F2253" i="11" s="1"/>
  <c r="F2498" i="11" a="1"/>
  <c r="F2498" i="11" s="1"/>
  <c r="F2737" i="11" a="1"/>
  <c r="F2737" i="11" s="1"/>
  <c r="F2937" i="11" a="1"/>
  <c r="F2937" i="11" s="1"/>
  <c r="F3105" i="11" a="1"/>
  <c r="F3105" i="11" s="1"/>
  <c r="F3241" i="11" a="1"/>
  <c r="F3241" i="11" s="1"/>
  <c r="F3441" i="11" a="1"/>
  <c r="F3441" i="11" s="1"/>
  <c r="F3521" i="11" a="1"/>
  <c r="F3521" i="11" s="1"/>
  <c r="F3260" i="11" a="1"/>
  <c r="F3260" i="11" s="1"/>
  <c r="F3342" i="11" a="1"/>
  <c r="F3342" i="11" s="1"/>
  <c r="F3429" i="11" a="1"/>
  <c r="F3429" i="11" s="1"/>
  <c r="F3491" i="11" a="1"/>
  <c r="F3491" i="11" s="1"/>
  <c r="F3542" i="11" a="1"/>
  <c r="F3542" i="11" s="1"/>
  <c r="F892" i="11" a="1"/>
  <c r="F892" i="11" s="1"/>
  <c r="F1074" i="11" a="1"/>
  <c r="F1074" i="11" s="1"/>
  <c r="F1199" i="11" a="1"/>
  <c r="F1199" i="11" s="1"/>
  <c r="F1370" i="11" a="1"/>
  <c r="F1370" i="11" s="1"/>
  <c r="F1540" i="11" a="1"/>
  <c r="F1540" i="11" s="1"/>
  <c r="F1704" i="11" a="1"/>
  <c r="F1704" i="11" s="1"/>
  <c r="F1877" i="11" a="1"/>
  <c r="F1877" i="11" s="1"/>
  <c r="F2081" i="11" a="1"/>
  <c r="F2081" i="11" s="1"/>
  <c r="F2252" i="11" a="1"/>
  <c r="F2252" i="11" s="1"/>
  <c r="F2461" i="11" a="1"/>
  <c r="F2461" i="11" s="1"/>
  <c r="F2621" i="11" a="1"/>
  <c r="F2621" i="11" s="1"/>
  <c r="F2819" i="11" a="1"/>
  <c r="F2819" i="11" s="1"/>
  <c r="F2965" i="11" a="1"/>
  <c r="F2965" i="11" s="1"/>
  <c r="F3084" i="11" a="1"/>
  <c r="F3084" i="11" s="1"/>
  <c r="F3184" i="11" a="1"/>
  <c r="F3184" i="11" s="1"/>
  <c r="F3272" i="11" a="1"/>
  <c r="F3272" i="11" s="1"/>
  <c r="F3357" i="11" a="1"/>
  <c r="F3357" i="11" s="1"/>
  <c r="F3428" i="11" a="1"/>
  <c r="F3428" i="11" s="1"/>
  <c r="F3490" i="11" a="1"/>
  <c r="F3490" i="11" s="1"/>
  <c r="F3553" i="11" a="1"/>
  <c r="F3553" i="11" s="1"/>
  <c r="F936" i="11" a="1"/>
  <c r="F936" i="11" s="1"/>
  <c r="F1073" i="11" a="1"/>
  <c r="F1073" i="11" s="1"/>
  <c r="F1245" i="11" a="1"/>
  <c r="F1245" i="11" s="1"/>
  <c r="F1410" i="11" a="1"/>
  <c r="F1410" i="11" s="1"/>
  <c r="F1576" i="11" a="1"/>
  <c r="F1576" i="11" s="1"/>
  <c r="F1746" i="11" a="1"/>
  <c r="F1746" i="11" s="1"/>
  <c r="F1915" i="11" a="1"/>
  <c r="F1915" i="11" s="1"/>
  <c r="F2080" i="11" a="1"/>
  <c r="F2080" i="11" s="1"/>
  <c r="F2295" i="11" a="1"/>
  <c r="F2295" i="11" s="1"/>
  <c r="F2460" i="11" a="1"/>
  <c r="F2460" i="11" s="1"/>
  <c r="F2660" i="11" a="1"/>
  <c r="F2660" i="11" s="1"/>
  <c r="F2852" i="11" a="1"/>
  <c r="F2852" i="11" s="1"/>
  <c r="F2964" i="11" a="1"/>
  <c r="F2964" i="11" s="1"/>
  <c r="F3083" i="11" a="1"/>
  <c r="F3083" i="11" s="1"/>
  <c r="F3183" i="11" a="1"/>
  <c r="F3183" i="11" s="1"/>
  <c r="F3271" i="11" a="1"/>
  <c r="F3271" i="11" s="1"/>
  <c r="F3356" i="11" a="1"/>
  <c r="F3356" i="11" s="1"/>
  <c r="F3427" i="11" a="1"/>
  <c r="F3427" i="11" s="1"/>
  <c r="F3499" i="11" a="1"/>
  <c r="F3499" i="11" s="1"/>
  <c r="F3552" i="11" a="1"/>
  <c r="F3552" i="11" s="1"/>
  <c r="F3597" i="11" a="1"/>
  <c r="F3597" i="11" s="1"/>
  <c r="F1112" i="11" a="1"/>
  <c r="F1112" i="11" s="1"/>
  <c r="F1282" i="11" a="1"/>
  <c r="F1282" i="11" s="1"/>
  <c r="F1452" i="11" a="1"/>
  <c r="F1452" i="11" s="1"/>
  <c r="F1575" i="11" a="1"/>
  <c r="F1575" i="11" s="1"/>
  <c r="F1788" i="11" a="1"/>
  <c r="F1788" i="11" s="1"/>
  <c r="F1951" i="11" a="1"/>
  <c r="F1951" i="11" s="1"/>
  <c r="F2124" i="11" a="1"/>
  <c r="F2124" i="11" s="1"/>
  <c r="F2294" i="11" a="1"/>
  <c r="F2294" i="11" s="1"/>
  <c r="F2496" i="11" a="1"/>
  <c r="F2496" i="11" s="1"/>
  <c r="F2659" i="11" a="1"/>
  <c r="F2659" i="11" s="1"/>
  <c r="F2851" i="11" a="1"/>
  <c r="F2851" i="11" s="1"/>
  <c r="F2987" i="11" a="1"/>
  <c r="F2987" i="11" s="1"/>
  <c r="F3103" i="11" a="1"/>
  <c r="F3103" i="11" s="1"/>
  <c r="F3202" i="11" a="1"/>
  <c r="F3202" i="11" s="1"/>
  <c r="F3294" i="11" a="1"/>
  <c r="F3294" i="11" s="1"/>
  <c r="F3372" i="11" a="1"/>
  <c r="F3372" i="11" s="1"/>
  <c r="F3440" i="11" a="1"/>
  <c r="F3440" i="11" s="1"/>
  <c r="F3498" i="11" a="1"/>
  <c r="F3498" i="11" s="1"/>
  <c r="F3551" i="11" a="1"/>
  <c r="F3551" i="11" s="1"/>
  <c r="F3604" i="11" a="1"/>
  <c r="F3604" i="11" s="1"/>
  <c r="F1150" i="11" a="1"/>
  <c r="F1150" i="11" s="1"/>
  <c r="F1326" i="11" a="1"/>
  <c r="F1326" i="11" s="1"/>
  <c r="F1451" i="11" a="1"/>
  <c r="F1451" i="11" s="1"/>
  <c r="F1621" i="11" a="1"/>
  <c r="F1621" i="11" s="1"/>
  <c r="F1787" i="11" a="1"/>
  <c r="F1787" i="11" s="1"/>
  <c r="F1950" i="11" a="1"/>
  <c r="F1950" i="11" s="1"/>
  <c r="F2166" i="11" a="1"/>
  <c r="F2166" i="11" s="1"/>
  <c r="F2331" i="11" a="1"/>
  <c r="F2331" i="11" s="1"/>
  <c r="F2536" i="11" a="1"/>
  <c r="F2536" i="11" s="1"/>
  <c r="F2700" i="11" a="1"/>
  <c r="F2700" i="11" s="1"/>
  <c r="F2884" i="11" a="1"/>
  <c r="F2884" i="11" s="1"/>
  <c r="F3014" i="11" a="1"/>
  <c r="F3014" i="11" s="1"/>
  <c r="F3102" i="11" a="1"/>
  <c r="F3102" i="11" s="1"/>
  <c r="F3201" i="11" a="1"/>
  <c r="F3201" i="11" s="1"/>
  <c r="F3293" i="11" a="1"/>
  <c r="F3293" i="11" s="1"/>
  <c r="F3371" i="11" a="1"/>
  <c r="F3371" i="11" s="1"/>
  <c r="F3439" i="11" a="1"/>
  <c r="F3439" i="11" s="1"/>
  <c r="F3509" i="11" a="1"/>
  <c r="F3509" i="11" s="1"/>
  <c r="F1113" i="11" a="1"/>
  <c r="F1113" i="11" s="1"/>
  <c r="F1284" i="11" a="1"/>
  <c r="F1284" i="11" s="1"/>
  <c r="F1411" i="11" a="1"/>
  <c r="F1411" i="11" s="1"/>
  <c r="F1577" i="11" a="1"/>
  <c r="F1577" i="11" s="1"/>
  <c r="F1790" i="11" a="1"/>
  <c r="F1790" i="11" s="1"/>
  <c r="F1953" i="11" a="1"/>
  <c r="F1953" i="11" s="1"/>
  <c r="F2125" i="11" a="1"/>
  <c r="F2125" i="11" s="1"/>
  <c r="F2333" i="11" a="1"/>
  <c r="F2333" i="11" s="1"/>
  <c r="F2497" i="11" a="1"/>
  <c r="F2497" i="11" s="1"/>
  <c r="F2702" i="11" a="1"/>
  <c r="F2702" i="11" s="1"/>
  <c r="F2886" i="11" a="1"/>
  <c r="F2886" i="11" s="1"/>
  <c r="F2988" i="11" a="1"/>
  <c r="F2988" i="11" s="1"/>
  <c r="F3104" i="11" a="1"/>
  <c r="F3104" i="11" s="1"/>
  <c r="F3203" i="11" a="1"/>
  <c r="F3203" i="11" s="1"/>
  <c r="F3295" i="11" a="1"/>
  <c r="F3295" i="11" s="1"/>
  <c r="F3385" i="11" a="1"/>
  <c r="F3385" i="11" s="1"/>
  <c r="F3453" i="11" a="1"/>
  <c r="F3453" i="11" s="1"/>
  <c r="F3511" i="11" a="1"/>
  <c r="F3511" i="11" s="1"/>
  <c r="F3561" i="11" a="1"/>
  <c r="F3561" i="11" s="1"/>
  <c r="F978" i="11" a="1"/>
  <c r="F978" i="11" s="1"/>
  <c r="F1152" i="11" a="1"/>
  <c r="F1152" i="11" s="1"/>
  <c r="F1283" i="11" a="1"/>
  <c r="F1283" i="11" s="1"/>
  <c r="F1453" i="11" a="1"/>
  <c r="F1453" i="11" s="1"/>
  <c r="F1622" i="11" a="1"/>
  <c r="F1622" i="11" s="1"/>
  <c r="F1789" i="11" a="1"/>
  <c r="F1789" i="11" s="1"/>
  <c r="F1952" i="11" a="1"/>
  <c r="F1952" i="11" s="1"/>
  <c r="F2168" i="11" a="1"/>
  <c r="F2168" i="11" s="1"/>
  <c r="F2332" i="11" a="1"/>
  <c r="F2332" i="11" s="1"/>
  <c r="F2538" i="11" a="1"/>
  <c r="F2538" i="11" s="1"/>
  <c r="F2701" i="11" a="1"/>
  <c r="F2701" i="11" s="1"/>
  <c r="F2885" i="11" a="1"/>
  <c r="F2885" i="11" s="1"/>
  <c r="F3015" i="11" a="1"/>
  <c r="F3015" i="11" s="1"/>
  <c r="F3125" i="11" a="1"/>
  <c r="F3125" i="11" s="1"/>
  <c r="F3224" i="11" a="1"/>
  <c r="F3224" i="11" s="1"/>
  <c r="F3310" i="11" a="1"/>
  <c r="F3310" i="11" s="1"/>
  <c r="F3384" i="11" a="1"/>
  <c r="F3384" i="11" s="1"/>
  <c r="F3452" i="11" a="1"/>
  <c r="F3452" i="11" s="1"/>
  <c r="F3510" i="11" a="1"/>
  <c r="F3510" i="11" s="1"/>
  <c r="F3570" i="11" a="1"/>
  <c r="F3570" i="11" s="1"/>
  <c r="F1025" i="11" a="1"/>
  <c r="F1025" i="11" s="1"/>
  <c r="F1151" i="11" a="1"/>
  <c r="F1151" i="11" s="1"/>
  <c r="F1327" i="11" a="1"/>
  <c r="F1327" i="11" s="1"/>
  <c r="F1496" i="11" a="1"/>
  <c r="F1496" i="11" s="1"/>
  <c r="F1665" i="11" a="1"/>
  <c r="F1665" i="11" s="1"/>
  <c r="F1829" i="11" a="1"/>
  <c r="F1829" i="11" s="1"/>
  <c r="F1999" i="11" a="1"/>
  <c r="F1999" i="11" s="1"/>
  <c r="F2167" i="11" a="1"/>
  <c r="F2167" i="11" s="1"/>
  <c r="F2375" i="11" a="1"/>
  <c r="F2375" i="11" s="1"/>
  <c r="F2537" i="11" a="1"/>
  <c r="F2537" i="11" s="1"/>
  <c r="F2735" i="11" a="1"/>
  <c r="F2735" i="11" s="1"/>
  <c r="F2906" i="11" a="1"/>
  <c r="F2906" i="11" s="1"/>
  <c r="F3032" i="11" a="1"/>
  <c r="F3032" i="11" s="1"/>
  <c r="F3124" i="11" a="1"/>
  <c r="F3124" i="11" s="1"/>
  <c r="F3223" i="11" a="1"/>
  <c r="F3223" i="11" s="1"/>
  <c r="F3309" i="11" a="1"/>
  <c r="F3309" i="11" s="1"/>
  <c r="F3383" i="11" a="1"/>
  <c r="F3383" i="11" s="1"/>
  <c r="F3463" i="11" a="1"/>
  <c r="F3463" i="11" s="1"/>
  <c r="F3520" i="11" a="1"/>
  <c r="F3520" i="11" s="1"/>
  <c r="F3569" i="11" a="1"/>
  <c r="F3569" i="11" s="1"/>
  <c r="F3611" i="11" a="1"/>
  <c r="F3611" i="11" s="1"/>
  <c r="F1197" i="11" a="1"/>
  <c r="F1197" i="11" s="1"/>
  <c r="F1367" i="11" a="1"/>
  <c r="F1367" i="11" s="1"/>
  <c r="F1538" i="11" a="1"/>
  <c r="F1538" i="11" s="1"/>
  <c r="F1702" i="11" a="1"/>
  <c r="F1702" i="11" s="1"/>
  <c r="F1874" i="11" a="1"/>
  <c r="F1874" i="11" s="1"/>
  <c r="F2041" i="11" a="1"/>
  <c r="F2041" i="11" s="1"/>
  <c r="F2208" i="11" a="1"/>
  <c r="F2208" i="11" s="1"/>
  <c r="F2414" i="11" a="1"/>
  <c r="F2414" i="11" s="1"/>
  <c r="F2581" i="11" a="1"/>
  <c r="F2581" i="11" s="1"/>
  <c r="F2778" i="11" a="1"/>
  <c r="F2778" i="11" s="1"/>
  <c r="F2905" i="11" a="1"/>
  <c r="F2905" i="11" s="1"/>
  <c r="F3031" i="11" a="1"/>
  <c r="F3031" i="11" s="1"/>
  <c r="F3141" i="11" a="1"/>
  <c r="F3141" i="11" s="1"/>
  <c r="F3239" i="11" a="1"/>
  <c r="F3239" i="11" s="1"/>
  <c r="F3324" i="11" a="1"/>
  <c r="F3324" i="11" s="1"/>
  <c r="F3398" i="11" a="1"/>
  <c r="F3398" i="11" s="1"/>
  <c r="F3462" i="11" a="1"/>
  <c r="F3462" i="11" s="1"/>
  <c r="F3519" i="11" a="1"/>
  <c r="F3519" i="11" s="1"/>
  <c r="F3578" i="11" a="1"/>
  <c r="F3578" i="11" s="1"/>
  <c r="F3620" i="11" a="1"/>
  <c r="F3620" i="11" s="1"/>
  <c r="F1242" i="11" a="1"/>
  <c r="F1242" i="11" s="1"/>
  <c r="F1408" i="11" a="1"/>
  <c r="F1408" i="11" s="1"/>
  <c r="F1573" i="11" a="1"/>
  <c r="F1573" i="11" s="1"/>
  <c r="F1701" i="11" a="1"/>
  <c r="F1701" i="11" s="1"/>
  <c r="F1913" i="11" a="1"/>
  <c r="F1913" i="11" s="1"/>
  <c r="F979" i="11" a="1"/>
  <c r="F979" i="11" s="1"/>
  <c r="F1153" i="11" a="1"/>
  <c r="F1153" i="11" s="1"/>
  <c r="F1328" i="11" a="1"/>
  <c r="F1328" i="11" s="1"/>
  <c r="F1498" i="11" a="1"/>
  <c r="F1498" i="11" s="1"/>
  <c r="F1667" i="11" a="1"/>
  <c r="F1667" i="11" s="1"/>
  <c r="F1830" i="11" a="1"/>
  <c r="F1830" i="11" s="1"/>
  <c r="F2000" i="11" a="1"/>
  <c r="F2000" i="11" s="1"/>
  <c r="F2210" i="11" a="1"/>
  <c r="F2210" i="11" s="1"/>
  <c r="F2376" i="11" a="1"/>
  <c r="F2376" i="11" s="1"/>
  <c r="F2583" i="11" a="1"/>
  <c r="F2583" i="11" s="1"/>
  <c r="F2736" i="11" a="1"/>
  <c r="F2736" i="11" s="1"/>
  <c r="F2907" i="11" a="1"/>
  <c r="F2907" i="11" s="1"/>
  <c r="F3033" i="11" a="1"/>
  <c r="F3033" i="11" s="1"/>
  <c r="F3142" i="11" a="1"/>
  <c r="F3142" i="11" s="1"/>
  <c r="F3240" i="11" a="1"/>
  <c r="F3240" i="11" s="1"/>
  <c r="F3325" i="11" a="1"/>
  <c r="F3325" i="11" s="1"/>
  <c r="F3399" i="11" a="1"/>
  <c r="F3399" i="11" s="1"/>
  <c r="F3478" i="11" a="1"/>
  <c r="F3478" i="11" s="1"/>
  <c r="F3533" i="11" a="1"/>
  <c r="F3533" i="11" s="1"/>
  <c r="F3580" i="11" a="1"/>
  <c r="F3580" i="11" s="1"/>
  <c r="F1026" i="11" a="1"/>
  <c r="F1026" i="11" s="1"/>
  <c r="F1198" i="11" a="1"/>
  <c r="F1198" i="11" s="1"/>
  <c r="F1369" i="11" a="1"/>
  <c r="F1369" i="11" s="1"/>
  <c r="F1497" i="11" a="1"/>
  <c r="F1497" i="11" s="1"/>
  <c r="F1666" i="11" a="1"/>
  <c r="F1666" i="11" s="1"/>
  <c r="F1876" i="11" a="1"/>
  <c r="F1876" i="11" s="1"/>
  <c r="F2042" i="11" a="1"/>
  <c r="F2042" i="11" s="1"/>
  <c r="F2209" i="11" a="1"/>
  <c r="F2209" i="11" s="1"/>
  <c r="F2416" i="11" a="1"/>
  <c r="F2416" i="11" s="1"/>
  <c r="F2582" i="11" a="1"/>
  <c r="F2582" i="11" s="1"/>
  <c r="F2779" i="11" a="1"/>
  <c r="F2779" i="11" s="1"/>
  <c r="F2936" i="11" a="1"/>
  <c r="F2936" i="11" s="1"/>
  <c r="F3060" i="11" a="1"/>
  <c r="F3060" i="11" s="1"/>
  <c r="F3165" i="11" a="1"/>
  <c r="F3165" i="11" s="1"/>
  <c r="F3259" i="11" a="1"/>
  <c r="F3259" i="11" s="1"/>
  <c r="F3341" i="11" a="1"/>
  <c r="F3341" i="11" s="1"/>
  <c r="F3413" i="11" a="1"/>
  <c r="F3413" i="11" s="1"/>
  <c r="F3477" i="11" a="1"/>
  <c r="F3477" i="11" s="1"/>
  <c r="F3532" i="11" a="1"/>
  <c r="F3532" i="11" s="1"/>
  <c r="F3579" i="11" a="1"/>
  <c r="F3579" i="11" s="1"/>
  <c r="F1072" i="11" a="1"/>
  <c r="F1072" i="11" s="1"/>
  <c r="F1244" i="11" a="1"/>
  <c r="F1244" i="11" s="1"/>
  <c r="F1368" i="11" a="1"/>
  <c r="F1368" i="11" s="1"/>
  <c r="F1539" i="11" a="1"/>
  <c r="F1539" i="11" s="1"/>
  <c r="F1703" i="11" a="1"/>
  <c r="F1703" i="11" s="1"/>
  <c r="F1875" i="11" a="1"/>
  <c r="F1875" i="11" s="1"/>
  <c r="F2079" i="11" a="1"/>
  <c r="F2079" i="11" s="1"/>
  <c r="F2251" i="11" a="1"/>
  <c r="F2251" i="11" s="1"/>
  <c r="F2415" i="11" a="1"/>
  <c r="F2415" i="11" s="1"/>
  <c r="F2620" i="11" a="1"/>
  <c r="F2620" i="11" s="1"/>
  <c r="F2818" i="11" a="1"/>
  <c r="F2818" i="11" s="1"/>
  <c r="F2935" i="11" a="1"/>
  <c r="F2935" i="11" s="1"/>
  <c r="F3059" i="11" a="1"/>
  <c r="F3059" i="11" s="1"/>
  <c r="F3164" i="11" a="1"/>
  <c r="F3164" i="11" s="1"/>
  <c r="F3258" i="11" a="1"/>
  <c r="F3258" i="11" s="1"/>
  <c r="F3340" i="11" a="1"/>
  <c r="F3340" i="11" s="1"/>
  <c r="F3412" i="11" a="1"/>
  <c r="F3412" i="11" s="1"/>
  <c r="F3476" i="11" a="1"/>
  <c r="F3476" i="11" s="1"/>
  <c r="F3541" i="11" a="1"/>
  <c r="F3541" i="11" s="1"/>
  <c r="F3589" i="11" a="1"/>
  <c r="F3589" i="11" s="1"/>
  <c r="F1111" i="11" a="1"/>
  <c r="F1111" i="11" s="1"/>
  <c r="F1243" i="11" a="1"/>
  <c r="F1243" i="11" s="1"/>
  <c r="F1409" i="11" a="1"/>
  <c r="F1409" i="11" s="1"/>
  <c r="F1574" i="11" a="1"/>
  <c r="F1574" i="11" s="1"/>
  <c r="F1745" i="11" a="1"/>
  <c r="F1745" i="11" s="1"/>
  <c r="F1914" i="11" a="1"/>
  <c r="F1914" i="11" s="1"/>
  <c r="F2078" i="11" a="1"/>
  <c r="F2078" i="11" s="1"/>
  <c r="F2293" i="11" a="1"/>
  <c r="F2293" i="11" s="1"/>
  <c r="F2459" i="11" a="1"/>
  <c r="F2459" i="11" s="1"/>
  <c r="F2658" i="11" a="1"/>
  <c r="F2658" i="11" s="1"/>
  <c r="F2817" i="11" a="1"/>
  <c r="F2817" i="11" s="1"/>
  <c r="F2963" i="11" a="1"/>
  <c r="F2963" i="11" s="1"/>
  <c r="F3082" i="11" a="1"/>
  <c r="F3082" i="11" s="1"/>
  <c r="F3182" i="11" a="1"/>
  <c r="F3182" i="11" s="1"/>
  <c r="F3270" i="11" a="1"/>
  <c r="F3270" i="11" s="1"/>
  <c r="F3355" i="11" a="1"/>
  <c r="F3355" i="11" s="1"/>
  <c r="F3426" i="11" a="1"/>
  <c r="F3426" i="11" s="1"/>
  <c r="F3489" i="11" a="1"/>
  <c r="F3489" i="11" s="1"/>
  <c r="F3540" i="11" a="1"/>
  <c r="F3540" i="11" s="1"/>
  <c r="F3588" i="11" a="1"/>
  <c r="F3588" i="11" s="1"/>
  <c r="F3633" i="11" a="1"/>
  <c r="F3633" i="11" s="1"/>
  <c r="F1281" i="11" a="1"/>
  <c r="F1281" i="11" s="1"/>
  <c r="F3560" i="11" a="1"/>
  <c r="F3560" i="11" s="1"/>
  <c r="F3603" i="11" a="1"/>
  <c r="F3603" i="11" s="1"/>
  <c r="F1196" i="11" a="1"/>
  <c r="F1196" i="11" s="1"/>
  <c r="F1366" i="11" a="1"/>
  <c r="F1366" i="11" s="1"/>
  <c r="F1495" i="11" a="1"/>
  <c r="F1495" i="11" s="1"/>
  <c r="F1664" i="11" a="1"/>
  <c r="F1664" i="11" s="1"/>
  <c r="F1828" i="11" a="1"/>
  <c r="F1828" i="11" s="1"/>
  <c r="F1998" i="11" a="1"/>
  <c r="F1998" i="11" s="1"/>
  <c r="F2165" i="11" a="1"/>
  <c r="F2165" i="11" s="1"/>
  <c r="F2374" i="11" a="1"/>
  <c r="F2374" i="11" s="1"/>
  <c r="F2535" i="11" a="1"/>
  <c r="F2535" i="11" s="1"/>
  <c r="F2734" i="11" a="1"/>
  <c r="F2734" i="11" s="1"/>
  <c r="F2883" i="11" a="1"/>
  <c r="F2883" i="11" s="1"/>
  <c r="F3013" i="11" a="1"/>
  <c r="F3013" i="11" s="1"/>
  <c r="F3123" i="11" a="1"/>
  <c r="F3123" i="11" s="1"/>
  <c r="F3222" i="11" a="1"/>
  <c r="F3222" i="11" s="1"/>
  <c r="F3308" i="11" a="1"/>
  <c r="F3308" i="11" s="1"/>
  <c r="F3382" i="11" a="1"/>
  <c r="F3382" i="11" s="1"/>
  <c r="F3451" i="11" a="1"/>
  <c r="F3451" i="11" s="1"/>
  <c r="F3508" i="11" a="1"/>
  <c r="F3508" i="11" s="1"/>
  <c r="F3559" i="11" a="1"/>
  <c r="F3559" i="11" s="1"/>
  <c r="F3610" i="11" a="1"/>
  <c r="F3610" i="11" s="1"/>
  <c r="F3646" i="11" a="1"/>
  <c r="F3646" i="11" s="1"/>
  <c r="F1407" i="11" a="1"/>
  <c r="F1407" i="11" s="1"/>
  <c r="F1537" i="11" a="1"/>
  <c r="F1537" i="11" s="1"/>
  <c r="F1700" i="11" a="1"/>
  <c r="F1700" i="11" s="1"/>
  <c r="F1873" i="11" a="1"/>
  <c r="F1873" i="11" s="1"/>
  <c r="F2040" i="11" a="1"/>
  <c r="F2040" i="11" s="1"/>
  <c r="F2207" i="11" a="1"/>
  <c r="F2207" i="11" s="1"/>
  <c r="F2412" i="11" a="1"/>
  <c r="F2412" i="11" s="1"/>
  <c r="F2580" i="11" a="1"/>
  <c r="F2580" i="11" s="1"/>
  <c r="F2776" i="11" a="1"/>
  <c r="F2776" i="11" s="1"/>
  <c r="F2904" i="11" a="1"/>
  <c r="F2904" i="11" s="1"/>
  <c r="F3030" i="11" a="1"/>
  <c r="F3030" i="11" s="1"/>
  <c r="F3140" i="11" a="1"/>
  <c r="F3140" i="11" s="1"/>
  <c r="F3221" i="11" a="1"/>
  <c r="F3221" i="11" s="1"/>
  <c r="F3307" i="11" a="1"/>
  <c r="F3307" i="11" s="1"/>
  <c r="F3381" i="11" a="1"/>
  <c r="F3381" i="11" s="1"/>
  <c r="F3450" i="11" a="1"/>
  <c r="F3450" i="11" s="1"/>
  <c r="F3518" i="11" a="1"/>
  <c r="F3518" i="11" s="1"/>
  <c r="F3568" i="11" a="1"/>
  <c r="F3568" i="11" s="1"/>
  <c r="F3609" i="11" a="1"/>
  <c r="F3609" i="11" s="1"/>
  <c r="F3645" i="11" a="1"/>
  <c r="F3645" i="11" s="1"/>
  <c r="F1448" i="11" a="1"/>
  <c r="F1448" i="11" s="1"/>
  <c r="F1572" i="11" a="1"/>
  <c r="F1572" i="11" s="1"/>
  <c r="F1743" i="11" a="1"/>
  <c r="F1743" i="11" s="1"/>
  <c r="F1911" i="11" a="1"/>
  <c r="F1911" i="11" s="1"/>
  <c r="F2075" i="11" a="1"/>
  <c r="F2075" i="11" s="1"/>
  <c r="F2249" i="11" a="1"/>
  <c r="F2249" i="11" s="1"/>
  <c r="F2411" i="11" a="1"/>
  <c r="F2411" i="11" s="1"/>
  <c r="F2618" i="11" a="1"/>
  <c r="F2618" i="11" s="1"/>
  <c r="F2775" i="11" a="1"/>
  <c r="F2775" i="11" s="1"/>
  <c r="F2933" i="11" a="1"/>
  <c r="F2933" i="11" s="1"/>
  <c r="F3056" i="11" a="1"/>
  <c r="F3056" i="11" s="1"/>
  <c r="F3139" i="11" a="1"/>
  <c r="F3139" i="11" s="1"/>
  <c r="F3237" i="11" a="1"/>
  <c r="F3237" i="11" s="1"/>
  <c r="F3322" i="11" a="1"/>
  <c r="F3322" i="11" s="1"/>
  <c r="F3397" i="11" a="1"/>
  <c r="F3397" i="11" s="1"/>
  <c r="F3461" i="11" a="1"/>
  <c r="F3461" i="11" s="1"/>
  <c r="F3517" i="11" a="1"/>
  <c r="F3517" i="11" s="1"/>
  <c r="F3567" i="11" a="1"/>
  <c r="F3567" i="11" s="1"/>
  <c r="F3618" i="11" a="1"/>
  <c r="F3618" i="11" s="1"/>
  <c r="F3651" i="11" a="1"/>
  <c r="F3651" i="11" s="1"/>
  <c r="F1492" i="11" a="1"/>
  <c r="F1492" i="11" s="1"/>
  <c r="F1618" i="11" a="1"/>
  <c r="F1618" i="11" s="1"/>
  <c r="F1784" i="11" a="1"/>
  <c r="F1784" i="11" s="1"/>
  <c r="F1947" i="11" a="1"/>
  <c r="F1947" i="11" s="1"/>
  <c r="F2121" i="11" a="1"/>
  <c r="F2121" i="11" s="1"/>
  <c r="F2290" i="11" a="1"/>
  <c r="F2290" i="11" s="1"/>
  <c r="F2457" i="11" a="1"/>
  <c r="F2457" i="11" s="1"/>
  <c r="F2654" i="11" a="1"/>
  <c r="F2654" i="11" s="1"/>
  <c r="F2815" i="11" a="1"/>
  <c r="F2815" i="11" s="1"/>
  <c r="F2960" i="11" a="1"/>
  <c r="F2960" i="11" s="1"/>
  <c r="F3055" i="11" a="1"/>
  <c r="F3055" i="11" s="1"/>
  <c r="F3161" i="11" a="1"/>
  <c r="F3161" i="11" s="1"/>
  <c r="F3256" i="11" a="1"/>
  <c r="F3256" i="11" s="1"/>
  <c r="F3338" i="11" a="1"/>
  <c r="F3338" i="11" s="1"/>
  <c r="F3409" i="11" a="1"/>
  <c r="F3409" i="11" s="1"/>
  <c r="F3473" i="11" a="1"/>
  <c r="F3473" i="11" s="1"/>
  <c r="F3529" i="11" a="1"/>
  <c r="F3529" i="11" s="1"/>
  <c r="F3576" i="11" a="1"/>
  <c r="F3576" i="11" s="1"/>
  <c r="F3617" i="11" a="1"/>
  <c r="F3617" i="11" s="1"/>
  <c r="F3650" i="11" a="1"/>
  <c r="F3650" i="11" s="1"/>
  <c r="F3683" i="11" a="1"/>
  <c r="F3683" i="11" s="1"/>
  <c r="F1661" i="11" a="1"/>
  <c r="F1661" i="11" s="1"/>
  <c r="F1825" i="11" a="1"/>
  <c r="F1825" i="11" s="1"/>
  <c r="F1995" i="11" a="1"/>
  <c r="F1995" i="11" s="1"/>
  <c r="F2077" i="11" a="1"/>
  <c r="F2077" i="11" s="1"/>
  <c r="F2250" i="11" a="1"/>
  <c r="F2250" i="11" s="1"/>
  <c r="F2413" i="11" a="1"/>
  <c r="F2413" i="11" s="1"/>
  <c r="F2619" i="11" a="1"/>
  <c r="F2619" i="11" s="1"/>
  <c r="F2777" i="11" a="1"/>
  <c r="F2777" i="11" s="1"/>
  <c r="F2934" i="11" a="1"/>
  <c r="F2934" i="11" s="1"/>
  <c r="F3058" i="11" a="1"/>
  <c r="F3058" i="11" s="1"/>
  <c r="F3163" i="11" a="1"/>
  <c r="F3163" i="11" s="1"/>
  <c r="F3238" i="11" a="1"/>
  <c r="F3238" i="11" s="1"/>
  <c r="F3323" i="11" a="1"/>
  <c r="F3323" i="11" s="1"/>
  <c r="F3411" i="11" a="1"/>
  <c r="F3411" i="11" s="1"/>
  <c r="F3475" i="11" a="1"/>
  <c r="F3475" i="11" s="1"/>
  <c r="F3531" i="11" a="1"/>
  <c r="F3531" i="11" s="1"/>
  <c r="F3577" i="11" a="1"/>
  <c r="F3577" i="11" s="1"/>
  <c r="F3619" i="11" a="1"/>
  <c r="F3619" i="11" s="1"/>
  <c r="F1280" i="11" a="1"/>
  <c r="F1280" i="11" s="1"/>
  <c r="F1449" i="11" a="1"/>
  <c r="F1449" i="11" s="1"/>
  <c r="F1619" i="11" a="1"/>
  <c r="F1619" i="11" s="1"/>
  <c r="F1744" i="11" a="1"/>
  <c r="F1744" i="11" s="1"/>
  <c r="F1912" i="11" a="1"/>
  <c r="F1912" i="11" s="1"/>
  <c r="F2076" i="11" a="1"/>
  <c r="F2076" i="11" s="1"/>
  <c r="F2291" i="11" a="1"/>
  <c r="F2291" i="11" s="1"/>
  <c r="F2458" i="11" a="1"/>
  <c r="F2458" i="11" s="1"/>
  <c r="F2656" i="11" a="1"/>
  <c r="F2656" i="11" s="1"/>
  <c r="F2816" i="11" a="1"/>
  <c r="F2816" i="11" s="1"/>
  <c r="F2962" i="11" a="1"/>
  <c r="F2962" i="11" s="1"/>
  <c r="F3057" i="11" a="1"/>
  <c r="F3057" i="11" s="1"/>
  <c r="F3162" i="11" a="1"/>
  <c r="F3162" i="11" s="1"/>
  <c r="F3257" i="11" a="1"/>
  <c r="F3257" i="11" s="1"/>
  <c r="F3339" i="11" a="1"/>
  <c r="F3339" i="11" s="1"/>
  <c r="F3410" i="11" a="1"/>
  <c r="F3410" i="11" s="1"/>
  <c r="F3474" i="11" a="1"/>
  <c r="F3474" i="11" s="1"/>
  <c r="F3530" i="11" a="1"/>
  <c r="F3530" i="11" s="1"/>
  <c r="F3587" i="11" a="1"/>
  <c r="F3587" i="11" s="1"/>
  <c r="F3626" i="11" a="1"/>
  <c r="F3626" i="11" s="1"/>
  <c r="F3658" i="11" a="1"/>
  <c r="F3658" i="11" s="1"/>
  <c r="F1493" i="11" a="1"/>
  <c r="F1493" i="11" s="1"/>
  <c r="F1662" i="11" a="1"/>
  <c r="F1662" i="11" s="1"/>
  <c r="F1785" i="11" a="1"/>
  <c r="F1785" i="11" s="1"/>
  <c r="F1948" i="11" a="1"/>
  <c r="F1948" i="11" s="1"/>
  <c r="F2122" i="11" a="1"/>
  <c r="F2122" i="11" s="1"/>
  <c r="F2329" i="11" a="1"/>
  <c r="F2329" i="11" s="1"/>
  <c r="F2494" i="11" a="1"/>
  <c r="F2494" i="11" s="1"/>
  <c r="F2655" i="11" a="1"/>
  <c r="F2655" i="11" s="1"/>
  <c r="F2849" i="11" a="1"/>
  <c r="F2849" i="11" s="1"/>
  <c r="F2961" i="11" a="1"/>
  <c r="F2961" i="11" s="1"/>
  <c r="F3080" i="11" a="1"/>
  <c r="F3080" i="11" s="1"/>
  <c r="F3180" i="11" a="1"/>
  <c r="F3180" i="11" s="1"/>
  <c r="F3268" i="11" a="1"/>
  <c r="F3268" i="11" s="1"/>
  <c r="F3353" i="11" a="1"/>
  <c r="F3353" i="11" s="1"/>
  <c r="F3424" i="11" a="1"/>
  <c r="F3424" i="11" s="1"/>
  <c r="F3487" i="11" a="1"/>
  <c r="F3487" i="11" s="1"/>
  <c r="F3539" i="11" a="1"/>
  <c r="F3539" i="11" s="1"/>
  <c r="F3586" i="11" a="1"/>
  <c r="F3586" i="11" s="1"/>
  <c r="F3625" i="11" a="1"/>
  <c r="F3625" i="11" s="1"/>
  <c r="F3664" i="11" a="1"/>
  <c r="F3664" i="11" s="1"/>
  <c r="F1535" i="11" a="1"/>
  <c r="F1535" i="11" s="1"/>
  <c r="F1698" i="11" a="1"/>
  <c r="F1698" i="11" s="1"/>
  <c r="F1826" i="11" a="1"/>
  <c r="F1826" i="11" s="1"/>
  <c r="F1996" i="11" a="1"/>
  <c r="F1996" i="11" s="1"/>
  <c r="F2163" i="11" a="1"/>
  <c r="F2163" i="11" s="1"/>
  <c r="F2372" i="11" a="1"/>
  <c r="F2372" i="11" s="1"/>
  <c r="F2532" i="11" a="1"/>
  <c r="F2532" i="11" s="1"/>
  <c r="F2698" i="11" a="1"/>
  <c r="F2698" i="11" s="1"/>
  <c r="F2880" i="11" a="1"/>
  <c r="F2880" i="11" s="1"/>
  <c r="F2984" i="11" a="1"/>
  <c r="F2984" i="11" s="1"/>
  <c r="F3100" i="11" a="1"/>
  <c r="F3100" i="11" s="1"/>
  <c r="F3199" i="11" a="1"/>
  <c r="F3199" i="11" s="1"/>
  <c r="F3290" i="11" a="1"/>
  <c r="F3290" i="11" s="1"/>
  <c r="F3352" i="11" a="1"/>
  <c r="F3352" i="11" s="1"/>
  <c r="F3423" i="11" a="1"/>
  <c r="F3423" i="11" s="1"/>
  <c r="F3486" i="11" a="1"/>
  <c r="F3486" i="11" s="1"/>
  <c r="F3548" i="11" a="1"/>
  <c r="F3548" i="11" s="1"/>
  <c r="F3594" i="11" a="1"/>
  <c r="F3594" i="11" s="1"/>
  <c r="F3631" i="11" a="1"/>
  <c r="F3631" i="11" s="1"/>
  <c r="F3663" i="11" a="1"/>
  <c r="F3663" i="11" s="1"/>
  <c r="F1570" i="11" a="1"/>
  <c r="F1570" i="11" s="1"/>
  <c r="F1741" i="11" a="1"/>
  <c r="F1741" i="11" s="1"/>
  <c r="F1871" i="11" a="1"/>
  <c r="F1871" i="11" s="1"/>
  <c r="F2038" i="11" a="1"/>
  <c r="F2038" i="11" s="1"/>
  <c r="F2205" i="11" a="1"/>
  <c r="F2205" i="11" s="1"/>
  <c r="F2371" i="11" a="1"/>
  <c r="F2371" i="11" s="1"/>
  <c r="F1450" i="11" a="1"/>
  <c r="F1450" i="11" s="1"/>
  <c r="F1620" i="11" a="1"/>
  <c r="F1620" i="11" s="1"/>
  <c r="F1786" i="11" a="1"/>
  <c r="F1786" i="11" s="1"/>
  <c r="F1949" i="11" a="1"/>
  <c r="F1949" i="11" s="1"/>
  <c r="F2123" i="11" a="1"/>
  <c r="F2123" i="11" s="1"/>
  <c r="F2292" i="11" a="1"/>
  <c r="F2292" i="11" s="1"/>
  <c r="F2495" i="11" a="1"/>
  <c r="F2495" i="11" s="1"/>
  <c r="F2657" i="11" a="1"/>
  <c r="F2657" i="11" s="1"/>
  <c r="F2850" i="11" a="1"/>
  <c r="F2850" i="11" s="1"/>
  <c r="F2986" i="11" a="1"/>
  <c r="F2986" i="11" s="1"/>
  <c r="F3081" i="11" a="1"/>
  <c r="F3081" i="11" s="1"/>
  <c r="F3181" i="11" a="1"/>
  <c r="F3181" i="11" s="1"/>
  <c r="F3269" i="11" a="1"/>
  <c r="F3269" i="11" s="1"/>
  <c r="F3354" i="11" a="1"/>
  <c r="F3354" i="11" s="1"/>
  <c r="F3425" i="11" a="1"/>
  <c r="F3425" i="11" s="1"/>
  <c r="F3488" i="11" a="1"/>
  <c r="F3488" i="11" s="1"/>
  <c r="F3550" i="11" a="1"/>
  <c r="F3550" i="11" s="1"/>
  <c r="F3596" i="11" a="1"/>
  <c r="F3596" i="11" s="1"/>
  <c r="F3632" i="11" a="1"/>
  <c r="F3632" i="11" s="1"/>
  <c r="F1325" i="11" a="1"/>
  <c r="F1325" i="11" s="1"/>
  <c r="F1494" i="11" a="1"/>
  <c r="F1494" i="11" s="1"/>
  <c r="F1663" i="11" a="1"/>
  <c r="F1663" i="11" s="1"/>
  <c r="F1827" i="11" a="1"/>
  <c r="F1827" i="11" s="1"/>
  <c r="F1997" i="11" a="1"/>
  <c r="F1997" i="11" s="1"/>
  <c r="F2164" i="11" a="1"/>
  <c r="F2164" i="11" s="1"/>
  <c r="F2330" i="11" a="1"/>
  <c r="F2330" i="11" s="1"/>
  <c r="F2534" i="11" a="1"/>
  <c r="F2534" i="11" s="1"/>
  <c r="F2699" i="11" a="1"/>
  <c r="F2699" i="11" s="1"/>
  <c r="F2882" i="11" a="1"/>
  <c r="F2882" i="11" s="1"/>
  <c r="F2985" i="11" a="1"/>
  <c r="F2985" i="11" s="1"/>
  <c r="F3101" i="11" a="1"/>
  <c r="F3101" i="11" s="1"/>
  <c r="F3200" i="11" a="1"/>
  <c r="F3200" i="11" s="1"/>
  <c r="F3292" i="11" a="1"/>
  <c r="F3292" i="11" s="1"/>
  <c r="F3370" i="11" a="1"/>
  <c r="F3370" i="11" s="1"/>
  <c r="F3438" i="11" a="1"/>
  <c r="F3438" i="11" s="1"/>
  <c r="F3497" i="11" a="1"/>
  <c r="F3497" i="11" s="1"/>
  <c r="F3549" i="11" a="1"/>
  <c r="F3549" i="11" s="1"/>
  <c r="F3595" i="11" a="1"/>
  <c r="F3595" i="11" s="1"/>
  <c r="F3639" i="11" a="1"/>
  <c r="F3639" i="11" s="1"/>
  <c r="F1365" i="11" a="1"/>
  <c r="F1365" i="11" s="1"/>
  <c r="F1536" i="11" a="1"/>
  <c r="F1536" i="11" s="1"/>
  <c r="F1699" i="11" a="1"/>
  <c r="F1699" i="11" s="1"/>
  <c r="F1872" i="11" a="1"/>
  <c r="F1872" i="11" s="1"/>
  <c r="F2039" i="11" a="1"/>
  <c r="F2039" i="11" s="1"/>
  <c r="F2206" i="11" a="1"/>
  <c r="F2206" i="11" s="1"/>
  <c r="F2373" i="11" a="1"/>
  <c r="F2373" i="11" s="1"/>
  <c r="F2533" i="11" a="1"/>
  <c r="F2533" i="11" s="1"/>
  <c r="F2733" i="11" a="1"/>
  <c r="F2733" i="11" s="1"/>
  <c r="F2881" i="11" a="1"/>
  <c r="F2881" i="11" s="1"/>
  <c r="F3012" i="11" a="1"/>
  <c r="F3012" i="11" s="1"/>
  <c r="F3122" i="11" a="1"/>
  <c r="F3122" i="11" s="1"/>
  <c r="F3220" i="11" a="1"/>
  <c r="F3220" i="11" s="1"/>
  <c r="F3291" i="11" a="1"/>
  <c r="F3291" i="11" s="1"/>
  <c r="F3369" i="11" a="1"/>
  <c r="F3369" i="11" s="1"/>
  <c r="F3437" i="11" a="1"/>
  <c r="F3437" i="11" s="1"/>
  <c r="F3507" i="11" a="1"/>
  <c r="F3507" i="11" s="1"/>
  <c r="F3558" i="11" a="1"/>
  <c r="F3558" i="11" s="1"/>
  <c r="F3602" i="11" a="1"/>
  <c r="F3602" i="11" s="1"/>
  <c r="F3638" i="11" a="1"/>
  <c r="F3638" i="11" s="1"/>
  <c r="F3669" i="11" a="1"/>
  <c r="F3669" i="11" s="1"/>
  <c r="F1571" i="11" a="1"/>
  <c r="F1571" i="11" s="1"/>
  <c r="F1742" i="11" a="1"/>
  <c r="F1742" i="11" s="1"/>
  <c r="F1910" i="11" a="1"/>
  <c r="F1910" i="11" s="1"/>
  <c r="F2074" i="11" a="1"/>
  <c r="F2074" i="11" s="1"/>
  <c r="F2248" i="11" a="1"/>
  <c r="F2248" i="11" s="1"/>
  <c r="F2410" i="11" a="1"/>
  <c r="F2410" i="11" s="1"/>
  <c r="F2579" i="11" a="1"/>
  <c r="F2579" i="11" s="1"/>
  <c r="F2774" i="11" a="1"/>
  <c r="F2774" i="11" s="1"/>
  <c r="F2903" i="11" a="1"/>
  <c r="F2903" i="11" s="1"/>
  <c r="F3029" i="11" a="1"/>
  <c r="F3029" i="11" s="1"/>
  <c r="F3138" i="11" a="1"/>
  <c r="F3138" i="11" s="1"/>
  <c r="F3219" i="11" a="1"/>
  <c r="F3219" i="11" s="1"/>
  <c r="F3306" i="11" a="1"/>
  <c r="F3306" i="11" s="1"/>
  <c r="F3380" i="11" a="1"/>
  <c r="F3380" i="11" s="1"/>
  <c r="F3449" i="11" a="1"/>
  <c r="F3449" i="11" s="1"/>
  <c r="F3506" i="11" a="1"/>
  <c r="F3506" i="11" s="1"/>
  <c r="F3557" i="11" a="1"/>
  <c r="F3557" i="11" s="1"/>
  <c r="F3601" i="11" a="1"/>
  <c r="F3601" i="11" s="1"/>
  <c r="F3644" i="11" a="1"/>
  <c r="F3644" i="11" s="1"/>
  <c r="F3673" i="11" a="1"/>
  <c r="F3673" i="11" s="1"/>
  <c r="F1617" i="11" a="1"/>
  <c r="F1617" i="11" s="1"/>
  <c r="F1783" i="11" a="1"/>
  <c r="F1783" i="11" s="1"/>
  <c r="F1946" i="11" a="1"/>
  <c r="F1946" i="11" s="1"/>
  <c r="F2120" i="11" a="1"/>
  <c r="F2120" i="11" s="1"/>
  <c r="F2289" i="11" a="1"/>
  <c r="F2289" i="11" s="1"/>
  <c r="F2162" i="11" a="1"/>
  <c r="F2162" i="11" s="1"/>
  <c r="F2328" i="11" a="1"/>
  <c r="F2328" i="11" s="1"/>
  <c r="F2493" i="11" a="1"/>
  <c r="F2493" i="11" s="1"/>
  <c r="F2697" i="11" a="1"/>
  <c r="F2697" i="11" s="1"/>
  <c r="F2848" i="11" a="1"/>
  <c r="F2848" i="11" s="1"/>
  <c r="F2983" i="11" a="1"/>
  <c r="F2983" i="11" s="1"/>
  <c r="F3079" i="11" a="1"/>
  <c r="F3079" i="11" s="1"/>
  <c r="F3179" i="11" a="1"/>
  <c r="F3179" i="11" s="1"/>
  <c r="F3267" i="11" a="1"/>
  <c r="F3267" i="11" s="1"/>
  <c r="F3351" i="11" a="1"/>
  <c r="F3351" i="11" s="1"/>
  <c r="F3408" i="11" a="1"/>
  <c r="F3408" i="11" s="1"/>
  <c r="F3472" i="11" a="1"/>
  <c r="F3472" i="11" s="1"/>
  <c r="F3538" i="11" a="1"/>
  <c r="F3538" i="11" s="1"/>
  <c r="F3585" i="11" a="1"/>
  <c r="F3585" i="11" s="1"/>
  <c r="F3624" i="11" a="1"/>
  <c r="F3624" i="11" s="1"/>
  <c r="F3657" i="11" a="1"/>
  <c r="F3657" i="11" s="1"/>
  <c r="F3682" i="11" a="1"/>
  <c r="F3682" i="11" s="1"/>
  <c r="F1740" i="11" a="1"/>
  <c r="F1740" i="11" s="1"/>
  <c r="F1870" i="11" a="1"/>
  <c r="F1870" i="11" s="1"/>
  <c r="F2037" i="11" a="1"/>
  <c r="F2037" i="11" s="1"/>
  <c r="F2204" i="11" a="1"/>
  <c r="F2204" i="11" s="1"/>
  <c r="F2370" i="11" a="1"/>
  <c r="F2370" i="11" s="1"/>
  <c r="F2531" i="11" a="1"/>
  <c r="F2531" i="11" s="1"/>
  <c r="F2731" i="11" a="1"/>
  <c r="F2731" i="11" s="1"/>
  <c r="F2879" i="11" a="1"/>
  <c r="F2879" i="11" s="1"/>
  <c r="F3010" i="11" a="1"/>
  <c r="F3010" i="11" s="1"/>
  <c r="F3099" i="11" a="1"/>
  <c r="F3099" i="11" s="1"/>
  <c r="F3198" i="11" a="1"/>
  <c r="F3198" i="11" s="1"/>
  <c r="F3288" i="11" a="1"/>
  <c r="F3288" i="11" s="1"/>
  <c r="F3350" i="11" a="1"/>
  <c r="F3350" i="11" s="1"/>
  <c r="F3422" i="11" a="1"/>
  <c r="F3422" i="11" s="1"/>
  <c r="F3485" i="11" a="1"/>
  <c r="F3485" i="11" s="1"/>
  <c r="F3537" i="11" a="1"/>
  <c r="F3537" i="11" s="1"/>
  <c r="F3584" i="11" a="1"/>
  <c r="F3584" i="11" s="1"/>
  <c r="F3630" i="11" a="1"/>
  <c r="F3630" i="11" s="1"/>
  <c r="F3662" i="11" a="1"/>
  <c r="F3662" i="11" s="1"/>
  <c r="F3687" i="11" a="1"/>
  <c r="F3687" i="11" s="1"/>
  <c r="F1781" i="11" a="1"/>
  <c r="F1781" i="11" s="1"/>
  <c r="F1909" i="11" a="1"/>
  <c r="F1909" i="11" s="1"/>
  <c r="F2072" i="11" a="1"/>
  <c r="F2072" i="11" s="1"/>
  <c r="F2246" i="11" a="1"/>
  <c r="F2246" i="11" s="1"/>
  <c r="F2409" i="11" a="1"/>
  <c r="F2409" i="11" s="1"/>
  <c r="F2577" i="11" a="1"/>
  <c r="F2577" i="11" s="1"/>
  <c r="F2772" i="11" a="1"/>
  <c r="F2772" i="11" s="1"/>
  <c r="F2901" i="11" a="1"/>
  <c r="F2901" i="11" s="1"/>
  <c r="F3009" i="11" a="1"/>
  <c r="F3009" i="11" s="1"/>
  <c r="F3120" i="11" a="1"/>
  <c r="F3120" i="11" s="1"/>
  <c r="F3216" i="11" a="1"/>
  <c r="F3216" i="11" s="1"/>
  <c r="F3287" i="11" a="1"/>
  <c r="F3287" i="11" s="1"/>
  <c r="F3367" i="11" a="1"/>
  <c r="F3367" i="11" s="1"/>
  <c r="F3435" i="11" a="1"/>
  <c r="F3435" i="11" s="1"/>
  <c r="F3495" i="11" a="1"/>
  <c r="F3495" i="11" s="1"/>
  <c r="F3546" i="11" a="1"/>
  <c r="F3546" i="11" s="1"/>
  <c r="F3592" i="11" a="1"/>
  <c r="F3592" i="11" s="1"/>
  <c r="F3629" i="11" a="1"/>
  <c r="F3629" i="11" s="1"/>
  <c r="F3661" i="11" a="1"/>
  <c r="F3661" i="11" s="1"/>
  <c r="F3690" i="11" a="1"/>
  <c r="F3690" i="11" s="1"/>
  <c r="F3707" i="11" a="1"/>
  <c r="F3707" i="11" s="1"/>
  <c r="F1992" i="11" a="1"/>
  <c r="F1992" i="11" s="1"/>
  <c r="F2119" i="11" a="1"/>
  <c r="F2119" i="11" s="1"/>
  <c r="F2288" i="11" a="1"/>
  <c r="F2288" i="11" s="1"/>
  <c r="F2454" i="11" a="1"/>
  <c r="F2454" i="11" s="1"/>
  <c r="F2615" i="11" a="1"/>
  <c r="F2615" i="11" s="1"/>
  <c r="F2812" i="11" a="1"/>
  <c r="F2812" i="11" s="1"/>
  <c r="F2929" i="11" a="1"/>
  <c r="F2929" i="11" s="1"/>
  <c r="F3027" i="11" a="1"/>
  <c r="F3027" i="11" s="1"/>
  <c r="F3135" i="11" a="1"/>
  <c r="F3135" i="11" s="1"/>
  <c r="F3234" i="11" a="1"/>
  <c r="F3234" i="11" s="1"/>
  <c r="F3304" i="11" a="1"/>
  <c r="F3304" i="11" s="1"/>
  <c r="F3378" i="11" a="1"/>
  <c r="F3378" i="11" s="1"/>
  <c r="F3447" i="11" a="1"/>
  <c r="F3447" i="11" s="1"/>
  <c r="F3504" i="11" a="1"/>
  <c r="F3504" i="11" s="1"/>
  <c r="F3555" i="11" a="1"/>
  <c r="F3555" i="11" s="1"/>
  <c r="F3599" i="11" a="1"/>
  <c r="F3599" i="11" s="1"/>
  <c r="F3635" i="11" a="1"/>
  <c r="F3635" i="11" s="1"/>
  <c r="F3666" i="11" a="1"/>
  <c r="F3666" i="11" s="1"/>
  <c r="F3689" i="11" a="1"/>
  <c r="F3689" i="11" s="1"/>
  <c r="F3710" i="11" a="1"/>
  <c r="F3710" i="11" s="1"/>
  <c r="F2034" i="11" a="1"/>
  <c r="F2034" i="11" s="1"/>
  <c r="F2201" i="11" a="1"/>
  <c r="F2201" i="11" s="1"/>
  <c r="F2367" i="11" a="1"/>
  <c r="F2367" i="11" s="1"/>
  <c r="F2528" i="11" a="1"/>
  <c r="F2528" i="11" s="1"/>
  <c r="F2694" i="11" a="1"/>
  <c r="F2694" i="11" s="1"/>
  <c r="F2845" i="11" a="1"/>
  <c r="F2845" i="11" s="1"/>
  <c r="F2958" i="11" a="1"/>
  <c r="F2958" i="11" s="1"/>
  <c r="F2578" i="11" a="1"/>
  <c r="F2578" i="11" s="1"/>
  <c r="F2732" i="11" a="1"/>
  <c r="F2732" i="11" s="1"/>
  <c r="F2902" i="11" a="1"/>
  <c r="F2902" i="11" s="1"/>
  <c r="F3011" i="11" a="1"/>
  <c r="F3011" i="11" s="1"/>
  <c r="F3121" i="11" a="1"/>
  <c r="F3121" i="11" s="1"/>
  <c r="F3218" i="11" a="1"/>
  <c r="F3218" i="11" s="1"/>
  <c r="F3289" i="11" a="1"/>
  <c r="F3289" i="11" s="1"/>
  <c r="F3368" i="11" a="1"/>
  <c r="F3368" i="11" s="1"/>
  <c r="F3436" i="11" a="1"/>
  <c r="F3436" i="11" s="1"/>
  <c r="F3496" i="11" a="1"/>
  <c r="F3496" i="11" s="1"/>
  <c r="F3547" i="11" a="1"/>
  <c r="F3547" i="11" s="1"/>
  <c r="F3593" i="11" a="1"/>
  <c r="F3593" i="11" s="1"/>
  <c r="F3637" i="11" a="1"/>
  <c r="F3637" i="11" s="1"/>
  <c r="F3668" i="11" a="1"/>
  <c r="F3668" i="11" s="1"/>
  <c r="F3691" i="11" a="1"/>
  <c r="F3691" i="11" s="1"/>
  <c r="F1782" i="11" a="1"/>
  <c r="F1782" i="11" s="1"/>
  <c r="F1945" i="11" a="1"/>
  <c r="F1945" i="11" s="1"/>
  <c r="F2073" i="11" a="1"/>
  <c r="F2073" i="11" s="1"/>
  <c r="F2247" i="11" a="1"/>
  <c r="F2247" i="11" s="1"/>
  <c r="F2455" i="11" a="1"/>
  <c r="F2455" i="11" s="1"/>
  <c r="F2616" i="11" a="1"/>
  <c r="F2616" i="11" s="1"/>
  <c r="F2773" i="11" a="1"/>
  <c r="F2773" i="11" s="1"/>
  <c r="F2931" i="11" a="1"/>
  <c r="F2931" i="11" s="1"/>
  <c r="F3028" i="11" a="1"/>
  <c r="F3028" i="11" s="1"/>
  <c r="F3136" i="11" a="1"/>
  <c r="F3136" i="11" s="1"/>
  <c r="F3217" i="11" a="1"/>
  <c r="F3217" i="11" s="1"/>
  <c r="F3305" i="11" a="1"/>
  <c r="F3305" i="11" s="1"/>
  <c r="F3379" i="11" a="1"/>
  <c r="F3379" i="11" s="1"/>
  <c r="F3448" i="11" a="1"/>
  <c r="F3448" i="11" s="1"/>
  <c r="F3505" i="11" a="1"/>
  <c r="F3505" i="11" s="1"/>
  <c r="F3556" i="11" a="1"/>
  <c r="F3556" i="11" s="1"/>
  <c r="F3600" i="11" a="1"/>
  <c r="F3600" i="11" s="1"/>
  <c r="F3636" i="11" a="1"/>
  <c r="F3636" i="11" s="1"/>
  <c r="F3667" i="11" a="1"/>
  <c r="F3667" i="11" s="1"/>
  <c r="F3695" i="11" a="1"/>
  <c r="F3695" i="11" s="1"/>
  <c r="F1823" i="11" a="1"/>
  <c r="F1823" i="11" s="1"/>
  <c r="F1993" i="11" a="1"/>
  <c r="F1993" i="11" s="1"/>
  <c r="F2160" i="11" a="1"/>
  <c r="F2160" i="11" s="1"/>
  <c r="F2326" i="11" a="1"/>
  <c r="F2326" i="11" s="1"/>
  <c r="F2491" i="11" a="1"/>
  <c r="F2491" i="11" s="1"/>
  <c r="F2652" i="11" a="1"/>
  <c r="F2652" i="11" s="1"/>
  <c r="F2813" i="11" a="1"/>
  <c r="F2813" i="11" s="1"/>
  <c r="F2930" i="11" a="1"/>
  <c r="F2930" i="11" s="1"/>
  <c r="F3053" i="11" a="1"/>
  <c r="F3053" i="11" s="1"/>
  <c r="F3159" i="11" a="1"/>
  <c r="F3159" i="11" s="1"/>
  <c r="F3235" i="11" a="1"/>
  <c r="F3235" i="11" s="1"/>
  <c r="F3320" i="11" a="1"/>
  <c r="F3320" i="11" s="1"/>
  <c r="F3395" i="11" a="1"/>
  <c r="F3395" i="11" s="1"/>
  <c r="F3459" i="11" a="1"/>
  <c r="F3459" i="11" s="1"/>
  <c r="F3515" i="11" a="1"/>
  <c r="F3515" i="11" s="1"/>
  <c r="F3565" i="11" a="1"/>
  <c r="F3565" i="11" s="1"/>
  <c r="F3607" i="11" a="1"/>
  <c r="F3607" i="11" s="1"/>
  <c r="F3642" i="11" a="1"/>
  <c r="F3642" i="11" s="1"/>
  <c r="F3672" i="11" a="1"/>
  <c r="F3672" i="11" s="1"/>
  <c r="F3694" i="11" a="1"/>
  <c r="F3694" i="11" s="1"/>
  <c r="F1868" i="11" a="1"/>
  <c r="F1868" i="11" s="1"/>
  <c r="F2035" i="11" a="1"/>
  <c r="F2035" i="11" s="1"/>
  <c r="F2202" i="11" a="1"/>
  <c r="F2202" i="11" s="1"/>
  <c r="F2368" i="11" a="1"/>
  <c r="F2368" i="11" s="1"/>
  <c r="F2529" i="11" a="1"/>
  <c r="F2529" i="11" s="1"/>
  <c r="F2695" i="11" a="1"/>
  <c r="F2695" i="11" s="1"/>
  <c r="F2846" i="11" a="1"/>
  <c r="F2846" i="11" s="1"/>
  <c r="F2981" i="11" a="1"/>
  <c r="F2981" i="11" s="1"/>
  <c r="F3076" i="11" a="1"/>
  <c r="F3076" i="11" s="1"/>
  <c r="F3177" i="11" a="1"/>
  <c r="F3177" i="11" s="1"/>
  <c r="F3254" i="11" a="1"/>
  <c r="F3254" i="11" s="1"/>
  <c r="F3336" i="11" a="1"/>
  <c r="F3336" i="11" s="1"/>
  <c r="F3405" i="11" a="1"/>
  <c r="F3405" i="11" s="1"/>
  <c r="F3469" i="11" a="1"/>
  <c r="F3469" i="11" s="1"/>
  <c r="F3526" i="11" a="1"/>
  <c r="F3526" i="11" s="1"/>
  <c r="F3573" i="11" a="1"/>
  <c r="F3573" i="11" s="1"/>
  <c r="F3615" i="11" a="1"/>
  <c r="F3615" i="11" s="1"/>
  <c r="F3648" i="11" a="1"/>
  <c r="F3648" i="11" s="1"/>
  <c r="F3675" i="11" a="1"/>
  <c r="F3675" i="11" s="1"/>
  <c r="F3697" i="11" a="1"/>
  <c r="F3697" i="11" s="1"/>
  <c r="F3712" i="11" a="1"/>
  <c r="F3712" i="11" s="1"/>
  <c r="F2070" i="11" a="1"/>
  <c r="F2070" i="11" s="1"/>
  <c r="F2244" i="11" a="1"/>
  <c r="F2244" i="11" s="1"/>
  <c r="F2407" i="11" a="1"/>
  <c r="F2407" i="11" s="1"/>
  <c r="F2575" i="11" a="1"/>
  <c r="F2575" i="11" s="1"/>
  <c r="F2729" i="11" a="1"/>
  <c r="F2729" i="11" s="1"/>
  <c r="F2877" i="11" a="1"/>
  <c r="F2877" i="11" s="1"/>
  <c r="F3007" i="11" a="1"/>
  <c r="F3007" i="11" s="1"/>
  <c r="F2456" i="11" a="1"/>
  <c r="F2456" i="11" s="1"/>
  <c r="F2617" i="11" a="1"/>
  <c r="F2617" i="11" s="1"/>
  <c r="F2814" i="11" a="1"/>
  <c r="F2814" i="11" s="1"/>
  <c r="F2932" i="11" a="1"/>
  <c r="F2932" i="11" s="1"/>
  <c r="F3054" i="11" a="1"/>
  <c r="F3054" i="11" s="1"/>
  <c r="F3137" i="11" a="1"/>
  <c r="F3137" i="11" s="1"/>
  <c r="F3236" i="11" a="1"/>
  <c r="F3236" i="11" s="1"/>
  <c r="F3321" i="11" a="1"/>
  <c r="F3321" i="11" s="1"/>
  <c r="F3396" i="11" a="1"/>
  <c r="F3396" i="11" s="1"/>
  <c r="F3460" i="11" a="1"/>
  <c r="F3460" i="11" s="1"/>
  <c r="F3516" i="11" a="1"/>
  <c r="F3516" i="11" s="1"/>
  <c r="F3566" i="11" a="1"/>
  <c r="F3566" i="11" s="1"/>
  <c r="F3608" i="11" a="1"/>
  <c r="F3608" i="11" s="1"/>
  <c r="F3643" i="11" a="1"/>
  <c r="F3643" i="11" s="1"/>
  <c r="F3677" i="11" a="1"/>
  <c r="F3677" i="11" s="1"/>
  <c r="F1660" i="11" a="1"/>
  <c r="F1660" i="11" s="1"/>
  <c r="F1824" i="11" a="1"/>
  <c r="F1824" i="11" s="1"/>
  <c r="F1994" i="11" a="1"/>
  <c r="F1994" i="11" s="1"/>
  <c r="F2161" i="11" a="1"/>
  <c r="F2161" i="11" s="1"/>
  <c r="F2327" i="11" a="1"/>
  <c r="F2327" i="11" s="1"/>
  <c r="F2492" i="11" a="1"/>
  <c r="F2492" i="11" s="1"/>
  <c r="F2653" i="11" a="1"/>
  <c r="F2653" i="11" s="1"/>
  <c r="F2847" i="11" a="1"/>
  <c r="F2847" i="11" s="1"/>
  <c r="F2959" i="11" a="1"/>
  <c r="F2959" i="11" s="1"/>
  <c r="F3078" i="11" a="1"/>
  <c r="F3078" i="11" s="1"/>
  <c r="F3160" i="11" a="1"/>
  <c r="F3160" i="11" s="1"/>
  <c r="F3255" i="11" a="1"/>
  <c r="F3255" i="11" s="1"/>
  <c r="F3337" i="11" a="1"/>
  <c r="F3337" i="11" s="1"/>
  <c r="F3407" i="11" a="1"/>
  <c r="F3407" i="11" s="1"/>
  <c r="F3471" i="11" a="1"/>
  <c r="F3471" i="11" s="1"/>
  <c r="F3528" i="11" a="1"/>
  <c r="F3528" i="11" s="1"/>
  <c r="F3575" i="11" a="1"/>
  <c r="F3575" i="11" s="1"/>
  <c r="F3616" i="11" a="1"/>
  <c r="F3616" i="11" s="1"/>
  <c r="F3649" i="11" a="1"/>
  <c r="F3649" i="11" s="1"/>
  <c r="F3676" i="11" a="1"/>
  <c r="F3676" i="11" s="1"/>
  <c r="F3701" i="11" a="1"/>
  <c r="F3701" i="11" s="1"/>
  <c r="F1869" i="11" a="1"/>
  <c r="F1869" i="11" s="1"/>
  <c r="F2036" i="11" a="1"/>
  <c r="F2036" i="11" s="1"/>
  <c r="F2203" i="11" a="1"/>
  <c r="F2203" i="11" s="1"/>
  <c r="F2369" i="11" a="1"/>
  <c r="F2369" i="11" s="1"/>
  <c r="F2530" i="11" a="1"/>
  <c r="F2530" i="11" s="1"/>
  <c r="F2696" i="11" a="1"/>
  <c r="F2696" i="11" s="1"/>
  <c r="F2878" i="11" a="1"/>
  <c r="F2878" i="11" s="1"/>
  <c r="F2982" i="11" a="1"/>
  <c r="F2982" i="11" s="1"/>
  <c r="F3077" i="11" a="1"/>
  <c r="F3077" i="11" s="1"/>
  <c r="F3178" i="11" a="1"/>
  <c r="F3178" i="11" s="1"/>
  <c r="F3266" i="11" a="1"/>
  <c r="F3266" i="11" s="1"/>
  <c r="F3349" i="11" a="1"/>
  <c r="F3349" i="11" s="1"/>
  <c r="F3406" i="11" a="1"/>
  <c r="F3406" i="11" s="1"/>
  <c r="F3470" i="11" a="1"/>
  <c r="F3470" i="11" s="1"/>
  <c r="F3527" i="11" a="1"/>
  <c r="F3527" i="11" s="1"/>
  <c r="F3574" i="11" a="1"/>
  <c r="F3574" i="11" s="1"/>
  <c r="F3623" i="11" a="1"/>
  <c r="F3623" i="11" s="1"/>
  <c r="F3656" i="11" a="1"/>
  <c r="F3656" i="11" s="1"/>
  <c r="F3681" i="11" a="1"/>
  <c r="F3681" i="11" s="1"/>
  <c r="F3700" i="11" a="1"/>
  <c r="F3700" i="11" s="1"/>
  <c r="F1908" i="11" a="1"/>
  <c r="F1908" i="11" s="1"/>
  <c r="F2071" i="11" a="1"/>
  <c r="F2071" i="11" s="1"/>
  <c r="F2245" i="11" a="1"/>
  <c r="F2245" i="11" s="1"/>
  <c r="F2408" i="11" a="1"/>
  <c r="F2408" i="11" s="1"/>
  <c r="F2576" i="11" a="1"/>
  <c r="F2576" i="11" s="1"/>
  <c r="F2730" i="11" a="1"/>
  <c r="F2730" i="11" s="1"/>
  <c r="F2900" i="11" a="1"/>
  <c r="F2900" i="11" s="1"/>
  <c r="F3008" i="11" a="1"/>
  <c r="F3008" i="11" s="1"/>
  <c r="F3098" i="11" a="1"/>
  <c r="F3098" i="11" s="1"/>
  <c r="F3197" i="11" a="1"/>
  <c r="F3197" i="11" s="1"/>
  <c r="F3286" i="11" a="1"/>
  <c r="F3286" i="11" s="1"/>
  <c r="F3348" i="11" a="1"/>
  <c r="F3348" i="11" s="1"/>
  <c r="F3421" i="11" a="1"/>
  <c r="F3421" i="11" s="1"/>
  <c r="F3484" i="11" a="1"/>
  <c r="F3484" i="11" s="1"/>
  <c r="F3536" i="11" a="1"/>
  <c r="F3536" i="11" s="1"/>
  <c r="F3583" i="11" a="1"/>
  <c r="F3583" i="11" s="1"/>
  <c r="F3622" i="11" a="1"/>
  <c r="F3622" i="11" s="1"/>
  <c r="F3655" i="11" a="1"/>
  <c r="F3655" i="11" s="1"/>
  <c r="F3686" i="11" a="1"/>
  <c r="F3686" i="11" s="1"/>
  <c r="F3704" i="11" a="1"/>
  <c r="F3704" i="11" s="1"/>
  <c r="F1991" i="11" a="1"/>
  <c r="F1991" i="11" s="1"/>
  <c r="F2118" i="11" a="1"/>
  <c r="F2118" i="11" s="1"/>
  <c r="F2287" i="11" a="1"/>
  <c r="F2287" i="11" s="1"/>
  <c r="F2453" i="11" a="1"/>
  <c r="F2453" i="11" s="1"/>
  <c r="F2614" i="11" a="1"/>
  <c r="F2614" i="11" s="1"/>
  <c r="F2771" i="11" a="1"/>
  <c r="F2771" i="11" s="1"/>
  <c r="F2928" i="11" a="1"/>
  <c r="F2928" i="11" s="1"/>
  <c r="F3026" i="11" a="1"/>
  <c r="F3026" i="11" s="1"/>
  <c r="F3075" i="11" a="1"/>
  <c r="F3075" i="11" s="1"/>
  <c r="F3097" i="11" a="1"/>
  <c r="F3097" i="11" s="1"/>
  <c r="F3134" i="11" a="1"/>
  <c r="F3134" i="11" s="1"/>
  <c r="F3158" i="11" a="1"/>
  <c r="F3158" i="11" s="1"/>
  <c r="F3196" i="11" a="1"/>
  <c r="F3196" i="11" s="1"/>
  <c r="F3215" i="11" a="1"/>
  <c r="F3215" i="11" s="1"/>
  <c r="F3253" i="11" a="1"/>
  <c r="F3253" i="11" s="1"/>
  <c r="F3265" i="11" a="1"/>
  <c r="F3265" i="11" s="1"/>
  <c r="F3303" i="11" a="1"/>
  <c r="F3303" i="11" s="1"/>
  <c r="F3319" i="11" a="1"/>
  <c r="F3319" i="11" s="1"/>
  <c r="F3347" i="11" a="1"/>
  <c r="F3347" i="11" s="1"/>
  <c r="F3366" i="11" a="1"/>
  <c r="F3366" i="11" s="1"/>
  <c r="F3394" i="11" a="1"/>
  <c r="F3394" i="11" s="1"/>
  <c r="F3420" i="11" a="1"/>
  <c r="F3420" i="11" s="1"/>
  <c r="F3434" i="11" a="1"/>
  <c r="F3434" i="11" s="1"/>
  <c r="F3458" i="11" a="1"/>
  <c r="F3458" i="11" s="1"/>
  <c r="F3468" i="11" a="1"/>
  <c r="F3468" i="11" s="1"/>
  <c r="F3494" i="11" a="1"/>
  <c r="F3494" i="11" s="1"/>
  <c r="F3514" i="11" a="1"/>
  <c r="F3514" i="11" s="1"/>
  <c r="F3525" i="11" a="1"/>
  <c r="F3525" i="11" s="1"/>
  <c r="F3545" i="11" a="1"/>
  <c r="F3545" i="11" s="1"/>
  <c r="F3564" i="11" a="1"/>
  <c r="F3564" i="11" s="1"/>
  <c r="F3572" i="11" a="1"/>
  <c r="F3572" i="11" s="1"/>
  <c r="F3591" i="11" a="1"/>
  <c r="F3591" i="11" s="1"/>
  <c r="F3606" i="11" a="1"/>
  <c r="F3606" i="11" s="1"/>
  <c r="F3614" i="11" a="1"/>
  <c r="F3614" i="11" s="1"/>
  <c r="F3628" i="11" a="1"/>
  <c r="F3628" i="11" s="1"/>
  <c r="F3641" i="11" a="1"/>
  <c r="F3641" i="11" s="1"/>
  <c r="F3654" i="11" a="1"/>
  <c r="F3654" i="11" s="1"/>
  <c r="F3660" i="11" a="1"/>
  <c r="F3660" i="11" s="1"/>
  <c r="F3671" i="11" a="1"/>
  <c r="F3671" i="11" s="1"/>
  <c r="F3680" i="11" a="1"/>
  <c r="F3680" i="11" s="1"/>
  <c r="F3685" i="11" a="1"/>
  <c r="F3685" i="11" s="1"/>
  <c r="F3693" i="11" a="1"/>
  <c r="F3693" i="11" s="1"/>
  <c r="F3699" i="11" a="1"/>
  <c r="F3699" i="11" s="1"/>
  <c r="F3706" i="11" a="1"/>
  <c r="F3706" i="11" s="1"/>
  <c r="F3709" i="11" a="1"/>
  <c r="F3709" i="11" s="1"/>
  <c r="F3714" i="11" a="1"/>
  <c r="F3714" i="11" s="1"/>
  <c r="F3717" i="11" a="1"/>
  <c r="F3717" i="11" s="1"/>
  <c r="F2069" i="11" a="1"/>
  <c r="F2069" i="11" s="1"/>
  <c r="F2159" i="11" a="1"/>
  <c r="F2159" i="11" s="1"/>
  <c r="F2200" i="11" a="1"/>
  <c r="F2200" i="11" s="1"/>
  <c r="F2243" i="11" a="1"/>
  <c r="F2243" i="11" s="1"/>
  <c r="F2286" i="11" a="1"/>
  <c r="F2286" i="11" s="1"/>
  <c r="F2366" i="11" a="1"/>
  <c r="F2366" i="11" s="1"/>
  <c r="F2406" i="11" a="1"/>
  <c r="F2406" i="11" s="1"/>
  <c r="F2452" i="11" a="1"/>
  <c r="F2452" i="11" s="1"/>
  <c r="F2490" i="11" a="1"/>
  <c r="F2490" i="11" s="1"/>
  <c r="F2574" i="11" a="1"/>
  <c r="F2574" i="11" s="1"/>
  <c r="F2613" i="11" a="1"/>
  <c r="F2613" i="11" s="1"/>
  <c r="F2651" i="11" a="1"/>
  <c r="F2651" i="11" s="1"/>
  <c r="F2728" i="11" a="1"/>
  <c r="F2728" i="11" s="1"/>
  <c r="F2770" i="11" a="1"/>
  <c r="F2770" i="11" s="1"/>
  <c r="F2844" i="11" a="1"/>
  <c r="F2844" i="11" s="1"/>
  <c r="F2876" i="11" a="1"/>
  <c r="F2876" i="11" s="1"/>
  <c r="F2899" i="11" a="1"/>
  <c r="F2899" i="11" s="1"/>
  <c r="F2957" i="11" a="1"/>
  <c r="F2957" i="11" s="1"/>
  <c r="F2980" i="11" a="1"/>
  <c r="F2980" i="11" s="1"/>
  <c r="F3025" i="11" a="1"/>
  <c r="F3025" i="11" s="1"/>
  <c r="F3052" i="11" a="1"/>
  <c r="F3052" i="11" s="1"/>
  <c r="F3096" i="11" a="1"/>
  <c r="F3096" i="11" s="1"/>
  <c r="F3119" i="11" a="1"/>
  <c r="F3119" i="11" s="1"/>
  <c r="F3157" i="11" a="1"/>
  <c r="F3157" i="11" s="1"/>
  <c r="F3176" i="11" a="1"/>
  <c r="F3176" i="11" s="1"/>
  <c r="F3214" i="11" a="1"/>
  <c r="F3214" i="11" s="1"/>
  <c r="F3233" i="11" a="1"/>
  <c r="F3233" i="11" s="1"/>
  <c r="F3264" i="11" a="1"/>
  <c r="F3264" i="11" s="1"/>
  <c r="F3285" i="11" a="1"/>
  <c r="F3285" i="11" s="1"/>
  <c r="F3318" i="11" a="1"/>
  <c r="F3318" i="11" s="1"/>
  <c r="F3335" i="11" a="1"/>
  <c r="F3335" i="11" s="1"/>
  <c r="F3365" i="11" a="1"/>
  <c r="F3365" i="11" s="1"/>
  <c r="F3377" i="11" a="1"/>
  <c r="F3377" i="11" s="1"/>
  <c r="F3404" i="11" a="1"/>
  <c r="F3404" i="11" s="1"/>
  <c r="F3433" i="11" a="1"/>
  <c r="F3433" i="11" s="1"/>
  <c r="F3446" i="11" a="1"/>
  <c r="F3446" i="11" s="1"/>
  <c r="F3467" i="11" a="1"/>
  <c r="F3467" i="11" s="1"/>
  <c r="F3483" i="11" a="1"/>
  <c r="F3483" i="11" s="1"/>
  <c r="F3503" i="11" a="1"/>
  <c r="F3503" i="11" s="1"/>
  <c r="F3524" i="11" a="1"/>
  <c r="F3524" i="11" s="1"/>
  <c r="F3535" i="11" a="1"/>
  <c r="F3535" i="11" s="1"/>
  <c r="F3554" i="11" a="1"/>
  <c r="F3554" i="11" s="1"/>
  <c r="F3571" i="11" a="1"/>
  <c r="F3571" i="11" s="1"/>
  <c r="F3582" i="11" a="1"/>
  <c r="F3582" i="11" s="1"/>
  <c r="F3598" i="11" a="1"/>
  <c r="F3598" i="11" s="1"/>
  <c r="F3613" i="11" a="1"/>
  <c r="F3613" i="11" s="1"/>
  <c r="F3621" i="11" a="1"/>
  <c r="F3621" i="11" s="1"/>
  <c r="F3634" i="11" a="1"/>
  <c r="F3634" i="11" s="1"/>
  <c r="F3647" i="11" a="1"/>
  <c r="F3647" i="11" s="1"/>
  <c r="F3653" i="11" a="1"/>
  <c r="F3653" i="11" s="1"/>
  <c r="F3665" i="11" a="1"/>
  <c r="F3665" i="11" s="1"/>
  <c r="F3674" i="11" a="1"/>
  <c r="F3674" i="11" s="1"/>
  <c r="F3679" i="11" a="1"/>
  <c r="F3679" i="11" s="1"/>
  <c r="F3688" i="11" a="1"/>
  <c r="F3688" i="11" s="1"/>
  <c r="F3696" i="11" a="1"/>
  <c r="F3696" i="11" s="1"/>
  <c r="F3703" i="11" a="1"/>
  <c r="F3703" i="11" s="1"/>
  <c r="F3705" i="11" a="1"/>
  <c r="F3705" i="11" s="1"/>
  <c r="F3711" i="11" a="1"/>
  <c r="F3711" i="11" s="1"/>
  <c r="F3715" i="11" a="1"/>
  <c r="F3715" i="11" s="1"/>
  <c r="F3719" i="11" a="1"/>
  <c r="F3719" i="11" s="1"/>
  <c r="F3720" i="11" a="1"/>
  <c r="F3720" i="11" s="1"/>
  <c r="F2199" i="11" a="1"/>
  <c r="F2199" i="11" s="1"/>
  <c r="F2242" i="11" a="1"/>
  <c r="F2242" i="11" s="1"/>
  <c r="F2285" i="11" a="1"/>
  <c r="F2285" i="11" s="1"/>
  <c r="F2365" i="11" a="1"/>
  <c r="F2365" i="11" s="1"/>
  <c r="F2405" i="11" a="1"/>
  <c r="F2405" i="11" s="1"/>
  <c r="F2451" i="11" a="1"/>
  <c r="F2451" i="11" s="1"/>
  <c r="F2489" i="11" a="1"/>
  <c r="F2489" i="11" s="1"/>
  <c r="F2573" i="11" a="1"/>
  <c r="F2573" i="11" s="1"/>
  <c r="F2612" i="11" a="1"/>
  <c r="F2612" i="11" s="1"/>
  <c r="F2650" i="11" a="1"/>
  <c r="F2650" i="11" s="1"/>
  <c r="F2727" i="11" a="1"/>
  <c r="F2727" i="11" s="1"/>
  <c r="F2769" i="11" a="1"/>
  <c r="F2769" i="11" s="1"/>
  <c r="F2811" i="11" a="1"/>
  <c r="F2811" i="11" s="1"/>
  <c r="F2875" i="11" a="1"/>
  <c r="F2875" i="11" s="1"/>
  <c r="F2898" i="11" a="1"/>
  <c r="F2898" i="11" s="1"/>
  <c r="F2956" i="11" a="1"/>
  <c r="F2956" i="11" s="1"/>
  <c r="F2979" i="11" a="1"/>
  <c r="F2979" i="11" s="1"/>
  <c r="F3006" i="11" a="1"/>
  <c r="F3006" i="11" s="1"/>
  <c r="F3051" i="11" a="1"/>
  <c r="F3051" i="11" s="1"/>
  <c r="F3074" i="11" a="1"/>
  <c r="F3074" i="11" s="1"/>
  <c r="F3118" i="11" a="1"/>
  <c r="F3118" i="11" s="1"/>
  <c r="F3133" i="11" a="1"/>
  <c r="F3133" i="11" s="1"/>
  <c r="F3175" i="11" a="1"/>
  <c r="F3175" i="11" s="1"/>
  <c r="F3195" i="11" a="1"/>
  <c r="F3195" i="11" s="1"/>
  <c r="F3232" i="11" a="1"/>
  <c r="F3232" i="11" s="1"/>
  <c r="F3252" i="11" a="1"/>
  <c r="F3252" i="11" s="1"/>
  <c r="F3284" i="11" a="1"/>
  <c r="F3284" i="11" s="1"/>
  <c r="F3302" i="11" a="1"/>
  <c r="F3302" i="11" s="1"/>
  <c r="F3334" i="11" a="1"/>
  <c r="F3334" i="11" s="1"/>
  <c r="F3346" i="11" a="1"/>
  <c r="F3346" i="11" s="1"/>
  <c r="F3376" i="11" a="1"/>
  <c r="F3376" i="11" s="1"/>
  <c r="F3393" i="11" a="1"/>
  <c r="F3393" i="11" s="1"/>
  <c r="F3419" i="11" a="1"/>
  <c r="F3419" i="11" s="1"/>
  <c r="F3445" i="11" a="1"/>
  <c r="F3445" i="11" s="1"/>
  <c r="F3457" i="11" a="1"/>
  <c r="F3457" i="11" s="1"/>
  <c r="F3482" i="11" a="1"/>
  <c r="F3482" i="11" s="1"/>
  <c r="F3493" i="11" a="1"/>
  <c r="F3493" i="11" s="1"/>
  <c r="F3513" i="11" a="1"/>
  <c r="F3513" i="11" s="1"/>
  <c r="F3534" i="11" a="1"/>
  <c r="F3534" i="11" s="1"/>
  <c r="F3544" i="11" a="1"/>
  <c r="F3544" i="11" s="1"/>
  <c r="F3563" i="11" a="1"/>
  <c r="F3563" i="11" s="1"/>
  <c r="F3581" i="11" a="1"/>
  <c r="F3581" i="11" s="1"/>
  <c r="F3590" i="11" a="1"/>
  <c r="F3590" i="11" s="1"/>
  <c r="F3605" i="11" a="1"/>
  <c r="F3605" i="11" s="1"/>
  <c r="F3612" i="11" a="1"/>
  <c r="F3612" i="11" s="1"/>
  <c r="F3627" i="11" a="1"/>
  <c r="F3627" i="11" s="1"/>
  <c r="F3640" i="11" a="1"/>
  <c r="F3640" i="11" s="1"/>
  <c r="F3652" i="11" a="1"/>
  <c r="F3652" i="11" s="1"/>
  <c r="F3659" i="11" a="1"/>
  <c r="F3659" i="11" s="1"/>
  <c r="F3670" i="11" a="1"/>
  <c r="F3670" i="11" s="1"/>
  <c r="F3678" i="11" a="1"/>
  <c r="F3678" i="11" s="1"/>
  <c r="F3684" i="11" a="1"/>
  <c r="F3684" i="11" s="1"/>
  <c r="F3692" i="11" a="1"/>
  <c r="F3692" i="11" s="1"/>
  <c r="F3698" i="11" a="1"/>
  <c r="F3698" i="11" s="1"/>
  <c r="F3702" i="11" a="1"/>
  <c r="F3702" i="11" s="1"/>
  <c r="F3708" i="11" a="1"/>
  <c r="F3708" i="11" s="1"/>
  <c r="F3713" i="11" a="1"/>
  <c r="F3713" i="11" s="1"/>
  <c r="F3716" i="11" a="1"/>
  <c r="F3716" i="11" s="1"/>
  <c r="F3718" i="11" a="1"/>
  <c r="F3718" i="11" s="1"/>
  <c r="F3721" i="11" a="1"/>
  <c r="F3721" i="11" s="1"/>
  <c r="F3722" i="11" a="1"/>
  <c r="F3722" i="11" s="1"/>
  <c r="J3" i="11"/>
  <c r="J4" i="11"/>
  <c r="J5" i="11" s="1"/>
  <c r="C7" i="3"/>
  <c r="B14" i="3"/>
  <c r="D7" i="3"/>
  <c r="B7" i="3"/>
  <c r="D12" i="3"/>
  <c r="B21" i="3"/>
  <c r="C21" i="3"/>
  <c r="C14" i="3"/>
  <c r="D21" i="3"/>
  <c r="D20" i="3"/>
  <c r="D19" i="3"/>
  <c r="D14" i="3"/>
  <c r="D13" i="3"/>
  <c r="B20" i="3"/>
  <c r="C6" i="3"/>
  <c r="C20" i="3"/>
  <c r="C13" i="3"/>
  <c r="B6" i="3"/>
  <c r="C12" i="3"/>
  <c r="B13" i="3"/>
  <c r="D6" i="3"/>
  <c r="C19" i="3"/>
  <c r="G2" i="8" l="1"/>
  <c r="A8" i="8" s="1"/>
  <c r="F15" i="13"/>
  <c r="G19" i="13" a="1"/>
  <c r="G19" i="13" s="1"/>
  <c r="A2" i="12" a="1"/>
  <c r="J11" i="11"/>
  <c r="I16" i="13" l="1"/>
  <c r="I17" i="13"/>
  <c r="I15" i="13"/>
  <c r="I19" i="13" s="1"/>
  <c r="A2" i="12"/>
  <c r="G2" i="9"/>
  <c r="A8" i="9" s="1"/>
  <c r="B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<sst xmlns="http://schemas.openxmlformats.org/spreadsheetml/2006/main" count="87" uniqueCount="49">
  <si>
    <t>Date</t>
  </si>
  <si>
    <t>MSFT Close (USD)</t>
  </si>
  <si>
    <t>ORCL Close (USD)</t>
  </si>
  <si>
    <t>SONY Close (USD)</t>
  </si>
  <si>
    <t>MSFT Return (USD)</t>
  </si>
  <si>
    <t>ORCL Return (USD)</t>
  </si>
  <si>
    <t>SONY Return (USD)</t>
  </si>
  <si>
    <t>Descriptive Statistics</t>
  </si>
  <si>
    <t>Stock</t>
  </si>
  <si>
    <t>Mean Return</t>
  </si>
  <si>
    <t>Variance</t>
  </si>
  <si>
    <t>Std Dev</t>
  </si>
  <si>
    <t>Microsoft</t>
  </si>
  <si>
    <t>Oracle</t>
  </si>
  <si>
    <t>Sony</t>
  </si>
  <si>
    <t>Covariance Matrix</t>
  </si>
  <si>
    <t>Column1</t>
  </si>
  <si>
    <t>Correlation Matrix</t>
  </si>
  <si>
    <t>Weights</t>
  </si>
  <si>
    <t>w1</t>
  </si>
  <si>
    <t xml:space="preserve">Expected return on portfolio </t>
  </si>
  <si>
    <t>w2</t>
  </si>
  <si>
    <t>w3</t>
  </si>
  <si>
    <t>Return Matrix (rows = w2 Oracle, columns = w1 Microsoft)</t>
  </si>
  <si>
    <t>Standard Deviation of portfolio</t>
  </si>
  <si>
    <t>Portfolio Return</t>
  </si>
  <si>
    <t xml:space="preserve">Portfolio Standard Deviation </t>
  </si>
  <si>
    <t>Portfolio Standard Dev</t>
  </si>
  <si>
    <t>Efficient</t>
  </si>
  <si>
    <t>Minimum Variance Portfolio</t>
  </si>
  <si>
    <t>MVP Return</t>
  </si>
  <si>
    <t>MVP Std Dev</t>
  </si>
  <si>
    <t>MVP Var</t>
  </si>
  <si>
    <t>Weight</t>
  </si>
  <si>
    <t>w1-MSFT</t>
  </si>
  <si>
    <t xml:space="preserve"> </t>
  </si>
  <si>
    <t>w2-ORCL</t>
  </si>
  <si>
    <t>w3-SONY</t>
  </si>
  <si>
    <t>Sum of weights</t>
  </si>
  <si>
    <t>Averages</t>
  </si>
  <si>
    <t>Avg Std</t>
  </si>
  <si>
    <t>Avg Mean</t>
  </si>
  <si>
    <t>All Efficient Frontiers:</t>
  </si>
  <si>
    <t>Analytical Minimum Variance Portfolio (Lagrangian Method)</t>
  </si>
  <si>
    <t>Ones Vector</t>
  </si>
  <si>
    <t>Inverse Covariance (Σ^-1)</t>
  </si>
  <si>
    <t>Σ^-1 * 1</t>
  </si>
  <si>
    <t>MVP Weights</t>
  </si>
  <si>
    <t>Denominator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</si>
</sst>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0.000000%"/>
    <numFmt numFmtId="166" formatCode="0E+00"/>
    <numFmt numFmtId="167" formatCode="0.0000000"/>
    <numFmt numFmtId="168" formatCode="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22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FFFF"/>
      <name val="Carlito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  <font>
      <b/>
      <sz val="18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DAE3F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000099"/>
        <bgColor rgb="FF00008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B8CCE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6" fillId="2" borderId="0" applyNumberFormat="0" applyBorder="0" applyAlignment="0" applyProtection="0"/>
    <xf numFmtId="0" fontId="2" fillId="6" borderId="0" applyFont="0" applyBorder="0" applyAlignment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1" fillId="11" borderId="0"/>
  </cellStyleXfs>
  <cellXfs count="77">
    <xf numFmtId="0" fontId="0" fillId="0" borderId="0" xfId="0"/>
    <xf numFmtId="14" fontId="0" fillId="0" borderId="0" xfId="0" applyNumberFormat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14" fontId="0" fillId="0" borderId="6" xfId="0" applyNumberFormat="1" applyBorder="1"/>
    <xf numFmtId="164" fontId="0" fillId="0" borderId="7" xfId="2" applyNumberFormat="1" applyFont="1" applyBorder="1"/>
    <xf numFmtId="164" fontId="0" fillId="0" borderId="8" xfId="2" applyNumberFormat="1" applyFont="1" applyBorder="1"/>
    <xf numFmtId="14" fontId="0" fillId="5" borderId="6" xfId="0" applyNumberFormat="1" applyFill="1" applyBorder="1"/>
    <xf numFmtId="164" fontId="0" fillId="5" borderId="7" xfId="2" applyNumberFormat="1" applyFont="1" applyFill="1" applyBorder="1"/>
    <xf numFmtId="164" fontId="0" fillId="5" borderId="8" xfId="2" applyNumberFormat="1" applyFont="1" applyFill="1" applyBorder="1"/>
    <xf numFmtId="14" fontId="0" fillId="0" borderId="3" xfId="0" applyNumberFormat="1" applyBorder="1"/>
    <xf numFmtId="14" fontId="7" fillId="3" borderId="10" xfId="1" applyNumberFormat="1" applyFont="1" applyFill="1" applyBorder="1" applyAlignment="1">
      <alignment horizontal="center" vertical="center"/>
    </xf>
    <xf numFmtId="4" fontId="7" fillId="3" borderId="10" xfId="1" applyNumberFormat="1" applyFont="1" applyFill="1" applyBorder="1" applyAlignment="1">
      <alignment horizontal="center" vertical="center"/>
    </xf>
    <xf numFmtId="4" fontId="7" fillId="3" borderId="9" xfId="1" applyNumberFormat="1" applyFont="1" applyFill="1" applyBorder="1" applyAlignment="1">
      <alignment horizontal="center" vertical="center"/>
    </xf>
    <xf numFmtId="14" fontId="7" fillId="4" borderId="10" xfId="1" applyNumberFormat="1" applyFont="1" applyFill="1" applyBorder="1" applyAlignment="1">
      <alignment horizontal="center" vertical="center"/>
    </xf>
    <xf numFmtId="4" fontId="7" fillId="4" borderId="10" xfId="1" applyNumberFormat="1" applyFont="1" applyFill="1" applyBorder="1" applyAlignment="1">
      <alignment horizontal="center" vertical="center"/>
    </xf>
    <xf numFmtId="4" fontId="7" fillId="4" borderId="9" xfId="1" applyNumberFormat="1" applyFont="1" applyFill="1" applyBorder="1" applyAlignment="1">
      <alignment horizontal="center" vertical="center"/>
    </xf>
    <xf numFmtId="14" fontId="7" fillId="4" borderId="2" xfId="1" applyNumberFormat="1" applyFont="1" applyFill="1" applyBorder="1" applyAlignment="1">
      <alignment horizontal="center" vertical="center"/>
    </xf>
    <xf numFmtId="4" fontId="7" fillId="4" borderId="2" xfId="1" applyNumberFormat="1" applyFont="1" applyFill="1" applyBorder="1" applyAlignment="1">
      <alignment horizontal="center" vertical="center"/>
    </xf>
    <xf numFmtId="4" fontId="7" fillId="4" borderId="1" xfId="1" applyNumberFormat="1" applyFont="1" applyFill="1" applyBorder="1" applyAlignment="1">
      <alignment horizontal="center" vertical="center"/>
    </xf>
    <xf numFmtId="14" fontId="6" fillId="2" borderId="10" xfId="3" applyNumberFormat="1" applyBorder="1" applyAlignment="1">
      <alignment horizontal="center" vertical="center"/>
    </xf>
    <xf numFmtId="0" fontId="6" fillId="2" borderId="10" xfId="3" applyNumberFormat="1" applyBorder="1" applyAlignment="1">
      <alignment horizontal="center" vertical="center"/>
    </xf>
    <xf numFmtId="0" fontId="6" fillId="2" borderId="9" xfId="3" applyNumberFormat="1" applyBorder="1" applyAlignment="1">
      <alignment horizontal="center" vertical="center"/>
    </xf>
    <xf numFmtId="0" fontId="3" fillId="2" borderId="6" xfId="3" applyFont="1" applyBorder="1"/>
    <xf numFmtId="0" fontId="3" fillId="2" borderId="7" xfId="3" applyFont="1" applyBorder="1"/>
    <xf numFmtId="0" fontId="3" fillId="2" borderId="8" xfId="3" applyFont="1" applyBorder="1"/>
    <xf numFmtId="165" fontId="0" fillId="5" borderId="7" xfId="0" applyNumberFormat="1" applyFill="1" applyBorder="1"/>
    <xf numFmtId="165" fontId="0" fillId="5" borderId="8" xfId="0" applyNumberFormat="1" applyFill="1" applyBorder="1"/>
    <xf numFmtId="0" fontId="0" fillId="0" borderId="6" xfId="0" applyBorder="1"/>
    <xf numFmtId="165" fontId="0" fillId="0" borderId="7" xfId="0" applyNumberFormat="1" applyBorder="1"/>
    <xf numFmtId="165" fontId="0" fillId="0" borderId="8" xfId="0" applyNumberFormat="1" applyBorder="1"/>
    <xf numFmtId="165" fontId="0" fillId="5" borderId="4" xfId="0" applyNumberFormat="1" applyFill="1" applyBorder="1"/>
    <xf numFmtId="165" fontId="0" fillId="5" borderId="5" xfId="0" applyNumberFormat="1" applyFill="1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9" fillId="0" borderId="0" xfId="0" applyFont="1"/>
    <xf numFmtId="0" fontId="11" fillId="0" borderId="0" xfId="0" applyFont="1"/>
    <xf numFmtId="0" fontId="5" fillId="0" borderId="0" xfId="0" applyFont="1"/>
    <xf numFmtId="0" fontId="12" fillId="0" borderId="0" xfId="0" applyFont="1"/>
    <xf numFmtId="0" fontId="13" fillId="0" borderId="0" xfId="0" applyFont="1"/>
    <xf numFmtId="14" fontId="6" fillId="2" borderId="11" xfId="3" applyNumberFormat="1" applyBorder="1" applyAlignment="1">
      <alignment horizontal="center" vertical="center"/>
    </xf>
    <xf numFmtId="0" fontId="6" fillId="2" borderId="11" xfId="3" applyNumberFormat="1" applyBorder="1" applyAlignment="1">
      <alignment horizontal="center" vertical="center"/>
    </xf>
    <xf numFmtId="0" fontId="6" fillId="2" borderId="13" xfId="3" applyNumberFormat="1" applyBorder="1" applyAlignment="1">
      <alignment horizontal="center" vertical="center"/>
    </xf>
    <xf numFmtId="165" fontId="4" fillId="5" borderId="4" xfId="0" applyNumberFormat="1" applyFont="1" applyFill="1" applyBorder="1"/>
    <xf numFmtId="0" fontId="14" fillId="0" borderId="0" xfId="0" applyFont="1"/>
    <xf numFmtId="0" fontId="14" fillId="7" borderId="0" xfId="0" applyFont="1" applyFill="1"/>
    <xf numFmtId="0" fontId="1" fillId="0" borderId="0" xfId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9" fontId="2" fillId="9" borderId="0" xfId="5" applyNumberFormat="1"/>
    <xf numFmtId="10" fontId="2" fillId="9" borderId="0" xfId="5" applyNumberFormat="1"/>
    <xf numFmtId="166" fontId="0" fillId="0" borderId="0" xfId="0" applyNumberFormat="1"/>
    <xf numFmtId="10" fontId="1" fillId="0" borderId="0" xfId="1" applyNumberFormat="1"/>
    <xf numFmtId="10" fontId="0" fillId="0" borderId="0" xfId="0" applyNumberFormat="1"/>
    <xf numFmtId="0" fontId="2" fillId="10" borderId="0" xfId="6"/>
    <xf numFmtId="167" fontId="0" fillId="0" borderId="0" xfId="0" applyNumberFormat="1"/>
    <xf numFmtId="168" fontId="0" fillId="0" borderId="0" xfId="0" applyNumberFormat="1"/>
    <xf numFmtId="0" fontId="2" fillId="9" borderId="0" xfId="5"/>
    <xf numFmtId="0" fontId="8" fillId="6" borderId="0" xfId="4" applyFont="1" applyAlignment="1">
      <alignment horizontal="center"/>
    </xf>
    <xf numFmtId="0" fontId="8" fillId="6" borderId="12" xfId="4" applyFont="1" applyBorder="1" applyAlignment="1">
      <alignment horizontal="center"/>
    </xf>
    <xf numFmtId="0" fontId="5" fillId="12" borderId="0" xfId="0" applyFont="1" applyFill="1"/>
    <xf numFmtId="0" fontId="0" fillId="12" borderId="0" xfId="0" applyFill="1"/>
    <xf numFmtId="0" fontId="15" fillId="0" borderId="0" xfId="0" applyFont="1"/>
    <xf numFmtId="0" fontId="8" fillId="6" borderId="0" xfId="4" applyFont="1" applyAlignment="1">
      <alignment horizontal="center"/>
    </xf>
    <xf numFmtId="0" fontId="8" fillId="6" borderId="12" xfId="4" applyFont="1" applyBorder="1" applyAlignment="1">
      <alignment horizontal="center"/>
    </xf>
    <xf numFmtId="0" fontId="10" fillId="8" borderId="0" xfId="0" applyFont="1" applyFill="1"/>
    <xf numFmtId="0" fontId="6" fillId="2" borderId="16" xfId="3" applyBorder="1" applyAlignment="1">
      <alignment horizontal="center"/>
    </xf>
    <xf numFmtId="0" fontId="6" fillId="2" borderId="17" xfId="3" applyBorder="1" applyAlignment="1">
      <alignment horizontal="center"/>
    </xf>
    <xf numFmtId="0" fontId="0" fillId="0" borderId="0" xfId="0" applyAlignment="1">
      <alignment horizontal="center"/>
    </xf>
    <xf numFmtId="0" fontId="6" fillId="2" borderId="0" xfId="3" applyAlignment="1">
      <alignment horizontal="center"/>
    </xf>
  </cellXfs>
  <cellStyles count="8">
    <cellStyle name="20% - Accent1" xfId="6" builtinId="30"/>
    <cellStyle name="60% - Accent1" xfId="5" builtinId="32"/>
    <cellStyle name="Accent1" xfId="3" builtinId="29"/>
    <cellStyle name="Normal" xfId="0" builtinId="0"/>
    <cellStyle name="Normal 2" xfId="1" xr:uid="{31FDCB10-DD05-4A39-980A-055A463D9C5E}"/>
    <cellStyle name="Percent" xfId="2" builtinId="5"/>
    <cellStyle name="Style 1" xfId="4" xr:uid="{4A994CB4-2C4E-457D-A963-737608E0EA03}"/>
    <cellStyle name="Style 1 2" xfId="7" xr:uid="{5E48714A-B5A6-480D-9BFF-4829CDB52479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%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m/d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rgb="FFB8CCE4"/>
        </top>
      </border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FF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025861470887155E-2"/>
          <c:y val="6.9153616395332601E-2"/>
          <c:w val="0.93949699851874946"/>
          <c:h val="0.87400568936813527"/>
        </c:manualLayout>
      </c:layout>
      <c:scatterChart>
        <c:scatterStyle val="lineMarker"/>
        <c:varyColors val="0"/>
        <c:ser>
          <c:idx val="0"/>
          <c:order val="0"/>
          <c:tx>
            <c:v>Mean Variance Portfoio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Plot!$B$2:$B$3722</c:f>
              <c:numCache>
                <c:formatCode>General</c:formatCode>
                <c:ptCount val="3721"/>
                <c:pt idx="0">
                  <c:v>3.0096389351300275E-2</c:v>
                </c:pt>
                <c:pt idx="1">
                  <c:v>2.9920475963026688E-2</c:v>
                </c:pt>
                <c:pt idx="2">
                  <c:v>2.974507888003965E-2</c:v>
                </c:pt>
                <c:pt idx="3">
                  <c:v>2.9570207289808269E-2</c:v>
                </c:pt>
                <c:pt idx="4">
                  <c:v>2.9395870570564933E-2</c:v>
                </c:pt>
                <c:pt idx="5">
                  <c:v>2.922207829531134E-2</c:v>
                </c:pt>
                <c:pt idx="6">
                  <c:v>2.9048840235884343E-2</c:v>
                </c:pt>
                <c:pt idx="7">
                  <c:v>2.8876166367080069E-2</c:v>
                </c:pt>
                <c:pt idx="8">
                  <c:v>2.870406687083496E-2</c:v>
                </c:pt>
                <c:pt idx="9">
                  <c:v>2.8532552140461773E-2</c:v>
                </c:pt>
                <c:pt idx="10">
                  <c:v>2.8361632784938536E-2</c:v>
                </c:pt>
                <c:pt idx="11">
                  <c:v>2.8191319633248058E-2</c:v>
                </c:pt>
                <c:pt idx="12">
                  <c:v>2.8021623738765385E-2</c:v>
                </c:pt>
                <c:pt idx="13">
                  <c:v>2.785255638369032E-2</c:v>
                </c:pt>
                <c:pt idx="14">
                  <c:v>2.7684129083521532E-2</c:v>
                </c:pt>
                <c:pt idx="15">
                  <c:v>2.7516353591568839E-2</c:v>
                </c:pt>
                <c:pt idx="16">
                  <c:v>2.7349241903499438E-2</c:v>
                </c:pt>
                <c:pt idx="17">
                  <c:v>2.7182806261913831E-2</c:v>
                </c:pt>
                <c:pt idx="18">
                  <c:v>2.7017059160946447E-2</c:v>
                </c:pt>
                <c:pt idx="19">
                  <c:v>2.685201335088571E-2</c:v>
                </c:pt>
                <c:pt idx="20">
                  <c:v>2.6687681842807825E-2</c:v>
                </c:pt>
                <c:pt idx="21">
                  <c:v>2.6524077913217838E-2</c:v>
                </c:pt>
                <c:pt idx="22">
                  <c:v>2.6361215108691258E-2</c:v>
                </c:pt>
                <c:pt idx="23">
                  <c:v>2.6199107250508748E-2</c:v>
                </c:pt>
                <c:pt idx="24">
                  <c:v>2.6037768439275934E-2</c:v>
                </c:pt>
                <c:pt idx="25">
                  <c:v>2.5877213059519635E-2</c:v>
                </c:pt>
                <c:pt idx="26">
                  <c:v>2.5717455784251275E-2</c:v>
                </c:pt>
                <c:pt idx="27">
                  <c:v>2.5558511579487388E-2</c:v>
                </c:pt>
                <c:pt idx="28">
                  <c:v>2.5400395708716595E-2</c:v>
                </c:pt>
                <c:pt idx="29">
                  <c:v>2.5243123737301448E-2</c:v>
                </c:pt>
                <c:pt idx="30">
                  <c:v>2.5086711536802933E-2</c:v>
                </c:pt>
                <c:pt idx="31">
                  <c:v>2.4931175289214437E-2</c:v>
                </c:pt>
                <c:pt idx="32">
                  <c:v>2.477653149109128E-2</c:v>
                </c:pt>
                <c:pt idx="33">
                  <c:v>2.462279695756079E-2</c:v>
                </c:pt>
                <c:pt idx="34">
                  <c:v>2.4469988826197248E-2</c:v>
                </c:pt>
                <c:pt idx="35">
                  <c:v>2.4318124560744753E-2</c:v>
                </c:pt>
                <c:pt idx="36">
                  <c:v>2.416722195467038E-2</c:v>
                </c:pt>
                <c:pt idx="37">
                  <c:v>2.4017299134528696E-2</c:v>
                </c:pt>
                <c:pt idx="38">
                  <c:v>2.3868374563117821E-2</c:v>
                </c:pt>
                <c:pt idx="39">
                  <c:v>2.372046704240607E-2</c:v>
                </c:pt>
                <c:pt idx="40">
                  <c:v>2.3573595716207176E-2</c:v>
                </c:pt>
                <c:pt idx="41">
                  <c:v>2.3427780072580839E-2</c:v>
                </c:pt>
                <c:pt idx="42">
                  <c:v>2.3283039945934388E-2</c:v>
                </c:pt>
                <c:pt idx="43">
                  <c:v>2.3139395518800027E-2</c:v>
                </c:pt>
                <c:pt idx="44">
                  <c:v>2.299686732326113E-2</c:v>
                </c:pt>
                <c:pt idx="45">
                  <c:v>2.2855476241999722E-2</c:v>
                </c:pt>
                <c:pt idx="46">
                  <c:v>2.271524350893642E-2</c:v>
                </c:pt>
                <c:pt idx="47">
                  <c:v>2.257619070943254E-2</c:v>
                </c:pt>
                <c:pt idx="48">
                  <c:v>2.2438339780023492E-2</c:v>
                </c:pt>
                <c:pt idx="49">
                  <c:v>2.2301713007650933E-2</c:v>
                </c:pt>
                <c:pt idx="50">
                  <c:v>2.2166333028360709E-2</c:v>
                </c:pt>
                <c:pt idx="51">
                  <c:v>2.2032222825432043E-2</c:v>
                </c:pt>
                <c:pt idx="52">
                  <c:v>2.1899405726902927E-2</c:v>
                </c:pt>
                <c:pt idx="53">
                  <c:v>2.1767905402455569E-2</c:v>
                </c:pt>
                <c:pt idx="54">
                  <c:v>2.163774585962517E-2</c:v>
                </c:pt>
                <c:pt idx="55">
                  <c:v>2.150895143929438E-2</c:v>
                </c:pt>
                <c:pt idx="56">
                  <c:v>2.1381546810435574E-2</c:v>
                </c:pt>
                <c:pt idx="57">
                  <c:v>2.125555696406228E-2</c:v>
                </c:pt>
                <c:pt idx="58">
                  <c:v>2.1131007206351332E-2</c:v>
                </c:pt>
                <c:pt idx="59">
                  <c:v>2.1007923150896508E-2</c:v>
                </c:pt>
                <c:pt idx="60">
                  <c:v>2.0886330710055342E-2</c:v>
                </c:pt>
                <c:pt idx="61">
                  <c:v>2.9842022921027906E-2</c:v>
                </c:pt>
                <c:pt idx="62">
                  <c:v>2.9665885298687911E-2</c:v>
                </c:pt>
                <c:pt idx="63">
                  <c:v>2.9490265765967357E-2</c:v>
                </c:pt>
                <c:pt idx="64">
                  <c:v>2.9315173634085652E-2</c:v>
                </c:pt>
                <c:pt idx="65">
                  <c:v>2.9140618409747607E-2</c:v>
                </c:pt>
                <c:pt idx="66">
                  <c:v>2.8966609799304738E-2</c:v>
                </c:pt>
                <c:pt idx="67">
                  <c:v>2.8793157712980348E-2</c:v>
                </c:pt>
                <c:pt idx="68">
                  <c:v>2.8620272269156838E-2</c:v>
                </c:pt>
                <c:pt idx="69">
                  <c:v>2.8447963798723837E-2</c:v>
                </c:pt>
                <c:pt idx="70">
                  <c:v>2.8276242849485187E-2</c:v>
                </c:pt>
                <c:pt idx="71">
                  <c:v>2.8105120190622709E-2</c:v>
                </c:pt>
                <c:pt idx="72">
                  <c:v>2.7934606817214384E-2</c:v>
                </c:pt>
                <c:pt idx="73">
                  <c:v>2.7764713954804184E-2</c:v>
                </c:pt>
                <c:pt idx="74">
                  <c:v>2.7595453064020566E-2</c:v>
                </c:pt>
                <c:pt idx="75">
                  <c:v>2.7426835845240184E-2</c:v>
                </c:pt>
                <c:pt idx="76">
                  <c:v>2.7258874243293093E-2</c:v>
                </c:pt>
                <c:pt idx="77">
                  <c:v>2.7091580452205249E-2</c:v>
                </c:pt>
                <c:pt idx="78">
                  <c:v>2.6924966919973679E-2</c:v>
                </c:pt>
                <c:pt idx="79">
                  <c:v>2.6759046353369367E-2</c:v>
                </c:pt>
                <c:pt idx="80">
                  <c:v>2.6593831722762137E-2</c:v>
                </c:pt>
                <c:pt idx="81">
                  <c:v>2.6429336266961669E-2</c:v>
                </c:pt>
                <c:pt idx="82">
                  <c:v>2.6265573498067893E-2</c:v>
                </c:pt>
                <c:pt idx="83">
                  <c:v>2.6102557206323745E-2</c:v>
                </c:pt>
                <c:pt idx="84">
                  <c:v>2.5940301464962331E-2</c:v>
                </c:pt>
                <c:pt idx="85">
                  <c:v>2.577882063504023E-2</c:v>
                </c:pt>
                <c:pt idx="86">
                  <c:v>2.5618129370247763E-2</c:v>
                </c:pt>
                <c:pt idx="87">
                  <c:v>2.5458242621686441E-2</c:v>
                </c:pt>
                <c:pt idx="88">
                  <c:v>2.529917564260304E-2</c:v>
                </c:pt>
                <c:pt idx="89">
                  <c:v>2.5140943993068991E-2</c:v>
                </c:pt>
                <c:pt idx="90">
                  <c:v>2.4983563544592878E-2</c:v>
                </c:pt>
                <c:pt idx="91">
                  <c:v>2.4827050484653126E-2</c:v>
                </c:pt>
                <c:pt idx="92">
                  <c:v>2.4671421321136845E-2</c:v>
                </c:pt>
                <c:pt idx="93">
                  <c:v>2.451669288667014E-2</c:v>
                </c:pt>
                <c:pt idx="94">
                  <c:v>2.4362882342823983E-2</c:v>
                </c:pt>
                <c:pt idx="95">
                  <c:v>2.4210007184178886E-2</c:v>
                </c:pt>
                <c:pt idx="96">
                  <c:v>2.4058085242230472E-2</c:v>
                </c:pt>
                <c:pt idx="97">
                  <c:v>2.3907134689117135E-2</c:v>
                </c:pt>
                <c:pt idx="98">
                  <c:v>2.3757174041149635E-2</c:v>
                </c:pt>
                <c:pt idx="99">
                  <c:v>2.3608222162121533E-2</c:v>
                </c:pt>
                <c:pt idx="100">
                  <c:v>2.3460298266378125E-2</c:v>
                </c:pt>
                <c:pt idx="101">
                  <c:v>2.331342192162035E-2</c:v>
                </c:pt>
                <c:pt idx="102">
                  <c:v>2.3167613051418963E-2</c:v>
                </c:pt>
                <c:pt idx="103">
                  <c:v>2.3022891937412946E-2</c:v>
                </c:pt>
                <c:pt idx="104">
                  <c:v>2.2879279221165075E-2</c:v>
                </c:pt>
                <c:pt idx="105">
                  <c:v>2.2736795905646066E-2</c:v>
                </c:pt>
                <c:pt idx="106">
                  <c:v>2.2595463356317732E-2</c:v>
                </c:pt>
                <c:pt idx="107">
                  <c:v>2.2455303301784121E-2</c:v>
                </c:pt>
                <c:pt idx="108">
                  <c:v>2.2316337833978551E-2</c:v>
                </c:pt>
                <c:pt idx="109">
                  <c:v>2.2178589407853111E-2</c:v>
                </c:pt>
                <c:pt idx="110">
                  <c:v>2.2042080840536167E-2</c:v>
                </c:pt>
                <c:pt idx="111">
                  <c:v>2.1906835309922216E-2</c:v>
                </c:pt>
                <c:pt idx="112">
                  <c:v>2.1772876352657313E-2</c:v>
                </c:pt>
                <c:pt idx="113">
                  <c:v>2.1640227861482404E-2</c:v>
                </c:pt>
                <c:pt idx="114">
                  <c:v>2.1508914081895918E-2</c:v>
                </c:pt>
                <c:pt idx="115">
                  <c:v>2.1378959608096167E-2</c:v>
                </c:pt>
                <c:pt idx="116">
                  <c:v>2.1250389378163415E-2</c:v>
                </c:pt>
                <c:pt idx="117">
                  <c:v>2.11232286684408E-2</c:v>
                </c:pt>
                <c:pt idx="118">
                  <c:v>2.0997503087073082E-2</c:v>
                </c:pt>
                <c:pt idx="119">
                  <c:v>2.0873238566661727E-2</c:v>
                </c:pt>
                <c:pt idx="120">
                  <c:v>2.0750461355994749E-2</c:v>
                </c:pt>
                <c:pt idx="121">
                  <c:v>2.0629198010810163E-2</c:v>
                </c:pt>
                <c:pt idx="122">
                  <c:v>2.9590355209160195E-2</c:v>
                </c:pt>
                <c:pt idx="123">
                  <c:v>2.941400565388505E-2</c:v>
                </c:pt>
                <c:pt idx="124">
                  <c:v>2.9238176100195024E-2</c:v>
                </c:pt>
                <c:pt idx="125">
                  <c:v>2.9062875986075012E-2</c:v>
                </c:pt>
                <c:pt idx="126">
                  <c:v>2.8888114949831203E-2</c:v>
                </c:pt>
                <c:pt idx="127">
                  <c:v>2.8713902834412337E-2</c:v>
                </c:pt>
                <c:pt idx="128">
                  <c:v>2.8540249691798608E-2</c:v>
                </c:pt>
                <c:pt idx="129">
                  <c:v>2.8367165787457058E-2</c:v>
                </c:pt>
                <c:pt idx="130">
                  <c:v>2.8194661604861719E-2</c:v>
                </c:pt>
                <c:pt idx="131">
                  <c:v>2.8022747850076711E-2</c:v>
                </c:pt>
                <c:pt idx="132">
                  <c:v>2.7851435456400096E-2</c:v>
                </c:pt>
                <c:pt idx="133">
                  <c:v>2.7680735589066047E-2</c:v>
                </c:pt>
                <c:pt idx="134">
                  <c:v>2.7510659650002593E-2</c:v>
                </c:pt>
                <c:pt idx="135">
                  <c:v>2.7341219282641729E-2</c:v>
                </c:pt>
                <c:pt idx="136">
                  <c:v>2.7172426376778448E-2</c:v>
                </c:pt>
                <c:pt idx="137">
                  <c:v>2.7004293073474742E-2</c:v>
                </c:pt>
                <c:pt idx="138">
                  <c:v>2.6836831770004323E-2</c:v>
                </c:pt>
                <c:pt idx="139">
                  <c:v>2.667005512483309E-2</c:v>
                </c:pt>
                <c:pt idx="140">
                  <c:v>2.6503976062630392E-2</c:v>
                </c:pt>
                <c:pt idx="141">
                  <c:v>2.6338607779304881E-2</c:v>
                </c:pt>
                <c:pt idx="142">
                  <c:v>2.6173963747059031E-2</c:v>
                </c:pt>
                <c:pt idx="143">
                  <c:v>2.601005771945512E-2</c:v>
                </c:pt>
                <c:pt idx="144">
                  <c:v>2.5846903736485332E-2</c:v>
                </c:pt>
                <c:pt idx="145">
                  <c:v>2.5684516129637673E-2</c:v>
                </c:pt>
                <c:pt idx="146">
                  <c:v>2.5522909526948967E-2</c:v>
                </c:pt>
                <c:pt idx="147">
                  <c:v>2.5362098858035243E-2</c:v>
                </c:pt>
                <c:pt idx="148">
                  <c:v>2.5202099359089292E-2</c:v>
                </c:pt>
                <c:pt idx="149">
                  <c:v>2.5042926577834128E-2</c:v>
                </c:pt>
                <c:pt idx="150">
                  <c:v>2.4884596378420512E-2</c:v>
                </c:pt>
                <c:pt idx="151">
                  <c:v>2.4727124946255546E-2</c:v>
                </c:pt>
                <c:pt idx="152">
                  <c:v>2.4570528792748708E-2</c:v>
                </c:pt>
                <c:pt idx="153">
                  <c:v>2.4414824759960478E-2</c:v>
                </c:pt>
                <c:pt idx="154">
                  <c:v>2.4260030025137873E-2</c:v>
                </c:pt>
                <c:pt idx="155">
                  <c:v>2.4106162105120107E-2</c:v>
                </c:pt>
                <c:pt idx="156">
                  <c:v>2.3953238860596551E-2</c:v>
                </c:pt>
                <c:pt idx="157">
                  <c:v>2.3801278500197889E-2</c:v>
                </c:pt>
                <c:pt idx="158">
                  <c:v>2.3650299584400573E-2</c:v>
                </c:pt>
                <c:pt idx="159">
                  <c:v>2.3500321029222969E-2</c:v>
                </c:pt>
                <c:pt idx="160">
                  <c:v>2.3351362109690878E-2</c:v>
                </c:pt>
                <c:pt idx="161">
                  <c:v>2.3203442463048455E-2</c:v>
                </c:pt>
                <c:pt idx="162">
                  <c:v>2.3056582091689558E-2</c:v>
                </c:pt>
                <c:pt idx="163">
                  <c:v>2.2910801365783013E-2</c:v>
                </c:pt>
                <c:pt idx="164">
                  <c:v>2.2766121025564193E-2</c:v>
                </c:pt>
                <c:pt idx="165">
                  <c:v>2.2622562183263705E-2</c:v>
                </c:pt>
                <c:pt idx="166">
                  <c:v>2.2480146324642913E-2</c:v>
                </c:pt>
                <c:pt idx="167">
                  <c:v>2.2338895310104415E-2</c:v>
                </c:pt>
                <c:pt idx="168">
                  <c:v>2.2198831375344515E-2</c:v>
                </c:pt>
                <c:pt idx="169">
                  <c:v>2.2059977131513097E-2</c:v>
                </c:pt>
                <c:pt idx="170">
                  <c:v>2.1922355564845394E-2</c:v>
                </c:pt>
                <c:pt idx="171">
                  <c:v>2.1785990035728477E-2</c:v>
                </c:pt>
                <c:pt idx="172">
                  <c:v>2.1650904277164477E-2</c:v>
                </c:pt>
                <c:pt idx="173">
                  <c:v>2.151712239259106E-2</c:v>
                </c:pt>
                <c:pt idx="174">
                  <c:v>2.1384668853018839E-2</c:v>
                </c:pt>
                <c:pt idx="175">
                  <c:v>2.1253568493444359E-2</c:v>
                </c:pt>
                <c:pt idx="176">
                  <c:v>2.112384650849634E-2</c:v>
                </c:pt>
                <c:pt idx="177">
                  <c:v>2.0995528447272319E-2</c:v>
                </c:pt>
                <c:pt idx="178">
                  <c:v>2.086864020732198E-2</c:v>
                </c:pt>
                <c:pt idx="179">
                  <c:v>2.07432080277332E-2</c:v>
                </c:pt>
                <c:pt idx="180">
                  <c:v>2.06192584812767E-2</c:v>
                </c:pt>
                <c:pt idx="181">
                  <c:v>2.0496818465564687E-2</c:v>
                </c:pt>
                <c:pt idx="182">
                  <c:v>2.0375915193179703E-2</c:v>
                </c:pt>
                <c:pt idx="183">
                  <c:v>2.9341455658171034E-2</c:v>
                </c:pt>
                <c:pt idx="184">
                  <c:v>2.9164907269005332E-2</c:v>
                </c:pt>
                <c:pt idx="185">
                  <c:v>2.8988880932793344E-2</c:v>
                </c:pt>
                <c:pt idx="186">
                  <c:v>2.8813386217492461E-2</c:v>
                </c:pt>
                <c:pt idx="187">
                  <c:v>2.8638432896334002E-2</c:v>
                </c:pt>
                <c:pt idx="188">
                  <c:v>2.8464030952308789E-2</c:v>
                </c:pt>
                <c:pt idx="189">
                  <c:v>2.8290190582724705E-2</c:v>
                </c:pt>
                <c:pt idx="190">
                  <c:v>2.8116922203834903E-2</c:v>
                </c:pt>
                <c:pt idx="191">
                  <c:v>2.7944236455534961E-2</c:v>
                </c:pt>
                <c:pt idx="192">
                  <c:v>2.7772144206127114E-2</c:v>
                </c:pt>
                <c:pt idx="193">
                  <c:v>2.7600656557149442E-2</c:v>
                </c:pt>
                <c:pt idx="194">
                  <c:v>2.7429784848267386E-2</c:v>
                </c:pt>
                <c:pt idx="195">
                  <c:v>2.7259540662224805E-2</c:v>
                </c:pt>
                <c:pt idx="196">
                  <c:v>2.7089935829851315E-2</c:v>
                </c:pt>
                <c:pt idx="197">
                  <c:v>2.6920982435122282E-2</c:v>
                </c:pt>
                <c:pt idx="198">
                  <c:v>2.6752692820267435E-2</c:v>
                </c:pt>
                <c:pt idx="199">
                  <c:v>2.6585079590923578E-2</c:v>
                </c:pt>
                <c:pt idx="200">
                  <c:v>2.6418155621326392E-2</c:v>
                </c:pt>
                <c:pt idx="201">
                  <c:v>2.6251934059535947E-2</c:v>
                </c:pt>
                <c:pt idx="202">
                  <c:v>2.6086428332689655E-2</c:v>
                </c:pt>
                <c:pt idx="203">
                  <c:v>2.5921652152276282E-2</c:v>
                </c:pt>
                <c:pt idx="204">
                  <c:v>2.57576195194236E-2</c:v>
                </c:pt>
                <c:pt idx="205">
                  <c:v>2.5594344730191849E-2</c:v>
                </c:pt>
                <c:pt idx="206">
                  <c:v>2.5431842380864447E-2</c:v>
                </c:pt>
                <c:pt idx="207">
                  <c:v>2.5270127373226529E-2</c:v>
                </c:pt>
                <c:pt idx="208">
                  <c:v>2.5109214919821335E-2</c:v>
                </c:pt>
                <c:pt idx="209">
                  <c:v>2.4949120549173472E-2</c:v>
                </c:pt>
                <c:pt idx="210">
                  <c:v>2.4789860110967298E-2</c:v>
                </c:pt>
                <c:pt idx="211">
                  <c:v>2.4631449781167793E-2</c:v>
                </c:pt>
                <c:pt idx="212">
                  <c:v>2.4473906067070297E-2</c:v>
                </c:pt>
                <c:pt idx="213">
                  <c:v>2.4317245812264503E-2</c:v>
                </c:pt>
                <c:pt idx="214">
                  <c:v>2.4161486201497145E-2</c:v>
                </c:pt>
                <c:pt idx="215">
                  <c:v>2.4006644765416595E-2</c:v>
                </c:pt>
                <c:pt idx="216">
                  <c:v>2.3852739385181676E-2</c:v>
                </c:pt>
                <c:pt idx="217">
                  <c:v>2.3699788296915568E-2</c:v>
                </c:pt>
                <c:pt idx="218">
                  <c:v>2.3547810095984743E-2</c:v>
                </c:pt>
                <c:pt idx="219">
                  <c:v>2.339682374108144E-2</c:v>
                </c:pt>
                <c:pt idx="220">
                  <c:v>2.3246848558086938E-2</c:v>
                </c:pt>
                <c:pt idx="221">
                  <c:v>2.3097904243691712E-2</c:v>
                </c:pt>
                <c:pt idx="222">
                  <c:v>2.295001086874689E-2</c:v>
                </c:pt>
                <c:pt idx="223">
                  <c:v>2.2803188881320411E-2</c:v>
                </c:pt>
                <c:pt idx="224">
                  <c:v>2.2657459109429626E-2</c:v>
                </c:pt>
                <c:pt idx="225">
                  <c:v>2.2512842763420658E-2</c:v>
                </c:pt>
                <c:pt idx="226">
                  <c:v>2.2369361437963635E-2</c:v>
                </c:pt>
                <c:pt idx="227">
                  <c:v>2.2227037113631064E-2</c:v>
                </c:pt>
                <c:pt idx="228">
                  <c:v>2.2085892158025613E-2</c:v>
                </c:pt>
                <c:pt idx="229">
                  <c:v>2.1945949326421663E-2</c:v>
                </c:pt>
                <c:pt idx="230">
                  <c:v>2.1807231761884031E-2</c:v>
                </c:pt>
                <c:pt idx="231">
                  <c:v>2.1669762994825433E-2</c:v>
                </c:pt>
                <c:pt idx="232">
                  <c:v>2.1533566941963279E-2</c:v>
                </c:pt>
                <c:pt idx="233">
                  <c:v>2.1398667904634801E-2</c:v>
                </c:pt>
                <c:pt idx="234">
                  <c:v>2.1265090566428526E-2</c:v>
                </c:pt>
                <c:pt idx="235">
                  <c:v>2.1132859990088737E-2</c:v>
                </c:pt>
                <c:pt idx="236">
                  <c:v>2.100200161364876E-2</c:v>
                </c:pt>
                <c:pt idx="237">
                  <c:v>2.0872541245747792E-2</c:v>
                </c:pt>
                <c:pt idx="238">
                  <c:v>2.0744505060085343E-2</c:v>
                </c:pt>
                <c:pt idx="239">
                  <c:v>2.0617919588966679E-2</c:v>
                </c:pt>
                <c:pt idx="240">
                  <c:v>2.0492811715892255E-2</c:v>
                </c:pt>
                <c:pt idx="241">
                  <c:v>2.0369208667143951E-2</c:v>
                </c:pt>
                <c:pt idx="242">
                  <c:v>2.0247138002320718E-2</c:v>
                </c:pt>
                <c:pt idx="243">
                  <c:v>2.012662760377687E-2</c:v>
                </c:pt>
                <c:pt idx="244">
                  <c:v>2.9095395309697795E-2</c:v>
                </c:pt>
                <c:pt idx="245">
                  <c:v>2.8918662015446059E-2</c:v>
                </c:pt>
                <c:pt idx="246">
                  <c:v>2.8742452977370374E-2</c:v>
                </c:pt>
                <c:pt idx="247">
                  <c:v>2.8566777896812546E-2</c:v>
                </c:pt>
                <c:pt idx="248">
                  <c:v>2.8391646685460393E-2</c:v>
                </c:pt>
                <c:pt idx="249">
                  <c:v>2.8217069470002309E-2</c:v>
                </c:pt>
                <c:pt idx="250">
                  <c:v>2.8043056596858067E-2</c:v>
                </c:pt>
                <c:pt idx="251">
                  <c:v>2.7869618636984589E-2</c:v>
                </c:pt>
                <c:pt idx="252">
                  <c:v>2.7696766390755058E-2</c:v>
                </c:pt>
                <c:pt idx="253">
                  <c:v>2.7524510892909339E-2</c:v>
                </c:pt>
                <c:pt idx="254">
                  <c:v>2.7352863417573613E-2</c:v>
                </c:pt>
                <c:pt idx="255">
                  <c:v>2.71818354833465E-2</c:v>
                </c:pt>
                <c:pt idx="256">
                  <c:v>2.7011438858448818E-2</c:v>
                </c:pt>
                <c:pt idx="257">
                  <c:v>2.6841685565933606E-2</c:v>
                </c:pt>
                <c:pt idx="258">
                  <c:v>2.6672587888952663E-2</c:v>
                </c:pt>
                <c:pt idx="259">
                  <c:v>2.6504158376075362E-2</c:v>
                </c:pt>
                <c:pt idx="260">
                  <c:v>2.6336409846655133E-2</c:v>
                </c:pt>
                <c:pt idx="261">
                  <c:v>2.6169355396238304E-2</c:v>
                </c:pt>
                <c:pt idx="262">
                  <c:v>2.6003008402009684E-2</c:v>
                </c:pt>
                <c:pt idx="263">
                  <c:v>2.5837382528268449E-2</c:v>
                </c:pt>
                <c:pt idx="264">
                  <c:v>2.5672491731927444E-2</c:v>
                </c:pt>
                <c:pt idx="265">
                  <c:v>2.5508350268028314E-2</c:v>
                </c:pt>
                <c:pt idx="266">
                  <c:v>2.5344972695264114E-2</c:v>
                </c:pt>
                <c:pt idx="267">
                  <c:v>2.5182373881500377E-2</c:v>
                </c:pt>
                <c:pt idx="268">
                  <c:v>2.5020569009284892E-2</c:v>
                </c:pt>
                <c:pt idx="269">
                  <c:v>2.4859573581335392E-2</c:v>
                </c:pt>
                <c:pt idx="270">
                  <c:v>2.4699403425993822E-2</c:v>
                </c:pt>
                <c:pt idx="271">
                  <c:v>2.454007470263463E-2</c:v>
                </c:pt>
                <c:pt idx="272">
                  <c:v>2.4381603907013723E-2</c:v>
                </c:pt>
                <c:pt idx="273">
                  <c:v>2.4224007876543704E-2</c:v>
                </c:pt>
                <c:pt idx="274">
                  <c:v>2.4067303795479923E-2</c:v>
                </c:pt>
                <c:pt idx="275">
                  <c:v>2.3911509200000711E-2</c:v>
                </c:pt>
                <c:pt idx="276">
                  <c:v>2.3756641983164229E-2</c:v>
                </c:pt>
                <c:pt idx="277">
                  <c:v>2.3602720399722776E-2</c:v>
                </c:pt>
                <c:pt idx="278">
                  <c:v>2.3449763070774596E-2</c:v>
                </c:pt>
                <c:pt idx="279">
                  <c:v>2.3297788988231573E-2</c:v>
                </c:pt>
                <c:pt idx="280">
                  <c:v>2.3146817519080036E-2</c:v>
                </c:pt>
                <c:pt idx="281">
                  <c:v>2.2996868409410499E-2</c:v>
                </c:pt>
                <c:pt idx="282">
                  <c:v>2.2847961788190662E-2</c:v>
                </c:pt>
                <c:pt idx="283">
                  <c:v>2.2700118170754631E-2</c:v>
                </c:pt>
                <c:pt idx="284">
                  <c:v>2.2553358461979776E-2</c:v>
                </c:pt>
                <c:pt idx="285">
                  <c:v>2.2407703959121079E-2</c:v>
                </c:pt>
                <c:pt idx="286">
                  <c:v>2.2263176354271472E-2</c:v>
                </c:pt>
                <c:pt idx="287">
                  <c:v>2.2119797736414766E-2</c:v>
                </c:pt>
                <c:pt idx="288">
                  <c:v>2.1977590593036663E-2</c:v>
                </c:pt>
                <c:pt idx="289">
                  <c:v>2.1836577811257266E-2</c:v>
                </c:pt>
                <c:pt idx="290">
                  <c:v>2.169678267844749E-2</c:v>
                </c:pt>
                <c:pt idx="291">
                  <c:v>2.1558228882289709E-2</c:v>
                </c:pt>
                <c:pt idx="292">
                  <c:v>2.1420940510242025E-2</c:v>
                </c:pt>
                <c:pt idx="293">
                  <c:v>2.128494204836346E-2</c:v>
                </c:pt>
                <c:pt idx="294">
                  <c:v>2.1150258379456745E-2</c:v>
                </c:pt>
                <c:pt idx="295">
                  <c:v>2.1016914780483256E-2</c:v>
                </c:pt>
                <c:pt idx="296">
                  <c:v>2.0884936919204157E-2</c:v>
                </c:pt>
                <c:pt idx="297">
                  <c:v>2.0754350850000193E-2</c:v>
                </c:pt>
                <c:pt idx="298">
                  <c:v>2.0625183008821928E-2</c:v>
                </c:pt>
                <c:pt idx="299">
                  <c:v>2.049746020722118E-2</c:v>
                </c:pt>
                <c:pt idx="300">
                  <c:v>2.037120962541401E-2</c:v>
                </c:pt>
                <c:pt idx="301">
                  <c:v>2.0246458804325036E-2</c:v>
                </c:pt>
                <c:pt idx="302">
                  <c:v>2.0123235636562712E-2</c:v>
                </c:pt>
                <c:pt idx="303">
                  <c:v>2.0001568356275222E-2</c:v>
                </c:pt>
                <c:pt idx="304">
                  <c:v>1.9881485527837171E-2</c:v>
                </c:pt>
                <c:pt idx="305">
                  <c:v>2.8852246804465263E-2</c:v>
                </c:pt>
                <c:pt idx="306">
                  <c:v>2.8675343395826135E-2</c:v>
                </c:pt>
                <c:pt idx="307">
                  <c:v>2.8498966611581713E-2</c:v>
                </c:pt>
                <c:pt idx="308">
                  <c:v>2.8323126290088017E-2</c:v>
                </c:pt>
                <c:pt idx="309">
                  <c:v>2.8147832485241678E-2</c:v>
                </c:pt>
                <c:pt idx="310">
                  <c:v>2.7973095471307861E-2</c:v>
                </c:pt>
                <c:pt idx="311">
                  <c:v>2.7798925747828961E-2</c:v>
                </c:pt>
                <c:pt idx="312">
                  <c:v>2.7625334044612697E-2</c:v>
                </c:pt>
                <c:pt idx="313">
                  <c:v>2.7452331326797964E-2</c:v>
                </c:pt>
                <c:pt idx="314">
                  <c:v>2.7279928799996422E-2</c:v>
                </c:pt>
                <c:pt idx="315">
                  <c:v>2.7108137915507619E-2</c:v>
                </c:pt>
                <c:pt idx="316">
                  <c:v>2.6936970375604878E-2</c:v>
                </c:pt>
                <c:pt idx="317">
                  <c:v>2.6766438138889043E-2</c:v>
                </c:pt>
                <c:pt idx="318">
                  <c:v>2.6596553425706479E-2</c:v>
                </c:pt>
                <c:pt idx="319">
                  <c:v>2.6427328723627554E-2</c:v>
                </c:pt>
                <c:pt idx="320">
                  <c:v>2.6258776792981178E-2</c:v>
                </c:pt>
                <c:pt idx="321">
                  <c:v>2.6090910672440508E-2</c:v>
                </c:pt>
                <c:pt idx="322">
                  <c:v>2.5923743684654391E-2</c:v>
                </c:pt>
                <c:pt idx="323">
                  <c:v>2.575728944191864E-2</c:v>
                </c:pt>
                <c:pt idx="324">
                  <c:v>2.559156185188028E-2</c:v>
                </c:pt>
                <c:pt idx="325">
                  <c:v>2.5426575123267792E-2</c:v>
                </c:pt>
                <c:pt idx="326">
                  <c:v>2.5262343771639106E-2</c:v>
                </c:pt>
                <c:pt idx="327">
                  <c:v>2.5098882625138746E-2</c:v>
                </c:pt>
                <c:pt idx="328">
                  <c:v>2.49362068302546E-2</c:v>
                </c:pt>
                <c:pt idx="329">
                  <c:v>2.4774331857563919E-2</c:v>
                </c:pt>
                <c:pt idx="330">
                  <c:v>2.4613273507457369E-2</c:v>
                </c:pt>
                <c:pt idx="331">
                  <c:v>2.4453047915828915E-2</c:v>
                </c:pt>
                <c:pt idx="332">
                  <c:v>2.4293671559718448E-2</c:v>
                </c:pt>
                <c:pt idx="333">
                  <c:v>2.4135161262892921E-2</c:v>
                </c:pt>
                <c:pt idx="334">
                  <c:v>2.3977534201350795E-2</c:v>
                </c:pt>
                <c:pt idx="335">
                  <c:v>2.3820807908733341E-2</c:v>
                </c:pt>
                <c:pt idx="336">
                  <c:v>2.3665000281625284E-2</c:v>
                </c:pt>
                <c:pt idx="337">
                  <c:v>2.351012958472587E-2</c:v>
                </c:pt>
                <c:pt idx="338">
                  <c:v>2.3356214455870335E-2</c:v>
                </c:pt>
                <c:pt idx="339">
                  <c:v>2.3203273910880246E-2</c:v>
                </c:pt>
                <c:pt idx="340">
                  <c:v>2.3051327348219918E-2</c:v>
                </c:pt>
                <c:pt idx="341">
                  <c:v>2.2900394553434511E-2</c:v>
                </c:pt>
                <c:pt idx="342">
                  <c:v>2.2750495703344149E-2</c:v>
                </c:pt>
                <c:pt idx="343">
                  <c:v>2.260165136996662E-2</c:v>
                </c:pt>
                <c:pt idx="344">
                  <c:v>2.2453882524139858E-2</c:v>
                </c:pt>
                <c:pt idx="345">
                  <c:v>2.2307210538813644E-2</c:v>
                </c:pt>
                <c:pt idx="346">
                  <c:v>2.2161657191978441E-2</c:v>
                </c:pt>
                <c:pt idx="347">
                  <c:v>2.2017244669197522E-2</c:v>
                </c:pt>
                <c:pt idx="348">
                  <c:v>2.1873995565707009E-2</c:v>
                </c:pt>
                <c:pt idx="349">
                  <c:v>2.1731932888046538E-2</c:v>
                </c:pt>
                <c:pt idx="350">
                  <c:v>2.1591080055181903E-2</c:v>
                </c:pt>
                <c:pt idx="351">
                  <c:v>2.1451460899078983E-2</c:v>
                </c:pt>
                <c:pt idx="352">
                  <c:v>2.1313099664687005E-2</c:v>
                </c:pt>
                <c:pt idx="353">
                  <c:v>2.1176021009287224E-2</c:v>
                </c:pt>
                <c:pt idx="354">
                  <c:v>2.1040250001161886E-2</c:v>
                </c:pt>
                <c:pt idx="355">
                  <c:v>2.0905812117536532E-2</c:v>
                </c:pt>
                <c:pt idx="356">
                  <c:v>2.0772733241747648E-2</c:v>
                </c:pt>
                <c:pt idx="357">
                  <c:v>2.0641039659586049E-2</c:v>
                </c:pt>
                <c:pt idx="358">
                  <c:v>2.051075805476547E-2</c:v>
                </c:pt>
                <c:pt idx="359">
                  <c:v>2.0381915503464701E-2</c:v>
                </c:pt>
                <c:pt idx="360">
                  <c:v>2.0254539467890874E-2</c:v>
                </c:pt>
                <c:pt idx="361">
                  <c:v>2.0128657788810692E-2</c:v>
                </c:pt>
                <c:pt idx="362">
                  <c:v>2.0004298676996272E-2</c:v>
                </c:pt>
                <c:pt idx="363">
                  <c:v>1.9881490703531939E-2</c:v>
                </c:pt>
                <c:pt idx="364">
                  <c:v>1.9760262788928312E-2</c:v>
                </c:pt>
                <c:pt idx="365">
                  <c:v>1.964064419099101E-2</c:v>
                </c:pt>
                <c:pt idx="366">
                  <c:v>2.8612084378020965E-2</c:v>
                </c:pt>
                <c:pt idx="367">
                  <c:v>2.8435026539894784E-2</c:v>
                </c:pt>
                <c:pt idx="368">
                  <c:v>2.8258497873219941E-2</c:v>
                </c:pt>
                <c:pt idx="369">
                  <c:v>2.808250835722758E-2</c:v>
                </c:pt>
                <c:pt idx="370">
                  <c:v>2.7907068192009419E-2</c:v>
                </c:pt>
                <c:pt idx="371">
                  <c:v>2.7732187803523486E-2</c:v>
                </c:pt>
                <c:pt idx="372">
                  <c:v>2.7557877848685221E-2</c:v>
                </c:pt>
                <c:pt idx="373">
                  <c:v>2.7384149220542536E-2</c:v>
                </c:pt>
                <c:pt idx="374">
                  <c:v>2.7211013053533142E-2</c:v>
                </c:pt>
                <c:pt idx="375">
                  <c:v>2.7038480728822169E-2</c:v>
                </c:pt>
                <c:pt idx="376">
                  <c:v>2.6866563879717673E-2</c:v>
                </c:pt>
                <c:pt idx="377">
                  <c:v>2.6695274397161361E-2</c:v>
                </c:pt>
                <c:pt idx="378">
                  <c:v>2.6524624435291317E-2</c:v>
                </c:pt>
                <c:pt idx="379">
                  <c:v>2.6354626417073222E-2</c:v>
                </c:pt>
                <c:pt idx="380">
                  <c:v>2.6185293039995946E-2</c:v>
                </c:pt>
                <c:pt idx="381">
                  <c:v>2.6016637281827033E-2</c:v>
                </c:pt>
                <c:pt idx="382">
                  <c:v>2.584867240642294E-2</c:v>
                </c:pt>
                <c:pt idx="383">
                  <c:v>2.5681411969588324E-2</c:v>
                </c:pt>
                <c:pt idx="384">
                  <c:v>2.5514869824978231E-2</c:v>
                </c:pt>
                <c:pt idx="385">
                  <c:v>2.5349060130035999E-2</c:v>
                </c:pt>
                <c:pt idx="386">
                  <c:v>2.5183997351959489E-2</c:v>
                </c:pt>
                <c:pt idx="387">
                  <c:v>2.5019696273687064E-2</c:v>
                </c:pt>
                <c:pt idx="388">
                  <c:v>2.4856171999894192E-2</c:v>
                </c:pt>
                <c:pt idx="389">
                  <c:v>2.4693439962990654E-2</c:v>
                </c:pt>
                <c:pt idx="390">
                  <c:v>2.4531515929107389E-2</c:v>
                </c:pt>
                <c:pt idx="391">
                  <c:v>2.4370416004061177E-2</c:v>
                </c:pt>
                <c:pt idx="392">
                  <c:v>2.4210156639284237E-2</c:v>
                </c:pt>
                <c:pt idx="393">
                  <c:v>2.4050754637704862E-2</c:v>
                </c:pt>
                <c:pt idx="394">
                  <c:v>2.3892227159564079E-2</c:v>
                </c:pt>
                <c:pt idx="395">
                  <c:v>2.3734591728152111E-2</c:v>
                </c:pt>
                <c:pt idx="396">
                  <c:v>2.3577866235447345E-2</c:v>
                </c:pt>
                <c:pt idx="397">
                  <c:v>2.3422068947639003E-2</c:v>
                </c:pt>
                <c:pt idx="398">
                  <c:v>2.3267218510513631E-2</c:v>
                </c:pt>
                <c:pt idx="399">
                  <c:v>2.3113333954683978E-2</c:v>
                </c:pt>
                <c:pt idx="400">
                  <c:v>2.2960434700637359E-2</c:v>
                </c:pt>
                <c:pt idx="401">
                  <c:v>2.2808540563579317E-2</c:v>
                </c:pt>
                <c:pt idx="402">
                  <c:v>2.2657671758046546E-2</c:v>
                </c:pt>
                <c:pt idx="403">
                  <c:v>2.2507848902261686E-2</c:v>
                </c:pt>
                <c:pt idx="404">
                  <c:v>2.2359093022200866E-2</c:v>
                </c:pt>
                <c:pt idx="405">
                  <c:v>2.2211425555343042E-2</c:v>
                </c:pt>
                <c:pt idx="406">
                  <c:v>2.20648683540688E-2</c:v>
                </c:pt>
                <c:pt idx="407">
                  <c:v>2.1919443688674059E-2</c:v>
                </c:pt>
                <c:pt idx="408">
                  <c:v>2.1775174249962857E-2</c:v>
                </c:pt>
                <c:pt idx="409">
                  <c:v>2.163208315138105E-2</c:v>
                </c:pt>
                <c:pt idx="410">
                  <c:v>2.1490193930651446E-2</c:v>
                </c:pt>
                <c:pt idx="411">
                  <c:v>2.1349530550868755E-2</c:v>
                </c:pt>
                <c:pt idx="412">
                  <c:v>2.1210117401011117E-2</c:v>
                </c:pt>
                <c:pt idx="413">
                  <c:v>2.1071979295823079E-2</c:v>
                </c:pt>
                <c:pt idx="414">
                  <c:v>2.0935141475023393E-2</c:v>
                </c:pt>
                <c:pt idx="415">
                  <c:v>2.0799629601789032E-2</c:v>
                </c:pt>
                <c:pt idx="416">
                  <c:v>2.0665469760465609E-2</c:v>
                </c:pt>
                <c:pt idx="417">
                  <c:v>2.0532688453452564E-2</c:v>
                </c:pt>
                <c:pt idx="418">
                  <c:v>2.0401312597210407E-2</c:v>
                </c:pt>
                <c:pt idx="419">
                  <c:v>2.0271369517335863E-2</c:v>
                </c:pt>
                <c:pt idx="420">
                  <c:v>2.0142886942649936E-2</c:v>
                </c:pt>
                <c:pt idx="421">
                  <c:v>2.0015892998242843E-2</c:v>
                </c:pt>
                <c:pt idx="422">
                  <c:v>1.9890416197419356E-2</c:v>
                </c:pt>
                <c:pt idx="423">
                  <c:v>1.9766485432487567E-2</c:v>
                </c:pt>
                <c:pt idx="424">
                  <c:v>1.9644129964334144E-2</c:v>
                </c:pt>
                <c:pt idx="425">
                  <c:v>1.9523379410729177E-2</c:v>
                </c:pt>
                <c:pt idx="426">
                  <c:v>1.9404263733304675E-2</c:v>
                </c:pt>
                <c:pt idx="427">
                  <c:v>2.8374983851893756E-2</c:v>
                </c:pt>
                <c:pt idx="428">
                  <c:v>2.8197788195734711E-2</c:v>
                </c:pt>
                <c:pt idx="429">
                  <c:v>2.8021124451465654E-2</c:v>
                </c:pt>
                <c:pt idx="430">
                  <c:v>2.7845002743297813E-2</c:v>
                </c:pt>
                <c:pt idx="431">
                  <c:v>2.7669433421751249E-2</c:v>
                </c:pt>
                <c:pt idx="432">
                  <c:v>2.7494427068842753E-2</c:v>
                </c:pt>
                <c:pt idx="433">
                  <c:v>2.7319994503363785E-2</c:v>
                </c:pt>
                <c:pt idx="434">
                  <c:v>2.7146146786246984E-2</c:v>
                </c:pt>
                <c:pt idx="435">
                  <c:v>2.6972895226019651E-2</c:v>
                </c:pt>
                <c:pt idx="436">
                  <c:v>2.6800251384342003E-2</c:v>
                </c:pt>
                <c:pt idx="437">
                  <c:v>2.6628227081627934E-2</c:v>
                </c:pt>
                <c:pt idx="438">
                  <c:v>2.6456834402745301E-2</c:v>
                </c:pt>
                <c:pt idx="439">
                  <c:v>2.6286085702792589E-2</c:v>
                </c:pt>
                <c:pt idx="440">
                  <c:v>2.6115993612948224E-2</c:v>
                </c:pt>
                <c:pt idx="441">
                  <c:v>2.5946571046388273E-2</c:v>
                </c:pt>
                <c:pt idx="442">
                  <c:v>2.5777831204267781E-2</c:v>
                </c:pt>
                <c:pt idx="443">
                  <c:v>2.5609787581760524E-2</c:v>
                </c:pt>
                <c:pt idx="444">
                  <c:v>2.5442453974151052E-2</c:v>
                </c:pt>
                <c:pt idx="445">
                  <c:v>2.5275844482972674E-2</c:v>
                </c:pt>
                <c:pt idx="446">
                  <c:v>2.51099735221838E-2</c:v>
                </c:pt>
                <c:pt idx="447">
                  <c:v>2.4944855824374869E-2</c:v>
                </c:pt>
                <c:pt idx="448">
                  <c:v>2.4780506446996836E-2</c:v>
                </c:pt>
                <c:pt idx="449">
                  <c:v>2.4616940778601649E-2</c:v>
                </c:pt>
                <c:pt idx="450">
                  <c:v>2.4454174545084032E-2</c:v>
                </c:pt>
                <c:pt idx="451">
                  <c:v>2.4292223815913127E-2</c:v>
                </c:pt>
                <c:pt idx="452">
                  <c:v>2.4131105010341398E-2</c:v>
                </c:pt>
                <c:pt idx="453">
                  <c:v>2.3970834903577234E-2</c:v>
                </c:pt>
                <c:pt idx="454">
                  <c:v>2.3811430632906447E-2</c:v>
                </c:pt>
                <c:pt idx="455">
                  <c:v>2.3652909703746807E-2</c:v>
                </c:pt>
                <c:pt idx="456">
                  <c:v>2.34952899956185E-2</c:v>
                </c:pt>
                <c:pt idx="457">
                  <c:v>2.3338589768011845E-2</c:v>
                </c:pt>
                <c:pt idx="458">
                  <c:v>2.3182827666132742E-2</c:v>
                </c:pt>
                <c:pt idx="459">
                  <c:v>2.3028022726504289E-2</c:v>
                </c:pt>
                <c:pt idx="460">
                  <c:v>2.2874194382402027E-2</c:v>
                </c:pt>
                <c:pt idx="461">
                  <c:v>2.2721362469098384E-2</c:v>
                </c:pt>
                <c:pt idx="462">
                  <c:v>2.2569547228890503E-2</c:v>
                </c:pt>
                <c:pt idx="463">
                  <c:v>2.2418769315883755E-2</c:v>
                </c:pt>
                <c:pt idx="464">
                  <c:v>2.2269049800501796E-2</c:v>
                </c:pt>
                <c:pt idx="465">
                  <c:v>2.2120410173691925E-2</c:v>
                </c:pt>
                <c:pt idx="466">
                  <c:v>2.1972872350792993E-2</c:v>
                </c:pt>
                <c:pt idx="467">
                  <c:v>2.1826458675031069E-2</c:v>
                </c:pt>
                <c:pt idx="468">
                  <c:v>2.1681191920606226E-2</c:v>
                </c:pt>
                <c:pt idx="469">
                  <c:v>2.1537095295331921E-2</c:v>
                </c:pt>
                <c:pt idx="470">
                  <c:v>2.139419244278648E-2</c:v>
                </c:pt>
                <c:pt idx="471">
                  <c:v>2.1252507443934272E-2</c:v>
                </c:pt>
                <c:pt idx="472">
                  <c:v>2.1112064818172269E-2</c:v>
                </c:pt>
                <c:pt idx="473">
                  <c:v>2.0972889523755631E-2</c:v>
                </c:pt>
                <c:pt idx="474">
                  <c:v>2.0835006957554299E-2</c:v>
                </c:pt>
                <c:pt idx="475">
                  <c:v>2.0698442954090519E-2</c:v>
                </c:pt>
                <c:pt idx="476">
                  <c:v>2.0563223783805609E-2</c:v>
                </c:pt>
                <c:pt idx="477">
                  <c:v>2.0429376150502585E-2</c:v>
                </c:pt>
                <c:pt idx="478">
                  <c:v>2.0296927187909625E-2</c:v>
                </c:pt>
                <c:pt idx="479">
                  <c:v>2.0165904455308026E-2</c:v>
                </c:pt>
                <c:pt idx="480">
                  <c:v>2.0036335932166964E-2</c:v>
                </c:pt>
                <c:pt idx="481">
                  <c:v>1.9908250011726393E-2</c:v>
                </c:pt>
                <c:pt idx="482">
                  <c:v>1.9781675493468411E-2</c:v>
                </c:pt>
                <c:pt idx="483">
                  <c:v>1.9656641574417016E-2</c:v>
                </c:pt>
                <c:pt idx="484">
                  <c:v>1.9533177839205676E-2</c:v>
                </c:pt>
                <c:pt idx="485">
                  <c:v>1.9411314248852354E-2</c:v>
                </c:pt>
                <c:pt idx="486">
                  <c:v>1.9291081128181675E-2</c:v>
                </c:pt>
                <c:pt idx="487">
                  <c:v>1.9172509151835122E-2</c:v>
                </c:pt>
                <c:pt idx="488">
                  <c:v>2.8141022619771576E-2</c:v>
                </c:pt>
                <c:pt idx="489">
                  <c:v>2.7963706715840361E-2</c:v>
                </c:pt>
                <c:pt idx="490">
                  <c:v>2.7786925672864587E-2</c:v>
                </c:pt>
                <c:pt idx="491">
                  <c:v>2.7610689764397282E-2</c:v>
                </c:pt>
                <c:pt idx="492">
                  <c:v>2.7435009495879719E-2</c:v>
                </c:pt>
                <c:pt idx="493">
                  <c:v>2.7259895610015711E-2</c:v>
                </c:pt>
                <c:pt idx="494">
                  <c:v>2.7085359092240652E-2</c:v>
                </c:pt>
                <c:pt idx="495">
                  <c:v>2.6911411176283918E-2</c:v>
                </c:pt>
                <c:pt idx="496">
                  <c:v>2.6738063349822854E-2</c:v>
                </c:pt>
                <c:pt idx="497">
                  <c:v>2.6565327360226289E-2</c:v>
                </c:pt>
                <c:pt idx="498">
                  <c:v>2.6393215220384968E-2</c:v>
                </c:pt>
                <c:pt idx="499">
                  <c:v>2.6221739214626092E-2</c:v>
                </c:pt>
                <c:pt idx="500">
                  <c:v>2.6050911904708533E-2</c:v>
                </c:pt>
                <c:pt idx="501">
                  <c:v>2.5880746135894844E-2</c:v>
                </c:pt>
                <c:pt idx="502">
                  <c:v>2.5711255043095675E-2</c:v>
                </c:pt>
                <c:pt idx="503">
                  <c:v>2.5542452057081669E-2</c:v>
                </c:pt>
                <c:pt idx="504">
                  <c:v>2.5374350910757199E-2</c:v>
                </c:pt>
                <c:pt idx="505">
                  <c:v>2.5206965645489722E-2</c:v>
                </c:pt>
                <c:pt idx="506">
                  <c:v>2.5040310617487953E-2</c:v>
                </c:pt>
                <c:pt idx="507">
                  <c:v>2.487440050422093E-2</c:v>
                </c:pt>
                <c:pt idx="508">
                  <c:v>2.4709250310869794E-2</c:v>
                </c:pt>
                <c:pt idx="509">
                  <c:v>2.4544875376802743E-2</c:v>
                </c:pt>
                <c:pt idx="510">
                  <c:v>2.4381291382063047E-2</c:v>
                </c:pt>
                <c:pt idx="511">
                  <c:v>2.4218514353858956E-2</c:v>
                </c:pt>
                <c:pt idx="512">
                  <c:v>2.4056560673043195E-2</c:v>
                </c:pt>
                <c:pt idx="513">
                  <c:v>2.3895447080568937E-2</c:v>
                </c:pt>
                <c:pt idx="514">
                  <c:v>2.3735190683907701E-2</c:v>
                </c:pt>
                <c:pt idx="515">
                  <c:v>2.3575808963413596E-2</c:v>
                </c:pt>
                <c:pt idx="516">
                  <c:v>2.3417319778617125E-2</c:v>
                </c:pt>
                <c:pt idx="517">
                  <c:v>2.3259741374430171E-2</c:v>
                </c:pt>
                <c:pt idx="518">
                  <c:v>2.3103092387242681E-2</c:v>
                </c:pt>
                <c:pt idx="519">
                  <c:v>2.2947391850889905E-2</c:v>
                </c:pt>
                <c:pt idx="520">
                  <c:v>2.2792659202467626E-2</c:v>
                </c:pt>
                <c:pt idx="521">
                  <c:v>2.2638914287971091E-2</c:v>
                </c:pt>
                <c:pt idx="522">
                  <c:v>2.2486177367731876E-2</c:v>
                </c:pt>
                <c:pt idx="523">
                  <c:v>2.2334469121624959E-2</c:v>
                </c:pt>
                <c:pt idx="524">
                  <c:v>2.2183810654016735E-2</c:v>
                </c:pt>
                <c:pt idx="525">
                  <c:v>2.2034223498422621E-2</c:v>
                </c:pt>
                <c:pt idx="526">
                  <c:v>2.1885729621841238E-2</c:v>
                </c:pt>
                <c:pt idx="527">
                  <c:v>2.1738351428729926E-2</c:v>
                </c:pt>
                <c:pt idx="528">
                  <c:v>2.1592111764584664E-2</c:v>
                </c:pt>
                <c:pt idx="529">
                  <c:v>2.1447033919085236E-2</c:v>
                </c:pt>
                <c:pt idx="530">
                  <c:v>2.130314162876442E-2</c:v>
                </c:pt>
                <c:pt idx="531">
                  <c:v>2.1160459079158103E-2</c:v>
                </c:pt>
                <c:pt idx="532">
                  <c:v>2.1019010906390898E-2</c:v>
                </c:pt>
                <c:pt idx="533">
                  <c:v>2.0878822198149977E-2</c:v>
                </c:pt>
                <c:pt idx="534">
                  <c:v>2.0739918493997683E-2</c:v>
                </c:pt>
                <c:pt idx="535">
                  <c:v>2.0602325784971457E-2</c:v>
                </c:pt>
                <c:pt idx="536">
                  <c:v>2.0466070512417826E-2</c:v>
                </c:pt>
                <c:pt idx="537">
                  <c:v>2.0331179566005088E-2</c:v>
                </c:pt>
                <c:pt idx="538">
                  <c:v>2.0197680280857836E-2</c:v>
                </c:pt>
                <c:pt idx="539">
                  <c:v>2.0065600433754528E-2</c:v>
                </c:pt>
                <c:pt idx="540">
                  <c:v>1.9934968238328153E-2</c:v>
                </c:pt>
                <c:pt idx="541">
                  <c:v>1.9805812339208421E-2</c:v>
                </c:pt>
                <c:pt idx="542">
                  <c:v>1.9678161805043039E-2</c:v>
                </c:pt>
                <c:pt idx="543">
                  <c:v>1.9552046120334694E-2</c:v>
                </c:pt>
                <c:pt idx="544">
                  <c:v>1.9427495176029794E-2</c:v>
                </c:pt>
                <c:pt idx="545">
                  <c:v>1.9304539258794873E-2</c:v>
                </c:pt>
                <c:pt idx="546">
                  <c:v>1.9183209038916571E-2</c:v>
                </c:pt>
                <c:pt idx="547">
                  <c:v>1.9063535556761615E-2</c:v>
                </c:pt>
                <c:pt idx="548">
                  <c:v>1.894555020773438E-2</c:v>
                </c:pt>
                <c:pt idx="549">
                  <c:v>2.7910279628280046E-2</c:v>
                </c:pt>
                <c:pt idx="550">
                  <c:v>2.7732862037636488E-2</c:v>
                </c:pt>
                <c:pt idx="551">
                  <c:v>2.7555982481579207E-2</c:v>
                </c:pt>
                <c:pt idx="552">
                  <c:v>2.7379651387633611E-2</c:v>
                </c:pt>
                <c:pt idx="553">
                  <c:v>2.7203879420926714E-2</c:v>
                </c:pt>
                <c:pt idx="554">
                  <c:v>2.7028677489751858E-2</c:v>
                </c:pt>
                <c:pt idx="555">
                  <c:v>2.6854056751233021E-2</c:v>
                </c:pt>
                <c:pt idx="556">
                  <c:v>2.6680028617087247E-2</c:v>
                </c:pt>
                <c:pt idx="557">
                  <c:v>2.6506604759483458E-2</c:v>
                </c:pt>
                <c:pt idx="558">
                  <c:v>2.6333797116995371E-2</c:v>
                </c:pt>
                <c:pt idx="559">
                  <c:v>2.6161617900646014E-2</c:v>
                </c:pt>
                <c:pt idx="560">
                  <c:v>2.5990079600040791E-2</c:v>
                </c:pt>
                <c:pt idx="561">
                  <c:v>2.5819194989585501E-2</c:v>
                </c:pt>
                <c:pt idx="562">
                  <c:v>2.5648977134785381E-2</c:v>
                </c:pt>
                <c:pt idx="563">
                  <c:v>2.5479439398620518E-2</c:v>
                </c:pt>
                <c:pt idx="564">
                  <c:v>2.5310595447992398E-2</c:v>
                </c:pt>
                <c:pt idx="565">
                  <c:v>2.5142459260235821E-2</c:v>
                </c:pt>
                <c:pt idx="566">
                  <c:v>2.497504512968951E-2</c:v>
                </c:pt>
                <c:pt idx="567">
                  <c:v>2.4808367674318356E-2</c:v>
                </c:pt>
                <c:pt idx="568">
                  <c:v>2.4642441842378883E-2</c:v>
                </c:pt>
                <c:pt idx="569">
                  <c:v>2.4477282919119388E-2</c:v>
                </c:pt>
                <c:pt idx="570">
                  <c:v>2.4312906533504534E-2</c:v>
                </c:pt>
                <c:pt idx="571">
                  <c:v>2.4149328664953961E-2</c:v>
                </c:pt>
                <c:pt idx="572">
                  <c:v>2.3986565650082812E-2</c:v>
                </c:pt>
                <c:pt idx="573">
                  <c:v>2.3824634189431412E-2</c:v>
                </c:pt>
                <c:pt idx="574">
                  <c:v>2.3663551354170021E-2</c:v>
                </c:pt>
                <c:pt idx="575">
                  <c:v>2.3503334592763325E-2</c:v>
                </c:pt>
                <c:pt idx="576">
                  <c:v>2.3344001737578213E-2</c:v>
                </c:pt>
                <c:pt idx="577">
                  <c:v>2.3185571011416776E-2</c:v>
                </c:pt>
                <c:pt idx="578">
                  <c:v>2.3028061033955313E-2</c:v>
                </c:pt>
                <c:pt idx="579">
                  <c:v>2.2871490828068428E-2</c:v>
                </c:pt>
                <c:pt idx="580">
                  <c:v>2.2715879826015795E-2</c:v>
                </c:pt>
                <c:pt idx="581">
                  <c:v>2.2561247875467576E-2</c:v>
                </c:pt>
                <c:pt idx="582">
                  <c:v>2.2407615245342714E-2</c:v>
                </c:pt>
                <c:pt idx="583">
                  <c:v>2.2255002631432472E-2</c:v>
                </c:pt>
                <c:pt idx="584">
                  <c:v>2.2103431161779909E-2</c:v>
                </c:pt>
                <c:pt idx="585">
                  <c:v>2.1952922401783911E-2</c:v>
                </c:pt>
                <c:pt idx="586">
                  <c:v>2.1803498358994467E-2</c:v>
                </c:pt>
                <c:pt idx="587">
                  <c:v>2.1655181487563877E-2</c:v>
                </c:pt>
                <c:pt idx="588">
                  <c:v>2.150799469231638E-2</c:v>
                </c:pt>
                <c:pt idx="589">
                  <c:v>2.1361961332396803E-2</c:v>
                </c:pt>
                <c:pt idx="590">
                  <c:v>2.1217105224456249E-2</c:v>
                </c:pt>
                <c:pt idx="591">
                  <c:v>2.1073450645331129E-2</c:v>
                </c:pt>
                <c:pt idx="592">
                  <c:v>2.0931022334169234E-2</c:v>
                </c:pt>
                <c:pt idx="593">
                  <c:v>2.0789845493954528E-2</c:v>
                </c:pt>
                <c:pt idx="594">
                  <c:v>2.0649945792380126E-2</c:v>
                </c:pt>
                <c:pt idx="595">
                  <c:v>2.051134936201662E-2</c:v>
                </c:pt>
                <c:pt idx="596">
                  <c:v>2.0374082799721013E-2</c:v>
                </c:pt>
                <c:pt idx="597">
                  <c:v>2.0238173165229155E-2</c:v>
                </c:pt>
                <c:pt idx="598">
                  <c:v>2.0103647978872922E-2</c:v>
                </c:pt>
                <c:pt idx="599">
                  <c:v>1.9970535218361257E-2</c:v>
                </c:pt>
                <c:pt idx="600">
                  <c:v>1.9838863314562631E-2</c:v>
                </c:pt>
                <c:pt idx="601">
                  <c:v>1.9708661146224941E-2</c:v>
                </c:pt>
                <c:pt idx="602">
                  <c:v>1.957995803356739E-2</c:v>
                </c:pt>
                <c:pt idx="603">
                  <c:v>1.9452783730677978E-2</c:v>
                </c:pt>
                <c:pt idx="604">
                  <c:v>1.9327168416649276E-2</c:v>
                </c:pt>
                <c:pt idx="605">
                  <c:v>1.9203142685384773E-2</c:v>
                </c:pt>
                <c:pt idx="606">
                  <c:v>1.9080737534007786E-2</c:v>
                </c:pt>
                <c:pt idx="607">
                  <c:v>1.895998434980543E-2</c:v>
                </c:pt>
                <c:pt idx="608">
                  <c:v>1.8840914895640447E-2</c:v>
                </c:pt>
                <c:pt idx="609">
                  <c:v>1.8723561293765435E-2</c:v>
                </c:pt>
                <c:pt idx="610">
                  <c:v>2.7682835351930564E-2</c:v>
                </c:pt>
                <c:pt idx="611">
                  <c:v>2.7505335657989106E-2</c:v>
                </c:pt>
                <c:pt idx="612">
                  <c:v>2.7328377413449255E-2</c:v>
                </c:pt>
                <c:pt idx="613">
                  <c:v>2.7151971204719662E-2</c:v>
                </c:pt>
                <c:pt idx="614">
                  <c:v>2.6976127861660464E-2</c:v>
                </c:pt>
                <c:pt idx="615">
                  <c:v>2.680085846334233E-2</c:v>
                </c:pt>
                <c:pt idx="616">
                  <c:v>2.6626174343909945E-2</c:v>
                </c:pt>
                <c:pt idx="617">
                  <c:v>2.6452087098548467E-2</c:v>
                </c:pt>
                <c:pt idx="618">
                  <c:v>2.6278608589551049E-2</c:v>
                </c:pt>
                <c:pt idx="619">
                  <c:v>2.6105750952485237E-2</c:v>
                </c:pt>
                <c:pt idx="620">
                  <c:v>2.5933526602455514E-2</c:v>
                </c:pt>
                <c:pt idx="621">
                  <c:v>2.5761948240458788E-2</c:v>
                </c:pt>
                <c:pt idx="622">
                  <c:v>2.5591028859829244E-2</c:v>
                </c:pt>
                <c:pt idx="623">
                  <c:v>2.5420781752768244E-2</c:v>
                </c:pt>
                <c:pt idx="624">
                  <c:v>2.5251220516954467E-2</c:v>
                </c:pt>
                <c:pt idx="625">
                  <c:v>2.5082359062228891E-2</c:v>
                </c:pt>
                <c:pt idx="626">
                  <c:v>2.4914211617348348E-2</c:v>
                </c:pt>
                <c:pt idx="627">
                  <c:v>2.4746792736800874E-2</c:v>
                </c:pt>
                <c:pt idx="628">
                  <c:v>2.4580117307675162E-2</c:v>
                </c:pt>
                <c:pt idx="629">
                  <c:v>2.4414200556575456E-2</c:v>
                </c:pt>
                <c:pt idx="630">
                  <c:v>2.4249058056572681E-2</c:v>
                </c:pt>
                <c:pt idx="631">
                  <c:v>2.4084705734181214E-2</c:v>
                </c:pt>
                <c:pt idx="632">
                  <c:v>2.3921159876349987E-2</c:v>
                </c:pt>
                <c:pt idx="633">
                  <c:v>2.3758437137455343E-2</c:v>
                </c:pt>
                <c:pt idx="634">
                  <c:v>2.3596554546282057E-2</c:v>
                </c:pt>
                <c:pt idx="635">
                  <c:v>2.3435529512977452E-2</c:v>
                </c:pt>
                <c:pt idx="636">
                  <c:v>2.3275379835962631E-2</c:v>
                </c:pt>
                <c:pt idx="637">
                  <c:v>2.3116123708783021E-2</c:v>
                </c:pt>
                <c:pt idx="638">
                  <c:v>2.2957779726879322E-2</c:v>
                </c:pt>
                <c:pt idx="639">
                  <c:v>2.280036689425825E-2</c:v>
                </c:pt>
                <c:pt idx="640">
                  <c:v>2.2643904630040956E-2</c:v>
                </c:pt>
                <c:pt idx="641">
                  <c:v>2.2488412774865157E-2</c:v>
                </c:pt>
                <c:pt idx="642">
                  <c:v>2.233391159711556E-2</c:v>
                </c:pt>
                <c:pt idx="643">
                  <c:v>2.2180421798954884E-2</c:v>
                </c:pt>
                <c:pt idx="644">
                  <c:v>2.2027964522126398E-2</c:v>
                </c:pt>
                <c:pt idx="645">
                  <c:v>2.1876561353496381E-2</c:v>
                </c:pt>
                <c:pt idx="646">
                  <c:v>2.1726234330303296E-2</c:v>
                </c:pt>
                <c:pt idx="647">
                  <c:v>2.1577005945078047E-2</c:v>
                </c:pt>
                <c:pt idx="648">
                  <c:v>2.1428899150197696E-2</c:v>
                </c:pt>
                <c:pt idx="649">
                  <c:v>2.1281937362032606E-2</c:v>
                </c:pt>
                <c:pt idx="650">
                  <c:v>2.1136144464644947E-2</c:v>
                </c:pt>
                <c:pt idx="651">
                  <c:v>2.0991544812993847E-2</c:v>
                </c:pt>
                <c:pt idx="652">
                  <c:v>2.0848163235600455E-2</c:v>
                </c:pt>
                <c:pt idx="653">
                  <c:v>2.0706025036623568E-2</c:v>
                </c:pt>
                <c:pt idx="654">
                  <c:v>2.0565155997294249E-2</c:v>
                </c:pt>
                <c:pt idx="655">
                  <c:v>2.0425582376655482E-2</c:v>
                </c:pt>
                <c:pt idx="656">
                  <c:v>2.0287330911550598E-2</c:v>
                </c:pt>
                <c:pt idx="657">
                  <c:v>2.0150428815801907E-2</c:v>
                </c:pt>
                <c:pt idx="658">
                  <c:v>2.0014903778518871E-2</c:v>
                </c:pt>
                <c:pt idx="659">
                  <c:v>1.9880783961473053E-2</c:v>
                </c:pt>
                <c:pt idx="660">
                  <c:v>1.9748097995475042E-2</c:v>
                </c:pt>
                <c:pt idx="661">
                  <c:v>1.9616874975686937E-2</c:v>
                </c:pt>
                <c:pt idx="662">
                  <c:v>1.9487144455802272E-2</c:v>
                </c:pt>
                <c:pt idx="663">
                  <c:v>1.9358936441023929E-2</c:v>
                </c:pt>
                <c:pt idx="664">
                  <c:v>1.9232281379769511E-2</c:v>
                </c:pt>
                <c:pt idx="665">
                  <c:v>1.9107210154032949E-2</c:v>
                </c:pt>
                <c:pt idx="666">
                  <c:v>1.8983754068330545E-2</c:v>
                </c:pt>
                <c:pt idx="667">
                  <c:v>1.8861944837159788E-2</c:v>
                </c:pt>
                <c:pt idx="668">
                  <c:v>1.8741814570899674E-2</c:v>
                </c:pt>
                <c:pt idx="669">
                  <c:v>1.8623395760082047E-2</c:v>
                </c:pt>
                <c:pt idx="670">
                  <c:v>1.8506721257965236E-2</c:v>
                </c:pt>
                <c:pt idx="671">
                  <c:v>2.7458771761796511E-2</c:v>
                </c:pt>
                <c:pt idx="672">
                  <c:v>2.7281210601249703E-2</c:v>
                </c:pt>
                <c:pt idx="673">
                  <c:v>2.7104194563383924E-2</c:v>
                </c:pt>
                <c:pt idx="674">
                  <c:v>2.6927734398692518E-2</c:v>
                </c:pt>
                <c:pt idx="675">
                  <c:v>2.6751841107109098E-2</c:v>
                </c:pt>
                <c:pt idx="676">
                  <c:v>2.6576525943964563E-2</c:v>
                </c:pt>
                <c:pt idx="677">
                  <c:v>2.6401800426053463E-2</c:v>
                </c:pt>
                <c:pt idx="678">
                  <c:v>2.6227676337808089E-2</c:v>
                </c:pt>
                <c:pt idx="679">
                  <c:v>2.6054165737578423E-2</c:v>
                </c:pt>
                <c:pt idx="680">
                  <c:v>2.5881280964015645E-2</c:v>
                </c:pt>
                <c:pt idx="681">
                  <c:v>2.570903464255626E-2</c:v>
                </c:pt>
                <c:pt idx="682">
                  <c:v>2.5537439692003637E-2</c:v>
                </c:pt>
                <c:pt idx="683">
                  <c:v>2.5366509331203095E-2</c:v>
                </c:pt>
                <c:pt idx="684">
                  <c:v>2.5196257085806032E-2</c:v>
                </c:pt>
                <c:pt idx="685">
                  <c:v>2.5026696795118077E-2</c:v>
                </c:pt>
                <c:pt idx="686">
                  <c:v>2.4857842619025534E-2</c:v>
                </c:pt>
                <c:pt idx="687">
                  <c:v>2.4689709044993569E-2</c:v>
                </c:pt>
                <c:pt idx="688">
                  <c:v>2.45223108951289E-2</c:v>
                </c:pt>
                <c:pt idx="689">
                  <c:v>2.4355663333298982E-2</c:v>
                </c:pt>
                <c:pt idx="690">
                  <c:v>2.4189781872298415E-2</c:v>
                </c:pt>
                <c:pt idx="691">
                  <c:v>2.4024682381052938E-2</c:v>
                </c:pt>
                <c:pt idx="692">
                  <c:v>2.3860381091849722E-2</c:v>
                </c:pt>
                <c:pt idx="693">
                  <c:v>2.3696894607582026E-2</c:v>
                </c:pt>
                <c:pt idx="694">
                  <c:v>2.353423990899486E-2</c:v>
                </c:pt>
                <c:pt idx="695">
                  <c:v>2.3372434361917212E-2</c:v>
                </c:pt>
                <c:pt idx="696">
                  <c:v>2.3211495724464997E-2</c:v>
                </c:pt>
                <c:pt idx="697">
                  <c:v>2.3051442154197441E-2</c:v>
                </c:pt>
                <c:pt idx="698">
                  <c:v>2.2892292215208387E-2</c:v>
                </c:pt>
                <c:pt idx="699">
                  <c:v>2.2734064885132101E-2</c:v>
                </c:pt>
                <c:pt idx="700">
                  <c:v>2.25767795620418E-2</c:v>
                </c:pt>
                <c:pt idx="701">
                  <c:v>2.2420456071217332E-2</c:v>
                </c:pt>
                <c:pt idx="702">
                  <c:v>2.2265114671756573E-2</c:v>
                </c:pt>
                <c:pt idx="703">
                  <c:v>2.2110776063003292E-2</c:v>
                </c:pt>
                <c:pt idx="704">
                  <c:v>2.1957461390762257E-2</c:v>
                </c:pt>
                <c:pt idx="705">
                  <c:v>2.1805192253270243E-2</c:v>
                </c:pt>
                <c:pt idx="706">
                  <c:v>2.1653990706889666E-2</c:v>
                </c:pt>
                <c:pt idx="707">
                  <c:v>2.1503879271489071E-2</c:v>
                </c:pt>
                <c:pt idx="708">
                  <c:v>2.135488093547273E-2</c:v>
                </c:pt>
                <c:pt idx="709">
                  <c:v>2.1207019160419081E-2</c:v>
                </c:pt>
                <c:pt idx="710">
                  <c:v>2.1060317885285427E-2</c:v>
                </c:pt>
                <c:pt idx="711">
                  <c:v>2.0914801530133875E-2</c:v>
                </c:pt>
                <c:pt idx="712">
                  <c:v>2.0770494999330983E-2</c:v>
                </c:pt>
                <c:pt idx="713">
                  <c:v>2.0627423684171087E-2</c:v>
                </c:pt>
                <c:pt idx="714">
                  <c:v>2.0485613464870833E-2</c:v>
                </c:pt>
                <c:pt idx="715">
                  <c:v>2.0345090711879808E-2</c:v>
                </c:pt>
                <c:pt idx="716">
                  <c:v>2.0205882286449775E-2</c:v>
                </c:pt>
                <c:pt idx="717">
                  <c:v>2.006801554040253E-2</c:v>
                </c:pt>
                <c:pt idx="718">
                  <c:v>1.9931518315034008E-2</c:v>
                </c:pt>
                <c:pt idx="719">
                  <c:v>1.9796418939089983E-2</c:v>
                </c:pt>
                <c:pt idx="720">
                  <c:v>1.9662746225746573E-2</c:v>
                </c:pt>
                <c:pt idx="721">
                  <c:v>1.9530529468526642E-2</c:v>
                </c:pt>
                <c:pt idx="722">
                  <c:v>1.939979843608149E-2</c:v>
                </c:pt>
                <c:pt idx="723">
                  <c:v>1.9270583365765506E-2</c:v>
                </c:pt>
                <c:pt idx="724">
                  <c:v>1.9142914955930103E-2</c:v>
                </c:pt>
                <c:pt idx="725">
                  <c:v>1.9016824356862333E-2</c:v>
                </c:pt>
                <c:pt idx="726">
                  <c:v>1.8892343160292709E-2</c:v>
                </c:pt>
                <c:pt idx="727">
                  <c:v>1.8769503387396552E-2</c:v>
                </c:pt>
                <c:pt idx="728">
                  <c:v>1.8648337475213394E-2</c:v>
                </c:pt>
                <c:pt idx="729">
                  <c:v>1.8528878261409462E-2</c:v>
                </c:pt>
                <c:pt idx="730">
                  <c:v>1.8411158967309525E-2</c:v>
                </c:pt>
                <c:pt idx="731">
                  <c:v>1.8295213179126329E-2</c:v>
                </c:pt>
                <c:pt idx="732">
                  <c:v>2.7238172287468086E-2</c:v>
                </c:pt>
                <c:pt idx="733">
                  <c:v>2.7060571380365484E-2</c:v>
                </c:pt>
                <c:pt idx="734">
                  <c:v>2.6883519545599723E-2</c:v>
                </c:pt>
                <c:pt idx="735">
                  <c:v>2.6707027703249859E-2</c:v>
                </c:pt>
                <c:pt idx="736">
                  <c:v>2.6531107028964968E-2</c:v>
                </c:pt>
                <c:pt idx="737">
                  <c:v>2.6355768960122549E-2</c:v>
                </c:pt>
                <c:pt idx="738">
                  <c:v>2.6181025202101037E-2</c:v>
                </c:pt>
                <c:pt idx="739">
                  <c:v>2.6006887734664953E-2</c:v>
                </c:pt>
                <c:pt idx="740">
                  <c:v>2.5833368818460534E-2</c:v>
                </c:pt>
                <c:pt idx="741">
                  <c:v>2.5660481001619544E-2</c:v>
                </c:pt>
                <c:pt idx="742">
                  <c:v>2.5488237126468197E-2</c:v>
                </c:pt>
                <c:pt idx="743">
                  <c:v>2.5316650336337787E-2</c:v>
                </c:pt>
                <c:pt idx="744">
                  <c:v>2.5145734082472886E-2</c:v>
                </c:pt>
                <c:pt idx="745">
                  <c:v>2.4975502131032536E-2</c:v>
                </c:pt>
                <c:pt idx="746">
                  <c:v>2.4805968570179013E-2</c:v>
                </c:pt>
                <c:pt idx="747">
                  <c:v>2.4637147817248104E-2</c:v>
                </c:pt>
                <c:pt idx="748">
                  <c:v>2.4469054625994101E-2</c:v>
                </c:pt>
                <c:pt idx="749">
                  <c:v>2.4301704093901706E-2</c:v>
                </c:pt>
                <c:pt idx="750">
                  <c:v>2.4135111669556474E-2</c:v>
                </c:pt>
                <c:pt idx="751">
                  <c:v>2.3969293160063958E-2</c:v>
                </c:pt>
                <c:pt idx="752">
                  <c:v>2.3804264738507313E-2</c:v>
                </c:pt>
                <c:pt idx="753">
                  <c:v>2.364004295143142E-2</c:v>
                </c:pt>
                <c:pt idx="754">
                  <c:v>2.3476644726340857E-2</c:v>
                </c:pt>
                <c:pt idx="755">
                  <c:v>2.3314087379197573E-2</c:v>
                </c:pt>
                <c:pt idx="756">
                  <c:v>2.3152388621902859E-2</c:v>
                </c:pt>
                <c:pt idx="757">
                  <c:v>2.2991566569746838E-2</c:v>
                </c:pt>
                <c:pt idx="758">
                  <c:v>2.2831639748807132E-2</c:v>
                </c:pt>
                <c:pt idx="759">
                  <c:v>2.267262710327687E-2</c:v>
                </c:pt>
                <c:pt idx="760">
                  <c:v>2.2514548002700526E-2</c:v>
                </c:pt>
                <c:pt idx="761">
                  <c:v>2.2357422249094226E-2</c:v>
                </c:pt>
                <c:pt idx="762">
                  <c:v>2.2201270083925525E-2</c:v>
                </c:pt>
                <c:pt idx="763">
                  <c:v>2.2046112194925558E-2</c:v>
                </c:pt>
                <c:pt idx="764">
                  <c:v>2.1891969722704498E-2</c:v>
                </c:pt>
                <c:pt idx="765">
                  <c:v>2.1738864267139193E-2</c:v>
                </c:pt>
                <c:pt idx="766">
                  <c:v>2.1586817893499682E-2</c:v>
                </c:pt>
                <c:pt idx="767">
                  <c:v>2.1435853138278886E-2</c:v>
                </c:pt>
                <c:pt idx="768">
                  <c:v>2.1285993014687605E-2</c:v>
                </c:pt>
                <c:pt idx="769">
                  <c:v>2.1137261017774373E-2</c:v>
                </c:pt>
                <c:pt idx="770">
                  <c:v>2.0989681129127354E-2</c:v>
                </c:pt>
                <c:pt idx="771">
                  <c:v>2.0843277821112761E-2</c:v>
                </c:pt>
                <c:pt idx="772">
                  <c:v>2.0698076060601953E-2</c:v>
                </c:pt>
                <c:pt idx="773">
                  <c:v>2.055410131213627E-2</c:v>
                </c:pt>
                <c:pt idx="774">
                  <c:v>2.0411379540476591E-2</c:v>
                </c:pt>
                <c:pt idx="775">
                  <c:v>2.0269937212481357E-2</c:v>
                </c:pt>
                <c:pt idx="776">
                  <c:v>2.0129801298254601E-2</c:v>
                </c:pt>
                <c:pt idx="777">
                  <c:v>1.9990999271502528E-2</c:v>
                </c:pt>
                <c:pt idx="778">
                  <c:v>1.9853559109034902E-2</c:v>
                </c:pt>
                <c:pt idx="779">
                  <c:v>1.9717509289344751E-2</c:v>
                </c:pt>
                <c:pt idx="780">
                  <c:v>1.9582878790197739E-2</c:v>
                </c:pt>
                <c:pt idx="781">
                  <c:v>1.9449697085160023E-2</c:v>
                </c:pt>
                <c:pt idx="782">
                  <c:v>1.9317994138991604E-2</c:v>
                </c:pt>
                <c:pt idx="783">
                  <c:v>1.9187800401830109E-2</c:v>
                </c:pt>
                <c:pt idx="784">
                  <c:v>1.905914680208837E-2</c:v>
                </c:pt>
                <c:pt idx="785">
                  <c:v>1.8932064737987898E-2</c:v>
                </c:pt>
                <c:pt idx="786">
                  <c:v>1.8806586067649286E-2</c:v>
                </c:pt>
                <c:pt idx="787">
                  <c:v>1.8682743097659979E-2</c:v>
                </c:pt>
                <c:pt idx="788">
                  <c:v>1.8560568570039793E-2</c:v>
                </c:pt>
                <c:pt idx="789">
                  <c:v>1.8440095647524767E-2</c:v>
                </c:pt>
                <c:pt idx="790">
                  <c:v>1.8321357897091061E-2</c:v>
                </c:pt>
                <c:pt idx="791">
                  <c:v>1.8204389271641776E-2</c:v>
                </c:pt>
                <c:pt idx="792">
                  <c:v>1.8089224089782214E-2</c:v>
                </c:pt>
                <c:pt idx="793">
                  <c:v>2.7021121771832118E-2</c:v>
                </c:pt>
                <c:pt idx="794">
                  <c:v>2.6843503950583578E-2</c:v>
                </c:pt>
                <c:pt idx="795">
                  <c:v>2.6666439446212883E-2</c:v>
                </c:pt>
                <c:pt idx="796">
                  <c:v>2.648993935419269E-2</c:v>
                </c:pt>
                <c:pt idx="797">
                  <c:v>2.6314015031838087E-2</c:v>
                </c:pt>
                <c:pt idx="798">
                  <c:v>2.6138678104669352E-2</c:v>
                </c:pt>
                <c:pt idx="799">
                  <c:v>2.5963940472893684E-2</c:v>
                </c:pt>
                <c:pt idx="800">
                  <c:v>2.5789814318004284E-2</c:v>
                </c:pt>
                <c:pt idx="801">
                  <c:v>2.5616312109494537E-2</c:v>
                </c:pt>
                <c:pt idx="802">
                  <c:v>2.5443446611684916E-2</c:v>
                </c:pt>
                <c:pt idx="803">
                  <c:v>2.5271230890659246E-2</c:v>
                </c:pt>
                <c:pt idx="804">
                  <c:v>2.5099678321306943E-2</c:v>
                </c:pt>
                <c:pt idx="805">
                  <c:v>2.4928802594466653E-2</c:v>
                </c:pt>
                <c:pt idx="806">
                  <c:v>2.4758617724166567E-2</c:v>
                </c:pt>
                <c:pt idx="807">
                  <c:v>2.4589138054955658E-2</c:v>
                </c:pt>
                <c:pt idx="808">
                  <c:v>2.4420378269319414E-2</c:v>
                </c:pt>
                <c:pt idx="809">
                  <c:v>2.4252353395172878E-2</c:v>
                </c:pt>
                <c:pt idx="810">
                  <c:v>2.4085078813422731E-2</c:v>
                </c:pt>
                <c:pt idx="811">
                  <c:v>2.3918570265589495E-2</c:v>
                </c:pt>
                <c:pt idx="812">
                  <c:v>2.3752843861479515E-2</c:v>
                </c:pt>
                <c:pt idx="813">
                  <c:v>2.3587916086895724E-2</c:v>
                </c:pt>
                <c:pt idx="814">
                  <c:v>2.3423803811374641E-2</c:v>
                </c:pt>
                <c:pt idx="815">
                  <c:v>2.326052429593602E-2</c:v>
                </c:pt>
                <c:pt idx="816">
                  <c:v>2.309809520083024E-2</c:v>
                </c:pt>
                <c:pt idx="817">
                  <c:v>2.2936534593266909E-2</c:v>
                </c:pt>
                <c:pt idx="818">
                  <c:v>2.277586095510702E-2</c:v>
                </c:pt>
                <c:pt idx="819">
                  <c:v>2.2616093190498954E-2</c:v>
                </c:pt>
                <c:pt idx="820">
                  <c:v>2.2457250633437377E-2</c:v>
                </c:pt>
                <c:pt idx="821">
                  <c:v>2.2299353055222033E-2</c:v>
                </c:pt>
                <c:pt idx="822">
                  <c:v>2.214242067179157E-2</c:v>
                </c:pt>
                <c:pt idx="823">
                  <c:v>2.1986474150905846E-2</c:v>
                </c:pt>
                <c:pt idx="824">
                  <c:v>2.1831534619147715E-2</c:v>
                </c:pt>
                <c:pt idx="825">
                  <c:v>2.1677623668713449E-2</c:v>
                </c:pt>
                <c:pt idx="826">
                  <c:v>2.1524763363958543E-2</c:v>
                </c:pt>
                <c:pt idx="827">
                  <c:v>2.1372976247663402E-2</c:v>
                </c:pt>
                <c:pt idx="828">
                  <c:v>2.1222285346980941E-2</c:v>
                </c:pt>
                <c:pt idx="829">
                  <c:v>2.1072714179025585E-2</c:v>
                </c:pt>
                <c:pt idx="830">
                  <c:v>2.0924286756060669E-2</c:v>
                </c:pt>
                <c:pt idx="831">
                  <c:v>2.07770275902385E-2</c:v>
                </c:pt>
                <c:pt idx="832">
                  <c:v>2.0630961697844664E-2</c:v>
                </c:pt>
                <c:pt idx="833">
                  <c:v>2.0486114602995396E-2</c:v>
                </c:pt>
                <c:pt idx="834">
                  <c:v>2.0342512340733997E-2</c:v>
                </c:pt>
                <c:pt idx="835">
                  <c:v>2.0200181459469481E-2</c:v>
                </c:pt>
                <c:pt idx="836">
                  <c:v>2.0059149022697849E-2</c:v>
                </c:pt>
                <c:pt idx="837">
                  <c:v>1.9919442609943466E-2</c:v>
                </c:pt>
                <c:pt idx="838">
                  <c:v>1.9781090316855359E-2</c:v>
                </c:pt>
                <c:pt idx="839">
                  <c:v>1.9644120754390412E-2</c:v>
                </c:pt>
                <c:pt idx="840">
                  <c:v>1.9508563047013008E-2</c:v>
                </c:pt>
                <c:pt idx="841">
                  <c:v>1.9374446829837917E-2</c:v>
                </c:pt>
                <c:pt idx="842">
                  <c:v>1.9241802244641164E-2</c:v>
                </c:pt>
                <c:pt idx="843">
                  <c:v>1.9110659934661198E-2</c:v>
                </c:pt>
                <c:pt idx="844">
                  <c:v>1.8981051038111079E-2</c:v>
                </c:pt>
                <c:pt idx="845">
                  <c:v>1.885300718032051E-2</c:v>
                </c:pt>
                <c:pt idx="846">
                  <c:v>1.8726560464425428E-2</c:v>
                </c:pt>
                <c:pt idx="847">
                  <c:v>1.8601743460521979E-2</c:v>
                </c:pt>
                <c:pt idx="848">
                  <c:v>1.8478589193201111E-2</c:v>
                </c:pt>
                <c:pt idx="849">
                  <c:v>1.8357131127380216E-2</c:v>
                </c:pt>
                <c:pt idx="850">
                  <c:v>1.8237403152348741E-2</c:v>
                </c:pt>
                <c:pt idx="851">
                  <c:v>1.8119439563946071E-2</c:v>
                </c:pt>
                <c:pt idx="852">
                  <c:v>1.8003275044791565E-2</c:v>
                </c:pt>
                <c:pt idx="853">
                  <c:v>1.7888944642489704E-2</c:v>
                </c:pt>
                <c:pt idx="854">
                  <c:v>2.6807706418222152E-2</c:v>
                </c:pt>
                <c:pt idx="855">
                  <c:v>2.6630095655276211E-2</c:v>
                </c:pt>
                <c:pt idx="856">
                  <c:v>2.6453042767694203E-2</c:v>
                </c:pt>
                <c:pt idx="857">
                  <c:v>2.6276559032462409E-2</c:v>
                </c:pt>
                <c:pt idx="858">
                  <c:v>2.6100655994825715E-2</c:v>
                </c:pt>
                <c:pt idx="859">
                  <c:v>2.5925345474857357E-2</c:v>
                </c:pt>
                <c:pt idx="860">
                  <c:v>2.5750639574152488E-2</c:v>
                </c:pt>
                <c:pt idx="861">
                  <c:v>2.5576550682643574E-2</c:v>
                </c:pt>
                <c:pt idx="862">
                  <c:v>2.5403091485535545E-2</c:v>
                </c:pt>
                <c:pt idx="863">
                  <c:v>2.5230274970357888E-2</c:v>
                </c:pt>
                <c:pt idx="864">
                  <c:v>2.5058114434130366E-2</c:v>
                </c:pt>
                <c:pt idx="865">
                  <c:v>2.4886623490638575E-2</c:v>
                </c:pt>
                <c:pt idx="866">
                  <c:v>2.4715816077814642E-2</c:v>
                </c:pt>
                <c:pt idx="867">
                  <c:v>2.4545706465217976E-2</c:v>
                </c:pt>
                <c:pt idx="868">
                  <c:v>2.4376309261609976E-2</c:v>
                </c:pt>
                <c:pt idx="869">
                  <c:v>2.420763942261589E-2</c:v>
                </c:pt>
                <c:pt idx="870">
                  <c:v>2.4039712258466156E-2</c:v>
                </c:pt>
                <c:pt idx="871">
                  <c:v>2.3872543441808506E-2</c:v>
                </c:pt>
                <c:pt idx="872">
                  <c:v>2.3706149015581313E-2</c:v>
                </c:pt>
                <c:pt idx="873">
                  <c:v>2.3540545400937193E-2</c:v>
                </c:pt>
                <c:pt idx="874">
                  <c:v>2.3375749405205169E-2</c:v>
                </c:pt>
                <c:pt idx="875">
                  <c:v>2.3211778229878036E-2</c:v>
                </c:pt>
                <c:pt idx="876">
                  <c:v>2.3048649478610593E-2</c:v>
                </c:pt>
                <c:pt idx="877">
                  <c:v>2.2886381165212608E-2</c:v>
                </c:pt>
                <c:pt idx="878">
                  <c:v>2.2724991721619316E-2</c:v>
                </c:pt>
                <c:pt idx="879">
                  <c:v>2.2564500005820217E-2</c:v>
                </c:pt>
                <c:pt idx="880">
                  <c:v>2.2404925309725553E-2</c:v>
                </c:pt>
                <c:pt idx="881">
                  <c:v>2.2246287366947917E-2</c:v>
                </c:pt>
                <c:pt idx="882">
                  <c:v>2.2088606360474588E-2</c:v>
                </c:pt>
                <c:pt idx="883">
                  <c:v>2.1931902930204115E-2</c:v>
                </c:pt>
                <c:pt idx="884">
                  <c:v>2.1776198180318798E-2</c:v>
                </c:pt>
                <c:pt idx="885">
                  <c:v>2.1621513686462136E-2</c:v>
                </c:pt>
                <c:pt idx="886">
                  <c:v>2.1467871502688498E-2</c:v>
                </c:pt>
                <c:pt idx="887">
                  <c:v>2.1315294168149458E-2</c:v>
                </c:pt>
                <c:pt idx="888">
                  <c:v>2.1163804713478951E-2</c:v>
                </c:pt>
                <c:pt idx="889">
                  <c:v>2.1013426666836785E-2</c:v>
                </c:pt>
                <c:pt idx="890">
                  <c:v>2.0864184059567401E-2</c:v>
                </c:pt>
                <c:pt idx="891">
                  <c:v>2.0716101431427963E-2</c:v>
                </c:pt>
                <c:pt idx="892">
                  <c:v>2.0569203835337016E-2</c:v>
                </c:pt>
                <c:pt idx="893">
                  <c:v>2.0423516841592194E-2</c:v>
                </c:pt>
                <c:pt idx="894">
                  <c:v>2.0279066541502425E-2</c:v>
                </c:pt>
                <c:pt idx="895">
                  <c:v>2.0135879550377035E-2</c:v>
                </c:pt>
                <c:pt idx="896">
                  <c:v>1.9993983009811398E-2</c:v>
                </c:pt>
                <c:pt idx="897">
                  <c:v>1.9853404589205544E-2</c:v>
                </c:pt>
                <c:pt idx="898">
                  <c:v>1.9714172486449296E-2</c:v>
                </c:pt>
                <c:pt idx="899">
                  <c:v>1.9576315427704653E-2</c:v>
                </c:pt>
                <c:pt idx="900">
                  <c:v>1.9439862666213097E-2</c:v>
                </c:pt>
                <c:pt idx="901">
                  <c:v>1.9304843980053048E-2</c:v>
                </c:pt>
                <c:pt idx="902">
                  <c:v>1.9171289668769832E-2</c:v>
                </c:pt>
                <c:pt idx="903">
                  <c:v>1.9039230548798376E-2</c:v>
                </c:pt>
                <c:pt idx="904">
                  <c:v>1.8908697947596489E-2</c:v>
                </c:pt>
                <c:pt idx="905">
                  <c:v>1.87797236964048E-2</c:v>
                </c:pt>
                <c:pt idx="906">
                  <c:v>1.865234012154781E-2</c:v>
                </c:pt>
                <c:pt idx="907">
                  <c:v>1.8526580034189319E-2</c:v>
                </c:pt>
                <c:pt idx="908">
                  <c:v>1.8402476718454731E-2</c:v>
                </c:pt>
                <c:pt idx="909">
                  <c:v>1.8280063917832462E-2</c:v>
                </c:pt>
                <c:pt idx="910">
                  <c:v>1.8159375819766999E-2</c:v>
                </c:pt>
                <c:pt idx="911">
                  <c:v>1.8040447038356944E-2</c:v>
                </c:pt>
                <c:pt idx="912">
                  <c:v>1.7923312595073255E-2</c:v>
                </c:pt>
                <c:pt idx="913">
                  <c:v>1.7808007897414789E-2</c:v>
                </c:pt>
                <c:pt idx="914">
                  <c:v>1.7694568715421945E-2</c:v>
                </c:pt>
                <c:pt idx="915">
                  <c:v>2.6598013729487828E-2</c:v>
                </c:pt>
                <c:pt idx="916">
                  <c:v>2.6420435163417539E-2</c:v>
                </c:pt>
                <c:pt idx="917">
                  <c:v>2.6243419364697936E-2</c:v>
                </c:pt>
                <c:pt idx="918">
                  <c:v>2.606697779826387E-2</c:v>
                </c:pt>
                <c:pt idx="919">
                  <c:v>2.5891122203869153E-2</c:v>
                </c:pt>
                <c:pt idx="920">
                  <c:v>2.5715864602865623E-2</c:v>
                </c:pt>
                <c:pt idx="921">
                  <c:v>2.5541217305110456E-2</c:v>
                </c:pt>
                <c:pt idx="922">
                  <c:v>2.5367192915999915E-2</c:v>
                </c:pt>
                <c:pt idx="923">
                  <c:v>2.5193804343627123E-2</c:v>
                </c:pt>
                <c:pt idx="924">
                  <c:v>2.5021064806060894E-2</c:v>
                </c:pt>
                <c:pt idx="925">
                  <c:v>2.4848987838742235E-2</c:v>
                </c:pt>
                <c:pt idx="926">
                  <c:v>2.4677587301994208E-2</c:v>
                </c:pt>
                <c:pt idx="927">
                  <c:v>2.4506877388640477E-2</c:v>
                </c:pt>
                <c:pt idx="928">
                  <c:v>2.4336872631726868E-2</c:v>
                </c:pt>
                <c:pt idx="929">
                  <c:v>2.4167587912339542E-2</c:v>
                </c:pt>
                <c:pt idx="930">
                  <c:v>2.3999038467512616E-2</c:v>
                </c:pt>
                <c:pt idx="931">
                  <c:v>2.3831239898216932E-2</c:v>
                </c:pt>
                <c:pt idx="932">
                  <c:v>2.3664208177420772E-2</c:v>
                </c:pt>
                <c:pt idx="933">
                  <c:v>2.3497959658212369E-2</c:v>
                </c:pt>
                <c:pt idx="934">
                  <c:v>2.3332511081972505E-2</c:v>
                </c:pt>
                <c:pt idx="935">
                  <c:v>2.3167879586584731E-2</c:v>
                </c:pt>
                <c:pt idx="936">
                  <c:v>2.3004082714669045E-2</c:v>
                </c:pt>
                <c:pt idx="937">
                  <c:v>2.2841138421823611E-2</c:v>
                </c:pt>
                <c:pt idx="938">
                  <c:v>2.2679065084857539E-2</c:v>
                </c:pt>
                <c:pt idx="939">
                  <c:v>2.2517881509996181E-2</c:v>
                </c:pt>
                <c:pt idx="940">
                  <c:v>2.2357606941038593E-2</c:v>
                </c:pt>
                <c:pt idx="941">
                  <c:v>2.2198261067445175E-2</c:v>
                </c:pt>
                <c:pt idx="942">
                  <c:v>2.2039864032331359E-2</c:v>
                </c:pt>
                <c:pt idx="943">
                  <c:v>2.1882436440341387E-2</c:v>
                </c:pt>
                <c:pt idx="944">
                  <c:v>2.1725999365374053E-2</c:v>
                </c:pt>
                <c:pt idx="945">
                  <c:v>2.1570574358129934E-2</c:v>
                </c:pt>
                <c:pt idx="946">
                  <c:v>2.1416183453447479E-2</c:v>
                </c:pt>
                <c:pt idx="947">
                  <c:v>2.1262849177392674E-2</c:v>
                </c:pt>
                <c:pt idx="948">
                  <c:v>2.1110594554064679E-2</c:v>
                </c:pt>
                <c:pt idx="949">
                  <c:v>2.0959443112076905E-2</c:v>
                </c:pt>
                <c:pt idx="950">
                  <c:v>2.0809418890670558E-2</c:v>
                </c:pt>
                <c:pt idx="951">
                  <c:v>2.0660546445414537E-2</c:v>
                </c:pt>
                <c:pt idx="952">
                  <c:v>2.0512850853442868E-2</c:v>
                </c:pt>
                <c:pt idx="953">
                  <c:v>2.0366357718177748E-2</c:v>
                </c:pt>
                <c:pt idx="954">
                  <c:v>2.0221093173483248E-2</c:v>
                </c:pt>
                <c:pt idx="955">
                  <c:v>2.0077083887191614E-2</c:v>
                </c:pt>
                <c:pt idx="956">
                  <c:v>1.9934357063940974E-2</c:v>
                </c:pt>
                <c:pt idx="957">
                  <c:v>1.9792940447260068E-2</c:v>
                </c:pt>
                <c:pt idx="958">
                  <c:v>1.9652862320832548E-2</c:v>
                </c:pt>
                <c:pt idx="959">
                  <c:v>1.9514151508870217E-2</c:v>
                </c:pt>
                <c:pt idx="960">
                  <c:v>1.9376837375521573E-2</c:v>
                </c:pt>
                <c:pt idx="961">
                  <c:v>1.9240949823239071E-2</c:v>
                </c:pt>
                <c:pt idx="962">
                  <c:v>1.9106519290025683E-2</c:v>
                </c:pt>
                <c:pt idx="963">
                  <c:v>1.8973576745478685E-2</c:v>
                </c:pt>
                <c:pt idx="964">
                  <c:v>1.8842153685546169E-2</c:v>
                </c:pt>
                <c:pt idx="965">
                  <c:v>1.8712282125909675E-2</c:v>
                </c:pt>
                <c:pt idx="966">
                  <c:v>1.8583994593904252E-2</c:v>
                </c:pt>
                <c:pt idx="967">
                  <c:v>1.845732411888603E-2</c:v>
                </c:pt>
                <c:pt idx="968">
                  <c:v>1.8332304220956167E-2</c:v>
                </c:pt>
                <c:pt idx="969">
                  <c:v>1.8208968897949405E-2</c:v>
                </c:pt>
                <c:pt idx="970">
                  <c:v>1.8087352610595506E-2</c:v>
                </c:pt>
                <c:pt idx="971">
                  <c:v>1.7967490265762477E-2</c:v>
                </c:pt>
                <c:pt idx="972">
                  <c:v>1.7849417197691581E-2</c:v>
                </c:pt>
                <c:pt idx="973">
                  <c:v>1.773316914713648E-2</c:v>
                </c:pt>
                <c:pt idx="974">
                  <c:v>1.7618782238321251E-2</c:v>
                </c:pt>
                <c:pt idx="975">
                  <c:v>1.7506292953636451E-2</c:v>
                </c:pt>
                <c:pt idx="976">
                  <c:v>2.6392132438540862E-2</c:v>
                </c:pt>
                <c:pt idx="977">
                  <c:v>2.6214612398251541E-2</c:v>
                </c:pt>
                <c:pt idx="978">
                  <c:v>2.6037660370785455E-2</c:v>
                </c:pt>
                <c:pt idx="979">
                  <c:v>2.5861288015775738E-2</c:v>
                </c:pt>
                <c:pt idx="980">
                  <c:v>2.5685507274378787E-2</c:v>
                </c:pt>
                <c:pt idx="981">
                  <c:v>2.5510330376264274E-2</c:v>
                </c:pt>
                <c:pt idx="982">
                  <c:v>2.5335769846737705E-2</c:v>
                </c:pt>
                <c:pt idx="983">
                  <c:v>2.5161838513993798E-2</c:v>
                </c:pt>
                <c:pt idx="984">
                  <c:v>2.498854951649785E-2</c:v>
                </c:pt>
                <c:pt idx="985">
                  <c:v>2.4815916310492243E-2</c:v>
                </c:pt>
                <c:pt idx="986">
                  <c:v>2.4643952677623988E-2</c:v>
                </c:pt>
                <c:pt idx="987">
                  <c:v>2.4472672732689257E-2</c:v>
                </c:pt>
                <c:pt idx="988">
                  <c:v>2.4302090931489405E-2</c:v>
                </c:pt>
                <c:pt idx="989">
                  <c:v>2.4132222078792773E-2</c:v>
                </c:pt>
                <c:pt idx="990">
                  <c:v>2.3963081336395214E-2</c:v>
                </c:pt>
                <c:pt idx="991">
                  <c:v>2.379468423127187E-2</c:v>
                </c:pt>
                <c:pt idx="992">
                  <c:v>2.3627046663811144E-2</c:v>
                </c:pt>
                <c:pt idx="993">
                  <c:v>2.346018491612132E-2</c:v>
                </c:pt>
                <c:pt idx="994">
                  <c:v>2.3294115660398653E-2</c:v>
                </c:pt>
                <c:pt idx="995">
                  <c:v>2.3128855967344746E-2</c:v>
                </c:pt>
                <c:pt idx="996">
                  <c:v>2.2964423314619807E-2</c:v>
                </c:pt>
                <c:pt idx="997">
                  <c:v>2.2800835595316558E-2</c:v>
                </c:pt>
                <c:pt idx="998">
                  <c:v>2.2638111126438567E-2</c:v>
                </c:pt>
                <c:pt idx="999">
                  <c:v>2.2476268657364691E-2</c:v>
                </c:pt>
                <c:pt idx="1000">
                  <c:v>2.2315327378280004E-2</c:v>
                </c:pt>
                <c:pt idx="1001">
                  <c:v>2.2155306928551399E-2</c:v>
                </c:pt>
                <c:pt idx="1002">
                  <c:v>2.1996227405024441E-2</c:v>
                </c:pt>
                <c:pt idx="1003">
                  <c:v>2.1838109370215745E-2</c:v>
                </c:pt>
                <c:pt idx="1004">
                  <c:v>2.1680973860373227E-2</c:v>
                </c:pt>
                <c:pt idx="1005">
                  <c:v>2.1524842393374113E-2</c:v>
                </c:pt>
                <c:pt idx="1006">
                  <c:v>2.1369736976428369E-2</c:v>
                </c:pt>
                <c:pt idx="1007">
                  <c:v>2.1215680113552571E-2</c:v>
                </c:pt>
                <c:pt idx="1008">
                  <c:v>2.1062694812776839E-2</c:v>
                </c:pt>
                <c:pt idx="1009">
                  <c:v>2.0910804593044438E-2</c:v>
                </c:pt>
                <c:pt idx="1010">
                  <c:v>2.0760033490761196E-2</c:v>
                </c:pt>
                <c:pt idx="1011">
                  <c:v>2.0610406065948588E-2</c:v>
                </c:pt>
                <c:pt idx="1012">
                  <c:v>2.0461947407951677E-2</c:v>
                </c:pt>
                <c:pt idx="1013">
                  <c:v>2.0314683140649673E-2</c:v>
                </c:pt>
                <c:pt idx="1014">
                  <c:v>2.0168639427114016E-2</c:v>
                </c:pt>
                <c:pt idx="1015">
                  <c:v>2.0023842973655327E-2</c:v>
                </c:pt>
                <c:pt idx="1016">
                  <c:v>1.9880321033197614E-2</c:v>
                </c:pt>
                <c:pt idx="1017">
                  <c:v>1.9738101407914564E-2</c:v>
                </c:pt>
                <c:pt idx="1018">
                  <c:v>1.9597212451059574E-2</c:v>
                </c:pt>
                <c:pt idx="1019">
                  <c:v>1.9457683067917824E-2</c:v>
                </c:pt>
                <c:pt idx="1020">
                  <c:v>1.9319542715805497E-2</c:v>
                </c:pt>
                <c:pt idx="1021">
                  <c:v>1.9182821403038099E-2</c:v>
                </c:pt>
                <c:pt idx="1022">
                  <c:v>1.9047549686786638E-2</c:v>
                </c:pt>
                <c:pt idx="1023">
                  <c:v>1.8913758669737778E-2</c:v>
                </c:pt>
                <c:pt idx="1024">
                  <c:v>1.8781479995471126E-2</c:v>
                </c:pt>
                <c:pt idx="1025">
                  <c:v>1.8650745842464563E-2</c:v>
                </c:pt>
                <c:pt idx="1026">
                  <c:v>1.8521588916636231E-2</c:v>
                </c:pt>
                <c:pt idx="1027">
                  <c:v>1.8394042442330099E-2</c:v>
                </c:pt>
                <c:pt idx="1028">
                  <c:v>1.8268140151650517E-2</c:v>
                </c:pt>
                <c:pt idx="1029">
                  <c:v>1.8143916272050437E-2</c:v>
                </c:pt>
                <c:pt idx="1030">
                  <c:v>1.8021405512077388E-2</c:v>
                </c:pt>
                <c:pt idx="1031">
                  <c:v>1.790064304518181E-2</c:v>
                </c:pt>
                <c:pt idx="1032">
                  <c:v>1.778166449149304E-2</c:v>
                </c:pt>
                <c:pt idx="1033">
                  <c:v>1.7664505897470175E-2</c:v>
                </c:pt>
                <c:pt idx="1034">
                  <c:v>1.7549203713337506E-2</c:v>
                </c:pt>
                <c:pt idx="1035">
                  <c:v>1.7435794768217633E-2</c:v>
                </c:pt>
                <c:pt idx="1036">
                  <c:v>1.7324316242880052E-2</c:v>
                </c:pt>
                <c:pt idx="1037">
                  <c:v>2.6190152429948994E-2</c:v>
                </c:pt>
                <c:pt idx="1038">
                  <c:v>2.601271845670499E-2</c:v>
                </c:pt>
                <c:pt idx="1039">
                  <c:v>2.5835858115579678E-2</c:v>
                </c:pt>
                <c:pt idx="1040">
                  <c:v>2.5659583267965472E-2</c:v>
                </c:pt>
                <c:pt idx="1041">
                  <c:v>2.548390606362512E-2</c:v>
                </c:pt>
                <c:pt idx="1042">
                  <c:v>2.5308838947893486E-2</c:v>
                </c:pt>
                <c:pt idx="1043">
                  <c:v>2.5134394669016354E-2</c:v>
                </c:pt>
                <c:pt idx="1044">
                  <c:v>2.4960586285623795E-2</c:v>
                </c:pt>
                <c:pt idx="1045">
                  <c:v>2.4787427174335581E-2</c:v>
                </c:pt>
                <c:pt idx="1046">
                  <c:v>2.4614931037495E-2</c:v>
                </c:pt>
                <c:pt idx="1047">
                  <c:v>2.4443111911027326E-2</c:v>
                </c:pt>
                <c:pt idx="1048">
                  <c:v>2.4271984172417847E-2</c:v>
                </c:pt>
                <c:pt idx="1049">
                  <c:v>2.4101562548804294E-2</c:v>
                </c:pt>
                <c:pt idx="1050">
                  <c:v>2.393186212517685E-2</c:v>
                </c:pt>
                <c:pt idx="1051">
                  <c:v>2.3762898352678891E-2</c:v>
                </c:pt>
                <c:pt idx="1052">
                  <c:v>2.3594687056999707E-2</c:v>
                </c:pt>
                <c:pt idx="1053">
                  <c:v>2.3427244446850258E-2</c:v>
                </c:pt>
                <c:pt idx="1054">
                  <c:v>2.3260587122511084E-2</c:v>
                </c:pt>
                <c:pt idx="1055">
                  <c:v>2.3094732084440971E-2</c:v>
                </c:pt>
                <c:pt idx="1056">
                  <c:v>2.292969674193298E-2</c:v>
                </c:pt>
                <c:pt idx="1057">
                  <c:v>2.2765498921803622E-2</c:v>
                </c:pt>
                <c:pt idx="1058">
                  <c:v>2.2602156877099103E-2</c:v>
                </c:pt>
                <c:pt idx="1059">
                  <c:v>2.2439689295800876E-2</c:v>
                </c:pt>
                <c:pt idx="1060">
                  <c:v>2.2278115309511452E-2</c:v>
                </c:pt>
                <c:pt idx="1061">
                  <c:v>2.2117454502099069E-2</c:v>
                </c:pt>
                <c:pt idx="1062">
                  <c:v>2.195772691827828E-2</c:v>
                </c:pt>
                <c:pt idx="1063">
                  <c:v>2.1798953072101154E-2</c:v>
                </c:pt>
                <c:pt idx="1064">
                  <c:v>2.1641153955331966E-2</c:v>
                </c:pt>
                <c:pt idx="1065">
                  <c:v>2.1484351045675497E-2</c:v>
                </c:pt>
                <c:pt idx="1066">
                  <c:v>2.1328566314827206E-2</c:v>
                </c:pt>
                <c:pt idx="1067">
                  <c:v>2.1173822236310362E-2</c:v>
                </c:pt>
                <c:pt idx="1068">
                  <c:v>2.1020141793063312E-2</c:v>
                </c:pt>
                <c:pt idx="1069">
                  <c:v>2.0867548484736494E-2</c:v>
                </c:pt>
                <c:pt idx="1070">
                  <c:v>2.0716066334656679E-2</c:v>
                </c:pt>
                <c:pt idx="1071">
                  <c:v>2.0565719896412305E-2</c:v>
                </c:pt>
                <c:pt idx="1072">
                  <c:v>2.0416534260011138E-2</c:v>
                </c:pt>
                <c:pt idx="1073">
                  <c:v>2.0268535057557897E-2</c:v>
                </c:pt>
                <c:pt idx="1074">
                  <c:v>2.0121748468396698E-2</c:v>
                </c:pt>
                <c:pt idx="1075">
                  <c:v>1.9976201223659163E-2</c:v>
                </c:pt>
                <c:pt idx="1076">
                  <c:v>1.9831920610156369E-2</c:v>
                </c:pt>
                <c:pt idx="1077">
                  <c:v>1.9688934473548685E-2</c:v>
                </c:pt>
                <c:pt idx="1078">
                  <c:v>1.9547271220724614E-2</c:v>
                </c:pt>
                <c:pt idx="1079">
                  <c:v>1.9406959821315899E-2</c:v>
                </c:pt>
                <c:pt idx="1080">
                  <c:v>1.9268029808272986E-2</c:v>
                </c:pt>
                <c:pt idx="1081">
                  <c:v>1.9130511277421443E-2</c:v>
                </c:pt>
                <c:pt idx="1082">
                  <c:v>1.8994434885916654E-2</c:v>
                </c:pt>
                <c:pt idx="1083">
                  <c:v>1.8859831849511066E-2</c:v>
                </c:pt>
                <c:pt idx="1084">
                  <c:v>1.8726733938545254E-2</c:v>
                </c:pt>
                <c:pt idx="1085">
                  <c:v>1.8595173472571291E-2</c:v>
                </c:pt>
                <c:pt idx="1086">
                  <c:v>1.8465183313514693E-2</c:v>
                </c:pt>
                <c:pt idx="1087">
                  <c:v>1.8336796857278799E-2</c:v>
                </c:pt>
                <c:pt idx="1088">
                  <c:v>1.821004802369406E-2</c:v>
                </c:pt>
                <c:pt idx="1089">
                  <c:v>1.808497124471322E-2</c:v>
                </c:pt>
                <c:pt idx="1090">
                  <c:v>1.7961601450752939E-2</c:v>
                </c:pt>
                <c:pt idx="1091">
                  <c:v>1.783997405508209E-2</c:v>
                </c:pt>
                <c:pt idx="1092">
                  <c:v>1.7720124936157759E-2</c:v>
                </c:pt>
                <c:pt idx="1093">
                  <c:v>1.7602090417811283E-2</c:v>
                </c:pt>
                <c:pt idx="1094">
                  <c:v>1.7485907247188896E-2</c:v>
                </c:pt>
                <c:pt idx="1095">
                  <c:v>1.73716125703548E-2</c:v>
                </c:pt>
                <c:pt idx="1096">
                  <c:v>1.7259243905468475E-2</c:v>
                </c:pt>
                <c:pt idx="1097">
                  <c:v>1.7148839113453666E-2</c:v>
                </c:pt>
                <c:pt idx="1098">
                  <c:v>2.5992164652169112E-2</c:v>
                </c:pt>
                <c:pt idx="1099">
                  <c:v>2.5814845519120628E-2</c:v>
                </c:pt>
                <c:pt idx="1100">
                  <c:v>2.5638106031908463E-2</c:v>
                </c:pt>
                <c:pt idx="1101">
                  <c:v>2.546195826104948E-2</c:v>
                </c:pt>
                <c:pt idx="1102">
                  <c:v>2.5286414572418061E-2</c:v>
                </c:pt>
                <c:pt idx="1103">
                  <c:v>2.5111487634660225E-2</c:v>
                </c:pt>
                <c:pt idx="1104">
                  <c:v>2.4937190426748471E-2</c:v>
                </c:pt>
                <c:pt idx="1105">
                  <c:v>2.4763536245675098E-2</c:v>
                </c:pt>
                <c:pt idx="1106">
                  <c:v>2.4590538714280713E-2</c:v>
                </c:pt>
                <c:pt idx="1107">
                  <c:v>2.4418211789214602E-2</c:v>
                </c:pt>
                <c:pt idx="1108">
                  <c:v>2.4246569769022279E-2</c:v>
                </c:pt>
                <c:pt idx="1109">
                  <c:v>2.4075627302355337E-2</c:v>
                </c:pt>
                <c:pt idx="1110">
                  <c:v>2.3905399396297392E-2</c:v>
                </c:pt>
                <c:pt idx="1111">
                  <c:v>2.3735901424799519E-2</c:v>
                </c:pt>
                <c:pt idx="1112">
                  <c:v>2.3567149137217035E-2</c:v>
                </c:pt>
                <c:pt idx="1113">
                  <c:v>2.3399158666938983E-2</c:v>
                </c:pt>
                <c:pt idx="1114">
                  <c:v>2.3231946540100076E-2</c:v>
                </c:pt>
                <c:pt idx="1115">
                  <c:v>2.306552968436397E-2</c:v>
                </c:pt>
                <c:pt idx="1116">
                  <c:v>2.2899925437765277E-2</c:v>
                </c:pt>
                <c:pt idx="1117">
                  <c:v>2.2735151557596197E-2</c:v>
                </c:pt>
                <c:pt idx="1118">
                  <c:v>2.2571226229322471E-2</c:v>
                </c:pt>
                <c:pt idx="1119">
                  <c:v>2.2408168075511353E-2</c:v>
                </c:pt>
                <c:pt idx="1120">
                  <c:v>2.2245996164752965E-2</c:v>
                </c:pt>
                <c:pt idx="1121">
                  <c:v>2.2084730020554177E-2</c:v>
                </c:pt>
                <c:pt idx="1122">
                  <c:v>2.1924389630182554E-2</c:v>
                </c:pt>
                <c:pt idx="1123">
                  <c:v>2.1764995453435576E-2</c:v>
                </c:pt>
                <c:pt idx="1124">
                  <c:v>2.1606568431308405E-2</c:v>
                </c:pt>
                <c:pt idx="1125">
                  <c:v>2.1449129994530775E-2</c:v>
                </c:pt>
                <c:pt idx="1126">
                  <c:v>2.1292702071941762E-2</c:v>
                </c:pt>
                <c:pt idx="1127">
                  <c:v>2.1137307098667794E-2</c:v>
                </c:pt>
                <c:pt idx="1128">
                  <c:v>2.0982968024067447E-2</c:v>
                </c:pt>
                <c:pt idx="1129">
                  <c:v>2.0829708319403027E-2</c:v>
                </c:pt>
                <c:pt idx="1130">
                  <c:v>2.067755198519652E-2</c:v>
                </c:pt>
                <c:pt idx="1131">
                  <c:v>2.0526523558224059E-2</c:v>
                </c:pt>
                <c:pt idx="1132">
                  <c:v>2.037664811810019E-2</c:v>
                </c:pt>
                <c:pt idx="1133">
                  <c:v>2.0227951293399694E-2</c:v>
                </c:pt>
                <c:pt idx="1134">
                  <c:v>2.0080459267261572E-2</c:v>
                </c:pt>
                <c:pt idx="1135">
                  <c:v>1.9934198782416049E-2</c:v>
                </c:pt>
                <c:pt idx="1136">
                  <c:v>1.9789197145572378E-2</c:v>
                </c:pt>
                <c:pt idx="1137">
                  <c:v>1.9645482231101078E-2</c:v>
                </c:pt>
                <c:pt idx="1138">
                  <c:v>1.9503082483941163E-2</c:v>
                </c:pt>
                <c:pt idx="1139">
                  <c:v>1.9362026921658865E-2</c:v>
                </c:pt>
                <c:pt idx="1140">
                  <c:v>1.9222345135581111E-2</c:v>
                </c:pt>
                <c:pt idx="1141">
                  <c:v>1.9084067290923098E-2</c:v>
                </c:pt>
                <c:pt idx="1142">
                  <c:v>1.8947224125826161E-2</c:v>
                </c:pt>
                <c:pt idx="1143">
                  <c:v>1.8811846949218537E-2</c:v>
                </c:pt>
                <c:pt idx="1144">
                  <c:v>1.8677967637408591E-2</c:v>
                </c:pt>
                <c:pt idx="1145">
                  <c:v>1.8545618629316966E-2</c:v>
                </c:pt>
                <c:pt idx="1146">
                  <c:v>1.8414832920251551E-2</c:v>
                </c:pt>
                <c:pt idx="1147">
                  <c:v>1.8285644054126665E-2</c:v>
                </c:pt>
                <c:pt idx="1148">
                  <c:v>1.8158086114025935E-2</c:v>
                </c:pt>
                <c:pt idx="1149">
                  <c:v>1.8032193711006738E-2</c:v>
                </c:pt>
                <c:pt idx="1150">
                  <c:v>1.790800197104318E-2</c:v>
                </c:pt>
                <c:pt idx="1151">
                  <c:v>1.7785546520004039E-2</c:v>
                </c:pt>
                <c:pt idx="1152">
                  <c:v>1.7664863466562514E-2</c:v>
                </c:pt>
                <c:pt idx="1153">
                  <c:v>1.7545989382935587E-2</c:v>
                </c:pt>
                <c:pt idx="1154">
                  <c:v>1.7428961283352699E-2</c:v>
                </c:pt>
                <c:pt idx="1155">
                  <c:v>1.7313816600156424E-2</c:v>
                </c:pt>
                <c:pt idx="1156">
                  <c:v>1.7200593157441497E-2</c:v>
                </c:pt>
                <c:pt idx="1157">
                  <c:v>1.7089329142143651E-2</c:v>
                </c:pt>
                <c:pt idx="1158">
                  <c:v>1.6980063072496027E-2</c:v>
                </c:pt>
                <c:pt idx="1159">
                  <c:v>2.5798261020037769E-2</c:v>
                </c:pt>
                <c:pt idx="1160">
                  <c:v>2.5621086748913446E-2</c:v>
                </c:pt>
                <c:pt idx="1161">
                  <c:v>2.5444498552524519E-2</c:v>
                </c:pt>
                <c:pt idx="1162">
                  <c:v>2.5268508718169786E-2</c:v>
                </c:pt>
                <c:pt idx="1163">
                  <c:v>2.5093129835629283E-2</c:v>
                </c:pt>
                <c:pt idx="1164">
                  <c:v>2.4918374804790148E-2</c:v>
                </c:pt>
                <c:pt idx="1165">
                  <c:v>2.4744256843416784E-2</c:v>
                </c:pt>
                <c:pt idx="1166">
                  <c:v>2.4570789495062671E-2</c:v>
                </c:pt>
                <c:pt idx="1167">
                  <c:v>2.4397986637120526E-2</c:v>
                </c:pt>
                <c:pt idx="1168">
                  <c:v>2.4225862489006812E-2</c:v>
                </c:pt>
                <c:pt idx="1169">
                  <c:v>2.4054431620475863E-2</c:v>
                </c:pt>
                <c:pt idx="1170">
                  <c:v>2.388370896005804E-2</c:v>
                </c:pt>
                <c:pt idx="1171">
                  <c:v>2.3713709803615503E-2</c:v>
                </c:pt>
                <c:pt idx="1172">
                  <c:v>2.3544449823008167E-2</c:v>
                </c:pt>
                <c:pt idx="1173">
                  <c:v>2.3375945074861348E-2</c:v>
                </c:pt>
                <c:pt idx="1174">
                  <c:v>2.3208212009425588E-2</c:v>
                </c:pt>
                <c:pt idx="1175">
                  <c:v>2.3041267479517773E-2</c:v>
                </c:pt>
                <c:pt idx="1176">
                  <c:v>2.2875128749531584E-2</c:v>
                </c:pt>
                <c:pt idx="1177">
                  <c:v>2.2709813504503629E-2</c:v>
                </c:pt>
                <c:pt idx="1178">
                  <c:v>2.2545339859220363E-2</c:v>
                </c:pt>
                <c:pt idx="1179">
                  <c:v>2.2381726367349131E-2</c:v>
                </c:pt>
                <c:pt idx="1180">
                  <c:v>2.2218992030575063E-2</c:v>
                </c:pt>
                <c:pt idx="1181">
                  <c:v>2.2057156307723601E-2</c:v>
                </c:pt>
                <c:pt idx="1182">
                  <c:v>2.189623912384658E-2</c:v>
                </c:pt>
                <c:pt idx="1183">
                  <c:v>2.173626087924771E-2</c:v>
                </c:pt>
                <c:pt idx="1184">
                  <c:v>2.1577242458420975E-2</c:v>
                </c:pt>
                <c:pt idx="1185">
                  <c:v>2.1419205238873393E-2</c:v>
                </c:pt>
                <c:pt idx="1186">
                  <c:v>2.1262171099800786E-2</c:v>
                </c:pt>
                <c:pt idx="1187">
                  <c:v>2.1106162430582977E-2</c:v>
                </c:pt>
                <c:pt idx="1188">
                  <c:v>2.0951202139061771E-2</c:v>
                </c:pt>
                <c:pt idx="1189">
                  <c:v>2.0797313659562545E-2</c:v>
                </c:pt>
                <c:pt idx="1190">
                  <c:v>2.0644520960616961E-2</c:v>
                </c:pt>
                <c:pt idx="1191">
                  <c:v>2.04928485523415E-2</c:v>
                </c:pt>
                <c:pt idx="1192">
                  <c:v>2.0342321493423094E-2</c:v>
                </c:pt>
                <c:pt idx="1193">
                  <c:v>2.0192965397659822E-2</c:v>
                </c:pt>
                <c:pt idx="1194">
                  <c:v>2.0044806440001284E-2</c:v>
                </c:pt>
                <c:pt idx="1195">
                  <c:v>1.9897871362029477E-2</c:v>
                </c:pt>
                <c:pt idx="1196">
                  <c:v>1.9752187476817715E-2</c:v>
                </c:pt>
                <c:pt idx="1197">
                  <c:v>1.9607782673101062E-2</c:v>
                </c:pt>
                <c:pt idx="1198">
                  <c:v>1.9464685418688274E-2</c:v>
                </c:pt>
                <c:pt idx="1199">
                  <c:v>1.9322924763041319E-2</c:v>
                </c:pt>
                <c:pt idx="1200">
                  <c:v>1.9182530338944886E-2</c:v>
                </c:pt>
                <c:pt idx="1201">
                  <c:v>1.9043532363184418E-2</c:v>
                </c:pt>
                <c:pt idx="1202">
                  <c:v>1.8905961636147727E-2</c:v>
                </c:pt>
                <c:pt idx="1203">
                  <c:v>1.8769849540261452E-2</c:v>
                </c:pt>
                <c:pt idx="1204">
                  <c:v>1.8635228037170413E-2</c:v>
                </c:pt>
                <c:pt idx="1205">
                  <c:v>1.8502129663564609E-2</c:v>
                </c:pt>
                <c:pt idx="1206">
                  <c:v>1.8370587525555586E-2</c:v>
                </c:pt>
                <c:pt idx="1207">
                  <c:v>1.824063529150138E-2</c:v>
                </c:pt>
                <c:pt idx="1208">
                  <c:v>1.8112307183176815E-2</c:v>
                </c:pt>
                <c:pt idx="1209">
                  <c:v>1.7985637965184261E-2</c:v>
                </c:pt>
                <c:pt idx="1210">
                  <c:v>1.7860662932498397E-2</c:v>
                </c:pt>
                <c:pt idx="1211">
                  <c:v>1.773741789603811E-2</c:v>
                </c:pt>
                <c:pt idx="1212">
                  <c:v>1.7615939166158289E-2</c:v>
                </c:pt>
                <c:pt idx="1213">
                  <c:v>1.749626353395525E-2</c:v>
                </c:pt>
                <c:pt idx="1214">
                  <c:v>1.7378428250280888E-2</c:v>
                </c:pt>
                <c:pt idx="1215">
                  <c:v>1.7262471002363344E-2</c:v>
                </c:pt>
                <c:pt idx="1216">
                  <c:v>1.7148429887935378E-2</c:v>
                </c:pt>
                <c:pt idx="1217">
                  <c:v>1.703634338677645E-2</c:v>
                </c:pt>
                <c:pt idx="1218">
                  <c:v>1.6926250329580207E-2</c:v>
                </c:pt>
                <c:pt idx="1219">
                  <c:v>1.6818189864066593E-2</c:v>
                </c:pt>
                <c:pt idx="1220">
                  <c:v>2.5608534307171017E-2</c:v>
                </c:pt>
                <c:pt idx="1221">
                  <c:v>2.54315361817893E-2</c:v>
                </c:pt>
                <c:pt idx="1222">
                  <c:v>2.5255130996027081E-2</c:v>
                </c:pt>
                <c:pt idx="1223">
                  <c:v>2.5079331261898576E-2</c:v>
                </c:pt>
                <c:pt idx="1224">
                  <c:v>2.4904149801154112E-2</c:v>
                </c:pt>
                <c:pt idx="1225">
                  <c:v>2.4729599753116338E-2</c:v>
                </c:pt>
                <c:pt idx="1226">
                  <c:v>2.4555694582663812E-2</c:v>
                </c:pt>
                <c:pt idx="1227">
                  <c:v>2.4382448088359054E-2</c:v>
                </c:pt>
                <c:pt idx="1228">
                  <c:v>2.4209874410717397E-2</c:v>
                </c:pt>
                <c:pt idx="1229">
                  <c:v>2.4037988040612301E-2</c:v>
                </c:pt>
                <c:pt idx="1230">
                  <c:v>2.3866803827811901E-2</c:v>
                </c:pt>
                <c:pt idx="1231">
                  <c:v>2.3696336989640819E-2</c:v>
                </c:pt>
                <c:pt idx="1232">
                  <c:v>2.352660311976016E-2</c:v>
                </c:pt>
                <c:pt idx="1233">
                  <c:v>2.3357618197057745E-2</c:v>
                </c:pt>
                <c:pt idx="1234">
                  <c:v>2.31893985946394E-2</c:v>
                </c:pt>
                <c:pt idx="1235">
                  <c:v>2.3021961088910959E-2</c:v>
                </c:pt>
                <c:pt idx="1236">
                  <c:v>2.2855322868739418E-2</c:v>
                </c:pt>
                <c:pt idx="1237">
                  <c:v>2.2689501544680114E-2</c:v>
                </c:pt>
                <c:pt idx="1238">
                  <c:v>2.2524515158255588E-2</c:v>
                </c:pt>
                <c:pt idx="1239">
                  <c:v>2.2360382191269807E-2</c:v>
                </c:pt>
                <c:pt idx="1240">
                  <c:v>2.2197121575140148E-2</c:v>
                </c:pt>
                <c:pt idx="1241">
                  <c:v>2.2034752700227308E-2</c:v>
                </c:pt>
                <c:pt idx="1242">
                  <c:v>2.1873295425141645E-2</c:v>
                </c:pt>
                <c:pt idx="1243">
                  <c:v>2.1712770086002309E-2</c:v>
                </c:pt>
                <c:pt idx="1244">
                  <c:v>2.1553197505623067E-2</c:v>
                </c:pt>
                <c:pt idx="1245">
                  <c:v>2.1394599002596951E-2</c:v>
                </c:pt>
                <c:pt idx="1246">
                  <c:v>2.1236996400248655E-2</c:v>
                </c:pt>
                <c:pt idx="1247">
                  <c:v>2.1080412035421697E-2</c:v>
                </c:pt>
                <c:pt idx="1248">
                  <c:v>2.0924868767064123E-2</c:v>
                </c:pt>
                <c:pt idx="1249">
                  <c:v>2.0770389984573839E-2</c:v>
                </c:pt>
                <c:pt idx="1250">
                  <c:v>2.0616999615861685E-2</c:v>
                </c:pt>
                <c:pt idx="1251">
                  <c:v>2.0464722135087061E-2</c:v>
                </c:pt>
                <c:pt idx="1252">
                  <c:v>2.0313582570017769E-2</c:v>
                </c:pt>
                <c:pt idx="1253">
                  <c:v>2.0163606508962203E-2</c:v>
                </c:pt>
                <c:pt idx="1254">
                  <c:v>2.0014820107218608E-2</c:v>
                </c:pt>
                <c:pt idx="1255">
                  <c:v>1.9867250092982357E-2</c:v>
                </c:pt>
                <c:pt idx="1256">
                  <c:v>1.9720923772648651E-2</c:v>
                </c:pt>
                <c:pt idx="1257">
                  <c:v>1.9575869035444012E-2</c:v>
                </c:pt>
                <c:pt idx="1258">
                  <c:v>1.9432114357316312E-2</c:v>
                </c:pt>
                <c:pt idx="1259">
                  <c:v>1.9289688804008935E-2</c:v>
                </c:pt>
                <c:pt idx="1260">
                  <c:v>1.9148622033240997E-2</c:v>
                </c:pt>
                <c:pt idx="1261">
                  <c:v>1.900894429591142E-2</c:v>
                </c:pt>
                <c:pt idx="1262">
                  <c:v>1.8870686436241003E-2</c:v>
                </c:pt>
                <c:pt idx="1263">
                  <c:v>1.8733879890762695E-2</c:v>
                </c:pt>
                <c:pt idx="1264">
                  <c:v>1.8598556686066834E-2</c:v>
                </c:pt>
                <c:pt idx="1265">
                  <c:v>1.8464749435204528E-2</c:v>
                </c:pt>
                <c:pt idx="1266">
                  <c:v>1.8332491332649154E-2</c:v>
                </c:pt>
                <c:pt idx="1267">
                  <c:v>1.8201816147713195E-2</c:v>
                </c:pt>
                <c:pt idx="1268">
                  <c:v>1.8072758216314828E-2</c:v>
                </c:pt>
                <c:pt idx="1269">
                  <c:v>1.7945352430986789E-2</c:v>
                </c:pt>
                <c:pt idx="1270">
                  <c:v>1.7819634229018215E-2</c:v>
                </c:pt>
                <c:pt idx="1271">
                  <c:v>1.7695639578619301E-2</c:v>
                </c:pt>
                <c:pt idx="1272">
                  <c:v>1.7573404962998029E-2</c:v>
                </c:pt>
                <c:pt idx="1273">
                  <c:v>1.7452967362238888E-2</c:v>
                </c:pt>
                <c:pt idx="1274">
                  <c:v>1.7334364232874353E-2</c:v>
                </c:pt>
                <c:pt idx="1275">
                  <c:v>1.7217633485042527E-2</c:v>
                </c:pt>
                <c:pt idx="1276">
                  <c:v>1.7102813457127088E-2</c:v>
                </c:pt>
                <c:pt idx="1277">
                  <c:v>1.6989942887780485E-2</c:v>
                </c:pt>
                <c:pt idx="1278">
                  <c:v>1.6879060885236608E-2</c:v>
                </c:pt>
                <c:pt idx="1279">
                  <c:v>1.6770206893826085E-2</c:v>
                </c:pt>
                <c:pt idx="1280">
                  <c:v>1.6663420657616057E-2</c:v>
                </c:pt>
                <c:pt idx="1281">
                  <c:v>2.5423078027967699E-2</c:v>
                </c:pt>
                <c:pt idx="1282">
                  <c:v>2.5246288604208592E-2</c:v>
                </c:pt>
                <c:pt idx="1283">
                  <c:v>2.5070099441657136E-2</c:v>
                </c:pt>
                <c:pt idx="1284">
                  <c:v>2.4894523285230591E-2</c:v>
                </c:pt>
                <c:pt idx="1285">
                  <c:v>2.4719573196961244E-2</c:v>
                </c:pt>
                <c:pt idx="1286">
                  <c:v>2.4545262564040483E-2</c:v>
                </c:pt>
                <c:pt idx="1287">
                  <c:v>2.4371605107012868E-2</c:v>
                </c:pt>
                <c:pt idx="1288">
                  <c:v>2.4198614888116841E-2</c:v>
                </c:pt>
                <c:pt idx="1289">
                  <c:v>2.402630631976814E-2</c:v>
                </c:pt>
                <c:pt idx="1290">
                  <c:v>2.3854694173181028E-2</c:v>
                </c:pt>
                <c:pt idx="1291">
                  <c:v>2.3683793587121742E-2</c:v>
                </c:pt>
                <c:pt idx="1292">
                  <c:v>2.3513620076787558E-2</c:v>
                </c:pt>
                <c:pt idx="1293">
                  <c:v>2.3344189542803817E-2</c:v>
                </c:pt>
                <c:pt idx="1294">
                  <c:v>2.3175518280330241E-2</c:v>
                </c:pt>
                <c:pt idx="1295">
                  <c:v>2.3007622988266672E-2</c:v>
                </c:pt>
                <c:pt idx="1296">
                  <c:v>2.2840520778547039E-2</c:v>
                </c:pt>
                <c:pt idx="1297">
                  <c:v>2.2674229185508973E-2</c:v>
                </c:pt>
                <c:pt idx="1298">
                  <c:v>2.2508766175325129E-2</c:v>
                </c:pt>
                <c:pt idx="1299">
                  <c:v>2.2344150155480524E-2</c:v>
                </c:pt>
                <c:pt idx="1300">
                  <c:v>2.2180399984278596E-2</c:v>
                </c:pt>
                <c:pt idx="1301">
                  <c:v>2.201753498035685E-2</c:v>
                </c:pt>
                <c:pt idx="1302">
                  <c:v>2.1855574932190983E-2</c:v>
                </c:pt>
                <c:pt idx="1303">
                  <c:v>2.1694540107564352E-2</c:v>
                </c:pt>
                <c:pt idx="1304">
                  <c:v>2.1534451262977372E-2</c:v>
                </c:pt>
                <c:pt idx="1305">
                  <c:v>2.1375329652969167E-2</c:v>
                </c:pt>
                <c:pt idx="1306">
                  <c:v>2.1217197039321289E-2</c:v>
                </c:pt>
                <c:pt idx="1307">
                  <c:v>2.1060075700110654E-2</c:v>
                </c:pt>
                <c:pt idx="1308">
                  <c:v>2.0903988438576125E-2</c:v>
                </c:pt>
                <c:pt idx="1309">
                  <c:v>2.0748958591760295E-2</c:v>
                </c:pt>
                <c:pt idx="1310">
                  <c:v>2.0595010038884861E-2</c:v>
                </c:pt>
                <c:pt idx="1311">
                  <c:v>2.0442167209414931E-2</c:v>
                </c:pt>
                <c:pt idx="1312">
                  <c:v>2.0290455090764128E-2</c:v>
                </c:pt>
                <c:pt idx="1313">
                  <c:v>2.0139899235589002E-2</c:v>
                </c:pt>
                <c:pt idx="1314">
                  <c:v>1.9990525768617675E-2</c:v>
                </c:pt>
                <c:pt idx="1315">
                  <c:v>1.9842361392953759E-2</c:v>
                </c:pt>
                <c:pt idx="1316">
                  <c:v>1.9695433395793105E-2</c:v>
                </c:pt>
                <c:pt idx="1317">
                  <c:v>1.954976965348668E-2</c:v>
                </c:pt>
                <c:pt idx="1318">
                  <c:v>1.940539863587917E-2</c:v>
                </c:pt>
                <c:pt idx="1319">
                  <c:v>1.9262349409848722E-2</c:v>
                </c:pt>
                <c:pt idx="1320">
                  <c:v>1.912065164196931E-2</c:v>
                </c:pt>
                <c:pt idx="1321">
                  <c:v>1.8980335600213026E-2</c:v>
                </c:pt>
                <c:pt idx="1322">
                  <c:v>1.8841432154605708E-2</c:v>
                </c:pt>
                <c:pt idx="1323">
                  <c:v>1.8703972776745372E-2</c:v>
                </c:pt>
                <c:pt idx="1324">
                  <c:v>1.8567989538088931E-2</c:v>
                </c:pt>
                <c:pt idx="1325">
                  <c:v>1.8433515106909316E-2</c:v>
                </c:pt>
                <c:pt idx="1326">
                  <c:v>1.8300582743821403E-2</c:v>
                </c:pt>
                <c:pt idx="1327">
                  <c:v>1.8169226295772188E-2</c:v>
                </c:pt>
                <c:pt idx="1328">
                  <c:v>1.803948018838767E-2</c:v>
                </c:pt>
                <c:pt idx="1329">
                  <c:v>1.7911379416566689E-2</c:v>
                </c:pt>
                <c:pt idx="1330">
                  <c:v>1.7784959533209868E-2</c:v>
                </c:pt>
                <c:pt idx="1331">
                  <c:v>1.7660256635970557E-2</c:v>
                </c:pt>
                <c:pt idx="1332">
                  <c:v>1.7537307351914017E-2</c:v>
                </c:pt>
                <c:pt idx="1333">
                  <c:v>1.7416148819971045E-2</c:v>
                </c:pt>
                <c:pt idx="1334">
                  <c:v>1.7296818671073189E-2</c:v>
                </c:pt>
                <c:pt idx="1335">
                  <c:v>1.7179355005858613E-2</c:v>
                </c:pt>
                <c:pt idx="1336">
                  <c:v>1.7063796369840404E-2</c:v>
                </c:pt>
                <c:pt idx="1337">
                  <c:v>1.6950181725933312E-2</c:v>
                </c:pt>
                <c:pt idx="1338">
                  <c:v>1.6838550424240036E-2</c:v>
                </c:pt>
                <c:pt idx="1339">
                  <c:v>1.6728942169004925E-2</c:v>
                </c:pt>
                <c:pt idx="1340">
                  <c:v>1.6621396982650832E-2</c:v>
                </c:pt>
                <c:pt idx="1341">
                  <c:v>1.6515955166824685E-2</c:v>
                </c:pt>
                <c:pt idx="1342">
                  <c:v>2.5241986308960258E-2</c:v>
                </c:pt>
                <c:pt idx="1343">
                  <c:v>2.5065439420831052E-2</c:v>
                </c:pt>
                <c:pt idx="1344">
                  <c:v>2.4889500592693525E-2</c:v>
                </c:pt>
                <c:pt idx="1345">
                  <c:v>2.4714182810782095E-2</c:v>
                </c:pt>
                <c:pt idx="1346">
                  <c:v>2.4539499385939991E-2</c:v>
                </c:pt>
                <c:pt idx="1347">
                  <c:v>2.4365463961867562E-2</c:v>
                </c:pt>
                <c:pt idx="1348">
                  <c:v>2.4192090523522572E-2</c:v>
                </c:pt>
                <c:pt idx="1349">
                  <c:v>2.401939340566869E-2</c:v>
                </c:pt>
                <c:pt idx="1350">
                  <c:v>2.3847387301567779E-2</c:v>
                </c:pt>
                <c:pt idx="1351">
                  <c:v>2.3676087271810725E-2</c:v>
                </c:pt>
                <c:pt idx="1352">
                  <c:v>2.3505508753280481E-2</c:v>
                </c:pt>
                <c:pt idx="1353">
                  <c:v>2.3335667568240223E-2</c:v>
                </c:pt>
                <c:pt idx="1354">
                  <c:v>2.3166579933538271E-2</c:v>
                </c:pt>
                <c:pt idx="1355">
                  <c:v>2.2998262469920275E-2</c:v>
                </c:pt>
                <c:pt idx="1356">
                  <c:v>2.2830732211438044E-2</c:v>
                </c:pt>
                <c:pt idx="1357">
                  <c:v>2.2664006614942819E-2</c:v>
                </c:pt>
                <c:pt idx="1358">
                  <c:v>2.2498103569649489E-2</c:v>
                </c:pt>
                <c:pt idx="1359">
                  <c:v>2.2333041406756585E-2</c:v>
                </c:pt>
                <c:pt idx="1360">
                  <c:v>2.2168838909105256E-2</c:v>
                </c:pt>
                <c:pt idx="1361">
                  <c:v>2.2005515320858544E-2</c:v>
                </c:pt>
                <c:pt idx="1362">
                  <c:v>2.1843090357180388E-2</c:v>
                </c:pt>
                <c:pt idx="1363">
                  <c:v>2.1681584213891745E-2</c:v>
                </c:pt>
                <c:pt idx="1364">
                  <c:v>2.1521017577078885E-2</c:v>
                </c:pt>
                <c:pt idx="1365">
                  <c:v>2.1361411632626788E-2</c:v>
                </c:pt>
                <c:pt idx="1366">
                  <c:v>2.1202788075647825E-2</c:v>
                </c:pt>
                <c:pt idx="1367">
                  <c:v>2.1045169119773544E-2</c:v>
                </c:pt>
                <c:pt idx="1368">
                  <c:v>2.0888577506274389E-2</c:v>
                </c:pt>
                <c:pt idx="1369">
                  <c:v>2.0733036512969365E-2</c:v>
                </c:pt>
                <c:pt idx="1370">
                  <c:v>2.0578569962884572E-2</c:v>
                </c:pt>
                <c:pt idx="1371">
                  <c:v>2.0425202232616336E-2</c:v>
                </c:pt>
                <c:pt idx="1372">
                  <c:v>2.0272958260351189E-2</c:v>
                </c:pt>
                <c:pt idx="1373">
                  <c:v>2.01218635534916E-2</c:v>
                </c:pt>
                <c:pt idx="1374">
                  <c:v>1.9971944195832602E-2</c:v>
                </c:pt>
                <c:pt idx="1375">
                  <c:v>1.9823226854230762E-2</c:v>
                </c:pt>
                <c:pt idx="1376">
                  <c:v>1.9675738784702992E-2</c:v>
                </c:pt>
                <c:pt idx="1377">
                  <c:v>1.9529507837888833E-2</c:v>
                </c:pt>
                <c:pt idx="1378">
                  <c:v>1.9384562463805655E-2</c:v>
                </c:pt>
                <c:pt idx="1379">
                  <c:v>1.9240931715822151E-2</c:v>
                </c:pt>
                <c:pt idx="1380">
                  <c:v>1.909864525377139E-2</c:v>
                </c:pt>
                <c:pt idx="1381">
                  <c:v>1.8957733346120362E-2</c:v>
                </c:pt>
                <c:pt idx="1382">
                  <c:v>1.8818226871109015E-2</c:v>
                </c:pt>
                <c:pt idx="1383">
                  <c:v>1.8680157316767459E-2</c:v>
                </c:pt>
                <c:pt idx="1384">
                  <c:v>1.854355677971619E-2</c:v>
                </c:pt>
                <c:pt idx="1385">
                  <c:v>1.8408457962650254E-2</c:v>
                </c:pt>
                <c:pt idx="1386">
                  <c:v>1.8274894170404673E-2</c:v>
                </c:pt>
                <c:pt idx="1387">
                  <c:v>1.814289930449502E-2</c:v>
                </c:pt>
                <c:pt idx="1388">
                  <c:v>1.8012507856024016E-2</c:v>
                </c:pt>
                <c:pt idx="1389">
                  <c:v>1.7883754896842383E-2</c:v>
                </c:pt>
                <c:pt idx="1390">
                  <c:v>1.7756676068849904E-2</c:v>
                </c:pt>
                <c:pt idx="1391">
                  <c:v>1.7631307571321135E-2</c:v>
                </c:pt>
                <c:pt idx="1392">
                  <c:v>1.7507686146139088E-2</c:v>
                </c:pt>
                <c:pt idx="1393">
                  <c:v>1.7385849060820163E-2</c:v>
                </c:pt>
                <c:pt idx="1394">
                  <c:v>1.7265834089213821E-2</c:v>
                </c:pt>
                <c:pt idx="1395">
                  <c:v>1.7147679489762476E-2</c:v>
                </c:pt>
                <c:pt idx="1396">
                  <c:v>1.7031423981209239E-2</c:v>
                </c:pt>
                <c:pt idx="1397">
                  <c:v>1.6917106715645076E-2</c:v>
                </c:pt>
                <c:pt idx="1398">
                  <c:v>1.6804767248791756E-2</c:v>
                </c:pt>
                <c:pt idx="1399">
                  <c:v>1.6694445507423421E-2</c:v>
                </c:pt>
                <c:pt idx="1400">
                  <c:v>1.658618175383721E-2</c:v>
                </c:pt>
                <c:pt idx="1401">
                  <c:v>1.648001654729268E-2</c:v>
                </c:pt>
                <c:pt idx="1402">
                  <c:v>1.6375990702350952E-2</c:v>
                </c:pt>
                <c:pt idx="1403">
                  <c:v>2.5065353749316295E-2</c:v>
                </c:pt>
                <c:pt idx="1404">
                  <c:v>2.4889084510739522E-2</c:v>
                </c:pt>
                <c:pt idx="1405">
                  <c:v>2.4713431628242754E-2</c:v>
                </c:pt>
                <c:pt idx="1406">
                  <c:v>2.4538408337984163E-2</c:v>
                </c:pt>
                <c:pt idx="1407">
                  <c:v>2.4364028208327903E-2</c:v>
                </c:pt>
                <c:pt idx="1408">
                  <c:v>2.4190305148291763E-2</c:v>
                </c:pt>
                <c:pt idx="1409">
                  <c:v>2.4017253416147945E-2</c:v>
                </c:pt>
                <c:pt idx="1410">
                  <c:v>2.3844887628172943E-2</c:v>
                </c:pt>
                <c:pt idx="1411">
                  <c:v>2.3673222767541517E-2</c:v>
                </c:pt>
                <c:pt idx="1412">
                  <c:v>2.3502274193358885E-2</c:v>
                </c:pt>
                <c:pt idx="1413">
                  <c:v>2.3332057649824323E-2</c:v>
                </c:pt>
                <c:pt idx="1414">
                  <c:v>2.3162589275518283E-2</c:v>
                </c:pt>
                <c:pt idx="1415">
                  <c:v>2.2993885612803879E-2</c:v>
                </c:pt>
                <c:pt idx="1416">
                  <c:v>2.2825963617332565E-2</c:v>
                </c:pt>
                <c:pt idx="1417">
                  <c:v>2.2658840667642212E-2</c:v>
                </c:pt>
                <c:pt idx="1418">
                  <c:v>2.2492534574834581E-2</c:v>
                </c:pt>
                <c:pt idx="1419">
                  <c:v>2.232706359231745E-2</c:v>
                </c:pt>
                <c:pt idx="1420">
                  <c:v>2.2162446425595068E-2</c:v>
                </c:pt>
                <c:pt idx="1421">
                  <c:v>2.1998702242088785E-2</c:v>
                </c:pt>
                <c:pt idx="1422">
                  <c:v>2.1835850680967717E-2</c:v>
                </c:pt>
                <c:pt idx="1423">
                  <c:v>2.1673911862967434E-2</c:v>
                </c:pt>
                <c:pt idx="1424">
                  <c:v>2.1512906400172165E-2</c:v>
                </c:pt>
                <c:pt idx="1425">
                  <c:v>2.1352855405733975E-2</c:v>
                </c:pt>
                <c:pt idx="1426">
                  <c:v>2.1193780503499664E-2</c:v>
                </c:pt>
                <c:pt idx="1427">
                  <c:v>2.1035703837513697E-2</c:v>
                </c:pt>
                <c:pt idx="1428">
                  <c:v>2.0878648081362458E-2</c:v>
                </c:pt>
                <c:pt idx="1429">
                  <c:v>2.0722636447322477E-2</c:v>
                </c:pt>
                <c:pt idx="1430">
                  <c:v>2.0567692695271915E-2</c:v>
                </c:pt>
                <c:pt idx="1431">
                  <c:v>2.0413841141321522E-2</c:v>
                </c:pt>
                <c:pt idx="1432">
                  <c:v>2.0261106666117887E-2</c:v>
                </c:pt>
                <c:pt idx="1433">
                  <c:v>2.0109514722768129E-2</c:v>
                </c:pt>
                <c:pt idx="1434">
                  <c:v>1.9959091344331676E-2</c:v>
                </c:pt>
                <c:pt idx="1435">
                  <c:v>1.9809863150820832E-2</c:v>
                </c:pt>
                <c:pt idx="1436">
                  <c:v>1.9661857355647971E-2</c:v>
                </c:pt>
                <c:pt idx="1437">
                  <c:v>1.9515101771453137E-2</c:v>
                </c:pt>
                <c:pt idx="1438">
                  <c:v>1.9369624815241637E-2</c:v>
                </c:pt>
                <c:pt idx="1439">
                  <c:v>1.9225455512757082E-2</c:v>
                </c:pt>
                <c:pt idx="1440">
                  <c:v>1.9082623502011054E-2</c:v>
                </c:pt>
                <c:pt idx="1441">
                  <c:v>1.8941159035886203E-2</c:v>
                </c:pt>
                <c:pt idx="1442">
                  <c:v>1.8801092983725398E-2</c:v>
                </c:pt>
                <c:pt idx="1443">
                  <c:v>1.8662456831815291E-2</c:v>
                </c:pt>
                <c:pt idx="1444">
                  <c:v>1.8525282682668461E-2</c:v>
                </c:pt>
                <c:pt idx="1445">
                  <c:v>1.8389603253004361E-2</c:v>
                </c:pt>
                <c:pt idx="1446">
                  <c:v>1.8255451870325401E-2</c:v>
                </c:pt>
                <c:pt idx="1447">
                  <c:v>1.8122862467980928E-2</c:v>
                </c:pt>
                <c:pt idx="1448">
                  <c:v>1.7991869578608613E-2</c:v>
                </c:pt>
                <c:pt idx="1449">
                  <c:v>1.7862508325839865E-2</c:v>
                </c:pt>
                <c:pt idx="1450">
                  <c:v>1.7734814414153338E-2</c:v>
                </c:pt>
                <c:pt idx="1451">
                  <c:v>1.7608824116758886E-2</c:v>
                </c:pt>
                <c:pt idx="1452">
                  <c:v>1.748457426139291E-2</c:v>
                </c:pt>
                <c:pt idx="1453">
                  <c:v>1.7362102213905536E-2</c:v>
                </c:pt>
                <c:pt idx="1454">
                  <c:v>1.7241445859520296E-2</c:v>
                </c:pt>
                <c:pt idx="1455">
                  <c:v>1.7122643581648299E-2</c:v>
                </c:pt>
                <c:pt idx="1456">
                  <c:v>1.7005734238140956E-2</c:v>
                </c:pt>
                <c:pt idx="1457">
                  <c:v>1.6890757134868862E-2</c:v>
                </c:pt>
                <c:pt idx="1458">
                  <c:v>1.6777751996518875E-2</c:v>
                </c:pt>
                <c:pt idx="1459">
                  <c:v>1.66667589345076E-2</c:v>
                </c:pt>
                <c:pt idx="1460">
                  <c:v>1.6557818411916773E-2</c:v>
                </c:pt>
                <c:pt idx="1461">
                  <c:v>1.6450971205365286E-2</c:v>
                </c:pt>
                <c:pt idx="1462">
                  <c:v>1.6346258363742795E-2</c:v>
                </c:pt>
                <c:pt idx="1463">
                  <c:v>1.6243721163742956E-2</c:v>
                </c:pt>
                <c:pt idx="1464">
                  <c:v>2.4893275270361996E-2</c:v>
                </c:pt>
                <c:pt idx="1465">
                  <c:v>2.4717320072312469E-2</c:v>
                </c:pt>
                <c:pt idx="1466">
                  <c:v>2.4541990043290936E-2</c:v>
                </c:pt>
                <c:pt idx="1467">
                  <c:v>2.4367298678137635E-2</c:v>
                </c:pt>
                <c:pt idx="1468">
                  <c:v>2.4193259811585349E-2</c:v>
                </c:pt>
                <c:pt idx="1469">
                  <c:v>2.4019887626899907E-2</c:v>
                </c:pt>
                <c:pt idx="1470">
                  <c:v>2.384719666467431E-2</c:v>
                </c:pt>
                <c:pt idx="1471">
                  <c:v>2.3675201831771867E-2</c:v>
                </c:pt>
                <c:pt idx="1472">
                  <c:v>2.3503918410412768E-2</c:v>
                </c:pt>
                <c:pt idx="1473">
                  <c:v>2.3333362067397667E-2</c:v>
                </c:pt>
                <c:pt idx="1474">
                  <c:v>2.3163548863460681E-2</c:v>
                </c:pt>
                <c:pt idx="1475">
                  <c:v>2.2994495262743095E-2</c:v>
                </c:pt>
                <c:pt idx="1476">
                  <c:v>2.2826218142377959E-2</c:v>
                </c:pt>
                <c:pt idx="1477">
                  <c:v>2.2658734802174205E-2</c:v>
                </c:pt>
                <c:pt idx="1478">
                  <c:v>2.2492062974387706E-2</c:v>
                </c:pt>
                <c:pt idx="1479">
                  <c:v>2.2326220833564964E-2</c:v>
                </c:pt>
                <c:pt idx="1480">
                  <c:v>2.2161227006443573E-2</c:v>
                </c:pt>
                <c:pt idx="1481">
                  <c:v>2.1997100581891776E-2</c:v>
                </c:pt>
                <c:pt idx="1482">
                  <c:v>2.1833861120867496E-2</c:v>
                </c:pt>
                <c:pt idx="1483">
                  <c:v>2.1671528666375176E-2</c:v>
                </c:pt>
                <c:pt idx="1484">
                  <c:v>2.1510123753396636E-2</c:v>
                </c:pt>
                <c:pt idx="1485">
                  <c:v>2.1349667418769824E-2</c:v>
                </c:pt>
                <c:pt idx="1486">
                  <c:v>2.1190181210986633E-2</c:v>
                </c:pt>
                <c:pt idx="1487">
                  <c:v>2.1031687199878812E-2</c:v>
                </c:pt>
                <c:pt idx="1488">
                  <c:v>2.087420798615764E-2</c:v>
                </c:pt>
                <c:pt idx="1489">
                  <c:v>2.0717766710770604E-2</c:v>
                </c:pt>
                <c:pt idx="1490">
                  <c:v>2.0562387064034848E-2</c:v>
                </c:pt>
                <c:pt idx="1491">
                  <c:v>2.0408093294504184E-2</c:v>
                </c:pt>
                <c:pt idx="1492">
                  <c:v>2.0254910217522848E-2</c:v>
                </c:pt>
                <c:pt idx="1493">
                  <c:v>2.0102863223415771E-2</c:v>
                </c:pt>
                <c:pt idx="1494">
                  <c:v>1.9951978285261317E-2</c:v>
                </c:pt>
                <c:pt idx="1495">
                  <c:v>1.980228196618869E-2</c:v>
                </c:pt>
                <c:pt idx="1496">
                  <c:v>1.9653801426138161E-2</c:v>
                </c:pt>
                <c:pt idx="1497">
                  <c:v>1.9506564428018201E-2</c:v>
                </c:pt>
                <c:pt idx="1498">
                  <c:v>1.9360599343189393E-2</c:v>
                </c:pt>
                <c:pt idx="1499">
                  <c:v>1.921593515620075E-2</c:v>
                </c:pt>
                <c:pt idx="1500">
                  <c:v>1.907260146869966E-2</c:v>
                </c:pt>
                <c:pt idx="1501">
                  <c:v>1.8930628502432316E-2</c:v>
                </c:pt>
                <c:pt idx="1502">
                  <c:v>1.8790047101247161E-2</c:v>
                </c:pt>
                <c:pt idx="1503">
                  <c:v>1.865088873200945E-2</c:v>
                </c:pt>
                <c:pt idx="1504">
                  <c:v>1.8513185484330709E-2</c:v>
                </c:pt>
                <c:pt idx="1505">
                  <c:v>1.8376970069012882E-2</c:v>
                </c:pt>
                <c:pt idx="1506">
                  <c:v>1.8242275815102765E-2</c:v>
                </c:pt>
                <c:pt idx="1507">
                  <c:v>1.8109136665448663E-2</c:v>
                </c:pt>
                <c:pt idx="1508">
                  <c:v>1.7977587170647704E-2</c:v>
                </c:pt>
                <c:pt idx="1509">
                  <c:v>1.7847662481269157E-2</c:v>
                </c:pt>
                <c:pt idx="1510">
                  <c:v>1.7719398338236388E-2</c:v>
                </c:pt>
                <c:pt idx="1511">
                  <c:v>1.7592831061247989E-2</c:v>
                </c:pt>
                <c:pt idx="1512">
                  <c:v>1.7467997535117061E-2</c:v>
                </c:pt>
                <c:pt idx="1513">
                  <c:v>1.7344935193906758E-2</c:v>
                </c:pt>
                <c:pt idx="1514">
                  <c:v>1.7223682002740315E-2</c:v>
                </c:pt>
                <c:pt idx="1515">
                  <c:v>1.7104276437164539E-2</c:v>
                </c:pt>
                <c:pt idx="1516">
                  <c:v>1.6986757459947713E-2</c:v>
                </c:pt>
                <c:pt idx="1517">
                  <c:v>1.6871164495196014E-2</c:v>
                </c:pt>
                <c:pt idx="1518">
                  <c:v>1.6757537399676652E-2</c:v>
                </c:pt>
                <c:pt idx="1519">
                  <c:v>1.6645916431241831E-2</c:v>
                </c:pt>
                <c:pt idx="1520">
                  <c:v>1.6536342214254575E-2</c:v>
                </c:pt>
                <c:pt idx="1521">
                  <c:v>1.6428855701926242E-2</c:v>
                </c:pt>
                <c:pt idx="1522">
                  <c:v>1.6323498135486069E-2</c:v>
                </c:pt>
                <c:pt idx="1523">
                  <c:v>1.6220311000114833E-2</c:v>
                </c:pt>
                <c:pt idx="1524">
                  <c:v>1.6119335977589182E-2</c:v>
                </c:pt>
                <c:pt idx="1525">
                  <c:v>2.4725845954075908E-2</c:v>
                </c:pt>
                <c:pt idx="1526">
                  <c:v>2.4550242456696271E-2</c:v>
                </c:pt>
                <c:pt idx="1527">
                  <c:v>2.4375273476972069E-2</c:v>
                </c:pt>
                <c:pt idx="1528">
                  <c:v>2.4200952777287715E-2</c:v>
                </c:pt>
                <c:pt idx="1529">
                  <c:v>2.4027294467679206E-2</c:v>
                </c:pt>
                <c:pt idx="1530">
                  <c:v>2.385431301465946E-2</c:v>
                </c:pt>
                <c:pt idx="1531">
                  <c:v>2.368202325019679E-2</c:v>
                </c:pt>
                <c:pt idx="1532">
                  <c:v>2.3510440380841376E-2</c:v>
                </c:pt>
                <c:pt idx="1533">
                  <c:v>2.3339579996993487E-2</c:v>
                </c:pt>
                <c:pt idx="1534">
                  <c:v>2.3169458082306242E-2</c:v>
                </c:pt>
                <c:pt idx="1535">
                  <c:v>2.3000091023214656E-2</c:v>
                </c:pt>
                <c:pt idx="1536">
                  <c:v>2.2831495618581339E-2</c:v>
                </c:pt>
                <c:pt idx="1537">
                  <c:v>2.2663689089447998E-2</c:v>
                </c:pt>
                <c:pt idx="1538">
                  <c:v>2.2496689088880511E-2</c:v>
                </c:pt>
                <c:pt idx="1539">
                  <c:v>2.23305137118937E-2</c:v>
                </c:pt>
                <c:pt idx="1540">
                  <c:v>2.2165181505440366E-2</c:v>
                </c:pt>
                <c:pt idx="1541">
                  <c:v>2.2000711478447347E-2</c:v>
                </c:pt>
                <c:pt idx="1542">
                  <c:v>2.1837123111879454E-2</c:v>
                </c:pt>
                <c:pt idx="1543">
                  <c:v>2.1674436368810168E-2</c:v>
                </c:pt>
                <c:pt idx="1544">
                  <c:v>2.1512671704475655E-2</c:v>
                </c:pt>
                <c:pt idx="1545">
                  <c:v>2.1351850076286608E-2</c:v>
                </c:pt>
                <c:pt idx="1546">
                  <c:v>2.119199295376957E-2</c:v>
                </c:pt>
                <c:pt idx="1547">
                  <c:v>2.1033122328407251E-2</c:v>
                </c:pt>
                <c:pt idx="1548">
                  <c:v>2.0875260723344134E-2</c:v>
                </c:pt>
                <c:pt idx="1549">
                  <c:v>2.0718431202921005E-2</c:v>
                </c:pt>
                <c:pt idx="1550">
                  <c:v>2.0562657381998882E-2</c:v>
                </c:pt>
                <c:pt idx="1551">
                  <c:v>2.040796343502951E-2</c:v>
                </c:pt>
                <c:pt idx="1552">
                  <c:v>2.025437410482624E-2</c:v>
                </c:pt>
                <c:pt idx="1553">
                  <c:v>2.0101914710985515E-2</c:v>
                </c:pt>
                <c:pt idx="1554">
                  <c:v>1.9950611157905467E-2</c:v>
                </c:pt>
                <c:pt idx="1555">
                  <c:v>1.9800489942344211E-2</c:v>
                </c:pt>
                <c:pt idx="1556">
                  <c:v>1.9651578160456536E-2</c:v>
                </c:pt>
                <c:pt idx="1557">
                  <c:v>1.9503903514243401E-2</c:v>
                </c:pt>
                <c:pt idx="1558">
                  <c:v>1.9357494317344539E-2</c:v>
                </c:pt>
                <c:pt idx="1559">
                  <c:v>1.9212379500099977E-2</c:v>
                </c:pt>
                <c:pt idx="1560">
                  <c:v>1.9068588613802114E-2</c:v>
                </c:pt>
                <c:pt idx="1561">
                  <c:v>1.8926151834055209E-2</c:v>
                </c:pt>
                <c:pt idx="1562">
                  <c:v>1.8785099963154972E-2</c:v>
                </c:pt>
                <c:pt idx="1563">
                  <c:v>1.8645464431396301E-2</c:v>
                </c:pt>
                <c:pt idx="1564">
                  <c:v>1.8507277297212844E-2</c:v>
                </c:pt>
                <c:pt idx="1565">
                  <c:v>1.8370571246047889E-2</c:v>
                </c:pt>
                <c:pt idx="1566">
                  <c:v>1.8235379587851711E-2</c:v>
                </c:pt>
                <c:pt idx="1567">
                  <c:v>1.8101736253096884E-2</c:v>
                </c:pt>
                <c:pt idx="1568">
                  <c:v>1.7969675787199147E-2</c:v>
                </c:pt>
                <c:pt idx="1569">
                  <c:v>1.7839233343228247E-2</c:v>
                </c:pt>
                <c:pt idx="1570">
                  <c:v>1.7710444672790333E-2</c:v>
                </c:pt>
                <c:pt idx="1571">
                  <c:v>1.7583346114961013E-2</c:v>
                </c:pt>
                <c:pt idx="1572">
                  <c:v>1.7457974583146452E-2</c:v>
                </c:pt>
                <c:pt idx="1573">
                  <c:v>1.7334367549748864E-2</c:v>
                </c:pt>
                <c:pt idx="1574">
                  <c:v>1.7212563028512377E-2</c:v>
                </c:pt>
                <c:pt idx="1575">
                  <c:v>1.7092599554425946E-2</c:v>
                </c:pt>
                <c:pt idx="1576">
                  <c:v>1.6974516161061517E-2</c:v>
                </c:pt>
                <c:pt idx="1577">
                  <c:v>1.6858352355228586E-2</c:v>
                </c:pt>
                <c:pt idx="1578">
                  <c:v>1.6744148088830013E-2</c:v>
                </c:pt>
                <c:pt idx="1579">
                  <c:v>1.6631943727809573E-2</c:v>
                </c:pt>
                <c:pt idx="1580">
                  <c:v>1.6521780018088385E-2</c:v>
                </c:pt>
                <c:pt idx="1581">
                  <c:v>1.6413698048395764E-2</c:v>
                </c:pt>
                <c:pt idx="1582">
                  <c:v>1.6307739209910212E-2</c:v>
                </c:pt>
                <c:pt idx="1583">
                  <c:v>1.6203945152638018E-2</c:v>
                </c:pt>
                <c:pt idx="1584">
                  <c:v>1.610235773847064E-2</c:v>
                </c:pt>
                <c:pt idx="1585">
                  <c:v>1.6003018990877794E-2</c:v>
                </c:pt>
                <c:pt idx="1586">
                  <c:v>2.4563160870588133E-2</c:v>
                </c:pt>
                <c:pt idx="1587">
                  <c:v>2.4387947989919685E-2</c:v>
                </c:pt>
                <c:pt idx="1588">
                  <c:v>2.4213379529103095E-2</c:v>
                </c:pt>
                <c:pt idx="1589">
                  <c:v>2.4039469526977417E-2</c:v>
                </c:pt>
                <c:pt idx="1590">
                  <c:v>2.3866232377844836E-2</c:v>
                </c:pt>
                <c:pt idx="1591">
                  <c:v>2.3693682840470964E-2</c:v>
                </c:pt>
                <c:pt idx="1592">
                  <c:v>2.3521836047236903E-2</c:v>
                </c:pt>
                <c:pt idx="1593">
                  <c:v>2.335070751343702E-2</c:v>
                </c:pt>
                <c:pt idx="1594">
                  <c:v>2.3180313146715713E-2</c:v>
                </c:pt>
                <c:pt idx="1595">
                  <c:v>2.3010669256634926E-2</c:v>
                </c:pt>
                <c:pt idx="1596">
                  <c:v>2.2841792564363521E-2</c:v>
                </c:pt>
                <c:pt idx="1597">
                  <c:v>2.267370021247761E-2</c:v>
                </c:pt>
                <c:pt idx="1598">
                  <c:v>2.2506409774860316E-2</c:v>
                </c:pt>
                <c:pt idx="1599">
                  <c:v>2.2339939266687245E-2</c:v>
                </c:pt>
                <c:pt idx="1600">
                  <c:v>2.2174307154482799E-2</c:v>
                </c:pt>
                <c:pt idx="1601">
                  <c:v>2.2009532366230444E-2</c:v>
                </c:pt>
                <c:pt idx="1602">
                  <c:v>2.1845634301518226E-2</c:v>
                </c:pt>
                <c:pt idx="1603">
                  <c:v>2.1682632841698905E-2</c:v>
                </c:pt>
                <c:pt idx="1604">
                  <c:v>2.1520548360041768E-2</c:v>
                </c:pt>
                <c:pt idx="1605">
                  <c:v>2.1359401731850976E-2</c:v>
                </c:pt>
                <c:pt idx="1606">
                  <c:v>2.1199214344522925E-2</c:v>
                </c:pt>
                <c:pt idx="1607">
                  <c:v>2.1040008107512234E-2</c:v>
                </c:pt>
                <c:pt idx="1608">
                  <c:v>2.0881805462173535E-2</c:v>
                </c:pt>
                <c:pt idx="1609">
                  <c:v>2.0724629391443081E-2</c:v>
                </c:pt>
                <c:pt idx="1610">
                  <c:v>2.0568503429321205E-2</c:v>
                </c:pt>
                <c:pt idx="1611">
                  <c:v>2.0413451670113408E-2</c:v>
                </c:pt>
                <c:pt idx="1612">
                  <c:v>2.025949877738439E-2</c:v>
                </c:pt>
                <c:pt idx="1613">
                  <c:v>2.0106669992575824E-2</c:v>
                </c:pt>
                <c:pt idx="1614">
                  <c:v>1.9954991143234936E-2</c:v>
                </c:pt>
                <c:pt idx="1615">
                  <c:v>1.9804488650796974E-2</c:v>
                </c:pt>
                <c:pt idx="1616">
                  <c:v>1.9655189537860822E-2</c:v>
                </c:pt>
                <c:pt idx="1617">
                  <c:v>1.9507121434892614E-2</c:v>
                </c:pt>
                <c:pt idx="1618">
                  <c:v>1.936031258628812E-2</c:v>
                </c:pt>
                <c:pt idx="1619">
                  <c:v>1.9214791855720201E-2</c:v>
                </c:pt>
                <c:pt idx="1620">
                  <c:v>1.90705887306932E-2</c:v>
                </c:pt>
                <c:pt idx="1621">
                  <c:v>1.8927733326221594E-2</c:v>
                </c:pt>
                <c:pt idx="1622">
                  <c:v>1.8786256387545722E-2</c:v>
                </c:pt>
                <c:pt idx="1623">
                  <c:v>1.8646189291792879E-2</c:v>
                </c:pt>
                <c:pt idx="1624">
                  <c:v>1.8507564048487482E-2</c:v>
                </c:pt>
                <c:pt idx="1625">
                  <c:v>1.8370413298809781E-2</c:v>
                </c:pt>
                <c:pt idx="1626">
                  <c:v>1.8234770313498166E-2</c:v>
                </c:pt>
                <c:pt idx="1627">
                  <c:v>1.8100668989286185E-2</c:v>
                </c:pt>
                <c:pt idx="1628">
                  <c:v>1.7968143843761521E-2</c:v>
                </c:pt>
                <c:pt idx="1629">
                  <c:v>1.7837230008530745E-2</c:v>
                </c:pt>
                <c:pt idx="1630">
                  <c:v>1.7707963220570572E-2</c:v>
                </c:pt>
                <c:pt idx="1631">
                  <c:v>1.7580379811643902E-2</c:v>
                </c:pt>
                <c:pt idx="1632">
                  <c:v>1.7454516695656709E-2</c:v>
                </c:pt>
                <c:pt idx="1633">
                  <c:v>1.7330411353830788E-2</c:v>
                </c:pt>
                <c:pt idx="1634">
                  <c:v>1.7208101817566667E-2</c:v>
                </c:pt>
                <c:pt idx="1635">
                  <c:v>1.7087626648871441E-2</c:v>
                </c:pt>
                <c:pt idx="1636">
                  <c:v>1.6969024918227549E-2</c:v>
                </c:pt>
                <c:pt idx="1637">
                  <c:v>1.6852336179781109E-2</c:v>
                </c:pt>
                <c:pt idx="1638">
                  <c:v>1.673760044373199E-2</c:v>
                </c:pt>
                <c:pt idx="1639">
                  <c:v>1.6624858145812889E-2</c:v>
                </c:pt>
                <c:pt idx="1640">
                  <c:v>1.6514150113751267E-2</c:v>
                </c:pt>
                <c:pt idx="1641">
                  <c:v>1.6405517530615931E-2</c:v>
                </c:pt>
                <c:pt idx="1642">
                  <c:v>1.6299001894959961E-2</c:v>
                </c:pt>
                <c:pt idx="1643">
                  <c:v>1.6194644977683071E-2</c:v>
                </c:pt>
                <c:pt idx="1644">
                  <c:v>1.6092488775550196E-2</c:v>
                </c:pt>
                <c:pt idx="1645">
                  <c:v>1.5992575461317934E-2</c:v>
                </c:pt>
                <c:pt idx="1646">
                  <c:v>1.5894947330438496E-2</c:v>
                </c:pt>
                <c:pt idx="1647">
                  <c:v>2.4405314894815767E-2</c:v>
                </c:pt>
                <c:pt idx="1648">
                  <c:v>2.4230532783793817E-2</c:v>
                </c:pt>
                <c:pt idx="1649">
                  <c:v>2.4056405565142595E-2</c:v>
                </c:pt>
                <c:pt idx="1650">
                  <c:v>2.3882947563051472E-2</c:v>
                </c:pt>
                <c:pt idx="1651">
                  <c:v>2.3710173465013591E-2</c:v>
                </c:pt>
                <c:pt idx="1652">
                  <c:v>2.3538098330989465E-2</c:v>
                </c:pt>
                <c:pt idx="1653">
                  <c:v>2.3366737602719581E-2</c:v>
                </c:pt>
                <c:pt idx="1654">
                  <c:v>2.3196107113179484E-2</c:v>
                </c:pt>
                <c:pt idx="1655">
                  <c:v>2.3026223096169456E-2</c:v>
                </c:pt>
                <c:pt idx="1656">
                  <c:v>2.2857102196030148E-2</c:v>
                </c:pt>
                <c:pt idx="1657">
                  <c:v>2.2688761477473601E-2</c:v>
                </c:pt>
                <c:pt idx="1658">
                  <c:v>2.2521218435518537E-2</c:v>
                </c:pt>
                <c:pt idx="1659">
                  <c:v>2.2354491005516453E-2</c:v>
                </c:pt>
                <c:pt idx="1660">
                  <c:v>2.2188597573254098E-2</c:v>
                </c:pt>
                <c:pt idx="1661">
                  <c:v>2.202355698511586E-2</c:v>
                </c:pt>
                <c:pt idx="1662">
                  <c:v>2.1859388558287701E-2</c:v>
                </c:pt>
                <c:pt idx="1663">
                  <c:v>2.1696112090982551E-2</c:v>
                </c:pt>
                <c:pt idx="1664">
                  <c:v>2.153374787266454E-2</c:v>
                </c:pt>
                <c:pt idx="1665">
                  <c:v>2.1372316694247637E-2</c:v>
                </c:pt>
                <c:pt idx="1666">
                  <c:v>2.1211839858241283E-2</c:v>
                </c:pt>
                <c:pt idx="1667">
                  <c:v>2.1052339188813603E-2</c:v>
                </c:pt>
                <c:pt idx="1668">
                  <c:v>2.0893837041739517E-2</c:v>
                </c:pt>
                <c:pt idx="1669">
                  <c:v>2.073635631419854E-2</c:v>
                </c:pt>
                <c:pt idx="1670">
                  <c:v>2.0579920454383754E-2</c:v>
                </c:pt>
                <c:pt idx="1671">
                  <c:v>2.0424553470880333E-2</c:v>
                </c:pt>
                <c:pt idx="1672">
                  <c:v>2.0270279941768516E-2</c:v>
                </c:pt>
                <c:pt idx="1673">
                  <c:v>2.011712502340237E-2</c:v>
                </c:pt>
                <c:pt idx="1674">
                  <c:v>1.9965114458812071E-2</c:v>
                </c:pt>
                <c:pt idx="1675">
                  <c:v>1.981427458567327E-2</c:v>
                </c:pt>
                <c:pt idx="1676">
                  <c:v>1.9664632343783454E-2</c:v>
                </c:pt>
                <c:pt idx="1677">
                  <c:v>1.9516215281980703E-2</c:v>
                </c:pt>
                <c:pt idx="1678">
                  <c:v>1.9369051564436131E-2</c:v>
                </c:pt>
                <c:pt idx="1679">
                  <c:v>1.9223169976246901E-2</c:v>
                </c:pt>
                <c:pt idx="1680">
                  <c:v>1.9078599928252095E-2</c:v>
                </c:pt>
                <c:pt idx="1681">
                  <c:v>1.8935371460989281E-2</c:v>
                </c:pt>
                <c:pt idx="1682">
                  <c:v>1.8793515247704982E-2</c:v>
                </c:pt>
                <c:pt idx="1683">
                  <c:v>1.8653062596327659E-2</c:v>
                </c:pt>
                <c:pt idx="1684">
                  <c:v>1.8514045450307239E-2</c:v>
                </c:pt>
                <c:pt idx="1685">
                  <c:v>1.8376496388220809E-2</c:v>
                </c:pt>
                <c:pt idx="1686">
                  <c:v>1.8240448622039659E-2</c:v>
                </c:pt>
                <c:pt idx="1687">
                  <c:v>1.8105935993948795E-2</c:v>
                </c:pt>
                <c:pt idx="1688">
                  <c:v>1.7972992971605997E-2</c:v>
                </c:pt>
                <c:pt idx="1689">
                  <c:v>1.7841654641724023E-2</c:v>
                </c:pt>
                <c:pt idx="1690">
                  <c:v>1.7711956701856296E-2</c:v>
                </c:pt>
                <c:pt idx="1691">
                  <c:v>1.758393545026363E-2</c:v>
                </c:pt>
                <c:pt idx="1692">
                  <c:v>1.7457627773737463E-2</c:v>
                </c:pt>
                <c:pt idx="1693">
                  <c:v>1.7333071133253542E-2</c:v>
                </c:pt>
                <c:pt idx="1694">
                  <c:v>1.7210303547329164E-2</c:v>
                </c:pt>
                <c:pt idx="1695">
                  <c:v>1.7089363572957313E-2</c:v>
                </c:pt>
                <c:pt idx="1696">
                  <c:v>1.6970290283992075E-2</c:v>
                </c:pt>
                <c:pt idx="1697">
                  <c:v>1.6853123246861907E-2</c:v>
                </c:pt>
                <c:pt idx="1698">
                  <c:v>1.6737902493490768E-2</c:v>
                </c:pt>
                <c:pt idx="1699">
                  <c:v>1.6624668491311868E-2</c:v>
                </c:pt>
                <c:pt idx="1700">
                  <c:v>1.6513462110264974E-2</c:v>
                </c:pt>
                <c:pt idx="1701">
                  <c:v>1.6404324586675977E-2</c:v>
                </c:pt>
                <c:pt idx="1702">
                  <c:v>1.6297297483926988E-2</c:v>
                </c:pt>
                <c:pt idx="1703">
                  <c:v>1.6192422649836245E-2</c:v>
                </c:pt>
                <c:pt idx="1704">
                  <c:v>1.6089742170680436E-2</c:v>
                </c:pt>
                <c:pt idx="1705">
                  <c:v>1.5989298321807035E-2</c:v>
                </c:pt>
                <c:pt idx="1706">
                  <c:v>1.5891133514801141E-2</c:v>
                </c:pt>
                <c:pt idx="1707">
                  <c:v>1.5795290241190779E-2</c:v>
                </c:pt>
                <c:pt idx="1708">
                  <c:v>2.4252402512470073E-2</c:v>
                </c:pt>
                <c:pt idx="1709">
                  <c:v>2.4078092535851151E-2</c:v>
                </c:pt>
                <c:pt idx="1710">
                  <c:v>2.3904448509846087E-2</c:v>
                </c:pt>
                <c:pt idx="1711">
                  <c:v>2.3731485052804445E-2</c:v>
                </c:pt>
                <c:pt idx="1712">
                  <c:v>2.3559217154222347E-2</c:v>
                </c:pt>
                <c:pt idx="1713">
                  <c:v>2.338766018405548E-2</c:v>
                </c:pt>
                <c:pt idx="1714">
                  <c:v>2.3216829902177209E-2</c:v>
                </c:pt>
                <c:pt idx="1715">
                  <c:v>2.3046742467974324E-2</c:v>
                </c:pt>
                <c:pt idx="1716">
                  <c:v>2.2877414450071906E-2</c:v>
                </c:pt>
                <c:pt idx="1717">
                  <c:v>2.2708862836177252E-2</c:v>
                </c:pt>
                <c:pt idx="1718">
                  <c:v>2.2541105043031754E-2</c:v>
                </c:pt>
                <c:pt idx="1719">
                  <c:v>2.2374158926457929E-2</c:v>
                </c:pt>
                <c:pt idx="1720">
                  <c:v>2.2208042791487234E-2</c:v>
                </c:pt>
                <c:pt idx="1721">
                  <c:v>2.2042775402552769E-2</c:v>
                </c:pt>
                <c:pt idx="1722">
                  <c:v>2.1878375993728796E-2</c:v>
                </c:pt>
                <c:pt idx="1723">
                  <c:v>2.1714864278997405E-2</c:v>
                </c:pt>
                <c:pt idx="1724">
                  <c:v>2.1552260462520224E-2</c:v>
                </c:pt>
                <c:pt idx="1725">
                  <c:v>2.1390585248890998E-2</c:v>
                </c:pt>
                <c:pt idx="1726">
                  <c:v>2.1229859853342421E-2</c:v>
                </c:pt>
                <c:pt idx="1727">
                  <c:v>2.1070106011877896E-2</c:v>
                </c:pt>
                <c:pt idx="1728">
                  <c:v>2.0911345991296491E-2</c:v>
                </c:pt>
                <c:pt idx="1729">
                  <c:v>2.0753602599076052E-2</c:v>
                </c:pt>
                <c:pt idx="1730">
                  <c:v>2.0596899193076779E-2</c:v>
                </c:pt>
                <c:pt idx="1731">
                  <c:v>2.0441259691024019E-2</c:v>
                </c:pt>
                <c:pt idx="1732">
                  <c:v>2.0286708579725934E-2</c:v>
                </c:pt>
                <c:pt idx="1733">
                  <c:v>2.0133270923977903E-2</c:v>
                </c:pt>
                <c:pt idx="1734">
                  <c:v>1.998097237510198E-2</c:v>
                </c:pt>
                <c:pt idx="1735">
                  <c:v>1.9829839179065691E-2</c:v>
                </c:pt>
                <c:pt idx="1736">
                  <c:v>1.967989818412064E-2</c:v>
                </c:pt>
                <c:pt idx="1737">
                  <c:v>1.9531176847896976E-2</c:v>
                </c:pt>
                <c:pt idx="1738">
                  <c:v>1.9383703243885695E-2</c:v>
                </c:pt>
                <c:pt idx="1739">
                  <c:v>1.923750606723618E-2</c:v>
                </c:pt>
                <c:pt idx="1740">
                  <c:v>1.9092614639791974E-2</c:v>
                </c:pt>
                <c:pt idx="1741">
                  <c:v>1.8949058914283171E-2</c:v>
                </c:pt>
                <c:pt idx="1742">
                  <c:v>1.8806869477589201E-2</c:v>
                </c:pt>
                <c:pt idx="1743">
                  <c:v>1.8666077552981077E-2</c:v>
                </c:pt>
                <c:pt idx="1744">
                  <c:v>1.8526715001247727E-2</c:v>
                </c:pt>
                <c:pt idx="1745">
                  <c:v>1.8388814320606347E-2</c:v>
                </c:pt>
                <c:pt idx="1746">
                  <c:v>1.8252408645292342E-2</c:v>
                </c:pt>
                <c:pt idx="1747">
                  <c:v>1.8117531742720201E-2</c:v>
                </c:pt>
                <c:pt idx="1748">
                  <c:v>1.7984218009102632E-2</c:v>
                </c:pt>
                <c:pt idx="1749">
                  <c:v>1.7852502463411527E-2</c:v>
                </c:pt>
                <c:pt idx="1750">
                  <c:v>1.7722420739561054E-2</c:v>
                </c:pt>
                <c:pt idx="1751">
                  <c:v>1.7594009076690252E-2</c:v>
                </c:pt>
                <c:pt idx="1752">
                  <c:v>1.7467304307420193E-2</c:v>
                </c:pt>
                <c:pt idx="1753">
                  <c:v>1.7342343843959128E-2</c:v>
                </c:pt>
                <c:pt idx="1754">
                  <c:v>1.721916566192799E-2</c:v>
                </c:pt>
                <c:pt idx="1755">
                  <c:v>1.7097808281778658E-2</c:v>
                </c:pt>
                <c:pt idx="1756">
                  <c:v>1.6978310747678162E-2</c:v>
                </c:pt>
                <c:pt idx="1757">
                  <c:v>1.6860712603733997E-2</c:v>
                </c:pt>
                <c:pt idx="1758">
                  <c:v>1.6745053867438922E-2</c:v>
                </c:pt>
                <c:pt idx="1759">
                  <c:v>1.6631375000217923E-2</c:v>
                </c:pt>
                <c:pt idx="1760">
                  <c:v>1.6519716874966176E-2</c:v>
                </c:pt>
                <c:pt idx="1761">
                  <c:v>1.6410120740474054E-2</c:v>
                </c:pt>
                <c:pt idx="1762">
                  <c:v>1.6302628182644573E-2</c:v>
                </c:pt>
                <c:pt idx="1763">
                  <c:v>1.6197281082419461E-2</c:v>
                </c:pt>
                <c:pt idx="1764">
                  <c:v>1.609412157034287E-2</c:v>
                </c:pt>
                <c:pt idx="1765">
                  <c:v>1.5993191977706437E-2</c:v>
                </c:pt>
                <c:pt idx="1766">
                  <c:v>1.5894534784236303E-2</c:v>
                </c:pt>
                <c:pt idx="1767">
                  <c:v>1.5798192562301163E-2</c:v>
                </c:pt>
                <c:pt idx="1768">
                  <c:v>1.5704207917641811E-2</c:v>
                </c:pt>
                <c:pt idx="1769">
                  <c:v>2.410451761578393E-2</c:v>
                </c:pt>
                <c:pt idx="1770">
                  <c:v>2.3930722318696085E-2</c:v>
                </c:pt>
                <c:pt idx="1771">
                  <c:v>2.3757604630016176E-2</c:v>
                </c:pt>
                <c:pt idx="1772">
                  <c:v>2.3585179470899078E-2</c:v>
                </c:pt>
                <c:pt idx="1773">
                  <c:v>2.3413462141460378E-2</c:v>
                </c:pt>
                <c:pt idx="1774">
                  <c:v>2.3242468330222664E-2</c:v>
                </c:pt>
                <c:pt idx="1775">
                  <c:v>2.307221412370157E-2</c:v>
                </c:pt>
                <c:pt idx="1776">
                  <c:v>2.2902716016123311E-2</c:v>
                </c:pt>
                <c:pt idx="1777">
                  <c:v>2.2733990919263914E-2</c:v>
                </c:pt>
                <c:pt idx="1778">
                  <c:v>2.2566056172399353E-2</c:v>
                </c:pt>
                <c:pt idx="1779">
                  <c:v>2.2398929552354004E-2</c:v>
                </c:pt>
                <c:pt idx="1780">
                  <c:v>2.2232629283633506E-2</c:v>
                </c:pt>
                <c:pt idx="1781">
                  <c:v>2.2067174048626268E-2</c:v>
                </c:pt>
                <c:pt idx="1782">
                  <c:v>2.1902582997856145E-2</c:v>
                </c:pt>
                <c:pt idx="1783">
                  <c:v>2.1738875760266795E-2</c:v>
                </c:pt>
                <c:pt idx="1784">
                  <c:v>2.1576072453516181E-2</c:v>
                </c:pt>
                <c:pt idx="1785">
                  <c:v>2.1414193694257323E-2</c:v>
                </c:pt>
                <c:pt idx="1786">
                  <c:v>2.1253260608379277E-2</c:v>
                </c:pt>
                <c:pt idx="1787">
                  <c:v>2.1093294841179472E-2</c:v>
                </c:pt>
                <c:pt idx="1788">
                  <c:v>2.0934318567436022E-2</c:v>
                </c:pt>
                <c:pt idx="1789">
                  <c:v>2.0776354501345767E-2</c:v>
                </c:pt>
                <c:pt idx="1790">
                  <c:v>2.0619425906290664E-2</c:v>
                </c:pt>
                <c:pt idx="1791">
                  <c:v>2.0463556604392023E-2</c:v>
                </c:pt>
                <c:pt idx="1792">
                  <c:v>2.0308770985808772E-2</c:v>
                </c:pt>
                <c:pt idx="1793">
                  <c:v>2.0155094017732238E-2</c:v>
                </c:pt>
                <c:pt idx="1794">
                  <c:v>2.000255125302644E-2</c:v>
                </c:pt>
                <c:pt idx="1795">
                  <c:v>1.9851168838458836E-2</c:v>
                </c:pt>
                <c:pt idx="1796">
                  <c:v>1.970097352246266E-2</c:v>
                </c:pt>
                <c:pt idx="1797">
                  <c:v>1.9551992662367592E-2</c:v>
                </c:pt>
                <c:pt idx="1798">
                  <c:v>1.9404254231031492E-2</c:v>
                </c:pt>
                <c:pt idx="1799">
                  <c:v>1.9257786822801232E-2</c:v>
                </c:pt>
                <c:pt idx="1800">
                  <c:v>1.9112619658726435E-2</c:v>
                </c:pt>
                <c:pt idx="1801">
                  <c:v>1.8968782590945085E-2</c:v>
                </c:pt>
                <c:pt idx="1802">
                  <c:v>1.882630610615562E-2</c:v>
                </c:pt>
                <c:pt idx="1803">
                  <c:v>1.8685221328085186E-2</c:v>
                </c:pt>
                <c:pt idx="1804">
                  <c:v>1.8545560018859299E-2</c:v>
                </c:pt>
                <c:pt idx="1805">
                  <c:v>1.840735457917355E-2</c:v>
                </c:pt>
                <c:pt idx="1806">
                  <c:v>1.8270638047163439E-2</c:v>
                </c:pt>
                <c:pt idx="1807">
                  <c:v>1.8135444095864241E-2</c:v>
                </c:pt>
                <c:pt idx="1808">
                  <c:v>1.8001807029148598E-2</c:v>
                </c:pt>
                <c:pt idx="1809">
                  <c:v>1.7869761776025905E-2</c:v>
                </c:pt>
                <c:pt idx="1810">
                  <c:v>1.773934388318393E-2</c:v>
                </c:pt>
                <c:pt idx="1811">
                  <c:v>1.7610589505650275E-2</c:v>
                </c:pt>
                <c:pt idx="1812">
                  <c:v>1.7483535395448772E-2</c:v>
                </c:pt>
                <c:pt idx="1813">
                  <c:v>1.7358218888124045E-2</c:v>
                </c:pt>
                <c:pt idx="1814">
                  <c:v>1.7234677887006437E-2</c:v>
                </c:pt>
                <c:pt idx="1815">
                  <c:v>1.7112950845089132E-2</c:v>
                </c:pt>
                <c:pt idx="1816">
                  <c:v>1.6993076744390084E-2</c:v>
                </c:pt>
                <c:pt idx="1817">
                  <c:v>1.6875095072672961E-2</c:v>
                </c:pt>
                <c:pt idx="1818">
                  <c:v>1.6759045797404375E-2</c:v>
                </c:pt>
                <c:pt idx="1819">
                  <c:v>1.6644969336828748E-2</c:v>
                </c:pt>
                <c:pt idx="1820">
                  <c:v>1.6532906528047848E-2</c:v>
                </c:pt>
                <c:pt idx="1821">
                  <c:v>1.6422898591999253E-2</c:v>
                </c:pt>
                <c:pt idx="1822">
                  <c:v>1.6314987095236721E-2</c:v>
                </c:pt>
                <c:pt idx="1823">
                  <c:v>1.6209213908426171E-2</c:v>
                </c:pt>
                <c:pt idx="1824">
                  <c:v>1.6105621161483282E-2</c:v>
                </c:pt>
                <c:pt idx="1825">
                  <c:v>1.6004251195293258E-2</c:v>
                </c:pt>
                <c:pt idx="1826">
                  <c:v>1.5905146509969621E-2</c:v>
                </c:pt>
                <c:pt idx="1827">
                  <c:v>1.580834970962745E-2</c:v>
                </c:pt>
                <c:pt idx="1828">
                  <c:v>1.5713903443666813E-2</c:v>
                </c:pt>
                <c:pt idx="1829">
                  <c:v>1.5621850344585145E-2</c:v>
                </c:pt>
                <c:pt idx="1830">
                  <c:v>2.3961753289428438E-2</c:v>
                </c:pt>
                <c:pt idx="1831">
                  <c:v>2.3788516359266525E-2</c:v>
                </c:pt>
                <c:pt idx="1832">
                  <c:v>2.3615969306879481E-2</c:v>
                </c:pt>
                <c:pt idx="1833">
                  <c:v>2.3444127364621231E-2</c:v>
                </c:pt>
                <c:pt idx="1834">
                  <c:v>2.3273006151557144E-2</c:v>
                </c:pt>
                <c:pt idx="1835">
                  <c:v>2.3102621683025001E-2</c:v>
                </c:pt>
                <c:pt idx="1836">
                  <c:v>2.2932990380329019E-2</c:v>
                </c:pt>
                <c:pt idx="1837">
                  <c:v>2.2764129080557319E-2</c:v>
                </c:pt>
                <c:pt idx="1838">
                  <c:v>2.2596055046512287E-2</c:v>
                </c:pt>
                <c:pt idx="1839">
                  <c:v>2.2428785976741531E-2</c:v>
                </c:pt>
                <c:pt idx="1840">
                  <c:v>2.2262340015655756E-2</c:v>
                </c:pt>
                <c:pt idx="1841">
                  <c:v>2.2096735763718209E-2</c:v>
                </c:pt>
                <c:pt idx="1842">
                  <c:v>2.193199228768844E-2</c:v>
                </c:pt>
                <c:pt idx="1843">
                  <c:v>2.1768129130901284E-2</c:v>
                </c:pt>
                <c:pt idx="1844">
                  <c:v>2.16051663235599E-2</c:v>
                </c:pt>
                <c:pt idx="1845">
                  <c:v>2.1443124393019462E-2</c:v>
                </c:pt>
                <c:pt idx="1846">
                  <c:v>2.1282024374035757E-2</c:v>
                </c:pt>
                <c:pt idx="1847">
                  <c:v>2.1121887818950358E-2</c:v>
                </c:pt>
                <c:pt idx="1848">
                  <c:v>2.0962736807781587E-2</c:v>
                </c:pt>
                <c:pt idx="1849">
                  <c:v>2.0804593958187324E-2</c:v>
                </c:pt>
                <c:pt idx="1850">
                  <c:v>2.0647482435262991E-2</c:v>
                </c:pt>
                <c:pt idx="1851">
                  <c:v>2.0491425961134794E-2</c:v>
                </c:pt>
                <c:pt idx="1852">
                  <c:v>2.033644882430485E-2</c:v>
                </c:pt>
                <c:pt idx="1853">
                  <c:v>2.0182575888701551E-2</c:v>
                </c:pt>
                <c:pt idx="1854">
                  <c:v>2.0029832602384633E-2</c:v>
                </c:pt>
                <c:pt idx="1855">
                  <c:v>1.9878245005850725E-2</c:v>
                </c:pt>
                <c:pt idx="1856">
                  <c:v>1.9727839739881157E-2</c:v>
                </c:pt>
                <c:pt idx="1857">
                  <c:v>1.9578644052869569E-2</c:v>
                </c:pt>
                <c:pt idx="1858">
                  <c:v>1.9430685807562784E-2</c:v>
                </c:pt>
                <c:pt idx="1859">
                  <c:v>1.9283993487143797E-2</c:v>
                </c:pt>
                <c:pt idx="1860">
                  <c:v>1.9138596200581511E-2</c:v>
                </c:pt>
                <c:pt idx="1861">
                  <c:v>1.8994523687166982E-2</c:v>
                </c:pt>
                <c:pt idx="1862">
                  <c:v>1.8851806320151609E-2</c:v>
                </c:pt>
                <c:pt idx="1863">
                  <c:v>1.8710475109397797E-2</c:v>
                </c:pt>
                <c:pt idx="1864">
                  <c:v>1.8570561702948216E-2</c:v>
                </c:pt>
                <c:pt idx="1865">
                  <c:v>1.8432098387414962E-2</c:v>
                </c:pt>
                <c:pt idx="1866">
                  <c:v>1.8295118087085675E-2</c:v>
                </c:pt>
                <c:pt idx="1867">
                  <c:v>1.8159654361639146E-2</c:v>
                </c:pt>
                <c:pt idx="1868">
                  <c:v>1.8025741402358901E-2</c:v>
                </c:pt>
                <c:pt idx="1869">
                  <c:v>1.7893414026729438E-2</c:v>
                </c:pt>
                <c:pt idx="1870">
                  <c:v>1.7762707671296226E-2</c:v>
                </c:pt>
                <c:pt idx="1871">
                  <c:v>1.7633658382667495E-2</c:v>
                </c:pt>
                <c:pt idx="1872">
                  <c:v>1.7506302806533407E-2</c:v>
                </c:pt>
                <c:pt idx="1873">
                  <c:v>1.7380678174576079E-2</c:v>
                </c:pt>
                <c:pt idx="1874">
                  <c:v>1.7256822289142833E-2</c:v>
                </c:pt>
                <c:pt idx="1875">
                  <c:v>1.7134773505554559E-2</c:v>
                </c:pt>
                <c:pt idx="1876">
                  <c:v>1.7014570711921532E-2</c:v>
                </c:pt>
                <c:pt idx="1877">
                  <c:v>1.6896253306340654E-2</c:v>
                </c:pt>
                <c:pt idx="1878">
                  <c:v>1.6779861171350705E-2</c:v>
                </c:pt>
                <c:pt idx="1879">
                  <c:v>1.6665434645526181E-2</c:v>
                </c:pt>
                <c:pt idx="1880">
                  <c:v>1.6553014492095744E-2</c:v>
                </c:pt>
                <c:pt idx="1881">
                  <c:v>1.6442641864478007E-2</c:v>
                </c:pt>
                <c:pt idx="1882">
                  <c:v>1.6334358268636207E-2</c:v>
                </c:pt>
                <c:pt idx="1883">
                  <c:v>1.6228205522163225E-2</c:v>
                </c:pt>
                <c:pt idx="1884">
                  <c:v>1.6124225710020933E-2</c:v>
                </c:pt>
                <c:pt idx="1885">
                  <c:v>1.6022461136871481E-2</c:v>
                </c:pt>
                <c:pt idx="1886">
                  <c:v>1.5922954275954568E-2</c:v>
                </c:pt>
                <c:pt idx="1887">
                  <c:v>1.5825747714482509E-2</c:v>
                </c:pt>
                <c:pt idx="1888">
                  <c:v>1.5730884095545399E-2</c:v>
                </c:pt>
                <c:pt idx="1889">
                  <c:v>1.563840605654054E-2</c:v>
                </c:pt>
                <c:pt idx="1890">
                  <c:v>1.5548356164165087E-2</c:v>
                </c:pt>
                <c:pt idx="1891">
                  <c:v>2.382420158721496E-2</c:v>
                </c:pt>
                <c:pt idx="1892">
                  <c:v>2.3651567808639404E-2</c:v>
                </c:pt>
                <c:pt idx="1893">
                  <c:v>2.3479636798762568E-2</c:v>
                </c:pt>
                <c:pt idx="1894">
                  <c:v>2.3308424109185703E-2</c:v>
                </c:pt>
                <c:pt idx="1895">
                  <c:v>2.313794568586976E-2</c:v>
                </c:pt>
                <c:pt idx="1896">
                  <c:v>2.296821787879013E-2</c:v>
                </c:pt>
                <c:pt idx="1897">
                  <c:v>2.2799257451715755E-2</c:v>
                </c:pt>
                <c:pt idx="1898">
                  <c:v>2.2631081592102122E-2</c:v>
                </c:pt>
                <c:pt idx="1899">
                  <c:v>2.2463707921086342E-2</c:v>
                </c:pt>
                <c:pt idx="1900">
                  <c:v>2.2297154503570549E-2</c:v>
                </c:pt>
                <c:pt idx="1901">
                  <c:v>2.2131439858378888E-2</c:v>
                </c:pt>
                <c:pt idx="1902">
                  <c:v>2.1966582968470837E-2</c:v>
                </c:pt>
                <c:pt idx="1903">
                  <c:v>2.1802603291192317E-2</c:v>
                </c:pt>
                <c:pt idx="1904">
                  <c:v>2.1639520768543679E-2</c:v>
                </c:pt>
                <c:pt idx="1905">
                  <c:v>2.1477355837441495E-2</c:v>
                </c:pt>
                <c:pt idx="1906">
                  <c:v>2.1316129439948921E-2</c:v>
                </c:pt>
                <c:pt idx="1907">
                  <c:v>2.1155863033446739E-2</c:v>
                </c:pt>
                <c:pt idx="1908">
                  <c:v>2.0996578600714567E-2</c:v>
                </c:pt>
                <c:pt idx="1909">
                  <c:v>2.0838298659889148E-2</c:v>
                </c:pt>
                <c:pt idx="1910">
                  <c:v>2.0681046274263218E-2</c:v>
                </c:pt>
                <c:pt idx="1911">
                  <c:v>2.0524845061885878E-2</c:v>
                </c:pt>
                <c:pt idx="1912">
                  <c:v>2.0369719204921595E-2</c:v>
                </c:pt>
                <c:pt idx="1913">
                  <c:v>2.0215693458721817E-2</c:v>
                </c:pt>
                <c:pt idx="1914">
                  <c:v>2.006279316055944E-2</c:v>
                </c:pt>
                <c:pt idx="1915">
                  <c:v>1.9911044237972523E-2</c:v>
                </c:pt>
                <c:pt idx="1916">
                  <c:v>1.9760473216659896E-2</c:v>
                </c:pt>
                <c:pt idx="1917">
                  <c:v>1.9611107227866898E-2</c:v>
                </c:pt>
                <c:pt idx="1918">
                  <c:v>1.9462974015195606E-2</c:v>
                </c:pt>
                <c:pt idx="1919">
                  <c:v>1.9316101940769301E-2</c:v>
                </c:pt>
                <c:pt idx="1920">
                  <c:v>1.9170519990676559E-2</c:v>
                </c:pt>
                <c:pt idx="1921">
                  <c:v>1.9026257779615873E-2</c:v>
                </c:pt>
                <c:pt idx="1922">
                  <c:v>1.8883345554656976E-2</c:v>
                </c:pt>
                <c:pt idx="1923">
                  <c:v>1.8741814198030539E-2</c:v>
                </c:pt>
                <c:pt idx="1924">
                  <c:v>1.8601695228853226E-2</c:v>
                </c:pt>
                <c:pt idx="1925">
                  <c:v>1.846302080369051E-2</c:v>
                </c:pt>
                <c:pt idx="1926">
                  <c:v>1.8325823715855234E-2</c:v>
                </c:pt>
                <c:pt idx="1927">
                  <c:v>1.8190137393335481E-2</c:v>
                </c:pt>
                <c:pt idx="1928">
                  <c:v>1.8055995895241202E-2</c:v>
                </c:pt>
                <c:pt idx="1929">
                  <c:v>1.792343390665524E-2</c:v>
                </c:pt>
                <c:pt idx="1930">
                  <c:v>1.7792486731770685E-2</c:v>
                </c:pt>
                <c:pt idx="1931">
                  <c:v>1.7663190285193649E-2</c:v>
                </c:pt>
                <c:pt idx="1932">
                  <c:v>1.7535581081287506E-2</c:v>
                </c:pt>
                <c:pt idx="1933">
                  <c:v>1.7409696221433145E-2</c:v>
                </c:pt>
                <c:pt idx="1934">
                  <c:v>1.7285573379077844E-2</c:v>
                </c:pt>
                <c:pt idx="1935">
                  <c:v>1.716325078244537E-2</c:v>
                </c:pt>
                <c:pt idx="1936">
                  <c:v>1.7042767194779859E-2</c:v>
                </c:pt>
                <c:pt idx="1937">
                  <c:v>1.692416189199759E-2</c:v>
                </c:pt>
                <c:pt idx="1938">
                  <c:v>1.6807474637623231E-2</c:v>
                </c:pt>
                <c:pt idx="1939">
                  <c:v>1.66927456548909E-2</c:v>
                </c:pt>
                <c:pt idx="1940">
                  <c:v>1.658001559589543E-2</c:v>
                </c:pt>
                <c:pt idx="1941">
                  <c:v>1.6469325507686046E-2</c:v>
                </c:pt>
                <c:pt idx="1942">
                  <c:v>1.6360716795202672E-2</c:v>
                </c:pt>
                <c:pt idx="1943">
                  <c:v>1.6254231180965195E-2</c:v>
                </c:pt>
                <c:pt idx="1944">
                  <c:v>1.614991066143778E-2</c:v>
                </c:pt>
                <c:pt idx="1945">
                  <c:v>1.6047797460003909E-2</c:v>
                </c:pt>
                <c:pt idx="1946">
                  <c:v>1.5947933976503671E-2</c:v>
                </c:pt>
                <c:pt idx="1947">
                  <c:v>1.5850362733302297E-2</c:v>
                </c:pt>
                <c:pt idx="1948">
                  <c:v>1.5755126317878957E-2</c:v>
                </c:pt>
                <c:pt idx="1949">
                  <c:v>1.5662267321946467E-2</c:v>
                </c:pt>
                <c:pt idx="1950">
                  <c:v>1.5571828277136509E-2</c:v>
                </c:pt>
                <c:pt idx="1951">
                  <c:v>1.5483851587310896E-2</c:v>
                </c:pt>
                <c:pt idx="1952">
                  <c:v>2.3691953300310657E-2</c:v>
                </c:pt>
                <c:pt idx="1953">
                  <c:v>2.351996850315213E-2</c:v>
                </c:pt>
                <c:pt idx="1954">
                  <c:v>2.33486999948854E-2</c:v>
                </c:pt>
                <c:pt idx="1955">
                  <c:v>2.3178163653960606E-2</c:v>
                </c:pt>
                <c:pt idx="1956">
                  <c:v>2.3008375760690401E-2</c:v>
                </c:pt>
                <c:pt idx="1957">
                  <c:v>2.2839353006974528E-2</c:v>
                </c:pt>
                <c:pt idx="1958">
                  <c:v>2.2671112506138586E-2</c:v>
                </c:pt>
                <c:pt idx="1959">
                  <c:v>2.2503671802875106E-2</c:v>
                </c:pt>
                <c:pt idx="1960">
                  <c:v>2.2337048883273838E-2</c:v>
                </c:pt>
                <c:pt idx="1961">
                  <c:v>2.2171262184926224E-2</c:v>
                </c:pt>
                <c:pt idx="1962">
                  <c:v>2.2006330607087593E-2</c:v>
                </c:pt>
                <c:pt idx="1963">
                  <c:v>2.1842273520878423E-2</c:v>
                </c:pt>
                <c:pt idx="1964">
                  <c:v>2.1679110779504292E-2</c:v>
                </c:pt>
                <c:pt idx="1965">
                  <c:v>2.151686272847177E-2</c:v>
                </c:pt>
                <c:pt idx="1966">
                  <c:v>2.1355550215775336E-2</c:v>
                </c:pt>
                <c:pt idx="1967">
                  <c:v>2.119519460202789E-2</c:v>
                </c:pt>
                <c:pt idx="1968">
                  <c:v>2.103581777050487E-2</c:v>
                </c:pt>
                <c:pt idx="1969">
                  <c:v>2.0877442137069151E-2</c:v>
                </c:pt>
                <c:pt idx="1970">
                  <c:v>2.0720090659941105E-2</c:v>
                </c:pt>
                <c:pt idx="1971">
                  <c:v>2.0563786849274932E-2</c:v>
                </c:pt>
                <c:pt idx="1972">
                  <c:v>2.0408554776499305E-2</c:v>
                </c:pt>
                <c:pt idx="1973">
                  <c:v>2.0254419083376801E-2</c:v>
                </c:pt>
                <c:pt idx="1974">
                  <c:v>2.0101404990733117E-2</c:v>
                </c:pt>
                <c:pt idx="1975">
                  <c:v>1.9949538306803193E-2</c:v>
                </c:pt>
                <c:pt idx="1976">
                  <c:v>1.9798845435137668E-2</c:v>
                </c:pt>
                <c:pt idx="1977">
                  <c:v>1.9649353382008811E-2</c:v>
                </c:pt>
                <c:pt idx="1978">
                  <c:v>1.9501089763251097E-2</c:v>
                </c:pt>
                <c:pt idx="1979">
                  <c:v>1.9354082810467101E-2</c:v>
                </c:pt>
                <c:pt idx="1980">
                  <c:v>1.9208361376525214E-2</c:v>
                </c:pt>
                <c:pt idx="1981">
                  <c:v>1.906395494027089E-2</c:v>
                </c:pt>
                <c:pt idx="1982">
                  <c:v>1.8920893610368885E-2</c:v>
                </c:pt>
                <c:pt idx="1983">
                  <c:v>1.8779208128189093E-2</c:v>
                </c:pt>
                <c:pt idx="1984">
                  <c:v>1.8638929869644192E-2</c:v>
                </c:pt>
                <c:pt idx="1985">
                  <c:v>1.8500090845882663E-2</c:v>
                </c:pt>
                <c:pt idx="1986">
                  <c:v>1.8362723702736325E-2</c:v>
                </c:pt>
                <c:pt idx="1987">
                  <c:v>1.8226861718817183E-2</c:v>
                </c:pt>
                <c:pt idx="1988">
                  <c:v>1.8092538802154279E-2</c:v>
                </c:pt>
                <c:pt idx="1989">
                  <c:v>1.7959789485257307E-2</c:v>
                </c:pt>
                <c:pt idx="1990">
                  <c:v>1.7828648918490311E-2</c:v>
                </c:pt>
                <c:pt idx="1991">
                  <c:v>1.7699152861635453E-2</c:v>
                </c:pt>
                <c:pt idx="1992">
                  <c:v>1.7571337673524375E-2</c:v>
                </c:pt>
                <c:pt idx="1993">
                  <c:v>1.7445240299612429E-2</c:v>
                </c:pt>
                <c:pt idx="1994">
                  <c:v>1.7320898257369675E-2</c:v>
                </c:pt>
                <c:pt idx="1995">
                  <c:v>1.7198349619361977E-2</c:v>
                </c:pt>
                <c:pt idx="1996">
                  <c:v>1.7077632993895569E-2</c:v>
                </c:pt>
                <c:pt idx="1997">
                  <c:v>1.6958787503099943E-2</c:v>
                </c:pt>
                <c:pt idx="1998">
                  <c:v>1.6841852758325997E-2</c:v>
                </c:pt>
                <c:pt idx="1999">
                  <c:v>1.6726868832740129E-2</c:v>
                </c:pt>
                <c:pt idx="2000">
                  <c:v>1.6613876230999771E-2</c:v>
                </c:pt>
                <c:pt idx="2001">
                  <c:v>1.650291585590229E-2</c:v>
                </c:pt>
                <c:pt idx="2002">
                  <c:v>1.6394028971907091E-2</c:v>
                </c:pt>
                <c:pt idx="2003">
                  <c:v>1.6287257165440498E-2</c:v>
                </c:pt>
                <c:pt idx="2004">
                  <c:v>1.6182642301904304E-2</c:v>
                </c:pt>
                <c:pt idx="2005">
                  <c:v>1.6080226479322307E-2</c:v>
                </c:pt>
                <c:pt idx="2006">
                  <c:v>1.5980051978574408E-2</c:v>
                </c:pt>
                <c:pt idx="2007">
                  <c:v>1.5882161210185076E-2</c:v>
                </c:pt>
                <c:pt idx="2008">
                  <c:v>1.578659665765237E-2</c:v>
                </c:pt>
                <c:pt idx="2009">
                  <c:v>1.56934008173251E-2</c:v>
                </c:pt>
                <c:pt idx="2010">
                  <c:v>1.5602616134859099E-2</c:v>
                </c:pt>
                <c:pt idx="2011">
                  <c:v>1.5514284938308849E-2</c:v>
                </c:pt>
                <c:pt idx="2012">
                  <c:v>1.5428449367938246E-2</c:v>
                </c:pt>
                <c:pt idx="2013">
                  <c:v>2.3565097717831995E-2</c:v>
                </c:pt>
                <c:pt idx="2014">
                  <c:v>2.3393808717754646E-2</c:v>
                </c:pt>
                <c:pt idx="2015">
                  <c:v>2.3223250161240171E-2</c:v>
                </c:pt>
                <c:pt idx="2016">
                  <c:v>2.3053438260635141E-2</c:v>
                </c:pt>
                <c:pt idx="2017">
                  <c:v>2.2884389637458466E-2</c:v>
                </c:pt>
                <c:pt idx="2018">
                  <c:v>2.2716121332169423E-2</c:v>
                </c:pt>
                <c:pt idx="2019">
                  <c:v>2.2548650814037518E-2</c:v>
                </c:pt>
                <c:pt idx="2020">
                  <c:v>2.2381995991101262E-2</c:v>
                </c:pt>
                <c:pt idx="2021">
                  <c:v>2.2216175220201091E-2</c:v>
                </c:pt>
                <c:pt idx="2022">
                  <c:v>2.2051207317070123E-2</c:v>
                </c:pt>
                <c:pt idx="2023">
                  <c:v>2.188711156646447E-2</c:v>
                </c:pt>
                <c:pt idx="2024">
                  <c:v>2.1723907732312916E-2</c:v>
                </c:pt>
                <c:pt idx="2025">
                  <c:v>2.1561616067863571E-2</c:v>
                </c:pt>
                <c:pt idx="2026">
                  <c:v>2.1400257325803029E-2</c:v>
                </c:pt>
                <c:pt idx="2027">
                  <c:v>2.1239852768320824E-2</c:v>
                </c:pt>
                <c:pt idx="2028">
                  <c:v>2.1080424177089781E-2</c:v>
                </c:pt>
                <c:pt idx="2029">
                  <c:v>2.0921993863129849E-2</c:v>
                </c:pt>
                <c:pt idx="2030">
                  <c:v>2.0764584676520269E-2</c:v>
                </c:pt>
                <c:pt idx="2031">
                  <c:v>2.0608220015921896E-2</c:v>
                </c:pt>
                <c:pt idx="2032">
                  <c:v>2.0452923837868099E-2</c:v>
                </c:pt>
                <c:pt idx="2033">
                  <c:v>2.0298720665779611E-2</c:v>
                </c:pt>
                <c:pt idx="2034">
                  <c:v>2.014563559865485E-2</c:v>
                </c:pt>
                <c:pt idx="2035">
                  <c:v>1.9993694319383717E-2</c:v>
                </c:pt>
                <c:pt idx="2036">
                  <c:v>1.984292310262905E-2</c:v>
                </c:pt>
                <c:pt idx="2037">
                  <c:v>1.9693348822215805E-2</c:v>
                </c:pt>
                <c:pt idx="2038">
                  <c:v>1.954499895796399E-2</c:v>
                </c:pt>
                <c:pt idx="2039">
                  <c:v>1.9397901601897159E-2</c:v>
                </c:pt>
                <c:pt idx="2040">
                  <c:v>1.9252085463753819E-2</c:v>
                </c:pt>
                <c:pt idx="2041">
                  <c:v>1.9107579875724812E-2</c:v>
                </c:pt>
                <c:pt idx="2042">
                  <c:v>1.8964414796335066E-2</c:v>
                </c:pt>
                <c:pt idx="2043">
                  <c:v>1.8822620813383747E-2</c:v>
                </c:pt>
                <c:pt idx="2044">
                  <c:v>1.8682229145852148E-2</c:v>
                </c:pt>
                <c:pt idx="2045">
                  <c:v>1.854327164468433E-2</c:v>
                </c:pt>
                <c:pt idx="2046">
                  <c:v>1.8405780792340929E-2</c:v>
                </c:pt>
                <c:pt idx="2047">
                  <c:v>1.8269789701022408E-2</c:v>
                </c:pt>
                <c:pt idx="2048">
                  <c:v>1.8135332109453877E-2</c:v>
                </c:pt>
                <c:pt idx="2049">
                  <c:v>1.8002442378119668E-2</c:v>
                </c:pt>
                <c:pt idx="2050">
                  <c:v>1.7871155482832527E-2</c:v>
                </c:pt>
                <c:pt idx="2051">
                  <c:v>1.7741507006518841E-2</c:v>
                </c:pt>
                <c:pt idx="2052">
                  <c:v>1.7613533129098913E-2</c:v>
                </c:pt>
                <c:pt idx="2053">
                  <c:v>1.7487270615339001E-2</c:v>
                </c:pt>
                <c:pt idx="2054">
                  <c:v>1.7362756800550386E-2</c:v>
                </c:pt>
                <c:pt idx="2055">
                  <c:v>1.7240029574010145E-2</c:v>
                </c:pt>
                <c:pt idx="2056">
                  <c:v>1.7119127359978253E-2</c:v>
                </c:pt>
                <c:pt idx="2057">
                  <c:v>1.7000089096186929E-2</c:v>
                </c:pt>
                <c:pt idx="2058">
                  <c:v>1.6882954209680168E-2</c:v>
                </c:pt>
                <c:pt idx="2059">
                  <c:v>1.6767762589884997E-2</c:v>
                </c:pt>
                <c:pt idx="2060">
                  <c:v>1.6654554558800487E-2</c:v>
                </c:pt>
                <c:pt idx="2061">
                  <c:v>1.6543370838196899E-2</c:v>
                </c:pt>
                <c:pt idx="2062">
                  <c:v>1.643425251372483E-2</c:v>
                </c:pt>
                <c:pt idx="2063">
                  <c:v>1.6327240995843848E-2</c:v>
                </c:pt>
                <c:pt idx="2064">
                  <c:v>1.6222377977490945E-2</c:v>
                </c:pt>
                <c:pt idx="2065">
                  <c:v>1.6119705388422216E-2</c:v>
                </c:pt>
                <c:pt idx="2066">
                  <c:v>1.6019265346176124E-2</c:v>
                </c:pt>
                <c:pt idx="2067">
                  <c:v>1.5921100103623374E-2</c:v>
                </c:pt>
                <c:pt idx="2068">
                  <c:v>1.5825251993087472E-2</c:v>
                </c:pt>
                <c:pt idx="2069">
                  <c:v>1.5731763367040831E-2</c:v>
                </c:pt>
                <c:pt idx="2070">
                  <c:v>1.5640676535404161E-2</c:v>
                </c:pt>
                <c:pt idx="2071">
                  <c:v>1.5552033699501906E-2</c:v>
                </c:pt>
                <c:pt idx="2072">
                  <c:v>1.5465876882752871E-2</c:v>
                </c:pt>
                <c:pt idx="2073">
                  <c:v>1.538224785820402E-2</c:v>
                </c:pt>
                <c:pt idx="2074">
                  <c:v>2.344372238081795E-2</c:v>
                </c:pt>
                <c:pt idx="2075">
                  <c:v>2.3273176912650802E-2</c:v>
                </c:pt>
                <c:pt idx="2076">
                  <c:v>2.3103376679674905E-2</c:v>
                </c:pt>
                <c:pt idx="2077">
                  <c:v>2.2934338234513674E-2</c:v>
                </c:pt>
                <c:pt idx="2078">
                  <c:v>2.2766078546028332E-2</c:v>
                </c:pt>
                <c:pt idx="2079">
                  <c:v>2.2598615009099848E-2</c:v>
                </c:pt>
                <c:pt idx="2080">
                  <c:v>2.2431965454498642E-2</c:v>
                </c:pt>
                <c:pt idx="2081">
                  <c:v>2.2266148158827423E-2</c:v>
                </c:pt>
                <c:pt idx="2082">
                  <c:v>2.2101181854521111E-2</c:v>
                </c:pt>
                <c:pt idx="2083">
                  <c:v>2.1937085739885745E-2</c:v>
                </c:pt>
                <c:pt idx="2084">
                  <c:v>2.1773879489156493E-2</c:v>
                </c:pt>
                <c:pt idx="2085">
                  <c:v>2.1611583262552678E-2</c:v>
                </c:pt>
                <c:pt idx="2086">
                  <c:v>2.1450217716305585E-2</c:v>
                </c:pt>
                <c:pt idx="2087">
                  <c:v>2.1289804012632408E-2</c:v>
                </c:pt>
                <c:pt idx="2088">
                  <c:v>2.1130363829627116E-2</c:v>
                </c:pt>
                <c:pt idx="2089">
                  <c:v>2.0971919371036471E-2</c:v>
                </c:pt>
                <c:pt idx="2090">
                  <c:v>2.0814493375886471E-2</c:v>
                </c:pt>
                <c:pt idx="2091">
                  <c:v>2.0658109127921521E-2</c:v>
                </c:pt>
                <c:pt idx="2092">
                  <c:v>2.0502790464815592E-2</c:v>
                </c:pt>
                <c:pt idx="2093">
                  <c:v>2.0348561787111093E-2</c:v>
                </c:pt>
                <c:pt idx="2094">
                  <c:v>2.0195448066837943E-2</c:v>
                </c:pt>
                <c:pt idx="2095">
                  <c:v>2.0043474855761537E-2</c:v>
                </c:pt>
                <c:pt idx="2096">
                  <c:v>1.9892668293204591E-2</c:v>
                </c:pt>
                <c:pt idx="2097">
                  <c:v>1.9743055113383937E-2</c:v>
                </c:pt>
                <c:pt idx="2098">
                  <c:v>1.9594662652199189E-2</c:v>
                </c:pt>
                <c:pt idx="2099">
                  <c:v>1.9447518853406211E-2</c:v>
                </c:pt>
                <c:pt idx="2100">
                  <c:v>1.9301652274103794E-2</c:v>
                </c:pt>
                <c:pt idx="2101">
                  <c:v>1.9157092089457844E-2</c:v>
                </c:pt>
                <c:pt idx="2102">
                  <c:v>1.9013868096582724E-2</c:v>
                </c:pt>
                <c:pt idx="2103">
                  <c:v>1.8872010717495107E-2</c:v>
                </c:pt>
                <c:pt idx="2104">
                  <c:v>1.8731551001051144E-2</c:v>
                </c:pt>
                <c:pt idx="2105">
                  <c:v>1.8592520623773312E-2</c:v>
                </c:pt>
                <c:pt idx="2106">
                  <c:v>1.8454951889469058E-2</c:v>
                </c:pt>
                <c:pt idx="2107">
                  <c:v>1.8318877727539019E-2</c:v>
                </c:pt>
                <c:pt idx="2108">
                  <c:v>1.8184331689868584E-2</c:v>
                </c:pt>
                <c:pt idx="2109">
                  <c:v>1.8051347946192783E-2</c:v>
                </c:pt>
                <c:pt idx="2110">
                  <c:v>1.7919961277820994E-2</c:v>
                </c:pt>
                <c:pt idx="2111">
                  <c:v>1.7790207069604762E-2</c:v>
                </c:pt>
                <c:pt idx="2112">
                  <c:v>1.766212130002941E-2</c:v>
                </c:pt>
                <c:pt idx="2113">
                  <c:v>1.7535740529308019E-2</c:v>
                </c:pt>
                <c:pt idx="2114">
                  <c:v>1.7411101885354788E-2</c:v>
                </c:pt>
                <c:pt idx="2115">
                  <c:v>1.7288243047514116E-2</c:v>
                </c:pt>
                <c:pt idx="2116">
                  <c:v>1.7167202227921743E-2</c:v>
                </c:pt>
                <c:pt idx="2117">
                  <c:v>1.7048018150375377E-2</c:v>
                </c:pt>
                <c:pt idx="2118">
                  <c:v>1.6930730026594277E-2</c:v>
                </c:pt>
                <c:pt idx="2119">
                  <c:v>1.6815377529750559E-2</c:v>
                </c:pt>
                <c:pt idx="2120">
                  <c:v>1.6702000765159389E-2</c:v>
                </c:pt>
                <c:pt idx="2121">
                  <c:v>1.6590640238021422E-2</c:v>
                </c:pt>
                <c:pt idx="2122">
                  <c:v>1.6481336818118007E-2</c:v>
                </c:pt>
                <c:pt idx="2123">
                  <c:v>1.6374131701368925E-2</c:v>
                </c:pt>
                <c:pt idx="2124">
                  <c:v>1.6269066368173168E-2</c:v>
                </c:pt>
                <c:pt idx="2125">
                  <c:v>1.6166182538465836E-2</c:v>
                </c:pt>
                <c:pt idx="2126">
                  <c:v>1.6065522123438692E-2</c:v>
                </c:pt>
                <c:pt idx="2127">
                  <c:v>1.596712717388837E-2</c:v>
                </c:pt>
                <c:pt idx="2128">
                  <c:v>1.5871039825174554E-2</c:v>
                </c:pt>
                <c:pt idx="2129">
                  <c:v>1.5777302238790852E-2</c:v>
                </c:pt>
                <c:pt idx="2130">
                  <c:v>1.5685956540573448E-2</c:v>
                </c:pt>
                <c:pt idx="2131">
                  <c:v>1.5597044755596768E-2</c:v>
                </c:pt>
                <c:pt idx="2132">
                  <c:v>1.5510608739831738E-2</c:v>
                </c:pt>
                <c:pt idx="2133">
                  <c:v>1.542669010866967E-2</c:v>
                </c:pt>
                <c:pt idx="2134">
                  <c:v>1.5345330162444682E-2</c:v>
                </c:pt>
                <c:pt idx="2135">
                  <c:v>2.3327912830722396E-2</c:v>
                </c:pt>
                <c:pt idx="2136">
                  <c:v>2.3158159474431811E-2</c:v>
                </c:pt>
                <c:pt idx="2137">
                  <c:v>2.2989166781451107E-2</c:v>
                </c:pt>
                <c:pt idx="2138">
                  <c:v>2.2820951650276543E-2</c:v>
                </c:pt>
                <c:pt idx="2139">
                  <c:v>2.2653531402407678E-2</c:v>
                </c:pt>
                <c:pt idx="2140">
                  <c:v>2.2486923792110994E-2</c:v>
                </c:pt>
                <c:pt idx="2141">
                  <c:v>2.2321147016255021E-2</c:v>
                </c:pt>
                <c:pt idx="2142">
                  <c:v>2.215621972420068E-2</c:v>
                </c:pt>
                <c:pt idx="2143">
                  <c:v>2.199216102772926E-2</c:v>
                </c:pt>
                <c:pt idx="2144">
                  <c:v>2.1828990510988234E-2</c:v>
                </c:pt>
                <c:pt idx="2145">
                  <c:v>2.1666728240433093E-2</c:v>
                </c:pt>
                <c:pt idx="2146">
                  <c:v>2.1505394774741365E-2</c:v>
                </c:pt>
                <c:pt idx="2147">
                  <c:v>2.1345011174672447E-2</c:v>
                </c:pt>
                <c:pt idx="2148">
                  <c:v>2.1185599012844458E-2</c:v>
                </c:pt>
                <c:pt idx="2149">
                  <c:v>2.1027180383396779E-2</c:v>
                </c:pt>
                <c:pt idx="2150">
                  <c:v>2.0869777911504055E-2</c:v>
                </c:pt>
                <c:pt idx="2151">
                  <c:v>2.07134147627045E-2</c:v>
                </c:pt>
                <c:pt idx="2152">
                  <c:v>2.0558114652002326E-2</c:v>
                </c:pt>
                <c:pt idx="2153">
                  <c:v>2.0403901852700791E-2</c:v>
                </c:pt>
                <c:pt idx="2154">
                  <c:v>2.0250801204918949E-2</c:v>
                </c:pt>
                <c:pt idx="2155">
                  <c:v>2.0098838123741695E-2</c:v>
                </c:pt>
                <c:pt idx="2156">
                  <c:v>1.9948038606948913E-2</c:v>
                </c:pt>
                <c:pt idx="2157">
                  <c:v>1.9798429242265714E-2</c:v>
                </c:pt>
                <c:pt idx="2158">
                  <c:v>1.9650037214071776E-2</c:v>
                </c:pt>
                <c:pt idx="2159">
                  <c:v>1.9502890309503751E-2</c:v>
                </c:pt>
                <c:pt idx="2160">
                  <c:v>1.9357016923880362E-2</c:v>
                </c:pt>
                <c:pt idx="2161">
                  <c:v>1.9212446065375751E-2</c:v>
                </c:pt>
                <c:pt idx="2162">
                  <c:v>1.9069207358862077E-2</c:v>
                </c:pt>
                <c:pt idx="2163">
                  <c:v>1.8927331048838158E-2</c:v>
                </c:pt>
                <c:pt idx="2164">
                  <c:v>1.8786848001356486E-2</c:v>
                </c:pt>
                <c:pt idx="2165">
                  <c:v>1.8647789704856643E-2</c:v>
                </c:pt>
                <c:pt idx="2166">
                  <c:v>1.8510188269808832E-2</c:v>
                </c:pt>
                <c:pt idx="2167">
                  <c:v>1.8374076427067169E-2</c:v>
                </c:pt>
                <c:pt idx="2168">
                  <c:v>1.8239487524828336E-2</c:v>
                </c:pt>
                <c:pt idx="2169">
                  <c:v>1.8106455524087461E-2</c:v>
                </c:pt>
                <c:pt idx="2170">
                  <c:v>1.7975014992479763E-2</c:v>
                </c:pt>
                <c:pt idx="2171">
                  <c:v>1.7845201096393197E-2</c:v>
                </c:pt>
                <c:pt idx="2172">
                  <c:v>1.7717049591234983E-2</c:v>
                </c:pt>
                <c:pt idx="2173">
                  <c:v>1.7590596809732531E-2</c:v>
                </c:pt>
                <c:pt idx="2174">
                  <c:v>1.7465879648148011E-2</c:v>
                </c:pt>
                <c:pt idx="2175">
                  <c:v>1.7342935550284887E-2</c:v>
                </c:pt>
                <c:pt idx="2176">
                  <c:v>1.7221802489164884E-2</c:v>
                </c:pt>
                <c:pt idx="2177">
                  <c:v>1.7102518946254735E-2</c:v>
                </c:pt>
                <c:pt idx="2178">
                  <c:v>1.6985123888124114E-2</c:v>
                </c:pt>
                <c:pt idx="2179">
                  <c:v>1.6869656740419254E-2</c:v>
                </c:pt>
                <c:pt idx="2180">
                  <c:v>1.6756157359041093E-2</c:v>
                </c:pt>
                <c:pt idx="2181">
                  <c:v>1.664466599842265E-2</c:v>
                </c:pt>
                <c:pt idx="2182">
                  <c:v>1.6535223276807395E-2</c:v>
                </c:pt>
                <c:pt idx="2183">
                  <c:v>1.6427870138439282E-2</c:v>
                </c:pt>
                <c:pt idx="2184">
                  <c:v>1.6322647812585522E-2</c:v>
                </c:pt>
                <c:pt idx="2185">
                  <c:v>1.6219597769325435E-2</c:v>
                </c:pt>
                <c:pt idx="2186">
                  <c:v>1.6118761672052739E-2</c:v>
                </c:pt>
                <c:pt idx="2187">
                  <c:v>1.602018132665458E-2</c:v>
                </c:pt>
                <c:pt idx="2188">
                  <c:v>1.5923898627348575E-2</c:v>
                </c:pt>
                <c:pt idx="2189">
                  <c:v>1.5829955499178806E-2</c:v>
                </c:pt>
                <c:pt idx="2190">
                  <c:v>1.5738393837193641E-2</c:v>
                </c:pt>
                <c:pt idx="2191">
                  <c:v>1.5649255442351698E-2</c:v>
                </c:pt>
                <c:pt idx="2192">
                  <c:v>1.5562581954227881E-2</c:v>
                </c:pt>
                <c:pt idx="2193">
                  <c:v>1.5478414780618545E-2</c:v>
                </c:pt>
                <c:pt idx="2194">
                  <c:v>1.5396795024173305E-2</c:v>
                </c:pt>
                <c:pt idx="2195">
                  <c:v>1.5317763406211464E-2</c:v>
                </c:pt>
                <c:pt idx="2196">
                  <c:v>2.3217752353699633E-2</c:v>
                </c:pt>
                <c:pt idx="2197">
                  <c:v>2.3048840453044776E-2</c:v>
                </c:pt>
                <c:pt idx="2198">
                  <c:v>2.2880705276691705E-2</c:v>
                </c:pt>
                <c:pt idx="2199">
                  <c:v>2.2713364073700486E-2</c:v>
                </c:pt>
                <c:pt idx="2200">
                  <c:v>2.2546834522540724E-2</c:v>
                </c:pt>
                <c:pt idx="2201">
                  <c:v>2.2381134740801823E-2</c:v>
                </c:pt>
                <c:pt idx="2202">
                  <c:v>2.221628329495608E-2</c:v>
                </c:pt>
                <c:pt idx="2203">
                  <c:v>2.2052299210156941E-2</c:v>
                </c:pt>
                <c:pt idx="2204">
                  <c:v>2.1889201980053057E-2</c:v>
                </c:pt>
                <c:pt idx="2205">
                  <c:v>2.172701157659641E-2</c:v>
                </c:pt>
                <c:pt idx="2206">
                  <c:v>2.1565748459821101E-2</c:v>
                </c:pt>
                <c:pt idx="2207">
                  <c:v>2.1405433587566591E-2</c:v>
                </c:pt>
                <c:pt idx="2208">
                  <c:v>2.1246088425117167E-2</c:v>
                </c:pt>
                <c:pt idx="2209">
                  <c:v>2.1087734954726583E-2</c:v>
                </c:pt>
                <c:pt idx="2210">
                  <c:v>2.093039568499418E-2</c:v>
                </c:pt>
                <c:pt idx="2211">
                  <c:v>2.0774093660055892E-2</c:v>
                </c:pt>
                <c:pt idx="2212">
                  <c:v>2.0618852468550521E-2</c:v>
                </c:pt>
                <c:pt idx="2213">
                  <c:v>2.0464696252318407E-2</c:v>
                </c:pt>
                <c:pt idx="2214">
                  <c:v>2.0311649714786453E-2</c:v>
                </c:pt>
                <c:pt idx="2215">
                  <c:v>2.0159738128989666E-2</c:v>
                </c:pt>
                <c:pt idx="2216">
                  <c:v>2.0008987345176192E-2</c:v>
                </c:pt>
                <c:pt idx="2217">
                  <c:v>1.985942379793855E-2</c:v>
                </c:pt>
                <c:pt idx="2218">
                  <c:v>1.9711074512810331E-2</c:v>
                </c:pt>
                <c:pt idx="2219">
                  <c:v>1.9563967112263301E-2</c:v>
                </c:pt>
                <c:pt idx="2220">
                  <c:v>1.9418129821035933E-2</c:v>
                </c:pt>
                <c:pt idx="2221">
                  <c:v>1.9273591470720129E-2</c:v>
                </c:pt>
                <c:pt idx="2222">
                  <c:v>1.9130381503528686E-2</c:v>
                </c:pt>
                <c:pt idx="2223">
                  <c:v>1.8988529975161723E-2</c:v>
                </c:pt>
                <c:pt idx="2224">
                  <c:v>1.884806755668612E-2</c:v>
                </c:pt>
                <c:pt idx="2225">
                  <c:v>1.8709025535337705E-2</c:v>
                </c:pt>
                <c:pt idx="2226">
                  <c:v>1.8571435814151764E-2</c:v>
                </c:pt>
                <c:pt idx="2227">
                  <c:v>1.8435330910323396E-2</c:v>
                </c:pt>
                <c:pt idx="2228">
                  <c:v>1.8300743952195428E-2</c:v>
                </c:pt>
                <c:pt idx="2229">
                  <c:v>1.8167708674767875E-2</c:v>
                </c:pt>
                <c:pt idx="2230">
                  <c:v>1.8036259413619558E-2</c:v>
                </c:pt>
                <c:pt idx="2231">
                  <c:v>1.7906431097129607E-2</c:v>
                </c:pt>
                <c:pt idx="2232">
                  <c:v>1.7778259236883864E-2</c:v>
                </c:pt>
                <c:pt idx="2233">
                  <c:v>1.7651779916149201E-2</c:v>
                </c:pt>
                <c:pt idx="2234">
                  <c:v>1.7527029776297422E-2</c:v>
                </c:pt>
                <c:pt idx="2235">
                  <c:v>1.740404600105936E-2</c:v>
                </c:pt>
                <c:pt idx="2236">
                  <c:v>1.7282866298490251E-2</c:v>
                </c:pt>
                <c:pt idx="2237">
                  <c:v>1.7163528880527915E-2</c:v>
                </c:pt>
                <c:pt idx="2238">
                  <c:v>1.7046072440027569E-2</c:v>
                </c:pt>
                <c:pt idx="2239">
                  <c:v>1.6930536125159924E-2</c:v>
                </c:pt>
                <c:pt idx="2240">
                  <c:v>1.6816959511063486E-2</c:v>
                </c:pt>
                <c:pt idx="2241">
                  <c:v>1.6705382568647693E-2</c:v>
                </c:pt>
                <c:pt idx="2242">
                  <c:v>1.6595845630450214E-2</c:v>
                </c:pt>
                <c:pt idx="2243">
                  <c:v>1.6488389353460659E-2</c:v>
                </c:pt>
                <c:pt idx="2244">
                  <c:v>1.6383054678832699E-2</c:v>
                </c:pt>
                <c:pt idx="2245">
                  <c:v>1.6279882788418819E-2</c:v>
                </c:pt>
                <c:pt idx="2246">
                  <c:v>1.6178915058075258E-2</c:v>
                </c:pt>
                <c:pt idx="2247">
                  <c:v>1.6080193007700482E-2</c:v>
                </c:pt>
                <c:pt idx="2248">
                  <c:v>1.5983758247987565E-2</c:v>
                </c:pt>
                <c:pt idx="2249">
                  <c:v>1.5889652423890441E-2</c:v>
                </c:pt>
                <c:pt idx="2250">
                  <c:v>1.579791715482488E-2</c:v>
                </c:pt>
                <c:pt idx="2251">
                  <c:v>1.5708593971648099E-2</c:v>
                </c:pt>
                <c:pt idx="2252">
                  <c:v>1.5621724250485724E-2</c:v>
                </c:pt>
                <c:pt idx="2253">
                  <c:v>1.5537349143501095E-2</c:v>
                </c:pt>
                <c:pt idx="2254">
                  <c:v>1.545550950672998E-2</c:v>
                </c:pt>
                <c:pt idx="2255">
                  <c:v>1.5376245825132782E-2</c:v>
                </c:pt>
                <c:pt idx="2256">
                  <c:v>1.529959813504694E-2</c:v>
                </c:pt>
                <c:pt idx="2257">
                  <c:v>2.3113321722086837E-2</c:v>
                </c:pt>
                <c:pt idx="2258">
                  <c:v>2.2945301296074434E-2</c:v>
                </c:pt>
                <c:pt idx="2259">
                  <c:v>2.2778074281275512E-2</c:v>
                </c:pt>
                <c:pt idx="2260">
                  <c:v>2.2611658280977547E-2</c:v>
                </c:pt>
                <c:pt idx="2261">
                  <c:v>2.2446071333862012E-2</c:v>
                </c:pt>
                <c:pt idx="2262">
                  <c:v>2.2281331923623179E-2</c:v>
                </c:pt>
                <c:pt idx="2263">
                  <c:v>2.2117458988618985E-2</c:v>
                </c:pt>
                <c:pt idx="2264">
                  <c:v>2.1954471931534637E-2</c:v>
                </c:pt>
                <c:pt idx="2265">
                  <c:v>2.1792390629037636E-2</c:v>
                </c:pt>
                <c:pt idx="2266">
                  <c:v>2.1631235441400908E-2</c:v>
                </c:pt>
                <c:pt idx="2267">
                  <c:v>2.1471027222068249E-2</c:v>
                </c:pt>
                <c:pt idx="2268">
                  <c:v>2.1311787327134221E-2</c:v>
                </c:pt>
                <c:pt idx="2269">
                  <c:v>2.1153537624707786E-2</c:v>
                </c:pt>
                <c:pt idx="2270">
                  <c:v>2.0996300504126503E-2</c:v>
                </c:pt>
                <c:pt idx="2271">
                  <c:v>2.0840098884985253E-2</c:v>
                </c:pt>
                <c:pt idx="2272">
                  <c:v>2.0684956225940399E-2</c:v>
                </c:pt>
                <c:pt idx="2273">
                  <c:v>2.0530896533247234E-2</c:v>
                </c:pt>
                <c:pt idx="2274">
                  <c:v>2.0377944368985355E-2</c:v>
                </c:pt>
                <c:pt idx="2275">
                  <c:v>2.0226124858923094E-2</c:v>
                </c:pt>
                <c:pt idx="2276">
                  <c:v>2.0075463699968606E-2</c:v>
                </c:pt>
                <c:pt idx="2277">
                  <c:v>1.9925987167151684E-2</c:v>
                </c:pt>
                <c:pt idx="2278">
                  <c:v>1.9777722120076315E-2</c:v>
                </c:pt>
                <c:pt idx="2279">
                  <c:v>1.9630696008780337E-2</c:v>
                </c:pt>
                <c:pt idx="2280">
                  <c:v>1.948493687893442E-2</c:v>
                </c:pt>
                <c:pt idx="2281">
                  <c:v>1.9340473376308523E-2</c:v>
                </c:pt>
                <c:pt idx="2282">
                  <c:v>1.9197334750429937E-2</c:v>
                </c:pt>
                <c:pt idx="2283">
                  <c:v>1.9055550857352745E-2</c:v>
                </c:pt>
                <c:pt idx="2284">
                  <c:v>1.8915152161454452E-2</c:v>
                </c:pt>
                <c:pt idx="2285">
                  <c:v>1.8776169736171407E-2</c:v>
                </c:pt>
                <c:pt idx="2286">
                  <c:v>1.8638635263580561E-2</c:v>
                </c:pt>
                <c:pt idx="2287">
                  <c:v>1.8502581032731207E-2</c:v>
                </c:pt>
                <c:pt idx="2288">
                  <c:v>1.8368039936626505E-2</c:v>
                </c:pt>
                <c:pt idx="2289">
                  <c:v>1.8235045467751208E-2</c:v>
                </c:pt>
                <c:pt idx="2290">
                  <c:v>1.8103631712038541E-2</c:v>
                </c:pt>
                <c:pt idx="2291">
                  <c:v>1.7973833341166458E-2</c:v>
                </c:pt>
                <c:pt idx="2292">
                  <c:v>1.7845685603070916E-2</c:v>
                </c:pt>
                <c:pt idx="2293">
                  <c:v>1.771922431056179E-2</c:v>
                </c:pt>
                <c:pt idx="2294">
                  <c:v>1.7594485827925783E-2</c:v>
                </c:pt>
                <c:pt idx="2295">
                  <c:v>1.747150705539979E-2</c:v>
                </c:pt>
                <c:pt idx="2296">
                  <c:v>1.7350325411398304E-2</c:v>
                </c:pt>
                <c:pt idx="2297">
                  <c:v>1.7230978812379432E-2</c:v>
                </c:pt>
                <c:pt idx="2298">
                  <c:v>1.7113505650235724E-2</c:v>
                </c:pt>
                <c:pt idx="2299">
                  <c:v>1.6997944767099253E-2</c:v>
                </c:pt>
                <c:pt idx="2300">
                  <c:v>1.6884335427454343E-2</c:v>
                </c:pt>
                <c:pt idx="2301">
                  <c:v>1.6772717287456697E-2</c:v>
                </c:pt>
                <c:pt idx="2302">
                  <c:v>1.6663130361364679E-2</c:v>
                </c:pt>
                <c:pt idx="2303">
                  <c:v>1.6555614984996605E-2</c:v>
                </c:pt>
                <c:pt idx="2304">
                  <c:v>1.645021177613774E-2</c:v>
                </c:pt>
                <c:pt idx="2305">
                  <c:v>1.6346961591832392E-2</c:v>
                </c:pt>
                <c:pt idx="2306">
                  <c:v>1.6245905482509489E-2</c:v>
                </c:pt>
                <c:pt idx="2307">
                  <c:v>1.6147084642905242E-2</c:v>
                </c:pt>
                <c:pt idx="2308">
                  <c:v>1.6050540359763176E-2</c:v>
                </c:pt>
                <c:pt idx="2309">
                  <c:v>1.5956313956310617E-2</c:v>
                </c:pt>
                <c:pt idx="2310">
                  <c:v>1.5864446733531087E-2</c:v>
                </c:pt>
                <c:pt idx="2311">
                  <c:v>1.5774979908274474E-2</c:v>
                </c:pt>
                <c:pt idx="2312">
                  <c:v>1.5687954548270704E-2</c:v>
                </c:pt>
                <c:pt idx="2313">
                  <c:v>1.5603411504138366E-2</c:v>
                </c:pt>
                <c:pt idx="2314">
                  <c:v>1.5521391338506779E-2</c:v>
                </c:pt>
                <c:pt idx="2315">
                  <c:v>1.5441934252398409E-2</c:v>
                </c:pt>
                <c:pt idx="2316">
                  <c:v>1.5365080009047887E-2</c:v>
                </c:pt>
                <c:pt idx="2317">
                  <c:v>1.5290867855364416E-2</c:v>
                </c:pt>
                <c:pt idx="2318">
                  <c:v>2.3014698934608769E-2</c:v>
                </c:pt>
                <c:pt idx="2319">
                  <c:v>2.2847620581942032E-2</c:v>
                </c:pt>
                <c:pt idx="2320">
                  <c:v>2.2681352942864892E-2</c:v>
                </c:pt>
                <c:pt idx="2321">
                  <c:v>2.251591397740622E-2</c:v>
                </c:pt>
                <c:pt idx="2322">
                  <c:v>2.2351322086485929E-2</c:v>
                </c:pt>
                <c:pt idx="2323">
                  <c:v>2.2187596121401629E-2</c:v>
                </c:pt>
                <c:pt idx="2324">
                  <c:v>2.2024755393324245E-2</c:v>
                </c:pt>
                <c:pt idx="2325">
                  <c:v>2.1862819682781542E-2</c:v>
                </c:pt>
                <c:pt idx="2326">
                  <c:v>2.1701809249106412E-2</c:v>
                </c:pt>
                <c:pt idx="2327">
                  <c:v>2.1541744839824538E-2</c:v>
                </c:pt>
                <c:pt idx="2328">
                  <c:v>2.1382647699953801E-2</c:v>
                </c:pt>
                <c:pt idx="2329">
                  <c:v>2.1224539581185219E-2</c:v>
                </c:pt>
                <c:pt idx="2330">
                  <c:v>2.1067442750912657E-2</c:v>
                </c:pt>
                <c:pt idx="2331">
                  <c:v>2.0911380001075789E-2</c:v>
                </c:pt>
                <c:pt idx="2332">
                  <c:v>2.0756374656777824E-2</c:v>
                </c:pt>
                <c:pt idx="2333">
                  <c:v>2.0602450584636545E-2</c:v>
                </c:pt>
                <c:pt idx="2334">
                  <c:v>2.0449632200824026E-2</c:v>
                </c:pt>
                <c:pt idx="2335">
                  <c:v>2.0297944478746926E-2</c:v>
                </c:pt>
                <c:pt idx="2336">
                  <c:v>2.0147412956316075E-2</c:v>
                </c:pt>
                <c:pt idx="2337">
                  <c:v>1.9998063742750163E-2</c:v>
                </c:pt>
                <c:pt idx="2338">
                  <c:v>1.984992352485496E-2</c:v>
                </c:pt>
                <c:pt idx="2339">
                  <c:v>1.970301957271545E-2</c:v>
                </c:pt>
                <c:pt idx="2340">
                  <c:v>1.9557379744734513E-2</c:v>
                </c:pt>
                <c:pt idx="2341">
                  <c:v>1.9413032491947813E-2</c:v>
                </c:pt>
                <c:pt idx="2342">
                  <c:v>1.9270006861540474E-2</c:v>
                </c:pt>
                <c:pt idx="2343">
                  <c:v>1.9128332499487206E-2</c:v>
                </c:pt>
                <c:pt idx="2344">
                  <c:v>1.8988039652233342E-2</c:v>
                </c:pt>
                <c:pt idx="2345">
                  <c:v>1.884915916733049E-2</c:v>
                </c:pt>
                <c:pt idx="2346">
                  <c:v>1.8711722492936303E-2</c:v>
                </c:pt>
                <c:pt idx="2347">
                  <c:v>1.8575761676084334E-2</c:v>
                </c:pt>
                <c:pt idx="2348">
                  <c:v>1.8441309359626137E-2</c:v>
                </c:pt>
                <c:pt idx="2349">
                  <c:v>1.8308398777744372E-2</c:v>
                </c:pt>
                <c:pt idx="2350">
                  <c:v>1.8177063749932623E-2</c:v>
                </c:pt>
                <c:pt idx="2351">
                  <c:v>1.8047338673334735E-2</c:v>
                </c:pt>
                <c:pt idx="2352">
                  <c:v>1.7919258513334146E-2</c:v>
                </c:pt>
                <c:pt idx="2353">
                  <c:v>1.779285879228178E-2</c:v>
                </c:pt>
                <c:pt idx="2354">
                  <c:v>1.7668175576249681E-2</c:v>
                </c:pt>
                <c:pt idx="2355">
                  <c:v>1.7545245459697004E-2</c:v>
                </c:pt>
                <c:pt idx="2356">
                  <c:v>1.7424105547934936E-2</c:v>
                </c:pt>
                <c:pt idx="2357">
                  <c:v>1.7304793437278049E-2</c:v>
                </c:pt>
                <c:pt idx="2358">
                  <c:v>1.7187347192771544E-2</c:v>
                </c:pt>
                <c:pt idx="2359">
                  <c:v>1.7071805323386518E-2</c:v>
                </c:pt>
                <c:pt idx="2360">
                  <c:v>1.6958206754579642E-2</c:v>
                </c:pt>
                <c:pt idx="2361">
                  <c:v>1.6846590798118732E-2</c:v>
                </c:pt>
                <c:pt idx="2362">
                  <c:v>1.6736997119082411E-2</c:v>
                </c:pt>
                <c:pt idx="2363">
                  <c:v>1.6629465699949983E-2</c:v>
                </c:pt>
                <c:pt idx="2364">
                  <c:v>1.6524036801707352E-2</c:v>
                </c:pt>
                <c:pt idx="2365">
                  <c:v>1.6420750921905824E-2</c:v>
                </c:pt>
                <c:pt idx="2366">
                  <c:v>1.6319648749623532E-2</c:v>
                </c:pt>
                <c:pt idx="2367">
                  <c:v>1.6220771117293798E-2</c:v>
                </c:pt>
                <c:pt idx="2368">
                  <c:v>1.6124158949380969E-2</c:v>
                </c:pt>
                <c:pt idx="2369">
                  <c:v>1.6029853207902376E-2</c:v>
                </c:pt>
                <c:pt idx="2370">
                  <c:v>1.5937894834814909E-2</c:v>
                </c:pt>
                <c:pt idx="2371">
                  <c:v>1.5848324691306249E-2</c:v>
                </c:pt>
                <c:pt idx="2372">
                  <c:v>1.5761183494054018E-2</c:v>
                </c:pt>
                <c:pt idx="2373">
                  <c:v>1.5676511748540879E-2</c:v>
                </c:pt>
                <c:pt idx="2374">
                  <c:v>1.5594349679539878E-2</c:v>
                </c:pt>
                <c:pt idx="2375">
                  <c:v>1.5514737158911733E-2</c:v>
                </c:pt>
                <c:pt idx="2376">
                  <c:v>1.5437713630884392E-2</c:v>
                </c:pt>
                <c:pt idx="2377">
                  <c:v>1.5363318035014341E-2</c:v>
                </c:pt>
                <c:pt idx="2378">
                  <c:v>1.5291588727059267E-2</c:v>
                </c:pt>
                <c:pt idx="2379">
                  <c:v>2.2921958956941199E-2</c:v>
                </c:pt>
                <c:pt idx="2380">
                  <c:v>2.2755873753739966E-2</c:v>
                </c:pt>
                <c:pt idx="2381">
                  <c:v>2.2590617167871519E-2</c:v>
                </c:pt>
                <c:pt idx="2382">
                  <c:v>2.2426207517349823E-2</c:v>
                </c:pt>
                <c:pt idx="2383">
                  <c:v>2.22626635660217E-2</c:v>
                </c:pt>
                <c:pt idx="2384">
                  <c:v>2.2100004532878002E-2</c:v>
                </c:pt>
                <c:pt idx="2385">
                  <c:v>2.1938250101348377E-2</c:v>
                </c:pt>
                <c:pt idx="2386">
                  <c:v>2.1777420428556779E-2</c:v>
                </c:pt>
                <c:pt idx="2387">
                  <c:v>2.1617536154512566E-2</c:v>
                </c:pt>
                <c:pt idx="2388">
                  <c:v>2.1458618411209975E-2</c:v>
                </c:pt>
                <c:pt idx="2389">
                  <c:v>2.130068883160607E-2</c:v>
                </c:pt>
                <c:pt idx="2390">
                  <c:v>2.1143769558444898E-2</c:v>
                </c:pt>
                <c:pt idx="2391">
                  <c:v>2.0987883252892865E-2</c:v>
                </c:pt>
                <c:pt idx="2392">
                  <c:v>2.0833053102947401E-2</c:v>
                </c:pt>
                <c:pt idx="2393">
                  <c:v>2.0679302831578192E-2</c:v>
                </c:pt>
                <c:pt idx="2394">
                  <c:v>2.0526656704557011E-2</c:v>
                </c:pt>
                <c:pt idx="2395">
                  <c:v>2.0375139537929032E-2</c:v>
                </c:pt>
                <c:pt idx="2396">
                  <c:v>2.0224776705075088E-2</c:v>
                </c:pt>
                <c:pt idx="2397">
                  <c:v>2.0075594143311008E-2</c:v>
                </c:pt>
                <c:pt idx="2398">
                  <c:v>1.9927618359966263E-2</c:v>
                </c:pt>
                <c:pt idx="2399">
                  <c:v>1.9780876437880894E-2</c:v>
                </c:pt>
                <c:pt idx="2400">
                  <c:v>1.963539604025558E-2</c:v>
                </c:pt>
                <c:pt idx="2401">
                  <c:v>1.9491205414786016E-2</c:v>
                </c:pt>
                <c:pt idx="2402">
                  <c:v>1.9348333397008862E-2</c:v>
                </c:pt>
                <c:pt idx="2403">
                  <c:v>1.920680941278273E-2</c:v>
                </c:pt>
                <c:pt idx="2404">
                  <c:v>1.9066663479823522E-2</c:v>
                </c:pt>
                <c:pt idx="2405">
                  <c:v>1.8927926208209888E-2</c:v>
                </c:pt>
                <c:pt idx="2406">
                  <c:v>1.8790628799770576E-2</c:v>
                </c:pt>
                <c:pt idx="2407">
                  <c:v>1.8654803046261888E-2</c:v>
                </c:pt>
                <c:pt idx="2408">
                  <c:v>1.852048132623994E-2</c:v>
                </c:pt>
                <c:pt idx="2409">
                  <c:v>1.8387696600529083E-2</c:v>
                </c:pt>
                <c:pt idx="2410">
                  <c:v>1.8256482406184962E-2</c:v>
                </c:pt>
                <c:pt idx="2411">
                  <c:v>1.8126872848847904E-2</c:v>
                </c:pt>
                <c:pt idx="2412">
                  <c:v>1.7998902593380061E-2</c:v>
                </c:pt>
                <c:pt idx="2413">
                  <c:v>1.7872606852678032E-2</c:v>
                </c:pt>
                <c:pt idx="2414">
                  <c:v>1.7748021374551299E-2</c:v>
                </c:pt>
                <c:pt idx="2415">
                  <c:v>1.7625182426556377E-2</c:v>
                </c:pt>
                <c:pt idx="2416">
                  <c:v>1.7504126778676497E-2</c:v>
                </c:pt>
                <c:pt idx="2417">
                  <c:v>1.738489168373774E-2</c:v>
                </c:pt>
                <c:pt idx="2418">
                  <c:v>1.7267514855454257E-2</c:v>
                </c:pt>
                <c:pt idx="2419">
                  <c:v>1.7152034443998158E-2</c:v>
                </c:pt>
                <c:pt idx="2420">
                  <c:v>1.7038489008993456E-2</c:v>
                </c:pt>
                <c:pt idx="2421">
                  <c:v>1.6926917489838735E-2</c:v>
                </c:pt>
                <c:pt idx="2422">
                  <c:v>1.6817359173269503E-2</c:v>
                </c:pt>
                <c:pt idx="2423">
                  <c:v>1.6709853658079157E-2</c:v>
                </c:pt>
                <c:pt idx="2424">
                  <c:v>1.6604440816926559E-2</c:v>
                </c:pt>
                <c:pt idx="2425">
                  <c:v>1.6501160755169258E-2</c:v>
                </c:pt>
                <c:pt idx="2426">
                  <c:v>1.6400053766673615E-2</c:v>
                </c:pt>
                <c:pt idx="2427">
                  <c:v>1.6301160286567293E-2</c:v>
                </c:pt>
                <c:pt idx="2428">
                  <c:v>1.6204520840915282E-2</c:v>
                </c:pt>
                <c:pt idx="2429">
                  <c:v>1.6110175993318099E-2</c:v>
                </c:pt>
                <c:pt idx="2430">
                  <c:v>1.6018166288449931E-2</c:v>
                </c:pt>
                <c:pt idx="2431">
                  <c:v>1.5928532192575395E-2</c:v>
                </c:pt>
                <c:pt idx="2432">
                  <c:v>1.5841314031105929E-2</c:v>
                </c:pt>
                <c:pt idx="2433">
                  <c:v>1.5756551923280751E-2</c:v>
                </c:pt>
                <c:pt idx="2434">
                  <c:v>1.5674285714082699E-2</c:v>
                </c:pt>
                <c:pt idx="2435">
                  <c:v>1.5594554903525707E-2</c:v>
                </c:pt>
                <c:pt idx="2436">
                  <c:v>1.5517398573478225E-2</c:v>
                </c:pt>
                <c:pt idx="2437">
                  <c:v>1.5442855312215308E-2</c:v>
                </c:pt>
                <c:pt idx="2438">
                  <c:v>1.53709631369207E-2</c:v>
                </c:pt>
                <c:pt idx="2439">
                  <c:v>1.5301759414389557E-2</c:v>
                </c:pt>
                <c:pt idx="2440">
                  <c:v>2.2835173464367118E-2</c:v>
                </c:pt>
                <c:pt idx="2441">
                  <c:v>2.2670132855520404E-2</c:v>
                </c:pt>
                <c:pt idx="2442">
                  <c:v>2.2505939351266397E-2</c:v>
                </c:pt>
                <c:pt idx="2443">
                  <c:v>2.2342611627460717E-2</c:v>
                </c:pt>
                <c:pt idx="2444">
                  <c:v>2.2180168810108959E-2</c:v>
                </c:pt>
                <c:pt idx="2445">
                  <c:v>2.2018630484456653E-2</c:v>
                </c:pt>
                <c:pt idx="2446">
                  <c:v>2.185801670403523E-2</c:v>
                </c:pt>
                <c:pt idx="2447">
                  <c:v>2.1698347999639243E-2</c:v>
                </c:pt>
                <c:pt idx="2448">
                  <c:v>2.1539645388207754E-2</c:v>
                </c:pt>
                <c:pt idx="2449">
                  <c:v>2.1381930381580535E-2</c:v>
                </c:pt>
                <c:pt idx="2450">
                  <c:v>2.1225224995097217E-2</c:v>
                </c:pt>
                <c:pt idx="2451">
                  <c:v>2.1069551756004889E-2</c:v>
                </c:pt>
                <c:pt idx="2452">
                  <c:v>2.0914933711636854E-2</c:v>
                </c:pt>
                <c:pt idx="2453">
                  <c:v>2.0761394437322472E-2</c:v>
                </c:pt>
                <c:pt idx="2454">
                  <c:v>2.0608958043984934E-2</c:v>
                </c:pt>
                <c:pt idx="2455">
                  <c:v>2.0457649185380612E-2</c:v>
                </c:pt>
                <c:pt idx="2456">
                  <c:v>2.0307493064930564E-2</c:v>
                </c:pt>
                <c:pt idx="2457">
                  <c:v>2.0158515442091147E-2</c:v>
                </c:pt>
                <c:pt idx="2458">
                  <c:v>2.0010742638207558E-2</c:v>
                </c:pt>
                <c:pt idx="2459">
                  <c:v>1.9864201541790055E-2</c:v>
                </c:pt>
                <c:pt idx="2460">
                  <c:v>1.9718919613149626E-2</c:v>
                </c:pt>
                <c:pt idx="2461">
                  <c:v>1.9574924888325504E-2</c:v>
                </c:pt>
                <c:pt idx="2462">
                  <c:v>1.9432245982233743E-2</c:v>
                </c:pt>
                <c:pt idx="2463">
                  <c:v>1.9290912090961891E-2</c:v>
                </c:pt>
                <c:pt idx="2464">
                  <c:v>1.915095299313133E-2</c:v>
                </c:pt>
                <c:pt idx="2465">
                  <c:v>1.9012399050245023E-2</c:v>
                </c:pt>
                <c:pt idx="2466">
                  <c:v>1.8875281205934812E-2</c:v>
                </c:pt>
                <c:pt idx="2467">
                  <c:v>1.8739630984018863E-2</c:v>
                </c:pt>
                <c:pt idx="2468">
                  <c:v>1.8605480485276632E-2</c:v>
                </c:pt>
                <c:pt idx="2469">
                  <c:v>1.8472862382845422E-2</c:v>
                </c:pt>
                <c:pt idx="2470">
                  <c:v>1.8341809916139876E-2</c:v>
                </c:pt>
                <c:pt idx="2471">
                  <c:v>1.8212356883193202E-2</c:v>
                </c:pt>
                <c:pt idx="2472">
                  <c:v>1.808453763131666E-2</c:v>
                </c:pt>
                <c:pt idx="2473">
                  <c:v>1.7958387045972361E-2</c:v>
                </c:pt>
                <c:pt idx="2474">
                  <c:v>1.7833940537753099E-2</c:v>
                </c:pt>
                <c:pt idx="2475">
                  <c:v>1.7711234027362539E-2</c:v>
                </c:pt>
                <c:pt idx="2476">
                  <c:v>1.7590303928489179E-2</c:v>
                </c:pt>
                <c:pt idx="2477">
                  <c:v>1.7471187128468551E-2</c:v>
                </c:pt>
                <c:pt idx="2478">
                  <c:v>1.735392096662983E-2</c:v>
                </c:pt>
                <c:pt idx="2479">
                  <c:v>1.7238543210226019E-2</c:v>
                </c:pt>
                <c:pt idx="2480">
                  <c:v>1.7125092027850557E-2</c:v>
                </c:pt>
                <c:pt idx="2481">
                  <c:v>1.7013605960248333E-2</c:v>
                </c:pt>
                <c:pt idx="2482">
                  <c:v>1.6904123888435346E-2</c:v>
                </c:pt>
                <c:pt idx="2483">
                  <c:v>1.6796684999048749E-2</c:v>
                </c:pt>
                <c:pt idx="2484">
                  <c:v>1.6691328746858174E-2</c:v>
                </c:pt>
                <c:pt idx="2485">
                  <c:v>1.658809481437952E-2</c:v>
                </c:pt>
                <c:pt idx="2486">
                  <c:v>1.648702306854459E-2</c:v>
                </c:pt>
                <c:pt idx="2487">
                  <c:v>1.6388153514393378E-2</c:v>
                </c:pt>
                <c:pt idx="2488">
                  <c:v>1.629152624577122E-2</c:v>
                </c:pt>
                <c:pt idx="2489">
                  <c:v>1.6197181393029683E-2</c:v>
                </c:pt>
                <c:pt idx="2490">
                  <c:v>1.6105159067748672E-2</c:v>
                </c:pt>
                <c:pt idx="2491">
                  <c:v>1.6015499304517285E-2</c:v>
                </c:pt>
                <c:pt idx="2492">
                  <c:v>1.5928241999832431E-2</c:v>
                </c:pt>
                <c:pt idx="2493">
                  <c:v>1.5843426848197457E-2</c:v>
                </c:pt>
                <c:pt idx="2494">
                  <c:v>1.5761093275527181E-2</c:v>
                </c:pt>
                <c:pt idx="2495">
                  <c:v>1.5681280369991415E-2</c:v>
                </c:pt>
                <c:pt idx="2496">
                  <c:v>1.5604026810455501E-2</c:v>
                </c:pt>
                <c:pt idx="2497">
                  <c:v>1.5529370792703603E-2</c:v>
                </c:pt>
                <c:pt idx="2498">
                  <c:v>1.5457349953658408E-2</c:v>
                </c:pt>
                <c:pt idx="2499">
                  <c:v>1.5388001293838566E-2</c:v>
                </c:pt>
                <c:pt idx="2500">
                  <c:v>1.5321361098323383E-2</c:v>
                </c:pt>
                <c:pt idx="2501">
                  <c:v>2.2754410588340875E-2</c:v>
                </c:pt>
                <c:pt idx="2502">
                  <c:v>2.2590466272938332E-2</c:v>
                </c:pt>
                <c:pt idx="2503">
                  <c:v>2.2427388111223634E-2</c:v>
                </c:pt>
                <c:pt idx="2504">
                  <c:v>2.2265195135252509E-2</c:v>
                </c:pt>
                <c:pt idx="2505">
                  <c:v>2.2103906830852657E-2</c:v>
                </c:pt>
                <c:pt idx="2506">
                  <c:v>2.1943543146444779E-2</c:v>
                </c:pt>
                <c:pt idx="2507">
                  <c:v>2.1784124501789789E-2</c:v>
                </c:pt>
                <c:pt idx="2508">
                  <c:v>2.1625671796635562E-2</c:v>
                </c:pt>
                <c:pt idx="2509">
                  <c:v>2.1468206419234127E-2</c:v>
                </c:pt>
                <c:pt idx="2510">
                  <c:v>2.1311750254697941E-2</c:v>
                </c:pt>
                <c:pt idx="2511">
                  <c:v>2.1156325693161282E-2</c:v>
                </c:pt>
                <c:pt idx="2512">
                  <c:v>2.100195563771004E-2</c:v>
                </c:pt>
                <c:pt idx="2513">
                  <c:v>2.0848663512040542E-2</c:v>
                </c:pt>
                <c:pt idx="2514">
                  <c:v>2.0696473267804997E-2</c:v>
                </c:pt>
                <c:pt idx="2515">
                  <c:v>2.054540939159814E-2</c:v>
                </c:pt>
                <c:pt idx="2516">
                  <c:v>2.039549691153655E-2</c:v>
                </c:pt>
                <c:pt idx="2517">
                  <c:v>2.0246761403378843E-2</c:v>
                </c:pt>
                <c:pt idx="2518">
                  <c:v>2.0099228996131438E-2</c:v>
                </c:pt>
                <c:pt idx="2519">
                  <c:v>1.9952926377081556E-2</c:v>
                </c:pt>
                <c:pt idx="2520">
                  <c:v>1.980788079619495E-2</c:v>
                </c:pt>
                <c:pt idx="2521">
                  <c:v>1.96641200698131E-2</c:v>
                </c:pt>
                <c:pt idx="2522">
                  <c:v>1.9521672583580282E-2</c:v>
                </c:pt>
                <c:pt idx="2523">
                  <c:v>1.9380567294527775E-2</c:v>
                </c:pt>
                <c:pt idx="2524">
                  <c:v>1.9240833732238713E-2</c:v>
                </c:pt>
                <c:pt idx="2525">
                  <c:v>1.9102501999013546E-2</c:v>
                </c:pt>
                <c:pt idx="2526">
                  <c:v>1.8965602768952639E-2</c:v>
                </c:pt>
                <c:pt idx="2527">
                  <c:v>1.883016728586916E-2</c:v>
                </c:pt>
                <c:pt idx="2528">
                  <c:v>1.8696227359942339E-2</c:v>
                </c:pt>
                <c:pt idx="2529">
                  <c:v>1.8563815363017957E-2</c:v>
                </c:pt>
                <c:pt idx="2530">
                  <c:v>1.8432964222460605E-2</c:v>
                </c:pt>
                <c:pt idx="2531">
                  <c:v>1.8303707413459432E-2</c:v>
                </c:pt>
                <c:pt idx="2532">
                  <c:v>1.8176078949687487E-2</c:v>
                </c:pt>
                <c:pt idx="2533">
                  <c:v>1.8050113372212972E-2</c:v>
                </c:pt>
                <c:pt idx="2534">
                  <c:v>1.7925845736559722E-2</c:v>
                </c:pt>
                <c:pt idx="2535">
                  <c:v>1.780331159781396E-2</c:v>
                </c:pt>
                <c:pt idx="2536">
                  <c:v>1.7682546993674404E-2</c:v>
                </c:pt>
                <c:pt idx="2537">
                  <c:v>1.7563588425343963E-2</c:v>
                </c:pt>
                <c:pt idx="2538">
                  <c:v>1.7446472836163043E-2</c:v>
                </c:pt>
                <c:pt idx="2539">
                  <c:v>1.7331237587887356E-2</c:v>
                </c:pt>
                <c:pt idx="2540">
                  <c:v>1.7217920434516764E-2</c:v>
                </c:pt>
                <c:pt idx="2541">
                  <c:v>1.7106559493586849E-2</c:v>
                </c:pt>
                <c:pt idx="2542">
                  <c:v>1.6997193214840754E-2</c:v>
                </c:pt>
                <c:pt idx="2543">
                  <c:v>1.6889860346206442E-2</c:v>
                </c:pt>
                <c:pt idx="2544">
                  <c:v>1.6784599897013062E-2</c:v>
                </c:pt>
                <c:pt idx="2545">
                  <c:v>1.6681451098390421E-2</c:v>
                </c:pt>
                <c:pt idx="2546">
                  <c:v>1.6580453360807025E-2</c:v>
                </c:pt>
                <c:pt idx="2547">
                  <c:v>1.648164622871541E-2</c:v>
                </c:pt>
                <c:pt idx="2548">
                  <c:v>1.6385069332288064E-2</c:v>
                </c:pt>
                <c:pt idx="2549">
                  <c:v>1.6290762336243526E-2</c:v>
                </c:pt>
                <c:pt idx="2550">
                  <c:v>1.6198764885780041E-2</c:v>
                </c:pt>
                <c:pt idx="2551">
                  <c:v>1.6109116549653371E-2</c:v>
                </c:pt>
                <c:pt idx="2552">
                  <c:v>1.6021856760456251E-2</c:v>
                </c:pt>
                <c:pt idx="2553">
                  <c:v>1.5937024752178973E-2</c:v>
                </c:pt>
                <c:pt idx="2554">
                  <c:v>1.5854659495154057E-2</c:v>
                </c:pt>
                <c:pt idx="2555">
                  <c:v>1.5774799628512502E-2</c:v>
                </c:pt>
                <c:pt idx="2556">
                  <c:v>1.5697483390304426E-2</c:v>
                </c:pt>
                <c:pt idx="2557">
                  <c:v>1.5622748545463269E-2</c:v>
                </c:pt>
                <c:pt idx="2558">
                  <c:v>1.5550632311819081E-2</c:v>
                </c:pt>
                <c:pt idx="2559">
                  <c:v>1.5481171284393658E-2</c:v>
                </c:pt>
                <c:pt idx="2560">
                  <c:v>1.5414401358236521E-2</c:v>
                </c:pt>
                <c:pt idx="2561">
                  <c:v>1.535035765008747E-2</c:v>
                </c:pt>
                <c:pt idx="2562">
                  <c:v>2.2679734668837888E-2</c:v>
                </c:pt>
                <c:pt idx="2563">
                  <c:v>2.2516938480211007E-2</c:v>
                </c:pt>
                <c:pt idx="2564">
                  <c:v>2.2355028030647903E-2</c:v>
                </c:pt>
                <c:pt idx="2565">
                  <c:v>2.2194022705161531E-2</c:v>
                </c:pt>
                <c:pt idx="2566">
                  <c:v>2.2033942345393479E-2</c:v>
                </c:pt>
                <c:pt idx="2567">
                  <c:v>2.1874807258116531E-2</c:v>
                </c:pt>
                <c:pt idx="2568">
                  <c:v>2.1716638223631617E-2</c:v>
                </c:pt>
                <c:pt idx="2569">
                  <c:v>2.1559456504030277E-2</c:v>
                </c:pt>
                <c:pt idx="2570">
                  <c:v>2.1403283851291966E-2</c:v>
                </c:pt>
                <c:pt idx="2571">
                  <c:v>2.1248142515182429E-2</c:v>
                </c:pt>
                <c:pt idx="2572">
                  <c:v>2.1094055250917426E-2</c:v>
                </c:pt>
                <c:pt idx="2573">
                  <c:v>2.0941045326552738E-2</c:v>
                </c:pt>
                <c:pt idx="2574">
                  <c:v>2.0789136530059205E-2</c:v>
                </c:pt>
                <c:pt idx="2575">
                  <c:v>2.0638353176037894E-2</c:v>
                </c:pt>
                <c:pt idx="2576">
                  <c:v>2.0488720112028253E-2</c:v>
                </c:pt>
                <c:pt idx="2577">
                  <c:v>2.0340262724358162E-2</c:v>
                </c:pt>
                <c:pt idx="2578">
                  <c:v>2.0193006943482278E-2</c:v>
                </c:pt>
                <c:pt idx="2579">
                  <c:v>2.0046979248751134E-2</c:v>
                </c:pt>
                <c:pt idx="2580">
                  <c:v>1.990220667255066E-2</c:v>
                </c:pt>
                <c:pt idx="2581">
                  <c:v>1.9758716803747835E-2</c:v>
                </c:pt>
                <c:pt idx="2582">
                  <c:v>1.9616537790375248E-2</c:v>
                </c:pt>
                <c:pt idx="2583">
                  <c:v>1.9475698341483397E-2</c:v>
                </c:pt>
                <c:pt idx="2584">
                  <c:v>1.9336227728086571E-2</c:v>
                </c:pt>
                <c:pt idx="2585">
                  <c:v>1.9198155783124452E-2</c:v>
                </c:pt>
                <c:pt idx="2586">
                  <c:v>1.906151290035845E-2</c:v>
                </c:pt>
                <c:pt idx="2587">
                  <c:v>1.8926330032118591E-2</c:v>
                </c:pt>
                <c:pt idx="2588">
                  <c:v>1.8792638685813729E-2</c:v>
                </c:pt>
                <c:pt idx="2589">
                  <c:v>1.8660470919115019E-2</c:v>
                </c:pt>
                <c:pt idx="2590">
                  <c:v>1.8529859333720203E-2</c:v>
                </c:pt>
                <c:pt idx="2591">
                  <c:v>1.840083706760386E-2</c:v>
                </c:pt>
                <c:pt idx="2592">
                  <c:v>1.8273437785656987E-2</c:v>
                </c:pt>
                <c:pt idx="2593">
                  <c:v>1.8147695668617951E-2</c:v>
                </c:pt>
                <c:pt idx="2594">
                  <c:v>1.8023645400195795E-2</c:v>
                </c:pt>
                <c:pt idx="2595">
                  <c:v>1.790132215228666E-2</c:v>
                </c:pt>
                <c:pt idx="2596">
                  <c:v>1.778076156818445E-2</c:v>
                </c:pt>
                <c:pt idx="2597">
                  <c:v>1.7661999743687779E-2</c:v>
                </c:pt>
                <c:pt idx="2598">
                  <c:v>1.7545073206007292E-2</c:v>
                </c:pt>
                <c:pt idx="2599">
                  <c:v>1.743001889038015E-2</c:v>
                </c:pt>
                <c:pt idx="2600">
                  <c:v>1.7316874114302178E-2</c:v>
                </c:pt>
                <c:pt idx="2601">
                  <c:v>1.72056765492931E-2</c:v>
                </c:pt>
                <c:pt idx="2602">
                  <c:v>1.7096464190116217E-2</c:v>
                </c:pt>
                <c:pt idx="2603">
                  <c:v>1.6989275321380948E-2</c:v>
                </c:pt>
                <c:pt idx="2604">
                  <c:v>1.6884148481465307E-2</c:v>
                </c:pt>
                <c:pt idx="2605">
                  <c:v>1.678112242370506E-2</c:v>
                </c:pt>
                <c:pt idx="2606">
                  <c:v>1.6680236074807578E-2</c:v>
                </c:pt>
                <c:pt idx="2607">
                  <c:v>1.6581528490461107E-2</c:v>
                </c:pt>
                <c:pt idx="2608">
                  <c:v>1.6485038808124193E-2</c:v>
                </c:pt>
                <c:pt idx="2609">
                  <c:v>1.6390806196995737E-2</c:v>
                </c:pt>
                <c:pt idx="2610">
                  <c:v>1.6298869805183212E-2</c:v>
                </c:pt>
                <c:pt idx="2611">
                  <c:v>1.6209268704105009E-2</c:v>
                </c:pt>
                <c:pt idx="2612">
                  <c:v>1.6122041830182957E-2</c:v>
                </c:pt>
                <c:pt idx="2613">
                  <c:v>1.6037227923902119E-2</c:v>
                </c:pt>
                <c:pt idx="2614">
                  <c:v>1.5954865466337495E-2</c:v>
                </c:pt>
                <c:pt idx="2615">
                  <c:v>1.5874992613270647E-2</c:v>
                </c:pt>
                <c:pt idx="2616">
                  <c:v>1.5797647127043707E-2</c:v>
                </c:pt>
                <c:pt idx="2617">
                  <c:v>1.5722866306323188E-2</c:v>
                </c:pt>
                <c:pt idx="2618">
                  <c:v>1.5650686913971524E-2</c:v>
                </c:pt>
                <c:pt idx="2619">
                  <c:v>1.558114510325001E-2</c:v>
                </c:pt>
                <c:pt idx="2620">
                  <c:v>1.5514276342602327E-2</c:v>
                </c:pt>
                <c:pt idx="2621">
                  <c:v>1.5450115339292929E-2</c:v>
                </c:pt>
                <c:pt idx="2622">
                  <c:v>1.5388695962199168E-2</c:v>
                </c:pt>
                <c:pt idx="2623">
                  <c:v>2.2611206014407959E-2</c:v>
                </c:pt>
                <c:pt idx="2624">
                  <c:v>2.2449609795394537E-2</c:v>
                </c:pt>
                <c:pt idx="2625">
                  <c:v>2.2288919407671512E-2</c:v>
                </c:pt>
                <c:pt idx="2626">
                  <c:v>2.2129154584271931E-2</c:v>
                </c:pt>
                <c:pt idx="2627">
                  <c:v>2.1970335516879498E-2</c:v>
                </c:pt>
                <c:pt idx="2628">
                  <c:v>2.1812482863962007E-2</c:v>
                </c:pt>
                <c:pt idx="2629">
                  <c:v>2.1655617758765074E-2</c:v>
                </c:pt>
                <c:pt idx="2630">
                  <c:v>2.1499761817135851E-2</c:v>
                </c:pt>
                <c:pt idx="2631">
                  <c:v>2.1344937145143565E-2</c:v>
                </c:pt>
                <c:pt idx="2632">
                  <c:v>2.1191166346461746E-2</c:v>
                </c:pt>
                <c:pt idx="2633">
                  <c:v>2.1038472529473749E-2</c:v>
                </c:pt>
                <c:pt idx="2634">
                  <c:v>2.0886879314061177E-2</c:v>
                </c:pt>
                <c:pt idx="2635">
                  <c:v>2.073641083803119E-2</c:v>
                </c:pt>
                <c:pt idx="2636">
                  <c:v>2.0587091763136538E-2</c:v>
                </c:pt>
                <c:pt idx="2637">
                  <c:v>2.0438947280638425E-2</c:v>
                </c:pt>
                <c:pt idx="2638">
                  <c:v>2.0292003116359796E-2</c:v>
                </c:pt>
                <c:pt idx="2639">
                  <c:v>2.0146285535172993E-2</c:v>
                </c:pt>
                <c:pt idx="2640">
                  <c:v>2.0001821344862839E-2</c:v>
                </c:pt>
                <c:pt idx="2641">
                  <c:v>1.9858637899302849E-2</c:v>
                </c:pt>
                <c:pt idx="2642">
                  <c:v>1.9716763100878647E-2</c:v>
                </c:pt>
                <c:pt idx="2643">
                  <c:v>1.957622540209011E-2</c:v>
                </c:pt>
                <c:pt idx="2644">
                  <c:v>1.9437053806259642E-2</c:v>
                </c:pt>
                <c:pt idx="2645">
                  <c:v>1.9299277867271421E-2</c:v>
                </c:pt>
                <c:pt idx="2646">
                  <c:v>1.916292768826305E-2</c:v>
                </c:pt>
                <c:pt idx="2647">
                  <c:v>1.9028033919188041E-2</c:v>
                </c:pt>
                <c:pt idx="2648">
                  <c:v>1.8894627753164882E-2</c:v>
                </c:pt>
                <c:pt idx="2649">
                  <c:v>1.8762740921525634E-2</c:v>
                </c:pt>
                <c:pt idx="2650">
                  <c:v>1.8632405687474776E-2</c:v>
                </c:pt>
                <c:pt idx="2651">
                  <c:v>1.8503654838266905E-2</c:v>
                </c:pt>
                <c:pt idx="2652">
                  <c:v>1.837652167581014E-2</c:v>
                </c:pt>
                <c:pt idx="2653">
                  <c:v>1.8251040005600981E-2</c:v>
                </c:pt>
                <c:pt idx="2654">
                  <c:v>1.8127244123895422E-2</c:v>
                </c:pt>
                <c:pt idx="2655">
                  <c:v>1.8005168803020999E-2</c:v>
                </c:pt>
                <c:pt idx="2656">
                  <c:v>1.7884849274734913E-2</c:v>
                </c:pt>
                <c:pt idx="2657">
                  <c:v>1.776632121153441E-2</c:v>
                </c:pt>
                <c:pt idx="2658">
                  <c:v>1.7649620705827495E-2</c:v>
                </c:pt>
                <c:pt idx="2659">
                  <c:v>1.7534784246875063E-2</c:v>
                </c:pt>
                <c:pt idx="2660">
                  <c:v>1.7421848695418837E-2</c:v>
                </c:pt>
                <c:pt idx="2661">
                  <c:v>1.7310851255914663E-2</c:v>
                </c:pt>
                <c:pt idx="2662">
                  <c:v>1.720182944629621E-2</c:v>
                </c:pt>
                <c:pt idx="2663">
                  <c:v>1.7094821065201306E-2</c:v>
                </c:pt>
                <c:pt idx="2664">
                  <c:v>1.6989864156601229E-2</c:v>
                </c:pt>
                <c:pt idx="2665">
                  <c:v>1.6886996971782815E-2</c:v>
                </c:pt>
                <c:pt idx="2666">
                  <c:v>1.6786257928644095E-2</c:v>
                </c:pt>
                <c:pt idx="2667">
                  <c:v>1.6687685568276312E-2</c:v>
                </c:pt>
                <c:pt idx="2668">
                  <c:v>1.6591318508818825E-2</c:v>
                </c:pt>
                <c:pt idx="2669">
                  <c:v>1.6497195396588376E-2</c:v>
                </c:pt>
                <c:pt idx="2670">
                  <c:v>1.6405354854500561E-2</c:v>
                </c:pt>
                <c:pt idx="2671">
                  <c:v>1.6315835427819184E-2</c:v>
                </c:pt>
                <c:pt idx="2672">
                  <c:v>1.622867552728811E-2</c:v>
                </c:pt>
                <c:pt idx="2673">
                  <c:v>1.6143913369720684E-2</c:v>
                </c:pt>
                <c:pt idx="2674">
                  <c:v>1.6061586916143077E-2</c:v>
                </c:pt>
                <c:pt idx="2675">
                  <c:v>1.5981733807610379E-2</c:v>
                </c:pt>
                <c:pt idx="2676">
                  <c:v>1.5904391298837587E-2</c:v>
                </c:pt>
                <c:pt idx="2677">
                  <c:v>1.5829596189811373E-2</c:v>
                </c:pt>
                <c:pt idx="2678">
                  <c:v>1.5757384755573072E-2</c:v>
                </c:pt>
                <c:pt idx="2679">
                  <c:v>1.5687792674387576E-2</c:v>
                </c:pt>
                <c:pt idx="2680">
                  <c:v>1.5620854954537416E-2</c:v>
                </c:pt>
                <c:pt idx="2681">
                  <c:v>1.5556605860005257E-2</c:v>
                </c:pt>
                <c:pt idx="2682">
                  <c:v>1.5495078835331225E-2</c:v>
                </c:pt>
                <c:pt idx="2683">
                  <c:v>1.5436306429953873E-2</c:v>
                </c:pt>
                <c:pt idx="2684">
                  <c:v>2.2548880671867836E-2</c:v>
                </c:pt>
                <c:pt idx="2685">
                  <c:v>2.2388536145991449E-2</c:v>
                </c:pt>
                <c:pt idx="2686">
                  <c:v>2.2229118017216127E-2</c:v>
                </c:pt>
                <c:pt idx="2687">
                  <c:v>2.2070646359882738E-2</c:v>
                </c:pt>
                <c:pt idx="2688">
                  <c:v>2.1913141708103243E-2</c:v>
                </c:pt>
                <c:pt idx="2689">
                  <c:v>2.1756625063473162E-2</c:v>
                </c:pt>
                <c:pt idx="2690">
                  <c:v>2.1601117902608866E-2</c:v>
                </c:pt>
                <c:pt idx="2691">
                  <c:v>2.1446642184477172E-2</c:v>
                </c:pt>
                <c:pt idx="2692">
                  <c:v>2.1293220357482524E-2</c:v>
                </c:pt>
                <c:pt idx="2693">
                  <c:v>2.1140875366274365E-2</c:v>
                </c:pt>
                <c:pt idx="2694">
                  <c:v>2.0989630658234813E-2</c:v>
                </c:pt>
                <c:pt idx="2695">
                  <c:v>2.0839510189603807E-2</c:v>
                </c:pt>
                <c:pt idx="2696">
                  <c:v>2.0690538431196451E-2</c:v>
                </c:pt>
                <c:pt idx="2697">
                  <c:v>2.0542740373663861E-2</c:v>
                </c:pt>
                <c:pt idx="2698">
                  <c:v>2.039614153224642E-2</c:v>
                </c:pt>
                <c:pt idx="2699">
                  <c:v>2.0250767950964754E-2</c:v>
                </c:pt>
                <c:pt idx="2700">
                  <c:v>2.010664620619116E-2</c:v>
                </c:pt>
                <c:pt idx="2701">
                  <c:v>1.9963803409540654E-2</c:v>
                </c:pt>
                <c:pt idx="2702">
                  <c:v>1.9822267210018105E-2</c:v>
                </c:pt>
                <c:pt idx="2703">
                  <c:v>1.9682065795354323E-2</c:v>
                </c:pt>
                <c:pt idx="2704">
                  <c:v>1.9543227892461372E-2</c:v>
                </c:pt>
                <c:pt idx="2705">
                  <c:v>1.9405782766933929E-2</c:v>
                </c:pt>
                <c:pt idx="2706">
                  <c:v>1.9269760221520799E-2</c:v>
                </c:pt>
                <c:pt idx="2707">
                  <c:v>1.913519059348787E-2</c:v>
                </c:pt>
                <c:pt idx="2708">
                  <c:v>1.9002104750791005E-2</c:v>
                </c:pt>
                <c:pt idx="2709">
                  <c:v>1.8870534086975053E-2</c:v>
                </c:pt>
                <c:pt idx="2710">
                  <c:v>1.8740510514712951E-2</c:v>
                </c:pt>
                <c:pt idx="2711">
                  <c:v>1.8612066457896925E-2</c:v>
                </c:pt>
                <c:pt idx="2712">
                  <c:v>1.8485234842192371E-2</c:v>
                </c:pt>
                <c:pt idx="2713">
                  <c:v>1.8360049083963794E-2</c:v>
                </c:pt>
                <c:pt idx="2714">
                  <c:v>1.8236543077481619E-2</c:v>
                </c:pt>
                <c:pt idx="2715">
                  <c:v>1.8114751180318529E-2</c:v>
                </c:pt>
                <c:pt idx="2716">
                  <c:v>1.7994708196844605E-2</c:v>
                </c:pt>
                <c:pt idx="2717">
                  <c:v>1.7876449359731567E-2</c:v>
                </c:pt>
                <c:pt idx="2718">
                  <c:v>1.7760010309378592E-2</c:v>
                </c:pt>
                <c:pt idx="2719">
                  <c:v>1.7645427071174745E-2</c:v>
                </c:pt>
                <c:pt idx="2720">
                  <c:v>1.7532736030516888E-2</c:v>
                </c:pt>
                <c:pt idx="2721">
                  <c:v>1.7421973905506503E-2</c:v>
                </c:pt>
                <c:pt idx="2722">
                  <c:v>1.7313177717254564E-2</c:v>
                </c:pt>
                <c:pt idx="2723">
                  <c:v>1.7206384757730377E-2</c:v>
                </c:pt>
                <c:pt idx="2724">
                  <c:v>1.7101632555098317E-2</c:v>
                </c:pt>
                <c:pt idx="2725">
                  <c:v>1.6998958836495451E-2</c:v>
                </c:pt>
                <c:pt idx="2726">
                  <c:v>1.689840148821364E-2</c:v>
                </c:pt>
                <c:pt idx="2727">
                  <c:v>1.6799998513261274E-2</c:v>
                </c:pt>
                <c:pt idx="2728">
                  <c:v>1.6703787986293021E-2</c:v>
                </c:pt>
                <c:pt idx="2729">
                  <c:v>1.6609808005910214E-2</c:v>
                </c:pt>
                <c:pt idx="2730">
                  <c:v>1.6518096644350305E-2</c:v>
                </c:pt>
                <c:pt idx="2731">
                  <c:v>1.6428691894600757E-2</c:v>
                </c:pt>
                <c:pt idx="2732">
                  <c:v>1.6341631614990908E-2</c:v>
                </c:pt>
                <c:pt idx="2733">
                  <c:v>1.6256953471334844E-2</c:v>
                </c:pt>
                <c:pt idx="2734">
                  <c:v>1.6174694876718621E-2</c:v>
                </c:pt>
                <c:pt idx="2735">
                  <c:v>1.6094892929046627E-2</c:v>
                </c:pt>
                <c:pt idx="2736">
                  <c:v>1.6017584346483982E-2</c:v>
                </c:pt>
                <c:pt idx="2737">
                  <c:v>1.5942805400954628E-2</c:v>
                </c:pt>
                <c:pt idx="2738">
                  <c:v>1.587059184987798E-2</c:v>
                </c:pt>
                <c:pt idx="2739">
                  <c:v>1.5800978866350169E-2</c:v>
                </c:pt>
                <c:pt idx="2740">
                  <c:v>1.5734000967999266E-2</c:v>
                </c:pt>
                <c:pt idx="2741">
                  <c:v>1.5669691944766646E-2</c:v>
                </c:pt>
                <c:pt idx="2742">
                  <c:v>1.5608084785888814E-2</c:v>
                </c:pt>
                <c:pt idx="2743">
                  <c:v>1.5549211606375058E-2</c:v>
                </c:pt>
                <c:pt idx="2744">
                  <c:v>1.5493103573296403E-2</c:v>
                </c:pt>
                <c:pt idx="2745">
                  <c:v>2.2492810207559548E-2</c:v>
                </c:pt>
                <c:pt idx="2746">
                  <c:v>2.233376884688926E-2</c:v>
                </c:pt>
                <c:pt idx="2747">
                  <c:v>2.2175674885693861E-2</c:v>
                </c:pt>
                <c:pt idx="2748">
                  <c:v>2.2018548731068347E-2</c:v>
                </c:pt>
                <c:pt idx="2749">
                  <c:v>2.1862411250033593E-2</c:v>
                </c:pt>
                <c:pt idx="2750">
                  <c:v>2.1707283776776068E-2</c:v>
                </c:pt>
                <c:pt idx="2751">
                  <c:v>2.1553188119675042E-2</c:v>
                </c:pt>
                <c:pt idx="2752">
                  <c:v>2.14001465680832E-2</c:v>
                </c:pt>
                <c:pt idx="2753">
                  <c:v>2.1248181898823975E-2</c:v>
                </c:pt>
                <c:pt idx="2754">
                  <c:v>2.1097317382366521E-2</c:v>
                </c:pt>
                <c:pt idx="2755">
                  <c:v>2.0947576788636537E-2</c:v>
                </c:pt>
                <c:pt idx="2756">
                  <c:v>2.0798984392418531E-2</c:v>
                </c:pt>
                <c:pt idx="2757">
                  <c:v>2.0651564978302277E-2</c:v>
                </c:pt>
                <c:pt idx="2758">
                  <c:v>2.0505343845123362E-2</c:v>
                </c:pt>
                <c:pt idx="2759">
                  <c:v>2.0360346809844911E-2</c:v>
                </c:pt>
                <c:pt idx="2760">
                  <c:v>2.0216600210824547E-2</c:v>
                </c:pt>
                <c:pt idx="2761">
                  <c:v>2.0074130910407714E-2</c:v>
                </c:pt>
                <c:pt idx="2762">
                  <c:v>1.993296629678552E-2</c:v>
                </c:pt>
                <c:pt idx="2763">
                  <c:v>1.9793134285052347E-2</c:v>
                </c:pt>
                <c:pt idx="2764">
                  <c:v>1.9654663317395384E-2</c:v>
                </c:pt>
                <c:pt idx="2765">
                  <c:v>1.9517582362345666E-2</c:v>
                </c:pt>
                <c:pt idx="2766">
                  <c:v>1.9381920913017148E-2</c:v>
                </c:pt>
                <c:pt idx="2767">
                  <c:v>1.92477089842579E-2</c:v>
                </c:pt>
                <c:pt idx="2768">
                  <c:v>1.9114977108634971E-2</c:v>
                </c:pt>
                <c:pt idx="2769">
                  <c:v>1.8983756331172229E-2</c:v>
                </c:pt>
                <c:pt idx="2770">
                  <c:v>1.8854078202758421E-2</c:v>
                </c:pt>
                <c:pt idx="2771">
                  <c:v>1.8725974772141097E-2</c:v>
                </c:pt>
                <c:pt idx="2772">
                  <c:v>1.8599478576420501E-2</c:v>
                </c:pt>
                <c:pt idx="2773">
                  <c:v>1.8474622629956791E-2</c:v>
                </c:pt>
                <c:pt idx="2774">
                  <c:v>1.8351440411603224E-2</c:v>
                </c:pt>
                <c:pt idx="2775">
                  <c:v>1.8229965850178168E-2</c:v>
                </c:pt>
                <c:pt idx="2776">
                  <c:v>1.811023330808928E-2</c:v>
                </c:pt>
                <c:pt idx="2777">
                  <c:v>1.7992277563024548E-2</c:v>
                </c:pt>
                <c:pt idx="2778">
                  <c:v>1.7876133787626803E-2</c:v>
                </c:pt>
                <c:pt idx="2779">
                  <c:v>1.7761837527071195E-2</c:v>
                </c:pt>
                <c:pt idx="2780">
                  <c:v>1.7649424674468641E-2</c:v>
                </c:pt>
                <c:pt idx="2781">
                  <c:v>1.753893144402293E-2</c:v>
                </c:pt>
                <c:pt idx="2782">
                  <c:v>1.7430394341874659E-2</c:v>
                </c:pt>
                <c:pt idx="2783">
                  <c:v>1.7323850134571758E-2</c:v>
                </c:pt>
                <c:pt idx="2784">
                  <c:v>1.7219335815114169E-2</c:v>
                </c:pt>
                <c:pt idx="2785">
                  <c:v>1.7116888566528994E-2</c:v>
                </c:pt>
                <c:pt idx="2786">
                  <c:v>1.7016545722942557E-2</c:v>
                </c:pt>
                <c:pt idx="2787">
                  <c:v>1.6918344728127043E-2</c:v>
                </c:pt>
                <c:pt idx="2788">
                  <c:v>1.6822323091512048E-2</c:v>
                </c:pt>
                <c:pt idx="2789">
                  <c:v>1.6728518341664955E-2</c:v>
                </c:pt>
                <c:pt idx="2790">
                  <c:v>1.66369679772592E-2</c:v>
                </c:pt>
                <c:pt idx="2791">
                  <c:v>1.6547709415565687E-2</c:v>
                </c:pt>
                <c:pt idx="2792">
                  <c:v>1.6460779938519934E-2</c:v>
                </c:pt>
                <c:pt idx="2793">
                  <c:v>1.6376216636436066E-2</c:v>
                </c:pt>
                <c:pt idx="2794">
                  <c:v>1.6294056349458116E-2</c:v>
                </c:pt>
                <c:pt idx="2795">
                  <c:v>1.6214335606859545E-2</c:v>
                </c:pt>
                <c:pt idx="2796">
                  <c:v>1.6137090564322804E-2</c:v>
                </c:pt>
                <c:pt idx="2797">
                  <c:v>1.6062356939352485E-2</c:v>
                </c:pt>
                <c:pt idx="2798">
                  <c:v>1.5990169944997447E-2</c:v>
                </c:pt>
                <c:pt idx="2799">
                  <c:v>1.5920564222079575E-2</c:v>
                </c:pt>
                <c:pt idx="2800">
                  <c:v>1.5853573770148698E-2</c:v>
                </c:pt>
                <c:pt idx="2801">
                  <c:v>1.5789231877404906E-2</c:v>
                </c:pt>
                <c:pt idx="2802">
                  <c:v>1.572757104985056E-2</c:v>
                </c:pt>
                <c:pt idx="2803">
                  <c:v>1.5668622939954295E-2</c:v>
                </c:pt>
                <c:pt idx="2804">
                  <c:v>1.5612418275128048E-2</c:v>
                </c:pt>
                <c:pt idx="2805">
                  <c:v>1.5558986786335686E-2</c:v>
                </c:pt>
                <c:pt idx="2806">
                  <c:v>2.2443041502066503E-2</c:v>
                </c:pt>
                <c:pt idx="2807">
                  <c:v>2.2285354392587546E-2</c:v>
                </c:pt>
                <c:pt idx="2808">
                  <c:v>2.2128636080872413E-2</c:v>
                </c:pt>
                <c:pt idx="2809">
                  <c:v>2.1972907296324756E-2</c:v>
                </c:pt>
                <c:pt idx="2810">
                  <c:v>2.1818189227403847E-2</c:v>
                </c:pt>
                <c:pt idx="2811">
                  <c:v>2.1664503528339769E-2</c:v>
                </c:pt>
                <c:pt idx="2812">
                  <c:v>2.1511872325597734E-2</c:v>
                </c:pt>
                <c:pt idx="2813">
                  <c:v>2.1360318224055434E-2</c:v>
                </c:pt>
                <c:pt idx="2814">
                  <c:v>2.1209864312855417E-2</c:v>
                </c:pt>
                <c:pt idx="2815">
                  <c:v>2.1060534170891456E-2</c:v>
                </c:pt>
                <c:pt idx="2816">
                  <c:v>2.0912351871885709E-2</c:v>
                </c:pt>
                <c:pt idx="2817">
                  <c:v>2.0765341989010498E-2</c:v>
                </c:pt>
                <c:pt idx="2818">
                  <c:v>2.0619529599006113E-2</c:v>
                </c:pt>
                <c:pt idx="2819">
                  <c:v>2.047494028574301E-2</c:v>
                </c:pt>
                <c:pt idx="2820">
                  <c:v>2.0331600143174186E-2</c:v>
                </c:pt>
                <c:pt idx="2821">
                  <c:v>2.0189535777620674E-2</c:v>
                </c:pt>
                <c:pt idx="2822">
                  <c:v>2.0048774309330129E-2</c:v>
                </c:pt>
                <c:pt idx="2823">
                  <c:v>1.9909343373245941E-2</c:v>
                </c:pt>
                <c:pt idx="2824">
                  <c:v>1.977127111892138E-2</c:v>
                </c:pt>
                <c:pt idx="2825">
                  <c:v>1.9634586209510578E-2</c:v>
                </c:pt>
                <c:pt idx="2826">
                  <c:v>1.949931781976583E-2</c:v>
                </c:pt>
                <c:pt idx="2827">
                  <c:v>1.9365495632967862E-2</c:v>
                </c:pt>
                <c:pt idx="2828">
                  <c:v>1.9233149836713783E-2</c:v>
                </c:pt>
                <c:pt idx="2829">
                  <c:v>1.9102311117485119E-2</c:v>
                </c:pt>
                <c:pt idx="2830">
                  <c:v>1.8973010653916617E-2</c:v>
                </c:pt>
                <c:pt idx="2831">
                  <c:v>1.884528010868497E-2</c:v>
                </c:pt>
                <c:pt idx="2832">
                  <c:v>1.8719151618935278E-2</c:v>
                </c:pt>
                <c:pt idx="2833">
                  <c:v>1.8594657785162463E-2</c:v>
                </c:pt>
                <c:pt idx="2834">
                  <c:v>1.8471831658464319E-2</c:v>
                </c:pt>
                <c:pt idx="2835">
                  <c:v>1.8350706726083122E-2</c:v>
                </c:pt>
                <c:pt idx="2836">
                  <c:v>1.82313168951534E-2</c:v>
                </c:pt>
                <c:pt idx="2837">
                  <c:v>1.8113696474574854E-2</c:v>
                </c:pt>
                <c:pt idx="2838">
                  <c:v>1.7997880154931322E-2</c:v>
                </c:pt>
                <c:pt idx="2839">
                  <c:v>1.7883902986379742E-2</c:v>
                </c:pt>
                <c:pt idx="2840">
                  <c:v>1.7771800354436224E-2</c:v>
                </c:pt>
                <c:pt idx="2841">
                  <c:v>1.7661607953591393E-2</c:v>
                </c:pt>
                <c:pt idx="2842">
                  <c:v>1.7553361758692033E-2</c:v>
                </c:pt>
                <c:pt idx="2843">
                  <c:v>1.7447097994032903E-2</c:v>
                </c:pt>
                <c:pt idx="2844">
                  <c:v>1.7342853100109797E-2</c:v>
                </c:pt>
                <c:pt idx="2845">
                  <c:v>1.7240663697993621E-2</c:v>
                </c:pt>
                <c:pt idx="2846">
                  <c:v>1.7140566551294853E-2</c:v>
                </c:pt>
                <c:pt idx="2847">
                  <c:v>1.7042598525698675E-2</c:v>
                </c:pt>
                <c:pt idx="2848">
                  <c:v>1.6946796546062959E-2</c:v>
                </c:pt>
                <c:pt idx="2849">
                  <c:v>1.6853197551084546E-2</c:v>
                </c:pt>
                <c:pt idx="2850">
                  <c:v>1.6761838445553602E-2</c:v>
                </c:pt>
                <c:pt idx="2851">
                  <c:v>1.6672756050231208E-2</c:v>
                </c:pt>
                <c:pt idx="2852">
                  <c:v>1.6585987049401969E-2</c:v>
                </c:pt>
                <c:pt idx="2853">
                  <c:v>1.650156793617092E-2</c:v>
                </c:pt>
                <c:pt idx="2854">
                  <c:v>1.6419534955592518E-2</c:v>
                </c:pt>
                <c:pt idx="2855">
                  <c:v>1.6339924045738734E-2</c:v>
                </c:pt>
                <c:pt idx="2856">
                  <c:v>1.6262770776833298E-2</c:v>
                </c:pt>
                <c:pt idx="2857">
                  <c:v>1.6188110288599507E-2</c:v>
                </c:pt>
                <c:pt idx="2858">
                  <c:v>1.6115977225989907E-2</c:v>
                </c:pt>
                <c:pt idx="2859">
                  <c:v>1.6046405673486988E-2</c:v>
                </c:pt>
                <c:pt idx="2860">
                  <c:v>1.5979429088184949E-2</c:v>
                </c:pt>
                <c:pt idx="2861">
                  <c:v>1.5915080231883004E-2</c:v>
                </c:pt>
                <c:pt idx="2862">
                  <c:v>1.5853391102440544E-2</c:v>
                </c:pt>
                <c:pt idx="2863">
                  <c:v>1.579439286466354E-2</c:v>
                </c:pt>
                <c:pt idx="2864">
                  <c:v>1.573811578100931E-2</c:v>
                </c:pt>
                <c:pt idx="2865">
                  <c:v>1.5684589142413004E-2</c:v>
                </c:pt>
                <c:pt idx="2866">
                  <c:v>1.563384119955398E-2</c:v>
                </c:pt>
                <c:pt idx="2867">
                  <c:v>2.239961656021567E-2</c:v>
                </c:pt>
                <c:pt idx="2868">
                  <c:v>2.224333426559932E-2</c:v>
                </c:pt>
                <c:pt idx="2869">
                  <c:v>2.2088042518847335E-2</c:v>
                </c:pt>
                <c:pt idx="2870">
                  <c:v>2.1933762359302528E-2</c:v>
                </c:pt>
                <c:pt idx="2871">
                  <c:v>2.1780515283414004E-2</c:v>
                </c:pt>
                <c:pt idx="2872">
                  <c:v>2.1628323250877112E-2</c:v>
                </c:pt>
                <c:pt idx="2873">
                  <c:v>2.1477208690482988E-2</c:v>
                </c:pt>
                <c:pt idx="2874">
                  <c:v>2.1327194505640221E-2</c:v>
                </c:pt>
                <c:pt idx="2875">
                  <c:v>2.1178304079528861E-2</c:v>
                </c:pt>
                <c:pt idx="2876">
                  <c:v>2.1030561279844463E-2</c:v>
                </c:pt>
                <c:pt idx="2877">
                  <c:v>2.0883990463087348E-2</c:v>
                </c:pt>
                <c:pt idx="2878">
                  <c:v>2.0738616478349743E-2</c:v>
                </c:pt>
                <c:pt idx="2879">
                  <c:v>2.0594464670550715E-2</c:v>
                </c:pt>
                <c:pt idx="2880">
                  <c:v>2.045156088306635E-2</c:v>
                </c:pt>
                <c:pt idx="2881">
                  <c:v>2.0309931459699799E-2</c:v>
                </c:pt>
                <c:pt idx="2882">
                  <c:v>2.0169603245933306E-2</c:v>
                </c:pt>
                <c:pt idx="2883">
                  <c:v>2.0030603589401629E-2</c:v>
                </c:pt>
                <c:pt idx="2884">
                  <c:v>1.989296033952365E-2</c:v>
                </c:pt>
                <c:pt idx="2885">
                  <c:v>1.9756701846226733E-2</c:v>
                </c:pt>
                <c:pt idx="2886">
                  <c:v>1.9621856957695482E-2</c:v>
                </c:pt>
                <c:pt idx="2887">
                  <c:v>1.9488455017074906E-2</c:v>
                </c:pt>
                <c:pt idx="2888">
                  <c:v>1.9356525858055404E-2</c:v>
                </c:pt>
                <c:pt idx="2889">
                  <c:v>1.9226099799265289E-2</c:v>
                </c:pt>
                <c:pt idx="2890">
                  <c:v>1.9097207637394954E-2</c:v>
                </c:pt>
                <c:pt idx="2891">
                  <c:v>1.8969880638975291E-2</c:v>
                </c:pt>
                <c:pt idx="2892">
                  <c:v>1.8844150530732042E-2</c:v>
                </c:pt>
                <c:pt idx="2893">
                  <c:v>1.8720049488437092E-2</c:v>
                </c:pt>
                <c:pt idx="2894">
                  <c:v>1.8597610124177381E-2</c:v>
                </c:pt>
                <c:pt idx="2895">
                  <c:v>1.8476865471962551E-2</c:v>
                </c:pt>
                <c:pt idx="2896">
                  <c:v>1.8357848971593184E-2</c:v>
                </c:pt>
                <c:pt idx="2897">
                  <c:v>1.8240594450712778E-2</c:v>
                </c:pt>
                <c:pt idx="2898">
                  <c:v>1.812513610496894E-2</c:v>
                </c:pt>
                <c:pt idx="2899">
                  <c:v>1.8011508476211795E-2</c:v>
                </c:pt>
                <c:pt idx="2900">
                  <c:v>1.7899746428661385E-2</c:v>
                </c:pt>
                <c:pt idx="2901">
                  <c:v>1.7789885122980097E-2</c:v>
                </c:pt>
                <c:pt idx="2902">
                  <c:v>1.7681959988191557E-2</c:v>
                </c:pt>
                <c:pt idx="2903">
                  <c:v>1.7576006691393573E-2</c:v>
                </c:pt>
                <c:pt idx="2904">
                  <c:v>1.7472061105220017E-2</c:v>
                </c:pt>
                <c:pt idx="2905">
                  <c:v>1.7370159273014697E-2</c:v>
                </c:pt>
                <c:pt idx="2906">
                  <c:v>1.7270337371689662E-2</c:v>
                </c:pt>
                <c:pt idx="2907">
                  <c:v>1.7172631672250728E-2</c:v>
                </c:pt>
                <c:pt idx="2908">
                  <c:v>1.7077078497984455E-2</c:v>
                </c:pt>
                <c:pt idx="2909">
                  <c:v>1.6983714180313535E-2</c:v>
                </c:pt>
                <c:pt idx="2910">
                  <c:v>1.6892575012341045E-2</c:v>
                </c:pt>
                <c:pt idx="2911">
                  <c:v>1.6803697200118817E-2</c:v>
                </c:pt>
                <c:pt idx="2912">
                  <c:v>1.671711681169091E-2</c:v>
                </c:pt>
                <c:pt idx="2913">
                  <c:v>1.6632869723979763E-2</c:v>
                </c:pt>
                <c:pt idx="2914">
                  <c:v>1.6550991567600183E-2</c:v>
                </c:pt>
                <c:pt idx="2915">
                  <c:v>1.6471517669704516E-2</c:v>
                </c:pt>
                <c:pt idx="2916">
                  <c:v>1.6394482994981259E-2</c:v>
                </c:pt>
                <c:pt idx="2917">
                  <c:v>1.6319922084948726E-2</c:v>
                </c:pt>
                <c:pt idx="2918">
                  <c:v>1.6247868995704965E-2</c:v>
                </c:pt>
                <c:pt idx="2919">
                  <c:v>1.6178357234314922E-2</c:v>
                </c:pt>
                <c:pt idx="2920">
                  <c:v>1.6111419694035511E-2</c:v>
                </c:pt>
                <c:pt idx="2921">
                  <c:v>1.6047088588598449E-2</c:v>
                </c:pt>
                <c:pt idx="2922">
                  <c:v>1.5985395385789612E-2</c:v>
                </c:pt>
                <c:pt idx="2923">
                  <c:v>1.5926370740581387E-2</c:v>
                </c:pt>
                <c:pt idx="2924">
                  <c:v>1.5870044428091427E-2</c:v>
                </c:pt>
                <c:pt idx="2925">
                  <c:v>1.5816445276656533E-2</c:v>
                </c:pt>
                <c:pt idx="2926">
                  <c:v>1.5765601101324103E-2</c:v>
                </c:pt>
                <c:pt idx="2927">
                  <c:v>1.5717538638075575E-2</c:v>
                </c:pt>
                <c:pt idx="2928">
                  <c:v>2.2362572338103702E-2</c:v>
                </c:pt>
                <c:pt idx="2929">
                  <c:v>2.2207744762811309E-2</c:v>
                </c:pt>
                <c:pt idx="2930">
                  <c:v>2.2053929789952426E-2</c:v>
                </c:pt>
                <c:pt idx="2931">
                  <c:v>2.1901148754502699E-2</c:v>
                </c:pt>
                <c:pt idx="2932">
                  <c:v>2.1749423445468274E-2</c:v>
                </c:pt>
                <c:pt idx="2933">
                  <c:v>2.1598776111401333E-2</c:v>
                </c:pt>
                <c:pt idx="2934">
                  <c:v>2.1449229465585071E-2</c:v>
                </c:pt>
                <c:pt idx="2935">
                  <c:v>2.1300806690849307E-2</c:v>
                </c:pt>
                <c:pt idx="2936">
                  <c:v>2.1153531443975596E-2</c:v>
                </c:pt>
                <c:pt idx="2937">
                  <c:v>2.1007427859648209E-2</c:v>
                </c:pt>
                <c:pt idx="2938">
                  <c:v>2.0862520553905018E-2</c:v>
                </c:pt>
                <c:pt idx="2939">
                  <c:v>2.0718834627039735E-2</c:v>
                </c:pt>
                <c:pt idx="2940">
                  <c:v>2.0576395665904613E-2</c:v>
                </c:pt>
                <c:pt idx="2941">
                  <c:v>2.0435229745560033E-2</c:v>
                </c:pt>
                <c:pt idx="2942">
                  <c:v>2.0295363430215058E-2</c:v>
                </c:pt>
                <c:pt idx="2943">
                  <c:v>2.015682377340056E-2</c:v>
                </c:pt>
                <c:pt idx="2944">
                  <c:v>2.0019638317314008E-2</c:v>
                </c:pt>
                <c:pt idx="2945">
                  <c:v>1.9883835091272867E-2</c:v>
                </c:pt>
                <c:pt idx="2946">
                  <c:v>1.9749442609211212E-2</c:v>
                </c:pt>
                <c:pt idx="2947">
                  <c:v>1.9616489866152054E-2</c:v>
                </c:pt>
                <c:pt idx="2948">
                  <c:v>1.9485006333586116E-2</c:v>
                </c:pt>
                <c:pt idx="2949">
                  <c:v>1.9355021953685866E-2</c:v>
                </c:pt>
                <c:pt idx="2950">
                  <c:v>1.9226567132282317E-2</c:v>
                </c:pt>
                <c:pt idx="2951">
                  <c:v>1.9099672730530787E-2</c:v>
                </c:pt>
                <c:pt idx="2952">
                  <c:v>1.8974370055191026E-2</c:v>
                </c:pt>
                <c:pt idx="2953">
                  <c:v>1.8850690847446529E-2</c:v>
                </c:pt>
                <c:pt idx="2954">
                  <c:v>1.8728667270187828E-2</c:v>
                </c:pt>
                <c:pt idx="2955">
                  <c:v>1.8608331893684913E-2</c:v>
                </c:pt>
                <c:pt idx="2956">
                  <c:v>1.8489717679574871E-2</c:v>
                </c:pt>
                <c:pt idx="2957">
                  <c:v>1.8372857963092234E-2</c:v>
                </c:pt>
                <c:pt idx="2958">
                  <c:v>1.8257786433471774E-2</c:v>
                </c:pt>
                <c:pt idx="2959">
                  <c:v>1.8144537112456085E-2</c:v>
                </c:pt>
                <c:pt idx="2960">
                  <c:v>1.8033144330844027E-2</c:v>
                </c:pt>
                <c:pt idx="2961">
                  <c:v>1.7923642703020336E-2</c:v>
                </c:pt>
                <c:pt idx="2962">
                  <c:v>1.7816067099411755E-2</c:v>
                </c:pt>
                <c:pt idx="2963">
                  <c:v>1.7710452616821394E-2</c:v>
                </c:pt>
                <c:pt idx="2964">
                  <c:v>1.760683454659967E-2</c:v>
                </c:pt>
                <c:pt idx="2965">
                  <c:v>1.7505248340618344E-2</c:v>
                </c:pt>
                <c:pt idx="2966">
                  <c:v>1.7405729575023076E-2</c:v>
                </c:pt>
                <c:pt idx="2967">
                  <c:v>1.7308313911749768E-2</c:v>
                </c:pt>
                <c:pt idx="2968">
                  <c:v>1.7213037057801101E-2</c:v>
                </c:pt>
                <c:pt idx="2969">
                  <c:v>1.7119934722291539E-2</c:v>
                </c:pt>
                <c:pt idx="2970">
                  <c:v>1.7029042571282123E-2</c:v>
                </c:pt>
                <c:pt idx="2971">
                  <c:v>1.6940396180440413E-2</c:v>
                </c:pt>
                <c:pt idx="2972">
                  <c:v>1.6854030985575745E-2</c:v>
                </c:pt>
                <c:pt idx="2973">
                  <c:v>1.6769982231115827E-2</c:v>
                </c:pt>
                <c:pt idx="2974">
                  <c:v>1.6688284916607208E-2</c:v>
                </c:pt>
                <c:pt idx="2975">
                  <c:v>1.6608973741339489E-2</c:v>
                </c:pt>
                <c:pt idx="2976">
                  <c:v>1.6532083047210832E-2</c:v>
                </c:pt>
                <c:pt idx="2977">
                  <c:v>1.6457646759970655E-2</c:v>
                </c:pt>
                <c:pt idx="2978">
                  <c:v>1.6385698328993961E-2</c:v>
                </c:pt>
                <c:pt idx="2979">
                  <c:v>1.6316270665760121E-2</c:v>
                </c:pt>
                <c:pt idx="2980">
                  <c:v>1.6249396081227725E-2</c:v>
                </c:pt>
                <c:pt idx="2981">
                  <c:v>1.6185106222314994E-2</c:v>
                </c:pt>
                <c:pt idx="2982">
                  <c:v>1.6123432007713063E-2</c:v>
                </c:pt>
                <c:pt idx="2983">
                  <c:v>1.6064403563276125E-2</c:v>
                </c:pt>
                <c:pt idx="2984">
                  <c:v>1.600805015724829E-2</c:v>
                </c:pt>
                <c:pt idx="2985">
                  <c:v>1.5954400135601499E-2</c:v>
                </c:pt>
                <c:pt idx="2986">
                  <c:v>1.5903480857771719E-2</c:v>
                </c:pt>
                <c:pt idx="2987">
                  <c:v>1.5855318633091794E-2</c:v>
                </c:pt>
                <c:pt idx="2988">
                  <c:v>1.5809938658228564E-2</c:v>
                </c:pt>
                <c:pt idx="2989">
                  <c:v>2.2331940588766083E-2</c:v>
                </c:pt>
                <c:pt idx="2990">
                  <c:v>2.2178616841457572E-2</c:v>
                </c:pt>
                <c:pt idx="2991">
                  <c:v>2.2026328005296726E-2</c:v>
                </c:pt>
                <c:pt idx="2992">
                  <c:v>2.1875095694656475E-2</c:v>
                </c:pt>
                <c:pt idx="2993">
                  <c:v>2.1724941973698418E-2</c:v>
                </c:pt>
                <c:pt idx="2994">
                  <c:v>2.1575889361216946E-2</c:v>
                </c:pt>
                <c:pt idx="2995">
                  <c:v>2.142796083511242E-2</c:v>
                </c:pt>
                <c:pt idx="2996">
                  <c:v>2.1281179836453494E-2</c:v>
                </c:pt>
                <c:pt idx="2997">
                  <c:v>2.1135570273086168E-2</c:v>
                </c:pt>
                <c:pt idx="2998">
                  <c:v>2.0991156522744969E-2</c:v>
                </c:pt>
                <c:pt idx="2999">
                  <c:v>2.0847963435619305E-2</c:v>
                </c:pt>
                <c:pt idx="3000">
                  <c:v>2.070601633632569E-2</c:v>
                </c:pt>
                <c:pt idx="3001">
                  <c:v>2.0565341025234156E-2</c:v>
                </c:pt>
                <c:pt idx="3002">
                  <c:v>2.0425963779094919E-2</c:v>
                </c:pt>
                <c:pt idx="3003">
                  <c:v>2.0287911350908999E-2</c:v>
                </c:pt>
                <c:pt idx="3004">
                  <c:v>2.0151210968984288E-2</c:v>
                </c:pt>
                <c:pt idx="3005">
                  <c:v>2.0015890335116481E-2</c:v>
                </c:pt>
                <c:pt idx="3006">
                  <c:v>1.9881977621832077E-2</c:v>
                </c:pt>
                <c:pt idx="3007">
                  <c:v>1.9749501468629024E-2</c:v>
                </c:pt>
                <c:pt idx="3008">
                  <c:v>1.9618490977148424E-2</c:v>
                </c:pt>
                <c:pt idx="3009">
                  <c:v>1.9488975705209709E-2</c:v>
                </c:pt>
                <c:pt idx="3010">
                  <c:v>1.9360985659639864E-2</c:v>
                </c:pt>
                <c:pt idx="3011">
                  <c:v>1.9234551287826616E-2</c:v>
                </c:pt>
                <c:pt idx="3012">
                  <c:v>1.9109703467924621E-2</c:v>
                </c:pt>
                <c:pt idx="3013">
                  <c:v>1.8986473497643378E-2</c:v>
                </c:pt>
                <c:pt idx="3014">
                  <c:v>1.8864893081545521E-2</c:v>
                </c:pt>
                <c:pt idx="3015">
                  <c:v>1.8744994316784946E-2</c:v>
                </c:pt>
                <c:pt idx="3016">
                  <c:v>1.8626809677214765E-2</c:v>
                </c:pt>
                <c:pt idx="3017">
                  <c:v>1.8510371995797092E-2</c:v>
                </c:pt>
                <c:pt idx="3018">
                  <c:v>1.8395714445248457E-2</c:v>
                </c:pt>
                <c:pt idx="3019">
                  <c:v>1.828287051685764E-2</c:v>
                </c:pt>
                <c:pt idx="3020">
                  <c:v>1.817187399741611E-2</c:v>
                </c:pt>
                <c:pt idx="3021">
                  <c:v>1.806275894420559E-2</c:v>
                </c:pt>
                <c:pt idx="3022">
                  <c:v>1.7955559657992181E-2</c:v>
                </c:pt>
                <c:pt idx="3023">
                  <c:v>1.7850310653982456E-2</c:v>
                </c:pt>
                <c:pt idx="3024">
                  <c:v>1.774704663070362E-2</c:v>
                </c:pt>
                <c:pt idx="3025">
                  <c:v>1.7645802436777529E-2</c:v>
                </c:pt>
                <c:pt idx="3026">
                  <c:v>1.7546613035566861E-2</c:v>
                </c:pt>
                <c:pt idx="3027">
                  <c:v>1.7449513467681321E-2</c:v>
                </c:pt>
                <c:pt idx="3028">
                  <c:v>1.7354538811342256E-2</c:v>
                </c:pt>
                <c:pt idx="3029">
                  <c:v>1.7261724140615373E-2</c:v>
                </c:pt>
                <c:pt idx="3030">
                  <c:v>1.7171104481533743E-2</c:v>
                </c:pt>
                <c:pt idx="3031">
                  <c:v>1.7082714766146478E-2</c:v>
                </c:pt>
                <c:pt idx="3032">
                  <c:v>1.6996589784542531E-2</c:v>
                </c:pt>
                <c:pt idx="3033">
                  <c:v>1.6912764134914139E-2</c:v>
                </c:pt>
                <c:pt idx="3034">
                  <c:v>1.6831272171739915E-2</c:v>
                </c:pt>
                <c:pt idx="3035">
                  <c:v>1.6752147952183952E-2</c:v>
                </c:pt>
                <c:pt idx="3036">
                  <c:v>1.6675425180824065E-2</c:v>
                </c:pt>
                <c:pt idx="3037">
                  <c:v>1.660113715283949E-2</c:v>
                </c:pt>
                <c:pt idx="3038">
                  <c:v>1.6529316695805665E-2</c:v>
                </c:pt>
                <c:pt idx="3039">
                  <c:v>1.6459996110261325E-2</c:v>
                </c:pt>
                <c:pt idx="3040">
                  <c:v>1.6393207109230395E-2</c:v>
                </c:pt>
                <c:pt idx="3041">
                  <c:v>1.6328980756898211E-2</c:v>
                </c:pt>
                <c:pt idx="3042">
                  <c:v>1.6267347406658163E-2</c:v>
                </c:pt>
                <c:pt idx="3043">
                  <c:v>1.6208336638760618E-2</c:v>
                </c:pt>
                <c:pt idx="3044">
                  <c:v>1.6151977197810728E-2</c:v>
                </c:pt>
                <c:pt idx="3045">
                  <c:v>1.6098296930375317E-2</c:v>
                </c:pt>
                <c:pt idx="3046">
                  <c:v>1.6047322722971293E-2</c:v>
                </c:pt>
                <c:pt idx="3047">
                  <c:v>1.599908044071835E-2</c:v>
                </c:pt>
                <c:pt idx="3048">
                  <c:v>1.5953594866947324E-2</c:v>
                </c:pt>
                <c:pt idx="3049">
                  <c:v>1.5910889644062193E-2</c:v>
                </c:pt>
                <c:pt idx="3050">
                  <c:v>2.230774772796347E-2</c:v>
                </c:pt>
                <c:pt idx="3051">
                  <c:v>2.2155975986203408E-2</c:v>
                </c:pt>
                <c:pt idx="3052">
                  <c:v>2.2005261665445173E-2</c:v>
                </c:pt>
                <c:pt idx="3053">
                  <c:v>2.1855626641323404E-2</c:v>
                </c:pt>
                <c:pt idx="3054">
                  <c:v>2.1707093233822576E-2</c:v>
                </c:pt>
                <c:pt idx="3055">
                  <c:v>2.1559684211405611E-2</c:v>
                </c:pt>
                <c:pt idx="3056">
                  <c:v>2.1413422794731459E-2</c:v>
                </c:pt>
                <c:pt idx="3057">
                  <c:v>2.126833265992055E-2</c:v>
                </c:pt>
                <c:pt idx="3058">
                  <c:v>2.1124437941324913E-2</c:v>
                </c:pt>
                <c:pt idx="3059">
                  <c:v>2.0981763233757493E-2</c:v>
                </c:pt>
                <c:pt idx="3060">
                  <c:v>2.0840333594133131E-2</c:v>
                </c:pt>
                <c:pt idx="3061">
                  <c:v>2.0700174542471278E-2</c:v>
                </c:pt>
                <c:pt idx="3062">
                  <c:v>2.0561312062208577E-2</c:v>
                </c:pt>
                <c:pt idx="3063">
                  <c:v>2.0423772599767111E-2</c:v>
                </c:pt>
                <c:pt idx="3064">
                  <c:v>2.0287583063322203E-2</c:v>
                </c:pt>
                <c:pt idx="3065">
                  <c:v>2.0152770820711569E-2</c:v>
                </c:pt>
                <c:pt idx="3066">
                  <c:v>2.0019363696425905E-2</c:v>
                </c:pt>
                <c:pt idx="3067">
                  <c:v>1.9887389967619004E-2</c:v>
                </c:pt>
                <c:pt idx="3068">
                  <c:v>1.9756878359074258E-2</c:v>
                </c:pt>
                <c:pt idx="3069">
                  <c:v>1.9627858037062688E-2</c:v>
                </c:pt>
                <c:pt idx="3070">
                  <c:v>1.9500358602026834E-2</c:v>
                </c:pt>
                <c:pt idx="3071">
                  <c:v>1.937441008002368E-2</c:v>
                </c:pt>
                <c:pt idx="3072">
                  <c:v>1.9250042912859457E-2</c:v>
                </c:pt>
                <c:pt idx="3073">
                  <c:v>1.9127287946848707E-2</c:v>
                </c:pt>
                <c:pt idx="3074">
                  <c:v>1.9006176420130458E-2</c:v>
                </c:pt>
                <c:pt idx="3075">
                  <c:v>1.8886739948474649E-2</c:v>
                </c:pt>
                <c:pt idx="3076">
                  <c:v>1.8769010509513261E-2</c:v>
                </c:pt>
                <c:pt idx="3077">
                  <c:v>1.8653020425332092E-2</c:v>
                </c:pt>
                <c:pt idx="3078">
                  <c:v>1.8538802343361322E-2</c:v>
                </c:pt>
                <c:pt idx="3079">
                  <c:v>1.8426389215505788E-2</c:v>
                </c:pt>
                <c:pt idx="3080">
                  <c:v>1.8315814275459415E-2</c:v>
                </c:pt>
                <c:pt idx="3081">
                  <c:v>1.8207111014152233E-2</c:v>
                </c:pt>
                <c:pt idx="3082">
                  <c:v>1.810031315328357E-2</c:v>
                </c:pt>
                <c:pt idx="3083">
                  <c:v>1.7995454616900424E-2</c:v>
                </c:pt>
                <c:pt idx="3084">
                  <c:v>1.7892569500986753E-2</c:v>
                </c:pt>
                <c:pt idx="3085">
                  <c:v>1.779169204103662E-2</c:v>
                </c:pt>
                <c:pt idx="3086">
                  <c:v>1.7692856577592442E-2</c:v>
                </c:pt>
                <c:pt idx="3087">
                  <c:v>1.7596097519738646E-2</c:v>
                </c:pt>
                <c:pt idx="3088">
                  <c:v>1.7501449306551009E-2</c:v>
                </c:pt>
                <c:pt idx="3089">
                  <c:v>1.7408946366512908E-2</c:v>
                </c:pt>
                <c:pt idx="3090">
                  <c:v>1.7318623074921317E-2</c:v>
                </c:pt>
                <c:pt idx="3091">
                  <c:v>1.7230513709318048E-2</c:v>
                </c:pt>
                <c:pt idx="3092">
                  <c:v>1.7144652402995026E-2</c:v>
                </c:pt>
                <c:pt idx="3093">
                  <c:v>1.7061073096636539E-2</c:v>
                </c:pt>
                <c:pt idx="3094">
                  <c:v>1.6979809488176036E-2</c:v>
                </c:pt>
                <c:pt idx="3095">
                  <c:v>1.6900894980960528E-2</c:v>
                </c:pt>
                <c:pt idx="3096">
                  <c:v>1.6824362630331241E-2</c:v>
                </c:pt>
                <c:pt idx="3097">
                  <c:v>1.675024508874548E-2</c:v>
                </c:pt>
                <c:pt idx="3098">
                  <c:v>1.6678574549580782E-2</c:v>
                </c:pt>
                <c:pt idx="3099">
                  <c:v>1.6609382689779031E-2</c:v>
                </c:pt>
                <c:pt idx="3100">
                  <c:v>1.6542700611504299E-2</c:v>
                </c:pt>
                <c:pt idx="3101">
                  <c:v>1.6478558783004176E-2</c:v>
                </c:pt>
                <c:pt idx="3102">
                  <c:v>1.6416986978879815E-2</c:v>
                </c:pt>
                <c:pt idx="3103">
                  <c:v>1.635801421998467E-2</c:v>
                </c:pt>
                <c:pt idx="3104">
                  <c:v>1.6301668713185707E-2</c:v>
                </c:pt>
                <c:pt idx="3105">
                  <c:v>1.6247977791233621E-2</c:v>
                </c:pt>
                <c:pt idx="3106">
                  <c:v>1.619696785299983E-2</c:v>
                </c:pt>
                <c:pt idx="3107">
                  <c:v>1.6148664304348047E-2</c:v>
                </c:pt>
                <c:pt idx="3108">
                  <c:v>1.6103091499915963E-2</c:v>
                </c:pt>
                <c:pt idx="3109">
                  <c:v>1.6060272686088881E-2</c:v>
                </c:pt>
                <c:pt idx="3110">
                  <c:v>1.6020229945451013E-2</c:v>
                </c:pt>
                <c:pt idx="3111">
                  <c:v>2.2290014721389594E-2</c:v>
                </c:pt>
                <c:pt idx="3112">
                  <c:v>2.2139842098652891E-2</c:v>
                </c:pt>
                <c:pt idx="3113">
                  <c:v>2.1990749552562479E-2</c:v>
                </c:pt>
                <c:pt idx="3114">
                  <c:v>2.1842759200030037E-2</c:v>
                </c:pt>
                <c:pt idx="3115">
                  <c:v>2.1695893595659817E-2</c:v>
                </c:pt>
                <c:pt idx="3116">
                  <c:v>2.1550175735121382E-2</c:v>
                </c:pt>
                <c:pt idx="3117">
                  <c:v>2.1405629058071668E-2</c:v>
                </c:pt>
                <c:pt idx="3118">
                  <c:v>2.1262277450584541E-2</c:v>
                </c:pt>
                <c:pt idx="3119">
                  <c:v>2.1120145247044003E-2</c:v>
                </c:pt>
                <c:pt idx="3120">
                  <c:v>2.0979257231455099E-2</c:v>
                </c:pt>
                <c:pt idx="3121">
                  <c:v>2.0839638638124519E-2</c:v>
                </c:pt>
                <c:pt idx="3122">
                  <c:v>2.0701315151661012E-2</c:v>
                </c:pt>
                <c:pt idx="3123">
                  <c:v>2.0564312906243505E-2</c:v>
                </c:pt>
                <c:pt idx="3124">
                  <c:v>2.0428658484103218E-2</c:v>
                </c:pt>
                <c:pt idx="3125">
                  <c:v>2.029437891316405E-2</c:v>
                </c:pt>
                <c:pt idx="3126">
                  <c:v>2.0161501663783842E-2</c:v>
                </c:pt>
                <c:pt idx="3127">
                  <c:v>2.0030054644537693E-2</c:v>
                </c:pt>
                <c:pt idx="3128">
                  <c:v>1.9900066196982834E-2</c:v>
                </c:pt>
                <c:pt idx="3129">
                  <c:v>1.977156508934378E-2</c:v>
                </c:pt>
                <c:pt idx="3130">
                  <c:v>1.9644580509054977E-2</c:v>
                </c:pt>
                <c:pt idx="3131">
                  <c:v>1.9519142054097906E-2</c:v>
                </c:pt>
                <c:pt idx="3132">
                  <c:v>1.9395279723068967E-2</c:v>
                </c:pt>
                <c:pt idx="3133">
                  <c:v>1.9273023903914322E-2</c:v>
                </c:pt>
                <c:pt idx="3134">
                  <c:v>1.915240536126837E-2</c:v>
                </c:pt>
                <c:pt idx="3135">
                  <c:v>1.9033455222333014E-2</c:v>
                </c:pt>
                <c:pt idx="3136">
                  <c:v>1.891620496123618E-2</c:v>
                </c:pt>
                <c:pt idx="3137">
                  <c:v>1.8800686381809647E-2</c:v>
                </c:pt>
                <c:pt idx="3138">
                  <c:v>1.8686931598728428E-2</c:v>
                </c:pt>
                <c:pt idx="3139">
                  <c:v>1.8574973016956802E-2</c:v>
                </c:pt>
                <c:pt idx="3140">
                  <c:v>1.8464843309449377E-2</c:v>
                </c:pt>
                <c:pt idx="3141">
                  <c:v>1.8356575393059776E-2</c:v>
                </c:pt>
                <c:pt idx="3142">
                  <c:v>1.8250202402614161E-2</c:v>
                </c:pt>
                <c:pt idx="3143">
                  <c:v>1.8145757663112487E-2</c:v>
                </c:pt>
                <c:pt idx="3144">
                  <c:v>1.8043274660026472E-2</c:v>
                </c:pt>
                <c:pt idx="3145">
                  <c:v>1.7942787007670442E-2</c:v>
                </c:pt>
                <c:pt idx="3146">
                  <c:v>1.7844328415629069E-2</c:v>
                </c:pt>
                <c:pt idx="3147">
                  <c:v>1.7747932653234651E-2</c:v>
                </c:pt>
                <c:pt idx="3148">
                  <c:v>1.7653633512096156E-2</c:v>
                </c:pt>
                <c:pt idx="3149">
                  <c:v>1.75614647666925E-2</c:v>
                </c:pt>
                <c:pt idx="3150">
                  <c:v>1.7471460133053722E-2</c:v>
                </c:pt>
                <c:pt idx="3151">
                  <c:v>1.7383653225565534E-2</c:v>
                </c:pt>
                <c:pt idx="3152">
                  <c:v>1.7298077511945377E-2</c:v>
                </c:pt>
                <c:pt idx="3153">
                  <c:v>1.7214766266451357E-2</c:v>
                </c:pt>
                <c:pt idx="3154">
                  <c:v>1.713375252139936E-2</c:v>
                </c:pt>
                <c:pt idx="3155">
                  <c:v>1.7055069017077946E-2</c:v>
                </c:pt>
                <c:pt idx="3156">
                  <c:v>1.697874815016558E-2</c:v>
                </c:pt>
                <c:pt idx="3157">
                  <c:v>1.6904821920769714E-2</c:v>
                </c:pt>
                <c:pt idx="3158">
                  <c:v>1.6833321878222583E-2</c:v>
                </c:pt>
                <c:pt idx="3159">
                  <c:v>1.676427906578401E-2</c:v>
                </c:pt>
                <c:pt idx="3160">
                  <c:v>1.6697723964416433E-2</c:v>
                </c:pt>
                <c:pt idx="3161">
                  <c:v>1.6633686435812586E-2</c:v>
                </c:pt>
                <c:pt idx="3162">
                  <c:v>1.6572195664870431E-2</c:v>
                </c:pt>
                <c:pt idx="3163">
                  <c:v>1.6513280101823832E-2</c:v>
                </c:pt>
                <c:pt idx="3164">
                  <c:v>1.645696740425032E-2</c:v>
                </c:pt>
                <c:pt idx="3165">
                  <c:v>1.6403284379189125E-2</c:v>
                </c:pt>
                <c:pt idx="3166">
                  <c:v>1.6352256925613307E-2</c:v>
                </c:pt>
                <c:pt idx="3167">
                  <c:v>1.6303909977508853E-2</c:v>
                </c:pt>
                <c:pt idx="3168">
                  <c:v>1.6258267447821211E-2</c:v>
                </c:pt>
                <c:pt idx="3169">
                  <c:v>1.6215352173535397E-2</c:v>
                </c:pt>
                <c:pt idx="3170">
                  <c:v>1.6175185862159398E-2</c:v>
                </c:pt>
                <c:pt idx="3171">
                  <c:v>1.6137789039882427E-2</c:v>
                </c:pt>
                <c:pt idx="3172">
                  <c:v>2.2278756994412736E-2</c:v>
                </c:pt>
                <c:pt idx="3173">
                  <c:v>2.2130229410387229E-2</c:v>
                </c:pt>
                <c:pt idx="3174">
                  <c:v>2.1982804647118329E-2</c:v>
                </c:pt>
                <c:pt idx="3175">
                  <c:v>2.1836505041033755E-2</c:v>
                </c:pt>
                <c:pt idx="3176">
                  <c:v>2.16913533583671E-2</c:v>
                </c:pt>
                <c:pt idx="3177">
                  <c:v>2.1547372797738489E-2</c:v>
                </c:pt>
                <c:pt idx="3178">
                  <c:v>2.1404586992245931E-2</c:v>
                </c:pt>
                <c:pt idx="3179">
                  <c:v>2.1263020011025074E-2</c:v>
                </c:pt>
                <c:pt idx="3180">
                  <c:v>2.112269636023317E-2</c:v>
                </c:pt>
                <c:pt idx="3181">
                  <c:v>2.0983640983411066E-2</c:v>
                </c:pt>
                <c:pt idx="3182">
                  <c:v>2.0845879261175222E-2</c:v>
                </c:pt>
                <c:pt idx="3183">
                  <c:v>2.0709437010190016E-2</c:v>
                </c:pt>
                <c:pt idx="3184">
                  <c:v>2.0574340481368695E-2</c:v>
                </c:pt>
                <c:pt idx="3185">
                  <c:v>2.0440616357249874E-2</c:v>
                </c:pt>
                <c:pt idx="3186">
                  <c:v>2.030829174849479E-2</c:v>
                </c:pt>
                <c:pt idx="3187">
                  <c:v>2.0177394189449197E-2</c:v>
                </c:pt>
                <c:pt idx="3188">
                  <c:v>2.0047951632712519E-2</c:v>
                </c:pt>
                <c:pt idx="3189">
                  <c:v>1.9919992442655913E-2</c:v>
                </c:pt>
                <c:pt idx="3190">
                  <c:v>1.979354538782992E-2</c:v>
                </c:pt>
                <c:pt idx="3191">
                  <c:v>1.96686396322019E-2</c:v>
                </c:pt>
                <c:pt idx="3192">
                  <c:v>1.9545304725163262E-2</c:v>
                </c:pt>
                <c:pt idx="3193">
                  <c:v>1.9423570590246311E-2</c:v>
                </c:pt>
                <c:pt idx="3194">
                  <c:v>1.9303467512491099E-2</c:v>
                </c:pt>
                <c:pt idx="3195">
                  <c:v>1.9185026124403461E-2</c:v>
                </c:pt>
                <c:pt idx="3196">
                  <c:v>1.9068277390446496E-2</c:v>
                </c:pt>
                <c:pt idx="3197">
                  <c:v>1.8953252590009684E-2</c:v>
                </c:pt>
                <c:pt idx="3198">
                  <c:v>1.8839983298801793E-2</c:v>
                </c:pt>
                <c:pt idx="3199">
                  <c:v>1.8728501368616715E-2</c:v>
                </c:pt>
                <c:pt idx="3200">
                  <c:v>1.8618838905424574E-2</c:v>
                </c:pt>
                <c:pt idx="3201">
                  <c:v>1.8511028245744514E-2</c:v>
                </c:pt>
                <c:pt idx="3202">
                  <c:v>1.8405101931260163E-2</c:v>
                </c:pt>
                <c:pt idx="3203">
                  <c:v>1.8301092681644118E-2</c:v>
                </c:pt>
                <c:pt idx="3204">
                  <c:v>1.8199033365563819E-2</c:v>
                </c:pt>
                <c:pt idx="3205">
                  <c:v>1.8098956969847969E-2</c:v>
                </c:pt>
                <c:pt idx="3206">
                  <c:v>1.8000896566800154E-2</c:v>
                </c:pt>
                <c:pt idx="3207">
                  <c:v>1.7904885279654618E-2</c:v>
                </c:pt>
                <c:pt idx="3208">
                  <c:v>1.7810956246178185E-2</c:v>
                </c:pt>
                <c:pt idx="3209">
                  <c:v>1.7719142580432064E-2</c:v>
                </c:pt>
                <c:pt idx="3210">
                  <c:v>1.7629477332717879E-2</c:v>
                </c:pt>
                <c:pt idx="3211">
                  <c:v>1.75419934477434E-2</c:v>
                </c:pt>
                <c:pt idx="3212">
                  <c:v>1.7456723721055365E-2</c:v>
                </c:pt>
                <c:pt idx="3213">
                  <c:v>1.7373700753799338E-2</c:v>
                </c:pt>
                <c:pt idx="3214">
                  <c:v>1.7292956905879467E-2</c:v>
                </c:pt>
                <c:pt idx="3215">
                  <c:v>1.7214524247604605E-2</c:v>
                </c:pt>
                <c:pt idx="3216">
                  <c:v>1.7138434509921124E-2</c:v>
                </c:pt>
                <c:pt idx="3217">
                  <c:v>1.7064719033346835E-2</c:v>
                </c:pt>
                <c:pt idx="3218">
                  <c:v>1.6993408715734758E-2</c:v>
                </c:pt>
                <c:pt idx="3219">
                  <c:v>1.6924533959009811E-2</c:v>
                </c:pt>
                <c:pt idx="3220">
                  <c:v>1.685812461503558E-2</c:v>
                </c:pt>
                <c:pt idx="3221">
                  <c:v>1.6794209930782296E-2</c:v>
                </c:pt>
                <c:pt idx="3222">
                  <c:v>1.6732818492980518E-2</c:v>
                </c:pt>
                <c:pt idx="3223">
                  <c:v>1.6673978172457849E-2</c:v>
                </c:pt>
                <c:pt idx="3224">
                  <c:v>1.6617716068368021E-2</c:v>
                </c:pt>
                <c:pt idx="3225">
                  <c:v>1.6564058452532657E-2</c:v>
                </c:pt>
                <c:pt idx="3226">
                  <c:v>1.651303071412593E-2</c:v>
                </c:pt>
                <c:pt idx="3227">
                  <c:v>1.6464657304940792E-2</c:v>
                </c:pt>
                <c:pt idx="3228">
                  <c:v>1.641896168548242E-2</c:v>
                </c:pt>
                <c:pt idx="3229">
                  <c:v>1.6375966272139948E-2</c:v>
                </c:pt>
                <c:pt idx="3230">
                  <c:v>1.6335692385690812E-2</c:v>
                </c:pt>
                <c:pt idx="3231">
                  <c:v>1.6298160201393724E-2</c:v>
                </c:pt>
                <c:pt idx="3232">
                  <c:v>1.6263388700925696E-2</c:v>
                </c:pt>
                <c:pt idx="3233">
                  <c:v>2.2273984365251055E-2</c:v>
                </c:pt>
                <c:pt idx="3234">
                  <c:v>2.2127146420414835E-2</c:v>
                </c:pt>
                <c:pt idx="3235">
                  <c:v>2.1981434070010804E-2</c:v>
                </c:pt>
                <c:pt idx="3236">
                  <c:v>2.1836869846539646E-2</c:v>
                </c:pt>
                <c:pt idx="3237">
                  <c:v>2.1693476703191647E-2</c:v>
                </c:pt>
                <c:pt idx="3238">
                  <c:v>2.1551278015603883E-2</c:v>
                </c:pt>
                <c:pt idx="3239">
                  <c:v>2.1410297583090935E-2</c:v>
                </c:pt>
                <c:pt idx="3240">
                  <c:v>2.1270559629306744E-2</c:v>
                </c:pt>
                <c:pt idx="3241">
                  <c:v>2.1132088802293163E-2</c:v>
                </c:pt>
                <c:pt idx="3242">
                  <c:v>2.0994910173869289E-2</c:v>
                </c:pt>
                <c:pt idx="3243">
                  <c:v>2.0859049238313866E-2</c:v>
                </c:pt>
                <c:pt idx="3244">
                  <c:v>2.0724531910291492E-2</c:v>
                </c:pt>
                <c:pt idx="3245">
                  <c:v>2.0591384521971907E-2</c:v>
                </c:pt>
                <c:pt idx="3246">
                  <c:v>2.0459633819290217E-2</c:v>
                </c:pt>
                <c:pt idx="3247">
                  <c:v>2.0329306957294683E-2</c:v>
                </c:pt>
                <c:pt idx="3248">
                  <c:v>2.0200431494527576E-2</c:v>
                </c:pt>
                <c:pt idx="3249">
                  <c:v>2.0073035386383883E-2</c:v>
                </c:pt>
                <c:pt idx="3250">
                  <c:v>1.9947146977391604E-2</c:v>
                </c:pt>
                <c:pt idx="3251">
                  <c:v>1.9822794992357475E-2</c:v>
                </c:pt>
                <c:pt idx="3252">
                  <c:v>1.9700008526321203E-2</c:v>
                </c:pt>
                <c:pt idx="3253">
                  <c:v>1.9578817033261982E-2</c:v>
                </c:pt>
                <c:pt idx="3254">
                  <c:v>1.9459250313501205E-2</c:v>
                </c:pt>
                <c:pt idx="3255">
                  <c:v>1.9341338499746341E-2</c:v>
                </c:pt>
                <c:pt idx="3256">
                  <c:v>1.9225112041722132E-2</c:v>
                </c:pt>
                <c:pt idx="3257">
                  <c:v>1.9110601689337106E-2</c:v>
                </c:pt>
                <c:pt idx="3258">
                  <c:v>1.8997838474335588E-2</c:v>
                </c:pt>
                <c:pt idx="3259">
                  <c:v>1.8886853690387992E-2</c:v>
                </c:pt>
                <c:pt idx="3260">
                  <c:v>1.8777678871575835E-2</c:v>
                </c:pt>
                <c:pt idx="3261">
                  <c:v>1.8670345769231329E-2</c:v>
                </c:pt>
                <c:pt idx="3262">
                  <c:v>1.8564886327096349E-2</c:v>
                </c:pt>
                <c:pt idx="3263">
                  <c:v>1.8461332654770343E-2</c:v>
                </c:pt>
                <c:pt idx="3264">
                  <c:v>1.8359716999422852E-2</c:v>
                </c:pt>
                <c:pt idx="3265">
                  <c:v>1.8260071715752627E-2</c:v>
                </c:pt>
                <c:pt idx="3266">
                  <c:v>1.8162429234182511E-2</c:v>
                </c:pt>
                <c:pt idx="3267">
                  <c:v>1.8066822027287256E-2</c:v>
                </c:pt>
                <c:pt idx="3268">
                  <c:v>1.7973282574459858E-2</c:v>
                </c:pt>
                <c:pt idx="3269">
                  <c:v>1.7881843324831441E-2</c:v>
                </c:pt>
                <c:pt idx="3270">
                  <c:v>1.7792536658469499E-2</c:v>
                </c:pt>
                <c:pt idx="3271">
                  <c:v>1.7705394845890027E-2</c:v>
                </c:pt>
                <c:pt idx="3272">
                  <c:v>1.7620450005930134E-2</c:v>
                </c:pt>
                <c:pt idx="3273">
                  <c:v>1.7537734062039581E-2</c:v>
                </c:pt>
                <c:pt idx="3274">
                  <c:v>1.7457278697061845E-2</c:v>
                </c:pt>
                <c:pt idx="3275">
                  <c:v>1.7379115306587999E-2</c:v>
                </c:pt>
                <c:pt idx="3276">
                  <c:v>1.7303274950979629E-2</c:v>
                </c:pt>
                <c:pt idx="3277">
                  <c:v>1.72297883061703E-2</c:v>
                </c:pt>
                <c:pt idx="3278">
                  <c:v>1.7158685613368307E-2</c:v>
                </c:pt>
                <c:pt idx="3279">
                  <c:v>1.7089996627796866E-2</c:v>
                </c:pt>
                <c:pt idx="3280">
                  <c:v>1.7023750566621029E-2</c:v>
                </c:pt>
                <c:pt idx="3281">
                  <c:v>1.6959976056223586E-2</c:v>
                </c:pt>
                <c:pt idx="3282">
                  <c:v>1.6898701079004586E-2</c:v>
                </c:pt>
                <c:pt idx="3283">
                  <c:v>1.6839952919891141E-2</c:v>
                </c:pt>
                <c:pt idx="3284">
                  <c:v>1.6783758112755183E-2</c:v>
                </c:pt>
                <c:pt idx="3285">
                  <c:v>1.6730142386947179E-2</c:v>
                </c:pt>
                <c:pt idx="3286">
                  <c:v>1.6679130614162832E-2</c:v>
                </c:pt>
                <c:pt idx="3287">
                  <c:v>1.6630746755867787E-2</c:v>
                </c:pt>
                <c:pt idx="3288">
                  <c:v>1.6585013811511763E-2</c:v>
                </c:pt>
                <c:pt idx="3289">
                  <c:v>1.6541953767768514E-2</c:v>
                </c:pt>
                <c:pt idx="3290">
                  <c:v>1.6501587549041203E-2</c:v>
                </c:pt>
                <c:pt idx="3291">
                  <c:v>1.6463934969474295E-2</c:v>
                </c:pt>
                <c:pt idx="3292">
                  <c:v>1.6429014686712391E-2</c:v>
                </c:pt>
                <c:pt idx="3293">
                  <c:v>1.639684415764418E-2</c:v>
                </c:pt>
                <c:pt idx="3294">
                  <c:v>2.227570100225415E-2</c:v>
                </c:pt>
                <c:pt idx="3295">
                  <c:v>2.2130595857672034E-2</c:v>
                </c:pt>
                <c:pt idx="3296">
                  <c:v>2.1986639050708058E-2</c:v>
                </c:pt>
                <c:pt idx="3297">
                  <c:v>2.1843853284925632E-2</c:v>
                </c:pt>
                <c:pt idx="3298">
                  <c:v>2.1702261674243037E-2</c:v>
                </c:pt>
                <c:pt idx="3299">
                  <c:v>2.1561887743841119E-2</c:v>
                </c:pt>
                <c:pt idx="3300">
                  <c:v>2.142275543050939E-2</c:v>
                </c:pt>
                <c:pt idx="3301">
                  <c:v>2.1284889082387983E-2</c:v>
                </c:pt>
                <c:pt idx="3302">
                  <c:v>2.1148313458061486E-2</c:v>
                </c:pt>
                <c:pt idx="3303">
                  <c:v>2.1013053724959069E-2</c:v>
                </c:pt>
                <c:pt idx="3304">
                  <c:v>2.0879135457013864E-2</c:v>
                </c:pt>
                <c:pt idx="3305">
                  <c:v>2.0746584631533376E-2</c:v>
                </c:pt>
                <c:pt idx="3306">
                  <c:v>2.0615427625231209E-2</c:v>
                </c:pt>
                <c:pt idx="3307">
                  <c:v>2.048569120936956E-2</c:v>
                </c:pt>
                <c:pt idx="3308">
                  <c:v>2.0357402543960817E-2</c:v>
                </c:pt>
                <c:pt idx="3309">
                  <c:v>2.0230589170975952E-2</c:v>
                </c:pt>
                <c:pt idx="3310">
                  <c:v>2.0105279006506788E-2</c:v>
                </c:pt>
                <c:pt idx="3311">
                  <c:v>1.998150033182897E-2</c:v>
                </c:pt>
                <c:pt idx="3312">
                  <c:v>1.9859281783312466E-2</c:v>
                </c:pt>
                <c:pt idx="3313">
                  <c:v>1.9738652341126459E-2</c:v>
                </c:pt>
                <c:pt idx="3314">
                  <c:v>1.9619641316686545E-2</c:v>
                </c:pt>
                <c:pt idx="3315">
                  <c:v>1.9502278338792534E-2</c:v>
                </c:pt>
                <c:pt idx="3316">
                  <c:v>1.9386593338406956E-2</c:v>
                </c:pt>
                <c:pt idx="3317">
                  <c:v>1.927261653202594E-2</c:v>
                </c:pt>
                <c:pt idx="3318">
                  <c:v>1.9160378403596311E-2</c:v>
                </c:pt>
                <c:pt idx="3319">
                  <c:v>1.9049909684935681E-2</c:v>
                </c:pt>
                <c:pt idx="3320">
                  <c:v>1.8941241334615288E-2</c:v>
                </c:pt>
                <c:pt idx="3321">
                  <c:v>1.8834404515269309E-2</c:v>
                </c:pt>
                <c:pt idx="3322">
                  <c:v>1.8729430569298711E-2</c:v>
                </c:pt>
                <c:pt idx="3323">
                  <c:v>1.8626350992942527E-2</c:v>
                </c:pt>
                <c:pt idx="3324">
                  <c:v>1.8525197408695196E-2</c:v>
                </c:pt>
                <c:pt idx="3325">
                  <c:v>1.842600153605467E-2</c:v>
                </c:pt>
                <c:pt idx="3326">
                  <c:v>1.8328795160592989E-2</c:v>
                </c:pt>
                <c:pt idx="3327">
                  <c:v>1.8233610101348299E-2</c:v>
                </c:pt>
                <c:pt idx="3328">
                  <c:v>1.8140478176545693E-2</c:v>
                </c:pt>
                <c:pt idx="3329">
                  <c:v>1.8049431167662774E-2</c:v>
                </c:pt>
                <c:pt idx="3330">
                  <c:v>1.7960500781865407E-2</c:v>
                </c:pt>
                <c:pt idx="3331">
                  <c:v>1.7873718612849018E-2</c:v>
                </c:pt>
                <c:pt idx="3332">
                  <c:v>1.7789116100131258E-2</c:v>
                </c:pt>
                <c:pt idx="3333">
                  <c:v>1.7706724486852968E-2</c:v>
                </c:pt>
                <c:pt idx="3334">
                  <c:v>1.7626574776155854E-2</c:v>
                </c:pt>
                <c:pt idx="3335">
                  <c:v>1.7548697686216922E-2</c:v>
                </c:pt>
                <c:pt idx="3336">
                  <c:v>1.7473123604032061E-2</c:v>
                </c:pt>
                <c:pt idx="3337">
                  <c:v>1.7399882538053395E-2</c:v>
                </c:pt>
                <c:pt idx="3338">
                  <c:v>1.7329004069797392E-2</c:v>
                </c:pt>
                <c:pt idx="3339">
                  <c:v>1.7260517304553174E-2</c:v>
                </c:pt>
                <c:pt idx="3340">
                  <c:v>1.7194450821332752E-2</c:v>
                </c:pt>
                <c:pt idx="3341">
                  <c:v>1.7130832622216801E-2</c:v>
                </c:pt>
                <c:pt idx="3342">
                  <c:v>1.7069690081261298E-2</c:v>
                </c:pt>
                <c:pt idx="3343">
                  <c:v>1.7011049893141193E-2</c:v>
                </c:pt>
                <c:pt idx="3344">
                  <c:v>1.6954938021717852E-2</c:v>
                </c:pt>
                <c:pt idx="3345">
                  <c:v>1.6901379648726143E-2</c:v>
                </c:pt>
                <c:pt idx="3346">
                  <c:v>1.6850399122785811E-2</c:v>
                </c:pt>
                <c:pt idx="3347">
                  <c:v>1.6802019908948845E-2</c:v>
                </c:pt>
                <c:pt idx="3348">
                  <c:v>1.6756264539000684E-2</c:v>
                </c:pt>
                <c:pt idx="3349">
                  <c:v>1.6713154562737583E-2</c:v>
                </c:pt>
                <c:pt idx="3350">
                  <c:v>1.6672710500445522E-2</c:v>
                </c:pt>
                <c:pt idx="3351">
                  <c:v>1.6634951796807303E-2</c:v>
                </c:pt>
                <c:pt idx="3352">
                  <c:v>1.6599896776464142E-2</c:v>
                </c:pt>
                <c:pt idx="3353">
                  <c:v>1.6567562601455674E-2</c:v>
                </c:pt>
                <c:pt idx="3354">
                  <c:v>1.6537965230758189E-2</c:v>
                </c:pt>
                <c:pt idx="3355">
                  <c:v>2.2283905405723409E-2</c:v>
                </c:pt>
                <c:pt idx="3356">
                  <c:v>2.2140574668959436E-2</c:v>
                </c:pt>
                <c:pt idx="3357">
                  <c:v>2.1998414921740008E-2</c:v>
                </c:pt>
                <c:pt idx="3358">
                  <c:v>2.1857449012248082E-2</c:v>
                </c:pt>
                <c:pt idx="3359">
                  <c:v>2.171770018749089E-2</c:v>
                </c:pt>
                <c:pt idx="3360">
                  <c:v>2.1579192093338084E-2</c:v>
                </c:pt>
                <c:pt idx="3361">
                  <c:v>2.1441948773965342E-2</c:v>
                </c:pt>
                <c:pt idx="3362">
                  <c:v>2.1305994670661323E-2</c:v>
                </c:pt>
                <c:pt idx="3363">
                  <c:v>2.1171354619954518E-2</c:v>
                </c:pt>
                <c:pt idx="3364">
                  <c:v>2.1038053851015221E-2</c:v>
                </c:pt>
                <c:pt idx="3365">
                  <c:v>2.0906117982286643E-2</c:v>
                </c:pt>
                <c:pt idx="3366">
                  <c:v>2.0775573017298165E-2</c:v>
                </c:pt>
                <c:pt idx="3367">
                  <c:v>2.0646445339612633E-2</c:v>
                </c:pt>
                <c:pt idx="3368">
                  <c:v>2.0518761706858981E-2</c:v>
                </c:pt>
                <c:pt idx="3369">
                  <c:v>2.039254924380076E-2</c:v>
                </c:pt>
                <c:pt idx="3370">
                  <c:v>2.0267835434390657E-2</c:v>
                </c:pt>
                <c:pt idx="3371">
                  <c:v>2.0144648112761114E-2</c:v>
                </c:pt>
                <c:pt idx="3372">
                  <c:v>2.0023015453101062E-2</c:v>
                </c:pt>
                <c:pt idx="3373">
                  <c:v>1.9902965958369226E-2</c:v>
                </c:pt>
                <c:pt idx="3374">
                  <c:v>1.9784528447795019E-2</c:v>
                </c:pt>
                <c:pt idx="3375">
                  <c:v>1.9667732043119317E-2</c:v>
                </c:pt>
                <c:pt idx="3376">
                  <c:v>1.9552606153528492E-2</c:v>
                </c:pt>
                <c:pt idx="3377">
                  <c:v>1.9439180459237065E-2</c:v>
                </c:pt>
                <c:pt idx="3378">
                  <c:v>1.9327484893676517E-2</c:v>
                </c:pt>
                <c:pt idx="3379">
                  <c:v>1.9217549624250478E-2</c:v>
                </c:pt>
                <c:pt idx="3380">
                  <c:v>1.9109405031619679E-2</c:v>
                </c:pt>
                <c:pt idx="3381">
                  <c:v>1.9003081687483717E-2</c:v>
                </c:pt>
                <c:pt idx="3382">
                  <c:v>1.8898610330831008E-2</c:v>
                </c:pt>
                <c:pt idx="3383">
                  <c:v>1.8796021842632869E-2</c:v>
                </c:pt>
                <c:pt idx="3384">
                  <c:v>1.8695347218963265E-2</c:v>
                </c:pt>
                <c:pt idx="3385">
                  <c:v>1.8596617542531457E-2</c:v>
                </c:pt>
                <c:pt idx="3386">
                  <c:v>1.8499863952621546E-2</c:v>
                </c:pt>
                <c:pt idx="3387">
                  <c:v>1.8405117613439728E-2</c:v>
                </c:pt>
                <c:pt idx="3388">
                  <c:v>1.8312409680878113E-2</c:v>
                </c:pt>
                <c:pt idx="3389">
                  <c:v>1.8221771267711968E-2</c:v>
                </c:pt>
                <c:pt idx="3390">
                  <c:v>1.8133233407256259E-2</c:v>
                </c:pt>
                <c:pt idx="3391">
                  <c:v>1.8046827015516645E-2</c:v>
                </c:pt>
                <c:pt idx="3392">
                  <c:v>1.7962582851880026E-2</c:v>
                </c:pt>
                <c:pt idx="3393">
                  <c:v>1.7880531478399998E-2</c:v>
                </c:pt>
                <c:pt idx="3394">
                  <c:v>1.7800703217743335E-2</c:v>
                </c:pt>
                <c:pt idx="3395">
                  <c:v>1.7723128109874638E-2</c:v>
                </c:pt>
                <c:pt idx="3396">
                  <c:v>1.7647835867567588E-2</c:v>
                </c:pt>
                <c:pt idx="3397">
                  <c:v>1.7574855830842756E-2</c:v>
                </c:pt>
                <c:pt idx="3398">
                  <c:v>1.7504216920443374E-2</c:v>
                </c:pt>
                <c:pt idx="3399">
                  <c:v>1.7435947590472119E-2</c:v>
                </c:pt>
                <c:pt idx="3400">
                  <c:v>1.7370075780323208E-2</c:v>
                </c:pt>
                <c:pt idx="3401">
                  <c:v>1.730662886605526E-2</c:v>
                </c:pt>
                <c:pt idx="3402">
                  <c:v>1.7245633611361146E-2</c:v>
                </c:pt>
                <c:pt idx="3403">
                  <c:v>1.7187116118301159E-2</c:v>
                </c:pt>
                <c:pt idx="3404">
                  <c:v>1.7131101777975388E-2</c:v>
                </c:pt>
                <c:pt idx="3405">
                  <c:v>1.7077615221320029E-2</c:v>
                </c:pt>
                <c:pt idx="3406">
                  <c:v>1.7026680270219953E-2</c:v>
                </c:pt>
                <c:pt idx="3407">
                  <c:v>1.6978319889136829E-2</c:v>
                </c:pt>
                <c:pt idx="3408">
                  <c:v>1.6932556137457425E-2</c:v>
                </c:pt>
                <c:pt idx="3409">
                  <c:v>1.6889410122771037E-2</c:v>
                </c:pt>
                <c:pt idx="3410">
                  <c:v>1.6848901955287779E-2</c:v>
                </c:pt>
                <c:pt idx="3411">
                  <c:v>1.6811050703610587E-2</c:v>
                </c:pt>
                <c:pt idx="3412">
                  <c:v>1.6775874352073498E-2</c:v>
                </c:pt>
                <c:pt idx="3413">
                  <c:v>1.674338975985672E-2</c:v>
                </c:pt>
                <c:pt idx="3414">
                  <c:v>1.6713612622084977E-2</c:v>
                </c:pt>
                <c:pt idx="3415">
                  <c:v>1.6686557433110271E-2</c:v>
                </c:pt>
                <c:pt idx="3416">
                  <c:v>2.2298590414455699E-2</c:v>
                </c:pt>
                <c:pt idx="3417">
                  <c:v>2.215707403243827E-2</c:v>
                </c:pt>
                <c:pt idx="3418">
                  <c:v>2.2016751139597567E-2</c:v>
                </c:pt>
                <c:pt idx="3419">
                  <c:v>2.1877644701011972E-2</c:v>
                </c:pt>
                <c:pt idx="3420">
                  <c:v>2.1739778067891808E-2</c:v>
                </c:pt>
                <c:pt idx="3421">
                  <c:v>2.1603174976734044E-2</c:v>
                </c:pt>
                <c:pt idx="3422">
                  <c:v>2.1467859547852276E-2</c:v>
                </c:pt>
                <c:pt idx="3423">
                  <c:v>2.1333856283240554E-2</c:v>
                </c:pt>
                <c:pt idx="3424">
                  <c:v>2.1201190063728465E-2</c:v>
                </c:pt>
                <c:pt idx="3425">
                  <c:v>2.1069886145383906E-2</c:v>
                </c:pt>
                <c:pt idx="3426">
                  <c:v>2.0939970155118864E-2</c:v>
                </c:pt>
                <c:pt idx="3427">
                  <c:v>2.0811468085452853E-2</c:v>
                </c:pt>
                <c:pt idx="3428">
                  <c:v>2.0684406288387937E-2</c:v>
                </c:pt>
                <c:pt idx="3429">
                  <c:v>2.0558811468348752E-2</c:v>
                </c:pt>
                <c:pt idx="3430">
                  <c:v>2.0434710674140703E-2</c:v>
                </c:pt>
                <c:pt idx="3431">
                  <c:v>2.0312131289879399E-2</c:v>
                </c:pt>
                <c:pt idx="3432">
                  <c:v>2.0191101024844619E-2</c:v>
                </c:pt>
                <c:pt idx="3433">
                  <c:v>2.0071647902212483E-2</c:v>
                </c:pt>
                <c:pt idx="3434">
                  <c:v>1.995380024662035E-2</c:v>
                </c:pt>
                <c:pt idx="3435">
                  <c:v>1.9837586670519873E-2</c:v>
                </c:pt>
                <c:pt idx="3436">
                  <c:v>1.9723036059275334E-2</c:v>
                </c:pt>
                <c:pt idx="3437">
                  <c:v>1.9610177554965899E-2</c:v>
                </c:pt>
                <c:pt idx="3438">
                  <c:v>1.9499040538852867E-2</c:v>
                </c:pt>
                <c:pt idx="3439">
                  <c:v>1.9389654612475507E-2</c:v>
                </c:pt>
                <c:pt idx="3440">
                  <c:v>1.9282049577342232E-2</c:v>
                </c:pt>
                <c:pt idx="3441">
                  <c:v>1.9176255413187446E-2</c:v>
                </c:pt>
                <c:pt idx="3442">
                  <c:v>1.9072302254768393E-2</c:v>
                </c:pt>
                <c:pt idx="3443">
                  <c:v>1.8970220367181094E-2</c:v>
                </c:pt>
                <c:pt idx="3444">
                  <c:v>1.8870040119679323E-2</c:v>
                </c:pt>
                <c:pt idx="3445">
                  <c:v>1.8771791957986537E-2</c:v>
                </c:pt>
                <c:pt idx="3446">
                  <c:v>1.8675506375096622E-2</c:v>
                </c:pt>
                <c:pt idx="3447">
                  <c:v>1.8581213880566234E-2</c:v>
                </c:pt>
                <c:pt idx="3448">
                  <c:v>1.8488944968308649E-2</c:v>
                </c:pt>
                <c:pt idx="3449">
                  <c:v>1.8398730082907086E-2</c:v>
                </c:pt>
                <c:pt idx="3450">
                  <c:v>1.8310599584473484E-2</c:v>
                </c:pt>
                <c:pt idx="3451">
                  <c:v>1.8224583712087825E-2</c:v>
                </c:pt>
                <c:pt idx="3452">
                  <c:v>1.8140712545862116E-2</c:v>
                </c:pt>
                <c:pt idx="3453">
                  <c:v>1.8059015967682938E-2</c:v>
                </c:pt>
                <c:pt idx="3454">
                  <c:v>1.7979523620696446E-2</c:v>
                </c:pt>
                <c:pt idx="3455">
                  <c:v>1.790226486760995E-2</c:v>
                </c:pt>
                <c:pt idx="3456">
                  <c:v>1.7827268747894823E-2</c:v>
                </c:pt>
                <c:pt idx="3457">
                  <c:v>1.7754563933986084E-2</c:v>
                </c:pt>
                <c:pt idx="3458">
                  <c:v>1.7684178686584718E-2</c:v>
                </c:pt>
                <c:pt idx="3459">
                  <c:v>1.7616140809179545E-2</c:v>
                </c:pt>
                <c:pt idx="3460">
                  <c:v>1.7550477601915873E-2</c:v>
                </c:pt>
                <c:pt idx="3461">
                  <c:v>1.748721581494854E-2</c:v>
                </c:pt>
                <c:pt idx="3462">
                  <c:v>1.742638160142684E-2</c:v>
                </c:pt>
                <c:pt idx="3463">
                  <c:v>1.736800047026817E-2</c:v>
                </c:pt>
                <c:pt idx="3464">
                  <c:v>1.7312097238886135E-2</c:v>
                </c:pt>
                <c:pt idx="3465">
                  <c:v>1.7258695986046808E-2</c:v>
                </c:pt>
                <c:pt idx="3466">
                  <c:v>1.7207820005034152E-2</c:v>
                </c:pt>
                <c:pt idx="3467">
                  <c:v>1.7159491757311601E-2</c:v>
                </c:pt>
                <c:pt idx="3468">
                  <c:v>1.7113732826872164E-2</c:v>
                </c:pt>
                <c:pt idx="3469">
                  <c:v>1.7070563875473035E-2</c:v>
                </c:pt>
                <c:pt idx="3470">
                  <c:v>1.7030004598953402E-2</c:v>
                </c:pt>
                <c:pt idx="3471">
                  <c:v>1.6992073684835202E-2</c:v>
                </c:pt>
                <c:pt idx="3472">
                  <c:v>1.6956788771406273E-2</c:v>
                </c:pt>
                <c:pt idx="3473">
                  <c:v>1.6924166408483363E-2</c:v>
                </c:pt>
                <c:pt idx="3474">
                  <c:v>1.6894222020049025E-2</c:v>
                </c:pt>
                <c:pt idx="3475">
                  <c:v>1.6866969868951216E-2</c:v>
                </c:pt>
                <c:pt idx="3476">
                  <c:v>1.6842423023847631E-2</c:v>
                </c:pt>
                <c:pt idx="3477">
                  <c:v>2.2319743236943978E-2</c:v>
                </c:pt>
                <c:pt idx="3478">
                  <c:v>2.2180079396547626E-2</c:v>
                </c:pt>
                <c:pt idx="3479">
                  <c:v>2.204163133182143E-2</c:v>
                </c:pt>
                <c:pt idx="3480">
                  <c:v>2.190442209590187E-2</c:v>
                </c:pt>
                <c:pt idx="3481">
                  <c:v>2.1768475114248627E-2</c:v>
                </c:pt>
                <c:pt idx="3482">
                  <c:v>2.1633814182908558E-2</c:v>
                </c:pt>
                <c:pt idx="3483">
                  <c:v>2.1500463466127773E-2</c:v>
                </c:pt>
                <c:pt idx="3484">
                  <c:v>2.1368447493271488E-2</c:v>
                </c:pt>
                <c:pt idx="3485">
                  <c:v>2.1237791155010257E-2</c:v>
                </c:pt>
                <c:pt idx="3486">
                  <c:v>2.1108519698730403E-2</c:v>
                </c:pt>
                <c:pt idx="3487">
                  <c:v>2.0980658723125753E-2</c:v>
                </c:pt>
                <c:pt idx="3488">
                  <c:v>2.085423417192734E-2</c:v>
                </c:pt>
                <c:pt idx="3489">
                  <c:v>2.0729272326727177E-2</c:v>
                </c:pt>
                <c:pt idx="3490">
                  <c:v>2.0605799798852222E-2</c:v>
                </c:pt>
                <c:pt idx="3491">
                  <c:v>2.0483843520244568E-2</c:v>
                </c:pt>
                <c:pt idx="3492">
                  <c:v>2.0363430733304207E-2</c:v>
                </c:pt>
                <c:pt idx="3493">
                  <c:v>2.0244588979651264E-2</c:v>
                </c:pt>
                <c:pt idx="3494">
                  <c:v>2.0127346087765324E-2</c:v>
                </c:pt>
                <c:pt idx="3495">
                  <c:v>2.0011730159460801E-2</c:v>
                </c:pt>
                <c:pt idx="3496">
                  <c:v>1.9897769555158429E-2</c:v>
                </c:pt>
                <c:pt idx="3497">
                  <c:v>1.978549287791518E-2</c:v>
                </c:pt>
                <c:pt idx="3498">
                  <c:v>1.9674928956176715E-2</c:v>
                </c:pt>
                <c:pt idx="3499">
                  <c:v>1.9566106825219354E-2</c:v>
                </c:pt>
                <c:pt idx="3500">
                  <c:v>1.9459055707251465E-2</c:v>
                </c:pt>
                <c:pt idx="3501">
                  <c:v>1.9353804990147602E-2</c:v>
                </c:pt>
                <c:pt idx="3502">
                  <c:v>1.9250384204792758E-2</c:v>
                </c:pt>
                <c:pt idx="3503">
                  <c:v>1.9148823001018438E-2</c:v>
                </c:pt>
                <c:pt idx="3504">
                  <c:v>1.9049151122117143E-2</c:v>
                </c:pt>
                <c:pt idx="3505">
                  <c:v>1.895139837792734E-2</c:v>
                </c:pt>
                <c:pt idx="3506">
                  <c:v>1.8855594616486723E-2</c:v>
                </c:pt>
                <c:pt idx="3507">
                  <c:v>1.876176969425819E-2</c:v>
                </c:pt>
                <c:pt idx="3508">
                  <c:v>1.8669953444939623E-2</c:v>
                </c:pt>
                <c:pt idx="3509">
                  <c:v>1.8580175646876074E-2</c:v>
                </c:pt>
                <c:pt idx="3510">
                  <c:v>1.8492465989100711E-2</c:v>
                </c:pt>
                <c:pt idx="3511">
                  <c:v>1.8406854036039193E-2</c:v>
                </c:pt>
                <c:pt idx="3512">
                  <c:v>1.8323369190920751E-2</c:v>
                </c:pt>
                <c:pt idx="3513">
                  <c:v>1.824204065794837E-2</c:v>
                </c:pt>
                <c:pt idx="3514">
                  <c:v>1.8162897403289621E-2</c:v>
                </c:pt>
                <c:pt idx="3515">
                  <c:v>1.8085968114959574E-2</c:v>
                </c:pt>
                <c:pt idx="3516">
                  <c:v>1.8011281161676693E-2</c:v>
                </c:pt>
                <c:pt idx="3517">
                  <c:v>1.7938864550782776E-2</c:v>
                </c:pt>
                <c:pt idx="3518">
                  <c:v>1.7868745885327775E-2</c:v>
                </c:pt>
                <c:pt idx="3519">
                  <c:v>1.7800952320430257E-2</c:v>
                </c:pt>
                <c:pt idx="3520">
                  <c:v>1.7735510519034135E-2</c:v>
                </c:pt>
                <c:pt idx="3521">
                  <c:v>1.7672446607191531E-2</c:v>
                </c:pt>
                <c:pt idx="3522">
                  <c:v>1.7611786129011063E-2</c:v>
                </c:pt>
                <c:pt idx="3523">
                  <c:v>1.7553554001419294E-2</c:v>
                </c:pt>
                <c:pt idx="3524">
                  <c:v>1.7497774468891353E-2</c:v>
                </c:pt>
                <c:pt idx="3525">
                  <c:v>1.7444471058314006E-2</c:v>
                </c:pt>
                <c:pt idx="3526">
                  <c:v>1.7393666534151149E-2</c:v>
                </c:pt>
                <c:pt idx="3527">
                  <c:v>1.7345382854087432E-2</c:v>
                </c:pt>
                <c:pt idx="3528">
                  <c:v>1.7299641125330226E-2</c:v>
                </c:pt>
                <c:pt idx="3529">
                  <c:v>1.7256461561753884E-2</c:v>
                </c:pt>
                <c:pt idx="3530">
                  <c:v>1.7215863442072481E-2</c:v>
                </c:pt>
                <c:pt idx="3531">
                  <c:v>1.7177865069228249E-2</c:v>
                </c:pt>
                <c:pt idx="3532">
                  <c:v>1.7142483731182663E-2</c:v>
                </c:pt>
                <c:pt idx="3533">
                  <c:v>1.7109735663295284E-2</c:v>
                </c:pt>
                <c:pt idx="3534">
                  <c:v>1.7079636012472296E-2</c:v>
                </c:pt>
                <c:pt idx="3535">
                  <c:v>1.7052198803261958E-2</c:v>
                </c:pt>
                <c:pt idx="3536">
                  <c:v>1.7027436906067884E-2</c:v>
                </c:pt>
                <c:pt idx="3537">
                  <c:v>1.7005362007643434E-2</c:v>
                </c:pt>
                <c:pt idx="3538">
                  <c:v>2.2347345506918304E-2</c:v>
                </c:pt>
                <c:pt idx="3539">
                  <c:v>2.2209570543943138E-2</c:v>
                </c:pt>
                <c:pt idx="3540">
                  <c:v>2.2073033369791249E-2</c:v>
                </c:pt>
                <c:pt idx="3541">
                  <c:v>2.1937757095887789E-2</c:v>
                </c:pt>
                <c:pt idx="3542">
                  <c:v>2.1803765191112247E-2</c:v>
                </c:pt>
                <c:pt idx="3543">
                  <c:v>2.1671081479170972E-2</c:v>
                </c:pt>
                <c:pt idx="3544">
                  <c:v>2.153973013529422E-2</c:v>
                </c:pt>
                <c:pt idx="3545">
                  <c:v>2.1409735682218562E-2</c:v>
                </c:pt>
                <c:pt idx="3546">
                  <c:v>2.1281122985414788E-2</c:v>
                </c:pt>
                <c:pt idx="3547">
                  <c:v>2.1153917247520901E-2</c:v>
                </c:pt>
                <c:pt idx="3548">
                  <c:v>2.1028144001939419E-2</c:v>
                </c:pt>
                <c:pt idx="3549">
                  <c:v>2.0903829105557801E-2</c:v>
                </c:pt>
                <c:pt idx="3550">
                  <c:v>2.0780998730550847E-2</c:v>
                </c:pt>
                <c:pt idx="3551">
                  <c:v>2.0659679355224086E-2</c:v>
                </c:pt>
                <c:pt idx="3552">
                  <c:v>2.0539897753857363E-2</c:v>
                </c:pt>
                <c:pt idx="3553">
                  <c:v>2.0421680985508589E-2</c:v>
                </c:pt>
                <c:pt idx="3554">
                  <c:v>2.0305056381738452E-2</c:v>
                </c:pt>
                <c:pt idx="3555">
                  <c:v>2.0190051533217974E-2</c:v>
                </c:pt>
                <c:pt idx="3556">
                  <c:v>2.0076694275182445E-2</c:v>
                </c:pt>
                <c:pt idx="3557">
                  <c:v>1.9965012671696845E-2</c:v>
                </c:pt>
                <c:pt idx="3558">
                  <c:v>1.9855034998700293E-2</c:v>
                </c:pt>
                <c:pt idx="3559">
                  <c:v>1.9746789725799418E-2</c:v>
                </c:pt>
                <c:pt idx="3560">
                  <c:v>1.964030549678358E-2</c:v>
                </c:pt>
                <c:pt idx="3561">
                  <c:v>1.9535611108838214E-2</c:v>
                </c:pt>
                <c:pt idx="3562">
                  <c:v>1.9432735490436354E-2</c:v>
                </c:pt>
                <c:pt idx="3563">
                  <c:v>1.9331707677892617E-2</c:v>
                </c:pt>
                <c:pt idx="3564">
                  <c:v>1.9232556790568588E-2</c:v>
                </c:pt>
                <c:pt idx="3565">
                  <c:v>1.9135312004723761E-2</c:v>
                </c:pt>
                <c:pt idx="3566">
                  <c:v>1.9040002526011669E-2</c:v>
                </c:pt>
                <c:pt idx="3567">
                  <c:v>1.8946657560626943E-2</c:v>
                </c:pt>
                <c:pt idx="3568">
                  <c:v>1.8855306285115586E-2</c:v>
                </c:pt>
                <c:pt idx="3569">
                  <c:v>1.876597781486759E-2</c:v>
                </c:pt>
                <c:pt idx="3570">
                  <c:v>1.867870117131841E-2</c:v>
                </c:pt>
                <c:pt idx="3571">
                  <c:v>1.8593505247893598E-2</c:v>
                </c:pt>
                <c:pt idx="3572">
                  <c:v>1.8510418774738937E-2</c:v>
                </c:pt>
                <c:pt idx="3573">
                  <c:v>1.8429470282286864E-2</c:v>
                </c:pt>
                <c:pt idx="3574">
                  <c:v>1.835068806371869E-2</c:v>
                </c:pt>
                <c:pt idx="3575">
                  <c:v>1.8274100136391025E-2</c:v>
                </c:pt>
                <c:pt idx="3576">
                  <c:v>1.8199734202303922E-2</c:v>
                </c:pt>
                <c:pt idx="3577">
                  <c:v>1.8127617607697426E-2</c:v>
                </c:pt>
                <c:pt idx="3578">
                  <c:v>1.8057777301872413E-2</c:v>
                </c:pt>
                <c:pt idx="3579">
                  <c:v>1.7990239795340722E-2</c:v>
                </c:pt>
                <c:pt idx="3580">
                  <c:v>1.7925031117418722E-2</c:v>
                </c:pt>
                <c:pt idx="3581">
                  <c:v>1.7862176773386942E-2</c:v>
                </c:pt>
                <c:pt idx="3582">
                  <c:v>1.7801701701347098E-2</c:v>
                </c:pt>
                <c:pt idx="3583">
                  <c:v>1.7743630228915681E-2</c:v>
                </c:pt>
                <c:pt idx="3584">
                  <c:v>1.7687986029900706E-2</c:v>
                </c:pt>
                <c:pt idx="3585">
                  <c:v>1.7634792081115125E-2</c:v>
                </c:pt>
                <c:pt idx="3586">
                  <c:v>1.75840706194864E-2</c:v>
                </c:pt>
                <c:pt idx="3587">
                  <c:v>1.7535843099626972E-2</c:v>
                </c:pt>
                <c:pt idx="3588">
                  <c:v>1.7490130152034624E-2</c:v>
                </c:pt>
                <c:pt idx="3589">
                  <c:v>1.7446951542095041E-2</c:v>
                </c:pt>
                <c:pt idx="3590">
                  <c:v>1.7406326130060885E-2</c:v>
                </c:pt>
                <c:pt idx="3591">
                  <c:v>1.7368271832182789E-2</c:v>
                </c:pt>
                <c:pt idx="3592">
                  <c:v>1.7332805583167247E-2</c:v>
                </c:pt>
                <c:pt idx="3593">
                  <c:v>1.7299943300134811E-2</c:v>
                </c:pt>
                <c:pt idx="3594">
                  <c:v>1.7269699848248981E-2</c:v>
                </c:pt>
                <c:pt idx="3595">
                  <c:v>1.7242089008181933E-2</c:v>
                </c:pt>
                <c:pt idx="3596">
                  <c:v>1.7217123445577416E-2</c:v>
                </c:pt>
                <c:pt idx="3597">
                  <c:v>1.7194814682664102E-2</c:v>
                </c:pt>
                <c:pt idx="3598">
                  <c:v>1.7175173072164259E-2</c:v>
                </c:pt>
                <c:pt idx="3599">
                  <c:v>2.2381373362666577E-2</c:v>
                </c:pt>
                <c:pt idx="3600">
                  <c:v>2.2245521679804262E-2</c:v>
                </c:pt>
                <c:pt idx="3601">
                  <c:v>2.2110929466463591E-2</c:v>
                </c:pt>
                <c:pt idx="3602">
                  <c:v>2.1977619861849016E-2</c:v>
                </c:pt>
                <c:pt idx="3603">
                  <c:v>2.1845616346756587E-2</c:v>
                </c:pt>
                <c:pt idx="3604">
                  <c:v>2.1714942740061347E-2</c:v>
                </c:pt>
                <c:pt idx="3605">
                  <c:v>2.1585623194509188E-2</c:v>
                </c:pt>
                <c:pt idx="3606">
                  <c:v>2.1457682191775729E-2</c:v>
                </c:pt>
                <c:pt idx="3607">
                  <c:v>2.133114453675403E-2</c:v>
                </c:pt>
                <c:pt idx="3608">
                  <c:v>2.1206035351032954E-2</c:v>
                </c:pt>
                <c:pt idx="3609">
                  <c:v>2.1082380065527546E-2</c:v>
                </c:pt>
                <c:pt idx="3610">
                  <c:v>2.0960204412223012E-2</c:v>
                </c:pt>
                <c:pt idx="3611">
                  <c:v>2.083953441499399E-2</c:v>
                </c:pt>
                <c:pt idx="3612">
                  <c:v>2.0720396379461242E-2</c:v>
                </c:pt>
                <c:pt idx="3613">
                  <c:v>2.0602816881848663E-2</c:v>
                </c:pt>
                <c:pt idx="3614">
                  <c:v>2.0486822756804236E-2</c:v>
                </c:pt>
                <c:pt idx="3615">
                  <c:v>2.037244108414997E-2</c:v>
                </c:pt>
                <c:pt idx="3616">
                  <c:v>2.025969917452717E-2</c:v>
                </c:pt>
                <c:pt idx="3617">
                  <c:v>2.014862455390537E-2</c:v>
                </c:pt>
                <c:pt idx="3618">
                  <c:v>2.0039244946925164E-2</c:v>
                </c:pt>
                <c:pt idx="3619">
                  <c:v>1.9931588259047974E-2</c:v>
                </c:pt>
                <c:pt idx="3620">
                  <c:v>1.9825682557488362E-2</c:v>
                </c:pt>
                <c:pt idx="3621">
                  <c:v>1.9721556050907932E-2</c:v>
                </c:pt>
                <c:pt idx="3622">
                  <c:v>1.9619237067853436E-2</c:v>
                </c:pt>
                <c:pt idx="3623">
                  <c:v>1.9518754033925716E-2</c:v>
                </c:pt>
                <c:pt idx="3624">
                  <c:v>1.9420135447670656E-2</c:v>
                </c:pt>
                <c:pt idx="3625">
                  <c:v>1.9323409855188167E-2</c:v>
                </c:pt>
                <c:pt idx="3626">
                  <c:v>1.9228605823460469E-2</c:v>
                </c:pt>
                <c:pt idx="3627">
                  <c:v>1.913575191240675E-2</c:v>
                </c:pt>
                <c:pt idx="3628">
                  <c:v>1.9044876645677316E-2</c:v>
                </c:pt>
                <c:pt idx="3629">
                  <c:v>1.8956008480206954E-2</c:v>
                </c:pt>
                <c:pt idx="3630">
                  <c:v>1.886917577455402E-2</c:v>
                </c:pt>
                <c:pt idx="3631">
                  <c:v>1.8784406756059156E-2</c:v>
                </c:pt>
                <c:pt idx="3632">
                  <c:v>1.8701729486864879E-2</c:v>
                </c:pt>
                <c:pt idx="3633">
                  <c:v>1.8621171828845453E-2</c:v>
                </c:pt>
                <c:pt idx="3634">
                  <c:v>1.8542761407504271E-2</c:v>
                </c:pt>
                <c:pt idx="3635">
                  <c:v>1.8466525574904392E-2</c:v>
                </c:pt>
                <c:pt idx="3636">
                  <c:v>1.8392491371706336E-2</c:v>
                </c:pt>
                <c:pt idx="3637">
                  <c:v>1.8320685488395681E-2</c:v>
                </c:pt>
                <c:pt idx="3638">
                  <c:v>1.8251134225791506E-2</c:v>
                </c:pt>
                <c:pt idx="3639">
                  <c:v>1.8183863454935258E-2</c:v>
                </c:pt>
                <c:pt idx="3640">
                  <c:v>1.8118898576467826E-2</c:v>
                </c:pt>
                <c:pt idx="3641">
                  <c:v>1.8056264479610715E-2</c:v>
                </c:pt>
                <c:pt idx="3642">
                  <c:v>1.7995985500874945E-2</c:v>
                </c:pt>
                <c:pt idx="3643">
                  <c:v>1.7938085382628689E-2</c:v>
                </c:pt>
                <c:pt idx="3644">
                  <c:v>1.7882587231661379E-2</c:v>
                </c:pt>
                <c:pt idx="3645">
                  <c:v>1.7829513477888453E-2</c:v>
                </c:pt>
                <c:pt idx="3646">
                  <c:v>1.7778885833346234E-2</c:v>
                </c:pt>
                <c:pt idx="3647">
                  <c:v>1.7730725251631389E-2</c:v>
                </c:pt>
                <c:pt idx="3648">
                  <c:v>1.7685051887943226E-2</c:v>
                </c:pt>
                <c:pt idx="3649">
                  <c:v>1.7641885059890155E-2</c:v>
                </c:pt>
                <c:pt idx="3650">
                  <c:v>1.7601243209223391E-2</c:v>
                </c:pt>
                <c:pt idx="3651">
                  <c:v>1.7563143864662033E-2</c:v>
                </c:pt>
                <c:pt idx="3652">
                  <c:v>1.7527603605973198E-2</c:v>
                </c:pt>
                <c:pt idx="3653">
                  <c:v>1.7494638029469475E-2</c:v>
                </c:pt>
                <c:pt idx="3654">
                  <c:v>1.7464261715083192E-2</c:v>
                </c:pt>
                <c:pt idx="3655">
                  <c:v>1.7436488195172999E-2</c:v>
                </c:pt>
                <c:pt idx="3656">
                  <c:v>1.7411329925213066E-2</c:v>
                </c:pt>
                <c:pt idx="3657">
                  <c:v>1.7388798256508662E-2</c:v>
                </c:pt>
                <c:pt idx="3658">
                  <c:v>1.7368903411074155E-2</c:v>
                </c:pt>
                <c:pt idx="3659">
                  <c:v>1.7351654458800578E-2</c:v>
                </c:pt>
                <c:pt idx="3660">
                  <c:v>2.2421797549340337E-2</c:v>
                </c:pt>
                <c:pt idx="3661">
                  <c:v>2.2287901543615995E-2</c:v>
                </c:pt>
                <c:pt idx="3662">
                  <c:v>2.2155286298059025E-2</c:v>
                </c:pt>
                <c:pt idx="3663">
                  <c:v>2.2023974948603843E-2</c:v>
                </c:pt>
                <c:pt idx="3664">
                  <c:v>2.1893990955995743E-2</c:v>
                </c:pt>
                <c:pt idx="3665">
                  <c:v>2.1765358101406073E-2</c:v>
                </c:pt>
                <c:pt idx="3666">
                  <c:v>2.1638100481335888E-2</c:v>
                </c:pt>
                <c:pt idx="3667">
                  <c:v>2.1512242501772333E-2</c:v>
                </c:pt>
                <c:pt idx="3668">
                  <c:v>2.1387808871561793E-2</c:v>
                </c:pt>
                <c:pt idx="3669">
                  <c:v>2.1264824594963878E-2</c:v>
                </c:pt>
                <c:pt idx="3670">
                  <c:v>2.1143314963350233E-2</c:v>
                </c:pt>
                <c:pt idx="3671">
                  <c:v>2.1023305546012623E-2</c:v>
                </c:pt>
                <c:pt idx="3672">
                  <c:v>2.0904822180045114E-2</c:v>
                </c:pt>
                <c:pt idx="3673">
                  <c:v>2.0787890959266E-2</c:v>
                </c:pt>
                <c:pt idx="3674">
                  <c:v>2.0672538222145972E-2</c:v>
                </c:pt>
                <c:pt idx="3675">
                  <c:v>2.055879053871032E-2</c:v>
                </c:pt>
                <c:pt idx="3676">
                  <c:v>2.0446674696384497E-2</c:v>
                </c:pt>
                <c:pt idx="3677">
                  <c:v>2.0336217684753983E-2</c:v>
                </c:pt>
                <c:pt idx="3678">
                  <c:v>2.0227446679211825E-2</c:v>
                </c:pt>
                <c:pt idx="3679">
                  <c:v>2.0120389023469208E-2</c:v>
                </c:pt>
                <c:pt idx="3680">
                  <c:v>2.0015072210907679E-2</c:v>
                </c:pt>
                <c:pt idx="3681">
                  <c:v>1.991152386475438E-2</c:v>
                </c:pt>
                <c:pt idx="3682">
                  <c:v>1.9809771717065383E-2</c:v>
                </c:pt>
                <c:pt idx="3683">
                  <c:v>1.9709843586505956E-2</c:v>
                </c:pt>
                <c:pt idx="3684">
                  <c:v>1.9611767354920932E-2</c:v>
                </c:pt>
                <c:pt idx="3685">
                  <c:v>1.9515570942692927E-2</c:v>
                </c:pt>
                <c:pt idx="3686">
                  <c:v>1.9421282282891226E-2</c:v>
                </c:pt>
                <c:pt idx="3687">
                  <c:v>1.9328929294219449E-2</c:v>
                </c:pt>
                <c:pt idx="3688">
                  <c:v>1.9238539852776012E-2</c:v>
                </c:pt>
                <c:pt idx="3689">
                  <c:v>1.9150141762647416E-2</c:v>
                </c:pt>
                <c:pt idx="3690">
                  <c:v>1.9063762725360926E-2</c:v>
                </c:pt>
                <c:pt idx="3691">
                  <c:v>1.8979430308229867E-2</c:v>
                </c:pt>
                <c:pt idx="3692">
                  <c:v>1.8897171911632021E-2</c:v>
                </c:pt>
                <c:pt idx="3693">
                  <c:v>1.8817014735268714E-2</c:v>
                </c:pt>
                <c:pt idx="3694">
                  <c:v>1.8738985743459849E-2</c:v>
                </c:pt>
                <c:pt idx="3695">
                  <c:v>1.86631116295378E-2</c:v>
                </c:pt>
                <c:pt idx="3696">
                  <c:v>1.8589418779410845E-2</c:v>
                </c:pt>
                <c:pt idx="3697">
                  <c:v>1.8517933234374777E-2</c:v>
                </c:pt>
                <c:pt idx="3698">
                  <c:v>1.8448680653259119E-2</c:v>
                </c:pt>
                <c:pt idx="3699">
                  <c:v>1.8381686274002135E-2</c:v>
                </c:pt>
                <c:pt idx="3700">
                  <c:v>1.8316974874756635E-2</c:v>
                </c:pt>
                <c:pt idx="3701">
                  <c:v>1.8254570734635722E-2</c:v>
                </c:pt>
                <c:pt idx="3702">
                  <c:v>1.8194497594215073E-2</c:v>
                </c:pt>
                <c:pt idx="3703">
                  <c:v>1.8136778615914763E-2</c:v>
                </c:pt>
                <c:pt idx="3704">
                  <c:v>1.8081436344390179E-2</c:v>
                </c:pt>
                <c:pt idx="3705">
                  <c:v>1.8028492667067061E-2</c:v>
                </c:pt>
                <c:pt idx="3706">
                  <c:v>1.7977968774961026E-2</c:v>
                </c:pt>
                <c:pt idx="3707">
                  <c:v>1.7929885123925987E-2</c:v>
                </c:pt>
                <c:pt idx="3708">
                  <c:v>1.7884261396479788E-2</c:v>
                </c:pt>
                <c:pt idx="3709">
                  <c:v>1.7841116464357768E-2</c:v>
                </c:pt>
                <c:pt idx="3710">
                  <c:v>1.780046835194693E-2</c:v>
                </c:pt>
                <c:pt idx="3711">
                  <c:v>1.7762334200754043E-2</c:v>
                </c:pt>
                <c:pt idx="3712">
                  <c:v>1.77267302350607E-2</c:v>
                </c:pt>
                <c:pt idx="3713">
                  <c:v>1.7693671728917081E-2</c:v>
                </c:pt>
                <c:pt idx="3714">
                  <c:v>1.7663172974623494E-2</c:v>
                </c:pt>
                <c:pt idx="3715">
                  <c:v>1.7635247252845251E-2</c:v>
                </c:pt>
                <c:pt idx="3716">
                  <c:v>1.7609906804501498E-2</c:v>
                </c:pt>
                <c:pt idx="3717">
                  <c:v>1.7587162804562767E-2</c:v>
                </c:pt>
                <c:pt idx="3718">
                  <c:v>1.7567025337884901E-2</c:v>
                </c:pt>
                <c:pt idx="3719">
                  <c:v>1.7549503377198742E-2</c:v>
                </c:pt>
                <c:pt idx="3720">
                  <c:v>1.7534604763365953E-2</c:v>
                </c:pt>
              </c:numCache>
            </c:numRef>
          </c:xVal>
          <c:yVal>
            <c:numRef>
              <c:f>Plot!$A$2:$A$3722</c:f>
              <c:numCache>
                <c:formatCode>General</c:formatCode>
                <c:ptCount val="3721"/>
                <c:pt idx="0">
                  <c:v>-1.1949753046213915E-3</c:v>
                </c:pt>
                <c:pt idx="1">
                  <c:v>-1.1881941306547124E-3</c:v>
                </c:pt>
                <c:pt idx="2">
                  <c:v>-1.1814129566880332E-3</c:v>
                </c:pt>
                <c:pt idx="3">
                  <c:v>-1.1746317827213541E-3</c:v>
                </c:pt>
                <c:pt idx="4">
                  <c:v>-1.1678506087546749E-3</c:v>
                </c:pt>
                <c:pt idx="5">
                  <c:v>-1.1610694347879958E-3</c:v>
                </c:pt>
                <c:pt idx="6">
                  <c:v>-1.1542882608213166E-3</c:v>
                </c:pt>
                <c:pt idx="7">
                  <c:v>-1.1475070868546375E-3</c:v>
                </c:pt>
                <c:pt idx="8">
                  <c:v>-1.1407259128879584E-3</c:v>
                </c:pt>
                <c:pt idx="9">
                  <c:v>-1.1339447389212794E-3</c:v>
                </c:pt>
                <c:pt idx="10">
                  <c:v>-1.1271635649546003E-3</c:v>
                </c:pt>
                <c:pt idx="11">
                  <c:v>-1.1203823909879211E-3</c:v>
                </c:pt>
                <c:pt idx="12">
                  <c:v>-1.113601217021242E-3</c:v>
                </c:pt>
                <c:pt idx="13">
                  <c:v>-1.1068200430545631E-3</c:v>
                </c:pt>
                <c:pt idx="14">
                  <c:v>-1.1000388690878839E-3</c:v>
                </c:pt>
                <c:pt idx="15">
                  <c:v>-1.0932576951212048E-3</c:v>
                </c:pt>
                <c:pt idx="16">
                  <c:v>-1.0864765211545256E-3</c:v>
                </c:pt>
                <c:pt idx="17">
                  <c:v>-1.0796953471878463E-3</c:v>
                </c:pt>
                <c:pt idx="18">
                  <c:v>-1.0729141732211676E-3</c:v>
                </c:pt>
                <c:pt idx="19">
                  <c:v>-1.0661329992544884E-3</c:v>
                </c:pt>
                <c:pt idx="20">
                  <c:v>-1.0593518252878093E-3</c:v>
                </c:pt>
                <c:pt idx="21">
                  <c:v>-1.0525706513211301E-3</c:v>
                </c:pt>
                <c:pt idx="22">
                  <c:v>-1.0457894773544512E-3</c:v>
                </c:pt>
                <c:pt idx="23">
                  <c:v>-1.0390083033877721E-3</c:v>
                </c:pt>
                <c:pt idx="24">
                  <c:v>-1.0322271294210929E-3</c:v>
                </c:pt>
                <c:pt idx="25">
                  <c:v>-1.0254459554544138E-3</c:v>
                </c:pt>
                <c:pt idx="26">
                  <c:v>-1.0186647814877346E-3</c:v>
                </c:pt>
                <c:pt idx="27">
                  <c:v>-1.0118836075210557E-3</c:v>
                </c:pt>
                <c:pt idx="28">
                  <c:v>-1.0051024335543765E-3</c:v>
                </c:pt>
                <c:pt idx="29">
                  <c:v>-9.9832125958769719E-4</c:v>
                </c:pt>
                <c:pt idx="30">
                  <c:v>-9.9154008562101804E-4</c:v>
                </c:pt>
                <c:pt idx="31">
                  <c:v>-9.8475891165433912E-4</c:v>
                </c:pt>
                <c:pt idx="32">
                  <c:v>-9.7797773768765997E-4</c:v>
                </c:pt>
                <c:pt idx="33">
                  <c:v>-9.7119656372098083E-4</c:v>
                </c:pt>
                <c:pt idx="34">
                  <c:v>-9.6441538975430168E-4</c:v>
                </c:pt>
                <c:pt idx="35">
                  <c:v>-9.5763421578762265E-4</c:v>
                </c:pt>
                <c:pt idx="36">
                  <c:v>-9.508530418209435E-4</c:v>
                </c:pt>
                <c:pt idx="37">
                  <c:v>-9.4407186785426447E-4</c:v>
                </c:pt>
                <c:pt idx="38">
                  <c:v>-9.3729069388758532E-4</c:v>
                </c:pt>
                <c:pt idx="39">
                  <c:v>-9.3050951992090618E-4</c:v>
                </c:pt>
                <c:pt idx="40">
                  <c:v>-9.2372834595422703E-4</c:v>
                </c:pt>
                <c:pt idx="41">
                  <c:v>-9.16947171987548E-4</c:v>
                </c:pt>
                <c:pt idx="42">
                  <c:v>-9.1016599802086885E-4</c:v>
                </c:pt>
                <c:pt idx="43">
                  <c:v>-9.0338482405418982E-4</c:v>
                </c:pt>
                <c:pt idx="44">
                  <c:v>-8.9660365008751067E-4</c:v>
                </c:pt>
                <c:pt idx="45">
                  <c:v>-8.8982247612083153E-4</c:v>
                </c:pt>
                <c:pt idx="46">
                  <c:v>-8.8304130215415238E-4</c:v>
                </c:pt>
                <c:pt idx="47">
                  <c:v>-8.7626012818747324E-4</c:v>
                </c:pt>
                <c:pt idx="48">
                  <c:v>-8.6947895422079442E-4</c:v>
                </c:pt>
                <c:pt idx="49">
                  <c:v>-8.6269778025411528E-4</c:v>
                </c:pt>
                <c:pt idx="50">
                  <c:v>-8.5591660628743613E-4</c:v>
                </c:pt>
                <c:pt idx="51">
                  <c:v>-8.4913543232075699E-4</c:v>
                </c:pt>
                <c:pt idx="52">
                  <c:v>-8.4235425835407795E-4</c:v>
                </c:pt>
                <c:pt idx="53">
                  <c:v>-8.3557308438739881E-4</c:v>
                </c:pt>
                <c:pt idx="54">
                  <c:v>-8.2879191042071966E-4</c:v>
                </c:pt>
                <c:pt idx="55">
                  <c:v>-8.2201073645404063E-4</c:v>
                </c:pt>
                <c:pt idx="56">
                  <c:v>-8.1522956248736148E-4</c:v>
                </c:pt>
                <c:pt idx="57">
                  <c:v>-8.0844838852068158E-4</c:v>
                </c:pt>
                <c:pt idx="58">
                  <c:v>-8.0166721455400243E-4</c:v>
                </c:pt>
                <c:pt idx="59">
                  <c:v>-7.9488604058732361E-4</c:v>
                </c:pt>
                <c:pt idx="60">
                  <c:v>-7.8810486662064436E-4</c:v>
                </c:pt>
                <c:pt idx="61">
                  <c:v>-1.1884010967759362E-3</c:v>
                </c:pt>
                <c:pt idx="62">
                  <c:v>-1.181619922809257E-3</c:v>
                </c:pt>
                <c:pt idx="63">
                  <c:v>-1.1748387488425781E-3</c:v>
                </c:pt>
                <c:pt idx="64">
                  <c:v>-1.1680575748758987E-3</c:v>
                </c:pt>
                <c:pt idx="65">
                  <c:v>-1.1612764009092196E-3</c:v>
                </c:pt>
                <c:pt idx="66">
                  <c:v>-1.1544952269425405E-3</c:v>
                </c:pt>
                <c:pt idx="67">
                  <c:v>-1.1477140529758615E-3</c:v>
                </c:pt>
                <c:pt idx="68">
                  <c:v>-1.1409328790091824E-3</c:v>
                </c:pt>
                <c:pt idx="69">
                  <c:v>-1.1341517050425032E-3</c:v>
                </c:pt>
                <c:pt idx="70">
                  <c:v>-1.1273705310758241E-3</c:v>
                </c:pt>
                <c:pt idx="71">
                  <c:v>-1.1205893571091452E-3</c:v>
                </c:pt>
                <c:pt idx="72">
                  <c:v>-1.113808183142466E-3</c:v>
                </c:pt>
                <c:pt idx="73">
                  <c:v>-1.1070270091757869E-3</c:v>
                </c:pt>
                <c:pt idx="74">
                  <c:v>-1.1002458352091077E-3</c:v>
                </c:pt>
                <c:pt idx="75">
                  <c:v>-1.0934646612424286E-3</c:v>
                </c:pt>
                <c:pt idx="76">
                  <c:v>-1.0866834872757497E-3</c:v>
                </c:pt>
                <c:pt idx="77">
                  <c:v>-1.0799023133090705E-3</c:v>
                </c:pt>
                <c:pt idx="78">
                  <c:v>-1.0731211393423912E-3</c:v>
                </c:pt>
                <c:pt idx="79">
                  <c:v>-1.0663399653757122E-3</c:v>
                </c:pt>
                <c:pt idx="80">
                  <c:v>-1.0595587914090333E-3</c:v>
                </c:pt>
                <c:pt idx="81">
                  <c:v>-1.0527776174423542E-3</c:v>
                </c:pt>
                <c:pt idx="82">
                  <c:v>-1.045996443475675E-3</c:v>
                </c:pt>
                <c:pt idx="83">
                  <c:v>-1.0392152695089959E-3</c:v>
                </c:pt>
                <c:pt idx="84">
                  <c:v>-1.0324340955423167E-3</c:v>
                </c:pt>
                <c:pt idx="85">
                  <c:v>-1.0256529215756378E-3</c:v>
                </c:pt>
                <c:pt idx="86">
                  <c:v>-1.0188717476089587E-3</c:v>
                </c:pt>
                <c:pt idx="87">
                  <c:v>-1.0120905736422795E-3</c:v>
                </c:pt>
                <c:pt idx="88">
                  <c:v>-1.0053093996756004E-3</c:v>
                </c:pt>
                <c:pt idx="89">
                  <c:v>-9.9852822570892122E-4</c:v>
                </c:pt>
                <c:pt idx="90">
                  <c:v>-9.9174705174224207E-4</c:v>
                </c:pt>
                <c:pt idx="91">
                  <c:v>-9.8496587777556293E-4</c:v>
                </c:pt>
                <c:pt idx="92">
                  <c:v>-9.7818470380888378E-4</c:v>
                </c:pt>
                <c:pt idx="93">
                  <c:v>-9.7140352984220475E-4</c:v>
                </c:pt>
                <c:pt idx="94">
                  <c:v>-9.646223558755256E-4</c:v>
                </c:pt>
                <c:pt idx="95">
                  <c:v>-9.5784118190884657E-4</c:v>
                </c:pt>
                <c:pt idx="96">
                  <c:v>-9.5106000794216742E-4</c:v>
                </c:pt>
                <c:pt idx="97">
                  <c:v>-9.4427883397548839E-4</c:v>
                </c:pt>
                <c:pt idx="98">
                  <c:v>-9.3749766000880924E-4</c:v>
                </c:pt>
                <c:pt idx="99">
                  <c:v>-9.307164860421301E-4</c:v>
                </c:pt>
                <c:pt idx="100">
                  <c:v>-9.2393531207545095E-4</c:v>
                </c:pt>
                <c:pt idx="101">
                  <c:v>-9.1715413810877192E-4</c:v>
                </c:pt>
                <c:pt idx="102">
                  <c:v>-9.1037296414209277E-4</c:v>
                </c:pt>
                <c:pt idx="103">
                  <c:v>-9.0359179017541363E-4</c:v>
                </c:pt>
                <c:pt idx="104">
                  <c:v>-8.9681061620873459E-4</c:v>
                </c:pt>
                <c:pt idx="105">
                  <c:v>-8.9002944224205545E-4</c:v>
                </c:pt>
                <c:pt idx="106">
                  <c:v>-8.832482682753763E-4</c:v>
                </c:pt>
                <c:pt idx="107">
                  <c:v>-8.7646709430869716E-4</c:v>
                </c:pt>
                <c:pt idx="108">
                  <c:v>-8.6968592034201812E-4</c:v>
                </c:pt>
                <c:pt idx="109">
                  <c:v>-8.629047463753392E-4</c:v>
                </c:pt>
                <c:pt idx="110">
                  <c:v>-8.5612357240866005E-4</c:v>
                </c:pt>
                <c:pt idx="111">
                  <c:v>-8.4934239844198091E-4</c:v>
                </c:pt>
                <c:pt idx="112">
                  <c:v>-8.4256122447530176E-4</c:v>
                </c:pt>
                <c:pt idx="113">
                  <c:v>-8.3578005050862273E-4</c:v>
                </c:pt>
                <c:pt idx="114">
                  <c:v>-8.2899887654194358E-4</c:v>
                </c:pt>
                <c:pt idx="115">
                  <c:v>-8.2221770257526455E-4</c:v>
                </c:pt>
                <c:pt idx="116">
                  <c:v>-8.154365286085854E-4</c:v>
                </c:pt>
                <c:pt idx="117">
                  <c:v>-8.0865535464190626E-4</c:v>
                </c:pt>
                <c:pt idx="118">
                  <c:v>-8.0187418067522635E-4</c:v>
                </c:pt>
                <c:pt idx="119">
                  <c:v>-7.9509300670854732E-4</c:v>
                </c:pt>
                <c:pt idx="120">
                  <c:v>-7.8831183274186828E-4</c:v>
                </c:pt>
                <c:pt idx="121">
                  <c:v>-7.8153065877518925E-4</c:v>
                </c:pt>
                <c:pt idx="122">
                  <c:v>-1.1818268889304811E-3</c:v>
                </c:pt>
                <c:pt idx="123">
                  <c:v>-1.1750457149638019E-3</c:v>
                </c:pt>
                <c:pt idx="124">
                  <c:v>-1.1682645409971226E-3</c:v>
                </c:pt>
                <c:pt idx="125">
                  <c:v>-1.1614833670304436E-3</c:v>
                </c:pt>
                <c:pt idx="126">
                  <c:v>-1.1547021930637645E-3</c:v>
                </c:pt>
                <c:pt idx="127">
                  <c:v>-1.1479210190970853E-3</c:v>
                </c:pt>
                <c:pt idx="128">
                  <c:v>-1.1411398451304062E-3</c:v>
                </c:pt>
                <c:pt idx="129">
                  <c:v>-1.1343586711637273E-3</c:v>
                </c:pt>
                <c:pt idx="130">
                  <c:v>-1.1275774971970481E-3</c:v>
                </c:pt>
                <c:pt idx="131">
                  <c:v>-1.120796323230369E-3</c:v>
                </c:pt>
                <c:pt idx="132">
                  <c:v>-1.1140151492636898E-3</c:v>
                </c:pt>
                <c:pt idx="133">
                  <c:v>-1.1072339752970107E-3</c:v>
                </c:pt>
                <c:pt idx="134">
                  <c:v>-1.1004528013303318E-3</c:v>
                </c:pt>
                <c:pt idx="135">
                  <c:v>-1.0936716273636526E-3</c:v>
                </c:pt>
                <c:pt idx="136">
                  <c:v>-1.0868904533969735E-3</c:v>
                </c:pt>
                <c:pt idx="137">
                  <c:v>-1.0801092794302941E-3</c:v>
                </c:pt>
                <c:pt idx="138">
                  <c:v>-1.0733281054636154E-3</c:v>
                </c:pt>
                <c:pt idx="139">
                  <c:v>-1.066546931496936E-3</c:v>
                </c:pt>
                <c:pt idx="140">
                  <c:v>-1.0597657575302571E-3</c:v>
                </c:pt>
                <c:pt idx="141">
                  <c:v>-1.052984583563578E-3</c:v>
                </c:pt>
                <c:pt idx="142">
                  <c:v>-1.0462034095968988E-3</c:v>
                </c:pt>
                <c:pt idx="143">
                  <c:v>-1.0394222356302199E-3</c:v>
                </c:pt>
                <c:pt idx="144">
                  <c:v>-1.0326410616635408E-3</c:v>
                </c:pt>
                <c:pt idx="145">
                  <c:v>-1.0258598876968616E-3</c:v>
                </c:pt>
                <c:pt idx="146">
                  <c:v>-1.0190787137301825E-3</c:v>
                </c:pt>
                <c:pt idx="147">
                  <c:v>-1.0122975397635035E-3</c:v>
                </c:pt>
                <c:pt idx="148">
                  <c:v>-1.0055163657968244E-3</c:v>
                </c:pt>
                <c:pt idx="149">
                  <c:v>-9.9873519183014503E-4</c:v>
                </c:pt>
                <c:pt idx="150">
                  <c:v>-9.9195401786346588E-4</c:v>
                </c:pt>
                <c:pt idx="151">
                  <c:v>-9.8517284389678674E-4</c:v>
                </c:pt>
                <c:pt idx="152">
                  <c:v>-9.7839166993010781E-4</c:v>
                </c:pt>
                <c:pt idx="153">
                  <c:v>-9.7161049596342867E-4</c:v>
                </c:pt>
                <c:pt idx="154">
                  <c:v>-9.6482932199674952E-4</c:v>
                </c:pt>
                <c:pt idx="155">
                  <c:v>-9.5804814803007049E-4</c:v>
                </c:pt>
                <c:pt idx="156">
                  <c:v>-9.5126697406339134E-4</c:v>
                </c:pt>
                <c:pt idx="157">
                  <c:v>-9.4448580009671231E-4</c:v>
                </c:pt>
                <c:pt idx="158">
                  <c:v>-9.3770462613003316E-4</c:v>
                </c:pt>
                <c:pt idx="159">
                  <c:v>-9.3092345216335402E-4</c:v>
                </c:pt>
                <c:pt idx="160">
                  <c:v>-9.2414227819667509E-4</c:v>
                </c:pt>
                <c:pt idx="161">
                  <c:v>-9.1736110422999573E-4</c:v>
                </c:pt>
                <c:pt idx="162">
                  <c:v>-9.1057993026331691E-4</c:v>
                </c:pt>
                <c:pt idx="163">
                  <c:v>-9.0379875629663755E-4</c:v>
                </c:pt>
                <c:pt idx="164">
                  <c:v>-8.9701758232995862E-4</c:v>
                </c:pt>
                <c:pt idx="165">
                  <c:v>-8.9023640836327937E-4</c:v>
                </c:pt>
                <c:pt idx="166">
                  <c:v>-8.8345523439660044E-4</c:v>
                </c:pt>
                <c:pt idx="167">
                  <c:v>-8.7667406042992108E-4</c:v>
                </c:pt>
                <c:pt idx="168">
                  <c:v>-8.6989288646324226E-4</c:v>
                </c:pt>
                <c:pt idx="169">
                  <c:v>-8.631117124965629E-4</c:v>
                </c:pt>
                <c:pt idx="170">
                  <c:v>-8.5633053852988386E-4</c:v>
                </c:pt>
                <c:pt idx="171">
                  <c:v>-8.4954936456320483E-4</c:v>
                </c:pt>
                <c:pt idx="172">
                  <c:v>-8.4276819059652568E-4</c:v>
                </c:pt>
                <c:pt idx="173">
                  <c:v>-8.3598701662984665E-4</c:v>
                </c:pt>
                <c:pt idx="174">
                  <c:v>-8.292058426631675E-4</c:v>
                </c:pt>
                <c:pt idx="175">
                  <c:v>-8.2242466869648847E-4</c:v>
                </c:pt>
                <c:pt idx="176">
                  <c:v>-8.1564349472980932E-4</c:v>
                </c:pt>
                <c:pt idx="177">
                  <c:v>-8.0886232076313018E-4</c:v>
                </c:pt>
                <c:pt idx="178">
                  <c:v>-8.0208114679645103E-4</c:v>
                </c:pt>
                <c:pt idx="179">
                  <c:v>-7.9529997282977124E-4</c:v>
                </c:pt>
                <c:pt idx="180">
                  <c:v>-7.885187988630922E-4</c:v>
                </c:pt>
                <c:pt idx="181">
                  <c:v>-7.8173762489641306E-4</c:v>
                </c:pt>
                <c:pt idx="182">
                  <c:v>-7.7495645092973402E-4</c:v>
                </c:pt>
                <c:pt idx="183">
                  <c:v>-1.1752526810850259E-3</c:v>
                </c:pt>
                <c:pt idx="184">
                  <c:v>-1.1684715071183466E-3</c:v>
                </c:pt>
                <c:pt idx="185">
                  <c:v>-1.1616903331516674E-3</c:v>
                </c:pt>
                <c:pt idx="186">
                  <c:v>-1.1549091591849883E-3</c:v>
                </c:pt>
                <c:pt idx="187">
                  <c:v>-1.1481279852183094E-3</c:v>
                </c:pt>
                <c:pt idx="188">
                  <c:v>-1.1413468112516302E-3</c:v>
                </c:pt>
                <c:pt idx="189">
                  <c:v>-1.1345656372849511E-3</c:v>
                </c:pt>
                <c:pt idx="190">
                  <c:v>-1.1277844633182719E-3</c:v>
                </c:pt>
                <c:pt idx="191">
                  <c:v>-1.1210032893515928E-3</c:v>
                </c:pt>
                <c:pt idx="192">
                  <c:v>-1.1142221153849139E-3</c:v>
                </c:pt>
                <c:pt idx="193">
                  <c:v>-1.1074409414182347E-3</c:v>
                </c:pt>
                <c:pt idx="194">
                  <c:v>-1.1006597674515556E-3</c:v>
                </c:pt>
                <c:pt idx="195">
                  <c:v>-1.0938785934848764E-3</c:v>
                </c:pt>
                <c:pt idx="196">
                  <c:v>-1.0870974195181975E-3</c:v>
                </c:pt>
                <c:pt idx="197">
                  <c:v>-1.0803162455515181E-3</c:v>
                </c:pt>
                <c:pt idx="198">
                  <c:v>-1.073535071584839E-3</c:v>
                </c:pt>
                <c:pt idx="199">
                  <c:v>-1.0667538976181601E-3</c:v>
                </c:pt>
                <c:pt idx="200">
                  <c:v>-1.0599727236514809E-3</c:v>
                </c:pt>
                <c:pt idx="201">
                  <c:v>-1.053191549684802E-3</c:v>
                </c:pt>
                <c:pt idx="202">
                  <c:v>-1.0464103757181229E-3</c:v>
                </c:pt>
                <c:pt idx="203">
                  <c:v>-1.0396292017514437E-3</c:v>
                </c:pt>
                <c:pt idx="204">
                  <c:v>-1.0328480277847646E-3</c:v>
                </c:pt>
                <c:pt idx="205">
                  <c:v>-1.0260668538180856E-3</c:v>
                </c:pt>
                <c:pt idx="206">
                  <c:v>-1.0192856798514065E-3</c:v>
                </c:pt>
                <c:pt idx="207">
                  <c:v>-1.0125045058847273E-3</c:v>
                </c:pt>
                <c:pt idx="208">
                  <c:v>-1.0057233319180482E-3</c:v>
                </c:pt>
                <c:pt idx="209">
                  <c:v>-9.9894215795136906E-4</c:v>
                </c:pt>
                <c:pt idx="210">
                  <c:v>-9.9216098398468991E-4</c:v>
                </c:pt>
                <c:pt idx="211">
                  <c:v>-9.8537981001801077E-4</c:v>
                </c:pt>
                <c:pt idx="212">
                  <c:v>-9.7859863605133162E-4</c:v>
                </c:pt>
                <c:pt idx="213">
                  <c:v>-9.7181746208465259E-4</c:v>
                </c:pt>
                <c:pt idx="214">
                  <c:v>-9.6503628811797344E-4</c:v>
                </c:pt>
                <c:pt idx="215">
                  <c:v>-9.5825511415129441E-4</c:v>
                </c:pt>
                <c:pt idx="216">
                  <c:v>-9.5147394018461526E-4</c:v>
                </c:pt>
                <c:pt idx="217">
                  <c:v>-9.4469276621793623E-4</c:v>
                </c:pt>
                <c:pt idx="218">
                  <c:v>-9.3791159225125708E-4</c:v>
                </c:pt>
                <c:pt idx="219">
                  <c:v>-9.3113041828457783E-4</c:v>
                </c:pt>
                <c:pt idx="220">
                  <c:v>-9.2434924431789879E-4</c:v>
                </c:pt>
                <c:pt idx="221">
                  <c:v>-9.1756807035121965E-4</c:v>
                </c:pt>
                <c:pt idx="222">
                  <c:v>-9.1078689638454083E-4</c:v>
                </c:pt>
                <c:pt idx="223">
                  <c:v>-9.0400572241786147E-4</c:v>
                </c:pt>
                <c:pt idx="224">
                  <c:v>-8.9722454845118254E-4</c:v>
                </c:pt>
                <c:pt idx="225">
                  <c:v>-8.9044337448450329E-4</c:v>
                </c:pt>
                <c:pt idx="226">
                  <c:v>-8.8366220051782436E-4</c:v>
                </c:pt>
                <c:pt idx="227">
                  <c:v>-8.76881026551145E-4</c:v>
                </c:pt>
                <c:pt idx="228">
                  <c:v>-8.7009985258446618E-4</c:v>
                </c:pt>
                <c:pt idx="229">
                  <c:v>-8.6331867861778682E-4</c:v>
                </c:pt>
                <c:pt idx="230">
                  <c:v>-8.5653750465110778E-4</c:v>
                </c:pt>
                <c:pt idx="231">
                  <c:v>-8.4975633068442875E-4</c:v>
                </c:pt>
                <c:pt idx="232">
                  <c:v>-8.429751567177496E-4</c:v>
                </c:pt>
                <c:pt idx="233">
                  <c:v>-8.3619398275107057E-4</c:v>
                </c:pt>
                <c:pt idx="234">
                  <c:v>-8.2941280878439142E-4</c:v>
                </c:pt>
                <c:pt idx="235">
                  <c:v>-8.2263163481771239E-4</c:v>
                </c:pt>
                <c:pt idx="236">
                  <c:v>-8.1585046085103324E-4</c:v>
                </c:pt>
                <c:pt idx="237">
                  <c:v>-8.090692868843541E-4</c:v>
                </c:pt>
                <c:pt idx="238">
                  <c:v>-8.0228811291767495E-4</c:v>
                </c:pt>
                <c:pt idx="239">
                  <c:v>-7.9550693895099581E-4</c:v>
                </c:pt>
                <c:pt idx="240">
                  <c:v>-7.8872576498431612E-4</c:v>
                </c:pt>
                <c:pt idx="241">
                  <c:v>-7.8194459101763709E-4</c:v>
                </c:pt>
                <c:pt idx="242">
                  <c:v>-7.7516341705095794E-4</c:v>
                </c:pt>
                <c:pt idx="243">
                  <c:v>-7.683822430842788E-4</c:v>
                </c:pt>
                <c:pt idx="244">
                  <c:v>-1.1686784732395704E-3</c:v>
                </c:pt>
                <c:pt idx="245">
                  <c:v>-1.1618972992728915E-3</c:v>
                </c:pt>
                <c:pt idx="246">
                  <c:v>-1.1551161253062123E-3</c:v>
                </c:pt>
                <c:pt idx="247">
                  <c:v>-1.1483349513395332E-3</c:v>
                </c:pt>
                <c:pt idx="248">
                  <c:v>-1.141553777372854E-3</c:v>
                </c:pt>
                <c:pt idx="249">
                  <c:v>-1.1347726034061749E-3</c:v>
                </c:pt>
                <c:pt idx="250">
                  <c:v>-1.127991429439496E-3</c:v>
                </c:pt>
                <c:pt idx="251">
                  <c:v>-1.1212102554728168E-3</c:v>
                </c:pt>
                <c:pt idx="252">
                  <c:v>-1.1144290815061377E-3</c:v>
                </c:pt>
                <c:pt idx="253">
                  <c:v>-1.1076479075394585E-3</c:v>
                </c:pt>
                <c:pt idx="254">
                  <c:v>-1.1008667335727796E-3</c:v>
                </c:pt>
                <c:pt idx="255">
                  <c:v>-1.0940855596061005E-3</c:v>
                </c:pt>
                <c:pt idx="256">
                  <c:v>-1.0873043856394213E-3</c:v>
                </c:pt>
                <c:pt idx="257">
                  <c:v>-1.080523211672742E-3</c:v>
                </c:pt>
                <c:pt idx="258">
                  <c:v>-1.073742037706063E-3</c:v>
                </c:pt>
                <c:pt idx="259">
                  <c:v>-1.0669608637393839E-3</c:v>
                </c:pt>
                <c:pt idx="260">
                  <c:v>-1.060179689772705E-3</c:v>
                </c:pt>
                <c:pt idx="261">
                  <c:v>-1.0533985158060256E-3</c:v>
                </c:pt>
                <c:pt idx="262">
                  <c:v>-1.0466173418393467E-3</c:v>
                </c:pt>
                <c:pt idx="263">
                  <c:v>-1.0398361678726677E-3</c:v>
                </c:pt>
                <c:pt idx="264">
                  <c:v>-1.0330549939059886E-3</c:v>
                </c:pt>
                <c:pt idx="265">
                  <c:v>-1.0262738199393094E-3</c:v>
                </c:pt>
                <c:pt idx="266">
                  <c:v>-1.0194926459726303E-3</c:v>
                </c:pt>
                <c:pt idx="267">
                  <c:v>-1.0127114720059514E-3</c:v>
                </c:pt>
                <c:pt idx="268">
                  <c:v>-1.0059302980392722E-3</c:v>
                </c:pt>
                <c:pt idx="269">
                  <c:v>-9.9914912407259287E-4</c:v>
                </c:pt>
                <c:pt idx="270">
                  <c:v>-9.9236795010591372E-4</c:v>
                </c:pt>
                <c:pt idx="271">
                  <c:v>-9.8558677613923458E-4</c:v>
                </c:pt>
                <c:pt idx="272">
                  <c:v>-9.7880560217255565E-4</c:v>
                </c:pt>
                <c:pt idx="273">
                  <c:v>-9.7202442820587651E-4</c:v>
                </c:pt>
                <c:pt idx="274">
                  <c:v>-9.6524325423919736E-4</c:v>
                </c:pt>
                <c:pt idx="275">
                  <c:v>-9.5846208027251833E-4</c:v>
                </c:pt>
                <c:pt idx="276">
                  <c:v>-9.5168090630583918E-4</c:v>
                </c:pt>
                <c:pt idx="277">
                  <c:v>-9.4489973233916015E-4</c:v>
                </c:pt>
                <c:pt idx="278">
                  <c:v>-9.38118558372481E-4</c:v>
                </c:pt>
                <c:pt idx="279">
                  <c:v>-9.3133738440580175E-4</c:v>
                </c:pt>
                <c:pt idx="280">
                  <c:v>-9.2455621043912271E-4</c:v>
                </c:pt>
                <c:pt idx="281">
                  <c:v>-9.1777503647244357E-4</c:v>
                </c:pt>
                <c:pt idx="282">
                  <c:v>-9.1099386250576475E-4</c:v>
                </c:pt>
                <c:pt idx="283">
                  <c:v>-9.0421268853908539E-4</c:v>
                </c:pt>
                <c:pt idx="284">
                  <c:v>-8.9743151457240646E-4</c:v>
                </c:pt>
                <c:pt idx="285">
                  <c:v>-8.9065034060572721E-4</c:v>
                </c:pt>
                <c:pt idx="286">
                  <c:v>-8.8386916663904828E-4</c:v>
                </c:pt>
                <c:pt idx="287">
                  <c:v>-8.7708799267236892E-4</c:v>
                </c:pt>
                <c:pt idx="288">
                  <c:v>-8.7030681870568999E-4</c:v>
                </c:pt>
                <c:pt idx="289">
                  <c:v>-8.6352564473901074E-4</c:v>
                </c:pt>
                <c:pt idx="290">
                  <c:v>-8.567444707723317E-4</c:v>
                </c:pt>
                <c:pt idx="291">
                  <c:v>-8.4996329680565256E-4</c:v>
                </c:pt>
                <c:pt idx="292">
                  <c:v>-8.4318212283897352E-4</c:v>
                </c:pt>
                <c:pt idx="293">
                  <c:v>-8.3640094887229449E-4</c:v>
                </c:pt>
                <c:pt idx="294">
                  <c:v>-8.2961977490561534E-4</c:v>
                </c:pt>
                <c:pt idx="295">
                  <c:v>-8.2283860093893631E-4</c:v>
                </c:pt>
                <c:pt idx="296">
                  <c:v>-8.1605742697225716E-4</c:v>
                </c:pt>
                <c:pt idx="297">
                  <c:v>-8.0927625300557802E-4</c:v>
                </c:pt>
                <c:pt idx="298">
                  <c:v>-8.0249507903889887E-4</c:v>
                </c:pt>
                <c:pt idx="299">
                  <c:v>-7.9571390507221973E-4</c:v>
                </c:pt>
                <c:pt idx="300">
                  <c:v>-7.8893273110554069E-4</c:v>
                </c:pt>
                <c:pt idx="301">
                  <c:v>-7.821515571388609E-4</c:v>
                </c:pt>
                <c:pt idx="302">
                  <c:v>-7.7537038317218175E-4</c:v>
                </c:pt>
                <c:pt idx="303">
                  <c:v>-7.6858920920550272E-4</c:v>
                </c:pt>
                <c:pt idx="304">
                  <c:v>-7.6180803523882368E-4</c:v>
                </c:pt>
                <c:pt idx="305">
                  <c:v>-1.1621042653941153E-3</c:v>
                </c:pt>
                <c:pt idx="306">
                  <c:v>-1.1553230914274361E-3</c:v>
                </c:pt>
                <c:pt idx="307">
                  <c:v>-1.148541917460757E-3</c:v>
                </c:pt>
                <c:pt idx="308">
                  <c:v>-1.1417607434940781E-3</c:v>
                </c:pt>
                <c:pt idx="309">
                  <c:v>-1.1349795695273989E-3</c:v>
                </c:pt>
                <c:pt idx="310">
                  <c:v>-1.1281983955607198E-3</c:v>
                </c:pt>
                <c:pt idx="311">
                  <c:v>-1.1214172215940406E-3</c:v>
                </c:pt>
                <c:pt idx="312">
                  <c:v>-1.1146360476273617E-3</c:v>
                </c:pt>
                <c:pt idx="313">
                  <c:v>-1.1078548736606826E-3</c:v>
                </c:pt>
                <c:pt idx="314">
                  <c:v>-1.1010736996940034E-3</c:v>
                </c:pt>
                <c:pt idx="315">
                  <c:v>-1.0942925257273243E-3</c:v>
                </c:pt>
                <c:pt idx="316">
                  <c:v>-1.0875113517606451E-3</c:v>
                </c:pt>
                <c:pt idx="317">
                  <c:v>-1.080730177793966E-3</c:v>
                </c:pt>
                <c:pt idx="318">
                  <c:v>-1.0739490038272868E-3</c:v>
                </c:pt>
                <c:pt idx="319">
                  <c:v>-1.0671678298606077E-3</c:v>
                </c:pt>
                <c:pt idx="320">
                  <c:v>-1.0603866558939285E-3</c:v>
                </c:pt>
                <c:pt idx="321">
                  <c:v>-1.0536054819272498E-3</c:v>
                </c:pt>
                <c:pt idx="322">
                  <c:v>-1.0468243079605705E-3</c:v>
                </c:pt>
                <c:pt idx="323">
                  <c:v>-1.0400431339938915E-3</c:v>
                </c:pt>
                <c:pt idx="324">
                  <c:v>-1.0332619600272124E-3</c:v>
                </c:pt>
                <c:pt idx="325">
                  <c:v>-1.0264807860605335E-3</c:v>
                </c:pt>
                <c:pt idx="326">
                  <c:v>-1.0196996120938543E-3</c:v>
                </c:pt>
                <c:pt idx="327">
                  <c:v>-1.0129184381271752E-3</c:v>
                </c:pt>
                <c:pt idx="328">
                  <c:v>-1.006137264160496E-3</c:v>
                </c:pt>
                <c:pt idx="329">
                  <c:v>-9.9935609019381668E-4</c:v>
                </c:pt>
                <c:pt idx="330">
                  <c:v>-9.9257491622713775E-4</c:v>
                </c:pt>
                <c:pt idx="331">
                  <c:v>-9.8579374226045861E-4</c:v>
                </c:pt>
                <c:pt idx="332">
                  <c:v>-9.7901256829377946E-4</c:v>
                </c:pt>
                <c:pt idx="333">
                  <c:v>-9.7223139432710043E-4</c:v>
                </c:pt>
                <c:pt idx="334">
                  <c:v>-9.6545022036042128E-4</c:v>
                </c:pt>
                <c:pt idx="335">
                  <c:v>-9.5866904639374225E-4</c:v>
                </c:pt>
                <c:pt idx="336">
                  <c:v>-9.518878724270631E-4</c:v>
                </c:pt>
                <c:pt idx="337">
                  <c:v>-9.4510669846038396E-4</c:v>
                </c:pt>
                <c:pt idx="338">
                  <c:v>-9.3832552449370492E-4</c:v>
                </c:pt>
                <c:pt idx="339">
                  <c:v>-9.3154435052702567E-4</c:v>
                </c:pt>
                <c:pt idx="340">
                  <c:v>-9.2476317656034663E-4</c:v>
                </c:pt>
                <c:pt idx="341">
                  <c:v>-9.1798200259366749E-4</c:v>
                </c:pt>
                <c:pt idx="342">
                  <c:v>-9.1120082862698845E-4</c:v>
                </c:pt>
                <c:pt idx="343">
                  <c:v>-9.0441965466030931E-4</c:v>
                </c:pt>
                <c:pt idx="344">
                  <c:v>-8.9763848069363038E-4</c:v>
                </c:pt>
                <c:pt idx="345">
                  <c:v>-8.9085730672695113E-4</c:v>
                </c:pt>
                <c:pt idx="346">
                  <c:v>-8.8407613276027209E-4</c:v>
                </c:pt>
                <c:pt idx="347">
                  <c:v>-8.7729495879359284E-4</c:v>
                </c:pt>
                <c:pt idx="348">
                  <c:v>-8.7051378482691391E-4</c:v>
                </c:pt>
                <c:pt idx="349">
                  <c:v>-8.6373261086023466E-4</c:v>
                </c:pt>
                <c:pt idx="350">
                  <c:v>-8.5695143689355562E-4</c:v>
                </c:pt>
                <c:pt idx="351">
                  <c:v>-8.5017026292687648E-4</c:v>
                </c:pt>
                <c:pt idx="352">
                  <c:v>-8.4338908896019744E-4</c:v>
                </c:pt>
                <c:pt idx="353">
                  <c:v>-8.3660791499351841E-4</c:v>
                </c:pt>
                <c:pt idx="354">
                  <c:v>-8.2982674102683926E-4</c:v>
                </c:pt>
                <c:pt idx="355">
                  <c:v>-8.2304556706016023E-4</c:v>
                </c:pt>
                <c:pt idx="356">
                  <c:v>-8.1626439309348108E-4</c:v>
                </c:pt>
                <c:pt idx="357">
                  <c:v>-8.0948321912680183E-4</c:v>
                </c:pt>
                <c:pt idx="358">
                  <c:v>-8.0270204516012279E-4</c:v>
                </c:pt>
                <c:pt idx="359">
                  <c:v>-7.9592087119344365E-4</c:v>
                </c:pt>
                <c:pt idx="360">
                  <c:v>-7.8913969722676461E-4</c:v>
                </c:pt>
                <c:pt idx="361">
                  <c:v>-7.8235852326008547E-4</c:v>
                </c:pt>
                <c:pt idx="362">
                  <c:v>-7.7557734929340567E-4</c:v>
                </c:pt>
                <c:pt idx="363">
                  <c:v>-7.6879617532672653E-4</c:v>
                </c:pt>
                <c:pt idx="364">
                  <c:v>-7.620150013600476E-4</c:v>
                </c:pt>
                <c:pt idx="365">
                  <c:v>-7.5523382739336846E-4</c:v>
                </c:pt>
                <c:pt idx="366">
                  <c:v>-1.1555300575486602E-3</c:v>
                </c:pt>
                <c:pt idx="367">
                  <c:v>-1.148748883581981E-3</c:v>
                </c:pt>
                <c:pt idx="368">
                  <c:v>-1.1419677096153019E-3</c:v>
                </c:pt>
                <c:pt idx="369">
                  <c:v>-1.1351865356486227E-3</c:v>
                </c:pt>
                <c:pt idx="370">
                  <c:v>-1.1284053616819438E-3</c:v>
                </c:pt>
                <c:pt idx="371">
                  <c:v>-1.1216241877152647E-3</c:v>
                </c:pt>
                <c:pt idx="372">
                  <c:v>-1.1148430137485855E-3</c:v>
                </c:pt>
                <c:pt idx="373">
                  <c:v>-1.1080618397819064E-3</c:v>
                </c:pt>
                <c:pt idx="374">
                  <c:v>-1.1012806658152274E-3</c:v>
                </c:pt>
                <c:pt idx="375">
                  <c:v>-1.0944994918485483E-3</c:v>
                </c:pt>
                <c:pt idx="376">
                  <c:v>-1.0877183178818692E-3</c:v>
                </c:pt>
                <c:pt idx="377">
                  <c:v>-1.0809371439151898E-3</c:v>
                </c:pt>
                <c:pt idx="378">
                  <c:v>-1.0741559699485106E-3</c:v>
                </c:pt>
                <c:pt idx="379">
                  <c:v>-1.0673747959818317E-3</c:v>
                </c:pt>
                <c:pt idx="380">
                  <c:v>-1.0605936220151526E-3</c:v>
                </c:pt>
                <c:pt idx="381">
                  <c:v>-1.0538124480484734E-3</c:v>
                </c:pt>
                <c:pt idx="382">
                  <c:v>-1.0470312740817945E-3</c:v>
                </c:pt>
                <c:pt idx="383">
                  <c:v>-1.0402501001151154E-3</c:v>
                </c:pt>
                <c:pt idx="384">
                  <c:v>-1.0334689261484364E-3</c:v>
                </c:pt>
                <c:pt idx="385">
                  <c:v>-1.0266877521817573E-3</c:v>
                </c:pt>
                <c:pt idx="386">
                  <c:v>-1.0199065782150781E-3</c:v>
                </c:pt>
                <c:pt idx="387">
                  <c:v>-1.013125404248399E-3</c:v>
                </c:pt>
                <c:pt idx="388">
                  <c:v>-1.0063442302817201E-3</c:v>
                </c:pt>
                <c:pt idx="389">
                  <c:v>-9.9956305631504071E-4</c:v>
                </c:pt>
                <c:pt idx="390">
                  <c:v>-9.9278188234836156E-4</c:v>
                </c:pt>
                <c:pt idx="391">
                  <c:v>-9.8600070838168242E-4</c:v>
                </c:pt>
                <c:pt idx="392">
                  <c:v>-9.7921953441500349E-4</c:v>
                </c:pt>
                <c:pt idx="393">
                  <c:v>-9.7243836044832435E-4</c:v>
                </c:pt>
                <c:pt idx="394">
                  <c:v>-9.656571864816452E-4</c:v>
                </c:pt>
                <c:pt idx="395">
                  <c:v>-9.5887601251496606E-4</c:v>
                </c:pt>
                <c:pt idx="396">
                  <c:v>-9.5209483854828702E-4</c:v>
                </c:pt>
                <c:pt idx="397">
                  <c:v>-9.4531366458160788E-4</c:v>
                </c:pt>
                <c:pt idx="398">
                  <c:v>-9.3853249061492884E-4</c:v>
                </c:pt>
                <c:pt idx="399">
                  <c:v>-9.3175131664824959E-4</c:v>
                </c:pt>
                <c:pt idx="400">
                  <c:v>-9.2497014268157055E-4</c:v>
                </c:pt>
                <c:pt idx="401">
                  <c:v>-9.1818896871489141E-4</c:v>
                </c:pt>
                <c:pt idx="402">
                  <c:v>-9.1140779474821237E-4</c:v>
                </c:pt>
                <c:pt idx="403">
                  <c:v>-9.0462662078153323E-4</c:v>
                </c:pt>
                <c:pt idx="404">
                  <c:v>-8.978454468148543E-4</c:v>
                </c:pt>
                <c:pt idx="405">
                  <c:v>-8.9106427284817505E-4</c:v>
                </c:pt>
                <c:pt idx="406">
                  <c:v>-8.8428309888149601E-4</c:v>
                </c:pt>
                <c:pt idx="407">
                  <c:v>-8.7750192491481676E-4</c:v>
                </c:pt>
                <c:pt idx="408">
                  <c:v>-8.7072075094813783E-4</c:v>
                </c:pt>
                <c:pt idx="409">
                  <c:v>-8.6393957698145858E-4</c:v>
                </c:pt>
                <c:pt idx="410">
                  <c:v>-8.5715840301477954E-4</c:v>
                </c:pt>
                <c:pt idx="411">
                  <c:v>-8.503772290481004E-4</c:v>
                </c:pt>
                <c:pt idx="412">
                  <c:v>-8.4359605508142136E-4</c:v>
                </c:pt>
                <c:pt idx="413">
                  <c:v>-8.3681488111474211E-4</c:v>
                </c:pt>
                <c:pt idx="414">
                  <c:v>-8.3003370714806318E-4</c:v>
                </c:pt>
                <c:pt idx="415">
                  <c:v>-8.2325253318138404E-4</c:v>
                </c:pt>
                <c:pt idx="416">
                  <c:v>-8.16471359214705E-4</c:v>
                </c:pt>
                <c:pt idx="417">
                  <c:v>-8.0969018524802575E-4</c:v>
                </c:pt>
                <c:pt idx="418">
                  <c:v>-8.0290901128134671E-4</c:v>
                </c:pt>
                <c:pt idx="419">
                  <c:v>-7.9612783731466757E-4</c:v>
                </c:pt>
                <c:pt idx="420">
                  <c:v>-7.8934666334798853E-4</c:v>
                </c:pt>
                <c:pt idx="421">
                  <c:v>-7.8256548938130939E-4</c:v>
                </c:pt>
                <c:pt idx="422">
                  <c:v>-7.7578431541463035E-4</c:v>
                </c:pt>
                <c:pt idx="423">
                  <c:v>-7.6900314144795045E-4</c:v>
                </c:pt>
                <c:pt idx="424">
                  <c:v>-7.6222196748127141E-4</c:v>
                </c:pt>
                <c:pt idx="425">
                  <c:v>-7.5544079351459238E-4</c:v>
                </c:pt>
                <c:pt idx="426">
                  <c:v>-7.4865961954791323E-4</c:v>
                </c:pt>
                <c:pt idx="427">
                  <c:v>-1.1489558497032048E-3</c:v>
                </c:pt>
                <c:pt idx="428">
                  <c:v>-1.1421746757365259E-3</c:v>
                </c:pt>
                <c:pt idx="429">
                  <c:v>-1.1353935017698468E-3</c:v>
                </c:pt>
                <c:pt idx="430">
                  <c:v>-1.1286123278031676E-3</c:v>
                </c:pt>
                <c:pt idx="431">
                  <c:v>-1.1218311538364885E-3</c:v>
                </c:pt>
                <c:pt idx="432">
                  <c:v>-1.1150499798698095E-3</c:v>
                </c:pt>
                <c:pt idx="433">
                  <c:v>-1.1082688059031304E-3</c:v>
                </c:pt>
                <c:pt idx="434">
                  <c:v>-1.1014876319364513E-3</c:v>
                </c:pt>
                <c:pt idx="435">
                  <c:v>-1.0947064579697721E-3</c:v>
                </c:pt>
                <c:pt idx="436">
                  <c:v>-1.087925284003093E-3</c:v>
                </c:pt>
                <c:pt idx="437">
                  <c:v>-1.0811441100364138E-3</c:v>
                </c:pt>
                <c:pt idx="438">
                  <c:v>-1.0743629360697347E-3</c:v>
                </c:pt>
                <c:pt idx="439">
                  <c:v>-1.0675817621030555E-3</c:v>
                </c:pt>
                <c:pt idx="440">
                  <c:v>-1.0608005881363764E-3</c:v>
                </c:pt>
                <c:pt idx="441">
                  <c:v>-1.0540194141696975E-3</c:v>
                </c:pt>
                <c:pt idx="442">
                  <c:v>-1.0472382402030183E-3</c:v>
                </c:pt>
                <c:pt idx="443">
                  <c:v>-1.0404570662363394E-3</c:v>
                </c:pt>
                <c:pt idx="444">
                  <c:v>-1.03367589226966E-3</c:v>
                </c:pt>
                <c:pt idx="445">
                  <c:v>-1.0268947183029811E-3</c:v>
                </c:pt>
                <c:pt idx="446">
                  <c:v>-1.0201135443363022E-3</c:v>
                </c:pt>
                <c:pt idx="447">
                  <c:v>-1.013332370369623E-3</c:v>
                </c:pt>
                <c:pt idx="448">
                  <c:v>-1.0065511964029439E-3</c:v>
                </c:pt>
                <c:pt idx="449">
                  <c:v>-9.9977002243626452E-4</c:v>
                </c:pt>
                <c:pt idx="450">
                  <c:v>-9.9298884846958559E-4</c:v>
                </c:pt>
                <c:pt idx="451">
                  <c:v>-9.8620767450290645E-4</c:v>
                </c:pt>
                <c:pt idx="452">
                  <c:v>-9.794265005362273E-4</c:v>
                </c:pt>
                <c:pt idx="453">
                  <c:v>-9.7264532656954816E-4</c:v>
                </c:pt>
                <c:pt idx="454">
                  <c:v>-9.6586415260286912E-4</c:v>
                </c:pt>
                <c:pt idx="455">
                  <c:v>-9.5908297863618998E-4</c:v>
                </c:pt>
                <c:pt idx="456">
                  <c:v>-9.5230180466951094E-4</c:v>
                </c:pt>
                <c:pt idx="457">
                  <c:v>-9.455206307028318E-4</c:v>
                </c:pt>
                <c:pt idx="458">
                  <c:v>-9.3873945673615276E-4</c:v>
                </c:pt>
                <c:pt idx="459">
                  <c:v>-9.3195828276947351E-4</c:v>
                </c:pt>
                <c:pt idx="460">
                  <c:v>-9.2517710880279447E-4</c:v>
                </c:pt>
                <c:pt idx="461">
                  <c:v>-9.1839593483611533E-4</c:v>
                </c:pt>
                <c:pt idx="462">
                  <c:v>-9.1161476086943629E-4</c:v>
                </c:pt>
                <c:pt idx="463">
                  <c:v>-9.0483358690275715E-4</c:v>
                </c:pt>
                <c:pt idx="464">
                  <c:v>-8.98052412936078E-4</c:v>
                </c:pt>
                <c:pt idx="465">
                  <c:v>-8.9127123896939908E-4</c:v>
                </c:pt>
                <c:pt idx="466">
                  <c:v>-8.8449006500271993E-4</c:v>
                </c:pt>
                <c:pt idx="467">
                  <c:v>-8.777088910360409E-4</c:v>
                </c:pt>
                <c:pt idx="468">
                  <c:v>-8.7092771706936175E-4</c:v>
                </c:pt>
                <c:pt idx="469">
                  <c:v>-8.6414654310268272E-4</c:v>
                </c:pt>
                <c:pt idx="470">
                  <c:v>-8.5736536913600346E-4</c:v>
                </c:pt>
                <c:pt idx="471">
                  <c:v>-8.5058419516932443E-4</c:v>
                </c:pt>
                <c:pt idx="472">
                  <c:v>-8.4380302120264528E-4</c:v>
                </c:pt>
                <c:pt idx="473">
                  <c:v>-8.3702184723596614E-4</c:v>
                </c:pt>
                <c:pt idx="474">
                  <c:v>-8.302406732692871E-4</c:v>
                </c:pt>
                <c:pt idx="475">
                  <c:v>-8.2345949930260796E-4</c:v>
                </c:pt>
                <c:pt idx="476">
                  <c:v>-8.1667832533592892E-4</c:v>
                </c:pt>
                <c:pt idx="477">
                  <c:v>-8.0989715136924967E-4</c:v>
                </c:pt>
                <c:pt idx="478">
                  <c:v>-8.0311597740257063E-4</c:v>
                </c:pt>
                <c:pt idx="479">
                  <c:v>-7.9633480343589149E-4</c:v>
                </c:pt>
                <c:pt idx="480">
                  <c:v>-7.8955362946921245E-4</c:v>
                </c:pt>
                <c:pt idx="481">
                  <c:v>-7.8277245550253331E-4</c:v>
                </c:pt>
                <c:pt idx="482">
                  <c:v>-7.7599128153585427E-4</c:v>
                </c:pt>
                <c:pt idx="483">
                  <c:v>-7.6921010756917513E-4</c:v>
                </c:pt>
                <c:pt idx="484">
                  <c:v>-7.6242893360249533E-4</c:v>
                </c:pt>
                <c:pt idx="485">
                  <c:v>-7.5564775963581619E-4</c:v>
                </c:pt>
                <c:pt idx="486">
                  <c:v>-7.4886658566913715E-4</c:v>
                </c:pt>
                <c:pt idx="487">
                  <c:v>-7.4208541170245801E-4</c:v>
                </c:pt>
                <c:pt idx="488">
                  <c:v>-1.1423816418577497E-3</c:v>
                </c:pt>
                <c:pt idx="489">
                  <c:v>-1.1356004678910706E-3</c:v>
                </c:pt>
                <c:pt idx="490">
                  <c:v>-1.1288192939243916E-3</c:v>
                </c:pt>
                <c:pt idx="491">
                  <c:v>-1.1220381199577125E-3</c:v>
                </c:pt>
                <c:pt idx="492">
                  <c:v>-1.1152569459910334E-3</c:v>
                </c:pt>
                <c:pt idx="493">
                  <c:v>-1.1084757720243542E-3</c:v>
                </c:pt>
                <c:pt idx="494">
                  <c:v>-1.1016945980576751E-3</c:v>
                </c:pt>
                <c:pt idx="495">
                  <c:v>-1.0949134240909961E-3</c:v>
                </c:pt>
                <c:pt idx="496">
                  <c:v>-1.088132250124317E-3</c:v>
                </c:pt>
                <c:pt idx="497">
                  <c:v>-1.0813510761576376E-3</c:v>
                </c:pt>
                <c:pt idx="498">
                  <c:v>-1.0745699021909585E-3</c:v>
                </c:pt>
                <c:pt idx="499">
                  <c:v>-1.0677887282242796E-3</c:v>
                </c:pt>
                <c:pt idx="500">
                  <c:v>-1.0610075542576004E-3</c:v>
                </c:pt>
                <c:pt idx="501">
                  <c:v>-1.0542263802909213E-3</c:v>
                </c:pt>
                <c:pt idx="502">
                  <c:v>-1.0474452063242421E-3</c:v>
                </c:pt>
                <c:pt idx="503">
                  <c:v>-1.040664032357563E-3</c:v>
                </c:pt>
                <c:pt idx="504">
                  <c:v>-1.0338828583908843E-3</c:v>
                </c:pt>
                <c:pt idx="505">
                  <c:v>-1.0271016844242049E-3</c:v>
                </c:pt>
                <c:pt idx="506">
                  <c:v>-1.020320510457526E-3</c:v>
                </c:pt>
                <c:pt idx="507">
                  <c:v>-1.0135393364908468E-3</c:v>
                </c:pt>
                <c:pt idx="508">
                  <c:v>-1.0067581625241679E-3</c:v>
                </c:pt>
                <c:pt idx="509">
                  <c:v>-9.9997698855748855E-4</c:v>
                </c:pt>
                <c:pt idx="510">
                  <c:v>-9.931958145908094E-4</c:v>
                </c:pt>
                <c:pt idx="511">
                  <c:v>-9.8641464062413026E-4</c:v>
                </c:pt>
                <c:pt idx="512">
                  <c:v>-9.7963346665745112E-4</c:v>
                </c:pt>
                <c:pt idx="513">
                  <c:v>-9.7285229269077208E-4</c:v>
                </c:pt>
                <c:pt idx="514">
                  <c:v>-9.6607111872409304E-4</c:v>
                </c:pt>
                <c:pt idx="515">
                  <c:v>-9.592899447574139E-4</c:v>
                </c:pt>
                <c:pt idx="516">
                  <c:v>-9.5250877079073486E-4</c:v>
                </c:pt>
                <c:pt idx="517">
                  <c:v>-9.4572759682405572E-4</c:v>
                </c:pt>
                <c:pt idx="518">
                  <c:v>-9.3894642285737668E-4</c:v>
                </c:pt>
                <c:pt idx="519">
                  <c:v>-9.3216524889069743E-4</c:v>
                </c:pt>
                <c:pt idx="520">
                  <c:v>-9.2538407492401839E-4</c:v>
                </c:pt>
                <c:pt idx="521">
                  <c:v>-9.1860290095733925E-4</c:v>
                </c:pt>
                <c:pt idx="522">
                  <c:v>-9.1182172699066011E-4</c:v>
                </c:pt>
                <c:pt idx="523">
                  <c:v>-9.0504055302398107E-4</c:v>
                </c:pt>
                <c:pt idx="524">
                  <c:v>-8.9825937905730192E-4</c:v>
                </c:pt>
                <c:pt idx="525">
                  <c:v>-8.9147820509062289E-4</c:v>
                </c:pt>
                <c:pt idx="526">
                  <c:v>-8.8469703112394385E-4</c:v>
                </c:pt>
                <c:pt idx="527">
                  <c:v>-8.7791585715726482E-4</c:v>
                </c:pt>
                <c:pt idx="528">
                  <c:v>-8.7113468319058567E-4</c:v>
                </c:pt>
                <c:pt idx="529">
                  <c:v>-8.6435350922390664E-4</c:v>
                </c:pt>
                <c:pt idx="530">
                  <c:v>-8.5757233525722738E-4</c:v>
                </c:pt>
                <c:pt idx="531">
                  <c:v>-8.5079116129054835E-4</c:v>
                </c:pt>
                <c:pt idx="532">
                  <c:v>-8.440099873238692E-4</c:v>
                </c:pt>
                <c:pt idx="533">
                  <c:v>-8.3722881335719006E-4</c:v>
                </c:pt>
                <c:pt idx="534">
                  <c:v>-8.3044763939051102E-4</c:v>
                </c:pt>
                <c:pt idx="535">
                  <c:v>-8.2366646542383188E-4</c:v>
                </c:pt>
                <c:pt idx="536">
                  <c:v>-8.1688529145715284E-4</c:v>
                </c:pt>
                <c:pt idx="537">
                  <c:v>-8.1010411749047359E-4</c:v>
                </c:pt>
                <c:pt idx="538">
                  <c:v>-8.0332294352379455E-4</c:v>
                </c:pt>
                <c:pt idx="539">
                  <c:v>-7.9654176955711541E-4</c:v>
                </c:pt>
                <c:pt idx="540">
                  <c:v>-7.8976059559043637E-4</c:v>
                </c:pt>
                <c:pt idx="541">
                  <c:v>-7.8297942162375723E-4</c:v>
                </c:pt>
                <c:pt idx="542">
                  <c:v>-7.7619824765707808E-4</c:v>
                </c:pt>
                <c:pt idx="543">
                  <c:v>-7.6941707369039905E-4</c:v>
                </c:pt>
                <c:pt idx="544">
                  <c:v>-7.6263589972371979E-4</c:v>
                </c:pt>
                <c:pt idx="545">
                  <c:v>-7.5585472575704011E-4</c:v>
                </c:pt>
                <c:pt idx="546">
                  <c:v>-7.4907355179036096E-4</c:v>
                </c:pt>
                <c:pt idx="547">
                  <c:v>-7.4229237782368193E-4</c:v>
                </c:pt>
                <c:pt idx="548">
                  <c:v>-7.3551120385700278E-4</c:v>
                </c:pt>
                <c:pt idx="549">
                  <c:v>-1.1358074340122946E-3</c:v>
                </c:pt>
                <c:pt idx="550">
                  <c:v>-1.1290262600456155E-3</c:v>
                </c:pt>
                <c:pt idx="551">
                  <c:v>-1.1222450860789363E-3</c:v>
                </c:pt>
                <c:pt idx="552">
                  <c:v>-1.1154639121122574E-3</c:v>
                </c:pt>
                <c:pt idx="553">
                  <c:v>-1.1086827381455782E-3</c:v>
                </c:pt>
                <c:pt idx="554">
                  <c:v>-1.1019015641788991E-3</c:v>
                </c:pt>
                <c:pt idx="555">
                  <c:v>-1.0951203902122199E-3</c:v>
                </c:pt>
                <c:pt idx="556">
                  <c:v>-1.0883392162455408E-3</c:v>
                </c:pt>
                <c:pt idx="557">
                  <c:v>-1.0815580422788617E-3</c:v>
                </c:pt>
                <c:pt idx="558">
                  <c:v>-1.0747768683121825E-3</c:v>
                </c:pt>
                <c:pt idx="559">
                  <c:v>-1.0679956943455034E-3</c:v>
                </c:pt>
                <c:pt idx="560">
                  <c:v>-1.0612145203788242E-3</c:v>
                </c:pt>
                <c:pt idx="561">
                  <c:v>-1.0544333464121451E-3</c:v>
                </c:pt>
                <c:pt idx="562">
                  <c:v>-1.0476521724454662E-3</c:v>
                </c:pt>
                <c:pt idx="563">
                  <c:v>-1.040870998478787E-3</c:v>
                </c:pt>
                <c:pt idx="564">
                  <c:v>-1.0340898245121079E-3</c:v>
                </c:pt>
                <c:pt idx="565">
                  <c:v>-1.0273086505454289E-3</c:v>
                </c:pt>
                <c:pt idx="566">
                  <c:v>-1.0205274765787498E-3</c:v>
                </c:pt>
                <c:pt idx="567">
                  <c:v>-1.0137463026120709E-3</c:v>
                </c:pt>
                <c:pt idx="568">
                  <c:v>-1.0069651286453917E-3</c:v>
                </c:pt>
                <c:pt idx="569">
                  <c:v>-1.0001839546787124E-3</c:v>
                </c:pt>
                <c:pt idx="570">
                  <c:v>-9.9340278071203343E-4</c:v>
                </c:pt>
                <c:pt idx="571">
                  <c:v>-9.8662160674535429E-4</c:v>
                </c:pt>
                <c:pt idx="572">
                  <c:v>-9.7984043277867514E-4</c:v>
                </c:pt>
                <c:pt idx="573">
                  <c:v>-9.73059258811996E-4</c:v>
                </c:pt>
                <c:pt idx="574">
                  <c:v>-9.6627808484531696E-4</c:v>
                </c:pt>
                <c:pt idx="575">
                  <c:v>-9.5949691087863782E-4</c:v>
                </c:pt>
                <c:pt idx="576">
                  <c:v>-9.5271573691195878E-4</c:v>
                </c:pt>
                <c:pt idx="577">
                  <c:v>-9.4593456294527964E-4</c:v>
                </c:pt>
                <c:pt idx="578">
                  <c:v>-9.391533889786006E-4</c:v>
                </c:pt>
                <c:pt idx="579">
                  <c:v>-9.3237221501192135E-4</c:v>
                </c:pt>
                <c:pt idx="580">
                  <c:v>-9.2559104104524231E-4</c:v>
                </c:pt>
                <c:pt idx="581">
                  <c:v>-9.1880986707856317E-4</c:v>
                </c:pt>
                <c:pt idx="582">
                  <c:v>-9.1202869311188403E-4</c:v>
                </c:pt>
                <c:pt idx="583">
                  <c:v>-9.0524751914520499E-4</c:v>
                </c:pt>
                <c:pt idx="584">
                  <c:v>-8.9846634517852584E-4</c:v>
                </c:pt>
                <c:pt idx="585">
                  <c:v>-8.9168517121184681E-4</c:v>
                </c:pt>
                <c:pt idx="586">
                  <c:v>-8.8490399724516756E-4</c:v>
                </c:pt>
                <c:pt idx="587">
                  <c:v>-8.7812282327848874E-4</c:v>
                </c:pt>
                <c:pt idx="588">
                  <c:v>-8.7134164931180959E-4</c:v>
                </c:pt>
                <c:pt idx="589">
                  <c:v>-8.6456047534513056E-4</c:v>
                </c:pt>
                <c:pt idx="590">
                  <c:v>-8.577793013784513E-4</c:v>
                </c:pt>
                <c:pt idx="591">
                  <c:v>-8.5099812741177216E-4</c:v>
                </c:pt>
                <c:pt idx="592">
                  <c:v>-8.4421695344509312E-4</c:v>
                </c:pt>
                <c:pt idx="593">
                  <c:v>-8.3743577947841398E-4</c:v>
                </c:pt>
                <c:pt idx="594">
                  <c:v>-8.3065460551173494E-4</c:v>
                </c:pt>
                <c:pt idx="595">
                  <c:v>-8.238734315450558E-4</c:v>
                </c:pt>
                <c:pt idx="596">
                  <c:v>-8.1709225757837676E-4</c:v>
                </c:pt>
                <c:pt idx="597">
                  <c:v>-8.1031108361169751E-4</c:v>
                </c:pt>
                <c:pt idx="598">
                  <c:v>-8.0352990964501847E-4</c:v>
                </c:pt>
                <c:pt idx="599">
                  <c:v>-7.9674873567833933E-4</c:v>
                </c:pt>
                <c:pt idx="600">
                  <c:v>-7.8996756171166018E-4</c:v>
                </c:pt>
                <c:pt idx="601">
                  <c:v>-7.8318638774498115E-4</c:v>
                </c:pt>
                <c:pt idx="602">
                  <c:v>-7.76405213778302E-4</c:v>
                </c:pt>
                <c:pt idx="603">
                  <c:v>-7.6962403981162297E-4</c:v>
                </c:pt>
                <c:pt idx="604">
                  <c:v>-7.6284286584494372E-4</c:v>
                </c:pt>
                <c:pt idx="605">
                  <c:v>-7.5606169187826468E-4</c:v>
                </c:pt>
                <c:pt idx="606">
                  <c:v>-7.4928051791158488E-4</c:v>
                </c:pt>
                <c:pt idx="607">
                  <c:v>-7.4249934394490585E-4</c:v>
                </c:pt>
                <c:pt idx="608">
                  <c:v>-7.357181699782267E-4</c:v>
                </c:pt>
                <c:pt idx="609">
                  <c:v>-7.2893699601154767E-4</c:v>
                </c:pt>
                <c:pt idx="610">
                  <c:v>-1.1292332261668395E-3</c:v>
                </c:pt>
                <c:pt idx="611">
                  <c:v>-1.1224520522001603E-3</c:v>
                </c:pt>
                <c:pt idx="612">
                  <c:v>-1.1156708782334812E-3</c:v>
                </c:pt>
                <c:pt idx="613">
                  <c:v>-1.108889704266802E-3</c:v>
                </c:pt>
                <c:pt idx="614">
                  <c:v>-1.1021085303001229E-3</c:v>
                </c:pt>
                <c:pt idx="615">
                  <c:v>-1.095327356333444E-3</c:v>
                </c:pt>
                <c:pt idx="616">
                  <c:v>-1.0885461823667648E-3</c:v>
                </c:pt>
                <c:pt idx="617">
                  <c:v>-1.0817650084000855E-3</c:v>
                </c:pt>
                <c:pt idx="618">
                  <c:v>-1.0749838344334063E-3</c:v>
                </c:pt>
                <c:pt idx="619">
                  <c:v>-1.0682026604667272E-3</c:v>
                </c:pt>
                <c:pt idx="620">
                  <c:v>-1.0614214865000483E-3</c:v>
                </c:pt>
                <c:pt idx="621">
                  <c:v>-1.0546403125333691E-3</c:v>
                </c:pt>
                <c:pt idx="622">
                  <c:v>-1.04785913856669E-3</c:v>
                </c:pt>
                <c:pt idx="623">
                  <c:v>-1.0410779646000108E-3</c:v>
                </c:pt>
                <c:pt idx="624">
                  <c:v>-1.0342967906333319E-3</c:v>
                </c:pt>
                <c:pt idx="625">
                  <c:v>-1.0275156166666528E-3</c:v>
                </c:pt>
                <c:pt idx="626">
                  <c:v>-1.0207344426999738E-3</c:v>
                </c:pt>
                <c:pt idx="627">
                  <c:v>-1.0139532687332945E-3</c:v>
                </c:pt>
                <c:pt idx="628">
                  <c:v>-1.0071720947666158E-3</c:v>
                </c:pt>
                <c:pt idx="629">
                  <c:v>-1.0003909207999364E-3</c:v>
                </c:pt>
                <c:pt idx="630">
                  <c:v>-9.9360974683325724E-4</c:v>
                </c:pt>
                <c:pt idx="631">
                  <c:v>-9.868285728665781E-4</c:v>
                </c:pt>
                <c:pt idx="632">
                  <c:v>-9.8004739889989896E-4</c:v>
                </c:pt>
                <c:pt idx="633">
                  <c:v>-9.7326622493321992E-4</c:v>
                </c:pt>
                <c:pt idx="634">
                  <c:v>-9.6648505096654088E-4</c:v>
                </c:pt>
                <c:pt idx="635">
                  <c:v>-9.5970387699986174E-4</c:v>
                </c:pt>
                <c:pt idx="636">
                  <c:v>-9.529227030331827E-4</c:v>
                </c:pt>
                <c:pt idx="637">
                  <c:v>-9.4614152906650356E-4</c:v>
                </c:pt>
                <c:pt idx="638">
                  <c:v>-9.3936035509982452E-4</c:v>
                </c:pt>
                <c:pt idx="639">
                  <c:v>-9.3257918113314527E-4</c:v>
                </c:pt>
                <c:pt idx="640">
                  <c:v>-9.2579800716646613E-4</c:v>
                </c:pt>
                <c:pt idx="641">
                  <c:v>-9.1901683319978709E-4</c:v>
                </c:pt>
                <c:pt idx="642">
                  <c:v>-9.1223565923310795E-4</c:v>
                </c:pt>
                <c:pt idx="643">
                  <c:v>-9.0545448526642891E-4</c:v>
                </c:pt>
                <c:pt idx="644">
                  <c:v>-8.9867331129974976E-4</c:v>
                </c:pt>
                <c:pt idx="645">
                  <c:v>-8.9189213733307073E-4</c:v>
                </c:pt>
                <c:pt idx="646">
                  <c:v>-8.8511096336639148E-4</c:v>
                </c:pt>
                <c:pt idx="647">
                  <c:v>-8.7832978939971244E-4</c:v>
                </c:pt>
                <c:pt idx="648">
                  <c:v>-8.7154861543303351E-4</c:v>
                </c:pt>
                <c:pt idx="649">
                  <c:v>-8.6476744146635437E-4</c:v>
                </c:pt>
                <c:pt idx="650">
                  <c:v>-8.5798626749967522E-4</c:v>
                </c:pt>
                <c:pt idx="651">
                  <c:v>-8.5120509353299608E-4</c:v>
                </c:pt>
                <c:pt idx="652">
                  <c:v>-8.4442391956631704E-4</c:v>
                </c:pt>
                <c:pt idx="653">
                  <c:v>-8.376427455996379E-4</c:v>
                </c:pt>
                <c:pt idx="654">
                  <c:v>-8.3086157163295886E-4</c:v>
                </c:pt>
                <c:pt idx="655">
                  <c:v>-8.2408039766627972E-4</c:v>
                </c:pt>
                <c:pt idx="656">
                  <c:v>-8.1729922369960068E-4</c:v>
                </c:pt>
                <c:pt idx="657">
                  <c:v>-8.1051804973292143E-4</c:v>
                </c:pt>
                <c:pt idx="658">
                  <c:v>-8.0373687576624228E-4</c:v>
                </c:pt>
                <c:pt idx="659">
                  <c:v>-7.9695570179956325E-4</c:v>
                </c:pt>
                <c:pt idx="660">
                  <c:v>-7.901745278328841E-4</c:v>
                </c:pt>
                <c:pt idx="661">
                  <c:v>-7.8339335386620507E-4</c:v>
                </c:pt>
                <c:pt idx="662">
                  <c:v>-7.7661217989952592E-4</c:v>
                </c:pt>
                <c:pt idx="663">
                  <c:v>-7.6983100593284689E-4</c:v>
                </c:pt>
                <c:pt idx="664">
                  <c:v>-7.6304983196616764E-4</c:v>
                </c:pt>
                <c:pt idx="665">
                  <c:v>-7.562686579994886E-4</c:v>
                </c:pt>
                <c:pt idx="666">
                  <c:v>-7.4948748403280945E-4</c:v>
                </c:pt>
                <c:pt idx="667">
                  <c:v>-7.4270631006612977E-4</c:v>
                </c:pt>
                <c:pt idx="668">
                  <c:v>-7.3592513609945062E-4</c:v>
                </c:pt>
                <c:pt idx="669">
                  <c:v>-7.2914396213277148E-4</c:v>
                </c:pt>
                <c:pt idx="670">
                  <c:v>-7.2236278816609244E-4</c:v>
                </c:pt>
                <c:pt idx="671">
                  <c:v>-1.1226590183213842E-3</c:v>
                </c:pt>
                <c:pt idx="672">
                  <c:v>-1.115877844354705E-3</c:v>
                </c:pt>
                <c:pt idx="673">
                  <c:v>-1.1090966703880261E-3</c:v>
                </c:pt>
                <c:pt idx="674">
                  <c:v>-1.1023154964213469E-3</c:v>
                </c:pt>
                <c:pt idx="675">
                  <c:v>-1.0955343224546678E-3</c:v>
                </c:pt>
                <c:pt idx="676">
                  <c:v>-1.0887531484879886E-3</c:v>
                </c:pt>
                <c:pt idx="677">
                  <c:v>-1.0819719745213095E-3</c:v>
                </c:pt>
                <c:pt idx="678">
                  <c:v>-1.0751908005546304E-3</c:v>
                </c:pt>
                <c:pt idx="679">
                  <c:v>-1.0684096265879512E-3</c:v>
                </c:pt>
                <c:pt idx="680">
                  <c:v>-1.0616284526212721E-3</c:v>
                </c:pt>
                <c:pt idx="681">
                  <c:v>-1.0548472786545929E-3</c:v>
                </c:pt>
                <c:pt idx="682">
                  <c:v>-1.048066104687914E-3</c:v>
                </c:pt>
                <c:pt idx="683">
                  <c:v>-1.0412849307212349E-3</c:v>
                </c:pt>
                <c:pt idx="684">
                  <c:v>-1.0345037567545557E-3</c:v>
                </c:pt>
                <c:pt idx="685">
                  <c:v>-1.0277225827878766E-3</c:v>
                </c:pt>
                <c:pt idx="686">
                  <c:v>-1.0209414088211976E-3</c:v>
                </c:pt>
                <c:pt idx="687">
                  <c:v>-1.0141602348545187E-3</c:v>
                </c:pt>
                <c:pt idx="688">
                  <c:v>-1.0073790608878393E-3</c:v>
                </c:pt>
                <c:pt idx="689">
                  <c:v>-1.0005978869211602E-3</c:v>
                </c:pt>
                <c:pt idx="690">
                  <c:v>-9.9381671295448106E-4</c:v>
                </c:pt>
                <c:pt idx="691">
                  <c:v>-9.8703553898780213E-4</c:v>
                </c:pt>
                <c:pt idx="692">
                  <c:v>-9.8025436502112298E-4</c:v>
                </c:pt>
                <c:pt idx="693">
                  <c:v>-9.7347319105444384E-4</c:v>
                </c:pt>
                <c:pt idx="694">
                  <c:v>-9.666920170877648E-4</c:v>
                </c:pt>
                <c:pt idx="695">
                  <c:v>-9.5991084312108566E-4</c:v>
                </c:pt>
                <c:pt idx="696">
                  <c:v>-9.5312966915440662E-4</c:v>
                </c:pt>
                <c:pt idx="697">
                  <c:v>-9.4634849518772748E-4</c:v>
                </c:pt>
                <c:pt idx="698">
                  <c:v>-9.3956732122104833E-4</c:v>
                </c:pt>
                <c:pt idx="699">
                  <c:v>-9.3278614725436919E-4</c:v>
                </c:pt>
                <c:pt idx="700">
                  <c:v>-9.2600497328769005E-4</c:v>
                </c:pt>
                <c:pt idx="701">
                  <c:v>-9.1922379932101101E-4</c:v>
                </c:pt>
                <c:pt idx="702">
                  <c:v>-9.1244262535433187E-4</c:v>
                </c:pt>
                <c:pt idx="703">
                  <c:v>-9.0566145138765283E-4</c:v>
                </c:pt>
                <c:pt idx="704">
                  <c:v>-8.9888027742097368E-4</c:v>
                </c:pt>
                <c:pt idx="705">
                  <c:v>-8.9209910345429465E-4</c:v>
                </c:pt>
                <c:pt idx="706">
                  <c:v>-8.853179294876154E-4</c:v>
                </c:pt>
                <c:pt idx="707">
                  <c:v>-8.7853675552093625E-4</c:v>
                </c:pt>
                <c:pt idx="708">
                  <c:v>-8.7175558155425722E-4</c:v>
                </c:pt>
                <c:pt idx="709">
                  <c:v>-8.6497440758757829E-4</c:v>
                </c:pt>
                <c:pt idx="710">
                  <c:v>-8.5819323362089914E-4</c:v>
                </c:pt>
                <c:pt idx="711">
                  <c:v>-8.5141205965422E-4</c:v>
                </c:pt>
                <c:pt idx="712">
                  <c:v>-8.4463088568754096E-4</c:v>
                </c:pt>
                <c:pt idx="713">
                  <c:v>-8.3784971172086182E-4</c:v>
                </c:pt>
                <c:pt idx="714">
                  <c:v>-8.3106853775418278E-4</c:v>
                </c:pt>
                <c:pt idx="715">
                  <c:v>-8.2428736378750364E-4</c:v>
                </c:pt>
                <c:pt idx="716">
                  <c:v>-8.175061898208246E-4</c:v>
                </c:pt>
                <c:pt idx="717">
                  <c:v>-8.1072501585414535E-4</c:v>
                </c:pt>
                <c:pt idx="718">
                  <c:v>-8.039438418874662E-4</c:v>
                </c:pt>
                <c:pt idx="719">
                  <c:v>-7.9716266792078717E-4</c:v>
                </c:pt>
                <c:pt idx="720">
                  <c:v>-7.9038149395410802E-4</c:v>
                </c:pt>
                <c:pt idx="721">
                  <c:v>-7.8360031998742899E-4</c:v>
                </c:pt>
                <c:pt idx="722">
                  <c:v>-7.7681914602074984E-4</c:v>
                </c:pt>
                <c:pt idx="723">
                  <c:v>-7.7003797205407081E-4</c:v>
                </c:pt>
                <c:pt idx="724">
                  <c:v>-7.6325679808739156E-4</c:v>
                </c:pt>
                <c:pt idx="725">
                  <c:v>-7.5647562412071252E-4</c:v>
                </c:pt>
                <c:pt idx="726">
                  <c:v>-7.4969445015403337E-4</c:v>
                </c:pt>
                <c:pt idx="727">
                  <c:v>-7.4291327618735423E-4</c:v>
                </c:pt>
                <c:pt idx="728">
                  <c:v>-7.3613210222067454E-4</c:v>
                </c:pt>
                <c:pt idx="729">
                  <c:v>-7.2935092825399551E-4</c:v>
                </c:pt>
                <c:pt idx="730">
                  <c:v>-7.2256975428731636E-4</c:v>
                </c:pt>
                <c:pt idx="731">
                  <c:v>-7.1578858032063722E-4</c:v>
                </c:pt>
                <c:pt idx="732">
                  <c:v>-1.116084810475929E-3</c:v>
                </c:pt>
                <c:pt idx="733">
                  <c:v>-1.1093036365092499E-3</c:v>
                </c:pt>
                <c:pt idx="734">
                  <c:v>-1.1025224625425707E-3</c:v>
                </c:pt>
                <c:pt idx="735">
                  <c:v>-1.0957412885758918E-3</c:v>
                </c:pt>
                <c:pt idx="736">
                  <c:v>-1.0889601146092127E-3</c:v>
                </c:pt>
                <c:pt idx="737">
                  <c:v>-1.0821789406425333E-3</c:v>
                </c:pt>
                <c:pt idx="738">
                  <c:v>-1.0753977666758542E-3</c:v>
                </c:pt>
                <c:pt idx="739">
                  <c:v>-1.068616592709175E-3</c:v>
                </c:pt>
                <c:pt idx="740">
                  <c:v>-1.0618354187424961E-3</c:v>
                </c:pt>
                <c:pt idx="741">
                  <c:v>-1.055054244775817E-3</c:v>
                </c:pt>
                <c:pt idx="742">
                  <c:v>-1.0482730708091378E-3</c:v>
                </c:pt>
                <c:pt idx="743">
                  <c:v>-1.0414918968424587E-3</c:v>
                </c:pt>
                <c:pt idx="744">
                  <c:v>-1.0347107228757797E-3</c:v>
                </c:pt>
                <c:pt idx="745">
                  <c:v>-1.0279295489091006E-3</c:v>
                </c:pt>
                <c:pt idx="746">
                  <c:v>-1.0211483749424214E-3</c:v>
                </c:pt>
                <c:pt idx="747">
                  <c:v>-1.0143672009757423E-3</c:v>
                </c:pt>
                <c:pt idx="748">
                  <c:v>-1.0075860270090634E-3</c:v>
                </c:pt>
                <c:pt idx="749">
                  <c:v>-1.0008048530423842E-3</c:v>
                </c:pt>
                <c:pt idx="750">
                  <c:v>-9.9402367907570508E-4</c:v>
                </c:pt>
                <c:pt idx="751">
                  <c:v>-9.8724250510902594E-4</c:v>
                </c:pt>
                <c:pt idx="752">
                  <c:v>-9.804613311423468E-4</c:v>
                </c:pt>
                <c:pt idx="753">
                  <c:v>-9.7368015717566776E-4</c:v>
                </c:pt>
                <c:pt idx="754">
                  <c:v>-9.6689898320898872E-4</c:v>
                </c:pt>
                <c:pt idx="755">
                  <c:v>-9.6011780924230958E-4</c:v>
                </c:pt>
                <c:pt idx="756">
                  <c:v>-9.5333663527563044E-4</c:v>
                </c:pt>
                <c:pt idx="757">
                  <c:v>-9.465554613089514E-4</c:v>
                </c:pt>
                <c:pt idx="758">
                  <c:v>-9.3977428734227225E-4</c:v>
                </c:pt>
                <c:pt idx="759">
                  <c:v>-9.3299311337559311E-4</c:v>
                </c:pt>
                <c:pt idx="760">
                  <c:v>-9.2621193940891397E-4</c:v>
                </c:pt>
                <c:pt idx="761">
                  <c:v>-9.1943076544223493E-4</c:v>
                </c:pt>
                <c:pt idx="762">
                  <c:v>-9.1264959147555579E-4</c:v>
                </c:pt>
                <c:pt idx="763">
                  <c:v>-9.0586841750887675E-4</c:v>
                </c:pt>
                <c:pt idx="764">
                  <c:v>-8.990872435421976E-4</c:v>
                </c:pt>
                <c:pt idx="765">
                  <c:v>-8.9230606957551857E-4</c:v>
                </c:pt>
                <c:pt idx="766">
                  <c:v>-8.8552489560883932E-4</c:v>
                </c:pt>
                <c:pt idx="767">
                  <c:v>-8.7874372164216017E-4</c:v>
                </c:pt>
                <c:pt idx="768">
                  <c:v>-8.7196254767548114E-4</c:v>
                </c:pt>
                <c:pt idx="769">
                  <c:v>-8.6518137370880199E-4</c:v>
                </c:pt>
                <c:pt idx="770">
                  <c:v>-8.5840019974212306E-4</c:v>
                </c:pt>
                <c:pt idx="771">
                  <c:v>-8.5161902577544392E-4</c:v>
                </c:pt>
                <c:pt idx="772">
                  <c:v>-8.4483785180876488E-4</c:v>
                </c:pt>
                <c:pt idx="773">
                  <c:v>-8.3805667784208574E-4</c:v>
                </c:pt>
                <c:pt idx="774">
                  <c:v>-8.312755038754067E-4</c:v>
                </c:pt>
                <c:pt idx="775">
                  <c:v>-8.2449432990872756E-4</c:v>
                </c:pt>
                <c:pt idx="776">
                  <c:v>-8.1771315594204841E-4</c:v>
                </c:pt>
                <c:pt idx="777">
                  <c:v>-8.1093198197536927E-4</c:v>
                </c:pt>
                <c:pt idx="778">
                  <c:v>-8.0415080800869012E-4</c:v>
                </c:pt>
                <c:pt idx="779">
                  <c:v>-7.9736963404201109E-4</c:v>
                </c:pt>
                <c:pt idx="780">
                  <c:v>-7.9058846007533194E-4</c:v>
                </c:pt>
                <c:pt idx="781">
                  <c:v>-7.8380728610865291E-4</c:v>
                </c:pt>
                <c:pt idx="782">
                  <c:v>-7.7702611214197376E-4</c:v>
                </c:pt>
                <c:pt idx="783">
                  <c:v>-7.7024493817529473E-4</c:v>
                </c:pt>
                <c:pt idx="784">
                  <c:v>-7.6346376420861548E-4</c:v>
                </c:pt>
                <c:pt idx="785">
                  <c:v>-7.5668259024193644E-4</c:v>
                </c:pt>
                <c:pt idx="786">
                  <c:v>-7.4990141627525729E-4</c:v>
                </c:pt>
                <c:pt idx="787">
                  <c:v>-7.4312024230857815E-4</c:v>
                </c:pt>
                <c:pt idx="788">
                  <c:v>-7.3633906834189911E-4</c:v>
                </c:pt>
                <c:pt idx="789">
                  <c:v>-7.2955789437521932E-4</c:v>
                </c:pt>
                <c:pt idx="790">
                  <c:v>-7.2277672040854028E-4</c:v>
                </c:pt>
                <c:pt idx="791">
                  <c:v>-7.1599554644186114E-4</c:v>
                </c:pt>
                <c:pt idx="792">
                  <c:v>-7.092143724751821E-4</c:v>
                </c:pt>
                <c:pt idx="793">
                  <c:v>-1.1095106026304739E-3</c:v>
                </c:pt>
                <c:pt idx="794">
                  <c:v>-1.1027294286637948E-3</c:v>
                </c:pt>
                <c:pt idx="795">
                  <c:v>-1.0959482546971156E-3</c:v>
                </c:pt>
                <c:pt idx="796">
                  <c:v>-1.0891670807304365E-3</c:v>
                </c:pt>
                <c:pt idx="797">
                  <c:v>-1.0823859067637571E-3</c:v>
                </c:pt>
                <c:pt idx="798">
                  <c:v>-1.0756047327970782E-3</c:v>
                </c:pt>
                <c:pt idx="799">
                  <c:v>-1.0688235588303991E-3</c:v>
                </c:pt>
                <c:pt idx="800">
                  <c:v>-1.0620423848637199E-3</c:v>
                </c:pt>
                <c:pt idx="801">
                  <c:v>-1.0552612108970408E-3</c:v>
                </c:pt>
                <c:pt idx="802">
                  <c:v>-1.0484800369303618E-3</c:v>
                </c:pt>
                <c:pt idx="803">
                  <c:v>-1.0416988629636827E-3</c:v>
                </c:pt>
                <c:pt idx="804">
                  <c:v>-1.0349176889970035E-3</c:v>
                </c:pt>
                <c:pt idx="805">
                  <c:v>-1.0281365150303244E-3</c:v>
                </c:pt>
                <c:pt idx="806">
                  <c:v>-1.0213553410636453E-3</c:v>
                </c:pt>
                <c:pt idx="807">
                  <c:v>-1.0145741670969663E-3</c:v>
                </c:pt>
                <c:pt idx="808">
                  <c:v>-1.0077929931302872E-3</c:v>
                </c:pt>
                <c:pt idx="809">
                  <c:v>-1.001011819163608E-3</c:v>
                </c:pt>
                <c:pt idx="810">
                  <c:v>-9.942306451969289E-4</c:v>
                </c:pt>
                <c:pt idx="811">
                  <c:v>-9.8744947123024997E-4</c:v>
                </c:pt>
                <c:pt idx="812">
                  <c:v>-9.8066829726357082E-4</c:v>
                </c:pt>
                <c:pt idx="813">
                  <c:v>-9.7388712329689168E-4</c:v>
                </c:pt>
                <c:pt idx="814">
                  <c:v>-9.6710594933021254E-4</c:v>
                </c:pt>
                <c:pt idx="815">
                  <c:v>-9.603247753635335E-4</c:v>
                </c:pt>
                <c:pt idx="816">
                  <c:v>-9.5354360139685436E-4</c:v>
                </c:pt>
                <c:pt idx="817">
                  <c:v>-9.4676242743017532E-4</c:v>
                </c:pt>
                <c:pt idx="818">
                  <c:v>-9.3998125346349617E-4</c:v>
                </c:pt>
                <c:pt idx="819">
                  <c:v>-9.3320007949681703E-4</c:v>
                </c:pt>
                <c:pt idx="820">
                  <c:v>-9.2641890553013789E-4</c:v>
                </c:pt>
                <c:pt idx="821">
                  <c:v>-9.1963773156345885E-4</c:v>
                </c:pt>
                <c:pt idx="822">
                  <c:v>-9.1285655759677971E-4</c:v>
                </c:pt>
                <c:pt idx="823">
                  <c:v>-9.0607538363010067E-4</c:v>
                </c:pt>
                <c:pt idx="824">
                  <c:v>-8.9929420966342152E-4</c:v>
                </c:pt>
                <c:pt idx="825">
                  <c:v>-8.9251303569674238E-4</c:v>
                </c:pt>
                <c:pt idx="826">
                  <c:v>-8.8573186173006324E-4</c:v>
                </c:pt>
                <c:pt idx="827">
                  <c:v>-8.7895068776338409E-4</c:v>
                </c:pt>
                <c:pt idx="828">
                  <c:v>-8.7216951379670506E-4</c:v>
                </c:pt>
                <c:pt idx="829">
                  <c:v>-8.6538833983002591E-4</c:v>
                </c:pt>
                <c:pt idx="830">
                  <c:v>-8.5860716586334688E-4</c:v>
                </c:pt>
                <c:pt idx="831">
                  <c:v>-8.5182599189666784E-4</c:v>
                </c:pt>
                <c:pt idx="832">
                  <c:v>-8.450448179299888E-4</c:v>
                </c:pt>
                <c:pt idx="833">
                  <c:v>-8.3826364396330966E-4</c:v>
                </c:pt>
                <c:pt idx="834">
                  <c:v>-8.3148246999663051E-4</c:v>
                </c:pt>
                <c:pt idx="835">
                  <c:v>-8.2470129602995148E-4</c:v>
                </c:pt>
                <c:pt idx="836">
                  <c:v>-8.1792012206327233E-4</c:v>
                </c:pt>
                <c:pt idx="837">
                  <c:v>-8.1113894809659319E-4</c:v>
                </c:pt>
                <c:pt idx="838">
                  <c:v>-8.0435777412991404E-4</c:v>
                </c:pt>
                <c:pt idx="839">
                  <c:v>-7.9757660016323501E-4</c:v>
                </c:pt>
                <c:pt idx="840">
                  <c:v>-7.9079542619655586E-4</c:v>
                </c:pt>
                <c:pt idx="841">
                  <c:v>-7.8401425222987694E-4</c:v>
                </c:pt>
                <c:pt idx="842">
                  <c:v>-7.7723307826319779E-4</c:v>
                </c:pt>
                <c:pt idx="843">
                  <c:v>-7.7045190429651865E-4</c:v>
                </c:pt>
                <c:pt idx="844">
                  <c:v>-7.636707303298395E-4</c:v>
                </c:pt>
                <c:pt idx="845">
                  <c:v>-7.5688955636316036E-4</c:v>
                </c:pt>
                <c:pt idx="846">
                  <c:v>-7.5010838239648132E-4</c:v>
                </c:pt>
                <c:pt idx="847">
                  <c:v>-7.4332720842980218E-4</c:v>
                </c:pt>
                <c:pt idx="848">
                  <c:v>-7.3654603446312314E-4</c:v>
                </c:pt>
                <c:pt idx="849">
                  <c:v>-7.29764860496444E-4</c:v>
                </c:pt>
                <c:pt idx="850">
                  <c:v>-7.229836865297642E-4</c:v>
                </c:pt>
                <c:pt idx="851">
                  <c:v>-7.1620251256308506E-4</c:v>
                </c:pt>
                <c:pt idx="852">
                  <c:v>-7.0942133859640613E-4</c:v>
                </c:pt>
                <c:pt idx="853">
                  <c:v>-7.0264016462972688E-4</c:v>
                </c:pt>
                <c:pt idx="854">
                  <c:v>-1.1029363947850186E-3</c:v>
                </c:pt>
                <c:pt idx="855">
                  <c:v>-1.0961552208183394E-3</c:v>
                </c:pt>
                <c:pt idx="856">
                  <c:v>-1.0893740468516605E-3</c:v>
                </c:pt>
                <c:pt idx="857">
                  <c:v>-1.0825928728849812E-3</c:v>
                </c:pt>
                <c:pt idx="858">
                  <c:v>-1.075811698918302E-3</c:v>
                </c:pt>
                <c:pt idx="859">
                  <c:v>-1.0690305249516229E-3</c:v>
                </c:pt>
                <c:pt idx="860">
                  <c:v>-1.0622493509849439E-3</c:v>
                </c:pt>
                <c:pt idx="861">
                  <c:v>-1.0554681770182648E-3</c:v>
                </c:pt>
                <c:pt idx="862">
                  <c:v>-1.0486870030515856E-3</c:v>
                </c:pt>
                <c:pt idx="863">
                  <c:v>-1.0419058290849065E-3</c:v>
                </c:pt>
                <c:pt idx="864">
                  <c:v>-1.0351246551182276E-3</c:v>
                </c:pt>
                <c:pt idx="865">
                  <c:v>-1.0283434811515484E-3</c:v>
                </c:pt>
                <c:pt idx="866">
                  <c:v>-1.0215623071848693E-3</c:v>
                </c:pt>
                <c:pt idx="867">
                  <c:v>-1.0147811332181901E-3</c:v>
                </c:pt>
                <c:pt idx="868">
                  <c:v>-1.007999959251511E-3</c:v>
                </c:pt>
                <c:pt idx="869">
                  <c:v>-1.0012187852848321E-3</c:v>
                </c:pt>
                <c:pt idx="870">
                  <c:v>-9.9443761131815292E-4</c:v>
                </c:pt>
                <c:pt idx="871">
                  <c:v>-9.8765643735147356E-4</c:v>
                </c:pt>
                <c:pt idx="872">
                  <c:v>-9.8087526338479464E-4</c:v>
                </c:pt>
                <c:pt idx="873">
                  <c:v>-9.740940894181156E-4</c:v>
                </c:pt>
                <c:pt idx="874">
                  <c:v>-9.6731291545143656E-4</c:v>
                </c:pt>
                <c:pt idx="875">
                  <c:v>-9.6053174148475742E-4</c:v>
                </c:pt>
                <c:pt idx="876">
                  <c:v>-9.5375056751807828E-4</c:v>
                </c:pt>
                <c:pt idx="877">
                  <c:v>-9.4696939355139924E-4</c:v>
                </c:pt>
                <c:pt idx="878">
                  <c:v>-9.4018821958472009E-4</c:v>
                </c:pt>
                <c:pt idx="879">
                  <c:v>-9.3340704561804095E-4</c:v>
                </c:pt>
                <c:pt idx="880">
                  <c:v>-9.2662587165136181E-4</c:v>
                </c:pt>
                <c:pt idx="881">
                  <c:v>-9.1984469768468277E-4</c:v>
                </c:pt>
                <c:pt idx="882">
                  <c:v>-9.1306352371800363E-4</c:v>
                </c:pt>
                <c:pt idx="883">
                  <c:v>-9.0628234975132459E-4</c:v>
                </c:pt>
                <c:pt idx="884">
                  <c:v>-8.9950117578464545E-4</c:v>
                </c:pt>
                <c:pt idx="885">
                  <c:v>-8.927200018179663E-4</c:v>
                </c:pt>
                <c:pt idx="886">
                  <c:v>-8.8593882785128716E-4</c:v>
                </c:pt>
                <c:pt idx="887">
                  <c:v>-8.7915765388460801E-4</c:v>
                </c:pt>
                <c:pt idx="888">
                  <c:v>-8.7237647991792898E-4</c:v>
                </c:pt>
                <c:pt idx="889">
                  <c:v>-8.6559530595124983E-4</c:v>
                </c:pt>
                <c:pt idx="890">
                  <c:v>-8.588141319845708E-4</c:v>
                </c:pt>
                <c:pt idx="891">
                  <c:v>-8.5203295801789165E-4</c:v>
                </c:pt>
                <c:pt idx="892">
                  <c:v>-8.4525178405121272E-4</c:v>
                </c:pt>
                <c:pt idx="893">
                  <c:v>-8.3847061008453358E-4</c:v>
                </c:pt>
                <c:pt idx="894">
                  <c:v>-8.3168943611785443E-4</c:v>
                </c:pt>
                <c:pt idx="895">
                  <c:v>-8.249082621511754E-4</c:v>
                </c:pt>
                <c:pt idx="896">
                  <c:v>-8.1812708818449625E-4</c:v>
                </c:pt>
                <c:pt idx="897">
                  <c:v>-8.1134591421781711E-4</c:v>
                </c:pt>
                <c:pt idx="898">
                  <c:v>-8.0456474025113797E-4</c:v>
                </c:pt>
                <c:pt idx="899">
                  <c:v>-7.9778356628445893E-4</c:v>
                </c:pt>
                <c:pt idx="900">
                  <c:v>-7.9100239231777978E-4</c:v>
                </c:pt>
                <c:pt idx="901">
                  <c:v>-7.8422121835110075E-4</c:v>
                </c:pt>
                <c:pt idx="902">
                  <c:v>-7.7744004438442171E-4</c:v>
                </c:pt>
                <c:pt idx="903">
                  <c:v>-7.7065887041774246E-4</c:v>
                </c:pt>
                <c:pt idx="904">
                  <c:v>-7.6387769645106342E-4</c:v>
                </c:pt>
                <c:pt idx="905">
                  <c:v>-7.5709652248438428E-4</c:v>
                </c:pt>
                <c:pt idx="906">
                  <c:v>-7.5031534851770524E-4</c:v>
                </c:pt>
                <c:pt idx="907">
                  <c:v>-7.435341745510261E-4</c:v>
                </c:pt>
                <c:pt idx="908">
                  <c:v>-7.3675300058434706E-4</c:v>
                </c:pt>
                <c:pt idx="909">
                  <c:v>-7.2997182661766792E-4</c:v>
                </c:pt>
                <c:pt idx="910">
                  <c:v>-7.2319065265098877E-4</c:v>
                </c:pt>
                <c:pt idx="911">
                  <c:v>-7.1640947868430898E-4</c:v>
                </c:pt>
                <c:pt idx="912">
                  <c:v>-7.0962830471762994E-4</c:v>
                </c:pt>
                <c:pt idx="913">
                  <c:v>-7.028471307509508E-4</c:v>
                </c:pt>
                <c:pt idx="914">
                  <c:v>-6.9606595678427165E-4</c:v>
                </c:pt>
                <c:pt idx="915">
                  <c:v>-1.0963621869395635E-3</c:v>
                </c:pt>
                <c:pt idx="916">
                  <c:v>-1.0895810129728843E-3</c:v>
                </c:pt>
                <c:pt idx="917">
                  <c:v>-1.082799839006205E-3</c:v>
                </c:pt>
                <c:pt idx="918">
                  <c:v>-1.076018665039526E-3</c:v>
                </c:pt>
                <c:pt idx="919">
                  <c:v>-1.0692374910728469E-3</c:v>
                </c:pt>
                <c:pt idx="920">
                  <c:v>-1.0624563171061677E-3</c:v>
                </c:pt>
                <c:pt idx="921">
                  <c:v>-1.0556751431394886E-3</c:v>
                </c:pt>
                <c:pt idx="922">
                  <c:v>-1.0488939691728097E-3</c:v>
                </c:pt>
                <c:pt idx="923">
                  <c:v>-1.0421127952061305E-3</c:v>
                </c:pt>
                <c:pt idx="924">
                  <c:v>-1.0353316212394514E-3</c:v>
                </c:pt>
                <c:pt idx="925">
                  <c:v>-1.0285504472727722E-3</c:v>
                </c:pt>
                <c:pt idx="926">
                  <c:v>-1.0217692733060931E-3</c:v>
                </c:pt>
                <c:pt idx="927">
                  <c:v>-1.0149880993394142E-3</c:v>
                </c:pt>
                <c:pt idx="928">
                  <c:v>-1.008206925372735E-3</c:v>
                </c:pt>
                <c:pt idx="929">
                  <c:v>-1.0014257514060559E-3</c:v>
                </c:pt>
                <c:pt idx="930">
                  <c:v>-9.9464457743937674E-4</c:v>
                </c:pt>
                <c:pt idx="931">
                  <c:v>-9.8786340347269781E-4</c:v>
                </c:pt>
                <c:pt idx="932">
                  <c:v>-9.8108222950601845E-4</c:v>
                </c:pt>
                <c:pt idx="933">
                  <c:v>-9.7430105553933952E-4</c:v>
                </c:pt>
                <c:pt idx="934">
                  <c:v>-9.6751988157266038E-4</c:v>
                </c:pt>
                <c:pt idx="935">
                  <c:v>-9.6073870760598134E-4</c:v>
                </c:pt>
                <c:pt idx="936">
                  <c:v>-9.539575336393022E-4</c:v>
                </c:pt>
                <c:pt idx="937">
                  <c:v>-9.4717635967262316E-4</c:v>
                </c:pt>
                <c:pt idx="938">
                  <c:v>-9.4039518570594401E-4</c:v>
                </c:pt>
                <c:pt idx="939">
                  <c:v>-9.3361401173926487E-4</c:v>
                </c:pt>
                <c:pt idx="940">
                  <c:v>-9.2683283777258573E-4</c:v>
                </c:pt>
                <c:pt idx="941">
                  <c:v>-9.2005166380590669E-4</c:v>
                </c:pt>
                <c:pt idx="942">
                  <c:v>-9.1327048983922755E-4</c:v>
                </c:pt>
                <c:pt idx="943">
                  <c:v>-9.064893158725484E-4</c:v>
                </c:pt>
                <c:pt idx="944">
                  <c:v>-8.9970814190586937E-4</c:v>
                </c:pt>
                <c:pt idx="945">
                  <c:v>-8.9292696793919022E-4</c:v>
                </c:pt>
                <c:pt idx="946">
                  <c:v>-8.8614579397251108E-4</c:v>
                </c:pt>
                <c:pt idx="947">
                  <c:v>-8.7936462000583193E-4</c:v>
                </c:pt>
                <c:pt idx="948">
                  <c:v>-8.725834460391529E-4</c:v>
                </c:pt>
                <c:pt idx="949">
                  <c:v>-8.6580227207247375E-4</c:v>
                </c:pt>
                <c:pt idx="950">
                  <c:v>-8.5902109810579472E-4</c:v>
                </c:pt>
                <c:pt idx="951">
                  <c:v>-8.5223992413911557E-4</c:v>
                </c:pt>
                <c:pt idx="952">
                  <c:v>-8.4545875017243643E-4</c:v>
                </c:pt>
                <c:pt idx="953">
                  <c:v>-8.386775762057575E-4</c:v>
                </c:pt>
                <c:pt idx="954">
                  <c:v>-8.3189640223907835E-4</c:v>
                </c:pt>
                <c:pt idx="955">
                  <c:v>-8.2511522827239932E-4</c:v>
                </c:pt>
                <c:pt idx="956">
                  <c:v>-8.1833405430572017E-4</c:v>
                </c:pt>
                <c:pt idx="957">
                  <c:v>-8.1155288033904103E-4</c:v>
                </c:pt>
                <c:pt idx="958">
                  <c:v>-8.0477170637236189E-4</c:v>
                </c:pt>
                <c:pt idx="959">
                  <c:v>-7.9799053240568285E-4</c:v>
                </c:pt>
                <c:pt idx="960">
                  <c:v>-7.912093584390037E-4</c:v>
                </c:pt>
                <c:pt idx="961">
                  <c:v>-7.8442818447232467E-4</c:v>
                </c:pt>
                <c:pt idx="962">
                  <c:v>-7.7764701050564552E-4</c:v>
                </c:pt>
                <c:pt idx="963">
                  <c:v>-7.7086583653896638E-4</c:v>
                </c:pt>
                <c:pt idx="964">
                  <c:v>-7.6408466257228734E-4</c:v>
                </c:pt>
                <c:pt idx="965">
                  <c:v>-7.573034886056082E-4</c:v>
                </c:pt>
                <c:pt idx="966">
                  <c:v>-7.5052231463892916E-4</c:v>
                </c:pt>
                <c:pt idx="967">
                  <c:v>-7.4374114067225002E-4</c:v>
                </c:pt>
                <c:pt idx="968">
                  <c:v>-7.3695996670557098E-4</c:v>
                </c:pt>
                <c:pt idx="969">
                  <c:v>-7.3017879273889184E-4</c:v>
                </c:pt>
                <c:pt idx="970">
                  <c:v>-7.2339761877221269E-4</c:v>
                </c:pt>
                <c:pt idx="971">
                  <c:v>-7.1661644480553355E-4</c:v>
                </c:pt>
                <c:pt idx="972">
                  <c:v>-7.0983527083885386E-4</c:v>
                </c:pt>
                <c:pt idx="973">
                  <c:v>-7.0305409687217472E-4</c:v>
                </c:pt>
                <c:pt idx="974">
                  <c:v>-6.9627292290549557E-4</c:v>
                </c:pt>
                <c:pt idx="975">
                  <c:v>-6.8949174893881654E-4</c:v>
                </c:pt>
                <c:pt idx="976">
                  <c:v>-1.0897879790941084E-3</c:v>
                </c:pt>
                <c:pt idx="977">
                  <c:v>-1.0830068051274292E-3</c:v>
                </c:pt>
                <c:pt idx="978">
                  <c:v>-1.0762256311607498E-3</c:v>
                </c:pt>
                <c:pt idx="979">
                  <c:v>-1.0694444571940709E-3</c:v>
                </c:pt>
                <c:pt idx="980">
                  <c:v>-1.0626632832273918E-3</c:v>
                </c:pt>
                <c:pt idx="981">
                  <c:v>-1.0558821092607128E-3</c:v>
                </c:pt>
                <c:pt idx="982">
                  <c:v>-1.0491009352940335E-3</c:v>
                </c:pt>
                <c:pt idx="983">
                  <c:v>-1.0423197613273546E-3</c:v>
                </c:pt>
                <c:pt idx="984">
                  <c:v>-1.0355385873606752E-3</c:v>
                </c:pt>
                <c:pt idx="985">
                  <c:v>-1.0287574133939965E-3</c:v>
                </c:pt>
                <c:pt idx="986">
                  <c:v>-1.0219762394273171E-3</c:v>
                </c:pt>
                <c:pt idx="987">
                  <c:v>-1.0151950654606382E-3</c:v>
                </c:pt>
                <c:pt idx="988">
                  <c:v>-1.0084138914939588E-3</c:v>
                </c:pt>
                <c:pt idx="989">
                  <c:v>-1.0016327175272799E-3</c:v>
                </c:pt>
                <c:pt idx="990">
                  <c:v>-9.9485154356060077E-4</c:v>
                </c:pt>
                <c:pt idx="991">
                  <c:v>-9.8807036959392162E-4</c:v>
                </c:pt>
                <c:pt idx="992">
                  <c:v>-9.8128919562724269E-4</c:v>
                </c:pt>
                <c:pt idx="993">
                  <c:v>-9.7450802166056344E-4</c:v>
                </c:pt>
                <c:pt idx="994">
                  <c:v>-9.6772684769388451E-4</c:v>
                </c:pt>
                <c:pt idx="995">
                  <c:v>-9.6094567372720526E-4</c:v>
                </c:pt>
                <c:pt idx="996">
                  <c:v>-9.5416449976052633E-4</c:v>
                </c:pt>
                <c:pt idx="997">
                  <c:v>-9.4738332579384708E-4</c:v>
                </c:pt>
                <c:pt idx="998">
                  <c:v>-9.4060215182716804E-4</c:v>
                </c:pt>
                <c:pt idx="999">
                  <c:v>-9.3382097786048879E-4</c:v>
                </c:pt>
                <c:pt idx="1000">
                  <c:v>-9.2703980389380986E-4</c:v>
                </c:pt>
                <c:pt idx="1001">
                  <c:v>-9.202586299271305E-4</c:v>
                </c:pt>
                <c:pt idx="1002">
                  <c:v>-9.1347745596045168E-4</c:v>
                </c:pt>
                <c:pt idx="1003">
                  <c:v>-9.0669628199377232E-4</c:v>
                </c:pt>
                <c:pt idx="1004">
                  <c:v>-8.9991510802709339E-4</c:v>
                </c:pt>
                <c:pt idx="1005">
                  <c:v>-8.9313393406041414E-4</c:v>
                </c:pt>
                <c:pt idx="1006">
                  <c:v>-8.8635276009373521E-4</c:v>
                </c:pt>
                <c:pt idx="1007">
                  <c:v>-8.7957158612705585E-4</c:v>
                </c:pt>
                <c:pt idx="1008">
                  <c:v>-8.7279041216037703E-4</c:v>
                </c:pt>
                <c:pt idx="1009">
                  <c:v>-8.6600923819369767E-4</c:v>
                </c:pt>
                <c:pt idx="1010">
                  <c:v>-8.5922806422701864E-4</c:v>
                </c:pt>
                <c:pt idx="1011">
                  <c:v>-8.5244689026033949E-4</c:v>
                </c:pt>
                <c:pt idx="1012">
                  <c:v>-8.4566571629366045E-4</c:v>
                </c:pt>
                <c:pt idx="1013">
                  <c:v>-8.388845423269812E-4</c:v>
                </c:pt>
                <c:pt idx="1014">
                  <c:v>-8.3210336836030227E-4</c:v>
                </c:pt>
                <c:pt idx="1015">
                  <c:v>-8.2532219439362324E-4</c:v>
                </c:pt>
                <c:pt idx="1016">
                  <c:v>-8.1854102042694409E-4</c:v>
                </c:pt>
                <c:pt idx="1017">
                  <c:v>-8.1175984646026495E-4</c:v>
                </c:pt>
                <c:pt idx="1018">
                  <c:v>-8.0497867249358581E-4</c:v>
                </c:pt>
                <c:pt idx="1019">
                  <c:v>-7.9819749852690677E-4</c:v>
                </c:pt>
                <c:pt idx="1020">
                  <c:v>-7.9141632456022762E-4</c:v>
                </c:pt>
                <c:pt idx="1021">
                  <c:v>-7.8463515059354848E-4</c:v>
                </c:pt>
                <c:pt idx="1022">
                  <c:v>-7.7785397662686944E-4</c:v>
                </c:pt>
                <c:pt idx="1023">
                  <c:v>-7.710728026601903E-4</c:v>
                </c:pt>
                <c:pt idx="1024">
                  <c:v>-7.6429162869351126E-4</c:v>
                </c:pt>
                <c:pt idx="1025">
                  <c:v>-7.5751045472683212E-4</c:v>
                </c:pt>
                <c:pt idx="1026">
                  <c:v>-7.5072928076015308E-4</c:v>
                </c:pt>
                <c:pt idx="1027">
                  <c:v>-7.4394810679347394E-4</c:v>
                </c:pt>
                <c:pt idx="1028">
                  <c:v>-7.371669328267949E-4</c:v>
                </c:pt>
                <c:pt idx="1029">
                  <c:v>-7.3038575886011576E-4</c:v>
                </c:pt>
                <c:pt idx="1030">
                  <c:v>-7.2360458489343651E-4</c:v>
                </c:pt>
                <c:pt idx="1031">
                  <c:v>-7.1682341092675747E-4</c:v>
                </c:pt>
                <c:pt idx="1032">
                  <c:v>-7.1004223696007833E-4</c:v>
                </c:pt>
                <c:pt idx="1033">
                  <c:v>-7.0326106299339864E-4</c:v>
                </c:pt>
                <c:pt idx="1034">
                  <c:v>-6.9647988902671939E-4</c:v>
                </c:pt>
                <c:pt idx="1035">
                  <c:v>-6.8969871506004046E-4</c:v>
                </c:pt>
                <c:pt idx="1036">
                  <c:v>-6.8291754109336131E-4</c:v>
                </c:pt>
                <c:pt idx="1037">
                  <c:v>-1.083213771248653E-3</c:v>
                </c:pt>
                <c:pt idx="1038">
                  <c:v>-1.0764325972819739E-3</c:v>
                </c:pt>
                <c:pt idx="1039">
                  <c:v>-1.0696514233152949E-3</c:v>
                </c:pt>
                <c:pt idx="1040">
                  <c:v>-1.0628702493486156E-3</c:v>
                </c:pt>
                <c:pt idx="1041">
                  <c:v>-1.0560890753819367E-3</c:v>
                </c:pt>
                <c:pt idx="1042">
                  <c:v>-1.0493079014152573E-3</c:v>
                </c:pt>
                <c:pt idx="1043">
                  <c:v>-1.0425267274485786E-3</c:v>
                </c:pt>
                <c:pt idx="1044">
                  <c:v>-1.0357455534818992E-3</c:v>
                </c:pt>
                <c:pt idx="1045">
                  <c:v>-1.0289643795152203E-3</c:v>
                </c:pt>
                <c:pt idx="1046">
                  <c:v>-1.0221832055485409E-3</c:v>
                </c:pt>
                <c:pt idx="1047">
                  <c:v>-1.0154020315818622E-3</c:v>
                </c:pt>
                <c:pt idx="1048">
                  <c:v>-1.0086208576151829E-3</c:v>
                </c:pt>
                <c:pt idx="1049">
                  <c:v>-1.0018396836485037E-3</c:v>
                </c:pt>
                <c:pt idx="1050">
                  <c:v>-9.9505850968182458E-4</c:v>
                </c:pt>
                <c:pt idx="1051">
                  <c:v>-9.8827733571514543E-4</c:v>
                </c:pt>
                <c:pt idx="1052">
                  <c:v>-9.8149616174846629E-4</c:v>
                </c:pt>
                <c:pt idx="1053">
                  <c:v>-9.7471498778178736E-4</c:v>
                </c:pt>
                <c:pt idx="1054">
                  <c:v>-9.67933813815108E-4</c:v>
                </c:pt>
                <c:pt idx="1055">
                  <c:v>-9.6115263984842918E-4</c:v>
                </c:pt>
                <c:pt idx="1056">
                  <c:v>-9.5437146588175025E-4</c:v>
                </c:pt>
                <c:pt idx="1057">
                  <c:v>-9.47590291915071E-4</c:v>
                </c:pt>
                <c:pt idx="1058">
                  <c:v>-9.4080911794839196E-4</c:v>
                </c:pt>
                <c:pt idx="1059">
                  <c:v>-9.3402794398171271E-4</c:v>
                </c:pt>
                <c:pt idx="1060">
                  <c:v>-9.2724677001503378E-4</c:v>
                </c:pt>
                <c:pt idx="1061">
                  <c:v>-9.2046559604835442E-4</c:v>
                </c:pt>
                <c:pt idx="1062">
                  <c:v>-9.136844220816756E-4</c:v>
                </c:pt>
                <c:pt idx="1063">
                  <c:v>-9.0690324811499624E-4</c:v>
                </c:pt>
                <c:pt idx="1064">
                  <c:v>-9.0012207414831731E-4</c:v>
                </c:pt>
                <c:pt idx="1065">
                  <c:v>-8.9334090018163806E-4</c:v>
                </c:pt>
                <c:pt idx="1066">
                  <c:v>-8.8655972621495913E-4</c:v>
                </c:pt>
                <c:pt idx="1067">
                  <c:v>-8.7977855224827977E-4</c:v>
                </c:pt>
                <c:pt idx="1068">
                  <c:v>-8.7299737828160095E-4</c:v>
                </c:pt>
                <c:pt idx="1069">
                  <c:v>-8.6621620431492159E-4</c:v>
                </c:pt>
                <c:pt idx="1070">
                  <c:v>-8.5943503034824256E-4</c:v>
                </c:pt>
                <c:pt idx="1071">
                  <c:v>-8.5265385638156341E-4</c:v>
                </c:pt>
                <c:pt idx="1072">
                  <c:v>-8.4587268241488437E-4</c:v>
                </c:pt>
                <c:pt idx="1073">
                  <c:v>-8.3909150844820512E-4</c:v>
                </c:pt>
                <c:pt idx="1074">
                  <c:v>-8.3231033448152619E-4</c:v>
                </c:pt>
                <c:pt idx="1075">
                  <c:v>-8.2552916051484716E-4</c:v>
                </c:pt>
                <c:pt idx="1076">
                  <c:v>-8.1874798654816801E-4</c:v>
                </c:pt>
                <c:pt idx="1077">
                  <c:v>-8.1196681258148887E-4</c:v>
                </c:pt>
                <c:pt idx="1078">
                  <c:v>-8.0518563861480973E-4</c:v>
                </c:pt>
                <c:pt idx="1079">
                  <c:v>-7.9840446464813058E-4</c:v>
                </c:pt>
                <c:pt idx="1080">
                  <c:v>-7.9162329068145154E-4</c:v>
                </c:pt>
                <c:pt idx="1081">
                  <c:v>-7.848421167147724E-4</c:v>
                </c:pt>
                <c:pt idx="1082">
                  <c:v>-7.7806094274809336E-4</c:v>
                </c:pt>
                <c:pt idx="1083">
                  <c:v>-7.7127976878141422E-4</c:v>
                </c:pt>
                <c:pt idx="1084">
                  <c:v>-7.6449859481473508E-4</c:v>
                </c:pt>
                <c:pt idx="1085">
                  <c:v>-7.5771742084805604E-4</c:v>
                </c:pt>
                <c:pt idx="1086">
                  <c:v>-7.50936246881377E-4</c:v>
                </c:pt>
                <c:pt idx="1087">
                  <c:v>-7.4415507291469786E-4</c:v>
                </c:pt>
                <c:pt idx="1088">
                  <c:v>-7.3737389894801882E-4</c:v>
                </c:pt>
                <c:pt idx="1089">
                  <c:v>-7.3059272498133968E-4</c:v>
                </c:pt>
                <c:pt idx="1090">
                  <c:v>-7.2381155101466043E-4</c:v>
                </c:pt>
                <c:pt idx="1091">
                  <c:v>-7.1703037704798139E-4</c:v>
                </c:pt>
                <c:pt idx="1092">
                  <c:v>-7.1024920308130225E-4</c:v>
                </c:pt>
                <c:pt idx="1093">
                  <c:v>-7.0346802911462321E-4</c:v>
                </c:pt>
                <c:pt idx="1094">
                  <c:v>-6.9668685514794331E-4</c:v>
                </c:pt>
                <c:pt idx="1095">
                  <c:v>-6.8990568118126427E-4</c:v>
                </c:pt>
                <c:pt idx="1096">
                  <c:v>-6.8312450721458523E-4</c:v>
                </c:pt>
                <c:pt idx="1097">
                  <c:v>-6.763433332479062E-4</c:v>
                </c:pt>
                <c:pt idx="1098">
                  <c:v>-1.0766395634031977E-3</c:v>
                </c:pt>
                <c:pt idx="1099">
                  <c:v>-1.0698583894365188E-3</c:v>
                </c:pt>
                <c:pt idx="1100">
                  <c:v>-1.0630772154698394E-3</c:v>
                </c:pt>
                <c:pt idx="1101">
                  <c:v>-1.0562960415031607E-3</c:v>
                </c:pt>
                <c:pt idx="1102">
                  <c:v>-1.0495148675364813E-3</c:v>
                </c:pt>
                <c:pt idx="1103">
                  <c:v>-1.0427336935698024E-3</c:v>
                </c:pt>
                <c:pt idx="1104">
                  <c:v>-1.035952519603123E-3</c:v>
                </c:pt>
                <c:pt idx="1105">
                  <c:v>-1.0291713456364443E-3</c:v>
                </c:pt>
                <c:pt idx="1106">
                  <c:v>-1.022390171669765E-3</c:v>
                </c:pt>
                <c:pt idx="1107">
                  <c:v>-1.015608997703086E-3</c:v>
                </c:pt>
                <c:pt idx="1108">
                  <c:v>-1.0088278237364067E-3</c:v>
                </c:pt>
                <c:pt idx="1109">
                  <c:v>-1.0020466497697275E-3</c:v>
                </c:pt>
                <c:pt idx="1110">
                  <c:v>-9.9526547580304861E-4</c:v>
                </c:pt>
                <c:pt idx="1111">
                  <c:v>-9.8848430183636946E-4</c:v>
                </c:pt>
                <c:pt idx="1112">
                  <c:v>-9.817031278696901E-4</c:v>
                </c:pt>
                <c:pt idx="1113">
                  <c:v>-9.7492195390301128E-4</c:v>
                </c:pt>
                <c:pt idx="1114">
                  <c:v>-9.6814077993633235E-4</c:v>
                </c:pt>
                <c:pt idx="1115">
                  <c:v>-9.613596059696531E-4</c:v>
                </c:pt>
                <c:pt idx="1116">
                  <c:v>-9.5457843200297417E-4</c:v>
                </c:pt>
                <c:pt idx="1117">
                  <c:v>-9.4779725803629492E-4</c:v>
                </c:pt>
                <c:pt idx="1118">
                  <c:v>-9.4101608406961588E-4</c:v>
                </c:pt>
                <c:pt idx="1119">
                  <c:v>-9.3423491010293652E-4</c:v>
                </c:pt>
                <c:pt idx="1120">
                  <c:v>-9.274537361362577E-4</c:v>
                </c:pt>
                <c:pt idx="1121">
                  <c:v>-9.2067256216957834E-4</c:v>
                </c:pt>
                <c:pt idx="1122">
                  <c:v>-9.1389138820289952E-4</c:v>
                </c:pt>
                <c:pt idx="1123">
                  <c:v>-9.0711021423622016E-4</c:v>
                </c:pt>
                <c:pt idx="1124">
                  <c:v>-9.0032904026954123E-4</c:v>
                </c:pt>
                <c:pt idx="1125">
                  <c:v>-8.9354786630286198E-4</c:v>
                </c:pt>
                <c:pt idx="1126">
                  <c:v>-8.8676669233618305E-4</c:v>
                </c:pt>
                <c:pt idx="1127">
                  <c:v>-8.7998551836950369E-4</c:v>
                </c:pt>
                <c:pt idx="1128">
                  <c:v>-8.7320434440282476E-4</c:v>
                </c:pt>
                <c:pt idx="1129">
                  <c:v>-8.6642317043614551E-4</c:v>
                </c:pt>
                <c:pt idx="1130">
                  <c:v>-8.5964199646946648E-4</c:v>
                </c:pt>
                <c:pt idx="1131">
                  <c:v>-8.5286082250278733E-4</c:v>
                </c:pt>
                <c:pt idx="1132">
                  <c:v>-8.460796485361083E-4</c:v>
                </c:pt>
                <c:pt idx="1133">
                  <c:v>-8.3929847456942904E-4</c:v>
                </c:pt>
                <c:pt idx="1134">
                  <c:v>-8.3251730060275011E-4</c:v>
                </c:pt>
                <c:pt idx="1135">
                  <c:v>-8.2573612663607086E-4</c:v>
                </c:pt>
                <c:pt idx="1136">
                  <c:v>-8.1895495266939193E-4</c:v>
                </c:pt>
                <c:pt idx="1137">
                  <c:v>-8.1217377870271279E-4</c:v>
                </c:pt>
                <c:pt idx="1138">
                  <c:v>-8.0539260473603365E-4</c:v>
                </c:pt>
                <c:pt idx="1139">
                  <c:v>-7.986114307693545E-4</c:v>
                </c:pt>
                <c:pt idx="1140">
                  <c:v>-7.9183025680267546E-4</c:v>
                </c:pt>
                <c:pt idx="1141">
                  <c:v>-7.8504908283599632E-4</c:v>
                </c:pt>
                <c:pt idx="1142">
                  <c:v>-7.7826790886931728E-4</c:v>
                </c:pt>
                <c:pt idx="1143">
                  <c:v>-7.7148673490263814E-4</c:v>
                </c:pt>
                <c:pt idx="1144">
                  <c:v>-7.64705560935959E-4</c:v>
                </c:pt>
                <c:pt idx="1145">
                  <c:v>-7.5792438696927985E-4</c:v>
                </c:pt>
                <c:pt idx="1146">
                  <c:v>-7.5114321300260092E-4</c:v>
                </c:pt>
                <c:pt idx="1147">
                  <c:v>-7.4436203903592178E-4</c:v>
                </c:pt>
                <c:pt idx="1148">
                  <c:v>-7.3758086506924263E-4</c:v>
                </c:pt>
                <c:pt idx="1149">
                  <c:v>-7.307996911025636E-4</c:v>
                </c:pt>
                <c:pt idx="1150">
                  <c:v>-7.2401851713588435E-4</c:v>
                </c:pt>
                <c:pt idx="1151">
                  <c:v>-7.1723734316920531E-4</c:v>
                </c:pt>
                <c:pt idx="1152">
                  <c:v>-7.1045616920252617E-4</c:v>
                </c:pt>
                <c:pt idx="1153">
                  <c:v>-7.0367499523584713E-4</c:v>
                </c:pt>
                <c:pt idx="1154">
                  <c:v>-6.9689382126916798E-4</c:v>
                </c:pt>
                <c:pt idx="1155">
                  <c:v>-6.9011264730248819E-4</c:v>
                </c:pt>
                <c:pt idx="1156">
                  <c:v>-6.8333147333580905E-4</c:v>
                </c:pt>
                <c:pt idx="1157">
                  <c:v>-6.7655029936913012E-4</c:v>
                </c:pt>
                <c:pt idx="1158">
                  <c:v>-6.6976912540245097E-4</c:v>
                </c:pt>
                <c:pt idx="1159">
                  <c:v>-1.0700653555577428E-3</c:v>
                </c:pt>
                <c:pt idx="1160">
                  <c:v>-1.0632841815910636E-3</c:v>
                </c:pt>
                <c:pt idx="1161">
                  <c:v>-1.0565030076243845E-3</c:v>
                </c:pt>
                <c:pt idx="1162">
                  <c:v>-1.0497218336577054E-3</c:v>
                </c:pt>
                <c:pt idx="1163">
                  <c:v>-1.0429406596910264E-3</c:v>
                </c:pt>
                <c:pt idx="1164">
                  <c:v>-1.0361594857243473E-3</c:v>
                </c:pt>
                <c:pt idx="1165">
                  <c:v>-1.0293783117576681E-3</c:v>
                </c:pt>
                <c:pt idx="1166">
                  <c:v>-1.022597137790989E-3</c:v>
                </c:pt>
                <c:pt idx="1167">
                  <c:v>-1.0158159638243101E-3</c:v>
                </c:pt>
                <c:pt idx="1168">
                  <c:v>-1.0090347898576309E-3</c:v>
                </c:pt>
                <c:pt idx="1169">
                  <c:v>-1.0022536158909516E-3</c:v>
                </c:pt>
                <c:pt idx="1170">
                  <c:v>-9.9547244192427242E-4</c:v>
                </c:pt>
                <c:pt idx="1171">
                  <c:v>-9.8869126795759327E-4</c:v>
                </c:pt>
                <c:pt idx="1172">
                  <c:v>-9.8191009399091434E-4</c:v>
                </c:pt>
                <c:pt idx="1173">
                  <c:v>-9.751289200242352E-4</c:v>
                </c:pt>
                <c:pt idx="1174">
                  <c:v>-9.6834774605755606E-4</c:v>
                </c:pt>
                <c:pt idx="1175">
                  <c:v>-9.6156657209087724E-4</c:v>
                </c:pt>
                <c:pt idx="1176">
                  <c:v>-9.5478539812419788E-4</c:v>
                </c:pt>
                <c:pt idx="1177">
                  <c:v>-9.4800422415751895E-4</c:v>
                </c:pt>
                <c:pt idx="1178">
                  <c:v>-9.412230501908398E-4</c:v>
                </c:pt>
                <c:pt idx="1179">
                  <c:v>-9.3444187622416066E-4</c:v>
                </c:pt>
                <c:pt idx="1180">
                  <c:v>-9.2766070225748162E-4</c:v>
                </c:pt>
                <c:pt idx="1181">
                  <c:v>-9.2087952829080248E-4</c:v>
                </c:pt>
                <c:pt idx="1182">
                  <c:v>-9.1409835432412344E-4</c:v>
                </c:pt>
                <c:pt idx="1183">
                  <c:v>-9.0731718035744419E-4</c:v>
                </c:pt>
                <c:pt idx="1184">
                  <c:v>-9.0053600639076515E-4</c:v>
                </c:pt>
                <c:pt idx="1185">
                  <c:v>-8.9375483242408601E-4</c:v>
                </c:pt>
                <c:pt idx="1186">
                  <c:v>-8.8697365845740697E-4</c:v>
                </c:pt>
                <c:pt idx="1187">
                  <c:v>-8.8019248449072783E-4</c:v>
                </c:pt>
                <c:pt idx="1188">
                  <c:v>-8.7341131052404868E-4</c:v>
                </c:pt>
                <c:pt idx="1189">
                  <c:v>-8.6663013655736965E-4</c:v>
                </c:pt>
                <c:pt idx="1190">
                  <c:v>-8.598489625906904E-4</c:v>
                </c:pt>
                <c:pt idx="1191">
                  <c:v>-8.5306778862401136E-4</c:v>
                </c:pt>
                <c:pt idx="1192">
                  <c:v>-8.4628661465733222E-4</c:v>
                </c:pt>
                <c:pt idx="1193">
                  <c:v>-8.3950544069065318E-4</c:v>
                </c:pt>
                <c:pt idx="1194">
                  <c:v>-8.3272426672397403E-4</c:v>
                </c:pt>
                <c:pt idx="1195">
                  <c:v>-8.25943092757295E-4</c:v>
                </c:pt>
                <c:pt idx="1196">
                  <c:v>-8.1916191879061585E-4</c:v>
                </c:pt>
                <c:pt idx="1197">
                  <c:v>-8.123807448239366E-4</c:v>
                </c:pt>
                <c:pt idx="1198">
                  <c:v>-8.0559957085725757E-4</c:v>
                </c:pt>
                <c:pt idx="1199">
                  <c:v>-7.9881839689057842E-4</c:v>
                </c:pt>
                <c:pt idx="1200">
                  <c:v>-7.9203722292389938E-4</c:v>
                </c:pt>
                <c:pt idx="1201">
                  <c:v>-7.8525604895722024E-4</c:v>
                </c:pt>
                <c:pt idx="1202">
                  <c:v>-7.784748749905412E-4</c:v>
                </c:pt>
                <c:pt idx="1203">
                  <c:v>-7.7169370102386206E-4</c:v>
                </c:pt>
                <c:pt idx="1204">
                  <c:v>-7.6491252705718292E-4</c:v>
                </c:pt>
                <c:pt idx="1205">
                  <c:v>-7.5813135309050377E-4</c:v>
                </c:pt>
                <c:pt idx="1206">
                  <c:v>-7.5135017912382474E-4</c:v>
                </c:pt>
                <c:pt idx="1207">
                  <c:v>-7.445690051571457E-4</c:v>
                </c:pt>
                <c:pt idx="1208">
                  <c:v>-7.3778783119046655E-4</c:v>
                </c:pt>
                <c:pt idx="1209">
                  <c:v>-7.3100665722378752E-4</c:v>
                </c:pt>
                <c:pt idx="1210">
                  <c:v>-7.2422548325710827E-4</c:v>
                </c:pt>
                <c:pt idx="1211">
                  <c:v>-7.1744430929042923E-4</c:v>
                </c:pt>
                <c:pt idx="1212">
                  <c:v>-7.1066313532375009E-4</c:v>
                </c:pt>
                <c:pt idx="1213">
                  <c:v>-7.0388196135707105E-4</c:v>
                </c:pt>
                <c:pt idx="1214">
                  <c:v>-6.971007873903919E-4</c:v>
                </c:pt>
                <c:pt idx="1215">
                  <c:v>-6.9031961342371287E-4</c:v>
                </c:pt>
                <c:pt idx="1216">
                  <c:v>-6.8353843945703297E-4</c:v>
                </c:pt>
                <c:pt idx="1217">
                  <c:v>-6.7675726549035393E-4</c:v>
                </c:pt>
                <c:pt idx="1218">
                  <c:v>-6.6997609152367489E-4</c:v>
                </c:pt>
                <c:pt idx="1219">
                  <c:v>-6.6319491755699575E-4</c:v>
                </c:pt>
                <c:pt idx="1220">
                  <c:v>-1.0634911477122875E-3</c:v>
                </c:pt>
                <c:pt idx="1221">
                  <c:v>-1.0567099737456085E-3</c:v>
                </c:pt>
                <c:pt idx="1222">
                  <c:v>-1.0499287997789294E-3</c:v>
                </c:pt>
                <c:pt idx="1223">
                  <c:v>-1.0431476258122502E-3</c:v>
                </c:pt>
                <c:pt idx="1224">
                  <c:v>-1.0363664518455711E-3</c:v>
                </c:pt>
                <c:pt idx="1225">
                  <c:v>-1.0295852778788922E-3</c:v>
                </c:pt>
                <c:pt idx="1226">
                  <c:v>-1.022804103912213E-3</c:v>
                </c:pt>
                <c:pt idx="1227">
                  <c:v>-1.0160229299455339E-3</c:v>
                </c:pt>
                <c:pt idx="1228">
                  <c:v>-1.0092417559788547E-3</c:v>
                </c:pt>
                <c:pt idx="1229">
                  <c:v>-1.0024605820121754E-3</c:v>
                </c:pt>
                <c:pt idx="1230">
                  <c:v>-9.9567940804549645E-4</c:v>
                </c:pt>
                <c:pt idx="1231">
                  <c:v>-9.888982340788173E-4</c:v>
                </c:pt>
                <c:pt idx="1232">
                  <c:v>-9.8211706011213816E-4</c:v>
                </c:pt>
                <c:pt idx="1233">
                  <c:v>-9.7533588614545912E-4</c:v>
                </c:pt>
                <c:pt idx="1234">
                  <c:v>-9.6855471217877998E-4</c:v>
                </c:pt>
                <c:pt idx="1235">
                  <c:v>-9.6177353821210094E-4</c:v>
                </c:pt>
                <c:pt idx="1236">
                  <c:v>-9.5499236424542201E-4</c:v>
                </c:pt>
                <c:pt idx="1237">
                  <c:v>-9.4821119027874265E-4</c:v>
                </c:pt>
                <c:pt idx="1238">
                  <c:v>-9.4143001631206372E-4</c:v>
                </c:pt>
                <c:pt idx="1239">
                  <c:v>-9.3464884234538458E-4</c:v>
                </c:pt>
                <c:pt idx="1240">
                  <c:v>-9.2786766837870554E-4</c:v>
                </c:pt>
                <c:pt idx="1241">
                  <c:v>-9.210864944120264E-4</c:v>
                </c:pt>
                <c:pt idx="1242">
                  <c:v>-9.1430532044534736E-4</c:v>
                </c:pt>
                <c:pt idx="1243">
                  <c:v>-9.0752414647866811E-4</c:v>
                </c:pt>
                <c:pt idx="1244">
                  <c:v>-9.0074297251198907E-4</c:v>
                </c:pt>
                <c:pt idx="1245">
                  <c:v>-8.9396179854530993E-4</c:v>
                </c:pt>
                <c:pt idx="1246">
                  <c:v>-8.8718062457863078E-4</c:v>
                </c:pt>
                <c:pt idx="1247">
                  <c:v>-8.8039945061195175E-4</c:v>
                </c:pt>
                <c:pt idx="1248">
                  <c:v>-8.736182766452726E-4</c:v>
                </c:pt>
                <c:pt idx="1249">
                  <c:v>-8.6683710267859357E-4</c:v>
                </c:pt>
                <c:pt idx="1250">
                  <c:v>-8.6005592871191432E-4</c:v>
                </c:pt>
                <c:pt idx="1251">
                  <c:v>-8.5327475474523528E-4</c:v>
                </c:pt>
                <c:pt idx="1252">
                  <c:v>-8.4649358077855614E-4</c:v>
                </c:pt>
                <c:pt idx="1253">
                  <c:v>-8.397124068118771E-4</c:v>
                </c:pt>
                <c:pt idx="1254">
                  <c:v>-8.3293123284519795E-4</c:v>
                </c:pt>
                <c:pt idx="1255">
                  <c:v>-8.2615005887851881E-4</c:v>
                </c:pt>
                <c:pt idx="1256">
                  <c:v>-8.1936888491183977E-4</c:v>
                </c:pt>
                <c:pt idx="1257">
                  <c:v>-8.1258771094516052E-4</c:v>
                </c:pt>
                <c:pt idx="1258">
                  <c:v>-8.0580653697848149E-4</c:v>
                </c:pt>
                <c:pt idx="1259">
                  <c:v>-7.9902536301180234E-4</c:v>
                </c:pt>
                <c:pt idx="1260">
                  <c:v>-7.922441890451233E-4</c:v>
                </c:pt>
                <c:pt idx="1261">
                  <c:v>-7.8546301507844416E-4</c:v>
                </c:pt>
                <c:pt idx="1262">
                  <c:v>-7.7868184111176512E-4</c:v>
                </c:pt>
                <c:pt idx="1263">
                  <c:v>-7.7190066714508598E-4</c:v>
                </c:pt>
                <c:pt idx="1264">
                  <c:v>-7.6511949317840684E-4</c:v>
                </c:pt>
                <c:pt idx="1265">
                  <c:v>-7.5833831921172769E-4</c:v>
                </c:pt>
                <c:pt idx="1266">
                  <c:v>-7.5155714524504855E-4</c:v>
                </c:pt>
                <c:pt idx="1267">
                  <c:v>-7.4477597127836951E-4</c:v>
                </c:pt>
                <c:pt idx="1268">
                  <c:v>-7.3799479731169047E-4</c:v>
                </c:pt>
                <c:pt idx="1269">
                  <c:v>-7.3121362334501144E-4</c:v>
                </c:pt>
                <c:pt idx="1270">
                  <c:v>-7.2443244937833219E-4</c:v>
                </c:pt>
                <c:pt idx="1271">
                  <c:v>-7.1765127541165315E-4</c:v>
                </c:pt>
                <c:pt idx="1272">
                  <c:v>-7.1087010144497401E-4</c:v>
                </c:pt>
                <c:pt idx="1273">
                  <c:v>-7.0408892747829497E-4</c:v>
                </c:pt>
                <c:pt idx="1274">
                  <c:v>-6.9730775351161583E-4</c:v>
                </c:pt>
                <c:pt idx="1275">
                  <c:v>-6.9052657954493668E-4</c:v>
                </c:pt>
                <c:pt idx="1276">
                  <c:v>-6.8374540557825754E-4</c:v>
                </c:pt>
                <c:pt idx="1277">
                  <c:v>-6.7696423161157774E-4</c:v>
                </c:pt>
                <c:pt idx="1278">
                  <c:v>-6.7018305764489871E-4</c:v>
                </c:pt>
                <c:pt idx="1279">
                  <c:v>-6.6340188367821967E-4</c:v>
                </c:pt>
                <c:pt idx="1280">
                  <c:v>-6.5662070971154052E-4</c:v>
                </c:pt>
                <c:pt idx="1281">
                  <c:v>-1.0569169398668323E-3</c:v>
                </c:pt>
                <c:pt idx="1282">
                  <c:v>-1.0501357659001532E-3</c:v>
                </c:pt>
                <c:pt idx="1283">
                  <c:v>-1.0433545919334743E-3</c:v>
                </c:pt>
                <c:pt idx="1284">
                  <c:v>-1.0365734179667951E-3</c:v>
                </c:pt>
                <c:pt idx="1285">
                  <c:v>-1.029792244000116E-3</c:v>
                </c:pt>
                <c:pt idx="1286">
                  <c:v>-1.0230110700334368E-3</c:v>
                </c:pt>
                <c:pt idx="1287">
                  <c:v>-1.0162298960667577E-3</c:v>
                </c:pt>
                <c:pt idx="1288">
                  <c:v>-1.0094487221000788E-3</c:v>
                </c:pt>
                <c:pt idx="1289">
                  <c:v>-1.0026675481333994E-3</c:v>
                </c:pt>
                <c:pt idx="1290">
                  <c:v>-9.9588637416672026E-4</c:v>
                </c:pt>
                <c:pt idx="1291">
                  <c:v>-9.8910520020004111E-4</c:v>
                </c:pt>
                <c:pt idx="1292">
                  <c:v>-9.8232402623336218E-4</c:v>
                </c:pt>
                <c:pt idx="1293">
                  <c:v>-9.7554285226668304E-4</c:v>
                </c:pt>
                <c:pt idx="1294">
                  <c:v>-9.687616783000039E-4</c:v>
                </c:pt>
                <c:pt idx="1295">
                  <c:v>-9.6198050433332475E-4</c:v>
                </c:pt>
                <c:pt idx="1296">
                  <c:v>-9.5519933036664572E-4</c:v>
                </c:pt>
                <c:pt idx="1297">
                  <c:v>-9.4841815639996679E-4</c:v>
                </c:pt>
                <c:pt idx="1298">
                  <c:v>-9.4163698243328754E-4</c:v>
                </c:pt>
                <c:pt idx="1299">
                  <c:v>-9.348558084666085E-4</c:v>
                </c:pt>
                <c:pt idx="1300">
                  <c:v>-9.2807463449992946E-4</c:v>
                </c:pt>
                <c:pt idx="1301">
                  <c:v>-9.2129346053325032E-4</c:v>
                </c:pt>
                <c:pt idx="1302">
                  <c:v>-9.1451228656657128E-4</c:v>
                </c:pt>
                <c:pt idx="1303">
                  <c:v>-9.0773111259989203E-4</c:v>
                </c:pt>
                <c:pt idx="1304">
                  <c:v>-9.0094993863321289E-4</c:v>
                </c:pt>
                <c:pt idx="1305">
                  <c:v>-8.9416876466653385E-4</c:v>
                </c:pt>
                <c:pt idx="1306">
                  <c:v>-8.873875906998547E-4</c:v>
                </c:pt>
                <c:pt idx="1307">
                  <c:v>-8.8060641673317567E-4</c:v>
                </c:pt>
                <c:pt idx="1308">
                  <c:v>-8.7382524276649652E-4</c:v>
                </c:pt>
                <c:pt idx="1309">
                  <c:v>-8.6704406879981749E-4</c:v>
                </c:pt>
                <c:pt idx="1310">
                  <c:v>-8.6026289483313824E-4</c:v>
                </c:pt>
                <c:pt idx="1311">
                  <c:v>-8.534817208664592E-4</c:v>
                </c:pt>
                <c:pt idx="1312">
                  <c:v>-8.4670054689978006E-4</c:v>
                </c:pt>
                <c:pt idx="1313">
                  <c:v>-8.3991937293310102E-4</c:v>
                </c:pt>
                <c:pt idx="1314">
                  <c:v>-8.3313819896642187E-4</c:v>
                </c:pt>
                <c:pt idx="1315">
                  <c:v>-8.2635702499974273E-4</c:v>
                </c:pt>
                <c:pt idx="1316">
                  <c:v>-8.1957585103306369E-4</c:v>
                </c:pt>
                <c:pt idx="1317">
                  <c:v>-8.1279467706638444E-4</c:v>
                </c:pt>
                <c:pt idx="1318">
                  <c:v>-8.0601350309970541E-4</c:v>
                </c:pt>
                <c:pt idx="1319">
                  <c:v>-7.9923232913302626E-4</c:v>
                </c:pt>
                <c:pt idx="1320">
                  <c:v>-7.9245115516634723E-4</c:v>
                </c:pt>
                <c:pt idx="1321">
                  <c:v>-7.8566998119966808E-4</c:v>
                </c:pt>
                <c:pt idx="1322">
                  <c:v>-7.7888880723298904E-4</c:v>
                </c:pt>
                <c:pt idx="1323">
                  <c:v>-7.721076332663099E-4</c:v>
                </c:pt>
                <c:pt idx="1324">
                  <c:v>-7.6532645929963065E-4</c:v>
                </c:pt>
                <c:pt idx="1325">
                  <c:v>-7.5854528533295161E-4</c:v>
                </c:pt>
                <c:pt idx="1326">
                  <c:v>-7.5176411136627247E-4</c:v>
                </c:pt>
                <c:pt idx="1327">
                  <c:v>-7.4498293739959343E-4</c:v>
                </c:pt>
                <c:pt idx="1328">
                  <c:v>-7.3820176343291429E-4</c:v>
                </c:pt>
                <c:pt idx="1329">
                  <c:v>-7.3142058946623536E-4</c:v>
                </c:pt>
                <c:pt idx="1330">
                  <c:v>-7.2463941549955611E-4</c:v>
                </c:pt>
                <c:pt idx="1331">
                  <c:v>-7.1785824153287707E-4</c:v>
                </c:pt>
                <c:pt idx="1332">
                  <c:v>-7.1107706756619793E-4</c:v>
                </c:pt>
                <c:pt idx="1333">
                  <c:v>-7.0429589359951878E-4</c:v>
                </c:pt>
                <c:pt idx="1334">
                  <c:v>-6.9751471963283975E-4</c:v>
                </c:pt>
                <c:pt idx="1335">
                  <c:v>-6.907335456661606E-4</c:v>
                </c:pt>
                <c:pt idx="1336">
                  <c:v>-6.8395237169948146E-4</c:v>
                </c:pt>
                <c:pt idx="1337">
                  <c:v>-6.7717119773280231E-4</c:v>
                </c:pt>
                <c:pt idx="1338">
                  <c:v>-6.7039002376612263E-4</c:v>
                </c:pt>
                <c:pt idx="1339">
                  <c:v>-6.6360884979944348E-4</c:v>
                </c:pt>
                <c:pt idx="1340">
                  <c:v>-6.5682767583276444E-4</c:v>
                </c:pt>
                <c:pt idx="1341">
                  <c:v>-6.500465018660853E-4</c:v>
                </c:pt>
                <c:pt idx="1342">
                  <c:v>-1.0503427320213772E-3</c:v>
                </c:pt>
                <c:pt idx="1343">
                  <c:v>-1.0435615580546981E-3</c:v>
                </c:pt>
                <c:pt idx="1344">
                  <c:v>-1.0367803840880189E-3</c:v>
                </c:pt>
                <c:pt idx="1345">
                  <c:v>-1.0299992101213398E-3</c:v>
                </c:pt>
                <c:pt idx="1346">
                  <c:v>-1.0232180361546609E-3</c:v>
                </c:pt>
                <c:pt idx="1347">
                  <c:v>-1.0164368621879817E-3</c:v>
                </c:pt>
                <c:pt idx="1348">
                  <c:v>-1.0096556882213026E-3</c:v>
                </c:pt>
                <c:pt idx="1349">
                  <c:v>-1.0028745142546232E-3</c:v>
                </c:pt>
                <c:pt idx="1350">
                  <c:v>-9.9609334028794429E-4</c:v>
                </c:pt>
                <c:pt idx="1351">
                  <c:v>-9.8931216632126514E-4</c:v>
                </c:pt>
                <c:pt idx="1352">
                  <c:v>-9.82530992354586E-4</c:v>
                </c:pt>
                <c:pt idx="1353">
                  <c:v>-9.7574981838790685E-4</c:v>
                </c:pt>
                <c:pt idx="1354">
                  <c:v>-9.6896864442122782E-4</c:v>
                </c:pt>
                <c:pt idx="1355">
                  <c:v>-9.6218747045454867E-4</c:v>
                </c:pt>
                <c:pt idx="1356">
                  <c:v>-9.5540629648786964E-4</c:v>
                </c:pt>
                <c:pt idx="1357">
                  <c:v>-9.4862512252119049E-4</c:v>
                </c:pt>
                <c:pt idx="1358">
                  <c:v>-9.4184394855451156E-4</c:v>
                </c:pt>
                <c:pt idx="1359">
                  <c:v>-9.350627745878322E-4</c:v>
                </c:pt>
                <c:pt idx="1360">
                  <c:v>-9.2828160062115338E-4</c:v>
                </c:pt>
                <c:pt idx="1361">
                  <c:v>-9.2150042665447424E-4</c:v>
                </c:pt>
                <c:pt idx="1362">
                  <c:v>-9.147192526877952E-4</c:v>
                </c:pt>
                <c:pt idx="1363">
                  <c:v>-9.0793807872111595E-4</c:v>
                </c:pt>
                <c:pt idx="1364">
                  <c:v>-9.0115690475443681E-4</c:v>
                </c:pt>
                <c:pt idx="1365">
                  <c:v>-8.9437573078775777E-4</c:v>
                </c:pt>
                <c:pt idx="1366">
                  <c:v>-8.8759455682107863E-4</c:v>
                </c:pt>
                <c:pt idx="1367">
                  <c:v>-8.8081338285439959E-4</c:v>
                </c:pt>
                <c:pt idx="1368">
                  <c:v>-8.7403220888772044E-4</c:v>
                </c:pt>
                <c:pt idx="1369">
                  <c:v>-8.6725103492104141E-4</c:v>
                </c:pt>
                <c:pt idx="1370">
                  <c:v>-8.6046986095436216E-4</c:v>
                </c:pt>
                <c:pt idx="1371">
                  <c:v>-8.5368868698768312E-4</c:v>
                </c:pt>
                <c:pt idx="1372">
                  <c:v>-8.4690751302100398E-4</c:v>
                </c:pt>
                <c:pt idx="1373">
                  <c:v>-8.4012633905432483E-4</c:v>
                </c:pt>
                <c:pt idx="1374">
                  <c:v>-8.3334516508764579E-4</c:v>
                </c:pt>
                <c:pt idx="1375">
                  <c:v>-8.2656399112096665E-4</c:v>
                </c:pt>
                <c:pt idx="1376">
                  <c:v>-8.1978281715428761E-4</c:v>
                </c:pt>
                <c:pt idx="1377">
                  <c:v>-8.1300164318760836E-4</c:v>
                </c:pt>
                <c:pt idx="1378">
                  <c:v>-8.0622046922092933E-4</c:v>
                </c:pt>
                <c:pt idx="1379">
                  <c:v>-7.9943929525425018E-4</c:v>
                </c:pt>
                <c:pt idx="1380">
                  <c:v>-7.9265812128757115E-4</c:v>
                </c:pt>
                <c:pt idx="1381">
                  <c:v>-7.85876947320892E-4</c:v>
                </c:pt>
                <c:pt idx="1382">
                  <c:v>-7.7909577335421286E-4</c:v>
                </c:pt>
                <c:pt idx="1383">
                  <c:v>-7.7231459938753382E-4</c:v>
                </c:pt>
                <c:pt idx="1384">
                  <c:v>-7.6553342542085457E-4</c:v>
                </c:pt>
                <c:pt idx="1385">
                  <c:v>-7.5875225145417553E-4</c:v>
                </c:pt>
                <c:pt idx="1386">
                  <c:v>-7.5197107748749639E-4</c:v>
                </c:pt>
                <c:pt idx="1387">
                  <c:v>-7.4518990352081735E-4</c:v>
                </c:pt>
                <c:pt idx="1388">
                  <c:v>-7.3840872955413821E-4</c:v>
                </c:pt>
                <c:pt idx="1389">
                  <c:v>-7.3162755558745917E-4</c:v>
                </c:pt>
                <c:pt idx="1390">
                  <c:v>-7.2484638162078003E-4</c:v>
                </c:pt>
                <c:pt idx="1391">
                  <c:v>-7.1806520765410099E-4</c:v>
                </c:pt>
                <c:pt idx="1392">
                  <c:v>-7.1128403368742185E-4</c:v>
                </c:pt>
                <c:pt idx="1393">
                  <c:v>-7.045028597207427E-4</c:v>
                </c:pt>
                <c:pt idx="1394">
                  <c:v>-6.9772168575406367E-4</c:v>
                </c:pt>
                <c:pt idx="1395">
                  <c:v>-6.9094051178738452E-4</c:v>
                </c:pt>
                <c:pt idx="1396">
                  <c:v>-6.8415933782070538E-4</c:v>
                </c:pt>
                <c:pt idx="1397">
                  <c:v>-6.7737816385402623E-4</c:v>
                </c:pt>
                <c:pt idx="1398">
                  <c:v>-6.705969898873472E-4</c:v>
                </c:pt>
                <c:pt idx="1399">
                  <c:v>-6.638158159206674E-4</c:v>
                </c:pt>
                <c:pt idx="1400">
                  <c:v>-6.5703464195398836E-4</c:v>
                </c:pt>
                <c:pt idx="1401">
                  <c:v>-6.5025346798730922E-4</c:v>
                </c:pt>
                <c:pt idx="1402">
                  <c:v>-6.4347229402063008E-4</c:v>
                </c:pt>
                <c:pt idx="1403">
                  <c:v>-1.0437685241759219E-3</c:v>
                </c:pt>
                <c:pt idx="1404">
                  <c:v>-1.036987350209243E-3</c:v>
                </c:pt>
                <c:pt idx="1405">
                  <c:v>-1.0302061762425638E-3</c:v>
                </c:pt>
                <c:pt idx="1406">
                  <c:v>-1.0234250022758847E-3</c:v>
                </c:pt>
                <c:pt idx="1407">
                  <c:v>-1.0166438283092055E-3</c:v>
                </c:pt>
                <c:pt idx="1408">
                  <c:v>-1.0098626543425266E-3</c:v>
                </c:pt>
                <c:pt idx="1409">
                  <c:v>-1.0030814803758472E-3</c:v>
                </c:pt>
                <c:pt idx="1410">
                  <c:v>-9.963003064091681E-4</c:v>
                </c:pt>
                <c:pt idx="1411">
                  <c:v>-9.8951913244248895E-4</c:v>
                </c:pt>
                <c:pt idx="1412">
                  <c:v>-9.8273795847580981E-4</c:v>
                </c:pt>
                <c:pt idx="1413">
                  <c:v>-9.7595678450913077E-4</c:v>
                </c:pt>
                <c:pt idx="1414">
                  <c:v>-9.6917561054245174E-4</c:v>
                </c:pt>
                <c:pt idx="1415">
                  <c:v>-9.6239443657577259E-4</c:v>
                </c:pt>
                <c:pt idx="1416">
                  <c:v>-9.5561326260909356E-4</c:v>
                </c:pt>
                <c:pt idx="1417">
                  <c:v>-9.4883208864241441E-4</c:v>
                </c:pt>
                <c:pt idx="1418">
                  <c:v>-9.4205091467573538E-4</c:v>
                </c:pt>
                <c:pt idx="1419">
                  <c:v>-9.3526974070905634E-4</c:v>
                </c:pt>
                <c:pt idx="1420">
                  <c:v>-9.2848856674237709E-4</c:v>
                </c:pt>
                <c:pt idx="1421">
                  <c:v>-9.2170739277569816E-4</c:v>
                </c:pt>
                <c:pt idx="1422">
                  <c:v>-9.1492621880901901E-4</c:v>
                </c:pt>
                <c:pt idx="1423">
                  <c:v>-9.0814504484233987E-4</c:v>
                </c:pt>
                <c:pt idx="1424">
                  <c:v>-9.0136387087566073E-4</c:v>
                </c:pt>
                <c:pt idx="1425">
                  <c:v>-8.9458269690898169E-4</c:v>
                </c:pt>
                <c:pt idx="1426">
                  <c:v>-8.8780152294230255E-4</c:v>
                </c:pt>
                <c:pt idx="1427">
                  <c:v>-8.8102034897562351E-4</c:v>
                </c:pt>
                <c:pt idx="1428">
                  <c:v>-8.7423917500894436E-4</c:v>
                </c:pt>
                <c:pt idx="1429">
                  <c:v>-8.6745800104226533E-4</c:v>
                </c:pt>
                <c:pt idx="1430">
                  <c:v>-8.6067682707558608E-4</c:v>
                </c:pt>
                <c:pt idx="1431">
                  <c:v>-8.5389565310890693E-4</c:v>
                </c:pt>
                <c:pt idx="1432">
                  <c:v>-8.471144791422279E-4</c:v>
                </c:pt>
                <c:pt idx="1433">
                  <c:v>-8.4033330517554875E-4</c:v>
                </c:pt>
                <c:pt idx="1434">
                  <c:v>-8.3355213120886971E-4</c:v>
                </c:pt>
                <c:pt idx="1435">
                  <c:v>-8.2677095724219057E-4</c:v>
                </c:pt>
                <c:pt idx="1436">
                  <c:v>-8.1998978327551153E-4</c:v>
                </c:pt>
                <c:pt idx="1437">
                  <c:v>-8.1320860930883228E-4</c:v>
                </c:pt>
                <c:pt idx="1438">
                  <c:v>-8.0642743534215325E-4</c:v>
                </c:pt>
                <c:pt idx="1439">
                  <c:v>-7.996462613754741E-4</c:v>
                </c:pt>
                <c:pt idx="1440">
                  <c:v>-7.9286508740879496E-4</c:v>
                </c:pt>
                <c:pt idx="1441">
                  <c:v>-7.8608391344211592E-4</c:v>
                </c:pt>
                <c:pt idx="1442">
                  <c:v>-7.7930273947543678E-4</c:v>
                </c:pt>
                <c:pt idx="1443">
                  <c:v>-7.7252156550875774E-4</c:v>
                </c:pt>
                <c:pt idx="1444">
                  <c:v>-7.6574039154207849E-4</c:v>
                </c:pt>
                <c:pt idx="1445">
                  <c:v>-7.5895921757539945E-4</c:v>
                </c:pt>
                <c:pt idx="1446">
                  <c:v>-7.5217804360872031E-4</c:v>
                </c:pt>
                <c:pt idx="1447">
                  <c:v>-7.4539686964204127E-4</c:v>
                </c:pt>
                <c:pt idx="1448">
                  <c:v>-7.3861569567536213E-4</c:v>
                </c:pt>
                <c:pt idx="1449">
                  <c:v>-7.3183452170868309E-4</c:v>
                </c:pt>
                <c:pt idx="1450">
                  <c:v>-7.2505334774200395E-4</c:v>
                </c:pt>
                <c:pt idx="1451">
                  <c:v>-7.1827217377532491E-4</c:v>
                </c:pt>
                <c:pt idx="1452">
                  <c:v>-7.1149099980864587E-4</c:v>
                </c:pt>
                <c:pt idx="1453">
                  <c:v>-7.0470982584196673E-4</c:v>
                </c:pt>
                <c:pt idx="1454">
                  <c:v>-6.9792865187528769E-4</c:v>
                </c:pt>
                <c:pt idx="1455">
                  <c:v>-6.9114747790860844E-4</c:v>
                </c:pt>
                <c:pt idx="1456">
                  <c:v>-6.843663039419294E-4</c:v>
                </c:pt>
                <c:pt idx="1457">
                  <c:v>-6.7758512997525026E-4</c:v>
                </c:pt>
                <c:pt idx="1458">
                  <c:v>-6.7080395600857122E-4</c:v>
                </c:pt>
                <c:pt idx="1459">
                  <c:v>-6.6402278204189208E-4</c:v>
                </c:pt>
                <c:pt idx="1460">
                  <c:v>-6.5724160807521228E-4</c:v>
                </c:pt>
                <c:pt idx="1461">
                  <c:v>-6.5046043410853303E-4</c:v>
                </c:pt>
                <c:pt idx="1462">
                  <c:v>-6.436792601418541E-4</c:v>
                </c:pt>
                <c:pt idx="1463">
                  <c:v>-6.3689808617517507E-4</c:v>
                </c:pt>
                <c:pt idx="1464">
                  <c:v>-1.0371943163304668E-3</c:v>
                </c:pt>
                <c:pt idx="1465">
                  <c:v>-1.0304131423637876E-3</c:v>
                </c:pt>
                <c:pt idx="1466">
                  <c:v>-1.0236319683971087E-3</c:v>
                </c:pt>
                <c:pt idx="1467">
                  <c:v>-1.0168507944304296E-3</c:v>
                </c:pt>
                <c:pt idx="1468">
                  <c:v>-1.0100696204637504E-3</c:v>
                </c:pt>
                <c:pt idx="1469">
                  <c:v>-1.0032884464970711E-3</c:v>
                </c:pt>
                <c:pt idx="1470">
                  <c:v>-9.9650727253039213E-4</c:v>
                </c:pt>
                <c:pt idx="1471">
                  <c:v>-9.8972609856371298E-4</c:v>
                </c:pt>
                <c:pt idx="1472">
                  <c:v>-9.8294492459703384E-4</c:v>
                </c:pt>
                <c:pt idx="1473">
                  <c:v>-9.7616375063035469E-4</c:v>
                </c:pt>
                <c:pt idx="1474">
                  <c:v>-9.6938257666367566E-4</c:v>
                </c:pt>
                <c:pt idx="1475">
                  <c:v>-9.6260140269699651E-4</c:v>
                </c:pt>
                <c:pt idx="1476">
                  <c:v>-9.5582022873031748E-4</c:v>
                </c:pt>
                <c:pt idx="1477">
                  <c:v>-9.4903905476363833E-4</c:v>
                </c:pt>
                <c:pt idx="1478">
                  <c:v>-9.422578807969593E-4</c:v>
                </c:pt>
                <c:pt idx="1479">
                  <c:v>-9.3547670683028004E-4</c:v>
                </c:pt>
                <c:pt idx="1480">
                  <c:v>-9.2869553286360111E-4</c:v>
                </c:pt>
                <c:pt idx="1481">
                  <c:v>-9.2191435889692186E-4</c:v>
                </c:pt>
                <c:pt idx="1482">
                  <c:v>-9.1513318493024293E-4</c:v>
                </c:pt>
                <c:pt idx="1483">
                  <c:v>-9.0835201096356379E-4</c:v>
                </c:pt>
                <c:pt idx="1484">
                  <c:v>-9.0157083699688465E-4</c:v>
                </c:pt>
                <c:pt idx="1485">
                  <c:v>-8.9478966303020561E-4</c:v>
                </c:pt>
                <c:pt idx="1486">
                  <c:v>-8.8800848906352647E-4</c:v>
                </c:pt>
                <c:pt idx="1487">
                  <c:v>-8.8122731509684743E-4</c:v>
                </c:pt>
                <c:pt idx="1488">
                  <c:v>-8.7444614113016828E-4</c:v>
                </c:pt>
                <c:pt idx="1489">
                  <c:v>-8.6766496716348914E-4</c:v>
                </c:pt>
                <c:pt idx="1490">
                  <c:v>-8.6088379319681E-4</c:v>
                </c:pt>
                <c:pt idx="1491">
                  <c:v>-8.5410261923013085E-4</c:v>
                </c:pt>
                <c:pt idx="1492">
                  <c:v>-8.4732144526345182E-4</c:v>
                </c:pt>
                <c:pt idx="1493">
                  <c:v>-8.4054027129677267E-4</c:v>
                </c:pt>
                <c:pt idx="1494">
                  <c:v>-8.3375909733009363E-4</c:v>
                </c:pt>
                <c:pt idx="1495">
                  <c:v>-8.2697792336341449E-4</c:v>
                </c:pt>
                <c:pt idx="1496">
                  <c:v>-8.2019674939673545E-4</c:v>
                </c:pt>
                <c:pt idx="1497">
                  <c:v>-8.134155754300562E-4</c:v>
                </c:pt>
                <c:pt idx="1498">
                  <c:v>-8.0663440146337717E-4</c:v>
                </c:pt>
                <c:pt idx="1499">
                  <c:v>-7.9985322749669802E-4</c:v>
                </c:pt>
                <c:pt idx="1500">
                  <c:v>-7.9307205353001888E-4</c:v>
                </c:pt>
                <c:pt idx="1501">
                  <c:v>-7.8629087956333984E-4</c:v>
                </c:pt>
                <c:pt idx="1502">
                  <c:v>-7.795097055966607E-4</c:v>
                </c:pt>
                <c:pt idx="1503">
                  <c:v>-7.7272853162998166E-4</c:v>
                </c:pt>
                <c:pt idx="1504">
                  <c:v>-7.6594735766330241E-4</c:v>
                </c:pt>
                <c:pt idx="1505">
                  <c:v>-7.5916618369662337E-4</c:v>
                </c:pt>
                <c:pt idx="1506">
                  <c:v>-7.5238500972994423E-4</c:v>
                </c:pt>
                <c:pt idx="1507">
                  <c:v>-7.4560383576326519E-4</c:v>
                </c:pt>
                <c:pt idx="1508">
                  <c:v>-7.3882266179658605E-4</c:v>
                </c:pt>
                <c:pt idx="1509">
                  <c:v>-7.320414878299069E-4</c:v>
                </c:pt>
                <c:pt idx="1510">
                  <c:v>-7.2526031386322787E-4</c:v>
                </c:pt>
                <c:pt idx="1511">
                  <c:v>-7.1847913989654861E-4</c:v>
                </c:pt>
                <c:pt idx="1512">
                  <c:v>-7.1169796592986979E-4</c:v>
                </c:pt>
                <c:pt idx="1513">
                  <c:v>-7.0491679196319065E-4</c:v>
                </c:pt>
                <c:pt idx="1514">
                  <c:v>-6.9813561799651161E-4</c:v>
                </c:pt>
                <c:pt idx="1515">
                  <c:v>-6.9135444402983236E-4</c:v>
                </c:pt>
                <c:pt idx="1516">
                  <c:v>-6.8457327006315332E-4</c:v>
                </c:pt>
                <c:pt idx="1517">
                  <c:v>-6.7779209609647418E-4</c:v>
                </c:pt>
                <c:pt idx="1518">
                  <c:v>-6.7101092212979514E-4</c:v>
                </c:pt>
                <c:pt idx="1519">
                  <c:v>-6.64229748163116E-4</c:v>
                </c:pt>
                <c:pt idx="1520">
                  <c:v>-6.5744857419643686E-4</c:v>
                </c:pt>
                <c:pt idx="1521">
                  <c:v>-6.5066740022975695E-4</c:v>
                </c:pt>
                <c:pt idx="1522">
                  <c:v>-6.4388622626307781E-4</c:v>
                </c:pt>
                <c:pt idx="1523">
                  <c:v>-6.3710505229639899E-4</c:v>
                </c:pt>
                <c:pt idx="1524">
                  <c:v>-6.3032387832971984E-4</c:v>
                </c:pt>
                <c:pt idx="1525">
                  <c:v>-1.0306201084850117E-3</c:v>
                </c:pt>
                <c:pt idx="1526">
                  <c:v>-1.0238389345183325E-3</c:v>
                </c:pt>
                <c:pt idx="1527">
                  <c:v>-1.0170577605516534E-3</c:v>
                </c:pt>
                <c:pt idx="1528">
                  <c:v>-1.0102765865849742E-3</c:v>
                </c:pt>
                <c:pt idx="1529">
                  <c:v>-1.0034954126182951E-3</c:v>
                </c:pt>
                <c:pt idx="1530">
                  <c:v>-9.9671423865161594E-4</c:v>
                </c:pt>
                <c:pt idx="1531">
                  <c:v>-9.8993306468493679E-4</c:v>
                </c:pt>
                <c:pt idx="1532">
                  <c:v>-9.8315189071825765E-4</c:v>
                </c:pt>
                <c:pt idx="1533">
                  <c:v>-9.7637071675157861E-4</c:v>
                </c:pt>
                <c:pt idx="1534">
                  <c:v>-9.6958954278489958E-4</c:v>
                </c:pt>
                <c:pt idx="1535">
                  <c:v>-9.6280836881822043E-4</c:v>
                </c:pt>
                <c:pt idx="1536">
                  <c:v>-9.560271948515414E-4</c:v>
                </c:pt>
                <c:pt idx="1537">
                  <c:v>-9.4924602088486225E-4</c:v>
                </c:pt>
                <c:pt idx="1538">
                  <c:v>-9.4246484691818311E-4</c:v>
                </c:pt>
                <c:pt idx="1539">
                  <c:v>-9.3568367295150396E-4</c:v>
                </c:pt>
                <c:pt idx="1540">
                  <c:v>-9.2890249898482482E-4</c:v>
                </c:pt>
                <c:pt idx="1541">
                  <c:v>-9.22121325018146E-4</c:v>
                </c:pt>
                <c:pt idx="1542">
                  <c:v>-9.1534015105146664E-4</c:v>
                </c:pt>
                <c:pt idx="1543">
                  <c:v>-9.0855897708478771E-4</c:v>
                </c:pt>
                <c:pt idx="1544">
                  <c:v>-9.0177780311810857E-4</c:v>
                </c:pt>
                <c:pt idx="1545">
                  <c:v>-8.9499662915142953E-4</c:v>
                </c:pt>
                <c:pt idx="1546">
                  <c:v>-8.8821545518475039E-4</c:v>
                </c:pt>
                <c:pt idx="1547">
                  <c:v>-8.8143428121807135E-4</c:v>
                </c:pt>
                <c:pt idx="1548">
                  <c:v>-8.746531072513922E-4</c:v>
                </c:pt>
                <c:pt idx="1549">
                  <c:v>-8.6787193328471306E-4</c:v>
                </c:pt>
                <c:pt idx="1550">
                  <c:v>-8.6109075931803392E-4</c:v>
                </c:pt>
                <c:pt idx="1551">
                  <c:v>-8.5430958535135477E-4</c:v>
                </c:pt>
                <c:pt idx="1552">
                  <c:v>-8.4752841138467574E-4</c:v>
                </c:pt>
                <c:pt idx="1553">
                  <c:v>-8.4074723741799659E-4</c:v>
                </c:pt>
                <c:pt idx="1554">
                  <c:v>-8.3396606345131756E-4</c:v>
                </c:pt>
                <c:pt idx="1555">
                  <c:v>-8.2718488948463841E-4</c:v>
                </c:pt>
                <c:pt idx="1556">
                  <c:v>-8.2040371551795937E-4</c:v>
                </c:pt>
                <c:pt idx="1557">
                  <c:v>-8.1362254155128012E-4</c:v>
                </c:pt>
                <c:pt idx="1558">
                  <c:v>-8.0684136758460098E-4</c:v>
                </c:pt>
                <c:pt idx="1559">
                  <c:v>-8.0006019361792194E-4</c:v>
                </c:pt>
                <c:pt idx="1560">
                  <c:v>-7.932790196512428E-4</c:v>
                </c:pt>
                <c:pt idx="1561">
                  <c:v>-7.8649784568456376E-4</c:v>
                </c:pt>
                <c:pt idx="1562">
                  <c:v>-7.7971667171788462E-4</c:v>
                </c:pt>
                <c:pt idx="1563">
                  <c:v>-7.7293549775120558E-4</c:v>
                </c:pt>
                <c:pt idx="1564">
                  <c:v>-7.6615432378452644E-4</c:v>
                </c:pt>
                <c:pt idx="1565">
                  <c:v>-7.593731498178474E-4</c:v>
                </c:pt>
                <c:pt idx="1566">
                  <c:v>-7.5259197585116826E-4</c:v>
                </c:pt>
                <c:pt idx="1567">
                  <c:v>-7.4581080188448911E-4</c:v>
                </c:pt>
                <c:pt idx="1568">
                  <c:v>-7.3902962791781008E-4</c:v>
                </c:pt>
                <c:pt idx="1569">
                  <c:v>-7.3224845395113093E-4</c:v>
                </c:pt>
                <c:pt idx="1570">
                  <c:v>-7.2546727998445179E-4</c:v>
                </c:pt>
                <c:pt idx="1571">
                  <c:v>-7.1868610601777264E-4</c:v>
                </c:pt>
                <c:pt idx="1572">
                  <c:v>-7.1190493205109361E-4</c:v>
                </c:pt>
                <c:pt idx="1573">
                  <c:v>-7.0512375808441457E-4</c:v>
                </c:pt>
                <c:pt idx="1574">
                  <c:v>-6.9834258411773553E-4</c:v>
                </c:pt>
                <c:pt idx="1575">
                  <c:v>-6.9156141015105628E-4</c:v>
                </c:pt>
                <c:pt idx="1576">
                  <c:v>-6.8478023618437724E-4</c:v>
                </c:pt>
                <c:pt idx="1577">
                  <c:v>-6.779990622176981E-4</c:v>
                </c:pt>
                <c:pt idx="1578">
                  <c:v>-6.7121788825101896E-4</c:v>
                </c:pt>
                <c:pt idx="1579">
                  <c:v>-6.6443671428433992E-4</c:v>
                </c:pt>
                <c:pt idx="1580">
                  <c:v>-6.5765554031766078E-4</c:v>
                </c:pt>
                <c:pt idx="1581">
                  <c:v>-6.5087436635098174E-4</c:v>
                </c:pt>
                <c:pt idx="1582">
                  <c:v>-6.4409319238430184E-4</c:v>
                </c:pt>
                <c:pt idx="1583">
                  <c:v>-6.373120184176228E-4</c:v>
                </c:pt>
                <c:pt idx="1584">
                  <c:v>-6.3053084445094376E-4</c:v>
                </c:pt>
                <c:pt idx="1585">
                  <c:v>-6.2374967048426462E-4</c:v>
                </c:pt>
                <c:pt idx="1586">
                  <c:v>-1.0240459006395565E-3</c:v>
                </c:pt>
                <c:pt idx="1587">
                  <c:v>-1.0172647266728774E-3</c:v>
                </c:pt>
                <c:pt idx="1588">
                  <c:v>-1.0104835527061983E-3</c:v>
                </c:pt>
                <c:pt idx="1589">
                  <c:v>-1.0037023787395189E-3</c:v>
                </c:pt>
                <c:pt idx="1590">
                  <c:v>-9.9692120477283975E-4</c:v>
                </c:pt>
                <c:pt idx="1591">
                  <c:v>-9.9014003080616082E-4</c:v>
                </c:pt>
                <c:pt idx="1592">
                  <c:v>-9.8335885683948168E-4</c:v>
                </c:pt>
                <c:pt idx="1593">
                  <c:v>-9.7657768287280253E-4</c:v>
                </c:pt>
                <c:pt idx="1594">
                  <c:v>-9.697965089061235E-4</c:v>
                </c:pt>
                <c:pt idx="1595">
                  <c:v>-9.6301533493944435E-4</c:v>
                </c:pt>
                <c:pt idx="1596">
                  <c:v>-9.5623416097276532E-4</c:v>
                </c:pt>
                <c:pt idx="1597">
                  <c:v>-9.4945298700608617E-4</c:v>
                </c:pt>
                <c:pt idx="1598">
                  <c:v>-9.4267181303940703E-4</c:v>
                </c:pt>
                <c:pt idx="1599">
                  <c:v>-9.3589063907272788E-4</c:v>
                </c:pt>
                <c:pt idx="1600">
                  <c:v>-9.2910946510604874E-4</c:v>
                </c:pt>
                <c:pt idx="1601">
                  <c:v>-9.223282911393697E-4</c:v>
                </c:pt>
                <c:pt idx="1602">
                  <c:v>-9.1554711717269077E-4</c:v>
                </c:pt>
                <c:pt idx="1603">
                  <c:v>-9.0876594320601152E-4</c:v>
                </c:pt>
                <c:pt idx="1604">
                  <c:v>-9.0198476923933249E-4</c:v>
                </c:pt>
                <c:pt idx="1605">
                  <c:v>-8.9520359527265345E-4</c:v>
                </c:pt>
                <c:pt idx="1606">
                  <c:v>-8.8842242130597431E-4</c:v>
                </c:pt>
                <c:pt idx="1607">
                  <c:v>-8.8164124733929516E-4</c:v>
                </c:pt>
                <c:pt idx="1608">
                  <c:v>-8.7486007337261612E-4</c:v>
                </c:pt>
                <c:pt idx="1609">
                  <c:v>-8.6807889940593698E-4</c:v>
                </c:pt>
                <c:pt idx="1610">
                  <c:v>-8.6129772543925784E-4</c:v>
                </c:pt>
                <c:pt idx="1611">
                  <c:v>-8.5451655147257869E-4</c:v>
                </c:pt>
                <c:pt idx="1612">
                  <c:v>-8.4773537750589966E-4</c:v>
                </c:pt>
                <c:pt idx="1613">
                  <c:v>-8.4095420353922051E-4</c:v>
                </c:pt>
                <c:pt idx="1614">
                  <c:v>-8.3417302957254148E-4</c:v>
                </c:pt>
                <c:pt idx="1615">
                  <c:v>-8.2739185560586233E-4</c:v>
                </c:pt>
                <c:pt idx="1616">
                  <c:v>-8.2061068163918319E-4</c:v>
                </c:pt>
                <c:pt idx="1617">
                  <c:v>-8.1382950767250404E-4</c:v>
                </c:pt>
                <c:pt idx="1618">
                  <c:v>-8.070483337058249E-4</c:v>
                </c:pt>
                <c:pt idx="1619">
                  <c:v>-8.0026715973914586E-4</c:v>
                </c:pt>
                <c:pt idx="1620">
                  <c:v>-7.9348598577246672E-4</c:v>
                </c:pt>
                <c:pt idx="1621">
                  <c:v>-7.8670481180578768E-4</c:v>
                </c:pt>
                <c:pt idx="1622">
                  <c:v>-7.7992363783910854E-4</c:v>
                </c:pt>
                <c:pt idx="1623">
                  <c:v>-7.731424638724295E-4</c:v>
                </c:pt>
                <c:pt idx="1624">
                  <c:v>-7.6636128990575036E-4</c:v>
                </c:pt>
                <c:pt idx="1625">
                  <c:v>-7.5958011593907132E-4</c:v>
                </c:pt>
                <c:pt idx="1626">
                  <c:v>-7.5279894197239218E-4</c:v>
                </c:pt>
                <c:pt idx="1627">
                  <c:v>-7.4601776800571303E-4</c:v>
                </c:pt>
                <c:pt idx="1628">
                  <c:v>-7.39236594039034E-4</c:v>
                </c:pt>
                <c:pt idx="1629">
                  <c:v>-7.3245542007235485E-4</c:v>
                </c:pt>
                <c:pt idx="1630">
                  <c:v>-7.2567424610567571E-4</c:v>
                </c:pt>
                <c:pt idx="1631">
                  <c:v>-7.1889307213899656E-4</c:v>
                </c:pt>
                <c:pt idx="1632">
                  <c:v>-7.1211189817231753E-4</c:v>
                </c:pt>
                <c:pt idx="1633">
                  <c:v>-7.0533072420563838E-4</c:v>
                </c:pt>
                <c:pt idx="1634">
                  <c:v>-6.9854955023895945E-4</c:v>
                </c:pt>
                <c:pt idx="1635">
                  <c:v>-6.917683762722802E-4</c:v>
                </c:pt>
                <c:pt idx="1636">
                  <c:v>-6.8498720230560106E-4</c:v>
                </c:pt>
                <c:pt idx="1637">
                  <c:v>-6.7820602833892202E-4</c:v>
                </c:pt>
                <c:pt idx="1638">
                  <c:v>-6.7142485437224288E-4</c:v>
                </c:pt>
                <c:pt idx="1639">
                  <c:v>-6.6464368040556384E-4</c:v>
                </c:pt>
                <c:pt idx="1640">
                  <c:v>-6.578625064388847E-4</c:v>
                </c:pt>
                <c:pt idx="1641">
                  <c:v>-6.5108133247220566E-4</c:v>
                </c:pt>
                <c:pt idx="1642">
                  <c:v>-6.4430015850552641E-4</c:v>
                </c:pt>
                <c:pt idx="1643">
                  <c:v>-6.3751898453884672E-4</c:v>
                </c:pt>
                <c:pt idx="1644">
                  <c:v>-6.3073781057216758E-4</c:v>
                </c:pt>
                <c:pt idx="1645">
                  <c:v>-6.2395663660548854E-4</c:v>
                </c:pt>
                <c:pt idx="1646">
                  <c:v>-6.171754626388094E-4</c:v>
                </c:pt>
                <c:pt idx="1647">
                  <c:v>-1.0174716927941012E-3</c:v>
                </c:pt>
                <c:pt idx="1648">
                  <c:v>-1.0106905188274221E-3</c:v>
                </c:pt>
                <c:pt idx="1649">
                  <c:v>-1.0039093448607429E-3</c:v>
                </c:pt>
                <c:pt idx="1650">
                  <c:v>-9.9712817089406378E-4</c:v>
                </c:pt>
                <c:pt idx="1651">
                  <c:v>-9.9034699692738463E-4</c:v>
                </c:pt>
                <c:pt idx="1652">
                  <c:v>-9.8356582296070549E-4</c:v>
                </c:pt>
                <c:pt idx="1653">
                  <c:v>-9.7678464899402656E-4</c:v>
                </c:pt>
                <c:pt idx="1654">
                  <c:v>-9.7000347502734742E-4</c:v>
                </c:pt>
                <c:pt idx="1655">
                  <c:v>-9.6322230106066827E-4</c:v>
                </c:pt>
                <c:pt idx="1656">
                  <c:v>-9.5644112709398913E-4</c:v>
                </c:pt>
                <c:pt idx="1657">
                  <c:v>-9.4965995312731009E-4</c:v>
                </c:pt>
                <c:pt idx="1658">
                  <c:v>-9.4287877916063095E-4</c:v>
                </c:pt>
                <c:pt idx="1659">
                  <c:v>-9.360976051939518E-4</c:v>
                </c:pt>
                <c:pt idx="1660">
                  <c:v>-9.2931643122727266E-4</c:v>
                </c:pt>
                <c:pt idx="1661">
                  <c:v>-9.2253525726059362E-4</c:v>
                </c:pt>
                <c:pt idx="1662">
                  <c:v>-9.1575408329391448E-4</c:v>
                </c:pt>
                <c:pt idx="1663">
                  <c:v>-9.0897290932723555E-4</c:v>
                </c:pt>
                <c:pt idx="1664">
                  <c:v>-9.021917353605563E-4</c:v>
                </c:pt>
                <c:pt idx="1665">
                  <c:v>-8.9541056139387726E-4</c:v>
                </c:pt>
                <c:pt idx="1666">
                  <c:v>-8.8862938742719823E-4</c:v>
                </c:pt>
                <c:pt idx="1667">
                  <c:v>-8.8184821346051908E-4</c:v>
                </c:pt>
                <c:pt idx="1668">
                  <c:v>-8.7506703949384004E-4</c:v>
                </c:pt>
                <c:pt idx="1669">
                  <c:v>-8.682858655271609E-4</c:v>
                </c:pt>
                <c:pt idx="1670">
                  <c:v>-8.6150469156048176E-4</c:v>
                </c:pt>
                <c:pt idx="1671">
                  <c:v>-8.5472351759380261E-4</c:v>
                </c:pt>
                <c:pt idx="1672">
                  <c:v>-8.4794234362712358E-4</c:v>
                </c:pt>
                <c:pt idx="1673">
                  <c:v>-8.4116116966044443E-4</c:v>
                </c:pt>
                <c:pt idx="1674">
                  <c:v>-8.343799956937654E-4</c:v>
                </c:pt>
                <c:pt idx="1675">
                  <c:v>-8.2759882172708625E-4</c:v>
                </c:pt>
                <c:pt idx="1676">
                  <c:v>-8.2081764776040711E-4</c:v>
                </c:pt>
                <c:pt idx="1677">
                  <c:v>-8.1403647379372796E-4</c:v>
                </c:pt>
                <c:pt idx="1678">
                  <c:v>-8.0725529982704882E-4</c:v>
                </c:pt>
                <c:pt idx="1679">
                  <c:v>-8.0047412586036978E-4</c:v>
                </c:pt>
                <c:pt idx="1680">
                  <c:v>-7.9369295189369064E-4</c:v>
                </c:pt>
                <c:pt idx="1681">
                  <c:v>-7.869117779270116E-4</c:v>
                </c:pt>
                <c:pt idx="1682">
                  <c:v>-7.8013060396033246E-4</c:v>
                </c:pt>
                <c:pt idx="1683">
                  <c:v>-7.7334942999365342E-4</c:v>
                </c:pt>
                <c:pt idx="1684">
                  <c:v>-7.6656825602697417E-4</c:v>
                </c:pt>
                <c:pt idx="1685">
                  <c:v>-7.5978708206029513E-4</c:v>
                </c:pt>
                <c:pt idx="1686">
                  <c:v>-7.530059080936161E-4</c:v>
                </c:pt>
                <c:pt idx="1687">
                  <c:v>-7.4622473412693695E-4</c:v>
                </c:pt>
                <c:pt idx="1688">
                  <c:v>-7.3944356016025792E-4</c:v>
                </c:pt>
                <c:pt idx="1689">
                  <c:v>-7.3266238619357877E-4</c:v>
                </c:pt>
                <c:pt idx="1690">
                  <c:v>-7.2588121222689963E-4</c:v>
                </c:pt>
                <c:pt idx="1691">
                  <c:v>-7.1910003826022048E-4</c:v>
                </c:pt>
                <c:pt idx="1692">
                  <c:v>-7.1231886429354145E-4</c:v>
                </c:pt>
                <c:pt idx="1693">
                  <c:v>-7.055376903268623E-4</c:v>
                </c:pt>
                <c:pt idx="1694">
                  <c:v>-6.9875651636018327E-4</c:v>
                </c:pt>
                <c:pt idx="1695">
                  <c:v>-6.9197534239350412E-4</c:v>
                </c:pt>
                <c:pt idx="1696">
                  <c:v>-6.8519416842682498E-4</c:v>
                </c:pt>
                <c:pt idx="1697">
                  <c:v>-6.7841299446014594E-4</c:v>
                </c:pt>
                <c:pt idx="1698">
                  <c:v>-6.716318204934668E-4</c:v>
                </c:pt>
                <c:pt idx="1699">
                  <c:v>-6.6485064652678776E-4</c:v>
                </c:pt>
                <c:pt idx="1700">
                  <c:v>-6.5806947256010862E-4</c:v>
                </c:pt>
                <c:pt idx="1701">
                  <c:v>-6.5128829859342958E-4</c:v>
                </c:pt>
                <c:pt idx="1702">
                  <c:v>-6.4450712462675033E-4</c:v>
                </c:pt>
                <c:pt idx="1703">
                  <c:v>-6.3772595066007129E-4</c:v>
                </c:pt>
                <c:pt idx="1704">
                  <c:v>-6.309447766933915E-4</c:v>
                </c:pt>
                <c:pt idx="1705">
                  <c:v>-6.2416360272671246E-4</c:v>
                </c:pt>
                <c:pt idx="1706">
                  <c:v>-6.1738242876003332E-4</c:v>
                </c:pt>
                <c:pt idx="1707">
                  <c:v>-6.1060125479335417E-4</c:v>
                </c:pt>
                <c:pt idx="1708">
                  <c:v>-1.0108974849486461E-3</c:v>
                </c:pt>
                <c:pt idx="1709">
                  <c:v>-1.0041163109819667E-3</c:v>
                </c:pt>
                <c:pt idx="1710">
                  <c:v>-9.9733513701528759E-4</c:v>
                </c:pt>
                <c:pt idx="1711">
                  <c:v>-9.9055396304860866E-4</c:v>
                </c:pt>
                <c:pt idx="1712">
                  <c:v>-9.8377278908192952E-4</c:v>
                </c:pt>
                <c:pt idx="1713">
                  <c:v>-9.7699161511525037E-4</c:v>
                </c:pt>
                <c:pt idx="1714">
                  <c:v>-9.7021044114857123E-4</c:v>
                </c:pt>
                <c:pt idx="1715">
                  <c:v>-9.6342926718189219E-4</c:v>
                </c:pt>
                <c:pt idx="1716">
                  <c:v>-9.5664809321521305E-4</c:v>
                </c:pt>
                <c:pt idx="1717">
                  <c:v>-9.4986691924853401E-4</c:v>
                </c:pt>
                <c:pt idx="1718">
                  <c:v>-9.4308574528185487E-4</c:v>
                </c:pt>
                <c:pt idx="1719">
                  <c:v>-9.3630457131517572E-4</c:v>
                </c:pt>
                <c:pt idx="1720">
                  <c:v>-9.2952339734849658E-4</c:v>
                </c:pt>
                <c:pt idx="1721">
                  <c:v>-9.2274222338181754E-4</c:v>
                </c:pt>
                <c:pt idx="1722">
                  <c:v>-9.159610494151384E-4</c:v>
                </c:pt>
                <c:pt idx="1723">
                  <c:v>-9.0917987544845936E-4</c:v>
                </c:pt>
                <c:pt idx="1724">
                  <c:v>-9.0239870148178033E-4</c:v>
                </c:pt>
                <c:pt idx="1725">
                  <c:v>-8.9561752751510107E-4</c:v>
                </c:pt>
                <c:pt idx="1726">
                  <c:v>-8.8883635354842215E-4</c:v>
                </c:pt>
                <c:pt idx="1727">
                  <c:v>-8.82055179581743E-4</c:v>
                </c:pt>
                <c:pt idx="1728">
                  <c:v>-8.7527400561506396E-4</c:v>
                </c:pt>
                <c:pt idx="1729">
                  <c:v>-8.6849283164838482E-4</c:v>
                </c:pt>
                <c:pt idx="1730">
                  <c:v>-8.6171165768170568E-4</c:v>
                </c:pt>
                <c:pt idx="1731">
                  <c:v>-8.5493048371502653E-4</c:v>
                </c:pt>
                <c:pt idx="1732">
                  <c:v>-8.481493097483475E-4</c:v>
                </c:pt>
                <c:pt idx="1733">
                  <c:v>-8.4136813578166835E-4</c:v>
                </c:pt>
                <c:pt idx="1734">
                  <c:v>-8.3458696181498921E-4</c:v>
                </c:pt>
                <c:pt idx="1735">
                  <c:v>-8.2780578784831017E-4</c:v>
                </c:pt>
                <c:pt idx="1736">
                  <c:v>-8.2102461388163103E-4</c:v>
                </c:pt>
                <c:pt idx="1737">
                  <c:v>-8.1424343991495188E-4</c:v>
                </c:pt>
                <c:pt idx="1738">
                  <c:v>-8.0746226594827274E-4</c:v>
                </c:pt>
                <c:pt idx="1739">
                  <c:v>-8.006810919815937E-4</c:v>
                </c:pt>
                <c:pt idx="1740">
                  <c:v>-7.9389991801491456E-4</c:v>
                </c:pt>
                <c:pt idx="1741">
                  <c:v>-7.8711874404823552E-4</c:v>
                </c:pt>
                <c:pt idx="1742">
                  <c:v>-7.8033757008155638E-4</c:v>
                </c:pt>
                <c:pt idx="1743">
                  <c:v>-7.7355639611487723E-4</c:v>
                </c:pt>
                <c:pt idx="1744">
                  <c:v>-7.6677522214819809E-4</c:v>
                </c:pt>
                <c:pt idx="1745">
                  <c:v>-7.5999404818151894E-4</c:v>
                </c:pt>
                <c:pt idx="1746">
                  <c:v>-7.5321287421484002E-4</c:v>
                </c:pt>
                <c:pt idx="1747">
                  <c:v>-7.4643170024816087E-4</c:v>
                </c:pt>
                <c:pt idx="1748">
                  <c:v>-7.3965052628148184E-4</c:v>
                </c:pt>
                <c:pt idx="1749">
                  <c:v>-7.3286935231480269E-4</c:v>
                </c:pt>
                <c:pt idx="1750">
                  <c:v>-7.2608817834812355E-4</c:v>
                </c:pt>
                <c:pt idx="1751">
                  <c:v>-7.193070043814444E-4</c:v>
                </c:pt>
                <c:pt idx="1752">
                  <c:v>-7.1252583041476537E-4</c:v>
                </c:pt>
                <c:pt idx="1753">
                  <c:v>-7.0574465644808622E-4</c:v>
                </c:pt>
                <c:pt idx="1754">
                  <c:v>-6.9896348248140708E-4</c:v>
                </c:pt>
                <c:pt idx="1755">
                  <c:v>-6.9218230851472804E-4</c:v>
                </c:pt>
                <c:pt idx="1756">
                  <c:v>-6.854011345480489E-4</c:v>
                </c:pt>
                <c:pt idx="1757">
                  <c:v>-6.7861996058136986E-4</c:v>
                </c:pt>
                <c:pt idx="1758">
                  <c:v>-6.7183878661469072E-4</c:v>
                </c:pt>
                <c:pt idx="1759">
                  <c:v>-6.6505761264801168E-4</c:v>
                </c:pt>
                <c:pt idx="1760">
                  <c:v>-6.5827643868133254E-4</c:v>
                </c:pt>
                <c:pt idx="1761">
                  <c:v>-6.514952647146535E-4</c:v>
                </c:pt>
                <c:pt idx="1762">
                  <c:v>-6.4471409074797425E-4</c:v>
                </c:pt>
                <c:pt idx="1763">
                  <c:v>-6.379329167812951E-4</c:v>
                </c:pt>
                <c:pt idx="1764">
                  <c:v>-6.3115174281461607E-4</c:v>
                </c:pt>
                <c:pt idx="1765">
                  <c:v>-6.2437056884793627E-4</c:v>
                </c:pt>
                <c:pt idx="1766">
                  <c:v>-6.1758939488125724E-4</c:v>
                </c:pt>
                <c:pt idx="1767">
                  <c:v>-6.1080822091457809E-4</c:v>
                </c:pt>
                <c:pt idx="1768">
                  <c:v>-6.0402704694789906E-4</c:v>
                </c:pt>
                <c:pt idx="1769">
                  <c:v>-1.0043232771031908E-3</c:v>
                </c:pt>
                <c:pt idx="1770">
                  <c:v>-9.9754210313651162E-4</c:v>
                </c:pt>
                <c:pt idx="1771">
                  <c:v>-9.9076092916983247E-4</c:v>
                </c:pt>
                <c:pt idx="1772">
                  <c:v>-9.8397975520315333E-4</c:v>
                </c:pt>
                <c:pt idx="1773">
                  <c:v>-9.7719858123647418E-4</c:v>
                </c:pt>
                <c:pt idx="1774">
                  <c:v>-9.7041740726979515E-4</c:v>
                </c:pt>
                <c:pt idx="1775">
                  <c:v>-9.6363623330311611E-4</c:v>
                </c:pt>
                <c:pt idx="1776">
                  <c:v>-9.5685505933643697E-4</c:v>
                </c:pt>
                <c:pt idx="1777">
                  <c:v>-9.5007388536975793E-4</c:v>
                </c:pt>
                <c:pt idx="1778">
                  <c:v>-9.4329271140307879E-4</c:v>
                </c:pt>
                <c:pt idx="1779">
                  <c:v>-9.3651153743639964E-4</c:v>
                </c:pt>
                <c:pt idx="1780">
                  <c:v>-9.297303634697205E-4</c:v>
                </c:pt>
                <c:pt idx="1781">
                  <c:v>-9.2294918950304146E-4</c:v>
                </c:pt>
                <c:pt idx="1782">
                  <c:v>-9.1616801553636232E-4</c:v>
                </c:pt>
                <c:pt idx="1783">
                  <c:v>-9.0938684156968317E-4</c:v>
                </c:pt>
                <c:pt idx="1784">
                  <c:v>-9.0260566760300414E-4</c:v>
                </c:pt>
                <c:pt idx="1785">
                  <c:v>-8.958244936363251E-4</c:v>
                </c:pt>
                <c:pt idx="1786">
                  <c:v>-8.8904331966964585E-4</c:v>
                </c:pt>
                <c:pt idx="1787">
                  <c:v>-8.8226214570296692E-4</c:v>
                </c:pt>
                <c:pt idx="1788">
                  <c:v>-8.7548097173628789E-4</c:v>
                </c:pt>
                <c:pt idx="1789">
                  <c:v>-8.6869979776960874E-4</c:v>
                </c:pt>
                <c:pt idx="1790">
                  <c:v>-8.619186238029296E-4</c:v>
                </c:pt>
                <c:pt idx="1791">
                  <c:v>-8.5513744983625045E-4</c:v>
                </c:pt>
                <c:pt idx="1792">
                  <c:v>-8.4835627586957131E-4</c:v>
                </c:pt>
                <c:pt idx="1793">
                  <c:v>-8.4157510190289227E-4</c:v>
                </c:pt>
                <c:pt idx="1794">
                  <c:v>-8.3479392793621313E-4</c:v>
                </c:pt>
                <c:pt idx="1795">
                  <c:v>-8.2801275396953409E-4</c:v>
                </c:pt>
                <c:pt idx="1796">
                  <c:v>-8.2123158000285495E-4</c:v>
                </c:pt>
                <c:pt idx="1797">
                  <c:v>-8.144504060361758E-4</c:v>
                </c:pt>
                <c:pt idx="1798">
                  <c:v>-8.0766923206949666E-4</c:v>
                </c:pt>
                <c:pt idx="1799">
                  <c:v>-8.0088805810281762E-4</c:v>
                </c:pt>
                <c:pt idx="1800">
                  <c:v>-7.9410688413613848E-4</c:v>
                </c:pt>
                <c:pt idx="1801">
                  <c:v>-7.8732571016945944E-4</c:v>
                </c:pt>
                <c:pt idx="1802">
                  <c:v>-7.805445362027803E-4</c:v>
                </c:pt>
                <c:pt idx="1803">
                  <c:v>-7.7376336223610115E-4</c:v>
                </c:pt>
                <c:pt idx="1804">
                  <c:v>-7.6698218826942201E-4</c:v>
                </c:pt>
                <c:pt idx="1805">
                  <c:v>-7.6020101430274286E-4</c:v>
                </c:pt>
                <c:pt idx="1806">
                  <c:v>-7.5341984033606383E-4</c:v>
                </c:pt>
                <c:pt idx="1807">
                  <c:v>-7.4663866636938479E-4</c:v>
                </c:pt>
                <c:pt idx="1808">
                  <c:v>-7.3985749240270576E-4</c:v>
                </c:pt>
                <c:pt idx="1809">
                  <c:v>-7.3307631843602661E-4</c:v>
                </c:pt>
                <c:pt idx="1810">
                  <c:v>-7.2629514446934747E-4</c:v>
                </c:pt>
                <c:pt idx="1811">
                  <c:v>-7.1951397050266832E-4</c:v>
                </c:pt>
                <c:pt idx="1812">
                  <c:v>-7.1273279653598918E-4</c:v>
                </c:pt>
                <c:pt idx="1813">
                  <c:v>-7.0595162256931014E-4</c:v>
                </c:pt>
                <c:pt idx="1814">
                  <c:v>-6.99170448602631E-4</c:v>
                </c:pt>
                <c:pt idx="1815">
                  <c:v>-6.9238927463595196E-4</c:v>
                </c:pt>
                <c:pt idx="1816">
                  <c:v>-6.8560810066927271E-4</c:v>
                </c:pt>
                <c:pt idx="1817">
                  <c:v>-6.7882692670259378E-4</c:v>
                </c:pt>
                <c:pt idx="1818">
                  <c:v>-6.7204575273591464E-4</c:v>
                </c:pt>
                <c:pt idx="1819">
                  <c:v>-6.652645787692356E-4</c:v>
                </c:pt>
                <c:pt idx="1820">
                  <c:v>-6.5848340480255646E-4</c:v>
                </c:pt>
                <c:pt idx="1821">
                  <c:v>-6.5170223083587742E-4</c:v>
                </c:pt>
                <c:pt idx="1822">
                  <c:v>-6.4492105686919817E-4</c:v>
                </c:pt>
                <c:pt idx="1823">
                  <c:v>-6.3813988290251902E-4</c:v>
                </c:pt>
                <c:pt idx="1824">
                  <c:v>-6.3135870893583999E-4</c:v>
                </c:pt>
                <c:pt idx="1825">
                  <c:v>-6.2457753496916084E-4</c:v>
                </c:pt>
                <c:pt idx="1826">
                  <c:v>-6.1779636100248116E-4</c:v>
                </c:pt>
                <c:pt idx="1827">
                  <c:v>-6.110151870358019E-4</c:v>
                </c:pt>
                <c:pt idx="1828">
                  <c:v>-6.0423401306912298E-4</c:v>
                </c:pt>
                <c:pt idx="1829">
                  <c:v>-5.9745283910244383E-4</c:v>
                </c:pt>
                <c:pt idx="1830">
                  <c:v>-9.9774906925773543E-4</c:v>
                </c:pt>
                <c:pt idx="1831">
                  <c:v>-9.9096789529105628E-4</c:v>
                </c:pt>
                <c:pt idx="1832">
                  <c:v>-9.8418672132437736E-4</c:v>
                </c:pt>
                <c:pt idx="1833">
                  <c:v>-9.7740554735769821E-4</c:v>
                </c:pt>
                <c:pt idx="1834">
                  <c:v>-9.7062437339101907E-4</c:v>
                </c:pt>
                <c:pt idx="1835">
                  <c:v>-9.6384319942434003E-4</c:v>
                </c:pt>
                <c:pt idx="1836">
                  <c:v>-9.5706202545766089E-4</c:v>
                </c:pt>
                <c:pt idx="1837">
                  <c:v>-9.5028085149098185E-4</c:v>
                </c:pt>
                <c:pt idx="1838">
                  <c:v>-9.4349967752430271E-4</c:v>
                </c:pt>
                <c:pt idx="1839">
                  <c:v>-9.3671850355762356E-4</c:v>
                </c:pt>
                <c:pt idx="1840">
                  <c:v>-9.2993732959094442E-4</c:v>
                </c:pt>
                <c:pt idx="1841">
                  <c:v>-9.2315615562426527E-4</c:v>
                </c:pt>
                <c:pt idx="1842">
                  <c:v>-9.1637498165758624E-4</c:v>
                </c:pt>
                <c:pt idx="1843">
                  <c:v>-9.0959380769090709E-4</c:v>
                </c:pt>
                <c:pt idx="1844">
                  <c:v>-9.0281263372422806E-4</c:v>
                </c:pt>
                <c:pt idx="1845">
                  <c:v>-8.9603145975754891E-4</c:v>
                </c:pt>
                <c:pt idx="1846">
                  <c:v>-8.8925028579086999E-4</c:v>
                </c:pt>
                <c:pt idx="1847">
                  <c:v>-8.8246911182419062E-4</c:v>
                </c:pt>
                <c:pt idx="1848">
                  <c:v>-8.7568793785751181E-4</c:v>
                </c:pt>
                <c:pt idx="1849">
                  <c:v>-8.6890676389083266E-4</c:v>
                </c:pt>
                <c:pt idx="1850">
                  <c:v>-8.6212558992415341E-4</c:v>
                </c:pt>
                <c:pt idx="1851">
                  <c:v>-8.5534441595747437E-4</c:v>
                </c:pt>
                <c:pt idx="1852">
                  <c:v>-8.4856324199079523E-4</c:v>
                </c:pt>
                <c:pt idx="1853">
                  <c:v>-8.4178206802411619E-4</c:v>
                </c:pt>
                <c:pt idx="1854">
                  <c:v>-8.3500089405743705E-4</c:v>
                </c:pt>
                <c:pt idx="1855">
                  <c:v>-8.2821972009075801E-4</c:v>
                </c:pt>
                <c:pt idx="1856">
                  <c:v>-8.2143854612407887E-4</c:v>
                </c:pt>
                <c:pt idx="1857">
                  <c:v>-8.1465737215739972E-4</c:v>
                </c:pt>
                <c:pt idx="1858">
                  <c:v>-8.0787619819072058E-4</c:v>
                </c:pt>
                <c:pt idx="1859">
                  <c:v>-8.0109502422404154E-4</c:v>
                </c:pt>
                <c:pt idx="1860">
                  <c:v>-7.943138502573624E-4</c:v>
                </c:pt>
                <c:pt idx="1861">
                  <c:v>-7.8753267629068325E-4</c:v>
                </c:pt>
                <c:pt idx="1862">
                  <c:v>-7.8075150232400422E-4</c:v>
                </c:pt>
                <c:pt idx="1863">
                  <c:v>-7.7397032835732507E-4</c:v>
                </c:pt>
                <c:pt idx="1864">
                  <c:v>-7.6718915439064593E-4</c:v>
                </c:pt>
                <c:pt idx="1865">
                  <c:v>-7.6040798042396678E-4</c:v>
                </c:pt>
                <c:pt idx="1866">
                  <c:v>-7.5362680645728775E-4</c:v>
                </c:pt>
                <c:pt idx="1867">
                  <c:v>-7.468456324906086E-4</c:v>
                </c:pt>
                <c:pt idx="1868">
                  <c:v>-7.4006445852392968E-4</c:v>
                </c:pt>
                <c:pt idx="1869">
                  <c:v>-7.3328328455725053E-4</c:v>
                </c:pt>
                <c:pt idx="1870">
                  <c:v>-7.2650211059057139E-4</c:v>
                </c:pt>
                <c:pt idx="1871">
                  <c:v>-7.1972093662389224E-4</c:v>
                </c:pt>
                <c:pt idx="1872">
                  <c:v>-7.129397626572131E-4</c:v>
                </c:pt>
                <c:pt idx="1873">
                  <c:v>-7.0615858869053406E-4</c:v>
                </c:pt>
                <c:pt idx="1874">
                  <c:v>-6.9937741472385492E-4</c:v>
                </c:pt>
                <c:pt idx="1875">
                  <c:v>-6.9259624075717588E-4</c:v>
                </c:pt>
                <c:pt idx="1876">
                  <c:v>-6.8581506679049663E-4</c:v>
                </c:pt>
                <c:pt idx="1877">
                  <c:v>-6.7903389282381759E-4</c:v>
                </c:pt>
                <c:pt idx="1878">
                  <c:v>-6.7225271885713856E-4</c:v>
                </c:pt>
                <c:pt idx="1879">
                  <c:v>-6.6547154489045952E-4</c:v>
                </c:pt>
                <c:pt idx="1880">
                  <c:v>-6.5869037092378038E-4</c:v>
                </c:pt>
                <c:pt idx="1881">
                  <c:v>-6.5190919695710123E-4</c:v>
                </c:pt>
                <c:pt idx="1882">
                  <c:v>-6.4512802299042209E-4</c:v>
                </c:pt>
                <c:pt idx="1883">
                  <c:v>-6.3834684902374294E-4</c:v>
                </c:pt>
                <c:pt idx="1884">
                  <c:v>-6.3156567505706391E-4</c:v>
                </c:pt>
                <c:pt idx="1885">
                  <c:v>-6.2478450109038476E-4</c:v>
                </c:pt>
                <c:pt idx="1886">
                  <c:v>-6.1800332712370573E-4</c:v>
                </c:pt>
                <c:pt idx="1887">
                  <c:v>-6.1122215315702582E-4</c:v>
                </c:pt>
                <c:pt idx="1888">
                  <c:v>-6.0444097919034679E-4</c:v>
                </c:pt>
                <c:pt idx="1889">
                  <c:v>-5.9765980522366775E-4</c:v>
                </c:pt>
                <c:pt idx="1890">
                  <c:v>-5.9087863125698871E-4</c:v>
                </c:pt>
                <c:pt idx="1891">
                  <c:v>-9.9117486141228031E-4</c:v>
                </c:pt>
                <c:pt idx="1892">
                  <c:v>-9.8439368744560117E-4</c:v>
                </c:pt>
                <c:pt idx="1893">
                  <c:v>-9.7761251347892202E-4</c:v>
                </c:pt>
                <c:pt idx="1894">
                  <c:v>-9.7083133951224299E-4</c:v>
                </c:pt>
                <c:pt idx="1895">
                  <c:v>-9.6405016554556395E-4</c:v>
                </c:pt>
                <c:pt idx="1896">
                  <c:v>-9.5726899157888481E-4</c:v>
                </c:pt>
                <c:pt idx="1897">
                  <c:v>-9.5048781761220577E-4</c:v>
                </c:pt>
                <c:pt idx="1898">
                  <c:v>-9.4370664364552663E-4</c:v>
                </c:pt>
                <c:pt idx="1899">
                  <c:v>-9.3692546967884737E-4</c:v>
                </c:pt>
                <c:pt idx="1900">
                  <c:v>-9.3014429571216834E-4</c:v>
                </c:pt>
                <c:pt idx="1901">
                  <c:v>-9.2336312174548919E-4</c:v>
                </c:pt>
                <c:pt idx="1902">
                  <c:v>-9.1658194777881016E-4</c:v>
                </c:pt>
                <c:pt idx="1903">
                  <c:v>-9.0980077381213101E-4</c:v>
                </c:pt>
                <c:pt idx="1904">
                  <c:v>-9.0301959984545198E-4</c:v>
                </c:pt>
                <c:pt idx="1905">
                  <c:v>-8.9623842587877283E-4</c:v>
                </c:pt>
                <c:pt idx="1906">
                  <c:v>-8.8945725191209369E-4</c:v>
                </c:pt>
                <c:pt idx="1907">
                  <c:v>-8.8267607794541476E-4</c:v>
                </c:pt>
                <c:pt idx="1908">
                  <c:v>-8.7589490397873551E-4</c:v>
                </c:pt>
                <c:pt idx="1909">
                  <c:v>-8.6911373001205658E-4</c:v>
                </c:pt>
                <c:pt idx="1910">
                  <c:v>-8.6233255604537733E-4</c:v>
                </c:pt>
                <c:pt idx="1911">
                  <c:v>-8.5555138207869829E-4</c:v>
                </c:pt>
                <c:pt idx="1912">
                  <c:v>-8.4877020811201915E-4</c:v>
                </c:pt>
                <c:pt idx="1913">
                  <c:v>-8.4198903414534011E-4</c:v>
                </c:pt>
                <c:pt idx="1914">
                  <c:v>-8.3520786017866097E-4</c:v>
                </c:pt>
                <c:pt idx="1915">
                  <c:v>-8.2842668621198193E-4</c:v>
                </c:pt>
                <c:pt idx="1916">
                  <c:v>-8.2164551224530279E-4</c:v>
                </c:pt>
                <c:pt idx="1917">
                  <c:v>-8.1486433827862364E-4</c:v>
                </c:pt>
                <c:pt idx="1918">
                  <c:v>-8.080831643119445E-4</c:v>
                </c:pt>
                <c:pt idx="1919">
                  <c:v>-8.0130199034526535E-4</c:v>
                </c:pt>
                <c:pt idx="1920">
                  <c:v>-7.9452081637858632E-4</c:v>
                </c:pt>
                <c:pt idx="1921">
                  <c:v>-7.8773964241190717E-4</c:v>
                </c:pt>
                <c:pt idx="1922">
                  <c:v>-7.8095846844522814E-4</c:v>
                </c:pt>
                <c:pt idx="1923">
                  <c:v>-7.7417729447854899E-4</c:v>
                </c:pt>
                <c:pt idx="1924">
                  <c:v>-7.6739612051186985E-4</c:v>
                </c:pt>
                <c:pt idx="1925">
                  <c:v>-7.606149465451907E-4</c:v>
                </c:pt>
                <c:pt idx="1926">
                  <c:v>-7.5383377257851167E-4</c:v>
                </c:pt>
                <c:pt idx="1927">
                  <c:v>-7.4705259861183252E-4</c:v>
                </c:pt>
                <c:pt idx="1928">
                  <c:v>-7.4027142464515349E-4</c:v>
                </c:pt>
                <c:pt idx="1929">
                  <c:v>-7.3349025067847445E-4</c:v>
                </c:pt>
                <c:pt idx="1930">
                  <c:v>-7.267090767117952E-4</c:v>
                </c:pt>
                <c:pt idx="1931">
                  <c:v>-7.1992790274511616E-4</c:v>
                </c:pt>
                <c:pt idx="1932">
                  <c:v>-7.1314672877843702E-4</c:v>
                </c:pt>
                <c:pt idx="1933">
                  <c:v>-7.0636555481175798E-4</c:v>
                </c:pt>
                <c:pt idx="1934">
                  <c:v>-6.9958438084507884E-4</c:v>
                </c:pt>
                <c:pt idx="1935">
                  <c:v>-6.928032068783998E-4</c:v>
                </c:pt>
                <c:pt idx="1936">
                  <c:v>-6.8602203291172055E-4</c:v>
                </c:pt>
                <c:pt idx="1937">
                  <c:v>-6.7924085894504151E-4</c:v>
                </c:pt>
                <c:pt idx="1938">
                  <c:v>-6.7245968497836237E-4</c:v>
                </c:pt>
                <c:pt idx="1939">
                  <c:v>-6.6567851101168333E-4</c:v>
                </c:pt>
                <c:pt idx="1940">
                  <c:v>-6.588973370450043E-4</c:v>
                </c:pt>
                <c:pt idx="1941">
                  <c:v>-6.5211616307832515E-4</c:v>
                </c:pt>
                <c:pt idx="1942">
                  <c:v>-6.4533498911164601E-4</c:v>
                </c:pt>
                <c:pt idx="1943">
                  <c:v>-6.3855381514496686E-4</c:v>
                </c:pt>
                <c:pt idx="1944">
                  <c:v>-6.3177264117828783E-4</c:v>
                </c:pt>
                <c:pt idx="1945">
                  <c:v>-6.2499146721160868E-4</c:v>
                </c:pt>
                <c:pt idx="1946">
                  <c:v>-6.1821029324492965E-4</c:v>
                </c:pt>
                <c:pt idx="1947">
                  <c:v>-6.114291192782505E-4</c:v>
                </c:pt>
                <c:pt idx="1948">
                  <c:v>-6.0464794531157071E-4</c:v>
                </c:pt>
                <c:pt idx="1949">
                  <c:v>-5.9786677134489156E-4</c:v>
                </c:pt>
                <c:pt idx="1950">
                  <c:v>-5.9108559737821253E-4</c:v>
                </c:pt>
                <c:pt idx="1951">
                  <c:v>-5.8430442341153349E-4</c:v>
                </c:pt>
                <c:pt idx="1952">
                  <c:v>-9.846006535668252E-4</c:v>
                </c:pt>
                <c:pt idx="1953">
                  <c:v>-9.7781947960014605E-4</c:v>
                </c:pt>
                <c:pt idx="1954">
                  <c:v>-9.7103830563346691E-4</c:v>
                </c:pt>
                <c:pt idx="1955">
                  <c:v>-9.6425713166678787E-4</c:v>
                </c:pt>
                <c:pt idx="1956">
                  <c:v>-9.5747595770010873E-4</c:v>
                </c:pt>
                <c:pt idx="1957">
                  <c:v>-9.5069478373342969E-4</c:v>
                </c:pt>
                <c:pt idx="1958">
                  <c:v>-9.4391360976675055E-4</c:v>
                </c:pt>
                <c:pt idx="1959">
                  <c:v>-9.3713243580007129E-4</c:v>
                </c:pt>
                <c:pt idx="1960">
                  <c:v>-9.3035126183339226E-4</c:v>
                </c:pt>
                <c:pt idx="1961">
                  <c:v>-9.2357008786671311E-4</c:v>
                </c:pt>
                <c:pt idx="1962">
                  <c:v>-9.1678891390003408E-4</c:v>
                </c:pt>
                <c:pt idx="1963">
                  <c:v>-9.1000773993335493E-4</c:v>
                </c:pt>
                <c:pt idx="1964">
                  <c:v>-9.032265659666759E-4</c:v>
                </c:pt>
                <c:pt idx="1965">
                  <c:v>-8.9644539199999675E-4</c:v>
                </c:pt>
                <c:pt idx="1966">
                  <c:v>-8.8966421803331761E-4</c:v>
                </c:pt>
                <c:pt idx="1967">
                  <c:v>-8.8288304406663846E-4</c:v>
                </c:pt>
                <c:pt idx="1968">
                  <c:v>-8.7610187009995954E-4</c:v>
                </c:pt>
                <c:pt idx="1969">
                  <c:v>-8.6932069613328028E-4</c:v>
                </c:pt>
                <c:pt idx="1970">
                  <c:v>-8.6253952216660125E-4</c:v>
                </c:pt>
                <c:pt idx="1971">
                  <c:v>-8.5575834819992221E-4</c:v>
                </c:pt>
                <c:pt idx="1972">
                  <c:v>-8.4897717423324307E-4</c:v>
                </c:pt>
                <c:pt idx="1973">
                  <c:v>-8.4219600026656403E-4</c:v>
                </c:pt>
                <c:pt idx="1974">
                  <c:v>-8.3541482629988489E-4</c:v>
                </c:pt>
                <c:pt idx="1975">
                  <c:v>-8.2863365233320585E-4</c:v>
                </c:pt>
                <c:pt idx="1976">
                  <c:v>-8.2185247836652671E-4</c:v>
                </c:pt>
                <c:pt idx="1977">
                  <c:v>-8.1507130439984756E-4</c:v>
                </c:pt>
                <c:pt idx="1978">
                  <c:v>-8.0829013043316842E-4</c:v>
                </c:pt>
                <c:pt idx="1979">
                  <c:v>-8.0150895646648927E-4</c:v>
                </c:pt>
                <c:pt idx="1980">
                  <c:v>-7.9472778249981024E-4</c:v>
                </c:pt>
                <c:pt idx="1981">
                  <c:v>-7.8794660853313109E-4</c:v>
                </c:pt>
                <c:pt idx="1982">
                  <c:v>-7.8116543456645206E-4</c:v>
                </c:pt>
                <c:pt idx="1983">
                  <c:v>-7.7438426059977291E-4</c:v>
                </c:pt>
                <c:pt idx="1984">
                  <c:v>-7.6760308663309377E-4</c:v>
                </c:pt>
                <c:pt idx="1985">
                  <c:v>-7.6082191266641462E-4</c:v>
                </c:pt>
                <c:pt idx="1986">
                  <c:v>-7.5404073869973559E-4</c:v>
                </c:pt>
                <c:pt idx="1987">
                  <c:v>-7.4725956473305644E-4</c:v>
                </c:pt>
                <c:pt idx="1988">
                  <c:v>-7.404783907663773E-4</c:v>
                </c:pt>
                <c:pt idx="1989">
                  <c:v>-7.3369721679969826E-4</c:v>
                </c:pt>
                <c:pt idx="1990">
                  <c:v>-7.2691604283301912E-4</c:v>
                </c:pt>
                <c:pt idx="1991">
                  <c:v>-7.2013486886634008E-4</c:v>
                </c:pt>
                <c:pt idx="1992">
                  <c:v>-7.1335369489966094E-4</c:v>
                </c:pt>
                <c:pt idx="1993">
                  <c:v>-7.065725209329819E-4</c:v>
                </c:pt>
                <c:pt idx="1994">
                  <c:v>-6.9979134696630276E-4</c:v>
                </c:pt>
                <c:pt idx="1995">
                  <c:v>-6.9301017299962372E-4</c:v>
                </c:pt>
                <c:pt idx="1996">
                  <c:v>-6.8622899903294447E-4</c:v>
                </c:pt>
                <c:pt idx="1997">
                  <c:v>-6.7944782506626532E-4</c:v>
                </c:pt>
                <c:pt idx="1998">
                  <c:v>-6.7266665109958629E-4</c:v>
                </c:pt>
                <c:pt idx="1999">
                  <c:v>-6.6588547713290714E-4</c:v>
                </c:pt>
                <c:pt idx="2000">
                  <c:v>-6.5910430316622822E-4</c:v>
                </c:pt>
                <c:pt idx="2001">
                  <c:v>-6.5232312919954907E-4</c:v>
                </c:pt>
                <c:pt idx="2002">
                  <c:v>-6.4554195523286993E-4</c:v>
                </c:pt>
                <c:pt idx="2003">
                  <c:v>-6.3876078126619078E-4</c:v>
                </c:pt>
                <c:pt idx="2004">
                  <c:v>-6.3197960729951175E-4</c:v>
                </c:pt>
                <c:pt idx="2005">
                  <c:v>-6.251984333328326E-4</c:v>
                </c:pt>
                <c:pt idx="2006">
                  <c:v>-6.1841725936615357E-4</c:v>
                </c:pt>
                <c:pt idx="2007">
                  <c:v>-6.1163608539947442E-4</c:v>
                </c:pt>
                <c:pt idx="2008">
                  <c:v>-6.0485491143279528E-4</c:v>
                </c:pt>
                <c:pt idx="2009">
                  <c:v>-5.9807373746611548E-4</c:v>
                </c:pt>
                <c:pt idx="2010">
                  <c:v>-5.9129256349943634E-4</c:v>
                </c:pt>
                <c:pt idx="2011">
                  <c:v>-5.8451138953275741E-4</c:v>
                </c:pt>
                <c:pt idx="2012">
                  <c:v>-5.7773021556607816E-4</c:v>
                </c:pt>
                <c:pt idx="2013">
                  <c:v>-9.7802644572136986E-4</c:v>
                </c:pt>
                <c:pt idx="2014">
                  <c:v>-9.7124527175469083E-4</c:v>
                </c:pt>
                <c:pt idx="2015">
                  <c:v>-9.6446409778801179E-4</c:v>
                </c:pt>
                <c:pt idx="2016">
                  <c:v>-9.5768292382133265E-4</c:v>
                </c:pt>
                <c:pt idx="2017">
                  <c:v>-9.509017498546535E-4</c:v>
                </c:pt>
                <c:pt idx="2018">
                  <c:v>-9.4412057588797447E-4</c:v>
                </c:pt>
                <c:pt idx="2019">
                  <c:v>-9.3733940192129521E-4</c:v>
                </c:pt>
                <c:pt idx="2020">
                  <c:v>-9.3055822795461618E-4</c:v>
                </c:pt>
                <c:pt idx="2021">
                  <c:v>-9.2377705398793703E-4</c:v>
                </c:pt>
                <c:pt idx="2022">
                  <c:v>-9.16995880021258E-4</c:v>
                </c:pt>
                <c:pt idx="2023">
                  <c:v>-9.1021470605457885E-4</c:v>
                </c:pt>
                <c:pt idx="2024">
                  <c:v>-9.0343353208789982E-4</c:v>
                </c:pt>
                <c:pt idx="2025">
                  <c:v>-8.9665235812122067E-4</c:v>
                </c:pt>
                <c:pt idx="2026">
                  <c:v>-8.8987118415454142E-4</c:v>
                </c:pt>
                <c:pt idx="2027">
                  <c:v>-8.8309001018786238E-4</c:v>
                </c:pt>
                <c:pt idx="2028">
                  <c:v>-8.7630883622118324E-4</c:v>
                </c:pt>
                <c:pt idx="2029">
                  <c:v>-8.6952766225450442E-4</c:v>
                </c:pt>
                <c:pt idx="2030">
                  <c:v>-8.6274648828782506E-4</c:v>
                </c:pt>
                <c:pt idx="2031">
                  <c:v>-8.5596531432114613E-4</c:v>
                </c:pt>
                <c:pt idx="2032">
                  <c:v>-8.4918414035446699E-4</c:v>
                </c:pt>
                <c:pt idx="2033">
                  <c:v>-8.4240296638778795E-4</c:v>
                </c:pt>
                <c:pt idx="2034">
                  <c:v>-8.3562179242110881E-4</c:v>
                </c:pt>
                <c:pt idx="2035">
                  <c:v>-8.2884061845442977E-4</c:v>
                </c:pt>
                <c:pt idx="2036">
                  <c:v>-8.2205944448775063E-4</c:v>
                </c:pt>
                <c:pt idx="2037">
                  <c:v>-8.1527827052107137E-4</c:v>
                </c:pt>
                <c:pt idx="2038">
                  <c:v>-8.0849709655439234E-4</c:v>
                </c:pt>
                <c:pt idx="2039">
                  <c:v>-8.0171592258771319E-4</c:v>
                </c:pt>
                <c:pt idx="2040">
                  <c:v>-7.9493474862103416E-4</c:v>
                </c:pt>
                <c:pt idx="2041">
                  <c:v>-7.8815357465435501E-4</c:v>
                </c:pt>
                <c:pt idx="2042">
                  <c:v>-7.8137240068767598E-4</c:v>
                </c:pt>
                <c:pt idx="2043">
                  <c:v>-7.7459122672099683E-4</c:v>
                </c:pt>
                <c:pt idx="2044">
                  <c:v>-7.6781005275431769E-4</c:v>
                </c:pt>
                <c:pt idx="2045">
                  <c:v>-7.6102887878763854E-4</c:v>
                </c:pt>
                <c:pt idx="2046">
                  <c:v>-7.542477048209594E-4</c:v>
                </c:pt>
                <c:pt idx="2047">
                  <c:v>-7.4746653085428036E-4</c:v>
                </c:pt>
                <c:pt idx="2048">
                  <c:v>-7.4068535688760122E-4</c:v>
                </c:pt>
                <c:pt idx="2049">
                  <c:v>-7.3390418292092218E-4</c:v>
                </c:pt>
                <c:pt idx="2050">
                  <c:v>-7.2712300895424304E-4</c:v>
                </c:pt>
                <c:pt idx="2051">
                  <c:v>-7.20341834987564E-4</c:v>
                </c:pt>
                <c:pt idx="2052">
                  <c:v>-7.1356066102088486E-4</c:v>
                </c:pt>
                <c:pt idx="2053">
                  <c:v>-7.0677948705420582E-4</c:v>
                </c:pt>
                <c:pt idx="2054">
                  <c:v>-6.9999831308752668E-4</c:v>
                </c:pt>
                <c:pt idx="2055">
                  <c:v>-6.9321713912084753E-4</c:v>
                </c:pt>
                <c:pt idx="2056">
                  <c:v>-6.8643596515416839E-4</c:v>
                </c:pt>
                <c:pt idx="2057">
                  <c:v>-6.7965479118748924E-4</c:v>
                </c:pt>
                <c:pt idx="2058">
                  <c:v>-6.7287361722081021E-4</c:v>
                </c:pt>
                <c:pt idx="2059">
                  <c:v>-6.6609244325413106E-4</c:v>
                </c:pt>
                <c:pt idx="2060">
                  <c:v>-6.5931126928745203E-4</c:v>
                </c:pt>
                <c:pt idx="2061">
                  <c:v>-6.5253009532077299E-4</c:v>
                </c:pt>
                <c:pt idx="2062">
                  <c:v>-6.4574892135409385E-4</c:v>
                </c:pt>
                <c:pt idx="2063">
                  <c:v>-6.389677473874147E-4</c:v>
                </c:pt>
                <c:pt idx="2064">
                  <c:v>-6.3218657342073567E-4</c:v>
                </c:pt>
                <c:pt idx="2065">
                  <c:v>-6.2540539945405652E-4</c:v>
                </c:pt>
                <c:pt idx="2066">
                  <c:v>-6.1862422548737738E-4</c:v>
                </c:pt>
                <c:pt idx="2067">
                  <c:v>-6.1184305152069834E-4</c:v>
                </c:pt>
                <c:pt idx="2068">
                  <c:v>-6.050618775540192E-4</c:v>
                </c:pt>
                <c:pt idx="2069">
                  <c:v>-5.9828070358734005E-4</c:v>
                </c:pt>
                <c:pt idx="2070">
                  <c:v>-5.9149952962066026E-4</c:v>
                </c:pt>
                <c:pt idx="2071">
                  <c:v>-5.8471835565398122E-4</c:v>
                </c:pt>
                <c:pt idx="2072">
                  <c:v>-5.7793718168730208E-4</c:v>
                </c:pt>
                <c:pt idx="2073">
                  <c:v>-5.7115600772062304E-4</c:v>
                </c:pt>
                <c:pt idx="2074">
                  <c:v>-9.7145223787591475E-4</c:v>
                </c:pt>
                <c:pt idx="2075">
                  <c:v>-9.646710639092356E-4</c:v>
                </c:pt>
                <c:pt idx="2076">
                  <c:v>-9.5788988994255657E-4</c:v>
                </c:pt>
                <c:pt idx="2077">
                  <c:v>-9.5110871597587742E-4</c:v>
                </c:pt>
                <c:pt idx="2078">
                  <c:v>-9.4432754200919839E-4</c:v>
                </c:pt>
                <c:pt idx="2079">
                  <c:v>-9.3754636804251913E-4</c:v>
                </c:pt>
                <c:pt idx="2080">
                  <c:v>-9.307651940758401E-4</c:v>
                </c:pt>
                <c:pt idx="2081">
                  <c:v>-9.2398402010916095E-4</c:v>
                </c:pt>
                <c:pt idx="2082">
                  <c:v>-9.1720284614248192E-4</c:v>
                </c:pt>
                <c:pt idx="2083">
                  <c:v>-9.1042167217580277E-4</c:v>
                </c:pt>
                <c:pt idx="2084">
                  <c:v>-9.0364049820912374E-4</c:v>
                </c:pt>
                <c:pt idx="2085">
                  <c:v>-8.9685932424244459E-4</c:v>
                </c:pt>
                <c:pt idx="2086">
                  <c:v>-8.9007815027576534E-4</c:v>
                </c:pt>
                <c:pt idx="2087">
                  <c:v>-8.832969763090863E-4</c:v>
                </c:pt>
                <c:pt idx="2088">
                  <c:v>-8.7651580234240716E-4</c:v>
                </c:pt>
                <c:pt idx="2089">
                  <c:v>-8.6973462837572812E-4</c:v>
                </c:pt>
                <c:pt idx="2090">
                  <c:v>-8.6295345440904909E-4</c:v>
                </c:pt>
                <c:pt idx="2091">
                  <c:v>-8.5617228044236994E-4</c:v>
                </c:pt>
                <c:pt idx="2092">
                  <c:v>-8.4939110647569091E-4</c:v>
                </c:pt>
                <c:pt idx="2093">
                  <c:v>-8.4260993250901187E-4</c:v>
                </c:pt>
                <c:pt idx="2094">
                  <c:v>-8.3582875854233273E-4</c:v>
                </c:pt>
                <c:pt idx="2095">
                  <c:v>-8.2904758457565358E-4</c:v>
                </c:pt>
                <c:pt idx="2096">
                  <c:v>-8.2226641060897455E-4</c:v>
                </c:pt>
                <c:pt idx="2097">
                  <c:v>-8.1548523664229529E-4</c:v>
                </c:pt>
                <c:pt idx="2098">
                  <c:v>-8.0870406267561626E-4</c:v>
                </c:pt>
                <c:pt idx="2099">
                  <c:v>-8.0192288870893711E-4</c:v>
                </c:pt>
                <c:pt idx="2100">
                  <c:v>-7.9514171474225808E-4</c:v>
                </c:pt>
                <c:pt idx="2101">
                  <c:v>-7.8836054077557893E-4</c:v>
                </c:pt>
                <c:pt idx="2102">
                  <c:v>-7.815793668088999E-4</c:v>
                </c:pt>
                <c:pt idx="2103">
                  <c:v>-7.7479819284222075E-4</c:v>
                </c:pt>
                <c:pt idx="2104">
                  <c:v>-7.6801701887554161E-4</c:v>
                </c:pt>
                <c:pt idx="2105">
                  <c:v>-7.6123584490886246E-4</c:v>
                </c:pt>
                <c:pt idx="2106">
                  <c:v>-7.5445467094218332E-4</c:v>
                </c:pt>
                <c:pt idx="2107">
                  <c:v>-7.4767349697550428E-4</c:v>
                </c:pt>
                <c:pt idx="2108">
                  <c:v>-7.4089232300882514E-4</c:v>
                </c:pt>
                <c:pt idx="2109">
                  <c:v>-7.341111490421461E-4</c:v>
                </c:pt>
                <c:pt idx="2110">
                  <c:v>-7.2732997507546696E-4</c:v>
                </c:pt>
                <c:pt idx="2111">
                  <c:v>-7.2054880110878781E-4</c:v>
                </c:pt>
                <c:pt idx="2112">
                  <c:v>-7.1376762714210878E-4</c:v>
                </c:pt>
                <c:pt idx="2113">
                  <c:v>-7.0698645317542974E-4</c:v>
                </c:pt>
                <c:pt idx="2114">
                  <c:v>-7.002052792087506E-4</c:v>
                </c:pt>
                <c:pt idx="2115">
                  <c:v>-6.9342410524207145E-4</c:v>
                </c:pt>
                <c:pt idx="2116">
                  <c:v>-6.8664293127539231E-4</c:v>
                </c:pt>
                <c:pt idx="2117">
                  <c:v>-6.7986175730871316E-4</c:v>
                </c:pt>
                <c:pt idx="2118">
                  <c:v>-6.7308058334203413E-4</c:v>
                </c:pt>
                <c:pt idx="2119">
                  <c:v>-6.6629940937535498E-4</c:v>
                </c:pt>
                <c:pt idx="2120">
                  <c:v>-6.5951823540867595E-4</c:v>
                </c:pt>
                <c:pt idx="2121">
                  <c:v>-6.527370614419968E-4</c:v>
                </c:pt>
                <c:pt idx="2122">
                  <c:v>-6.4595588747531777E-4</c:v>
                </c:pt>
                <c:pt idx="2123">
                  <c:v>-6.3917471350863862E-4</c:v>
                </c:pt>
                <c:pt idx="2124">
                  <c:v>-6.3239353954195948E-4</c:v>
                </c:pt>
                <c:pt idx="2125">
                  <c:v>-6.2561236557528044E-4</c:v>
                </c:pt>
                <c:pt idx="2126">
                  <c:v>-6.188311916086013E-4</c:v>
                </c:pt>
                <c:pt idx="2127">
                  <c:v>-6.1205001764192226E-4</c:v>
                </c:pt>
                <c:pt idx="2128">
                  <c:v>-6.0526884367524312E-4</c:v>
                </c:pt>
                <c:pt idx="2129">
                  <c:v>-5.9848766970856397E-4</c:v>
                </c:pt>
                <c:pt idx="2130">
                  <c:v>-5.9170649574188483E-4</c:v>
                </c:pt>
                <c:pt idx="2131">
                  <c:v>-5.8492532177520514E-4</c:v>
                </c:pt>
                <c:pt idx="2132">
                  <c:v>-5.78144147808526E-4</c:v>
                </c:pt>
                <c:pt idx="2133">
                  <c:v>-5.7136297384184696E-4</c:v>
                </c:pt>
                <c:pt idx="2134">
                  <c:v>-5.6458179987516782E-4</c:v>
                </c:pt>
                <c:pt idx="2135">
                  <c:v>-9.6487803003045952E-4</c:v>
                </c:pt>
                <c:pt idx="2136">
                  <c:v>-9.5809685606378049E-4</c:v>
                </c:pt>
                <c:pt idx="2137">
                  <c:v>-9.5131568209710134E-4</c:v>
                </c:pt>
                <c:pt idx="2138">
                  <c:v>-9.4453450813042231E-4</c:v>
                </c:pt>
                <c:pt idx="2139">
                  <c:v>-9.3775333416374305E-4</c:v>
                </c:pt>
                <c:pt idx="2140">
                  <c:v>-9.3097216019706402E-4</c:v>
                </c:pt>
                <c:pt idx="2141">
                  <c:v>-9.2419098623038487E-4</c:v>
                </c:pt>
                <c:pt idx="2142">
                  <c:v>-9.1740981226370584E-4</c:v>
                </c:pt>
                <c:pt idx="2143">
                  <c:v>-9.1062863829702669E-4</c:v>
                </c:pt>
                <c:pt idx="2144">
                  <c:v>-9.0384746433034755E-4</c:v>
                </c:pt>
                <c:pt idx="2145">
                  <c:v>-8.9706629036366851E-4</c:v>
                </c:pt>
                <c:pt idx="2146">
                  <c:v>-8.9028511639698926E-4</c:v>
                </c:pt>
                <c:pt idx="2147">
                  <c:v>-8.8350394243031022E-4</c:v>
                </c:pt>
                <c:pt idx="2148">
                  <c:v>-8.7672276846363108E-4</c:v>
                </c:pt>
                <c:pt idx="2149">
                  <c:v>-8.6994159449695204E-4</c:v>
                </c:pt>
                <c:pt idx="2150">
                  <c:v>-8.631604205302729E-4</c:v>
                </c:pt>
                <c:pt idx="2151">
                  <c:v>-8.5637924656359397E-4</c:v>
                </c:pt>
                <c:pt idx="2152">
                  <c:v>-8.4959807259691472E-4</c:v>
                </c:pt>
                <c:pt idx="2153">
                  <c:v>-8.4281689863023579E-4</c:v>
                </c:pt>
                <c:pt idx="2154">
                  <c:v>-8.3603572466355665E-4</c:v>
                </c:pt>
                <c:pt idx="2155">
                  <c:v>-8.292545506968775E-4</c:v>
                </c:pt>
                <c:pt idx="2156">
                  <c:v>-8.2247337673019847E-4</c:v>
                </c:pt>
                <c:pt idx="2157">
                  <c:v>-8.1569220276351921E-4</c:v>
                </c:pt>
                <c:pt idx="2158">
                  <c:v>-8.0891102879684018E-4</c:v>
                </c:pt>
                <c:pt idx="2159">
                  <c:v>-8.0212985483016103E-4</c:v>
                </c:pt>
                <c:pt idx="2160">
                  <c:v>-7.95348680863482E-4</c:v>
                </c:pt>
                <c:pt idx="2161">
                  <c:v>-7.8856750689680285E-4</c:v>
                </c:pt>
                <c:pt idx="2162">
                  <c:v>-7.8178633293012382E-4</c:v>
                </c:pt>
                <c:pt idx="2163">
                  <c:v>-7.7500515896344467E-4</c:v>
                </c:pt>
                <c:pt idx="2164">
                  <c:v>-7.6822398499676542E-4</c:v>
                </c:pt>
                <c:pt idx="2165">
                  <c:v>-7.6144281103008638E-4</c:v>
                </c:pt>
                <c:pt idx="2166">
                  <c:v>-7.5466163706340724E-4</c:v>
                </c:pt>
                <c:pt idx="2167">
                  <c:v>-7.478804630967282E-4</c:v>
                </c:pt>
                <c:pt idx="2168">
                  <c:v>-7.4109928913004906E-4</c:v>
                </c:pt>
                <c:pt idx="2169">
                  <c:v>-7.3431811516337002E-4</c:v>
                </c:pt>
                <c:pt idx="2170">
                  <c:v>-7.2753694119669088E-4</c:v>
                </c:pt>
                <c:pt idx="2171">
                  <c:v>-7.2075576723001173E-4</c:v>
                </c:pt>
                <c:pt idx="2172">
                  <c:v>-7.1397459326333259E-4</c:v>
                </c:pt>
                <c:pt idx="2173">
                  <c:v>-7.0719341929665366E-4</c:v>
                </c:pt>
                <c:pt idx="2174">
                  <c:v>-7.0041224532997452E-4</c:v>
                </c:pt>
                <c:pt idx="2175">
                  <c:v>-6.9363107136329537E-4</c:v>
                </c:pt>
                <c:pt idx="2176">
                  <c:v>-6.8684989739661623E-4</c:v>
                </c:pt>
                <c:pt idx="2177">
                  <c:v>-6.8006872342993708E-4</c:v>
                </c:pt>
                <c:pt idx="2178">
                  <c:v>-6.7328754946325805E-4</c:v>
                </c:pt>
                <c:pt idx="2179">
                  <c:v>-6.665063754965789E-4</c:v>
                </c:pt>
                <c:pt idx="2180">
                  <c:v>-6.5972520152989987E-4</c:v>
                </c:pt>
                <c:pt idx="2181">
                  <c:v>-6.5294402756322072E-4</c:v>
                </c:pt>
                <c:pt idx="2182">
                  <c:v>-6.4616285359654169E-4</c:v>
                </c:pt>
                <c:pt idx="2183">
                  <c:v>-6.3938167962986254E-4</c:v>
                </c:pt>
                <c:pt idx="2184">
                  <c:v>-6.326005056631834E-4</c:v>
                </c:pt>
                <c:pt idx="2185">
                  <c:v>-6.2581933169650436E-4</c:v>
                </c:pt>
                <c:pt idx="2186">
                  <c:v>-6.1903815772982522E-4</c:v>
                </c:pt>
                <c:pt idx="2187">
                  <c:v>-6.1225698376314618E-4</c:v>
                </c:pt>
                <c:pt idx="2188">
                  <c:v>-6.0547580979646704E-4</c:v>
                </c:pt>
                <c:pt idx="2189">
                  <c:v>-5.9869463582978789E-4</c:v>
                </c:pt>
                <c:pt idx="2190">
                  <c:v>-5.9191346186310875E-4</c:v>
                </c:pt>
                <c:pt idx="2191">
                  <c:v>-5.8513228789642971E-4</c:v>
                </c:pt>
                <c:pt idx="2192">
                  <c:v>-5.7835111392974992E-4</c:v>
                </c:pt>
                <c:pt idx="2193">
                  <c:v>-5.7156993996307088E-4</c:v>
                </c:pt>
                <c:pt idx="2194">
                  <c:v>-5.6478876599639174E-4</c:v>
                </c:pt>
                <c:pt idx="2195">
                  <c:v>-5.5800759202971259E-4</c:v>
                </c:pt>
                <c:pt idx="2196">
                  <c:v>-9.5830382218500441E-4</c:v>
                </c:pt>
                <c:pt idx="2197">
                  <c:v>-9.5152264821832526E-4</c:v>
                </c:pt>
                <c:pt idx="2198">
                  <c:v>-9.4474147425164623E-4</c:v>
                </c:pt>
                <c:pt idx="2199">
                  <c:v>-9.3796030028496697E-4</c:v>
                </c:pt>
                <c:pt idx="2200">
                  <c:v>-9.3117912631828794E-4</c:v>
                </c:pt>
                <c:pt idx="2201">
                  <c:v>-9.2439795235160879E-4</c:v>
                </c:pt>
                <c:pt idx="2202">
                  <c:v>-9.1761677838492965E-4</c:v>
                </c:pt>
                <c:pt idx="2203">
                  <c:v>-9.1083560441825061E-4</c:v>
                </c:pt>
                <c:pt idx="2204">
                  <c:v>-9.0405443045157147E-4</c:v>
                </c:pt>
                <c:pt idx="2205">
                  <c:v>-8.9727325648489243E-4</c:v>
                </c:pt>
                <c:pt idx="2206">
                  <c:v>-8.9049208251821318E-4</c:v>
                </c:pt>
                <c:pt idx="2207">
                  <c:v>-8.8371090855153414E-4</c:v>
                </c:pt>
                <c:pt idx="2208">
                  <c:v>-8.76929734584855E-4</c:v>
                </c:pt>
                <c:pt idx="2209">
                  <c:v>-8.7014856061817596E-4</c:v>
                </c:pt>
                <c:pt idx="2210">
                  <c:v>-8.6336738665149682E-4</c:v>
                </c:pt>
                <c:pt idx="2211">
                  <c:v>-8.5658621268481778E-4</c:v>
                </c:pt>
                <c:pt idx="2212">
                  <c:v>-8.4980503871813875E-4</c:v>
                </c:pt>
                <c:pt idx="2213">
                  <c:v>-8.4302386475145939E-4</c:v>
                </c:pt>
                <c:pt idx="2214">
                  <c:v>-8.3624269078478057E-4</c:v>
                </c:pt>
                <c:pt idx="2215">
                  <c:v>-8.2946151681810142E-4</c:v>
                </c:pt>
                <c:pt idx="2216">
                  <c:v>-8.2268034285142239E-4</c:v>
                </c:pt>
                <c:pt idx="2217">
                  <c:v>-8.1589916888474313E-4</c:v>
                </c:pt>
                <c:pt idx="2218">
                  <c:v>-8.091179949180641E-4</c:v>
                </c:pt>
                <c:pt idx="2219">
                  <c:v>-8.0233682095138495E-4</c:v>
                </c:pt>
                <c:pt idx="2220">
                  <c:v>-7.9555564698470592E-4</c:v>
                </c:pt>
                <c:pt idx="2221">
                  <c:v>-7.8877447301802677E-4</c:v>
                </c:pt>
                <c:pt idx="2222">
                  <c:v>-7.8199329905134763E-4</c:v>
                </c:pt>
                <c:pt idx="2223">
                  <c:v>-7.7521212508466859E-4</c:v>
                </c:pt>
                <c:pt idx="2224">
                  <c:v>-7.6843095111798934E-4</c:v>
                </c:pt>
                <c:pt idx="2225">
                  <c:v>-7.616497771513103E-4</c:v>
                </c:pt>
                <c:pt idx="2226">
                  <c:v>-7.5486860318463116E-4</c:v>
                </c:pt>
                <c:pt idx="2227">
                  <c:v>-7.4808742921795212E-4</c:v>
                </c:pt>
                <c:pt idx="2228">
                  <c:v>-7.4130625525127298E-4</c:v>
                </c:pt>
                <c:pt idx="2229">
                  <c:v>-7.3452508128459394E-4</c:v>
                </c:pt>
                <c:pt idx="2230">
                  <c:v>-7.277439073179148E-4</c:v>
                </c:pt>
                <c:pt idx="2231">
                  <c:v>-7.2096273335123565E-4</c:v>
                </c:pt>
                <c:pt idx="2232">
                  <c:v>-7.1418155938455651E-4</c:v>
                </c:pt>
                <c:pt idx="2233">
                  <c:v>-7.0740038541787737E-4</c:v>
                </c:pt>
                <c:pt idx="2234">
                  <c:v>-7.0061921145119855E-4</c:v>
                </c:pt>
                <c:pt idx="2235">
                  <c:v>-6.9383803748451929E-4</c:v>
                </c:pt>
                <c:pt idx="2236">
                  <c:v>-6.8705686351784026E-4</c:v>
                </c:pt>
                <c:pt idx="2237">
                  <c:v>-6.8027568955116111E-4</c:v>
                </c:pt>
                <c:pt idx="2238">
                  <c:v>-6.7349451558448208E-4</c:v>
                </c:pt>
                <c:pt idx="2239">
                  <c:v>-6.6671334161780293E-4</c:v>
                </c:pt>
                <c:pt idx="2240">
                  <c:v>-6.599321676511239E-4</c:v>
                </c:pt>
                <c:pt idx="2241">
                  <c:v>-6.5315099368444475E-4</c:v>
                </c:pt>
                <c:pt idx="2242">
                  <c:v>-6.463698197177655E-4</c:v>
                </c:pt>
                <c:pt idx="2243">
                  <c:v>-6.3958864575108646E-4</c:v>
                </c:pt>
                <c:pt idx="2244">
                  <c:v>-6.3280747178440732E-4</c:v>
                </c:pt>
                <c:pt idx="2245">
                  <c:v>-6.2602629781772828E-4</c:v>
                </c:pt>
                <c:pt idx="2246">
                  <c:v>-6.1924512385104914E-4</c:v>
                </c:pt>
                <c:pt idx="2247">
                  <c:v>-6.124639498843701E-4</c:v>
                </c:pt>
                <c:pt idx="2248">
                  <c:v>-6.0568277591769096E-4</c:v>
                </c:pt>
                <c:pt idx="2249">
                  <c:v>-5.9890160195101181E-4</c:v>
                </c:pt>
                <c:pt idx="2250">
                  <c:v>-5.9212042798433267E-4</c:v>
                </c:pt>
                <c:pt idx="2251">
                  <c:v>-5.8533925401765352E-4</c:v>
                </c:pt>
                <c:pt idx="2252">
                  <c:v>-5.7855808005097449E-4</c:v>
                </c:pt>
                <c:pt idx="2253">
                  <c:v>-5.7177690608429469E-4</c:v>
                </c:pt>
                <c:pt idx="2254">
                  <c:v>-5.6499573211761566E-4</c:v>
                </c:pt>
                <c:pt idx="2255">
                  <c:v>-5.5821455815093651E-4</c:v>
                </c:pt>
                <c:pt idx="2256">
                  <c:v>-5.5143338418425748E-4</c:v>
                </c:pt>
                <c:pt idx="2257">
                  <c:v>-9.5172961433954918E-4</c:v>
                </c:pt>
                <c:pt idx="2258">
                  <c:v>-9.4494844037287015E-4</c:v>
                </c:pt>
                <c:pt idx="2259">
                  <c:v>-9.3816726640619089E-4</c:v>
                </c:pt>
                <c:pt idx="2260">
                  <c:v>-9.3138609243951186E-4</c:v>
                </c:pt>
                <c:pt idx="2261">
                  <c:v>-9.2460491847283271E-4</c:v>
                </c:pt>
                <c:pt idx="2262">
                  <c:v>-9.1782374450615357E-4</c:v>
                </c:pt>
                <c:pt idx="2263">
                  <c:v>-9.1104257053947453E-4</c:v>
                </c:pt>
                <c:pt idx="2264">
                  <c:v>-9.0426139657279539E-4</c:v>
                </c:pt>
                <c:pt idx="2265">
                  <c:v>-8.9748022260611635E-4</c:v>
                </c:pt>
                <c:pt idx="2266">
                  <c:v>-8.906990486394371E-4</c:v>
                </c:pt>
                <c:pt idx="2267">
                  <c:v>-8.8391787467275806E-4</c:v>
                </c:pt>
                <c:pt idx="2268">
                  <c:v>-8.7713670070607892E-4</c:v>
                </c:pt>
                <c:pt idx="2269">
                  <c:v>-8.7035552673939988E-4</c:v>
                </c:pt>
                <c:pt idx="2270">
                  <c:v>-8.6357435277272074E-4</c:v>
                </c:pt>
                <c:pt idx="2271">
                  <c:v>-8.567931788060416E-4</c:v>
                </c:pt>
                <c:pt idx="2272">
                  <c:v>-8.5001200483936256E-4</c:v>
                </c:pt>
                <c:pt idx="2273">
                  <c:v>-8.4323083087268352E-4</c:v>
                </c:pt>
                <c:pt idx="2274">
                  <c:v>-8.3644965690600427E-4</c:v>
                </c:pt>
                <c:pt idx="2275">
                  <c:v>-8.2966848293932534E-4</c:v>
                </c:pt>
                <c:pt idx="2276">
                  <c:v>-8.2288730897264631E-4</c:v>
                </c:pt>
                <c:pt idx="2277">
                  <c:v>-8.1610613500596705E-4</c:v>
                </c:pt>
                <c:pt idx="2278">
                  <c:v>-8.0932496103928802E-4</c:v>
                </c:pt>
                <c:pt idx="2279">
                  <c:v>-8.0254378707260887E-4</c:v>
                </c:pt>
                <c:pt idx="2280">
                  <c:v>-7.9576261310592984E-4</c:v>
                </c:pt>
                <c:pt idx="2281">
                  <c:v>-7.8898143913925069E-4</c:v>
                </c:pt>
                <c:pt idx="2282">
                  <c:v>-7.8220026517257155E-4</c:v>
                </c:pt>
                <c:pt idx="2283">
                  <c:v>-7.7541909120589251E-4</c:v>
                </c:pt>
                <c:pt idx="2284">
                  <c:v>-7.6863791723921326E-4</c:v>
                </c:pt>
                <c:pt idx="2285">
                  <c:v>-7.6185674327253422E-4</c:v>
                </c:pt>
                <c:pt idx="2286">
                  <c:v>-7.5507556930585508E-4</c:v>
                </c:pt>
                <c:pt idx="2287">
                  <c:v>-7.4829439533917604E-4</c:v>
                </c:pt>
                <c:pt idx="2288">
                  <c:v>-7.415132213724969E-4</c:v>
                </c:pt>
                <c:pt idx="2289">
                  <c:v>-7.3473204740581786E-4</c:v>
                </c:pt>
                <c:pt idx="2290">
                  <c:v>-7.2795087343913872E-4</c:v>
                </c:pt>
                <c:pt idx="2291">
                  <c:v>-7.2116969947245947E-4</c:v>
                </c:pt>
                <c:pt idx="2292">
                  <c:v>-7.1438852550578043E-4</c:v>
                </c:pt>
                <c:pt idx="2293">
                  <c:v>-7.0760735153910129E-4</c:v>
                </c:pt>
                <c:pt idx="2294">
                  <c:v>-7.0082617757242225E-4</c:v>
                </c:pt>
                <c:pt idx="2295">
                  <c:v>-6.9404500360574321E-4</c:v>
                </c:pt>
                <c:pt idx="2296">
                  <c:v>-6.8726382963906418E-4</c:v>
                </c:pt>
                <c:pt idx="2297">
                  <c:v>-6.8048265567238503E-4</c:v>
                </c:pt>
                <c:pt idx="2298">
                  <c:v>-6.73701481705706E-4</c:v>
                </c:pt>
                <c:pt idx="2299">
                  <c:v>-6.6692030773902685E-4</c:v>
                </c:pt>
                <c:pt idx="2300">
                  <c:v>-6.6013913377234771E-4</c:v>
                </c:pt>
                <c:pt idx="2301">
                  <c:v>-6.5335795980566867E-4</c:v>
                </c:pt>
                <c:pt idx="2302">
                  <c:v>-6.4657678583898942E-4</c:v>
                </c:pt>
                <c:pt idx="2303">
                  <c:v>-6.3979561187231038E-4</c:v>
                </c:pt>
                <c:pt idx="2304">
                  <c:v>-6.3301443790563124E-4</c:v>
                </c:pt>
                <c:pt idx="2305">
                  <c:v>-6.262332639389522E-4</c:v>
                </c:pt>
                <c:pt idx="2306">
                  <c:v>-6.1945208997227306E-4</c:v>
                </c:pt>
                <c:pt idx="2307">
                  <c:v>-6.1267091600559402E-4</c:v>
                </c:pt>
                <c:pt idx="2308">
                  <c:v>-6.0588974203891488E-4</c:v>
                </c:pt>
                <c:pt idx="2309">
                  <c:v>-5.9910856807223562E-4</c:v>
                </c:pt>
                <c:pt idx="2310">
                  <c:v>-5.9232739410555659E-4</c:v>
                </c:pt>
                <c:pt idx="2311">
                  <c:v>-5.8554622013887744E-4</c:v>
                </c:pt>
                <c:pt idx="2312">
                  <c:v>-5.7876504617219841E-4</c:v>
                </c:pt>
                <c:pt idx="2313">
                  <c:v>-5.7198387220551926E-4</c:v>
                </c:pt>
                <c:pt idx="2314">
                  <c:v>-5.6520269823883958E-4</c:v>
                </c:pt>
                <c:pt idx="2315">
                  <c:v>-5.5842152427216043E-4</c:v>
                </c:pt>
                <c:pt idx="2316">
                  <c:v>-5.516403503054814E-4</c:v>
                </c:pt>
                <c:pt idx="2317">
                  <c:v>-5.4485917633880225E-4</c:v>
                </c:pt>
                <c:pt idx="2318">
                  <c:v>-9.4515540649409407E-4</c:v>
                </c:pt>
                <c:pt idx="2319">
                  <c:v>-9.3837423252741481E-4</c:v>
                </c:pt>
                <c:pt idx="2320">
                  <c:v>-9.3159305856073567E-4</c:v>
                </c:pt>
                <c:pt idx="2321">
                  <c:v>-9.2481188459405663E-4</c:v>
                </c:pt>
                <c:pt idx="2322">
                  <c:v>-9.1803071062737749E-4</c:v>
                </c:pt>
                <c:pt idx="2323">
                  <c:v>-9.1124953666069845E-4</c:v>
                </c:pt>
                <c:pt idx="2324">
                  <c:v>-9.0446836269401931E-4</c:v>
                </c:pt>
                <c:pt idx="2325">
                  <c:v>-8.9768718872734027E-4</c:v>
                </c:pt>
                <c:pt idx="2326">
                  <c:v>-8.9090601476066102E-4</c:v>
                </c:pt>
                <c:pt idx="2327">
                  <c:v>-8.8412484079398198E-4</c:v>
                </c:pt>
                <c:pt idx="2328">
                  <c:v>-8.7734366682730284E-4</c:v>
                </c:pt>
                <c:pt idx="2329">
                  <c:v>-8.705624928606237E-4</c:v>
                </c:pt>
                <c:pt idx="2330">
                  <c:v>-8.6378131889394466E-4</c:v>
                </c:pt>
                <c:pt idx="2331">
                  <c:v>-8.5700014492726552E-4</c:v>
                </c:pt>
                <c:pt idx="2332">
                  <c:v>-8.5021897096058648E-4</c:v>
                </c:pt>
                <c:pt idx="2333">
                  <c:v>-8.4343779699390723E-4</c:v>
                </c:pt>
                <c:pt idx="2334">
                  <c:v>-8.3665662302722841E-4</c:v>
                </c:pt>
                <c:pt idx="2335">
                  <c:v>-8.2987544906054905E-4</c:v>
                </c:pt>
                <c:pt idx="2336">
                  <c:v>-8.2309427509387023E-4</c:v>
                </c:pt>
                <c:pt idx="2337">
                  <c:v>-8.1631310112719097E-4</c:v>
                </c:pt>
                <c:pt idx="2338">
                  <c:v>-8.0953192716051194E-4</c:v>
                </c:pt>
                <c:pt idx="2339">
                  <c:v>-8.0275075319383279E-4</c:v>
                </c:pt>
                <c:pt idx="2340">
                  <c:v>-7.9596957922715365E-4</c:v>
                </c:pt>
                <c:pt idx="2341">
                  <c:v>-7.8918840526047472E-4</c:v>
                </c:pt>
                <c:pt idx="2342">
                  <c:v>-7.8240723129379558E-4</c:v>
                </c:pt>
                <c:pt idx="2343">
                  <c:v>-7.7562605732711643E-4</c:v>
                </c:pt>
                <c:pt idx="2344">
                  <c:v>-7.6884488336043729E-4</c:v>
                </c:pt>
                <c:pt idx="2345">
                  <c:v>-7.6206370939375825E-4</c:v>
                </c:pt>
                <c:pt idx="2346">
                  <c:v>-7.5528253542707911E-4</c:v>
                </c:pt>
                <c:pt idx="2347">
                  <c:v>-7.4850136146040007E-4</c:v>
                </c:pt>
                <c:pt idx="2348">
                  <c:v>-7.4172018749372093E-4</c:v>
                </c:pt>
                <c:pt idx="2349">
                  <c:v>-7.3493901352704178E-4</c:v>
                </c:pt>
                <c:pt idx="2350">
                  <c:v>-7.2815783956036264E-4</c:v>
                </c:pt>
                <c:pt idx="2351">
                  <c:v>-7.2137666559368349E-4</c:v>
                </c:pt>
                <c:pt idx="2352">
                  <c:v>-7.1459549162700446E-4</c:v>
                </c:pt>
                <c:pt idx="2353">
                  <c:v>-7.0781431766032531E-4</c:v>
                </c:pt>
                <c:pt idx="2354">
                  <c:v>-7.0103314369364628E-4</c:v>
                </c:pt>
                <c:pt idx="2355">
                  <c:v>-6.9425196972696713E-4</c:v>
                </c:pt>
                <c:pt idx="2356">
                  <c:v>-6.874707957602881E-4</c:v>
                </c:pt>
                <c:pt idx="2357">
                  <c:v>-6.8068962179360895E-4</c:v>
                </c:pt>
                <c:pt idx="2358">
                  <c:v>-6.7390844782692981E-4</c:v>
                </c:pt>
                <c:pt idx="2359">
                  <c:v>-6.6712727386025077E-4</c:v>
                </c:pt>
                <c:pt idx="2360">
                  <c:v>-6.6034609989357163E-4</c:v>
                </c:pt>
                <c:pt idx="2361">
                  <c:v>-6.5356492592689259E-4</c:v>
                </c:pt>
                <c:pt idx="2362">
                  <c:v>-6.4678375196021334E-4</c:v>
                </c:pt>
                <c:pt idx="2363">
                  <c:v>-6.400025779935343E-4</c:v>
                </c:pt>
                <c:pt idx="2364">
                  <c:v>-6.3322140402685516E-4</c:v>
                </c:pt>
                <c:pt idx="2365">
                  <c:v>-6.2644023006017612E-4</c:v>
                </c:pt>
                <c:pt idx="2366">
                  <c:v>-6.1965905609349709E-4</c:v>
                </c:pt>
                <c:pt idx="2367">
                  <c:v>-6.1287788212681805E-4</c:v>
                </c:pt>
                <c:pt idx="2368">
                  <c:v>-6.060967081601388E-4</c:v>
                </c:pt>
                <c:pt idx="2369">
                  <c:v>-5.9931553419345965E-4</c:v>
                </c:pt>
                <c:pt idx="2370">
                  <c:v>-5.9253436022678062E-4</c:v>
                </c:pt>
                <c:pt idx="2371">
                  <c:v>-5.8575318626010147E-4</c:v>
                </c:pt>
                <c:pt idx="2372">
                  <c:v>-5.7897201229342244E-4</c:v>
                </c:pt>
                <c:pt idx="2373">
                  <c:v>-5.7219083832674329E-4</c:v>
                </c:pt>
                <c:pt idx="2374">
                  <c:v>-5.6540966436006426E-4</c:v>
                </c:pt>
                <c:pt idx="2375">
                  <c:v>-5.5862849039338435E-4</c:v>
                </c:pt>
                <c:pt idx="2376">
                  <c:v>-5.5184731642670532E-4</c:v>
                </c:pt>
                <c:pt idx="2377">
                  <c:v>-5.4506614246002628E-4</c:v>
                </c:pt>
                <c:pt idx="2378">
                  <c:v>-5.3828496849334714E-4</c:v>
                </c:pt>
                <c:pt idx="2379">
                  <c:v>-9.3858119864863873E-4</c:v>
                </c:pt>
                <c:pt idx="2380">
                  <c:v>-9.3180002468195959E-4</c:v>
                </c:pt>
                <c:pt idx="2381">
                  <c:v>-9.2501885071528055E-4</c:v>
                </c:pt>
                <c:pt idx="2382">
                  <c:v>-9.1823767674860141E-4</c:v>
                </c:pt>
                <c:pt idx="2383">
                  <c:v>-9.1145650278192237E-4</c:v>
                </c:pt>
                <c:pt idx="2384">
                  <c:v>-9.0467532881524323E-4</c:v>
                </c:pt>
                <c:pt idx="2385">
                  <c:v>-8.9789415484856419E-4</c:v>
                </c:pt>
                <c:pt idx="2386">
                  <c:v>-8.9111298088188494E-4</c:v>
                </c:pt>
                <c:pt idx="2387">
                  <c:v>-8.843318069152059E-4</c:v>
                </c:pt>
                <c:pt idx="2388">
                  <c:v>-8.7755063294852676E-4</c:v>
                </c:pt>
                <c:pt idx="2389">
                  <c:v>-8.7076945898184762E-4</c:v>
                </c:pt>
                <c:pt idx="2390">
                  <c:v>-8.6398828501516858E-4</c:v>
                </c:pt>
                <c:pt idx="2391">
                  <c:v>-8.5720711104848944E-4</c:v>
                </c:pt>
                <c:pt idx="2392">
                  <c:v>-8.504259370818104E-4</c:v>
                </c:pt>
                <c:pt idx="2393">
                  <c:v>-8.4364476311513115E-4</c:v>
                </c:pt>
                <c:pt idx="2394">
                  <c:v>-8.3686358914845211E-4</c:v>
                </c:pt>
                <c:pt idx="2395">
                  <c:v>-8.3008241518177318E-4</c:v>
                </c:pt>
                <c:pt idx="2396">
                  <c:v>-8.2330124121509393E-4</c:v>
                </c:pt>
                <c:pt idx="2397">
                  <c:v>-8.1652006724841489E-4</c:v>
                </c:pt>
                <c:pt idx="2398">
                  <c:v>-8.0973889328173575E-4</c:v>
                </c:pt>
                <c:pt idx="2399">
                  <c:v>-8.0295771931505671E-4</c:v>
                </c:pt>
                <c:pt idx="2400">
                  <c:v>-7.9617654534837757E-4</c:v>
                </c:pt>
                <c:pt idx="2401">
                  <c:v>-7.8939537138169864E-4</c:v>
                </c:pt>
                <c:pt idx="2402">
                  <c:v>-7.826141974150195E-4</c:v>
                </c:pt>
                <c:pt idx="2403">
                  <c:v>-7.7583302344834035E-4</c:v>
                </c:pt>
                <c:pt idx="2404">
                  <c:v>-7.6905184948166121E-4</c:v>
                </c:pt>
                <c:pt idx="2405">
                  <c:v>-7.6227067551498217E-4</c:v>
                </c:pt>
                <c:pt idx="2406">
                  <c:v>-7.5548950154830303E-4</c:v>
                </c:pt>
                <c:pt idx="2407">
                  <c:v>-7.4870832758162399E-4</c:v>
                </c:pt>
                <c:pt idx="2408">
                  <c:v>-7.4192715361494485E-4</c:v>
                </c:pt>
                <c:pt idx="2409">
                  <c:v>-7.351459796482657E-4</c:v>
                </c:pt>
                <c:pt idx="2410">
                  <c:v>-7.2836480568158656E-4</c:v>
                </c:pt>
                <c:pt idx="2411">
                  <c:v>-7.2158363171490741E-4</c:v>
                </c:pt>
                <c:pt idx="2412">
                  <c:v>-7.1480245774822838E-4</c:v>
                </c:pt>
                <c:pt idx="2413">
                  <c:v>-7.0802128378154923E-4</c:v>
                </c:pt>
                <c:pt idx="2414">
                  <c:v>-7.012401098148702E-4</c:v>
                </c:pt>
                <c:pt idx="2415">
                  <c:v>-6.9445893584819105E-4</c:v>
                </c:pt>
                <c:pt idx="2416">
                  <c:v>-6.8767776188151191E-4</c:v>
                </c:pt>
                <c:pt idx="2417">
                  <c:v>-6.8089658791483287E-4</c:v>
                </c:pt>
                <c:pt idx="2418">
                  <c:v>-6.7411541394815373E-4</c:v>
                </c:pt>
                <c:pt idx="2419">
                  <c:v>-6.6733423998147469E-4</c:v>
                </c:pt>
                <c:pt idx="2420">
                  <c:v>-6.6055306601479555E-4</c:v>
                </c:pt>
                <c:pt idx="2421">
                  <c:v>-6.5377189204811651E-4</c:v>
                </c:pt>
                <c:pt idx="2422">
                  <c:v>-6.4699071808143726E-4</c:v>
                </c:pt>
                <c:pt idx="2423">
                  <c:v>-6.4020954411475822E-4</c:v>
                </c:pt>
                <c:pt idx="2424">
                  <c:v>-6.3342837014807908E-4</c:v>
                </c:pt>
                <c:pt idx="2425">
                  <c:v>-6.2664719618140004E-4</c:v>
                </c:pt>
                <c:pt idx="2426">
                  <c:v>-6.198660222147209E-4</c:v>
                </c:pt>
                <c:pt idx="2427">
                  <c:v>-6.1308484824804186E-4</c:v>
                </c:pt>
                <c:pt idx="2428">
                  <c:v>-6.0630367428136272E-4</c:v>
                </c:pt>
                <c:pt idx="2429">
                  <c:v>-5.9952250031468357E-4</c:v>
                </c:pt>
                <c:pt idx="2430">
                  <c:v>-5.9274132634800454E-4</c:v>
                </c:pt>
                <c:pt idx="2431">
                  <c:v>-5.8596015238132539E-4</c:v>
                </c:pt>
                <c:pt idx="2432">
                  <c:v>-5.7917897841464636E-4</c:v>
                </c:pt>
                <c:pt idx="2433">
                  <c:v>-5.7239780444796721E-4</c:v>
                </c:pt>
                <c:pt idx="2434">
                  <c:v>-5.6561663048128818E-4</c:v>
                </c:pt>
                <c:pt idx="2435">
                  <c:v>-5.5883545651460892E-4</c:v>
                </c:pt>
                <c:pt idx="2436">
                  <c:v>-5.5205428254792924E-4</c:v>
                </c:pt>
                <c:pt idx="2437">
                  <c:v>-5.4527310858125009E-4</c:v>
                </c:pt>
                <c:pt idx="2438">
                  <c:v>-5.3849193461457095E-4</c:v>
                </c:pt>
                <c:pt idx="2439">
                  <c:v>-5.3171076064789191E-4</c:v>
                </c:pt>
                <c:pt idx="2440">
                  <c:v>-9.3200699080318351E-4</c:v>
                </c:pt>
                <c:pt idx="2441">
                  <c:v>-9.2522581683650447E-4</c:v>
                </c:pt>
                <c:pt idx="2442">
                  <c:v>-9.1844464286982533E-4</c:v>
                </c:pt>
                <c:pt idx="2443">
                  <c:v>-9.1166346890314629E-4</c:v>
                </c:pt>
                <c:pt idx="2444">
                  <c:v>-9.0488229493646715E-4</c:v>
                </c:pt>
                <c:pt idx="2445">
                  <c:v>-8.9810112096978811E-4</c:v>
                </c:pt>
                <c:pt idx="2446">
                  <c:v>-8.9131994700310886E-4</c:v>
                </c:pt>
                <c:pt idx="2447">
                  <c:v>-8.8453877303642972E-4</c:v>
                </c:pt>
                <c:pt idx="2448">
                  <c:v>-8.7775759906975068E-4</c:v>
                </c:pt>
                <c:pt idx="2449">
                  <c:v>-8.7097642510307154E-4</c:v>
                </c:pt>
                <c:pt idx="2450">
                  <c:v>-8.641952511363925E-4</c:v>
                </c:pt>
                <c:pt idx="2451">
                  <c:v>-8.5741407716971336E-4</c:v>
                </c:pt>
                <c:pt idx="2452">
                  <c:v>-8.5063290320303432E-4</c:v>
                </c:pt>
                <c:pt idx="2453">
                  <c:v>-8.4385172923635507E-4</c:v>
                </c:pt>
                <c:pt idx="2454">
                  <c:v>-8.3707055526967603E-4</c:v>
                </c:pt>
                <c:pt idx="2455">
                  <c:v>-8.3028938130299689E-4</c:v>
                </c:pt>
                <c:pt idx="2456">
                  <c:v>-8.2350820733631796E-4</c:v>
                </c:pt>
                <c:pt idx="2457">
                  <c:v>-8.1672703336963871E-4</c:v>
                </c:pt>
                <c:pt idx="2458">
                  <c:v>-8.0994585940295967E-4</c:v>
                </c:pt>
                <c:pt idx="2459">
                  <c:v>-8.0316468543628063E-4</c:v>
                </c:pt>
                <c:pt idx="2460">
                  <c:v>-7.9638351146960149E-4</c:v>
                </c:pt>
                <c:pt idx="2461">
                  <c:v>-7.8960233750292256E-4</c:v>
                </c:pt>
                <c:pt idx="2462">
                  <c:v>-7.8282116353624342E-4</c:v>
                </c:pt>
                <c:pt idx="2463">
                  <c:v>-7.7603998956956427E-4</c:v>
                </c:pt>
                <c:pt idx="2464">
                  <c:v>-7.6925881560288513E-4</c:v>
                </c:pt>
                <c:pt idx="2465">
                  <c:v>-7.6247764163620609E-4</c:v>
                </c:pt>
                <c:pt idx="2466">
                  <c:v>-7.5569646766952695E-4</c:v>
                </c:pt>
                <c:pt idx="2467">
                  <c:v>-7.489152937028478E-4</c:v>
                </c:pt>
                <c:pt idx="2468">
                  <c:v>-7.4213411973616877E-4</c:v>
                </c:pt>
                <c:pt idx="2469">
                  <c:v>-7.3535294576948962E-4</c:v>
                </c:pt>
                <c:pt idx="2470">
                  <c:v>-7.2857177180281048E-4</c:v>
                </c:pt>
                <c:pt idx="2471">
                  <c:v>-7.2179059783613133E-4</c:v>
                </c:pt>
                <c:pt idx="2472">
                  <c:v>-7.150094238694523E-4</c:v>
                </c:pt>
                <c:pt idx="2473">
                  <c:v>-7.0822824990277315E-4</c:v>
                </c:pt>
                <c:pt idx="2474">
                  <c:v>-7.0144707593609412E-4</c:v>
                </c:pt>
                <c:pt idx="2475">
                  <c:v>-6.9466590196941497E-4</c:v>
                </c:pt>
                <c:pt idx="2476">
                  <c:v>-6.8788472800273572E-4</c:v>
                </c:pt>
                <c:pt idx="2477">
                  <c:v>-6.8110355403605668E-4</c:v>
                </c:pt>
                <c:pt idx="2478">
                  <c:v>-6.7432238006937765E-4</c:v>
                </c:pt>
                <c:pt idx="2479">
                  <c:v>-6.6754120610269861E-4</c:v>
                </c:pt>
                <c:pt idx="2480">
                  <c:v>-6.6076003213601947E-4</c:v>
                </c:pt>
                <c:pt idx="2481">
                  <c:v>-6.5397885816934043E-4</c:v>
                </c:pt>
                <c:pt idx="2482">
                  <c:v>-6.4719768420266118E-4</c:v>
                </c:pt>
                <c:pt idx="2483">
                  <c:v>-6.4041651023598214E-4</c:v>
                </c:pt>
                <c:pt idx="2484">
                  <c:v>-6.33635336269303E-4</c:v>
                </c:pt>
                <c:pt idx="2485">
                  <c:v>-6.2685416230262385E-4</c:v>
                </c:pt>
                <c:pt idx="2486">
                  <c:v>-6.2007298833594482E-4</c:v>
                </c:pt>
                <c:pt idx="2487">
                  <c:v>-6.1329181436926567E-4</c:v>
                </c:pt>
                <c:pt idx="2488">
                  <c:v>-6.0651064040258664E-4</c:v>
                </c:pt>
                <c:pt idx="2489">
                  <c:v>-5.9972946643590749E-4</c:v>
                </c:pt>
                <c:pt idx="2490">
                  <c:v>-5.9294829246922846E-4</c:v>
                </c:pt>
                <c:pt idx="2491">
                  <c:v>-5.8616711850254931E-4</c:v>
                </c:pt>
                <c:pt idx="2492">
                  <c:v>-5.7938594453587028E-4</c:v>
                </c:pt>
                <c:pt idx="2493">
                  <c:v>-5.7260477056919113E-4</c:v>
                </c:pt>
                <c:pt idx="2494">
                  <c:v>-5.6582359660251199E-4</c:v>
                </c:pt>
                <c:pt idx="2495">
                  <c:v>-5.5904242263583284E-4</c:v>
                </c:pt>
                <c:pt idx="2496">
                  <c:v>-5.522612486691537E-4</c:v>
                </c:pt>
                <c:pt idx="2497">
                  <c:v>-5.4548007470247401E-4</c:v>
                </c:pt>
                <c:pt idx="2498">
                  <c:v>-5.3869890073579498E-4</c:v>
                </c:pt>
                <c:pt idx="2499">
                  <c:v>-5.3191772676911583E-4</c:v>
                </c:pt>
                <c:pt idx="2500">
                  <c:v>-5.2513655280243669E-4</c:v>
                </c:pt>
                <c:pt idx="2501">
                  <c:v>-9.2543278295772839E-4</c:v>
                </c:pt>
                <c:pt idx="2502">
                  <c:v>-9.1865160899104925E-4</c:v>
                </c:pt>
                <c:pt idx="2503">
                  <c:v>-9.1187043502437021E-4</c:v>
                </c:pt>
                <c:pt idx="2504">
                  <c:v>-9.0508926105769107E-4</c:v>
                </c:pt>
                <c:pt idx="2505">
                  <c:v>-8.9830808709101193E-4</c:v>
                </c:pt>
                <c:pt idx="2506">
                  <c:v>-8.9152691312433278E-4</c:v>
                </c:pt>
                <c:pt idx="2507">
                  <c:v>-8.8474573915765364E-4</c:v>
                </c:pt>
                <c:pt idx="2508">
                  <c:v>-8.779645651909746E-4</c:v>
                </c:pt>
                <c:pt idx="2509">
                  <c:v>-8.7118339122429546E-4</c:v>
                </c:pt>
                <c:pt idx="2510">
                  <c:v>-8.6440221725761642E-4</c:v>
                </c:pt>
                <c:pt idx="2511">
                  <c:v>-8.5762104329093728E-4</c:v>
                </c:pt>
                <c:pt idx="2512">
                  <c:v>-8.5083986932425824E-4</c:v>
                </c:pt>
                <c:pt idx="2513">
                  <c:v>-8.4405869535757899E-4</c:v>
                </c:pt>
                <c:pt idx="2514">
                  <c:v>-8.3727752139089984E-4</c:v>
                </c:pt>
                <c:pt idx="2515">
                  <c:v>-8.3049634742422081E-4</c:v>
                </c:pt>
                <c:pt idx="2516">
                  <c:v>-8.2371517345754166E-4</c:v>
                </c:pt>
                <c:pt idx="2517">
                  <c:v>-8.1693399949086273E-4</c:v>
                </c:pt>
                <c:pt idx="2518">
                  <c:v>-8.1015282552418348E-4</c:v>
                </c:pt>
                <c:pt idx="2519">
                  <c:v>-8.0337165155750455E-4</c:v>
                </c:pt>
                <c:pt idx="2520">
                  <c:v>-7.9659047759082541E-4</c:v>
                </c:pt>
                <c:pt idx="2521">
                  <c:v>-7.8980930362414648E-4</c:v>
                </c:pt>
                <c:pt idx="2522">
                  <c:v>-7.8302812965746734E-4</c:v>
                </c:pt>
                <c:pt idx="2523">
                  <c:v>-7.7624695569078819E-4</c:v>
                </c:pt>
                <c:pt idx="2524">
                  <c:v>-7.6946578172410905E-4</c:v>
                </c:pt>
                <c:pt idx="2525">
                  <c:v>-7.626846077574299E-4</c:v>
                </c:pt>
                <c:pt idx="2526">
                  <c:v>-7.5590343379075087E-4</c:v>
                </c:pt>
                <c:pt idx="2527">
                  <c:v>-7.4912225982407172E-4</c:v>
                </c:pt>
                <c:pt idx="2528">
                  <c:v>-7.4234108585739269E-4</c:v>
                </c:pt>
                <c:pt idx="2529">
                  <c:v>-7.3555991189071354E-4</c:v>
                </c:pt>
                <c:pt idx="2530">
                  <c:v>-7.287787379240344E-4</c:v>
                </c:pt>
                <c:pt idx="2531">
                  <c:v>-7.2199756395735525E-4</c:v>
                </c:pt>
                <c:pt idx="2532">
                  <c:v>-7.1521638999067622E-4</c:v>
                </c:pt>
                <c:pt idx="2533">
                  <c:v>-7.0843521602399707E-4</c:v>
                </c:pt>
                <c:pt idx="2534">
                  <c:v>-7.0165404205731804E-4</c:v>
                </c:pt>
                <c:pt idx="2535">
                  <c:v>-6.9487286809063889E-4</c:v>
                </c:pt>
                <c:pt idx="2536">
                  <c:v>-6.8809169412395964E-4</c:v>
                </c:pt>
                <c:pt idx="2537">
                  <c:v>-6.813105201572806E-4</c:v>
                </c:pt>
                <c:pt idx="2538">
                  <c:v>-6.7452934619060146E-4</c:v>
                </c:pt>
                <c:pt idx="2539">
                  <c:v>-6.6774817222392253E-4</c:v>
                </c:pt>
                <c:pt idx="2540">
                  <c:v>-6.6096699825724339E-4</c:v>
                </c:pt>
                <c:pt idx="2541">
                  <c:v>-6.5418582429056435E-4</c:v>
                </c:pt>
                <c:pt idx="2542">
                  <c:v>-6.474046503238851E-4</c:v>
                </c:pt>
                <c:pt idx="2543">
                  <c:v>-6.4062347635720606E-4</c:v>
                </c:pt>
                <c:pt idx="2544">
                  <c:v>-6.3384230239052692E-4</c:v>
                </c:pt>
                <c:pt idx="2545">
                  <c:v>-6.2706112842384777E-4</c:v>
                </c:pt>
                <c:pt idx="2546">
                  <c:v>-6.2027995445716874E-4</c:v>
                </c:pt>
                <c:pt idx="2547">
                  <c:v>-6.1349878049048959E-4</c:v>
                </c:pt>
                <c:pt idx="2548">
                  <c:v>-6.0671760652381056E-4</c:v>
                </c:pt>
                <c:pt idx="2549">
                  <c:v>-5.9993643255713141E-4</c:v>
                </c:pt>
                <c:pt idx="2550">
                  <c:v>-5.9315525859045238E-4</c:v>
                </c:pt>
                <c:pt idx="2551">
                  <c:v>-5.8637408462377323E-4</c:v>
                </c:pt>
                <c:pt idx="2552">
                  <c:v>-5.795929106570942E-4</c:v>
                </c:pt>
                <c:pt idx="2553">
                  <c:v>-5.7281173669041505E-4</c:v>
                </c:pt>
                <c:pt idx="2554">
                  <c:v>-5.6603056272373602E-4</c:v>
                </c:pt>
                <c:pt idx="2555">
                  <c:v>-5.5924938875705676E-4</c:v>
                </c:pt>
                <c:pt idx="2556">
                  <c:v>-5.5246821479037762E-4</c:v>
                </c:pt>
                <c:pt idx="2557">
                  <c:v>-5.4568704082369858E-4</c:v>
                </c:pt>
                <c:pt idx="2558">
                  <c:v>-5.3890586685701879E-4</c:v>
                </c:pt>
                <c:pt idx="2559">
                  <c:v>-5.3212469289033964E-4</c:v>
                </c:pt>
                <c:pt idx="2560">
                  <c:v>-5.2534351892366061E-4</c:v>
                </c:pt>
                <c:pt idx="2561">
                  <c:v>-5.1856234495698157E-4</c:v>
                </c:pt>
                <c:pt idx="2562">
                  <c:v>-9.1885857511227339E-4</c:v>
                </c:pt>
                <c:pt idx="2563">
                  <c:v>-9.1207740114559413E-4</c:v>
                </c:pt>
                <c:pt idx="2564">
                  <c:v>-9.052962271789151E-4</c:v>
                </c:pt>
                <c:pt idx="2565">
                  <c:v>-8.9851505321223585E-4</c:v>
                </c:pt>
                <c:pt idx="2566">
                  <c:v>-8.9173387924555692E-4</c:v>
                </c:pt>
                <c:pt idx="2567">
                  <c:v>-8.8495270527887756E-4</c:v>
                </c:pt>
                <c:pt idx="2568">
                  <c:v>-8.7817153131219874E-4</c:v>
                </c:pt>
                <c:pt idx="2569">
                  <c:v>-8.7139035734551938E-4</c:v>
                </c:pt>
                <c:pt idx="2570">
                  <c:v>-8.6460918337884045E-4</c:v>
                </c:pt>
                <c:pt idx="2571">
                  <c:v>-8.578280094121612E-4</c:v>
                </c:pt>
                <c:pt idx="2572">
                  <c:v>-8.5104683544548227E-4</c:v>
                </c:pt>
                <c:pt idx="2573">
                  <c:v>-8.4426566147880291E-4</c:v>
                </c:pt>
                <c:pt idx="2574">
                  <c:v>-8.3748448751212398E-4</c:v>
                </c:pt>
                <c:pt idx="2575">
                  <c:v>-8.3070331354544473E-4</c:v>
                </c:pt>
                <c:pt idx="2576">
                  <c:v>-8.239221395787658E-4</c:v>
                </c:pt>
                <c:pt idx="2577">
                  <c:v>-8.1714096561208655E-4</c:v>
                </c:pt>
                <c:pt idx="2578">
                  <c:v>-8.1035979164540751E-4</c:v>
                </c:pt>
                <c:pt idx="2579">
                  <c:v>-8.0357861767872837E-4</c:v>
                </c:pt>
                <c:pt idx="2580">
                  <c:v>-7.9679744371204933E-4</c:v>
                </c:pt>
                <c:pt idx="2581">
                  <c:v>-7.900162697453704E-4</c:v>
                </c:pt>
                <c:pt idx="2582">
                  <c:v>-7.8323509577869126E-4</c:v>
                </c:pt>
                <c:pt idx="2583">
                  <c:v>-7.76453921812012E-4</c:v>
                </c:pt>
                <c:pt idx="2584">
                  <c:v>-7.6967274784533297E-4</c:v>
                </c:pt>
                <c:pt idx="2585">
                  <c:v>-7.6289157387865382E-4</c:v>
                </c:pt>
                <c:pt idx="2586">
                  <c:v>-7.5611039991197479E-4</c:v>
                </c:pt>
                <c:pt idx="2587">
                  <c:v>-7.4932922594529564E-4</c:v>
                </c:pt>
                <c:pt idx="2588">
                  <c:v>-7.4254805197861661E-4</c:v>
                </c:pt>
                <c:pt idx="2589">
                  <c:v>-7.3576687801193746E-4</c:v>
                </c:pt>
                <c:pt idx="2590">
                  <c:v>-7.2898570404525832E-4</c:v>
                </c:pt>
                <c:pt idx="2591">
                  <c:v>-7.2220453007857917E-4</c:v>
                </c:pt>
                <c:pt idx="2592">
                  <c:v>-7.1542335611190014E-4</c:v>
                </c:pt>
                <c:pt idx="2593">
                  <c:v>-7.0864218214522099E-4</c:v>
                </c:pt>
                <c:pt idx="2594">
                  <c:v>-7.0186100817854185E-4</c:v>
                </c:pt>
                <c:pt idx="2595">
                  <c:v>-6.9507983421186281E-4</c:v>
                </c:pt>
                <c:pt idx="2596">
                  <c:v>-6.8829866024518356E-4</c:v>
                </c:pt>
                <c:pt idx="2597">
                  <c:v>-6.8151748627850452E-4</c:v>
                </c:pt>
                <c:pt idx="2598">
                  <c:v>-6.7473631231182538E-4</c:v>
                </c:pt>
                <c:pt idx="2599">
                  <c:v>-6.6795513834514634E-4</c:v>
                </c:pt>
                <c:pt idx="2600">
                  <c:v>-6.6117396437846731E-4</c:v>
                </c:pt>
                <c:pt idx="2601">
                  <c:v>-6.5439279041178827E-4</c:v>
                </c:pt>
                <c:pt idx="2602">
                  <c:v>-6.4761161644510902E-4</c:v>
                </c:pt>
                <c:pt idx="2603">
                  <c:v>-6.4083044247842987E-4</c:v>
                </c:pt>
                <c:pt idx="2604">
                  <c:v>-6.3404926851175084E-4</c:v>
                </c:pt>
                <c:pt idx="2605">
                  <c:v>-6.2726809454507169E-4</c:v>
                </c:pt>
                <c:pt idx="2606">
                  <c:v>-6.2048692057839266E-4</c:v>
                </c:pt>
                <c:pt idx="2607">
                  <c:v>-6.1370574661171351E-4</c:v>
                </c:pt>
                <c:pt idx="2608">
                  <c:v>-6.0692457264503448E-4</c:v>
                </c:pt>
                <c:pt idx="2609">
                  <c:v>-6.0014339867835523E-4</c:v>
                </c:pt>
                <c:pt idx="2610">
                  <c:v>-5.933622247116763E-4</c:v>
                </c:pt>
                <c:pt idx="2611">
                  <c:v>-5.8658105074499715E-4</c:v>
                </c:pt>
                <c:pt idx="2612">
                  <c:v>-5.7979987677831812E-4</c:v>
                </c:pt>
                <c:pt idx="2613">
                  <c:v>-5.7301870281163897E-4</c:v>
                </c:pt>
                <c:pt idx="2614">
                  <c:v>-5.6623752884495983E-4</c:v>
                </c:pt>
                <c:pt idx="2615">
                  <c:v>-5.5945635487828068E-4</c:v>
                </c:pt>
                <c:pt idx="2616">
                  <c:v>-5.5267518091160154E-4</c:v>
                </c:pt>
                <c:pt idx="2617">
                  <c:v>-5.458940069449225E-4</c:v>
                </c:pt>
                <c:pt idx="2618">
                  <c:v>-5.3911283297824336E-4</c:v>
                </c:pt>
                <c:pt idx="2619">
                  <c:v>-5.3233165901156356E-4</c:v>
                </c:pt>
                <c:pt idx="2620">
                  <c:v>-5.2555048504488453E-4</c:v>
                </c:pt>
                <c:pt idx="2621">
                  <c:v>-5.1876931107820549E-4</c:v>
                </c:pt>
                <c:pt idx="2622">
                  <c:v>-5.1198813711152635E-4</c:v>
                </c:pt>
                <c:pt idx="2623">
                  <c:v>-9.1228436726681795E-4</c:v>
                </c:pt>
                <c:pt idx="2624">
                  <c:v>-9.0550319330013902E-4</c:v>
                </c:pt>
                <c:pt idx="2625">
                  <c:v>-8.9872201933345977E-4</c:v>
                </c:pt>
                <c:pt idx="2626">
                  <c:v>-8.9194084536678084E-4</c:v>
                </c:pt>
                <c:pt idx="2627">
                  <c:v>-8.8515967140010148E-4</c:v>
                </c:pt>
                <c:pt idx="2628">
                  <c:v>-8.7837849743342266E-4</c:v>
                </c:pt>
                <c:pt idx="2629">
                  <c:v>-8.715973234667433E-4</c:v>
                </c:pt>
                <c:pt idx="2630">
                  <c:v>-8.6481614950006437E-4</c:v>
                </c:pt>
                <c:pt idx="2631">
                  <c:v>-8.5803497553338512E-4</c:v>
                </c:pt>
                <c:pt idx="2632">
                  <c:v>-8.5125380156670619E-4</c:v>
                </c:pt>
                <c:pt idx="2633">
                  <c:v>-8.4447262760002683E-4</c:v>
                </c:pt>
                <c:pt idx="2634">
                  <c:v>-8.376914536333479E-4</c:v>
                </c:pt>
                <c:pt idx="2635">
                  <c:v>-8.3091027966666865E-4</c:v>
                </c:pt>
                <c:pt idx="2636">
                  <c:v>-8.2412910569998972E-4</c:v>
                </c:pt>
                <c:pt idx="2637">
                  <c:v>-8.1734793173331047E-4</c:v>
                </c:pt>
                <c:pt idx="2638">
                  <c:v>-8.1056675776663143E-4</c:v>
                </c:pt>
                <c:pt idx="2639">
                  <c:v>-8.0378558379995261E-4</c:v>
                </c:pt>
                <c:pt idx="2640">
                  <c:v>-7.9700440983327314E-4</c:v>
                </c:pt>
                <c:pt idx="2641">
                  <c:v>-7.9022323586659432E-4</c:v>
                </c:pt>
                <c:pt idx="2642">
                  <c:v>-7.8344206189991518E-4</c:v>
                </c:pt>
                <c:pt idx="2643">
                  <c:v>-7.7666088793323592E-4</c:v>
                </c:pt>
                <c:pt idx="2644">
                  <c:v>-7.6987971396655689E-4</c:v>
                </c:pt>
                <c:pt idx="2645">
                  <c:v>-7.6309853999987774E-4</c:v>
                </c:pt>
                <c:pt idx="2646">
                  <c:v>-7.5631736603319871E-4</c:v>
                </c:pt>
                <c:pt idx="2647">
                  <c:v>-7.4953619206651956E-4</c:v>
                </c:pt>
                <c:pt idx="2648">
                  <c:v>-7.4275501809984053E-4</c:v>
                </c:pt>
                <c:pt idx="2649">
                  <c:v>-7.3597384413316138E-4</c:v>
                </c:pt>
                <c:pt idx="2650">
                  <c:v>-7.2919267016648224E-4</c:v>
                </c:pt>
                <c:pt idx="2651">
                  <c:v>-7.2241149619980309E-4</c:v>
                </c:pt>
                <c:pt idx="2652">
                  <c:v>-7.1563032223312395E-4</c:v>
                </c:pt>
                <c:pt idx="2653">
                  <c:v>-7.0884914826644491E-4</c:v>
                </c:pt>
                <c:pt idx="2654">
                  <c:v>-7.0206797429976577E-4</c:v>
                </c:pt>
                <c:pt idx="2655">
                  <c:v>-6.9528680033308673E-4</c:v>
                </c:pt>
                <c:pt idx="2656">
                  <c:v>-6.8850562636640748E-4</c:v>
                </c:pt>
                <c:pt idx="2657">
                  <c:v>-6.8172445239972844E-4</c:v>
                </c:pt>
                <c:pt idx="2658">
                  <c:v>-6.749432784330493E-4</c:v>
                </c:pt>
                <c:pt idx="2659">
                  <c:v>-6.6816210446637026E-4</c:v>
                </c:pt>
                <c:pt idx="2660">
                  <c:v>-6.6138093049969112E-4</c:v>
                </c:pt>
                <c:pt idx="2661">
                  <c:v>-6.5459975653301208E-4</c:v>
                </c:pt>
                <c:pt idx="2662">
                  <c:v>-6.4781858256633294E-4</c:v>
                </c:pt>
                <c:pt idx="2663">
                  <c:v>-6.4103740859965379E-4</c:v>
                </c:pt>
                <c:pt idx="2664">
                  <c:v>-6.3425623463297476E-4</c:v>
                </c:pt>
                <c:pt idx="2665">
                  <c:v>-6.2747506066629561E-4</c:v>
                </c:pt>
                <c:pt idx="2666">
                  <c:v>-6.2069388669961658E-4</c:v>
                </c:pt>
                <c:pt idx="2667">
                  <c:v>-6.1391271273293743E-4</c:v>
                </c:pt>
                <c:pt idx="2668">
                  <c:v>-6.071315387662584E-4</c:v>
                </c:pt>
                <c:pt idx="2669">
                  <c:v>-6.0035036479957915E-4</c:v>
                </c:pt>
                <c:pt idx="2670">
                  <c:v>-5.9356919083290011E-4</c:v>
                </c:pt>
                <c:pt idx="2671">
                  <c:v>-5.8678801686622107E-4</c:v>
                </c:pt>
                <c:pt idx="2672">
                  <c:v>-5.8000684289954193E-4</c:v>
                </c:pt>
                <c:pt idx="2673">
                  <c:v>-5.7322566893286289E-4</c:v>
                </c:pt>
                <c:pt idx="2674">
                  <c:v>-5.6644449496618375E-4</c:v>
                </c:pt>
                <c:pt idx="2675">
                  <c:v>-5.596633209995046E-4</c:v>
                </c:pt>
                <c:pt idx="2676">
                  <c:v>-5.5288214703282546E-4</c:v>
                </c:pt>
                <c:pt idx="2677">
                  <c:v>-5.4610097306614642E-4</c:v>
                </c:pt>
                <c:pt idx="2678">
                  <c:v>-5.3931979909946728E-4</c:v>
                </c:pt>
                <c:pt idx="2679">
                  <c:v>-5.3253862513278824E-4</c:v>
                </c:pt>
                <c:pt idx="2680">
                  <c:v>-5.2575745116610845E-4</c:v>
                </c:pt>
                <c:pt idx="2681">
                  <c:v>-5.189762771994293E-4</c:v>
                </c:pt>
                <c:pt idx="2682">
                  <c:v>-5.1219510323275027E-4</c:v>
                </c:pt>
                <c:pt idx="2683">
                  <c:v>-5.0541392926607112E-4</c:v>
                </c:pt>
                <c:pt idx="2684">
                  <c:v>-9.0571015942136294E-4</c:v>
                </c:pt>
                <c:pt idx="2685">
                  <c:v>-8.9892898545468369E-4</c:v>
                </c:pt>
                <c:pt idx="2686">
                  <c:v>-8.9214781148800476E-4</c:v>
                </c:pt>
                <c:pt idx="2687">
                  <c:v>-8.853666375213254E-4</c:v>
                </c:pt>
                <c:pt idx="2688">
                  <c:v>-8.7858546355464658E-4</c:v>
                </c:pt>
                <c:pt idx="2689">
                  <c:v>-8.7180428958796722E-4</c:v>
                </c:pt>
                <c:pt idx="2690">
                  <c:v>-8.6502311562128829E-4</c:v>
                </c:pt>
                <c:pt idx="2691">
                  <c:v>-8.5824194165460904E-4</c:v>
                </c:pt>
                <c:pt idx="2692">
                  <c:v>-8.5146076768793E-4</c:v>
                </c:pt>
                <c:pt idx="2693">
                  <c:v>-8.4467959372125075E-4</c:v>
                </c:pt>
                <c:pt idx="2694">
                  <c:v>-8.3789841975457182E-4</c:v>
                </c:pt>
                <c:pt idx="2695">
                  <c:v>-8.3111724578789257E-4</c:v>
                </c:pt>
                <c:pt idx="2696">
                  <c:v>-8.2433607182121364E-4</c:v>
                </c:pt>
                <c:pt idx="2697">
                  <c:v>-8.1755489785453439E-4</c:v>
                </c:pt>
                <c:pt idx="2698">
                  <c:v>-8.1077372388785535E-4</c:v>
                </c:pt>
                <c:pt idx="2699">
                  <c:v>-8.0399254992117621E-4</c:v>
                </c:pt>
                <c:pt idx="2700">
                  <c:v>-7.9721137595449717E-4</c:v>
                </c:pt>
                <c:pt idx="2701">
                  <c:v>-7.9043020198781792E-4</c:v>
                </c:pt>
                <c:pt idx="2702">
                  <c:v>-7.836490280211391E-4</c:v>
                </c:pt>
                <c:pt idx="2703">
                  <c:v>-7.7686785405445984E-4</c:v>
                </c:pt>
                <c:pt idx="2704">
                  <c:v>-7.7008668008778081E-4</c:v>
                </c:pt>
                <c:pt idx="2705">
                  <c:v>-7.6330550612110166E-4</c:v>
                </c:pt>
                <c:pt idx="2706">
                  <c:v>-7.5652433215442263E-4</c:v>
                </c:pt>
                <c:pt idx="2707">
                  <c:v>-7.4974315818774348E-4</c:v>
                </c:pt>
                <c:pt idx="2708">
                  <c:v>-7.4296198422106445E-4</c:v>
                </c:pt>
                <c:pt idx="2709">
                  <c:v>-7.361808102543853E-4</c:v>
                </c:pt>
                <c:pt idx="2710">
                  <c:v>-7.2939963628770616E-4</c:v>
                </c:pt>
                <c:pt idx="2711">
                  <c:v>-7.2261846232102701E-4</c:v>
                </c:pt>
                <c:pt idx="2712">
                  <c:v>-7.1583728835434787E-4</c:v>
                </c:pt>
                <c:pt idx="2713">
                  <c:v>-7.0905611438766883E-4</c:v>
                </c:pt>
                <c:pt idx="2714">
                  <c:v>-7.0227494042098969E-4</c:v>
                </c:pt>
                <c:pt idx="2715">
                  <c:v>-6.9549376645431065E-4</c:v>
                </c:pt>
                <c:pt idx="2716">
                  <c:v>-6.887125924876314E-4</c:v>
                </c:pt>
                <c:pt idx="2717">
                  <c:v>-6.8193141852095236E-4</c:v>
                </c:pt>
                <c:pt idx="2718">
                  <c:v>-6.7515024455427322E-4</c:v>
                </c:pt>
                <c:pt idx="2719">
                  <c:v>-6.6836907058759418E-4</c:v>
                </c:pt>
                <c:pt idx="2720">
                  <c:v>-6.6158789662091504E-4</c:v>
                </c:pt>
                <c:pt idx="2721">
                  <c:v>-6.548067226542359E-4</c:v>
                </c:pt>
                <c:pt idx="2722">
                  <c:v>-6.4802554868755686E-4</c:v>
                </c:pt>
                <c:pt idx="2723">
                  <c:v>-6.4124437472087771E-4</c:v>
                </c:pt>
                <c:pt idx="2724">
                  <c:v>-6.3446320075419868E-4</c:v>
                </c:pt>
                <c:pt idx="2725">
                  <c:v>-6.2768202678751953E-4</c:v>
                </c:pt>
                <c:pt idx="2726">
                  <c:v>-6.209008528208405E-4</c:v>
                </c:pt>
                <c:pt idx="2727">
                  <c:v>-6.1411967885416135E-4</c:v>
                </c:pt>
                <c:pt idx="2728">
                  <c:v>-6.0733850488748232E-4</c:v>
                </c:pt>
                <c:pt idx="2729">
                  <c:v>-6.0055733092080307E-4</c:v>
                </c:pt>
                <c:pt idx="2730">
                  <c:v>-5.9377615695412403E-4</c:v>
                </c:pt>
                <c:pt idx="2731">
                  <c:v>-5.8699498298744488E-4</c:v>
                </c:pt>
                <c:pt idx="2732">
                  <c:v>-5.8021380902076585E-4</c:v>
                </c:pt>
                <c:pt idx="2733">
                  <c:v>-5.7343263505408681E-4</c:v>
                </c:pt>
                <c:pt idx="2734">
                  <c:v>-5.6665146108740767E-4</c:v>
                </c:pt>
                <c:pt idx="2735">
                  <c:v>-5.5987028712072852E-4</c:v>
                </c:pt>
                <c:pt idx="2736">
                  <c:v>-5.5308911315404938E-4</c:v>
                </c:pt>
                <c:pt idx="2737">
                  <c:v>-5.4630793918737034E-4</c:v>
                </c:pt>
                <c:pt idx="2738">
                  <c:v>-5.395267652206912E-4</c:v>
                </c:pt>
                <c:pt idx="2739">
                  <c:v>-5.3274559125401216E-4</c:v>
                </c:pt>
                <c:pt idx="2740">
                  <c:v>-5.2596441728733302E-4</c:v>
                </c:pt>
                <c:pt idx="2741">
                  <c:v>-5.1918324332065322E-4</c:v>
                </c:pt>
                <c:pt idx="2742">
                  <c:v>-5.1240206935397408E-4</c:v>
                </c:pt>
                <c:pt idx="2743">
                  <c:v>-5.0562089538729504E-4</c:v>
                </c:pt>
                <c:pt idx="2744">
                  <c:v>-4.988397214206159E-4</c:v>
                </c:pt>
                <c:pt idx="2745">
                  <c:v>-8.9913595157590771E-4</c:v>
                </c:pt>
                <c:pt idx="2746">
                  <c:v>-8.9235477760922868E-4</c:v>
                </c:pt>
                <c:pt idx="2747">
                  <c:v>-8.8557360364254953E-4</c:v>
                </c:pt>
                <c:pt idx="2748">
                  <c:v>-8.787924296758705E-4</c:v>
                </c:pt>
                <c:pt idx="2749">
                  <c:v>-8.7201125570919135E-4</c:v>
                </c:pt>
                <c:pt idx="2750">
                  <c:v>-8.652300817425121E-4</c:v>
                </c:pt>
                <c:pt idx="2751">
                  <c:v>-8.5844890777583306E-4</c:v>
                </c:pt>
                <c:pt idx="2752">
                  <c:v>-8.5166773380915392E-4</c:v>
                </c:pt>
                <c:pt idx="2753">
                  <c:v>-8.4488655984247488E-4</c:v>
                </c:pt>
                <c:pt idx="2754">
                  <c:v>-8.3810538587579574E-4</c:v>
                </c:pt>
                <c:pt idx="2755">
                  <c:v>-8.313242119091167E-4</c:v>
                </c:pt>
                <c:pt idx="2756">
                  <c:v>-8.2454303794243756E-4</c:v>
                </c:pt>
                <c:pt idx="2757">
                  <c:v>-8.1776186397575841E-4</c:v>
                </c:pt>
                <c:pt idx="2758">
                  <c:v>-8.1098069000907927E-4</c:v>
                </c:pt>
                <c:pt idx="2759">
                  <c:v>-8.0419951604240013E-4</c:v>
                </c:pt>
                <c:pt idx="2760">
                  <c:v>-7.9741834207572098E-4</c:v>
                </c:pt>
                <c:pt idx="2761">
                  <c:v>-7.9063716810904205E-4</c:v>
                </c:pt>
                <c:pt idx="2762">
                  <c:v>-7.838559941423628E-4</c:v>
                </c:pt>
                <c:pt idx="2763">
                  <c:v>-7.7707482017568376E-4</c:v>
                </c:pt>
                <c:pt idx="2764">
                  <c:v>-7.7029364620900473E-4</c:v>
                </c:pt>
                <c:pt idx="2765">
                  <c:v>-7.6351247224232558E-4</c:v>
                </c:pt>
                <c:pt idx="2766">
                  <c:v>-7.5673129827564655E-4</c:v>
                </c:pt>
                <c:pt idx="2767">
                  <c:v>-7.499501243089674E-4</c:v>
                </c:pt>
                <c:pt idx="2768">
                  <c:v>-7.4316895034228837E-4</c:v>
                </c:pt>
                <c:pt idx="2769">
                  <c:v>-7.3638777637560922E-4</c:v>
                </c:pt>
                <c:pt idx="2770">
                  <c:v>-7.2960660240892997E-4</c:v>
                </c:pt>
                <c:pt idx="2771">
                  <c:v>-7.2282542844225093E-4</c:v>
                </c:pt>
                <c:pt idx="2772">
                  <c:v>-7.1604425447557179E-4</c:v>
                </c:pt>
                <c:pt idx="2773">
                  <c:v>-7.0926308050889275E-4</c:v>
                </c:pt>
                <c:pt idx="2774">
                  <c:v>-7.0248190654221361E-4</c:v>
                </c:pt>
                <c:pt idx="2775">
                  <c:v>-6.9570073257553457E-4</c:v>
                </c:pt>
                <c:pt idx="2776">
                  <c:v>-6.8891955860885532E-4</c:v>
                </c:pt>
                <c:pt idx="2777">
                  <c:v>-6.8213838464217628E-4</c:v>
                </c:pt>
                <c:pt idx="2778">
                  <c:v>-6.7535721067549714E-4</c:v>
                </c:pt>
                <c:pt idx="2779">
                  <c:v>-6.68576036708818E-4</c:v>
                </c:pt>
                <c:pt idx="2780">
                  <c:v>-6.6179486274213896E-4</c:v>
                </c:pt>
                <c:pt idx="2781">
                  <c:v>-6.5501368877545982E-4</c:v>
                </c:pt>
                <c:pt idx="2782">
                  <c:v>-6.4823251480878078E-4</c:v>
                </c:pt>
                <c:pt idx="2783">
                  <c:v>-6.4145134084210164E-4</c:v>
                </c:pt>
                <c:pt idx="2784">
                  <c:v>-6.346701668754226E-4</c:v>
                </c:pt>
                <c:pt idx="2785">
                  <c:v>-6.2788899290874345E-4</c:v>
                </c:pt>
                <c:pt idx="2786">
                  <c:v>-6.2110781894206442E-4</c:v>
                </c:pt>
                <c:pt idx="2787">
                  <c:v>-6.1432664497538527E-4</c:v>
                </c:pt>
                <c:pt idx="2788">
                  <c:v>-6.0754547100870613E-4</c:v>
                </c:pt>
                <c:pt idx="2789">
                  <c:v>-6.0076429704202699E-4</c:v>
                </c:pt>
                <c:pt idx="2790">
                  <c:v>-5.9398312307534784E-4</c:v>
                </c:pt>
                <c:pt idx="2791">
                  <c:v>-5.872019491086688E-4</c:v>
                </c:pt>
                <c:pt idx="2792">
                  <c:v>-5.8042077514198966E-4</c:v>
                </c:pt>
                <c:pt idx="2793">
                  <c:v>-5.7363960117531073E-4</c:v>
                </c:pt>
                <c:pt idx="2794">
                  <c:v>-5.6685842720863159E-4</c:v>
                </c:pt>
                <c:pt idx="2795">
                  <c:v>-5.6007725324195244E-4</c:v>
                </c:pt>
                <c:pt idx="2796">
                  <c:v>-5.532960792752733E-4</c:v>
                </c:pt>
                <c:pt idx="2797">
                  <c:v>-5.4651490530859426E-4</c:v>
                </c:pt>
                <c:pt idx="2798">
                  <c:v>-5.3973373134191512E-4</c:v>
                </c:pt>
                <c:pt idx="2799">
                  <c:v>-5.3295255737523597E-4</c:v>
                </c:pt>
                <c:pt idx="2800">
                  <c:v>-5.2617138340855683E-4</c:v>
                </c:pt>
                <c:pt idx="2801">
                  <c:v>-5.1939020944187779E-4</c:v>
                </c:pt>
                <c:pt idx="2802">
                  <c:v>-5.12609035475198E-4</c:v>
                </c:pt>
                <c:pt idx="2803">
                  <c:v>-5.0582786150851885E-4</c:v>
                </c:pt>
                <c:pt idx="2804">
                  <c:v>-4.9904668754183982E-4</c:v>
                </c:pt>
                <c:pt idx="2805">
                  <c:v>-4.9226551357516078E-4</c:v>
                </c:pt>
                <c:pt idx="2806">
                  <c:v>-8.925617437304526E-4</c:v>
                </c:pt>
                <c:pt idx="2807">
                  <c:v>-8.8578056976377345E-4</c:v>
                </c:pt>
                <c:pt idx="2808">
                  <c:v>-8.7899939579709431E-4</c:v>
                </c:pt>
                <c:pt idx="2809">
                  <c:v>-8.7221822183041527E-4</c:v>
                </c:pt>
                <c:pt idx="2810">
                  <c:v>-8.6543704786373602E-4</c:v>
                </c:pt>
                <c:pt idx="2811">
                  <c:v>-8.5865587389705698E-4</c:v>
                </c:pt>
                <c:pt idx="2812">
                  <c:v>-8.5187469993037784E-4</c:v>
                </c:pt>
                <c:pt idx="2813">
                  <c:v>-8.450935259636988E-4</c:v>
                </c:pt>
                <c:pt idx="2814">
                  <c:v>-8.3831235199701966E-4</c:v>
                </c:pt>
                <c:pt idx="2815">
                  <c:v>-8.3153117803034062E-4</c:v>
                </c:pt>
                <c:pt idx="2816">
                  <c:v>-8.2475000406366148E-4</c:v>
                </c:pt>
                <c:pt idx="2817">
                  <c:v>-8.1796883009698233E-4</c:v>
                </c:pt>
                <c:pt idx="2818">
                  <c:v>-8.1118765613030319E-4</c:v>
                </c:pt>
                <c:pt idx="2819">
                  <c:v>-8.0440648216362405E-4</c:v>
                </c:pt>
                <c:pt idx="2820">
                  <c:v>-7.976253081969449E-4</c:v>
                </c:pt>
                <c:pt idx="2821">
                  <c:v>-7.9084413423026576E-4</c:v>
                </c:pt>
                <c:pt idx="2822">
                  <c:v>-7.8406296026358694E-4</c:v>
                </c:pt>
                <c:pt idx="2823">
                  <c:v>-7.7728178629690758E-4</c:v>
                </c:pt>
                <c:pt idx="2824">
                  <c:v>-7.7050061233022865E-4</c:v>
                </c:pt>
                <c:pt idx="2825">
                  <c:v>-7.637194383635495E-4</c:v>
                </c:pt>
                <c:pt idx="2826">
                  <c:v>-7.5693826439687047E-4</c:v>
                </c:pt>
                <c:pt idx="2827">
                  <c:v>-7.5015709043019132E-4</c:v>
                </c:pt>
                <c:pt idx="2828">
                  <c:v>-7.4337591646351218E-4</c:v>
                </c:pt>
                <c:pt idx="2829">
                  <c:v>-7.3659474249683314E-4</c:v>
                </c:pt>
                <c:pt idx="2830">
                  <c:v>-7.2981356853015389E-4</c:v>
                </c:pt>
                <c:pt idx="2831">
                  <c:v>-7.2303239456347485E-4</c:v>
                </c:pt>
                <c:pt idx="2832">
                  <c:v>-7.1625122059679571E-4</c:v>
                </c:pt>
                <c:pt idx="2833">
                  <c:v>-7.0947004663011667E-4</c:v>
                </c:pt>
                <c:pt idx="2834">
                  <c:v>-7.0268887266343753E-4</c:v>
                </c:pt>
                <c:pt idx="2835">
                  <c:v>-6.9590769869675849E-4</c:v>
                </c:pt>
                <c:pt idx="2836">
                  <c:v>-6.8912652473007924E-4</c:v>
                </c:pt>
                <c:pt idx="2837">
                  <c:v>-6.823453507634001E-4</c:v>
                </c:pt>
                <c:pt idx="2838">
                  <c:v>-6.7556417679672106E-4</c:v>
                </c:pt>
                <c:pt idx="2839">
                  <c:v>-6.6878300283004192E-4</c:v>
                </c:pt>
                <c:pt idx="2840">
                  <c:v>-6.6200182886336288E-4</c:v>
                </c:pt>
                <c:pt idx="2841">
                  <c:v>-6.5522065489668374E-4</c:v>
                </c:pt>
                <c:pt idx="2842">
                  <c:v>-6.484394809300047E-4</c:v>
                </c:pt>
                <c:pt idx="2843">
                  <c:v>-6.4165830696332545E-4</c:v>
                </c:pt>
                <c:pt idx="2844">
                  <c:v>-6.3487713299664652E-4</c:v>
                </c:pt>
                <c:pt idx="2845">
                  <c:v>-6.2809595902996737E-4</c:v>
                </c:pt>
                <c:pt idx="2846">
                  <c:v>-6.2131478506328823E-4</c:v>
                </c:pt>
                <c:pt idx="2847">
                  <c:v>-6.1453361109660919E-4</c:v>
                </c:pt>
                <c:pt idx="2848">
                  <c:v>-6.0775243712993005E-4</c:v>
                </c:pt>
                <c:pt idx="2849">
                  <c:v>-6.0097126316325091E-4</c:v>
                </c:pt>
                <c:pt idx="2850">
                  <c:v>-5.9419008919657176E-4</c:v>
                </c:pt>
                <c:pt idx="2851">
                  <c:v>-5.8740891522989272E-4</c:v>
                </c:pt>
                <c:pt idx="2852">
                  <c:v>-5.8062774126321358E-4</c:v>
                </c:pt>
                <c:pt idx="2853">
                  <c:v>-5.7384656729653454E-4</c:v>
                </c:pt>
                <c:pt idx="2854">
                  <c:v>-5.6706539332985551E-4</c:v>
                </c:pt>
                <c:pt idx="2855">
                  <c:v>-5.6028421936317636E-4</c:v>
                </c:pt>
                <c:pt idx="2856">
                  <c:v>-5.5350304539649722E-4</c:v>
                </c:pt>
                <c:pt idx="2857">
                  <c:v>-5.4672187142981808E-4</c:v>
                </c:pt>
                <c:pt idx="2858">
                  <c:v>-5.3994069746313904E-4</c:v>
                </c:pt>
                <c:pt idx="2859">
                  <c:v>-5.3315952349645989E-4</c:v>
                </c:pt>
                <c:pt idx="2860">
                  <c:v>-5.2637834952978075E-4</c:v>
                </c:pt>
                <c:pt idx="2861">
                  <c:v>-5.1959717556310171E-4</c:v>
                </c:pt>
                <c:pt idx="2862">
                  <c:v>-5.1281600159642257E-4</c:v>
                </c:pt>
                <c:pt idx="2863">
                  <c:v>-5.0603482762974277E-4</c:v>
                </c:pt>
                <c:pt idx="2864">
                  <c:v>-4.9925365366306363E-4</c:v>
                </c:pt>
                <c:pt idx="2865">
                  <c:v>-4.924724796963847E-4</c:v>
                </c:pt>
                <c:pt idx="2866">
                  <c:v>-4.8569130572970556E-4</c:v>
                </c:pt>
                <c:pt idx="2867">
                  <c:v>-8.8598753588499737E-4</c:v>
                </c:pt>
                <c:pt idx="2868">
                  <c:v>-8.7920636191831823E-4</c:v>
                </c:pt>
                <c:pt idx="2869">
                  <c:v>-8.7242518795163919E-4</c:v>
                </c:pt>
                <c:pt idx="2870">
                  <c:v>-8.6564401398495994E-4</c:v>
                </c:pt>
                <c:pt idx="2871">
                  <c:v>-8.588628400182809E-4</c:v>
                </c:pt>
                <c:pt idx="2872">
                  <c:v>-8.5208166605160176E-4</c:v>
                </c:pt>
                <c:pt idx="2873">
                  <c:v>-8.4530049208492272E-4</c:v>
                </c:pt>
                <c:pt idx="2874">
                  <c:v>-8.3851931811824358E-4</c:v>
                </c:pt>
                <c:pt idx="2875">
                  <c:v>-8.3173814415156454E-4</c:v>
                </c:pt>
                <c:pt idx="2876">
                  <c:v>-8.249569701848854E-4</c:v>
                </c:pt>
                <c:pt idx="2877">
                  <c:v>-8.1817579621820615E-4</c:v>
                </c:pt>
                <c:pt idx="2878">
                  <c:v>-8.1139462225152711E-4</c:v>
                </c:pt>
                <c:pt idx="2879">
                  <c:v>-8.0461344828484797E-4</c:v>
                </c:pt>
                <c:pt idx="2880">
                  <c:v>-7.9783227431816882E-4</c:v>
                </c:pt>
                <c:pt idx="2881">
                  <c:v>-7.9105110035148968E-4</c:v>
                </c:pt>
                <c:pt idx="2882">
                  <c:v>-7.8426992638481064E-4</c:v>
                </c:pt>
                <c:pt idx="2883">
                  <c:v>-7.774887524181316E-4</c:v>
                </c:pt>
                <c:pt idx="2884">
                  <c:v>-7.7070757845145246E-4</c:v>
                </c:pt>
                <c:pt idx="2885">
                  <c:v>-7.6392640448477342E-4</c:v>
                </c:pt>
                <c:pt idx="2886">
                  <c:v>-7.5714523051809428E-4</c:v>
                </c:pt>
                <c:pt idx="2887">
                  <c:v>-7.5036405655141524E-4</c:v>
                </c:pt>
                <c:pt idx="2888">
                  <c:v>-7.435828825847361E-4</c:v>
                </c:pt>
                <c:pt idx="2889">
                  <c:v>-7.3680170861805706E-4</c:v>
                </c:pt>
                <c:pt idx="2890">
                  <c:v>-7.3002053465137781E-4</c:v>
                </c:pt>
                <c:pt idx="2891">
                  <c:v>-7.2323936068469877E-4</c:v>
                </c:pt>
                <c:pt idx="2892">
                  <c:v>-7.1645818671801963E-4</c:v>
                </c:pt>
                <c:pt idx="2893">
                  <c:v>-7.0967701275134059E-4</c:v>
                </c:pt>
                <c:pt idx="2894">
                  <c:v>-7.0289583878466145E-4</c:v>
                </c:pt>
                <c:pt idx="2895">
                  <c:v>-6.9611466481798241E-4</c:v>
                </c:pt>
                <c:pt idx="2896">
                  <c:v>-6.8933349085130316E-4</c:v>
                </c:pt>
                <c:pt idx="2897">
                  <c:v>-6.8255231688462402E-4</c:v>
                </c:pt>
                <c:pt idx="2898">
                  <c:v>-6.7577114291794498E-4</c:v>
                </c:pt>
                <c:pt idx="2899">
                  <c:v>-6.6898996895126584E-4</c:v>
                </c:pt>
                <c:pt idx="2900">
                  <c:v>-6.622087949845868E-4</c:v>
                </c:pt>
                <c:pt idx="2901">
                  <c:v>-6.5542762101790766E-4</c:v>
                </c:pt>
                <c:pt idx="2902">
                  <c:v>-6.4864644705122862E-4</c:v>
                </c:pt>
                <c:pt idx="2903">
                  <c:v>-6.4186527308454937E-4</c:v>
                </c:pt>
                <c:pt idx="2904">
                  <c:v>-6.3508409911787033E-4</c:v>
                </c:pt>
                <c:pt idx="2905">
                  <c:v>-6.2830292515119129E-4</c:v>
                </c:pt>
                <c:pt idx="2906">
                  <c:v>-6.2152175118451226E-4</c:v>
                </c:pt>
                <c:pt idx="2907">
                  <c:v>-6.1474057721783311E-4</c:v>
                </c:pt>
                <c:pt idx="2908">
                  <c:v>-6.0795940325115397E-4</c:v>
                </c:pt>
                <c:pt idx="2909">
                  <c:v>-6.0117822928447483E-4</c:v>
                </c:pt>
                <c:pt idx="2910">
                  <c:v>-5.9439705531779568E-4</c:v>
                </c:pt>
                <c:pt idx="2911">
                  <c:v>-5.8761588135111664E-4</c:v>
                </c:pt>
                <c:pt idx="2912">
                  <c:v>-5.808347073844375E-4</c:v>
                </c:pt>
                <c:pt idx="2913">
                  <c:v>-5.7405353341775846E-4</c:v>
                </c:pt>
                <c:pt idx="2914">
                  <c:v>-5.6727235945107932E-4</c:v>
                </c:pt>
                <c:pt idx="2915">
                  <c:v>-5.6049118548440018E-4</c:v>
                </c:pt>
                <c:pt idx="2916">
                  <c:v>-5.5371001151772114E-4</c:v>
                </c:pt>
                <c:pt idx="2917">
                  <c:v>-5.46928837551042E-4</c:v>
                </c:pt>
                <c:pt idx="2918">
                  <c:v>-5.4014766358436296E-4</c:v>
                </c:pt>
                <c:pt idx="2919">
                  <c:v>-5.3336648961768381E-4</c:v>
                </c:pt>
                <c:pt idx="2920">
                  <c:v>-5.2658531565100467E-4</c:v>
                </c:pt>
                <c:pt idx="2921">
                  <c:v>-5.1980414168432563E-4</c:v>
                </c:pt>
                <c:pt idx="2922">
                  <c:v>-5.1302296771764649E-4</c:v>
                </c:pt>
                <c:pt idx="2923">
                  <c:v>-5.0624179375096735E-4</c:v>
                </c:pt>
                <c:pt idx="2924">
                  <c:v>-4.9946061978428755E-4</c:v>
                </c:pt>
                <c:pt idx="2925">
                  <c:v>-4.9267944581760851E-4</c:v>
                </c:pt>
                <c:pt idx="2926">
                  <c:v>-4.8589827185092948E-4</c:v>
                </c:pt>
                <c:pt idx="2927">
                  <c:v>-4.7911709788425033E-4</c:v>
                </c:pt>
                <c:pt idx="2928">
                  <c:v>-8.7941332803954215E-4</c:v>
                </c:pt>
                <c:pt idx="2929">
                  <c:v>-8.7263215407286311E-4</c:v>
                </c:pt>
                <c:pt idx="2930">
                  <c:v>-8.6585098010618386E-4</c:v>
                </c:pt>
                <c:pt idx="2931">
                  <c:v>-8.5906980613950482E-4</c:v>
                </c:pt>
                <c:pt idx="2932">
                  <c:v>-8.5228863217282568E-4</c:v>
                </c:pt>
                <c:pt idx="2933">
                  <c:v>-8.4550745820614664E-4</c:v>
                </c:pt>
                <c:pt idx="2934">
                  <c:v>-8.387262842394675E-4</c:v>
                </c:pt>
                <c:pt idx="2935">
                  <c:v>-8.3194511027278836E-4</c:v>
                </c:pt>
                <c:pt idx="2936">
                  <c:v>-8.2516393630610932E-4</c:v>
                </c:pt>
                <c:pt idx="2937">
                  <c:v>-8.1838276233943007E-4</c:v>
                </c:pt>
                <c:pt idx="2938">
                  <c:v>-8.1160158837275103E-4</c:v>
                </c:pt>
                <c:pt idx="2939">
                  <c:v>-8.0482041440607189E-4</c:v>
                </c:pt>
                <c:pt idx="2940">
                  <c:v>-7.9803924043939285E-4</c:v>
                </c:pt>
                <c:pt idx="2941">
                  <c:v>-7.9125806647271371E-4</c:v>
                </c:pt>
                <c:pt idx="2942">
                  <c:v>-7.8447689250603467E-4</c:v>
                </c:pt>
                <c:pt idx="2943">
                  <c:v>-7.7769571853935552E-4</c:v>
                </c:pt>
                <c:pt idx="2944">
                  <c:v>-7.709145445726766E-4</c:v>
                </c:pt>
                <c:pt idx="2945">
                  <c:v>-7.6413337060599724E-4</c:v>
                </c:pt>
                <c:pt idx="2946">
                  <c:v>-7.5735219663931831E-4</c:v>
                </c:pt>
                <c:pt idx="2947">
                  <c:v>-7.5057102267263927E-4</c:v>
                </c:pt>
                <c:pt idx="2948">
                  <c:v>-7.4378984870596002E-4</c:v>
                </c:pt>
                <c:pt idx="2949">
                  <c:v>-7.3700867473928098E-4</c:v>
                </c:pt>
                <c:pt idx="2950">
                  <c:v>-7.3022750077260184E-4</c:v>
                </c:pt>
                <c:pt idx="2951">
                  <c:v>-7.234463268059228E-4</c:v>
                </c:pt>
                <c:pt idx="2952">
                  <c:v>-7.1666515283924366E-4</c:v>
                </c:pt>
                <c:pt idx="2953">
                  <c:v>-7.0988397887256462E-4</c:v>
                </c:pt>
                <c:pt idx="2954">
                  <c:v>-7.0310280490588548E-4</c:v>
                </c:pt>
                <c:pt idx="2955">
                  <c:v>-6.9632163093920623E-4</c:v>
                </c:pt>
                <c:pt idx="2956">
                  <c:v>-6.8954045697252719E-4</c:v>
                </c:pt>
                <c:pt idx="2957">
                  <c:v>-6.8275928300584804E-4</c:v>
                </c:pt>
                <c:pt idx="2958">
                  <c:v>-6.7597810903916901E-4</c:v>
                </c:pt>
                <c:pt idx="2959">
                  <c:v>-6.6919693507248986E-4</c:v>
                </c:pt>
                <c:pt idx="2960">
                  <c:v>-6.6241576110581083E-4</c:v>
                </c:pt>
                <c:pt idx="2961">
                  <c:v>-6.5563458713913168E-4</c:v>
                </c:pt>
                <c:pt idx="2962">
                  <c:v>-6.4885341317245254E-4</c:v>
                </c:pt>
                <c:pt idx="2963">
                  <c:v>-6.420722392057734E-4</c:v>
                </c:pt>
                <c:pt idx="2964">
                  <c:v>-6.3529106523909436E-4</c:v>
                </c:pt>
                <c:pt idx="2965">
                  <c:v>-6.2850989127241521E-4</c:v>
                </c:pt>
                <c:pt idx="2966">
                  <c:v>-6.2172871730573607E-4</c:v>
                </c:pt>
                <c:pt idx="2967">
                  <c:v>-6.1494754333905703E-4</c:v>
                </c:pt>
                <c:pt idx="2968">
                  <c:v>-6.0816636937237789E-4</c:v>
                </c:pt>
                <c:pt idx="2969">
                  <c:v>-6.0138519540569875E-4</c:v>
                </c:pt>
                <c:pt idx="2970">
                  <c:v>-5.946040214390196E-4</c:v>
                </c:pt>
                <c:pt idx="2971">
                  <c:v>-5.8782284747234056E-4</c:v>
                </c:pt>
                <c:pt idx="2972">
                  <c:v>-5.8104167350566142E-4</c:v>
                </c:pt>
                <c:pt idx="2973">
                  <c:v>-5.7426049953898228E-4</c:v>
                </c:pt>
                <c:pt idx="2974">
                  <c:v>-5.6747932557230324E-4</c:v>
                </c:pt>
                <c:pt idx="2975">
                  <c:v>-5.606981516056241E-4</c:v>
                </c:pt>
                <c:pt idx="2976">
                  <c:v>-5.5391697763894517E-4</c:v>
                </c:pt>
                <c:pt idx="2977">
                  <c:v>-5.4713580367226602E-4</c:v>
                </c:pt>
                <c:pt idx="2978">
                  <c:v>-5.4035462970558699E-4</c:v>
                </c:pt>
                <c:pt idx="2979">
                  <c:v>-5.3357345573890784E-4</c:v>
                </c:pt>
                <c:pt idx="2980">
                  <c:v>-5.267922817722287E-4</c:v>
                </c:pt>
                <c:pt idx="2981">
                  <c:v>-5.2001110780554966E-4</c:v>
                </c:pt>
                <c:pt idx="2982">
                  <c:v>-5.1322993383887041E-4</c:v>
                </c:pt>
                <c:pt idx="2983">
                  <c:v>-5.0644875987219137E-4</c:v>
                </c:pt>
                <c:pt idx="2984">
                  <c:v>-4.9966758590551234E-4</c:v>
                </c:pt>
                <c:pt idx="2985">
                  <c:v>-4.9288641193883233E-4</c:v>
                </c:pt>
                <c:pt idx="2986">
                  <c:v>-4.8610523797215329E-4</c:v>
                </c:pt>
                <c:pt idx="2987">
                  <c:v>-4.7932406400547436E-4</c:v>
                </c:pt>
                <c:pt idx="2988">
                  <c:v>-4.7254289003879522E-4</c:v>
                </c:pt>
                <c:pt idx="2989">
                  <c:v>-8.7283912019408703E-4</c:v>
                </c:pt>
                <c:pt idx="2990">
                  <c:v>-8.6605794622740778E-4</c:v>
                </c:pt>
                <c:pt idx="2991">
                  <c:v>-8.5927677226072874E-4</c:v>
                </c:pt>
                <c:pt idx="2992">
                  <c:v>-8.524955982940496E-4</c:v>
                </c:pt>
                <c:pt idx="2993">
                  <c:v>-8.4571442432737056E-4</c:v>
                </c:pt>
                <c:pt idx="2994">
                  <c:v>-8.3893325036069142E-4</c:v>
                </c:pt>
                <c:pt idx="2995">
                  <c:v>-8.3215207639401228E-4</c:v>
                </c:pt>
                <c:pt idx="2996">
                  <c:v>-8.2537090242733324E-4</c:v>
                </c:pt>
                <c:pt idx="2997">
                  <c:v>-8.1858972846065399E-4</c:v>
                </c:pt>
                <c:pt idx="2998">
                  <c:v>-8.1180855449397495E-4</c:v>
                </c:pt>
                <c:pt idx="2999">
                  <c:v>-8.0502738052729581E-4</c:v>
                </c:pt>
                <c:pt idx="3000">
                  <c:v>-7.9824620656061677E-4</c:v>
                </c:pt>
                <c:pt idx="3001">
                  <c:v>-7.9146503259393763E-4</c:v>
                </c:pt>
                <c:pt idx="3002">
                  <c:v>-7.8468385862725859E-4</c:v>
                </c:pt>
                <c:pt idx="3003">
                  <c:v>-7.7790268466057944E-4</c:v>
                </c:pt>
                <c:pt idx="3004">
                  <c:v>-7.7112151069390019E-4</c:v>
                </c:pt>
                <c:pt idx="3005">
                  <c:v>-7.6434033672722137E-4</c:v>
                </c:pt>
                <c:pt idx="3006">
                  <c:v>-7.5755916276054201E-4</c:v>
                </c:pt>
                <c:pt idx="3007">
                  <c:v>-7.5077798879386319E-4</c:v>
                </c:pt>
                <c:pt idx="3008">
                  <c:v>-7.4399681482718394E-4</c:v>
                </c:pt>
                <c:pt idx="3009">
                  <c:v>-7.372156408605049E-4</c:v>
                </c:pt>
                <c:pt idx="3010">
                  <c:v>-7.3043446689382576E-4</c:v>
                </c:pt>
                <c:pt idx="3011">
                  <c:v>-7.2365329292714672E-4</c:v>
                </c:pt>
                <c:pt idx="3012">
                  <c:v>-7.1687211896046758E-4</c:v>
                </c:pt>
                <c:pt idx="3013">
                  <c:v>-7.1009094499378854E-4</c:v>
                </c:pt>
                <c:pt idx="3014">
                  <c:v>-7.033097710271094E-4</c:v>
                </c:pt>
                <c:pt idx="3015">
                  <c:v>-6.9652859706043015E-4</c:v>
                </c:pt>
                <c:pt idx="3016">
                  <c:v>-6.8974742309375111E-4</c:v>
                </c:pt>
                <c:pt idx="3017">
                  <c:v>-6.8296624912707197E-4</c:v>
                </c:pt>
                <c:pt idx="3018">
                  <c:v>-6.7618507516039293E-4</c:v>
                </c:pt>
                <c:pt idx="3019">
                  <c:v>-6.6940390119371378E-4</c:v>
                </c:pt>
                <c:pt idx="3020">
                  <c:v>-6.6262272722703475E-4</c:v>
                </c:pt>
                <c:pt idx="3021">
                  <c:v>-6.558415532603556E-4</c:v>
                </c:pt>
                <c:pt idx="3022">
                  <c:v>-6.4906037929367646E-4</c:v>
                </c:pt>
                <c:pt idx="3023">
                  <c:v>-6.4227920532699732E-4</c:v>
                </c:pt>
                <c:pt idx="3024">
                  <c:v>-6.3549803136031817E-4</c:v>
                </c:pt>
                <c:pt idx="3025">
                  <c:v>-6.2871685739363913E-4</c:v>
                </c:pt>
                <c:pt idx="3026">
                  <c:v>-6.2193568342695999E-4</c:v>
                </c:pt>
                <c:pt idx="3027">
                  <c:v>-6.1515450946028095E-4</c:v>
                </c:pt>
                <c:pt idx="3028">
                  <c:v>-6.0837333549360181E-4</c:v>
                </c:pt>
                <c:pt idx="3029">
                  <c:v>-6.0159216152692267E-4</c:v>
                </c:pt>
                <c:pt idx="3030">
                  <c:v>-5.9481098756024352E-4</c:v>
                </c:pt>
                <c:pt idx="3031">
                  <c:v>-5.8802981359356449E-4</c:v>
                </c:pt>
                <c:pt idx="3032">
                  <c:v>-5.8124863962688534E-4</c:v>
                </c:pt>
                <c:pt idx="3033">
                  <c:v>-5.744674656602063E-4</c:v>
                </c:pt>
                <c:pt idx="3034">
                  <c:v>-5.6768629169352716E-4</c:v>
                </c:pt>
                <c:pt idx="3035">
                  <c:v>-5.6090511772684802E-4</c:v>
                </c:pt>
                <c:pt idx="3036">
                  <c:v>-5.5412394376016887E-4</c:v>
                </c:pt>
                <c:pt idx="3037">
                  <c:v>-5.4734276979348994E-4</c:v>
                </c:pt>
                <c:pt idx="3038">
                  <c:v>-5.4056159582681091E-4</c:v>
                </c:pt>
                <c:pt idx="3039">
                  <c:v>-5.3378042186013176E-4</c:v>
                </c:pt>
                <c:pt idx="3040">
                  <c:v>-5.2699924789345262E-4</c:v>
                </c:pt>
                <c:pt idx="3041">
                  <c:v>-5.2021807392677358E-4</c:v>
                </c:pt>
                <c:pt idx="3042">
                  <c:v>-5.1343689996009444E-4</c:v>
                </c:pt>
                <c:pt idx="3043">
                  <c:v>-5.0665572599341529E-4</c:v>
                </c:pt>
                <c:pt idx="3044">
                  <c:v>-4.9987455202673615E-4</c:v>
                </c:pt>
                <c:pt idx="3045">
                  <c:v>-4.9309337806005701E-4</c:v>
                </c:pt>
                <c:pt idx="3046">
                  <c:v>-4.8631220409337721E-4</c:v>
                </c:pt>
                <c:pt idx="3047">
                  <c:v>-4.7953103012669812E-4</c:v>
                </c:pt>
                <c:pt idx="3048">
                  <c:v>-4.7274985616001914E-4</c:v>
                </c:pt>
                <c:pt idx="3049">
                  <c:v>-4.6596868219333999E-4</c:v>
                </c:pt>
                <c:pt idx="3050">
                  <c:v>-8.662649123486317E-4</c:v>
                </c:pt>
                <c:pt idx="3051">
                  <c:v>-8.5948373838195266E-4</c:v>
                </c:pt>
                <c:pt idx="3052">
                  <c:v>-8.5270256441527352E-4</c:v>
                </c:pt>
                <c:pt idx="3053">
                  <c:v>-8.4592139044859438E-4</c:v>
                </c:pt>
                <c:pt idx="3054">
                  <c:v>-8.3914021648191534E-4</c:v>
                </c:pt>
                <c:pt idx="3055">
                  <c:v>-8.323590425152362E-4</c:v>
                </c:pt>
                <c:pt idx="3056">
                  <c:v>-8.2557786854855716E-4</c:v>
                </c:pt>
                <c:pt idx="3057">
                  <c:v>-8.1879669458187791E-4</c:v>
                </c:pt>
                <c:pt idx="3058">
                  <c:v>-8.1201552061519887E-4</c:v>
                </c:pt>
                <c:pt idx="3059">
                  <c:v>-8.0523434664851973E-4</c:v>
                </c:pt>
                <c:pt idx="3060">
                  <c:v>-7.9845317268184069E-4</c:v>
                </c:pt>
                <c:pt idx="3061">
                  <c:v>-7.9167199871516155E-4</c:v>
                </c:pt>
                <c:pt idx="3062">
                  <c:v>-7.8489082474848251E-4</c:v>
                </c:pt>
                <c:pt idx="3063">
                  <c:v>-7.7810965078180337E-4</c:v>
                </c:pt>
                <c:pt idx="3064">
                  <c:v>-7.7132847681512411E-4</c:v>
                </c:pt>
                <c:pt idx="3065">
                  <c:v>-7.6454730284844508E-4</c:v>
                </c:pt>
                <c:pt idx="3066">
                  <c:v>-7.5776612888176615E-4</c:v>
                </c:pt>
                <c:pt idx="3067">
                  <c:v>-7.509849549150869E-4</c:v>
                </c:pt>
                <c:pt idx="3068">
                  <c:v>-7.4420378094840786E-4</c:v>
                </c:pt>
                <c:pt idx="3069">
                  <c:v>-7.3742260698172882E-4</c:v>
                </c:pt>
                <c:pt idx="3070">
                  <c:v>-7.3064143301504968E-4</c:v>
                </c:pt>
                <c:pt idx="3071">
                  <c:v>-7.2386025904837064E-4</c:v>
                </c:pt>
                <c:pt idx="3072">
                  <c:v>-7.170790850816915E-4</c:v>
                </c:pt>
                <c:pt idx="3073">
                  <c:v>-7.1029791111501235E-4</c:v>
                </c:pt>
                <c:pt idx="3074">
                  <c:v>-7.0351673714833332E-4</c:v>
                </c:pt>
                <c:pt idx="3075">
                  <c:v>-6.9673556318165407E-4</c:v>
                </c:pt>
                <c:pt idx="3076">
                  <c:v>-6.8995438921497503E-4</c:v>
                </c:pt>
                <c:pt idx="3077">
                  <c:v>-6.8317321524829589E-4</c:v>
                </c:pt>
                <c:pt idx="3078">
                  <c:v>-6.7639204128161685E-4</c:v>
                </c:pt>
                <c:pt idx="3079">
                  <c:v>-6.696108673149377E-4</c:v>
                </c:pt>
                <c:pt idx="3080">
                  <c:v>-6.6282969334825867E-4</c:v>
                </c:pt>
                <c:pt idx="3081">
                  <c:v>-6.5604851938157952E-4</c:v>
                </c:pt>
                <c:pt idx="3082">
                  <c:v>-6.4926734541490027E-4</c:v>
                </c:pt>
                <c:pt idx="3083">
                  <c:v>-6.4248617144822124E-4</c:v>
                </c:pt>
                <c:pt idx="3084">
                  <c:v>-6.3570499748154209E-4</c:v>
                </c:pt>
                <c:pt idx="3085">
                  <c:v>-6.2892382351486305E-4</c:v>
                </c:pt>
                <c:pt idx="3086">
                  <c:v>-6.2214264954818391E-4</c:v>
                </c:pt>
                <c:pt idx="3087">
                  <c:v>-6.1536147558150487E-4</c:v>
                </c:pt>
                <c:pt idx="3088">
                  <c:v>-6.0858030161482573E-4</c:v>
                </c:pt>
                <c:pt idx="3089">
                  <c:v>-6.0179912764814659E-4</c:v>
                </c:pt>
                <c:pt idx="3090">
                  <c:v>-5.9501795368146744E-4</c:v>
                </c:pt>
                <c:pt idx="3091">
                  <c:v>-5.8823677971478841E-4</c:v>
                </c:pt>
                <c:pt idx="3092">
                  <c:v>-5.8145560574810926E-4</c:v>
                </c:pt>
                <c:pt idx="3093">
                  <c:v>-5.7467443178143012E-4</c:v>
                </c:pt>
                <c:pt idx="3094">
                  <c:v>-5.6789325781475108E-4</c:v>
                </c:pt>
                <c:pt idx="3095">
                  <c:v>-5.6111208384807194E-4</c:v>
                </c:pt>
                <c:pt idx="3096">
                  <c:v>-5.5433090988139279E-4</c:v>
                </c:pt>
                <c:pt idx="3097">
                  <c:v>-5.4754973591471365E-4</c:v>
                </c:pt>
                <c:pt idx="3098">
                  <c:v>-5.4076856194803483E-4</c:v>
                </c:pt>
                <c:pt idx="3099">
                  <c:v>-5.3398738798135568E-4</c:v>
                </c:pt>
                <c:pt idx="3100">
                  <c:v>-5.2720621401467654E-4</c:v>
                </c:pt>
                <c:pt idx="3101">
                  <c:v>-5.2042504004799739E-4</c:v>
                </c:pt>
                <c:pt idx="3102">
                  <c:v>-5.1364386608131825E-4</c:v>
                </c:pt>
                <c:pt idx="3103">
                  <c:v>-5.0686269211463921E-4</c:v>
                </c:pt>
                <c:pt idx="3104">
                  <c:v>-5.0008151814796007E-4</c:v>
                </c:pt>
                <c:pt idx="3105">
                  <c:v>-4.9330034418128093E-4</c:v>
                </c:pt>
                <c:pt idx="3106">
                  <c:v>-4.8651917021460189E-4</c:v>
                </c:pt>
                <c:pt idx="3107">
                  <c:v>-4.7973799624792199E-4</c:v>
                </c:pt>
                <c:pt idx="3108">
                  <c:v>-4.7295682228124284E-4</c:v>
                </c:pt>
                <c:pt idx="3109">
                  <c:v>-4.6617564831456391E-4</c:v>
                </c:pt>
                <c:pt idx="3110">
                  <c:v>-4.5939447434788477E-4</c:v>
                </c:pt>
                <c:pt idx="3111">
                  <c:v>-8.5969070450317648E-4</c:v>
                </c:pt>
                <c:pt idx="3112">
                  <c:v>-8.5290953053649744E-4</c:v>
                </c:pt>
                <c:pt idx="3113">
                  <c:v>-8.461283565698183E-4</c:v>
                </c:pt>
                <c:pt idx="3114">
                  <c:v>-8.3934718260313926E-4</c:v>
                </c:pt>
                <c:pt idx="3115">
                  <c:v>-8.3256600863646012E-4</c:v>
                </c:pt>
                <c:pt idx="3116">
                  <c:v>-8.2578483466978108E-4</c:v>
                </c:pt>
                <c:pt idx="3117">
                  <c:v>-8.1900366070310183E-4</c:v>
                </c:pt>
                <c:pt idx="3118">
                  <c:v>-8.1222248673642279E-4</c:v>
                </c:pt>
                <c:pt idx="3119">
                  <c:v>-8.0544131276974365E-4</c:v>
                </c:pt>
                <c:pt idx="3120">
                  <c:v>-7.9866013880306461E-4</c:v>
                </c:pt>
                <c:pt idx="3121">
                  <c:v>-7.9187896483638547E-4</c:v>
                </c:pt>
                <c:pt idx="3122">
                  <c:v>-7.8509779086970632E-4</c:v>
                </c:pt>
                <c:pt idx="3123">
                  <c:v>-7.7831661690302729E-4</c:v>
                </c:pt>
                <c:pt idx="3124">
                  <c:v>-7.7153544293634803E-4</c:v>
                </c:pt>
                <c:pt idx="3125">
                  <c:v>-7.64754268969669E-4</c:v>
                </c:pt>
                <c:pt idx="3126">
                  <c:v>-7.5797309500298985E-4</c:v>
                </c:pt>
                <c:pt idx="3127">
                  <c:v>-7.5119192103631103E-4</c:v>
                </c:pt>
                <c:pt idx="3128">
                  <c:v>-7.4441074706963167E-4</c:v>
                </c:pt>
                <c:pt idx="3129">
                  <c:v>-7.3762957310295274E-4</c:v>
                </c:pt>
                <c:pt idx="3130">
                  <c:v>-7.308483991362736E-4</c:v>
                </c:pt>
                <c:pt idx="3131">
                  <c:v>-7.2406722516959445E-4</c:v>
                </c:pt>
                <c:pt idx="3132">
                  <c:v>-7.1728605120291542E-4</c:v>
                </c:pt>
                <c:pt idx="3133">
                  <c:v>-7.1050487723623627E-4</c:v>
                </c:pt>
                <c:pt idx="3134">
                  <c:v>-7.0372370326955724E-4</c:v>
                </c:pt>
                <c:pt idx="3135">
                  <c:v>-6.9694252930287799E-4</c:v>
                </c:pt>
                <c:pt idx="3136">
                  <c:v>-6.9016135533619895E-4</c:v>
                </c:pt>
                <c:pt idx="3137">
                  <c:v>-6.8338018136951981E-4</c:v>
                </c:pt>
                <c:pt idx="3138">
                  <c:v>-6.7659900740284077E-4</c:v>
                </c:pt>
                <c:pt idx="3139">
                  <c:v>-6.6981783343616162E-4</c:v>
                </c:pt>
                <c:pt idx="3140">
                  <c:v>-6.6303665946948248E-4</c:v>
                </c:pt>
                <c:pt idx="3141">
                  <c:v>-6.5625548550280344E-4</c:v>
                </c:pt>
                <c:pt idx="3142">
                  <c:v>-6.4947431153612419E-4</c:v>
                </c:pt>
                <c:pt idx="3143">
                  <c:v>-6.4269313756944516E-4</c:v>
                </c:pt>
                <c:pt idx="3144">
                  <c:v>-6.3591196360276601E-4</c:v>
                </c:pt>
                <c:pt idx="3145">
                  <c:v>-6.2913078963608697E-4</c:v>
                </c:pt>
                <c:pt idx="3146">
                  <c:v>-6.2234961566940783E-4</c:v>
                </c:pt>
                <c:pt idx="3147">
                  <c:v>-6.1556844170272879E-4</c:v>
                </c:pt>
                <c:pt idx="3148">
                  <c:v>-6.0878726773604965E-4</c:v>
                </c:pt>
                <c:pt idx="3149">
                  <c:v>-6.0200609376937051E-4</c:v>
                </c:pt>
                <c:pt idx="3150">
                  <c:v>-5.9522491980269147E-4</c:v>
                </c:pt>
                <c:pt idx="3151">
                  <c:v>-5.8844374583601233E-4</c:v>
                </c:pt>
                <c:pt idx="3152">
                  <c:v>-5.8166257186933329E-4</c:v>
                </c:pt>
                <c:pt idx="3153">
                  <c:v>-5.7488139790265414E-4</c:v>
                </c:pt>
                <c:pt idx="3154">
                  <c:v>-5.6810022393597511E-4</c:v>
                </c:pt>
                <c:pt idx="3155">
                  <c:v>-5.6131904996929586E-4</c:v>
                </c:pt>
                <c:pt idx="3156">
                  <c:v>-5.5453787600261682E-4</c:v>
                </c:pt>
                <c:pt idx="3157">
                  <c:v>-5.4775670203593768E-4</c:v>
                </c:pt>
                <c:pt idx="3158">
                  <c:v>-5.4097552806925864E-4</c:v>
                </c:pt>
                <c:pt idx="3159">
                  <c:v>-5.3419435410257949E-4</c:v>
                </c:pt>
                <c:pt idx="3160">
                  <c:v>-5.2741318013590046E-4</c:v>
                </c:pt>
                <c:pt idx="3161">
                  <c:v>-5.2063200616922131E-4</c:v>
                </c:pt>
                <c:pt idx="3162">
                  <c:v>-5.1385083220254217E-4</c:v>
                </c:pt>
                <c:pt idx="3163">
                  <c:v>-5.0706965823586313E-4</c:v>
                </c:pt>
                <c:pt idx="3164">
                  <c:v>-5.0028848426918399E-4</c:v>
                </c:pt>
                <c:pt idx="3165">
                  <c:v>-4.9350731030250485E-4</c:v>
                </c:pt>
                <c:pt idx="3166">
                  <c:v>-4.8672613633582575E-4</c:v>
                </c:pt>
                <c:pt idx="3167">
                  <c:v>-4.7994496236914666E-4</c:v>
                </c:pt>
                <c:pt idx="3168">
                  <c:v>-4.7316378840246687E-4</c:v>
                </c:pt>
                <c:pt idx="3169">
                  <c:v>-4.6638261443578778E-4</c:v>
                </c:pt>
                <c:pt idx="3170">
                  <c:v>-4.5960144046910874E-4</c:v>
                </c:pt>
                <c:pt idx="3171">
                  <c:v>-4.5282026650242965E-4</c:v>
                </c:pt>
                <c:pt idx="3172">
                  <c:v>-8.5311649665772136E-4</c:v>
                </c:pt>
                <c:pt idx="3173">
                  <c:v>-8.4633532269104222E-4</c:v>
                </c:pt>
                <c:pt idx="3174">
                  <c:v>-8.3955414872436318E-4</c:v>
                </c:pt>
                <c:pt idx="3175">
                  <c:v>-8.3277297475768404E-4</c:v>
                </c:pt>
                <c:pt idx="3176">
                  <c:v>-8.25991800791005E-4</c:v>
                </c:pt>
                <c:pt idx="3177">
                  <c:v>-8.1921062682432575E-4</c:v>
                </c:pt>
                <c:pt idx="3178">
                  <c:v>-8.1242945285764671E-4</c:v>
                </c:pt>
                <c:pt idx="3179">
                  <c:v>-8.0564827889096757E-4</c:v>
                </c:pt>
                <c:pt idx="3180">
                  <c:v>-7.9886710492428842E-4</c:v>
                </c:pt>
                <c:pt idx="3181">
                  <c:v>-7.9208593095760939E-4</c:v>
                </c:pt>
                <c:pt idx="3182">
                  <c:v>-7.8530475699093024E-4</c:v>
                </c:pt>
                <c:pt idx="3183">
                  <c:v>-7.7852358302425121E-4</c:v>
                </c:pt>
                <c:pt idx="3184">
                  <c:v>-7.7174240905757195E-4</c:v>
                </c:pt>
                <c:pt idx="3185">
                  <c:v>-7.6496123509089292E-4</c:v>
                </c:pt>
                <c:pt idx="3186">
                  <c:v>-7.5818006112421377E-4</c:v>
                </c:pt>
                <c:pt idx="3187">
                  <c:v>-7.5139888715753474E-4</c:v>
                </c:pt>
                <c:pt idx="3188">
                  <c:v>-7.446177131908557E-4</c:v>
                </c:pt>
                <c:pt idx="3189">
                  <c:v>-7.3783653922417645E-4</c:v>
                </c:pt>
                <c:pt idx="3190">
                  <c:v>-7.3105536525749752E-4</c:v>
                </c:pt>
                <c:pt idx="3191">
                  <c:v>-7.2427419129081837E-4</c:v>
                </c:pt>
                <c:pt idx="3192">
                  <c:v>-7.1749301732413934E-4</c:v>
                </c:pt>
                <c:pt idx="3193">
                  <c:v>-7.1071184335746019E-4</c:v>
                </c:pt>
                <c:pt idx="3194">
                  <c:v>-7.0393066939078116E-4</c:v>
                </c:pt>
                <c:pt idx="3195">
                  <c:v>-6.9714949542410191E-4</c:v>
                </c:pt>
                <c:pt idx="3196">
                  <c:v>-6.9036832145742287E-4</c:v>
                </c:pt>
                <c:pt idx="3197">
                  <c:v>-6.8358714749074373E-4</c:v>
                </c:pt>
                <c:pt idx="3198">
                  <c:v>-6.7680597352406469E-4</c:v>
                </c:pt>
                <c:pt idx="3199">
                  <c:v>-6.7002479955738554E-4</c:v>
                </c:pt>
                <c:pt idx="3200">
                  <c:v>-6.632436255907064E-4</c:v>
                </c:pt>
                <c:pt idx="3201">
                  <c:v>-6.5646245162402736E-4</c:v>
                </c:pt>
                <c:pt idx="3202">
                  <c:v>-6.4968127765734811E-4</c:v>
                </c:pt>
                <c:pt idx="3203">
                  <c:v>-6.4290010369066908E-4</c:v>
                </c:pt>
                <c:pt idx="3204">
                  <c:v>-6.3611892972398993E-4</c:v>
                </c:pt>
                <c:pt idx="3205">
                  <c:v>-6.2933775575731089E-4</c:v>
                </c:pt>
                <c:pt idx="3206">
                  <c:v>-6.2255658179063175E-4</c:v>
                </c:pt>
                <c:pt idx="3207">
                  <c:v>-6.1577540782395271E-4</c:v>
                </c:pt>
                <c:pt idx="3208">
                  <c:v>-6.0899423385727357E-4</c:v>
                </c:pt>
                <c:pt idx="3209">
                  <c:v>-6.0221305989059432E-4</c:v>
                </c:pt>
                <c:pt idx="3210">
                  <c:v>-5.9543188592391539E-4</c:v>
                </c:pt>
                <c:pt idx="3211">
                  <c:v>-5.8865071195723625E-4</c:v>
                </c:pt>
                <c:pt idx="3212">
                  <c:v>-5.8186953799055721E-4</c:v>
                </c:pt>
                <c:pt idx="3213">
                  <c:v>-5.7508836402387806E-4</c:v>
                </c:pt>
                <c:pt idx="3214">
                  <c:v>-5.6830719005719903E-4</c:v>
                </c:pt>
                <c:pt idx="3215">
                  <c:v>-5.6152601609051978E-4</c:v>
                </c:pt>
                <c:pt idx="3216">
                  <c:v>-5.5474484212384074E-4</c:v>
                </c:pt>
                <c:pt idx="3217">
                  <c:v>-5.479636681571616E-4</c:v>
                </c:pt>
                <c:pt idx="3218">
                  <c:v>-5.4118249419048245E-4</c:v>
                </c:pt>
                <c:pt idx="3219">
                  <c:v>-5.3440132022380342E-4</c:v>
                </c:pt>
                <c:pt idx="3220">
                  <c:v>-5.2762014625712438E-4</c:v>
                </c:pt>
                <c:pt idx="3221">
                  <c:v>-5.2083897229044523E-4</c:v>
                </c:pt>
                <c:pt idx="3222">
                  <c:v>-5.1405779832376609E-4</c:v>
                </c:pt>
                <c:pt idx="3223">
                  <c:v>-5.0727662435708705E-4</c:v>
                </c:pt>
                <c:pt idx="3224">
                  <c:v>-5.0049545039040791E-4</c:v>
                </c:pt>
                <c:pt idx="3225">
                  <c:v>-4.9371427642372877E-4</c:v>
                </c:pt>
                <c:pt idx="3226">
                  <c:v>-4.8693310245704968E-4</c:v>
                </c:pt>
                <c:pt idx="3227">
                  <c:v>-4.8015192849037058E-4</c:v>
                </c:pt>
                <c:pt idx="3228">
                  <c:v>-4.7337075452369149E-4</c:v>
                </c:pt>
                <c:pt idx="3229">
                  <c:v>-4.665895805570117E-4</c:v>
                </c:pt>
                <c:pt idx="3230">
                  <c:v>-4.5980840659033256E-4</c:v>
                </c:pt>
                <c:pt idx="3231">
                  <c:v>-4.5302723262365357E-4</c:v>
                </c:pt>
                <c:pt idx="3232">
                  <c:v>-4.4624605865697443E-4</c:v>
                </c:pt>
                <c:pt idx="3233">
                  <c:v>-8.4654228881226614E-4</c:v>
                </c:pt>
                <c:pt idx="3234">
                  <c:v>-8.397611148455871E-4</c:v>
                </c:pt>
                <c:pt idx="3235">
                  <c:v>-8.3297994087890796E-4</c:v>
                </c:pt>
                <c:pt idx="3236">
                  <c:v>-8.2619876691222892E-4</c:v>
                </c:pt>
                <c:pt idx="3237">
                  <c:v>-8.1941759294554967E-4</c:v>
                </c:pt>
                <c:pt idx="3238">
                  <c:v>-8.1263641897887052E-4</c:v>
                </c:pt>
                <c:pt idx="3239">
                  <c:v>-8.0585524501219149E-4</c:v>
                </c:pt>
                <c:pt idx="3240">
                  <c:v>-7.9907407104551234E-4</c:v>
                </c:pt>
                <c:pt idx="3241">
                  <c:v>-7.9229289707883331E-4</c:v>
                </c:pt>
                <c:pt idx="3242">
                  <c:v>-7.8551172311215416E-4</c:v>
                </c:pt>
                <c:pt idx="3243">
                  <c:v>-7.7873054914547513E-4</c:v>
                </c:pt>
                <c:pt idx="3244">
                  <c:v>-7.7194937517879587E-4</c:v>
                </c:pt>
                <c:pt idx="3245">
                  <c:v>-7.6516820121211684E-4</c:v>
                </c:pt>
                <c:pt idx="3246">
                  <c:v>-7.5838702724543769E-4</c:v>
                </c:pt>
                <c:pt idx="3247">
                  <c:v>-7.5160585327875866E-4</c:v>
                </c:pt>
                <c:pt idx="3248">
                  <c:v>-7.4482467931207951E-4</c:v>
                </c:pt>
                <c:pt idx="3249">
                  <c:v>-7.3804350534540048E-4</c:v>
                </c:pt>
                <c:pt idx="3250">
                  <c:v>-7.3126233137872133E-4</c:v>
                </c:pt>
                <c:pt idx="3251">
                  <c:v>-7.2448115741204229E-4</c:v>
                </c:pt>
                <c:pt idx="3252">
                  <c:v>-7.1769998344536326E-4</c:v>
                </c:pt>
                <c:pt idx="3253">
                  <c:v>-7.1091880947868411E-4</c:v>
                </c:pt>
                <c:pt idx="3254">
                  <c:v>-7.0413763551200508E-4</c:v>
                </c:pt>
                <c:pt idx="3255">
                  <c:v>-6.9735646154532583E-4</c:v>
                </c:pt>
                <c:pt idx="3256">
                  <c:v>-6.9057528757864679E-4</c:v>
                </c:pt>
                <c:pt idx="3257">
                  <c:v>-6.8379411361196765E-4</c:v>
                </c:pt>
                <c:pt idx="3258">
                  <c:v>-6.770129396452885E-4</c:v>
                </c:pt>
                <c:pt idx="3259">
                  <c:v>-6.7023176567860946E-4</c:v>
                </c:pt>
                <c:pt idx="3260">
                  <c:v>-6.6345059171193032E-4</c:v>
                </c:pt>
                <c:pt idx="3261">
                  <c:v>-6.5666941774525128E-4</c:v>
                </c:pt>
                <c:pt idx="3262">
                  <c:v>-6.4988824377857203E-4</c:v>
                </c:pt>
                <c:pt idx="3263">
                  <c:v>-6.43107069811893E-4</c:v>
                </c:pt>
                <c:pt idx="3264">
                  <c:v>-6.3632589584521385E-4</c:v>
                </c:pt>
                <c:pt idx="3265">
                  <c:v>-6.2954472187853482E-4</c:v>
                </c:pt>
                <c:pt idx="3266">
                  <c:v>-6.2276354791185567E-4</c:v>
                </c:pt>
                <c:pt idx="3267">
                  <c:v>-6.1598237394517663E-4</c:v>
                </c:pt>
                <c:pt idx="3268">
                  <c:v>-6.0920119997849749E-4</c:v>
                </c:pt>
                <c:pt idx="3269">
                  <c:v>-6.0242002601181824E-4</c:v>
                </c:pt>
                <c:pt idx="3270">
                  <c:v>-5.956388520451392E-4</c:v>
                </c:pt>
                <c:pt idx="3271">
                  <c:v>-5.8885767807846017E-4</c:v>
                </c:pt>
                <c:pt idx="3272">
                  <c:v>-5.8207650411178113E-4</c:v>
                </c:pt>
                <c:pt idx="3273">
                  <c:v>-5.7529533014510198E-4</c:v>
                </c:pt>
                <c:pt idx="3274">
                  <c:v>-5.6851415617842295E-4</c:v>
                </c:pt>
                <c:pt idx="3275">
                  <c:v>-5.617329822117437E-4</c:v>
                </c:pt>
                <c:pt idx="3276">
                  <c:v>-5.5495180824506455E-4</c:v>
                </c:pt>
                <c:pt idx="3277">
                  <c:v>-5.4817063427838552E-4</c:v>
                </c:pt>
                <c:pt idx="3278">
                  <c:v>-5.4138946031170637E-4</c:v>
                </c:pt>
                <c:pt idx="3279">
                  <c:v>-5.3460828634502734E-4</c:v>
                </c:pt>
                <c:pt idx="3280">
                  <c:v>-5.2782711237834819E-4</c:v>
                </c:pt>
                <c:pt idx="3281">
                  <c:v>-5.2104593841166915E-4</c:v>
                </c:pt>
                <c:pt idx="3282">
                  <c:v>-5.1426476444499001E-4</c:v>
                </c:pt>
                <c:pt idx="3283">
                  <c:v>-5.0748359047831097E-4</c:v>
                </c:pt>
                <c:pt idx="3284">
                  <c:v>-5.0070241651163183E-4</c:v>
                </c:pt>
                <c:pt idx="3285">
                  <c:v>-4.9392124254495269E-4</c:v>
                </c:pt>
                <c:pt idx="3286">
                  <c:v>-4.871400685782736E-4</c:v>
                </c:pt>
                <c:pt idx="3287">
                  <c:v>-4.803588946115945E-4</c:v>
                </c:pt>
                <c:pt idx="3288">
                  <c:v>-4.7357772064491541E-4</c:v>
                </c:pt>
                <c:pt idx="3289">
                  <c:v>-4.6679654667823627E-4</c:v>
                </c:pt>
                <c:pt idx="3290">
                  <c:v>-4.6001537271155648E-4</c:v>
                </c:pt>
                <c:pt idx="3291">
                  <c:v>-4.5323419874487739E-4</c:v>
                </c:pt>
                <c:pt idx="3292">
                  <c:v>-4.4645302477819835E-4</c:v>
                </c:pt>
                <c:pt idx="3293">
                  <c:v>-4.396718508115192E-4</c:v>
                </c:pt>
                <c:pt idx="3294">
                  <c:v>-8.3996808096681102E-4</c:v>
                </c:pt>
                <c:pt idx="3295">
                  <c:v>-8.3318690700013188E-4</c:v>
                </c:pt>
                <c:pt idx="3296">
                  <c:v>-8.2640573303345284E-4</c:v>
                </c:pt>
                <c:pt idx="3297">
                  <c:v>-8.1962455906677359E-4</c:v>
                </c:pt>
                <c:pt idx="3298">
                  <c:v>-8.1284338510009444E-4</c:v>
                </c:pt>
                <c:pt idx="3299">
                  <c:v>-8.0606221113341541E-4</c:v>
                </c:pt>
                <c:pt idx="3300">
                  <c:v>-7.9928103716673626E-4</c:v>
                </c:pt>
                <c:pt idx="3301">
                  <c:v>-7.9249986320005723E-4</c:v>
                </c:pt>
                <c:pt idx="3302">
                  <c:v>-7.8571868923337808E-4</c:v>
                </c:pt>
                <c:pt idx="3303">
                  <c:v>-7.7893751526669905E-4</c:v>
                </c:pt>
                <c:pt idx="3304">
                  <c:v>-7.7215634130001979E-4</c:v>
                </c:pt>
                <c:pt idx="3305">
                  <c:v>-7.6537516733334076E-4</c:v>
                </c:pt>
                <c:pt idx="3306">
                  <c:v>-7.5859399336666161E-4</c:v>
                </c:pt>
                <c:pt idx="3307">
                  <c:v>-7.5181281939998247E-4</c:v>
                </c:pt>
                <c:pt idx="3308">
                  <c:v>-7.4503164543330343E-4</c:v>
                </c:pt>
                <c:pt idx="3309">
                  <c:v>-7.3825047146662429E-4</c:v>
                </c:pt>
                <c:pt idx="3310">
                  <c:v>-7.3146929749994536E-4</c:v>
                </c:pt>
                <c:pt idx="3311">
                  <c:v>-7.24688123533266E-4</c:v>
                </c:pt>
                <c:pt idx="3312">
                  <c:v>-7.1790694956658718E-4</c:v>
                </c:pt>
                <c:pt idx="3313">
                  <c:v>-7.1112577559990803E-4</c:v>
                </c:pt>
                <c:pt idx="3314">
                  <c:v>-7.04344601633229E-4</c:v>
                </c:pt>
                <c:pt idx="3315">
                  <c:v>-6.9756342766654975E-4</c:v>
                </c:pt>
                <c:pt idx="3316">
                  <c:v>-6.907822536998706E-4</c:v>
                </c:pt>
                <c:pt idx="3317">
                  <c:v>-6.8400107973319157E-4</c:v>
                </c:pt>
                <c:pt idx="3318">
                  <c:v>-6.7721990576651242E-4</c:v>
                </c:pt>
                <c:pt idx="3319">
                  <c:v>-6.7043873179983338E-4</c:v>
                </c:pt>
                <c:pt idx="3320">
                  <c:v>-6.6365755783315424E-4</c:v>
                </c:pt>
                <c:pt idx="3321">
                  <c:v>-6.568763838664752E-4</c:v>
                </c:pt>
                <c:pt idx="3322">
                  <c:v>-6.5009520989979595E-4</c:v>
                </c:pt>
                <c:pt idx="3323">
                  <c:v>-6.4331403593311692E-4</c:v>
                </c:pt>
                <c:pt idx="3324">
                  <c:v>-6.3653286196643777E-4</c:v>
                </c:pt>
                <c:pt idx="3325">
                  <c:v>-6.2975168799975874E-4</c:v>
                </c:pt>
                <c:pt idx="3326">
                  <c:v>-6.2297051403307959E-4</c:v>
                </c:pt>
                <c:pt idx="3327">
                  <c:v>-6.1618934006640045E-4</c:v>
                </c:pt>
                <c:pt idx="3328">
                  <c:v>-6.0940816609972141E-4</c:v>
                </c:pt>
                <c:pt idx="3329">
                  <c:v>-6.0262699213304216E-4</c:v>
                </c:pt>
                <c:pt idx="3330">
                  <c:v>-5.9584581816636312E-4</c:v>
                </c:pt>
                <c:pt idx="3331">
                  <c:v>-5.8906464419968398E-4</c:v>
                </c:pt>
                <c:pt idx="3332">
                  <c:v>-5.8228347023300505E-4</c:v>
                </c:pt>
                <c:pt idx="3333">
                  <c:v>-5.755022962663259E-4</c:v>
                </c:pt>
                <c:pt idx="3334">
                  <c:v>-5.6872112229964687E-4</c:v>
                </c:pt>
                <c:pt idx="3335">
                  <c:v>-5.6193994833296762E-4</c:v>
                </c:pt>
                <c:pt idx="3336">
                  <c:v>-5.5515877436628847E-4</c:v>
                </c:pt>
                <c:pt idx="3337">
                  <c:v>-5.4837760039960944E-4</c:v>
                </c:pt>
                <c:pt idx="3338">
                  <c:v>-5.4159642643293029E-4</c:v>
                </c:pt>
                <c:pt idx="3339">
                  <c:v>-5.3481525246625126E-4</c:v>
                </c:pt>
                <c:pt idx="3340">
                  <c:v>-5.2803407849957211E-4</c:v>
                </c:pt>
                <c:pt idx="3341">
                  <c:v>-5.2125290453289297E-4</c:v>
                </c:pt>
                <c:pt idx="3342">
                  <c:v>-5.1447173056621393E-4</c:v>
                </c:pt>
                <c:pt idx="3343">
                  <c:v>-5.0769055659953489E-4</c:v>
                </c:pt>
                <c:pt idx="3344">
                  <c:v>-5.0090938263285575E-4</c:v>
                </c:pt>
                <c:pt idx="3345">
                  <c:v>-4.9412820866617661E-4</c:v>
                </c:pt>
                <c:pt idx="3346">
                  <c:v>-4.8734703469949752E-4</c:v>
                </c:pt>
                <c:pt idx="3347">
                  <c:v>-4.8056586073281842E-4</c:v>
                </c:pt>
                <c:pt idx="3348">
                  <c:v>-4.7378468676613933E-4</c:v>
                </c:pt>
                <c:pt idx="3349">
                  <c:v>-4.6700351279946014E-4</c:v>
                </c:pt>
                <c:pt idx="3350">
                  <c:v>-4.602223388327811E-4</c:v>
                </c:pt>
                <c:pt idx="3351">
                  <c:v>-4.5344116486610131E-4</c:v>
                </c:pt>
                <c:pt idx="3352">
                  <c:v>-4.4665999089942216E-4</c:v>
                </c:pt>
                <c:pt idx="3353">
                  <c:v>-4.3987881693274312E-4</c:v>
                </c:pt>
                <c:pt idx="3354">
                  <c:v>-4.3309764296606403E-4</c:v>
                </c:pt>
                <c:pt idx="3355">
                  <c:v>-8.333938731213558E-4</c:v>
                </c:pt>
                <c:pt idx="3356">
                  <c:v>-8.2661269915467665E-4</c:v>
                </c:pt>
                <c:pt idx="3357">
                  <c:v>-8.1983152518799751E-4</c:v>
                </c:pt>
                <c:pt idx="3358">
                  <c:v>-8.1305035122131836E-4</c:v>
                </c:pt>
                <c:pt idx="3359">
                  <c:v>-8.0626917725463933E-4</c:v>
                </c:pt>
                <c:pt idx="3360">
                  <c:v>-7.9948800328796018E-4</c:v>
                </c:pt>
                <c:pt idx="3361">
                  <c:v>-7.9270682932128115E-4</c:v>
                </c:pt>
                <c:pt idx="3362">
                  <c:v>-7.85925655354602E-4</c:v>
                </c:pt>
                <c:pt idx="3363">
                  <c:v>-7.7914448138792297E-4</c:v>
                </c:pt>
                <c:pt idx="3364">
                  <c:v>-7.7236330742124371E-4</c:v>
                </c:pt>
                <c:pt idx="3365">
                  <c:v>-7.6558213345456457E-4</c:v>
                </c:pt>
                <c:pt idx="3366">
                  <c:v>-7.5880095948788553E-4</c:v>
                </c:pt>
                <c:pt idx="3367">
                  <c:v>-7.5201978552120639E-4</c:v>
                </c:pt>
                <c:pt idx="3368">
                  <c:v>-7.4523861155452735E-4</c:v>
                </c:pt>
                <c:pt idx="3369">
                  <c:v>-7.3845743758784821E-4</c:v>
                </c:pt>
                <c:pt idx="3370">
                  <c:v>-7.3167626362116917E-4</c:v>
                </c:pt>
                <c:pt idx="3371">
                  <c:v>-7.2489508965449014E-4</c:v>
                </c:pt>
                <c:pt idx="3372">
                  <c:v>-7.1811391568781088E-4</c:v>
                </c:pt>
                <c:pt idx="3373">
                  <c:v>-7.1133274172113195E-4</c:v>
                </c:pt>
                <c:pt idx="3374">
                  <c:v>-7.0455156775445292E-4</c:v>
                </c:pt>
                <c:pt idx="3375">
                  <c:v>-6.9777039378777367E-4</c:v>
                </c:pt>
                <c:pt idx="3376">
                  <c:v>-6.9098921982109452E-4</c:v>
                </c:pt>
                <c:pt idx="3377">
                  <c:v>-6.8420804585441549E-4</c:v>
                </c:pt>
                <c:pt idx="3378">
                  <c:v>-6.7742687188773634E-4</c:v>
                </c:pt>
                <c:pt idx="3379">
                  <c:v>-6.706456979210573E-4</c:v>
                </c:pt>
                <c:pt idx="3380">
                  <c:v>-6.6386452395437816E-4</c:v>
                </c:pt>
                <c:pt idx="3381">
                  <c:v>-6.5708334998769912E-4</c:v>
                </c:pt>
                <c:pt idx="3382">
                  <c:v>-6.5030217602101987E-4</c:v>
                </c:pt>
                <c:pt idx="3383">
                  <c:v>-6.4352100205434084E-4</c:v>
                </c:pt>
                <c:pt idx="3384">
                  <c:v>-6.3673982808766169E-4</c:v>
                </c:pt>
                <c:pt idx="3385">
                  <c:v>-6.2995865412098255E-4</c:v>
                </c:pt>
                <c:pt idx="3386">
                  <c:v>-6.2317748015430351E-4</c:v>
                </c:pt>
                <c:pt idx="3387">
                  <c:v>-6.1639630618762437E-4</c:v>
                </c:pt>
                <c:pt idx="3388">
                  <c:v>-6.0961513222094533E-4</c:v>
                </c:pt>
                <c:pt idx="3389">
                  <c:v>-6.0283395825426608E-4</c:v>
                </c:pt>
                <c:pt idx="3390">
                  <c:v>-5.9605278428758704E-4</c:v>
                </c:pt>
                <c:pt idx="3391">
                  <c:v>-5.892716103209079E-4</c:v>
                </c:pt>
                <c:pt idx="3392">
                  <c:v>-5.8249043635422886E-4</c:v>
                </c:pt>
                <c:pt idx="3393">
                  <c:v>-5.7570926238754982E-4</c:v>
                </c:pt>
                <c:pt idx="3394">
                  <c:v>-5.6892808842087068E-4</c:v>
                </c:pt>
                <c:pt idx="3395">
                  <c:v>-5.6214691445419154E-4</c:v>
                </c:pt>
                <c:pt idx="3396">
                  <c:v>-5.5536574048751239E-4</c:v>
                </c:pt>
                <c:pt idx="3397">
                  <c:v>-5.4858456652083336E-4</c:v>
                </c:pt>
                <c:pt idx="3398">
                  <c:v>-5.4180339255415421E-4</c:v>
                </c:pt>
                <c:pt idx="3399">
                  <c:v>-5.3502221858747518E-4</c:v>
                </c:pt>
                <c:pt idx="3400">
                  <c:v>-5.2824104462079603E-4</c:v>
                </c:pt>
                <c:pt idx="3401">
                  <c:v>-5.2145987065411689E-4</c:v>
                </c:pt>
                <c:pt idx="3402">
                  <c:v>-5.1467869668743785E-4</c:v>
                </c:pt>
                <c:pt idx="3403">
                  <c:v>-5.0789752272075881E-4</c:v>
                </c:pt>
                <c:pt idx="3404">
                  <c:v>-5.0111634875407967E-4</c:v>
                </c:pt>
                <c:pt idx="3405">
                  <c:v>-4.9433517478740053E-4</c:v>
                </c:pt>
                <c:pt idx="3406">
                  <c:v>-4.8755400082072144E-4</c:v>
                </c:pt>
                <c:pt idx="3407">
                  <c:v>-4.8077282685404235E-4</c:v>
                </c:pt>
                <c:pt idx="3408">
                  <c:v>-4.739916528873632E-4</c:v>
                </c:pt>
                <c:pt idx="3409">
                  <c:v>-4.6721047892068406E-4</c:v>
                </c:pt>
                <c:pt idx="3410">
                  <c:v>-4.6042930495400497E-4</c:v>
                </c:pt>
                <c:pt idx="3411">
                  <c:v>-4.5364813098732588E-4</c:v>
                </c:pt>
                <c:pt idx="3412">
                  <c:v>-4.4686695702064608E-4</c:v>
                </c:pt>
                <c:pt idx="3413">
                  <c:v>-4.4008578305396694E-4</c:v>
                </c:pt>
                <c:pt idx="3414">
                  <c:v>-4.3330460908728795E-4</c:v>
                </c:pt>
                <c:pt idx="3415">
                  <c:v>-4.2652343512060886E-4</c:v>
                </c:pt>
                <c:pt idx="3416">
                  <c:v>-8.2681966527590057E-4</c:v>
                </c:pt>
                <c:pt idx="3417">
                  <c:v>-8.2003849130922143E-4</c:v>
                </c:pt>
                <c:pt idx="3418">
                  <c:v>-8.1325731734254228E-4</c:v>
                </c:pt>
                <c:pt idx="3419">
                  <c:v>-8.0647614337586325E-4</c:v>
                </c:pt>
                <c:pt idx="3420">
                  <c:v>-7.996949694091841E-4</c:v>
                </c:pt>
                <c:pt idx="3421">
                  <c:v>-7.9291379544250507E-4</c:v>
                </c:pt>
                <c:pt idx="3422">
                  <c:v>-7.8613262147582592E-4</c:v>
                </c:pt>
                <c:pt idx="3423">
                  <c:v>-7.7935144750914678E-4</c:v>
                </c:pt>
                <c:pt idx="3424">
                  <c:v>-7.7257027354246763E-4</c:v>
                </c:pt>
                <c:pt idx="3425">
                  <c:v>-7.6578909957578849E-4</c:v>
                </c:pt>
                <c:pt idx="3426">
                  <c:v>-7.5900792560910945E-4</c:v>
                </c:pt>
                <c:pt idx="3427">
                  <c:v>-7.5222675164243031E-4</c:v>
                </c:pt>
                <c:pt idx="3428">
                  <c:v>-7.4544557767575127E-4</c:v>
                </c:pt>
                <c:pt idx="3429">
                  <c:v>-7.3866440370907213E-4</c:v>
                </c:pt>
                <c:pt idx="3430">
                  <c:v>-7.3188322974239309E-4</c:v>
                </c:pt>
                <c:pt idx="3431">
                  <c:v>-7.2510205577571384E-4</c:v>
                </c:pt>
                <c:pt idx="3432">
                  <c:v>-7.1832088180903502E-4</c:v>
                </c:pt>
                <c:pt idx="3433">
                  <c:v>-7.1153970784235566E-4</c:v>
                </c:pt>
                <c:pt idx="3434">
                  <c:v>-7.0475853387567673E-4</c:v>
                </c:pt>
                <c:pt idx="3435">
                  <c:v>-6.9797735990899759E-4</c:v>
                </c:pt>
                <c:pt idx="3436">
                  <c:v>-6.9119618594231844E-4</c:v>
                </c:pt>
                <c:pt idx="3437">
                  <c:v>-6.8441501197563941E-4</c:v>
                </c:pt>
                <c:pt idx="3438">
                  <c:v>-6.7763383800896026E-4</c:v>
                </c:pt>
                <c:pt idx="3439">
                  <c:v>-6.7085266404228122E-4</c:v>
                </c:pt>
                <c:pt idx="3440">
                  <c:v>-6.6407149007560208E-4</c:v>
                </c:pt>
                <c:pt idx="3441">
                  <c:v>-6.5729031610892304E-4</c:v>
                </c:pt>
                <c:pt idx="3442">
                  <c:v>-6.5050914214224379E-4</c:v>
                </c:pt>
                <c:pt idx="3443">
                  <c:v>-6.4372796817556465E-4</c:v>
                </c:pt>
                <c:pt idx="3444">
                  <c:v>-6.3694679420888561E-4</c:v>
                </c:pt>
                <c:pt idx="3445">
                  <c:v>-6.3016562024220647E-4</c:v>
                </c:pt>
                <c:pt idx="3446">
                  <c:v>-6.2338444627552743E-4</c:v>
                </c:pt>
                <c:pt idx="3447">
                  <c:v>-6.1660327230884829E-4</c:v>
                </c:pt>
                <c:pt idx="3448">
                  <c:v>-6.0982209834216925E-4</c:v>
                </c:pt>
                <c:pt idx="3449">
                  <c:v>-6.0304092437549E-4</c:v>
                </c:pt>
                <c:pt idx="3450">
                  <c:v>-5.9625975040881096E-4</c:v>
                </c:pt>
                <c:pt idx="3451">
                  <c:v>-5.8947857644213182E-4</c:v>
                </c:pt>
                <c:pt idx="3452">
                  <c:v>-5.8269740247545278E-4</c:v>
                </c:pt>
                <c:pt idx="3453">
                  <c:v>-5.7591622850877364E-4</c:v>
                </c:pt>
                <c:pt idx="3454">
                  <c:v>-5.691350545420946E-4</c:v>
                </c:pt>
                <c:pt idx="3455">
                  <c:v>-5.6235388057541546E-4</c:v>
                </c:pt>
                <c:pt idx="3456">
                  <c:v>-5.5557270660873631E-4</c:v>
                </c:pt>
                <c:pt idx="3457">
                  <c:v>-5.4879153264205728E-4</c:v>
                </c:pt>
                <c:pt idx="3458">
                  <c:v>-5.4201035867537813E-4</c:v>
                </c:pt>
                <c:pt idx="3459">
                  <c:v>-5.352291847086991E-4</c:v>
                </c:pt>
                <c:pt idx="3460">
                  <c:v>-5.2844801074201995E-4</c:v>
                </c:pt>
                <c:pt idx="3461">
                  <c:v>-5.2166683677534081E-4</c:v>
                </c:pt>
                <c:pt idx="3462">
                  <c:v>-5.1488566280866177E-4</c:v>
                </c:pt>
                <c:pt idx="3463">
                  <c:v>-5.0810448884198263E-4</c:v>
                </c:pt>
                <c:pt idx="3464">
                  <c:v>-5.0132331487530359E-4</c:v>
                </c:pt>
                <c:pt idx="3465">
                  <c:v>-4.9454214090862445E-4</c:v>
                </c:pt>
                <c:pt idx="3466">
                  <c:v>-4.8776096694194536E-4</c:v>
                </c:pt>
                <c:pt idx="3467">
                  <c:v>-4.8097979297526627E-4</c:v>
                </c:pt>
                <c:pt idx="3468">
                  <c:v>-4.7419861900858712E-4</c:v>
                </c:pt>
                <c:pt idx="3469">
                  <c:v>-4.6741744504190798E-4</c:v>
                </c:pt>
                <c:pt idx="3470">
                  <c:v>-4.6063627107522889E-4</c:v>
                </c:pt>
                <c:pt idx="3471">
                  <c:v>-4.538550971085498E-4</c:v>
                </c:pt>
                <c:pt idx="3472">
                  <c:v>-4.4707392314187065E-4</c:v>
                </c:pt>
                <c:pt idx="3473">
                  <c:v>-4.4029274917519086E-4</c:v>
                </c:pt>
                <c:pt idx="3474">
                  <c:v>-4.3351157520851177E-4</c:v>
                </c:pt>
                <c:pt idx="3475">
                  <c:v>-4.2673040124183278E-4</c:v>
                </c:pt>
                <c:pt idx="3476">
                  <c:v>-4.1994922727515364E-4</c:v>
                </c:pt>
                <c:pt idx="3477">
                  <c:v>-8.2024545743044459E-4</c:v>
                </c:pt>
                <c:pt idx="3478">
                  <c:v>-8.1346428346376577E-4</c:v>
                </c:pt>
                <c:pt idx="3479">
                  <c:v>-8.0668310949708641E-4</c:v>
                </c:pt>
                <c:pt idx="3480">
                  <c:v>-7.9990193553040737E-4</c:v>
                </c:pt>
                <c:pt idx="3481">
                  <c:v>-7.9312076156372834E-4</c:v>
                </c:pt>
                <c:pt idx="3482">
                  <c:v>-7.8633958759704908E-4</c:v>
                </c:pt>
                <c:pt idx="3483">
                  <c:v>-7.7955841363037005E-4</c:v>
                </c:pt>
                <c:pt idx="3484">
                  <c:v>-7.727772396636909E-4</c:v>
                </c:pt>
                <c:pt idx="3485">
                  <c:v>-7.6599606569701187E-4</c:v>
                </c:pt>
                <c:pt idx="3486">
                  <c:v>-7.5921489173033272E-4</c:v>
                </c:pt>
                <c:pt idx="3487">
                  <c:v>-7.5243371776365369E-4</c:v>
                </c:pt>
                <c:pt idx="3488">
                  <c:v>-7.4565254379697454E-4</c:v>
                </c:pt>
                <c:pt idx="3489">
                  <c:v>-7.3887136983029529E-4</c:v>
                </c:pt>
                <c:pt idx="3490">
                  <c:v>-7.3209019586361625E-4</c:v>
                </c:pt>
                <c:pt idx="3491">
                  <c:v>-7.2530902189693711E-4</c:v>
                </c:pt>
                <c:pt idx="3492">
                  <c:v>-7.1852784793025807E-4</c:v>
                </c:pt>
                <c:pt idx="3493">
                  <c:v>-7.1174667396357904E-4</c:v>
                </c:pt>
                <c:pt idx="3494">
                  <c:v>-7.0496549999689989E-4</c:v>
                </c:pt>
                <c:pt idx="3495">
                  <c:v>-6.9818432603022086E-4</c:v>
                </c:pt>
                <c:pt idx="3496">
                  <c:v>-6.9140315206354182E-4</c:v>
                </c:pt>
                <c:pt idx="3497">
                  <c:v>-6.8462197809686267E-4</c:v>
                </c:pt>
                <c:pt idx="3498">
                  <c:v>-6.7784080413018353E-4</c:v>
                </c:pt>
                <c:pt idx="3499">
                  <c:v>-6.7105963016350449E-4</c:v>
                </c:pt>
                <c:pt idx="3500">
                  <c:v>-6.6427845619682524E-4</c:v>
                </c:pt>
                <c:pt idx="3501">
                  <c:v>-6.5749728223014621E-4</c:v>
                </c:pt>
                <c:pt idx="3502">
                  <c:v>-6.5071610826346706E-4</c:v>
                </c:pt>
                <c:pt idx="3503">
                  <c:v>-6.4393493429678803E-4</c:v>
                </c:pt>
                <c:pt idx="3504">
                  <c:v>-6.3715376033010888E-4</c:v>
                </c:pt>
                <c:pt idx="3505">
                  <c:v>-6.3037258636342984E-4</c:v>
                </c:pt>
                <c:pt idx="3506">
                  <c:v>-6.235914123967507E-4</c:v>
                </c:pt>
                <c:pt idx="3507">
                  <c:v>-6.1681023843007145E-4</c:v>
                </c:pt>
                <c:pt idx="3508">
                  <c:v>-6.1002906446339241E-4</c:v>
                </c:pt>
                <c:pt idx="3509">
                  <c:v>-6.0324789049671327E-4</c:v>
                </c:pt>
                <c:pt idx="3510">
                  <c:v>-5.9646671653003423E-4</c:v>
                </c:pt>
                <c:pt idx="3511">
                  <c:v>-5.8968554256335509E-4</c:v>
                </c:pt>
                <c:pt idx="3512">
                  <c:v>-5.8290436859667605E-4</c:v>
                </c:pt>
                <c:pt idx="3513">
                  <c:v>-5.7612319462999691E-4</c:v>
                </c:pt>
                <c:pt idx="3514">
                  <c:v>-5.6934202066331776E-4</c:v>
                </c:pt>
                <c:pt idx="3515">
                  <c:v>-5.6256084669663873E-4</c:v>
                </c:pt>
                <c:pt idx="3516">
                  <c:v>-5.5577967272995958E-4</c:v>
                </c:pt>
                <c:pt idx="3517">
                  <c:v>-5.4899849876328055E-4</c:v>
                </c:pt>
                <c:pt idx="3518">
                  <c:v>-5.422173247966014E-4</c:v>
                </c:pt>
                <c:pt idx="3519">
                  <c:v>-5.3543615082992226E-4</c:v>
                </c:pt>
                <c:pt idx="3520">
                  <c:v>-5.2865497686324322E-4</c:v>
                </c:pt>
                <c:pt idx="3521">
                  <c:v>-5.2187380289656408E-4</c:v>
                </c:pt>
                <c:pt idx="3522">
                  <c:v>-5.1509262892988493E-4</c:v>
                </c:pt>
                <c:pt idx="3523">
                  <c:v>-5.083114549632059E-4</c:v>
                </c:pt>
                <c:pt idx="3524">
                  <c:v>-5.0153028099652675E-4</c:v>
                </c:pt>
                <c:pt idx="3525">
                  <c:v>-4.9474910702984772E-4</c:v>
                </c:pt>
                <c:pt idx="3526">
                  <c:v>-4.8796793306316862E-4</c:v>
                </c:pt>
                <c:pt idx="3527">
                  <c:v>-4.8118675909648948E-4</c:v>
                </c:pt>
                <c:pt idx="3528">
                  <c:v>-4.7440558512981039E-4</c:v>
                </c:pt>
                <c:pt idx="3529">
                  <c:v>-4.676244111631313E-4</c:v>
                </c:pt>
                <c:pt idx="3530">
                  <c:v>-4.6084323719645216E-4</c:v>
                </c:pt>
                <c:pt idx="3531">
                  <c:v>-4.5406206322977307E-4</c:v>
                </c:pt>
                <c:pt idx="3532">
                  <c:v>-4.4728088926309392E-4</c:v>
                </c:pt>
                <c:pt idx="3533">
                  <c:v>-4.4049971529641478E-4</c:v>
                </c:pt>
                <c:pt idx="3534">
                  <c:v>-4.3371854132973509E-4</c:v>
                </c:pt>
                <c:pt idx="3535">
                  <c:v>-4.2693736736305595E-4</c:v>
                </c:pt>
                <c:pt idx="3536">
                  <c:v>-4.2015619339637691E-4</c:v>
                </c:pt>
                <c:pt idx="3537">
                  <c:v>-4.1337501942969777E-4</c:v>
                </c:pt>
                <c:pt idx="3538">
                  <c:v>-8.1367124958498958E-4</c:v>
                </c:pt>
                <c:pt idx="3539">
                  <c:v>-8.0689007561831033E-4</c:v>
                </c:pt>
                <c:pt idx="3540">
                  <c:v>-8.0010890165163129E-4</c:v>
                </c:pt>
                <c:pt idx="3541">
                  <c:v>-7.9332772768495226E-4</c:v>
                </c:pt>
                <c:pt idx="3542">
                  <c:v>-7.86546553718273E-4</c:v>
                </c:pt>
                <c:pt idx="3543">
                  <c:v>-7.7976537975159397E-4</c:v>
                </c:pt>
                <c:pt idx="3544">
                  <c:v>-7.7298420578491482E-4</c:v>
                </c:pt>
                <c:pt idx="3545">
                  <c:v>-7.6620303181823579E-4</c:v>
                </c:pt>
                <c:pt idx="3546">
                  <c:v>-7.5942185785155664E-4</c:v>
                </c:pt>
                <c:pt idx="3547">
                  <c:v>-7.526406838848775E-4</c:v>
                </c:pt>
                <c:pt idx="3548">
                  <c:v>-7.4585950991819846E-4</c:v>
                </c:pt>
                <c:pt idx="3549">
                  <c:v>-7.3907833595151921E-4</c:v>
                </c:pt>
                <c:pt idx="3550">
                  <c:v>-7.3229716198484017E-4</c:v>
                </c:pt>
                <c:pt idx="3551">
                  <c:v>-7.2551598801816103E-4</c:v>
                </c:pt>
                <c:pt idx="3552">
                  <c:v>-7.1873481405148199E-4</c:v>
                </c:pt>
                <c:pt idx="3553">
                  <c:v>-7.1195364008480285E-4</c:v>
                </c:pt>
                <c:pt idx="3554">
                  <c:v>-7.0517246611812392E-4</c:v>
                </c:pt>
                <c:pt idx="3555">
                  <c:v>-6.9839129215144467E-4</c:v>
                </c:pt>
                <c:pt idx="3556">
                  <c:v>-6.9161011818476563E-4</c:v>
                </c:pt>
                <c:pt idx="3557">
                  <c:v>-6.848289442180866E-4</c:v>
                </c:pt>
                <c:pt idx="3558">
                  <c:v>-6.7804777025140745E-4</c:v>
                </c:pt>
                <c:pt idx="3559">
                  <c:v>-6.7126659628472841E-4</c:v>
                </c:pt>
                <c:pt idx="3560">
                  <c:v>-6.6448542231804916E-4</c:v>
                </c:pt>
                <c:pt idx="3561">
                  <c:v>-6.5770424835137013E-4</c:v>
                </c:pt>
                <c:pt idx="3562">
                  <c:v>-6.5092307438469098E-4</c:v>
                </c:pt>
                <c:pt idx="3563">
                  <c:v>-6.4414190041801195E-4</c:v>
                </c:pt>
                <c:pt idx="3564">
                  <c:v>-6.373607264513328E-4</c:v>
                </c:pt>
                <c:pt idx="3565">
                  <c:v>-6.3057955248465376E-4</c:v>
                </c:pt>
                <c:pt idx="3566">
                  <c:v>-6.2379837851797462E-4</c:v>
                </c:pt>
                <c:pt idx="3567">
                  <c:v>-6.1701720455129537E-4</c:v>
                </c:pt>
                <c:pt idx="3568">
                  <c:v>-6.1023603058461633E-4</c:v>
                </c:pt>
                <c:pt idx="3569">
                  <c:v>-6.0345485661793719E-4</c:v>
                </c:pt>
                <c:pt idx="3570">
                  <c:v>-5.9667368265125815E-4</c:v>
                </c:pt>
                <c:pt idx="3571">
                  <c:v>-5.8989250868457901E-4</c:v>
                </c:pt>
                <c:pt idx="3572">
                  <c:v>-5.8311133471789997E-4</c:v>
                </c:pt>
                <c:pt idx="3573">
                  <c:v>-5.7633016075122083E-4</c:v>
                </c:pt>
                <c:pt idx="3574">
                  <c:v>-5.6954898678454168E-4</c:v>
                </c:pt>
                <c:pt idx="3575">
                  <c:v>-5.6276781281786254E-4</c:v>
                </c:pt>
                <c:pt idx="3576">
                  <c:v>-5.5598663885118361E-4</c:v>
                </c:pt>
                <c:pt idx="3577">
                  <c:v>-5.4920546488450447E-4</c:v>
                </c:pt>
                <c:pt idx="3578">
                  <c:v>-5.4242429091782532E-4</c:v>
                </c:pt>
                <c:pt idx="3579">
                  <c:v>-5.3564311695114618E-4</c:v>
                </c:pt>
                <c:pt idx="3580">
                  <c:v>-5.2886194298446714E-4</c:v>
                </c:pt>
                <c:pt idx="3581">
                  <c:v>-5.22080769017788E-4</c:v>
                </c:pt>
                <c:pt idx="3582">
                  <c:v>-5.1529959505110885E-4</c:v>
                </c:pt>
                <c:pt idx="3583">
                  <c:v>-5.0851842108442982E-4</c:v>
                </c:pt>
                <c:pt idx="3584">
                  <c:v>-5.0173724711775067E-4</c:v>
                </c:pt>
                <c:pt idx="3585">
                  <c:v>-4.9495607315107153E-4</c:v>
                </c:pt>
                <c:pt idx="3586">
                  <c:v>-4.8817489918439254E-4</c:v>
                </c:pt>
                <c:pt idx="3587">
                  <c:v>-4.813937252177134E-4</c:v>
                </c:pt>
                <c:pt idx="3588">
                  <c:v>-4.7461255125103431E-4</c:v>
                </c:pt>
                <c:pt idx="3589">
                  <c:v>-4.6783137728435517E-4</c:v>
                </c:pt>
                <c:pt idx="3590">
                  <c:v>-4.6105020331767602E-4</c:v>
                </c:pt>
                <c:pt idx="3591">
                  <c:v>-4.5426902935099699E-4</c:v>
                </c:pt>
                <c:pt idx="3592">
                  <c:v>-4.4748785538431784E-4</c:v>
                </c:pt>
                <c:pt idx="3593">
                  <c:v>-4.407066814176387E-4</c:v>
                </c:pt>
                <c:pt idx="3594">
                  <c:v>-4.3392550745095961E-4</c:v>
                </c:pt>
                <c:pt idx="3595">
                  <c:v>-4.2714433348427981E-4</c:v>
                </c:pt>
                <c:pt idx="3596">
                  <c:v>-4.2036315951760072E-4</c:v>
                </c:pt>
                <c:pt idx="3597">
                  <c:v>-4.1358198555092169E-4</c:v>
                </c:pt>
                <c:pt idx="3598">
                  <c:v>-4.0680081158424259E-4</c:v>
                </c:pt>
                <c:pt idx="3599">
                  <c:v>-8.0709704173953446E-4</c:v>
                </c:pt>
                <c:pt idx="3600">
                  <c:v>-8.0031586777285521E-4</c:v>
                </c:pt>
                <c:pt idx="3601">
                  <c:v>-7.9353469380617618E-4</c:v>
                </c:pt>
                <c:pt idx="3602">
                  <c:v>-7.8675351983949703E-4</c:v>
                </c:pt>
                <c:pt idx="3603">
                  <c:v>-7.7997234587281789E-4</c:v>
                </c:pt>
                <c:pt idx="3604">
                  <c:v>-7.7319117190613885E-4</c:v>
                </c:pt>
                <c:pt idx="3605">
                  <c:v>-7.6640999793945971E-4</c:v>
                </c:pt>
                <c:pt idx="3606">
                  <c:v>-7.5962882397278067E-4</c:v>
                </c:pt>
                <c:pt idx="3607">
                  <c:v>-7.5284765000610142E-4</c:v>
                </c:pt>
                <c:pt idx="3608">
                  <c:v>-7.4606647603942238E-4</c:v>
                </c:pt>
                <c:pt idx="3609">
                  <c:v>-7.3928530207274324E-4</c:v>
                </c:pt>
                <c:pt idx="3610">
                  <c:v>-7.325041281060642E-4</c:v>
                </c:pt>
                <c:pt idx="3611">
                  <c:v>-7.2572295413938506E-4</c:v>
                </c:pt>
                <c:pt idx="3612">
                  <c:v>-7.1894178017270602E-4</c:v>
                </c:pt>
                <c:pt idx="3613">
                  <c:v>-7.1216060620602688E-4</c:v>
                </c:pt>
                <c:pt idx="3614">
                  <c:v>-7.0537943223934762E-4</c:v>
                </c:pt>
                <c:pt idx="3615">
                  <c:v>-6.985982582726688E-4</c:v>
                </c:pt>
                <c:pt idx="3616">
                  <c:v>-6.9181708430598944E-4</c:v>
                </c:pt>
                <c:pt idx="3617">
                  <c:v>-6.8503591033931062E-4</c:v>
                </c:pt>
                <c:pt idx="3618">
                  <c:v>-6.7825473637263148E-4</c:v>
                </c:pt>
                <c:pt idx="3619">
                  <c:v>-6.7147356240595233E-4</c:v>
                </c:pt>
                <c:pt idx="3620">
                  <c:v>-6.6469238843927319E-4</c:v>
                </c:pt>
                <c:pt idx="3621">
                  <c:v>-6.5791121447259415E-4</c:v>
                </c:pt>
                <c:pt idx="3622">
                  <c:v>-6.5113004050591501E-4</c:v>
                </c:pt>
                <c:pt idx="3623">
                  <c:v>-6.4434886653923587E-4</c:v>
                </c:pt>
                <c:pt idx="3624">
                  <c:v>-6.3756769257255683E-4</c:v>
                </c:pt>
                <c:pt idx="3625">
                  <c:v>-6.3078651860587758E-4</c:v>
                </c:pt>
                <c:pt idx="3626">
                  <c:v>-6.2400534463919854E-4</c:v>
                </c:pt>
                <c:pt idx="3627">
                  <c:v>-6.172241706725194E-4</c:v>
                </c:pt>
                <c:pt idx="3628">
                  <c:v>-6.1044299670584036E-4</c:v>
                </c:pt>
                <c:pt idx="3629">
                  <c:v>-6.0366182273916122E-4</c:v>
                </c:pt>
                <c:pt idx="3630">
                  <c:v>-5.9688064877248218E-4</c:v>
                </c:pt>
                <c:pt idx="3631">
                  <c:v>-5.9009947480580304E-4</c:v>
                </c:pt>
                <c:pt idx="3632">
                  <c:v>-5.8331830083912378E-4</c:v>
                </c:pt>
                <c:pt idx="3633">
                  <c:v>-5.7653712687244475E-4</c:v>
                </c:pt>
                <c:pt idx="3634">
                  <c:v>-5.697559529057656E-4</c:v>
                </c:pt>
                <c:pt idx="3635">
                  <c:v>-5.6297477893908657E-4</c:v>
                </c:pt>
                <c:pt idx="3636">
                  <c:v>-5.5619360497240742E-4</c:v>
                </c:pt>
                <c:pt idx="3637">
                  <c:v>-5.4941243100572839E-4</c:v>
                </c:pt>
                <c:pt idx="3638">
                  <c:v>-5.4263125703904924E-4</c:v>
                </c:pt>
                <c:pt idx="3639">
                  <c:v>-5.358500830723701E-4</c:v>
                </c:pt>
                <c:pt idx="3640">
                  <c:v>-5.2906890910569106E-4</c:v>
                </c:pt>
                <c:pt idx="3641">
                  <c:v>-5.2228773513901192E-4</c:v>
                </c:pt>
                <c:pt idx="3642">
                  <c:v>-5.1550656117233277E-4</c:v>
                </c:pt>
                <c:pt idx="3643">
                  <c:v>-5.0872538720565363E-4</c:v>
                </c:pt>
                <c:pt idx="3644">
                  <c:v>-5.0194421323897448E-4</c:v>
                </c:pt>
                <c:pt idx="3645">
                  <c:v>-4.9516303927229545E-4</c:v>
                </c:pt>
                <c:pt idx="3646">
                  <c:v>-4.883818653056163E-4</c:v>
                </c:pt>
                <c:pt idx="3647">
                  <c:v>-4.8160069133893737E-4</c:v>
                </c:pt>
                <c:pt idx="3648">
                  <c:v>-4.7481951737225834E-4</c:v>
                </c:pt>
                <c:pt idx="3649">
                  <c:v>-4.6803834340557919E-4</c:v>
                </c:pt>
                <c:pt idx="3650">
                  <c:v>-4.612571694389E-4</c:v>
                </c:pt>
                <c:pt idx="3651">
                  <c:v>-4.5447599547222091E-4</c:v>
                </c:pt>
                <c:pt idx="3652">
                  <c:v>-4.4769482150554182E-4</c:v>
                </c:pt>
                <c:pt idx="3653">
                  <c:v>-4.4091364753886267E-4</c:v>
                </c:pt>
                <c:pt idx="3654">
                  <c:v>-4.3413247357218358E-4</c:v>
                </c:pt>
                <c:pt idx="3655">
                  <c:v>-4.2735129960550449E-4</c:v>
                </c:pt>
                <c:pt idx="3656">
                  <c:v>-4.205701256388247E-4</c:v>
                </c:pt>
                <c:pt idx="3657">
                  <c:v>-4.1378895167214561E-4</c:v>
                </c:pt>
                <c:pt idx="3658">
                  <c:v>-4.0700777770546657E-4</c:v>
                </c:pt>
                <c:pt idx="3659">
                  <c:v>-4.0022660373878742E-4</c:v>
                </c:pt>
                <c:pt idx="3660">
                  <c:v>-8.0052283389407913E-4</c:v>
                </c:pt>
                <c:pt idx="3661">
                  <c:v>-7.937416599274001E-4</c:v>
                </c:pt>
                <c:pt idx="3662">
                  <c:v>-7.8696048596072095E-4</c:v>
                </c:pt>
                <c:pt idx="3663">
                  <c:v>-7.8017931199404181E-4</c:v>
                </c:pt>
                <c:pt idx="3664">
                  <c:v>-7.7339813802736277E-4</c:v>
                </c:pt>
                <c:pt idx="3665">
                  <c:v>-7.6661696406068363E-4</c:v>
                </c:pt>
                <c:pt idx="3666">
                  <c:v>-7.5983579009400459E-4</c:v>
                </c:pt>
                <c:pt idx="3667">
                  <c:v>-7.5305461612732534E-4</c:v>
                </c:pt>
                <c:pt idx="3668">
                  <c:v>-7.462734421606463E-4</c:v>
                </c:pt>
                <c:pt idx="3669">
                  <c:v>-7.3949226819396716E-4</c:v>
                </c:pt>
                <c:pt idx="3670">
                  <c:v>-7.3271109422728812E-4</c:v>
                </c:pt>
                <c:pt idx="3671">
                  <c:v>-7.2592992026060898E-4</c:v>
                </c:pt>
                <c:pt idx="3672">
                  <c:v>-7.1914874629392983E-4</c:v>
                </c:pt>
                <c:pt idx="3673">
                  <c:v>-7.123675723272508E-4</c:v>
                </c:pt>
                <c:pt idx="3674">
                  <c:v>-7.0558639836057154E-4</c:v>
                </c:pt>
                <c:pt idx="3675">
                  <c:v>-6.9880522439389251E-4</c:v>
                </c:pt>
                <c:pt idx="3676">
                  <c:v>-6.9202405042721358E-4</c:v>
                </c:pt>
                <c:pt idx="3677">
                  <c:v>-6.8524287646053433E-4</c:v>
                </c:pt>
                <c:pt idx="3678">
                  <c:v>-6.784617024938554E-4</c:v>
                </c:pt>
                <c:pt idx="3679">
                  <c:v>-6.7168052852717625E-4</c:v>
                </c:pt>
                <c:pt idx="3680">
                  <c:v>-6.6489935456049711E-4</c:v>
                </c:pt>
                <c:pt idx="3681">
                  <c:v>-6.5811818059381797E-4</c:v>
                </c:pt>
                <c:pt idx="3682">
                  <c:v>-6.5133700662713893E-4</c:v>
                </c:pt>
                <c:pt idx="3683">
                  <c:v>-6.4455583266045979E-4</c:v>
                </c:pt>
                <c:pt idx="3684">
                  <c:v>-6.3777465869378075E-4</c:v>
                </c:pt>
                <c:pt idx="3685">
                  <c:v>-6.309934847271015E-4</c:v>
                </c:pt>
                <c:pt idx="3686">
                  <c:v>-6.2421231076042246E-4</c:v>
                </c:pt>
                <c:pt idx="3687">
                  <c:v>-6.1743113679374332E-4</c:v>
                </c:pt>
                <c:pt idx="3688">
                  <c:v>-6.1064996282706428E-4</c:v>
                </c:pt>
                <c:pt idx="3689">
                  <c:v>-6.0386878886038514E-4</c:v>
                </c:pt>
                <c:pt idx="3690">
                  <c:v>-5.970876148937061E-4</c:v>
                </c:pt>
                <c:pt idx="3691">
                  <c:v>-5.9030644092702696E-4</c:v>
                </c:pt>
                <c:pt idx="3692">
                  <c:v>-5.835252669603477E-4</c:v>
                </c:pt>
                <c:pt idx="3693">
                  <c:v>-5.7674409299366867E-4</c:v>
                </c:pt>
                <c:pt idx="3694">
                  <c:v>-5.6996291902698952E-4</c:v>
                </c:pt>
                <c:pt idx="3695">
                  <c:v>-5.6318174506031049E-4</c:v>
                </c:pt>
                <c:pt idx="3696">
                  <c:v>-5.5640057109363134E-4</c:v>
                </c:pt>
                <c:pt idx="3697">
                  <c:v>-5.4961939712695231E-4</c:v>
                </c:pt>
                <c:pt idx="3698">
                  <c:v>-5.4283822316027316E-4</c:v>
                </c:pt>
                <c:pt idx="3699">
                  <c:v>-5.3605704919359402E-4</c:v>
                </c:pt>
                <c:pt idx="3700">
                  <c:v>-5.2927587522691498E-4</c:v>
                </c:pt>
                <c:pt idx="3701">
                  <c:v>-5.2249470126023573E-4</c:v>
                </c:pt>
                <c:pt idx="3702">
                  <c:v>-5.1571352729355669E-4</c:v>
                </c:pt>
                <c:pt idx="3703">
                  <c:v>-5.0893235332687755E-4</c:v>
                </c:pt>
                <c:pt idx="3704">
                  <c:v>-5.021511793601984E-4</c:v>
                </c:pt>
                <c:pt idx="3705">
                  <c:v>-4.9537000539351937E-4</c:v>
                </c:pt>
                <c:pt idx="3706">
                  <c:v>-4.8858883142684022E-4</c:v>
                </c:pt>
                <c:pt idx="3707">
                  <c:v>-4.8180765746016119E-4</c:v>
                </c:pt>
                <c:pt idx="3708">
                  <c:v>-4.750264834934822E-4</c:v>
                </c:pt>
                <c:pt idx="3709">
                  <c:v>-4.6824530952680306E-4</c:v>
                </c:pt>
                <c:pt idx="3710">
                  <c:v>-4.6146413556012392E-4</c:v>
                </c:pt>
                <c:pt idx="3711">
                  <c:v>-4.5468296159344483E-4</c:v>
                </c:pt>
                <c:pt idx="3712">
                  <c:v>-4.4790178762676574E-4</c:v>
                </c:pt>
                <c:pt idx="3713">
                  <c:v>-4.4112061366008659E-4</c:v>
                </c:pt>
                <c:pt idx="3714">
                  <c:v>-4.343394396934075E-4</c:v>
                </c:pt>
                <c:pt idx="3715">
                  <c:v>-4.2755826572672836E-4</c:v>
                </c:pt>
                <c:pt idx="3716">
                  <c:v>-4.2077709176004921E-4</c:v>
                </c:pt>
                <c:pt idx="3717">
                  <c:v>-4.1399591779336953E-4</c:v>
                </c:pt>
                <c:pt idx="3718">
                  <c:v>-4.0721474382669038E-4</c:v>
                </c:pt>
                <c:pt idx="3719">
                  <c:v>-4.0043356986001134E-4</c:v>
                </c:pt>
                <c:pt idx="3720">
                  <c:v>-3.936523958933322E-4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2-47D2-8E1E-E624ECA3C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879216"/>
        <c:axId val="1732881136"/>
      </c:scatterChart>
      <c:valAx>
        <c:axId val="1732879216"/>
        <c:scaling>
          <c:orientation val="minMax"/>
          <c:max val="0.03"/>
          <c:min val="1.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881136"/>
        <c:crosses val="autoZero"/>
        <c:crossBetween val="midCat"/>
      </c:valAx>
      <c:valAx>
        <c:axId val="1732881136"/>
        <c:scaling>
          <c:orientation val="minMax"/>
          <c:max val="-2.5000000000000001E-4"/>
          <c:min val="-1.299999999999999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87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293525</xdr:colOff>
      <xdr:row>0</xdr:row>
      <xdr:rowOff>103658</xdr:rowOff>
    </xdr:from>
    <xdr:to>
      <xdr:col>13</xdr:col>
      <xdr:colOff>334422</xdr:colOff>
      <xdr:row>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E5425-D9C9-4D89-9BE4-2AD5C81C1927}"/>
            </a:ext>
            <a:ext uri="{147F2762-F138-4A5C-976F-8EAC2B608ADB}">
              <a16:predDERef xmlns:a16="http://schemas.microsoft.com/office/drawing/2014/main" pred="{59092436-2E6B-A86F-3B2C-CEB2407FE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7025" y="103658"/>
          <a:ext cx="3082546" cy="877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377825</xdr:colOff>
      <xdr:row>0</xdr:row>
      <xdr:rowOff>0</xdr:rowOff>
    </xdr:from>
    <xdr:to>
      <xdr:col>12</xdr:col>
      <xdr:colOff>476250</xdr:colOff>
      <xdr:row>5</xdr:row>
      <xdr:rowOff>144911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5F27F-0C88-45BF-87B5-5AB6DE628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5600" y="0"/>
          <a:ext cx="2536825" cy="10529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167057</xdr:colOff>
      <xdr:row>1</xdr:row>
      <xdr:rowOff>16566</xdr:rowOff>
    </xdr:from>
    <xdr:to>
      <xdr:col>18</xdr:col>
      <xdr:colOff>324076</xdr:colOff>
      <xdr:row>33</xdr:row>
      <xdr:rowOff>5797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2D8F8C22-866B-2A1F-0F5A-82A6412B2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5CDEF-879A-4464-9D48-362C7A4EAD19}" name="Table1" displayName="Table1" ref="A1:D251" totalsRowShown="0" headerRowDxfId="9" tableBorderDxfId="8" headerRowCellStyle="Accent1">
  <autoFilter ref="A1:D251" xr:uid="{68F5CDEF-879A-4464-9D48-362C7A4EAD19}"/>
  <tableColumns count="4">
    <tableColumn id="1" xr3:uid="{78C6E445-A9ED-4911-8FD5-56C8089C5A10}" name="Date" dataDxfId="7">
      <calculatedColumnFormula>Prices!A2</calculatedColumnFormula>
    </tableColumn>
    <tableColumn id="2" xr3:uid="{CD742B87-E090-42A2-BCF6-53D7808FDED9}" name="MSFT Return (USD)" dataDxfId="6">
      <calculatedColumnFormula>LN(Prices!B1)-LN(Prices!B2)</calculatedColumnFormula>
    </tableColumn>
    <tableColumn id="3" xr3:uid="{76B85123-3203-4955-BDD4-75BD8FB18949}" name="ORCL Return (USD)" dataDxfId="5">
      <calculatedColumnFormula>LN(Prices!C2)-LN(Prices!C1)</calculatedColumnFormula>
    </tableColumn>
    <tableColumn id="4" xr3:uid="{2B557661-A972-4A67-A1AE-0905C8B2DF3D}" name="SONY Return (USD)" dataDxfId="4">
      <calculatedColumnFormula>LN(Prices!D2)-LN(Prices!D1)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workbookViewId="0">
      <pane ySplit="1" topLeftCell="A2" activePane="bottomLeft" state="frozen"/>
      <selection pane="bottomLeft" activeCell="A218" sqref="A218"/>
    </sheetView>
  </sheetViews>
  <sheetFormatPr defaultRowHeight="15" x14ac:dyDescent="0.25"/>
  <cols>
    <col min="1" max="1" width="17.5703125" style="1" customWidth="1"/>
    <col min="2" max="2" width="21" customWidth="1"/>
    <col min="3" max="3" width="30.140625" customWidth="1"/>
    <col min="4" max="4" width="25.140625" customWidth="1"/>
  </cols>
  <sheetData>
    <row r="1" spans="1:4" ht="33.6" customHeight="1" x14ac:dyDescent="0.25">
      <c r="A1" s="24" t="s">
        <v>0</v>
      </c>
      <c r="B1" s="25" t="s">
        <v>1</v>
      </c>
      <c r="C1" s="25" t="s">
        <v>2</v>
      </c>
      <c r="D1" s="26" t="s">
        <v>3</v>
      </c>
    </row>
    <row r="2" spans="1:4" x14ac:dyDescent="0.25">
      <c r="A2" s="15">
        <v>46101</v>
      </c>
      <c r="B2" s="16">
        <v>381.87</v>
      </c>
      <c r="C2" s="16">
        <v>149.68</v>
      </c>
      <c r="D2" s="17">
        <v>20.22</v>
      </c>
    </row>
    <row r="3" spans="1:4" x14ac:dyDescent="0.25">
      <c r="A3" s="18">
        <v>46100</v>
      </c>
      <c r="B3" s="19">
        <v>389.02</v>
      </c>
      <c r="C3" s="19">
        <v>155.52000000000001</v>
      </c>
      <c r="D3" s="20">
        <v>20.62</v>
      </c>
    </row>
    <row r="4" spans="1:4" x14ac:dyDescent="0.25">
      <c r="A4" s="15">
        <v>46099</v>
      </c>
      <c r="B4" s="16">
        <v>391.79</v>
      </c>
      <c r="C4" s="16">
        <v>152.9</v>
      </c>
      <c r="D4" s="17">
        <v>20.38</v>
      </c>
    </row>
    <row r="5" spans="1:4" x14ac:dyDescent="0.25">
      <c r="A5" s="18">
        <v>46098</v>
      </c>
      <c r="B5" s="19">
        <v>399.41</v>
      </c>
      <c r="C5" s="19">
        <v>154.69</v>
      </c>
      <c r="D5" s="20">
        <v>20.92</v>
      </c>
    </row>
    <row r="6" spans="1:4" x14ac:dyDescent="0.25">
      <c r="A6" s="15">
        <v>46097</v>
      </c>
      <c r="B6" s="16">
        <v>399.95</v>
      </c>
      <c r="C6" s="16">
        <v>155.97</v>
      </c>
      <c r="D6" s="17">
        <v>21.65</v>
      </c>
    </row>
    <row r="7" spans="1:4" x14ac:dyDescent="0.25">
      <c r="A7" s="18">
        <v>46094</v>
      </c>
      <c r="B7" s="19">
        <v>395.55</v>
      </c>
      <c r="C7" s="19">
        <v>155.11000000000001</v>
      </c>
      <c r="D7" s="20">
        <v>21.49</v>
      </c>
    </row>
    <row r="8" spans="1:4" x14ac:dyDescent="0.25">
      <c r="A8" s="15">
        <v>46093</v>
      </c>
      <c r="B8" s="16">
        <v>401.86</v>
      </c>
      <c r="C8" s="16">
        <v>159.16</v>
      </c>
      <c r="D8" s="17">
        <v>21.46</v>
      </c>
    </row>
    <row r="9" spans="1:4" x14ac:dyDescent="0.25">
      <c r="A9" s="18">
        <v>46092</v>
      </c>
      <c r="B9" s="19">
        <v>404.88</v>
      </c>
      <c r="C9" s="19">
        <v>163.12</v>
      </c>
      <c r="D9" s="20">
        <v>21.49</v>
      </c>
    </row>
    <row r="10" spans="1:4" x14ac:dyDescent="0.25">
      <c r="A10" s="15">
        <v>46091</v>
      </c>
      <c r="B10" s="16">
        <v>405.76</v>
      </c>
      <c r="C10" s="16">
        <v>149.4</v>
      </c>
      <c r="D10" s="17">
        <v>21.68</v>
      </c>
    </row>
    <row r="11" spans="1:4" x14ac:dyDescent="0.25">
      <c r="A11" s="18">
        <v>46090</v>
      </c>
      <c r="B11" s="19">
        <v>409.41</v>
      </c>
      <c r="C11" s="19">
        <v>151.56</v>
      </c>
      <c r="D11" s="20">
        <v>21.62</v>
      </c>
    </row>
    <row r="12" spans="1:4" x14ac:dyDescent="0.25">
      <c r="A12" s="15">
        <v>46087</v>
      </c>
      <c r="B12" s="16">
        <v>408.96</v>
      </c>
      <c r="C12" s="16">
        <v>152.96</v>
      </c>
      <c r="D12" s="17">
        <v>21.48</v>
      </c>
    </row>
    <row r="13" spans="1:4" x14ac:dyDescent="0.25">
      <c r="A13" s="18">
        <v>46086</v>
      </c>
      <c r="B13" s="19">
        <v>410.68</v>
      </c>
      <c r="C13" s="19">
        <v>154.79</v>
      </c>
      <c r="D13" s="20">
        <v>21.37</v>
      </c>
    </row>
    <row r="14" spans="1:4" x14ac:dyDescent="0.25">
      <c r="A14" s="15">
        <v>46085</v>
      </c>
      <c r="B14" s="16">
        <v>405.2</v>
      </c>
      <c r="C14" s="16">
        <v>152.37</v>
      </c>
      <c r="D14" s="17">
        <v>21.99</v>
      </c>
    </row>
    <row r="15" spans="1:4" x14ac:dyDescent="0.25">
      <c r="A15" s="18">
        <v>46084</v>
      </c>
      <c r="B15" s="19">
        <v>403.93</v>
      </c>
      <c r="C15" s="19">
        <v>149.01</v>
      </c>
      <c r="D15" s="20">
        <v>21.58</v>
      </c>
    </row>
    <row r="16" spans="1:4" x14ac:dyDescent="0.25">
      <c r="A16" s="15">
        <v>46083</v>
      </c>
      <c r="B16" s="16">
        <v>398.55</v>
      </c>
      <c r="C16" s="16">
        <v>149.25</v>
      </c>
      <c r="D16" s="17">
        <v>22.69</v>
      </c>
    </row>
    <row r="17" spans="1:4" x14ac:dyDescent="0.25">
      <c r="A17" s="18">
        <v>46080</v>
      </c>
      <c r="B17" s="19">
        <v>392.74</v>
      </c>
      <c r="C17" s="19">
        <v>145.4</v>
      </c>
      <c r="D17" s="20">
        <v>23.06</v>
      </c>
    </row>
    <row r="18" spans="1:4" x14ac:dyDescent="0.25">
      <c r="A18" s="15">
        <v>46079</v>
      </c>
      <c r="B18" s="16">
        <v>401.72</v>
      </c>
      <c r="C18" s="16">
        <v>150.31</v>
      </c>
      <c r="D18" s="17">
        <v>22.59</v>
      </c>
    </row>
    <row r="19" spans="1:4" x14ac:dyDescent="0.25">
      <c r="A19" s="18">
        <v>46078</v>
      </c>
      <c r="B19" s="19">
        <v>400.6</v>
      </c>
      <c r="C19" s="19">
        <v>147.88999999999999</v>
      </c>
      <c r="D19" s="20">
        <v>21.41</v>
      </c>
    </row>
    <row r="20" spans="1:4" x14ac:dyDescent="0.25">
      <c r="A20" s="15">
        <v>46077</v>
      </c>
      <c r="B20" s="16">
        <v>389</v>
      </c>
      <c r="C20" s="16">
        <v>146.13999999999999</v>
      </c>
      <c r="D20" s="17">
        <v>21.6</v>
      </c>
    </row>
    <row r="21" spans="1:4" x14ac:dyDescent="0.25">
      <c r="A21" s="18">
        <v>46076</v>
      </c>
      <c r="B21" s="19">
        <v>384.47</v>
      </c>
      <c r="C21" s="19">
        <v>141.31</v>
      </c>
      <c r="D21" s="20">
        <v>21.67</v>
      </c>
    </row>
    <row r="22" spans="1:4" x14ac:dyDescent="0.25">
      <c r="A22" s="15">
        <v>46073</v>
      </c>
      <c r="B22" s="16">
        <v>397.23</v>
      </c>
      <c r="C22" s="16">
        <v>148.08000000000001</v>
      </c>
      <c r="D22" s="17">
        <v>21.93</v>
      </c>
    </row>
    <row r="23" spans="1:4" x14ac:dyDescent="0.25">
      <c r="A23" s="18">
        <v>46072</v>
      </c>
      <c r="B23" s="19">
        <v>398.46</v>
      </c>
      <c r="C23" s="19">
        <v>156.54</v>
      </c>
      <c r="D23" s="20">
        <v>22.25</v>
      </c>
    </row>
    <row r="24" spans="1:4" x14ac:dyDescent="0.25">
      <c r="A24" s="15">
        <v>46071</v>
      </c>
      <c r="B24" s="16">
        <v>399.6</v>
      </c>
      <c r="C24" s="16">
        <v>156.16999999999999</v>
      </c>
      <c r="D24" s="17">
        <v>22.5</v>
      </c>
    </row>
    <row r="25" spans="1:4" x14ac:dyDescent="0.25">
      <c r="A25" s="18">
        <v>46070</v>
      </c>
      <c r="B25" s="19">
        <v>396.86</v>
      </c>
      <c r="C25" s="19">
        <v>153.97</v>
      </c>
      <c r="D25" s="20">
        <v>22.82</v>
      </c>
    </row>
    <row r="26" spans="1:4" x14ac:dyDescent="0.25">
      <c r="A26" s="15">
        <v>46066</v>
      </c>
      <c r="B26" s="16">
        <v>401.32</v>
      </c>
      <c r="C26" s="16">
        <v>160.13999999999999</v>
      </c>
      <c r="D26" s="17">
        <v>23.19</v>
      </c>
    </row>
    <row r="27" spans="1:4" x14ac:dyDescent="0.25">
      <c r="A27" s="18">
        <v>46065</v>
      </c>
      <c r="B27" s="19">
        <v>401.84</v>
      </c>
      <c r="C27" s="19">
        <v>156.47999999999999</v>
      </c>
      <c r="D27" s="20">
        <v>22.87</v>
      </c>
    </row>
    <row r="28" spans="1:4" x14ac:dyDescent="0.25">
      <c r="A28" s="15">
        <v>46064</v>
      </c>
      <c r="B28" s="16">
        <v>404.37</v>
      </c>
      <c r="C28" s="16">
        <v>157.16</v>
      </c>
      <c r="D28" s="17">
        <v>22.95</v>
      </c>
    </row>
    <row r="29" spans="1:4" x14ac:dyDescent="0.25">
      <c r="A29" s="18">
        <v>46063</v>
      </c>
      <c r="B29" s="19">
        <v>413.27</v>
      </c>
      <c r="C29" s="19">
        <v>159.88999999999999</v>
      </c>
      <c r="D29" s="20">
        <v>22.83</v>
      </c>
    </row>
    <row r="30" spans="1:4" x14ac:dyDescent="0.25">
      <c r="A30" s="15">
        <v>46062</v>
      </c>
      <c r="B30" s="16">
        <v>413.6</v>
      </c>
      <c r="C30" s="16">
        <v>156.59</v>
      </c>
      <c r="D30" s="17">
        <v>22.33</v>
      </c>
    </row>
    <row r="31" spans="1:4" x14ac:dyDescent="0.25">
      <c r="A31" s="18">
        <v>46059</v>
      </c>
      <c r="B31" s="19">
        <v>401.14</v>
      </c>
      <c r="C31" s="19">
        <v>142.82</v>
      </c>
      <c r="D31" s="20">
        <v>22.26</v>
      </c>
    </row>
    <row r="32" spans="1:4" x14ac:dyDescent="0.25">
      <c r="A32" s="15">
        <v>46058</v>
      </c>
      <c r="B32" s="16">
        <v>393.67</v>
      </c>
      <c r="C32" s="16">
        <v>136.47999999999999</v>
      </c>
      <c r="D32" s="17">
        <v>21.24</v>
      </c>
    </row>
    <row r="33" spans="1:4" x14ac:dyDescent="0.25">
      <c r="A33" s="18">
        <v>46057</v>
      </c>
      <c r="B33" s="19">
        <v>414.19</v>
      </c>
      <c r="C33" s="19">
        <v>146.66999999999999</v>
      </c>
      <c r="D33" s="20">
        <v>21.91</v>
      </c>
    </row>
    <row r="34" spans="1:4" x14ac:dyDescent="0.25">
      <c r="A34" s="15">
        <v>46056</v>
      </c>
      <c r="B34" s="16">
        <v>411.21</v>
      </c>
      <c r="C34" s="16">
        <v>154.66999999999999</v>
      </c>
      <c r="D34" s="17">
        <v>21.93</v>
      </c>
    </row>
    <row r="35" spans="1:4" x14ac:dyDescent="0.25">
      <c r="A35" s="18">
        <v>46055</v>
      </c>
      <c r="B35" s="19">
        <v>423.37</v>
      </c>
      <c r="C35" s="19">
        <v>160.06</v>
      </c>
      <c r="D35" s="20">
        <v>22.12</v>
      </c>
    </row>
    <row r="36" spans="1:4" x14ac:dyDescent="0.25">
      <c r="A36" s="15">
        <v>46052</v>
      </c>
      <c r="B36" s="16">
        <v>430.29</v>
      </c>
      <c r="C36" s="16">
        <v>164.58</v>
      </c>
      <c r="D36" s="17">
        <v>22.1</v>
      </c>
    </row>
    <row r="37" spans="1:4" x14ac:dyDescent="0.25">
      <c r="A37" s="18">
        <v>46051</v>
      </c>
      <c r="B37" s="19">
        <v>433.5</v>
      </c>
      <c r="C37" s="19">
        <v>169.01</v>
      </c>
      <c r="D37" s="20">
        <v>22.29</v>
      </c>
    </row>
    <row r="38" spans="1:4" x14ac:dyDescent="0.25">
      <c r="A38" s="15">
        <v>46050</v>
      </c>
      <c r="B38" s="16">
        <v>481.63</v>
      </c>
      <c r="C38" s="16">
        <v>172.8</v>
      </c>
      <c r="D38" s="17">
        <v>22.28</v>
      </c>
    </row>
    <row r="39" spans="1:4" x14ac:dyDescent="0.25">
      <c r="A39" s="18">
        <v>46049</v>
      </c>
      <c r="B39" s="19">
        <v>480.58</v>
      </c>
      <c r="C39" s="19">
        <v>174.9</v>
      </c>
      <c r="D39" s="20">
        <v>22.6</v>
      </c>
    </row>
    <row r="40" spans="1:4" x14ac:dyDescent="0.25">
      <c r="A40" s="15">
        <v>46048</v>
      </c>
      <c r="B40" s="16">
        <v>470.28</v>
      </c>
      <c r="C40" s="16">
        <v>182.44</v>
      </c>
      <c r="D40" s="17">
        <v>22.96</v>
      </c>
    </row>
    <row r="41" spans="1:4" x14ac:dyDescent="0.25">
      <c r="A41" s="18">
        <v>46045</v>
      </c>
      <c r="B41" s="19">
        <v>465.95</v>
      </c>
      <c r="C41" s="19">
        <v>177.16</v>
      </c>
      <c r="D41" s="20">
        <v>23.09</v>
      </c>
    </row>
    <row r="42" spans="1:4" x14ac:dyDescent="0.25">
      <c r="A42" s="15">
        <v>46044</v>
      </c>
      <c r="B42" s="16">
        <v>451.14</v>
      </c>
      <c r="C42" s="16">
        <v>178.18</v>
      </c>
      <c r="D42" s="17">
        <v>22.96</v>
      </c>
    </row>
    <row r="43" spans="1:4" x14ac:dyDescent="0.25">
      <c r="A43" s="18">
        <v>46043</v>
      </c>
      <c r="B43" s="19">
        <v>444.11</v>
      </c>
      <c r="C43" s="19">
        <v>173.88</v>
      </c>
      <c r="D43" s="20">
        <v>23.68</v>
      </c>
    </row>
    <row r="44" spans="1:4" x14ac:dyDescent="0.25">
      <c r="A44" s="15">
        <v>46042</v>
      </c>
      <c r="B44" s="16">
        <v>454.52</v>
      </c>
      <c r="C44" s="16">
        <v>179.92</v>
      </c>
      <c r="D44" s="17">
        <v>23.72</v>
      </c>
    </row>
    <row r="45" spans="1:4" x14ac:dyDescent="0.25">
      <c r="A45" s="18">
        <v>46038</v>
      </c>
      <c r="B45" s="19">
        <v>459.86</v>
      </c>
      <c r="C45" s="19">
        <v>191.09</v>
      </c>
      <c r="D45" s="20">
        <v>24.05</v>
      </c>
    </row>
    <row r="46" spans="1:4" x14ac:dyDescent="0.25">
      <c r="A46" s="15">
        <v>46037</v>
      </c>
      <c r="B46" s="16">
        <v>456.66</v>
      </c>
      <c r="C46" s="16">
        <v>189.85</v>
      </c>
      <c r="D46" s="17">
        <v>24.12</v>
      </c>
    </row>
    <row r="47" spans="1:4" x14ac:dyDescent="0.25">
      <c r="A47" s="18">
        <v>46036</v>
      </c>
      <c r="B47" s="19">
        <v>459.38</v>
      </c>
      <c r="C47" s="19">
        <v>193.61</v>
      </c>
      <c r="D47" s="20">
        <v>24.09</v>
      </c>
    </row>
    <row r="48" spans="1:4" x14ac:dyDescent="0.25">
      <c r="A48" s="15">
        <v>46035</v>
      </c>
      <c r="B48" s="16">
        <v>470.67</v>
      </c>
      <c r="C48" s="16">
        <v>202.29</v>
      </c>
      <c r="D48" s="17">
        <v>24.41</v>
      </c>
    </row>
    <row r="49" spans="1:4" x14ac:dyDescent="0.25">
      <c r="A49" s="18">
        <v>46034</v>
      </c>
      <c r="B49" s="19">
        <v>477.18</v>
      </c>
      <c r="C49" s="19">
        <v>204.68</v>
      </c>
      <c r="D49" s="20">
        <v>25.18</v>
      </c>
    </row>
    <row r="50" spans="1:4" x14ac:dyDescent="0.25">
      <c r="A50" s="15">
        <v>46031</v>
      </c>
      <c r="B50" s="16">
        <v>479.28</v>
      </c>
      <c r="C50" s="16">
        <v>198.52</v>
      </c>
      <c r="D50" s="17">
        <v>25.04</v>
      </c>
    </row>
    <row r="51" spans="1:4" x14ac:dyDescent="0.25">
      <c r="A51" s="18">
        <v>46030</v>
      </c>
      <c r="B51" s="19">
        <v>478.11</v>
      </c>
      <c r="C51" s="19">
        <v>189.65</v>
      </c>
      <c r="D51" s="20">
        <v>25.25</v>
      </c>
    </row>
    <row r="52" spans="1:4" x14ac:dyDescent="0.25">
      <c r="A52" s="15">
        <v>46029</v>
      </c>
      <c r="B52" s="16">
        <v>483.47</v>
      </c>
      <c r="C52" s="16">
        <v>192.84</v>
      </c>
      <c r="D52" s="17">
        <v>25.12</v>
      </c>
    </row>
    <row r="53" spans="1:4" x14ac:dyDescent="0.25">
      <c r="A53" s="18">
        <v>46028</v>
      </c>
      <c r="B53" s="19">
        <v>478.51</v>
      </c>
      <c r="C53" s="19">
        <v>193.75</v>
      </c>
      <c r="D53" s="20">
        <v>25.74</v>
      </c>
    </row>
    <row r="54" spans="1:4" x14ac:dyDescent="0.25">
      <c r="A54" s="15">
        <v>46027</v>
      </c>
      <c r="B54" s="16">
        <v>472.85</v>
      </c>
      <c r="C54" s="16">
        <v>192.59</v>
      </c>
      <c r="D54" s="17">
        <v>25.83</v>
      </c>
    </row>
    <row r="55" spans="1:4" x14ac:dyDescent="0.25">
      <c r="A55" s="18">
        <v>46024</v>
      </c>
      <c r="B55" s="19">
        <v>472.94</v>
      </c>
      <c r="C55" s="19">
        <v>195.71</v>
      </c>
      <c r="D55" s="20">
        <v>25.88</v>
      </c>
    </row>
    <row r="56" spans="1:4" x14ac:dyDescent="0.25">
      <c r="A56" s="15">
        <v>46022</v>
      </c>
      <c r="B56" s="16">
        <v>483.62</v>
      </c>
      <c r="C56" s="16">
        <v>194.91</v>
      </c>
      <c r="D56" s="17">
        <v>25.6</v>
      </c>
    </row>
    <row r="57" spans="1:4" x14ac:dyDescent="0.25">
      <c r="A57" s="18">
        <v>46021</v>
      </c>
      <c r="B57" s="19">
        <v>487.48</v>
      </c>
      <c r="C57" s="19">
        <v>197.21</v>
      </c>
      <c r="D57" s="20">
        <v>25.72</v>
      </c>
    </row>
    <row r="58" spans="1:4" x14ac:dyDescent="0.25">
      <c r="A58" s="15">
        <v>46020</v>
      </c>
      <c r="B58" s="16">
        <v>487.1</v>
      </c>
      <c r="C58" s="16">
        <v>195.38</v>
      </c>
      <c r="D58" s="17">
        <v>25.77</v>
      </c>
    </row>
    <row r="59" spans="1:4" x14ac:dyDescent="0.25">
      <c r="A59" s="18">
        <v>46017</v>
      </c>
      <c r="B59" s="19">
        <v>487.71</v>
      </c>
      <c r="C59" s="19">
        <v>197.99</v>
      </c>
      <c r="D59" s="20">
        <v>25.82</v>
      </c>
    </row>
    <row r="60" spans="1:4" x14ac:dyDescent="0.25">
      <c r="A60" s="15">
        <v>46015</v>
      </c>
      <c r="B60" s="16">
        <v>488.02</v>
      </c>
      <c r="C60" s="16">
        <v>197.49</v>
      </c>
      <c r="D60" s="17">
        <v>25.7</v>
      </c>
    </row>
    <row r="61" spans="1:4" x14ac:dyDescent="0.25">
      <c r="A61" s="18">
        <v>46014</v>
      </c>
      <c r="B61" s="19">
        <v>486.85</v>
      </c>
      <c r="C61" s="19">
        <v>195.34</v>
      </c>
      <c r="D61" s="20">
        <v>25.76</v>
      </c>
    </row>
    <row r="62" spans="1:4" x14ac:dyDescent="0.25">
      <c r="A62" s="15">
        <v>46013</v>
      </c>
      <c r="B62" s="16">
        <v>484.92</v>
      </c>
      <c r="C62" s="16">
        <v>198.38</v>
      </c>
      <c r="D62" s="17">
        <v>25.23</v>
      </c>
    </row>
    <row r="63" spans="1:4" x14ac:dyDescent="0.25">
      <c r="A63" s="18">
        <v>46010</v>
      </c>
      <c r="B63" s="19">
        <v>485.92</v>
      </c>
      <c r="C63" s="19">
        <v>191.97</v>
      </c>
      <c r="D63" s="20">
        <v>25.4</v>
      </c>
    </row>
    <row r="64" spans="1:4" x14ac:dyDescent="0.25">
      <c r="A64" s="15">
        <v>46009</v>
      </c>
      <c r="B64" s="16">
        <v>483.98</v>
      </c>
      <c r="C64" s="16">
        <v>180.03</v>
      </c>
      <c r="D64" s="17">
        <v>25.91</v>
      </c>
    </row>
    <row r="65" spans="1:4" x14ac:dyDescent="0.25">
      <c r="A65" s="18">
        <v>46008</v>
      </c>
      <c r="B65" s="19">
        <v>476.12</v>
      </c>
      <c r="C65" s="19">
        <v>178.46</v>
      </c>
      <c r="D65" s="20">
        <v>25.96</v>
      </c>
    </row>
    <row r="66" spans="1:4" x14ac:dyDescent="0.25">
      <c r="A66" s="15">
        <v>46007</v>
      </c>
      <c r="B66" s="16">
        <v>476.39</v>
      </c>
      <c r="C66" s="16">
        <v>188.65</v>
      </c>
      <c r="D66" s="17">
        <v>26.45</v>
      </c>
    </row>
    <row r="67" spans="1:4" x14ac:dyDescent="0.25">
      <c r="A67" s="18">
        <v>46006</v>
      </c>
      <c r="B67" s="19">
        <v>474.82</v>
      </c>
      <c r="C67" s="19">
        <v>184.92</v>
      </c>
      <c r="D67" s="20">
        <v>26.64</v>
      </c>
    </row>
    <row r="68" spans="1:4" x14ac:dyDescent="0.25">
      <c r="A68" s="15">
        <v>46003</v>
      </c>
      <c r="B68" s="16">
        <v>478.53</v>
      </c>
      <c r="C68" s="16">
        <v>189.97</v>
      </c>
      <c r="D68" s="17">
        <v>26.77</v>
      </c>
    </row>
    <row r="69" spans="1:4" x14ac:dyDescent="0.25">
      <c r="A69" s="18">
        <v>46002</v>
      </c>
      <c r="B69" s="19">
        <v>483.47</v>
      </c>
      <c r="C69" s="19">
        <v>198.85</v>
      </c>
      <c r="D69" s="20">
        <v>26.73</v>
      </c>
    </row>
    <row r="70" spans="1:4" x14ac:dyDescent="0.25">
      <c r="A70" s="15">
        <v>46001</v>
      </c>
      <c r="B70" s="16">
        <v>478.56</v>
      </c>
      <c r="C70" s="16">
        <v>223.01</v>
      </c>
      <c r="D70" s="17">
        <v>27.08</v>
      </c>
    </row>
    <row r="71" spans="1:4" x14ac:dyDescent="0.25">
      <c r="A71" s="18">
        <v>46000</v>
      </c>
      <c r="B71" s="19">
        <v>492.02</v>
      </c>
      <c r="C71" s="19">
        <v>221.53</v>
      </c>
      <c r="D71" s="20">
        <v>27.56</v>
      </c>
    </row>
    <row r="72" spans="1:4" x14ac:dyDescent="0.25">
      <c r="A72" s="15">
        <v>45999</v>
      </c>
      <c r="B72" s="16">
        <v>491.02</v>
      </c>
      <c r="C72" s="16">
        <v>220.54</v>
      </c>
      <c r="D72" s="17">
        <v>27.55</v>
      </c>
    </row>
    <row r="73" spans="1:4" x14ac:dyDescent="0.25">
      <c r="A73" s="18">
        <v>45996</v>
      </c>
      <c r="B73" s="19">
        <v>483.16</v>
      </c>
      <c r="C73" s="19">
        <v>217.58</v>
      </c>
      <c r="D73" s="20">
        <v>28.03</v>
      </c>
    </row>
    <row r="74" spans="1:4" x14ac:dyDescent="0.25">
      <c r="A74" s="15">
        <v>45995</v>
      </c>
      <c r="B74" s="16">
        <v>480.84</v>
      </c>
      <c r="C74" s="16">
        <v>214.33</v>
      </c>
      <c r="D74" s="17">
        <v>28.29</v>
      </c>
    </row>
    <row r="75" spans="1:4" x14ac:dyDescent="0.25">
      <c r="A75" s="18">
        <v>45994</v>
      </c>
      <c r="B75" s="19">
        <v>477.73</v>
      </c>
      <c r="C75" s="19">
        <v>207.73</v>
      </c>
      <c r="D75" s="20">
        <v>28.46</v>
      </c>
    </row>
    <row r="76" spans="1:4" x14ac:dyDescent="0.25">
      <c r="A76" s="15">
        <v>45993</v>
      </c>
      <c r="B76" s="16">
        <v>490</v>
      </c>
      <c r="C76" s="16">
        <v>201.1</v>
      </c>
      <c r="D76" s="17">
        <v>28.57</v>
      </c>
    </row>
    <row r="77" spans="1:4" x14ac:dyDescent="0.25">
      <c r="A77" s="18">
        <v>45992</v>
      </c>
      <c r="B77" s="19">
        <v>486.74</v>
      </c>
      <c r="C77" s="19">
        <v>200.94</v>
      </c>
      <c r="D77" s="20">
        <v>28.78</v>
      </c>
    </row>
    <row r="78" spans="1:4" x14ac:dyDescent="0.25">
      <c r="A78" s="15">
        <v>45989</v>
      </c>
      <c r="B78" s="16">
        <v>492.01</v>
      </c>
      <c r="C78" s="16">
        <v>201.95</v>
      </c>
      <c r="D78" s="17">
        <v>29.35</v>
      </c>
    </row>
    <row r="79" spans="1:4" x14ac:dyDescent="0.25">
      <c r="A79" s="18">
        <v>45987</v>
      </c>
      <c r="B79" s="19">
        <v>485.5</v>
      </c>
      <c r="C79" s="19">
        <v>204.96</v>
      </c>
      <c r="D79" s="20">
        <v>29.08</v>
      </c>
    </row>
    <row r="80" spans="1:4" x14ac:dyDescent="0.25">
      <c r="A80" s="15">
        <v>45986</v>
      </c>
      <c r="B80" s="16">
        <v>476.99</v>
      </c>
      <c r="C80" s="16">
        <v>197.03</v>
      </c>
      <c r="D80" s="17">
        <v>28.6</v>
      </c>
    </row>
    <row r="81" spans="1:4" x14ac:dyDescent="0.25">
      <c r="A81" s="18">
        <v>45985</v>
      </c>
      <c r="B81" s="19">
        <v>474</v>
      </c>
      <c r="C81" s="19">
        <v>200.28</v>
      </c>
      <c r="D81" s="20">
        <v>29.01</v>
      </c>
    </row>
    <row r="82" spans="1:4" x14ac:dyDescent="0.25">
      <c r="A82" s="15">
        <v>45982</v>
      </c>
      <c r="B82" s="16">
        <v>472.12</v>
      </c>
      <c r="C82" s="16">
        <v>198.76</v>
      </c>
      <c r="D82" s="17">
        <v>28.53</v>
      </c>
    </row>
    <row r="83" spans="1:4" x14ac:dyDescent="0.25">
      <c r="A83" s="18">
        <v>45981</v>
      </c>
      <c r="B83" s="19">
        <v>478.43</v>
      </c>
      <c r="C83" s="19">
        <v>210.69</v>
      </c>
      <c r="D83" s="20">
        <v>27.75</v>
      </c>
    </row>
    <row r="84" spans="1:4" x14ac:dyDescent="0.25">
      <c r="A84" s="15">
        <v>45980</v>
      </c>
      <c r="B84" s="16">
        <v>487.12</v>
      </c>
      <c r="C84" s="16">
        <v>225.53</v>
      </c>
      <c r="D84" s="17">
        <v>28.55</v>
      </c>
    </row>
    <row r="85" spans="1:4" x14ac:dyDescent="0.25">
      <c r="A85" s="18">
        <v>45979</v>
      </c>
      <c r="B85" s="19">
        <v>493.79</v>
      </c>
      <c r="C85" s="19">
        <v>220.49</v>
      </c>
      <c r="D85" s="20">
        <v>28.67</v>
      </c>
    </row>
    <row r="86" spans="1:4" x14ac:dyDescent="0.25">
      <c r="A86" s="15">
        <v>45978</v>
      </c>
      <c r="B86" s="16">
        <v>507.49</v>
      </c>
      <c r="C86" s="16">
        <v>219.86</v>
      </c>
      <c r="D86" s="17">
        <v>29.09</v>
      </c>
    </row>
    <row r="87" spans="1:4" x14ac:dyDescent="0.25">
      <c r="A87" s="18">
        <v>45975</v>
      </c>
      <c r="B87" s="19">
        <v>510.18</v>
      </c>
      <c r="C87" s="19">
        <v>222.85</v>
      </c>
      <c r="D87" s="20">
        <v>30.12</v>
      </c>
    </row>
    <row r="88" spans="1:4" x14ac:dyDescent="0.25">
      <c r="A88" s="15">
        <v>45974</v>
      </c>
      <c r="B88" s="16">
        <v>503.29</v>
      </c>
      <c r="C88" s="16">
        <v>217.57</v>
      </c>
      <c r="D88" s="17">
        <v>29.44</v>
      </c>
    </row>
    <row r="89" spans="1:4" x14ac:dyDescent="0.25">
      <c r="A89" s="18">
        <v>45973</v>
      </c>
      <c r="B89" s="19">
        <v>511.14</v>
      </c>
      <c r="C89" s="19">
        <v>226.99</v>
      </c>
      <c r="D89" s="20">
        <v>30.26</v>
      </c>
    </row>
    <row r="90" spans="1:4" x14ac:dyDescent="0.25">
      <c r="A90" s="15">
        <v>45972</v>
      </c>
      <c r="B90" s="16">
        <v>508.68</v>
      </c>
      <c r="C90" s="16">
        <v>236.15</v>
      </c>
      <c r="D90" s="17">
        <v>29.16</v>
      </c>
    </row>
    <row r="91" spans="1:4" x14ac:dyDescent="0.25">
      <c r="A91" s="18">
        <v>45971</v>
      </c>
      <c r="B91" s="19">
        <v>506</v>
      </c>
      <c r="C91" s="19">
        <v>240.83</v>
      </c>
      <c r="D91" s="20">
        <v>27.97</v>
      </c>
    </row>
    <row r="92" spans="1:4" x14ac:dyDescent="0.25">
      <c r="A92" s="15">
        <v>45968</v>
      </c>
      <c r="B92" s="16">
        <v>496.82</v>
      </c>
      <c r="C92" s="16">
        <v>239.26</v>
      </c>
      <c r="D92" s="17">
        <v>27.71</v>
      </c>
    </row>
    <row r="93" spans="1:4" x14ac:dyDescent="0.25">
      <c r="A93" s="18">
        <v>45967</v>
      </c>
      <c r="B93" s="19">
        <v>497.1</v>
      </c>
      <c r="C93" s="19">
        <v>243.8</v>
      </c>
      <c r="D93" s="20">
        <v>28.29</v>
      </c>
    </row>
    <row r="94" spans="1:4" x14ac:dyDescent="0.25">
      <c r="A94" s="15">
        <v>45966</v>
      </c>
      <c r="B94" s="16">
        <v>507.16</v>
      </c>
      <c r="C94" s="16">
        <v>250.31</v>
      </c>
      <c r="D94" s="17">
        <v>28.08</v>
      </c>
    </row>
    <row r="95" spans="1:4" x14ac:dyDescent="0.25">
      <c r="A95" s="18">
        <v>45965</v>
      </c>
      <c r="B95" s="19">
        <v>514.33000000000004</v>
      </c>
      <c r="C95" s="19">
        <v>248.17</v>
      </c>
      <c r="D95" s="20">
        <v>27.91</v>
      </c>
    </row>
    <row r="96" spans="1:4" x14ac:dyDescent="0.25">
      <c r="A96" s="15">
        <v>45964</v>
      </c>
      <c r="B96" s="16">
        <v>517.03</v>
      </c>
      <c r="C96" s="16">
        <v>257.85000000000002</v>
      </c>
      <c r="D96" s="17">
        <v>27.95</v>
      </c>
    </row>
    <row r="97" spans="1:4" x14ac:dyDescent="0.25">
      <c r="A97" s="18">
        <v>45961</v>
      </c>
      <c r="B97" s="19">
        <v>517.80999999999995</v>
      </c>
      <c r="C97" s="19">
        <v>262.61</v>
      </c>
      <c r="D97" s="20">
        <v>27.89</v>
      </c>
    </row>
    <row r="98" spans="1:4" x14ac:dyDescent="0.25">
      <c r="A98" s="15">
        <v>45960</v>
      </c>
      <c r="B98" s="16">
        <v>525.76</v>
      </c>
      <c r="C98" s="16">
        <v>256.89</v>
      </c>
      <c r="D98" s="17">
        <v>27.75</v>
      </c>
    </row>
    <row r="99" spans="1:4" x14ac:dyDescent="0.25">
      <c r="A99" s="18">
        <v>45959</v>
      </c>
      <c r="B99" s="19">
        <v>541.54999999999995</v>
      </c>
      <c r="C99" s="19">
        <v>275.3</v>
      </c>
      <c r="D99" s="20">
        <v>28.18</v>
      </c>
    </row>
    <row r="100" spans="1:4" x14ac:dyDescent="0.25">
      <c r="A100" s="15">
        <v>45958</v>
      </c>
      <c r="B100" s="16">
        <v>542.07000000000005</v>
      </c>
      <c r="C100" s="16">
        <v>280.83</v>
      </c>
      <c r="D100" s="17">
        <v>28.99</v>
      </c>
    </row>
    <row r="101" spans="1:4" x14ac:dyDescent="0.25">
      <c r="A101" s="18">
        <v>45957</v>
      </c>
      <c r="B101" s="19">
        <v>531.52</v>
      </c>
      <c r="C101" s="19">
        <v>281.39999999999998</v>
      </c>
      <c r="D101" s="20">
        <v>28.7</v>
      </c>
    </row>
    <row r="102" spans="1:4" x14ac:dyDescent="0.25">
      <c r="A102" s="15">
        <v>45954</v>
      </c>
      <c r="B102" s="16">
        <v>523.61</v>
      </c>
      <c r="C102" s="16">
        <v>283.33</v>
      </c>
      <c r="D102" s="17">
        <v>28.65</v>
      </c>
    </row>
    <row r="103" spans="1:4" x14ac:dyDescent="0.25">
      <c r="A103" s="18">
        <v>45953</v>
      </c>
      <c r="B103" s="19">
        <v>520.55999999999995</v>
      </c>
      <c r="C103" s="19">
        <v>280.07</v>
      </c>
      <c r="D103" s="20">
        <v>28.71</v>
      </c>
    </row>
    <row r="104" spans="1:4" x14ac:dyDescent="0.25">
      <c r="A104" s="15">
        <v>45952</v>
      </c>
      <c r="B104" s="16">
        <v>520.54</v>
      </c>
      <c r="C104" s="16">
        <v>272.66000000000003</v>
      </c>
      <c r="D104" s="17">
        <v>28.75</v>
      </c>
    </row>
    <row r="105" spans="1:4" x14ac:dyDescent="0.25">
      <c r="A105" s="18">
        <v>45951</v>
      </c>
      <c r="B105" s="19">
        <v>517.66</v>
      </c>
      <c r="C105" s="19">
        <v>275.14999999999998</v>
      </c>
      <c r="D105" s="20">
        <v>29.14</v>
      </c>
    </row>
    <row r="106" spans="1:4" x14ac:dyDescent="0.25">
      <c r="A106" s="15">
        <v>45950</v>
      </c>
      <c r="B106" s="16">
        <v>516.79</v>
      </c>
      <c r="C106" s="16">
        <v>277.18</v>
      </c>
      <c r="D106" s="17">
        <v>29.19</v>
      </c>
    </row>
    <row r="107" spans="1:4" x14ac:dyDescent="0.25">
      <c r="A107" s="18">
        <v>45947</v>
      </c>
      <c r="B107" s="19">
        <v>513.58000000000004</v>
      </c>
      <c r="C107" s="19">
        <v>291.31</v>
      </c>
      <c r="D107" s="20">
        <v>28.9</v>
      </c>
    </row>
    <row r="108" spans="1:4" x14ac:dyDescent="0.25">
      <c r="A108" s="15">
        <v>45946</v>
      </c>
      <c r="B108" s="16">
        <v>511.61</v>
      </c>
      <c r="C108" s="16">
        <v>313</v>
      </c>
      <c r="D108" s="17">
        <v>28.5</v>
      </c>
    </row>
    <row r="109" spans="1:4" x14ac:dyDescent="0.25">
      <c r="A109" s="18">
        <v>45945</v>
      </c>
      <c r="B109" s="19">
        <v>513.42999999999995</v>
      </c>
      <c r="C109" s="19">
        <v>303.62</v>
      </c>
      <c r="D109" s="20">
        <v>28.89</v>
      </c>
    </row>
    <row r="110" spans="1:4" x14ac:dyDescent="0.25">
      <c r="A110" s="15">
        <v>45944</v>
      </c>
      <c r="B110" s="16">
        <v>513.57000000000005</v>
      </c>
      <c r="C110" s="16">
        <v>299</v>
      </c>
      <c r="D110" s="17">
        <v>28.83</v>
      </c>
    </row>
    <row r="111" spans="1:4" x14ac:dyDescent="0.25">
      <c r="A111" s="18">
        <v>45943</v>
      </c>
      <c r="B111" s="19">
        <v>514.04999999999995</v>
      </c>
      <c r="C111" s="19">
        <v>308.01</v>
      </c>
      <c r="D111" s="20">
        <v>28.87</v>
      </c>
    </row>
    <row r="112" spans="1:4" x14ac:dyDescent="0.25">
      <c r="A112" s="15">
        <v>45940</v>
      </c>
      <c r="B112" s="16">
        <v>510.96</v>
      </c>
      <c r="C112" s="16">
        <v>292.95999999999998</v>
      </c>
      <c r="D112" s="17">
        <v>28.25</v>
      </c>
    </row>
    <row r="113" spans="1:4" x14ac:dyDescent="0.25">
      <c r="A113" s="18">
        <v>45939</v>
      </c>
      <c r="B113" s="19">
        <v>522.4</v>
      </c>
      <c r="C113" s="19">
        <v>296.95999999999998</v>
      </c>
      <c r="D113" s="20">
        <v>29.84</v>
      </c>
    </row>
    <row r="114" spans="1:4" x14ac:dyDescent="0.25">
      <c r="A114" s="15">
        <v>45938</v>
      </c>
      <c r="B114" s="16">
        <v>524.85</v>
      </c>
      <c r="C114" s="16">
        <v>288.63</v>
      </c>
      <c r="D114" s="17">
        <v>29.75</v>
      </c>
    </row>
    <row r="115" spans="1:4" x14ac:dyDescent="0.25">
      <c r="A115" s="18">
        <v>45937</v>
      </c>
      <c r="B115" s="19">
        <v>523.98</v>
      </c>
      <c r="C115" s="19">
        <v>284.24</v>
      </c>
      <c r="D115" s="20">
        <v>29.74</v>
      </c>
    </row>
    <row r="116" spans="1:4" x14ac:dyDescent="0.25">
      <c r="A116" s="15">
        <v>45936</v>
      </c>
      <c r="B116" s="16">
        <v>528.57000000000005</v>
      </c>
      <c r="C116" s="16">
        <v>291.58999999999997</v>
      </c>
      <c r="D116" s="17">
        <v>30.1</v>
      </c>
    </row>
    <row r="117" spans="1:4" x14ac:dyDescent="0.25">
      <c r="A117" s="18">
        <v>45933</v>
      </c>
      <c r="B117" s="19">
        <v>517.35</v>
      </c>
      <c r="C117" s="19">
        <v>286.14</v>
      </c>
      <c r="D117" s="20">
        <v>28.96</v>
      </c>
    </row>
    <row r="118" spans="1:4" x14ac:dyDescent="0.25">
      <c r="A118" s="15">
        <v>45932</v>
      </c>
      <c r="B118" s="16">
        <v>515.74</v>
      </c>
      <c r="C118" s="16">
        <v>288.77999999999997</v>
      </c>
      <c r="D118" s="17">
        <v>28.08</v>
      </c>
    </row>
    <row r="119" spans="1:4" x14ac:dyDescent="0.25">
      <c r="A119" s="18">
        <v>45931</v>
      </c>
      <c r="B119" s="19">
        <v>519.71</v>
      </c>
      <c r="C119" s="19">
        <v>289.01</v>
      </c>
      <c r="D119" s="20">
        <v>28.74</v>
      </c>
    </row>
    <row r="120" spans="1:4" x14ac:dyDescent="0.25">
      <c r="A120" s="15">
        <v>45930</v>
      </c>
      <c r="B120" s="16">
        <v>517.95000000000005</v>
      </c>
      <c r="C120" s="16">
        <v>281.24</v>
      </c>
      <c r="D120" s="17">
        <v>28.79</v>
      </c>
    </row>
    <row r="121" spans="1:4" x14ac:dyDescent="0.25">
      <c r="A121" s="18">
        <v>45929</v>
      </c>
      <c r="B121" s="19">
        <v>514.6</v>
      </c>
      <c r="C121" s="19">
        <v>282.76</v>
      </c>
      <c r="D121" s="20">
        <v>29.1</v>
      </c>
    </row>
    <row r="122" spans="1:4" x14ac:dyDescent="0.25">
      <c r="A122" s="15">
        <v>45926</v>
      </c>
      <c r="B122" s="16">
        <v>511.46</v>
      </c>
      <c r="C122" s="16">
        <v>283.45999999999998</v>
      </c>
      <c r="D122" s="17">
        <v>29.04</v>
      </c>
    </row>
    <row r="123" spans="1:4" x14ac:dyDescent="0.25">
      <c r="A123" s="18">
        <v>45925</v>
      </c>
      <c r="B123" s="19">
        <v>507.03</v>
      </c>
      <c r="C123" s="19">
        <v>291.33</v>
      </c>
      <c r="D123" s="20">
        <v>29.088799999999999</v>
      </c>
    </row>
    <row r="124" spans="1:4" x14ac:dyDescent="0.25">
      <c r="A124" s="15">
        <v>45924</v>
      </c>
      <c r="B124" s="16">
        <v>510.15</v>
      </c>
      <c r="C124" s="16">
        <v>308.45999999999998</v>
      </c>
      <c r="D124" s="17">
        <v>28.610900000000001</v>
      </c>
    </row>
    <row r="125" spans="1:4" x14ac:dyDescent="0.25">
      <c r="A125" s="18">
        <v>45923</v>
      </c>
      <c r="B125" s="19">
        <v>509.23</v>
      </c>
      <c r="C125" s="19">
        <v>313.83</v>
      </c>
      <c r="D125" s="20">
        <v>29.020499999999998</v>
      </c>
    </row>
    <row r="126" spans="1:4" x14ac:dyDescent="0.25">
      <c r="A126" s="15">
        <v>45922</v>
      </c>
      <c r="B126" s="16">
        <v>514.45000000000005</v>
      </c>
      <c r="C126" s="16">
        <v>328.15</v>
      </c>
      <c r="D126" s="17">
        <v>28.991199999999999</v>
      </c>
    </row>
    <row r="127" spans="1:4" x14ac:dyDescent="0.25">
      <c r="A127" s="18">
        <v>45919</v>
      </c>
      <c r="B127" s="19">
        <v>517.92999999999995</v>
      </c>
      <c r="C127" s="19">
        <v>308.66000000000003</v>
      </c>
      <c r="D127" s="20">
        <v>28.630400000000002</v>
      </c>
    </row>
    <row r="128" spans="1:4" x14ac:dyDescent="0.25">
      <c r="A128" s="15">
        <v>45918</v>
      </c>
      <c r="B128" s="16">
        <v>508.45</v>
      </c>
      <c r="C128" s="16">
        <v>296.62</v>
      </c>
      <c r="D128" s="17">
        <v>29.322800000000001</v>
      </c>
    </row>
    <row r="129" spans="1:4" x14ac:dyDescent="0.25">
      <c r="A129" s="18">
        <v>45917</v>
      </c>
      <c r="B129" s="19">
        <v>510.02</v>
      </c>
      <c r="C129" s="19">
        <v>301.41000000000003</v>
      </c>
      <c r="D129" s="20">
        <v>28.435400000000001</v>
      </c>
    </row>
    <row r="130" spans="1:4" x14ac:dyDescent="0.25">
      <c r="A130" s="15">
        <v>45916</v>
      </c>
      <c r="B130" s="16">
        <v>509.04</v>
      </c>
      <c r="C130" s="16">
        <v>306.64999999999998</v>
      </c>
      <c r="D130" s="17">
        <v>28.103899999999999</v>
      </c>
    </row>
    <row r="131" spans="1:4" x14ac:dyDescent="0.25">
      <c r="A131" s="18">
        <v>45915</v>
      </c>
      <c r="B131" s="19">
        <v>515.36</v>
      </c>
      <c r="C131" s="19">
        <v>302.14</v>
      </c>
      <c r="D131" s="20">
        <v>28.610900000000001</v>
      </c>
    </row>
    <row r="132" spans="1:4" x14ac:dyDescent="0.25">
      <c r="A132" s="15">
        <v>45912</v>
      </c>
      <c r="B132" s="16">
        <v>509.9</v>
      </c>
      <c r="C132" s="16">
        <v>292.18</v>
      </c>
      <c r="D132" s="17">
        <v>28.484200000000001</v>
      </c>
    </row>
    <row r="133" spans="1:4" x14ac:dyDescent="0.25">
      <c r="A133" s="18">
        <v>45911</v>
      </c>
      <c r="B133" s="19">
        <v>501.01</v>
      </c>
      <c r="C133" s="19">
        <v>307.86</v>
      </c>
      <c r="D133" s="20">
        <v>28.464700000000001</v>
      </c>
    </row>
    <row r="134" spans="1:4" x14ac:dyDescent="0.25">
      <c r="A134" s="15">
        <v>45910</v>
      </c>
      <c r="B134" s="16">
        <v>500.37</v>
      </c>
      <c r="C134" s="16">
        <v>328.33</v>
      </c>
      <c r="D134" s="17">
        <v>27.938099999999999</v>
      </c>
    </row>
    <row r="135" spans="1:4" x14ac:dyDescent="0.25">
      <c r="A135" s="18">
        <v>45909</v>
      </c>
      <c r="B135" s="19">
        <v>498.41</v>
      </c>
      <c r="C135" s="19">
        <v>241.51</v>
      </c>
      <c r="D135" s="20">
        <v>27.996600000000001</v>
      </c>
    </row>
    <row r="136" spans="1:4" x14ac:dyDescent="0.25">
      <c r="A136" s="15">
        <v>45908</v>
      </c>
      <c r="B136" s="16">
        <v>498.2</v>
      </c>
      <c r="C136" s="16">
        <v>238.48</v>
      </c>
      <c r="D136" s="17">
        <v>27.957599999999999</v>
      </c>
    </row>
    <row r="137" spans="1:4" x14ac:dyDescent="0.25">
      <c r="A137" s="18">
        <v>45905</v>
      </c>
      <c r="B137" s="19">
        <v>495</v>
      </c>
      <c r="C137" s="19">
        <v>232.8</v>
      </c>
      <c r="D137" s="20">
        <v>26.884899999999998</v>
      </c>
    </row>
    <row r="138" spans="1:4" x14ac:dyDescent="0.25">
      <c r="A138" s="15">
        <v>45904</v>
      </c>
      <c r="B138" s="16">
        <v>507.97</v>
      </c>
      <c r="C138" s="16">
        <v>223</v>
      </c>
      <c r="D138" s="17">
        <v>27.148199999999999</v>
      </c>
    </row>
    <row r="139" spans="1:4" x14ac:dyDescent="0.25">
      <c r="A139" s="18">
        <v>45903</v>
      </c>
      <c r="B139" s="19">
        <v>505.35</v>
      </c>
      <c r="C139" s="19">
        <v>223.45</v>
      </c>
      <c r="D139" s="20">
        <v>26.3583</v>
      </c>
    </row>
    <row r="140" spans="1:4" x14ac:dyDescent="0.25">
      <c r="A140" s="15">
        <v>45902</v>
      </c>
      <c r="B140" s="16">
        <v>505.12</v>
      </c>
      <c r="C140" s="16">
        <v>225.3</v>
      </c>
      <c r="D140" s="17">
        <v>26.2803</v>
      </c>
    </row>
    <row r="141" spans="1:4" x14ac:dyDescent="0.25">
      <c r="A141" s="18">
        <v>45898</v>
      </c>
      <c r="B141" s="19">
        <v>506.69</v>
      </c>
      <c r="C141" s="19">
        <v>226.13</v>
      </c>
      <c r="D141" s="20">
        <v>26.836200000000002</v>
      </c>
    </row>
    <row r="142" spans="1:4" x14ac:dyDescent="0.25">
      <c r="A142" s="15">
        <v>45897</v>
      </c>
      <c r="B142" s="16">
        <v>509.64</v>
      </c>
      <c r="C142" s="16">
        <v>240.32</v>
      </c>
      <c r="D142" s="17">
        <v>27.304200000000002</v>
      </c>
    </row>
    <row r="143" spans="1:4" x14ac:dyDescent="0.25">
      <c r="A143" s="18">
        <v>45896</v>
      </c>
      <c r="B143" s="19">
        <v>506.74</v>
      </c>
      <c r="C143" s="19">
        <v>235.81</v>
      </c>
      <c r="D143" s="20">
        <v>27.148199999999999</v>
      </c>
    </row>
    <row r="144" spans="1:4" x14ac:dyDescent="0.25">
      <c r="A144" s="15">
        <v>45895</v>
      </c>
      <c r="B144" s="16">
        <v>502.04</v>
      </c>
      <c r="C144" s="16">
        <v>234.21</v>
      </c>
      <c r="D144" s="17">
        <v>27.187200000000001</v>
      </c>
    </row>
    <row r="145" spans="1:4" x14ac:dyDescent="0.25">
      <c r="A145" s="18">
        <v>45894</v>
      </c>
      <c r="B145" s="19">
        <v>504.26</v>
      </c>
      <c r="C145" s="19">
        <v>235.41</v>
      </c>
      <c r="D145" s="20">
        <v>27.421199999999999</v>
      </c>
    </row>
    <row r="146" spans="1:4" x14ac:dyDescent="0.25">
      <c r="A146" s="15">
        <v>45891</v>
      </c>
      <c r="B146" s="16">
        <v>507.23</v>
      </c>
      <c r="C146" s="16">
        <v>236.37</v>
      </c>
      <c r="D146" s="17">
        <v>27.899100000000001</v>
      </c>
    </row>
    <row r="147" spans="1:4" x14ac:dyDescent="0.25">
      <c r="A147" s="18">
        <v>45890</v>
      </c>
      <c r="B147" s="19">
        <v>504.24</v>
      </c>
      <c r="C147" s="19">
        <v>233.16</v>
      </c>
      <c r="D147" s="20">
        <v>26.9434</v>
      </c>
    </row>
    <row r="148" spans="1:4" x14ac:dyDescent="0.25">
      <c r="A148" s="15">
        <v>45889</v>
      </c>
      <c r="B148" s="16">
        <v>505.72</v>
      </c>
      <c r="C148" s="16">
        <v>235.06</v>
      </c>
      <c r="D148" s="17">
        <v>27.421199999999999</v>
      </c>
    </row>
    <row r="149" spans="1:4" x14ac:dyDescent="0.25">
      <c r="A149" s="18">
        <v>45888</v>
      </c>
      <c r="B149" s="19">
        <v>509.77</v>
      </c>
      <c r="C149" s="19">
        <v>234.62</v>
      </c>
      <c r="D149" s="20">
        <v>27.5383</v>
      </c>
    </row>
    <row r="150" spans="1:4" x14ac:dyDescent="0.25">
      <c r="A150" s="15">
        <v>45887</v>
      </c>
      <c r="B150" s="16">
        <v>517.1</v>
      </c>
      <c r="C150" s="16">
        <v>249.07</v>
      </c>
      <c r="D150" s="17">
        <v>27.645499999999998</v>
      </c>
    </row>
    <row r="151" spans="1:4" x14ac:dyDescent="0.25">
      <c r="A151" s="18">
        <v>45884</v>
      </c>
      <c r="B151" s="19">
        <v>520.16999999999996</v>
      </c>
      <c r="C151" s="19">
        <v>248.28</v>
      </c>
      <c r="D151" s="20">
        <v>28.0258</v>
      </c>
    </row>
    <row r="152" spans="1:4" x14ac:dyDescent="0.25">
      <c r="A152" s="15">
        <v>45883</v>
      </c>
      <c r="B152" s="16">
        <v>522.48</v>
      </c>
      <c r="C152" s="16">
        <v>244.96</v>
      </c>
      <c r="D152" s="17">
        <v>27.050699999999999</v>
      </c>
    </row>
    <row r="153" spans="1:4" x14ac:dyDescent="0.25">
      <c r="A153" s="18">
        <v>45882</v>
      </c>
      <c r="B153" s="19">
        <v>520.58000000000004</v>
      </c>
      <c r="C153" s="19">
        <v>244.18</v>
      </c>
      <c r="D153" s="20">
        <v>27.284700000000001</v>
      </c>
    </row>
    <row r="154" spans="1:4" x14ac:dyDescent="0.25">
      <c r="A154" s="15">
        <v>45881</v>
      </c>
      <c r="B154" s="16">
        <v>529.24</v>
      </c>
      <c r="C154" s="16">
        <v>253.86</v>
      </c>
      <c r="D154" s="17">
        <v>26.514399999999998</v>
      </c>
    </row>
    <row r="155" spans="1:4" x14ac:dyDescent="0.25">
      <c r="A155" s="18">
        <v>45880</v>
      </c>
      <c r="B155" s="19">
        <v>521.77</v>
      </c>
      <c r="C155" s="19">
        <v>252.68</v>
      </c>
      <c r="D155" s="20">
        <v>26.6021</v>
      </c>
    </row>
    <row r="156" spans="1:4" x14ac:dyDescent="0.25">
      <c r="A156" s="15">
        <v>45877</v>
      </c>
      <c r="B156" s="16">
        <v>522.04</v>
      </c>
      <c r="C156" s="16">
        <v>250.05</v>
      </c>
      <c r="D156" s="17">
        <v>26.4754</v>
      </c>
    </row>
    <row r="157" spans="1:4" x14ac:dyDescent="0.25">
      <c r="A157" s="18">
        <v>45876</v>
      </c>
      <c r="B157" s="19">
        <v>520.84</v>
      </c>
      <c r="C157" s="19">
        <v>249.39</v>
      </c>
      <c r="D157" s="20">
        <v>25.383199999999999</v>
      </c>
    </row>
    <row r="158" spans="1:4" x14ac:dyDescent="0.25">
      <c r="A158" s="15">
        <v>45875</v>
      </c>
      <c r="B158" s="16">
        <v>524.94000000000005</v>
      </c>
      <c r="C158" s="16">
        <v>256.43</v>
      </c>
      <c r="D158" s="17">
        <v>24.300799999999999</v>
      </c>
    </row>
    <row r="159" spans="1:4" x14ac:dyDescent="0.25">
      <c r="A159" s="18">
        <v>45874</v>
      </c>
      <c r="B159" s="19">
        <v>527.75</v>
      </c>
      <c r="C159" s="19">
        <v>255.67</v>
      </c>
      <c r="D159" s="20">
        <v>23.920500000000001</v>
      </c>
    </row>
    <row r="160" spans="1:4" x14ac:dyDescent="0.25">
      <c r="A160" s="15">
        <v>45873</v>
      </c>
      <c r="B160" s="16">
        <v>535.64</v>
      </c>
      <c r="C160" s="16">
        <v>252.53</v>
      </c>
      <c r="D160" s="17">
        <v>24.1447</v>
      </c>
    </row>
    <row r="161" spans="1:4" x14ac:dyDescent="0.25">
      <c r="A161" s="18">
        <v>45870</v>
      </c>
      <c r="B161" s="19">
        <v>524.11</v>
      </c>
      <c r="C161" s="19">
        <v>244.42</v>
      </c>
      <c r="D161" s="20">
        <v>23.764399999999998</v>
      </c>
    </row>
    <row r="162" spans="1:4" x14ac:dyDescent="0.25">
      <c r="A162" s="15">
        <v>45869</v>
      </c>
      <c r="B162" s="16">
        <v>533.5</v>
      </c>
      <c r="C162" s="16">
        <v>253.77</v>
      </c>
      <c r="D162" s="17">
        <v>23.715699999999998</v>
      </c>
    </row>
    <row r="163" spans="1:4" x14ac:dyDescent="0.25">
      <c r="A163" s="18">
        <v>45868</v>
      </c>
      <c r="B163" s="19">
        <v>513.24</v>
      </c>
      <c r="C163" s="19">
        <v>250.6</v>
      </c>
      <c r="D163" s="20">
        <v>23.598700000000001</v>
      </c>
    </row>
    <row r="164" spans="1:4" x14ac:dyDescent="0.25">
      <c r="A164" s="15">
        <v>45867</v>
      </c>
      <c r="B164" s="16">
        <v>512.57000000000005</v>
      </c>
      <c r="C164" s="16">
        <v>249.98</v>
      </c>
      <c r="D164" s="17">
        <v>23.549900000000001</v>
      </c>
    </row>
    <row r="165" spans="1:4" x14ac:dyDescent="0.25">
      <c r="A165" s="18">
        <v>45866</v>
      </c>
      <c r="B165" s="19">
        <v>512.5</v>
      </c>
      <c r="C165" s="19">
        <v>247.71</v>
      </c>
      <c r="D165" s="20">
        <v>23.7547</v>
      </c>
    </row>
    <row r="166" spans="1:4" x14ac:dyDescent="0.25">
      <c r="A166" s="15">
        <v>45863</v>
      </c>
      <c r="B166" s="16">
        <v>513.71</v>
      </c>
      <c r="C166" s="16">
        <v>245.12</v>
      </c>
      <c r="D166" s="17">
        <v>24.261800000000001</v>
      </c>
    </row>
    <row r="167" spans="1:4" x14ac:dyDescent="0.25">
      <c r="A167" s="18">
        <v>45862</v>
      </c>
      <c r="B167" s="19">
        <v>510.88</v>
      </c>
      <c r="C167" s="19">
        <v>242.83</v>
      </c>
      <c r="D167" s="20">
        <v>24.749300000000002</v>
      </c>
    </row>
    <row r="168" spans="1:4" x14ac:dyDescent="0.25">
      <c r="A168" s="15">
        <v>45861</v>
      </c>
      <c r="B168" s="16">
        <v>505.87</v>
      </c>
      <c r="C168" s="16">
        <v>241.9</v>
      </c>
      <c r="D168" s="17">
        <v>24.632300000000001</v>
      </c>
    </row>
    <row r="169" spans="1:4" x14ac:dyDescent="0.25">
      <c r="A169" s="18">
        <v>45860</v>
      </c>
      <c r="B169" s="19">
        <v>505.27</v>
      </c>
      <c r="C169" s="19">
        <v>238.11</v>
      </c>
      <c r="D169" s="20">
        <v>23.491399999999999</v>
      </c>
    </row>
    <row r="170" spans="1:4" x14ac:dyDescent="0.25">
      <c r="A170" s="15">
        <v>45859</v>
      </c>
      <c r="B170" s="16">
        <v>510.06</v>
      </c>
      <c r="C170" s="16">
        <v>243.54</v>
      </c>
      <c r="D170" s="17">
        <v>23.471900000000002</v>
      </c>
    </row>
    <row r="171" spans="1:4" x14ac:dyDescent="0.25">
      <c r="A171" s="18">
        <v>45856</v>
      </c>
      <c r="B171" s="19">
        <v>510.05</v>
      </c>
      <c r="C171" s="19">
        <v>245.45</v>
      </c>
      <c r="D171" s="20">
        <v>23.325600000000001</v>
      </c>
    </row>
    <row r="172" spans="1:4" x14ac:dyDescent="0.25">
      <c r="A172" s="15">
        <v>45855</v>
      </c>
      <c r="B172" s="16">
        <v>511.7</v>
      </c>
      <c r="C172" s="16">
        <v>248.75</v>
      </c>
      <c r="D172" s="17">
        <v>23.8034</v>
      </c>
    </row>
    <row r="173" spans="1:4" x14ac:dyDescent="0.25">
      <c r="A173" s="18">
        <v>45854</v>
      </c>
      <c r="B173" s="19">
        <v>505.62</v>
      </c>
      <c r="C173" s="19">
        <v>241.3</v>
      </c>
      <c r="D173" s="20">
        <v>23.3841</v>
      </c>
    </row>
    <row r="174" spans="1:4" x14ac:dyDescent="0.25">
      <c r="A174" s="15">
        <v>45853</v>
      </c>
      <c r="B174" s="16">
        <v>505.82</v>
      </c>
      <c r="C174" s="16">
        <v>234.96</v>
      </c>
      <c r="D174" s="17">
        <v>23.4816</v>
      </c>
    </row>
    <row r="175" spans="1:4" x14ac:dyDescent="0.25">
      <c r="A175" s="18">
        <v>45852</v>
      </c>
      <c r="B175" s="19">
        <v>503.02</v>
      </c>
      <c r="C175" s="19">
        <v>229.28</v>
      </c>
      <c r="D175" s="20">
        <v>23.793700000000001</v>
      </c>
    </row>
    <row r="176" spans="1:4" x14ac:dyDescent="0.25">
      <c r="A176" s="15">
        <v>45849</v>
      </c>
      <c r="B176" s="16">
        <v>503.32</v>
      </c>
      <c r="C176" s="16">
        <v>230.56</v>
      </c>
      <c r="D176" s="17">
        <v>23.822900000000001</v>
      </c>
    </row>
    <row r="177" spans="1:4" x14ac:dyDescent="0.25">
      <c r="A177" s="18">
        <v>45848</v>
      </c>
      <c r="B177" s="19">
        <v>501.48</v>
      </c>
      <c r="C177" s="19">
        <v>235</v>
      </c>
      <c r="D177" s="20">
        <v>24.037500000000001</v>
      </c>
    </row>
    <row r="178" spans="1:4" x14ac:dyDescent="0.25">
      <c r="A178" s="15">
        <v>45847</v>
      </c>
      <c r="B178" s="16">
        <v>503.51</v>
      </c>
      <c r="C178" s="16">
        <v>235.81</v>
      </c>
      <c r="D178" s="17">
        <v>24.544599999999999</v>
      </c>
    </row>
    <row r="179" spans="1:4" x14ac:dyDescent="0.25">
      <c r="A179" s="18">
        <v>45846</v>
      </c>
      <c r="B179" s="19">
        <v>496.62</v>
      </c>
      <c r="C179" s="19">
        <v>234.5</v>
      </c>
      <c r="D179" s="20">
        <v>24.622599999999998</v>
      </c>
    </row>
    <row r="180" spans="1:4" x14ac:dyDescent="0.25">
      <c r="A180" s="15">
        <v>45845</v>
      </c>
      <c r="B180" s="16">
        <v>497.72</v>
      </c>
      <c r="C180" s="16">
        <v>232.26</v>
      </c>
      <c r="D180" s="17">
        <v>24.671299999999999</v>
      </c>
    </row>
    <row r="181" spans="1:4" x14ac:dyDescent="0.25">
      <c r="A181" s="18">
        <v>45841</v>
      </c>
      <c r="B181" s="19">
        <v>498.84</v>
      </c>
      <c r="C181" s="19">
        <v>237.32</v>
      </c>
      <c r="D181" s="20">
        <v>24.944400000000002</v>
      </c>
    </row>
    <row r="182" spans="1:4" x14ac:dyDescent="0.25">
      <c r="A182" s="15">
        <v>45840</v>
      </c>
      <c r="B182" s="16">
        <v>491.09</v>
      </c>
      <c r="C182" s="16">
        <v>229.98</v>
      </c>
      <c r="D182" s="17">
        <v>25.071100000000001</v>
      </c>
    </row>
    <row r="183" spans="1:4" x14ac:dyDescent="0.25">
      <c r="A183" s="18">
        <v>45839</v>
      </c>
      <c r="B183" s="19">
        <v>492.05</v>
      </c>
      <c r="C183" s="19">
        <v>218.96</v>
      </c>
      <c r="D183" s="20">
        <v>24.8371</v>
      </c>
    </row>
    <row r="184" spans="1:4" x14ac:dyDescent="0.25">
      <c r="A184" s="15">
        <v>45838</v>
      </c>
      <c r="B184" s="16">
        <v>497.41</v>
      </c>
      <c r="C184" s="16">
        <v>218.63</v>
      </c>
      <c r="D184" s="17">
        <v>25.383199999999999</v>
      </c>
    </row>
    <row r="185" spans="1:4" x14ac:dyDescent="0.25">
      <c r="A185" s="18">
        <v>45835</v>
      </c>
      <c r="B185" s="19">
        <v>495.94</v>
      </c>
      <c r="C185" s="19">
        <v>210.24</v>
      </c>
      <c r="D185" s="20">
        <v>25.6465</v>
      </c>
    </row>
    <row r="186" spans="1:4" x14ac:dyDescent="0.25">
      <c r="A186" s="15">
        <v>45834</v>
      </c>
      <c r="B186" s="16">
        <v>497.45</v>
      </c>
      <c r="C186" s="16">
        <v>212.82</v>
      </c>
      <c r="D186" s="17">
        <v>24.9054</v>
      </c>
    </row>
    <row r="187" spans="1:4" x14ac:dyDescent="0.25">
      <c r="A187" s="18">
        <v>45833</v>
      </c>
      <c r="B187" s="19">
        <v>492.27</v>
      </c>
      <c r="C187" s="19">
        <v>210.72</v>
      </c>
      <c r="D187" s="20">
        <v>24.300799999999999</v>
      </c>
    </row>
    <row r="188" spans="1:4" x14ac:dyDescent="0.25">
      <c r="A188" s="15">
        <v>45832</v>
      </c>
      <c r="B188" s="16">
        <v>490.11</v>
      </c>
      <c r="C188" s="16">
        <v>215.27</v>
      </c>
      <c r="D188" s="17">
        <v>24.369</v>
      </c>
    </row>
    <row r="189" spans="1:4" x14ac:dyDescent="0.25">
      <c r="A189" s="18">
        <v>45831</v>
      </c>
      <c r="B189" s="19">
        <v>486</v>
      </c>
      <c r="C189" s="19">
        <v>207.04</v>
      </c>
      <c r="D189" s="20">
        <v>23.813199999999998</v>
      </c>
    </row>
    <row r="190" spans="1:4" x14ac:dyDescent="0.25">
      <c r="A190" s="15">
        <v>45828</v>
      </c>
      <c r="B190" s="16">
        <v>477.4</v>
      </c>
      <c r="C190" s="16">
        <v>205.17</v>
      </c>
      <c r="D190" s="17">
        <v>24.135000000000002</v>
      </c>
    </row>
    <row r="191" spans="1:4" x14ac:dyDescent="0.25">
      <c r="A191" s="18">
        <v>45826</v>
      </c>
      <c r="B191" s="19">
        <v>480.24</v>
      </c>
      <c r="C191" s="19">
        <v>210.87</v>
      </c>
      <c r="D191" s="20">
        <v>25.236899999999999</v>
      </c>
    </row>
    <row r="192" spans="1:4" x14ac:dyDescent="0.25">
      <c r="A192" s="15">
        <v>45825</v>
      </c>
      <c r="B192" s="16">
        <v>478.04</v>
      </c>
      <c r="C192" s="16">
        <v>208.18</v>
      </c>
      <c r="D192" s="17">
        <v>25.022400000000001</v>
      </c>
    </row>
    <row r="193" spans="1:4" x14ac:dyDescent="0.25">
      <c r="A193" s="18">
        <v>45824</v>
      </c>
      <c r="B193" s="19">
        <v>479.14</v>
      </c>
      <c r="C193" s="19">
        <v>211.1</v>
      </c>
      <c r="D193" s="20">
        <v>25.441700000000001</v>
      </c>
    </row>
    <row r="194" spans="1:4" x14ac:dyDescent="0.25">
      <c r="A194" s="15">
        <v>45821</v>
      </c>
      <c r="B194" s="16">
        <v>474.96</v>
      </c>
      <c r="C194" s="16">
        <v>215.22</v>
      </c>
      <c r="D194" s="17">
        <v>25.285699999999999</v>
      </c>
    </row>
    <row r="195" spans="1:4" x14ac:dyDescent="0.25">
      <c r="A195" s="18">
        <v>45820</v>
      </c>
      <c r="B195" s="19">
        <v>478.87</v>
      </c>
      <c r="C195" s="19">
        <v>199.86</v>
      </c>
      <c r="D195" s="20">
        <v>25.744</v>
      </c>
    </row>
    <row r="196" spans="1:4" x14ac:dyDescent="0.25">
      <c r="A196" s="15">
        <v>45819</v>
      </c>
      <c r="B196" s="16">
        <v>472.62</v>
      </c>
      <c r="C196" s="16">
        <v>176.38</v>
      </c>
      <c r="D196" s="17">
        <v>25.266200000000001</v>
      </c>
    </row>
    <row r="197" spans="1:4" x14ac:dyDescent="0.25">
      <c r="A197" s="18">
        <v>45818</v>
      </c>
      <c r="B197" s="19">
        <v>470.92</v>
      </c>
      <c r="C197" s="19">
        <v>177.48</v>
      </c>
      <c r="D197" s="20">
        <v>25.548999999999999</v>
      </c>
    </row>
    <row r="198" spans="1:4" x14ac:dyDescent="0.25">
      <c r="A198" s="15">
        <v>45817</v>
      </c>
      <c r="B198" s="16">
        <v>472.75</v>
      </c>
      <c r="C198" s="16">
        <v>177.15</v>
      </c>
      <c r="D198" s="17">
        <v>25.929300000000001</v>
      </c>
    </row>
    <row r="199" spans="1:4" x14ac:dyDescent="0.25">
      <c r="A199" s="18">
        <v>45814</v>
      </c>
      <c r="B199" s="19">
        <v>470.38</v>
      </c>
      <c r="C199" s="19">
        <v>174.02</v>
      </c>
      <c r="D199" s="20">
        <v>25.997499999999999</v>
      </c>
    </row>
    <row r="200" spans="1:4" x14ac:dyDescent="0.25">
      <c r="A200" s="15">
        <v>45813</v>
      </c>
      <c r="B200" s="16">
        <v>467.68</v>
      </c>
      <c r="C200" s="16">
        <v>171.14</v>
      </c>
      <c r="D200" s="17">
        <v>25.675699999999999</v>
      </c>
    </row>
    <row r="201" spans="1:4" x14ac:dyDescent="0.25">
      <c r="A201" s="18">
        <v>45812</v>
      </c>
      <c r="B201" s="19">
        <v>463.87</v>
      </c>
      <c r="C201" s="19">
        <v>168.1</v>
      </c>
      <c r="D201" s="20">
        <v>26.007300000000001</v>
      </c>
    </row>
    <row r="202" spans="1:4" x14ac:dyDescent="0.25">
      <c r="A202" s="15">
        <v>45811</v>
      </c>
      <c r="B202" s="16">
        <v>462.97</v>
      </c>
      <c r="C202" s="16">
        <v>169.14</v>
      </c>
      <c r="D202" s="17">
        <v>26.104800000000001</v>
      </c>
    </row>
    <row r="203" spans="1:4" x14ac:dyDescent="0.25">
      <c r="A203" s="18">
        <v>45810</v>
      </c>
      <c r="B203" s="19">
        <v>461.97</v>
      </c>
      <c r="C203" s="19">
        <v>166.57</v>
      </c>
      <c r="D203" s="20">
        <v>26.2121</v>
      </c>
    </row>
    <row r="204" spans="1:4" x14ac:dyDescent="0.25">
      <c r="A204" s="15">
        <v>45807</v>
      </c>
      <c r="B204" s="16">
        <v>460.36</v>
      </c>
      <c r="C204" s="16">
        <v>165.53</v>
      </c>
      <c r="D204" s="17">
        <v>25.724499999999999</v>
      </c>
    </row>
    <row r="205" spans="1:4" x14ac:dyDescent="0.25">
      <c r="A205" s="18">
        <v>45806</v>
      </c>
      <c r="B205" s="19">
        <v>458.68</v>
      </c>
      <c r="C205" s="19">
        <v>162.9</v>
      </c>
      <c r="D205" s="20">
        <v>25.958500000000001</v>
      </c>
    </row>
    <row r="206" spans="1:4" x14ac:dyDescent="0.25">
      <c r="A206" s="15">
        <v>45805</v>
      </c>
      <c r="B206" s="16">
        <v>457.36</v>
      </c>
      <c r="C206" s="16">
        <v>163.85</v>
      </c>
      <c r="D206" s="17">
        <v>25.6465</v>
      </c>
    </row>
    <row r="207" spans="1:4" x14ac:dyDescent="0.25">
      <c r="A207" s="18">
        <v>45804</v>
      </c>
      <c r="B207" s="19">
        <v>460.69</v>
      </c>
      <c r="C207" s="19">
        <v>161.91</v>
      </c>
      <c r="D207" s="20">
        <v>25.9</v>
      </c>
    </row>
    <row r="208" spans="1:4" x14ac:dyDescent="0.25">
      <c r="A208" s="15">
        <v>45800</v>
      </c>
      <c r="B208" s="16">
        <v>450.18</v>
      </c>
      <c r="C208" s="16">
        <v>155.97</v>
      </c>
      <c r="D208" s="17">
        <v>24.895600000000002</v>
      </c>
    </row>
    <row r="209" spans="1:4" x14ac:dyDescent="0.25">
      <c r="A209" s="18">
        <v>45799</v>
      </c>
      <c r="B209" s="19">
        <v>454.86</v>
      </c>
      <c r="C209" s="19">
        <v>157.31</v>
      </c>
      <c r="D209" s="20">
        <v>24.700600000000001</v>
      </c>
    </row>
    <row r="210" spans="1:4" x14ac:dyDescent="0.25">
      <c r="A210" s="15">
        <v>45798</v>
      </c>
      <c r="B210" s="16">
        <v>452.57</v>
      </c>
      <c r="C210" s="16">
        <v>157.18</v>
      </c>
      <c r="D210" s="17">
        <v>24.2715</v>
      </c>
    </row>
    <row r="211" spans="1:4" x14ac:dyDescent="0.25">
      <c r="A211" s="18">
        <v>45797</v>
      </c>
      <c r="B211" s="19">
        <v>458.17</v>
      </c>
      <c r="C211" s="19">
        <v>160.31</v>
      </c>
      <c r="D211" s="20">
        <v>25.158899999999999</v>
      </c>
    </row>
    <row r="212" spans="1:4" x14ac:dyDescent="0.25">
      <c r="A212" s="15">
        <v>45796</v>
      </c>
      <c r="B212" s="16">
        <v>458.87</v>
      </c>
      <c r="C212" s="16">
        <v>159.63999999999999</v>
      </c>
      <c r="D212" s="17">
        <v>24.4178</v>
      </c>
    </row>
    <row r="213" spans="1:4" x14ac:dyDescent="0.25">
      <c r="A213" s="18">
        <v>45793</v>
      </c>
      <c r="B213" s="19">
        <v>454.27</v>
      </c>
      <c r="C213" s="19">
        <v>160.49</v>
      </c>
      <c r="D213" s="20">
        <v>24.066700000000001</v>
      </c>
    </row>
    <row r="214" spans="1:4" x14ac:dyDescent="0.25">
      <c r="A214" s="15">
        <v>45792</v>
      </c>
      <c r="B214" s="16">
        <v>453.13</v>
      </c>
      <c r="C214" s="16">
        <v>159.4</v>
      </c>
      <c r="D214" s="17">
        <v>24.251999999999999</v>
      </c>
    </row>
    <row r="215" spans="1:4" x14ac:dyDescent="0.25">
      <c r="A215" s="18">
        <v>45791</v>
      </c>
      <c r="B215" s="19">
        <v>452.94</v>
      </c>
      <c r="C215" s="19">
        <v>162.94999999999999</v>
      </c>
      <c r="D215" s="20">
        <v>24.261800000000001</v>
      </c>
    </row>
    <row r="216" spans="1:4" x14ac:dyDescent="0.25">
      <c r="A216" s="15">
        <v>45790</v>
      </c>
      <c r="B216" s="16">
        <v>449.14</v>
      </c>
      <c r="C216" s="16">
        <v>162.27000000000001</v>
      </c>
      <c r="D216" s="17">
        <v>23.930199999999999</v>
      </c>
    </row>
    <row r="217" spans="1:4" x14ac:dyDescent="0.25">
      <c r="A217" s="18">
        <v>45789</v>
      </c>
      <c r="B217" s="19">
        <v>449.26</v>
      </c>
      <c r="C217" s="19">
        <v>157.22</v>
      </c>
      <c r="D217" s="20">
        <v>24.1252</v>
      </c>
    </row>
    <row r="218" spans="1:4" x14ac:dyDescent="0.25">
      <c r="A218" s="15">
        <v>45786</v>
      </c>
      <c r="B218" s="16">
        <v>438.73</v>
      </c>
      <c r="C218" s="16">
        <v>150.34</v>
      </c>
      <c r="D218" s="17">
        <v>24.086200000000002</v>
      </c>
    </row>
    <row r="219" spans="1:4" x14ac:dyDescent="0.25">
      <c r="A219" s="18">
        <v>45785</v>
      </c>
      <c r="B219" s="19">
        <v>438.17</v>
      </c>
      <c r="C219" s="19">
        <v>150.30000000000001</v>
      </c>
      <c r="D219" s="20">
        <v>23.842400000000001</v>
      </c>
    </row>
    <row r="220" spans="1:4" x14ac:dyDescent="0.25">
      <c r="A220" s="15">
        <v>45784</v>
      </c>
      <c r="B220" s="16">
        <v>433.35</v>
      </c>
      <c r="C220" s="16">
        <v>149.37</v>
      </c>
      <c r="D220" s="17">
        <v>24.398299999999999</v>
      </c>
    </row>
    <row r="221" spans="1:4" x14ac:dyDescent="0.25">
      <c r="A221" s="18">
        <v>45783</v>
      </c>
      <c r="B221" s="19">
        <v>433.31</v>
      </c>
      <c r="C221" s="19">
        <v>147.69999999999999</v>
      </c>
      <c r="D221" s="20">
        <v>24.603100000000001</v>
      </c>
    </row>
    <row r="222" spans="1:4" x14ac:dyDescent="0.25">
      <c r="A222" s="15">
        <v>45782</v>
      </c>
      <c r="B222" s="16">
        <v>436.17</v>
      </c>
      <c r="C222" s="16">
        <v>149.29</v>
      </c>
      <c r="D222" s="17">
        <v>24.6128</v>
      </c>
    </row>
    <row r="223" spans="1:4" x14ac:dyDescent="0.25">
      <c r="A223" s="18">
        <v>45779</v>
      </c>
      <c r="B223" s="19">
        <v>435.28</v>
      </c>
      <c r="C223" s="19">
        <v>150.72999999999999</v>
      </c>
      <c r="D223" s="20">
        <v>24.700600000000001</v>
      </c>
    </row>
    <row r="224" spans="1:4" x14ac:dyDescent="0.25">
      <c r="A224" s="15">
        <v>45778</v>
      </c>
      <c r="B224" s="16">
        <v>425.4</v>
      </c>
      <c r="C224" s="16">
        <v>145.49</v>
      </c>
      <c r="D224" s="17">
        <v>24.651800000000001</v>
      </c>
    </row>
    <row r="225" spans="1:4" x14ac:dyDescent="0.25">
      <c r="A225" s="18">
        <v>45777</v>
      </c>
      <c r="B225" s="19">
        <v>395.26</v>
      </c>
      <c r="C225" s="19">
        <v>140.72</v>
      </c>
      <c r="D225" s="20">
        <v>25.353899999999999</v>
      </c>
    </row>
    <row r="226" spans="1:4" x14ac:dyDescent="0.25">
      <c r="A226" s="15">
        <v>45776</v>
      </c>
      <c r="B226" s="16">
        <v>394.04</v>
      </c>
      <c r="C226" s="16">
        <v>140.79</v>
      </c>
      <c r="D226" s="17">
        <v>25.110099999999999</v>
      </c>
    </row>
    <row r="227" spans="1:4" x14ac:dyDescent="0.25">
      <c r="A227" s="18">
        <v>45775</v>
      </c>
      <c r="B227" s="19">
        <v>391.16</v>
      </c>
      <c r="C227" s="19">
        <v>140.13999999999999</v>
      </c>
      <c r="D227" s="20">
        <v>24.651800000000001</v>
      </c>
    </row>
    <row r="228" spans="1:4" x14ac:dyDescent="0.25">
      <c r="A228" s="15">
        <v>45772</v>
      </c>
      <c r="B228" s="16">
        <v>391.85</v>
      </c>
      <c r="C228" s="16">
        <v>138.49</v>
      </c>
      <c r="D228" s="17">
        <v>24.349499999999999</v>
      </c>
    </row>
    <row r="229" spans="1:4" x14ac:dyDescent="0.25">
      <c r="A229" s="18">
        <v>45771</v>
      </c>
      <c r="B229" s="19">
        <v>387.3</v>
      </c>
      <c r="C229" s="19">
        <v>137.51</v>
      </c>
      <c r="D229" s="20">
        <v>24.495799999999999</v>
      </c>
    </row>
    <row r="230" spans="1:4" x14ac:dyDescent="0.25">
      <c r="A230" s="15">
        <v>45770</v>
      </c>
      <c r="B230" s="16">
        <v>374.39</v>
      </c>
      <c r="C230" s="16">
        <v>131.4</v>
      </c>
      <c r="D230" s="17">
        <v>24.2715</v>
      </c>
    </row>
    <row r="231" spans="1:4" x14ac:dyDescent="0.25">
      <c r="A231" s="18">
        <v>45769</v>
      </c>
      <c r="B231" s="19">
        <v>366.82</v>
      </c>
      <c r="C231" s="19">
        <v>127.24</v>
      </c>
      <c r="D231" s="20">
        <v>23.7254</v>
      </c>
    </row>
    <row r="232" spans="1:4" x14ac:dyDescent="0.25">
      <c r="A232" s="15">
        <v>45768</v>
      </c>
      <c r="B232" s="16">
        <v>359.12</v>
      </c>
      <c r="C232" s="16">
        <v>122.82</v>
      </c>
      <c r="D232" s="17">
        <v>23.159800000000001</v>
      </c>
    </row>
    <row r="233" spans="1:4" x14ac:dyDescent="0.25">
      <c r="A233" s="18">
        <v>45764</v>
      </c>
      <c r="B233" s="19">
        <v>367.78</v>
      </c>
      <c r="C233" s="19">
        <v>128.62</v>
      </c>
      <c r="D233" s="20">
        <v>23.413399999999999</v>
      </c>
    </row>
    <row r="234" spans="1:4" x14ac:dyDescent="0.25">
      <c r="A234" s="15">
        <v>45763</v>
      </c>
      <c r="B234" s="16">
        <v>371.61</v>
      </c>
      <c r="C234" s="16">
        <v>129.76</v>
      </c>
      <c r="D234" s="17">
        <v>22.779499999999999</v>
      </c>
    </row>
    <row r="235" spans="1:4" x14ac:dyDescent="0.25">
      <c r="A235" s="18">
        <v>45762</v>
      </c>
      <c r="B235" s="19">
        <v>385.73</v>
      </c>
      <c r="C235" s="19">
        <v>133.94</v>
      </c>
      <c r="D235" s="20">
        <v>23.0916</v>
      </c>
    </row>
    <row r="236" spans="1:4" x14ac:dyDescent="0.25">
      <c r="A236" s="15">
        <v>45761</v>
      </c>
      <c r="B236" s="16">
        <v>387.81</v>
      </c>
      <c r="C236" s="16">
        <v>134.63999999999999</v>
      </c>
      <c r="D236" s="17">
        <v>22.857500000000002</v>
      </c>
    </row>
    <row r="237" spans="1:4" x14ac:dyDescent="0.25">
      <c r="A237" s="18">
        <v>45758</v>
      </c>
      <c r="B237" s="19">
        <v>388.45</v>
      </c>
      <c r="C237" s="19">
        <v>132.35</v>
      </c>
      <c r="D237" s="20">
        <v>22.37</v>
      </c>
    </row>
    <row r="238" spans="1:4" x14ac:dyDescent="0.25">
      <c r="A238" s="15">
        <v>45757</v>
      </c>
      <c r="B238" s="16">
        <v>381.35</v>
      </c>
      <c r="C238" s="16">
        <v>133.35</v>
      </c>
      <c r="D238" s="17">
        <v>22.3505</v>
      </c>
    </row>
    <row r="239" spans="1:4" x14ac:dyDescent="0.25">
      <c r="A239" s="18">
        <v>45756</v>
      </c>
      <c r="B239" s="19">
        <v>390.49</v>
      </c>
      <c r="C239" s="19">
        <v>139.69</v>
      </c>
      <c r="D239" s="20">
        <v>22.3992</v>
      </c>
    </row>
    <row r="240" spans="1:4" x14ac:dyDescent="0.25">
      <c r="A240" s="15">
        <v>45755</v>
      </c>
      <c r="B240" s="16">
        <v>354.56</v>
      </c>
      <c r="C240" s="16">
        <v>124.5</v>
      </c>
      <c r="D240" s="17">
        <v>20.790199999999999</v>
      </c>
    </row>
    <row r="241" spans="1:4" x14ac:dyDescent="0.25">
      <c r="A241" s="18">
        <v>45754</v>
      </c>
      <c r="B241" s="19">
        <v>357.86</v>
      </c>
      <c r="C241" s="19">
        <v>127.16</v>
      </c>
      <c r="D241" s="20">
        <v>20.712199999999999</v>
      </c>
    </row>
    <row r="242" spans="1:4" x14ac:dyDescent="0.25">
      <c r="A242" s="15">
        <v>45751</v>
      </c>
      <c r="B242" s="16">
        <v>359.84</v>
      </c>
      <c r="C242" s="16">
        <v>128.27000000000001</v>
      </c>
      <c r="D242" s="17">
        <v>21.277799999999999</v>
      </c>
    </row>
    <row r="243" spans="1:4" x14ac:dyDescent="0.25">
      <c r="A243" s="18">
        <v>45750</v>
      </c>
      <c r="B243" s="19">
        <v>373.11</v>
      </c>
      <c r="C243" s="19">
        <v>137.22999999999999</v>
      </c>
      <c r="D243" s="20">
        <v>22.798999999999999</v>
      </c>
    </row>
    <row r="244" spans="1:4" x14ac:dyDescent="0.25">
      <c r="A244" s="15">
        <v>45749</v>
      </c>
      <c r="B244" s="16">
        <v>382.14</v>
      </c>
      <c r="C244" s="16">
        <v>145.86000000000001</v>
      </c>
      <c r="D244" s="17">
        <v>24.222799999999999</v>
      </c>
    </row>
    <row r="245" spans="1:4" x14ac:dyDescent="0.25">
      <c r="A245" s="18">
        <v>45748</v>
      </c>
      <c r="B245" s="19">
        <v>382.19</v>
      </c>
      <c r="C245" s="19">
        <v>141.94</v>
      </c>
      <c r="D245" s="20">
        <v>24.544599999999999</v>
      </c>
    </row>
    <row r="246" spans="1:4" x14ac:dyDescent="0.25">
      <c r="A246" s="15">
        <v>45747</v>
      </c>
      <c r="B246" s="16">
        <v>375.39</v>
      </c>
      <c r="C246" s="16">
        <v>139.81</v>
      </c>
      <c r="D246" s="17">
        <v>24.7591</v>
      </c>
    </row>
    <row r="247" spans="1:4" x14ac:dyDescent="0.25">
      <c r="A247" s="18">
        <v>45744</v>
      </c>
      <c r="B247" s="19">
        <v>378.8</v>
      </c>
      <c r="C247" s="19">
        <v>140.87</v>
      </c>
      <c r="D247" s="20">
        <v>24.4665</v>
      </c>
    </row>
    <row r="248" spans="1:4" x14ac:dyDescent="0.25">
      <c r="A248" s="15">
        <v>45743</v>
      </c>
      <c r="B248" s="16">
        <v>390.58</v>
      </c>
      <c r="C248" s="16">
        <v>145.78</v>
      </c>
      <c r="D248" s="17">
        <v>25.0029</v>
      </c>
    </row>
    <row r="249" spans="1:4" x14ac:dyDescent="0.25">
      <c r="A249" s="18">
        <v>45742</v>
      </c>
      <c r="B249" s="19">
        <v>389.97</v>
      </c>
      <c r="C249" s="19">
        <v>147.80000000000001</v>
      </c>
      <c r="D249" s="20">
        <v>24.866399999999999</v>
      </c>
    </row>
    <row r="250" spans="1:4" x14ac:dyDescent="0.25">
      <c r="A250" s="15">
        <v>45741</v>
      </c>
      <c r="B250" s="16">
        <v>395.16</v>
      </c>
      <c r="C250" s="16">
        <v>153.93</v>
      </c>
      <c r="D250" s="17">
        <v>24.632300000000001</v>
      </c>
    </row>
    <row r="251" spans="1:4" x14ac:dyDescent="0.25">
      <c r="A251" s="21">
        <v>45740</v>
      </c>
      <c r="B251" s="22">
        <v>393.08</v>
      </c>
      <c r="C251" s="22">
        <v>154.87</v>
      </c>
      <c r="D251" s="23">
        <v>24.642099999999999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2"/>
  <sheetViews>
    <sheetView tabSelected="1" workbookViewId="0">
      <pane ySplit="1" topLeftCell="A2" activePane="bottomLeft" state="frozen"/>
      <selection pane="bottomLeft" activeCell="F14" sqref="F14:G14"/>
    </sheetView>
  </sheetViews>
  <sheetFormatPr defaultRowHeight="15" x14ac:dyDescent="0.25"/>
  <cols>
    <col min="1" max="1" width="16.5703125" customWidth="1"/>
    <col min="2" max="2" width="23.7109375" customWidth="1"/>
    <col min="3" max="3" width="25.28515625" customWidth="1"/>
    <col min="4" max="4" width="28.42578125" customWidth="1"/>
    <col min="7" max="7" width="11.140625" customWidth="1"/>
  </cols>
  <sheetData>
    <row r="1" spans="1:7" ht="26.45" customHeight="1" x14ac:dyDescent="0.25">
      <c r="A1" s="45" t="s">
        <v>0</v>
      </c>
      <c r="B1" s="46" t="s">
        <v>4</v>
      </c>
      <c r="C1" s="46" t="s">
        <v>5</v>
      </c>
      <c r="D1" s="47" t="s">
        <v>6</v>
      </c>
    </row>
    <row r="2" spans="1:7" x14ac:dyDescent="0.25">
      <c r="A2" s="5"/>
      <c r="B2" s="6"/>
      <c r="C2" s="6"/>
      <c r="D2" s="7"/>
    </row>
    <row r="3" spans="1:7" x14ac:dyDescent="0.25">
      <c r="A3" s="8">
        <f>Prices!A3</f>
        <v>46100</v>
      </c>
      <c r="B3" s="9">
        <f>LN(Prices!B2)-LN(Prices!B3)</f>
        <v>-1.8550519628092843E-2</v>
      </c>
      <c r="C3" s="9">
        <f>LN(Prices!C2)-LN(Prices!C3)</f>
        <v>-3.8274658746294321E-2</v>
      </c>
      <c r="D3" s="10">
        <f>LN(Prices!D2)-LN(Prices!D3)</f>
        <v>-1.9589264996488609E-2</v>
      </c>
    </row>
    <row r="4" spans="1:7" x14ac:dyDescent="0.25">
      <c r="A4" s="11">
        <f>Prices!A4</f>
        <v>46099</v>
      </c>
      <c r="B4" s="12">
        <f>LN(Prices!B3)-LN(Prices!B4)</f>
        <v>-7.0952257800360741E-3</v>
      </c>
      <c r="C4" s="12">
        <f>LN(Prices!C3)-LN(Prices!C4)</f>
        <v>1.6990227777112565E-2</v>
      </c>
      <c r="D4" s="13">
        <f>LN(Prices!D3)-LN(Prices!D4)</f>
        <v>1.1707450794235186E-2</v>
      </c>
    </row>
    <row r="5" spans="1:7" x14ac:dyDescent="0.25">
      <c r="A5" s="8">
        <f>Prices!A5</f>
        <v>46098</v>
      </c>
      <c r="B5" s="9">
        <f>LN(Prices!B4)-LN(Prices!B5)</f>
        <v>-1.9262476266033168E-2</v>
      </c>
      <c r="C5" s="9">
        <f>LN(Prices!C4)-LN(Prices!C5)</f>
        <v>-1.1639001313556996E-2</v>
      </c>
      <c r="D5" s="10">
        <f>LN(Prices!D4)-LN(Prices!D5)</f>
        <v>-2.6151611402143615E-2</v>
      </c>
    </row>
    <row r="6" spans="1:7" x14ac:dyDescent="0.25">
      <c r="A6" s="11">
        <f>Prices!A6</f>
        <v>46097</v>
      </c>
      <c r="B6" s="9">
        <f>LN(Prices!B5)-LN(Prices!B6)</f>
        <v>-1.3510810702159759E-3</v>
      </c>
      <c r="C6" s="9">
        <f>LN(Prices!C5)-LN(Prices!C6)</f>
        <v>-8.2405668151608324E-3</v>
      </c>
      <c r="D6" s="10">
        <f>LN(Prices!D5)-LN(Prices!D6)</f>
        <v>-3.4299815251776611E-2</v>
      </c>
    </row>
    <row r="7" spans="1:7" x14ac:dyDescent="0.25">
      <c r="A7" s="8">
        <f>Prices!A7</f>
        <v>46094</v>
      </c>
      <c r="B7" s="9">
        <f>LN(Prices!B6)-LN(Prices!B7)</f>
        <v>1.1062337827425495E-2</v>
      </c>
      <c r="C7" s="9">
        <f>LN(Prices!C6)-LN(Prices!C7)</f>
        <v>5.5291384270743649E-3</v>
      </c>
      <c r="D7" s="10">
        <f>LN(Prices!D6)-LN(Prices!D7)</f>
        <v>7.4177437940798896E-3</v>
      </c>
      <c r="G7" s="39"/>
    </row>
    <row r="8" spans="1:7" x14ac:dyDescent="0.25">
      <c r="A8" s="11">
        <f>Prices!A8</f>
        <v>46093</v>
      </c>
      <c r="B8" s="9">
        <f>LN(Prices!B7)-LN(Prices!B8)</f>
        <v>-1.5826567789001267E-2</v>
      </c>
      <c r="C8" s="9">
        <f>LN(Prices!C7)-LN(Prices!C8)</f>
        <v>-2.5775442922068237E-2</v>
      </c>
      <c r="D8" s="13">
        <f>LN(Prices!D7)-LN(Prices!D8)</f>
        <v>1.3969734518664012E-3</v>
      </c>
    </row>
    <row r="9" spans="1:7" x14ac:dyDescent="0.25">
      <c r="A9" s="8">
        <f>Prices!A9</f>
        <v>46092</v>
      </c>
      <c r="B9" s="12">
        <f>LN(Prices!B8)-LN(Prices!B9)</f>
        <v>-7.4869576494158707E-3</v>
      </c>
      <c r="C9" s="12">
        <f>LN(Prices!C8)-LN(Prices!C9)</f>
        <v>-2.4576140707472049E-2</v>
      </c>
      <c r="D9" s="10">
        <f>LN(Prices!D8)-LN(Prices!D9)</f>
        <v>-1.3969734518664012E-3</v>
      </c>
    </row>
    <row r="10" spans="1:7" x14ac:dyDescent="0.25">
      <c r="A10" s="11">
        <f>Prices!A10</f>
        <v>46091</v>
      </c>
      <c r="B10" s="9">
        <f>LN(Prices!B9)-LN(Prices!B10)</f>
        <v>-2.1711249029836566E-3</v>
      </c>
      <c r="C10" s="9">
        <f>LN(Prices!C9)-LN(Prices!C10)</f>
        <v>8.7858853567483131E-2</v>
      </c>
      <c r="D10" s="10">
        <f>LN(Prices!D9)-LN(Prices!D10)</f>
        <v>-8.8024659170264918E-3</v>
      </c>
    </row>
    <row r="11" spans="1:7" x14ac:dyDescent="0.25">
      <c r="A11" s="8">
        <f>Prices!A11</f>
        <v>46090</v>
      </c>
      <c r="B11" s="9">
        <f>LN(Prices!B10)-LN(Prices!B11)</f>
        <v>-8.9552471093261587E-3</v>
      </c>
      <c r="C11" s="9">
        <f>LN(Prices!C10)-LN(Prices!C11)</f>
        <v>-1.4354313451683254E-2</v>
      </c>
      <c r="D11" s="10">
        <f>LN(Prices!D10)-LN(Prices!D11)</f>
        <v>2.7713643603832772E-3</v>
      </c>
    </row>
    <row r="12" spans="1:7" x14ac:dyDescent="0.25">
      <c r="A12" s="11">
        <f>Prices!A12</f>
        <v>46087</v>
      </c>
      <c r="B12" s="9">
        <f>LN(Prices!B11)-LN(Prices!B12)</f>
        <v>1.0997471690172844E-3</v>
      </c>
      <c r="C12" s="9">
        <f>LN(Prices!C11)-LN(Prices!C12)</f>
        <v>-9.1948631526914681E-3</v>
      </c>
      <c r="D12" s="13">
        <f>LN(Prices!D11)-LN(Prices!D12)</f>
        <v>6.4965425703982227E-3</v>
      </c>
    </row>
    <row r="13" spans="1:7" x14ac:dyDescent="0.25">
      <c r="A13" s="8">
        <f>Prices!A13</f>
        <v>46086</v>
      </c>
      <c r="B13" s="9">
        <f>LN(Prices!B12)-LN(Prices!B13)</f>
        <v>-4.1969706816491481E-3</v>
      </c>
      <c r="C13" s="9">
        <f>LN(Prices!C12)-LN(Prices!C13)</f>
        <v>-1.1892910282694125E-2</v>
      </c>
      <c r="D13" s="10">
        <f>LN(Prices!D12)-LN(Prices!D13)</f>
        <v>5.1342003096075395E-3</v>
      </c>
    </row>
    <row r="14" spans="1:7" x14ac:dyDescent="0.25">
      <c r="A14" s="11">
        <f>Prices!A14</f>
        <v>46085</v>
      </c>
      <c r="B14" s="12">
        <f>LN(Prices!B13)-LN(Prices!B14)</f>
        <v>1.3433550056236143E-2</v>
      </c>
      <c r="C14" s="12">
        <f>LN(Prices!C13)-LN(Prices!C14)</f>
        <v>1.5757586104522048E-2</v>
      </c>
      <c r="D14" s="10">
        <f>LN(Prices!D13)-LN(Prices!D14)</f>
        <v>-2.8599735235613544E-2</v>
      </c>
      <c r="F14" s="39"/>
      <c r="G14" s="39"/>
    </row>
    <row r="15" spans="1:7" x14ac:dyDescent="0.25">
      <c r="A15" s="8">
        <f>Prices!A15</f>
        <v>46084</v>
      </c>
      <c r="B15" s="9">
        <f>LN(Prices!B14)-LN(Prices!B15)</f>
        <v>3.1391767526285363E-3</v>
      </c>
      <c r="C15" s="9">
        <f>LN(Prices!C14)-LN(Prices!C15)</f>
        <v>2.2298355693894933E-2</v>
      </c>
      <c r="D15" s="10">
        <f>LN(Prices!D14)-LN(Prices!D15)</f>
        <v>1.882084473668133E-2</v>
      </c>
    </row>
    <row r="16" spans="1:7" x14ac:dyDescent="0.25">
      <c r="A16" s="11">
        <f>Prices!A16</f>
        <v>46083</v>
      </c>
      <c r="B16" s="9">
        <f>LN(Prices!B15)-LN(Prices!B16)</f>
        <v>1.3408634747967163E-2</v>
      </c>
      <c r="C16" s="9">
        <f>LN(Prices!C15)-LN(Prices!C16)</f>
        <v>-1.6093344853427283E-3</v>
      </c>
      <c r="D16" s="13">
        <f>LN(Prices!D15)-LN(Prices!D16)</f>
        <v>-5.0157338961761777E-2</v>
      </c>
    </row>
    <row r="17" spans="1:4" x14ac:dyDescent="0.25">
      <c r="A17" s="8">
        <f>Prices!A17</f>
        <v>46080</v>
      </c>
      <c r="B17" s="9">
        <f>LN(Prices!B16)-LN(Prices!B17)</f>
        <v>1.4685145551847967E-2</v>
      </c>
      <c r="C17" s="9">
        <f>LN(Prices!C16)-LN(Prices!C17)</f>
        <v>2.6134187173292744E-2</v>
      </c>
      <c r="D17" s="10">
        <f>LN(Prices!D16)-LN(Prices!D17)</f>
        <v>-1.6175216049162611E-2</v>
      </c>
    </row>
    <row r="18" spans="1:4" x14ac:dyDescent="0.25">
      <c r="A18" s="11">
        <f>Prices!A18</f>
        <v>46079</v>
      </c>
      <c r="B18" s="9">
        <f>LN(Prices!B17)-LN(Prices!B18)</f>
        <v>-2.2607513203054097E-2</v>
      </c>
      <c r="C18" s="9">
        <f>LN(Prices!C17)-LN(Prices!C18)</f>
        <v>-3.3211263045716422E-2</v>
      </c>
      <c r="D18" s="10">
        <f>LN(Prices!D17)-LN(Prices!D18)</f>
        <v>2.0592184361001298E-2</v>
      </c>
    </row>
    <row r="19" spans="1:4" x14ac:dyDescent="0.25">
      <c r="A19" s="8">
        <f>Prices!A19</f>
        <v>46078</v>
      </c>
      <c r="B19" s="12">
        <f>LN(Prices!B18)-LN(Prices!B19)</f>
        <v>2.7919052934208821E-3</v>
      </c>
      <c r="C19" s="12">
        <f>LN(Prices!C18)-LN(Prices!C19)</f>
        <v>1.6231073966457288E-2</v>
      </c>
      <c r="D19" s="10">
        <f>LN(Prices!D18)-LN(Prices!D19)</f>
        <v>5.3649227878320271E-2</v>
      </c>
    </row>
    <row r="20" spans="1:4" x14ac:dyDescent="0.25">
      <c r="A20" s="11">
        <f>Prices!A20</f>
        <v>46077</v>
      </c>
      <c r="B20" s="9">
        <f>LN(Prices!B19)-LN(Prices!B20)</f>
        <v>2.938407961327183E-2</v>
      </c>
      <c r="C20" s="9">
        <f>LN(Prices!C19)-LN(Prices!C20)</f>
        <v>1.1903687815606467E-2</v>
      </c>
      <c r="D20" s="13">
        <f>LN(Prices!D19)-LN(Prices!D20)</f>
        <v>-8.8352120885279994E-3</v>
      </c>
    </row>
    <row r="21" spans="1:4" x14ac:dyDescent="0.25">
      <c r="A21" s="8">
        <f>Prices!A21</f>
        <v>46076</v>
      </c>
      <c r="B21" s="9">
        <f>LN(Prices!B20)-LN(Prices!B21)</f>
        <v>1.1713581123753869E-2</v>
      </c>
      <c r="C21" s="9">
        <f>LN(Prices!C20)-LN(Prices!C21)</f>
        <v>3.3609007768416355E-2</v>
      </c>
      <c r="D21" s="10">
        <f>LN(Prices!D20)-LN(Prices!D21)</f>
        <v>-3.2355008581483879E-3</v>
      </c>
    </row>
    <row r="22" spans="1:4" x14ac:dyDescent="0.25">
      <c r="A22" s="11">
        <f>Prices!A22</f>
        <v>46073</v>
      </c>
      <c r="B22" s="9">
        <f>LN(Prices!B21)-LN(Prices!B22)</f>
        <v>-3.2649695525083011E-2</v>
      </c>
      <c r="C22" s="9">
        <f>LN(Prices!C21)-LN(Prices!C22)</f>
        <v>-4.6796609670587408E-2</v>
      </c>
      <c r="D22" s="10">
        <f>LN(Prices!D21)-LN(Prices!D22)</f>
        <v>-1.1926746881528949E-2</v>
      </c>
    </row>
    <row r="23" spans="1:4" x14ac:dyDescent="0.25">
      <c r="A23" s="8">
        <f>Prices!A23</f>
        <v>46072</v>
      </c>
      <c r="B23" s="9">
        <f>LN(Prices!B22)-LN(Prices!B23)</f>
        <v>-3.0916587609022272E-3</v>
      </c>
      <c r="C23" s="9">
        <f>LN(Prices!C22)-LN(Prices!C23)</f>
        <v>-5.5558900111449816E-2</v>
      </c>
      <c r="D23" s="10">
        <f>LN(Prices!D22)-LN(Prices!D23)</f>
        <v>-1.4486446182452539E-2</v>
      </c>
    </row>
    <row r="24" spans="1:4" x14ac:dyDescent="0.25">
      <c r="A24" s="11">
        <f>Prices!A24</f>
        <v>46071</v>
      </c>
      <c r="B24" s="12">
        <f>LN(Prices!B23)-LN(Prices!B24)</f>
        <v>-2.8569299937215575E-3</v>
      </c>
      <c r="C24" s="12">
        <f>LN(Prices!C23)-LN(Prices!C24)</f>
        <v>2.3664108769381187E-3</v>
      </c>
      <c r="D24" s="13">
        <f>LN(Prices!D23)-LN(Prices!D24)</f>
        <v>-1.1173300598124936E-2</v>
      </c>
    </row>
    <row r="25" spans="1:4" x14ac:dyDescent="0.25">
      <c r="A25" s="8">
        <f>Prices!A25</f>
        <v>46070</v>
      </c>
      <c r="B25" s="9">
        <f>LN(Prices!B24)-LN(Prices!B25)</f>
        <v>6.8804731172926736E-3</v>
      </c>
      <c r="C25" s="9">
        <f>LN(Prices!C24)-LN(Prices!C25)</f>
        <v>1.4187379257927013E-2</v>
      </c>
      <c r="D25" s="10">
        <f>LN(Prices!D24)-LN(Prices!D25)</f>
        <v>-1.4122035223555152E-2</v>
      </c>
    </row>
    <row r="26" spans="1:4" x14ac:dyDescent="0.25">
      <c r="A26" s="11">
        <f>Prices!A26</f>
        <v>46066</v>
      </c>
      <c r="B26" s="9">
        <f>LN(Prices!B25)-LN(Prices!B26)</f>
        <v>-1.117554040030555E-2</v>
      </c>
      <c r="C26" s="9">
        <f>LN(Prices!C25)-LN(Prices!C26)</f>
        <v>-3.929065440266033E-2</v>
      </c>
      <c r="D26" s="10">
        <f>LN(Prices!D25)-LN(Prices!D26)</f>
        <v>-1.6083806833511183E-2</v>
      </c>
    </row>
    <row r="27" spans="1:4" x14ac:dyDescent="0.25">
      <c r="A27" s="8">
        <f>Prices!A27</f>
        <v>46065</v>
      </c>
      <c r="B27" s="9">
        <f>LN(Prices!B26)-LN(Prices!B27)</f>
        <v>-1.2948853843779418E-3</v>
      </c>
      <c r="C27" s="9">
        <f>LN(Prices!C26)-LN(Prices!C27)</f>
        <v>2.3120226357979945E-2</v>
      </c>
      <c r="D27" s="10">
        <f>LN(Prices!D26)-LN(Prices!D27)</f>
        <v>1.3895143232750762E-2</v>
      </c>
    </row>
    <row r="28" spans="1:4" x14ac:dyDescent="0.25">
      <c r="A28" s="11">
        <f>Prices!A28</f>
        <v>46064</v>
      </c>
      <c r="B28" s="9">
        <f>LN(Prices!B27)-LN(Prices!B28)</f>
        <v>-6.2763009764985611E-3</v>
      </c>
      <c r="C28" s="9">
        <f>LN(Prices!C27)-LN(Prices!C28)</f>
        <v>-4.3361884037516063E-3</v>
      </c>
      <c r="D28" s="13">
        <f>LN(Prices!D27)-LN(Prices!D28)</f>
        <v>-3.4919284718641919E-3</v>
      </c>
    </row>
    <row r="29" spans="1:4" x14ac:dyDescent="0.25">
      <c r="A29" s="8">
        <f>Prices!A29</f>
        <v>46063</v>
      </c>
      <c r="B29" s="12">
        <f>LN(Prices!B28)-LN(Prices!B29)</f>
        <v>-2.1770831965960191E-2</v>
      </c>
      <c r="C29" s="12">
        <f>LN(Prices!C28)-LN(Prices!C29)</f>
        <v>-1.7221684107069812E-2</v>
      </c>
      <c r="D29" s="10">
        <f>LN(Prices!D28)-LN(Prices!D29)</f>
        <v>5.2424759648497243E-3</v>
      </c>
    </row>
    <row r="30" spans="1:4" x14ac:dyDescent="0.25">
      <c r="A30" s="11">
        <f>Prices!A30</f>
        <v>46062</v>
      </c>
      <c r="B30" s="9">
        <f>LN(Prices!B29)-LN(Prices!B30)</f>
        <v>-7.9819080997101111E-4</v>
      </c>
      <c r="C30" s="9">
        <f>LN(Prices!C29)-LN(Prices!C30)</f>
        <v>2.0855154239977303E-2</v>
      </c>
      <c r="D30" s="10">
        <f>LN(Prices!D29)-LN(Prices!D30)</f>
        <v>2.2144394689637803E-2</v>
      </c>
    </row>
    <row r="31" spans="1:4" x14ac:dyDescent="0.25">
      <c r="A31" s="8">
        <f>Prices!A31</f>
        <v>46059</v>
      </c>
      <c r="B31" s="9">
        <f>LN(Prices!B30)-LN(Prices!B31)</f>
        <v>3.0588829636318593E-2</v>
      </c>
      <c r="C31" s="9">
        <f>LN(Prices!C30)-LN(Prices!C31)</f>
        <v>9.2045828436387644E-2</v>
      </c>
      <c r="D31" s="10">
        <f>LN(Prices!D30)-LN(Prices!D31)</f>
        <v>3.1397200046674456E-3</v>
      </c>
    </row>
    <row r="32" spans="1:4" x14ac:dyDescent="0.25">
      <c r="A32" s="11">
        <f>Prices!A32</f>
        <v>46058</v>
      </c>
      <c r="B32" s="9">
        <f>LN(Prices!B31)-LN(Prices!B32)</f>
        <v>1.8797498663988499E-2</v>
      </c>
      <c r="C32" s="9">
        <f>LN(Prices!C31)-LN(Prices!C32)</f>
        <v>4.5407012377594924E-2</v>
      </c>
      <c r="D32" s="13">
        <f>LN(Prices!D31)-LN(Prices!D32)</f>
        <v>4.6905149473661201E-2</v>
      </c>
    </row>
    <row r="33" spans="1:4" x14ac:dyDescent="0.25">
      <c r="A33" s="8">
        <f>Prices!A33</f>
        <v>46057</v>
      </c>
      <c r="B33" s="9">
        <f>LN(Prices!B32)-LN(Prices!B33)</f>
        <v>-5.0811810850003525E-2</v>
      </c>
      <c r="C33" s="9">
        <f>LN(Prices!C32)-LN(Prices!C33)</f>
        <v>-7.2007081515295113E-2</v>
      </c>
      <c r="D33" s="10">
        <f>LN(Prices!D32)-LN(Prices!D33)</f>
        <v>-3.1056957233637217E-2</v>
      </c>
    </row>
    <row r="34" spans="1:4" x14ac:dyDescent="0.25">
      <c r="A34" s="11">
        <f>Prices!A34</f>
        <v>46056</v>
      </c>
      <c r="B34" s="12">
        <f>LN(Prices!B33)-LN(Prices!B34)</f>
        <v>7.2207728325164311E-3</v>
      </c>
      <c r="C34" s="12">
        <f>LN(Prices!C33)-LN(Prices!C34)</f>
        <v>-5.3108649791384188E-2</v>
      </c>
      <c r="D34" s="10">
        <f>LN(Prices!D33)-LN(Prices!D34)</f>
        <v>-9.124088224217175E-4</v>
      </c>
    </row>
    <row r="35" spans="1:4" x14ac:dyDescent="0.25">
      <c r="A35" s="8">
        <f>Prices!A35</f>
        <v>46055</v>
      </c>
      <c r="B35" s="9">
        <f>LN(Prices!B34)-LN(Prices!B35)</f>
        <v>-2.9142468295565216E-2</v>
      </c>
      <c r="C35" s="9">
        <f>LN(Prices!C34)-LN(Prices!C35)</f>
        <v>-3.4254929888851926E-2</v>
      </c>
      <c r="D35" s="10">
        <f>LN(Prices!D34)-LN(Prices!D35)</f>
        <v>-8.6266142243371924E-3</v>
      </c>
    </row>
    <row r="36" spans="1:4" x14ac:dyDescent="0.25">
      <c r="A36" s="11">
        <f>Prices!A36</f>
        <v>46052</v>
      </c>
      <c r="B36" s="9">
        <f>LN(Prices!B35)-LN(Prices!B36)</f>
        <v>-1.621289876726717E-2</v>
      </c>
      <c r="C36" s="9">
        <f>LN(Prices!C35)-LN(Prices!C36)</f>
        <v>-2.784802923866625E-2</v>
      </c>
      <c r="D36" s="13">
        <f>LN(Prices!D35)-LN(Prices!D36)</f>
        <v>9.0456813042694151E-4</v>
      </c>
    </row>
    <row r="37" spans="1:4" x14ac:dyDescent="0.25">
      <c r="A37" s="8">
        <f>Prices!A37</f>
        <v>46051</v>
      </c>
      <c r="B37" s="9">
        <f>LN(Prices!B36)-LN(Prices!B37)</f>
        <v>-7.4323962463651583E-3</v>
      </c>
      <c r="C37" s="9">
        <f>LN(Prices!C36)-LN(Prices!C37)</f>
        <v>-2.6561110592569825E-2</v>
      </c>
      <c r="D37" s="10">
        <f>LN(Prices!D36)-LN(Prices!D37)</f>
        <v>-8.5605388740703781E-3</v>
      </c>
    </row>
    <row r="38" spans="1:4" x14ac:dyDescent="0.25">
      <c r="A38" s="11">
        <f>Prices!A38</f>
        <v>46050</v>
      </c>
      <c r="B38" s="9">
        <f>LN(Prices!B37)-LN(Prices!B38)</f>
        <v>-0.10528438819272967</v>
      </c>
      <c r="C38" s="9">
        <f>LN(Prices!C37)-LN(Prices!C38)</f>
        <v>-2.217697159981924E-2</v>
      </c>
      <c r="D38" s="10">
        <f>LN(Prices!D37)-LN(Prices!D38)</f>
        <v>4.4873233869413554E-4</v>
      </c>
    </row>
    <row r="39" spans="1:4" x14ac:dyDescent="0.25">
      <c r="A39" s="8">
        <f>Prices!A39</f>
        <v>46049</v>
      </c>
      <c r="B39" s="12">
        <f>LN(Prices!B38)-LN(Prices!B39)</f>
        <v>2.1824766252276362E-3</v>
      </c>
      <c r="C39" s="12">
        <f>LN(Prices!C38)-LN(Prices!C39)</f>
        <v>-1.2079525654600687E-2</v>
      </c>
      <c r="D39" s="10">
        <f>LN(Prices!D38)-LN(Prices!D39)</f>
        <v>-1.4260491219157068E-2</v>
      </c>
    </row>
    <row r="40" spans="1:4" x14ac:dyDescent="0.25">
      <c r="A40" s="11">
        <f>Prices!A40</f>
        <v>46048</v>
      </c>
      <c r="B40" s="9">
        <f>LN(Prices!B39)-LN(Prices!B40)</f>
        <v>2.1665445788558557E-2</v>
      </c>
      <c r="C40" s="9">
        <f>LN(Prices!C39)-LN(Prices!C40)</f>
        <v>-4.2206969818943563E-2</v>
      </c>
      <c r="D40" s="13">
        <f>LN(Prices!D39)-LN(Prices!D40)</f>
        <v>-1.5803665173125481E-2</v>
      </c>
    </row>
    <row r="41" spans="1:4" x14ac:dyDescent="0.25">
      <c r="A41" s="8">
        <f>Prices!A41</f>
        <v>46045</v>
      </c>
      <c r="B41" s="9">
        <f>LN(Prices!B40)-LN(Prices!B41)</f>
        <v>9.249929767875642E-3</v>
      </c>
      <c r="C41" s="9">
        <f>LN(Prices!C40)-LN(Prices!C41)</f>
        <v>2.9368072788502175E-2</v>
      </c>
      <c r="D41" s="10">
        <f>LN(Prices!D40)-LN(Prices!D41)</f>
        <v>-5.6460519150380861E-3</v>
      </c>
    </row>
    <row r="42" spans="1:4" x14ac:dyDescent="0.25">
      <c r="A42" s="11">
        <f>Prices!A42</f>
        <v>46044</v>
      </c>
      <c r="B42" s="9">
        <f>LN(Prices!B41)-LN(Prices!B42)</f>
        <v>3.2300619613674364E-2</v>
      </c>
      <c r="C42" s="9">
        <f>LN(Prices!C41)-LN(Prices!C42)</f>
        <v>-5.7409962374999068E-3</v>
      </c>
      <c r="D42" s="10">
        <f>LN(Prices!D41)-LN(Prices!D42)</f>
        <v>5.6460519150380861E-3</v>
      </c>
    </row>
    <row r="43" spans="1:4" x14ac:dyDescent="0.25">
      <c r="A43" s="8">
        <f>Prices!A43</f>
        <v>46043</v>
      </c>
      <c r="B43" s="9">
        <f>LN(Prices!B42)-LN(Prices!B43)</f>
        <v>1.5705433122422896E-2</v>
      </c>
      <c r="C43" s="9">
        <f>LN(Prices!C42)-LN(Prices!C43)</f>
        <v>2.4428869171906342E-2</v>
      </c>
      <c r="D43" s="10">
        <f>LN(Prices!D42)-LN(Prices!D43)</f>
        <v>-3.0877238564439136E-2</v>
      </c>
    </row>
    <row r="44" spans="1:4" x14ac:dyDescent="0.25">
      <c r="A44" s="11">
        <f>Prices!A44</f>
        <v>46042</v>
      </c>
      <c r="B44" s="12">
        <f>LN(Prices!B43)-LN(Prices!B44)</f>
        <v>-2.316963755424073E-2</v>
      </c>
      <c r="C44" s="12">
        <f>LN(Prices!C43)-LN(Prices!C44)</f>
        <v>-3.4146901530468732E-2</v>
      </c>
      <c r="D44" s="13">
        <f>LN(Prices!D43)-LN(Prices!D44)</f>
        <v>-1.6877641137198474E-3</v>
      </c>
    </row>
    <row r="45" spans="1:4" x14ac:dyDescent="0.25">
      <c r="A45" s="8">
        <f>Prices!A45</f>
        <v>46038</v>
      </c>
      <c r="B45" s="9">
        <f>LN(Prices!B44)-LN(Prices!B45)</f>
        <v>-1.1680178284046328E-2</v>
      </c>
      <c r="C45" s="9">
        <f>LN(Prices!C44)-LN(Prices!C45)</f>
        <v>-6.0232213602220419E-2</v>
      </c>
      <c r="D45" s="10">
        <f>LN(Prices!D44)-LN(Prices!D45)</f>
        <v>-1.3816422422245456E-2</v>
      </c>
    </row>
    <row r="46" spans="1:4" x14ac:dyDescent="0.25">
      <c r="A46" s="11">
        <f>Prices!A46</f>
        <v>46037</v>
      </c>
      <c r="B46" s="9">
        <f>LN(Prices!B45)-LN(Prices!B46)</f>
        <v>6.9829638264993221E-3</v>
      </c>
      <c r="C46" s="9">
        <f>LN(Prices!C45)-LN(Prices!C46)</f>
        <v>6.5102345754688429E-3</v>
      </c>
      <c r="D46" s="10">
        <f>LN(Prices!D45)-LN(Prices!D46)</f>
        <v>-2.9063753072144927E-3</v>
      </c>
    </row>
    <row r="47" spans="1:4" x14ac:dyDescent="0.25">
      <c r="A47" s="8">
        <f>Prices!A47</f>
        <v>46036</v>
      </c>
      <c r="B47" s="9">
        <f>LN(Prices!B46)-LN(Prices!B47)</f>
        <v>-5.9386227542530534E-3</v>
      </c>
      <c r="C47" s="9">
        <f>LN(Prices!C46)-LN(Prices!C47)</f>
        <v>-1.9611539723262794E-2</v>
      </c>
      <c r="D47" s="10">
        <f>LN(Prices!D46)-LN(Prices!D47)</f>
        <v>1.2445552322049025E-3</v>
      </c>
    </row>
    <row r="48" spans="1:4" x14ac:dyDescent="0.25">
      <c r="A48" s="11">
        <f>Prices!A48</f>
        <v>46035</v>
      </c>
      <c r="B48" s="9">
        <f>LN(Prices!B47)-LN(Prices!B48)</f>
        <v>-2.4279457251365599E-2</v>
      </c>
      <c r="C48" s="9">
        <f>LN(Prices!C47)-LN(Prices!C48)</f>
        <v>-4.3856485013526125E-2</v>
      </c>
      <c r="D48" s="13">
        <f>LN(Prices!D47)-LN(Prices!D48)</f>
        <v>-1.3196067778088683E-2</v>
      </c>
    </row>
    <row r="49" spans="1:4" x14ac:dyDescent="0.25">
      <c r="A49" s="8">
        <f>Prices!A49</f>
        <v>46034</v>
      </c>
      <c r="B49" s="12">
        <f>LN(Prices!B48)-LN(Prices!B49)</f>
        <v>-1.3736566684125151E-2</v>
      </c>
      <c r="C49" s="12">
        <f>LN(Prices!C48)-LN(Prices!C49)</f>
        <v>-1.1745472522290967E-2</v>
      </c>
      <c r="D49" s="10">
        <f>LN(Prices!D48)-LN(Prices!D49)</f>
        <v>-3.1057144211332766E-2</v>
      </c>
    </row>
    <row r="50" spans="1:4" x14ac:dyDescent="0.25">
      <c r="A50" s="11">
        <f>Prices!A50</f>
        <v>46031</v>
      </c>
      <c r="B50" s="9">
        <f>LN(Prices!B49)-LN(Prices!B50)</f>
        <v>-4.3911995785705926E-3</v>
      </c>
      <c r="C50" s="9">
        <f>LN(Prices!C49)-LN(Prices!C50)</f>
        <v>3.0557933217651545E-2</v>
      </c>
      <c r="D50" s="10">
        <f>LN(Prices!D49)-LN(Prices!D50)</f>
        <v>5.5754823843034984E-3</v>
      </c>
    </row>
    <row r="51" spans="1:4" x14ac:dyDescent="0.25">
      <c r="A51" s="8">
        <f>Prices!A51</f>
        <v>46030</v>
      </c>
      <c r="B51" s="9">
        <f>LN(Prices!B50)-LN(Prices!B51)</f>
        <v>2.4441462360176303E-3</v>
      </c>
      <c r="C51" s="9">
        <f>LN(Prices!C50)-LN(Prices!C51)</f>
        <v>4.5709582584332331E-2</v>
      </c>
      <c r="D51" s="10">
        <f>LN(Prices!D50)-LN(Prices!D51)</f>
        <v>-8.3516094894711124E-3</v>
      </c>
    </row>
    <row r="52" spans="1:4" x14ac:dyDescent="0.25">
      <c r="A52" s="11">
        <f>Prices!A52</f>
        <v>46029</v>
      </c>
      <c r="B52" s="9">
        <f>LN(Prices!B51)-LN(Prices!B52)</f>
        <v>-1.1148433858863882E-2</v>
      </c>
      <c r="C52" s="9">
        <f>LN(Prices!C51)-LN(Prices!C52)</f>
        <v>-1.6680561402513838E-2</v>
      </c>
      <c r="D52" s="13">
        <f>LN(Prices!D51)-LN(Prices!D52)</f>
        <v>5.1618141213709556E-3</v>
      </c>
    </row>
    <row r="53" spans="1:4" x14ac:dyDescent="0.25">
      <c r="A53" s="8">
        <f>Prices!A53</f>
        <v>46028</v>
      </c>
      <c r="B53" s="9">
        <f>LN(Prices!B52)-LN(Prices!B53)</f>
        <v>1.0312156082291857E-2</v>
      </c>
      <c r="C53" s="9">
        <f>LN(Prices!C52)-LN(Prices!C53)</f>
        <v>-4.7078386960350826E-3</v>
      </c>
      <c r="D53" s="10">
        <f>LN(Prices!D52)-LN(Prices!D53)</f>
        <v>-2.4381860567982638E-2</v>
      </c>
    </row>
    <row r="54" spans="1:4" x14ac:dyDescent="0.25">
      <c r="A54" s="11">
        <f>Prices!A54</f>
        <v>46027</v>
      </c>
      <c r="B54" s="12">
        <f>LN(Prices!B53)-LN(Prices!B54)</f>
        <v>1.1898895854702829E-2</v>
      </c>
      <c r="C54" s="12">
        <f>LN(Prices!C53)-LN(Prices!C54)</f>
        <v>6.0050912973359516E-3</v>
      </c>
      <c r="D54" s="10">
        <f>LN(Prices!D53)-LN(Prices!D54)</f>
        <v>-3.4904049397685988E-3</v>
      </c>
    </row>
    <row r="55" spans="1:4" x14ac:dyDescent="0.25">
      <c r="A55" s="8">
        <f>Prices!A55</f>
        <v>46024</v>
      </c>
      <c r="B55" s="9">
        <f>LN(Prices!B54)-LN(Prices!B55)</f>
        <v>-1.9031708999150965E-4</v>
      </c>
      <c r="C55" s="9">
        <f>LN(Prices!C54)-LN(Prices!C55)</f>
        <v>-1.6070394780757447E-2</v>
      </c>
      <c r="D55" s="10">
        <f>LN(Prices!D54)-LN(Prices!D55)</f>
        <v>-1.9338625249507579E-3</v>
      </c>
    </row>
    <row r="56" spans="1:4" x14ac:dyDescent="0.25">
      <c r="A56" s="11">
        <f>Prices!A56</f>
        <v>46022</v>
      </c>
      <c r="B56" s="9">
        <f>LN(Prices!B55)-LN(Prices!B56)</f>
        <v>-2.2330943826937677E-2</v>
      </c>
      <c r="C56" s="9">
        <f>LN(Prices!C55)-LN(Prices!C56)</f>
        <v>4.0960581563282972E-3</v>
      </c>
      <c r="D56" s="13">
        <f>LN(Prices!D55)-LN(Prices!D56)</f>
        <v>1.0878118147183091E-2</v>
      </c>
    </row>
    <row r="57" spans="1:4" x14ac:dyDescent="0.25">
      <c r="A57" s="8">
        <f>Prices!A57</f>
        <v>46021</v>
      </c>
      <c r="B57" s="9">
        <f>LN(Prices!B56)-LN(Prices!B57)</f>
        <v>-7.9497895768509963E-3</v>
      </c>
      <c r="C57" s="9">
        <f>LN(Prices!C56)-LN(Prices!C57)</f>
        <v>-1.1731237261427552E-2</v>
      </c>
      <c r="D57" s="10">
        <f>LN(Prices!D56)-LN(Prices!D57)</f>
        <v>-4.6765478839017049E-3</v>
      </c>
    </row>
    <row r="58" spans="1:4" x14ac:dyDescent="0.25">
      <c r="A58" s="11">
        <f>Prices!A58</f>
        <v>46020</v>
      </c>
      <c r="B58" s="9">
        <f>LN(Prices!B57)-LN(Prices!B58)</f>
        <v>7.7982314280422571E-4</v>
      </c>
      <c r="C58" s="9">
        <f>LN(Prices!C57)-LN(Prices!C58)</f>
        <v>9.322770597180785E-3</v>
      </c>
      <c r="D58" s="10">
        <f>LN(Prices!D57)-LN(Prices!D58)</f>
        <v>-1.942125294855046E-3</v>
      </c>
    </row>
    <row r="59" spans="1:4" x14ac:dyDescent="0.25">
      <c r="A59" s="8">
        <f>Prices!A59</f>
        <v>46017</v>
      </c>
      <c r="B59" s="12">
        <f>LN(Prices!B58)-LN(Prices!B59)</f>
        <v>-1.2515261017451706E-3</v>
      </c>
      <c r="C59" s="12">
        <f>LN(Prices!C58)-LN(Prices!C59)</f>
        <v>-1.3270144143811002E-2</v>
      </c>
      <c r="D59" s="10">
        <f>LN(Prices!D58)-LN(Prices!D59)</f>
        <v>-1.9383607542229342E-3</v>
      </c>
    </row>
    <row r="60" spans="1:4" x14ac:dyDescent="0.25">
      <c r="A60" s="11">
        <f>Prices!A60</f>
        <v>46015</v>
      </c>
      <c r="B60" s="9">
        <f>LN(Prices!B59)-LN(Prices!B60)</f>
        <v>-6.3542170565700218E-4</v>
      </c>
      <c r="C60" s="9">
        <f>LN(Prices!C59)-LN(Prices!C60)</f>
        <v>2.5285742207126205E-3</v>
      </c>
      <c r="D60" s="13">
        <f>LN(Prices!D59)-LN(Prices!D60)</f>
        <v>4.6583935173223345E-3</v>
      </c>
    </row>
    <row r="61" spans="1:4" x14ac:dyDescent="0.25">
      <c r="A61" s="8">
        <f>Prices!A61</f>
        <v>46014</v>
      </c>
      <c r="B61" s="9">
        <f>LN(Prices!B60)-LN(Prices!B61)</f>
        <v>2.4003211951342251E-3</v>
      </c>
      <c r="C61" s="9">
        <f>LN(Prices!C60)-LN(Prices!C61)</f>
        <v>1.0946320128564224E-2</v>
      </c>
      <c r="D61" s="10">
        <f>LN(Prices!D60)-LN(Prices!D61)</f>
        <v>-2.3319093349787323E-3</v>
      </c>
    </row>
    <row r="62" spans="1:4" x14ac:dyDescent="0.25">
      <c r="A62" s="11">
        <f>Prices!A62</f>
        <v>46013</v>
      </c>
      <c r="B62" s="9">
        <f>LN(Prices!B61)-LN(Prices!B62)</f>
        <v>3.9721385463824532E-3</v>
      </c>
      <c r="C62" s="9">
        <f>LN(Prices!C61)-LN(Prices!C62)</f>
        <v>-1.5442753298517076E-2</v>
      </c>
      <c r="D62" s="10">
        <f>LN(Prices!D61)-LN(Prices!D62)</f>
        <v>2.0789138583186428E-2</v>
      </c>
    </row>
    <row r="63" spans="1:4" x14ac:dyDescent="0.25">
      <c r="A63" s="8">
        <f>Prices!A63</f>
        <v>46010</v>
      </c>
      <c r="B63" s="9">
        <f>LN(Prices!B62)-LN(Prices!B63)</f>
        <v>-2.060072419055814E-3</v>
      </c>
      <c r="C63" s="9">
        <f>LN(Prices!C62)-LN(Prices!C63)</f>
        <v>3.2845273498368854E-2</v>
      </c>
      <c r="D63" s="10">
        <f>LN(Prices!D62)-LN(Prices!D63)</f>
        <v>-6.7154113715242048E-3</v>
      </c>
    </row>
    <row r="64" spans="1:4" x14ac:dyDescent="0.25">
      <c r="A64" s="11">
        <f>Prices!A64</f>
        <v>46009</v>
      </c>
      <c r="B64" s="12">
        <f>LN(Prices!B63)-LN(Prices!B64)</f>
        <v>4.0004177486467896E-3</v>
      </c>
      <c r="C64" s="12">
        <f>LN(Prices!C63)-LN(Prices!C64)</f>
        <v>6.4215606149947924E-2</v>
      </c>
      <c r="D64" s="13">
        <f>LN(Prices!D63)-LN(Prices!D64)</f>
        <v>-1.987982054952786E-2</v>
      </c>
    </row>
    <row r="65" spans="1:4" x14ac:dyDescent="0.25">
      <c r="A65" s="8">
        <f>Prices!A65</f>
        <v>46008</v>
      </c>
      <c r="B65" s="9">
        <f>LN(Prices!B64)-LN(Prices!B65)</f>
        <v>1.6373660249112909E-2</v>
      </c>
      <c r="C65" s="9">
        <f>LN(Prices!C64)-LN(Prices!C65)</f>
        <v>8.7590171975255871E-3</v>
      </c>
      <c r="D65" s="10">
        <f>LN(Prices!D64)-LN(Prices!D65)</f>
        <v>-1.9278972618708146E-3</v>
      </c>
    </row>
    <row r="66" spans="1:4" x14ac:dyDescent="0.25">
      <c r="A66" s="11">
        <f>Prices!A66</f>
        <v>46007</v>
      </c>
      <c r="B66" s="9">
        <f>LN(Prices!B65)-LN(Prices!B66)</f>
        <v>-5.6692319709306105E-4</v>
      </c>
      <c r="C66" s="9">
        <f>LN(Prices!C65)-LN(Prices!C66)</f>
        <v>-5.5528959938314415E-2</v>
      </c>
      <c r="D66" s="10">
        <f>LN(Prices!D65)-LN(Prices!D66)</f>
        <v>-1.8699266468419129E-2</v>
      </c>
    </row>
    <row r="67" spans="1:4" x14ac:dyDescent="0.25">
      <c r="A67" s="8">
        <f>Prices!A67</f>
        <v>46006</v>
      </c>
      <c r="B67" s="9">
        <f>LN(Prices!B66)-LN(Prices!B67)</f>
        <v>3.3010616492497036E-3</v>
      </c>
      <c r="C67" s="9">
        <f>LN(Prices!C66)-LN(Prices!C67)</f>
        <v>1.9970147290295337E-2</v>
      </c>
      <c r="D67" s="10">
        <f>LN(Prices!D66)-LN(Prices!D67)</f>
        <v>-7.1576873678798059E-3</v>
      </c>
    </row>
    <row r="68" spans="1:4" x14ac:dyDescent="0.25">
      <c r="A68" s="11">
        <f>Prices!A68</f>
        <v>46003</v>
      </c>
      <c r="B68" s="9">
        <f>LN(Prices!B67)-LN(Prices!B68)</f>
        <v>-7.7831200049445215E-3</v>
      </c>
      <c r="C68" s="9">
        <f>LN(Prices!C67)-LN(Prices!C68)</f>
        <v>-2.6942865836933727E-2</v>
      </c>
      <c r="D68" s="13">
        <f>LN(Prices!D67)-LN(Prices!D68)</f>
        <v>-4.8680118600730182E-3</v>
      </c>
    </row>
    <row r="69" spans="1:4" x14ac:dyDescent="0.25">
      <c r="A69" s="8">
        <f>Prices!A69</f>
        <v>46002</v>
      </c>
      <c r="B69" s="12">
        <f>LN(Prices!B68)-LN(Prices!B69)</f>
        <v>-1.027036054604924E-2</v>
      </c>
      <c r="C69" s="12">
        <f>LN(Prices!C68)-LN(Prices!C69)</f>
        <v>-4.5684606696741348E-2</v>
      </c>
      <c r="D69" s="10">
        <f>LN(Prices!D68)-LN(Prices!D69)</f>
        <v>1.4953273814337642E-3</v>
      </c>
    </row>
    <row r="70" spans="1:4" x14ac:dyDescent="0.25">
      <c r="A70" s="11">
        <f>Prices!A70</f>
        <v>46001</v>
      </c>
      <c r="B70" s="9">
        <f>LN(Prices!B69)-LN(Prices!B70)</f>
        <v>1.0207670516877876E-2</v>
      </c>
      <c r="C70" s="9">
        <f>LN(Prices!C69)-LN(Prices!C70)</f>
        <v>-0.1146658418503268</v>
      </c>
      <c r="D70" s="10">
        <f>LN(Prices!D69)-LN(Prices!D70)</f>
        <v>-1.300891789324643E-2</v>
      </c>
    </row>
    <row r="71" spans="1:4" x14ac:dyDescent="0.25">
      <c r="A71" s="8">
        <f>Prices!A71</f>
        <v>46000</v>
      </c>
      <c r="B71" s="9">
        <f>LN(Prices!B70)-LN(Prices!B71)</f>
        <v>-2.7737771190968985E-2</v>
      </c>
      <c r="C71" s="9">
        <f>LN(Prices!C70)-LN(Prices!C71)</f>
        <v>6.6585930094422707E-3</v>
      </c>
      <c r="D71" s="10">
        <f>LN(Prices!D70)-LN(Prices!D71)</f>
        <v>-1.756999810138371E-2</v>
      </c>
    </row>
    <row r="72" spans="1:4" x14ac:dyDescent="0.25">
      <c r="A72" s="11">
        <f>Prices!A72</f>
        <v>45999</v>
      </c>
      <c r="B72" s="9">
        <f>LN(Prices!B71)-LN(Prices!B72)</f>
        <v>2.0345059101050111E-3</v>
      </c>
      <c r="C72" s="9">
        <f>LN(Prices!C71)-LN(Prices!C72)</f>
        <v>4.4789361640518166E-3</v>
      </c>
      <c r="D72" s="13">
        <f>LN(Prices!D71)-LN(Prices!D72)</f>
        <v>3.6291054653414534E-4</v>
      </c>
    </row>
    <row r="73" spans="1:4" x14ac:dyDescent="0.25">
      <c r="A73" s="8">
        <f>Prices!A73</f>
        <v>45996</v>
      </c>
      <c r="B73" s="9">
        <f>LN(Prices!B72)-LN(Prices!B73)</f>
        <v>1.6136998425424487E-2</v>
      </c>
      <c r="C73" s="9">
        <f>LN(Prices!C72)-LN(Prices!C73)</f>
        <v>1.3512485337595415E-2</v>
      </c>
      <c r="D73" s="10">
        <f>LN(Prices!D72)-LN(Prices!D73)</f>
        <v>-1.7272829577773319E-2</v>
      </c>
    </row>
    <row r="74" spans="1:4" x14ac:dyDescent="0.25">
      <c r="A74" s="11">
        <f>Prices!A74</f>
        <v>45995</v>
      </c>
      <c r="B74" s="12">
        <f>LN(Prices!B73)-LN(Prices!B74)</f>
        <v>4.8132873010242605E-3</v>
      </c>
      <c r="C74" s="12">
        <f>LN(Prices!C73)-LN(Prices!C74)</f>
        <v>1.5049715643895567E-2</v>
      </c>
      <c r="D74" s="10">
        <f>LN(Prices!D73)-LN(Prices!D74)</f>
        <v>-9.2330201367789577E-3</v>
      </c>
    </row>
    <row r="75" spans="1:4" x14ac:dyDescent="0.25">
      <c r="A75" s="8">
        <f>Prices!A75</f>
        <v>45994</v>
      </c>
      <c r="B75" s="9">
        <f>LN(Prices!B74)-LN(Prices!B75)</f>
        <v>6.4888550909518727E-3</v>
      </c>
      <c r="C75" s="9">
        <f>LN(Prices!C74)-LN(Prices!C75)</f>
        <v>3.1277723802448421E-2</v>
      </c>
      <c r="D75" s="10">
        <f>LN(Prices!D74)-LN(Prices!D75)</f>
        <v>-5.9912073482304429E-3</v>
      </c>
    </row>
    <row r="76" spans="1:4" x14ac:dyDescent="0.25">
      <c r="A76" s="11">
        <f>Prices!A76</f>
        <v>45993</v>
      </c>
      <c r="B76" s="9">
        <f>LN(Prices!B75)-LN(Prices!B76)</f>
        <v>-2.5359671759570546E-2</v>
      </c>
      <c r="C76" s="9">
        <f>LN(Prices!C75)-LN(Prices!C76)</f>
        <v>3.2436862767986518E-2</v>
      </c>
      <c r="D76" s="13">
        <f>LN(Prices!D75)-LN(Prices!D76)</f>
        <v>-3.8576235809753001E-3</v>
      </c>
    </row>
    <row r="77" spans="1:4" x14ac:dyDescent="0.25">
      <c r="A77" s="8">
        <f>Prices!A77</f>
        <v>45992</v>
      </c>
      <c r="B77" s="9">
        <f>LN(Prices!B76)-LN(Prices!B77)</f>
        <v>6.6752914907262095E-3</v>
      </c>
      <c r="C77" s="9">
        <f>LN(Prices!C76)-LN(Prices!C77)</f>
        <v>7.9594074443800622E-4</v>
      </c>
      <c r="D77" s="10">
        <f>LN(Prices!D76)-LN(Prices!D77)</f>
        <v>-7.3234852165402486E-3</v>
      </c>
    </row>
    <row r="78" spans="1:4" x14ac:dyDescent="0.25">
      <c r="A78" s="11">
        <f>Prices!A78</f>
        <v>45989</v>
      </c>
      <c r="B78" s="9">
        <f>LN(Prices!B77)-LN(Prices!B78)</f>
        <v>-1.0768941875060278E-2</v>
      </c>
      <c r="C78" s="9">
        <f>LN(Prices!C77)-LN(Prices!C78)</f>
        <v>-5.013785975253704E-3</v>
      </c>
      <c r="D78" s="10">
        <f>LN(Prices!D77)-LN(Prices!D78)</f>
        <v>-1.961184481488365E-2</v>
      </c>
    </row>
    <row r="79" spans="1:4" x14ac:dyDescent="0.25">
      <c r="A79" s="8">
        <f>Prices!A79</f>
        <v>45987</v>
      </c>
      <c r="B79" s="12">
        <f>LN(Prices!B78)-LN(Prices!B79)</f>
        <v>1.3319753757626174E-2</v>
      </c>
      <c r="C79" s="12">
        <f>LN(Prices!C78)-LN(Prices!C79)</f>
        <v>-1.4794696139001751E-2</v>
      </c>
      <c r="D79" s="10">
        <f>LN(Prices!D78)-LN(Prices!D79)</f>
        <v>9.2418936087867998E-3</v>
      </c>
    </row>
    <row r="80" spans="1:4" x14ac:dyDescent="0.25">
      <c r="A80" s="11">
        <f>Prices!A80</f>
        <v>45986</v>
      </c>
      <c r="B80" s="9">
        <f>LN(Prices!B79)-LN(Prices!B80)</f>
        <v>1.7683761423381128E-2</v>
      </c>
      <c r="C80" s="9">
        <f>LN(Prices!C79)-LN(Prices!C80)</f>
        <v>3.9458836740546843E-2</v>
      </c>
      <c r="D80" s="13">
        <f>LN(Prices!D79)-LN(Prices!D80)</f>
        <v>1.6643934839511765E-2</v>
      </c>
    </row>
    <row r="81" spans="1:4" x14ac:dyDescent="0.25">
      <c r="A81" s="8">
        <f>Prices!A81</f>
        <v>45985</v>
      </c>
      <c r="B81" s="9">
        <f>LN(Prices!B80)-LN(Prices!B81)</f>
        <v>6.2882046129217883E-3</v>
      </c>
      <c r="C81" s="9">
        <f>LN(Prices!C80)-LN(Prices!C81)</f>
        <v>-1.6360386053866804E-2</v>
      </c>
      <c r="D81" s="10">
        <f>LN(Prices!D80)-LN(Prices!D81)</f>
        <v>-1.4233880307505942E-2</v>
      </c>
    </row>
    <row r="82" spans="1:4" x14ac:dyDescent="0.25">
      <c r="A82" s="11">
        <f>Prices!A82</f>
        <v>45982</v>
      </c>
      <c r="B82" s="9">
        <f>LN(Prices!B81)-LN(Prices!B82)</f>
        <v>3.9741311342087471E-3</v>
      </c>
      <c r="C82" s="9">
        <f>LN(Prices!C81)-LN(Prices!C82)</f>
        <v>7.6183207276239173E-3</v>
      </c>
      <c r="D82" s="10">
        <f>LN(Prices!D81)-LN(Prices!D82)</f>
        <v>1.6684432907904334E-2</v>
      </c>
    </row>
    <row r="83" spans="1:4" x14ac:dyDescent="0.25">
      <c r="A83" s="8">
        <f>Prices!A83</f>
        <v>45981</v>
      </c>
      <c r="B83" s="9">
        <f>LN(Prices!B82)-LN(Prices!B83)</f>
        <v>-1.3276719139525106E-2</v>
      </c>
      <c r="C83" s="9">
        <f>LN(Prices!C82)-LN(Prices!C83)</f>
        <v>-5.8289792104918803E-2</v>
      </c>
      <c r="D83" s="10">
        <f>LN(Prices!D82)-LN(Prices!D83)</f>
        <v>2.7720325032964954E-2</v>
      </c>
    </row>
    <row r="84" spans="1:4" x14ac:dyDescent="0.25">
      <c r="A84" s="11">
        <f>Prices!A84</f>
        <v>45980</v>
      </c>
      <c r="B84" s="12">
        <f>LN(Prices!B83)-LN(Prices!B84)</f>
        <v>-1.8000589599925121E-2</v>
      </c>
      <c r="C84" s="12">
        <f>LN(Prices!C83)-LN(Prices!C84)</f>
        <v>-6.8065328948978987E-2</v>
      </c>
      <c r="D84" s="13">
        <f>LN(Prices!D83)-LN(Prices!D84)</f>
        <v>-2.8421095909575644E-2</v>
      </c>
    </row>
    <row r="85" spans="1:4" x14ac:dyDescent="0.25">
      <c r="A85" s="8">
        <f>Prices!A85</f>
        <v>45979</v>
      </c>
      <c r="B85" s="9">
        <f>LN(Prices!B84)-LN(Prices!B85)</f>
        <v>-1.3599826291892825E-2</v>
      </c>
      <c r="C85" s="9">
        <f>LN(Prices!C84)-LN(Prices!C85)</f>
        <v>2.2600845403449199E-2</v>
      </c>
      <c r="D85" s="10">
        <f>LN(Prices!D84)-LN(Prices!D85)</f>
        <v>-4.1943437932592254E-3</v>
      </c>
    </row>
    <row r="86" spans="1:4" x14ac:dyDescent="0.25">
      <c r="A86" s="11">
        <f>Prices!A86</f>
        <v>45978</v>
      </c>
      <c r="B86" s="9">
        <f>LN(Prices!B85)-LN(Prices!B86)</f>
        <v>-2.7366680696098378E-2</v>
      </c>
      <c r="C86" s="9">
        <f>LN(Prices!C85)-LN(Prices!C86)</f>
        <v>2.8613622338502509E-3</v>
      </c>
      <c r="D86" s="10">
        <f>LN(Prices!D85)-LN(Prices!D86)</f>
        <v>-1.4543192611832012E-2</v>
      </c>
    </row>
    <row r="87" spans="1:4" x14ac:dyDescent="0.25">
      <c r="A87" s="8">
        <f>Prices!A87</f>
        <v>45975</v>
      </c>
      <c r="B87" s="9">
        <f>LN(Prices!B86)-LN(Prices!B87)</f>
        <v>-5.2865983374461578E-3</v>
      </c>
      <c r="C87" s="9">
        <f>LN(Prices!C86)-LN(Prices!C87)</f>
        <v>-1.35079192418468E-2</v>
      </c>
      <c r="D87" s="10">
        <f>LN(Prices!D86)-LN(Prices!D87)</f>
        <v>-3.4794930424582482E-2</v>
      </c>
    </row>
    <row r="88" spans="1:4" x14ac:dyDescent="0.25">
      <c r="A88" s="11">
        <f>Prices!A88</f>
        <v>45974</v>
      </c>
      <c r="B88" s="9">
        <f>LN(Prices!B87)-LN(Prices!B88)</f>
        <v>1.3597059906317988E-2</v>
      </c>
      <c r="C88" s="9">
        <f>LN(Prices!C87)-LN(Prices!C88)</f>
        <v>2.3978261562453973E-2</v>
      </c>
      <c r="D88" s="13">
        <f>LN(Prices!D87)-LN(Prices!D88)</f>
        <v>2.2835109071017268E-2</v>
      </c>
    </row>
    <row r="89" spans="1:4" x14ac:dyDescent="0.25">
      <c r="A89" s="8">
        <f>Prices!A89</f>
        <v>45973</v>
      </c>
      <c r="B89" s="12">
        <f>LN(Prices!B88)-LN(Prices!B89)</f>
        <v>-1.5476980563366105E-2</v>
      </c>
      <c r="C89" s="12">
        <f>LN(Prices!C88)-LN(Prices!C89)</f>
        <v>-4.2385325817499542E-2</v>
      </c>
      <c r="D89" s="10">
        <f>LN(Prices!D88)-LN(Prices!D89)</f>
        <v>-2.7472414499534192E-2</v>
      </c>
    </row>
    <row r="90" spans="1:4" x14ac:dyDescent="0.25">
      <c r="A90" s="11">
        <f>Prices!A90</f>
        <v>45972</v>
      </c>
      <c r="B90" s="9">
        <f>LN(Prices!B89)-LN(Prices!B90)</f>
        <v>4.8243901302580383E-3</v>
      </c>
      <c r="C90" s="9">
        <f>LN(Prices!C89)-LN(Prices!C90)</f>
        <v>-3.9561232694516058E-2</v>
      </c>
      <c r="D90" s="10">
        <f>LN(Prices!D89)-LN(Prices!D90)</f>
        <v>3.7028801219752605E-2</v>
      </c>
    </row>
    <row r="91" spans="1:4" x14ac:dyDescent="0.25">
      <c r="A91" s="8">
        <f>Prices!A91</f>
        <v>45971</v>
      </c>
      <c r="B91" s="9">
        <f>LN(Prices!B90)-LN(Prices!B91)</f>
        <v>5.2824658650800771E-3</v>
      </c>
      <c r="C91" s="9">
        <f>LN(Prices!C90)-LN(Prices!C91)</f>
        <v>-1.9624094050116447E-2</v>
      </c>
      <c r="D91" s="10">
        <f>LN(Prices!D90)-LN(Prices!D91)</f>
        <v>4.1665399926588798E-2</v>
      </c>
    </row>
    <row r="92" spans="1:4" x14ac:dyDescent="0.25">
      <c r="A92" s="11">
        <f>Prices!A92</f>
        <v>45968</v>
      </c>
      <c r="B92" s="9">
        <f>LN(Prices!B91)-LN(Prices!B92)</f>
        <v>1.8308881829560697E-2</v>
      </c>
      <c r="C92" s="9">
        <f>LN(Prices!C91)-LN(Prices!C92)</f>
        <v>6.5404636494852397E-3</v>
      </c>
      <c r="D92" s="13">
        <f>LN(Prices!D91)-LN(Prices!D92)</f>
        <v>9.3391483389813068E-3</v>
      </c>
    </row>
    <row r="93" spans="1:4" x14ac:dyDescent="0.25">
      <c r="A93" s="8">
        <f>Prices!A93</f>
        <v>45967</v>
      </c>
      <c r="B93" s="9">
        <f>LN(Prices!B92)-LN(Prices!B93)</f>
        <v>-5.6342564272160445E-4</v>
      </c>
      <c r="C93" s="9">
        <f>LN(Prices!C92)-LN(Prices!C93)</f>
        <v>-1.8797390304413852E-2</v>
      </c>
      <c r="D93" s="10">
        <f>LN(Prices!D92)-LN(Prices!D93)</f>
        <v>-2.0715026438588691E-2</v>
      </c>
    </row>
    <row r="94" spans="1:4" x14ac:dyDescent="0.25">
      <c r="A94" s="11">
        <f>Prices!A94</f>
        <v>45966</v>
      </c>
      <c r="B94" s="12">
        <f>LN(Prices!B93)-LN(Prices!B94)</f>
        <v>-2.0035322559120772E-2</v>
      </c>
      <c r="C94" s="12">
        <f>LN(Prices!C93)-LN(Prices!C94)</f>
        <v>-2.6351932650025667E-2</v>
      </c>
      <c r="D94" s="10">
        <f>LN(Prices!D93)-LN(Prices!D94)</f>
        <v>7.4508061558655747E-3</v>
      </c>
    </row>
    <row r="95" spans="1:4" x14ac:dyDescent="0.25">
      <c r="A95" s="8">
        <f>Prices!A95</f>
        <v>45965</v>
      </c>
      <c r="B95" s="9">
        <f>LN(Prices!B94)-LN(Prices!B95)</f>
        <v>-1.4038547132902757E-2</v>
      </c>
      <c r="C95" s="9">
        <f>LN(Prices!C94)-LN(Prices!C95)</f>
        <v>8.5861544980039284E-3</v>
      </c>
      <c r="D95" s="10">
        <f>LN(Prices!D94)-LN(Prices!D95)</f>
        <v>6.0725316093792614E-3</v>
      </c>
    </row>
    <row r="96" spans="1:4" x14ac:dyDescent="0.25">
      <c r="A96" s="11">
        <f>Prices!A96</f>
        <v>45964</v>
      </c>
      <c r="B96" s="9">
        <f>LN(Prices!B95)-LN(Prices!B96)</f>
        <v>-5.2358171115765018E-3</v>
      </c>
      <c r="C96" s="9">
        <f>LN(Prices!C95)-LN(Prices!C96)</f>
        <v>-3.8264025297774396E-2</v>
      </c>
      <c r="D96" s="13">
        <f>LN(Prices!D95)-LN(Prices!D96)</f>
        <v>-1.432152052877278E-3</v>
      </c>
    </row>
    <row r="97" spans="1:4" x14ac:dyDescent="0.25">
      <c r="A97" s="8">
        <f>Prices!A97</f>
        <v>45961</v>
      </c>
      <c r="B97" s="9">
        <f>LN(Prices!B96)-LN(Prices!B97)</f>
        <v>-1.5074797025862452E-3</v>
      </c>
      <c r="C97" s="9">
        <f>LN(Prices!C96)-LN(Prices!C97)</f>
        <v>-1.8292021377825485E-2</v>
      </c>
      <c r="D97" s="10">
        <f>LN(Prices!D96)-LN(Prices!D97)</f>
        <v>2.1489979617106414E-3</v>
      </c>
    </row>
    <row r="98" spans="1:4" x14ac:dyDescent="0.25">
      <c r="A98" s="11">
        <f>Prices!A98</f>
        <v>45960</v>
      </c>
      <c r="B98" s="9">
        <f>LN(Prices!B97)-LN(Prices!B98)</f>
        <v>-1.5236455242090052E-2</v>
      </c>
      <c r="C98" s="9">
        <f>LN(Prices!C97)-LN(Prices!C98)</f>
        <v>2.20220641685831E-2</v>
      </c>
      <c r="D98" s="10">
        <f>LN(Prices!D97)-LN(Prices!D98)</f>
        <v>5.0323614469540701E-3</v>
      </c>
    </row>
    <row r="99" spans="1:4" x14ac:dyDescent="0.25">
      <c r="A99" s="8">
        <f>Prices!A99</f>
        <v>45959</v>
      </c>
      <c r="B99" s="12">
        <f>LN(Prices!B98)-LN(Prices!B99)</f>
        <v>-2.9590563432843275E-2</v>
      </c>
      <c r="C99" s="12">
        <f>LN(Prices!C98)-LN(Prices!C99)</f>
        <v>-6.921343444235184E-2</v>
      </c>
      <c r="D99" s="10">
        <f>LN(Prices!D98)-LN(Prices!D99)</f>
        <v>-1.5376666278090756E-2</v>
      </c>
    </row>
    <row r="100" spans="1:4" x14ac:dyDescent="0.25">
      <c r="A100" s="11">
        <f>Prices!A100</f>
        <v>45958</v>
      </c>
      <c r="B100" s="9">
        <f>LN(Prices!B99)-LN(Prices!B100)</f>
        <v>-9.5974611010252175E-4</v>
      </c>
      <c r="C100" s="9">
        <f>LN(Prices!C99)-LN(Prices!C100)</f>
        <v>-1.9888091903201399E-2</v>
      </c>
      <c r="D100" s="13">
        <f>LN(Prices!D99)-LN(Prices!D100)</f>
        <v>-2.8338436463029915E-2</v>
      </c>
    </row>
    <row r="101" spans="1:4" x14ac:dyDescent="0.25">
      <c r="A101" s="8">
        <f>Prices!A101</f>
        <v>45957</v>
      </c>
      <c r="B101" s="9">
        <f>LN(Prices!B100)-LN(Prices!B101)</f>
        <v>1.9654317966918633E-2</v>
      </c>
      <c r="C101" s="9">
        <f>LN(Prices!C100)-LN(Prices!C101)</f>
        <v>-2.0276406285253401E-3</v>
      </c>
      <c r="D101" s="10">
        <f>LN(Prices!D100)-LN(Prices!D101)</f>
        <v>1.0053820167988725E-2</v>
      </c>
    </row>
    <row r="102" spans="1:4" x14ac:dyDescent="0.25">
      <c r="A102" s="11">
        <f>Prices!A102</f>
        <v>45954</v>
      </c>
      <c r="B102" s="9">
        <f>LN(Prices!B101)-LN(Prices!B102)</f>
        <v>1.4993694023050175E-2</v>
      </c>
      <c r="C102" s="9">
        <f>LN(Prices!C101)-LN(Prices!C102)</f>
        <v>-6.8351513608764236E-3</v>
      </c>
      <c r="D102" s="10">
        <f>LN(Prices!D101)-LN(Prices!D102)</f>
        <v>1.7436796048269088E-3</v>
      </c>
    </row>
    <row r="103" spans="1:4" x14ac:dyDescent="0.25">
      <c r="A103" s="8">
        <f>Prices!A103</f>
        <v>45953</v>
      </c>
      <c r="B103" s="9">
        <f>LN(Prices!B102)-LN(Prices!B103)</f>
        <v>5.8419772151516725E-3</v>
      </c>
      <c r="C103" s="9">
        <f>LN(Prices!C102)-LN(Prices!C103)</f>
        <v>1.1572724116708066E-2</v>
      </c>
      <c r="D103" s="10">
        <f>LN(Prices!D102)-LN(Prices!D103)</f>
        <v>-2.09205097222398E-3</v>
      </c>
    </row>
    <row r="104" spans="1:4" x14ac:dyDescent="0.25">
      <c r="A104" s="11">
        <f>Prices!A104</f>
        <v>45952</v>
      </c>
      <c r="B104" s="12">
        <f>LN(Prices!B103)-LN(Prices!B104)</f>
        <v>3.8420900974500682E-5</v>
      </c>
      <c r="C104" s="12">
        <f>LN(Prices!C103)-LN(Prices!C104)</f>
        <v>2.6813974166473464E-2</v>
      </c>
      <c r="D104" s="13">
        <f>LN(Prices!D103)-LN(Prices!D104)</f>
        <v>-1.3922731103868102E-3</v>
      </c>
    </row>
    <row r="105" spans="1:4" x14ac:dyDescent="0.25">
      <c r="A105" s="8">
        <f>Prices!A105</f>
        <v>45951</v>
      </c>
      <c r="B105" s="9">
        <f>LN(Prices!B104)-LN(Prices!B105)</f>
        <v>5.5480781881671604E-3</v>
      </c>
      <c r="C105" s="9">
        <f>LN(Prices!C104)-LN(Prices!C105)</f>
        <v>-9.0908057477845361E-3</v>
      </c>
      <c r="D105" s="10">
        <f>LN(Prices!D104)-LN(Prices!D105)</f>
        <v>-1.3474033523699358E-2</v>
      </c>
    </row>
    <row r="106" spans="1:4" x14ac:dyDescent="0.25">
      <c r="A106" s="11">
        <f>Prices!A106</f>
        <v>45950</v>
      </c>
      <c r="B106" s="9">
        <f>LN(Prices!B105)-LN(Prices!B106)</f>
        <v>1.682053661606453E-3</v>
      </c>
      <c r="C106" s="9">
        <f>LN(Prices!C105)-LN(Prices!C106)</f>
        <v>-7.350711134888499E-3</v>
      </c>
      <c r="D106" s="10">
        <f>LN(Prices!D105)-LN(Prices!D106)</f>
        <v>-1.7143840989648496E-3</v>
      </c>
    </row>
    <row r="107" spans="1:4" x14ac:dyDescent="0.25">
      <c r="A107" s="8">
        <f>Prices!A107</f>
        <v>45947</v>
      </c>
      <c r="B107" s="9">
        <f>LN(Prices!B106)-LN(Prices!B107)</f>
        <v>6.2307916284103371E-3</v>
      </c>
      <c r="C107" s="9">
        <f>LN(Prices!C106)-LN(Prices!C107)</f>
        <v>-4.9720877606090674E-2</v>
      </c>
      <c r="D107" s="10">
        <f>LN(Prices!D106)-LN(Prices!D107)</f>
        <v>9.9845897476371626E-3</v>
      </c>
    </row>
    <row r="108" spans="1:4" x14ac:dyDescent="0.25">
      <c r="A108" s="11">
        <f>Prices!A108</f>
        <v>45946</v>
      </c>
      <c r="B108" s="9">
        <f>LN(Prices!B107)-LN(Prices!B108)</f>
        <v>3.8431947731938365E-3</v>
      </c>
      <c r="C108" s="9">
        <f>LN(Prices!C107)-LN(Prices!C108)</f>
        <v>-7.1815198293405658E-2</v>
      </c>
      <c r="D108" s="13">
        <f>LN(Prices!D107)-LN(Prices!D108)</f>
        <v>1.393750784378156E-2</v>
      </c>
    </row>
    <row r="109" spans="1:4" x14ac:dyDescent="0.25">
      <c r="A109" s="8">
        <f>Prices!A109</f>
        <v>45945</v>
      </c>
      <c r="B109" s="12">
        <f>LN(Prices!B108)-LN(Prices!B109)</f>
        <v>-3.5510846650801398E-3</v>
      </c>
      <c r="C109" s="12">
        <f>LN(Prices!C108)-LN(Prices!C109)</f>
        <v>3.0426271035583596E-2</v>
      </c>
      <c r="D109" s="10">
        <f>LN(Prices!D108)-LN(Prices!D109)</f>
        <v>-1.3591427203539119E-2</v>
      </c>
    </row>
    <row r="110" spans="1:4" x14ac:dyDescent="0.25">
      <c r="A110" s="11">
        <f>Prices!A110</f>
        <v>45944</v>
      </c>
      <c r="B110" s="9">
        <f>LN(Prices!B109)-LN(Prices!B110)</f>
        <v>-2.7263875534089266E-4</v>
      </c>
      <c r="C110" s="9">
        <f>LN(Prices!C109)-LN(Prices!C110)</f>
        <v>1.5333346113882484E-2</v>
      </c>
      <c r="D110" s="10">
        <f>LN(Prices!D109)-LN(Prices!D110)</f>
        <v>2.0790028278332429E-3</v>
      </c>
    </row>
    <row r="111" spans="1:4" x14ac:dyDescent="0.25">
      <c r="A111" s="8">
        <f>Prices!A111</f>
        <v>45943</v>
      </c>
      <c r="B111" s="9">
        <f>LN(Prices!B110)-LN(Prices!B111)</f>
        <v>-9.3419753393053639E-4</v>
      </c>
      <c r="C111" s="9">
        <f>LN(Prices!C110)-LN(Prices!C111)</f>
        <v>-2.968867658829577E-2</v>
      </c>
      <c r="D111" s="10">
        <f>LN(Prices!D110)-LN(Prices!D111)</f>
        <v>-1.3864820245328424E-3</v>
      </c>
    </row>
    <row r="112" spans="1:4" x14ac:dyDescent="0.25">
      <c r="A112" s="11">
        <f>Prices!A112</f>
        <v>45940</v>
      </c>
      <c r="B112" s="9">
        <f>LN(Prices!B111)-LN(Prices!B112)</f>
        <v>6.0292277353939383E-3</v>
      </c>
      <c r="C112" s="9">
        <f>LN(Prices!C111)-LN(Prices!C112)</f>
        <v>5.0096169052782358E-2</v>
      </c>
      <c r="D112" s="13">
        <f>LN(Prices!D111)-LN(Prices!D112)</f>
        <v>2.1709536082393566E-2</v>
      </c>
    </row>
    <row r="113" spans="1:4" x14ac:dyDescent="0.25">
      <c r="A113" s="8">
        <f>Prices!A113</f>
        <v>45939</v>
      </c>
      <c r="B113" s="9">
        <f>LN(Prices!B112)-LN(Prices!B113)</f>
        <v>-2.2142268708887691E-2</v>
      </c>
      <c r="C113" s="9">
        <f>LN(Prices!C112)-LN(Prices!C113)</f>
        <v>-1.3561368671635599E-2</v>
      </c>
      <c r="D113" s="10">
        <f>LN(Prices!D112)-LN(Prices!D113)</f>
        <v>-5.4756317743110294E-2</v>
      </c>
    </row>
    <row r="114" spans="1:4" x14ac:dyDescent="0.25">
      <c r="A114" s="11">
        <f>Prices!A114</f>
        <v>45938</v>
      </c>
      <c r="B114" s="12">
        <f>LN(Prices!B113)-LN(Prices!B114)</f>
        <v>-4.67892951958504E-3</v>
      </c>
      <c r="C114" s="12">
        <f>LN(Prices!C113)-LN(Prices!C114)</f>
        <v>2.8451858556552523E-2</v>
      </c>
      <c r="D114" s="10">
        <f>LN(Prices!D113)-LN(Prices!D114)</f>
        <v>3.0206433439214919E-3</v>
      </c>
    </row>
    <row r="115" spans="1:4" x14ac:dyDescent="0.25">
      <c r="A115" s="8">
        <f>Prices!A115</f>
        <v>45937</v>
      </c>
      <c r="B115" s="9">
        <f>LN(Prices!B114)-LN(Prices!B115)</f>
        <v>1.6589918281093574E-3</v>
      </c>
      <c r="C115" s="9">
        <f>LN(Prices!C114)-LN(Prices!C115)</f>
        <v>1.532663932851186E-2</v>
      </c>
      <c r="D115" s="10">
        <f>LN(Prices!D114)-LN(Prices!D115)</f>
        <v>3.3619095962977852E-4</v>
      </c>
    </row>
    <row r="116" spans="1:4" x14ac:dyDescent="0.25">
      <c r="A116" s="11">
        <f>Prices!A116</f>
        <v>45936</v>
      </c>
      <c r="B116" s="9">
        <f>LN(Prices!B115)-LN(Prices!B116)</f>
        <v>-8.7217312169505234E-3</v>
      </c>
      <c r="C116" s="9">
        <f>LN(Prices!C115)-LN(Prices!C116)</f>
        <v>-2.5529754280881889E-2</v>
      </c>
      <c r="D116" s="13">
        <f>LN(Prices!D115)-LN(Prices!D116)</f>
        <v>-1.2032230722820891E-2</v>
      </c>
    </row>
    <row r="117" spans="1:4" x14ac:dyDescent="0.25">
      <c r="A117" s="8">
        <f>Prices!A117</f>
        <v>45933</v>
      </c>
      <c r="B117" s="9">
        <f>LN(Prices!B116)-LN(Prices!B117)</f>
        <v>2.1455618819687494E-2</v>
      </c>
      <c r="C117" s="9">
        <f>LN(Prices!C116)-LN(Prices!C117)</f>
        <v>1.8867504455465145E-2</v>
      </c>
      <c r="D117" s="10">
        <f>LN(Prices!D116)-LN(Prices!D117)</f>
        <v>3.8609604237314077E-2</v>
      </c>
    </row>
    <row r="118" spans="1:4" x14ac:dyDescent="0.25">
      <c r="A118" s="11">
        <f>Prices!A118</f>
        <v>45932</v>
      </c>
      <c r="B118" s="9">
        <f>LN(Prices!B117)-LN(Prices!B118)</f>
        <v>3.1168655265449985E-3</v>
      </c>
      <c r="C118" s="9">
        <f>LN(Prices!C117)-LN(Prices!C118)</f>
        <v>-9.1839510048847828E-3</v>
      </c>
      <c r="D118" s="10">
        <f>LN(Prices!D117)-LN(Prices!D118)</f>
        <v>3.0857988359905608E-2</v>
      </c>
    </row>
    <row r="119" spans="1:4" x14ac:dyDescent="0.25">
      <c r="A119" s="8">
        <f>Prices!A119</f>
        <v>45931</v>
      </c>
      <c r="B119" s="12">
        <f>LN(Prices!B118)-LN(Prices!B119)</f>
        <v>-7.668201175168754E-3</v>
      </c>
      <c r="C119" s="12">
        <f>LN(Prices!C118)-LN(Prices!C119)</f>
        <v>-7.9613704684522446E-4</v>
      </c>
      <c r="D119" s="10">
        <f>LN(Prices!D118)-LN(Prices!D119)</f>
        <v>-2.3232301493268714E-2</v>
      </c>
    </row>
    <row r="120" spans="1:4" x14ac:dyDescent="0.25">
      <c r="A120" s="11">
        <f>Prices!A120</f>
        <v>45930</v>
      </c>
      <c r="B120" s="9">
        <f>LN(Prices!B119)-LN(Prices!B120)</f>
        <v>3.3922511954722623E-3</v>
      </c>
      <c r="C120" s="9">
        <f>LN(Prices!C119)-LN(Prices!C120)</f>
        <v>2.7252892258957218E-2</v>
      </c>
      <c r="D120" s="13">
        <f>LN(Prices!D119)-LN(Prices!D120)</f>
        <v>-1.7382239732053328E-3</v>
      </c>
    </row>
    <row r="121" spans="1:4" x14ac:dyDescent="0.25">
      <c r="A121" s="8">
        <f>Prices!A121</f>
        <v>45929</v>
      </c>
      <c r="B121" s="9">
        <f>LN(Prices!B120)-LN(Prices!B121)</f>
        <v>6.4888126564675019E-3</v>
      </c>
      <c r="C121" s="9">
        <f>LN(Prices!C120)-LN(Prices!C121)</f>
        <v>-5.3900839717924143E-3</v>
      </c>
      <c r="D121" s="10">
        <f>LN(Prices!D120)-LN(Prices!D121)</f>
        <v>-1.0710069553362622E-2</v>
      </c>
    </row>
    <row r="122" spans="1:4" x14ac:dyDescent="0.25">
      <c r="A122" s="11">
        <f>Prices!A122</f>
        <v>45926</v>
      </c>
      <c r="B122" s="9">
        <f>LN(Prices!B121)-LN(Prices!B122)</f>
        <v>6.1205188823736378E-3</v>
      </c>
      <c r="C122" s="9">
        <f>LN(Prices!C121)-LN(Prices!C122)</f>
        <v>-2.4725384360060332E-3</v>
      </c>
      <c r="D122" s="10">
        <f>LN(Prices!D121)-LN(Prices!D122)</f>
        <v>2.0639842208516335E-3</v>
      </c>
    </row>
    <row r="123" spans="1:4" x14ac:dyDescent="0.25">
      <c r="A123" s="8">
        <f>Prices!A123</f>
        <v>45925</v>
      </c>
      <c r="B123" s="9">
        <f>LN(Prices!B122)-LN(Prices!B123)</f>
        <v>8.6992075270240221E-3</v>
      </c>
      <c r="C123" s="9">
        <f>LN(Prices!C122)-LN(Prices!C123)</f>
        <v>-2.7385625535612412E-2</v>
      </c>
      <c r="D123" s="10">
        <f>LN(Prices!D122)-LN(Prices!D123)</f>
        <v>-1.679030410554283E-3</v>
      </c>
    </row>
    <row r="124" spans="1:4" x14ac:dyDescent="0.25">
      <c r="A124" s="11">
        <f>Prices!A124</f>
        <v>45924</v>
      </c>
      <c r="B124" s="12">
        <f>LN(Prices!B123)-LN(Prices!B124)</f>
        <v>-6.1346266830675233E-3</v>
      </c>
      <c r="C124" s="12">
        <f>LN(Prices!C123)-LN(Prices!C124)</f>
        <v>-5.7135530021096059E-2</v>
      </c>
      <c r="D124" s="13">
        <f>LN(Prices!D123)-LN(Prices!D124)</f>
        <v>1.6565456267576995E-2</v>
      </c>
    </row>
    <row r="125" spans="1:4" x14ac:dyDescent="0.25">
      <c r="A125" s="8">
        <f>Prices!A125</f>
        <v>45923</v>
      </c>
      <c r="B125" s="9">
        <f>LN(Prices!B124)-LN(Prices!B125)</f>
        <v>1.8050192269560839E-3</v>
      </c>
      <c r="C125" s="9">
        <f>LN(Prices!C124)-LN(Prices!C125)</f>
        <v>-1.7259262728311242E-2</v>
      </c>
      <c r="D125" s="10">
        <f>LN(Prices!D124)-LN(Prices!D125)</f>
        <v>-1.4214712704941679E-2</v>
      </c>
    </row>
    <row r="126" spans="1:4" x14ac:dyDescent="0.25">
      <c r="A126" s="11">
        <f>Prices!A126</f>
        <v>45922</v>
      </c>
      <c r="B126" s="9">
        <f>LN(Prices!B125)-LN(Prices!B126)</f>
        <v>-1.0198587927461311E-2</v>
      </c>
      <c r="C126" s="9">
        <f>LN(Prices!C125)-LN(Prices!C126)</f>
        <v>-4.4619382895952242E-2</v>
      </c>
      <c r="D126" s="10">
        <f>LN(Prices!D125)-LN(Prices!D126)</f>
        <v>1.0101411436465035E-3</v>
      </c>
    </row>
    <row r="127" spans="1:4" x14ac:dyDescent="0.25">
      <c r="A127" s="8">
        <f>Prices!A127</f>
        <v>45919</v>
      </c>
      <c r="B127" s="9">
        <f>LN(Prices!B126)-LN(Prices!B127)</f>
        <v>-6.7417291709537253E-3</v>
      </c>
      <c r="C127" s="9">
        <f>LN(Prices!C126)-LN(Prices!C127)</f>
        <v>6.123047344704613E-2</v>
      </c>
      <c r="D127" s="10">
        <f>LN(Prices!D126)-LN(Prices!D127)</f>
        <v>1.2523245289727925E-2</v>
      </c>
    </row>
    <row r="128" spans="1:4" x14ac:dyDescent="0.25">
      <c r="A128" s="11">
        <f>Prices!A128</f>
        <v>45918</v>
      </c>
      <c r="B128" s="9">
        <f>LN(Prices!B127)-LN(Prices!B128)</f>
        <v>1.8473215755625993E-2</v>
      </c>
      <c r="C128" s="9">
        <f>LN(Prices!C127)-LN(Prices!C128)</f>
        <v>3.9788489158868678E-2</v>
      </c>
      <c r="D128" s="13">
        <f>LN(Prices!D127)-LN(Prices!D128)</f>
        <v>-2.3896280041286744E-2</v>
      </c>
    </row>
    <row r="129" spans="1:4" x14ac:dyDescent="0.25">
      <c r="A129" s="8">
        <f>Prices!A129</f>
        <v>45917</v>
      </c>
      <c r="B129" s="12">
        <f>LN(Prices!B128)-LN(Prices!B129)</f>
        <v>-3.0830583985839155E-3</v>
      </c>
      <c r="C129" s="12">
        <f>LN(Prices!C128)-LN(Prices!C129)</f>
        <v>-1.6019605828516248E-2</v>
      </c>
      <c r="D129" s="10">
        <f>LN(Prices!D128)-LN(Prices!D129)</f>
        <v>3.0730522581865038E-2</v>
      </c>
    </row>
    <row r="130" spans="1:4" x14ac:dyDescent="0.25">
      <c r="A130" s="11">
        <f>Prices!A130</f>
        <v>45916</v>
      </c>
      <c r="B130" s="9">
        <f>LN(Prices!B129)-LN(Prices!B130)</f>
        <v>1.9233417111941264E-3</v>
      </c>
      <c r="C130" s="9">
        <f>LN(Prices!C129)-LN(Prices!C130)</f>
        <v>-1.7235567929660078E-2</v>
      </c>
      <c r="D130" s="10">
        <f>LN(Prices!D129)-LN(Prices!D130)</f>
        <v>1.1726491085719992E-2</v>
      </c>
    </row>
    <row r="131" spans="1:4" x14ac:dyDescent="0.25">
      <c r="A131" s="8">
        <f>Prices!A131</f>
        <v>45915</v>
      </c>
      <c r="B131" s="9">
        <f>LN(Prices!B130)-LN(Prices!B131)</f>
        <v>-1.2339086658352372E-2</v>
      </c>
      <c r="C131" s="9">
        <f>LN(Prices!C130)-LN(Prices!C131)</f>
        <v>1.4816545956414018E-2</v>
      </c>
      <c r="D131" s="10">
        <f>LN(Prices!D130)-LN(Prices!D131)</f>
        <v>-1.7879407354731036E-2</v>
      </c>
    </row>
    <row r="132" spans="1:4" x14ac:dyDescent="0.25">
      <c r="A132" s="11">
        <f>Prices!A132</f>
        <v>45912</v>
      </c>
      <c r="B132" s="9">
        <f>LN(Prices!B131)-LN(Prices!B132)</f>
        <v>1.065105752177864E-2</v>
      </c>
      <c r="C132" s="9">
        <f>LN(Prices!C131)-LN(Prices!C132)</f>
        <v>3.3520435411211302E-2</v>
      </c>
      <c r="D132" s="13">
        <f>LN(Prices!D131)-LN(Prices!D132)</f>
        <v>4.4382165185985478E-3</v>
      </c>
    </row>
    <row r="133" spans="1:4" x14ac:dyDescent="0.25">
      <c r="A133" s="8">
        <f>Prices!A133</f>
        <v>45911</v>
      </c>
      <c r="B133" s="9">
        <f>LN(Prices!B132)-LN(Prices!B133)</f>
        <v>1.7588567095605079E-2</v>
      </c>
      <c r="C133" s="9">
        <f>LN(Prices!C132)-LN(Prices!C133)</f>
        <v>-5.2275083477560713E-2</v>
      </c>
      <c r="D133" s="10">
        <f>LN(Prices!D132)-LN(Prices!D133)</f>
        <v>6.8482449220619301E-4</v>
      </c>
    </row>
    <row r="134" spans="1:4" x14ac:dyDescent="0.25">
      <c r="A134" s="11">
        <f>Prices!A134</f>
        <v>45910</v>
      </c>
      <c r="B134" s="12">
        <f>LN(Prices!B133)-LN(Prices!B134)</f>
        <v>1.2782362083134657E-3</v>
      </c>
      <c r="C134" s="12">
        <f>LN(Prices!C133)-LN(Prices!C134)</f>
        <v>-6.4374065986251949E-2</v>
      </c>
      <c r="D134" s="10">
        <f>LN(Prices!D133)-LN(Prices!D134)</f>
        <v>1.8673374435530299E-2</v>
      </c>
    </row>
    <row r="135" spans="1:4" x14ac:dyDescent="0.25">
      <c r="A135" s="8">
        <f>Prices!A135</f>
        <v>45909</v>
      </c>
      <c r="B135" s="9">
        <f>LN(Prices!B134)-LN(Prices!B135)</f>
        <v>3.9247932797747964E-3</v>
      </c>
      <c r="C135" s="9">
        <f>LN(Prices!C134)-LN(Prices!C135)</f>
        <v>0.30710832006533995</v>
      </c>
      <c r="D135" s="10">
        <f>LN(Prices!D134)-LN(Prices!D135)</f>
        <v>-2.0917255774919319E-3</v>
      </c>
    </row>
    <row r="136" spans="1:4" x14ac:dyDescent="0.25">
      <c r="A136" s="11">
        <f>Prices!A136</f>
        <v>45908</v>
      </c>
      <c r="B136" s="9">
        <f>LN(Prices!B135)-LN(Prices!B136)</f>
        <v>4.2142864933669699E-4</v>
      </c>
      <c r="C136" s="9">
        <f>LN(Prices!C135)-LN(Prices!C136)</f>
        <v>1.2625430733024245E-2</v>
      </c>
      <c r="D136" s="13">
        <f>LN(Prices!D135)-LN(Prices!D136)</f>
        <v>1.3939974591896664E-3</v>
      </c>
    </row>
    <row r="137" spans="1:4" x14ac:dyDescent="0.25">
      <c r="A137" s="8">
        <f>Prices!A137</f>
        <v>45905</v>
      </c>
      <c r="B137" s="9">
        <f>LN(Prices!B136)-LN(Prices!B137)</f>
        <v>6.4438402593900435E-3</v>
      </c>
      <c r="C137" s="9">
        <f>LN(Prices!C136)-LN(Prices!C137)</f>
        <v>2.4105733512532979E-2</v>
      </c>
      <c r="D137" s="10">
        <f>LN(Prices!D136)-LN(Prices!D137)</f>
        <v>3.9124286063031199E-2</v>
      </c>
    </row>
    <row r="138" spans="1:4" x14ac:dyDescent="0.25">
      <c r="A138" s="11">
        <f>Prices!A138</f>
        <v>45904</v>
      </c>
      <c r="B138" s="9">
        <f>LN(Prices!B137)-LN(Prices!B138)</f>
        <v>-2.5864628147859392E-2</v>
      </c>
      <c r="C138" s="9">
        <f>LN(Prices!C137)-LN(Prices!C138)</f>
        <v>4.3007944397164266E-2</v>
      </c>
      <c r="D138" s="10">
        <f>LN(Prices!D137)-LN(Prices!D138)</f>
        <v>-9.7459551310619119E-3</v>
      </c>
    </row>
    <row r="139" spans="1:4" x14ac:dyDescent="0.25">
      <c r="A139" s="8">
        <f>Prices!A139</f>
        <v>45903</v>
      </c>
      <c r="B139" s="12">
        <f>LN(Prices!B138)-LN(Prices!B139)</f>
        <v>5.1711321958780587E-3</v>
      </c>
      <c r="C139" s="12">
        <f>LN(Prices!C138)-LN(Prices!C139)</f>
        <v>-2.0159039193412553E-3</v>
      </c>
      <c r="D139" s="10">
        <f>LN(Prices!D138)-LN(Prices!D139)</f>
        <v>2.9527529938961461E-2</v>
      </c>
    </row>
    <row r="140" spans="1:4" x14ac:dyDescent="0.25">
      <c r="A140" s="11">
        <f>Prices!A140</f>
        <v>45902</v>
      </c>
      <c r="B140" s="9">
        <f>LN(Prices!B139)-LN(Prices!B140)</f>
        <v>4.5523371098976639E-4</v>
      </c>
      <c r="C140" s="9">
        <f>LN(Prices!C139)-LN(Prices!C140)</f>
        <v>-8.2451720587384258E-3</v>
      </c>
      <c r="D140" s="13">
        <f>LN(Prices!D139)-LN(Prices!D140)</f>
        <v>2.9636068242417934E-3</v>
      </c>
    </row>
    <row r="141" spans="1:4" x14ac:dyDescent="0.25">
      <c r="A141" s="8">
        <f>Prices!A141</f>
        <v>45898</v>
      </c>
      <c r="B141" s="9">
        <f>LN(Prices!B140)-LN(Prices!B141)</f>
        <v>-3.1033519337198001E-3</v>
      </c>
      <c r="C141" s="9">
        <f>LN(Prices!C140)-LN(Prices!C141)</f>
        <v>-3.6772076967039879E-3</v>
      </c>
      <c r="D141" s="10">
        <f>LN(Prices!D140)-LN(Prices!D141)</f>
        <v>-2.0932113272013719E-2</v>
      </c>
    </row>
    <row r="142" spans="1:4" x14ac:dyDescent="0.25">
      <c r="A142" s="11">
        <f>Prices!A142</f>
        <v>45897</v>
      </c>
      <c r="B142" s="9">
        <f>LN(Prices!B141)-LN(Prices!B142)</f>
        <v>-5.8052173697786813E-3</v>
      </c>
      <c r="C142" s="9">
        <f>LN(Prices!C141)-LN(Prices!C142)</f>
        <v>-6.0861313440867093E-2</v>
      </c>
      <c r="D142" s="10">
        <f>LN(Prices!D141)-LN(Prices!D142)</f>
        <v>-1.7288814163273436E-2</v>
      </c>
    </row>
    <row r="143" spans="1:4" x14ac:dyDescent="0.25">
      <c r="A143" s="8">
        <f>Prices!A143</f>
        <v>45896</v>
      </c>
      <c r="B143" s="9">
        <f>LN(Prices!B142)-LN(Prices!B143)</f>
        <v>5.706542572228912E-3</v>
      </c>
      <c r="C143" s="9">
        <f>LN(Prices!C142)-LN(Prices!C143)</f>
        <v>1.8944972550692718E-2</v>
      </c>
      <c r="D143" s="10">
        <f>LN(Prices!D142)-LN(Prices!D143)</f>
        <v>5.7297906720839009E-3</v>
      </c>
    </row>
    <row r="144" spans="1:4" x14ac:dyDescent="0.25">
      <c r="A144" s="11">
        <f>Prices!A144</f>
        <v>45895</v>
      </c>
      <c r="B144" s="12">
        <f>LN(Prices!B143)-LN(Prices!B144)</f>
        <v>9.3182537487059847E-3</v>
      </c>
      <c r="C144" s="12">
        <f>LN(Prices!C143)-LN(Prices!C144)</f>
        <v>6.8082472247672499E-3</v>
      </c>
      <c r="D144" s="13">
        <f>LN(Prices!D143)-LN(Prices!D144)</f>
        <v>-1.435528465693281E-3</v>
      </c>
    </row>
    <row r="145" spans="1:4" x14ac:dyDescent="0.25">
      <c r="A145" s="8">
        <f>Prices!A145</f>
        <v>45894</v>
      </c>
      <c r="B145" s="9">
        <f>LN(Prices!B144)-LN(Prices!B145)</f>
        <v>-4.4122102782564454E-3</v>
      </c>
      <c r="C145" s="9">
        <f>LN(Prices!C144)-LN(Prices!C145)</f>
        <v>-5.1105260071819814E-3</v>
      </c>
      <c r="D145" s="10">
        <f>LN(Prices!D144)-LN(Prices!D145)</f>
        <v>-8.5701625474516874E-3</v>
      </c>
    </row>
    <row r="146" spans="1:4" x14ac:dyDescent="0.25">
      <c r="A146" s="11">
        <f>Prices!A146</f>
        <v>45891</v>
      </c>
      <c r="B146" s="9">
        <f>LN(Prices!B145)-LN(Prices!B146)</f>
        <v>-5.8725415683085203E-3</v>
      </c>
      <c r="C146" s="9">
        <f>LN(Prices!C145)-LN(Prices!C146)</f>
        <v>-4.0696991182151976E-3</v>
      </c>
      <c r="D146" s="10">
        <f>LN(Prices!D145)-LN(Prices!D146)</f>
        <v>-1.7277993389785973E-2</v>
      </c>
    </row>
    <row r="147" spans="1:4" x14ac:dyDescent="0.25">
      <c r="A147" s="8">
        <f>Prices!A147</f>
        <v>45890</v>
      </c>
      <c r="B147" s="9">
        <f>LN(Prices!B146)-LN(Prices!B147)</f>
        <v>5.9122044339554591E-3</v>
      </c>
      <c r="C147" s="9">
        <f>LN(Prices!C146)-LN(Prices!C147)</f>
        <v>1.3673460748357513E-2</v>
      </c>
      <c r="D147" s="10">
        <f>LN(Prices!D146)-LN(Prices!D147)</f>
        <v>3.4856060839080882E-2</v>
      </c>
    </row>
    <row r="148" spans="1:4" x14ac:dyDescent="0.25">
      <c r="A148" s="11">
        <f>Prices!A148</f>
        <v>45889</v>
      </c>
      <c r="B148" s="9">
        <f>LN(Prices!B147)-LN(Prices!B148)</f>
        <v>-2.9308112388424234E-3</v>
      </c>
      <c r="C148" s="9">
        <f>LN(Prices!C147)-LN(Prices!C148)</f>
        <v>-8.1158875273583675E-3</v>
      </c>
      <c r="D148" s="13">
        <f>LN(Prices!D147)-LN(Prices!D148)</f>
        <v>-1.757806744929491E-2</v>
      </c>
    </row>
    <row r="149" spans="1:4" x14ac:dyDescent="0.25">
      <c r="A149" s="8">
        <f>Prices!A149</f>
        <v>45888</v>
      </c>
      <c r="B149" s="12">
        <f>LN(Prices!B148)-LN(Prices!B149)</f>
        <v>-7.9764871602758802E-3</v>
      </c>
      <c r="C149" s="12">
        <f>LN(Prices!C148)-LN(Prices!C149)</f>
        <v>1.8736166271331456E-3</v>
      </c>
      <c r="D149" s="10">
        <f>LN(Prices!D148)-LN(Prices!D149)</f>
        <v>-4.2613261474557795E-3</v>
      </c>
    </row>
    <row r="150" spans="1:4" x14ac:dyDescent="0.25">
      <c r="A150" s="11">
        <f>Prices!A150</f>
        <v>45887</v>
      </c>
      <c r="B150" s="9">
        <f>LN(Prices!B149)-LN(Prices!B150)</f>
        <v>-1.4276635798202264E-2</v>
      </c>
      <c r="C150" s="9">
        <f>LN(Prices!C149)-LN(Prices!C150)</f>
        <v>-5.9766797377037939E-2</v>
      </c>
      <c r="D150" s="10">
        <f>LN(Prices!D149)-LN(Prices!D150)</f>
        <v>-3.8852030794136461E-3</v>
      </c>
    </row>
    <row r="151" spans="1:4" x14ac:dyDescent="0.25">
      <c r="A151" s="8">
        <f>Prices!A151</f>
        <v>45884</v>
      </c>
      <c r="B151" s="9">
        <f>LN(Prices!B150)-LN(Prices!B151)</f>
        <v>-5.9194018225152689E-3</v>
      </c>
      <c r="C151" s="9">
        <f>LN(Prices!C150)-LN(Prices!C151)</f>
        <v>3.1768399091607336E-3</v>
      </c>
      <c r="D151" s="10">
        <f>LN(Prices!D150)-LN(Prices!D151)</f>
        <v>-1.3662548412335163E-2</v>
      </c>
    </row>
    <row r="152" spans="1:4" x14ac:dyDescent="0.25">
      <c r="A152" s="11">
        <f>Prices!A152</f>
        <v>45883</v>
      </c>
      <c r="B152" s="9">
        <f>LN(Prices!B151)-LN(Prices!B152)</f>
        <v>-4.4310243697109897E-3</v>
      </c>
      <c r="C152" s="9">
        <f>LN(Prices!C151)-LN(Prices!C152)</f>
        <v>1.3462209636077915E-2</v>
      </c>
      <c r="D152" s="13">
        <f>LN(Prices!D151)-LN(Prices!D152)</f>
        <v>3.5412631530562511E-2</v>
      </c>
    </row>
    <row r="153" spans="1:4" x14ac:dyDescent="0.25">
      <c r="A153" s="8">
        <f>Prices!A153</f>
        <v>45882</v>
      </c>
      <c r="B153" s="9">
        <f>LN(Prices!B152)-LN(Prices!B153)</f>
        <v>3.6431309828071079E-3</v>
      </c>
      <c r="C153" s="9">
        <f>LN(Prices!C152)-LN(Prices!C153)</f>
        <v>3.1892736686645051E-3</v>
      </c>
      <c r="D153" s="10">
        <f>LN(Prices!D152)-LN(Prices!D153)</f>
        <v>-8.6132225641653015E-3</v>
      </c>
    </row>
    <row r="154" spans="1:4" x14ac:dyDescent="0.25">
      <c r="A154" s="11">
        <f>Prices!A154</f>
        <v>45881</v>
      </c>
      <c r="B154" s="12">
        <f>LN(Prices!B153)-LN(Prices!B154)</f>
        <v>-1.649844056261518E-2</v>
      </c>
      <c r="C154" s="12">
        <f>LN(Prices!C153)-LN(Prices!C154)</f>
        <v>-3.8877275719321425E-2</v>
      </c>
      <c r="D154" s="10">
        <f>LN(Prices!D153)-LN(Prices!D154)</f>
        <v>2.8638123893197864E-2</v>
      </c>
    </row>
    <row r="155" spans="1:4" x14ac:dyDescent="0.25">
      <c r="A155" s="8">
        <f>Prices!A155</f>
        <v>45880</v>
      </c>
      <c r="B155" s="9">
        <f>LN(Prices!B154)-LN(Prices!B155)</f>
        <v>1.4215137416833556E-2</v>
      </c>
      <c r="C155" s="9">
        <f>LN(Prices!C154)-LN(Prices!C155)</f>
        <v>4.6590679295306359E-3</v>
      </c>
      <c r="D155" s="10">
        <f>LN(Prices!D154)-LN(Prices!D155)</f>
        <v>-3.3021784075697447E-3</v>
      </c>
    </row>
    <row r="156" spans="1:4" x14ac:dyDescent="0.25">
      <c r="A156" s="11">
        <f>Prices!A156</f>
        <v>45877</v>
      </c>
      <c r="B156" s="9">
        <f>LN(Prices!B155)-LN(Prices!B156)</f>
        <v>-5.1733554195099174E-4</v>
      </c>
      <c r="C156" s="9">
        <f>LN(Prices!C155)-LN(Prices!C156)</f>
        <v>1.0462968165587228E-2</v>
      </c>
      <c r="D156" s="13">
        <f>LN(Prices!D155)-LN(Prices!D156)</f>
        <v>4.7741600735458078E-3</v>
      </c>
    </row>
    <row r="157" spans="1:4" x14ac:dyDescent="0.25">
      <c r="A157" s="8">
        <f>Prices!A157</f>
        <v>45876</v>
      </c>
      <c r="B157" s="9">
        <f>LN(Prices!B156)-LN(Prices!B157)</f>
        <v>2.3013204388000474E-3</v>
      </c>
      <c r="C157" s="9">
        <f>LN(Prices!C156)-LN(Prices!C157)</f>
        <v>2.6429616538061751E-3</v>
      </c>
      <c r="D157" s="10">
        <f>LN(Prices!D156)-LN(Prices!D157)</f>
        <v>4.2128462097628994E-2</v>
      </c>
    </row>
    <row r="158" spans="1:4" x14ac:dyDescent="0.25">
      <c r="A158" s="11">
        <f>Prices!A158</f>
        <v>45875</v>
      </c>
      <c r="B158" s="9">
        <f>LN(Prices!B157)-LN(Prices!B158)</f>
        <v>-7.8410774857013976E-3</v>
      </c>
      <c r="C158" s="9">
        <f>LN(Prices!C157)-LN(Prices!C158)</f>
        <v>-2.7837786671081943E-2</v>
      </c>
      <c r="D158" s="10">
        <f>LN(Prices!D157)-LN(Prices!D158)</f>
        <v>4.3578266253428755E-2</v>
      </c>
    </row>
    <row r="159" spans="1:4" x14ac:dyDescent="0.25">
      <c r="A159" s="8">
        <f>Prices!A159</f>
        <v>45874</v>
      </c>
      <c r="B159" s="12">
        <f>LN(Prices!B158)-LN(Prices!B159)</f>
        <v>-5.3387163822016248E-3</v>
      </c>
      <c r="C159" s="12">
        <f>LN(Prices!C158)-LN(Prices!C159)</f>
        <v>2.9681724583854319E-3</v>
      </c>
      <c r="D159" s="10">
        <f>LN(Prices!D158)-LN(Prices!D159)</f>
        <v>1.5773439741291639E-2</v>
      </c>
    </row>
    <row r="160" spans="1:4" x14ac:dyDescent="0.25">
      <c r="A160" s="11">
        <f>Prices!A160</f>
        <v>45873</v>
      </c>
      <c r="B160" s="9">
        <f>LN(Prices!B159)-LN(Prices!B160)</f>
        <v>-1.4839606898934932E-2</v>
      </c>
      <c r="C160" s="9">
        <f>LN(Prices!C159)-LN(Prices!C160)</f>
        <v>1.2357496884773056E-2</v>
      </c>
      <c r="D160" s="13">
        <f>LN(Prices!D159)-LN(Prices!D160)</f>
        <v>-9.3290624416173529E-3</v>
      </c>
    </row>
    <row r="161" spans="1:4" x14ac:dyDescent="0.25">
      <c r="A161" s="8">
        <f>Prices!A161</f>
        <v>45870</v>
      </c>
      <c r="B161" s="9">
        <f>LN(Prices!B160)-LN(Prices!B161)</f>
        <v>2.1760707673090351E-2</v>
      </c>
      <c r="C161" s="9">
        <f>LN(Prices!C160)-LN(Prices!C161)</f>
        <v>3.2641996529175543E-2</v>
      </c>
      <c r="D161" s="10">
        <f>LN(Prices!D160)-LN(Prices!D161)</f>
        <v>1.5876231780647565E-2</v>
      </c>
    </row>
    <row r="162" spans="1:4" x14ac:dyDescent="0.25">
      <c r="A162" s="11">
        <f>Prices!A162</f>
        <v>45869</v>
      </c>
      <c r="B162" s="9">
        <f>LN(Prices!B161)-LN(Prices!B162)</f>
        <v>-1.7757484787533251E-2</v>
      </c>
      <c r="C162" s="9">
        <f>LN(Prices!C161)-LN(Prices!C162)</f>
        <v>-3.7540287974178632E-2</v>
      </c>
      <c r="D162" s="10">
        <f>LN(Prices!D161)-LN(Prices!D162)</f>
        <v>2.0513864578304286E-3</v>
      </c>
    </row>
    <row r="163" spans="1:4" x14ac:dyDescent="0.25">
      <c r="A163" s="8">
        <f>Prices!A163</f>
        <v>45868</v>
      </c>
      <c r="B163" s="9">
        <f>LN(Prices!B162)-LN(Prices!B163)</f>
        <v>3.8715498714990915E-2</v>
      </c>
      <c r="C163" s="9">
        <f>LN(Prices!C162)-LN(Prices!C163)</f>
        <v>1.2570302522065369E-2</v>
      </c>
      <c r="D163" s="10">
        <f>LN(Prices!D162)-LN(Prices!D163)</f>
        <v>4.9456503085574255E-3</v>
      </c>
    </row>
    <row r="164" spans="1:4" x14ac:dyDescent="0.25">
      <c r="A164" s="11">
        <f>Prices!A164</f>
        <v>45867</v>
      </c>
      <c r="B164" s="12">
        <f>LN(Prices!B163)-LN(Prices!B164)</f>
        <v>1.3062849753318062E-3</v>
      </c>
      <c r="C164" s="12">
        <f>LN(Prices!C163)-LN(Prices!C164)</f>
        <v>2.4771277998922869E-3</v>
      </c>
      <c r="D164" s="13">
        <f>LN(Prices!D163)-LN(Prices!D164)</f>
        <v>2.0700515996714408E-3</v>
      </c>
    </row>
    <row r="165" spans="1:4" x14ac:dyDescent="0.25">
      <c r="A165" s="8">
        <f>Prices!A165</f>
        <v>45866</v>
      </c>
      <c r="B165" s="9">
        <f>LN(Prices!B164)-LN(Prices!B165)</f>
        <v>1.3657603892180958E-4</v>
      </c>
      <c r="C165" s="9">
        <f>LN(Prices!C164)-LN(Prices!C165)</f>
        <v>9.1222075646291145E-3</v>
      </c>
      <c r="D165" s="10">
        <f>LN(Prices!D164)-LN(Prices!D165)</f>
        <v>-8.6588314700017932E-3</v>
      </c>
    </row>
    <row r="166" spans="1:4" x14ac:dyDescent="0.25">
      <c r="A166" s="11">
        <f>Prices!A166</f>
        <v>45863</v>
      </c>
      <c r="B166" s="9">
        <f>LN(Prices!B165)-LN(Prices!B166)</f>
        <v>-2.3581928859419676E-3</v>
      </c>
      <c r="C166" s="9">
        <f>LN(Prices!C165)-LN(Prices!C166)</f>
        <v>1.0510820545220234E-2</v>
      </c>
      <c r="D166" s="10">
        <f>LN(Prices!D165)-LN(Prices!D166)</f>
        <v>-2.1122691332339016E-2</v>
      </c>
    </row>
    <row r="167" spans="1:4" x14ac:dyDescent="0.25">
      <c r="A167" s="8">
        <f>Prices!A167</f>
        <v>45862</v>
      </c>
      <c r="B167" s="9">
        <f>LN(Prices!B166)-LN(Prices!B167)</f>
        <v>5.5241749320336098E-3</v>
      </c>
      <c r="C167" s="9">
        <f>LN(Prices!C166)-LN(Prices!C167)</f>
        <v>9.3862765152543659E-3</v>
      </c>
      <c r="D167" s="10">
        <f>LN(Prices!D166)-LN(Prices!D167)</f>
        <v>-1.989410881519893E-2</v>
      </c>
    </row>
    <row r="168" spans="1:4" x14ac:dyDescent="0.25">
      <c r="A168" s="11">
        <f>Prices!A168</f>
        <v>45861</v>
      </c>
      <c r="B168" s="9">
        <f>LN(Prices!B167)-LN(Prices!B168)</f>
        <v>9.8550096838794232E-3</v>
      </c>
      <c r="C168" s="9">
        <f>LN(Prices!C167)-LN(Prices!C168)</f>
        <v>3.8371924209901209E-3</v>
      </c>
      <c r="D168" s="13">
        <f>LN(Prices!D167)-LN(Prices!D168)</f>
        <v>4.7386159594307031E-3</v>
      </c>
    </row>
    <row r="169" spans="1:4" x14ac:dyDescent="0.25">
      <c r="A169" s="8">
        <f>Prices!A169</f>
        <v>45860</v>
      </c>
      <c r="B169" s="12">
        <f>LN(Prices!B168)-LN(Prices!B169)</f>
        <v>1.1867794181261715E-3</v>
      </c>
      <c r="C169" s="12">
        <f>LN(Prices!C168)-LN(Prices!C169)</f>
        <v>1.5791665845087621E-2</v>
      </c>
      <c r="D169" s="10">
        <f>LN(Prices!D168)-LN(Prices!D169)</f>
        <v>4.7424193102482359E-2</v>
      </c>
    </row>
    <row r="170" spans="1:4" x14ac:dyDescent="0.25">
      <c r="A170" s="11">
        <f>Prices!A170</f>
        <v>45859</v>
      </c>
      <c r="B170" s="9">
        <f>LN(Prices!B169)-LN(Prices!B170)</f>
        <v>-9.4354259928559614E-3</v>
      </c>
      <c r="C170" s="9">
        <f>LN(Prices!C169)-LN(Prices!C170)</f>
        <v>-2.2548448307967206E-2</v>
      </c>
      <c r="D170" s="10">
        <f>LN(Prices!D169)-LN(Prices!D170)</f>
        <v>8.3043572835084234E-4</v>
      </c>
    </row>
    <row r="171" spans="1:4" x14ac:dyDescent="0.25">
      <c r="A171" s="8">
        <f>Prices!A171</f>
        <v>45856</v>
      </c>
      <c r="B171" s="9">
        <f>LN(Prices!B170)-LN(Prices!B171)</f>
        <v>1.9605728794225286E-5</v>
      </c>
      <c r="C171" s="9">
        <f>LN(Prices!C170)-LN(Prices!C171)</f>
        <v>-7.812060425200329E-3</v>
      </c>
      <c r="D171" s="10">
        <f>LN(Prices!D170)-LN(Prices!D171)</f>
        <v>6.2524911209522749E-3</v>
      </c>
    </row>
    <row r="172" spans="1:4" x14ac:dyDescent="0.25">
      <c r="A172" s="11">
        <f>Prices!A172</f>
        <v>45855</v>
      </c>
      <c r="B172" s="9">
        <f>LN(Prices!B171)-LN(Prices!B172)</f>
        <v>-3.2297556825175988E-3</v>
      </c>
      <c r="C172" s="9">
        <f>LN(Prices!C171)-LN(Prices!C172)</f>
        <v>-1.3355115534640305E-2</v>
      </c>
      <c r="D172" s="13">
        <f>LN(Prices!D171)-LN(Prices!D172)</f>
        <v>-2.0276957741942603E-2</v>
      </c>
    </row>
    <row r="173" spans="1:4" x14ac:dyDescent="0.25">
      <c r="A173" s="8">
        <f>Prices!A173</f>
        <v>45854</v>
      </c>
      <c r="B173" s="9">
        <f>LN(Prices!B172)-LN(Prices!B173)</f>
        <v>1.1953116798729013E-2</v>
      </c>
      <c r="C173" s="9">
        <f>LN(Prices!C172)-LN(Prices!C173)</f>
        <v>3.0407403407715528E-2</v>
      </c>
      <c r="D173" s="10">
        <f>LN(Prices!D172)-LN(Prices!D173)</f>
        <v>1.7772123389048211E-2</v>
      </c>
    </row>
    <row r="174" spans="1:4" x14ac:dyDescent="0.25">
      <c r="A174" s="11">
        <f>Prices!A174</f>
        <v>45853</v>
      </c>
      <c r="B174" s="12">
        <f>LN(Prices!B173)-LN(Prices!B174)</f>
        <v>-3.9547576249088223E-4</v>
      </c>
      <c r="C174" s="12">
        <f>LN(Prices!C173)-LN(Prices!C174)</f>
        <v>2.6625685740621741E-2</v>
      </c>
      <c r="D174" s="10">
        <f>LN(Prices!D173)-LN(Prices!D174)</f>
        <v>-4.1608315106431704E-3</v>
      </c>
    </row>
    <row r="175" spans="1:4" x14ac:dyDescent="0.25">
      <c r="A175" s="8">
        <f>Prices!A175</f>
        <v>45852</v>
      </c>
      <c r="B175" s="9">
        <f>LN(Prices!B174)-LN(Prices!B175)</f>
        <v>5.5509440341214855E-3</v>
      </c>
      <c r="C175" s="9">
        <f>LN(Prices!C174)-LN(Prices!C175)</f>
        <v>2.4471322810502905E-2</v>
      </c>
      <c r="D175" s="10">
        <f>LN(Prices!D174)-LN(Prices!D175)</f>
        <v>-1.3203704015519069E-2</v>
      </c>
    </row>
    <row r="176" spans="1:4" x14ac:dyDescent="0.25">
      <c r="A176" s="11">
        <f>Prices!A176</f>
        <v>45849</v>
      </c>
      <c r="B176" s="9">
        <f>LN(Prices!B175)-LN(Prices!B176)</f>
        <v>-5.9621998308134749E-4</v>
      </c>
      <c r="C176" s="9">
        <f>LN(Prices!C175)-LN(Prices!C176)</f>
        <v>-5.5671681713498344E-3</v>
      </c>
      <c r="D176" s="13">
        <f>LN(Prices!D175)-LN(Prices!D176)</f>
        <v>-1.2264631939387094E-3</v>
      </c>
    </row>
    <row r="177" spans="1:4" x14ac:dyDescent="0.25">
      <c r="A177" s="8">
        <f>Prices!A177</f>
        <v>45848</v>
      </c>
      <c r="B177" s="9">
        <f>LN(Prices!B176)-LN(Prices!B177)</f>
        <v>3.6624244759426716E-3</v>
      </c>
      <c r="C177" s="9">
        <f>LN(Prices!C176)-LN(Prices!C177)</f>
        <v>-1.9074381892947301E-2</v>
      </c>
      <c r="D177" s="10">
        <f>LN(Prices!D176)-LN(Prices!D177)</f>
        <v>-8.9678079666692945E-3</v>
      </c>
    </row>
    <row r="178" spans="1:4" x14ac:dyDescent="0.25">
      <c r="A178" s="11">
        <f>Prices!A178</f>
        <v>45847</v>
      </c>
      <c r="B178" s="9">
        <f>LN(Prices!B177)-LN(Prices!B178)</f>
        <v>-4.039846686753279E-3</v>
      </c>
      <c r="C178" s="9">
        <f>LN(Prices!C177)-LN(Prices!C178)</f>
        <v>-3.4408818809179564E-3</v>
      </c>
      <c r="D178" s="10">
        <f>LN(Prices!D177)-LN(Prices!D178)</f>
        <v>-2.0876759864241201E-2</v>
      </c>
    </row>
    <row r="179" spans="1:4" x14ac:dyDescent="0.25">
      <c r="A179" s="8">
        <f>Prices!A179</f>
        <v>45846</v>
      </c>
      <c r="B179" s="12">
        <f>LN(Prices!B178)-LN(Prices!B179)</f>
        <v>1.377842680921848E-2</v>
      </c>
      <c r="C179" s="12">
        <f>LN(Prices!C178)-LN(Prices!C179)</f>
        <v>5.5708081387431108E-3</v>
      </c>
      <c r="D179" s="10">
        <f>LN(Prices!D178)-LN(Prices!D179)</f>
        <v>-3.1728496003564644E-3</v>
      </c>
    </row>
    <row r="180" spans="1:4" x14ac:dyDescent="0.25">
      <c r="A180" s="11">
        <f>Prices!A180</f>
        <v>45845</v>
      </c>
      <c r="B180" s="9">
        <f>LN(Prices!B179)-LN(Prices!B180)</f>
        <v>-2.2125237820711519E-3</v>
      </c>
      <c r="C180" s="9">
        <f>LN(Prices!C179)-LN(Prices!C180)</f>
        <v>9.5981540687217759E-3</v>
      </c>
      <c r="D180" s="13">
        <f>LN(Prices!D179)-LN(Prices!D180)</f>
        <v>-1.9759043550839905E-3</v>
      </c>
    </row>
    <row r="181" spans="1:4" x14ac:dyDescent="0.25">
      <c r="A181" s="8">
        <f>Prices!A181</f>
        <v>45841</v>
      </c>
      <c r="B181" s="9">
        <f>LN(Prices!B180)-LN(Prices!B181)</f>
        <v>-2.2477331451158378E-3</v>
      </c>
      <c r="C181" s="9">
        <f>LN(Prices!C180)-LN(Prices!C181)</f>
        <v>-2.1552007572830156E-2</v>
      </c>
      <c r="D181" s="10">
        <f>LN(Prices!D180)-LN(Prices!D181)</f>
        <v>-1.1008723372728735E-2</v>
      </c>
    </row>
    <row r="182" spans="1:4" x14ac:dyDescent="0.25">
      <c r="A182" s="11">
        <f>Prices!A182</f>
        <v>45840</v>
      </c>
      <c r="B182" s="9">
        <f>LN(Prices!B181)-LN(Prices!B182)</f>
        <v>1.5657992666304743E-2</v>
      </c>
      <c r="C182" s="9">
        <f>LN(Prices!C181)-LN(Prices!C182)</f>
        <v>3.1417092769923549E-2</v>
      </c>
      <c r="D182" s="10">
        <f>LN(Prices!D181)-LN(Prices!D182)</f>
        <v>-5.0664402443163503E-3</v>
      </c>
    </row>
    <row r="183" spans="1:4" x14ac:dyDescent="0.25">
      <c r="A183" s="8">
        <f>Prices!A183</f>
        <v>45839</v>
      </c>
      <c r="B183" s="9">
        <f>LN(Prices!B182)-LN(Prices!B183)</f>
        <v>-1.9529269587525988E-3</v>
      </c>
      <c r="C183" s="9">
        <f>LN(Prices!C182)-LN(Prices!C183)</f>
        <v>4.9103283888094928E-2</v>
      </c>
      <c r="D183" s="10">
        <f>LN(Prices!D182)-LN(Prices!D183)</f>
        <v>9.3772852837941123E-3</v>
      </c>
    </row>
    <row r="184" spans="1:4" x14ac:dyDescent="0.25">
      <c r="A184" s="11">
        <f>Prices!A184</f>
        <v>45838</v>
      </c>
      <c r="B184" s="12">
        <f>LN(Prices!B183)-LN(Prices!B184)</f>
        <v>-1.0834298365843154E-2</v>
      </c>
      <c r="C184" s="12">
        <f>LN(Prices!C183)-LN(Prices!C184)</f>
        <v>1.5082614436270347E-3</v>
      </c>
      <c r="D184" s="13">
        <f>LN(Prices!D183)-LN(Prices!D184)</f>
        <v>-2.1749034800889078E-2</v>
      </c>
    </row>
    <row r="185" spans="1:4" x14ac:dyDescent="0.25">
      <c r="A185" s="8">
        <f>Prices!A185</f>
        <v>45835</v>
      </c>
      <c r="B185" s="9">
        <f>LN(Prices!B184)-LN(Prices!B185)</f>
        <v>2.9596840450327733E-3</v>
      </c>
      <c r="C185" s="9">
        <f>LN(Prices!C184)-LN(Prices!C185)</f>
        <v>3.9131067992550506E-2</v>
      </c>
      <c r="D185" s="10">
        <f>LN(Prices!D184)-LN(Prices!D185)</f>
        <v>-1.0319572195889304E-2</v>
      </c>
    </row>
    <row r="186" spans="1:4" x14ac:dyDescent="0.25">
      <c r="A186" s="11">
        <f>Prices!A186</f>
        <v>45834</v>
      </c>
      <c r="B186" s="9">
        <f>LN(Prices!B185)-LN(Prices!B186)</f>
        <v>-3.040097369564343E-3</v>
      </c>
      <c r="C186" s="9">
        <f>LN(Prices!C185)-LN(Prices!C186)</f>
        <v>-1.21970027173397E-2</v>
      </c>
      <c r="D186" s="10">
        <f>LN(Prices!D185)-LN(Prices!D186)</f>
        <v>2.9322462636418134E-2</v>
      </c>
    </row>
    <row r="187" spans="1:4" x14ac:dyDescent="0.25">
      <c r="A187" s="8">
        <f>Prices!A187</f>
        <v>45833</v>
      </c>
      <c r="B187" s="9">
        <f>LN(Prices!B186)-LN(Prices!B187)</f>
        <v>1.0467702580200466E-2</v>
      </c>
      <c r="C187" s="9">
        <f>LN(Prices!C186)-LN(Prices!C187)</f>
        <v>9.9165000186145491E-3</v>
      </c>
      <c r="D187" s="10">
        <f>LN(Prices!D186)-LN(Prices!D187)</f>
        <v>2.4575375812899924E-2</v>
      </c>
    </row>
    <row r="188" spans="1:4" x14ac:dyDescent="0.25">
      <c r="A188" s="11">
        <f>Prices!A188</f>
        <v>45832</v>
      </c>
      <c r="B188" s="9">
        <f>LN(Prices!B187)-LN(Prices!B188)</f>
        <v>4.3974907486417081E-3</v>
      </c>
      <c r="C188" s="9">
        <f>LN(Prices!C187)-LN(Prices!C188)</f>
        <v>-2.1362816211384583E-2</v>
      </c>
      <c r="D188" s="13">
        <f>LN(Prices!D187)-LN(Prices!D188)</f>
        <v>-2.8025611216353497E-3</v>
      </c>
    </row>
    <row r="189" spans="1:4" x14ac:dyDescent="0.25">
      <c r="A189" s="8">
        <f>Prices!A189</f>
        <v>45831</v>
      </c>
      <c r="B189" s="12">
        <f>LN(Prices!B188)-LN(Prices!B189)</f>
        <v>8.4212318060332692E-3</v>
      </c>
      <c r="C189" s="12">
        <f>LN(Prices!C188)-LN(Prices!C189)</f>
        <v>3.8981042893819762E-2</v>
      </c>
      <c r="D189" s="10">
        <f>LN(Prices!D188)-LN(Prices!D189)</f>
        <v>2.3071783956611025E-2</v>
      </c>
    </row>
    <row r="190" spans="1:4" x14ac:dyDescent="0.25">
      <c r="A190" s="11">
        <f>Prices!A190</f>
        <v>45828</v>
      </c>
      <c r="B190" s="9">
        <f>LN(Prices!B189)-LN(Prices!B190)</f>
        <v>1.785390999576375E-2</v>
      </c>
      <c r="C190" s="9">
        <f>LN(Prices!C189)-LN(Prices!C190)</f>
        <v>9.0731075344221424E-3</v>
      </c>
      <c r="D190" s="10">
        <f>LN(Prices!D189)-LN(Prices!D190)</f>
        <v>-1.3423020332140823E-2</v>
      </c>
    </row>
    <row r="191" spans="1:4" x14ac:dyDescent="0.25">
      <c r="A191" s="8">
        <f>Prices!A191</f>
        <v>45826</v>
      </c>
      <c r="B191" s="9">
        <f>LN(Prices!B190)-LN(Prices!B191)</f>
        <v>-5.9312650388578803E-3</v>
      </c>
      <c r="C191" s="9">
        <f>LN(Prices!C190)-LN(Prices!C191)</f>
        <v>-2.7402926077809475E-2</v>
      </c>
      <c r="D191" s="10">
        <f>LN(Prices!D190)-LN(Prices!D191)</f>
        <v>-4.4644140098273333E-2</v>
      </c>
    </row>
    <row r="192" spans="1:4" x14ac:dyDescent="0.25">
      <c r="A192" s="11">
        <f>Prices!A192</f>
        <v>45825</v>
      </c>
      <c r="B192" s="9">
        <f>LN(Prices!B191)-LN(Prices!B192)</f>
        <v>4.5915679449075597E-3</v>
      </c>
      <c r="C192" s="9">
        <f>LN(Prices!C191)-LN(Prices!C192)</f>
        <v>1.2838739768601393E-2</v>
      </c>
      <c r="D192" s="13">
        <f>LN(Prices!D191)-LN(Prices!D192)</f>
        <v>8.5357855109156056E-3</v>
      </c>
    </row>
    <row r="193" spans="1:4" x14ac:dyDescent="0.25">
      <c r="A193" s="8">
        <f>Prices!A193</f>
        <v>45824</v>
      </c>
      <c r="B193" s="9">
        <f>LN(Prices!B192)-LN(Prices!B193)</f>
        <v>-2.2984192821624561E-3</v>
      </c>
      <c r="C193" s="9">
        <f>LN(Prices!C192)-LN(Prices!C193)</f>
        <v>-1.3928864766953097E-2</v>
      </c>
      <c r="D193" s="10">
        <f>LN(Prices!D192)-LN(Prices!D193)</f>
        <v>-1.6618136438861342E-2</v>
      </c>
    </row>
    <row r="194" spans="1:4" x14ac:dyDescent="0.25">
      <c r="A194" s="11">
        <f>Prices!A194</f>
        <v>45821</v>
      </c>
      <c r="B194" s="12">
        <f>LN(Prices!B193)-LN(Prices!B194)</f>
        <v>8.7622403184228759E-3</v>
      </c>
      <c r="C194" s="12">
        <f>LN(Prices!C193)-LN(Prices!C194)</f>
        <v>-1.9328805917971259E-2</v>
      </c>
      <c r="D194" s="10">
        <f>LN(Prices!D193)-LN(Prices!D194)</f>
        <v>6.1505415920706241E-3</v>
      </c>
    </row>
    <row r="195" spans="1:4" x14ac:dyDescent="0.25">
      <c r="A195" s="8">
        <f>Prices!A195</f>
        <v>45820</v>
      </c>
      <c r="B195" s="9">
        <f>LN(Prices!B194)-LN(Prices!B195)</f>
        <v>-8.1985718658001971E-3</v>
      </c>
      <c r="C195" s="9">
        <f>LN(Prices!C194)-LN(Prices!C195)</f>
        <v>7.4043639338603029E-2</v>
      </c>
      <c r="D195" s="10">
        <f>LN(Prices!D194)-LN(Prices!D195)</f>
        <v>-1.7962571703422636E-2</v>
      </c>
    </row>
    <row r="196" spans="1:4" x14ac:dyDescent="0.25">
      <c r="A196" s="11">
        <f>Prices!A196</f>
        <v>45819</v>
      </c>
      <c r="B196" s="9">
        <f>LN(Prices!B195)-LN(Prices!B196)</f>
        <v>1.3137478884932108E-2</v>
      </c>
      <c r="C196" s="9">
        <f>LN(Prices!C195)-LN(Prices!C196)</f>
        <v>0.1249763629736087</v>
      </c>
      <c r="D196" s="13">
        <f>LN(Prices!D195)-LN(Prices!D196)</f>
        <v>1.8734056097369223E-2</v>
      </c>
    </row>
    <row r="197" spans="1:4" x14ac:dyDescent="0.25">
      <c r="A197" s="8">
        <f>Prices!A197</f>
        <v>45818</v>
      </c>
      <c r="B197" s="9">
        <f>LN(Prices!B196)-LN(Prices!B197)</f>
        <v>3.6034547332919331E-3</v>
      </c>
      <c r="C197" s="9">
        <f>LN(Prices!C196)-LN(Prices!C197)</f>
        <v>-6.2171680506741822E-3</v>
      </c>
      <c r="D197" s="10">
        <f>LN(Prices!D196)-LN(Prices!D197)</f>
        <v>-1.1130642787858136E-2</v>
      </c>
    </row>
    <row r="198" spans="1:4" x14ac:dyDescent="0.25">
      <c r="A198" s="11">
        <f>Prices!A198</f>
        <v>45817</v>
      </c>
      <c r="B198" s="9">
        <f>LN(Prices!B197)-LN(Prices!B198)</f>
        <v>-3.878479328570883E-3</v>
      </c>
      <c r="C198" s="9">
        <f>LN(Prices!C197)-LN(Prices!C198)</f>
        <v>1.8610951992279468E-3</v>
      </c>
      <c r="D198" s="10">
        <f>LN(Prices!D197)-LN(Prices!D198)</f>
        <v>-1.4775426487855015E-2</v>
      </c>
    </row>
    <row r="199" spans="1:4" x14ac:dyDescent="0.25">
      <c r="A199" s="8">
        <f>Prices!A199</f>
        <v>45814</v>
      </c>
      <c r="B199" s="12">
        <f>LN(Prices!B198)-LN(Prices!B199)</f>
        <v>5.0258288648263871E-3</v>
      </c>
      <c r="C199" s="12">
        <f>LN(Prices!C198)-LN(Prices!C199)</f>
        <v>1.7826596173602383E-2</v>
      </c>
      <c r="D199" s="10">
        <f>LN(Prices!D198)-LN(Prices!D199)</f>
        <v>-2.626776123879182E-3</v>
      </c>
    </row>
    <row r="200" spans="1:4" x14ac:dyDescent="0.25">
      <c r="A200" s="11">
        <f>Prices!A200</f>
        <v>45813</v>
      </c>
      <c r="B200" s="9">
        <f>LN(Prices!B199)-LN(Prices!B200)</f>
        <v>5.7565773108043672E-3</v>
      </c>
      <c r="C200" s="9">
        <f>LN(Prices!C199)-LN(Prices!C200)</f>
        <v>1.6688300147969848E-2</v>
      </c>
      <c r="D200" s="13">
        <f>LN(Prices!D199)-LN(Prices!D200)</f>
        <v>1.2455360233916135E-2</v>
      </c>
    </row>
    <row r="201" spans="1:4" x14ac:dyDescent="0.25">
      <c r="A201" s="8">
        <f>Prices!A201</f>
        <v>45812</v>
      </c>
      <c r="B201" s="9">
        <f>LN(Prices!B200)-LN(Prices!B201)</f>
        <v>8.1799608060970641E-3</v>
      </c>
      <c r="C201" s="9">
        <f>LN(Prices!C200)-LN(Prices!C201)</f>
        <v>1.7922894575338688E-2</v>
      </c>
      <c r="D201" s="10">
        <f>LN(Prices!D200)-LN(Prices!D201)</f>
        <v>-1.2832248525612489E-2</v>
      </c>
    </row>
    <row r="202" spans="1:4" x14ac:dyDescent="0.25">
      <c r="A202" s="11">
        <f>Prices!A202</f>
        <v>45811</v>
      </c>
      <c r="B202" s="9">
        <f>LN(Prices!B201)-LN(Prices!B202)</f>
        <v>1.9420833862939801E-3</v>
      </c>
      <c r="C202" s="9">
        <f>LN(Prices!C201)-LN(Prices!C202)</f>
        <v>-6.1677339395060926E-3</v>
      </c>
      <c r="D202" s="10">
        <f>LN(Prices!D201)-LN(Prices!D202)</f>
        <v>-3.7419376216663025E-3</v>
      </c>
    </row>
    <row r="203" spans="1:4" x14ac:dyDescent="0.25">
      <c r="A203" s="8">
        <f>Prices!A203</f>
        <v>45810</v>
      </c>
      <c r="B203" s="9">
        <f>LN(Prices!B202)-LN(Prices!B203)</f>
        <v>2.1623032621134186E-3</v>
      </c>
      <c r="C203" s="9">
        <f>LN(Prices!C202)-LN(Prices!C203)</f>
        <v>1.5311132865059918E-2</v>
      </c>
      <c r="D203" s="10">
        <f>LN(Prices!D202)-LN(Prices!D203)</f>
        <v>-4.1019307509033709E-3</v>
      </c>
    </row>
    <row r="204" spans="1:4" x14ac:dyDescent="0.25">
      <c r="A204" s="11">
        <f>Prices!A204</f>
        <v>45807</v>
      </c>
      <c r="B204" s="12">
        <f>LN(Prices!B203)-LN(Prices!B204)</f>
        <v>3.491161808141463E-3</v>
      </c>
      <c r="C204" s="12">
        <f>LN(Prices!C203)-LN(Prices!C204)</f>
        <v>6.2631942169417698E-3</v>
      </c>
      <c r="D204" s="13">
        <f>LN(Prices!D203)-LN(Prices!D204)</f>
        <v>1.8777291031258248E-2</v>
      </c>
    </row>
    <row r="205" spans="1:4" x14ac:dyDescent="0.25">
      <c r="A205" s="8">
        <f>Prices!A205</f>
        <v>45806</v>
      </c>
      <c r="B205" s="9">
        <f>LN(Prices!B204)-LN(Prices!B205)</f>
        <v>3.6559929301862581E-3</v>
      </c>
      <c r="C205" s="9">
        <f>LN(Prices!C204)-LN(Prices!C205)</f>
        <v>1.6015931664075111E-2</v>
      </c>
      <c r="D205" s="10">
        <f>LN(Prices!D204)-LN(Prices!D205)</f>
        <v>-9.0552637793841484E-3</v>
      </c>
    </row>
    <row r="206" spans="1:4" x14ac:dyDescent="0.25">
      <c r="A206" s="11">
        <f>Prices!A206</f>
        <v>45805</v>
      </c>
      <c r="B206" s="9">
        <f>LN(Prices!B205)-LN(Prices!B206)</f>
        <v>2.8819722143875737E-3</v>
      </c>
      <c r="C206" s="9">
        <f>LN(Prices!C205)-LN(Prices!C206)</f>
        <v>-5.8148595368239242E-3</v>
      </c>
      <c r="D206" s="10">
        <f>LN(Prices!D205)-LN(Prices!D206)</f>
        <v>1.2091998900033207E-2</v>
      </c>
    </row>
    <row r="207" spans="1:4" x14ac:dyDescent="0.25">
      <c r="A207" s="8">
        <f>Prices!A207</f>
        <v>45804</v>
      </c>
      <c r="B207" s="9">
        <f>LN(Prices!B206)-LN(Prices!B207)</f>
        <v>-7.254538651160658E-3</v>
      </c>
      <c r="C207" s="9">
        <f>LN(Prices!C206)-LN(Prices!C207)</f>
        <v>1.1910749846162361E-2</v>
      </c>
      <c r="D207" s="10">
        <f>LN(Prices!D206)-LN(Prices!D207)</f>
        <v>-9.8358586408826554E-3</v>
      </c>
    </row>
    <row r="208" spans="1:4" x14ac:dyDescent="0.25">
      <c r="A208" s="11">
        <f>Prices!A208</f>
        <v>45800</v>
      </c>
      <c r="B208" s="9">
        <f>LN(Prices!B207)-LN(Prices!B208)</f>
        <v>2.3077862821184958E-2</v>
      </c>
      <c r="C208" s="9">
        <f>LN(Prices!C207)-LN(Prices!C208)</f>
        <v>3.7376944234926768E-2</v>
      </c>
      <c r="D208" s="13">
        <f>LN(Prices!D207)-LN(Prices!D208)</f>
        <v>3.9551887676629871E-2</v>
      </c>
    </row>
    <row r="209" spans="1:4" x14ac:dyDescent="0.25">
      <c r="A209" s="8">
        <f>Prices!A209</f>
        <v>45799</v>
      </c>
      <c r="B209" s="12">
        <f>LN(Prices!B208)-LN(Prices!B209)</f>
        <v>-1.0342176510575563E-2</v>
      </c>
      <c r="C209" s="12">
        <f>LN(Prices!C208)-LN(Prices!C209)</f>
        <v>-8.5546997706797967E-3</v>
      </c>
      <c r="D209" s="10">
        <f>LN(Prices!D208)-LN(Prices!D209)</f>
        <v>7.8635461919884797E-3</v>
      </c>
    </row>
    <row r="210" spans="1:4" x14ac:dyDescent="0.25">
      <c r="A210" s="11">
        <f>Prices!A210</f>
        <v>45798</v>
      </c>
      <c r="B210" s="9">
        <f>LN(Prices!B209)-LN(Prices!B210)</f>
        <v>5.0472319879029115E-3</v>
      </c>
      <c r="C210" s="9">
        <f>LN(Prices!C209)-LN(Prices!C210)</f>
        <v>8.267353963846702E-4</v>
      </c>
      <c r="D210" s="10">
        <f>LN(Prices!D209)-LN(Prices!D210)</f>
        <v>1.7524712311038027E-2</v>
      </c>
    </row>
    <row r="211" spans="1:4" x14ac:dyDescent="0.25">
      <c r="A211" s="8">
        <f>Prices!A211</f>
        <v>45797</v>
      </c>
      <c r="B211" s="9">
        <f>LN(Prices!B210)-LN(Prices!B211)</f>
        <v>-1.2297846975223514E-2</v>
      </c>
      <c r="C211" s="9">
        <f>LN(Prices!C210)-LN(Prices!C211)</f>
        <v>-1.9717795263552773E-2</v>
      </c>
      <c r="D211" s="10">
        <f>LN(Prices!D210)-LN(Prices!D211)</f>
        <v>-3.5908888159869701E-2</v>
      </c>
    </row>
    <row r="212" spans="1:4" x14ac:dyDescent="0.25">
      <c r="A212" s="11">
        <f>Prices!A212</f>
        <v>45796</v>
      </c>
      <c r="B212" s="9">
        <f>LN(Prices!B211)-LN(Prices!B212)</f>
        <v>-1.5266512604803495E-3</v>
      </c>
      <c r="C212" s="9">
        <f>LN(Prices!C211)-LN(Prices!C212)</f>
        <v>4.1881605210489781E-3</v>
      </c>
      <c r="D212" s="13">
        <f>LN(Prices!D211)-LN(Prices!D212)</f>
        <v>2.9899336151592681E-2</v>
      </c>
    </row>
    <row r="213" spans="1:4" x14ac:dyDescent="0.25">
      <c r="A213" s="8">
        <f>Prices!A213</f>
        <v>45793</v>
      </c>
      <c r="B213" s="9">
        <f>LN(Prices!B212)-LN(Prices!B213)</f>
        <v>1.0075210618417429E-2</v>
      </c>
      <c r="C213" s="9">
        <f>LN(Prices!C212)-LN(Prices!C213)</f>
        <v>-5.3103551525319759E-3</v>
      </c>
      <c r="D213" s="10">
        <f>LN(Prices!D212)-LN(Prices!D213)</f>
        <v>1.4483232262849643E-2</v>
      </c>
    </row>
    <row r="214" spans="1:4" x14ac:dyDescent="0.25">
      <c r="A214" s="11">
        <f>Prices!A214</f>
        <v>45792</v>
      </c>
      <c r="B214" s="12">
        <f>LN(Prices!B213)-LN(Prices!B214)</f>
        <v>2.512674894832756E-3</v>
      </c>
      <c r="C214" s="12">
        <f>LN(Prices!C213)-LN(Prices!C214)</f>
        <v>6.8148689769502724E-3</v>
      </c>
      <c r="D214" s="10">
        <f>LN(Prices!D213)-LN(Prices!D214)</f>
        <v>-7.6699459382214563E-3</v>
      </c>
    </row>
    <row r="215" spans="1:4" x14ac:dyDescent="0.25">
      <c r="A215" s="8">
        <f>Prices!A215</f>
        <v>45791</v>
      </c>
      <c r="B215" s="9">
        <f>LN(Prices!B214)-LN(Prices!B215)</f>
        <v>4.1939365122978245E-4</v>
      </c>
      <c r="C215" s="9">
        <f>LN(Prices!C214)-LN(Prices!C215)</f>
        <v>-2.2026638927456155E-2</v>
      </c>
      <c r="D215" s="10">
        <f>LN(Prices!D214)-LN(Prices!D215)</f>
        <v>-4.0400876176649447E-4</v>
      </c>
    </row>
    <row r="216" spans="1:4" x14ac:dyDescent="0.25">
      <c r="A216" s="11">
        <f>Prices!A216</f>
        <v>45790</v>
      </c>
      <c r="B216" s="9">
        <f>LN(Prices!B215)-LN(Prices!B216)</f>
        <v>8.4250232291935845E-3</v>
      </c>
      <c r="C216" s="9">
        <f>LN(Prices!C215)-LN(Prices!C216)</f>
        <v>4.1817907321251013E-3</v>
      </c>
      <c r="D216" s="13">
        <f>LN(Prices!D215)-LN(Prices!D216)</f>
        <v>1.3761837375906971E-2</v>
      </c>
    </row>
    <row r="217" spans="1:4" x14ac:dyDescent="0.25">
      <c r="A217" s="8">
        <f>Prices!A217</f>
        <v>45789</v>
      </c>
      <c r="B217" s="9">
        <f>LN(Prices!B216)-LN(Prices!B217)</f>
        <v>-2.6714158662954901E-4</v>
      </c>
      <c r="C217" s="9">
        <f>LN(Prices!C216)-LN(Prices!C217)</f>
        <v>3.1615516185834913E-2</v>
      </c>
      <c r="D217" s="10">
        <f>LN(Prices!D216)-LN(Prices!D217)</f>
        <v>-8.1156777507831457E-3</v>
      </c>
    </row>
    <row r="218" spans="1:4" x14ac:dyDescent="0.25">
      <c r="A218" s="11">
        <f>Prices!A218</f>
        <v>45786</v>
      </c>
      <c r="B218" s="9">
        <f>LN(Prices!B217)-LN(Prices!B218)</f>
        <v>2.3717595041516937E-2</v>
      </c>
      <c r="C218" s="9">
        <f>LN(Prices!C217)-LN(Prices!C218)</f>
        <v>4.474670261628777E-2</v>
      </c>
      <c r="D218" s="10">
        <f>LN(Prices!D217)-LN(Prices!D218)</f>
        <v>1.6178749634709888E-3</v>
      </c>
    </row>
    <row r="219" spans="1:4" x14ac:dyDescent="0.25">
      <c r="A219" s="8">
        <f>Prices!A219</f>
        <v>45785</v>
      </c>
      <c r="B219" s="12">
        <f>LN(Prices!B218)-LN(Prices!B219)</f>
        <v>1.2772267673115678E-3</v>
      </c>
      <c r="C219" s="12">
        <f>LN(Prices!C218)-LN(Prices!C219)</f>
        <v>2.6609899039442553E-4</v>
      </c>
      <c r="D219" s="10">
        <f>LN(Prices!D218)-LN(Prices!D219)</f>
        <v>1.0173554111566396E-2</v>
      </c>
    </row>
    <row r="220" spans="1:4" x14ac:dyDescent="0.25">
      <c r="A220" s="11">
        <f>Prices!A220</f>
        <v>45784</v>
      </c>
      <c r="B220" s="9">
        <f>LN(Prices!B219)-LN(Prices!B220)</f>
        <v>1.1061247347842418E-2</v>
      </c>
      <c r="C220" s="9">
        <f>LN(Prices!C219)-LN(Prices!C220)</f>
        <v>6.2068474367276139E-3</v>
      </c>
      <c r="D220" s="13">
        <f>LN(Prices!D219)-LN(Prices!D220)</f>
        <v>-2.3047949469703344E-2</v>
      </c>
    </row>
    <row r="221" spans="1:4" x14ac:dyDescent="0.25">
      <c r="A221" s="8">
        <f>Prices!A221</f>
        <v>45783</v>
      </c>
      <c r="B221" s="9">
        <f>LN(Prices!B220)-LN(Prices!B221)</f>
        <v>9.2308402437346615E-5</v>
      </c>
      <c r="C221" s="9">
        <f>LN(Prices!C220)-LN(Prices!C221)</f>
        <v>1.1243259784866844E-2</v>
      </c>
      <c r="D221" s="10">
        <f>LN(Prices!D220)-LN(Prices!D221)</f>
        <v>-8.3589935183048247E-3</v>
      </c>
    </row>
    <row r="222" spans="1:4" x14ac:dyDescent="0.25">
      <c r="A222" s="11">
        <f>Prices!A222</f>
        <v>45782</v>
      </c>
      <c r="B222" s="9">
        <f>LN(Prices!B221)-LN(Prices!B222)</f>
        <v>-6.5786684335273904E-3</v>
      </c>
      <c r="C222" s="9">
        <f>LN(Prices!C221)-LN(Prices!C222)</f>
        <v>-1.0707533528164781E-2</v>
      </c>
      <c r="D222" s="10">
        <f>LN(Prices!D221)-LN(Prices!D222)</f>
        <v>-3.9418156025172735E-4</v>
      </c>
    </row>
    <row r="223" spans="1:4" x14ac:dyDescent="0.25">
      <c r="A223" s="8">
        <f>Prices!A223</f>
        <v>45779</v>
      </c>
      <c r="B223" s="9">
        <f>LN(Prices!B222)-LN(Prices!B223)</f>
        <v>2.0425734337736756E-3</v>
      </c>
      <c r="C223" s="9">
        <f>LN(Prices!C222)-LN(Prices!C223)</f>
        <v>-9.5994337569385024E-3</v>
      </c>
      <c r="D223" s="10">
        <f>LN(Prices!D222)-LN(Prices!D223)</f>
        <v>-3.5609020175240147E-3</v>
      </c>
    </row>
    <row r="224" spans="1:4" x14ac:dyDescent="0.25">
      <c r="A224" s="11">
        <f>Prices!A224</f>
        <v>45778</v>
      </c>
      <c r="B224" s="12">
        <f>LN(Prices!B223)-LN(Prices!B224)</f>
        <v>2.2959599411533027E-2</v>
      </c>
      <c r="C224" s="12">
        <f>LN(Prices!C223)-LN(Prices!C224)</f>
        <v>3.5382801095139804E-2</v>
      </c>
      <c r="D224" s="13">
        <f>LN(Prices!D223)-LN(Prices!D224)</f>
        <v>1.9776147018002455E-3</v>
      </c>
    </row>
    <row r="225" spans="1:4" x14ac:dyDescent="0.25">
      <c r="A225" s="8">
        <f>Prices!A225</f>
        <v>45777</v>
      </c>
      <c r="B225" s="9">
        <f>LN(Prices!B224)-LN(Prices!B225)</f>
        <v>7.348612655384823E-2</v>
      </c>
      <c r="C225" s="9">
        <f>LN(Prices!C224)-LN(Prices!C225)</f>
        <v>3.3335255297995303E-2</v>
      </c>
      <c r="D225" s="10">
        <f>LN(Prices!D224)-LN(Prices!D225)</f>
        <v>-2.8082644222858999E-2</v>
      </c>
    </row>
    <row r="226" spans="1:4" x14ac:dyDescent="0.25">
      <c r="A226" s="11">
        <f>Prices!A226</f>
        <v>45776</v>
      </c>
      <c r="B226" s="9">
        <f>LN(Prices!B225)-LN(Prices!B226)</f>
        <v>3.091349224810358E-3</v>
      </c>
      <c r="C226" s="9">
        <f>LN(Prices!C225)-LN(Prices!C226)</f>
        <v>-4.9731804513353239E-4</v>
      </c>
      <c r="D226" s="10">
        <f>LN(Prices!D225)-LN(Prices!D226)</f>
        <v>9.6624087192678232E-3</v>
      </c>
    </row>
    <row r="227" spans="1:4" x14ac:dyDescent="0.25">
      <c r="A227" s="8">
        <f>Prices!A227</f>
        <v>45775</v>
      </c>
      <c r="B227" s="9">
        <f>LN(Prices!B226)-LN(Prices!B227)</f>
        <v>7.3357435434040497E-3</v>
      </c>
      <c r="C227" s="9">
        <f>LN(Prices!C226)-LN(Prices!C227)</f>
        <v>4.6274955320484423E-3</v>
      </c>
      <c r="D227" s="10">
        <f>LN(Prices!D226)-LN(Prices!D227)</f>
        <v>1.8420235503591176E-2</v>
      </c>
    </row>
    <row r="228" spans="1:4" x14ac:dyDescent="0.25">
      <c r="A228" s="11">
        <f>Prices!A228</f>
        <v>45772</v>
      </c>
      <c r="B228" s="9">
        <f>LN(Prices!B227)-LN(Prices!B228)</f>
        <v>-1.7624300547991467E-3</v>
      </c>
      <c r="C228" s="9">
        <f>LN(Prices!C227)-LN(Prices!C228)</f>
        <v>1.1843802087761368E-2</v>
      </c>
      <c r="D228" s="13">
        <f>LN(Prices!D227)-LN(Prices!D228)</f>
        <v>1.2338604698201028E-2</v>
      </c>
    </row>
    <row r="229" spans="1:4" x14ac:dyDescent="0.25">
      <c r="A229" s="8">
        <f>Prices!A229</f>
        <v>45771</v>
      </c>
      <c r="B229" s="12">
        <f>LN(Prices!B228)-LN(Prices!B229)</f>
        <v>1.1679526978166876E-2</v>
      </c>
      <c r="C229" s="12">
        <f>LN(Prices!C228)-LN(Prices!C229)</f>
        <v>7.1014791197727689E-3</v>
      </c>
      <c r="D229" s="10">
        <f>LN(Prices!D228)-LN(Prices!D229)</f>
        <v>-5.9903588468235291E-3</v>
      </c>
    </row>
    <row r="230" spans="1:4" x14ac:dyDescent="0.25">
      <c r="A230" s="11">
        <f>Prices!A230</f>
        <v>45770</v>
      </c>
      <c r="B230" s="9">
        <f>LN(Prices!B229)-LN(Prices!B230)</f>
        <v>3.3901551675681318E-2</v>
      </c>
      <c r="C230" s="9">
        <f>LN(Prices!C229)-LN(Prices!C230)</f>
        <v>4.5450535684342874E-2</v>
      </c>
      <c r="D230" s="10">
        <f>LN(Prices!D229)-LN(Prices!D230)</f>
        <v>9.1988517578602824E-3</v>
      </c>
    </row>
    <row r="231" spans="1:4" x14ac:dyDescent="0.25">
      <c r="A231" s="8">
        <f>Prices!A231</f>
        <v>45769</v>
      </c>
      <c r="B231" s="9">
        <f>LN(Prices!B230)-LN(Prices!B231)</f>
        <v>2.0426770322139021E-2</v>
      </c>
      <c r="C231" s="9">
        <f>LN(Prices!C230)-LN(Prices!C231)</f>
        <v>3.2171039169567095E-2</v>
      </c>
      <c r="D231" s="10">
        <f>LN(Prices!D230)-LN(Prices!D231)</f>
        <v>2.275661831949316E-2</v>
      </c>
    </row>
    <row r="232" spans="1:4" x14ac:dyDescent="0.25">
      <c r="A232" s="11">
        <f>Prices!A232</f>
        <v>45768</v>
      </c>
      <c r="B232" s="9">
        <f>LN(Prices!B231)-LN(Prices!B232)</f>
        <v>2.1214670049209516E-2</v>
      </c>
      <c r="C232" s="9">
        <f>LN(Prices!C231)-LN(Prices!C232)</f>
        <v>3.5355197979690445E-2</v>
      </c>
      <c r="D232" s="13">
        <f>LN(Prices!D231)-LN(Prices!D232)</f>
        <v>2.4128187117418598E-2</v>
      </c>
    </row>
    <row r="233" spans="1:4" x14ac:dyDescent="0.25">
      <c r="A233" s="8">
        <f>Prices!A233</f>
        <v>45764</v>
      </c>
      <c r="B233" s="9">
        <f>LN(Prices!B232)-LN(Prices!B233)</f>
        <v>-2.3828338839030572E-2</v>
      </c>
      <c r="C233" s="9">
        <f>LN(Prices!C232)-LN(Prices!C233)</f>
        <v>-4.6142451805463836E-2</v>
      </c>
      <c r="D233" s="10">
        <f>LN(Prices!D232)-LN(Prices!D233)</f>
        <v>-1.0890490946183995E-2</v>
      </c>
    </row>
    <row r="234" spans="1:4" x14ac:dyDescent="0.25">
      <c r="A234" s="11">
        <f>Prices!A234</f>
        <v>45763</v>
      </c>
      <c r="B234" s="12">
        <f>LN(Prices!B233)-LN(Prices!B234)</f>
        <v>-1.0359983921510718E-2</v>
      </c>
      <c r="C234" s="12">
        <f>LN(Prices!C233)-LN(Prices!C234)</f>
        <v>-8.8242696603861859E-3</v>
      </c>
      <c r="D234" s="10">
        <f>LN(Prices!D233)-LN(Prices!D234)</f>
        <v>2.7447499335095049E-2</v>
      </c>
    </row>
    <row r="235" spans="1:4" x14ac:dyDescent="0.25">
      <c r="A235" s="8">
        <f>Prices!A235</f>
        <v>45762</v>
      </c>
      <c r="B235" s="9">
        <f>LN(Prices!B234)-LN(Prices!B235)</f>
        <v>-3.7292725613748523E-2</v>
      </c>
      <c r="C235" s="9">
        <f>LN(Prices!C234)-LN(Prices!C235)</f>
        <v>-3.1705348114801524E-2</v>
      </c>
      <c r="D235" s="10">
        <f>LN(Prices!D234)-LN(Prices!D235)</f>
        <v>-1.3607906332363751E-2</v>
      </c>
    </row>
    <row r="236" spans="1:4" x14ac:dyDescent="0.25">
      <c r="A236" s="11">
        <f>Prices!A236</f>
        <v>45761</v>
      </c>
      <c r="B236" s="9">
        <f>LN(Prices!B235)-LN(Prices!B236)</f>
        <v>-5.3778861159994307E-3</v>
      </c>
      <c r="C236" s="9">
        <f>LN(Prices!C235)-LN(Prices!C236)</f>
        <v>-5.2126114006458835E-3</v>
      </c>
      <c r="D236" s="13">
        <f>LN(Prices!D235)-LN(Prices!D236)</f>
        <v>1.0189623975931816E-2</v>
      </c>
    </row>
    <row r="237" spans="1:4" x14ac:dyDescent="0.25">
      <c r="A237" s="8">
        <f>Prices!A237</f>
        <v>45758</v>
      </c>
      <c r="B237" s="9">
        <f>LN(Prices!B236)-LN(Prices!B237)</f>
        <v>-1.6489324324640009E-3</v>
      </c>
      <c r="C237" s="9">
        <f>LN(Prices!C236)-LN(Prices!C237)</f>
        <v>1.7154621209440002E-2</v>
      </c>
      <c r="D237" s="10">
        <f>LN(Prices!D236)-LN(Prices!D237)</f>
        <v>2.1558515554406465E-2</v>
      </c>
    </row>
    <row r="238" spans="1:4" x14ac:dyDescent="0.25">
      <c r="A238" s="11">
        <f>Prices!A238</f>
        <v>45757</v>
      </c>
      <c r="B238" s="9">
        <f>LN(Prices!B237)-LN(Prices!B238)</f>
        <v>1.8446872786181956E-2</v>
      </c>
      <c r="C238" s="9">
        <f>LN(Prices!C237)-LN(Prices!C238)</f>
        <v>-7.5273219549130133E-3</v>
      </c>
      <c r="D238" s="10">
        <f>LN(Prices!D237)-LN(Prices!D238)</f>
        <v>8.7208332804245003E-4</v>
      </c>
    </row>
    <row r="239" spans="1:4" x14ac:dyDescent="0.25">
      <c r="A239" s="8">
        <f>Prices!A239</f>
        <v>45756</v>
      </c>
      <c r="B239" s="12">
        <f>LN(Prices!B238)-LN(Prices!B239)</f>
        <v>-2.3684772146975064E-2</v>
      </c>
      <c r="C239" s="12">
        <f>LN(Prices!C238)-LN(Prices!C239)</f>
        <v>-4.644843111143615E-2</v>
      </c>
      <c r="D239" s="10">
        <f>LN(Prices!D238)-LN(Prices!D239)</f>
        <v>-2.1765517635139453E-3</v>
      </c>
    </row>
    <row r="240" spans="1:4" x14ac:dyDescent="0.25">
      <c r="A240" s="11">
        <f>Prices!A240</f>
        <v>45755</v>
      </c>
      <c r="B240" s="9">
        <f>LN(Prices!B239)-LN(Prices!B240)</f>
        <v>9.6524776638358567E-2</v>
      </c>
      <c r="C240" s="9">
        <f>LN(Prices!C239)-LN(Prices!C240)</f>
        <v>0.11511996583469752</v>
      </c>
      <c r="D240" s="13">
        <f>LN(Prices!D239)-LN(Prices!D240)</f>
        <v>7.454352210424009E-2</v>
      </c>
    </row>
    <row r="241" spans="1:4" x14ac:dyDescent="0.25">
      <c r="A241" s="8">
        <f>Prices!A241</f>
        <v>45754</v>
      </c>
      <c r="B241" s="9">
        <f>LN(Prices!B240)-LN(Prices!B241)</f>
        <v>-9.2642643448517248E-3</v>
      </c>
      <c r="C241" s="9">
        <f>LN(Prices!C240)-LN(Prices!C241)</f>
        <v>-2.114042013784001E-2</v>
      </c>
      <c r="D241" s="10">
        <f>LN(Prices!D240)-LN(Prices!D241)</f>
        <v>3.7588231927245808E-3</v>
      </c>
    </row>
    <row r="242" spans="1:4" x14ac:dyDescent="0.25">
      <c r="A242" s="11">
        <f>Prices!A242</f>
        <v>45751</v>
      </c>
      <c r="B242" s="9">
        <f>LN(Prices!B241)-LN(Prices!B242)</f>
        <v>-5.5176397472891381E-3</v>
      </c>
      <c r="C242" s="9">
        <f>LN(Prices!C241)-LN(Prices!C242)</f>
        <v>-8.6912812691570807E-3</v>
      </c>
      <c r="D242" s="10">
        <f>LN(Prices!D241)-LN(Prices!D242)</f>
        <v>-2.6941377029813918E-2</v>
      </c>
    </row>
    <row r="243" spans="1:4" x14ac:dyDescent="0.25">
      <c r="A243" s="8">
        <f>Prices!A243</f>
        <v>45750</v>
      </c>
      <c r="B243" s="9">
        <f>LN(Prices!B242)-LN(Prices!B243)</f>
        <v>-3.6213794122754273E-2</v>
      </c>
      <c r="C243" s="9">
        <f>LN(Prices!C242)-LN(Prices!C243)</f>
        <v>-6.7520932969782343E-2</v>
      </c>
      <c r="D243" s="10">
        <f>LN(Prices!D242)-LN(Prices!D243)</f>
        <v>-6.9052399679050858E-2</v>
      </c>
    </row>
    <row r="244" spans="1:4" x14ac:dyDescent="0.25">
      <c r="A244" s="11">
        <f>Prices!A244</f>
        <v>45749</v>
      </c>
      <c r="B244" s="12">
        <f>LN(Prices!B243)-LN(Prices!B244)</f>
        <v>-2.3913751277569339E-2</v>
      </c>
      <c r="C244" s="12">
        <f>LN(Prices!C243)-LN(Prices!C244)</f>
        <v>-6.0988907274545312E-2</v>
      </c>
      <c r="D244" s="13">
        <f>LN(Prices!D243)-LN(Prices!D244)</f>
        <v>-6.0577663029985906E-2</v>
      </c>
    </row>
    <row r="245" spans="1:4" x14ac:dyDescent="0.25">
      <c r="A245" s="8">
        <f>Prices!A245</f>
        <v>45748</v>
      </c>
      <c r="B245" s="9">
        <f>LN(Prices!B244)-LN(Prices!B245)</f>
        <v>-1.308335406733363E-4</v>
      </c>
      <c r="C245" s="9">
        <f>LN(Prices!C244)-LN(Prices!C245)</f>
        <v>2.7242824459249526E-2</v>
      </c>
      <c r="D245" s="10">
        <f>LN(Prices!D244)-LN(Prices!D245)</f>
        <v>-1.319753239974375E-2</v>
      </c>
    </row>
    <row r="246" spans="1:4" x14ac:dyDescent="0.25">
      <c r="A246" s="11">
        <f>Prices!A246</f>
        <v>45747</v>
      </c>
      <c r="B246" s="9">
        <f>LN(Prices!B245)-LN(Prices!B246)</f>
        <v>1.7952381606929357E-2</v>
      </c>
      <c r="C246" s="9">
        <f>LN(Prices!C245)-LN(Prices!C246)</f>
        <v>1.5120075097104113E-2</v>
      </c>
      <c r="D246" s="10">
        <f>LN(Prices!D245)-LN(Prices!D246)</f>
        <v>-8.7012274266977663E-3</v>
      </c>
    </row>
    <row r="247" spans="1:4" x14ac:dyDescent="0.25">
      <c r="A247" s="8">
        <f>Prices!A247</f>
        <v>45744</v>
      </c>
      <c r="B247" s="9">
        <f>LN(Prices!B246)-LN(Prices!B247)</f>
        <v>-9.0428757668501447E-3</v>
      </c>
      <c r="C247" s="9">
        <f>LN(Prices!C246)-LN(Prices!C247)</f>
        <v>-7.5531212724824215E-3</v>
      </c>
      <c r="D247" s="10">
        <f>LN(Prices!D246)-LN(Prices!D247)</f>
        <v>1.1888263265779742E-2</v>
      </c>
    </row>
    <row r="248" spans="1:4" x14ac:dyDescent="0.25">
      <c r="A248" s="11">
        <f>Prices!A248</f>
        <v>45743</v>
      </c>
      <c r="B248" s="9">
        <f>LN(Prices!B247)-LN(Prices!B248)</f>
        <v>-3.0624452542713065E-2</v>
      </c>
      <c r="C248" s="9">
        <f>LN(Prices!C247)-LN(Prices!C248)</f>
        <v>-3.4261156681851368E-2</v>
      </c>
      <c r="D248" s="13">
        <f>LN(Prices!D247)-LN(Prices!D248)</f>
        <v>-2.1686983200663423E-2</v>
      </c>
    </row>
    <row r="249" spans="1:4" x14ac:dyDescent="0.25">
      <c r="A249" s="8">
        <f>Prices!A249</f>
        <v>45742</v>
      </c>
      <c r="B249" s="12">
        <f>LN(Prices!B248)-LN(Prices!B249)</f>
        <v>1.5630007665983214E-3</v>
      </c>
      <c r="C249" s="12">
        <f>LN(Prices!C248)-LN(Prices!C249)</f>
        <v>-1.3761372560034957E-2</v>
      </c>
      <c r="D249" s="10">
        <f>LN(Prices!D248)-LN(Prices!D249)</f>
        <v>5.4743235172063365E-3</v>
      </c>
    </row>
    <row r="250" spans="1:4" x14ac:dyDescent="0.25">
      <c r="A250" s="11">
        <f>Prices!A250</f>
        <v>45741</v>
      </c>
      <c r="B250" s="9">
        <f>LN(Prices!B249)-LN(Prices!B250)</f>
        <v>-1.3220933088235576E-2</v>
      </c>
      <c r="C250" s="9">
        <f>LN(Prices!C249)-LN(Prices!C250)</f>
        <v>-4.0637945107881102E-2</v>
      </c>
      <c r="D250" s="10">
        <f>LN(Prices!D249)-LN(Prices!D250)</f>
        <v>9.4589047964954709E-3</v>
      </c>
    </row>
    <row r="251" spans="1:4" x14ac:dyDescent="0.25">
      <c r="A251" s="14">
        <f>Prices!A251</f>
        <v>45740</v>
      </c>
      <c r="B251" s="9">
        <f>LN(Prices!B250)-LN(Prices!B251)</f>
        <v>5.2775926820469721E-3</v>
      </c>
      <c r="C251" s="9">
        <f>LN(Prices!C250)-LN(Prices!C251)</f>
        <v>-6.0881017061005238E-3</v>
      </c>
      <c r="D251" s="10">
        <f>LN(Prices!D250)-LN(Prices!D251)</f>
        <v>-3.9777247938932447E-4</v>
      </c>
    </row>
    <row r="252" spans="1:4" x14ac:dyDescent="0.25">
      <c r="A252" s="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workbookViewId="0">
      <selection activeCell="E14" sqref="E14:F14"/>
    </sheetView>
  </sheetViews>
  <sheetFormatPr defaultRowHeight="15" x14ac:dyDescent="0.25"/>
  <cols>
    <col min="1" max="1" width="18.85546875" customWidth="1"/>
    <col min="2" max="2" width="19.42578125" customWidth="1"/>
    <col min="3" max="3" width="21.85546875" customWidth="1"/>
    <col min="4" max="4" width="16.85546875" customWidth="1"/>
  </cols>
  <sheetData>
    <row r="1" spans="1:18" ht="14.45" customHeight="1" x14ac:dyDescent="0.25">
      <c r="A1" s="70" t="s">
        <v>7</v>
      </c>
      <c r="B1" s="70"/>
      <c r="C1" s="70"/>
      <c r="D1" s="70"/>
    </row>
    <row r="2" spans="1:18" x14ac:dyDescent="0.25">
      <c r="A2" s="70"/>
      <c r="B2" s="70"/>
      <c r="C2" s="70"/>
      <c r="D2" s="70"/>
    </row>
    <row r="3" spans="1:18" x14ac:dyDescent="0.25">
      <c r="A3" s="71"/>
      <c r="B3" s="71"/>
      <c r="C3" s="71"/>
      <c r="D3" s="71"/>
    </row>
    <row r="4" spans="1:18" x14ac:dyDescent="0.25">
      <c r="A4" s="27" t="s">
        <v>8</v>
      </c>
      <c r="B4" s="28" t="s">
        <v>9</v>
      </c>
      <c r="C4" s="28" t="s">
        <v>10</v>
      </c>
      <c r="D4" s="29" t="s">
        <v>11</v>
      </c>
      <c r="E4" s="49"/>
      <c r="F4" s="50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x14ac:dyDescent="0.25">
      <c r="A5" s="5" t="s">
        <v>12</v>
      </c>
      <c r="B5" s="30">
        <f>AVERAGE(Returns!B3:B251)</f>
        <v>-1.1619645358945195E-4</v>
      </c>
      <c r="C5" s="30">
        <f>_xlfn.VAR.S(Returns!B3:B251)</f>
        <v>2.7529141266573529E-4</v>
      </c>
      <c r="D5" s="31">
        <f>_xlfn.STDEV.S(Returns!B3:B251)</f>
        <v>1.6591908047772424E-2</v>
      </c>
      <c r="F5" s="40"/>
    </row>
    <row r="6" spans="1:18" x14ac:dyDescent="0.25">
      <c r="A6" s="32" t="s">
        <v>13</v>
      </c>
      <c r="B6" s="33">
        <f>AVERAGE(Returns!C3:C251)</f>
        <v>-1.3689306571184319E-4</v>
      </c>
      <c r="C6" s="33">
        <f>_xlfn.VAR.S(Returns!C3:C251)</f>
        <v>1.3686392088468312E-3</v>
      </c>
      <c r="D6" s="34">
        <f>_xlfn.STDEV.S(Returns!C3:C251)</f>
        <v>3.699512412260339E-2</v>
      </c>
    </row>
    <row r="7" spans="1:18" ht="23.25" x14ac:dyDescent="0.35">
      <c r="A7" s="2" t="s">
        <v>14</v>
      </c>
      <c r="B7" s="35">
        <f>AVERAGE(Returns!D3:D251)</f>
        <v>-7.943138502573624E-4</v>
      </c>
      <c r="C7" s="35">
        <f>_xlfn.VAR.S(Returns!D3:D251)</f>
        <v>3.6628586452891297E-4</v>
      </c>
      <c r="D7" s="36">
        <f>_xlfn.STDEV.S(Returns!D3:D251)</f>
        <v>1.9138596200581511E-2</v>
      </c>
      <c r="F7" s="44"/>
    </row>
    <row r="8" spans="1:18" x14ac:dyDescent="0.25">
      <c r="F8" s="43"/>
      <c r="K8" s="51"/>
    </row>
    <row r="9" spans="1:18" x14ac:dyDescent="0.25">
      <c r="A9" s="70" t="s">
        <v>15</v>
      </c>
      <c r="B9" s="70"/>
      <c r="C9" s="70"/>
      <c r="D9" s="70"/>
      <c r="G9" s="41"/>
      <c r="I9" s="49"/>
      <c r="J9" s="49"/>
      <c r="K9" s="49"/>
      <c r="L9" s="49"/>
      <c r="M9" s="49"/>
      <c r="N9" s="49"/>
      <c r="O9" s="49"/>
      <c r="P9" s="49"/>
    </row>
    <row r="10" spans="1:18" x14ac:dyDescent="0.25">
      <c r="A10" s="71"/>
      <c r="B10" s="71"/>
      <c r="C10" s="71"/>
      <c r="D10" s="71"/>
      <c r="F10" s="42"/>
      <c r="I10" s="49"/>
      <c r="J10" s="49"/>
      <c r="K10" s="49"/>
      <c r="L10" s="49"/>
      <c r="M10" s="49"/>
      <c r="N10" s="49"/>
      <c r="O10" s="49"/>
      <c r="P10" s="49"/>
    </row>
    <row r="11" spans="1:18" x14ac:dyDescent="0.25">
      <c r="A11" s="27" t="s">
        <v>16</v>
      </c>
      <c r="B11" s="28" t="s">
        <v>12</v>
      </c>
      <c r="C11" s="28" t="s">
        <v>13</v>
      </c>
      <c r="D11" s="29" t="s">
        <v>14</v>
      </c>
      <c r="E11" s="39"/>
      <c r="F11" s="39"/>
      <c r="I11" s="49"/>
      <c r="J11" s="49"/>
      <c r="K11" s="49"/>
      <c r="L11" s="49"/>
      <c r="M11" s="49"/>
      <c r="N11" s="49"/>
      <c r="O11" s="49"/>
      <c r="P11" s="49"/>
    </row>
    <row r="12" spans="1:18" x14ac:dyDescent="0.25">
      <c r="A12" s="5" t="s">
        <v>12</v>
      </c>
      <c r="B12" s="30">
        <f>_xlfn.COVARIANCE.S(Returns!B3:B251,Returns!B3:B251)</f>
        <v>2.7529141266573502E-4</v>
      </c>
      <c r="C12" s="30">
        <f>_xlfn.COVARIANCE.S(Returns!B3:B251,Returns!C3:C251)</f>
        <v>2.4862062515745094E-4</v>
      </c>
      <c r="D12" s="31">
        <f>_xlfn.COVARIANCE.S(Returns!B3:B251,Returns!D3:D251)</f>
        <v>8.9273996782493213E-5</v>
      </c>
    </row>
    <row r="13" spans="1:18" x14ac:dyDescent="0.25">
      <c r="A13" s="32" t="s">
        <v>13</v>
      </c>
      <c r="B13" s="33">
        <f>_xlfn.COVARIANCE.S(Returns!C3:C251,Returns!B3:B251)</f>
        <v>2.4862062515745094E-4</v>
      </c>
      <c r="C13" s="33">
        <f>_xlfn.COVARIANCE.S(Returns!C3:C251,Returns!C3:C251)</f>
        <v>1.3686392088468292E-3</v>
      </c>
      <c r="D13" s="34">
        <f>_xlfn.COVARIANCE.S(Returns!C3:C251,Returns!D3:D251)</f>
        <v>1.4468915912732892E-4</v>
      </c>
    </row>
    <row r="14" spans="1:18" x14ac:dyDescent="0.25">
      <c r="A14" s="2" t="s">
        <v>14</v>
      </c>
      <c r="B14" s="48">
        <f>_xlfn.COVARIANCE.S(Returns!D3:D251,Returns!B3:B251)</f>
        <v>8.9273996782493213E-5</v>
      </c>
      <c r="C14" s="35">
        <f>_xlfn.COVARIANCE.S(Returns!D3:D251,Returns!C3:C251)</f>
        <v>1.4468915912732892E-4</v>
      </c>
      <c r="D14" s="36">
        <f>_xlfn.COVARIANCE.S(Returns!D3:D251,Returns!D3:D251)</f>
        <v>3.6628586452891308E-4</v>
      </c>
      <c r="E14" s="39"/>
      <c r="F14" s="39"/>
    </row>
    <row r="16" spans="1:18" x14ac:dyDescent="0.25">
      <c r="A16" s="70" t="s">
        <v>17</v>
      </c>
      <c r="B16" s="70"/>
      <c r="C16" s="70"/>
      <c r="D16" s="70"/>
    </row>
    <row r="17" spans="1:5" x14ac:dyDescent="0.25">
      <c r="A17" s="71"/>
      <c r="B17" s="71"/>
      <c r="C17" s="71"/>
      <c r="D17" s="71"/>
    </row>
    <row r="18" spans="1:5" x14ac:dyDescent="0.25">
      <c r="A18" s="27" t="s">
        <v>16</v>
      </c>
      <c r="B18" s="28" t="s">
        <v>12</v>
      </c>
      <c r="C18" s="28" t="s">
        <v>13</v>
      </c>
      <c r="D18" s="29" t="s">
        <v>14</v>
      </c>
      <c r="E18" s="39"/>
    </row>
    <row r="19" spans="1:5" x14ac:dyDescent="0.25">
      <c r="A19" s="5" t="s">
        <v>12</v>
      </c>
      <c r="B19" s="6">
        <f>CORREL(Returns!B3:B251,Returns!B3:B251)</f>
        <v>0.99999999999999978</v>
      </c>
      <c r="C19" s="6">
        <f>CORREL(Returns!B3:B251,Returns!C3:C251)</f>
        <v>0.40503852532915691</v>
      </c>
      <c r="D19" s="7">
        <f>CORREL(Returns!B3:B251,Returns!D3:D251)</f>
        <v>0.28113736292434199</v>
      </c>
    </row>
    <row r="20" spans="1:5" x14ac:dyDescent="0.25">
      <c r="A20" s="32" t="s">
        <v>13</v>
      </c>
      <c r="B20" s="37">
        <f>CORREL(Returns!C3:C251,Returns!B3:B251)</f>
        <v>0.40503852532915691</v>
      </c>
      <c r="C20" s="37">
        <f>CORREL(Returns!C3:C251,Returns!C3:C251)</f>
        <v>1.0000000000000002</v>
      </c>
      <c r="D20" s="38">
        <f>CORREL(Returns!C3:C251,Returns!D3:D251)</f>
        <v>0.20435319137611929</v>
      </c>
    </row>
    <row r="21" spans="1:5" x14ac:dyDescent="0.25">
      <c r="A21" s="2" t="s">
        <v>14</v>
      </c>
      <c r="B21" s="3">
        <f>CORREL(Returns!D3:D251,Returns!B3:B251)</f>
        <v>0.28113736292434199</v>
      </c>
      <c r="C21" s="3">
        <f>CORREL(Returns!D3:D251,Returns!C3:C251)</f>
        <v>0.20435319137611929</v>
      </c>
      <c r="D21" s="4">
        <f>CORREL(Returns!D3:D251,Returns!D3:D251)</f>
        <v>1</v>
      </c>
    </row>
  </sheetData>
  <mergeCells count="3">
    <mergeCell ref="A9:D10"/>
    <mergeCell ref="A16:D17"/>
    <mergeCell ref="A1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1F97-5824-46D4-A0E9-79C1E40150AA}">
  <dimension ref="A1:BJ69"/>
  <sheetViews>
    <sheetView zoomScale="55" zoomScaleNormal="55" workbookViewId="0">
      <selection activeCell="B8" sqref="B8"/>
    </sheetView>
  </sheetViews>
  <sheetFormatPr defaultRowHeight="15" x14ac:dyDescent="0.25"/>
  <cols>
    <col min="1" max="1" width="9.85546875" customWidth="1"/>
    <col min="2" max="2" width="13.7109375" customWidth="1"/>
    <col min="4" max="4" width="9.85546875" customWidth="1"/>
    <col min="62" max="62" width="13" customWidth="1"/>
  </cols>
  <sheetData>
    <row r="1" spans="1:62" x14ac:dyDescent="0.25">
      <c r="A1" s="73" t="s">
        <v>18</v>
      </c>
      <c r="B1" s="74"/>
    </row>
    <row r="2" spans="1:62" x14ac:dyDescent="0.25">
      <c r="A2" s="52" t="s">
        <v>19</v>
      </c>
      <c r="B2" s="53">
        <v>0</v>
      </c>
      <c r="D2" s="75" t="s">
        <v>20</v>
      </c>
      <c r="E2" s="75"/>
      <c r="F2" s="75"/>
      <c r="G2">
        <f xml:space="preserve"> ( B2 * Statistics!B5 ) + ( B3 * Statistics!B6 ) + ( B4 * Statistics!B7 )</f>
        <v>-7.943138502573624E-4</v>
      </c>
    </row>
    <row r="3" spans="1:62" x14ac:dyDescent="0.25">
      <c r="A3" s="52" t="s">
        <v>21</v>
      </c>
      <c r="B3" s="53">
        <v>0</v>
      </c>
    </row>
    <row r="4" spans="1:62" x14ac:dyDescent="0.25">
      <c r="A4" s="54" t="s">
        <v>22</v>
      </c>
      <c r="B4" s="55">
        <f>1-B2-B3</f>
        <v>1</v>
      </c>
    </row>
    <row r="7" spans="1:62" x14ac:dyDescent="0.25">
      <c r="A7" s="72" t="s">
        <v>23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</row>
    <row r="8" spans="1:62" x14ac:dyDescent="0.25">
      <c r="A8">
        <f>G2</f>
        <v>-7.943138502573624E-4</v>
      </c>
      <c r="B8" s="56">
        <v>-0.3</v>
      </c>
      <c r="C8" s="56">
        <v>-0.28999999999999998</v>
      </c>
      <c r="D8" s="56">
        <v>-0.28000000000000003</v>
      </c>
      <c r="E8" s="56">
        <v>-0.27</v>
      </c>
      <c r="F8" s="56">
        <v>-0.26</v>
      </c>
      <c r="G8" s="56">
        <v>-0.25</v>
      </c>
      <c r="H8" s="56">
        <v>-0.24</v>
      </c>
      <c r="I8" s="56">
        <v>-0.23</v>
      </c>
      <c r="J8" s="56">
        <v>-0.22</v>
      </c>
      <c r="K8" s="56">
        <v>-0.21</v>
      </c>
      <c r="L8" s="56">
        <v>-0.2</v>
      </c>
      <c r="M8" s="56">
        <v>-0.19</v>
      </c>
      <c r="N8" s="56">
        <v>-0.18</v>
      </c>
      <c r="O8" s="56">
        <v>-0.17</v>
      </c>
      <c r="P8" s="56">
        <v>-0.16</v>
      </c>
      <c r="Q8" s="56">
        <v>-0.15</v>
      </c>
      <c r="R8" s="56">
        <v>-0.14000000000000001</v>
      </c>
      <c r="S8" s="56">
        <v>-0.13</v>
      </c>
      <c r="T8" s="56">
        <v>-0.12</v>
      </c>
      <c r="U8" s="56">
        <v>-0.11</v>
      </c>
      <c r="V8" s="56">
        <v>-0.1</v>
      </c>
      <c r="W8" s="56">
        <v>-0.09</v>
      </c>
      <c r="X8" s="56">
        <v>-0.08</v>
      </c>
      <c r="Y8" s="56">
        <v>-7.0000000000000007E-2</v>
      </c>
      <c r="Z8" s="56">
        <v>-0.06</v>
      </c>
      <c r="AA8" s="56">
        <v>-0.05</v>
      </c>
      <c r="AB8" s="56">
        <v>-0.04</v>
      </c>
      <c r="AC8" s="56">
        <v>-0.03</v>
      </c>
      <c r="AD8" s="56">
        <v>-0.02</v>
      </c>
      <c r="AE8" s="56">
        <v>-0.01</v>
      </c>
      <c r="AF8" s="56">
        <v>0</v>
      </c>
      <c r="AG8" s="56">
        <v>0.01</v>
      </c>
      <c r="AH8" s="56">
        <v>0.02</v>
      </c>
      <c r="AI8" s="56">
        <v>0.03</v>
      </c>
      <c r="AJ8" s="56">
        <v>0.04</v>
      </c>
      <c r="AK8" s="56">
        <v>0.05</v>
      </c>
      <c r="AL8" s="56">
        <v>0.06</v>
      </c>
      <c r="AM8" s="56">
        <v>7.0000000000000007E-2</v>
      </c>
      <c r="AN8" s="56">
        <v>0.08</v>
      </c>
      <c r="AO8" s="56">
        <v>0.09</v>
      </c>
      <c r="AP8" s="56">
        <v>0.1</v>
      </c>
      <c r="AQ8" s="56">
        <v>0.11</v>
      </c>
      <c r="AR8" s="56">
        <v>0.12</v>
      </c>
      <c r="AS8" s="56">
        <v>0.13</v>
      </c>
      <c r="AT8" s="56">
        <v>0.14000000000000001</v>
      </c>
      <c r="AU8" s="56">
        <v>0.15</v>
      </c>
      <c r="AV8" s="56">
        <v>0.16</v>
      </c>
      <c r="AW8" s="56">
        <v>0.17</v>
      </c>
      <c r="AX8" s="56">
        <v>0.18</v>
      </c>
      <c r="AY8" s="56">
        <v>0.19</v>
      </c>
      <c r="AZ8" s="56">
        <v>0.2</v>
      </c>
      <c r="BA8" s="56">
        <v>0.21</v>
      </c>
      <c r="BB8" s="56">
        <v>0.22</v>
      </c>
      <c r="BC8" s="56">
        <v>0.23</v>
      </c>
      <c r="BD8" s="56">
        <v>0.24</v>
      </c>
      <c r="BE8" s="56">
        <v>0.25</v>
      </c>
      <c r="BF8" s="56">
        <v>0.26</v>
      </c>
      <c r="BG8" s="56">
        <v>0.27000000000000102</v>
      </c>
      <c r="BH8" s="56">
        <v>0.28000000000000103</v>
      </c>
      <c r="BI8" s="56">
        <v>0.29000000000000098</v>
      </c>
      <c r="BJ8" s="56">
        <v>0.30000000000000099</v>
      </c>
    </row>
    <row r="9" spans="1:62" x14ac:dyDescent="0.25">
      <c r="A9" s="57">
        <v>-0.3</v>
      </c>
      <c r="B9">
        <f t="dataTable" ref="B9:BJ69" dt2D="1" dtr="1" r1="B2" r2="B3"/>
        <v>-1.1949753046213915E-3</v>
      </c>
      <c r="C9">
        <v>-1.1881941306547124E-3</v>
      </c>
      <c r="D9">
        <v>-1.1814129566880332E-3</v>
      </c>
      <c r="E9">
        <v>-1.1746317827213541E-3</v>
      </c>
      <c r="F9">
        <v>-1.1678506087546749E-3</v>
      </c>
      <c r="G9">
        <v>-1.1610694347879958E-3</v>
      </c>
      <c r="H9">
        <v>-1.1542882608213166E-3</v>
      </c>
      <c r="I9">
        <v>-1.1475070868546375E-3</v>
      </c>
      <c r="J9">
        <v>-1.1407259128879584E-3</v>
      </c>
      <c r="K9">
        <v>-1.1339447389212794E-3</v>
      </c>
      <c r="L9">
        <v>-1.1271635649546003E-3</v>
      </c>
      <c r="M9">
        <v>-1.1203823909879211E-3</v>
      </c>
      <c r="N9">
        <v>-1.113601217021242E-3</v>
      </c>
      <c r="O9">
        <v>-1.1068200430545631E-3</v>
      </c>
      <c r="P9">
        <v>-1.1000388690878839E-3</v>
      </c>
      <c r="Q9">
        <v>-1.0932576951212048E-3</v>
      </c>
      <c r="R9">
        <v>-1.0864765211545256E-3</v>
      </c>
      <c r="S9">
        <v>-1.0796953471878463E-3</v>
      </c>
      <c r="T9">
        <v>-1.0729141732211676E-3</v>
      </c>
      <c r="U9">
        <v>-1.0661329992544884E-3</v>
      </c>
      <c r="V9">
        <v>-1.0593518252878093E-3</v>
      </c>
      <c r="W9">
        <v>-1.0525706513211301E-3</v>
      </c>
      <c r="X9">
        <v>-1.0457894773544512E-3</v>
      </c>
      <c r="Y9">
        <v>-1.0390083033877721E-3</v>
      </c>
      <c r="Z9">
        <v>-1.0322271294210929E-3</v>
      </c>
      <c r="AA9">
        <v>-1.0254459554544138E-3</v>
      </c>
      <c r="AB9">
        <v>-1.0186647814877346E-3</v>
      </c>
      <c r="AC9">
        <v>-1.0118836075210557E-3</v>
      </c>
      <c r="AD9">
        <v>-1.0051024335543765E-3</v>
      </c>
      <c r="AE9">
        <v>-9.9832125958769719E-4</v>
      </c>
      <c r="AF9">
        <v>-9.9154008562101804E-4</v>
      </c>
      <c r="AG9">
        <v>-9.8475891165433912E-4</v>
      </c>
      <c r="AH9">
        <v>-9.7797773768765997E-4</v>
      </c>
      <c r="AI9">
        <v>-9.7119656372098083E-4</v>
      </c>
      <c r="AJ9">
        <v>-9.6441538975430168E-4</v>
      </c>
      <c r="AK9">
        <v>-9.5763421578762265E-4</v>
      </c>
      <c r="AL9">
        <v>-9.508530418209435E-4</v>
      </c>
      <c r="AM9">
        <v>-9.4407186785426447E-4</v>
      </c>
      <c r="AN9">
        <v>-9.3729069388758532E-4</v>
      </c>
      <c r="AO9">
        <v>-9.3050951992090618E-4</v>
      </c>
      <c r="AP9">
        <v>-9.2372834595422703E-4</v>
      </c>
      <c r="AQ9">
        <v>-9.16947171987548E-4</v>
      </c>
      <c r="AR9">
        <v>-9.1016599802086885E-4</v>
      </c>
      <c r="AS9">
        <v>-9.0338482405418982E-4</v>
      </c>
      <c r="AT9">
        <v>-8.9660365008751067E-4</v>
      </c>
      <c r="AU9">
        <v>-8.8982247612083153E-4</v>
      </c>
      <c r="AV9">
        <v>-8.8304130215415238E-4</v>
      </c>
      <c r="AW9">
        <v>-8.7626012818747324E-4</v>
      </c>
      <c r="AX9">
        <v>-8.6947895422079442E-4</v>
      </c>
      <c r="AY9">
        <v>-8.6269778025411528E-4</v>
      </c>
      <c r="AZ9">
        <v>-8.5591660628743613E-4</v>
      </c>
      <c r="BA9">
        <v>-8.4913543232075699E-4</v>
      </c>
      <c r="BB9">
        <v>-8.4235425835407795E-4</v>
      </c>
      <c r="BC9">
        <v>-8.3557308438739881E-4</v>
      </c>
      <c r="BD9">
        <v>-8.2879191042071966E-4</v>
      </c>
      <c r="BE9">
        <v>-8.2201073645404063E-4</v>
      </c>
      <c r="BF9">
        <v>-8.1522956248736148E-4</v>
      </c>
      <c r="BG9">
        <v>-8.0844838852068158E-4</v>
      </c>
      <c r="BH9">
        <v>-8.0166721455400243E-4</v>
      </c>
      <c r="BI9">
        <v>-7.9488604058732361E-4</v>
      </c>
      <c r="BJ9">
        <v>-7.8810486662064436E-4</v>
      </c>
    </row>
    <row r="10" spans="1:62" x14ac:dyDescent="0.25">
      <c r="A10" s="57">
        <v>-0.28999999999999998</v>
      </c>
      <c r="B10">
        <v>-1.1884010967759362E-3</v>
      </c>
      <c r="C10">
        <v>-1.181619922809257E-3</v>
      </c>
      <c r="D10">
        <v>-1.1748387488425781E-3</v>
      </c>
      <c r="E10">
        <v>-1.1680575748758987E-3</v>
      </c>
      <c r="F10">
        <v>-1.1612764009092196E-3</v>
      </c>
      <c r="G10">
        <v>-1.1544952269425405E-3</v>
      </c>
      <c r="H10">
        <v>-1.1477140529758615E-3</v>
      </c>
      <c r="I10">
        <v>-1.1409328790091824E-3</v>
      </c>
      <c r="J10">
        <v>-1.1341517050425032E-3</v>
      </c>
      <c r="K10">
        <v>-1.1273705310758241E-3</v>
      </c>
      <c r="L10">
        <v>-1.1205893571091452E-3</v>
      </c>
      <c r="M10">
        <v>-1.113808183142466E-3</v>
      </c>
      <c r="N10">
        <v>-1.1070270091757869E-3</v>
      </c>
      <c r="O10">
        <v>-1.1002458352091077E-3</v>
      </c>
      <c r="P10">
        <v>-1.0934646612424286E-3</v>
      </c>
      <c r="Q10">
        <v>-1.0866834872757497E-3</v>
      </c>
      <c r="R10">
        <v>-1.0799023133090705E-3</v>
      </c>
      <c r="S10">
        <v>-1.0731211393423912E-3</v>
      </c>
      <c r="T10">
        <v>-1.0663399653757122E-3</v>
      </c>
      <c r="U10">
        <v>-1.0595587914090333E-3</v>
      </c>
      <c r="V10">
        <v>-1.0527776174423542E-3</v>
      </c>
      <c r="W10">
        <v>-1.045996443475675E-3</v>
      </c>
      <c r="X10">
        <v>-1.0392152695089959E-3</v>
      </c>
      <c r="Y10">
        <v>-1.0324340955423167E-3</v>
      </c>
      <c r="Z10">
        <v>-1.0256529215756378E-3</v>
      </c>
      <c r="AA10">
        <v>-1.0188717476089587E-3</v>
      </c>
      <c r="AB10">
        <v>-1.0120905736422795E-3</v>
      </c>
      <c r="AC10">
        <v>-1.0053093996756004E-3</v>
      </c>
      <c r="AD10">
        <v>-9.9852822570892122E-4</v>
      </c>
      <c r="AE10">
        <v>-9.9174705174224207E-4</v>
      </c>
      <c r="AF10">
        <v>-9.8496587777556293E-4</v>
      </c>
      <c r="AG10">
        <v>-9.7818470380888378E-4</v>
      </c>
      <c r="AH10">
        <v>-9.7140352984220475E-4</v>
      </c>
      <c r="AI10">
        <v>-9.646223558755256E-4</v>
      </c>
      <c r="AJ10">
        <v>-9.5784118190884657E-4</v>
      </c>
      <c r="AK10">
        <v>-9.5106000794216742E-4</v>
      </c>
      <c r="AL10">
        <v>-9.4427883397548839E-4</v>
      </c>
      <c r="AM10">
        <v>-9.3749766000880924E-4</v>
      </c>
      <c r="AN10">
        <v>-9.307164860421301E-4</v>
      </c>
      <c r="AO10">
        <v>-9.2393531207545095E-4</v>
      </c>
      <c r="AP10">
        <v>-9.1715413810877192E-4</v>
      </c>
      <c r="AQ10">
        <v>-9.1037296414209277E-4</v>
      </c>
      <c r="AR10">
        <v>-9.0359179017541363E-4</v>
      </c>
      <c r="AS10">
        <v>-8.9681061620873459E-4</v>
      </c>
      <c r="AT10">
        <v>-8.9002944224205545E-4</v>
      </c>
      <c r="AU10">
        <v>-8.832482682753763E-4</v>
      </c>
      <c r="AV10">
        <v>-8.7646709430869716E-4</v>
      </c>
      <c r="AW10">
        <v>-8.6968592034201812E-4</v>
      </c>
      <c r="AX10">
        <v>-8.629047463753392E-4</v>
      </c>
      <c r="AY10">
        <v>-8.5612357240866005E-4</v>
      </c>
      <c r="AZ10">
        <v>-8.4934239844198091E-4</v>
      </c>
      <c r="BA10">
        <v>-8.4256122447530176E-4</v>
      </c>
      <c r="BB10">
        <v>-8.3578005050862273E-4</v>
      </c>
      <c r="BC10">
        <v>-8.2899887654194358E-4</v>
      </c>
      <c r="BD10">
        <v>-8.2221770257526455E-4</v>
      </c>
      <c r="BE10">
        <v>-8.154365286085854E-4</v>
      </c>
      <c r="BF10">
        <v>-8.0865535464190626E-4</v>
      </c>
      <c r="BG10">
        <v>-8.0187418067522635E-4</v>
      </c>
      <c r="BH10">
        <v>-7.9509300670854732E-4</v>
      </c>
      <c r="BI10">
        <v>-7.8831183274186828E-4</v>
      </c>
      <c r="BJ10">
        <v>-7.8153065877518925E-4</v>
      </c>
    </row>
    <row r="11" spans="1:62" x14ac:dyDescent="0.25">
      <c r="A11" s="57">
        <v>-0.28000000000000003</v>
      </c>
      <c r="B11">
        <v>-1.1818268889304811E-3</v>
      </c>
      <c r="C11">
        <v>-1.1750457149638019E-3</v>
      </c>
      <c r="D11">
        <v>-1.1682645409971226E-3</v>
      </c>
      <c r="E11">
        <v>-1.1614833670304436E-3</v>
      </c>
      <c r="F11">
        <v>-1.1547021930637645E-3</v>
      </c>
      <c r="G11">
        <v>-1.1479210190970853E-3</v>
      </c>
      <c r="H11">
        <v>-1.1411398451304062E-3</v>
      </c>
      <c r="I11">
        <v>-1.1343586711637273E-3</v>
      </c>
      <c r="J11">
        <v>-1.1275774971970481E-3</v>
      </c>
      <c r="K11">
        <v>-1.120796323230369E-3</v>
      </c>
      <c r="L11">
        <v>-1.1140151492636898E-3</v>
      </c>
      <c r="M11">
        <v>-1.1072339752970107E-3</v>
      </c>
      <c r="N11">
        <v>-1.1004528013303318E-3</v>
      </c>
      <c r="O11">
        <v>-1.0936716273636526E-3</v>
      </c>
      <c r="P11">
        <v>-1.0868904533969735E-3</v>
      </c>
      <c r="Q11">
        <v>-1.0801092794302941E-3</v>
      </c>
      <c r="R11">
        <v>-1.0733281054636154E-3</v>
      </c>
      <c r="S11">
        <v>-1.066546931496936E-3</v>
      </c>
      <c r="T11">
        <v>-1.0597657575302571E-3</v>
      </c>
      <c r="U11">
        <v>-1.052984583563578E-3</v>
      </c>
      <c r="V11">
        <v>-1.0462034095968988E-3</v>
      </c>
      <c r="W11">
        <v>-1.0394222356302199E-3</v>
      </c>
      <c r="X11">
        <v>-1.0326410616635408E-3</v>
      </c>
      <c r="Y11">
        <v>-1.0258598876968616E-3</v>
      </c>
      <c r="Z11">
        <v>-1.0190787137301825E-3</v>
      </c>
      <c r="AA11">
        <v>-1.0122975397635035E-3</v>
      </c>
      <c r="AB11">
        <v>-1.0055163657968244E-3</v>
      </c>
      <c r="AC11">
        <v>-9.9873519183014503E-4</v>
      </c>
      <c r="AD11">
        <v>-9.9195401786346588E-4</v>
      </c>
      <c r="AE11">
        <v>-9.8517284389678674E-4</v>
      </c>
      <c r="AF11">
        <v>-9.7839166993010781E-4</v>
      </c>
      <c r="AG11">
        <v>-9.7161049596342867E-4</v>
      </c>
      <c r="AH11">
        <v>-9.6482932199674952E-4</v>
      </c>
      <c r="AI11">
        <v>-9.5804814803007049E-4</v>
      </c>
      <c r="AJ11">
        <v>-9.5126697406339134E-4</v>
      </c>
      <c r="AK11">
        <v>-9.4448580009671231E-4</v>
      </c>
      <c r="AL11">
        <v>-9.3770462613003316E-4</v>
      </c>
      <c r="AM11">
        <v>-9.3092345216335402E-4</v>
      </c>
      <c r="AN11">
        <v>-9.2414227819667509E-4</v>
      </c>
      <c r="AO11">
        <v>-9.1736110422999573E-4</v>
      </c>
      <c r="AP11">
        <v>-9.1057993026331691E-4</v>
      </c>
      <c r="AQ11">
        <v>-9.0379875629663755E-4</v>
      </c>
      <c r="AR11">
        <v>-8.9701758232995862E-4</v>
      </c>
      <c r="AS11">
        <v>-8.9023640836327937E-4</v>
      </c>
      <c r="AT11">
        <v>-8.8345523439660044E-4</v>
      </c>
      <c r="AU11">
        <v>-8.7667406042992108E-4</v>
      </c>
      <c r="AV11">
        <v>-8.6989288646324226E-4</v>
      </c>
      <c r="AW11">
        <v>-8.631117124965629E-4</v>
      </c>
      <c r="AX11">
        <v>-8.5633053852988386E-4</v>
      </c>
      <c r="AY11">
        <v>-8.4954936456320483E-4</v>
      </c>
      <c r="AZ11">
        <v>-8.4276819059652568E-4</v>
      </c>
      <c r="BA11">
        <v>-8.3598701662984665E-4</v>
      </c>
      <c r="BB11">
        <v>-8.292058426631675E-4</v>
      </c>
      <c r="BC11">
        <v>-8.2242466869648847E-4</v>
      </c>
      <c r="BD11">
        <v>-8.1564349472980932E-4</v>
      </c>
      <c r="BE11">
        <v>-8.0886232076313018E-4</v>
      </c>
      <c r="BF11">
        <v>-8.0208114679645103E-4</v>
      </c>
      <c r="BG11">
        <v>-7.9529997282977124E-4</v>
      </c>
      <c r="BH11">
        <v>-7.885187988630922E-4</v>
      </c>
      <c r="BI11">
        <v>-7.8173762489641306E-4</v>
      </c>
      <c r="BJ11">
        <v>-7.7495645092973402E-4</v>
      </c>
    </row>
    <row r="12" spans="1:62" x14ac:dyDescent="0.25">
      <c r="A12" s="57">
        <v>-0.27</v>
      </c>
      <c r="B12">
        <v>-1.1752526810850259E-3</v>
      </c>
      <c r="C12">
        <v>-1.1684715071183466E-3</v>
      </c>
      <c r="D12">
        <v>-1.1616903331516674E-3</v>
      </c>
      <c r="E12">
        <v>-1.1549091591849883E-3</v>
      </c>
      <c r="F12">
        <v>-1.1481279852183094E-3</v>
      </c>
      <c r="G12">
        <v>-1.1413468112516302E-3</v>
      </c>
      <c r="H12">
        <v>-1.1345656372849511E-3</v>
      </c>
      <c r="I12">
        <v>-1.1277844633182719E-3</v>
      </c>
      <c r="J12">
        <v>-1.1210032893515928E-3</v>
      </c>
      <c r="K12">
        <v>-1.1142221153849139E-3</v>
      </c>
      <c r="L12">
        <v>-1.1074409414182347E-3</v>
      </c>
      <c r="M12">
        <v>-1.1006597674515556E-3</v>
      </c>
      <c r="N12">
        <v>-1.0938785934848764E-3</v>
      </c>
      <c r="O12">
        <v>-1.0870974195181975E-3</v>
      </c>
      <c r="P12">
        <v>-1.0803162455515181E-3</v>
      </c>
      <c r="Q12">
        <v>-1.073535071584839E-3</v>
      </c>
      <c r="R12">
        <v>-1.0667538976181601E-3</v>
      </c>
      <c r="S12">
        <v>-1.0599727236514809E-3</v>
      </c>
      <c r="T12">
        <v>-1.053191549684802E-3</v>
      </c>
      <c r="U12">
        <v>-1.0464103757181229E-3</v>
      </c>
      <c r="V12">
        <v>-1.0396292017514437E-3</v>
      </c>
      <c r="W12">
        <v>-1.0328480277847646E-3</v>
      </c>
      <c r="X12">
        <v>-1.0260668538180856E-3</v>
      </c>
      <c r="Y12">
        <v>-1.0192856798514065E-3</v>
      </c>
      <c r="Z12">
        <v>-1.0125045058847273E-3</v>
      </c>
      <c r="AA12">
        <v>-1.0057233319180482E-3</v>
      </c>
      <c r="AB12">
        <v>-9.9894215795136906E-4</v>
      </c>
      <c r="AC12">
        <v>-9.9216098398468991E-4</v>
      </c>
      <c r="AD12">
        <v>-9.8537981001801077E-4</v>
      </c>
      <c r="AE12">
        <v>-9.7859863605133162E-4</v>
      </c>
      <c r="AF12">
        <v>-9.7181746208465259E-4</v>
      </c>
      <c r="AG12">
        <v>-9.6503628811797344E-4</v>
      </c>
      <c r="AH12">
        <v>-9.5825511415129441E-4</v>
      </c>
      <c r="AI12">
        <v>-9.5147394018461526E-4</v>
      </c>
      <c r="AJ12">
        <v>-9.4469276621793623E-4</v>
      </c>
      <c r="AK12">
        <v>-9.3791159225125708E-4</v>
      </c>
      <c r="AL12">
        <v>-9.3113041828457783E-4</v>
      </c>
      <c r="AM12">
        <v>-9.2434924431789879E-4</v>
      </c>
      <c r="AN12">
        <v>-9.1756807035121965E-4</v>
      </c>
      <c r="AO12">
        <v>-9.1078689638454083E-4</v>
      </c>
      <c r="AP12">
        <v>-9.0400572241786147E-4</v>
      </c>
      <c r="AQ12">
        <v>-8.9722454845118254E-4</v>
      </c>
      <c r="AR12">
        <v>-8.9044337448450329E-4</v>
      </c>
      <c r="AS12">
        <v>-8.8366220051782436E-4</v>
      </c>
      <c r="AT12">
        <v>-8.76881026551145E-4</v>
      </c>
      <c r="AU12">
        <v>-8.7009985258446618E-4</v>
      </c>
      <c r="AV12">
        <v>-8.6331867861778682E-4</v>
      </c>
      <c r="AW12">
        <v>-8.5653750465110778E-4</v>
      </c>
      <c r="AX12">
        <v>-8.4975633068442875E-4</v>
      </c>
      <c r="AY12">
        <v>-8.429751567177496E-4</v>
      </c>
      <c r="AZ12">
        <v>-8.3619398275107057E-4</v>
      </c>
      <c r="BA12">
        <v>-8.2941280878439142E-4</v>
      </c>
      <c r="BB12">
        <v>-8.2263163481771239E-4</v>
      </c>
      <c r="BC12">
        <v>-8.1585046085103324E-4</v>
      </c>
      <c r="BD12">
        <v>-8.090692868843541E-4</v>
      </c>
      <c r="BE12">
        <v>-8.0228811291767495E-4</v>
      </c>
      <c r="BF12">
        <v>-7.9550693895099581E-4</v>
      </c>
      <c r="BG12">
        <v>-7.8872576498431612E-4</v>
      </c>
      <c r="BH12">
        <v>-7.8194459101763709E-4</v>
      </c>
      <c r="BI12">
        <v>-7.7516341705095794E-4</v>
      </c>
      <c r="BJ12">
        <v>-7.683822430842788E-4</v>
      </c>
    </row>
    <row r="13" spans="1:62" x14ac:dyDescent="0.25">
      <c r="A13" s="57">
        <v>-0.26</v>
      </c>
      <c r="B13">
        <v>-1.1686784732395704E-3</v>
      </c>
      <c r="C13">
        <v>-1.1618972992728915E-3</v>
      </c>
      <c r="D13">
        <v>-1.1551161253062123E-3</v>
      </c>
      <c r="E13">
        <v>-1.1483349513395332E-3</v>
      </c>
      <c r="F13">
        <v>-1.141553777372854E-3</v>
      </c>
      <c r="G13">
        <v>-1.1347726034061749E-3</v>
      </c>
      <c r="H13">
        <v>-1.127991429439496E-3</v>
      </c>
      <c r="I13">
        <v>-1.1212102554728168E-3</v>
      </c>
      <c r="J13">
        <v>-1.1144290815061377E-3</v>
      </c>
      <c r="K13">
        <v>-1.1076479075394585E-3</v>
      </c>
      <c r="L13">
        <v>-1.1008667335727796E-3</v>
      </c>
      <c r="M13">
        <v>-1.0940855596061005E-3</v>
      </c>
      <c r="N13">
        <v>-1.0873043856394213E-3</v>
      </c>
      <c r="O13">
        <v>-1.080523211672742E-3</v>
      </c>
      <c r="P13">
        <v>-1.073742037706063E-3</v>
      </c>
      <c r="Q13">
        <v>-1.0669608637393839E-3</v>
      </c>
      <c r="R13">
        <v>-1.060179689772705E-3</v>
      </c>
      <c r="S13">
        <v>-1.0533985158060256E-3</v>
      </c>
      <c r="T13">
        <v>-1.0466173418393467E-3</v>
      </c>
      <c r="U13">
        <v>-1.0398361678726677E-3</v>
      </c>
      <c r="V13">
        <v>-1.0330549939059886E-3</v>
      </c>
      <c r="W13">
        <v>-1.0262738199393094E-3</v>
      </c>
      <c r="X13">
        <v>-1.0194926459726303E-3</v>
      </c>
      <c r="Y13">
        <v>-1.0127114720059514E-3</v>
      </c>
      <c r="Z13">
        <v>-1.0059302980392722E-3</v>
      </c>
      <c r="AA13">
        <v>-9.9914912407259287E-4</v>
      </c>
      <c r="AB13">
        <v>-9.9236795010591372E-4</v>
      </c>
      <c r="AC13">
        <v>-9.8558677613923458E-4</v>
      </c>
      <c r="AD13">
        <v>-9.7880560217255565E-4</v>
      </c>
      <c r="AE13">
        <v>-9.7202442820587651E-4</v>
      </c>
      <c r="AF13">
        <v>-9.6524325423919736E-4</v>
      </c>
      <c r="AG13">
        <v>-9.5846208027251833E-4</v>
      </c>
      <c r="AH13">
        <v>-9.5168090630583918E-4</v>
      </c>
      <c r="AI13">
        <v>-9.4489973233916015E-4</v>
      </c>
      <c r="AJ13">
        <v>-9.38118558372481E-4</v>
      </c>
      <c r="AK13">
        <v>-9.3133738440580175E-4</v>
      </c>
      <c r="AL13">
        <v>-9.2455621043912271E-4</v>
      </c>
      <c r="AM13">
        <v>-9.1777503647244357E-4</v>
      </c>
      <c r="AN13">
        <v>-9.1099386250576475E-4</v>
      </c>
      <c r="AO13">
        <v>-9.0421268853908539E-4</v>
      </c>
      <c r="AP13">
        <v>-8.9743151457240646E-4</v>
      </c>
      <c r="AQ13">
        <v>-8.9065034060572721E-4</v>
      </c>
      <c r="AR13">
        <v>-8.8386916663904828E-4</v>
      </c>
      <c r="AS13">
        <v>-8.7708799267236892E-4</v>
      </c>
      <c r="AT13">
        <v>-8.7030681870568999E-4</v>
      </c>
      <c r="AU13">
        <v>-8.6352564473901074E-4</v>
      </c>
      <c r="AV13">
        <v>-8.567444707723317E-4</v>
      </c>
      <c r="AW13">
        <v>-8.4996329680565256E-4</v>
      </c>
      <c r="AX13">
        <v>-8.4318212283897352E-4</v>
      </c>
      <c r="AY13">
        <v>-8.3640094887229449E-4</v>
      </c>
      <c r="AZ13">
        <v>-8.2961977490561534E-4</v>
      </c>
      <c r="BA13">
        <v>-8.2283860093893631E-4</v>
      </c>
      <c r="BB13">
        <v>-8.1605742697225716E-4</v>
      </c>
      <c r="BC13">
        <v>-8.0927625300557802E-4</v>
      </c>
      <c r="BD13">
        <v>-8.0249507903889887E-4</v>
      </c>
      <c r="BE13">
        <v>-7.9571390507221973E-4</v>
      </c>
      <c r="BF13">
        <v>-7.8893273110554069E-4</v>
      </c>
      <c r="BG13">
        <v>-7.821515571388609E-4</v>
      </c>
      <c r="BH13">
        <v>-7.7537038317218175E-4</v>
      </c>
      <c r="BI13">
        <v>-7.6858920920550272E-4</v>
      </c>
      <c r="BJ13">
        <v>-7.6180803523882368E-4</v>
      </c>
    </row>
    <row r="14" spans="1:62" x14ac:dyDescent="0.25">
      <c r="A14" s="57">
        <v>-0.25</v>
      </c>
      <c r="B14">
        <v>-1.1621042653941153E-3</v>
      </c>
      <c r="C14">
        <v>-1.1553230914274361E-3</v>
      </c>
      <c r="D14">
        <v>-1.148541917460757E-3</v>
      </c>
      <c r="E14">
        <v>-1.1417607434940781E-3</v>
      </c>
      <c r="F14">
        <v>-1.1349795695273989E-3</v>
      </c>
      <c r="G14">
        <v>-1.1281983955607198E-3</v>
      </c>
      <c r="H14">
        <v>-1.1214172215940406E-3</v>
      </c>
      <c r="I14">
        <v>-1.1146360476273617E-3</v>
      </c>
      <c r="J14">
        <v>-1.1078548736606826E-3</v>
      </c>
      <c r="K14">
        <v>-1.1010736996940034E-3</v>
      </c>
      <c r="L14">
        <v>-1.0942925257273243E-3</v>
      </c>
      <c r="M14">
        <v>-1.0875113517606451E-3</v>
      </c>
      <c r="N14">
        <v>-1.080730177793966E-3</v>
      </c>
      <c r="O14">
        <v>-1.0739490038272868E-3</v>
      </c>
      <c r="P14">
        <v>-1.0671678298606077E-3</v>
      </c>
      <c r="Q14">
        <v>-1.0603866558939285E-3</v>
      </c>
      <c r="R14">
        <v>-1.0536054819272498E-3</v>
      </c>
      <c r="S14">
        <v>-1.0468243079605705E-3</v>
      </c>
      <c r="T14">
        <v>-1.0400431339938915E-3</v>
      </c>
      <c r="U14">
        <v>-1.0332619600272124E-3</v>
      </c>
      <c r="V14">
        <v>-1.0264807860605335E-3</v>
      </c>
      <c r="W14">
        <v>-1.0196996120938543E-3</v>
      </c>
      <c r="X14">
        <v>-1.0129184381271752E-3</v>
      </c>
      <c r="Y14">
        <v>-1.006137264160496E-3</v>
      </c>
      <c r="Z14">
        <v>-9.9935609019381668E-4</v>
      </c>
      <c r="AA14">
        <v>-9.9257491622713775E-4</v>
      </c>
      <c r="AB14">
        <v>-9.8579374226045861E-4</v>
      </c>
      <c r="AC14">
        <v>-9.7901256829377946E-4</v>
      </c>
      <c r="AD14">
        <v>-9.7223139432710043E-4</v>
      </c>
      <c r="AE14">
        <v>-9.6545022036042128E-4</v>
      </c>
      <c r="AF14">
        <v>-9.5866904639374225E-4</v>
      </c>
      <c r="AG14">
        <v>-9.518878724270631E-4</v>
      </c>
      <c r="AH14">
        <v>-9.4510669846038396E-4</v>
      </c>
      <c r="AI14">
        <v>-9.3832552449370492E-4</v>
      </c>
      <c r="AJ14">
        <v>-9.3154435052702567E-4</v>
      </c>
      <c r="AK14">
        <v>-9.2476317656034663E-4</v>
      </c>
      <c r="AL14">
        <v>-9.1798200259366749E-4</v>
      </c>
      <c r="AM14">
        <v>-9.1120082862698845E-4</v>
      </c>
      <c r="AN14">
        <v>-9.0441965466030931E-4</v>
      </c>
      <c r="AO14">
        <v>-8.9763848069363038E-4</v>
      </c>
      <c r="AP14">
        <v>-8.9085730672695113E-4</v>
      </c>
      <c r="AQ14">
        <v>-8.8407613276027209E-4</v>
      </c>
      <c r="AR14">
        <v>-8.7729495879359284E-4</v>
      </c>
      <c r="AS14">
        <v>-8.7051378482691391E-4</v>
      </c>
      <c r="AT14">
        <v>-8.6373261086023466E-4</v>
      </c>
      <c r="AU14">
        <v>-8.5695143689355562E-4</v>
      </c>
      <c r="AV14">
        <v>-8.5017026292687648E-4</v>
      </c>
      <c r="AW14">
        <v>-8.4338908896019744E-4</v>
      </c>
      <c r="AX14">
        <v>-8.3660791499351841E-4</v>
      </c>
      <c r="AY14">
        <v>-8.2982674102683926E-4</v>
      </c>
      <c r="AZ14">
        <v>-8.2304556706016023E-4</v>
      </c>
      <c r="BA14">
        <v>-8.1626439309348108E-4</v>
      </c>
      <c r="BB14">
        <v>-8.0948321912680183E-4</v>
      </c>
      <c r="BC14">
        <v>-8.0270204516012279E-4</v>
      </c>
      <c r="BD14">
        <v>-7.9592087119344365E-4</v>
      </c>
      <c r="BE14">
        <v>-7.8913969722676461E-4</v>
      </c>
      <c r="BF14">
        <v>-7.8235852326008547E-4</v>
      </c>
      <c r="BG14">
        <v>-7.7557734929340567E-4</v>
      </c>
      <c r="BH14">
        <v>-7.6879617532672653E-4</v>
      </c>
      <c r="BI14">
        <v>-7.620150013600476E-4</v>
      </c>
      <c r="BJ14">
        <v>-7.5523382739336846E-4</v>
      </c>
    </row>
    <row r="15" spans="1:62" x14ac:dyDescent="0.25">
      <c r="A15" s="57">
        <v>-0.24</v>
      </c>
      <c r="B15">
        <v>-1.1555300575486602E-3</v>
      </c>
      <c r="C15">
        <v>-1.148748883581981E-3</v>
      </c>
      <c r="D15">
        <v>-1.1419677096153019E-3</v>
      </c>
      <c r="E15">
        <v>-1.1351865356486227E-3</v>
      </c>
      <c r="F15">
        <v>-1.1284053616819438E-3</v>
      </c>
      <c r="G15">
        <v>-1.1216241877152647E-3</v>
      </c>
      <c r="H15">
        <v>-1.1148430137485855E-3</v>
      </c>
      <c r="I15">
        <v>-1.1080618397819064E-3</v>
      </c>
      <c r="J15">
        <v>-1.1012806658152274E-3</v>
      </c>
      <c r="K15">
        <v>-1.0944994918485483E-3</v>
      </c>
      <c r="L15">
        <v>-1.0877183178818692E-3</v>
      </c>
      <c r="M15">
        <v>-1.0809371439151898E-3</v>
      </c>
      <c r="N15">
        <v>-1.0741559699485106E-3</v>
      </c>
      <c r="O15">
        <v>-1.0673747959818317E-3</v>
      </c>
      <c r="P15">
        <v>-1.0605936220151526E-3</v>
      </c>
      <c r="Q15">
        <v>-1.0538124480484734E-3</v>
      </c>
      <c r="R15">
        <v>-1.0470312740817945E-3</v>
      </c>
      <c r="S15">
        <v>-1.0402501001151154E-3</v>
      </c>
      <c r="T15">
        <v>-1.0334689261484364E-3</v>
      </c>
      <c r="U15">
        <v>-1.0266877521817573E-3</v>
      </c>
      <c r="V15">
        <v>-1.0199065782150781E-3</v>
      </c>
      <c r="W15">
        <v>-1.013125404248399E-3</v>
      </c>
      <c r="X15">
        <v>-1.0063442302817201E-3</v>
      </c>
      <c r="Y15">
        <v>-9.9956305631504071E-4</v>
      </c>
      <c r="Z15">
        <v>-9.9278188234836156E-4</v>
      </c>
      <c r="AA15">
        <v>-9.8600070838168242E-4</v>
      </c>
      <c r="AB15">
        <v>-9.7921953441500349E-4</v>
      </c>
      <c r="AC15">
        <v>-9.7243836044832435E-4</v>
      </c>
      <c r="AD15">
        <v>-9.656571864816452E-4</v>
      </c>
      <c r="AE15">
        <v>-9.5887601251496606E-4</v>
      </c>
      <c r="AF15">
        <v>-9.5209483854828702E-4</v>
      </c>
      <c r="AG15">
        <v>-9.4531366458160788E-4</v>
      </c>
      <c r="AH15">
        <v>-9.3853249061492884E-4</v>
      </c>
      <c r="AI15">
        <v>-9.3175131664824959E-4</v>
      </c>
      <c r="AJ15">
        <v>-9.2497014268157055E-4</v>
      </c>
      <c r="AK15">
        <v>-9.1818896871489141E-4</v>
      </c>
      <c r="AL15">
        <v>-9.1140779474821237E-4</v>
      </c>
      <c r="AM15">
        <v>-9.0462662078153323E-4</v>
      </c>
      <c r="AN15">
        <v>-8.978454468148543E-4</v>
      </c>
      <c r="AO15">
        <v>-8.9106427284817505E-4</v>
      </c>
      <c r="AP15">
        <v>-8.8428309888149601E-4</v>
      </c>
      <c r="AQ15">
        <v>-8.7750192491481676E-4</v>
      </c>
      <c r="AR15">
        <v>-8.7072075094813783E-4</v>
      </c>
      <c r="AS15">
        <v>-8.6393957698145858E-4</v>
      </c>
      <c r="AT15">
        <v>-8.5715840301477954E-4</v>
      </c>
      <c r="AU15">
        <v>-8.503772290481004E-4</v>
      </c>
      <c r="AV15">
        <v>-8.4359605508142136E-4</v>
      </c>
      <c r="AW15">
        <v>-8.3681488111474211E-4</v>
      </c>
      <c r="AX15">
        <v>-8.3003370714806318E-4</v>
      </c>
      <c r="AY15">
        <v>-8.2325253318138404E-4</v>
      </c>
      <c r="AZ15">
        <v>-8.16471359214705E-4</v>
      </c>
      <c r="BA15">
        <v>-8.0969018524802575E-4</v>
      </c>
      <c r="BB15">
        <v>-8.0290901128134671E-4</v>
      </c>
      <c r="BC15">
        <v>-7.9612783731466757E-4</v>
      </c>
      <c r="BD15">
        <v>-7.8934666334798853E-4</v>
      </c>
      <c r="BE15">
        <v>-7.8256548938130939E-4</v>
      </c>
      <c r="BF15">
        <v>-7.7578431541463035E-4</v>
      </c>
      <c r="BG15">
        <v>-7.6900314144795045E-4</v>
      </c>
      <c r="BH15">
        <v>-7.6222196748127141E-4</v>
      </c>
      <c r="BI15">
        <v>-7.5544079351459238E-4</v>
      </c>
      <c r="BJ15">
        <v>-7.4865961954791323E-4</v>
      </c>
    </row>
    <row r="16" spans="1:62" x14ac:dyDescent="0.25">
      <c r="A16" s="57">
        <v>-0.23</v>
      </c>
      <c r="B16">
        <v>-1.1489558497032048E-3</v>
      </c>
      <c r="C16">
        <v>-1.1421746757365259E-3</v>
      </c>
      <c r="D16">
        <v>-1.1353935017698468E-3</v>
      </c>
      <c r="E16">
        <v>-1.1286123278031676E-3</v>
      </c>
      <c r="F16">
        <v>-1.1218311538364885E-3</v>
      </c>
      <c r="G16">
        <v>-1.1150499798698095E-3</v>
      </c>
      <c r="H16">
        <v>-1.1082688059031304E-3</v>
      </c>
      <c r="I16">
        <v>-1.1014876319364513E-3</v>
      </c>
      <c r="J16">
        <v>-1.0947064579697721E-3</v>
      </c>
      <c r="K16">
        <v>-1.087925284003093E-3</v>
      </c>
      <c r="L16">
        <v>-1.0811441100364138E-3</v>
      </c>
      <c r="M16">
        <v>-1.0743629360697347E-3</v>
      </c>
      <c r="N16">
        <v>-1.0675817621030555E-3</v>
      </c>
      <c r="O16">
        <v>-1.0608005881363764E-3</v>
      </c>
      <c r="P16">
        <v>-1.0540194141696975E-3</v>
      </c>
      <c r="Q16">
        <v>-1.0472382402030183E-3</v>
      </c>
      <c r="R16">
        <v>-1.0404570662363394E-3</v>
      </c>
      <c r="S16">
        <v>-1.03367589226966E-3</v>
      </c>
      <c r="T16">
        <v>-1.0268947183029811E-3</v>
      </c>
      <c r="U16">
        <v>-1.0201135443363022E-3</v>
      </c>
      <c r="V16">
        <v>-1.013332370369623E-3</v>
      </c>
      <c r="W16">
        <v>-1.0065511964029439E-3</v>
      </c>
      <c r="X16">
        <v>-9.9977002243626452E-4</v>
      </c>
      <c r="Y16">
        <v>-9.9298884846958559E-4</v>
      </c>
      <c r="Z16">
        <v>-9.8620767450290645E-4</v>
      </c>
      <c r="AA16">
        <v>-9.794265005362273E-4</v>
      </c>
      <c r="AB16">
        <v>-9.7264532656954816E-4</v>
      </c>
      <c r="AC16">
        <v>-9.6586415260286912E-4</v>
      </c>
      <c r="AD16">
        <v>-9.5908297863618998E-4</v>
      </c>
      <c r="AE16">
        <v>-9.5230180466951094E-4</v>
      </c>
      <c r="AF16">
        <v>-9.455206307028318E-4</v>
      </c>
      <c r="AG16">
        <v>-9.3873945673615276E-4</v>
      </c>
      <c r="AH16">
        <v>-9.3195828276947351E-4</v>
      </c>
      <c r="AI16">
        <v>-9.2517710880279447E-4</v>
      </c>
      <c r="AJ16">
        <v>-9.1839593483611533E-4</v>
      </c>
      <c r="AK16">
        <v>-9.1161476086943629E-4</v>
      </c>
      <c r="AL16">
        <v>-9.0483358690275715E-4</v>
      </c>
      <c r="AM16">
        <v>-8.98052412936078E-4</v>
      </c>
      <c r="AN16">
        <v>-8.9127123896939908E-4</v>
      </c>
      <c r="AO16">
        <v>-8.8449006500271993E-4</v>
      </c>
      <c r="AP16">
        <v>-8.777088910360409E-4</v>
      </c>
      <c r="AQ16">
        <v>-8.7092771706936175E-4</v>
      </c>
      <c r="AR16">
        <v>-8.6414654310268272E-4</v>
      </c>
      <c r="AS16">
        <v>-8.5736536913600346E-4</v>
      </c>
      <c r="AT16">
        <v>-8.5058419516932443E-4</v>
      </c>
      <c r="AU16">
        <v>-8.4380302120264528E-4</v>
      </c>
      <c r="AV16">
        <v>-8.3702184723596614E-4</v>
      </c>
      <c r="AW16">
        <v>-8.302406732692871E-4</v>
      </c>
      <c r="AX16">
        <v>-8.2345949930260796E-4</v>
      </c>
      <c r="AY16">
        <v>-8.1667832533592892E-4</v>
      </c>
      <c r="AZ16">
        <v>-8.0989715136924967E-4</v>
      </c>
      <c r="BA16">
        <v>-8.0311597740257063E-4</v>
      </c>
      <c r="BB16">
        <v>-7.9633480343589149E-4</v>
      </c>
      <c r="BC16">
        <v>-7.8955362946921245E-4</v>
      </c>
      <c r="BD16">
        <v>-7.8277245550253331E-4</v>
      </c>
      <c r="BE16">
        <v>-7.7599128153585427E-4</v>
      </c>
      <c r="BF16">
        <v>-7.6921010756917513E-4</v>
      </c>
      <c r="BG16">
        <v>-7.6242893360249533E-4</v>
      </c>
      <c r="BH16">
        <v>-7.5564775963581619E-4</v>
      </c>
      <c r="BI16">
        <v>-7.4886658566913715E-4</v>
      </c>
      <c r="BJ16">
        <v>-7.4208541170245801E-4</v>
      </c>
    </row>
    <row r="17" spans="1:62" x14ac:dyDescent="0.25">
      <c r="A17" s="57">
        <v>-0.22</v>
      </c>
      <c r="B17">
        <v>-1.1423816418577497E-3</v>
      </c>
      <c r="C17">
        <v>-1.1356004678910706E-3</v>
      </c>
      <c r="D17">
        <v>-1.1288192939243916E-3</v>
      </c>
      <c r="E17">
        <v>-1.1220381199577125E-3</v>
      </c>
      <c r="F17">
        <v>-1.1152569459910334E-3</v>
      </c>
      <c r="G17">
        <v>-1.1084757720243542E-3</v>
      </c>
      <c r="H17">
        <v>-1.1016945980576751E-3</v>
      </c>
      <c r="I17">
        <v>-1.0949134240909961E-3</v>
      </c>
      <c r="J17">
        <v>-1.088132250124317E-3</v>
      </c>
      <c r="K17">
        <v>-1.0813510761576376E-3</v>
      </c>
      <c r="L17">
        <v>-1.0745699021909585E-3</v>
      </c>
      <c r="M17">
        <v>-1.0677887282242796E-3</v>
      </c>
      <c r="N17">
        <v>-1.0610075542576004E-3</v>
      </c>
      <c r="O17">
        <v>-1.0542263802909213E-3</v>
      </c>
      <c r="P17">
        <v>-1.0474452063242421E-3</v>
      </c>
      <c r="Q17">
        <v>-1.040664032357563E-3</v>
      </c>
      <c r="R17">
        <v>-1.0338828583908843E-3</v>
      </c>
      <c r="S17">
        <v>-1.0271016844242049E-3</v>
      </c>
      <c r="T17">
        <v>-1.020320510457526E-3</v>
      </c>
      <c r="U17">
        <v>-1.0135393364908468E-3</v>
      </c>
      <c r="V17">
        <v>-1.0067581625241679E-3</v>
      </c>
      <c r="W17">
        <v>-9.9997698855748855E-4</v>
      </c>
      <c r="X17">
        <v>-9.931958145908094E-4</v>
      </c>
      <c r="Y17">
        <v>-9.8641464062413026E-4</v>
      </c>
      <c r="Z17">
        <v>-9.7963346665745112E-4</v>
      </c>
      <c r="AA17">
        <v>-9.7285229269077208E-4</v>
      </c>
      <c r="AB17">
        <v>-9.6607111872409304E-4</v>
      </c>
      <c r="AC17">
        <v>-9.592899447574139E-4</v>
      </c>
      <c r="AD17">
        <v>-9.5250877079073486E-4</v>
      </c>
      <c r="AE17">
        <v>-9.4572759682405572E-4</v>
      </c>
      <c r="AF17">
        <v>-9.3894642285737668E-4</v>
      </c>
      <c r="AG17">
        <v>-9.3216524889069743E-4</v>
      </c>
      <c r="AH17">
        <v>-9.2538407492401839E-4</v>
      </c>
      <c r="AI17">
        <v>-9.1860290095733925E-4</v>
      </c>
      <c r="AJ17">
        <v>-9.1182172699066011E-4</v>
      </c>
      <c r="AK17">
        <v>-9.0504055302398107E-4</v>
      </c>
      <c r="AL17">
        <v>-8.9825937905730192E-4</v>
      </c>
      <c r="AM17">
        <v>-8.9147820509062289E-4</v>
      </c>
      <c r="AN17">
        <v>-8.8469703112394385E-4</v>
      </c>
      <c r="AO17">
        <v>-8.7791585715726482E-4</v>
      </c>
      <c r="AP17">
        <v>-8.7113468319058567E-4</v>
      </c>
      <c r="AQ17">
        <v>-8.6435350922390664E-4</v>
      </c>
      <c r="AR17">
        <v>-8.5757233525722738E-4</v>
      </c>
      <c r="AS17">
        <v>-8.5079116129054835E-4</v>
      </c>
      <c r="AT17">
        <v>-8.440099873238692E-4</v>
      </c>
      <c r="AU17">
        <v>-8.3722881335719006E-4</v>
      </c>
      <c r="AV17">
        <v>-8.3044763939051102E-4</v>
      </c>
      <c r="AW17">
        <v>-8.2366646542383188E-4</v>
      </c>
      <c r="AX17">
        <v>-8.1688529145715284E-4</v>
      </c>
      <c r="AY17">
        <v>-8.1010411749047359E-4</v>
      </c>
      <c r="AZ17">
        <v>-8.0332294352379455E-4</v>
      </c>
      <c r="BA17">
        <v>-7.9654176955711541E-4</v>
      </c>
      <c r="BB17">
        <v>-7.8976059559043637E-4</v>
      </c>
      <c r="BC17">
        <v>-7.8297942162375723E-4</v>
      </c>
      <c r="BD17">
        <v>-7.7619824765707808E-4</v>
      </c>
      <c r="BE17">
        <v>-7.6941707369039905E-4</v>
      </c>
      <c r="BF17">
        <v>-7.6263589972371979E-4</v>
      </c>
      <c r="BG17">
        <v>-7.5585472575704011E-4</v>
      </c>
      <c r="BH17">
        <v>-7.4907355179036096E-4</v>
      </c>
      <c r="BI17">
        <v>-7.4229237782368193E-4</v>
      </c>
      <c r="BJ17">
        <v>-7.3551120385700278E-4</v>
      </c>
    </row>
    <row r="18" spans="1:62" x14ac:dyDescent="0.25">
      <c r="A18" s="57">
        <v>-0.21</v>
      </c>
      <c r="B18">
        <v>-1.1358074340122946E-3</v>
      </c>
      <c r="C18">
        <v>-1.1290262600456155E-3</v>
      </c>
      <c r="D18">
        <v>-1.1222450860789363E-3</v>
      </c>
      <c r="E18">
        <v>-1.1154639121122574E-3</v>
      </c>
      <c r="F18">
        <v>-1.1086827381455782E-3</v>
      </c>
      <c r="G18">
        <v>-1.1019015641788991E-3</v>
      </c>
      <c r="H18">
        <v>-1.0951203902122199E-3</v>
      </c>
      <c r="I18">
        <v>-1.0883392162455408E-3</v>
      </c>
      <c r="J18">
        <v>-1.0815580422788617E-3</v>
      </c>
      <c r="K18">
        <v>-1.0747768683121825E-3</v>
      </c>
      <c r="L18">
        <v>-1.0679956943455034E-3</v>
      </c>
      <c r="M18">
        <v>-1.0612145203788242E-3</v>
      </c>
      <c r="N18">
        <v>-1.0544333464121451E-3</v>
      </c>
      <c r="O18">
        <v>-1.0476521724454662E-3</v>
      </c>
      <c r="P18">
        <v>-1.040870998478787E-3</v>
      </c>
      <c r="Q18">
        <v>-1.0340898245121079E-3</v>
      </c>
      <c r="R18">
        <v>-1.0273086505454289E-3</v>
      </c>
      <c r="S18">
        <v>-1.0205274765787498E-3</v>
      </c>
      <c r="T18">
        <v>-1.0137463026120709E-3</v>
      </c>
      <c r="U18">
        <v>-1.0069651286453917E-3</v>
      </c>
      <c r="V18">
        <v>-1.0001839546787124E-3</v>
      </c>
      <c r="W18">
        <v>-9.9340278071203343E-4</v>
      </c>
      <c r="X18">
        <v>-9.8662160674535429E-4</v>
      </c>
      <c r="Y18">
        <v>-9.7984043277867514E-4</v>
      </c>
      <c r="Z18">
        <v>-9.73059258811996E-4</v>
      </c>
      <c r="AA18">
        <v>-9.6627808484531696E-4</v>
      </c>
      <c r="AB18">
        <v>-9.5949691087863782E-4</v>
      </c>
      <c r="AC18">
        <v>-9.5271573691195878E-4</v>
      </c>
      <c r="AD18">
        <v>-9.4593456294527964E-4</v>
      </c>
      <c r="AE18">
        <v>-9.391533889786006E-4</v>
      </c>
      <c r="AF18">
        <v>-9.3237221501192135E-4</v>
      </c>
      <c r="AG18">
        <v>-9.2559104104524231E-4</v>
      </c>
      <c r="AH18">
        <v>-9.1880986707856317E-4</v>
      </c>
      <c r="AI18">
        <v>-9.1202869311188403E-4</v>
      </c>
      <c r="AJ18">
        <v>-9.0524751914520499E-4</v>
      </c>
      <c r="AK18">
        <v>-8.9846634517852584E-4</v>
      </c>
      <c r="AL18">
        <v>-8.9168517121184681E-4</v>
      </c>
      <c r="AM18">
        <v>-8.8490399724516756E-4</v>
      </c>
      <c r="AN18">
        <v>-8.7812282327848874E-4</v>
      </c>
      <c r="AO18">
        <v>-8.7134164931180959E-4</v>
      </c>
      <c r="AP18">
        <v>-8.6456047534513056E-4</v>
      </c>
      <c r="AQ18">
        <v>-8.577793013784513E-4</v>
      </c>
      <c r="AR18">
        <v>-8.5099812741177216E-4</v>
      </c>
      <c r="AS18">
        <v>-8.4421695344509312E-4</v>
      </c>
      <c r="AT18">
        <v>-8.3743577947841398E-4</v>
      </c>
      <c r="AU18">
        <v>-8.3065460551173494E-4</v>
      </c>
      <c r="AV18">
        <v>-8.238734315450558E-4</v>
      </c>
      <c r="AW18">
        <v>-8.1709225757837676E-4</v>
      </c>
      <c r="AX18">
        <v>-8.1031108361169751E-4</v>
      </c>
      <c r="AY18">
        <v>-8.0352990964501847E-4</v>
      </c>
      <c r="AZ18">
        <v>-7.9674873567833933E-4</v>
      </c>
      <c r="BA18">
        <v>-7.8996756171166018E-4</v>
      </c>
      <c r="BB18">
        <v>-7.8318638774498115E-4</v>
      </c>
      <c r="BC18">
        <v>-7.76405213778302E-4</v>
      </c>
      <c r="BD18">
        <v>-7.6962403981162297E-4</v>
      </c>
      <c r="BE18">
        <v>-7.6284286584494372E-4</v>
      </c>
      <c r="BF18">
        <v>-7.5606169187826468E-4</v>
      </c>
      <c r="BG18">
        <v>-7.4928051791158488E-4</v>
      </c>
      <c r="BH18">
        <v>-7.4249934394490585E-4</v>
      </c>
      <c r="BI18">
        <v>-7.357181699782267E-4</v>
      </c>
      <c r="BJ18">
        <v>-7.2893699601154767E-4</v>
      </c>
    </row>
    <row r="19" spans="1:62" x14ac:dyDescent="0.25">
      <c r="A19" s="57">
        <v>-0.2</v>
      </c>
      <c r="B19">
        <v>-1.1292332261668395E-3</v>
      </c>
      <c r="C19">
        <v>-1.1224520522001603E-3</v>
      </c>
      <c r="D19">
        <v>-1.1156708782334812E-3</v>
      </c>
      <c r="E19">
        <v>-1.108889704266802E-3</v>
      </c>
      <c r="F19">
        <v>-1.1021085303001229E-3</v>
      </c>
      <c r="G19">
        <v>-1.095327356333444E-3</v>
      </c>
      <c r="H19">
        <v>-1.0885461823667648E-3</v>
      </c>
      <c r="I19">
        <v>-1.0817650084000855E-3</v>
      </c>
      <c r="J19">
        <v>-1.0749838344334063E-3</v>
      </c>
      <c r="K19">
        <v>-1.0682026604667272E-3</v>
      </c>
      <c r="L19">
        <v>-1.0614214865000483E-3</v>
      </c>
      <c r="M19">
        <v>-1.0546403125333691E-3</v>
      </c>
      <c r="N19">
        <v>-1.04785913856669E-3</v>
      </c>
      <c r="O19">
        <v>-1.0410779646000108E-3</v>
      </c>
      <c r="P19">
        <v>-1.0342967906333319E-3</v>
      </c>
      <c r="Q19">
        <v>-1.0275156166666528E-3</v>
      </c>
      <c r="R19">
        <v>-1.0207344426999738E-3</v>
      </c>
      <c r="S19">
        <v>-1.0139532687332945E-3</v>
      </c>
      <c r="T19">
        <v>-1.0071720947666158E-3</v>
      </c>
      <c r="U19">
        <v>-1.0003909207999364E-3</v>
      </c>
      <c r="V19">
        <v>-9.9360974683325724E-4</v>
      </c>
      <c r="W19">
        <v>-9.868285728665781E-4</v>
      </c>
      <c r="X19">
        <v>-9.8004739889989896E-4</v>
      </c>
      <c r="Y19">
        <v>-9.7326622493321992E-4</v>
      </c>
      <c r="Z19">
        <v>-9.6648505096654088E-4</v>
      </c>
      <c r="AA19">
        <v>-9.5970387699986174E-4</v>
      </c>
      <c r="AB19">
        <v>-9.529227030331827E-4</v>
      </c>
      <c r="AC19">
        <v>-9.4614152906650356E-4</v>
      </c>
      <c r="AD19">
        <v>-9.3936035509982452E-4</v>
      </c>
      <c r="AE19">
        <v>-9.3257918113314527E-4</v>
      </c>
      <c r="AF19">
        <v>-9.2579800716646613E-4</v>
      </c>
      <c r="AG19">
        <v>-9.1901683319978709E-4</v>
      </c>
      <c r="AH19">
        <v>-9.1223565923310795E-4</v>
      </c>
      <c r="AI19">
        <v>-9.0545448526642891E-4</v>
      </c>
      <c r="AJ19">
        <v>-8.9867331129974976E-4</v>
      </c>
      <c r="AK19">
        <v>-8.9189213733307073E-4</v>
      </c>
      <c r="AL19">
        <v>-8.8511096336639148E-4</v>
      </c>
      <c r="AM19">
        <v>-8.7832978939971244E-4</v>
      </c>
      <c r="AN19">
        <v>-8.7154861543303351E-4</v>
      </c>
      <c r="AO19">
        <v>-8.6476744146635437E-4</v>
      </c>
      <c r="AP19">
        <v>-8.5798626749967522E-4</v>
      </c>
      <c r="AQ19">
        <v>-8.5120509353299608E-4</v>
      </c>
      <c r="AR19">
        <v>-8.4442391956631704E-4</v>
      </c>
      <c r="AS19">
        <v>-8.376427455996379E-4</v>
      </c>
      <c r="AT19">
        <v>-8.3086157163295886E-4</v>
      </c>
      <c r="AU19">
        <v>-8.2408039766627972E-4</v>
      </c>
      <c r="AV19">
        <v>-8.1729922369960068E-4</v>
      </c>
      <c r="AW19">
        <v>-8.1051804973292143E-4</v>
      </c>
      <c r="AX19">
        <v>-8.0373687576624228E-4</v>
      </c>
      <c r="AY19">
        <v>-7.9695570179956325E-4</v>
      </c>
      <c r="AZ19">
        <v>-7.901745278328841E-4</v>
      </c>
      <c r="BA19">
        <v>-7.8339335386620507E-4</v>
      </c>
      <c r="BB19">
        <v>-7.7661217989952592E-4</v>
      </c>
      <c r="BC19">
        <v>-7.6983100593284689E-4</v>
      </c>
      <c r="BD19">
        <v>-7.6304983196616764E-4</v>
      </c>
      <c r="BE19">
        <v>-7.562686579994886E-4</v>
      </c>
      <c r="BF19">
        <v>-7.4948748403280945E-4</v>
      </c>
      <c r="BG19">
        <v>-7.4270631006612977E-4</v>
      </c>
      <c r="BH19">
        <v>-7.3592513609945062E-4</v>
      </c>
      <c r="BI19">
        <v>-7.2914396213277148E-4</v>
      </c>
      <c r="BJ19">
        <v>-7.2236278816609244E-4</v>
      </c>
    </row>
    <row r="20" spans="1:62" x14ac:dyDescent="0.25">
      <c r="A20" s="57">
        <v>-0.19</v>
      </c>
      <c r="B20">
        <v>-1.1226590183213842E-3</v>
      </c>
      <c r="C20">
        <v>-1.115877844354705E-3</v>
      </c>
      <c r="D20">
        <v>-1.1090966703880261E-3</v>
      </c>
      <c r="E20">
        <v>-1.1023154964213469E-3</v>
      </c>
      <c r="F20">
        <v>-1.0955343224546678E-3</v>
      </c>
      <c r="G20">
        <v>-1.0887531484879886E-3</v>
      </c>
      <c r="H20">
        <v>-1.0819719745213095E-3</v>
      </c>
      <c r="I20">
        <v>-1.0751908005546304E-3</v>
      </c>
      <c r="J20">
        <v>-1.0684096265879512E-3</v>
      </c>
      <c r="K20">
        <v>-1.0616284526212721E-3</v>
      </c>
      <c r="L20">
        <v>-1.0548472786545929E-3</v>
      </c>
      <c r="M20">
        <v>-1.048066104687914E-3</v>
      </c>
      <c r="N20">
        <v>-1.0412849307212349E-3</v>
      </c>
      <c r="O20">
        <v>-1.0345037567545557E-3</v>
      </c>
      <c r="P20">
        <v>-1.0277225827878766E-3</v>
      </c>
      <c r="Q20">
        <v>-1.0209414088211976E-3</v>
      </c>
      <c r="R20">
        <v>-1.0141602348545187E-3</v>
      </c>
      <c r="S20">
        <v>-1.0073790608878393E-3</v>
      </c>
      <c r="T20">
        <v>-1.0005978869211602E-3</v>
      </c>
      <c r="U20">
        <v>-9.9381671295448106E-4</v>
      </c>
      <c r="V20">
        <v>-9.8703553898780213E-4</v>
      </c>
      <c r="W20">
        <v>-9.8025436502112298E-4</v>
      </c>
      <c r="X20">
        <v>-9.7347319105444384E-4</v>
      </c>
      <c r="Y20">
        <v>-9.666920170877648E-4</v>
      </c>
      <c r="Z20">
        <v>-9.5991084312108566E-4</v>
      </c>
      <c r="AA20">
        <v>-9.5312966915440662E-4</v>
      </c>
      <c r="AB20">
        <v>-9.4634849518772748E-4</v>
      </c>
      <c r="AC20">
        <v>-9.3956732122104833E-4</v>
      </c>
      <c r="AD20">
        <v>-9.3278614725436919E-4</v>
      </c>
      <c r="AE20">
        <v>-9.2600497328769005E-4</v>
      </c>
      <c r="AF20">
        <v>-9.1922379932101101E-4</v>
      </c>
      <c r="AG20">
        <v>-9.1244262535433187E-4</v>
      </c>
      <c r="AH20">
        <v>-9.0566145138765283E-4</v>
      </c>
      <c r="AI20">
        <v>-8.9888027742097368E-4</v>
      </c>
      <c r="AJ20">
        <v>-8.9209910345429465E-4</v>
      </c>
      <c r="AK20">
        <v>-8.853179294876154E-4</v>
      </c>
      <c r="AL20">
        <v>-8.7853675552093625E-4</v>
      </c>
      <c r="AM20">
        <v>-8.7175558155425722E-4</v>
      </c>
      <c r="AN20">
        <v>-8.6497440758757829E-4</v>
      </c>
      <c r="AO20">
        <v>-8.5819323362089914E-4</v>
      </c>
      <c r="AP20">
        <v>-8.5141205965422E-4</v>
      </c>
      <c r="AQ20">
        <v>-8.4463088568754096E-4</v>
      </c>
      <c r="AR20">
        <v>-8.3784971172086182E-4</v>
      </c>
      <c r="AS20">
        <v>-8.3106853775418278E-4</v>
      </c>
      <c r="AT20">
        <v>-8.2428736378750364E-4</v>
      </c>
      <c r="AU20">
        <v>-8.175061898208246E-4</v>
      </c>
      <c r="AV20">
        <v>-8.1072501585414535E-4</v>
      </c>
      <c r="AW20">
        <v>-8.039438418874662E-4</v>
      </c>
      <c r="AX20">
        <v>-7.9716266792078717E-4</v>
      </c>
      <c r="AY20">
        <v>-7.9038149395410802E-4</v>
      </c>
      <c r="AZ20">
        <v>-7.8360031998742899E-4</v>
      </c>
      <c r="BA20">
        <v>-7.7681914602074984E-4</v>
      </c>
      <c r="BB20">
        <v>-7.7003797205407081E-4</v>
      </c>
      <c r="BC20">
        <v>-7.6325679808739156E-4</v>
      </c>
      <c r="BD20">
        <v>-7.5647562412071252E-4</v>
      </c>
      <c r="BE20">
        <v>-7.4969445015403337E-4</v>
      </c>
      <c r="BF20">
        <v>-7.4291327618735423E-4</v>
      </c>
      <c r="BG20">
        <v>-7.3613210222067454E-4</v>
      </c>
      <c r="BH20">
        <v>-7.2935092825399551E-4</v>
      </c>
      <c r="BI20">
        <v>-7.2256975428731636E-4</v>
      </c>
      <c r="BJ20">
        <v>-7.1578858032063722E-4</v>
      </c>
    </row>
    <row r="21" spans="1:62" x14ac:dyDescent="0.25">
      <c r="A21" s="57">
        <v>-0.18</v>
      </c>
      <c r="B21">
        <v>-1.116084810475929E-3</v>
      </c>
      <c r="C21">
        <v>-1.1093036365092499E-3</v>
      </c>
      <c r="D21">
        <v>-1.1025224625425707E-3</v>
      </c>
      <c r="E21">
        <v>-1.0957412885758918E-3</v>
      </c>
      <c r="F21">
        <v>-1.0889601146092127E-3</v>
      </c>
      <c r="G21">
        <v>-1.0821789406425333E-3</v>
      </c>
      <c r="H21">
        <v>-1.0753977666758542E-3</v>
      </c>
      <c r="I21">
        <v>-1.068616592709175E-3</v>
      </c>
      <c r="J21">
        <v>-1.0618354187424961E-3</v>
      </c>
      <c r="K21">
        <v>-1.055054244775817E-3</v>
      </c>
      <c r="L21">
        <v>-1.0482730708091378E-3</v>
      </c>
      <c r="M21">
        <v>-1.0414918968424587E-3</v>
      </c>
      <c r="N21">
        <v>-1.0347107228757797E-3</v>
      </c>
      <c r="O21">
        <v>-1.0279295489091006E-3</v>
      </c>
      <c r="P21">
        <v>-1.0211483749424214E-3</v>
      </c>
      <c r="Q21">
        <v>-1.0143672009757423E-3</v>
      </c>
      <c r="R21">
        <v>-1.0075860270090634E-3</v>
      </c>
      <c r="S21">
        <v>-1.0008048530423842E-3</v>
      </c>
      <c r="T21">
        <v>-9.9402367907570508E-4</v>
      </c>
      <c r="U21">
        <v>-9.8724250510902594E-4</v>
      </c>
      <c r="V21">
        <v>-9.804613311423468E-4</v>
      </c>
      <c r="W21">
        <v>-9.7368015717566776E-4</v>
      </c>
      <c r="X21">
        <v>-9.6689898320898872E-4</v>
      </c>
      <c r="Y21">
        <v>-9.6011780924230958E-4</v>
      </c>
      <c r="Z21">
        <v>-9.5333663527563044E-4</v>
      </c>
      <c r="AA21">
        <v>-9.465554613089514E-4</v>
      </c>
      <c r="AB21">
        <v>-9.3977428734227225E-4</v>
      </c>
      <c r="AC21">
        <v>-9.3299311337559311E-4</v>
      </c>
      <c r="AD21">
        <v>-9.2621193940891397E-4</v>
      </c>
      <c r="AE21">
        <v>-9.1943076544223493E-4</v>
      </c>
      <c r="AF21">
        <v>-9.1264959147555579E-4</v>
      </c>
      <c r="AG21">
        <v>-9.0586841750887675E-4</v>
      </c>
      <c r="AH21">
        <v>-8.990872435421976E-4</v>
      </c>
      <c r="AI21">
        <v>-8.9230606957551857E-4</v>
      </c>
      <c r="AJ21">
        <v>-8.8552489560883932E-4</v>
      </c>
      <c r="AK21">
        <v>-8.7874372164216017E-4</v>
      </c>
      <c r="AL21">
        <v>-8.7196254767548114E-4</v>
      </c>
      <c r="AM21">
        <v>-8.6518137370880199E-4</v>
      </c>
      <c r="AN21">
        <v>-8.5840019974212306E-4</v>
      </c>
      <c r="AO21">
        <v>-8.5161902577544392E-4</v>
      </c>
      <c r="AP21">
        <v>-8.4483785180876488E-4</v>
      </c>
      <c r="AQ21">
        <v>-8.3805667784208574E-4</v>
      </c>
      <c r="AR21">
        <v>-8.312755038754067E-4</v>
      </c>
      <c r="AS21">
        <v>-8.2449432990872756E-4</v>
      </c>
      <c r="AT21">
        <v>-8.1771315594204841E-4</v>
      </c>
      <c r="AU21">
        <v>-8.1093198197536927E-4</v>
      </c>
      <c r="AV21">
        <v>-8.0415080800869012E-4</v>
      </c>
      <c r="AW21">
        <v>-7.9736963404201109E-4</v>
      </c>
      <c r="AX21">
        <v>-7.9058846007533194E-4</v>
      </c>
      <c r="AY21">
        <v>-7.8380728610865291E-4</v>
      </c>
      <c r="AZ21">
        <v>-7.7702611214197376E-4</v>
      </c>
      <c r="BA21">
        <v>-7.7024493817529473E-4</v>
      </c>
      <c r="BB21">
        <v>-7.6346376420861548E-4</v>
      </c>
      <c r="BC21">
        <v>-7.5668259024193644E-4</v>
      </c>
      <c r="BD21">
        <v>-7.4990141627525729E-4</v>
      </c>
      <c r="BE21">
        <v>-7.4312024230857815E-4</v>
      </c>
      <c r="BF21">
        <v>-7.3633906834189911E-4</v>
      </c>
      <c r="BG21">
        <v>-7.2955789437521932E-4</v>
      </c>
      <c r="BH21">
        <v>-7.2277672040854028E-4</v>
      </c>
      <c r="BI21">
        <v>-7.1599554644186114E-4</v>
      </c>
      <c r="BJ21">
        <v>-7.092143724751821E-4</v>
      </c>
    </row>
    <row r="22" spans="1:62" x14ac:dyDescent="0.25">
      <c r="A22" s="57">
        <v>-0.17</v>
      </c>
      <c r="B22">
        <v>-1.1095106026304739E-3</v>
      </c>
      <c r="C22">
        <v>-1.1027294286637948E-3</v>
      </c>
      <c r="D22">
        <v>-1.0959482546971156E-3</v>
      </c>
      <c r="E22">
        <v>-1.0891670807304365E-3</v>
      </c>
      <c r="F22">
        <v>-1.0823859067637571E-3</v>
      </c>
      <c r="G22">
        <v>-1.0756047327970782E-3</v>
      </c>
      <c r="H22">
        <v>-1.0688235588303991E-3</v>
      </c>
      <c r="I22">
        <v>-1.0620423848637199E-3</v>
      </c>
      <c r="J22">
        <v>-1.0552612108970408E-3</v>
      </c>
      <c r="K22">
        <v>-1.0484800369303618E-3</v>
      </c>
      <c r="L22">
        <v>-1.0416988629636827E-3</v>
      </c>
      <c r="M22">
        <v>-1.0349176889970035E-3</v>
      </c>
      <c r="N22">
        <v>-1.0281365150303244E-3</v>
      </c>
      <c r="O22">
        <v>-1.0213553410636453E-3</v>
      </c>
      <c r="P22">
        <v>-1.0145741670969663E-3</v>
      </c>
      <c r="Q22">
        <v>-1.0077929931302872E-3</v>
      </c>
      <c r="R22">
        <v>-1.001011819163608E-3</v>
      </c>
      <c r="S22">
        <v>-9.942306451969289E-4</v>
      </c>
      <c r="T22">
        <v>-9.8744947123024997E-4</v>
      </c>
      <c r="U22">
        <v>-9.8066829726357082E-4</v>
      </c>
      <c r="V22">
        <v>-9.7388712329689168E-4</v>
      </c>
      <c r="W22">
        <v>-9.6710594933021254E-4</v>
      </c>
      <c r="X22">
        <v>-9.603247753635335E-4</v>
      </c>
      <c r="Y22">
        <v>-9.5354360139685436E-4</v>
      </c>
      <c r="Z22">
        <v>-9.4676242743017532E-4</v>
      </c>
      <c r="AA22">
        <v>-9.3998125346349617E-4</v>
      </c>
      <c r="AB22">
        <v>-9.3320007949681703E-4</v>
      </c>
      <c r="AC22">
        <v>-9.2641890553013789E-4</v>
      </c>
      <c r="AD22">
        <v>-9.1963773156345885E-4</v>
      </c>
      <c r="AE22">
        <v>-9.1285655759677971E-4</v>
      </c>
      <c r="AF22">
        <v>-9.0607538363010067E-4</v>
      </c>
      <c r="AG22">
        <v>-8.9929420966342152E-4</v>
      </c>
      <c r="AH22">
        <v>-8.9251303569674238E-4</v>
      </c>
      <c r="AI22">
        <v>-8.8573186173006324E-4</v>
      </c>
      <c r="AJ22">
        <v>-8.7895068776338409E-4</v>
      </c>
      <c r="AK22">
        <v>-8.7216951379670506E-4</v>
      </c>
      <c r="AL22">
        <v>-8.6538833983002591E-4</v>
      </c>
      <c r="AM22">
        <v>-8.5860716586334688E-4</v>
      </c>
      <c r="AN22">
        <v>-8.5182599189666784E-4</v>
      </c>
      <c r="AO22">
        <v>-8.450448179299888E-4</v>
      </c>
      <c r="AP22">
        <v>-8.3826364396330966E-4</v>
      </c>
      <c r="AQ22">
        <v>-8.3148246999663051E-4</v>
      </c>
      <c r="AR22">
        <v>-8.2470129602995148E-4</v>
      </c>
      <c r="AS22">
        <v>-8.1792012206327233E-4</v>
      </c>
      <c r="AT22">
        <v>-8.1113894809659319E-4</v>
      </c>
      <c r="AU22">
        <v>-8.0435777412991404E-4</v>
      </c>
      <c r="AV22">
        <v>-7.9757660016323501E-4</v>
      </c>
      <c r="AW22">
        <v>-7.9079542619655586E-4</v>
      </c>
      <c r="AX22">
        <v>-7.8401425222987694E-4</v>
      </c>
      <c r="AY22">
        <v>-7.7723307826319779E-4</v>
      </c>
      <c r="AZ22">
        <v>-7.7045190429651865E-4</v>
      </c>
      <c r="BA22">
        <v>-7.636707303298395E-4</v>
      </c>
      <c r="BB22">
        <v>-7.5688955636316036E-4</v>
      </c>
      <c r="BC22">
        <v>-7.5010838239648132E-4</v>
      </c>
      <c r="BD22">
        <v>-7.4332720842980218E-4</v>
      </c>
      <c r="BE22">
        <v>-7.3654603446312314E-4</v>
      </c>
      <c r="BF22">
        <v>-7.29764860496444E-4</v>
      </c>
      <c r="BG22">
        <v>-7.229836865297642E-4</v>
      </c>
      <c r="BH22">
        <v>-7.1620251256308506E-4</v>
      </c>
      <c r="BI22">
        <v>-7.0942133859640613E-4</v>
      </c>
      <c r="BJ22">
        <v>-7.0264016462972688E-4</v>
      </c>
    </row>
    <row r="23" spans="1:62" x14ac:dyDescent="0.25">
      <c r="A23" s="57">
        <v>-0.16</v>
      </c>
      <c r="B23">
        <v>-1.1029363947850186E-3</v>
      </c>
      <c r="C23">
        <v>-1.0961552208183394E-3</v>
      </c>
      <c r="D23">
        <v>-1.0893740468516605E-3</v>
      </c>
      <c r="E23">
        <v>-1.0825928728849812E-3</v>
      </c>
      <c r="F23">
        <v>-1.075811698918302E-3</v>
      </c>
      <c r="G23">
        <v>-1.0690305249516229E-3</v>
      </c>
      <c r="H23">
        <v>-1.0622493509849439E-3</v>
      </c>
      <c r="I23">
        <v>-1.0554681770182648E-3</v>
      </c>
      <c r="J23">
        <v>-1.0486870030515856E-3</v>
      </c>
      <c r="K23">
        <v>-1.0419058290849065E-3</v>
      </c>
      <c r="L23">
        <v>-1.0351246551182276E-3</v>
      </c>
      <c r="M23">
        <v>-1.0283434811515484E-3</v>
      </c>
      <c r="N23">
        <v>-1.0215623071848693E-3</v>
      </c>
      <c r="O23">
        <v>-1.0147811332181901E-3</v>
      </c>
      <c r="P23">
        <v>-1.007999959251511E-3</v>
      </c>
      <c r="Q23">
        <v>-1.0012187852848321E-3</v>
      </c>
      <c r="R23">
        <v>-9.9443761131815292E-4</v>
      </c>
      <c r="S23">
        <v>-9.8765643735147356E-4</v>
      </c>
      <c r="T23">
        <v>-9.8087526338479464E-4</v>
      </c>
      <c r="U23">
        <v>-9.740940894181156E-4</v>
      </c>
      <c r="V23">
        <v>-9.6731291545143656E-4</v>
      </c>
      <c r="W23">
        <v>-9.6053174148475742E-4</v>
      </c>
      <c r="X23">
        <v>-9.5375056751807828E-4</v>
      </c>
      <c r="Y23">
        <v>-9.4696939355139924E-4</v>
      </c>
      <c r="Z23">
        <v>-9.4018821958472009E-4</v>
      </c>
      <c r="AA23">
        <v>-9.3340704561804095E-4</v>
      </c>
      <c r="AB23">
        <v>-9.2662587165136181E-4</v>
      </c>
      <c r="AC23">
        <v>-9.1984469768468277E-4</v>
      </c>
      <c r="AD23">
        <v>-9.1306352371800363E-4</v>
      </c>
      <c r="AE23">
        <v>-9.0628234975132459E-4</v>
      </c>
      <c r="AF23">
        <v>-8.9950117578464545E-4</v>
      </c>
      <c r="AG23">
        <v>-8.927200018179663E-4</v>
      </c>
      <c r="AH23">
        <v>-8.8593882785128716E-4</v>
      </c>
      <c r="AI23">
        <v>-8.7915765388460801E-4</v>
      </c>
      <c r="AJ23">
        <v>-8.7237647991792898E-4</v>
      </c>
      <c r="AK23">
        <v>-8.6559530595124983E-4</v>
      </c>
      <c r="AL23">
        <v>-8.588141319845708E-4</v>
      </c>
      <c r="AM23">
        <v>-8.5203295801789165E-4</v>
      </c>
      <c r="AN23">
        <v>-8.4525178405121272E-4</v>
      </c>
      <c r="AO23">
        <v>-8.3847061008453358E-4</v>
      </c>
      <c r="AP23">
        <v>-8.3168943611785443E-4</v>
      </c>
      <c r="AQ23">
        <v>-8.249082621511754E-4</v>
      </c>
      <c r="AR23">
        <v>-8.1812708818449625E-4</v>
      </c>
      <c r="AS23">
        <v>-8.1134591421781711E-4</v>
      </c>
      <c r="AT23">
        <v>-8.0456474025113797E-4</v>
      </c>
      <c r="AU23">
        <v>-7.9778356628445893E-4</v>
      </c>
      <c r="AV23">
        <v>-7.9100239231777978E-4</v>
      </c>
      <c r="AW23">
        <v>-7.8422121835110075E-4</v>
      </c>
      <c r="AX23">
        <v>-7.7744004438442171E-4</v>
      </c>
      <c r="AY23">
        <v>-7.7065887041774246E-4</v>
      </c>
      <c r="AZ23">
        <v>-7.6387769645106342E-4</v>
      </c>
      <c r="BA23">
        <v>-7.5709652248438428E-4</v>
      </c>
      <c r="BB23">
        <v>-7.5031534851770524E-4</v>
      </c>
      <c r="BC23">
        <v>-7.435341745510261E-4</v>
      </c>
      <c r="BD23">
        <v>-7.3675300058434706E-4</v>
      </c>
      <c r="BE23">
        <v>-7.2997182661766792E-4</v>
      </c>
      <c r="BF23">
        <v>-7.2319065265098877E-4</v>
      </c>
      <c r="BG23">
        <v>-7.1640947868430898E-4</v>
      </c>
      <c r="BH23">
        <v>-7.0962830471762994E-4</v>
      </c>
      <c r="BI23">
        <v>-7.028471307509508E-4</v>
      </c>
      <c r="BJ23">
        <v>-6.9606595678427165E-4</v>
      </c>
    </row>
    <row r="24" spans="1:62" x14ac:dyDescent="0.25">
      <c r="A24" s="57">
        <v>-0.15</v>
      </c>
      <c r="B24">
        <v>-1.0963621869395635E-3</v>
      </c>
      <c r="C24">
        <v>-1.0895810129728843E-3</v>
      </c>
      <c r="D24">
        <v>-1.082799839006205E-3</v>
      </c>
      <c r="E24">
        <v>-1.076018665039526E-3</v>
      </c>
      <c r="F24">
        <v>-1.0692374910728469E-3</v>
      </c>
      <c r="G24">
        <v>-1.0624563171061677E-3</v>
      </c>
      <c r="H24">
        <v>-1.0556751431394886E-3</v>
      </c>
      <c r="I24">
        <v>-1.0488939691728097E-3</v>
      </c>
      <c r="J24">
        <v>-1.0421127952061305E-3</v>
      </c>
      <c r="K24">
        <v>-1.0353316212394514E-3</v>
      </c>
      <c r="L24">
        <v>-1.0285504472727722E-3</v>
      </c>
      <c r="M24">
        <v>-1.0217692733060931E-3</v>
      </c>
      <c r="N24">
        <v>-1.0149880993394142E-3</v>
      </c>
      <c r="O24">
        <v>-1.008206925372735E-3</v>
      </c>
      <c r="P24">
        <v>-1.0014257514060559E-3</v>
      </c>
      <c r="Q24">
        <v>-9.9464457743937674E-4</v>
      </c>
      <c r="R24">
        <v>-9.8786340347269781E-4</v>
      </c>
      <c r="S24">
        <v>-9.8108222950601845E-4</v>
      </c>
      <c r="T24">
        <v>-9.7430105553933952E-4</v>
      </c>
      <c r="U24">
        <v>-9.6751988157266038E-4</v>
      </c>
      <c r="V24">
        <v>-9.6073870760598134E-4</v>
      </c>
      <c r="W24">
        <v>-9.539575336393022E-4</v>
      </c>
      <c r="X24">
        <v>-9.4717635967262316E-4</v>
      </c>
      <c r="Y24">
        <v>-9.4039518570594401E-4</v>
      </c>
      <c r="Z24">
        <v>-9.3361401173926487E-4</v>
      </c>
      <c r="AA24">
        <v>-9.2683283777258573E-4</v>
      </c>
      <c r="AB24">
        <v>-9.2005166380590669E-4</v>
      </c>
      <c r="AC24">
        <v>-9.1327048983922755E-4</v>
      </c>
      <c r="AD24">
        <v>-9.064893158725484E-4</v>
      </c>
      <c r="AE24">
        <v>-8.9970814190586937E-4</v>
      </c>
      <c r="AF24">
        <v>-8.9292696793919022E-4</v>
      </c>
      <c r="AG24">
        <v>-8.8614579397251108E-4</v>
      </c>
      <c r="AH24">
        <v>-8.7936462000583193E-4</v>
      </c>
      <c r="AI24">
        <v>-8.725834460391529E-4</v>
      </c>
      <c r="AJ24">
        <v>-8.6580227207247375E-4</v>
      </c>
      <c r="AK24">
        <v>-8.5902109810579472E-4</v>
      </c>
      <c r="AL24">
        <v>-8.5223992413911557E-4</v>
      </c>
      <c r="AM24">
        <v>-8.4545875017243643E-4</v>
      </c>
      <c r="AN24">
        <v>-8.386775762057575E-4</v>
      </c>
      <c r="AO24">
        <v>-8.3189640223907835E-4</v>
      </c>
      <c r="AP24">
        <v>-8.2511522827239932E-4</v>
      </c>
      <c r="AQ24">
        <v>-8.1833405430572017E-4</v>
      </c>
      <c r="AR24">
        <v>-8.1155288033904103E-4</v>
      </c>
      <c r="AS24">
        <v>-8.0477170637236189E-4</v>
      </c>
      <c r="AT24">
        <v>-7.9799053240568285E-4</v>
      </c>
      <c r="AU24">
        <v>-7.912093584390037E-4</v>
      </c>
      <c r="AV24">
        <v>-7.8442818447232467E-4</v>
      </c>
      <c r="AW24">
        <v>-7.7764701050564552E-4</v>
      </c>
      <c r="AX24">
        <v>-7.7086583653896638E-4</v>
      </c>
      <c r="AY24">
        <v>-7.6408466257228734E-4</v>
      </c>
      <c r="AZ24">
        <v>-7.573034886056082E-4</v>
      </c>
      <c r="BA24">
        <v>-7.5052231463892916E-4</v>
      </c>
      <c r="BB24">
        <v>-7.4374114067225002E-4</v>
      </c>
      <c r="BC24">
        <v>-7.3695996670557098E-4</v>
      </c>
      <c r="BD24">
        <v>-7.3017879273889184E-4</v>
      </c>
      <c r="BE24">
        <v>-7.2339761877221269E-4</v>
      </c>
      <c r="BF24">
        <v>-7.1661644480553355E-4</v>
      </c>
      <c r="BG24">
        <v>-7.0983527083885386E-4</v>
      </c>
      <c r="BH24">
        <v>-7.0305409687217472E-4</v>
      </c>
      <c r="BI24">
        <v>-6.9627292290549557E-4</v>
      </c>
      <c r="BJ24">
        <v>-6.8949174893881654E-4</v>
      </c>
    </row>
    <row r="25" spans="1:62" x14ac:dyDescent="0.25">
      <c r="A25" s="57">
        <v>-0.14000000000000001</v>
      </c>
      <c r="B25">
        <v>-1.0897879790941084E-3</v>
      </c>
      <c r="C25">
        <v>-1.0830068051274292E-3</v>
      </c>
      <c r="D25">
        <v>-1.0762256311607498E-3</v>
      </c>
      <c r="E25">
        <v>-1.0694444571940709E-3</v>
      </c>
      <c r="F25">
        <v>-1.0626632832273918E-3</v>
      </c>
      <c r="G25">
        <v>-1.0558821092607128E-3</v>
      </c>
      <c r="H25">
        <v>-1.0491009352940335E-3</v>
      </c>
      <c r="I25">
        <v>-1.0423197613273546E-3</v>
      </c>
      <c r="J25">
        <v>-1.0355385873606752E-3</v>
      </c>
      <c r="K25">
        <v>-1.0287574133939965E-3</v>
      </c>
      <c r="L25">
        <v>-1.0219762394273171E-3</v>
      </c>
      <c r="M25">
        <v>-1.0151950654606382E-3</v>
      </c>
      <c r="N25">
        <v>-1.0084138914939588E-3</v>
      </c>
      <c r="O25">
        <v>-1.0016327175272799E-3</v>
      </c>
      <c r="P25">
        <v>-9.9485154356060077E-4</v>
      </c>
      <c r="Q25">
        <v>-9.8807036959392162E-4</v>
      </c>
      <c r="R25">
        <v>-9.8128919562724269E-4</v>
      </c>
      <c r="S25">
        <v>-9.7450802166056344E-4</v>
      </c>
      <c r="T25">
        <v>-9.6772684769388451E-4</v>
      </c>
      <c r="U25">
        <v>-9.6094567372720526E-4</v>
      </c>
      <c r="V25">
        <v>-9.5416449976052633E-4</v>
      </c>
      <c r="W25">
        <v>-9.4738332579384708E-4</v>
      </c>
      <c r="X25">
        <v>-9.4060215182716804E-4</v>
      </c>
      <c r="Y25">
        <v>-9.3382097786048879E-4</v>
      </c>
      <c r="Z25">
        <v>-9.2703980389380986E-4</v>
      </c>
      <c r="AA25">
        <v>-9.202586299271305E-4</v>
      </c>
      <c r="AB25">
        <v>-9.1347745596045168E-4</v>
      </c>
      <c r="AC25">
        <v>-9.0669628199377232E-4</v>
      </c>
      <c r="AD25">
        <v>-8.9991510802709339E-4</v>
      </c>
      <c r="AE25">
        <v>-8.9313393406041414E-4</v>
      </c>
      <c r="AF25">
        <v>-8.8635276009373521E-4</v>
      </c>
      <c r="AG25">
        <v>-8.7957158612705585E-4</v>
      </c>
      <c r="AH25">
        <v>-8.7279041216037703E-4</v>
      </c>
      <c r="AI25">
        <v>-8.6600923819369767E-4</v>
      </c>
      <c r="AJ25">
        <v>-8.5922806422701864E-4</v>
      </c>
      <c r="AK25">
        <v>-8.5244689026033949E-4</v>
      </c>
      <c r="AL25">
        <v>-8.4566571629366045E-4</v>
      </c>
      <c r="AM25">
        <v>-8.388845423269812E-4</v>
      </c>
      <c r="AN25">
        <v>-8.3210336836030227E-4</v>
      </c>
      <c r="AO25">
        <v>-8.2532219439362324E-4</v>
      </c>
      <c r="AP25">
        <v>-8.1854102042694409E-4</v>
      </c>
      <c r="AQ25">
        <v>-8.1175984646026495E-4</v>
      </c>
      <c r="AR25">
        <v>-8.0497867249358581E-4</v>
      </c>
      <c r="AS25">
        <v>-7.9819749852690677E-4</v>
      </c>
      <c r="AT25">
        <v>-7.9141632456022762E-4</v>
      </c>
      <c r="AU25">
        <v>-7.8463515059354848E-4</v>
      </c>
      <c r="AV25">
        <v>-7.7785397662686944E-4</v>
      </c>
      <c r="AW25">
        <v>-7.710728026601903E-4</v>
      </c>
      <c r="AX25">
        <v>-7.6429162869351126E-4</v>
      </c>
      <c r="AY25">
        <v>-7.5751045472683212E-4</v>
      </c>
      <c r="AZ25">
        <v>-7.5072928076015308E-4</v>
      </c>
      <c r="BA25">
        <v>-7.4394810679347394E-4</v>
      </c>
      <c r="BB25">
        <v>-7.371669328267949E-4</v>
      </c>
      <c r="BC25">
        <v>-7.3038575886011576E-4</v>
      </c>
      <c r="BD25">
        <v>-7.2360458489343651E-4</v>
      </c>
      <c r="BE25">
        <v>-7.1682341092675747E-4</v>
      </c>
      <c r="BF25">
        <v>-7.1004223696007833E-4</v>
      </c>
      <c r="BG25">
        <v>-7.0326106299339864E-4</v>
      </c>
      <c r="BH25">
        <v>-6.9647988902671939E-4</v>
      </c>
      <c r="BI25">
        <v>-6.8969871506004046E-4</v>
      </c>
      <c r="BJ25">
        <v>-6.8291754109336131E-4</v>
      </c>
    </row>
    <row r="26" spans="1:62" x14ac:dyDescent="0.25">
      <c r="A26" s="57">
        <v>-0.13</v>
      </c>
      <c r="B26">
        <v>-1.083213771248653E-3</v>
      </c>
      <c r="C26">
        <v>-1.0764325972819739E-3</v>
      </c>
      <c r="D26">
        <v>-1.0696514233152949E-3</v>
      </c>
      <c r="E26">
        <v>-1.0628702493486156E-3</v>
      </c>
      <c r="F26">
        <v>-1.0560890753819367E-3</v>
      </c>
      <c r="G26">
        <v>-1.0493079014152573E-3</v>
      </c>
      <c r="H26">
        <v>-1.0425267274485786E-3</v>
      </c>
      <c r="I26">
        <v>-1.0357455534818992E-3</v>
      </c>
      <c r="J26">
        <v>-1.0289643795152203E-3</v>
      </c>
      <c r="K26">
        <v>-1.0221832055485409E-3</v>
      </c>
      <c r="L26">
        <v>-1.0154020315818622E-3</v>
      </c>
      <c r="M26">
        <v>-1.0086208576151829E-3</v>
      </c>
      <c r="N26">
        <v>-1.0018396836485037E-3</v>
      </c>
      <c r="O26">
        <v>-9.9505850968182458E-4</v>
      </c>
      <c r="P26">
        <v>-9.8827733571514543E-4</v>
      </c>
      <c r="Q26">
        <v>-9.8149616174846629E-4</v>
      </c>
      <c r="R26">
        <v>-9.7471498778178736E-4</v>
      </c>
      <c r="S26">
        <v>-9.67933813815108E-4</v>
      </c>
      <c r="T26">
        <v>-9.6115263984842918E-4</v>
      </c>
      <c r="U26">
        <v>-9.5437146588175025E-4</v>
      </c>
      <c r="V26">
        <v>-9.47590291915071E-4</v>
      </c>
      <c r="W26">
        <v>-9.4080911794839196E-4</v>
      </c>
      <c r="X26">
        <v>-9.3402794398171271E-4</v>
      </c>
      <c r="Y26">
        <v>-9.2724677001503378E-4</v>
      </c>
      <c r="Z26">
        <v>-9.2046559604835442E-4</v>
      </c>
      <c r="AA26">
        <v>-9.136844220816756E-4</v>
      </c>
      <c r="AB26">
        <v>-9.0690324811499624E-4</v>
      </c>
      <c r="AC26">
        <v>-9.0012207414831731E-4</v>
      </c>
      <c r="AD26">
        <v>-8.9334090018163806E-4</v>
      </c>
      <c r="AE26">
        <v>-8.8655972621495913E-4</v>
      </c>
      <c r="AF26">
        <v>-8.7977855224827977E-4</v>
      </c>
      <c r="AG26">
        <v>-8.7299737828160095E-4</v>
      </c>
      <c r="AH26">
        <v>-8.6621620431492159E-4</v>
      </c>
      <c r="AI26">
        <v>-8.5943503034824256E-4</v>
      </c>
      <c r="AJ26">
        <v>-8.5265385638156341E-4</v>
      </c>
      <c r="AK26">
        <v>-8.4587268241488437E-4</v>
      </c>
      <c r="AL26">
        <v>-8.3909150844820512E-4</v>
      </c>
      <c r="AM26">
        <v>-8.3231033448152619E-4</v>
      </c>
      <c r="AN26">
        <v>-8.2552916051484716E-4</v>
      </c>
      <c r="AO26">
        <v>-8.1874798654816801E-4</v>
      </c>
      <c r="AP26">
        <v>-8.1196681258148887E-4</v>
      </c>
      <c r="AQ26">
        <v>-8.0518563861480973E-4</v>
      </c>
      <c r="AR26">
        <v>-7.9840446464813058E-4</v>
      </c>
      <c r="AS26">
        <v>-7.9162329068145154E-4</v>
      </c>
      <c r="AT26">
        <v>-7.848421167147724E-4</v>
      </c>
      <c r="AU26">
        <v>-7.7806094274809336E-4</v>
      </c>
      <c r="AV26">
        <v>-7.7127976878141422E-4</v>
      </c>
      <c r="AW26">
        <v>-7.6449859481473508E-4</v>
      </c>
      <c r="AX26">
        <v>-7.5771742084805604E-4</v>
      </c>
      <c r="AY26">
        <v>-7.50936246881377E-4</v>
      </c>
      <c r="AZ26">
        <v>-7.4415507291469786E-4</v>
      </c>
      <c r="BA26">
        <v>-7.3737389894801882E-4</v>
      </c>
      <c r="BB26">
        <v>-7.3059272498133968E-4</v>
      </c>
      <c r="BC26">
        <v>-7.2381155101466043E-4</v>
      </c>
      <c r="BD26">
        <v>-7.1703037704798139E-4</v>
      </c>
      <c r="BE26">
        <v>-7.1024920308130225E-4</v>
      </c>
      <c r="BF26">
        <v>-7.0346802911462321E-4</v>
      </c>
      <c r="BG26">
        <v>-6.9668685514794331E-4</v>
      </c>
      <c r="BH26">
        <v>-6.8990568118126427E-4</v>
      </c>
      <c r="BI26">
        <v>-6.8312450721458523E-4</v>
      </c>
      <c r="BJ26">
        <v>-6.763433332479062E-4</v>
      </c>
    </row>
    <row r="27" spans="1:62" x14ac:dyDescent="0.25">
      <c r="A27" s="57">
        <v>-0.12</v>
      </c>
      <c r="B27">
        <v>-1.0766395634031977E-3</v>
      </c>
      <c r="C27">
        <v>-1.0698583894365188E-3</v>
      </c>
      <c r="D27">
        <v>-1.0630772154698394E-3</v>
      </c>
      <c r="E27">
        <v>-1.0562960415031607E-3</v>
      </c>
      <c r="F27">
        <v>-1.0495148675364813E-3</v>
      </c>
      <c r="G27">
        <v>-1.0427336935698024E-3</v>
      </c>
      <c r="H27">
        <v>-1.035952519603123E-3</v>
      </c>
      <c r="I27">
        <v>-1.0291713456364443E-3</v>
      </c>
      <c r="J27">
        <v>-1.022390171669765E-3</v>
      </c>
      <c r="K27">
        <v>-1.015608997703086E-3</v>
      </c>
      <c r="L27">
        <v>-1.0088278237364067E-3</v>
      </c>
      <c r="M27">
        <v>-1.0020466497697275E-3</v>
      </c>
      <c r="N27">
        <v>-9.9526547580304861E-4</v>
      </c>
      <c r="O27">
        <v>-9.8848430183636946E-4</v>
      </c>
      <c r="P27">
        <v>-9.817031278696901E-4</v>
      </c>
      <c r="Q27">
        <v>-9.7492195390301128E-4</v>
      </c>
      <c r="R27">
        <v>-9.6814077993633235E-4</v>
      </c>
      <c r="S27">
        <v>-9.613596059696531E-4</v>
      </c>
      <c r="T27">
        <v>-9.5457843200297417E-4</v>
      </c>
      <c r="U27">
        <v>-9.4779725803629492E-4</v>
      </c>
      <c r="V27">
        <v>-9.4101608406961588E-4</v>
      </c>
      <c r="W27">
        <v>-9.3423491010293652E-4</v>
      </c>
      <c r="X27">
        <v>-9.274537361362577E-4</v>
      </c>
      <c r="Y27">
        <v>-9.2067256216957834E-4</v>
      </c>
      <c r="Z27">
        <v>-9.1389138820289952E-4</v>
      </c>
      <c r="AA27">
        <v>-9.0711021423622016E-4</v>
      </c>
      <c r="AB27">
        <v>-9.0032904026954123E-4</v>
      </c>
      <c r="AC27">
        <v>-8.9354786630286198E-4</v>
      </c>
      <c r="AD27">
        <v>-8.8676669233618305E-4</v>
      </c>
      <c r="AE27">
        <v>-8.7998551836950369E-4</v>
      </c>
      <c r="AF27">
        <v>-8.7320434440282476E-4</v>
      </c>
      <c r="AG27">
        <v>-8.6642317043614551E-4</v>
      </c>
      <c r="AH27">
        <v>-8.5964199646946648E-4</v>
      </c>
      <c r="AI27">
        <v>-8.5286082250278733E-4</v>
      </c>
      <c r="AJ27">
        <v>-8.460796485361083E-4</v>
      </c>
      <c r="AK27">
        <v>-8.3929847456942904E-4</v>
      </c>
      <c r="AL27">
        <v>-8.3251730060275011E-4</v>
      </c>
      <c r="AM27">
        <v>-8.2573612663607086E-4</v>
      </c>
      <c r="AN27">
        <v>-8.1895495266939193E-4</v>
      </c>
      <c r="AO27">
        <v>-8.1217377870271279E-4</v>
      </c>
      <c r="AP27">
        <v>-8.0539260473603365E-4</v>
      </c>
      <c r="AQ27">
        <v>-7.986114307693545E-4</v>
      </c>
      <c r="AR27">
        <v>-7.9183025680267546E-4</v>
      </c>
      <c r="AS27">
        <v>-7.8504908283599632E-4</v>
      </c>
      <c r="AT27">
        <v>-7.7826790886931728E-4</v>
      </c>
      <c r="AU27">
        <v>-7.7148673490263814E-4</v>
      </c>
      <c r="AV27">
        <v>-7.64705560935959E-4</v>
      </c>
      <c r="AW27">
        <v>-7.5792438696927985E-4</v>
      </c>
      <c r="AX27">
        <v>-7.5114321300260092E-4</v>
      </c>
      <c r="AY27">
        <v>-7.4436203903592178E-4</v>
      </c>
      <c r="AZ27">
        <v>-7.3758086506924263E-4</v>
      </c>
      <c r="BA27">
        <v>-7.307996911025636E-4</v>
      </c>
      <c r="BB27">
        <v>-7.2401851713588435E-4</v>
      </c>
      <c r="BC27">
        <v>-7.1723734316920531E-4</v>
      </c>
      <c r="BD27">
        <v>-7.1045616920252617E-4</v>
      </c>
      <c r="BE27">
        <v>-7.0367499523584713E-4</v>
      </c>
      <c r="BF27">
        <v>-6.9689382126916798E-4</v>
      </c>
      <c r="BG27">
        <v>-6.9011264730248819E-4</v>
      </c>
      <c r="BH27">
        <v>-6.8333147333580905E-4</v>
      </c>
      <c r="BI27">
        <v>-6.7655029936913012E-4</v>
      </c>
      <c r="BJ27">
        <v>-6.6976912540245097E-4</v>
      </c>
    </row>
    <row r="28" spans="1:62" x14ac:dyDescent="0.25">
      <c r="A28" s="57">
        <v>-0.11</v>
      </c>
      <c r="B28">
        <v>-1.0700653555577428E-3</v>
      </c>
      <c r="C28">
        <v>-1.0632841815910636E-3</v>
      </c>
      <c r="D28">
        <v>-1.0565030076243845E-3</v>
      </c>
      <c r="E28">
        <v>-1.0497218336577054E-3</v>
      </c>
      <c r="F28">
        <v>-1.0429406596910264E-3</v>
      </c>
      <c r="G28">
        <v>-1.0361594857243473E-3</v>
      </c>
      <c r="H28">
        <v>-1.0293783117576681E-3</v>
      </c>
      <c r="I28">
        <v>-1.022597137790989E-3</v>
      </c>
      <c r="J28">
        <v>-1.0158159638243101E-3</v>
      </c>
      <c r="K28">
        <v>-1.0090347898576309E-3</v>
      </c>
      <c r="L28">
        <v>-1.0022536158909516E-3</v>
      </c>
      <c r="M28">
        <v>-9.9547244192427242E-4</v>
      </c>
      <c r="N28">
        <v>-9.8869126795759327E-4</v>
      </c>
      <c r="O28">
        <v>-9.8191009399091434E-4</v>
      </c>
      <c r="P28">
        <v>-9.751289200242352E-4</v>
      </c>
      <c r="Q28">
        <v>-9.6834774605755606E-4</v>
      </c>
      <c r="R28">
        <v>-9.6156657209087724E-4</v>
      </c>
      <c r="S28">
        <v>-9.5478539812419788E-4</v>
      </c>
      <c r="T28">
        <v>-9.4800422415751895E-4</v>
      </c>
      <c r="U28">
        <v>-9.412230501908398E-4</v>
      </c>
      <c r="V28">
        <v>-9.3444187622416066E-4</v>
      </c>
      <c r="W28">
        <v>-9.2766070225748162E-4</v>
      </c>
      <c r="X28">
        <v>-9.2087952829080248E-4</v>
      </c>
      <c r="Y28">
        <v>-9.1409835432412344E-4</v>
      </c>
      <c r="Z28">
        <v>-9.0731718035744419E-4</v>
      </c>
      <c r="AA28">
        <v>-9.0053600639076515E-4</v>
      </c>
      <c r="AB28">
        <v>-8.9375483242408601E-4</v>
      </c>
      <c r="AC28">
        <v>-8.8697365845740697E-4</v>
      </c>
      <c r="AD28">
        <v>-8.8019248449072783E-4</v>
      </c>
      <c r="AE28">
        <v>-8.7341131052404868E-4</v>
      </c>
      <c r="AF28">
        <v>-8.6663013655736965E-4</v>
      </c>
      <c r="AG28">
        <v>-8.598489625906904E-4</v>
      </c>
      <c r="AH28">
        <v>-8.5306778862401136E-4</v>
      </c>
      <c r="AI28">
        <v>-8.4628661465733222E-4</v>
      </c>
      <c r="AJ28">
        <v>-8.3950544069065318E-4</v>
      </c>
      <c r="AK28">
        <v>-8.3272426672397403E-4</v>
      </c>
      <c r="AL28">
        <v>-8.25943092757295E-4</v>
      </c>
      <c r="AM28">
        <v>-8.1916191879061585E-4</v>
      </c>
      <c r="AN28">
        <v>-8.123807448239366E-4</v>
      </c>
      <c r="AO28">
        <v>-8.0559957085725757E-4</v>
      </c>
      <c r="AP28">
        <v>-7.9881839689057842E-4</v>
      </c>
      <c r="AQ28">
        <v>-7.9203722292389938E-4</v>
      </c>
      <c r="AR28">
        <v>-7.8525604895722024E-4</v>
      </c>
      <c r="AS28">
        <v>-7.784748749905412E-4</v>
      </c>
      <c r="AT28">
        <v>-7.7169370102386206E-4</v>
      </c>
      <c r="AU28">
        <v>-7.6491252705718292E-4</v>
      </c>
      <c r="AV28">
        <v>-7.5813135309050377E-4</v>
      </c>
      <c r="AW28">
        <v>-7.5135017912382474E-4</v>
      </c>
      <c r="AX28">
        <v>-7.445690051571457E-4</v>
      </c>
      <c r="AY28">
        <v>-7.3778783119046655E-4</v>
      </c>
      <c r="AZ28">
        <v>-7.3100665722378752E-4</v>
      </c>
      <c r="BA28">
        <v>-7.2422548325710827E-4</v>
      </c>
      <c r="BB28">
        <v>-7.1744430929042923E-4</v>
      </c>
      <c r="BC28">
        <v>-7.1066313532375009E-4</v>
      </c>
      <c r="BD28">
        <v>-7.0388196135707105E-4</v>
      </c>
      <c r="BE28">
        <v>-6.971007873903919E-4</v>
      </c>
      <c r="BF28">
        <v>-6.9031961342371287E-4</v>
      </c>
      <c r="BG28">
        <v>-6.8353843945703297E-4</v>
      </c>
      <c r="BH28">
        <v>-6.7675726549035393E-4</v>
      </c>
      <c r="BI28">
        <v>-6.6997609152367489E-4</v>
      </c>
      <c r="BJ28">
        <v>-6.6319491755699575E-4</v>
      </c>
    </row>
    <row r="29" spans="1:62" x14ac:dyDescent="0.25">
      <c r="A29" s="57">
        <v>-0.1</v>
      </c>
      <c r="B29">
        <v>-1.0634911477122875E-3</v>
      </c>
      <c r="C29">
        <v>-1.0567099737456085E-3</v>
      </c>
      <c r="D29">
        <v>-1.0499287997789294E-3</v>
      </c>
      <c r="E29">
        <v>-1.0431476258122502E-3</v>
      </c>
      <c r="F29">
        <v>-1.0363664518455711E-3</v>
      </c>
      <c r="G29">
        <v>-1.0295852778788922E-3</v>
      </c>
      <c r="H29">
        <v>-1.022804103912213E-3</v>
      </c>
      <c r="I29">
        <v>-1.0160229299455339E-3</v>
      </c>
      <c r="J29">
        <v>-1.0092417559788547E-3</v>
      </c>
      <c r="K29">
        <v>-1.0024605820121754E-3</v>
      </c>
      <c r="L29">
        <v>-9.9567940804549645E-4</v>
      </c>
      <c r="M29">
        <v>-9.888982340788173E-4</v>
      </c>
      <c r="N29">
        <v>-9.8211706011213816E-4</v>
      </c>
      <c r="O29">
        <v>-9.7533588614545912E-4</v>
      </c>
      <c r="P29">
        <v>-9.6855471217877998E-4</v>
      </c>
      <c r="Q29">
        <v>-9.6177353821210094E-4</v>
      </c>
      <c r="R29">
        <v>-9.5499236424542201E-4</v>
      </c>
      <c r="S29">
        <v>-9.4821119027874265E-4</v>
      </c>
      <c r="T29">
        <v>-9.4143001631206372E-4</v>
      </c>
      <c r="U29">
        <v>-9.3464884234538458E-4</v>
      </c>
      <c r="V29">
        <v>-9.2786766837870554E-4</v>
      </c>
      <c r="W29">
        <v>-9.210864944120264E-4</v>
      </c>
      <c r="X29">
        <v>-9.1430532044534736E-4</v>
      </c>
      <c r="Y29">
        <v>-9.0752414647866811E-4</v>
      </c>
      <c r="Z29">
        <v>-9.0074297251198907E-4</v>
      </c>
      <c r="AA29">
        <v>-8.9396179854530993E-4</v>
      </c>
      <c r="AB29">
        <v>-8.8718062457863078E-4</v>
      </c>
      <c r="AC29">
        <v>-8.8039945061195175E-4</v>
      </c>
      <c r="AD29">
        <v>-8.736182766452726E-4</v>
      </c>
      <c r="AE29">
        <v>-8.6683710267859357E-4</v>
      </c>
      <c r="AF29">
        <v>-8.6005592871191432E-4</v>
      </c>
      <c r="AG29">
        <v>-8.5327475474523528E-4</v>
      </c>
      <c r="AH29">
        <v>-8.4649358077855614E-4</v>
      </c>
      <c r="AI29">
        <v>-8.397124068118771E-4</v>
      </c>
      <c r="AJ29">
        <v>-8.3293123284519795E-4</v>
      </c>
      <c r="AK29">
        <v>-8.2615005887851881E-4</v>
      </c>
      <c r="AL29">
        <v>-8.1936888491183977E-4</v>
      </c>
      <c r="AM29">
        <v>-8.1258771094516052E-4</v>
      </c>
      <c r="AN29">
        <v>-8.0580653697848149E-4</v>
      </c>
      <c r="AO29">
        <v>-7.9902536301180234E-4</v>
      </c>
      <c r="AP29">
        <v>-7.922441890451233E-4</v>
      </c>
      <c r="AQ29">
        <v>-7.8546301507844416E-4</v>
      </c>
      <c r="AR29">
        <v>-7.7868184111176512E-4</v>
      </c>
      <c r="AS29">
        <v>-7.7190066714508598E-4</v>
      </c>
      <c r="AT29">
        <v>-7.6511949317840684E-4</v>
      </c>
      <c r="AU29">
        <v>-7.5833831921172769E-4</v>
      </c>
      <c r="AV29">
        <v>-7.5155714524504855E-4</v>
      </c>
      <c r="AW29">
        <v>-7.4477597127836951E-4</v>
      </c>
      <c r="AX29">
        <v>-7.3799479731169047E-4</v>
      </c>
      <c r="AY29">
        <v>-7.3121362334501144E-4</v>
      </c>
      <c r="AZ29">
        <v>-7.2443244937833219E-4</v>
      </c>
      <c r="BA29">
        <v>-7.1765127541165315E-4</v>
      </c>
      <c r="BB29">
        <v>-7.1087010144497401E-4</v>
      </c>
      <c r="BC29">
        <v>-7.0408892747829497E-4</v>
      </c>
      <c r="BD29">
        <v>-6.9730775351161583E-4</v>
      </c>
      <c r="BE29">
        <v>-6.9052657954493668E-4</v>
      </c>
      <c r="BF29">
        <v>-6.8374540557825754E-4</v>
      </c>
      <c r="BG29">
        <v>-6.7696423161157774E-4</v>
      </c>
      <c r="BH29">
        <v>-6.7018305764489871E-4</v>
      </c>
      <c r="BI29">
        <v>-6.6340188367821967E-4</v>
      </c>
      <c r="BJ29">
        <v>-6.5662070971154052E-4</v>
      </c>
    </row>
    <row r="30" spans="1:62" x14ac:dyDescent="0.25">
      <c r="A30" s="57">
        <v>-0.09</v>
      </c>
      <c r="B30">
        <v>-1.0569169398668323E-3</v>
      </c>
      <c r="C30">
        <v>-1.0501357659001532E-3</v>
      </c>
      <c r="D30">
        <v>-1.0433545919334743E-3</v>
      </c>
      <c r="E30">
        <v>-1.0365734179667951E-3</v>
      </c>
      <c r="F30">
        <v>-1.029792244000116E-3</v>
      </c>
      <c r="G30">
        <v>-1.0230110700334368E-3</v>
      </c>
      <c r="H30">
        <v>-1.0162298960667577E-3</v>
      </c>
      <c r="I30">
        <v>-1.0094487221000788E-3</v>
      </c>
      <c r="J30">
        <v>-1.0026675481333994E-3</v>
      </c>
      <c r="K30">
        <v>-9.9588637416672026E-4</v>
      </c>
      <c r="L30">
        <v>-9.8910520020004111E-4</v>
      </c>
      <c r="M30">
        <v>-9.8232402623336218E-4</v>
      </c>
      <c r="N30">
        <v>-9.7554285226668304E-4</v>
      </c>
      <c r="O30">
        <v>-9.687616783000039E-4</v>
      </c>
      <c r="P30">
        <v>-9.6198050433332475E-4</v>
      </c>
      <c r="Q30">
        <v>-9.5519933036664572E-4</v>
      </c>
      <c r="R30">
        <v>-9.4841815639996679E-4</v>
      </c>
      <c r="S30">
        <v>-9.4163698243328754E-4</v>
      </c>
      <c r="T30">
        <v>-9.348558084666085E-4</v>
      </c>
      <c r="U30">
        <v>-9.2807463449992946E-4</v>
      </c>
      <c r="V30">
        <v>-9.2129346053325032E-4</v>
      </c>
      <c r="W30">
        <v>-9.1451228656657128E-4</v>
      </c>
      <c r="X30">
        <v>-9.0773111259989203E-4</v>
      </c>
      <c r="Y30">
        <v>-9.0094993863321289E-4</v>
      </c>
      <c r="Z30">
        <v>-8.9416876466653385E-4</v>
      </c>
      <c r="AA30">
        <v>-8.873875906998547E-4</v>
      </c>
      <c r="AB30">
        <v>-8.8060641673317567E-4</v>
      </c>
      <c r="AC30">
        <v>-8.7382524276649652E-4</v>
      </c>
      <c r="AD30">
        <v>-8.6704406879981749E-4</v>
      </c>
      <c r="AE30">
        <v>-8.6026289483313824E-4</v>
      </c>
      <c r="AF30">
        <v>-8.534817208664592E-4</v>
      </c>
      <c r="AG30">
        <v>-8.4670054689978006E-4</v>
      </c>
      <c r="AH30">
        <v>-8.3991937293310102E-4</v>
      </c>
      <c r="AI30">
        <v>-8.3313819896642187E-4</v>
      </c>
      <c r="AJ30">
        <v>-8.2635702499974273E-4</v>
      </c>
      <c r="AK30">
        <v>-8.1957585103306369E-4</v>
      </c>
      <c r="AL30">
        <v>-8.1279467706638444E-4</v>
      </c>
      <c r="AM30">
        <v>-8.0601350309970541E-4</v>
      </c>
      <c r="AN30">
        <v>-7.9923232913302626E-4</v>
      </c>
      <c r="AO30">
        <v>-7.9245115516634723E-4</v>
      </c>
      <c r="AP30">
        <v>-7.8566998119966808E-4</v>
      </c>
      <c r="AQ30">
        <v>-7.7888880723298904E-4</v>
      </c>
      <c r="AR30">
        <v>-7.721076332663099E-4</v>
      </c>
      <c r="AS30">
        <v>-7.6532645929963065E-4</v>
      </c>
      <c r="AT30">
        <v>-7.5854528533295161E-4</v>
      </c>
      <c r="AU30">
        <v>-7.5176411136627247E-4</v>
      </c>
      <c r="AV30">
        <v>-7.4498293739959343E-4</v>
      </c>
      <c r="AW30">
        <v>-7.3820176343291429E-4</v>
      </c>
      <c r="AX30">
        <v>-7.3142058946623536E-4</v>
      </c>
      <c r="AY30">
        <v>-7.2463941549955611E-4</v>
      </c>
      <c r="AZ30">
        <v>-7.1785824153287707E-4</v>
      </c>
      <c r="BA30">
        <v>-7.1107706756619793E-4</v>
      </c>
      <c r="BB30">
        <v>-7.0429589359951878E-4</v>
      </c>
      <c r="BC30">
        <v>-6.9751471963283975E-4</v>
      </c>
      <c r="BD30">
        <v>-6.907335456661606E-4</v>
      </c>
      <c r="BE30">
        <v>-6.8395237169948146E-4</v>
      </c>
      <c r="BF30">
        <v>-6.7717119773280231E-4</v>
      </c>
      <c r="BG30">
        <v>-6.7039002376612263E-4</v>
      </c>
      <c r="BH30">
        <v>-6.6360884979944348E-4</v>
      </c>
      <c r="BI30">
        <v>-6.5682767583276444E-4</v>
      </c>
      <c r="BJ30">
        <v>-6.500465018660853E-4</v>
      </c>
    </row>
    <row r="31" spans="1:62" x14ac:dyDescent="0.25">
      <c r="A31" s="57">
        <v>-0.08</v>
      </c>
      <c r="B31">
        <v>-1.0503427320213772E-3</v>
      </c>
      <c r="C31">
        <v>-1.0435615580546981E-3</v>
      </c>
      <c r="D31">
        <v>-1.0367803840880189E-3</v>
      </c>
      <c r="E31">
        <v>-1.0299992101213398E-3</v>
      </c>
      <c r="F31">
        <v>-1.0232180361546609E-3</v>
      </c>
      <c r="G31">
        <v>-1.0164368621879817E-3</v>
      </c>
      <c r="H31">
        <v>-1.0096556882213026E-3</v>
      </c>
      <c r="I31">
        <v>-1.0028745142546232E-3</v>
      </c>
      <c r="J31">
        <v>-9.9609334028794429E-4</v>
      </c>
      <c r="K31">
        <v>-9.8931216632126514E-4</v>
      </c>
      <c r="L31">
        <v>-9.82530992354586E-4</v>
      </c>
      <c r="M31">
        <v>-9.7574981838790685E-4</v>
      </c>
      <c r="N31">
        <v>-9.6896864442122782E-4</v>
      </c>
      <c r="O31">
        <v>-9.6218747045454867E-4</v>
      </c>
      <c r="P31">
        <v>-9.5540629648786964E-4</v>
      </c>
      <c r="Q31">
        <v>-9.4862512252119049E-4</v>
      </c>
      <c r="R31">
        <v>-9.4184394855451156E-4</v>
      </c>
      <c r="S31">
        <v>-9.350627745878322E-4</v>
      </c>
      <c r="T31">
        <v>-9.2828160062115338E-4</v>
      </c>
      <c r="U31">
        <v>-9.2150042665447424E-4</v>
      </c>
      <c r="V31">
        <v>-9.147192526877952E-4</v>
      </c>
      <c r="W31">
        <v>-9.0793807872111595E-4</v>
      </c>
      <c r="X31">
        <v>-9.0115690475443681E-4</v>
      </c>
      <c r="Y31">
        <v>-8.9437573078775777E-4</v>
      </c>
      <c r="Z31">
        <v>-8.8759455682107863E-4</v>
      </c>
      <c r="AA31">
        <v>-8.8081338285439959E-4</v>
      </c>
      <c r="AB31">
        <v>-8.7403220888772044E-4</v>
      </c>
      <c r="AC31">
        <v>-8.6725103492104141E-4</v>
      </c>
      <c r="AD31">
        <v>-8.6046986095436216E-4</v>
      </c>
      <c r="AE31">
        <v>-8.5368868698768312E-4</v>
      </c>
      <c r="AF31">
        <v>-8.4690751302100398E-4</v>
      </c>
      <c r="AG31">
        <v>-8.4012633905432483E-4</v>
      </c>
      <c r="AH31">
        <v>-8.3334516508764579E-4</v>
      </c>
      <c r="AI31">
        <v>-8.2656399112096665E-4</v>
      </c>
      <c r="AJ31">
        <v>-8.1978281715428761E-4</v>
      </c>
      <c r="AK31">
        <v>-8.1300164318760836E-4</v>
      </c>
      <c r="AL31">
        <v>-8.0622046922092933E-4</v>
      </c>
      <c r="AM31">
        <v>-7.9943929525425018E-4</v>
      </c>
      <c r="AN31">
        <v>-7.9265812128757115E-4</v>
      </c>
      <c r="AO31">
        <v>-7.85876947320892E-4</v>
      </c>
      <c r="AP31">
        <v>-7.7909577335421286E-4</v>
      </c>
      <c r="AQ31">
        <v>-7.7231459938753382E-4</v>
      </c>
      <c r="AR31">
        <v>-7.6553342542085457E-4</v>
      </c>
      <c r="AS31">
        <v>-7.5875225145417553E-4</v>
      </c>
      <c r="AT31">
        <v>-7.5197107748749639E-4</v>
      </c>
      <c r="AU31">
        <v>-7.4518990352081735E-4</v>
      </c>
      <c r="AV31">
        <v>-7.3840872955413821E-4</v>
      </c>
      <c r="AW31">
        <v>-7.3162755558745917E-4</v>
      </c>
      <c r="AX31">
        <v>-7.2484638162078003E-4</v>
      </c>
      <c r="AY31">
        <v>-7.1806520765410099E-4</v>
      </c>
      <c r="AZ31">
        <v>-7.1128403368742185E-4</v>
      </c>
      <c r="BA31">
        <v>-7.045028597207427E-4</v>
      </c>
      <c r="BB31">
        <v>-6.9772168575406367E-4</v>
      </c>
      <c r="BC31">
        <v>-6.9094051178738452E-4</v>
      </c>
      <c r="BD31">
        <v>-6.8415933782070538E-4</v>
      </c>
      <c r="BE31">
        <v>-6.7737816385402623E-4</v>
      </c>
      <c r="BF31">
        <v>-6.705969898873472E-4</v>
      </c>
      <c r="BG31">
        <v>-6.638158159206674E-4</v>
      </c>
      <c r="BH31">
        <v>-6.5703464195398836E-4</v>
      </c>
      <c r="BI31">
        <v>-6.5025346798730922E-4</v>
      </c>
      <c r="BJ31">
        <v>-6.4347229402063008E-4</v>
      </c>
    </row>
    <row r="32" spans="1:62" x14ac:dyDescent="0.25">
      <c r="A32" s="57">
        <v>-7.0000000000000007E-2</v>
      </c>
      <c r="B32">
        <v>-1.0437685241759219E-3</v>
      </c>
      <c r="C32">
        <v>-1.036987350209243E-3</v>
      </c>
      <c r="D32">
        <v>-1.0302061762425638E-3</v>
      </c>
      <c r="E32">
        <v>-1.0234250022758847E-3</v>
      </c>
      <c r="F32">
        <v>-1.0166438283092055E-3</v>
      </c>
      <c r="G32">
        <v>-1.0098626543425266E-3</v>
      </c>
      <c r="H32">
        <v>-1.0030814803758472E-3</v>
      </c>
      <c r="I32">
        <v>-9.963003064091681E-4</v>
      </c>
      <c r="J32">
        <v>-9.8951913244248895E-4</v>
      </c>
      <c r="K32">
        <v>-9.8273795847580981E-4</v>
      </c>
      <c r="L32">
        <v>-9.7595678450913077E-4</v>
      </c>
      <c r="M32">
        <v>-9.6917561054245174E-4</v>
      </c>
      <c r="N32">
        <v>-9.6239443657577259E-4</v>
      </c>
      <c r="O32">
        <v>-9.5561326260909356E-4</v>
      </c>
      <c r="P32">
        <v>-9.4883208864241441E-4</v>
      </c>
      <c r="Q32">
        <v>-9.4205091467573538E-4</v>
      </c>
      <c r="R32">
        <v>-9.3526974070905634E-4</v>
      </c>
      <c r="S32">
        <v>-9.2848856674237709E-4</v>
      </c>
      <c r="T32">
        <v>-9.2170739277569816E-4</v>
      </c>
      <c r="U32">
        <v>-9.1492621880901901E-4</v>
      </c>
      <c r="V32">
        <v>-9.0814504484233987E-4</v>
      </c>
      <c r="W32">
        <v>-9.0136387087566073E-4</v>
      </c>
      <c r="X32">
        <v>-8.9458269690898169E-4</v>
      </c>
      <c r="Y32">
        <v>-8.8780152294230255E-4</v>
      </c>
      <c r="Z32">
        <v>-8.8102034897562351E-4</v>
      </c>
      <c r="AA32">
        <v>-8.7423917500894436E-4</v>
      </c>
      <c r="AB32">
        <v>-8.6745800104226533E-4</v>
      </c>
      <c r="AC32">
        <v>-8.6067682707558608E-4</v>
      </c>
      <c r="AD32">
        <v>-8.5389565310890693E-4</v>
      </c>
      <c r="AE32">
        <v>-8.471144791422279E-4</v>
      </c>
      <c r="AF32">
        <v>-8.4033330517554875E-4</v>
      </c>
      <c r="AG32">
        <v>-8.3355213120886971E-4</v>
      </c>
      <c r="AH32">
        <v>-8.2677095724219057E-4</v>
      </c>
      <c r="AI32">
        <v>-8.1998978327551153E-4</v>
      </c>
      <c r="AJ32">
        <v>-8.1320860930883228E-4</v>
      </c>
      <c r="AK32">
        <v>-8.0642743534215325E-4</v>
      </c>
      <c r="AL32">
        <v>-7.996462613754741E-4</v>
      </c>
      <c r="AM32">
        <v>-7.9286508740879496E-4</v>
      </c>
      <c r="AN32">
        <v>-7.8608391344211592E-4</v>
      </c>
      <c r="AO32">
        <v>-7.7930273947543678E-4</v>
      </c>
      <c r="AP32">
        <v>-7.7252156550875774E-4</v>
      </c>
      <c r="AQ32">
        <v>-7.6574039154207849E-4</v>
      </c>
      <c r="AR32">
        <v>-7.5895921757539945E-4</v>
      </c>
      <c r="AS32">
        <v>-7.5217804360872031E-4</v>
      </c>
      <c r="AT32">
        <v>-7.4539686964204127E-4</v>
      </c>
      <c r="AU32">
        <v>-7.3861569567536213E-4</v>
      </c>
      <c r="AV32">
        <v>-7.3183452170868309E-4</v>
      </c>
      <c r="AW32">
        <v>-7.2505334774200395E-4</v>
      </c>
      <c r="AX32">
        <v>-7.1827217377532491E-4</v>
      </c>
      <c r="AY32">
        <v>-7.1149099980864587E-4</v>
      </c>
      <c r="AZ32">
        <v>-7.0470982584196673E-4</v>
      </c>
      <c r="BA32">
        <v>-6.9792865187528769E-4</v>
      </c>
      <c r="BB32">
        <v>-6.9114747790860844E-4</v>
      </c>
      <c r="BC32">
        <v>-6.843663039419294E-4</v>
      </c>
      <c r="BD32">
        <v>-6.7758512997525026E-4</v>
      </c>
      <c r="BE32">
        <v>-6.7080395600857122E-4</v>
      </c>
      <c r="BF32">
        <v>-6.6402278204189208E-4</v>
      </c>
      <c r="BG32">
        <v>-6.5724160807521228E-4</v>
      </c>
      <c r="BH32">
        <v>-6.5046043410853303E-4</v>
      </c>
      <c r="BI32">
        <v>-6.436792601418541E-4</v>
      </c>
      <c r="BJ32">
        <v>-6.3689808617517507E-4</v>
      </c>
    </row>
    <row r="33" spans="1:62" x14ac:dyDescent="0.25">
      <c r="A33" s="57">
        <v>-0.06</v>
      </c>
      <c r="B33">
        <v>-1.0371943163304668E-3</v>
      </c>
      <c r="C33">
        <v>-1.0304131423637876E-3</v>
      </c>
      <c r="D33">
        <v>-1.0236319683971087E-3</v>
      </c>
      <c r="E33">
        <v>-1.0168507944304296E-3</v>
      </c>
      <c r="F33">
        <v>-1.0100696204637504E-3</v>
      </c>
      <c r="G33">
        <v>-1.0032884464970711E-3</v>
      </c>
      <c r="H33">
        <v>-9.9650727253039213E-4</v>
      </c>
      <c r="I33">
        <v>-9.8972609856371298E-4</v>
      </c>
      <c r="J33">
        <v>-9.8294492459703384E-4</v>
      </c>
      <c r="K33">
        <v>-9.7616375063035469E-4</v>
      </c>
      <c r="L33">
        <v>-9.6938257666367566E-4</v>
      </c>
      <c r="M33">
        <v>-9.6260140269699651E-4</v>
      </c>
      <c r="N33">
        <v>-9.5582022873031748E-4</v>
      </c>
      <c r="O33">
        <v>-9.4903905476363833E-4</v>
      </c>
      <c r="P33">
        <v>-9.422578807969593E-4</v>
      </c>
      <c r="Q33">
        <v>-9.3547670683028004E-4</v>
      </c>
      <c r="R33">
        <v>-9.2869553286360111E-4</v>
      </c>
      <c r="S33">
        <v>-9.2191435889692186E-4</v>
      </c>
      <c r="T33">
        <v>-9.1513318493024293E-4</v>
      </c>
      <c r="U33">
        <v>-9.0835201096356379E-4</v>
      </c>
      <c r="V33">
        <v>-9.0157083699688465E-4</v>
      </c>
      <c r="W33">
        <v>-8.9478966303020561E-4</v>
      </c>
      <c r="X33">
        <v>-8.8800848906352647E-4</v>
      </c>
      <c r="Y33">
        <v>-8.8122731509684743E-4</v>
      </c>
      <c r="Z33">
        <v>-8.7444614113016828E-4</v>
      </c>
      <c r="AA33">
        <v>-8.6766496716348914E-4</v>
      </c>
      <c r="AB33">
        <v>-8.6088379319681E-4</v>
      </c>
      <c r="AC33">
        <v>-8.5410261923013085E-4</v>
      </c>
      <c r="AD33">
        <v>-8.4732144526345182E-4</v>
      </c>
      <c r="AE33">
        <v>-8.4054027129677267E-4</v>
      </c>
      <c r="AF33">
        <v>-8.3375909733009363E-4</v>
      </c>
      <c r="AG33">
        <v>-8.2697792336341449E-4</v>
      </c>
      <c r="AH33">
        <v>-8.2019674939673545E-4</v>
      </c>
      <c r="AI33">
        <v>-8.134155754300562E-4</v>
      </c>
      <c r="AJ33">
        <v>-8.0663440146337717E-4</v>
      </c>
      <c r="AK33">
        <v>-7.9985322749669802E-4</v>
      </c>
      <c r="AL33">
        <v>-7.9307205353001888E-4</v>
      </c>
      <c r="AM33">
        <v>-7.8629087956333984E-4</v>
      </c>
      <c r="AN33">
        <v>-7.795097055966607E-4</v>
      </c>
      <c r="AO33">
        <v>-7.7272853162998166E-4</v>
      </c>
      <c r="AP33">
        <v>-7.6594735766330241E-4</v>
      </c>
      <c r="AQ33">
        <v>-7.5916618369662337E-4</v>
      </c>
      <c r="AR33">
        <v>-7.5238500972994423E-4</v>
      </c>
      <c r="AS33">
        <v>-7.4560383576326519E-4</v>
      </c>
      <c r="AT33">
        <v>-7.3882266179658605E-4</v>
      </c>
      <c r="AU33">
        <v>-7.320414878299069E-4</v>
      </c>
      <c r="AV33">
        <v>-7.2526031386322787E-4</v>
      </c>
      <c r="AW33">
        <v>-7.1847913989654861E-4</v>
      </c>
      <c r="AX33">
        <v>-7.1169796592986979E-4</v>
      </c>
      <c r="AY33">
        <v>-7.0491679196319065E-4</v>
      </c>
      <c r="AZ33">
        <v>-6.9813561799651161E-4</v>
      </c>
      <c r="BA33">
        <v>-6.9135444402983236E-4</v>
      </c>
      <c r="BB33">
        <v>-6.8457327006315332E-4</v>
      </c>
      <c r="BC33">
        <v>-6.7779209609647418E-4</v>
      </c>
      <c r="BD33">
        <v>-6.7101092212979514E-4</v>
      </c>
      <c r="BE33">
        <v>-6.64229748163116E-4</v>
      </c>
      <c r="BF33">
        <v>-6.5744857419643686E-4</v>
      </c>
      <c r="BG33">
        <v>-6.5066740022975695E-4</v>
      </c>
      <c r="BH33">
        <v>-6.4388622626307781E-4</v>
      </c>
      <c r="BI33">
        <v>-6.3710505229639899E-4</v>
      </c>
      <c r="BJ33">
        <v>-6.3032387832971984E-4</v>
      </c>
    </row>
    <row r="34" spans="1:62" x14ac:dyDescent="0.25">
      <c r="A34" s="57">
        <v>-0.05</v>
      </c>
      <c r="B34">
        <v>-1.0306201084850117E-3</v>
      </c>
      <c r="C34">
        <v>-1.0238389345183325E-3</v>
      </c>
      <c r="D34">
        <v>-1.0170577605516534E-3</v>
      </c>
      <c r="E34">
        <v>-1.0102765865849742E-3</v>
      </c>
      <c r="F34">
        <v>-1.0034954126182951E-3</v>
      </c>
      <c r="G34">
        <v>-9.9671423865161594E-4</v>
      </c>
      <c r="H34">
        <v>-9.8993306468493679E-4</v>
      </c>
      <c r="I34">
        <v>-9.8315189071825765E-4</v>
      </c>
      <c r="J34">
        <v>-9.7637071675157861E-4</v>
      </c>
      <c r="K34">
        <v>-9.6958954278489958E-4</v>
      </c>
      <c r="L34">
        <v>-9.6280836881822043E-4</v>
      </c>
      <c r="M34">
        <v>-9.560271948515414E-4</v>
      </c>
      <c r="N34">
        <v>-9.4924602088486225E-4</v>
      </c>
      <c r="O34">
        <v>-9.4246484691818311E-4</v>
      </c>
      <c r="P34">
        <v>-9.3568367295150396E-4</v>
      </c>
      <c r="Q34">
        <v>-9.2890249898482482E-4</v>
      </c>
      <c r="R34">
        <v>-9.22121325018146E-4</v>
      </c>
      <c r="S34">
        <v>-9.1534015105146664E-4</v>
      </c>
      <c r="T34">
        <v>-9.0855897708478771E-4</v>
      </c>
      <c r="U34">
        <v>-9.0177780311810857E-4</v>
      </c>
      <c r="V34">
        <v>-8.9499662915142953E-4</v>
      </c>
      <c r="W34">
        <v>-8.8821545518475039E-4</v>
      </c>
      <c r="X34">
        <v>-8.8143428121807135E-4</v>
      </c>
      <c r="Y34">
        <v>-8.746531072513922E-4</v>
      </c>
      <c r="Z34">
        <v>-8.6787193328471306E-4</v>
      </c>
      <c r="AA34">
        <v>-8.6109075931803392E-4</v>
      </c>
      <c r="AB34">
        <v>-8.5430958535135477E-4</v>
      </c>
      <c r="AC34">
        <v>-8.4752841138467574E-4</v>
      </c>
      <c r="AD34">
        <v>-8.4074723741799659E-4</v>
      </c>
      <c r="AE34">
        <v>-8.3396606345131756E-4</v>
      </c>
      <c r="AF34">
        <v>-8.2718488948463841E-4</v>
      </c>
      <c r="AG34">
        <v>-8.2040371551795937E-4</v>
      </c>
      <c r="AH34">
        <v>-8.1362254155128012E-4</v>
      </c>
      <c r="AI34">
        <v>-8.0684136758460098E-4</v>
      </c>
      <c r="AJ34">
        <v>-8.0006019361792194E-4</v>
      </c>
      <c r="AK34">
        <v>-7.932790196512428E-4</v>
      </c>
      <c r="AL34">
        <v>-7.8649784568456376E-4</v>
      </c>
      <c r="AM34">
        <v>-7.7971667171788462E-4</v>
      </c>
      <c r="AN34">
        <v>-7.7293549775120558E-4</v>
      </c>
      <c r="AO34">
        <v>-7.6615432378452644E-4</v>
      </c>
      <c r="AP34">
        <v>-7.593731498178474E-4</v>
      </c>
      <c r="AQ34">
        <v>-7.5259197585116826E-4</v>
      </c>
      <c r="AR34">
        <v>-7.4581080188448911E-4</v>
      </c>
      <c r="AS34">
        <v>-7.3902962791781008E-4</v>
      </c>
      <c r="AT34">
        <v>-7.3224845395113093E-4</v>
      </c>
      <c r="AU34">
        <v>-7.2546727998445179E-4</v>
      </c>
      <c r="AV34">
        <v>-7.1868610601777264E-4</v>
      </c>
      <c r="AW34">
        <v>-7.1190493205109361E-4</v>
      </c>
      <c r="AX34">
        <v>-7.0512375808441457E-4</v>
      </c>
      <c r="AY34">
        <v>-6.9834258411773553E-4</v>
      </c>
      <c r="AZ34">
        <v>-6.9156141015105628E-4</v>
      </c>
      <c r="BA34">
        <v>-6.8478023618437724E-4</v>
      </c>
      <c r="BB34">
        <v>-6.779990622176981E-4</v>
      </c>
      <c r="BC34">
        <v>-6.7121788825101896E-4</v>
      </c>
      <c r="BD34">
        <v>-6.6443671428433992E-4</v>
      </c>
      <c r="BE34">
        <v>-6.5765554031766078E-4</v>
      </c>
      <c r="BF34">
        <v>-6.5087436635098174E-4</v>
      </c>
      <c r="BG34">
        <v>-6.4409319238430184E-4</v>
      </c>
      <c r="BH34">
        <v>-6.373120184176228E-4</v>
      </c>
      <c r="BI34">
        <v>-6.3053084445094376E-4</v>
      </c>
      <c r="BJ34">
        <v>-6.2374967048426462E-4</v>
      </c>
    </row>
    <row r="35" spans="1:62" x14ac:dyDescent="0.25">
      <c r="A35" s="57">
        <v>-0.04</v>
      </c>
      <c r="B35">
        <v>-1.0240459006395565E-3</v>
      </c>
      <c r="C35">
        <v>-1.0172647266728774E-3</v>
      </c>
      <c r="D35">
        <v>-1.0104835527061983E-3</v>
      </c>
      <c r="E35">
        <v>-1.0037023787395189E-3</v>
      </c>
      <c r="F35">
        <v>-9.9692120477283975E-4</v>
      </c>
      <c r="G35">
        <v>-9.9014003080616082E-4</v>
      </c>
      <c r="H35">
        <v>-9.8335885683948168E-4</v>
      </c>
      <c r="I35">
        <v>-9.7657768287280253E-4</v>
      </c>
      <c r="J35">
        <v>-9.697965089061235E-4</v>
      </c>
      <c r="K35">
        <v>-9.6301533493944435E-4</v>
      </c>
      <c r="L35">
        <v>-9.5623416097276532E-4</v>
      </c>
      <c r="M35">
        <v>-9.4945298700608617E-4</v>
      </c>
      <c r="N35">
        <v>-9.4267181303940703E-4</v>
      </c>
      <c r="O35">
        <v>-9.3589063907272788E-4</v>
      </c>
      <c r="P35">
        <v>-9.2910946510604874E-4</v>
      </c>
      <c r="Q35">
        <v>-9.223282911393697E-4</v>
      </c>
      <c r="R35">
        <v>-9.1554711717269077E-4</v>
      </c>
      <c r="S35">
        <v>-9.0876594320601152E-4</v>
      </c>
      <c r="T35">
        <v>-9.0198476923933249E-4</v>
      </c>
      <c r="U35">
        <v>-8.9520359527265345E-4</v>
      </c>
      <c r="V35">
        <v>-8.8842242130597431E-4</v>
      </c>
      <c r="W35">
        <v>-8.8164124733929516E-4</v>
      </c>
      <c r="X35">
        <v>-8.7486007337261612E-4</v>
      </c>
      <c r="Y35">
        <v>-8.6807889940593698E-4</v>
      </c>
      <c r="Z35">
        <v>-8.6129772543925784E-4</v>
      </c>
      <c r="AA35">
        <v>-8.5451655147257869E-4</v>
      </c>
      <c r="AB35">
        <v>-8.4773537750589966E-4</v>
      </c>
      <c r="AC35">
        <v>-8.4095420353922051E-4</v>
      </c>
      <c r="AD35">
        <v>-8.3417302957254148E-4</v>
      </c>
      <c r="AE35">
        <v>-8.2739185560586233E-4</v>
      </c>
      <c r="AF35">
        <v>-8.2061068163918319E-4</v>
      </c>
      <c r="AG35">
        <v>-8.1382950767250404E-4</v>
      </c>
      <c r="AH35">
        <v>-8.070483337058249E-4</v>
      </c>
      <c r="AI35">
        <v>-8.0026715973914586E-4</v>
      </c>
      <c r="AJ35">
        <v>-7.9348598577246672E-4</v>
      </c>
      <c r="AK35">
        <v>-7.8670481180578768E-4</v>
      </c>
      <c r="AL35">
        <v>-7.7992363783910854E-4</v>
      </c>
      <c r="AM35">
        <v>-7.731424638724295E-4</v>
      </c>
      <c r="AN35">
        <v>-7.6636128990575036E-4</v>
      </c>
      <c r="AO35">
        <v>-7.5958011593907132E-4</v>
      </c>
      <c r="AP35">
        <v>-7.5279894197239218E-4</v>
      </c>
      <c r="AQ35">
        <v>-7.4601776800571303E-4</v>
      </c>
      <c r="AR35">
        <v>-7.39236594039034E-4</v>
      </c>
      <c r="AS35">
        <v>-7.3245542007235485E-4</v>
      </c>
      <c r="AT35">
        <v>-7.2567424610567571E-4</v>
      </c>
      <c r="AU35">
        <v>-7.1889307213899656E-4</v>
      </c>
      <c r="AV35">
        <v>-7.1211189817231753E-4</v>
      </c>
      <c r="AW35">
        <v>-7.0533072420563838E-4</v>
      </c>
      <c r="AX35">
        <v>-6.9854955023895945E-4</v>
      </c>
      <c r="AY35">
        <v>-6.917683762722802E-4</v>
      </c>
      <c r="AZ35">
        <v>-6.8498720230560106E-4</v>
      </c>
      <c r="BA35">
        <v>-6.7820602833892202E-4</v>
      </c>
      <c r="BB35">
        <v>-6.7142485437224288E-4</v>
      </c>
      <c r="BC35">
        <v>-6.6464368040556384E-4</v>
      </c>
      <c r="BD35">
        <v>-6.578625064388847E-4</v>
      </c>
      <c r="BE35">
        <v>-6.5108133247220566E-4</v>
      </c>
      <c r="BF35">
        <v>-6.4430015850552641E-4</v>
      </c>
      <c r="BG35">
        <v>-6.3751898453884672E-4</v>
      </c>
      <c r="BH35">
        <v>-6.3073781057216758E-4</v>
      </c>
      <c r="BI35">
        <v>-6.2395663660548854E-4</v>
      </c>
      <c r="BJ35">
        <v>-6.171754626388094E-4</v>
      </c>
    </row>
    <row r="36" spans="1:62" x14ac:dyDescent="0.25">
      <c r="A36" s="57">
        <v>-0.03</v>
      </c>
      <c r="B36">
        <v>-1.0174716927941012E-3</v>
      </c>
      <c r="C36">
        <v>-1.0106905188274221E-3</v>
      </c>
      <c r="D36">
        <v>-1.0039093448607429E-3</v>
      </c>
      <c r="E36">
        <v>-9.9712817089406378E-4</v>
      </c>
      <c r="F36">
        <v>-9.9034699692738463E-4</v>
      </c>
      <c r="G36">
        <v>-9.8356582296070549E-4</v>
      </c>
      <c r="H36">
        <v>-9.7678464899402656E-4</v>
      </c>
      <c r="I36">
        <v>-9.7000347502734742E-4</v>
      </c>
      <c r="J36">
        <v>-9.6322230106066827E-4</v>
      </c>
      <c r="K36">
        <v>-9.5644112709398913E-4</v>
      </c>
      <c r="L36">
        <v>-9.4965995312731009E-4</v>
      </c>
      <c r="M36">
        <v>-9.4287877916063095E-4</v>
      </c>
      <c r="N36">
        <v>-9.360976051939518E-4</v>
      </c>
      <c r="O36">
        <v>-9.2931643122727266E-4</v>
      </c>
      <c r="P36">
        <v>-9.2253525726059362E-4</v>
      </c>
      <c r="Q36">
        <v>-9.1575408329391448E-4</v>
      </c>
      <c r="R36">
        <v>-9.0897290932723555E-4</v>
      </c>
      <c r="S36">
        <v>-9.021917353605563E-4</v>
      </c>
      <c r="T36">
        <v>-8.9541056139387726E-4</v>
      </c>
      <c r="U36">
        <v>-8.8862938742719823E-4</v>
      </c>
      <c r="V36">
        <v>-8.8184821346051908E-4</v>
      </c>
      <c r="W36">
        <v>-8.7506703949384004E-4</v>
      </c>
      <c r="X36">
        <v>-8.682858655271609E-4</v>
      </c>
      <c r="Y36">
        <v>-8.6150469156048176E-4</v>
      </c>
      <c r="Z36">
        <v>-8.5472351759380261E-4</v>
      </c>
      <c r="AA36">
        <v>-8.4794234362712358E-4</v>
      </c>
      <c r="AB36">
        <v>-8.4116116966044443E-4</v>
      </c>
      <c r="AC36">
        <v>-8.343799956937654E-4</v>
      </c>
      <c r="AD36">
        <v>-8.2759882172708625E-4</v>
      </c>
      <c r="AE36">
        <v>-8.2081764776040711E-4</v>
      </c>
      <c r="AF36">
        <v>-8.1403647379372796E-4</v>
      </c>
      <c r="AG36">
        <v>-8.0725529982704882E-4</v>
      </c>
      <c r="AH36">
        <v>-8.0047412586036978E-4</v>
      </c>
      <c r="AI36">
        <v>-7.9369295189369064E-4</v>
      </c>
      <c r="AJ36">
        <v>-7.869117779270116E-4</v>
      </c>
      <c r="AK36">
        <v>-7.8013060396033246E-4</v>
      </c>
      <c r="AL36">
        <v>-7.7334942999365342E-4</v>
      </c>
      <c r="AM36">
        <v>-7.6656825602697417E-4</v>
      </c>
      <c r="AN36">
        <v>-7.5978708206029513E-4</v>
      </c>
      <c r="AO36">
        <v>-7.530059080936161E-4</v>
      </c>
      <c r="AP36">
        <v>-7.4622473412693695E-4</v>
      </c>
      <c r="AQ36">
        <v>-7.3944356016025792E-4</v>
      </c>
      <c r="AR36">
        <v>-7.3266238619357877E-4</v>
      </c>
      <c r="AS36">
        <v>-7.2588121222689963E-4</v>
      </c>
      <c r="AT36">
        <v>-7.1910003826022048E-4</v>
      </c>
      <c r="AU36">
        <v>-7.1231886429354145E-4</v>
      </c>
      <c r="AV36">
        <v>-7.055376903268623E-4</v>
      </c>
      <c r="AW36">
        <v>-6.9875651636018327E-4</v>
      </c>
      <c r="AX36">
        <v>-6.9197534239350412E-4</v>
      </c>
      <c r="AY36">
        <v>-6.8519416842682498E-4</v>
      </c>
      <c r="AZ36">
        <v>-6.7841299446014594E-4</v>
      </c>
      <c r="BA36">
        <v>-6.716318204934668E-4</v>
      </c>
      <c r="BB36">
        <v>-6.6485064652678776E-4</v>
      </c>
      <c r="BC36">
        <v>-6.5806947256010862E-4</v>
      </c>
      <c r="BD36">
        <v>-6.5128829859342958E-4</v>
      </c>
      <c r="BE36">
        <v>-6.4450712462675033E-4</v>
      </c>
      <c r="BF36">
        <v>-6.3772595066007129E-4</v>
      </c>
      <c r="BG36">
        <v>-6.309447766933915E-4</v>
      </c>
      <c r="BH36">
        <v>-6.2416360272671246E-4</v>
      </c>
      <c r="BI36">
        <v>-6.1738242876003332E-4</v>
      </c>
      <c r="BJ36">
        <v>-6.1060125479335417E-4</v>
      </c>
    </row>
    <row r="37" spans="1:62" x14ac:dyDescent="0.25">
      <c r="A37" s="57">
        <v>-0.02</v>
      </c>
      <c r="B37">
        <v>-1.0108974849486461E-3</v>
      </c>
      <c r="C37">
        <v>-1.0041163109819667E-3</v>
      </c>
      <c r="D37">
        <v>-9.9733513701528759E-4</v>
      </c>
      <c r="E37">
        <v>-9.9055396304860866E-4</v>
      </c>
      <c r="F37">
        <v>-9.8377278908192952E-4</v>
      </c>
      <c r="G37">
        <v>-9.7699161511525037E-4</v>
      </c>
      <c r="H37">
        <v>-9.7021044114857123E-4</v>
      </c>
      <c r="I37">
        <v>-9.6342926718189219E-4</v>
      </c>
      <c r="J37">
        <v>-9.5664809321521305E-4</v>
      </c>
      <c r="K37">
        <v>-9.4986691924853401E-4</v>
      </c>
      <c r="L37">
        <v>-9.4308574528185487E-4</v>
      </c>
      <c r="M37">
        <v>-9.3630457131517572E-4</v>
      </c>
      <c r="N37">
        <v>-9.2952339734849658E-4</v>
      </c>
      <c r="O37">
        <v>-9.2274222338181754E-4</v>
      </c>
      <c r="P37">
        <v>-9.159610494151384E-4</v>
      </c>
      <c r="Q37">
        <v>-9.0917987544845936E-4</v>
      </c>
      <c r="R37">
        <v>-9.0239870148178033E-4</v>
      </c>
      <c r="S37">
        <v>-8.9561752751510107E-4</v>
      </c>
      <c r="T37">
        <v>-8.8883635354842215E-4</v>
      </c>
      <c r="U37">
        <v>-8.82055179581743E-4</v>
      </c>
      <c r="V37">
        <v>-8.7527400561506396E-4</v>
      </c>
      <c r="W37">
        <v>-8.6849283164838482E-4</v>
      </c>
      <c r="X37">
        <v>-8.6171165768170568E-4</v>
      </c>
      <c r="Y37">
        <v>-8.5493048371502653E-4</v>
      </c>
      <c r="Z37">
        <v>-8.481493097483475E-4</v>
      </c>
      <c r="AA37">
        <v>-8.4136813578166835E-4</v>
      </c>
      <c r="AB37">
        <v>-8.3458696181498921E-4</v>
      </c>
      <c r="AC37">
        <v>-8.2780578784831017E-4</v>
      </c>
      <c r="AD37">
        <v>-8.2102461388163103E-4</v>
      </c>
      <c r="AE37">
        <v>-8.1424343991495188E-4</v>
      </c>
      <c r="AF37">
        <v>-8.0746226594827274E-4</v>
      </c>
      <c r="AG37">
        <v>-8.006810919815937E-4</v>
      </c>
      <c r="AH37">
        <v>-7.9389991801491456E-4</v>
      </c>
      <c r="AI37">
        <v>-7.8711874404823552E-4</v>
      </c>
      <c r="AJ37">
        <v>-7.8033757008155638E-4</v>
      </c>
      <c r="AK37">
        <v>-7.7355639611487723E-4</v>
      </c>
      <c r="AL37">
        <v>-7.6677522214819809E-4</v>
      </c>
      <c r="AM37">
        <v>-7.5999404818151894E-4</v>
      </c>
      <c r="AN37">
        <v>-7.5321287421484002E-4</v>
      </c>
      <c r="AO37">
        <v>-7.4643170024816087E-4</v>
      </c>
      <c r="AP37">
        <v>-7.3965052628148184E-4</v>
      </c>
      <c r="AQ37">
        <v>-7.3286935231480269E-4</v>
      </c>
      <c r="AR37">
        <v>-7.2608817834812355E-4</v>
      </c>
      <c r="AS37">
        <v>-7.193070043814444E-4</v>
      </c>
      <c r="AT37">
        <v>-7.1252583041476537E-4</v>
      </c>
      <c r="AU37">
        <v>-7.0574465644808622E-4</v>
      </c>
      <c r="AV37">
        <v>-6.9896348248140708E-4</v>
      </c>
      <c r="AW37">
        <v>-6.9218230851472804E-4</v>
      </c>
      <c r="AX37">
        <v>-6.854011345480489E-4</v>
      </c>
      <c r="AY37">
        <v>-6.7861996058136986E-4</v>
      </c>
      <c r="AZ37">
        <v>-6.7183878661469072E-4</v>
      </c>
      <c r="BA37">
        <v>-6.6505761264801168E-4</v>
      </c>
      <c r="BB37">
        <v>-6.5827643868133254E-4</v>
      </c>
      <c r="BC37">
        <v>-6.514952647146535E-4</v>
      </c>
      <c r="BD37">
        <v>-6.4471409074797425E-4</v>
      </c>
      <c r="BE37">
        <v>-6.379329167812951E-4</v>
      </c>
      <c r="BF37">
        <v>-6.3115174281461607E-4</v>
      </c>
      <c r="BG37">
        <v>-6.2437056884793627E-4</v>
      </c>
      <c r="BH37">
        <v>-6.1758939488125724E-4</v>
      </c>
      <c r="BI37">
        <v>-6.1080822091457809E-4</v>
      </c>
      <c r="BJ37">
        <v>-6.0402704694789906E-4</v>
      </c>
    </row>
    <row r="38" spans="1:62" x14ac:dyDescent="0.25">
      <c r="A38" s="57">
        <v>-0.01</v>
      </c>
      <c r="B38">
        <v>-1.0043232771031908E-3</v>
      </c>
      <c r="C38">
        <v>-9.9754210313651162E-4</v>
      </c>
      <c r="D38">
        <v>-9.9076092916983247E-4</v>
      </c>
      <c r="E38">
        <v>-9.8397975520315333E-4</v>
      </c>
      <c r="F38">
        <v>-9.7719858123647418E-4</v>
      </c>
      <c r="G38">
        <v>-9.7041740726979515E-4</v>
      </c>
      <c r="H38">
        <v>-9.6363623330311611E-4</v>
      </c>
      <c r="I38">
        <v>-9.5685505933643697E-4</v>
      </c>
      <c r="J38">
        <v>-9.5007388536975793E-4</v>
      </c>
      <c r="K38">
        <v>-9.4329271140307879E-4</v>
      </c>
      <c r="L38">
        <v>-9.3651153743639964E-4</v>
      </c>
      <c r="M38">
        <v>-9.297303634697205E-4</v>
      </c>
      <c r="N38">
        <v>-9.2294918950304146E-4</v>
      </c>
      <c r="O38">
        <v>-9.1616801553636232E-4</v>
      </c>
      <c r="P38">
        <v>-9.0938684156968317E-4</v>
      </c>
      <c r="Q38">
        <v>-9.0260566760300414E-4</v>
      </c>
      <c r="R38">
        <v>-8.958244936363251E-4</v>
      </c>
      <c r="S38">
        <v>-8.8904331966964585E-4</v>
      </c>
      <c r="T38">
        <v>-8.8226214570296692E-4</v>
      </c>
      <c r="U38">
        <v>-8.7548097173628789E-4</v>
      </c>
      <c r="V38">
        <v>-8.6869979776960874E-4</v>
      </c>
      <c r="W38">
        <v>-8.619186238029296E-4</v>
      </c>
      <c r="X38">
        <v>-8.5513744983625045E-4</v>
      </c>
      <c r="Y38">
        <v>-8.4835627586957131E-4</v>
      </c>
      <c r="Z38">
        <v>-8.4157510190289227E-4</v>
      </c>
      <c r="AA38">
        <v>-8.3479392793621313E-4</v>
      </c>
      <c r="AB38">
        <v>-8.2801275396953409E-4</v>
      </c>
      <c r="AC38">
        <v>-8.2123158000285495E-4</v>
      </c>
      <c r="AD38">
        <v>-8.144504060361758E-4</v>
      </c>
      <c r="AE38">
        <v>-8.0766923206949666E-4</v>
      </c>
      <c r="AF38">
        <v>-8.0088805810281762E-4</v>
      </c>
      <c r="AG38">
        <v>-7.9410688413613848E-4</v>
      </c>
      <c r="AH38">
        <v>-7.8732571016945944E-4</v>
      </c>
      <c r="AI38">
        <v>-7.805445362027803E-4</v>
      </c>
      <c r="AJ38">
        <v>-7.7376336223610115E-4</v>
      </c>
      <c r="AK38">
        <v>-7.6698218826942201E-4</v>
      </c>
      <c r="AL38">
        <v>-7.6020101430274286E-4</v>
      </c>
      <c r="AM38">
        <v>-7.5341984033606383E-4</v>
      </c>
      <c r="AN38">
        <v>-7.4663866636938479E-4</v>
      </c>
      <c r="AO38">
        <v>-7.3985749240270576E-4</v>
      </c>
      <c r="AP38">
        <v>-7.3307631843602661E-4</v>
      </c>
      <c r="AQ38">
        <v>-7.2629514446934747E-4</v>
      </c>
      <c r="AR38">
        <v>-7.1951397050266832E-4</v>
      </c>
      <c r="AS38">
        <v>-7.1273279653598918E-4</v>
      </c>
      <c r="AT38">
        <v>-7.0595162256931014E-4</v>
      </c>
      <c r="AU38">
        <v>-6.99170448602631E-4</v>
      </c>
      <c r="AV38">
        <v>-6.9238927463595196E-4</v>
      </c>
      <c r="AW38">
        <v>-6.8560810066927271E-4</v>
      </c>
      <c r="AX38">
        <v>-6.7882692670259378E-4</v>
      </c>
      <c r="AY38">
        <v>-6.7204575273591464E-4</v>
      </c>
      <c r="AZ38">
        <v>-6.652645787692356E-4</v>
      </c>
      <c r="BA38">
        <v>-6.5848340480255646E-4</v>
      </c>
      <c r="BB38">
        <v>-6.5170223083587742E-4</v>
      </c>
      <c r="BC38">
        <v>-6.4492105686919817E-4</v>
      </c>
      <c r="BD38">
        <v>-6.3813988290251902E-4</v>
      </c>
      <c r="BE38">
        <v>-6.3135870893583999E-4</v>
      </c>
      <c r="BF38">
        <v>-6.2457753496916084E-4</v>
      </c>
      <c r="BG38">
        <v>-6.1779636100248116E-4</v>
      </c>
      <c r="BH38">
        <v>-6.110151870358019E-4</v>
      </c>
      <c r="BI38">
        <v>-6.0423401306912298E-4</v>
      </c>
      <c r="BJ38">
        <v>-5.9745283910244383E-4</v>
      </c>
    </row>
    <row r="39" spans="1:62" x14ac:dyDescent="0.25">
      <c r="A39" s="57">
        <v>0</v>
      </c>
      <c r="B39">
        <v>-9.9774906925773543E-4</v>
      </c>
      <c r="C39">
        <v>-9.9096789529105628E-4</v>
      </c>
      <c r="D39">
        <v>-9.8418672132437736E-4</v>
      </c>
      <c r="E39">
        <v>-9.7740554735769821E-4</v>
      </c>
      <c r="F39">
        <v>-9.7062437339101907E-4</v>
      </c>
      <c r="G39">
        <v>-9.6384319942434003E-4</v>
      </c>
      <c r="H39">
        <v>-9.5706202545766089E-4</v>
      </c>
      <c r="I39">
        <v>-9.5028085149098185E-4</v>
      </c>
      <c r="J39">
        <v>-9.4349967752430271E-4</v>
      </c>
      <c r="K39">
        <v>-9.3671850355762356E-4</v>
      </c>
      <c r="L39">
        <v>-9.2993732959094442E-4</v>
      </c>
      <c r="M39">
        <v>-9.2315615562426527E-4</v>
      </c>
      <c r="N39">
        <v>-9.1637498165758624E-4</v>
      </c>
      <c r="O39">
        <v>-9.0959380769090709E-4</v>
      </c>
      <c r="P39">
        <v>-9.0281263372422806E-4</v>
      </c>
      <c r="Q39">
        <v>-8.9603145975754891E-4</v>
      </c>
      <c r="R39">
        <v>-8.8925028579086999E-4</v>
      </c>
      <c r="S39">
        <v>-8.8246911182419062E-4</v>
      </c>
      <c r="T39">
        <v>-8.7568793785751181E-4</v>
      </c>
      <c r="U39">
        <v>-8.6890676389083266E-4</v>
      </c>
      <c r="V39">
        <v>-8.6212558992415341E-4</v>
      </c>
      <c r="W39">
        <v>-8.5534441595747437E-4</v>
      </c>
      <c r="X39">
        <v>-8.4856324199079523E-4</v>
      </c>
      <c r="Y39">
        <v>-8.4178206802411619E-4</v>
      </c>
      <c r="Z39">
        <v>-8.3500089405743705E-4</v>
      </c>
      <c r="AA39">
        <v>-8.2821972009075801E-4</v>
      </c>
      <c r="AB39">
        <v>-8.2143854612407887E-4</v>
      </c>
      <c r="AC39">
        <v>-8.1465737215739972E-4</v>
      </c>
      <c r="AD39">
        <v>-8.0787619819072058E-4</v>
      </c>
      <c r="AE39">
        <v>-8.0109502422404154E-4</v>
      </c>
      <c r="AF39">
        <v>-7.943138502573624E-4</v>
      </c>
      <c r="AG39">
        <v>-7.8753267629068325E-4</v>
      </c>
      <c r="AH39">
        <v>-7.8075150232400422E-4</v>
      </c>
      <c r="AI39">
        <v>-7.7397032835732507E-4</v>
      </c>
      <c r="AJ39">
        <v>-7.6718915439064593E-4</v>
      </c>
      <c r="AK39">
        <v>-7.6040798042396678E-4</v>
      </c>
      <c r="AL39">
        <v>-7.5362680645728775E-4</v>
      </c>
      <c r="AM39">
        <v>-7.468456324906086E-4</v>
      </c>
      <c r="AN39">
        <v>-7.4006445852392968E-4</v>
      </c>
      <c r="AO39">
        <v>-7.3328328455725053E-4</v>
      </c>
      <c r="AP39">
        <v>-7.2650211059057139E-4</v>
      </c>
      <c r="AQ39">
        <v>-7.1972093662389224E-4</v>
      </c>
      <c r="AR39">
        <v>-7.129397626572131E-4</v>
      </c>
      <c r="AS39">
        <v>-7.0615858869053406E-4</v>
      </c>
      <c r="AT39">
        <v>-6.9937741472385492E-4</v>
      </c>
      <c r="AU39">
        <v>-6.9259624075717588E-4</v>
      </c>
      <c r="AV39">
        <v>-6.8581506679049663E-4</v>
      </c>
      <c r="AW39">
        <v>-6.7903389282381759E-4</v>
      </c>
      <c r="AX39">
        <v>-6.7225271885713856E-4</v>
      </c>
      <c r="AY39">
        <v>-6.6547154489045952E-4</v>
      </c>
      <c r="AZ39">
        <v>-6.5869037092378038E-4</v>
      </c>
      <c r="BA39">
        <v>-6.5190919695710123E-4</v>
      </c>
      <c r="BB39">
        <v>-6.4512802299042209E-4</v>
      </c>
      <c r="BC39">
        <v>-6.3834684902374294E-4</v>
      </c>
      <c r="BD39">
        <v>-6.3156567505706391E-4</v>
      </c>
      <c r="BE39">
        <v>-6.2478450109038476E-4</v>
      </c>
      <c r="BF39">
        <v>-6.1800332712370573E-4</v>
      </c>
      <c r="BG39">
        <v>-6.1122215315702582E-4</v>
      </c>
      <c r="BH39">
        <v>-6.0444097919034679E-4</v>
      </c>
      <c r="BI39">
        <v>-5.9765980522366775E-4</v>
      </c>
      <c r="BJ39">
        <v>-5.9087863125698871E-4</v>
      </c>
    </row>
    <row r="40" spans="1:62" x14ac:dyDescent="0.25">
      <c r="A40" s="57">
        <v>0.01</v>
      </c>
      <c r="B40">
        <v>-9.9117486141228031E-4</v>
      </c>
      <c r="C40">
        <v>-9.8439368744560117E-4</v>
      </c>
      <c r="D40">
        <v>-9.7761251347892202E-4</v>
      </c>
      <c r="E40">
        <v>-9.7083133951224299E-4</v>
      </c>
      <c r="F40">
        <v>-9.6405016554556395E-4</v>
      </c>
      <c r="G40">
        <v>-9.5726899157888481E-4</v>
      </c>
      <c r="H40">
        <v>-9.5048781761220577E-4</v>
      </c>
      <c r="I40">
        <v>-9.4370664364552663E-4</v>
      </c>
      <c r="J40">
        <v>-9.3692546967884737E-4</v>
      </c>
      <c r="K40">
        <v>-9.3014429571216834E-4</v>
      </c>
      <c r="L40">
        <v>-9.2336312174548919E-4</v>
      </c>
      <c r="M40">
        <v>-9.1658194777881016E-4</v>
      </c>
      <c r="N40">
        <v>-9.0980077381213101E-4</v>
      </c>
      <c r="O40">
        <v>-9.0301959984545198E-4</v>
      </c>
      <c r="P40">
        <v>-8.9623842587877283E-4</v>
      </c>
      <c r="Q40">
        <v>-8.8945725191209369E-4</v>
      </c>
      <c r="R40">
        <v>-8.8267607794541476E-4</v>
      </c>
      <c r="S40">
        <v>-8.7589490397873551E-4</v>
      </c>
      <c r="T40">
        <v>-8.6911373001205658E-4</v>
      </c>
      <c r="U40">
        <v>-8.6233255604537733E-4</v>
      </c>
      <c r="V40">
        <v>-8.5555138207869829E-4</v>
      </c>
      <c r="W40">
        <v>-8.4877020811201915E-4</v>
      </c>
      <c r="X40">
        <v>-8.4198903414534011E-4</v>
      </c>
      <c r="Y40">
        <v>-8.3520786017866097E-4</v>
      </c>
      <c r="Z40">
        <v>-8.2842668621198193E-4</v>
      </c>
      <c r="AA40">
        <v>-8.2164551224530279E-4</v>
      </c>
      <c r="AB40">
        <v>-8.1486433827862364E-4</v>
      </c>
      <c r="AC40">
        <v>-8.080831643119445E-4</v>
      </c>
      <c r="AD40">
        <v>-8.0130199034526535E-4</v>
      </c>
      <c r="AE40">
        <v>-7.9452081637858632E-4</v>
      </c>
      <c r="AF40">
        <v>-7.8773964241190717E-4</v>
      </c>
      <c r="AG40">
        <v>-7.8095846844522814E-4</v>
      </c>
      <c r="AH40">
        <v>-7.7417729447854899E-4</v>
      </c>
      <c r="AI40">
        <v>-7.6739612051186985E-4</v>
      </c>
      <c r="AJ40">
        <v>-7.606149465451907E-4</v>
      </c>
      <c r="AK40">
        <v>-7.5383377257851167E-4</v>
      </c>
      <c r="AL40">
        <v>-7.4705259861183252E-4</v>
      </c>
      <c r="AM40">
        <v>-7.4027142464515349E-4</v>
      </c>
      <c r="AN40">
        <v>-7.3349025067847445E-4</v>
      </c>
      <c r="AO40">
        <v>-7.267090767117952E-4</v>
      </c>
      <c r="AP40">
        <v>-7.1992790274511616E-4</v>
      </c>
      <c r="AQ40">
        <v>-7.1314672877843702E-4</v>
      </c>
      <c r="AR40">
        <v>-7.0636555481175798E-4</v>
      </c>
      <c r="AS40">
        <v>-6.9958438084507884E-4</v>
      </c>
      <c r="AT40">
        <v>-6.928032068783998E-4</v>
      </c>
      <c r="AU40">
        <v>-6.8602203291172055E-4</v>
      </c>
      <c r="AV40">
        <v>-6.7924085894504151E-4</v>
      </c>
      <c r="AW40">
        <v>-6.7245968497836237E-4</v>
      </c>
      <c r="AX40">
        <v>-6.6567851101168333E-4</v>
      </c>
      <c r="AY40">
        <v>-6.588973370450043E-4</v>
      </c>
      <c r="AZ40">
        <v>-6.5211616307832515E-4</v>
      </c>
      <c r="BA40">
        <v>-6.4533498911164601E-4</v>
      </c>
      <c r="BB40">
        <v>-6.3855381514496686E-4</v>
      </c>
      <c r="BC40">
        <v>-6.3177264117828783E-4</v>
      </c>
      <c r="BD40">
        <v>-6.2499146721160868E-4</v>
      </c>
      <c r="BE40">
        <v>-6.1821029324492965E-4</v>
      </c>
      <c r="BF40">
        <v>-6.114291192782505E-4</v>
      </c>
      <c r="BG40">
        <v>-6.0464794531157071E-4</v>
      </c>
      <c r="BH40">
        <v>-5.9786677134489156E-4</v>
      </c>
      <c r="BI40">
        <v>-5.9108559737821253E-4</v>
      </c>
      <c r="BJ40">
        <v>-5.8430442341153349E-4</v>
      </c>
    </row>
    <row r="41" spans="1:62" x14ac:dyDescent="0.25">
      <c r="A41" s="57">
        <v>0.02</v>
      </c>
      <c r="B41">
        <v>-9.846006535668252E-4</v>
      </c>
      <c r="C41">
        <v>-9.7781947960014605E-4</v>
      </c>
      <c r="D41">
        <v>-9.7103830563346691E-4</v>
      </c>
      <c r="E41">
        <v>-9.6425713166678787E-4</v>
      </c>
      <c r="F41">
        <v>-9.5747595770010873E-4</v>
      </c>
      <c r="G41">
        <v>-9.5069478373342969E-4</v>
      </c>
      <c r="H41">
        <v>-9.4391360976675055E-4</v>
      </c>
      <c r="I41">
        <v>-9.3713243580007129E-4</v>
      </c>
      <c r="J41">
        <v>-9.3035126183339226E-4</v>
      </c>
      <c r="K41">
        <v>-9.2357008786671311E-4</v>
      </c>
      <c r="L41">
        <v>-9.1678891390003408E-4</v>
      </c>
      <c r="M41">
        <v>-9.1000773993335493E-4</v>
      </c>
      <c r="N41">
        <v>-9.032265659666759E-4</v>
      </c>
      <c r="O41">
        <v>-8.9644539199999675E-4</v>
      </c>
      <c r="P41">
        <v>-8.8966421803331761E-4</v>
      </c>
      <c r="Q41">
        <v>-8.8288304406663846E-4</v>
      </c>
      <c r="R41">
        <v>-8.7610187009995954E-4</v>
      </c>
      <c r="S41">
        <v>-8.6932069613328028E-4</v>
      </c>
      <c r="T41">
        <v>-8.6253952216660125E-4</v>
      </c>
      <c r="U41">
        <v>-8.5575834819992221E-4</v>
      </c>
      <c r="V41">
        <v>-8.4897717423324307E-4</v>
      </c>
      <c r="W41">
        <v>-8.4219600026656403E-4</v>
      </c>
      <c r="X41">
        <v>-8.3541482629988489E-4</v>
      </c>
      <c r="Y41">
        <v>-8.2863365233320585E-4</v>
      </c>
      <c r="Z41">
        <v>-8.2185247836652671E-4</v>
      </c>
      <c r="AA41">
        <v>-8.1507130439984756E-4</v>
      </c>
      <c r="AB41">
        <v>-8.0829013043316842E-4</v>
      </c>
      <c r="AC41">
        <v>-8.0150895646648927E-4</v>
      </c>
      <c r="AD41">
        <v>-7.9472778249981024E-4</v>
      </c>
      <c r="AE41">
        <v>-7.8794660853313109E-4</v>
      </c>
      <c r="AF41">
        <v>-7.8116543456645206E-4</v>
      </c>
      <c r="AG41">
        <v>-7.7438426059977291E-4</v>
      </c>
      <c r="AH41">
        <v>-7.6760308663309377E-4</v>
      </c>
      <c r="AI41">
        <v>-7.6082191266641462E-4</v>
      </c>
      <c r="AJ41">
        <v>-7.5404073869973559E-4</v>
      </c>
      <c r="AK41">
        <v>-7.4725956473305644E-4</v>
      </c>
      <c r="AL41">
        <v>-7.404783907663773E-4</v>
      </c>
      <c r="AM41">
        <v>-7.3369721679969826E-4</v>
      </c>
      <c r="AN41">
        <v>-7.2691604283301912E-4</v>
      </c>
      <c r="AO41">
        <v>-7.2013486886634008E-4</v>
      </c>
      <c r="AP41">
        <v>-7.1335369489966094E-4</v>
      </c>
      <c r="AQ41">
        <v>-7.065725209329819E-4</v>
      </c>
      <c r="AR41">
        <v>-6.9979134696630276E-4</v>
      </c>
      <c r="AS41">
        <v>-6.9301017299962372E-4</v>
      </c>
      <c r="AT41">
        <v>-6.8622899903294447E-4</v>
      </c>
      <c r="AU41">
        <v>-6.7944782506626532E-4</v>
      </c>
      <c r="AV41">
        <v>-6.7266665109958629E-4</v>
      </c>
      <c r="AW41">
        <v>-6.6588547713290714E-4</v>
      </c>
      <c r="AX41">
        <v>-6.5910430316622822E-4</v>
      </c>
      <c r="AY41">
        <v>-6.5232312919954907E-4</v>
      </c>
      <c r="AZ41">
        <v>-6.4554195523286993E-4</v>
      </c>
      <c r="BA41">
        <v>-6.3876078126619078E-4</v>
      </c>
      <c r="BB41">
        <v>-6.3197960729951175E-4</v>
      </c>
      <c r="BC41">
        <v>-6.251984333328326E-4</v>
      </c>
      <c r="BD41">
        <v>-6.1841725936615357E-4</v>
      </c>
      <c r="BE41">
        <v>-6.1163608539947442E-4</v>
      </c>
      <c r="BF41">
        <v>-6.0485491143279528E-4</v>
      </c>
      <c r="BG41">
        <v>-5.9807373746611548E-4</v>
      </c>
      <c r="BH41">
        <v>-5.9129256349943634E-4</v>
      </c>
      <c r="BI41">
        <v>-5.8451138953275741E-4</v>
      </c>
      <c r="BJ41">
        <v>-5.7773021556607816E-4</v>
      </c>
    </row>
    <row r="42" spans="1:62" x14ac:dyDescent="0.25">
      <c r="A42" s="57">
        <v>0.03</v>
      </c>
      <c r="B42">
        <v>-9.7802644572136986E-4</v>
      </c>
      <c r="C42">
        <v>-9.7124527175469083E-4</v>
      </c>
      <c r="D42">
        <v>-9.6446409778801179E-4</v>
      </c>
      <c r="E42">
        <v>-9.5768292382133265E-4</v>
      </c>
      <c r="F42">
        <v>-9.509017498546535E-4</v>
      </c>
      <c r="G42">
        <v>-9.4412057588797447E-4</v>
      </c>
      <c r="H42">
        <v>-9.3733940192129521E-4</v>
      </c>
      <c r="I42">
        <v>-9.3055822795461618E-4</v>
      </c>
      <c r="J42">
        <v>-9.2377705398793703E-4</v>
      </c>
      <c r="K42">
        <v>-9.16995880021258E-4</v>
      </c>
      <c r="L42">
        <v>-9.1021470605457885E-4</v>
      </c>
      <c r="M42">
        <v>-9.0343353208789982E-4</v>
      </c>
      <c r="N42">
        <v>-8.9665235812122067E-4</v>
      </c>
      <c r="O42">
        <v>-8.8987118415454142E-4</v>
      </c>
      <c r="P42">
        <v>-8.8309001018786238E-4</v>
      </c>
      <c r="Q42">
        <v>-8.7630883622118324E-4</v>
      </c>
      <c r="R42">
        <v>-8.6952766225450442E-4</v>
      </c>
      <c r="S42">
        <v>-8.6274648828782506E-4</v>
      </c>
      <c r="T42">
        <v>-8.5596531432114613E-4</v>
      </c>
      <c r="U42">
        <v>-8.4918414035446699E-4</v>
      </c>
      <c r="V42">
        <v>-8.4240296638778795E-4</v>
      </c>
      <c r="W42">
        <v>-8.3562179242110881E-4</v>
      </c>
      <c r="X42">
        <v>-8.2884061845442977E-4</v>
      </c>
      <c r="Y42">
        <v>-8.2205944448775063E-4</v>
      </c>
      <c r="Z42">
        <v>-8.1527827052107137E-4</v>
      </c>
      <c r="AA42">
        <v>-8.0849709655439234E-4</v>
      </c>
      <c r="AB42">
        <v>-8.0171592258771319E-4</v>
      </c>
      <c r="AC42">
        <v>-7.9493474862103416E-4</v>
      </c>
      <c r="AD42">
        <v>-7.8815357465435501E-4</v>
      </c>
      <c r="AE42">
        <v>-7.8137240068767598E-4</v>
      </c>
      <c r="AF42">
        <v>-7.7459122672099683E-4</v>
      </c>
      <c r="AG42">
        <v>-7.6781005275431769E-4</v>
      </c>
      <c r="AH42">
        <v>-7.6102887878763854E-4</v>
      </c>
      <c r="AI42">
        <v>-7.542477048209594E-4</v>
      </c>
      <c r="AJ42">
        <v>-7.4746653085428036E-4</v>
      </c>
      <c r="AK42">
        <v>-7.4068535688760122E-4</v>
      </c>
      <c r="AL42">
        <v>-7.3390418292092218E-4</v>
      </c>
      <c r="AM42">
        <v>-7.2712300895424304E-4</v>
      </c>
      <c r="AN42">
        <v>-7.20341834987564E-4</v>
      </c>
      <c r="AO42">
        <v>-7.1356066102088486E-4</v>
      </c>
      <c r="AP42">
        <v>-7.0677948705420582E-4</v>
      </c>
      <c r="AQ42">
        <v>-6.9999831308752668E-4</v>
      </c>
      <c r="AR42">
        <v>-6.9321713912084753E-4</v>
      </c>
      <c r="AS42">
        <v>-6.8643596515416839E-4</v>
      </c>
      <c r="AT42">
        <v>-6.7965479118748924E-4</v>
      </c>
      <c r="AU42">
        <v>-6.7287361722081021E-4</v>
      </c>
      <c r="AV42">
        <v>-6.6609244325413106E-4</v>
      </c>
      <c r="AW42">
        <v>-6.5931126928745203E-4</v>
      </c>
      <c r="AX42">
        <v>-6.5253009532077299E-4</v>
      </c>
      <c r="AY42">
        <v>-6.4574892135409385E-4</v>
      </c>
      <c r="AZ42">
        <v>-6.389677473874147E-4</v>
      </c>
      <c r="BA42">
        <v>-6.3218657342073567E-4</v>
      </c>
      <c r="BB42">
        <v>-6.2540539945405652E-4</v>
      </c>
      <c r="BC42">
        <v>-6.1862422548737738E-4</v>
      </c>
      <c r="BD42">
        <v>-6.1184305152069834E-4</v>
      </c>
      <c r="BE42">
        <v>-6.050618775540192E-4</v>
      </c>
      <c r="BF42">
        <v>-5.9828070358734005E-4</v>
      </c>
      <c r="BG42">
        <v>-5.9149952962066026E-4</v>
      </c>
      <c r="BH42">
        <v>-5.8471835565398122E-4</v>
      </c>
      <c r="BI42">
        <v>-5.7793718168730208E-4</v>
      </c>
      <c r="BJ42">
        <v>-5.7115600772062304E-4</v>
      </c>
    </row>
    <row r="43" spans="1:62" x14ac:dyDescent="0.25">
      <c r="A43" s="57">
        <v>0.04</v>
      </c>
      <c r="B43">
        <v>-9.7145223787591475E-4</v>
      </c>
      <c r="C43">
        <v>-9.646710639092356E-4</v>
      </c>
      <c r="D43">
        <v>-9.5788988994255657E-4</v>
      </c>
      <c r="E43">
        <v>-9.5110871597587742E-4</v>
      </c>
      <c r="F43">
        <v>-9.4432754200919839E-4</v>
      </c>
      <c r="G43">
        <v>-9.3754636804251913E-4</v>
      </c>
      <c r="H43">
        <v>-9.307651940758401E-4</v>
      </c>
      <c r="I43">
        <v>-9.2398402010916095E-4</v>
      </c>
      <c r="J43">
        <v>-9.1720284614248192E-4</v>
      </c>
      <c r="K43">
        <v>-9.1042167217580277E-4</v>
      </c>
      <c r="L43">
        <v>-9.0364049820912374E-4</v>
      </c>
      <c r="M43">
        <v>-8.9685932424244459E-4</v>
      </c>
      <c r="N43">
        <v>-8.9007815027576534E-4</v>
      </c>
      <c r="O43">
        <v>-8.832969763090863E-4</v>
      </c>
      <c r="P43">
        <v>-8.7651580234240716E-4</v>
      </c>
      <c r="Q43">
        <v>-8.6973462837572812E-4</v>
      </c>
      <c r="R43">
        <v>-8.6295345440904909E-4</v>
      </c>
      <c r="S43">
        <v>-8.5617228044236994E-4</v>
      </c>
      <c r="T43">
        <v>-8.4939110647569091E-4</v>
      </c>
      <c r="U43">
        <v>-8.4260993250901187E-4</v>
      </c>
      <c r="V43">
        <v>-8.3582875854233273E-4</v>
      </c>
      <c r="W43">
        <v>-8.2904758457565358E-4</v>
      </c>
      <c r="X43">
        <v>-8.2226641060897455E-4</v>
      </c>
      <c r="Y43">
        <v>-8.1548523664229529E-4</v>
      </c>
      <c r="Z43">
        <v>-8.0870406267561626E-4</v>
      </c>
      <c r="AA43">
        <v>-8.0192288870893711E-4</v>
      </c>
      <c r="AB43">
        <v>-7.9514171474225808E-4</v>
      </c>
      <c r="AC43">
        <v>-7.8836054077557893E-4</v>
      </c>
      <c r="AD43">
        <v>-7.815793668088999E-4</v>
      </c>
      <c r="AE43">
        <v>-7.7479819284222075E-4</v>
      </c>
      <c r="AF43">
        <v>-7.6801701887554161E-4</v>
      </c>
      <c r="AG43">
        <v>-7.6123584490886246E-4</v>
      </c>
      <c r="AH43">
        <v>-7.5445467094218332E-4</v>
      </c>
      <c r="AI43">
        <v>-7.4767349697550428E-4</v>
      </c>
      <c r="AJ43">
        <v>-7.4089232300882514E-4</v>
      </c>
      <c r="AK43">
        <v>-7.341111490421461E-4</v>
      </c>
      <c r="AL43">
        <v>-7.2732997507546696E-4</v>
      </c>
      <c r="AM43">
        <v>-7.2054880110878781E-4</v>
      </c>
      <c r="AN43">
        <v>-7.1376762714210878E-4</v>
      </c>
      <c r="AO43">
        <v>-7.0698645317542974E-4</v>
      </c>
      <c r="AP43">
        <v>-7.002052792087506E-4</v>
      </c>
      <c r="AQ43">
        <v>-6.9342410524207145E-4</v>
      </c>
      <c r="AR43">
        <v>-6.8664293127539231E-4</v>
      </c>
      <c r="AS43">
        <v>-6.7986175730871316E-4</v>
      </c>
      <c r="AT43">
        <v>-6.7308058334203413E-4</v>
      </c>
      <c r="AU43">
        <v>-6.6629940937535498E-4</v>
      </c>
      <c r="AV43">
        <v>-6.5951823540867595E-4</v>
      </c>
      <c r="AW43">
        <v>-6.527370614419968E-4</v>
      </c>
      <c r="AX43">
        <v>-6.4595588747531777E-4</v>
      </c>
      <c r="AY43">
        <v>-6.3917471350863862E-4</v>
      </c>
      <c r="AZ43">
        <v>-6.3239353954195948E-4</v>
      </c>
      <c r="BA43">
        <v>-6.2561236557528044E-4</v>
      </c>
      <c r="BB43">
        <v>-6.188311916086013E-4</v>
      </c>
      <c r="BC43">
        <v>-6.1205001764192226E-4</v>
      </c>
      <c r="BD43">
        <v>-6.0526884367524312E-4</v>
      </c>
      <c r="BE43">
        <v>-5.9848766970856397E-4</v>
      </c>
      <c r="BF43">
        <v>-5.9170649574188483E-4</v>
      </c>
      <c r="BG43">
        <v>-5.8492532177520514E-4</v>
      </c>
      <c r="BH43">
        <v>-5.78144147808526E-4</v>
      </c>
      <c r="BI43">
        <v>-5.7136297384184696E-4</v>
      </c>
      <c r="BJ43">
        <v>-5.6458179987516782E-4</v>
      </c>
    </row>
    <row r="44" spans="1:62" x14ac:dyDescent="0.25">
      <c r="A44" s="57">
        <v>0.05</v>
      </c>
      <c r="B44">
        <v>-9.6487803003045952E-4</v>
      </c>
      <c r="C44">
        <v>-9.5809685606378049E-4</v>
      </c>
      <c r="D44">
        <v>-9.5131568209710134E-4</v>
      </c>
      <c r="E44">
        <v>-9.4453450813042231E-4</v>
      </c>
      <c r="F44">
        <v>-9.3775333416374305E-4</v>
      </c>
      <c r="G44">
        <v>-9.3097216019706402E-4</v>
      </c>
      <c r="H44">
        <v>-9.2419098623038487E-4</v>
      </c>
      <c r="I44">
        <v>-9.1740981226370584E-4</v>
      </c>
      <c r="J44">
        <v>-9.1062863829702669E-4</v>
      </c>
      <c r="K44">
        <v>-9.0384746433034755E-4</v>
      </c>
      <c r="L44">
        <v>-8.9706629036366851E-4</v>
      </c>
      <c r="M44">
        <v>-8.9028511639698926E-4</v>
      </c>
      <c r="N44">
        <v>-8.8350394243031022E-4</v>
      </c>
      <c r="O44">
        <v>-8.7672276846363108E-4</v>
      </c>
      <c r="P44">
        <v>-8.6994159449695204E-4</v>
      </c>
      <c r="Q44">
        <v>-8.631604205302729E-4</v>
      </c>
      <c r="R44">
        <v>-8.5637924656359397E-4</v>
      </c>
      <c r="S44">
        <v>-8.4959807259691472E-4</v>
      </c>
      <c r="T44">
        <v>-8.4281689863023579E-4</v>
      </c>
      <c r="U44">
        <v>-8.3603572466355665E-4</v>
      </c>
      <c r="V44">
        <v>-8.292545506968775E-4</v>
      </c>
      <c r="W44">
        <v>-8.2247337673019847E-4</v>
      </c>
      <c r="X44">
        <v>-8.1569220276351921E-4</v>
      </c>
      <c r="Y44">
        <v>-8.0891102879684018E-4</v>
      </c>
      <c r="Z44">
        <v>-8.0212985483016103E-4</v>
      </c>
      <c r="AA44">
        <v>-7.95348680863482E-4</v>
      </c>
      <c r="AB44">
        <v>-7.8856750689680285E-4</v>
      </c>
      <c r="AC44">
        <v>-7.8178633293012382E-4</v>
      </c>
      <c r="AD44">
        <v>-7.7500515896344467E-4</v>
      </c>
      <c r="AE44">
        <v>-7.6822398499676542E-4</v>
      </c>
      <c r="AF44">
        <v>-7.6144281103008638E-4</v>
      </c>
      <c r="AG44">
        <v>-7.5466163706340724E-4</v>
      </c>
      <c r="AH44">
        <v>-7.478804630967282E-4</v>
      </c>
      <c r="AI44">
        <v>-7.4109928913004906E-4</v>
      </c>
      <c r="AJ44">
        <v>-7.3431811516337002E-4</v>
      </c>
      <c r="AK44">
        <v>-7.2753694119669088E-4</v>
      </c>
      <c r="AL44">
        <v>-7.2075576723001173E-4</v>
      </c>
      <c r="AM44">
        <v>-7.1397459326333259E-4</v>
      </c>
      <c r="AN44">
        <v>-7.0719341929665366E-4</v>
      </c>
      <c r="AO44">
        <v>-7.0041224532997452E-4</v>
      </c>
      <c r="AP44">
        <v>-6.9363107136329537E-4</v>
      </c>
      <c r="AQ44">
        <v>-6.8684989739661623E-4</v>
      </c>
      <c r="AR44">
        <v>-6.8006872342993708E-4</v>
      </c>
      <c r="AS44">
        <v>-6.7328754946325805E-4</v>
      </c>
      <c r="AT44">
        <v>-6.665063754965789E-4</v>
      </c>
      <c r="AU44">
        <v>-6.5972520152989987E-4</v>
      </c>
      <c r="AV44">
        <v>-6.5294402756322072E-4</v>
      </c>
      <c r="AW44">
        <v>-6.4616285359654169E-4</v>
      </c>
      <c r="AX44">
        <v>-6.3938167962986254E-4</v>
      </c>
      <c r="AY44">
        <v>-6.326005056631834E-4</v>
      </c>
      <c r="AZ44">
        <v>-6.2581933169650436E-4</v>
      </c>
      <c r="BA44">
        <v>-6.1903815772982522E-4</v>
      </c>
      <c r="BB44">
        <v>-6.1225698376314618E-4</v>
      </c>
      <c r="BC44">
        <v>-6.0547580979646704E-4</v>
      </c>
      <c r="BD44">
        <v>-5.9869463582978789E-4</v>
      </c>
      <c r="BE44">
        <v>-5.9191346186310875E-4</v>
      </c>
      <c r="BF44">
        <v>-5.8513228789642971E-4</v>
      </c>
      <c r="BG44">
        <v>-5.7835111392974992E-4</v>
      </c>
      <c r="BH44">
        <v>-5.7156993996307088E-4</v>
      </c>
      <c r="BI44">
        <v>-5.6478876599639174E-4</v>
      </c>
      <c r="BJ44">
        <v>-5.5800759202971259E-4</v>
      </c>
    </row>
    <row r="45" spans="1:62" x14ac:dyDescent="0.25">
      <c r="A45" s="57">
        <v>0.06</v>
      </c>
      <c r="B45">
        <v>-9.5830382218500441E-4</v>
      </c>
      <c r="C45">
        <v>-9.5152264821832526E-4</v>
      </c>
      <c r="D45">
        <v>-9.4474147425164623E-4</v>
      </c>
      <c r="E45">
        <v>-9.3796030028496697E-4</v>
      </c>
      <c r="F45">
        <v>-9.3117912631828794E-4</v>
      </c>
      <c r="G45">
        <v>-9.2439795235160879E-4</v>
      </c>
      <c r="H45">
        <v>-9.1761677838492965E-4</v>
      </c>
      <c r="I45">
        <v>-9.1083560441825061E-4</v>
      </c>
      <c r="J45">
        <v>-9.0405443045157147E-4</v>
      </c>
      <c r="K45">
        <v>-8.9727325648489243E-4</v>
      </c>
      <c r="L45">
        <v>-8.9049208251821318E-4</v>
      </c>
      <c r="M45">
        <v>-8.8371090855153414E-4</v>
      </c>
      <c r="N45">
        <v>-8.76929734584855E-4</v>
      </c>
      <c r="O45">
        <v>-8.7014856061817596E-4</v>
      </c>
      <c r="P45">
        <v>-8.6336738665149682E-4</v>
      </c>
      <c r="Q45">
        <v>-8.5658621268481778E-4</v>
      </c>
      <c r="R45">
        <v>-8.4980503871813875E-4</v>
      </c>
      <c r="S45">
        <v>-8.4302386475145939E-4</v>
      </c>
      <c r="T45">
        <v>-8.3624269078478057E-4</v>
      </c>
      <c r="U45">
        <v>-8.2946151681810142E-4</v>
      </c>
      <c r="V45">
        <v>-8.2268034285142239E-4</v>
      </c>
      <c r="W45">
        <v>-8.1589916888474313E-4</v>
      </c>
      <c r="X45">
        <v>-8.091179949180641E-4</v>
      </c>
      <c r="Y45">
        <v>-8.0233682095138495E-4</v>
      </c>
      <c r="Z45">
        <v>-7.9555564698470592E-4</v>
      </c>
      <c r="AA45">
        <v>-7.8877447301802677E-4</v>
      </c>
      <c r="AB45">
        <v>-7.8199329905134763E-4</v>
      </c>
      <c r="AC45">
        <v>-7.7521212508466859E-4</v>
      </c>
      <c r="AD45">
        <v>-7.6843095111798934E-4</v>
      </c>
      <c r="AE45">
        <v>-7.616497771513103E-4</v>
      </c>
      <c r="AF45">
        <v>-7.5486860318463116E-4</v>
      </c>
      <c r="AG45">
        <v>-7.4808742921795212E-4</v>
      </c>
      <c r="AH45">
        <v>-7.4130625525127298E-4</v>
      </c>
      <c r="AI45">
        <v>-7.3452508128459394E-4</v>
      </c>
      <c r="AJ45">
        <v>-7.277439073179148E-4</v>
      </c>
      <c r="AK45">
        <v>-7.2096273335123565E-4</v>
      </c>
      <c r="AL45">
        <v>-7.1418155938455651E-4</v>
      </c>
      <c r="AM45">
        <v>-7.0740038541787737E-4</v>
      </c>
      <c r="AN45">
        <v>-7.0061921145119855E-4</v>
      </c>
      <c r="AO45">
        <v>-6.9383803748451929E-4</v>
      </c>
      <c r="AP45">
        <v>-6.8705686351784026E-4</v>
      </c>
      <c r="AQ45">
        <v>-6.8027568955116111E-4</v>
      </c>
      <c r="AR45">
        <v>-6.7349451558448208E-4</v>
      </c>
      <c r="AS45">
        <v>-6.6671334161780293E-4</v>
      </c>
      <c r="AT45">
        <v>-6.599321676511239E-4</v>
      </c>
      <c r="AU45">
        <v>-6.5315099368444475E-4</v>
      </c>
      <c r="AV45">
        <v>-6.463698197177655E-4</v>
      </c>
      <c r="AW45">
        <v>-6.3958864575108646E-4</v>
      </c>
      <c r="AX45">
        <v>-6.3280747178440732E-4</v>
      </c>
      <c r="AY45">
        <v>-6.2602629781772828E-4</v>
      </c>
      <c r="AZ45">
        <v>-6.1924512385104914E-4</v>
      </c>
      <c r="BA45">
        <v>-6.124639498843701E-4</v>
      </c>
      <c r="BB45">
        <v>-6.0568277591769096E-4</v>
      </c>
      <c r="BC45">
        <v>-5.9890160195101181E-4</v>
      </c>
      <c r="BD45">
        <v>-5.9212042798433267E-4</v>
      </c>
      <c r="BE45">
        <v>-5.8533925401765352E-4</v>
      </c>
      <c r="BF45">
        <v>-5.7855808005097449E-4</v>
      </c>
      <c r="BG45">
        <v>-5.7177690608429469E-4</v>
      </c>
      <c r="BH45">
        <v>-5.6499573211761566E-4</v>
      </c>
      <c r="BI45">
        <v>-5.5821455815093651E-4</v>
      </c>
      <c r="BJ45">
        <v>-5.5143338418425748E-4</v>
      </c>
    </row>
    <row r="46" spans="1:62" x14ac:dyDescent="0.25">
      <c r="A46" s="57">
        <v>7.0000000000000007E-2</v>
      </c>
      <c r="B46">
        <v>-9.5172961433954918E-4</v>
      </c>
      <c r="C46">
        <v>-9.4494844037287015E-4</v>
      </c>
      <c r="D46">
        <v>-9.3816726640619089E-4</v>
      </c>
      <c r="E46">
        <v>-9.3138609243951186E-4</v>
      </c>
      <c r="F46">
        <v>-9.2460491847283271E-4</v>
      </c>
      <c r="G46">
        <v>-9.1782374450615357E-4</v>
      </c>
      <c r="H46">
        <v>-9.1104257053947453E-4</v>
      </c>
      <c r="I46">
        <v>-9.0426139657279539E-4</v>
      </c>
      <c r="J46">
        <v>-8.9748022260611635E-4</v>
      </c>
      <c r="K46">
        <v>-8.906990486394371E-4</v>
      </c>
      <c r="L46">
        <v>-8.8391787467275806E-4</v>
      </c>
      <c r="M46">
        <v>-8.7713670070607892E-4</v>
      </c>
      <c r="N46">
        <v>-8.7035552673939988E-4</v>
      </c>
      <c r="O46">
        <v>-8.6357435277272074E-4</v>
      </c>
      <c r="P46">
        <v>-8.567931788060416E-4</v>
      </c>
      <c r="Q46">
        <v>-8.5001200483936256E-4</v>
      </c>
      <c r="R46">
        <v>-8.4323083087268352E-4</v>
      </c>
      <c r="S46">
        <v>-8.3644965690600427E-4</v>
      </c>
      <c r="T46">
        <v>-8.2966848293932534E-4</v>
      </c>
      <c r="U46">
        <v>-8.2288730897264631E-4</v>
      </c>
      <c r="V46">
        <v>-8.1610613500596705E-4</v>
      </c>
      <c r="W46">
        <v>-8.0932496103928802E-4</v>
      </c>
      <c r="X46">
        <v>-8.0254378707260887E-4</v>
      </c>
      <c r="Y46">
        <v>-7.9576261310592984E-4</v>
      </c>
      <c r="Z46">
        <v>-7.8898143913925069E-4</v>
      </c>
      <c r="AA46">
        <v>-7.8220026517257155E-4</v>
      </c>
      <c r="AB46">
        <v>-7.7541909120589251E-4</v>
      </c>
      <c r="AC46">
        <v>-7.6863791723921326E-4</v>
      </c>
      <c r="AD46">
        <v>-7.6185674327253422E-4</v>
      </c>
      <c r="AE46">
        <v>-7.5507556930585508E-4</v>
      </c>
      <c r="AF46">
        <v>-7.4829439533917604E-4</v>
      </c>
      <c r="AG46">
        <v>-7.415132213724969E-4</v>
      </c>
      <c r="AH46">
        <v>-7.3473204740581786E-4</v>
      </c>
      <c r="AI46">
        <v>-7.2795087343913872E-4</v>
      </c>
      <c r="AJ46">
        <v>-7.2116969947245947E-4</v>
      </c>
      <c r="AK46">
        <v>-7.1438852550578043E-4</v>
      </c>
      <c r="AL46">
        <v>-7.0760735153910129E-4</v>
      </c>
      <c r="AM46">
        <v>-7.0082617757242225E-4</v>
      </c>
      <c r="AN46">
        <v>-6.9404500360574321E-4</v>
      </c>
      <c r="AO46">
        <v>-6.8726382963906418E-4</v>
      </c>
      <c r="AP46">
        <v>-6.8048265567238503E-4</v>
      </c>
      <c r="AQ46">
        <v>-6.73701481705706E-4</v>
      </c>
      <c r="AR46">
        <v>-6.6692030773902685E-4</v>
      </c>
      <c r="AS46">
        <v>-6.6013913377234771E-4</v>
      </c>
      <c r="AT46">
        <v>-6.5335795980566867E-4</v>
      </c>
      <c r="AU46">
        <v>-6.4657678583898942E-4</v>
      </c>
      <c r="AV46">
        <v>-6.3979561187231038E-4</v>
      </c>
      <c r="AW46">
        <v>-6.3301443790563124E-4</v>
      </c>
      <c r="AX46">
        <v>-6.262332639389522E-4</v>
      </c>
      <c r="AY46">
        <v>-6.1945208997227306E-4</v>
      </c>
      <c r="AZ46">
        <v>-6.1267091600559402E-4</v>
      </c>
      <c r="BA46">
        <v>-6.0588974203891488E-4</v>
      </c>
      <c r="BB46">
        <v>-5.9910856807223562E-4</v>
      </c>
      <c r="BC46">
        <v>-5.9232739410555659E-4</v>
      </c>
      <c r="BD46">
        <v>-5.8554622013887744E-4</v>
      </c>
      <c r="BE46">
        <v>-5.7876504617219841E-4</v>
      </c>
      <c r="BF46">
        <v>-5.7198387220551926E-4</v>
      </c>
      <c r="BG46">
        <v>-5.6520269823883958E-4</v>
      </c>
      <c r="BH46">
        <v>-5.5842152427216043E-4</v>
      </c>
      <c r="BI46">
        <v>-5.516403503054814E-4</v>
      </c>
      <c r="BJ46">
        <v>-5.4485917633880225E-4</v>
      </c>
    </row>
    <row r="47" spans="1:62" x14ac:dyDescent="0.25">
      <c r="A47" s="57">
        <v>0.08</v>
      </c>
      <c r="B47">
        <v>-9.4515540649409407E-4</v>
      </c>
      <c r="C47">
        <v>-9.3837423252741481E-4</v>
      </c>
      <c r="D47">
        <v>-9.3159305856073567E-4</v>
      </c>
      <c r="E47">
        <v>-9.2481188459405663E-4</v>
      </c>
      <c r="F47">
        <v>-9.1803071062737749E-4</v>
      </c>
      <c r="G47">
        <v>-9.1124953666069845E-4</v>
      </c>
      <c r="H47">
        <v>-9.0446836269401931E-4</v>
      </c>
      <c r="I47">
        <v>-8.9768718872734027E-4</v>
      </c>
      <c r="J47">
        <v>-8.9090601476066102E-4</v>
      </c>
      <c r="K47">
        <v>-8.8412484079398198E-4</v>
      </c>
      <c r="L47">
        <v>-8.7734366682730284E-4</v>
      </c>
      <c r="M47">
        <v>-8.705624928606237E-4</v>
      </c>
      <c r="N47">
        <v>-8.6378131889394466E-4</v>
      </c>
      <c r="O47">
        <v>-8.5700014492726552E-4</v>
      </c>
      <c r="P47">
        <v>-8.5021897096058648E-4</v>
      </c>
      <c r="Q47">
        <v>-8.4343779699390723E-4</v>
      </c>
      <c r="R47">
        <v>-8.3665662302722841E-4</v>
      </c>
      <c r="S47">
        <v>-8.2987544906054905E-4</v>
      </c>
      <c r="T47">
        <v>-8.2309427509387023E-4</v>
      </c>
      <c r="U47">
        <v>-8.1631310112719097E-4</v>
      </c>
      <c r="V47">
        <v>-8.0953192716051194E-4</v>
      </c>
      <c r="W47">
        <v>-8.0275075319383279E-4</v>
      </c>
      <c r="X47">
        <v>-7.9596957922715365E-4</v>
      </c>
      <c r="Y47">
        <v>-7.8918840526047472E-4</v>
      </c>
      <c r="Z47">
        <v>-7.8240723129379558E-4</v>
      </c>
      <c r="AA47">
        <v>-7.7562605732711643E-4</v>
      </c>
      <c r="AB47">
        <v>-7.6884488336043729E-4</v>
      </c>
      <c r="AC47">
        <v>-7.6206370939375825E-4</v>
      </c>
      <c r="AD47">
        <v>-7.5528253542707911E-4</v>
      </c>
      <c r="AE47">
        <v>-7.4850136146040007E-4</v>
      </c>
      <c r="AF47">
        <v>-7.4172018749372093E-4</v>
      </c>
      <c r="AG47">
        <v>-7.3493901352704178E-4</v>
      </c>
      <c r="AH47">
        <v>-7.2815783956036264E-4</v>
      </c>
      <c r="AI47">
        <v>-7.2137666559368349E-4</v>
      </c>
      <c r="AJ47">
        <v>-7.1459549162700446E-4</v>
      </c>
      <c r="AK47">
        <v>-7.0781431766032531E-4</v>
      </c>
      <c r="AL47">
        <v>-7.0103314369364628E-4</v>
      </c>
      <c r="AM47">
        <v>-6.9425196972696713E-4</v>
      </c>
      <c r="AN47">
        <v>-6.874707957602881E-4</v>
      </c>
      <c r="AO47">
        <v>-6.8068962179360895E-4</v>
      </c>
      <c r="AP47">
        <v>-6.7390844782692981E-4</v>
      </c>
      <c r="AQ47">
        <v>-6.6712727386025077E-4</v>
      </c>
      <c r="AR47">
        <v>-6.6034609989357163E-4</v>
      </c>
      <c r="AS47">
        <v>-6.5356492592689259E-4</v>
      </c>
      <c r="AT47">
        <v>-6.4678375196021334E-4</v>
      </c>
      <c r="AU47">
        <v>-6.400025779935343E-4</v>
      </c>
      <c r="AV47">
        <v>-6.3322140402685516E-4</v>
      </c>
      <c r="AW47">
        <v>-6.2644023006017612E-4</v>
      </c>
      <c r="AX47">
        <v>-6.1965905609349709E-4</v>
      </c>
      <c r="AY47">
        <v>-6.1287788212681805E-4</v>
      </c>
      <c r="AZ47">
        <v>-6.060967081601388E-4</v>
      </c>
      <c r="BA47">
        <v>-5.9931553419345965E-4</v>
      </c>
      <c r="BB47">
        <v>-5.9253436022678062E-4</v>
      </c>
      <c r="BC47">
        <v>-5.8575318626010147E-4</v>
      </c>
      <c r="BD47">
        <v>-5.7897201229342244E-4</v>
      </c>
      <c r="BE47">
        <v>-5.7219083832674329E-4</v>
      </c>
      <c r="BF47">
        <v>-5.6540966436006426E-4</v>
      </c>
      <c r="BG47">
        <v>-5.5862849039338435E-4</v>
      </c>
      <c r="BH47">
        <v>-5.5184731642670532E-4</v>
      </c>
      <c r="BI47">
        <v>-5.4506614246002628E-4</v>
      </c>
      <c r="BJ47">
        <v>-5.3828496849334714E-4</v>
      </c>
    </row>
    <row r="48" spans="1:62" x14ac:dyDescent="0.25">
      <c r="A48" s="57">
        <v>0.09</v>
      </c>
      <c r="B48">
        <v>-9.3858119864863873E-4</v>
      </c>
      <c r="C48">
        <v>-9.3180002468195959E-4</v>
      </c>
      <c r="D48">
        <v>-9.2501885071528055E-4</v>
      </c>
      <c r="E48">
        <v>-9.1823767674860141E-4</v>
      </c>
      <c r="F48">
        <v>-9.1145650278192237E-4</v>
      </c>
      <c r="G48">
        <v>-9.0467532881524323E-4</v>
      </c>
      <c r="H48">
        <v>-8.9789415484856419E-4</v>
      </c>
      <c r="I48">
        <v>-8.9111298088188494E-4</v>
      </c>
      <c r="J48">
        <v>-8.843318069152059E-4</v>
      </c>
      <c r="K48">
        <v>-8.7755063294852676E-4</v>
      </c>
      <c r="L48">
        <v>-8.7076945898184762E-4</v>
      </c>
      <c r="M48">
        <v>-8.6398828501516858E-4</v>
      </c>
      <c r="N48">
        <v>-8.5720711104848944E-4</v>
      </c>
      <c r="O48">
        <v>-8.504259370818104E-4</v>
      </c>
      <c r="P48">
        <v>-8.4364476311513115E-4</v>
      </c>
      <c r="Q48">
        <v>-8.3686358914845211E-4</v>
      </c>
      <c r="R48">
        <v>-8.3008241518177318E-4</v>
      </c>
      <c r="S48">
        <v>-8.2330124121509393E-4</v>
      </c>
      <c r="T48">
        <v>-8.1652006724841489E-4</v>
      </c>
      <c r="U48">
        <v>-8.0973889328173575E-4</v>
      </c>
      <c r="V48">
        <v>-8.0295771931505671E-4</v>
      </c>
      <c r="W48">
        <v>-7.9617654534837757E-4</v>
      </c>
      <c r="X48">
        <v>-7.8939537138169864E-4</v>
      </c>
      <c r="Y48">
        <v>-7.826141974150195E-4</v>
      </c>
      <c r="Z48">
        <v>-7.7583302344834035E-4</v>
      </c>
      <c r="AA48">
        <v>-7.6905184948166121E-4</v>
      </c>
      <c r="AB48">
        <v>-7.6227067551498217E-4</v>
      </c>
      <c r="AC48">
        <v>-7.5548950154830303E-4</v>
      </c>
      <c r="AD48">
        <v>-7.4870832758162399E-4</v>
      </c>
      <c r="AE48">
        <v>-7.4192715361494485E-4</v>
      </c>
      <c r="AF48">
        <v>-7.351459796482657E-4</v>
      </c>
      <c r="AG48">
        <v>-7.2836480568158656E-4</v>
      </c>
      <c r="AH48">
        <v>-7.2158363171490741E-4</v>
      </c>
      <c r="AI48">
        <v>-7.1480245774822838E-4</v>
      </c>
      <c r="AJ48">
        <v>-7.0802128378154923E-4</v>
      </c>
      <c r="AK48">
        <v>-7.012401098148702E-4</v>
      </c>
      <c r="AL48">
        <v>-6.9445893584819105E-4</v>
      </c>
      <c r="AM48">
        <v>-6.8767776188151191E-4</v>
      </c>
      <c r="AN48">
        <v>-6.8089658791483287E-4</v>
      </c>
      <c r="AO48">
        <v>-6.7411541394815373E-4</v>
      </c>
      <c r="AP48">
        <v>-6.6733423998147469E-4</v>
      </c>
      <c r="AQ48">
        <v>-6.6055306601479555E-4</v>
      </c>
      <c r="AR48">
        <v>-6.5377189204811651E-4</v>
      </c>
      <c r="AS48">
        <v>-6.4699071808143726E-4</v>
      </c>
      <c r="AT48">
        <v>-6.4020954411475822E-4</v>
      </c>
      <c r="AU48">
        <v>-6.3342837014807908E-4</v>
      </c>
      <c r="AV48">
        <v>-6.2664719618140004E-4</v>
      </c>
      <c r="AW48">
        <v>-6.198660222147209E-4</v>
      </c>
      <c r="AX48">
        <v>-6.1308484824804186E-4</v>
      </c>
      <c r="AY48">
        <v>-6.0630367428136272E-4</v>
      </c>
      <c r="AZ48">
        <v>-5.9952250031468357E-4</v>
      </c>
      <c r="BA48">
        <v>-5.9274132634800454E-4</v>
      </c>
      <c r="BB48">
        <v>-5.8596015238132539E-4</v>
      </c>
      <c r="BC48">
        <v>-5.7917897841464636E-4</v>
      </c>
      <c r="BD48">
        <v>-5.7239780444796721E-4</v>
      </c>
      <c r="BE48">
        <v>-5.6561663048128818E-4</v>
      </c>
      <c r="BF48">
        <v>-5.5883545651460892E-4</v>
      </c>
      <c r="BG48">
        <v>-5.5205428254792924E-4</v>
      </c>
      <c r="BH48">
        <v>-5.4527310858125009E-4</v>
      </c>
      <c r="BI48">
        <v>-5.3849193461457095E-4</v>
      </c>
      <c r="BJ48">
        <v>-5.3171076064789191E-4</v>
      </c>
    </row>
    <row r="49" spans="1:62" x14ac:dyDescent="0.25">
      <c r="A49" s="57">
        <v>0.1</v>
      </c>
      <c r="B49">
        <v>-9.3200699080318351E-4</v>
      </c>
      <c r="C49">
        <v>-9.2522581683650447E-4</v>
      </c>
      <c r="D49">
        <v>-9.1844464286982533E-4</v>
      </c>
      <c r="E49">
        <v>-9.1166346890314629E-4</v>
      </c>
      <c r="F49">
        <v>-9.0488229493646715E-4</v>
      </c>
      <c r="G49">
        <v>-8.9810112096978811E-4</v>
      </c>
      <c r="H49">
        <v>-8.9131994700310886E-4</v>
      </c>
      <c r="I49">
        <v>-8.8453877303642972E-4</v>
      </c>
      <c r="J49">
        <v>-8.7775759906975068E-4</v>
      </c>
      <c r="K49">
        <v>-8.7097642510307154E-4</v>
      </c>
      <c r="L49">
        <v>-8.641952511363925E-4</v>
      </c>
      <c r="M49">
        <v>-8.5741407716971336E-4</v>
      </c>
      <c r="N49">
        <v>-8.5063290320303432E-4</v>
      </c>
      <c r="O49">
        <v>-8.4385172923635507E-4</v>
      </c>
      <c r="P49">
        <v>-8.3707055526967603E-4</v>
      </c>
      <c r="Q49">
        <v>-8.3028938130299689E-4</v>
      </c>
      <c r="R49">
        <v>-8.2350820733631796E-4</v>
      </c>
      <c r="S49">
        <v>-8.1672703336963871E-4</v>
      </c>
      <c r="T49">
        <v>-8.0994585940295967E-4</v>
      </c>
      <c r="U49">
        <v>-8.0316468543628063E-4</v>
      </c>
      <c r="V49">
        <v>-7.9638351146960149E-4</v>
      </c>
      <c r="W49">
        <v>-7.8960233750292256E-4</v>
      </c>
      <c r="X49">
        <v>-7.8282116353624342E-4</v>
      </c>
      <c r="Y49">
        <v>-7.7603998956956427E-4</v>
      </c>
      <c r="Z49">
        <v>-7.6925881560288513E-4</v>
      </c>
      <c r="AA49">
        <v>-7.6247764163620609E-4</v>
      </c>
      <c r="AB49">
        <v>-7.5569646766952695E-4</v>
      </c>
      <c r="AC49">
        <v>-7.489152937028478E-4</v>
      </c>
      <c r="AD49">
        <v>-7.4213411973616877E-4</v>
      </c>
      <c r="AE49">
        <v>-7.3535294576948962E-4</v>
      </c>
      <c r="AF49">
        <v>-7.2857177180281048E-4</v>
      </c>
      <c r="AG49">
        <v>-7.2179059783613133E-4</v>
      </c>
      <c r="AH49">
        <v>-7.150094238694523E-4</v>
      </c>
      <c r="AI49">
        <v>-7.0822824990277315E-4</v>
      </c>
      <c r="AJ49">
        <v>-7.0144707593609412E-4</v>
      </c>
      <c r="AK49">
        <v>-6.9466590196941497E-4</v>
      </c>
      <c r="AL49">
        <v>-6.8788472800273572E-4</v>
      </c>
      <c r="AM49">
        <v>-6.8110355403605668E-4</v>
      </c>
      <c r="AN49">
        <v>-6.7432238006937765E-4</v>
      </c>
      <c r="AO49">
        <v>-6.6754120610269861E-4</v>
      </c>
      <c r="AP49">
        <v>-6.6076003213601947E-4</v>
      </c>
      <c r="AQ49">
        <v>-6.5397885816934043E-4</v>
      </c>
      <c r="AR49">
        <v>-6.4719768420266118E-4</v>
      </c>
      <c r="AS49">
        <v>-6.4041651023598214E-4</v>
      </c>
      <c r="AT49">
        <v>-6.33635336269303E-4</v>
      </c>
      <c r="AU49">
        <v>-6.2685416230262385E-4</v>
      </c>
      <c r="AV49">
        <v>-6.2007298833594482E-4</v>
      </c>
      <c r="AW49">
        <v>-6.1329181436926567E-4</v>
      </c>
      <c r="AX49">
        <v>-6.0651064040258664E-4</v>
      </c>
      <c r="AY49">
        <v>-5.9972946643590749E-4</v>
      </c>
      <c r="AZ49">
        <v>-5.9294829246922846E-4</v>
      </c>
      <c r="BA49">
        <v>-5.8616711850254931E-4</v>
      </c>
      <c r="BB49">
        <v>-5.7938594453587028E-4</v>
      </c>
      <c r="BC49">
        <v>-5.7260477056919113E-4</v>
      </c>
      <c r="BD49">
        <v>-5.6582359660251199E-4</v>
      </c>
      <c r="BE49">
        <v>-5.5904242263583284E-4</v>
      </c>
      <c r="BF49">
        <v>-5.522612486691537E-4</v>
      </c>
      <c r="BG49">
        <v>-5.4548007470247401E-4</v>
      </c>
      <c r="BH49">
        <v>-5.3869890073579498E-4</v>
      </c>
      <c r="BI49">
        <v>-5.3191772676911583E-4</v>
      </c>
      <c r="BJ49">
        <v>-5.2513655280243669E-4</v>
      </c>
    </row>
    <row r="50" spans="1:62" x14ac:dyDescent="0.25">
      <c r="A50" s="57">
        <v>0.11</v>
      </c>
      <c r="B50">
        <v>-9.2543278295772839E-4</v>
      </c>
      <c r="C50">
        <v>-9.1865160899104925E-4</v>
      </c>
      <c r="D50">
        <v>-9.1187043502437021E-4</v>
      </c>
      <c r="E50">
        <v>-9.0508926105769107E-4</v>
      </c>
      <c r="F50">
        <v>-8.9830808709101193E-4</v>
      </c>
      <c r="G50">
        <v>-8.9152691312433278E-4</v>
      </c>
      <c r="H50">
        <v>-8.8474573915765364E-4</v>
      </c>
      <c r="I50">
        <v>-8.779645651909746E-4</v>
      </c>
      <c r="J50">
        <v>-8.7118339122429546E-4</v>
      </c>
      <c r="K50">
        <v>-8.6440221725761642E-4</v>
      </c>
      <c r="L50">
        <v>-8.5762104329093728E-4</v>
      </c>
      <c r="M50">
        <v>-8.5083986932425824E-4</v>
      </c>
      <c r="N50">
        <v>-8.4405869535757899E-4</v>
      </c>
      <c r="O50">
        <v>-8.3727752139089984E-4</v>
      </c>
      <c r="P50">
        <v>-8.3049634742422081E-4</v>
      </c>
      <c r="Q50">
        <v>-8.2371517345754166E-4</v>
      </c>
      <c r="R50">
        <v>-8.1693399949086273E-4</v>
      </c>
      <c r="S50">
        <v>-8.1015282552418348E-4</v>
      </c>
      <c r="T50">
        <v>-8.0337165155750455E-4</v>
      </c>
      <c r="U50">
        <v>-7.9659047759082541E-4</v>
      </c>
      <c r="V50">
        <v>-7.8980930362414648E-4</v>
      </c>
      <c r="W50">
        <v>-7.8302812965746734E-4</v>
      </c>
      <c r="X50">
        <v>-7.7624695569078819E-4</v>
      </c>
      <c r="Y50">
        <v>-7.6946578172410905E-4</v>
      </c>
      <c r="Z50">
        <v>-7.626846077574299E-4</v>
      </c>
      <c r="AA50">
        <v>-7.5590343379075087E-4</v>
      </c>
      <c r="AB50">
        <v>-7.4912225982407172E-4</v>
      </c>
      <c r="AC50">
        <v>-7.4234108585739269E-4</v>
      </c>
      <c r="AD50">
        <v>-7.3555991189071354E-4</v>
      </c>
      <c r="AE50">
        <v>-7.287787379240344E-4</v>
      </c>
      <c r="AF50">
        <v>-7.2199756395735525E-4</v>
      </c>
      <c r="AG50">
        <v>-7.1521638999067622E-4</v>
      </c>
      <c r="AH50">
        <v>-7.0843521602399707E-4</v>
      </c>
      <c r="AI50">
        <v>-7.0165404205731804E-4</v>
      </c>
      <c r="AJ50">
        <v>-6.9487286809063889E-4</v>
      </c>
      <c r="AK50">
        <v>-6.8809169412395964E-4</v>
      </c>
      <c r="AL50">
        <v>-6.813105201572806E-4</v>
      </c>
      <c r="AM50">
        <v>-6.7452934619060146E-4</v>
      </c>
      <c r="AN50">
        <v>-6.6774817222392253E-4</v>
      </c>
      <c r="AO50">
        <v>-6.6096699825724339E-4</v>
      </c>
      <c r="AP50">
        <v>-6.5418582429056435E-4</v>
      </c>
      <c r="AQ50">
        <v>-6.474046503238851E-4</v>
      </c>
      <c r="AR50">
        <v>-6.4062347635720606E-4</v>
      </c>
      <c r="AS50">
        <v>-6.3384230239052692E-4</v>
      </c>
      <c r="AT50">
        <v>-6.2706112842384777E-4</v>
      </c>
      <c r="AU50">
        <v>-6.2027995445716874E-4</v>
      </c>
      <c r="AV50">
        <v>-6.1349878049048959E-4</v>
      </c>
      <c r="AW50">
        <v>-6.0671760652381056E-4</v>
      </c>
      <c r="AX50">
        <v>-5.9993643255713141E-4</v>
      </c>
      <c r="AY50">
        <v>-5.9315525859045238E-4</v>
      </c>
      <c r="AZ50">
        <v>-5.8637408462377323E-4</v>
      </c>
      <c r="BA50">
        <v>-5.795929106570942E-4</v>
      </c>
      <c r="BB50">
        <v>-5.7281173669041505E-4</v>
      </c>
      <c r="BC50">
        <v>-5.6603056272373602E-4</v>
      </c>
      <c r="BD50">
        <v>-5.5924938875705676E-4</v>
      </c>
      <c r="BE50">
        <v>-5.5246821479037762E-4</v>
      </c>
      <c r="BF50">
        <v>-5.4568704082369858E-4</v>
      </c>
      <c r="BG50">
        <v>-5.3890586685701879E-4</v>
      </c>
      <c r="BH50">
        <v>-5.3212469289033964E-4</v>
      </c>
      <c r="BI50">
        <v>-5.2534351892366061E-4</v>
      </c>
      <c r="BJ50">
        <v>-5.1856234495698157E-4</v>
      </c>
    </row>
    <row r="51" spans="1:62" x14ac:dyDescent="0.25">
      <c r="A51" s="57">
        <v>0.12</v>
      </c>
      <c r="B51">
        <v>-9.1885857511227339E-4</v>
      </c>
      <c r="C51">
        <v>-9.1207740114559413E-4</v>
      </c>
      <c r="D51">
        <v>-9.052962271789151E-4</v>
      </c>
      <c r="E51">
        <v>-8.9851505321223585E-4</v>
      </c>
      <c r="F51">
        <v>-8.9173387924555692E-4</v>
      </c>
      <c r="G51">
        <v>-8.8495270527887756E-4</v>
      </c>
      <c r="H51">
        <v>-8.7817153131219874E-4</v>
      </c>
      <c r="I51">
        <v>-8.7139035734551938E-4</v>
      </c>
      <c r="J51">
        <v>-8.6460918337884045E-4</v>
      </c>
      <c r="K51">
        <v>-8.578280094121612E-4</v>
      </c>
      <c r="L51">
        <v>-8.5104683544548227E-4</v>
      </c>
      <c r="M51">
        <v>-8.4426566147880291E-4</v>
      </c>
      <c r="N51">
        <v>-8.3748448751212398E-4</v>
      </c>
      <c r="O51">
        <v>-8.3070331354544473E-4</v>
      </c>
      <c r="P51">
        <v>-8.239221395787658E-4</v>
      </c>
      <c r="Q51">
        <v>-8.1714096561208655E-4</v>
      </c>
      <c r="R51">
        <v>-8.1035979164540751E-4</v>
      </c>
      <c r="S51">
        <v>-8.0357861767872837E-4</v>
      </c>
      <c r="T51">
        <v>-7.9679744371204933E-4</v>
      </c>
      <c r="U51">
        <v>-7.900162697453704E-4</v>
      </c>
      <c r="V51">
        <v>-7.8323509577869126E-4</v>
      </c>
      <c r="W51">
        <v>-7.76453921812012E-4</v>
      </c>
      <c r="X51">
        <v>-7.6967274784533297E-4</v>
      </c>
      <c r="Y51">
        <v>-7.6289157387865382E-4</v>
      </c>
      <c r="Z51">
        <v>-7.5611039991197479E-4</v>
      </c>
      <c r="AA51">
        <v>-7.4932922594529564E-4</v>
      </c>
      <c r="AB51">
        <v>-7.4254805197861661E-4</v>
      </c>
      <c r="AC51">
        <v>-7.3576687801193746E-4</v>
      </c>
      <c r="AD51">
        <v>-7.2898570404525832E-4</v>
      </c>
      <c r="AE51">
        <v>-7.2220453007857917E-4</v>
      </c>
      <c r="AF51">
        <v>-7.1542335611190014E-4</v>
      </c>
      <c r="AG51">
        <v>-7.0864218214522099E-4</v>
      </c>
      <c r="AH51">
        <v>-7.0186100817854185E-4</v>
      </c>
      <c r="AI51">
        <v>-6.9507983421186281E-4</v>
      </c>
      <c r="AJ51">
        <v>-6.8829866024518356E-4</v>
      </c>
      <c r="AK51">
        <v>-6.8151748627850452E-4</v>
      </c>
      <c r="AL51">
        <v>-6.7473631231182538E-4</v>
      </c>
      <c r="AM51">
        <v>-6.6795513834514634E-4</v>
      </c>
      <c r="AN51">
        <v>-6.6117396437846731E-4</v>
      </c>
      <c r="AO51">
        <v>-6.5439279041178827E-4</v>
      </c>
      <c r="AP51">
        <v>-6.4761161644510902E-4</v>
      </c>
      <c r="AQ51">
        <v>-6.4083044247842987E-4</v>
      </c>
      <c r="AR51">
        <v>-6.3404926851175084E-4</v>
      </c>
      <c r="AS51">
        <v>-6.2726809454507169E-4</v>
      </c>
      <c r="AT51">
        <v>-6.2048692057839266E-4</v>
      </c>
      <c r="AU51">
        <v>-6.1370574661171351E-4</v>
      </c>
      <c r="AV51">
        <v>-6.0692457264503448E-4</v>
      </c>
      <c r="AW51">
        <v>-6.0014339867835523E-4</v>
      </c>
      <c r="AX51">
        <v>-5.933622247116763E-4</v>
      </c>
      <c r="AY51">
        <v>-5.8658105074499715E-4</v>
      </c>
      <c r="AZ51">
        <v>-5.7979987677831812E-4</v>
      </c>
      <c r="BA51">
        <v>-5.7301870281163897E-4</v>
      </c>
      <c r="BB51">
        <v>-5.6623752884495983E-4</v>
      </c>
      <c r="BC51">
        <v>-5.5945635487828068E-4</v>
      </c>
      <c r="BD51">
        <v>-5.5267518091160154E-4</v>
      </c>
      <c r="BE51">
        <v>-5.458940069449225E-4</v>
      </c>
      <c r="BF51">
        <v>-5.3911283297824336E-4</v>
      </c>
      <c r="BG51">
        <v>-5.3233165901156356E-4</v>
      </c>
      <c r="BH51">
        <v>-5.2555048504488453E-4</v>
      </c>
      <c r="BI51">
        <v>-5.1876931107820549E-4</v>
      </c>
      <c r="BJ51">
        <v>-5.1198813711152635E-4</v>
      </c>
    </row>
    <row r="52" spans="1:62" x14ac:dyDescent="0.25">
      <c r="A52" s="57">
        <v>0.13</v>
      </c>
      <c r="B52">
        <v>-9.1228436726681795E-4</v>
      </c>
      <c r="C52">
        <v>-9.0550319330013902E-4</v>
      </c>
      <c r="D52">
        <v>-8.9872201933345977E-4</v>
      </c>
      <c r="E52">
        <v>-8.9194084536678084E-4</v>
      </c>
      <c r="F52">
        <v>-8.8515967140010148E-4</v>
      </c>
      <c r="G52">
        <v>-8.7837849743342266E-4</v>
      </c>
      <c r="H52">
        <v>-8.715973234667433E-4</v>
      </c>
      <c r="I52">
        <v>-8.6481614950006437E-4</v>
      </c>
      <c r="J52">
        <v>-8.5803497553338512E-4</v>
      </c>
      <c r="K52">
        <v>-8.5125380156670619E-4</v>
      </c>
      <c r="L52">
        <v>-8.4447262760002683E-4</v>
      </c>
      <c r="M52">
        <v>-8.376914536333479E-4</v>
      </c>
      <c r="N52">
        <v>-8.3091027966666865E-4</v>
      </c>
      <c r="O52">
        <v>-8.2412910569998972E-4</v>
      </c>
      <c r="P52">
        <v>-8.1734793173331047E-4</v>
      </c>
      <c r="Q52">
        <v>-8.1056675776663143E-4</v>
      </c>
      <c r="R52">
        <v>-8.0378558379995261E-4</v>
      </c>
      <c r="S52">
        <v>-7.9700440983327314E-4</v>
      </c>
      <c r="T52">
        <v>-7.9022323586659432E-4</v>
      </c>
      <c r="U52">
        <v>-7.8344206189991518E-4</v>
      </c>
      <c r="V52">
        <v>-7.7666088793323592E-4</v>
      </c>
      <c r="W52">
        <v>-7.6987971396655689E-4</v>
      </c>
      <c r="X52">
        <v>-7.6309853999987774E-4</v>
      </c>
      <c r="Y52">
        <v>-7.5631736603319871E-4</v>
      </c>
      <c r="Z52">
        <v>-7.4953619206651956E-4</v>
      </c>
      <c r="AA52">
        <v>-7.4275501809984053E-4</v>
      </c>
      <c r="AB52">
        <v>-7.3597384413316138E-4</v>
      </c>
      <c r="AC52">
        <v>-7.2919267016648224E-4</v>
      </c>
      <c r="AD52">
        <v>-7.2241149619980309E-4</v>
      </c>
      <c r="AE52">
        <v>-7.1563032223312395E-4</v>
      </c>
      <c r="AF52">
        <v>-7.0884914826644491E-4</v>
      </c>
      <c r="AG52">
        <v>-7.0206797429976577E-4</v>
      </c>
      <c r="AH52">
        <v>-6.9528680033308673E-4</v>
      </c>
      <c r="AI52">
        <v>-6.8850562636640748E-4</v>
      </c>
      <c r="AJ52">
        <v>-6.8172445239972844E-4</v>
      </c>
      <c r="AK52">
        <v>-6.749432784330493E-4</v>
      </c>
      <c r="AL52">
        <v>-6.6816210446637026E-4</v>
      </c>
      <c r="AM52">
        <v>-6.6138093049969112E-4</v>
      </c>
      <c r="AN52">
        <v>-6.5459975653301208E-4</v>
      </c>
      <c r="AO52">
        <v>-6.4781858256633294E-4</v>
      </c>
      <c r="AP52">
        <v>-6.4103740859965379E-4</v>
      </c>
      <c r="AQ52">
        <v>-6.3425623463297476E-4</v>
      </c>
      <c r="AR52">
        <v>-6.2747506066629561E-4</v>
      </c>
      <c r="AS52">
        <v>-6.2069388669961658E-4</v>
      </c>
      <c r="AT52">
        <v>-6.1391271273293743E-4</v>
      </c>
      <c r="AU52">
        <v>-6.071315387662584E-4</v>
      </c>
      <c r="AV52">
        <v>-6.0035036479957915E-4</v>
      </c>
      <c r="AW52">
        <v>-5.9356919083290011E-4</v>
      </c>
      <c r="AX52">
        <v>-5.8678801686622107E-4</v>
      </c>
      <c r="AY52">
        <v>-5.8000684289954193E-4</v>
      </c>
      <c r="AZ52">
        <v>-5.7322566893286289E-4</v>
      </c>
      <c r="BA52">
        <v>-5.6644449496618375E-4</v>
      </c>
      <c r="BB52">
        <v>-5.596633209995046E-4</v>
      </c>
      <c r="BC52">
        <v>-5.5288214703282546E-4</v>
      </c>
      <c r="BD52">
        <v>-5.4610097306614642E-4</v>
      </c>
      <c r="BE52">
        <v>-5.3931979909946728E-4</v>
      </c>
      <c r="BF52">
        <v>-5.3253862513278824E-4</v>
      </c>
      <c r="BG52">
        <v>-5.2575745116610845E-4</v>
      </c>
      <c r="BH52">
        <v>-5.189762771994293E-4</v>
      </c>
      <c r="BI52">
        <v>-5.1219510323275027E-4</v>
      </c>
      <c r="BJ52">
        <v>-5.0541392926607112E-4</v>
      </c>
    </row>
    <row r="53" spans="1:62" x14ac:dyDescent="0.25">
      <c r="A53" s="57">
        <v>0.14000000000000001</v>
      </c>
      <c r="B53">
        <v>-9.0571015942136294E-4</v>
      </c>
      <c r="C53">
        <v>-8.9892898545468369E-4</v>
      </c>
      <c r="D53">
        <v>-8.9214781148800476E-4</v>
      </c>
      <c r="E53">
        <v>-8.853666375213254E-4</v>
      </c>
      <c r="F53">
        <v>-8.7858546355464658E-4</v>
      </c>
      <c r="G53">
        <v>-8.7180428958796722E-4</v>
      </c>
      <c r="H53">
        <v>-8.6502311562128829E-4</v>
      </c>
      <c r="I53">
        <v>-8.5824194165460904E-4</v>
      </c>
      <c r="J53">
        <v>-8.5146076768793E-4</v>
      </c>
      <c r="K53">
        <v>-8.4467959372125075E-4</v>
      </c>
      <c r="L53">
        <v>-8.3789841975457182E-4</v>
      </c>
      <c r="M53">
        <v>-8.3111724578789257E-4</v>
      </c>
      <c r="N53">
        <v>-8.2433607182121364E-4</v>
      </c>
      <c r="O53">
        <v>-8.1755489785453439E-4</v>
      </c>
      <c r="P53">
        <v>-8.1077372388785535E-4</v>
      </c>
      <c r="Q53">
        <v>-8.0399254992117621E-4</v>
      </c>
      <c r="R53">
        <v>-7.9721137595449717E-4</v>
      </c>
      <c r="S53">
        <v>-7.9043020198781792E-4</v>
      </c>
      <c r="T53">
        <v>-7.836490280211391E-4</v>
      </c>
      <c r="U53">
        <v>-7.7686785405445984E-4</v>
      </c>
      <c r="V53">
        <v>-7.7008668008778081E-4</v>
      </c>
      <c r="W53">
        <v>-7.6330550612110166E-4</v>
      </c>
      <c r="X53">
        <v>-7.5652433215442263E-4</v>
      </c>
      <c r="Y53">
        <v>-7.4974315818774348E-4</v>
      </c>
      <c r="Z53">
        <v>-7.4296198422106445E-4</v>
      </c>
      <c r="AA53">
        <v>-7.361808102543853E-4</v>
      </c>
      <c r="AB53">
        <v>-7.2939963628770616E-4</v>
      </c>
      <c r="AC53">
        <v>-7.2261846232102701E-4</v>
      </c>
      <c r="AD53">
        <v>-7.1583728835434787E-4</v>
      </c>
      <c r="AE53">
        <v>-7.0905611438766883E-4</v>
      </c>
      <c r="AF53">
        <v>-7.0227494042098969E-4</v>
      </c>
      <c r="AG53">
        <v>-6.9549376645431065E-4</v>
      </c>
      <c r="AH53">
        <v>-6.887125924876314E-4</v>
      </c>
      <c r="AI53">
        <v>-6.8193141852095236E-4</v>
      </c>
      <c r="AJ53">
        <v>-6.7515024455427322E-4</v>
      </c>
      <c r="AK53">
        <v>-6.6836907058759418E-4</v>
      </c>
      <c r="AL53">
        <v>-6.6158789662091504E-4</v>
      </c>
      <c r="AM53">
        <v>-6.548067226542359E-4</v>
      </c>
      <c r="AN53">
        <v>-6.4802554868755686E-4</v>
      </c>
      <c r="AO53">
        <v>-6.4124437472087771E-4</v>
      </c>
      <c r="AP53">
        <v>-6.3446320075419868E-4</v>
      </c>
      <c r="AQ53">
        <v>-6.2768202678751953E-4</v>
      </c>
      <c r="AR53">
        <v>-6.209008528208405E-4</v>
      </c>
      <c r="AS53">
        <v>-6.1411967885416135E-4</v>
      </c>
      <c r="AT53">
        <v>-6.0733850488748232E-4</v>
      </c>
      <c r="AU53">
        <v>-6.0055733092080307E-4</v>
      </c>
      <c r="AV53">
        <v>-5.9377615695412403E-4</v>
      </c>
      <c r="AW53">
        <v>-5.8699498298744488E-4</v>
      </c>
      <c r="AX53">
        <v>-5.8021380902076585E-4</v>
      </c>
      <c r="AY53">
        <v>-5.7343263505408681E-4</v>
      </c>
      <c r="AZ53">
        <v>-5.6665146108740767E-4</v>
      </c>
      <c r="BA53">
        <v>-5.5987028712072852E-4</v>
      </c>
      <c r="BB53">
        <v>-5.5308911315404938E-4</v>
      </c>
      <c r="BC53">
        <v>-5.4630793918737034E-4</v>
      </c>
      <c r="BD53">
        <v>-5.395267652206912E-4</v>
      </c>
      <c r="BE53">
        <v>-5.3274559125401216E-4</v>
      </c>
      <c r="BF53">
        <v>-5.2596441728733302E-4</v>
      </c>
      <c r="BG53">
        <v>-5.1918324332065322E-4</v>
      </c>
      <c r="BH53">
        <v>-5.1240206935397408E-4</v>
      </c>
      <c r="BI53">
        <v>-5.0562089538729504E-4</v>
      </c>
      <c r="BJ53">
        <v>-4.988397214206159E-4</v>
      </c>
    </row>
    <row r="54" spans="1:62" x14ac:dyDescent="0.25">
      <c r="A54" s="57">
        <v>0.15</v>
      </c>
      <c r="B54">
        <v>-8.9913595157590771E-4</v>
      </c>
      <c r="C54">
        <v>-8.9235477760922868E-4</v>
      </c>
      <c r="D54">
        <v>-8.8557360364254953E-4</v>
      </c>
      <c r="E54">
        <v>-8.787924296758705E-4</v>
      </c>
      <c r="F54">
        <v>-8.7201125570919135E-4</v>
      </c>
      <c r="G54">
        <v>-8.652300817425121E-4</v>
      </c>
      <c r="H54">
        <v>-8.5844890777583306E-4</v>
      </c>
      <c r="I54">
        <v>-8.5166773380915392E-4</v>
      </c>
      <c r="J54">
        <v>-8.4488655984247488E-4</v>
      </c>
      <c r="K54">
        <v>-8.3810538587579574E-4</v>
      </c>
      <c r="L54">
        <v>-8.313242119091167E-4</v>
      </c>
      <c r="M54">
        <v>-8.2454303794243756E-4</v>
      </c>
      <c r="N54">
        <v>-8.1776186397575841E-4</v>
      </c>
      <c r="O54">
        <v>-8.1098069000907927E-4</v>
      </c>
      <c r="P54">
        <v>-8.0419951604240013E-4</v>
      </c>
      <c r="Q54">
        <v>-7.9741834207572098E-4</v>
      </c>
      <c r="R54">
        <v>-7.9063716810904205E-4</v>
      </c>
      <c r="S54">
        <v>-7.838559941423628E-4</v>
      </c>
      <c r="T54">
        <v>-7.7707482017568376E-4</v>
      </c>
      <c r="U54">
        <v>-7.7029364620900473E-4</v>
      </c>
      <c r="V54">
        <v>-7.6351247224232558E-4</v>
      </c>
      <c r="W54">
        <v>-7.5673129827564655E-4</v>
      </c>
      <c r="X54">
        <v>-7.499501243089674E-4</v>
      </c>
      <c r="Y54">
        <v>-7.4316895034228837E-4</v>
      </c>
      <c r="Z54">
        <v>-7.3638777637560922E-4</v>
      </c>
      <c r="AA54">
        <v>-7.2960660240892997E-4</v>
      </c>
      <c r="AB54">
        <v>-7.2282542844225093E-4</v>
      </c>
      <c r="AC54">
        <v>-7.1604425447557179E-4</v>
      </c>
      <c r="AD54">
        <v>-7.0926308050889275E-4</v>
      </c>
      <c r="AE54">
        <v>-7.0248190654221361E-4</v>
      </c>
      <c r="AF54">
        <v>-6.9570073257553457E-4</v>
      </c>
      <c r="AG54">
        <v>-6.8891955860885532E-4</v>
      </c>
      <c r="AH54">
        <v>-6.8213838464217628E-4</v>
      </c>
      <c r="AI54">
        <v>-6.7535721067549714E-4</v>
      </c>
      <c r="AJ54">
        <v>-6.68576036708818E-4</v>
      </c>
      <c r="AK54">
        <v>-6.6179486274213896E-4</v>
      </c>
      <c r="AL54">
        <v>-6.5501368877545982E-4</v>
      </c>
      <c r="AM54">
        <v>-6.4823251480878078E-4</v>
      </c>
      <c r="AN54">
        <v>-6.4145134084210164E-4</v>
      </c>
      <c r="AO54">
        <v>-6.346701668754226E-4</v>
      </c>
      <c r="AP54">
        <v>-6.2788899290874345E-4</v>
      </c>
      <c r="AQ54">
        <v>-6.2110781894206442E-4</v>
      </c>
      <c r="AR54">
        <v>-6.1432664497538527E-4</v>
      </c>
      <c r="AS54">
        <v>-6.0754547100870613E-4</v>
      </c>
      <c r="AT54">
        <v>-6.0076429704202699E-4</v>
      </c>
      <c r="AU54">
        <v>-5.9398312307534784E-4</v>
      </c>
      <c r="AV54">
        <v>-5.872019491086688E-4</v>
      </c>
      <c r="AW54">
        <v>-5.8042077514198966E-4</v>
      </c>
      <c r="AX54">
        <v>-5.7363960117531073E-4</v>
      </c>
      <c r="AY54">
        <v>-5.6685842720863159E-4</v>
      </c>
      <c r="AZ54">
        <v>-5.6007725324195244E-4</v>
      </c>
      <c r="BA54">
        <v>-5.532960792752733E-4</v>
      </c>
      <c r="BB54">
        <v>-5.4651490530859426E-4</v>
      </c>
      <c r="BC54">
        <v>-5.3973373134191512E-4</v>
      </c>
      <c r="BD54">
        <v>-5.3295255737523597E-4</v>
      </c>
      <c r="BE54">
        <v>-5.2617138340855683E-4</v>
      </c>
      <c r="BF54">
        <v>-5.1939020944187779E-4</v>
      </c>
      <c r="BG54">
        <v>-5.12609035475198E-4</v>
      </c>
      <c r="BH54">
        <v>-5.0582786150851885E-4</v>
      </c>
      <c r="BI54">
        <v>-4.9904668754183982E-4</v>
      </c>
      <c r="BJ54">
        <v>-4.9226551357516078E-4</v>
      </c>
    </row>
    <row r="55" spans="1:62" x14ac:dyDescent="0.25">
      <c r="A55" s="57">
        <v>0.16</v>
      </c>
      <c r="B55">
        <v>-8.925617437304526E-4</v>
      </c>
      <c r="C55">
        <v>-8.8578056976377345E-4</v>
      </c>
      <c r="D55">
        <v>-8.7899939579709431E-4</v>
      </c>
      <c r="E55">
        <v>-8.7221822183041527E-4</v>
      </c>
      <c r="F55">
        <v>-8.6543704786373602E-4</v>
      </c>
      <c r="G55">
        <v>-8.5865587389705698E-4</v>
      </c>
      <c r="H55">
        <v>-8.5187469993037784E-4</v>
      </c>
      <c r="I55">
        <v>-8.450935259636988E-4</v>
      </c>
      <c r="J55">
        <v>-8.3831235199701966E-4</v>
      </c>
      <c r="K55">
        <v>-8.3153117803034062E-4</v>
      </c>
      <c r="L55">
        <v>-8.2475000406366148E-4</v>
      </c>
      <c r="M55">
        <v>-8.1796883009698233E-4</v>
      </c>
      <c r="N55">
        <v>-8.1118765613030319E-4</v>
      </c>
      <c r="O55">
        <v>-8.0440648216362405E-4</v>
      </c>
      <c r="P55">
        <v>-7.976253081969449E-4</v>
      </c>
      <c r="Q55">
        <v>-7.9084413423026576E-4</v>
      </c>
      <c r="R55">
        <v>-7.8406296026358694E-4</v>
      </c>
      <c r="S55">
        <v>-7.7728178629690758E-4</v>
      </c>
      <c r="T55">
        <v>-7.7050061233022865E-4</v>
      </c>
      <c r="U55">
        <v>-7.637194383635495E-4</v>
      </c>
      <c r="V55">
        <v>-7.5693826439687047E-4</v>
      </c>
      <c r="W55">
        <v>-7.5015709043019132E-4</v>
      </c>
      <c r="X55">
        <v>-7.4337591646351218E-4</v>
      </c>
      <c r="Y55">
        <v>-7.3659474249683314E-4</v>
      </c>
      <c r="Z55">
        <v>-7.2981356853015389E-4</v>
      </c>
      <c r="AA55">
        <v>-7.2303239456347485E-4</v>
      </c>
      <c r="AB55">
        <v>-7.1625122059679571E-4</v>
      </c>
      <c r="AC55">
        <v>-7.0947004663011667E-4</v>
      </c>
      <c r="AD55">
        <v>-7.0268887266343753E-4</v>
      </c>
      <c r="AE55">
        <v>-6.9590769869675849E-4</v>
      </c>
      <c r="AF55">
        <v>-6.8912652473007924E-4</v>
      </c>
      <c r="AG55">
        <v>-6.823453507634001E-4</v>
      </c>
      <c r="AH55">
        <v>-6.7556417679672106E-4</v>
      </c>
      <c r="AI55">
        <v>-6.6878300283004192E-4</v>
      </c>
      <c r="AJ55">
        <v>-6.6200182886336288E-4</v>
      </c>
      <c r="AK55">
        <v>-6.5522065489668374E-4</v>
      </c>
      <c r="AL55">
        <v>-6.484394809300047E-4</v>
      </c>
      <c r="AM55">
        <v>-6.4165830696332545E-4</v>
      </c>
      <c r="AN55">
        <v>-6.3487713299664652E-4</v>
      </c>
      <c r="AO55">
        <v>-6.2809595902996737E-4</v>
      </c>
      <c r="AP55">
        <v>-6.2131478506328823E-4</v>
      </c>
      <c r="AQ55">
        <v>-6.1453361109660919E-4</v>
      </c>
      <c r="AR55">
        <v>-6.0775243712993005E-4</v>
      </c>
      <c r="AS55">
        <v>-6.0097126316325091E-4</v>
      </c>
      <c r="AT55">
        <v>-5.9419008919657176E-4</v>
      </c>
      <c r="AU55">
        <v>-5.8740891522989272E-4</v>
      </c>
      <c r="AV55">
        <v>-5.8062774126321358E-4</v>
      </c>
      <c r="AW55">
        <v>-5.7384656729653454E-4</v>
      </c>
      <c r="AX55">
        <v>-5.6706539332985551E-4</v>
      </c>
      <c r="AY55">
        <v>-5.6028421936317636E-4</v>
      </c>
      <c r="AZ55">
        <v>-5.5350304539649722E-4</v>
      </c>
      <c r="BA55">
        <v>-5.4672187142981808E-4</v>
      </c>
      <c r="BB55">
        <v>-5.3994069746313904E-4</v>
      </c>
      <c r="BC55">
        <v>-5.3315952349645989E-4</v>
      </c>
      <c r="BD55">
        <v>-5.2637834952978075E-4</v>
      </c>
      <c r="BE55">
        <v>-5.1959717556310171E-4</v>
      </c>
      <c r="BF55">
        <v>-5.1281600159642257E-4</v>
      </c>
      <c r="BG55">
        <v>-5.0603482762974277E-4</v>
      </c>
      <c r="BH55">
        <v>-4.9925365366306363E-4</v>
      </c>
      <c r="BI55">
        <v>-4.924724796963847E-4</v>
      </c>
      <c r="BJ55">
        <v>-4.8569130572970556E-4</v>
      </c>
    </row>
    <row r="56" spans="1:62" x14ac:dyDescent="0.25">
      <c r="A56" s="57">
        <v>0.17</v>
      </c>
      <c r="B56">
        <v>-8.8598753588499737E-4</v>
      </c>
      <c r="C56">
        <v>-8.7920636191831823E-4</v>
      </c>
      <c r="D56">
        <v>-8.7242518795163919E-4</v>
      </c>
      <c r="E56">
        <v>-8.6564401398495994E-4</v>
      </c>
      <c r="F56">
        <v>-8.588628400182809E-4</v>
      </c>
      <c r="G56">
        <v>-8.5208166605160176E-4</v>
      </c>
      <c r="H56">
        <v>-8.4530049208492272E-4</v>
      </c>
      <c r="I56">
        <v>-8.3851931811824358E-4</v>
      </c>
      <c r="J56">
        <v>-8.3173814415156454E-4</v>
      </c>
      <c r="K56">
        <v>-8.249569701848854E-4</v>
      </c>
      <c r="L56">
        <v>-8.1817579621820615E-4</v>
      </c>
      <c r="M56">
        <v>-8.1139462225152711E-4</v>
      </c>
      <c r="N56">
        <v>-8.0461344828484797E-4</v>
      </c>
      <c r="O56">
        <v>-7.9783227431816882E-4</v>
      </c>
      <c r="P56">
        <v>-7.9105110035148968E-4</v>
      </c>
      <c r="Q56">
        <v>-7.8426992638481064E-4</v>
      </c>
      <c r="R56">
        <v>-7.774887524181316E-4</v>
      </c>
      <c r="S56">
        <v>-7.7070757845145246E-4</v>
      </c>
      <c r="T56">
        <v>-7.6392640448477342E-4</v>
      </c>
      <c r="U56">
        <v>-7.5714523051809428E-4</v>
      </c>
      <c r="V56">
        <v>-7.5036405655141524E-4</v>
      </c>
      <c r="W56">
        <v>-7.435828825847361E-4</v>
      </c>
      <c r="X56">
        <v>-7.3680170861805706E-4</v>
      </c>
      <c r="Y56">
        <v>-7.3002053465137781E-4</v>
      </c>
      <c r="Z56">
        <v>-7.2323936068469877E-4</v>
      </c>
      <c r="AA56">
        <v>-7.1645818671801963E-4</v>
      </c>
      <c r="AB56">
        <v>-7.0967701275134059E-4</v>
      </c>
      <c r="AC56">
        <v>-7.0289583878466145E-4</v>
      </c>
      <c r="AD56">
        <v>-6.9611466481798241E-4</v>
      </c>
      <c r="AE56">
        <v>-6.8933349085130316E-4</v>
      </c>
      <c r="AF56">
        <v>-6.8255231688462402E-4</v>
      </c>
      <c r="AG56">
        <v>-6.7577114291794498E-4</v>
      </c>
      <c r="AH56">
        <v>-6.6898996895126584E-4</v>
      </c>
      <c r="AI56">
        <v>-6.622087949845868E-4</v>
      </c>
      <c r="AJ56">
        <v>-6.5542762101790766E-4</v>
      </c>
      <c r="AK56">
        <v>-6.4864644705122862E-4</v>
      </c>
      <c r="AL56">
        <v>-6.4186527308454937E-4</v>
      </c>
      <c r="AM56">
        <v>-6.3508409911787033E-4</v>
      </c>
      <c r="AN56">
        <v>-6.2830292515119129E-4</v>
      </c>
      <c r="AO56">
        <v>-6.2152175118451226E-4</v>
      </c>
      <c r="AP56">
        <v>-6.1474057721783311E-4</v>
      </c>
      <c r="AQ56">
        <v>-6.0795940325115397E-4</v>
      </c>
      <c r="AR56">
        <v>-6.0117822928447483E-4</v>
      </c>
      <c r="AS56">
        <v>-5.9439705531779568E-4</v>
      </c>
      <c r="AT56">
        <v>-5.8761588135111664E-4</v>
      </c>
      <c r="AU56">
        <v>-5.808347073844375E-4</v>
      </c>
      <c r="AV56">
        <v>-5.7405353341775846E-4</v>
      </c>
      <c r="AW56">
        <v>-5.6727235945107932E-4</v>
      </c>
      <c r="AX56">
        <v>-5.6049118548440018E-4</v>
      </c>
      <c r="AY56">
        <v>-5.5371001151772114E-4</v>
      </c>
      <c r="AZ56">
        <v>-5.46928837551042E-4</v>
      </c>
      <c r="BA56">
        <v>-5.4014766358436296E-4</v>
      </c>
      <c r="BB56">
        <v>-5.3336648961768381E-4</v>
      </c>
      <c r="BC56">
        <v>-5.2658531565100467E-4</v>
      </c>
      <c r="BD56">
        <v>-5.1980414168432563E-4</v>
      </c>
      <c r="BE56">
        <v>-5.1302296771764649E-4</v>
      </c>
      <c r="BF56">
        <v>-5.0624179375096735E-4</v>
      </c>
      <c r="BG56">
        <v>-4.9946061978428755E-4</v>
      </c>
      <c r="BH56">
        <v>-4.9267944581760851E-4</v>
      </c>
      <c r="BI56">
        <v>-4.8589827185092948E-4</v>
      </c>
      <c r="BJ56">
        <v>-4.7911709788425033E-4</v>
      </c>
    </row>
    <row r="57" spans="1:62" x14ac:dyDescent="0.25">
      <c r="A57" s="57">
        <v>0.18</v>
      </c>
      <c r="B57">
        <v>-8.7941332803954215E-4</v>
      </c>
      <c r="C57">
        <v>-8.7263215407286311E-4</v>
      </c>
      <c r="D57">
        <v>-8.6585098010618386E-4</v>
      </c>
      <c r="E57">
        <v>-8.5906980613950482E-4</v>
      </c>
      <c r="F57">
        <v>-8.5228863217282568E-4</v>
      </c>
      <c r="G57">
        <v>-8.4550745820614664E-4</v>
      </c>
      <c r="H57">
        <v>-8.387262842394675E-4</v>
      </c>
      <c r="I57">
        <v>-8.3194511027278836E-4</v>
      </c>
      <c r="J57">
        <v>-8.2516393630610932E-4</v>
      </c>
      <c r="K57">
        <v>-8.1838276233943007E-4</v>
      </c>
      <c r="L57">
        <v>-8.1160158837275103E-4</v>
      </c>
      <c r="M57">
        <v>-8.0482041440607189E-4</v>
      </c>
      <c r="N57">
        <v>-7.9803924043939285E-4</v>
      </c>
      <c r="O57">
        <v>-7.9125806647271371E-4</v>
      </c>
      <c r="P57">
        <v>-7.8447689250603467E-4</v>
      </c>
      <c r="Q57">
        <v>-7.7769571853935552E-4</v>
      </c>
      <c r="R57">
        <v>-7.709145445726766E-4</v>
      </c>
      <c r="S57">
        <v>-7.6413337060599724E-4</v>
      </c>
      <c r="T57">
        <v>-7.5735219663931831E-4</v>
      </c>
      <c r="U57">
        <v>-7.5057102267263927E-4</v>
      </c>
      <c r="V57">
        <v>-7.4378984870596002E-4</v>
      </c>
      <c r="W57">
        <v>-7.3700867473928098E-4</v>
      </c>
      <c r="X57">
        <v>-7.3022750077260184E-4</v>
      </c>
      <c r="Y57">
        <v>-7.234463268059228E-4</v>
      </c>
      <c r="Z57">
        <v>-7.1666515283924366E-4</v>
      </c>
      <c r="AA57">
        <v>-7.0988397887256462E-4</v>
      </c>
      <c r="AB57">
        <v>-7.0310280490588548E-4</v>
      </c>
      <c r="AC57">
        <v>-6.9632163093920623E-4</v>
      </c>
      <c r="AD57">
        <v>-6.8954045697252719E-4</v>
      </c>
      <c r="AE57">
        <v>-6.8275928300584804E-4</v>
      </c>
      <c r="AF57">
        <v>-6.7597810903916901E-4</v>
      </c>
      <c r="AG57">
        <v>-6.6919693507248986E-4</v>
      </c>
      <c r="AH57">
        <v>-6.6241576110581083E-4</v>
      </c>
      <c r="AI57">
        <v>-6.5563458713913168E-4</v>
      </c>
      <c r="AJ57">
        <v>-6.4885341317245254E-4</v>
      </c>
      <c r="AK57">
        <v>-6.420722392057734E-4</v>
      </c>
      <c r="AL57">
        <v>-6.3529106523909436E-4</v>
      </c>
      <c r="AM57">
        <v>-6.2850989127241521E-4</v>
      </c>
      <c r="AN57">
        <v>-6.2172871730573607E-4</v>
      </c>
      <c r="AO57">
        <v>-6.1494754333905703E-4</v>
      </c>
      <c r="AP57">
        <v>-6.0816636937237789E-4</v>
      </c>
      <c r="AQ57">
        <v>-6.0138519540569875E-4</v>
      </c>
      <c r="AR57">
        <v>-5.946040214390196E-4</v>
      </c>
      <c r="AS57">
        <v>-5.8782284747234056E-4</v>
      </c>
      <c r="AT57">
        <v>-5.8104167350566142E-4</v>
      </c>
      <c r="AU57">
        <v>-5.7426049953898228E-4</v>
      </c>
      <c r="AV57">
        <v>-5.6747932557230324E-4</v>
      </c>
      <c r="AW57">
        <v>-5.606981516056241E-4</v>
      </c>
      <c r="AX57">
        <v>-5.5391697763894517E-4</v>
      </c>
      <c r="AY57">
        <v>-5.4713580367226602E-4</v>
      </c>
      <c r="AZ57">
        <v>-5.4035462970558699E-4</v>
      </c>
      <c r="BA57">
        <v>-5.3357345573890784E-4</v>
      </c>
      <c r="BB57">
        <v>-5.267922817722287E-4</v>
      </c>
      <c r="BC57">
        <v>-5.2001110780554966E-4</v>
      </c>
      <c r="BD57">
        <v>-5.1322993383887041E-4</v>
      </c>
      <c r="BE57">
        <v>-5.0644875987219137E-4</v>
      </c>
      <c r="BF57">
        <v>-4.9966758590551234E-4</v>
      </c>
      <c r="BG57">
        <v>-4.9288641193883233E-4</v>
      </c>
      <c r="BH57">
        <v>-4.8610523797215329E-4</v>
      </c>
      <c r="BI57">
        <v>-4.7932406400547436E-4</v>
      </c>
      <c r="BJ57">
        <v>-4.7254289003879522E-4</v>
      </c>
    </row>
    <row r="58" spans="1:62" x14ac:dyDescent="0.25">
      <c r="A58" s="57">
        <v>0.19</v>
      </c>
      <c r="B58">
        <v>-8.7283912019408703E-4</v>
      </c>
      <c r="C58">
        <v>-8.6605794622740778E-4</v>
      </c>
      <c r="D58">
        <v>-8.5927677226072874E-4</v>
      </c>
      <c r="E58">
        <v>-8.524955982940496E-4</v>
      </c>
      <c r="F58">
        <v>-8.4571442432737056E-4</v>
      </c>
      <c r="G58">
        <v>-8.3893325036069142E-4</v>
      </c>
      <c r="H58">
        <v>-8.3215207639401228E-4</v>
      </c>
      <c r="I58">
        <v>-8.2537090242733324E-4</v>
      </c>
      <c r="J58">
        <v>-8.1858972846065399E-4</v>
      </c>
      <c r="K58">
        <v>-8.1180855449397495E-4</v>
      </c>
      <c r="L58">
        <v>-8.0502738052729581E-4</v>
      </c>
      <c r="M58">
        <v>-7.9824620656061677E-4</v>
      </c>
      <c r="N58">
        <v>-7.9146503259393763E-4</v>
      </c>
      <c r="O58">
        <v>-7.8468385862725859E-4</v>
      </c>
      <c r="P58">
        <v>-7.7790268466057944E-4</v>
      </c>
      <c r="Q58">
        <v>-7.7112151069390019E-4</v>
      </c>
      <c r="R58">
        <v>-7.6434033672722137E-4</v>
      </c>
      <c r="S58">
        <v>-7.5755916276054201E-4</v>
      </c>
      <c r="T58">
        <v>-7.5077798879386319E-4</v>
      </c>
      <c r="U58">
        <v>-7.4399681482718394E-4</v>
      </c>
      <c r="V58">
        <v>-7.372156408605049E-4</v>
      </c>
      <c r="W58">
        <v>-7.3043446689382576E-4</v>
      </c>
      <c r="X58">
        <v>-7.2365329292714672E-4</v>
      </c>
      <c r="Y58">
        <v>-7.1687211896046758E-4</v>
      </c>
      <c r="Z58">
        <v>-7.1009094499378854E-4</v>
      </c>
      <c r="AA58">
        <v>-7.033097710271094E-4</v>
      </c>
      <c r="AB58">
        <v>-6.9652859706043015E-4</v>
      </c>
      <c r="AC58">
        <v>-6.8974742309375111E-4</v>
      </c>
      <c r="AD58">
        <v>-6.8296624912707197E-4</v>
      </c>
      <c r="AE58">
        <v>-6.7618507516039293E-4</v>
      </c>
      <c r="AF58">
        <v>-6.6940390119371378E-4</v>
      </c>
      <c r="AG58">
        <v>-6.6262272722703475E-4</v>
      </c>
      <c r="AH58">
        <v>-6.558415532603556E-4</v>
      </c>
      <c r="AI58">
        <v>-6.4906037929367646E-4</v>
      </c>
      <c r="AJ58">
        <v>-6.4227920532699732E-4</v>
      </c>
      <c r="AK58">
        <v>-6.3549803136031817E-4</v>
      </c>
      <c r="AL58">
        <v>-6.2871685739363913E-4</v>
      </c>
      <c r="AM58">
        <v>-6.2193568342695999E-4</v>
      </c>
      <c r="AN58">
        <v>-6.1515450946028095E-4</v>
      </c>
      <c r="AO58">
        <v>-6.0837333549360181E-4</v>
      </c>
      <c r="AP58">
        <v>-6.0159216152692267E-4</v>
      </c>
      <c r="AQ58">
        <v>-5.9481098756024352E-4</v>
      </c>
      <c r="AR58">
        <v>-5.8802981359356449E-4</v>
      </c>
      <c r="AS58">
        <v>-5.8124863962688534E-4</v>
      </c>
      <c r="AT58">
        <v>-5.744674656602063E-4</v>
      </c>
      <c r="AU58">
        <v>-5.6768629169352716E-4</v>
      </c>
      <c r="AV58">
        <v>-5.6090511772684802E-4</v>
      </c>
      <c r="AW58">
        <v>-5.5412394376016887E-4</v>
      </c>
      <c r="AX58">
        <v>-5.4734276979348994E-4</v>
      </c>
      <c r="AY58">
        <v>-5.4056159582681091E-4</v>
      </c>
      <c r="AZ58">
        <v>-5.3378042186013176E-4</v>
      </c>
      <c r="BA58">
        <v>-5.2699924789345262E-4</v>
      </c>
      <c r="BB58">
        <v>-5.2021807392677358E-4</v>
      </c>
      <c r="BC58">
        <v>-5.1343689996009444E-4</v>
      </c>
      <c r="BD58">
        <v>-5.0665572599341529E-4</v>
      </c>
      <c r="BE58">
        <v>-4.9987455202673615E-4</v>
      </c>
      <c r="BF58">
        <v>-4.9309337806005701E-4</v>
      </c>
      <c r="BG58">
        <v>-4.8631220409337721E-4</v>
      </c>
      <c r="BH58">
        <v>-4.7953103012669812E-4</v>
      </c>
      <c r="BI58">
        <v>-4.7274985616001914E-4</v>
      </c>
      <c r="BJ58">
        <v>-4.6596868219333999E-4</v>
      </c>
    </row>
    <row r="59" spans="1:62" x14ac:dyDescent="0.25">
      <c r="A59" s="57">
        <v>0.2</v>
      </c>
      <c r="B59">
        <v>-8.662649123486317E-4</v>
      </c>
      <c r="C59">
        <v>-8.5948373838195266E-4</v>
      </c>
      <c r="D59">
        <v>-8.5270256441527352E-4</v>
      </c>
      <c r="E59">
        <v>-8.4592139044859438E-4</v>
      </c>
      <c r="F59">
        <v>-8.3914021648191534E-4</v>
      </c>
      <c r="G59">
        <v>-8.323590425152362E-4</v>
      </c>
      <c r="H59">
        <v>-8.2557786854855716E-4</v>
      </c>
      <c r="I59">
        <v>-8.1879669458187791E-4</v>
      </c>
      <c r="J59">
        <v>-8.1201552061519887E-4</v>
      </c>
      <c r="K59">
        <v>-8.0523434664851973E-4</v>
      </c>
      <c r="L59">
        <v>-7.9845317268184069E-4</v>
      </c>
      <c r="M59">
        <v>-7.9167199871516155E-4</v>
      </c>
      <c r="N59">
        <v>-7.8489082474848251E-4</v>
      </c>
      <c r="O59">
        <v>-7.7810965078180337E-4</v>
      </c>
      <c r="P59">
        <v>-7.7132847681512411E-4</v>
      </c>
      <c r="Q59">
        <v>-7.6454730284844508E-4</v>
      </c>
      <c r="R59">
        <v>-7.5776612888176615E-4</v>
      </c>
      <c r="S59">
        <v>-7.509849549150869E-4</v>
      </c>
      <c r="T59">
        <v>-7.4420378094840786E-4</v>
      </c>
      <c r="U59">
        <v>-7.3742260698172882E-4</v>
      </c>
      <c r="V59">
        <v>-7.3064143301504968E-4</v>
      </c>
      <c r="W59">
        <v>-7.2386025904837064E-4</v>
      </c>
      <c r="X59">
        <v>-7.170790850816915E-4</v>
      </c>
      <c r="Y59">
        <v>-7.1029791111501235E-4</v>
      </c>
      <c r="Z59">
        <v>-7.0351673714833332E-4</v>
      </c>
      <c r="AA59">
        <v>-6.9673556318165407E-4</v>
      </c>
      <c r="AB59">
        <v>-6.8995438921497503E-4</v>
      </c>
      <c r="AC59">
        <v>-6.8317321524829589E-4</v>
      </c>
      <c r="AD59">
        <v>-6.7639204128161685E-4</v>
      </c>
      <c r="AE59">
        <v>-6.696108673149377E-4</v>
      </c>
      <c r="AF59">
        <v>-6.6282969334825867E-4</v>
      </c>
      <c r="AG59">
        <v>-6.5604851938157952E-4</v>
      </c>
      <c r="AH59">
        <v>-6.4926734541490027E-4</v>
      </c>
      <c r="AI59">
        <v>-6.4248617144822124E-4</v>
      </c>
      <c r="AJ59">
        <v>-6.3570499748154209E-4</v>
      </c>
      <c r="AK59">
        <v>-6.2892382351486305E-4</v>
      </c>
      <c r="AL59">
        <v>-6.2214264954818391E-4</v>
      </c>
      <c r="AM59">
        <v>-6.1536147558150487E-4</v>
      </c>
      <c r="AN59">
        <v>-6.0858030161482573E-4</v>
      </c>
      <c r="AO59">
        <v>-6.0179912764814659E-4</v>
      </c>
      <c r="AP59">
        <v>-5.9501795368146744E-4</v>
      </c>
      <c r="AQ59">
        <v>-5.8823677971478841E-4</v>
      </c>
      <c r="AR59">
        <v>-5.8145560574810926E-4</v>
      </c>
      <c r="AS59">
        <v>-5.7467443178143012E-4</v>
      </c>
      <c r="AT59">
        <v>-5.6789325781475108E-4</v>
      </c>
      <c r="AU59">
        <v>-5.6111208384807194E-4</v>
      </c>
      <c r="AV59">
        <v>-5.5433090988139279E-4</v>
      </c>
      <c r="AW59">
        <v>-5.4754973591471365E-4</v>
      </c>
      <c r="AX59">
        <v>-5.4076856194803483E-4</v>
      </c>
      <c r="AY59">
        <v>-5.3398738798135568E-4</v>
      </c>
      <c r="AZ59">
        <v>-5.2720621401467654E-4</v>
      </c>
      <c r="BA59">
        <v>-5.2042504004799739E-4</v>
      </c>
      <c r="BB59">
        <v>-5.1364386608131825E-4</v>
      </c>
      <c r="BC59">
        <v>-5.0686269211463921E-4</v>
      </c>
      <c r="BD59">
        <v>-5.0008151814796007E-4</v>
      </c>
      <c r="BE59">
        <v>-4.9330034418128093E-4</v>
      </c>
      <c r="BF59">
        <v>-4.8651917021460189E-4</v>
      </c>
      <c r="BG59">
        <v>-4.7973799624792199E-4</v>
      </c>
      <c r="BH59">
        <v>-4.7295682228124284E-4</v>
      </c>
      <c r="BI59">
        <v>-4.6617564831456391E-4</v>
      </c>
      <c r="BJ59">
        <v>-4.5939447434788477E-4</v>
      </c>
    </row>
    <row r="60" spans="1:62" x14ac:dyDescent="0.25">
      <c r="A60" s="57">
        <v>0.21</v>
      </c>
      <c r="B60">
        <v>-8.5969070450317648E-4</v>
      </c>
      <c r="C60">
        <v>-8.5290953053649744E-4</v>
      </c>
      <c r="D60">
        <v>-8.461283565698183E-4</v>
      </c>
      <c r="E60">
        <v>-8.3934718260313926E-4</v>
      </c>
      <c r="F60">
        <v>-8.3256600863646012E-4</v>
      </c>
      <c r="G60">
        <v>-8.2578483466978108E-4</v>
      </c>
      <c r="H60">
        <v>-8.1900366070310183E-4</v>
      </c>
      <c r="I60">
        <v>-8.1222248673642279E-4</v>
      </c>
      <c r="J60">
        <v>-8.0544131276974365E-4</v>
      </c>
      <c r="K60">
        <v>-7.9866013880306461E-4</v>
      </c>
      <c r="L60">
        <v>-7.9187896483638547E-4</v>
      </c>
      <c r="M60">
        <v>-7.8509779086970632E-4</v>
      </c>
      <c r="N60">
        <v>-7.7831661690302729E-4</v>
      </c>
      <c r="O60">
        <v>-7.7153544293634803E-4</v>
      </c>
      <c r="P60">
        <v>-7.64754268969669E-4</v>
      </c>
      <c r="Q60">
        <v>-7.5797309500298985E-4</v>
      </c>
      <c r="R60">
        <v>-7.5119192103631103E-4</v>
      </c>
      <c r="S60">
        <v>-7.4441074706963167E-4</v>
      </c>
      <c r="T60">
        <v>-7.3762957310295274E-4</v>
      </c>
      <c r="U60">
        <v>-7.308483991362736E-4</v>
      </c>
      <c r="V60">
        <v>-7.2406722516959445E-4</v>
      </c>
      <c r="W60">
        <v>-7.1728605120291542E-4</v>
      </c>
      <c r="X60">
        <v>-7.1050487723623627E-4</v>
      </c>
      <c r="Y60">
        <v>-7.0372370326955724E-4</v>
      </c>
      <c r="Z60">
        <v>-6.9694252930287799E-4</v>
      </c>
      <c r="AA60">
        <v>-6.9016135533619895E-4</v>
      </c>
      <c r="AB60">
        <v>-6.8338018136951981E-4</v>
      </c>
      <c r="AC60">
        <v>-6.7659900740284077E-4</v>
      </c>
      <c r="AD60">
        <v>-6.6981783343616162E-4</v>
      </c>
      <c r="AE60">
        <v>-6.6303665946948248E-4</v>
      </c>
      <c r="AF60">
        <v>-6.5625548550280344E-4</v>
      </c>
      <c r="AG60">
        <v>-6.4947431153612419E-4</v>
      </c>
      <c r="AH60">
        <v>-6.4269313756944516E-4</v>
      </c>
      <c r="AI60">
        <v>-6.3591196360276601E-4</v>
      </c>
      <c r="AJ60">
        <v>-6.2913078963608697E-4</v>
      </c>
      <c r="AK60">
        <v>-6.2234961566940783E-4</v>
      </c>
      <c r="AL60">
        <v>-6.1556844170272879E-4</v>
      </c>
      <c r="AM60">
        <v>-6.0878726773604965E-4</v>
      </c>
      <c r="AN60">
        <v>-6.0200609376937051E-4</v>
      </c>
      <c r="AO60">
        <v>-5.9522491980269147E-4</v>
      </c>
      <c r="AP60">
        <v>-5.8844374583601233E-4</v>
      </c>
      <c r="AQ60">
        <v>-5.8166257186933329E-4</v>
      </c>
      <c r="AR60">
        <v>-5.7488139790265414E-4</v>
      </c>
      <c r="AS60">
        <v>-5.6810022393597511E-4</v>
      </c>
      <c r="AT60">
        <v>-5.6131904996929586E-4</v>
      </c>
      <c r="AU60">
        <v>-5.5453787600261682E-4</v>
      </c>
      <c r="AV60">
        <v>-5.4775670203593768E-4</v>
      </c>
      <c r="AW60">
        <v>-5.4097552806925864E-4</v>
      </c>
      <c r="AX60">
        <v>-5.3419435410257949E-4</v>
      </c>
      <c r="AY60">
        <v>-5.2741318013590046E-4</v>
      </c>
      <c r="AZ60">
        <v>-5.2063200616922131E-4</v>
      </c>
      <c r="BA60">
        <v>-5.1385083220254217E-4</v>
      </c>
      <c r="BB60">
        <v>-5.0706965823586313E-4</v>
      </c>
      <c r="BC60">
        <v>-5.0028848426918399E-4</v>
      </c>
      <c r="BD60">
        <v>-4.9350731030250485E-4</v>
      </c>
      <c r="BE60">
        <v>-4.8672613633582575E-4</v>
      </c>
      <c r="BF60">
        <v>-4.7994496236914666E-4</v>
      </c>
      <c r="BG60">
        <v>-4.7316378840246687E-4</v>
      </c>
      <c r="BH60">
        <v>-4.6638261443578778E-4</v>
      </c>
      <c r="BI60">
        <v>-4.5960144046910874E-4</v>
      </c>
      <c r="BJ60">
        <v>-4.5282026650242965E-4</v>
      </c>
    </row>
    <row r="61" spans="1:62" x14ac:dyDescent="0.25">
      <c r="A61" s="57">
        <v>0.22</v>
      </c>
      <c r="B61">
        <v>-8.5311649665772136E-4</v>
      </c>
      <c r="C61">
        <v>-8.4633532269104222E-4</v>
      </c>
      <c r="D61">
        <v>-8.3955414872436318E-4</v>
      </c>
      <c r="E61">
        <v>-8.3277297475768404E-4</v>
      </c>
      <c r="F61">
        <v>-8.25991800791005E-4</v>
      </c>
      <c r="G61">
        <v>-8.1921062682432575E-4</v>
      </c>
      <c r="H61">
        <v>-8.1242945285764671E-4</v>
      </c>
      <c r="I61">
        <v>-8.0564827889096757E-4</v>
      </c>
      <c r="J61">
        <v>-7.9886710492428842E-4</v>
      </c>
      <c r="K61">
        <v>-7.9208593095760939E-4</v>
      </c>
      <c r="L61">
        <v>-7.8530475699093024E-4</v>
      </c>
      <c r="M61">
        <v>-7.7852358302425121E-4</v>
      </c>
      <c r="N61">
        <v>-7.7174240905757195E-4</v>
      </c>
      <c r="O61">
        <v>-7.6496123509089292E-4</v>
      </c>
      <c r="P61">
        <v>-7.5818006112421377E-4</v>
      </c>
      <c r="Q61">
        <v>-7.5139888715753474E-4</v>
      </c>
      <c r="R61">
        <v>-7.446177131908557E-4</v>
      </c>
      <c r="S61">
        <v>-7.3783653922417645E-4</v>
      </c>
      <c r="T61">
        <v>-7.3105536525749752E-4</v>
      </c>
      <c r="U61">
        <v>-7.2427419129081837E-4</v>
      </c>
      <c r="V61">
        <v>-7.1749301732413934E-4</v>
      </c>
      <c r="W61">
        <v>-7.1071184335746019E-4</v>
      </c>
      <c r="X61">
        <v>-7.0393066939078116E-4</v>
      </c>
      <c r="Y61">
        <v>-6.9714949542410191E-4</v>
      </c>
      <c r="Z61">
        <v>-6.9036832145742287E-4</v>
      </c>
      <c r="AA61">
        <v>-6.8358714749074373E-4</v>
      </c>
      <c r="AB61">
        <v>-6.7680597352406469E-4</v>
      </c>
      <c r="AC61">
        <v>-6.7002479955738554E-4</v>
      </c>
      <c r="AD61">
        <v>-6.632436255907064E-4</v>
      </c>
      <c r="AE61">
        <v>-6.5646245162402736E-4</v>
      </c>
      <c r="AF61">
        <v>-6.4968127765734811E-4</v>
      </c>
      <c r="AG61">
        <v>-6.4290010369066908E-4</v>
      </c>
      <c r="AH61">
        <v>-6.3611892972398993E-4</v>
      </c>
      <c r="AI61">
        <v>-6.2933775575731089E-4</v>
      </c>
      <c r="AJ61">
        <v>-6.2255658179063175E-4</v>
      </c>
      <c r="AK61">
        <v>-6.1577540782395271E-4</v>
      </c>
      <c r="AL61">
        <v>-6.0899423385727357E-4</v>
      </c>
      <c r="AM61">
        <v>-6.0221305989059432E-4</v>
      </c>
      <c r="AN61">
        <v>-5.9543188592391539E-4</v>
      </c>
      <c r="AO61">
        <v>-5.8865071195723625E-4</v>
      </c>
      <c r="AP61">
        <v>-5.8186953799055721E-4</v>
      </c>
      <c r="AQ61">
        <v>-5.7508836402387806E-4</v>
      </c>
      <c r="AR61">
        <v>-5.6830719005719903E-4</v>
      </c>
      <c r="AS61">
        <v>-5.6152601609051978E-4</v>
      </c>
      <c r="AT61">
        <v>-5.5474484212384074E-4</v>
      </c>
      <c r="AU61">
        <v>-5.479636681571616E-4</v>
      </c>
      <c r="AV61">
        <v>-5.4118249419048245E-4</v>
      </c>
      <c r="AW61">
        <v>-5.3440132022380342E-4</v>
      </c>
      <c r="AX61">
        <v>-5.2762014625712438E-4</v>
      </c>
      <c r="AY61">
        <v>-5.2083897229044523E-4</v>
      </c>
      <c r="AZ61">
        <v>-5.1405779832376609E-4</v>
      </c>
      <c r="BA61">
        <v>-5.0727662435708705E-4</v>
      </c>
      <c r="BB61">
        <v>-5.0049545039040791E-4</v>
      </c>
      <c r="BC61">
        <v>-4.9371427642372877E-4</v>
      </c>
      <c r="BD61">
        <v>-4.8693310245704968E-4</v>
      </c>
      <c r="BE61">
        <v>-4.8015192849037058E-4</v>
      </c>
      <c r="BF61">
        <v>-4.7337075452369149E-4</v>
      </c>
      <c r="BG61">
        <v>-4.665895805570117E-4</v>
      </c>
      <c r="BH61">
        <v>-4.5980840659033256E-4</v>
      </c>
      <c r="BI61">
        <v>-4.5302723262365357E-4</v>
      </c>
      <c r="BJ61">
        <v>-4.4624605865697443E-4</v>
      </c>
    </row>
    <row r="62" spans="1:62" x14ac:dyDescent="0.25">
      <c r="A62" s="57">
        <v>0.23</v>
      </c>
      <c r="B62">
        <v>-8.4654228881226614E-4</v>
      </c>
      <c r="C62">
        <v>-8.397611148455871E-4</v>
      </c>
      <c r="D62">
        <v>-8.3297994087890796E-4</v>
      </c>
      <c r="E62">
        <v>-8.2619876691222892E-4</v>
      </c>
      <c r="F62">
        <v>-8.1941759294554967E-4</v>
      </c>
      <c r="G62">
        <v>-8.1263641897887052E-4</v>
      </c>
      <c r="H62">
        <v>-8.0585524501219149E-4</v>
      </c>
      <c r="I62">
        <v>-7.9907407104551234E-4</v>
      </c>
      <c r="J62">
        <v>-7.9229289707883331E-4</v>
      </c>
      <c r="K62">
        <v>-7.8551172311215416E-4</v>
      </c>
      <c r="L62">
        <v>-7.7873054914547513E-4</v>
      </c>
      <c r="M62">
        <v>-7.7194937517879587E-4</v>
      </c>
      <c r="N62">
        <v>-7.6516820121211684E-4</v>
      </c>
      <c r="O62">
        <v>-7.5838702724543769E-4</v>
      </c>
      <c r="P62">
        <v>-7.5160585327875866E-4</v>
      </c>
      <c r="Q62">
        <v>-7.4482467931207951E-4</v>
      </c>
      <c r="R62">
        <v>-7.3804350534540048E-4</v>
      </c>
      <c r="S62">
        <v>-7.3126233137872133E-4</v>
      </c>
      <c r="T62">
        <v>-7.2448115741204229E-4</v>
      </c>
      <c r="U62">
        <v>-7.1769998344536326E-4</v>
      </c>
      <c r="V62">
        <v>-7.1091880947868411E-4</v>
      </c>
      <c r="W62">
        <v>-7.0413763551200508E-4</v>
      </c>
      <c r="X62">
        <v>-6.9735646154532583E-4</v>
      </c>
      <c r="Y62">
        <v>-6.9057528757864679E-4</v>
      </c>
      <c r="Z62">
        <v>-6.8379411361196765E-4</v>
      </c>
      <c r="AA62">
        <v>-6.770129396452885E-4</v>
      </c>
      <c r="AB62">
        <v>-6.7023176567860946E-4</v>
      </c>
      <c r="AC62">
        <v>-6.6345059171193032E-4</v>
      </c>
      <c r="AD62">
        <v>-6.5666941774525128E-4</v>
      </c>
      <c r="AE62">
        <v>-6.4988824377857203E-4</v>
      </c>
      <c r="AF62">
        <v>-6.43107069811893E-4</v>
      </c>
      <c r="AG62">
        <v>-6.3632589584521385E-4</v>
      </c>
      <c r="AH62">
        <v>-6.2954472187853482E-4</v>
      </c>
      <c r="AI62">
        <v>-6.2276354791185567E-4</v>
      </c>
      <c r="AJ62">
        <v>-6.1598237394517663E-4</v>
      </c>
      <c r="AK62">
        <v>-6.0920119997849749E-4</v>
      </c>
      <c r="AL62">
        <v>-6.0242002601181824E-4</v>
      </c>
      <c r="AM62">
        <v>-5.956388520451392E-4</v>
      </c>
      <c r="AN62">
        <v>-5.8885767807846017E-4</v>
      </c>
      <c r="AO62">
        <v>-5.8207650411178113E-4</v>
      </c>
      <c r="AP62">
        <v>-5.7529533014510198E-4</v>
      </c>
      <c r="AQ62">
        <v>-5.6851415617842295E-4</v>
      </c>
      <c r="AR62">
        <v>-5.617329822117437E-4</v>
      </c>
      <c r="AS62">
        <v>-5.5495180824506455E-4</v>
      </c>
      <c r="AT62">
        <v>-5.4817063427838552E-4</v>
      </c>
      <c r="AU62">
        <v>-5.4138946031170637E-4</v>
      </c>
      <c r="AV62">
        <v>-5.3460828634502734E-4</v>
      </c>
      <c r="AW62">
        <v>-5.2782711237834819E-4</v>
      </c>
      <c r="AX62">
        <v>-5.2104593841166915E-4</v>
      </c>
      <c r="AY62">
        <v>-5.1426476444499001E-4</v>
      </c>
      <c r="AZ62">
        <v>-5.0748359047831097E-4</v>
      </c>
      <c r="BA62">
        <v>-5.0070241651163183E-4</v>
      </c>
      <c r="BB62">
        <v>-4.9392124254495269E-4</v>
      </c>
      <c r="BC62">
        <v>-4.871400685782736E-4</v>
      </c>
      <c r="BD62">
        <v>-4.803588946115945E-4</v>
      </c>
      <c r="BE62">
        <v>-4.7357772064491541E-4</v>
      </c>
      <c r="BF62">
        <v>-4.6679654667823627E-4</v>
      </c>
      <c r="BG62">
        <v>-4.6001537271155648E-4</v>
      </c>
      <c r="BH62">
        <v>-4.5323419874487739E-4</v>
      </c>
      <c r="BI62">
        <v>-4.4645302477819835E-4</v>
      </c>
      <c r="BJ62">
        <v>-4.396718508115192E-4</v>
      </c>
    </row>
    <row r="63" spans="1:62" x14ac:dyDescent="0.25">
      <c r="A63" s="57">
        <v>0.24</v>
      </c>
      <c r="B63">
        <v>-8.3996808096681102E-4</v>
      </c>
      <c r="C63">
        <v>-8.3318690700013188E-4</v>
      </c>
      <c r="D63">
        <v>-8.2640573303345284E-4</v>
      </c>
      <c r="E63">
        <v>-8.1962455906677359E-4</v>
      </c>
      <c r="F63">
        <v>-8.1284338510009444E-4</v>
      </c>
      <c r="G63">
        <v>-8.0606221113341541E-4</v>
      </c>
      <c r="H63">
        <v>-7.9928103716673626E-4</v>
      </c>
      <c r="I63">
        <v>-7.9249986320005723E-4</v>
      </c>
      <c r="J63">
        <v>-7.8571868923337808E-4</v>
      </c>
      <c r="K63">
        <v>-7.7893751526669905E-4</v>
      </c>
      <c r="L63">
        <v>-7.7215634130001979E-4</v>
      </c>
      <c r="M63">
        <v>-7.6537516733334076E-4</v>
      </c>
      <c r="N63">
        <v>-7.5859399336666161E-4</v>
      </c>
      <c r="O63">
        <v>-7.5181281939998247E-4</v>
      </c>
      <c r="P63">
        <v>-7.4503164543330343E-4</v>
      </c>
      <c r="Q63">
        <v>-7.3825047146662429E-4</v>
      </c>
      <c r="R63">
        <v>-7.3146929749994536E-4</v>
      </c>
      <c r="S63">
        <v>-7.24688123533266E-4</v>
      </c>
      <c r="T63">
        <v>-7.1790694956658718E-4</v>
      </c>
      <c r="U63">
        <v>-7.1112577559990803E-4</v>
      </c>
      <c r="V63">
        <v>-7.04344601633229E-4</v>
      </c>
      <c r="W63">
        <v>-6.9756342766654975E-4</v>
      </c>
      <c r="X63">
        <v>-6.907822536998706E-4</v>
      </c>
      <c r="Y63">
        <v>-6.8400107973319157E-4</v>
      </c>
      <c r="Z63">
        <v>-6.7721990576651242E-4</v>
      </c>
      <c r="AA63">
        <v>-6.7043873179983338E-4</v>
      </c>
      <c r="AB63">
        <v>-6.6365755783315424E-4</v>
      </c>
      <c r="AC63">
        <v>-6.568763838664752E-4</v>
      </c>
      <c r="AD63">
        <v>-6.5009520989979595E-4</v>
      </c>
      <c r="AE63">
        <v>-6.4331403593311692E-4</v>
      </c>
      <c r="AF63">
        <v>-6.3653286196643777E-4</v>
      </c>
      <c r="AG63">
        <v>-6.2975168799975874E-4</v>
      </c>
      <c r="AH63">
        <v>-6.2297051403307959E-4</v>
      </c>
      <c r="AI63">
        <v>-6.1618934006640045E-4</v>
      </c>
      <c r="AJ63">
        <v>-6.0940816609972141E-4</v>
      </c>
      <c r="AK63">
        <v>-6.0262699213304216E-4</v>
      </c>
      <c r="AL63">
        <v>-5.9584581816636312E-4</v>
      </c>
      <c r="AM63">
        <v>-5.8906464419968398E-4</v>
      </c>
      <c r="AN63">
        <v>-5.8228347023300505E-4</v>
      </c>
      <c r="AO63">
        <v>-5.755022962663259E-4</v>
      </c>
      <c r="AP63">
        <v>-5.6872112229964687E-4</v>
      </c>
      <c r="AQ63">
        <v>-5.6193994833296762E-4</v>
      </c>
      <c r="AR63">
        <v>-5.5515877436628847E-4</v>
      </c>
      <c r="AS63">
        <v>-5.4837760039960944E-4</v>
      </c>
      <c r="AT63">
        <v>-5.4159642643293029E-4</v>
      </c>
      <c r="AU63">
        <v>-5.3481525246625126E-4</v>
      </c>
      <c r="AV63">
        <v>-5.2803407849957211E-4</v>
      </c>
      <c r="AW63">
        <v>-5.2125290453289297E-4</v>
      </c>
      <c r="AX63">
        <v>-5.1447173056621393E-4</v>
      </c>
      <c r="AY63">
        <v>-5.0769055659953489E-4</v>
      </c>
      <c r="AZ63">
        <v>-5.0090938263285575E-4</v>
      </c>
      <c r="BA63">
        <v>-4.9412820866617661E-4</v>
      </c>
      <c r="BB63">
        <v>-4.8734703469949752E-4</v>
      </c>
      <c r="BC63">
        <v>-4.8056586073281842E-4</v>
      </c>
      <c r="BD63">
        <v>-4.7378468676613933E-4</v>
      </c>
      <c r="BE63">
        <v>-4.6700351279946014E-4</v>
      </c>
      <c r="BF63">
        <v>-4.602223388327811E-4</v>
      </c>
      <c r="BG63">
        <v>-4.5344116486610131E-4</v>
      </c>
      <c r="BH63">
        <v>-4.4665999089942216E-4</v>
      </c>
      <c r="BI63">
        <v>-4.3987881693274312E-4</v>
      </c>
      <c r="BJ63">
        <v>-4.3309764296606403E-4</v>
      </c>
    </row>
    <row r="64" spans="1:62" x14ac:dyDescent="0.25">
      <c r="A64" s="57">
        <v>0.25</v>
      </c>
      <c r="B64">
        <v>-8.333938731213558E-4</v>
      </c>
      <c r="C64">
        <v>-8.2661269915467665E-4</v>
      </c>
      <c r="D64">
        <v>-8.1983152518799751E-4</v>
      </c>
      <c r="E64">
        <v>-8.1305035122131836E-4</v>
      </c>
      <c r="F64">
        <v>-8.0626917725463933E-4</v>
      </c>
      <c r="G64">
        <v>-7.9948800328796018E-4</v>
      </c>
      <c r="H64">
        <v>-7.9270682932128115E-4</v>
      </c>
      <c r="I64">
        <v>-7.85925655354602E-4</v>
      </c>
      <c r="J64">
        <v>-7.7914448138792297E-4</v>
      </c>
      <c r="K64">
        <v>-7.7236330742124371E-4</v>
      </c>
      <c r="L64">
        <v>-7.6558213345456457E-4</v>
      </c>
      <c r="M64">
        <v>-7.5880095948788553E-4</v>
      </c>
      <c r="N64">
        <v>-7.5201978552120639E-4</v>
      </c>
      <c r="O64">
        <v>-7.4523861155452735E-4</v>
      </c>
      <c r="P64">
        <v>-7.3845743758784821E-4</v>
      </c>
      <c r="Q64">
        <v>-7.3167626362116917E-4</v>
      </c>
      <c r="R64">
        <v>-7.2489508965449014E-4</v>
      </c>
      <c r="S64">
        <v>-7.1811391568781088E-4</v>
      </c>
      <c r="T64">
        <v>-7.1133274172113195E-4</v>
      </c>
      <c r="U64">
        <v>-7.0455156775445292E-4</v>
      </c>
      <c r="V64">
        <v>-6.9777039378777367E-4</v>
      </c>
      <c r="W64">
        <v>-6.9098921982109452E-4</v>
      </c>
      <c r="X64">
        <v>-6.8420804585441549E-4</v>
      </c>
      <c r="Y64">
        <v>-6.7742687188773634E-4</v>
      </c>
      <c r="Z64">
        <v>-6.706456979210573E-4</v>
      </c>
      <c r="AA64">
        <v>-6.6386452395437816E-4</v>
      </c>
      <c r="AB64">
        <v>-6.5708334998769912E-4</v>
      </c>
      <c r="AC64">
        <v>-6.5030217602101987E-4</v>
      </c>
      <c r="AD64">
        <v>-6.4352100205434084E-4</v>
      </c>
      <c r="AE64">
        <v>-6.3673982808766169E-4</v>
      </c>
      <c r="AF64">
        <v>-6.2995865412098255E-4</v>
      </c>
      <c r="AG64">
        <v>-6.2317748015430351E-4</v>
      </c>
      <c r="AH64">
        <v>-6.1639630618762437E-4</v>
      </c>
      <c r="AI64">
        <v>-6.0961513222094533E-4</v>
      </c>
      <c r="AJ64">
        <v>-6.0283395825426608E-4</v>
      </c>
      <c r="AK64">
        <v>-5.9605278428758704E-4</v>
      </c>
      <c r="AL64">
        <v>-5.892716103209079E-4</v>
      </c>
      <c r="AM64">
        <v>-5.8249043635422886E-4</v>
      </c>
      <c r="AN64">
        <v>-5.7570926238754982E-4</v>
      </c>
      <c r="AO64">
        <v>-5.6892808842087068E-4</v>
      </c>
      <c r="AP64">
        <v>-5.6214691445419154E-4</v>
      </c>
      <c r="AQ64">
        <v>-5.5536574048751239E-4</v>
      </c>
      <c r="AR64">
        <v>-5.4858456652083336E-4</v>
      </c>
      <c r="AS64">
        <v>-5.4180339255415421E-4</v>
      </c>
      <c r="AT64">
        <v>-5.3502221858747518E-4</v>
      </c>
      <c r="AU64">
        <v>-5.2824104462079603E-4</v>
      </c>
      <c r="AV64">
        <v>-5.2145987065411689E-4</v>
      </c>
      <c r="AW64">
        <v>-5.1467869668743785E-4</v>
      </c>
      <c r="AX64">
        <v>-5.0789752272075881E-4</v>
      </c>
      <c r="AY64">
        <v>-5.0111634875407967E-4</v>
      </c>
      <c r="AZ64">
        <v>-4.9433517478740053E-4</v>
      </c>
      <c r="BA64">
        <v>-4.8755400082072144E-4</v>
      </c>
      <c r="BB64">
        <v>-4.8077282685404235E-4</v>
      </c>
      <c r="BC64">
        <v>-4.739916528873632E-4</v>
      </c>
      <c r="BD64">
        <v>-4.6721047892068406E-4</v>
      </c>
      <c r="BE64">
        <v>-4.6042930495400497E-4</v>
      </c>
      <c r="BF64">
        <v>-4.5364813098732588E-4</v>
      </c>
      <c r="BG64">
        <v>-4.4686695702064608E-4</v>
      </c>
      <c r="BH64">
        <v>-4.4008578305396694E-4</v>
      </c>
      <c r="BI64">
        <v>-4.3330460908728795E-4</v>
      </c>
      <c r="BJ64">
        <v>-4.2652343512060886E-4</v>
      </c>
    </row>
    <row r="65" spans="1:62" x14ac:dyDescent="0.25">
      <c r="A65" s="57">
        <v>0.26</v>
      </c>
      <c r="B65">
        <v>-8.2681966527590057E-4</v>
      </c>
      <c r="C65">
        <v>-8.2003849130922143E-4</v>
      </c>
      <c r="D65">
        <v>-8.1325731734254228E-4</v>
      </c>
      <c r="E65">
        <v>-8.0647614337586325E-4</v>
      </c>
      <c r="F65">
        <v>-7.996949694091841E-4</v>
      </c>
      <c r="G65">
        <v>-7.9291379544250507E-4</v>
      </c>
      <c r="H65">
        <v>-7.8613262147582592E-4</v>
      </c>
      <c r="I65">
        <v>-7.7935144750914678E-4</v>
      </c>
      <c r="J65">
        <v>-7.7257027354246763E-4</v>
      </c>
      <c r="K65">
        <v>-7.6578909957578849E-4</v>
      </c>
      <c r="L65">
        <v>-7.5900792560910945E-4</v>
      </c>
      <c r="M65">
        <v>-7.5222675164243031E-4</v>
      </c>
      <c r="N65">
        <v>-7.4544557767575127E-4</v>
      </c>
      <c r="O65">
        <v>-7.3866440370907213E-4</v>
      </c>
      <c r="P65">
        <v>-7.3188322974239309E-4</v>
      </c>
      <c r="Q65">
        <v>-7.2510205577571384E-4</v>
      </c>
      <c r="R65">
        <v>-7.1832088180903502E-4</v>
      </c>
      <c r="S65">
        <v>-7.1153970784235566E-4</v>
      </c>
      <c r="T65">
        <v>-7.0475853387567673E-4</v>
      </c>
      <c r="U65">
        <v>-6.9797735990899759E-4</v>
      </c>
      <c r="V65">
        <v>-6.9119618594231844E-4</v>
      </c>
      <c r="W65">
        <v>-6.8441501197563941E-4</v>
      </c>
      <c r="X65">
        <v>-6.7763383800896026E-4</v>
      </c>
      <c r="Y65">
        <v>-6.7085266404228122E-4</v>
      </c>
      <c r="Z65">
        <v>-6.6407149007560208E-4</v>
      </c>
      <c r="AA65">
        <v>-6.5729031610892304E-4</v>
      </c>
      <c r="AB65">
        <v>-6.5050914214224379E-4</v>
      </c>
      <c r="AC65">
        <v>-6.4372796817556465E-4</v>
      </c>
      <c r="AD65">
        <v>-6.3694679420888561E-4</v>
      </c>
      <c r="AE65">
        <v>-6.3016562024220647E-4</v>
      </c>
      <c r="AF65">
        <v>-6.2338444627552743E-4</v>
      </c>
      <c r="AG65">
        <v>-6.1660327230884829E-4</v>
      </c>
      <c r="AH65">
        <v>-6.0982209834216925E-4</v>
      </c>
      <c r="AI65">
        <v>-6.0304092437549E-4</v>
      </c>
      <c r="AJ65">
        <v>-5.9625975040881096E-4</v>
      </c>
      <c r="AK65">
        <v>-5.8947857644213182E-4</v>
      </c>
      <c r="AL65">
        <v>-5.8269740247545278E-4</v>
      </c>
      <c r="AM65">
        <v>-5.7591622850877364E-4</v>
      </c>
      <c r="AN65">
        <v>-5.691350545420946E-4</v>
      </c>
      <c r="AO65">
        <v>-5.6235388057541546E-4</v>
      </c>
      <c r="AP65">
        <v>-5.5557270660873631E-4</v>
      </c>
      <c r="AQ65">
        <v>-5.4879153264205728E-4</v>
      </c>
      <c r="AR65">
        <v>-5.4201035867537813E-4</v>
      </c>
      <c r="AS65">
        <v>-5.352291847086991E-4</v>
      </c>
      <c r="AT65">
        <v>-5.2844801074201995E-4</v>
      </c>
      <c r="AU65">
        <v>-5.2166683677534081E-4</v>
      </c>
      <c r="AV65">
        <v>-5.1488566280866177E-4</v>
      </c>
      <c r="AW65">
        <v>-5.0810448884198263E-4</v>
      </c>
      <c r="AX65">
        <v>-5.0132331487530359E-4</v>
      </c>
      <c r="AY65">
        <v>-4.9454214090862445E-4</v>
      </c>
      <c r="AZ65">
        <v>-4.8776096694194536E-4</v>
      </c>
      <c r="BA65">
        <v>-4.8097979297526627E-4</v>
      </c>
      <c r="BB65">
        <v>-4.7419861900858712E-4</v>
      </c>
      <c r="BC65">
        <v>-4.6741744504190798E-4</v>
      </c>
      <c r="BD65">
        <v>-4.6063627107522889E-4</v>
      </c>
      <c r="BE65">
        <v>-4.538550971085498E-4</v>
      </c>
      <c r="BF65">
        <v>-4.4707392314187065E-4</v>
      </c>
      <c r="BG65">
        <v>-4.4029274917519086E-4</v>
      </c>
      <c r="BH65">
        <v>-4.3351157520851177E-4</v>
      </c>
      <c r="BI65">
        <v>-4.2673040124183278E-4</v>
      </c>
      <c r="BJ65">
        <v>-4.1994922727515364E-4</v>
      </c>
    </row>
    <row r="66" spans="1:62" x14ac:dyDescent="0.25">
      <c r="A66" s="57">
        <v>0.27000000000000102</v>
      </c>
      <c r="B66">
        <v>-8.2024545743044459E-4</v>
      </c>
      <c r="C66">
        <v>-8.1346428346376577E-4</v>
      </c>
      <c r="D66">
        <v>-8.0668310949708641E-4</v>
      </c>
      <c r="E66">
        <v>-7.9990193553040737E-4</v>
      </c>
      <c r="F66">
        <v>-7.9312076156372834E-4</v>
      </c>
      <c r="G66">
        <v>-7.8633958759704908E-4</v>
      </c>
      <c r="H66">
        <v>-7.7955841363037005E-4</v>
      </c>
      <c r="I66">
        <v>-7.727772396636909E-4</v>
      </c>
      <c r="J66">
        <v>-7.6599606569701187E-4</v>
      </c>
      <c r="K66">
        <v>-7.5921489173033272E-4</v>
      </c>
      <c r="L66">
        <v>-7.5243371776365369E-4</v>
      </c>
      <c r="M66">
        <v>-7.4565254379697454E-4</v>
      </c>
      <c r="N66">
        <v>-7.3887136983029529E-4</v>
      </c>
      <c r="O66">
        <v>-7.3209019586361625E-4</v>
      </c>
      <c r="P66">
        <v>-7.2530902189693711E-4</v>
      </c>
      <c r="Q66">
        <v>-7.1852784793025807E-4</v>
      </c>
      <c r="R66">
        <v>-7.1174667396357904E-4</v>
      </c>
      <c r="S66">
        <v>-7.0496549999689989E-4</v>
      </c>
      <c r="T66">
        <v>-6.9818432603022086E-4</v>
      </c>
      <c r="U66">
        <v>-6.9140315206354182E-4</v>
      </c>
      <c r="V66">
        <v>-6.8462197809686267E-4</v>
      </c>
      <c r="W66">
        <v>-6.7784080413018353E-4</v>
      </c>
      <c r="X66">
        <v>-6.7105963016350449E-4</v>
      </c>
      <c r="Y66">
        <v>-6.6427845619682524E-4</v>
      </c>
      <c r="Z66">
        <v>-6.5749728223014621E-4</v>
      </c>
      <c r="AA66">
        <v>-6.5071610826346706E-4</v>
      </c>
      <c r="AB66">
        <v>-6.4393493429678803E-4</v>
      </c>
      <c r="AC66">
        <v>-6.3715376033010888E-4</v>
      </c>
      <c r="AD66">
        <v>-6.3037258636342984E-4</v>
      </c>
      <c r="AE66">
        <v>-6.235914123967507E-4</v>
      </c>
      <c r="AF66">
        <v>-6.1681023843007145E-4</v>
      </c>
      <c r="AG66">
        <v>-6.1002906446339241E-4</v>
      </c>
      <c r="AH66">
        <v>-6.0324789049671327E-4</v>
      </c>
      <c r="AI66">
        <v>-5.9646671653003423E-4</v>
      </c>
      <c r="AJ66">
        <v>-5.8968554256335509E-4</v>
      </c>
      <c r="AK66">
        <v>-5.8290436859667605E-4</v>
      </c>
      <c r="AL66">
        <v>-5.7612319462999691E-4</v>
      </c>
      <c r="AM66">
        <v>-5.6934202066331776E-4</v>
      </c>
      <c r="AN66">
        <v>-5.6256084669663873E-4</v>
      </c>
      <c r="AO66">
        <v>-5.5577967272995958E-4</v>
      </c>
      <c r="AP66">
        <v>-5.4899849876328055E-4</v>
      </c>
      <c r="AQ66">
        <v>-5.422173247966014E-4</v>
      </c>
      <c r="AR66">
        <v>-5.3543615082992226E-4</v>
      </c>
      <c r="AS66">
        <v>-5.2865497686324322E-4</v>
      </c>
      <c r="AT66">
        <v>-5.2187380289656408E-4</v>
      </c>
      <c r="AU66">
        <v>-5.1509262892988493E-4</v>
      </c>
      <c r="AV66">
        <v>-5.083114549632059E-4</v>
      </c>
      <c r="AW66">
        <v>-5.0153028099652675E-4</v>
      </c>
      <c r="AX66">
        <v>-4.9474910702984772E-4</v>
      </c>
      <c r="AY66">
        <v>-4.8796793306316862E-4</v>
      </c>
      <c r="AZ66">
        <v>-4.8118675909648948E-4</v>
      </c>
      <c r="BA66">
        <v>-4.7440558512981039E-4</v>
      </c>
      <c r="BB66">
        <v>-4.676244111631313E-4</v>
      </c>
      <c r="BC66">
        <v>-4.6084323719645216E-4</v>
      </c>
      <c r="BD66">
        <v>-4.5406206322977307E-4</v>
      </c>
      <c r="BE66">
        <v>-4.4728088926309392E-4</v>
      </c>
      <c r="BF66">
        <v>-4.4049971529641478E-4</v>
      </c>
      <c r="BG66">
        <v>-4.3371854132973509E-4</v>
      </c>
      <c r="BH66">
        <v>-4.2693736736305595E-4</v>
      </c>
      <c r="BI66">
        <v>-4.2015619339637691E-4</v>
      </c>
      <c r="BJ66">
        <v>-4.1337501942969777E-4</v>
      </c>
    </row>
    <row r="67" spans="1:62" x14ac:dyDescent="0.25">
      <c r="A67" s="57">
        <v>0.28000000000000103</v>
      </c>
      <c r="B67">
        <v>-8.1367124958498958E-4</v>
      </c>
      <c r="C67">
        <v>-8.0689007561831033E-4</v>
      </c>
      <c r="D67">
        <v>-8.0010890165163129E-4</v>
      </c>
      <c r="E67">
        <v>-7.9332772768495226E-4</v>
      </c>
      <c r="F67">
        <v>-7.86546553718273E-4</v>
      </c>
      <c r="G67">
        <v>-7.7976537975159397E-4</v>
      </c>
      <c r="H67">
        <v>-7.7298420578491482E-4</v>
      </c>
      <c r="I67">
        <v>-7.6620303181823579E-4</v>
      </c>
      <c r="J67">
        <v>-7.5942185785155664E-4</v>
      </c>
      <c r="K67">
        <v>-7.526406838848775E-4</v>
      </c>
      <c r="L67">
        <v>-7.4585950991819846E-4</v>
      </c>
      <c r="M67">
        <v>-7.3907833595151921E-4</v>
      </c>
      <c r="N67">
        <v>-7.3229716198484017E-4</v>
      </c>
      <c r="O67">
        <v>-7.2551598801816103E-4</v>
      </c>
      <c r="P67">
        <v>-7.1873481405148199E-4</v>
      </c>
      <c r="Q67">
        <v>-7.1195364008480285E-4</v>
      </c>
      <c r="R67">
        <v>-7.0517246611812392E-4</v>
      </c>
      <c r="S67">
        <v>-6.9839129215144467E-4</v>
      </c>
      <c r="T67">
        <v>-6.9161011818476563E-4</v>
      </c>
      <c r="U67">
        <v>-6.848289442180866E-4</v>
      </c>
      <c r="V67">
        <v>-6.7804777025140745E-4</v>
      </c>
      <c r="W67">
        <v>-6.7126659628472841E-4</v>
      </c>
      <c r="X67">
        <v>-6.6448542231804916E-4</v>
      </c>
      <c r="Y67">
        <v>-6.5770424835137013E-4</v>
      </c>
      <c r="Z67">
        <v>-6.5092307438469098E-4</v>
      </c>
      <c r="AA67">
        <v>-6.4414190041801195E-4</v>
      </c>
      <c r="AB67">
        <v>-6.373607264513328E-4</v>
      </c>
      <c r="AC67">
        <v>-6.3057955248465376E-4</v>
      </c>
      <c r="AD67">
        <v>-6.2379837851797462E-4</v>
      </c>
      <c r="AE67">
        <v>-6.1701720455129537E-4</v>
      </c>
      <c r="AF67">
        <v>-6.1023603058461633E-4</v>
      </c>
      <c r="AG67">
        <v>-6.0345485661793719E-4</v>
      </c>
      <c r="AH67">
        <v>-5.9667368265125815E-4</v>
      </c>
      <c r="AI67">
        <v>-5.8989250868457901E-4</v>
      </c>
      <c r="AJ67">
        <v>-5.8311133471789997E-4</v>
      </c>
      <c r="AK67">
        <v>-5.7633016075122083E-4</v>
      </c>
      <c r="AL67">
        <v>-5.6954898678454168E-4</v>
      </c>
      <c r="AM67">
        <v>-5.6276781281786254E-4</v>
      </c>
      <c r="AN67">
        <v>-5.5598663885118361E-4</v>
      </c>
      <c r="AO67">
        <v>-5.4920546488450447E-4</v>
      </c>
      <c r="AP67">
        <v>-5.4242429091782532E-4</v>
      </c>
      <c r="AQ67">
        <v>-5.3564311695114618E-4</v>
      </c>
      <c r="AR67">
        <v>-5.2886194298446714E-4</v>
      </c>
      <c r="AS67">
        <v>-5.22080769017788E-4</v>
      </c>
      <c r="AT67">
        <v>-5.1529959505110885E-4</v>
      </c>
      <c r="AU67">
        <v>-5.0851842108442982E-4</v>
      </c>
      <c r="AV67">
        <v>-5.0173724711775067E-4</v>
      </c>
      <c r="AW67">
        <v>-4.9495607315107153E-4</v>
      </c>
      <c r="AX67">
        <v>-4.8817489918439254E-4</v>
      </c>
      <c r="AY67">
        <v>-4.813937252177134E-4</v>
      </c>
      <c r="AZ67">
        <v>-4.7461255125103431E-4</v>
      </c>
      <c r="BA67">
        <v>-4.6783137728435517E-4</v>
      </c>
      <c r="BB67">
        <v>-4.6105020331767602E-4</v>
      </c>
      <c r="BC67">
        <v>-4.5426902935099699E-4</v>
      </c>
      <c r="BD67">
        <v>-4.4748785538431784E-4</v>
      </c>
      <c r="BE67">
        <v>-4.407066814176387E-4</v>
      </c>
      <c r="BF67">
        <v>-4.3392550745095961E-4</v>
      </c>
      <c r="BG67">
        <v>-4.2714433348427981E-4</v>
      </c>
      <c r="BH67">
        <v>-4.2036315951760072E-4</v>
      </c>
      <c r="BI67">
        <v>-4.1358198555092169E-4</v>
      </c>
      <c r="BJ67">
        <v>-4.0680081158424259E-4</v>
      </c>
    </row>
    <row r="68" spans="1:62" x14ac:dyDescent="0.25">
      <c r="A68" s="57">
        <v>0.29000000000000098</v>
      </c>
      <c r="B68">
        <v>-8.0709704173953446E-4</v>
      </c>
      <c r="C68">
        <v>-8.0031586777285521E-4</v>
      </c>
      <c r="D68">
        <v>-7.9353469380617618E-4</v>
      </c>
      <c r="E68">
        <v>-7.8675351983949703E-4</v>
      </c>
      <c r="F68">
        <v>-7.7997234587281789E-4</v>
      </c>
      <c r="G68">
        <v>-7.7319117190613885E-4</v>
      </c>
      <c r="H68">
        <v>-7.6640999793945971E-4</v>
      </c>
      <c r="I68">
        <v>-7.5962882397278067E-4</v>
      </c>
      <c r="J68">
        <v>-7.5284765000610142E-4</v>
      </c>
      <c r="K68">
        <v>-7.4606647603942238E-4</v>
      </c>
      <c r="L68">
        <v>-7.3928530207274324E-4</v>
      </c>
      <c r="M68">
        <v>-7.325041281060642E-4</v>
      </c>
      <c r="N68">
        <v>-7.2572295413938506E-4</v>
      </c>
      <c r="O68">
        <v>-7.1894178017270602E-4</v>
      </c>
      <c r="P68">
        <v>-7.1216060620602688E-4</v>
      </c>
      <c r="Q68">
        <v>-7.0537943223934762E-4</v>
      </c>
      <c r="R68">
        <v>-6.985982582726688E-4</v>
      </c>
      <c r="S68">
        <v>-6.9181708430598944E-4</v>
      </c>
      <c r="T68">
        <v>-6.8503591033931062E-4</v>
      </c>
      <c r="U68">
        <v>-6.7825473637263148E-4</v>
      </c>
      <c r="V68">
        <v>-6.7147356240595233E-4</v>
      </c>
      <c r="W68">
        <v>-6.6469238843927319E-4</v>
      </c>
      <c r="X68">
        <v>-6.5791121447259415E-4</v>
      </c>
      <c r="Y68">
        <v>-6.5113004050591501E-4</v>
      </c>
      <c r="Z68">
        <v>-6.4434886653923587E-4</v>
      </c>
      <c r="AA68">
        <v>-6.3756769257255683E-4</v>
      </c>
      <c r="AB68">
        <v>-6.3078651860587758E-4</v>
      </c>
      <c r="AC68">
        <v>-6.2400534463919854E-4</v>
      </c>
      <c r="AD68">
        <v>-6.172241706725194E-4</v>
      </c>
      <c r="AE68">
        <v>-6.1044299670584036E-4</v>
      </c>
      <c r="AF68">
        <v>-6.0366182273916122E-4</v>
      </c>
      <c r="AG68">
        <v>-5.9688064877248218E-4</v>
      </c>
      <c r="AH68">
        <v>-5.9009947480580304E-4</v>
      </c>
      <c r="AI68">
        <v>-5.8331830083912378E-4</v>
      </c>
      <c r="AJ68">
        <v>-5.7653712687244475E-4</v>
      </c>
      <c r="AK68">
        <v>-5.697559529057656E-4</v>
      </c>
      <c r="AL68">
        <v>-5.6297477893908657E-4</v>
      </c>
      <c r="AM68">
        <v>-5.5619360497240742E-4</v>
      </c>
      <c r="AN68">
        <v>-5.4941243100572839E-4</v>
      </c>
      <c r="AO68">
        <v>-5.4263125703904924E-4</v>
      </c>
      <c r="AP68">
        <v>-5.358500830723701E-4</v>
      </c>
      <c r="AQ68">
        <v>-5.2906890910569106E-4</v>
      </c>
      <c r="AR68">
        <v>-5.2228773513901192E-4</v>
      </c>
      <c r="AS68">
        <v>-5.1550656117233277E-4</v>
      </c>
      <c r="AT68">
        <v>-5.0872538720565363E-4</v>
      </c>
      <c r="AU68">
        <v>-5.0194421323897448E-4</v>
      </c>
      <c r="AV68">
        <v>-4.9516303927229545E-4</v>
      </c>
      <c r="AW68">
        <v>-4.883818653056163E-4</v>
      </c>
      <c r="AX68">
        <v>-4.8160069133893737E-4</v>
      </c>
      <c r="AY68">
        <v>-4.7481951737225834E-4</v>
      </c>
      <c r="AZ68">
        <v>-4.6803834340557919E-4</v>
      </c>
      <c r="BA68">
        <v>-4.612571694389E-4</v>
      </c>
      <c r="BB68">
        <v>-4.5447599547222091E-4</v>
      </c>
      <c r="BC68">
        <v>-4.4769482150554182E-4</v>
      </c>
      <c r="BD68">
        <v>-4.4091364753886267E-4</v>
      </c>
      <c r="BE68">
        <v>-4.3413247357218358E-4</v>
      </c>
      <c r="BF68">
        <v>-4.2735129960550449E-4</v>
      </c>
      <c r="BG68">
        <v>-4.205701256388247E-4</v>
      </c>
      <c r="BH68">
        <v>-4.1378895167214561E-4</v>
      </c>
      <c r="BI68">
        <v>-4.0700777770546657E-4</v>
      </c>
      <c r="BJ68">
        <v>-4.0022660373878742E-4</v>
      </c>
    </row>
    <row r="69" spans="1:62" x14ac:dyDescent="0.25">
      <c r="A69" s="57">
        <v>0.30000000000000099</v>
      </c>
      <c r="B69">
        <v>-8.0052283389407913E-4</v>
      </c>
      <c r="C69">
        <v>-7.937416599274001E-4</v>
      </c>
      <c r="D69">
        <v>-7.8696048596072095E-4</v>
      </c>
      <c r="E69">
        <v>-7.8017931199404181E-4</v>
      </c>
      <c r="F69">
        <v>-7.7339813802736277E-4</v>
      </c>
      <c r="G69">
        <v>-7.6661696406068363E-4</v>
      </c>
      <c r="H69">
        <v>-7.5983579009400459E-4</v>
      </c>
      <c r="I69">
        <v>-7.5305461612732534E-4</v>
      </c>
      <c r="J69">
        <v>-7.462734421606463E-4</v>
      </c>
      <c r="K69">
        <v>-7.3949226819396716E-4</v>
      </c>
      <c r="L69">
        <v>-7.3271109422728812E-4</v>
      </c>
      <c r="M69">
        <v>-7.2592992026060898E-4</v>
      </c>
      <c r="N69">
        <v>-7.1914874629392983E-4</v>
      </c>
      <c r="O69">
        <v>-7.123675723272508E-4</v>
      </c>
      <c r="P69">
        <v>-7.0558639836057154E-4</v>
      </c>
      <c r="Q69">
        <v>-6.9880522439389251E-4</v>
      </c>
      <c r="R69">
        <v>-6.9202405042721358E-4</v>
      </c>
      <c r="S69">
        <v>-6.8524287646053433E-4</v>
      </c>
      <c r="T69">
        <v>-6.784617024938554E-4</v>
      </c>
      <c r="U69">
        <v>-6.7168052852717625E-4</v>
      </c>
      <c r="V69">
        <v>-6.6489935456049711E-4</v>
      </c>
      <c r="W69">
        <v>-6.5811818059381797E-4</v>
      </c>
      <c r="X69">
        <v>-6.5133700662713893E-4</v>
      </c>
      <c r="Y69">
        <v>-6.4455583266045979E-4</v>
      </c>
      <c r="Z69">
        <v>-6.3777465869378075E-4</v>
      </c>
      <c r="AA69">
        <v>-6.309934847271015E-4</v>
      </c>
      <c r="AB69">
        <v>-6.2421231076042246E-4</v>
      </c>
      <c r="AC69">
        <v>-6.1743113679374332E-4</v>
      </c>
      <c r="AD69">
        <v>-6.1064996282706428E-4</v>
      </c>
      <c r="AE69">
        <v>-6.0386878886038514E-4</v>
      </c>
      <c r="AF69">
        <v>-5.970876148937061E-4</v>
      </c>
      <c r="AG69">
        <v>-5.9030644092702696E-4</v>
      </c>
      <c r="AH69">
        <v>-5.835252669603477E-4</v>
      </c>
      <c r="AI69">
        <v>-5.7674409299366867E-4</v>
      </c>
      <c r="AJ69">
        <v>-5.6996291902698952E-4</v>
      </c>
      <c r="AK69">
        <v>-5.6318174506031049E-4</v>
      </c>
      <c r="AL69">
        <v>-5.5640057109363134E-4</v>
      </c>
      <c r="AM69">
        <v>-5.4961939712695231E-4</v>
      </c>
      <c r="AN69">
        <v>-5.4283822316027316E-4</v>
      </c>
      <c r="AO69">
        <v>-5.3605704919359402E-4</v>
      </c>
      <c r="AP69">
        <v>-5.2927587522691498E-4</v>
      </c>
      <c r="AQ69">
        <v>-5.2249470126023573E-4</v>
      </c>
      <c r="AR69">
        <v>-5.1571352729355669E-4</v>
      </c>
      <c r="AS69">
        <v>-5.0893235332687755E-4</v>
      </c>
      <c r="AT69">
        <v>-5.021511793601984E-4</v>
      </c>
      <c r="AU69">
        <v>-4.9537000539351937E-4</v>
      </c>
      <c r="AV69">
        <v>-4.8858883142684022E-4</v>
      </c>
      <c r="AW69">
        <v>-4.8180765746016119E-4</v>
      </c>
      <c r="AX69">
        <v>-4.750264834934822E-4</v>
      </c>
      <c r="AY69">
        <v>-4.6824530952680306E-4</v>
      </c>
      <c r="AZ69">
        <v>-4.6146413556012392E-4</v>
      </c>
      <c r="BA69">
        <v>-4.5468296159344483E-4</v>
      </c>
      <c r="BB69">
        <v>-4.4790178762676574E-4</v>
      </c>
      <c r="BC69">
        <v>-4.4112061366008659E-4</v>
      </c>
      <c r="BD69">
        <v>-4.343394396934075E-4</v>
      </c>
      <c r="BE69">
        <v>-4.2755826572672836E-4</v>
      </c>
      <c r="BF69">
        <v>-4.2077709176004921E-4</v>
      </c>
      <c r="BG69">
        <v>-4.1399591779336953E-4</v>
      </c>
      <c r="BH69">
        <v>-4.0721474382669038E-4</v>
      </c>
      <c r="BI69">
        <v>-4.0043356986001134E-4</v>
      </c>
      <c r="BJ69" s="58">
        <v>-3.936523958933322E-4</v>
      </c>
    </row>
  </sheetData>
  <mergeCells count="3">
    <mergeCell ref="A7:N7"/>
    <mergeCell ref="A1:B1"/>
    <mergeCell ref="D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1957-D4BF-460E-B376-B6DE5A14B605}">
  <dimension ref="A1:BJ69"/>
  <sheetViews>
    <sheetView topLeftCell="A51" zoomScale="130" zoomScaleNormal="130" workbookViewId="0">
      <selection activeCell="V5" sqref="V5"/>
    </sheetView>
  </sheetViews>
  <sheetFormatPr defaultRowHeight="15" x14ac:dyDescent="0.25"/>
  <cols>
    <col min="6" max="6" width="9.7109375" customWidth="1"/>
    <col min="7" max="7" width="10.42578125" bestFit="1" customWidth="1"/>
    <col min="17" max="17" width="8.7109375" customWidth="1"/>
    <col min="18" max="18" width="13.140625" customWidth="1"/>
    <col min="19" max="19" width="14.42578125" customWidth="1"/>
    <col min="20" max="20" width="15.7109375" customWidth="1"/>
    <col min="62" max="62" width="14.140625" bestFit="1" customWidth="1"/>
  </cols>
  <sheetData>
    <row r="1" spans="1:62" ht="14.45" customHeight="1" x14ac:dyDescent="0.45">
      <c r="A1" s="73" t="s">
        <v>18</v>
      </c>
      <c r="B1" s="74"/>
      <c r="Q1" s="65" t="s">
        <v>15</v>
      </c>
      <c r="R1" s="65"/>
      <c r="S1" s="65"/>
      <c r="T1" s="65"/>
    </row>
    <row r="2" spans="1:62" ht="14.45" customHeight="1" x14ac:dyDescent="0.45">
      <c r="A2" s="52" t="s">
        <v>19</v>
      </c>
      <c r="B2" s="53">
        <v>0</v>
      </c>
      <c r="D2" s="75" t="s">
        <v>24</v>
      </c>
      <c r="E2" s="75"/>
      <c r="F2" s="75"/>
      <c r="G2" s="62">
        <f xml:space="preserve"> (( B2^2 *R4) + (B3^2*S5) + (B4^2*T6) + (2*B2*B3*S4) + (2*B2*B4*T4) + (2*B3*B4*T5))^(1/2)</f>
        <v>1.9138596200581511E-2</v>
      </c>
      <c r="Q2" s="66"/>
      <c r="R2" s="66"/>
      <c r="S2" s="66"/>
      <c r="T2" s="66"/>
    </row>
    <row r="3" spans="1:62" ht="14.45" customHeight="1" x14ac:dyDescent="0.25">
      <c r="A3" s="52" t="s">
        <v>21</v>
      </c>
      <c r="B3" s="53">
        <v>0</v>
      </c>
      <c r="Q3" s="27" t="s">
        <v>16</v>
      </c>
      <c r="R3" s="28" t="s">
        <v>12</v>
      </c>
      <c r="S3" s="28" t="s">
        <v>13</v>
      </c>
      <c r="T3" s="29" t="s">
        <v>14</v>
      </c>
    </row>
    <row r="4" spans="1:62" ht="14.45" customHeight="1" x14ac:dyDescent="0.25">
      <c r="A4" s="54" t="s">
        <v>22</v>
      </c>
      <c r="B4" s="55">
        <f>1-B2-B3</f>
        <v>1</v>
      </c>
      <c r="Q4" s="5" t="s">
        <v>12</v>
      </c>
      <c r="R4" s="30">
        <f>_xlfn.COVARIANCE.S(Returns!B3:B251,Returns!B3:B251)</f>
        <v>2.7529141266573502E-4</v>
      </c>
      <c r="S4" s="30">
        <f>_xlfn.COVARIANCE.S(Returns!B3:B251,Returns!C3:C251)</f>
        <v>2.4862062515745094E-4</v>
      </c>
      <c r="T4" s="31">
        <f>_xlfn.COVARIANCE.S(Returns!B3:B251,Returns!D3:D251)</f>
        <v>8.9273996782493213E-5</v>
      </c>
    </row>
    <row r="5" spans="1:62" ht="14.45" customHeight="1" x14ac:dyDescent="0.25">
      <c r="Q5" s="32" t="s">
        <v>13</v>
      </c>
      <c r="R5" s="33" t="e">
        <f>_xlfn.COVARIANCE.S(Returns!S19:S267,Returns!R19:R267)</f>
        <v>#DIV/0!</v>
      </c>
      <c r="S5" s="33">
        <f>_xlfn.COVARIANCE.S(Returns!C3:C251,Returns!C3:C251)</f>
        <v>1.3686392088468292E-3</v>
      </c>
      <c r="T5" s="34">
        <f>_xlfn.COVARIANCE.S(Returns!C3:C251,Returns!D3:D251)</f>
        <v>1.4468915912732892E-4</v>
      </c>
    </row>
    <row r="6" spans="1:62" ht="14.45" customHeight="1" x14ac:dyDescent="0.25">
      <c r="Q6" s="2" t="s">
        <v>14</v>
      </c>
      <c r="R6" s="48" t="e">
        <f>_xlfn.COVARIANCE.S(Returns!T19:T267,Returns!R19:R267)</f>
        <v>#DIV/0!</v>
      </c>
      <c r="S6" s="35" t="e">
        <f>_xlfn.COVARIANCE.S(Returns!T19:T267,Returns!S19:S267)</f>
        <v>#DIV/0!</v>
      </c>
      <c r="T6" s="36">
        <f>_xlfn.COVARIANCE.S(Returns!D3:D251,Returns!D3:D251)</f>
        <v>3.6628586452891308E-4</v>
      </c>
    </row>
    <row r="8" spans="1:62" x14ac:dyDescent="0.25">
      <c r="A8">
        <f>G2</f>
        <v>1.9138596200581511E-2</v>
      </c>
      <c r="B8" s="56">
        <v>-0.3</v>
      </c>
      <c r="C8" s="56">
        <v>-0.28999999999999998</v>
      </c>
      <c r="D8" s="56">
        <v>-0.28000000000000003</v>
      </c>
      <c r="E8" s="56">
        <v>-0.27</v>
      </c>
      <c r="F8" s="56">
        <v>-0.26</v>
      </c>
      <c r="G8" s="56">
        <v>-0.25</v>
      </c>
      <c r="H8" s="56">
        <v>-0.24</v>
      </c>
      <c r="I8" s="56">
        <v>-0.23</v>
      </c>
      <c r="J8" s="56">
        <v>-0.22</v>
      </c>
      <c r="K8" s="56">
        <v>-0.21</v>
      </c>
      <c r="L8" s="56">
        <v>-0.2</v>
      </c>
      <c r="M8" s="56">
        <v>-0.19</v>
      </c>
      <c r="N8" s="56">
        <v>-0.18</v>
      </c>
      <c r="O8" s="56">
        <v>-0.17</v>
      </c>
      <c r="P8" s="56">
        <v>-0.16</v>
      </c>
      <c r="Q8" s="56">
        <v>-0.15</v>
      </c>
      <c r="R8" s="56">
        <v>-0.14000000000000001</v>
      </c>
      <c r="S8" s="56">
        <v>-0.13</v>
      </c>
      <c r="T8" s="56">
        <v>-0.12</v>
      </c>
      <c r="U8" s="56">
        <v>-0.11</v>
      </c>
      <c r="V8" s="56">
        <v>-0.1</v>
      </c>
      <c r="W8" s="56">
        <v>-0.09</v>
      </c>
      <c r="X8" s="56">
        <v>-0.08</v>
      </c>
      <c r="Y8" s="56">
        <v>-7.0000000000000007E-2</v>
      </c>
      <c r="Z8" s="56">
        <v>-0.06</v>
      </c>
      <c r="AA8" s="56">
        <v>-0.05</v>
      </c>
      <c r="AB8" s="56">
        <v>-0.04</v>
      </c>
      <c r="AC8" s="56">
        <v>-0.03</v>
      </c>
      <c r="AD8" s="56">
        <v>-0.02</v>
      </c>
      <c r="AE8" s="56">
        <v>-0.01</v>
      </c>
      <c r="AF8" s="56">
        <v>0</v>
      </c>
      <c r="AG8" s="56">
        <v>0.01</v>
      </c>
      <c r="AH8" s="56">
        <v>0.02</v>
      </c>
      <c r="AI8" s="56">
        <v>0.03</v>
      </c>
      <c r="AJ8" s="56">
        <v>0.04</v>
      </c>
      <c r="AK8" s="56">
        <v>0.05</v>
      </c>
      <c r="AL8" s="56">
        <v>0.06</v>
      </c>
      <c r="AM8" s="56">
        <v>7.0000000000000007E-2</v>
      </c>
      <c r="AN8" s="56">
        <v>0.08</v>
      </c>
      <c r="AO8" s="56">
        <v>0.09</v>
      </c>
      <c r="AP8" s="56">
        <v>0.1</v>
      </c>
      <c r="AQ8" s="56">
        <v>0.11</v>
      </c>
      <c r="AR8" s="56">
        <v>0.12</v>
      </c>
      <c r="AS8" s="56">
        <v>0.13</v>
      </c>
      <c r="AT8" s="56">
        <v>0.14000000000000001</v>
      </c>
      <c r="AU8" s="56">
        <v>0.15</v>
      </c>
      <c r="AV8" s="56">
        <v>0.16</v>
      </c>
      <c r="AW8" s="56">
        <v>0.17</v>
      </c>
      <c r="AX8" s="56">
        <v>0.18</v>
      </c>
      <c r="AY8" s="56">
        <v>0.19</v>
      </c>
      <c r="AZ8" s="56">
        <v>0.2</v>
      </c>
      <c r="BA8" s="56">
        <v>0.21</v>
      </c>
      <c r="BB8" s="56">
        <v>0.22</v>
      </c>
      <c r="BC8" s="56">
        <v>0.23</v>
      </c>
      <c r="BD8" s="56">
        <v>0.24</v>
      </c>
      <c r="BE8" s="56">
        <v>0.25</v>
      </c>
      <c r="BF8" s="56">
        <v>0.26</v>
      </c>
      <c r="BG8" s="56">
        <v>0.27000000000000102</v>
      </c>
      <c r="BH8" s="56">
        <v>0.28000000000000103</v>
      </c>
      <c r="BI8" s="56">
        <v>0.29000000000000098</v>
      </c>
      <c r="BJ8" s="56">
        <v>0.30000000000000099</v>
      </c>
    </row>
    <row r="9" spans="1:62" x14ac:dyDescent="0.25">
      <c r="A9" s="56">
        <v>-0.3</v>
      </c>
      <c r="B9" s="63">
        <f t="dataTable" ref="B9:BJ69" dt2D="1" dtr="1" r1="B2" r2="B3"/>
        <v>3.0096389351300275E-2</v>
      </c>
      <c r="C9" s="63">
        <v>2.9920475963026688E-2</v>
      </c>
      <c r="D9" s="63">
        <v>2.974507888003965E-2</v>
      </c>
      <c r="E9" s="63">
        <v>2.9570207289808269E-2</v>
      </c>
      <c r="F9" s="63">
        <v>2.9395870570564933E-2</v>
      </c>
      <c r="G9" s="63">
        <v>2.922207829531134E-2</v>
      </c>
      <c r="H9" s="63">
        <v>2.9048840235884343E-2</v>
      </c>
      <c r="I9" s="63">
        <v>2.8876166367080069E-2</v>
      </c>
      <c r="J9" s="63">
        <v>2.870406687083496E-2</v>
      </c>
      <c r="K9" s="63">
        <v>2.8532552140461773E-2</v>
      </c>
      <c r="L9" s="63">
        <v>2.8361632784938536E-2</v>
      </c>
      <c r="M9" s="63">
        <v>2.8191319633248058E-2</v>
      </c>
      <c r="N9" s="63">
        <v>2.8021623738765385E-2</v>
      </c>
      <c r="O9" s="63">
        <v>2.785255638369032E-2</v>
      </c>
      <c r="P9" s="63">
        <v>2.7684129083521532E-2</v>
      </c>
      <c r="Q9" s="63">
        <v>2.7516353591568839E-2</v>
      </c>
      <c r="R9" s="63">
        <v>2.7349241903499438E-2</v>
      </c>
      <c r="S9" s="63">
        <v>2.7182806261913831E-2</v>
      </c>
      <c r="T9" s="63">
        <v>2.7017059160946447E-2</v>
      </c>
      <c r="U9" s="63">
        <v>2.685201335088571E-2</v>
      </c>
      <c r="V9" s="63">
        <v>2.6687681842807825E-2</v>
      </c>
      <c r="W9" s="63">
        <v>2.6524077913217838E-2</v>
      </c>
      <c r="X9" s="63">
        <v>2.6361215108691258E-2</v>
      </c>
      <c r="Y9" s="63">
        <v>2.6199107250508748E-2</v>
      </c>
      <c r="Z9" s="63">
        <v>2.6037768439275934E-2</v>
      </c>
      <c r="AA9" s="63">
        <v>2.5877213059519635E-2</v>
      </c>
      <c r="AB9" s="63">
        <v>2.5717455784251275E-2</v>
      </c>
      <c r="AC9" s="63">
        <v>2.5558511579487388E-2</v>
      </c>
      <c r="AD9" s="63">
        <v>2.5400395708716595E-2</v>
      </c>
      <c r="AE9" s="63">
        <v>2.5243123737301448E-2</v>
      </c>
      <c r="AF9" s="63">
        <v>2.5086711536802933E-2</v>
      </c>
      <c r="AG9" s="63">
        <v>2.4931175289214437E-2</v>
      </c>
      <c r="AH9" s="63">
        <v>2.477653149109128E-2</v>
      </c>
      <c r="AI9" s="63">
        <v>2.462279695756079E-2</v>
      </c>
      <c r="AJ9" s="63">
        <v>2.4469988826197248E-2</v>
      </c>
      <c r="AK9" s="63">
        <v>2.4318124560744753E-2</v>
      </c>
      <c r="AL9" s="63">
        <v>2.416722195467038E-2</v>
      </c>
      <c r="AM9" s="63">
        <v>2.4017299134528696E-2</v>
      </c>
      <c r="AN9" s="63">
        <v>2.3868374563117821E-2</v>
      </c>
      <c r="AO9" s="63">
        <v>2.372046704240607E-2</v>
      </c>
      <c r="AP9" s="63">
        <v>2.3573595716207176E-2</v>
      </c>
      <c r="AQ9" s="63">
        <v>2.3427780072580839E-2</v>
      </c>
      <c r="AR9" s="63">
        <v>2.3283039945934388E-2</v>
      </c>
      <c r="AS9" s="63">
        <v>2.3139395518800027E-2</v>
      </c>
      <c r="AT9" s="63">
        <v>2.299686732326113E-2</v>
      </c>
      <c r="AU9" s="63">
        <v>2.2855476241999722E-2</v>
      </c>
      <c r="AV9" s="63">
        <v>2.271524350893642E-2</v>
      </c>
      <c r="AW9" s="63">
        <v>2.257619070943254E-2</v>
      </c>
      <c r="AX9" s="63">
        <v>2.2438339780023492E-2</v>
      </c>
      <c r="AY9" s="63">
        <v>2.2301713007650933E-2</v>
      </c>
      <c r="AZ9" s="63">
        <v>2.2166333028360709E-2</v>
      </c>
      <c r="BA9" s="63">
        <v>2.2032222825432043E-2</v>
      </c>
      <c r="BB9" s="63">
        <v>2.1899405726902927E-2</v>
      </c>
      <c r="BC9" s="63">
        <v>2.1767905402455569E-2</v>
      </c>
      <c r="BD9" s="63">
        <v>2.163774585962517E-2</v>
      </c>
      <c r="BE9" s="63">
        <v>2.150895143929438E-2</v>
      </c>
      <c r="BF9" s="63">
        <v>2.1381546810435574E-2</v>
      </c>
      <c r="BG9" s="63">
        <v>2.125555696406228E-2</v>
      </c>
      <c r="BH9" s="63">
        <v>2.1131007206351332E-2</v>
      </c>
      <c r="BI9" s="63">
        <v>2.1007923150896508E-2</v>
      </c>
      <c r="BJ9" s="63">
        <v>2.0886330710055342E-2</v>
      </c>
    </row>
    <row r="10" spans="1:62" x14ac:dyDescent="0.25">
      <c r="A10" s="56">
        <v>-0.28999999999999998</v>
      </c>
      <c r="B10" s="63">
        <v>2.9842022921027906E-2</v>
      </c>
      <c r="C10" s="63">
        <v>2.9665885298687911E-2</v>
      </c>
      <c r="D10" s="63">
        <v>2.9490265765967357E-2</v>
      </c>
      <c r="E10" s="63">
        <v>2.9315173634085652E-2</v>
      </c>
      <c r="F10" s="63">
        <v>2.9140618409747607E-2</v>
      </c>
      <c r="G10" s="63">
        <v>2.8966609799304738E-2</v>
      </c>
      <c r="H10" s="63">
        <v>2.8793157712980348E-2</v>
      </c>
      <c r="I10" s="63">
        <v>2.8620272269156838E-2</v>
      </c>
      <c r="J10" s="63">
        <v>2.8447963798723837E-2</v>
      </c>
      <c r="K10" s="63">
        <v>2.8276242849485187E-2</v>
      </c>
      <c r="L10" s="63">
        <v>2.8105120190622709E-2</v>
      </c>
      <c r="M10" s="63">
        <v>2.7934606817214384E-2</v>
      </c>
      <c r="N10" s="63">
        <v>2.7764713954804184E-2</v>
      </c>
      <c r="O10" s="63">
        <v>2.7595453064020566E-2</v>
      </c>
      <c r="P10" s="63">
        <v>2.7426835845240184E-2</v>
      </c>
      <c r="Q10" s="63">
        <v>2.7258874243293093E-2</v>
      </c>
      <c r="R10" s="63">
        <v>2.7091580452205249E-2</v>
      </c>
      <c r="S10" s="63">
        <v>2.6924966919973679E-2</v>
      </c>
      <c r="T10" s="63">
        <v>2.6759046353369367E-2</v>
      </c>
      <c r="U10" s="63">
        <v>2.6593831722762137E-2</v>
      </c>
      <c r="V10" s="63">
        <v>2.6429336266961669E-2</v>
      </c>
      <c r="W10" s="63">
        <v>2.6265573498067893E-2</v>
      </c>
      <c r="X10" s="63">
        <v>2.6102557206323745E-2</v>
      </c>
      <c r="Y10" s="63">
        <v>2.5940301464962331E-2</v>
      </c>
      <c r="Z10" s="63">
        <v>2.577882063504023E-2</v>
      </c>
      <c r="AA10" s="63">
        <v>2.5618129370247763E-2</v>
      </c>
      <c r="AB10" s="63">
        <v>2.5458242621686441E-2</v>
      </c>
      <c r="AC10" s="63">
        <v>2.529917564260304E-2</v>
      </c>
      <c r="AD10" s="63">
        <v>2.5140943993068991E-2</v>
      </c>
      <c r="AE10" s="63">
        <v>2.4983563544592878E-2</v>
      </c>
      <c r="AF10" s="63">
        <v>2.4827050484653126E-2</v>
      </c>
      <c r="AG10" s="63">
        <v>2.4671421321136845E-2</v>
      </c>
      <c r="AH10" s="63">
        <v>2.451669288667014E-2</v>
      </c>
      <c r="AI10" s="63">
        <v>2.4362882342823983E-2</v>
      </c>
      <c r="AJ10" s="63">
        <v>2.4210007184178886E-2</v>
      </c>
      <c r="AK10" s="63">
        <v>2.4058085242230472E-2</v>
      </c>
      <c r="AL10" s="63">
        <v>2.3907134689117135E-2</v>
      </c>
      <c r="AM10" s="63">
        <v>2.3757174041149635E-2</v>
      </c>
      <c r="AN10" s="63">
        <v>2.3608222162121533E-2</v>
      </c>
      <c r="AO10" s="63">
        <v>2.3460298266378125E-2</v>
      </c>
      <c r="AP10" s="63">
        <v>2.331342192162035E-2</v>
      </c>
      <c r="AQ10" s="63">
        <v>2.3167613051418963E-2</v>
      </c>
      <c r="AR10" s="63">
        <v>2.3022891937412946E-2</v>
      </c>
      <c r="AS10" s="63">
        <v>2.2879279221165075E-2</v>
      </c>
      <c r="AT10" s="63">
        <v>2.2736795905646066E-2</v>
      </c>
      <c r="AU10" s="63">
        <v>2.2595463356317732E-2</v>
      </c>
      <c r="AV10" s="63">
        <v>2.2455303301784121E-2</v>
      </c>
      <c r="AW10" s="63">
        <v>2.2316337833978551E-2</v>
      </c>
      <c r="AX10" s="63">
        <v>2.2178589407853111E-2</v>
      </c>
      <c r="AY10" s="63">
        <v>2.2042080840536167E-2</v>
      </c>
      <c r="AZ10" s="63">
        <v>2.1906835309922216E-2</v>
      </c>
      <c r="BA10" s="63">
        <v>2.1772876352657313E-2</v>
      </c>
      <c r="BB10" s="63">
        <v>2.1640227861482404E-2</v>
      </c>
      <c r="BC10" s="63">
        <v>2.1508914081895918E-2</v>
      </c>
      <c r="BD10" s="63">
        <v>2.1378959608096167E-2</v>
      </c>
      <c r="BE10" s="63">
        <v>2.1250389378163415E-2</v>
      </c>
      <c r="BF10" s="63">
        <v>2.11232286684408E-2</v>
      </c>
      <c r="BG10" s="63">
        <v>2.0997503087073082E-2</v>
      </c>
      <c r="BH10" s="63">
        <v>2.0873238566661727E-2</v>
      </c>
      <c r="BI10" s="63">
        <v>2.0750461355994749E-2</v>
      </c>
      <c r="BJ10" s="63">
        <v>2.0629198010810163E-2</v>
      </c>
    </row>
    <row r="11" spans="1:62" x14ac:dyDescent="0.25">
      <c r="A11" s="56">
        <v>-0.28000000000000003</v>
      </c>
      <c r="B11" s="63">
        <v>2.9590355209160195E-2</v>
      </c>
      <c r="C11" s="63">
        <v>2.941400565388505E-2</v>
      </c>
      <c r="D11" s="63">
        <v>2.9238176100195024E-2</v>
      </c>
      <c r="E11" s="63">
        <v>2.9062875986075012E-2</v>
      </c>
      <c r="F11" s="63">
        <v>2.8888114949831203E-2</v>
      </c>
      <c r="G11" s="63">
        <v>2.8713902834412337E-2</v>
      </c>
      <c r="H11" s="63">
        <v>2.8540249691798608E-2</v>
      </c>
      <c r="I11" s="63">
        <v>2.8367165787457058E-2</v>
      </c>
      <c r="J11" s="63">
        <v>2.8194661604861719E-2</v>
      </c>
      <c r="K11" s="63">
        <v>2.8022747850076711E-2</v>
      </c>
      <c r="L11" s="63">
        <v>2.7851435456400096E-2</v>
      </c>
      <c r="M11" s="63">
        <v>2.7680735589066047E-2</v>
      </c>
      <c r="N11" s="63">
        <v>2.7510659650002593E-2</v>
      </c>
      <c r="O11" s="63">
        <v>2.7341219282641729E-2</v>
      </c>
      <c r="P11" s="63">
        <v>2.7172426376778448E-2</v>
      </c>
      <c r="Q11" s="63">
        <v>2.7004293073474742E-2</v>
      </c>
      <c r="R11" s="63">
        <v>2.6836831770004323E-2</v>
      </c>
      <c r="S11" s="63">
        <v>2.667005512483309E-2</v>
      </c>
      <c r="T11" s="63">
        <v>2.6503976062630392E-2</v>
      </c>
      <c r="U11" s="63">
        <v>2.6338607779304881E-2</v>
      </c>
      <c r="V11" s="63">
        <v>2.6173963747059031E-2</v>
      </c>
      <c r="W11" s="63">
        <v>2.601005771945512E-2</v>
      </c>
      <c r="X11" s="63">
        <v>2.5846903736485332E-2</v>
      </c>
      <c r="Y11" s="63">
        <v>2.5684516129637673E-2</v>
      </c>
      <c r="Z11" s="63">
        <v>2.5522909526948967E-2</v>
      </c>
      <c r="AA11" s="63">
        <v>2.5362098858035243E-2</v>
      </c>
      <c r="AB11" s="63">
        <v>2.5202099359089292E-2</v>
      </c>
      <c r="AC11" s="63">
        <v>2.5042926577834128E-2</v>
      </c>
      <c r="AD11" s="63">
        <v>2.4884596378420512E-2</v>
      </c>
      <c r="AE11" s="63">
        <v>2.4727124946255546E-2</v>
      </c>
      <c r="AF11" s="63">
        <v>2.4570528792748708E-2</v>
      </c>
      <c r="AG11" s="63">
        <v>2.4414824759960478E-2</v>
      </c>
      <c r="AH11" s="63">
        <v>2.4260030025137873E-2</v>
      </c>
      <c r="AI11" s="63">
        <v>2.4106162105120107E-2</v>
      </c>
      <c r="AJ11" s="63">
        <v>2.3953238860596551E-2</v>
      </c>
      <c r="AK11" s="63">
        <v>2.3801278500197889E-2</v>
      </c>
      <c r="AL11" s="63">
        <v>2.3650299584400573E-2</v>
      </c>
      <c r="AM11" s="63">
        <v>2.3500321029222969E-2</v>
      </c>
      <c r="AN11" s="63">
        <v>2.3351362109690878E-2</v>
      </c>
      <c r="AO11" s="63">
        <v>2.3203442463048455E-2</v>
      </c>
      <c r="AP11" s="63">
        <v>2.3056582091689558E-2</v>
      </c>
      <c r="AQ11" s="63">
        <v>2.2910801365783013E-2</v>
      </c>
      <c r="AR11" s="63">
        <v>2.2766121025564193E-2</v>
      </c>
      <c r="AS11" s="63">
        <v>2.2622562183263705E-2</v>
      </c>
      <c r="AT11" s="63">
        <v>2.2480146324642913E-2</v>
      </c>
      <c r="AU11" s="63">
        <v>2.2338895310104415E-2</v>
      </c>
      <c r="AV11" s="63">
        <v>2.2198831375344515E-2</v>
      </c>
      <c r="AW11" s="63">
        <v>2.2059977131513097E-2</v>
      </c>
      <c r="AX11" s="63">
        <v>2.1922355564845394E-2</v>
      </c>
      <c r="AY11" s="63">
        <v>2.1785990035728477E-2</v>
      </c>
      <c r="AZ11" s="63">
        <v>2.1650904277164477E-2</v>
      </c>
      <c r="BA11" s="63">
        <v>2.151712239259106E-2</v>
      </c>
      <c r="BB11" s="63">
        <v>2.1384668853018839E-2</v>
      </c>
      <c r="BC11" s="63">
        <v>2.1253568493444359E-2</v>
      </c>
      <c r="BD11" s="63">
        <v>2.112384650849634E-2</v>
      </c>
      <c r="BE11" s="63">
        <v>2.0995528447272319E-2</v>
      </c>
      <c r="BF11" s="63">
        <v>2.086864020732198E-2</v>
      </c>
      <c r="BG11" s="63">
        <v>2.07432080277332E-2</v>
      </c>
      <c r="BH11" s="63">
        <v>2.06192584812767E-2</v>
      </c>
      <c r="BI11" s="63">
        <v>2.0496818465564687E-2</v>
      </c>
      <c r="BJ11" s="63">
        <v>2.0375915193179703E-2</v>
      </c>
    </row>
    <row r="12" spans="1:62" x14ac:dyDescent="0.25">
      <c r="A12" s="56">
        <v>-0.27</v>
      </c>
      <c r="B12" s="63">
        <v>2.9341455658171034E-2</v>
      </c>
      <c r="C12" s="63">
        <v>2.9164907269005332E-2</v>
      </c>
      <c r="D12" s="63">
        <v>2.8988880932793344E-2</v>
      </c>
      <c r="E12" s="63">
        <v>2.8813386217492461E-2</v>
      </c>
      <c r="F12" s="63">
        <v>2.8638432896334002E-2</v>
      </c>
      <c r="G12" s="63">
        <v>2.8464030952308789E-2</v>
      </c>
      <c r="H12" s="63">
        <v>2.8290190582724705E-2</v>
      </c>
      <c r="I12" s="63">
        <v>2.8116922203834903E-2</v>
      </c>
      <c r="J12" s="63">
        <v>2.7944236455534961E-2</v>
      </c>
      <c r="K12" s="63">
        <v>2.7772144206127114E-2</v>
      </c>
      <c r="L12" s="63">
        <v>2.7600656557149442E-2</v>
      </c>
      <c r="M12" s="63">
        <v>2.7429784848267386E-2</v>
      </c>
      <c r="N12" s="63">
        <v>2.7259540662224805E-2</v>
      </c>
      <c r="O12" s="63">
        <v>2.7089935829851315E-2</v>
      </c>
      <c r="P12" s="63">
        <v>2.6920982435122282E-2</v>
      </c>
      <c r="Q12" s="63">
        <v>2.6752692820267435E-2</v>
      </c>
      <c r="R12" s="63">
        <v>2.6585079590923578E-2</v>
      </c>
      <c r="S12" s="63">
        <v>2.6418155621326392E-2</v>
      </c>
      <c r="T12" s="63">
        <v>2.6251934059535947E-2</v>
      </c>
      <c r="U12" s="63">
        <v>2.6086428332689655E-2</v>
      </c>
      <c r="V12" s="63">
        <v>2.5921652152276282E-2</v>
      </c>
      <c r="W12" s="63">
        <v>2.57576195194236E-2</v>
      </c>
      <c r="X12" s="63">
        <v>2.5594344730191849E-2</v>
      </c>
      <c r="Y12" s="63">
        <v>2.5431842380864447E-2</v>
      </c>
      <c r="Z12" s="63">
        <v>2.5270127373226529E-2</v>
      </c>
      <c r="AA12" s="63">
        <v>2.5109214919821335E-2</v>
      </c>
      <c r="AB12" s="63">
        <v>2.4949120549173472E-2</v>
      </c>
      <c r="AC12" s="63">
        <v>2.4789860110967298E-2</v>
      </c>
      <c r="AD12" s="63">
        <v>2.4631449781167793E-2</v>
      </c>
      <c r="AE12" s="63">
        <v>2.4473906067070297E-2</v>
      </c>
      <c r="AF12" s="63">
        <v>2.4317245812264503E-2</v>
      </c>
      <c r="AG12" s="63">
        <v>2.4161486201497145E-2</v>
      </c>
      <c r="AH12" s="63">
        <v>2.4006644765416595E-2</v>
      </c>
      <c r="AI12" s="63">
        <v>2.3852739385181676E-2</v>
      </c>
      <c r="AJ12" s="63">
        <v>2.3699788296915568E-2</v>
      </c>
      <c r="AK12" s="63">
        <v>2.3547810095984743E-2</v>
      </c>
      <c r="AL12" s="63">
        <v>2.339682374108144E-2</v>
      </c>
      <c r="AM12" s="63">
        <v>2.3246848558086938E-2</v>
      </c>
      <c r="AN12" s="63">
        <v>2.3097904243691712E-2</v>
      </c>
      <c r="AO12" s="63">
        <v>2.295001086874689E-2</v>
      </c>
      <c r="AP12" s="63">
        <v>2.2803188881320411E-2</v>
      </c>
      <c r="AQ12" s="63">
        <v>2.2657459109429626E-2</v>
      </c>
      <c r="AR12" s="63">
        <v>2.2512842763420658E-2</v>
      </c>
      <c r="AS12" s="63">
        <v>2.2369361437963635E-2</v>
      </c>
      <c r="AT12" s="63">
        <v>2.2227037113631064E-2</v>
      </c>
      <c r="AU12" s="63">
        <v>2.2085892158025613E-2</v>
      </c>
      <c r="AV12" s="63">
        <v>2.1945949326421663E-2</v>
      </c>
      <c r="AW12" s="63">
        <v>2.1807231761884031E-2</v>
      </c>
      <c r="AX12" s="63">
        <v>2.1669762994825433E-2</v>
      </c>
      <c r="AY12" s="63">
        <v>2.1533566941963279E-2</v>
      </c>
      <c r="AZ12" s="63">
        <v>2.1398667904634801E-2</v>
      </c>
      <c r="BA12" s="63">
        <v>2.1265090566428526E-2</v>
      </c>
      <c r="BB12" s="63">
        <v>2.1132859990088737E-2</v>
      </c>
      <c r="BC12" s="63">
        <v>2.100200161364876E-2</v>
      </c>
      <c r="BD12" s="63">
        <v>2.0872541245747792E-2</v>
      </c>
      <c r="BE12" s="63">
        <v>2.0744505060085343E-2</v>
      </c>
      <c r="BF12" s="63">
        <v>2.0617919588966679E-2</v>
      </c>
      <c r="BG12" s="63">
        <v>2.0492811715892255E-2</v>
      </c>
      <c r="BH12" s="63">
        <v>2.0369208667143951E-2</v>
      </c>
      <c r="BI12" s="63">
        <v>2.0247138002320718E-2</v>
      </c>
      <c r="BJ12" s="63">
        <v>2.012662760377687E-2</v>
      </c>
    </row>
    <row r="13" spans="1:62" x14ac:dyDescent="0.25">
      <c r="A13" s="56">
        <v>-0.26</v>
      </c>
      <c r="B13" s="63">
        <v>2.9095395309697795E-2</v>
      </c>
      <c r="C13" s="63">
        <v>2.8918662015446059E-2</v>
      </c>
      <c r="D13" s="63">
        <v>2.8742452977370374E-2</v>
      </c>
      <c r="E13" s="63">
        <v>2.8566777896812546E-2</v>
      </c>
      <c r="F13" s="63">
        <v>2.8391646685460393E-2</v>
      </c>
      <c r="G13" s="63">
        <v>2.8217069470002309E-2</v>
      </c>
      <c r="H13" s="63">
        <v>2.8043056596858067E-2</v>
      </c>
      <c r="I13" s="63">
        <v>2.7869618636984589E-2</v>
      </c>
      <c r="J13" s="63">
        <v>2.7696766390755058E-2</v>
      </c>
      <c r="K13" s="63">
        <v>2.7524510892909339E-2</v>
      </c>
      <c r="L13" s="63">
        <v>2.7352863417573613E-2</v>
      </c>
      <c r="M13" s="63">
        <v>2.71818354833465E-2</v>
      </c>
      <c r="N13" s="63">
        <v>2.7011438858448818E-2</v>
      </c>
      <c r="O13" s="63">
        <v>2.6841685565933606E-2</v>
      </c>
      <c r="P13" s="63">
        <v>2.6672587888952663E-2</v>
      </c>
      <c r="Q13" s="63">
        <v>2.6504158376075362E-2</v>
      </c>
      <c r="R13" s="63">
        <v>2.6336409846655133E-2</v>
      </c>
      <c r="S13" s="63">
        <v>2.6169355396238304E-2</v>
      </c>
      <c r="T13" s="63">
        <v>2.6003008402009684E-2</v>
      </c>
      <c r="U13" s="63">
        <v>2.5837382528268449E-2</v>
      </c>
      <c r="V13" s="63">
        <v>2.5672491731927444E-2</v>
      </c>
      <c r="W13" s="63">
        <v>2.5508350268028314E-2</v>
      </c>
      <c r="X13" s="63">
        <v>2.5344972695264114E-2</v>
      </c>
      <c r="Y13" s="63">
        <v>2.5182373881500377E-2</v>
      </c>
      <c r="Z13" s="63">
        <v>2.5020569009284892E-2</v>
      </c>
      <c r="AA13" s="63">
        <v>2.4859573581335392E-2</v>
      </c>
      <c r="AB13" s="63">
        <v>2.4699403425993822E-2</v>
      </c>
      <c r="AC13" s="63">
        <v>2.454007470263463E-2</v>
      </c>
      <c r="AD13" s="63">
        <v>2.4381603907013723E-2</v>
      </c>
      <c r="AE13" s="63">
        <v>2.4224007876543704E-2</v>
      </c>
      <c r="AF13" s="63">
        <v>2.4067303795479923E-2</v>
      </c>
      <c r="AG13" s="63">
        <v>2.3911509200000711E-2</v>
      </c>
      <c r="AH13" s="63">
        <v>2.3756641983164229E-2</v>
      </c>
      <c r="AI13" s="63">
        <v>2.3602720399722776E-2</v>
      </c>
      <c r="AJ13" s="63">
        <v>2.3449763070774596E-2</v>
      </c>
      <c r="AK13" s="63">
        <v>2.3297788988231573E-2</v>
      </c>
      <c r="AL13" s="63">
        <v>2.3146817519080036E-2</v>
      </c>
      <c r="AM13" s="63">
        <v>2.2996868409410499E-2</v>
      </c>
      <c r="AN13" s="63">
        <v>2.2847961788190662E-2</v>
      </c>
      <c r="AO13" s="63">
        <v>2.2700118170754631E-2</v>
      </c>
      <c r="AP13" s="63">
        <v>2.2553358461979776E-2</v>
      </c>
      <c r="AQ13" s="63">
        <v>2.2407703959121079E-2</v>
      </c>
      <c r="AR13" s="63">
        <v>2.2263176354271472E-2</v>
      </c>
      <c r="AS13" s="63">
        <v>2.2119797736414766E-2</v>
      </c>
      <c r="AT13" s="63">
        <v>2.1977590593036663E-2</v>
      </c>
      <c r="AU13" s="63">
        <v>2.1836577811257266E-2</v>
      </c>
      <c r="AV13" s="63">
        <v>2.169678267844749E-2</v>
      </c>
      <c r="AW13" s="63">
        <v>2.1558228882289709E-2</v>
      </c>
      <c r="AX13" s="63">
        <v>2.1420940510242025E-2</v>
      </c>
      <c r="AY13" s="63">
        <v>2.128494204836346E-2</v>
      </c>
      <c r="AZ13" s="63">
        <v>2.1150258379456745E-2</v>
      </c>
      <c r="BA13" s="63">
        <v>2.1016914780483256E-2</v>
      </c>
      <c r="BB13" s="63">
        <v>2.0884936919204157E-2</v>
      </c>
      <c r="BC13" s="63">
        <v>2.0754350850000193E-2</v>
      </c>
      <c r="BD13" s="63">
        <v>2.0625183008821928E-2</v>
      </c>
      <c r="BE13" s="63">
        <v>2.049746020722118E-2</v>
      </c>
      <c r="BF13" s="63">
        <v>2.037120962541401E-2</v>
      </c>
      <c r="BG13" s="63">
        <v>2.0246458804325036E-2</v>
      </c>
      <c r="BH13" s="63">
        <v>2.0123235636562712E-2</v>
      </c>
      <c r="BI13" s="63">
        <v>2.0001568356275222E-2</v>
      </c>
      <c r="BJ13" s="63">
        <v>1.9881485527837171E-2</v>
      </c>
    </row>
    <row r="14" spans="1:62" x14ac:dyDescent="0.25">
      <c r="A14" s="56">
        <v>-0.25</v>
      </c>
      <c r="B14" s="63">
        <v>2.8852246804465263E-2</v>
      </c>
      <c r="C14" s="63">
        <v>2.8675343395826135E-2</v>
      </c>
      <c r="D14" s="63">
        <v>2.8498966611581713E-2</v>
      </c>
      <c r="E14" s="63">
        <v>2.8323126290088017E-2</v>
      </c>
      <c r="F14" s="63">
        <v>2.8147832485241678E-2</v>
      </c>
      <c r="G14" s="63">
        <v>2.7973095471307861E-2</v>
      </c>
      <c r="H14" s="63">
        <v>2.7798925747828961E-2</v>
      </c>
      <c r="I14" s="63">
        <v>2.7625334044612697E-2</v>
      </c>
      <c r="J14" s="63">
        <v>2.7452331326797964E-2</v>
      </c>
      <c r="K14" s="63">
        <v>2.7279928799996422E-2</v>
      </c>
      <c r="L14" s="63">
        <v>2.7108137915507619E-2</v>
      </c>
      <c r="M14" s="63">
        <v>2.6936970375604878E-2</v>
      </c>
      <c r="N14" s="63">
        <v>2.6766438138889043E-2</v>
      </c>
      <c r="O14" s="63">
        <v>2.6596553425706479E-2</v>
      </c>
      <c r="P14" s="63">
        <v>2.6427328723627554E-2</v>
      </c>
      <c r="Q14" s="63">
        <v>2.6258776792981178E-2</v>
      </c>
      <c r="R14" s="63">
        <v>2.6090910672440508E-2</v>
      </c>
      <c r="S14" s="63">
        <v>2.5923743684654391E-2</v>
      </c>
      <c r="T14" s="63">
        <v>2.575728944191864E-2</v>
      </c>
      <c r="U14" s="63">
        <v>2.559156185188028E-2</v>
      </c>
      <c r="V14" s="63">
        <v>2.5426575123267792E-2</v>
      </c>
      <c r="W14" s="63">
        <v>2.5262343771639106E-2</v>
      </c>
      <c r="X14" s="63">
        <v>2.5098882625138746E-2</v>
      </c>
      <c r="Y14" s="63">
        <v>2.49362068302546E-2</v>
      </c>
      <c r="Z14" s="63">
        <v>2.4774331857563919E-2</v>
      </c>
      <c r="AA14" s="63">
        <v>2.4613273507457369E-2</v>
      </c>
      <c r="AB14" s="63">
        <v>2.4453047915828915E-2</v>
      </c>
      <c r="AC14" s="63">
        <v>2.4293671559718448E-2</v>
      </c>
      <c r="AD14" s="63">
        <v>2.4135161262892921E-2</v>
      </c>
      <c r="AE14" s="63">
        <v>2.3977534201350795E-2</v>
      </c>
      <c r="AF14" s="63">
        <v>2.3820807908733341E-2</v>
      </c>
      <c r="AG14" s="63">
        <v>2.3665000281625284E-2</v>
      </c>
      <c r="AH14" s="63">
        <v>2.351012958472587E-2</v>
      </c>
      <c r="AI14" s="63">
        <v>2.3356214455870335E-2</v>
      </c>
      <c r="AJ14" s="63">
        <v>2.3203273910880246E-2</v>
      </c>
      <c r="AK14" s="63">
        <v>2.3051327348219918E-2</v>
      </c>
      <c r="AL14" s="63">
        <v>2.2900394553434511E-2</v>
      </c>
      <c r="AM14" s="63">
        <v>2.2750495703344149E-2</v>
      </c>
      <c r="AN14" s="63">
        <v>2.260165136996662E-2</v>
      </c>
      <c r="AO14" s="63">
        <v>2.2453882524139858E-2</v>
      </c>
      <c r="AP14" s="63">
        <v>2.2307210538813644E-2</v>
      </c>
      <c r="AQ14" s="63">
        <v>2.2161657191978441E-2</v>
      </c>
      <c r="AR14" s="63">
        <v>2.2017244669197522E-2</v>
      </c>
      <c r="AS14" s="63">
        <v>2.1873995565707009E-2</v>
      </c>
      <c r="AT14" s="63">
        <v>2.1731932888046538E-2</v>
      </c>
      <c r="AU14" s="63">
        <v>2.1591080055181903E-2</v>
      </c>
      <c r="AV14" s="63">
        <v>2.1451460899078983E-2</v>
      </c>
      <c r="AW14" s="63">
        <v>2.1313099664687005E-2</v>
      </c>
      <c r="AX14" s="63">
        <v>2.1176021009287224E-2</v>
      </c>
      <c r="AY14" s="63">
        <v>2.1040250001161886E-2</v>
      </c>
      <c r="AZ14" s="63">
        <v>2.0905812117536532E-2</v>
      </c>
      <c r="BA14" s="63">
        <v>2.0772733241747648E-2</v>
      </c>
      <c r="BB14" s="63">
        <v>2.0641039659586049E-2</v>
      </c>
      <c r="BC14" s="63">
        <v>2.051075805476547E-2</v>
      </c>
      <c r="BD14" s="63">
        <v>2.0381915503464701E-2</v>
      </c>
      <c r="BE14" s="63">
        <v>2.0254539467890874E-2</v>
      </c>
      <c r="BF14" s="63">
        <v>2.0128657788810692E-2</v>
      </c>
      <c r="BG14" s="63">
        <v>2.0004298676996272E-2</v>
      </c>
      <c r="BH14" s="63">
        <v>1.9881490703531939E-2</v>
      </c>
      <c r="BI14" s="63">
        <v>1.9760262788928312E-2</v>
      </c>
      <c r="BJ14" s="63">
        <v>1.964064419099101E-2</v>
      </c>
    </row>
    <row r="15" spans="1:62" x14ac:dyDescent="0.25">
      <c r="A15" s="56">
        <v>-0.24</v>
      </c>
      <c r="B15" s="63">
        <v>2.8612084378020965E-2</v>
      </c>
      <c r="C15" s="63">
        <v>2.8435026539894784E-2</v>
      </c>
      <c r="D15" s="63">
        <v>2.8258497873219941E-2</v>
      </c>
      <c r="E15" s="63">
        <v>2.808250835722758E-2</v>
      </c>
      <c r="F15" s="63">
        <v>2.7907068192009419E-2</v>
      </c>
      <c r="G15" s="63">
        <v>2.7732187803523486E-2</v>
      </c>
      <c r="H15" s="63">
        <v>2.7557877848685221E-2</v>
      </c>
      <c r="I15" s="63">
        <v>2.7384149220542536E-2</v>
      </c>
      <c r="J15" s="63">
        <v>2.7211013053533142E-2</v>
      </c>
      <c r="K15" s="63">
        <v>2.7038480728822169E-2</v>
      </c>
      <c r="L15" s="63">
        <v>2.6866563879717673E-2</v>
      </c>
      <c r="M15" s="63">
        <v>2.6695274397161361E-2</v>
      </c>
      <c r="N15" s="63">
        <v>2.6524624435291317E-2</v>
      </c>
      <c r="O15" s="63">
        <v>2.6354626417073222E-2</v>
      </c>
      <c r="P15" s="63">
        <v>2.6185293039995946E-2</v>
      </c>
      <c r="Q15" s="63">
        <v>2.6016637281827033E-2</v>
      </c>
      <c r="R15" s="63">
        <v>2.584867240642294E-2</v>
      </c>
      <c r="S15" s="63">
        <v>2.5681411969588324E-2</v>
      </c>
      <c r="T15" s="63">
        <v>2.5514869824978231E-2</v>
      </c>
      <c r="U15" s="63">
        <v>2.5349060130035999E-2</v>
      </c>
      <c r="V15" s="63">
        <v>2.5183997351959489E-2</v>
      </c>
      <c r="W15" s="63">
        <v>2.5019696273687064E-2</v>
      </c>
      <c r="X15" s="63">
        <v>2.4856171999894192E-2</v>
      </c>
      <c r="Y15" s="63">
        <v>2.4693439962990654E-2</v>
      </c>
      <c r="Z15" s="63">
        <v>2.4531515929107389E-2</v>
      </c>
      <c r="AA15" s="63">
        <v>2.4370416004061177E-2</v>
      </c>
      <c r="AB15" s="63">
        <v>2.4210156639284237E-2</v>
      </c>
      <c r="AC15" s="63">
        <v>2.4050754637704862E-2</v>
      </c>
      <c r="AD15" s="63">
        <v>2.3892227159564079E-2</v>
      </c>
      <c r="AE15" s="63">
        <v>2.3734591728152111E-2</v>
      </c>
      <c r="AF15" s="63">
        <v>2.3577866235447345E-2</v>
      </c>
      <c r="AG15" s="63">
        <v>2.3422068947639003E-2</v>
      </c>
      <c r="AH15" s="63">
        <v>2.3267218510513631E-2</v>
      </c>
      <c r="AI15" s="63">
        <v>2.3113333954683978E-2</v>
      </c>
      <c r="AJ15" s="63">
        <v>2.2960434700637359E-2</v>
      </c>
      <c r="AK15" s="63">
        <v>2.2808540563579317E-2</v>
      </c>
      <c r="AL15" s="63">
        <v>2.2657671758046546E-2</v>
      </c>
      <c r="AM15" s="63">
        <v>2.2507848902261686E-2</v>
      </c>
      <c r="AN15" s="63">
        <v>2.2359093022200866E-2</v>
      </c>
      <c r="AO15" s="63">
        <v>2.2211425555343042E-2</v>
      </c>
      <c r="AP15" s="63">
        <v>2.20648683540688E-2</v>
      </c>
      <c r="AQ15" s="63">
        <v>2.1919443688674059E-2</v>
      </c>
      <c r="AR15" s="63">
        <v>2.1775174249962857E-2</v>
      </c>
      <c r="AS15" s="63">
        <v>2.163208315138105E-2</v>
      </c>
      <c r="AT15" s="63">
        <v>2.1490193930651446E-2</v>
      </c>
      <c r="AU15" s="63">
        <v>2.1349530550868755E-2</v>
      </c>
      <c r="AV15" s="63">
        <v>2.1210117401011117E-2</v>
      </c>
      <c r="AW15" s="63">
        <v>2.1071979295823079E-2</v>
      </c>
      <c r="AX15" s="63">
        <v>2.0935141475023393E-2</v>
      </c>
      <c r="AY15" s="63">
        <v>2.0799629601789032E-2</v>
      </c>
      <c r="AZ15" s="63">
        <v>2.0665469760465609E-2</v>
      </c>
      <c r="BA15" s="63">
        <v>2.0532688453452564E-2</v>
      </c>
      <c r="BB15" s="63">
        <v>2.0401312597210407E-2</v>
      </c>
      <c r="BC15" s="63">
        <v>2.0271369517335863E-2</v>
      </c>
      <c r="BD15" s="63">
        <v>2.0142886942649936E-2</v>
      </c>
      <c r="BE15" s="63">
        <v>2.0015892998242843E-2</v>
      </c>
      <c r="BF15" s="63">
        <v>1.9890416197419356E-2</v>
      </c>
      <c r="BG15" s="63">
        <v>1.9766485432487567E-2</v>
      </c>
      <c r="BH15" s="63">
        <v>1.9644129964334144E-2</v>
      </c>
      <c r="BI15" s="63">
        <v>1.9523379410729177E-2</v>
      </c>
      <c r="BJ15" s="63">
        <v>1.9404263733304675E-2</v>
      </c>
    </row>
    <row r="16" spans="1:62" x14ac:dyDescent="0.25">
      <c r="A16" s="56">
        <v>-0.23</v>
      </c>
      <c r="B16" s="63">
        <v>2.8374983851893756E-2</v>
      </c>
      <c r="C16" s="63">
        <v>2.8197788195734711E-2</v>
      </c>
      <c r="D16" s="63">
        <v>2.8021124451465654E-2</v>
      </c>
      <c r="E16" s="63">
        <v>2.7845002743297813E-2</v>
      </c>
      <c r="F16" s="63">
        <v>2.7669433421751249E-2</v>
      </c>
      <c r="G16" s="63">
        <v>2.7494427068842753E-2</v>
      </c>
      <c r="H16" s="63">
        <v>2.7319994503363785E-2</v>
      </c>
      <c r="I16" s="63">
        <v>2.7146146786246984E-2</v>
      </c>
      <c r="J16" s="63">
        <v>2.6972895226019651E-2</v>
      </c>
      <c r="K16" s="63">
        <v>2.6800251384342003E-2</v>
      </c>
      <c r="L16" s="63">
        <v>2.6628227081627934E-2</v>
      </c>
      <c r="M16" s="63">
        <v>2.6456834402745301E-2</v>
      </c>
      <c r="N16" s="63">
        <v>2.6286085702792589E-2</v>
      </c>
      <c r="O16" s="63">
        <v>2.6115993612948224E-2</v>
      </c>
      <c r="P16" s="63">
        <v>2.5946571046388273E-2</v>
      </c>
      <c r="Q16" s="63">
        <v>2.5777831204267781E-2</v>
      </c>
      <c r="R16" s="63">
        <v>2.5609787581760524E-2</v>
      </c>
      <c r="S16" s="63">
        <v>2.5442453974151052E-2</v>
      </c>
      <c r="T16" s="63">
        <v>2.5275844482972674E-2</v>
      </c>
      <c r="U16" s="63">
        <v>2.51099735221838E-2</v>
      </c>
      <c r="V16" s="63">
        <v>2.4944855824374869E-2</v>
      </c>
      <c r="W16" s="63">
        <v>2.4780506446996836E-2</v>
      </c>
      <c r="X16" s="63">
        <v>2.4616940778601649E-2</v>
      </c>
      <c r="Y16" s="63">
        <v>2.4454174545084032E-2</v>
      </c>
      <c r="Z16" s="63">
        <v>2.4292223815913127E-2</v>
      </c>
      <c r="AA16" s="63">
        <v>2.4131105010341398E-2</v>
      </c>
      <c r="AB16" s="63">
        <v>2.3970834903577234E-2</v>
      </c>
      <c r="AC16" s="63">
        <v>2.3811430632906447E-2</v>
      </c>
      <c r="AD16" s="63">
        <v>2.3652909703746807E-2</v>
      </c>
      <c r="AE16" s="63">
        <v>2.34952899956185E-2</v>
      </c>
      <c r="AF16" s="63">
        <v>2.3338589768011845E-2</v>
      </c>
      <c r="AG16" s="63">
        <v>2.3182827666132742E-2</v>
      </c>
      <c r="AH16" s="63">
        <v>2.3028022726504289E-2</v>
      </c>
      <c r="AI16" s="63">
        <v>2.2874194382402027E-2</v>
      </c>
      <c r="AJ16" s="63">
        <v>2.2721362469098384E-2</v>
      </c>
      <c r="AK16" s="63">
        <v>2.2569547228890503E-2</v>
      </c>
      <c r="AL16" s="63">
        <v>2.2418769315883755E-2</v>
      </c>
      <c r="AM16" s="63">
        <v>2.2269049800501796E-2</v>
      </c>
      <c r="AN16" s="63">
        <v>2.2120410173691925E-2</v>
      </c>
      <c r="AO16" s="63">
        <v>2.1972872350792993E-2</v>
      </c>
      <c r="AP16" s="63">
        <v>2.1826458675031069E-2</v>
      </c>
      <c r="AQ16" s="63">
        <v>2.1681191920606226E-2</v>
      </c>
      <c r="AR16" s="63">
        <v>2.1537095295331921E-2</v>
      </c>
      <c r="AS16" s="63">
        <v>2.139419244278648E-2</v>
      </c>
      <c r="AT16" s="63">
        <v>2.1252507443934272E-2</v>
      </c>
      <c r="AU16" s="63">
        <v>2.1112064818172269E-2</v>
      </c>
      <c r="AV16" s="63">
        <v>2.0972889523755631E-2</v>
      </c>
      <c r="AW16" s="63">
        <v>2.0835006957554299E-2</v>
      </c>
      <c r="AX16" s="63">
        <v>2.0698442954090519E-2</v>
      </c>
      <c r="AY16" s="63">
        <v>2.0563223783805609E-2</v>
      </c>
      <c r="AZ16" s="63">
        <v>2.0429376150502585E-2</v>
      </c>
      <c r="BA16" s="63">
        <v>2.0296927187909625E-2</v>
      </c>
      <c r="BB16" s="63">
        <v>2.0165904455308026E-2</v>
      </c>
      <c r="BC16" s="63">
        <v>2.0036335932166964E-2</v>
      </c>
      <c r="BD16" s="63">
        <v>1.9908250011726393E-2</v>
      </c>
      <c r="BE16" s="63">
        <v>1.9781675493468411E-2</v>
      </c>
      <c r="BF16" s="63">
        <v>1.9656641574417016E-2</v>
      </c>
      <c r="BG16" s="63">
        <v>1.9533177839205676E-2</v>
      </c>
      <c r="BH16" s="63">
        <v>1.9411314248852354E-2</v>
      </c>
      <c r="BI16" s="63">
        <v>1.9291081128181675E-2</v>
      </c>
      <c r="BJ16" s="63">
        <v>1.9172509151835122E-2</v>
      </c>
    </row>
    <row r="17" spans="1:62" x14ac:dyDescent="0.25">
      <c r="A17" s="56">
        <v>-0.22</v>
      </c>
      <c r="B17" s="63">
        <v>2.8141022619771576E-2</v>
      </c>
      <c r="C17" s="63">
        <v>2.7963706715840361E-2</v>
      </c>
      <c r="D17" s="63">
        <v>2.7786925672864587E-2</v>
      </c>
      <c r="E17" s="63">
        <v>2.7610689764397282E-2</v>
      </c>
      <c r="F17" s="63">
        <v>2.7435009495879719E-2</v>
      </c>
      <c r="G17" s="63">
        <v>2.7259895610015711E-2</v>
      </c>
      <c r="H17" s="63">
        <v>2.7085359092240652E-2</v>
      </c>
      <c r="I17" s="63">
        <v>2.6911411176283918E-2</v>
      </c>
      <c r="J17" s="63">
        <v>2.6738063349822854E-2</v>
      </c>
      <c r="K17" s="63">
        <v>2.6565327360226289E-2</v>
      </c>
      <c r="L17" s="63">
        <v>2.6393215220384968E-2</v>
      </c>
      <c r="M17" s="63">
        <v>2.6221739214626092E-2</v>
      </c>
      <c r="N17" s="63">
        <v>2.6050911904708533E-2</v>
      </c>
      <c r="O17" s="63">
        <v>2.5880746135894844E-2</v>
      </c>
      <c r="P17" s="63">
        <v>2.5711255043095675E-2</v>
      </c>
      <c r="Q17" s="63">
        <v>2.5542452057081669E-2</v>
      </c>
      <c r="R17" s="63">
        <v>2.5374350910757199E-2</v>
      </c>
      <c r="S17" s="63">
        <v>2.5206965645489722E-2</v>
      </c>
      <c r="T17" s="63">
        <v>2.5040310617487953E-2</v>
      </c>
      <c r="U17" s="63">
        <v>2.487440050422093E-2</v>
      </c>
      <c r="V17" s="63">
        <v>2.4709250310869794E-2</v>
      </c>
      <c r="W17" s="63">
        <v>2.4544875376802743E-2</v>
      </c>
      <c r="X17" s="63">
        <v>2.4381291382063047E-2</v>
      </c>
      <c r="Y17" s="63">
        <v>2.4218514353858956E-2</v>
      </c>
      <c r="Z17" s="63">
        <v>2.4056560673043195E-2</v>
      </c>
      <c r="AA17" s="63">
        <v>2.3895447080568937E-2</v>
      </c>
      <c r="AB17" s="63">
        <v>2.3735190683907701E-2</v>
      </c>
      <c r="AC17" s="63">
        <v>2.3575808963413596E-2</v>
      </c>
      <c r="AD17" s="63">
        <v>2.3417319778617125E-2</v>
      </c>
      <c r="AE17" s="63">
        <v>2.3259741374430171E-2</v>
      </c>
      <c r="AF17" s="63">
        <v>2.3103092387242681E-2</v>
      </c>
      <c r="AG17" s="63">
        <v>2.2947391850889905E-2</v>
      </c>
      <c r="AH17" s="63">
        <v>2.2792659202467626E-2</v>
      </c>
      <c r="AI17" s="63">
        <v>2.2638914287971091E-2</v>
      </c>
      <c r="AJ17" s="63">
        <v>2.2486177367731876E-2</v>
      </c>
      <c r="AK17" s="63">
        <v>2.2334469121624959E-2</v>
      </c>
      <c r="AL17" s="63">
        <v>2.2183810654016735E-2</v>
      </c>
      <c r="AM17" s="63">
        <v>2.2034223498422621E-2</v>
      </c>
      <c r="AN17" s="63">
        <v>2.1885729621841238E-2</v>
      </c>
      <c r="AO17" s="63">
        <v>2.1738351428729926E-2</v>
      </c>
      <c r="AP17" s="63">
        <v>2.1592111764584664E-2</v>
      </c>
      <c r="AQ17" s="63">
        <v>2.1447033919085236E-2</v>
      </c>
      <c r="AR17" s="63">
        <v>2.130314162876442E-2</v>
      </c>
      <c r="AS17" s="63">
        <v>2.1160459079158103E-2</v>
      </c>
      <c r="AT17" s="63">
        <v>2.1019010906390898E-2</v>
      </c>
      <c r="AU17" s="63">
        <v>2.0878822198149977E-2</v>
      </c>
      <c r="AV17" s="63">
        <v>2.0739918493997683E-2</v>
      </c>
      <c r="AW17" s="63">
        <v>2.0602325784971457E-2</v>
      </c>
      <c r="AX17" s="63">
        <v>2.0466070512417826E-2</v>
      </c>
      <c r="AY17" s="63">
        <v>2.0331179566005088E-2</v>
      </c>
      <c r="AZ17" s="63">
        <v>2.0197680280857836E-2</v>
      </c>
      <c r="BA17" s="63">
        <v>2.0065600433754528E-2</v>
      </c>
      <c r="BB17" s="63">
        <v>1.9934968238328153E-2</v>
      </c>
      <c r="BC17" s="63">
        <v>1.9805812339208421E-2</v>
      </c>
      <c r="BD17" s="63">
        <v>1.9678161805043039E-2</v>
      </c>
      <c r="BE17" s="63">
        <v>1.9552046120334694E-2</v>
      </c>
      <c r="BF17" s="63">
        <v>1.9427495176029794E-2</v>
      </c>
      <c r="BG17" s="63">
        <v>1.9304539258794873E-2</v>
      </c>
      <c r="BH17" s="63">
        <v>1.9183209038916571E-2</v>
      </c>
      <c r="BI17" s="63">
        <v>1.9063535556761615E-2</v>
      </c>
      <c r="BJ17" s="63">
        <v>1.894555020773438E-2</v>
      </c>
    </row>
    <row r="18" spans="1:62" x14ac:dyDescent="0.25">
      <c r="A18" s="56">
        <v>-0.21</v>
      </c>
      <c r="B18" s="63">
        <v>2.7910279628280046E-2</v>
      </c>
      <c r="C18" s="63">
        <v>2.7732862037636488E-2</v>
      </c>
      <c r="D18" s="63">
        <v>2.7555982481579207E-2</v>
      </c>
      <c r="E18" s="63">
        <v>2.7379651387633611E-2</v>
      </c>
      <c r="F18" s="63">
        <v>2.7203879420926714E-2</v>
      </c>
      <c r="G18" s="63">
        <v>2.7028677489751858E-2</v>
      </c>
      <c r="H18" s="63">
        <v>2.6854056751233021E-2</v>
      </c>
      <c r="I18" s="63">
        <v>2.6680028617087247E-2</v>
      </c>
      <c r="J18" s="63">
        <v>2.6506604759483458E-2</v>
      </c>
      <c r="K18" s="63">
        <v>2.6333797116995371E-2</v>
      </c>
      <c r="L18" s="63">
        <v>2.6161617900646014E-2</v>
      </c>
      <c r="M18" s="63">
        <v>2.5990079600040791E-2</v>
      </c>
      <c r="N18" s="63">
        <v>2.5819194989585501E-2</v>
      </c>
      <c r="O18" s="63">
        <v>2.5648977134785381E-2</v>
      </c>
      <c r="P18" s="63">
        <v>2.5479439398620518E-2</v>
      </c>
      <c r="Q18" s="63">
        <v>2.5310595447992398E-2</v>
      </c>
      <c r="R18" s="63">
        <v>2.5142459260235821E-2</v>
      </c>
      <c r="S18" s="63">
        <v>2.497504512968951E-2</v>
      </c>
      <c r="T18" s="63">
        <v>2.4808367674318356E-2</v>
      </c>
      <c r="U18" s="63">
        <v>2.4642441842378883E-2</v>
      </c>
      <c r="V18" s="63">
        <v>2.4477282919119388E-2</v>
      </c>
      <c r="W18" s="63">
        <v>2.4312906533504534E-2</v>
      </c>
      <c r="X18" s="63">
        <v>2.4149328664953961E-2</v>
      </c>
      <c r="Y18" s="63">
        <v>2.3986565650082812E-2</v>
      </c>
      <c r="Z18" s="63">
        <v>2.3824634189431412E-2</v>
      </c>
      <c r="AA18" s="63">
        <v>2.3663551354170021E-2</v>
      </c>
      <c r="AB18" s="63">
        <v>2.3503334592763325E-2</v>
      </c>
      <c r="AC18" s="63">
        <v>2.3344001737578213E-2</v>
      </c>
      <c r="AD18" s="63">
        <v>2.3185571011416776E-2</v>
      </c>
      <c r="AE18" s="63">
        <v>2.3028061033955313E-2</v>
      </c>
      <c r="AF18" s="63">
        <v>2.2871490828068428E-2</v>
      </c>
      <c r="AG18" s="63">
        <v>2.2715879826015795E-2</v>
      </c>
      <c r="AH18" s="63">
        <v>2.2561247875467576E-2</v>
      </c>
      <c r="AI18" s="63">
        <v>2.2407615245342714E-2</v>
      </c>
      <c r="AJ18" s="63">
        <v>2.2255002631432472E-2</v>
      </c>
      <c r="AK18" s="63">
        <v>2.2103431161779909E-2</v>
      </c>
      <c r="AL18" s="63">
        <v>2.1952922401783911E-2</v>
      </c>
      <c r="AM18" s="63">
        <v>2.1803498358994467E-2</v>
      </c>
      <c r="AN18" s="63">
        <v>2.1655181487563877E-2</v>
      </c>
      <c r="AO18" s="63">
        <v>2.150799469231638E-2</v>
      </c>
      <c r="AP18" s="63">
        <v>2.1361961332396803E-2</v>
      </c>
      <c r="AQ18" s="63">
        <v>2.1217105224456249E-2</v>
      </c>
      <c r="AR18" s="63">
        <v>2.1073450645331129E-2</v>
      </c>
      <c r="AS18" s="63">
        <v>2.0931022334169234E-2</v>
      </c>
      <c r="AT18" s="63">
        <v>2.0789845493954528E-2</v>
      </c>
      <c r="AU18" s="63">
        <v>2.0649945792380126E-2</v>
      </c>
      <c r="AV18" s="63">
        <v>2.051134936201662E-2</v>
      </c>
      <c r="AW18" s="63">
        <v>2.0374082799721013E-2</v>
      </c>
      <c r="AX18" s="63">
        <v>2.0238173165229155E-2</v>
      </c>
      <c r="AY18" s="63">
        <v>2.0103647978872922E-2</v>
      </c>
      <c r="AZ18" s="63">
        <v>1.9970535218361257E-2</v>
      </c>
      <c r="BA18" s="63">
        <v>1.9838863314562631E-2</v>
      </c>
      <c r="BB18" s="63">
        <v>1.9708661146224941E-2</v>
      </c>
      <c r="BC18" s="63">
        <v>1.957995803356739E-2</v>
      </c>
      <c r="BD18" s="63">
        <v>1.9452783730677978E-2</v>
      </c>
      <c r="BE18" s="63">
        <v>1.9327168416649276E-2</v>
      </c>
      <c r="BF18" s="63">
        <v>1.9203142685384773E-2</v>
      </c>
      <c r="BG18" s="63">
        <v>1.9080737534007786E-2</v>
      </c>
      <c r="BH18" s="63">
        <v>1.895998434980543E-2</v>
      </c>
      <c r="BI18" s="63">
        <v>1.8840914895640447E-2</v>
      </c>
      <c r="BJ18" s="63">
        <v>1.8723561293765435E-2</v>
      </c>
    </row>
    <row r="19" spans="1:62" x14ac:dyDescent="0.25">
      <c r="A19" s="56">
        <v>-0.2</v>
      </c>
      <c r="B19" s="63">
        <v>2.7682835351930564E-2</v>
      </c>
      <c r="C19" s="63">
        <v>2.7505335657989106E-2</v>
      </c>
      <c r="D19" s="63">
        <v>2.7328377413449255E-2</v>
      </c>
      <c r="E19" s="63">
        <v>2.7151971204719662E-2</v>
      </c>
      <c r="F19" s="63">
        <v>2.6976127861660464E-2</v>
      </c>
      <c r="G19" s="63">
        <v>2.680085846334233E-2</v>
      </c>
      <c r="H19" s="63">
        <v>2.6626174343909945E-2</v>
      </c>
      <c r="I19" s="63">
        <v>2.6452087098548467E-2</v>
      </c>
      <c r="J19" s="63">
        <v>2.6278608589551049E-2</v>
      </c>
      <c r="K19" s="63">
        <v>2.6105750952485237E-2</v>
      </c>
      <c r="L19" s="63">
        <v>2.5933526602455514E-2</v>
      </c>
      <c r="M19" s="63">
        <v>2.5761948240458788E-2</v>
      </c>
      <c r="N19" s="63">
        <v>2.5591028859829244E-2</v>
      </c>
      <c r="O19" s="63">
        <v>2.5420781752768244E-2</v>
      </c>
      <c r="P19" s="63">
        <v>2.5251220516954467E-2</v>
      </c>
      <c r="Q19" s="63">
        <v>2.5082359062228891E-2</v>
      </c>
      <c r="R19" s="63">
        <v>2.4914211617348348E-2</v>
      </c>
      <c r="S19" s="63">
        <v>2.4746792736800874E-2</v>
      </c>
      <c r="T19" s="63">
        <v>2.4580117307675162E-2</v>
      </c>
      <c r="U19" s="63">
        <v>2.4414200556575456E-2</v>
      </c>
      <c r="V19" s="63">
        <v>2.4249058056572681E-2</v>
      </c>
      <c r="W19" s="63">
        <v>2.4084705734181214E-2</v>
      </c>
      <c r="X19" s="63">
        <v>2.3921159876349987E-2</v>
      </c>
      <c r="Y19" s="63">
        <v>2.3758437137455343E-2</v>
      </c>
      <c r="Z19" s="63">
        <v>2.3596554546282057E-2</v>
      </c>
      <c r="AA19" s="63">
        <v>2.3435529512977452E-2</v>
      </c>
      <c r="AB19" s="63">
        <v>2.3275379835962631E-2</v>
      </c>
      <c r="AC19" s="63">
        <v>2.3116123708783021E-2</v>
      </c>
      <c r="AD19" s="63">
        <v>2.2957779726879322E-2</v>
      </c>
      <c r="AE19" s="63">
        <v>2.280036689425825E-2</v>
      </c>
      <c r="AF19" s="63">
        <v>2.2643904630040956E-2</v>
      </c>
      <c r="AG19" s="63">
        <v>2.2488412774865157E-2</v>
      </c>
      <c r="AH19" s="63">
        <v>2.233391159711556E-2</v>
      </c>
      <c r="AI19" s="63">
        <v>2.2180421798954884E-2</v>
      </c>
      <c r="AJ19" s="63">
        <v>2.2027964522126398E-2</v>
      </c>
      <c r="AK19" s="63">
        <v>2.1876561353496381E-2</v>
      </c>
      <c r="AL19" s="63">
        <v>2.1726234330303296E-2</v>
      </c>
      <c r="AM19" s="63">
        <v>2.1577005945078047E-2</v>
      </c>
      <c r="AN19" s="63">
        <v>2.1428899150197696E-2</v>
      </c>
      <c r="AO19" s="63">
        <v>2.1281937362032606E-2</v>
      </c>
      <c r="AP19" s="63">
        <v>2.1136144464644947E-2</v>
      </c>
      <c r="AQ19" s="63">
        <v>2.0991544812993847E-2</v>
      </c>
      <c r="AR19" s="63">
        <v>2.0848163235600455E-2</v>
      </c>
      <c r="AS19" s="63">
        <v>2.0706025036623568E-2</v>
      </c>
      <c r="AT19" s="63">
        <v>2.0565155997294249E-2</v>
      </c>
      <c r="AU19" s="63">
        <v>2.0425582376655482E-2</v>
      </c>
      <c r="AV19" s="63">
        <v>2.0287330911550598E-2</v>
      </c>
      <c r="AW19" s="63">
        <v>2.0150428815801907E-2</v>
      </c>
      <c r="AX19" s="63">
        <v>2.0014903778518871E-2</v>
      </c>
      <c r="AY19" s="63">
        <v>1.9880783961473053E-2</v>
      </c>
      <c r="AZ19" s="63">
        <v>1.9748097995475042E-2</v>
      </c>
      <c r="BA19" s="63">
        <v>1.9616874975686937E-2</v>
      </c>
      <c r="BB19" s="63">
        <v>1.9487144455802272E-2</v>
      </c>
      <c r="BC19" s="63">
        <v>1.9358936441023929E-2</v>
      </c>
      <c r="BD19" s="63">
        <v>1.9232281379769511E-2</v>
      </c>
      <c r="BE19" s="63">
        <v>1.9107210154032949E-2</v>
      </c>
      <c r="BF19" s="63">
        <v>1.8983754068330545E-2</v>
      </c>
      <c r="BG19" s="63">
        <v>1.8861944837159788E-2</v>
      </c>
      <c r="BH19" s="63">
        <v>1.8741814570899674E-2</v>
      </c>
      <c r="BI19" s="63">
        <v>1.8623395760082047E-2</v>
      </c>
      <c r="BJ19" s="63">
        <v>1.8506721257965236E-2</v>
      </c>
    </row>
    <row r="20" spans="1:62" x14ac:dyDescent="0.25">
      <c r="A20" s="56">
        <v>-0.19</v>
      </c>
      <c r="B20" s="63">
        <v>2.7458771761796511E-2</v>
      </c>
      <c r="C20" s="63">
        <v>2.7281210601249703E-2</v>
      </c>
      <c r="D20" s="63">
        <v>2.7104194563383924E-2</v>
      </c>
      <c r="E20" s="63">
        <v>2.6927734398692518E-2</v>
      </c>
      <c r="F20" s="63">
        <v>2.6751841107109098E-2</v>
      </c>
      <c r="G20" s="63">
        <v>2.6576525943964563E-2</v>
      </c>
      <c r="H20" s="63">
        <v>2.6401800426053463E-2</v>
      </c>
      <c r="I20" s="63">
        <v>2.6227676337808089E-2</v>
      </c>
      <c r="J20" s="63">
        <v>2.6054165737578423E-2</v>
      </c>
      <c r="K20" s="63">
        <v>2.5881280964015645E-2</v>
      </c>
      <c r="L20" s="63">
        <v>2.570903464255626E-2</v>
      </c>
      <c r="M20" s="63">
        <v>2.5537439692003637E-2</v>
      </c>
      <c r="N20" s="63">
        <v>2.5366509331203095E-2</v>
      </c>
      <c r="O20" s="63">
        <v>2.5196257085806032E-2</v>
      </c>
      <c r="P20" s="63">
        <v>2.5026696795118077E-2</v>
      </c>
      <c r="Q20" s="63">
        <v>2.4857842619025534E-2</v>
      </c>
      <c r="R20" s="63">
        <v>2.4689709044993569E-2</v>
      </c>
      <c r="S20" s="63">
        <v>2.45223108951289E-2</v>
      </c>
      <c r="T20" s="63">
        <v>2.4355663333298982E-2</v>
      </c>
      <c r="U20" s="63">
        <v>2.4189781872298415E-2</v>
      </c>
      <c r="V20" s="63">
        <v>2.4024682381052938E-2</v>
      </c>
      <c r="W20" s="63">
        <v>2.3860381091849722E-2</v>
      </c>
      <c r="X20" s="63">
        <v>2.3696894607582026E-2</v>
      </c>
      <c r="Y20" s="63">
        <v>2.353423990899486E-2</v>
      </c>
      <c r="Z20" s="63">
        <v>2.3372434361917212E-2</v>
      </c>
      <c r="AA20" s="63">
        <v>2.3211495724464997E-2</v>
      </c>
      <c r="AB20" s="63">
        <v>2.3051442154197441E-2</v>
      </c>
      <c r="AC20" s="63">
        <v>2.2892292215208387E-2</v>
      </c>
      <c r="AD20" s="63">
        <v>2.2734064885132101E-2</v>
      </c>
      <c r="AE20" s="63">
        <v>2.25767795620418E-2</v>
      </c>
      <c r="AF20" s="63">
        <v>2.2420456071217332E-2</v>
      </c>
      <c r="AG20" s="63">
        <v>2.2265114671756573E-2</v>
      </c>
      <c r="AH20" s="63">
        <v>2.2110776063003292E-2</v>
      </c>
      <c r="AI20" s="63">
        <v>2.1957461390762257E-2</v>
      </c>
      <c r="AJ20" s="63">
        <v>2.1805192253270243E-2</v>
      </c>
      <c r="AK20" s="63">
        <v>2.1653990706889666E-2</v>
      </c>
      <c r="AL20" s="63">
        <v>2.1503879271489071E-2</v>
      </c>
      <c r="AM20" s="63">
        <v>2.135488093547273E-2</v>
      </c>
      <c r="AN20" s="63">
        <v>2.1207019160419081E-2</v>
      </c>
      <c r="AO20" s="63">
        <v>2.1060317885285427E-2</v>
      </c>
      <c r="AP20" s="63">
        <v>2.0914801530133875E-2</v>
      </c>
      <c r="AQ20" s="63">
        <v>2.0770494999330983E-2</v>
      </c>
      <c r="AR20" s="63">
        <v>2.0627423684171087E-2</v>
      </c>
      <c r="AS20" s="63">
        <v>2.0485613464870833E-2</v>
      </c>
      <c r="AT20" s="63">
        <v>2.0345090711879808E-2</v>
      </c>
      <c r="AU20" s="63">
        <v>2.0205882286449775E-2</v>
      </c>
      <c r="AV20" s="63">
        <v>2.006801554040253E-2</v>
      </c>
      <c r="AW20" s="63">
        <v>1.9931518315034008E-2</v>
      </c>
      <c r="AX20" s="63">
        <v>1.9796418939089983E-2</v>
      </c>
      <c r="AY20" s="63">
        <v>1.9662746225746573E-2</v>
      </c>
      <c r="AZ20" s="63">
        <v>1.9530529468526642E-2</v>
      </c>
      <c r="BA20" s="63">
        <v>1.939979843608149E-2</v>
      </c>
      <c r="BB20" s="63">
        <v>1.9270583365765506E-2</v>
      </c>
      <c r="BC20" s="63">
        <v>1.9142914955930103E-2</v>
      </c>
      <c r="BD20" s="63">
        <v>1.9016824356862333E-2</v>
      </c>
      <c r="BE20" s="63">
        <v>1.8892343160292709E-2</v>
      </c>
      <c r="BF20" s="63">
        <v>1.8769503387396552E-2</v>
      </c>
      <c r="BG20" s="63">
        <v>1.8648337475213394E-2</v>
      </c>
      <c r="BH20" s="63">
        <v>1.8528878261409462E-2</v>
      </c>
      <c r="BI20" s="63">
        <v>1.8411158967309525E-2</v>
      </c>
      <c r="BJ20" s="63">
        <v>1.8295213179126329E-2</v>
      </c>
    </row>
    <row r="21" spans="1:62" x14ac:dyDescent="0.25">
      <c r="A21" s="56">
        <v>-0.18</v>
      </c>
      <c r="B21" s="63">
        <v>2.7238172287468086E-2</v>
      </c>
      <c r="C21" s="63">
        <v>2.7060571380365484E-2</v>
      </c>
      <c r="D21" s="63">
        <v>2.6883519545599723E-2</v>
      </c>
      <c r="E21" s="63">
        <v>2.6707027703249859E-2</v>
      </c>
      <c r="F21" s="63">
        <v>2.6531107028964968E-2</v>
      </c>
      <c r="G21" s="63">
        <v>2.6355768960122549E-2</v>
      </c>
      <c r="H21" s="63">
        <v>2.6181025202101037E-2</v>
      </c>
      <c r="I21" s="63">
        <v>2.6006887734664953E-2</v>
      </c>
      <c r="J21" s="63">
        <v>2.5833368818460534E-2</v>
      </c>
      <c r="K21" s="63">
        <v>2.5660481001619544E-2</v>
      </c>
      <c r="L21" s="63">
        <v>2.5488237126468197E-2</v>
      </c>
      <c r="M21" s="63">
        <v>2.5316650336337787E-2</v>
      </c>
      <c r="N21" s="63">
        <v>2.5145734082472886E-2</v>
      </c>
      <c r="O21" s="63">
        <v>2.4975502131032536E-2</v>
      </c>
      <c r="P21" s="63">
        <v>2.4805968570179013E-2</v>
      </c>
      <c r="Q21" s="63">
        <v>2.4637147817248104E-2</v>
      </c>
      <c r="R21" s="63">
        <v>2.4469054625994101E-2</v>
      </c>
      <c r="S21" s="63">
        <v>2.4301704093901706E-2</v>
      </c>
      <c r="T21" s="63">
        <v>2.4135111669556474E-2</v>
      </c>
      <c r="U21" s="63">
        <v>2.3969293160063958E-2</v>
      </c>
      <c r="V21" s="63">
        <v>2.3804264738507313E-2</v>
      </c>
      <c r="W21" s="63">
        <v>2.364004295143142E-2</v>
      </c>
      <c r="X21" s="63">
        <v>2.3476644726340857E-2</v>
      </c>
      <c r="Y21" s="63">
        <v>2.3314087379197573E-2</v>
      </c>
      <c r="Z21" s="63">
        <v>2.3152388621902859E-2</v>
      </c>
      <c r="AA21" s="63">
        <v>2.2991566569746838E-2</v>
      </c>
      <c r="AB21" s="63">
        <v>2.2831639748807132E-2</v>
      </c>
      <c r="AC21" s="63">
        <v>2.267262710327687E-2</v>
      </c>
      <c r="AD21" s="63">
        <v>2.2514548002700526E-2</v>
      </c>
      <c r="AE21" s="63">
        <v>2.2357422249094226E-2</v>
      </c>
      <c r="AF21" s="63">
        <v>2.2201270083925525E-2</v>
      </c>
      <c r="AG21" s="63">
        <v>2.2046112194925558E-2</v>
      </c>
      <c r="AH21" s="63">
        <v>2.1891969722704498E-2</v>
      </c>
      <c r="AI21" s="63">
        <v>2.1738864267139193E-2</v>
      </c>
      <c r="AJ21" s="63">
        <v>2.1586817893499682E-2</v>
      </c>
      <c r="AK21" s="63">
        <v>2.1435853138278886E-2</v>
      </c>
      <c r="AL21" s="63">
        <v>2.1285993014687605E-2</v>
      </c>
      <c r="AM21" s="63">
        <v>2.1137261017774373E-2</v>
      </c>
      <c r="AN21" s="63">
        <v>2.0989681129127354E-2</v>
      </c>
      <c r="AO21" s="63">
        <v>2.0843277821112761E-2</v>
      </c>
      <c r="AP21" s="63">
        <v>2.0698076060601953E-2</v>
      </c>
      <c r="AQ21" s="63">
        <v>2.055410131213627E-2</v>
      </c>
      <c r="AR21" s="63">
        <v>2.0411379540476591E-2</v>
      </c>
      <c r="AS21" s="63">
        <v>2.0269937212481357E-2</v>
      </c>
      <c r="AT21" s="63">
        <v>2.0129801298254601E-2</v>
      </c>
      <c r="AU21" s="63">
        <v>1.9990999271502528E-2</v>
      </c>
      <c r="AV21" s="63">
        <v>1.9853559109034902E-2</v>
      </c>
      <c r="AW21" s="63">
        <v>1.9717509289344751E-2</v>
      </c>
      <c r="AX21" s="63">
        <v>1.9582878790197739E-2</v>
      </c>
      <c r="AY21" s="63">
        <v>1.9449697085160023E-2</v>
      </c>
      <c r="AZ21" s="63">
        <v>1.9317994138991604E-2</v>
      </c>
      <c r="BA21" s="63">
        <v>1.9187800401830109E-2</v>
      </c>
      <c r="BB21" s="63">
        <v>1.905914680208837E-2</v>
      </c>
      <c r="BC21" s="63">
        <v>1.8932064737987898E-2</v>
      </c>
      <c r="BD21" s="63">
        <v>1.8806586067649286E-2</v>
      </c>
      <c r="BE21" s="63">
        <v>1.8682743097659979E-2</v>
      </c>
      <c r="BF21" s="63">
        <v>1.8560568570039793E-2</v>
      </c>
      <c r="BG21" s="63">
        <v>1.8440095647524767E-2</v>
      </c>
      <c r="BH21" s="63">
        <v>1.8321357897091061E-2</v>
      </c>
      <c r="BI21" s="63">
        <v>1.8204389271641776E-2</v>
      </c>
      <c r="BJ21" s="63">
        <v>1.8089224089782214E-2</v>
      </c>
    </row>
    <row r="22" spans="1:62" x14ac:dyDescent="0.25">
      <c r="A22" s="56">
        <v>-0.17</v>
      </c>
      <c r="B22" s="63">
        <v>2.7021121771832118E-2</v>
      </c>
      <c r="C22" s="63">
        <v>2.6843503950583578E-2</v>
      </c>
      <c r="D22" s="63">
        <v>2.6666439446212883E-2</v>
      </c>
      <c r="E22" s="63">
        <v>2.648993935419269E-2</v>
      </c>
      <c r="F22" s="63">
        <v>2.6314015031838087E-2</v>
      </c>
      <c r="G22" s="63">
        <v>2.6138678104669352E-2</v>
      </c>
      <c r="H22" s="63">
        <v>2.5963940472893684E-2</v>
      </c>
      <c r="I22" s="63">
        <v>2.5789814318004284E-2</v>
      </c>
      <c r="J22" s="63">
        <v>2.5616312109494537E-2</v>
      </c>
      <c r="K22" s="63">
        <v>2.5443446611684916E-2</v>
      </c>
      <c r="L22" s="63">
        <v>2.5271230890659246E-2</v>
      </c>
      <c r="M22" s="63">
        <v>2.5099678321306943E-2</v>
      </c>
      <c r="N22" s="63">
        <v>2.4928802594466653E-2</v>
      </c>
      <c r="O22" s="63">
        <v>2.4758617724166567E-2</v>
      </c>
      <c r="P22" s="63">
        <v>2.4589138054955658E-2</v>
      </c>
      <c r="Q22" s="63">
        <v>2.4420378269319414E-2</v>
      </c>
      <c r="R22" s="63">
        <v>2.4252353395172878E-2</v>
      </c>
      <c r="S22" s="63">
        <v>2.4085078813422731E-2</v>
      </c>
      <c r="T22" s="63">
        <v>2.3918570265589495E-2</v>
      </c>
      <c r="U22" s="63">
        <v>2.3752843861479515E-2</v>
      </c>
      <c r="V22" s="63">
        <v>2.3587916086895724E-2</v>
      </c>
      <c r="W22" s="63">
        <v>2.3423803811374641E-2</v>
      </c>
      <c r="X22" s="63">
        <v>2.326052429593602E-2</v>
      </c>
      <c r="Y22" s="63">
        <v>2.309809520083024E-2</v>
      </c>
      <c r="Z22" s="63">
        <v>2.2936534593266909E-2</v>
      </c>
      <c r="AA22" s="63">
        <v>2.277586095510702E-2</v>
      </c>
      <c r="AB22" s="63">
        <v>2.2616093190498954E-2</v>
      </c>
      <c r="AC22" s="63">
        <v>2.2457250633437377E-2</v>
      </c>
      <c r="AD22" s="63">
        <v>2.2299353055222033E-2</v>
      </c>
      <c r="AE22" s="63">
        <v>2.214242067179157E-2</v>
      </c>
      <c r="AF22" s="63">
        <v>2.1986474150905846E-2</v>
      </c>
      <c r="AG22" s="63">
        <v>2.1831534619147715E-2</v>
      </c>
      <c r="AH22" s="63">
        <v>2.1677623668713449E-2</v>
      </c>
      <c r="AI22" s="63">
        <v>2.1524763363958543E-2</v>
      </c>
      <c r="AJ22" s="63">
        <v>2.1372976247663402E-2</v>
      </c>
      <c r="AK22" s="63">
        <v>2.1222285346980941E-2</v>
      </c>
      <c r="AL22" s="63">
        <v>2.1072714179025585E-2</v>
      </c>
      <c r="AM22" s="63">
        <v>2.0924286756060669E-2</v>
      </c>
      <c r="AN22" s="63">
        <v>2.07770275902385E-2</v>
      </c>
      <c r="AO22" s="63">
        <v>2.0630961697844664E-2</v>
      </c>
      <c r="AP22" s="63">
        <v>2.0486114602995396E-2</v>
      </c>
      <c r="AQ22" s="63">
        <v>2.0342512340733997E-2</v>
      </c>
      <c r="AR22" s="63">
        <v>2.0200181459469481E-2</v>
      </c>
      <c r="AS22" s="63">
        <v>2.0059149022697849E-2</v>
      </c>
      <c r="AT22" s="63">
        <v>1.9919442609943466E-2</v>
      </c>
      <c r="AU22" s="63">
        <v>1.9781090316855359E-2</v>
      </c>
      <c r="AV22" s="63">
        <v>1.9644120754390412E-2</v>
      </c>
      <c r="AW22" s="63">
        <v>1.9508563047013008E-2</v>
      </c>
      <c r="AX22" s="63">
        <v>1.9374446829837917E-2</v>
      </c>
      <c r="AY22" s="63">
        <v>1.9241802244641164E-2</v>
      </c>
      <c r="AZ22" s="63">
        <v>1.9110659934661198E-2</v>
      </c>
      <c r="BA22" s="63">
        <v>1.8981051038111079E-2</v>
      </c>
      <c r="BB22" s="63">
        <v>1.885300718032051E-2</v>
      </c>
      <c r="BC22" s="63">
        <v>1.8726560464425428E-2</v>
      </c>
      <c r="BD22" s="63">
        <v>1.8601743460521979E-2</v>
      </c>
      <c r="BE22" s="63">
        <v>1.8478589193201111E-2</v>
      </c>
      <c r="BF22" s="63">
        <v>1.8357131127380216E-2</v>
      </c>
      <c r="BG22" s="63">
        <v>1.8237403152348741E-2</v>
      </c>
      <c r="BH22" s="63">
        <v>1.8119439563946071E-2</v>
      </c>
      <c r="BI22" s="63">
        <v>1.8003275044791565E-2</v>
      </c>
      <c r="BJ22" s="63">
        <v>1.7888944642489704E-2</v>
      </c>
    </row>
    <row r="23" spans="1:62" x14ac:dyDescent="0.25">
      <c r="A23" s="56">
        <v>-0.16</v>
      </c>
      <c r="B23" s="63">
        <v>2.6807706418222152E-2</v>
      </c>
      <c r="C23" s="63">
        <v>2.6630095655276211E-2</v>
      </c>
      <c r="D23" s="63">
        <v>2.6453042767694203E-2</v>
      </c>
      <c r="E23" s="63">
        <v>2.6276559032462409E-2</v>
      </c>
      <c r="F23" s="63">
        <v>2.6100655994825715E-2</v>
      </c>
      <c r="G23" s="63">
        <v>2.5925345474857357E-2</v>
      </c>
      <c r="H23" s="63">
        <v>2.5750639574152488E-2</v>
      </c>
      <c r="I23" s="63">
        <v>2.5576550682643574E-2</v>
      </c>
      <c r="J23" s="63">
        <v>2.5403091485535545E-2</v>
      </c>
      <c r="K23" s="63">
        <v>2.5230274970357888E-2</v>
      </c>
      <c r="L23" s="63">
        <v>2.5058114434130366E-2</v>
      </c>
      <c r="M23" s="63">
        <v>2.4886623490638575E-2</v>
      </c>
      <c r="N23" s="63">
        <v>2.4715816077814642E-2</v>
      </c>
      <c r="O23" s="63">
        <v>2.4545706465217976E-2</v>
      </c>
      <c r="P23" s="63">
        <v>2.4376309261609976E-2</v>
      </c>
      <c r="Q23" s="63">
        <v>2.420763942261589E-2</v>
      </c>
      <c r="R23" s="63">
        <v>2.4039712258466156E-2</v>
      </c>
      <c r="S23" s="63">
        <v>2.3872543441808506E-2</v>
      </c>
      <c r="T23" s="63">
        <v>2.3706149015581313E-2</v>
      </c>
      <c r="U23" s="63">
        <v>2.3540545400937193E-2</v>
      </c>
      <c r="V23" s="63">
        <v>2.3375749405205169E-2</v>
      </c>
      <c r="W23" s="63">
        <v>2.3211778229878036E-2</v>
      </c>
      <c r="X23" s="63">
        <v>2.3048649478610593E-2</v>
      </c>
      <c r="Y23" s="63">
        <v>2.2886381165212608E-2</v>
      </c>
      <c r="Z23" s="63">
        <v>2.2724991721619316E-2</v>
      </c>
      <c r="AA23" s="63">
        <v>2.2564500005820217E-2</v>
      </c>
      <c r="AB23" s="63">
        <v>2.2404925309725553E-2</v>
      </c>
      <c r="AC23" s="63">
        <v>2.2246287366947917E-2</v>
      </c>
      <c r="AD23" s="63">
        <v>2.2088606360474588E-2</v>
      </c>
      <c r="AE23" s="63">
        <v>2.1931902930204115E-2</v>
      </c>
      <c r="AF23" s="63">
        <v>2.1776198180318798E-2</v>
      </c>
      <c r="AG23" s="63">
        <v>2.1621513686462136E-2</v>
      </c>
      <c r="AH23" s="63">
        <v>2.1467871502688498E-2</v>
      </c>
      <c r="AI23" s="63">
        <v>2.1315294168149458E-2</v>
      </c>
      <c r="AJ23" s="63">
        <v>2.1163804713478951E-2</v>
      </c>
      <c r="AK23" s="63">
        <v>2.1013426666836785E-2</v>
      </c>
      <c r="AL23" s="63">
        <v>2.0864184059567401E-2</v>
      </c>
      <c r="AM23" s="63">
        <v>2.0716101431427963E-2</v>
      </c>
      <c r="AN23" s="63">
        <v>2.0569203835337016E-2</v>
      </c>
      <c r="AO23" s="63">
        <v>2.0423516841592194E-2</v>
      </c>
      <c r="AP23" s="63">
        <v>2.0279066541502425E-2</v>
      </c>
      <c r="AQ23" s="63">
        <v>2.0135879550377035E-2</v>
      </c>
      <c r="AR23" s="63">
        <v>1.9993983009811398E-2</v>
      </c>
      <c r="AS23" s="63">
        <v>1.9853404589205544E-2</v>
      </c>
      <c r="AT23" s="63">
        <v>1.9714172486449296E-2</v>
      </c>
      <c r="AU23" s="63">
        <v>1.9576315427704653E-2</v>
      </c>
      <c r="AV23" s="63">
        <v>1.9439862666213097E-2</v>
      </c>
      <c r="AW23" s="63">
        <v>1.9304843980053048E-2</v>
      </c>
      <c r="AX23" s="63">
        <v>1.9171289668769832E-2</v>
      </c>
      <c r="AY23" s="63">
        <v>1.9039230548798376E-2</v>
      </c>
      <c r="AZ23" s="63">
        <v>1.8908697947596489E-2</v>
      </c>
      <c r="BA23" s="63">
        <v>1.87797236964048E-2</v>
      </c>
      <c r="BB23" s="63">
        <v>1.865234012154781E-2</v>
      </c>
      <c r="BC23" s="63">
        <v>1.8526580034189319E-2</v>
      </c>
      <c r="BD23" s="63">
        <v>1.8402476718454731E-2</v>
      </c>
      <c r="BE23" s="63">
        <v>1.8280063917832462E-2</v>
      </c>
      <c r="BF23" s="63">
        <v>1.8159375819766999E-2</v>
      </c>
      <c r="BG23" s="63">
        <v>1.8040447038356944E-2</v>
      </c>
      <c r="BH23" s="63">
        <v>1.7923312595073255E-2</v>
      </c>
      <c r="BI23" s="63">
        <v>1.7808007897414789E-2</v>
      </c>
      <c r="BJ23" s="63">
        <v>1.7694568715421945E-2</v>
      </c>
    </row>
    <row r="24" spans="1:62" x14ac:dyDescent="0.25">
      <c r="A24" s="56">
        <v>-0.15</v>
      </c>
      <c r="B24" s="63">
        <v>2.6598013729487828E-2</v>
      </c>
      <c r="C24" s="63">
        <v>2.6420435163417539E-2</v>
      </c>
      <c r="D24" s="63">
        <v>2.6243419364697936E-2</v>
      </c>
      <c r="E24" s="63">
        <v>2.606697779826387E-2</v>
      </c>
      <c r="F24" s="63">
        <v>2.5891122203869153E-2</v>
      </c>
      <c r="G24" s="63">
        <v>2.5715864602865623E-2</v>
      </c>
      <c r="H24" s="63">
        <v>2.5541217305110456E-2</v>
      </c>
      <c r="I24" s="63">
        <v>2.5367192915999915E-2</v>
      </c>
      <c r="J24" s="63">
        <v>2.5193804343627123E-2</v>
      </c>
      <c r="K24" s="63">
        <v>2.5021064806060894E-2</v>
      </c>
      <c r="L24" s="63">
        <v>2.4848987838742235E-2</v>
      </c>
      <c r="M24" s="63">
        <v>2.4677587301994208E-2</v>
      </c>
      <c r="N24" s="63">
        <v>2.4506877388640477E-2</v>
      </c>
      <c r="O24" s="63">
        <v>2.4336872631726868E-2</v>
      </c>
      <c r="P24" s="63">
        <v>2.4167587912339542E-2</v>
      </c>
      <c r="Q24" s="63">
        <v>2.3999038467512616E-2</v>
      </c>
      <c r="R24" s="63">
        <v>2.3831239898216932E-2</v>
      </c>
      <c r="S24" s="63">
        <v>2.3664208177420772E-2</v>
      </c>
      <c r="T24" s="63">
        <v>2.3497959658212369E-2</v>
      </c>
      <c r="U24" s="63">
        <v>2.3332511081972505E-2</v>
      </c>
      <c r="V24" s="63">
        <v>2.3167879586584731E-2</v>
      </c>
      <c r="W24" s="63">
        <v>2.3004082714669045E-2</v>
      </c>
      <c r="X24" s="63">
        <v>2.2841138421823611E-2</v>
      </c>
      <c r="Y24" s="63">
        <v>2.2679065084857539E-2</v>
      </c>
      <c r="Z24" s="63">
        <v>2.2517881509996181E-2</v>
      </c>
      <c r="AA24" s="63">
        <v>2.2357606941038593E-2</v>
      </c>
      <c r="AB24" s="63">
        <v>2.2198261067445175E-2</v>
      </c>
      <c r="AC24" s="63">
        <v>2.2039864032331359E-2</v>
      </c>
      <c r="AD24" s="63">
        <v>2.1882436440341387E-2</v>
      </c>
      <c r="AE24" s="63">
        <v>2.1725999365374053E-2</v>
      </c>
      <c r="AF24" s="63">
        <v>2.1570574358129934E-2</v>
      </c>
      <c r="AG24" s="63">
        <v>2.1416183453447479E-2</v>
      </c>
      <c r="AH24" s="63">
        <v>2.1262849177392674E-2</v>
      </c>
      <c r="AI24" s="63">
        <v>2.1110594554064679E-2</v>
      </c>
      <c r="AJ24" s="63">
        <v>2.0959443112076905E-2</v>
      </c>
      <c r="AK24" s="63">
        <v>2.0809418890670558E-2</v>
      </c>
      <c r="AL24" s="63">
        <v>2.0660546445414537E-2</v>
      </c>
      <c r="AM24" s="63">
        <v>2.0512850853442868E-2</v>
      </c>
      <c r="AN24" s="63">
        <v>2.0366357718177748E-2</v>
      </c>
      <c r="AO24" s="63">
        <v>2.0221093173483248E-2</v>
      </c>
      <c r="AP24" s="63">
        <v>2.0077083887191614E-2</v>
      </c>
      <c r="AQ24" s="63">
        <v>1.9934357063940974E-2</v>
      </c>
      <c r="AR24" s="63">
        <v>1.9792940447260068E-2</v>
      </c>
      <c r="AS24" s="63">
        <v>1.9652862320832548E-2</v>
      </c>
      <c r="AT24" s="63">
        <v>1.9514151508870217E-2</v>
      </c>
      <c r="AU24" s="63">
        <v>1.9376837375521573E-2</v>
      </c>
      <c r="AV24" s="63">
        <v>1.9240949823239071E-2</v>
      </c>
      <c r="AW24" s="63">
        <v>1.9106519290025683E-2</v>
      </c>
      <c r="AX24" s="63">
        <v>1.8973576745478685E-2</v>
      </c>
      <c r="AY24" s="63">
        <v>1.8842153685546169E-2</v>
      </c>
      <c r="AZ24" s="63">
        <v>1.8712282125909675E-2</v>
      </c>
      <c r="BA24" s="63">
        <v>1.8583994593904252E-2</v>
      </c>
      <c r="BB24" s="63">
        <v>1.845732411888603E-2</v>
      </c>
      <c r="BC24" s="63">
        <v>1.8332304220956167E-2</v>
      </c>
      <c r="BD24" s="63">
        <v>1.8208968897949405E-2</v>
      </c>
      <c r="BE24" s="63">
        <v>1.8087352610595506E-2</v>
      </c>
      <c r="BF24" s="63">
        <v>1.7967490265762477E-2</v>
      </c>
      <c r="BG24" s="63">
        <v>1.7849417197691581E-2</v>
      </c>
      <c r="BH24" s="63">
        <v>1.773316914713648E-2</v>
      </c>
      <c r="BI24" s="63">
        <v>1.7618782238321251E-2</v>
      </c>
      <c r="BJ24" s="63">
        <v>1.7506292953636451E-2</v>
      </c>
    </row>
    <row r="25" spans="1:62" x14ac:dyDescent="0.25">
      <c r="A25" s="56">
        <v>-0.14000000000000001</v>
      </c>
      <c r="B25" s="63">
        <v>2.6392132438540862E-2</v>
      </c>
      <c r="C25" s="63">
        <v>2.6214612398251541E-2</v>
      </c>
      <c r="D25" s="63">
        <v>2.6037660370785455E-2</v>
      </c>
      <c r="E25" s="63">
        <v>2.5861288015775738E-2</v>
      </c>
      <c r="F25" s="63">
        <v>2.5685507274378787E-2</v>
      </c>
      <c r="G25" s="63">
        <v>2.5510330376264274E-2</v>
      </c>
      <c r="H25" s="63">
        <v>2.5335769846737705E-2</v>
      </c>
      <c r="I25" s="63">
        <v>2.5161838513993798E-2</v>
      </c>
      <c r="J25" s="63">
        <v>2.498854951649785E-2</v>
      </c>
      <c r="K25" s="63">
        <v>2.4815916310492243E-2</v>
      </c>
      <c r="L25" s="63">
        <v>2.4643952677623988E-2</v>
      </c>
      <c r="M25" s="63">
        <v>2.4472672732689257E-2</v>
      </c>
      <c r="N25" s="63">
        <v>2.4302090931489405E-2</v>
      </c>
      <c r="O25" s="63">
        <v>2.4132222078792773E-2</v>
      </c>
      <c r="P25" s="63">
        <v>2.3963081336395214E-2</v>
      </c>
      <c r="Q25" s="63">
        <v>2.379468423127187E-2</v>
      </c>
      <c r="R25" s="63">
        <v>2.3627046663811144E-2</v>
      </c>
      <c r="S25" s="63">
        <v>2.346018491612132E-2</v>
      </c>
      <c r="T25" s="63">
        <v>2.3294115660398653E-2</v>
      </c>
      <c r="U25" s="63">
        <v>2.3128855967344746E-2</v>
      </c>
      <c r="V25" s="63">
        <v>2.2964423314619807E-2</v>
      </c>
      <c r="W25" s="63">
        <v>2.2800835595316558E-2</v>
      </c>
      <c r="X25" s="63">
        <v>2.2638111126438567E-2</v>
      </c>
      <c r="Y25" s="63">
        <v>2.2476268657364691E-2</v>
      </c>
      <c r="Z25" s="63">
        <v>2.2315327378280004E-2</v>
      </c>
      <c r="AA25" s="63">
        <v>2.2155306928551399E-2</v>
      </c>
      <c r="AB25" s="63">
        <v>2.1996227405024441E-2</v>
      </c>
      <c r="AC25" s="63">
        <v>2.1838109370215745E-2</v>
      </c>
      <c r="AD25" s="63">
        <v>2.1680973860373227E-2</v>
      </c>
      <c r="AE25" s="63">
        <v>2.1524842393374113E-2</v>
      </c>
      <c r="AF25" s="63">
        <v>2.1369736976428369E-2</v>
      </c>
      <c r="AG25" s="63">
        <v>2.1215680113552571E-2</v>
      </c>
      <c r="AH25" s="63">
        <v>2.1062694812776839E-2</v>
      </c>
      <c r="AI25" s="63">
        <v>2.0910804593044438E-2</v>
      </c>
      <c r="AJ25" s="63">
        <v>2.0760033490761196E-2</v>
      </c>
      <c r="AK25" s="63">
        <v>2.0610406065948588E-2</v>
      </c>
      <c r="AL25" s="63">
        <v>2.0461947407951677E-2</v>
      </c>
      <c r="AM25" s="63">
        <v>2.0314683140649673E-2</v>
      </c>
      <c r="AN25" s="63">
        <v>2.0168639427114016E-2</v>
      </c>
      <c r="AO25" s="63">
        <v>2.0023842973655327E-2</v>
      </c>
      <c r="AP25" s="63">
        <v>1.9880321033197614E-2</v>
      </c>
      <c r="AQ25" s="63">
        <v>1.9738101407914564E-2</v>
      </c>
      <c r="AR25" s="63">
        <v>1.9597212451059574E-2</v>
      </c>
      <c r="AS25" s="63">
        <v>1.9457683067917824E-2</v>
      </c>
      <c r="AT25" s="63">
        <v>1.9319542715805497E-2</v>
      </c>
      <c r="AU25" s="63">
        <v>1.9182821403038099E-2</v>
      </c>
      <c r="AV25" s="63">
        <v>1.9047549686786638E-2</v>
      </c>
      <c r="AW25" s="63">
        <v>1.8913758669737778E-2</v>
      </c>
      <c r="AX25" s="63">
        <v>1.8781479995471126E-2</v>
      </c>
      <c r="AY25" s="63">
        <v>1.8650745842464563E-2</v>
      </c>
      <c r="AZ25" s="63">
        <v>1.8521588916636231E-2</v>
      </c>
      <c r="BA25" s="63">
        <v>1.8394042442330099E-2</v>
      </c>
      <c r="BB25" s="63">
        <v>1.8268140151650517E-2</v>
      </c>
      <c r="BC25" s="63">
        <v>1.8143916272050437E-2</v>
      </c>
      <c r="BD25" s="63">
        <v>1.8021405512077388E-2</v>
      </c>
      <c r="BE25" s="63">
        <v>1.790064304518181E-2</v>
      </c>
      <c r="BF25" s="63">
        <v>1.778166449149304E-2</v>
      </c>
      <c r="BG25" s="63">
        <v>1.7664505897470175E-2</v>
      </c>
      <c r="BH25" s="63">
        <v>1.7549203713337506E-2</v>
      </c>
      <c r="BI25" s="63">
        <v>1.7435794768217633E-2</v>
      </c>
      <c r="BJ25" s="63">
        <v>1.7324316242880052E-2</v>
      </c>
    </row>
    <row r="26" spans="1:62" x14ac:dyDescent="0.25">
      <c r="A26" s="56">
        <v>-0.13</v>
      </c>
      <c r="B26" s="63">
        <v>2.6190152429948994E-2</v>
      </c>
      <c r="C26" s="63">
        <v>2.601271845670499E-2</v>
      </c>
      <c r="D26" s="63">
        <v>2.5835858115579678E-2</v>
      </c>
      <c r="E26" s="63">
        <v>2.5659583267965472E-2</v>
      </c>
      <c r="F26" s="63">
        <v>2.548390606362512E-2</v>
      </c>
      <c r="G26" s="63">
        <v>2.5308838947893486E-2</v>
      </c>
      <c r="H26" s="63">
        <v>2.5134394669016354E-2</v>
      </c>
      <c r="I26" s="63">
        <v>2.4960586285623795E-2</v>
      </c>
      <c r="J26" s="63">
        <v>2.4787427174335581E-2</v>
      </c>
      <c r="K26" s="63">
        <v>2.4614931037495E-2</v>
      </c>
      <c r="L26" s="63">
        <v>2.4443111911027326E-2</v>
      </c>
      <c r="M26" s="63">
        <v>2.4271984172417847E-2</v>
      </c>
      <c r="N26" s="63">
        <v>2.4101562548804294E-2</v>
      </c>
      <c r="O26" s="63">
        <v>2.393186212517685E-2</v>
      </c>
      <c r="P26" s="63">
        <v>2.3762898352678891E-2</v>
      </c>
      <c r="Q26" s="63">
        <v>2.3594687056999707E-2</v>
      </c>
      <c r="R26" s="63">
        <v>2.3427244446850258E-2</v>
      </c>
      <c r="S26" s="63">
        <v>2.3260587122511084E-2</v>
      </c>
      <c r="T26" s="63">
        <v>2.3094732084440971E-2</v>
      </c>
      <c r="U26" s="63">
        <v>2.292969674193298E-2</v>
      </c>
      <c r="V26" s="63">
        <v>2.2765498921803622E-2</v>
      </c>
      <c r="W26" s="63">
        <v>2.2602156877099103E-2</v>
      </c>
      <c r="X26" s="63">
        <v>2.2439689295800876E-2</v>
      </c>
      <c r="Y26" s="63">
        <v>2.2278115309511452E-2</v>
      </c>
      <c r="Z26" s="63">
        <v>2.2117454502099069E-2</v>
      </c>
      <c r="AA26" s="63">
        <v>2.195772691827828E-2</v>
      </c>
      <c r="AB26" s="63">
        <v>2.1798953072101154E-2</v>
      </c>
      <c r="AC26" s="63">
        <v>2.1641153955331966E-2</v>
      </c>
      <c r="AD26" s="63">
        <v>2.1484351045675497E-2</v>
      </c>
      <c r="AE26" s="63">
        <v>2.1328566314827206E-2</v>
      </c>
      <c r="AF26" s="63">
        <v>2.1173822236310362E-2</v>
      </c>
      <c r="AG26" s="63">
        <v>2.1020141793063312E-2</v>
      </c>
      <c r="AH26" s="63">
        <v>2.0867548484736494E-2</v>
      </c>
      <c r="AI26" s="63">
        <v>2.0716066334656679E-2</v>
      </c>
      <c r="AJ26" s="63">
        <v>2.0565719896412305E-2</v>
      </c>
      <c r="AK26" s="63">
        <v>2.0416534260011138E-2</v>
      </c>
      <c r="AL26" s="63">
        <v>2.0268535057557897E-2</v>
      </c>
      <c r="AM26" s="63">
        <v>2.0121748468396698E-2</v>
      </c>
      <c r="AN26" s="63">
        <v>1.9976201223659163E-2</v>
      </c>
      <c r="AO26" s="63">
        <v>1.9831920610156369E-2</v>
      </c>
      <c r="AP26" s="63">
        <v>1.9688934473548685E-2</v>
      </c>
      <c r="AQ26" s="63">
        <v>1.9547271220724614E-2</v>
      </c>
      <c r="AR26" s="63">
        <v>1.9406959821315899E-2</v>
      </c>
      <c r="AS26" s="63">
        <v>1.9268029808272986E-2</v>
      </c>
      <c r="AT26" s="63">
        <v>1.9130511277421443E-2</v>
      </c>
      <c r="AU26" s="63">
        <v>1.8994434885916654E-2</v>
      </c>
      <c r="AV26" s="63">
        <v>1.8859831849511066E-2</v>
      </c>
      <c r="AW26" s="63">
        <v>1.8726733938545254E-2</v>
      </c>
      <c r="AX26" s="63">
        <v>1.8595173472571291E-2</v>
      </c>
      <c r="AY26" s="63">
        <v>1.8465183313514693E-2</v>
      </c>
      <c r="AZ26" s="63">
        <v>1.8336796857278799E-2</v>
      </c>
      <c r="BA26" s="63">
        <v>1.821004802369406E-2</v>
      </c>
      <c r="BB26" s="63">
        <v>1.808497124471322E-2</v>
      </c>
      <c r="BC26" s="63">
        <v>1.7961601450752939E-2</v>
      </c>
      <c r="BD26" s="63">
        <v>1.783997405508209E-2</v>
      </c>
      <c r="BE26" s="63">
        <v>1.7720124936157759E-2</v>
      </c>
      <c r="BF26" s="63">
        <v>1.7602090417811283E-2</v>
      </c>
      <c r="BG26" s="63">
        <v>1.7485907247188896E-2</v>
      </c>
      <c r="BH26" s="63">
        <v>1.73716125703548E-2</v>
      </c>
      <c r="BI26" s="63">
        <v>1.7259243905468475E-2</v>
      </c>
      <c r="BJ26" s="63">
        <v>1.7148839113453666E-2</v>
      </c>
    </row>
    <row r="27" spans="1:62" x14ac:dyDescent="0.25">
      <c r="A27" s="56">
        <v>-0.12</v>
      </c>
      <c r="B27" s="63">
        <v>2.5992164652169112E-2</v>
      </c>
      <c r="C27" s="63">
        <v>2.5814845519120628E-2</v>
      </c>
      <c r="D27" s="63">
        <v>2.5638106031908463E-2</v>
      </c>
      <c r="E27" s="63">
        <v>2.546195826104948E-2</v>
      </c>
      <c r="F27" s="63">
        <v>2.5286414572418061E-2</v>
      </c>
      <c r="G27" s="63">
        <v>2.5111487634660225E-2</v>
      </c>
      <c r="H27" s="63">
        <v>2.4937190426748471E-2</v>
      </c>
      <c r="I27" s="63">
        <v>2.4763536245675098E-2</v>
      </c>
      <c r="J27" s="63">
        <v>2.4590538714280713E-2</v>
      </c>
      <c r="K27" s="63">
        <v>2.4418211789214602E-2</v>
      </c>
      <c r="L27" s="63">
        <v>2.4246569769022279E-2</v>
      </c>
      <c r="M27" s="63">
        <v>2.4075627302355337E-2</v>
      </c>
      <c r="N27" s="63">
        <v>2.3905399396297392E-2</v>
      </c>
      <c r="O27" s="63">
        <v>2.3735901424799519E-2</v>
      </c>
      <c r="P27" s="63">
        <v>2.3567149137217035E-2</v>
      </c>
      <c r="Q27" s="63">
        <v>2.3399158666938983E-2</v>
      </c>
      <c r="R27" s="63">
        <v>2.3231946540100076E-2</v>
      </c>
      <c r="S27" s="63">
        <v>2.306552968436397E-2</v>
      </c>
      <c r="T27" s="63">
        <v>2.2899925437765277E-2</v>
      </c>
      <c r="U27" s="63">
        <v>2.2735151557596197E-2</v>
      </c>
      <c r="V27" s="63">
        <v>2.2571226229322471E-2</v>
      </c>
      <c r="W27" s="63">
        <v>2.2408168075511353E-2</v>
      </c>
      <c r="X27" s="63">
        <v>2.2245996164752965E-2</v>
      </c>
      <c r="Y27" s="63">
        <v>2.2084730020554177E-2</v>
      </c>
      <c r="Z27" s="63">
        <v>2.1924389630182554E-2</v>
      </c>
      <c r="AA27" s="63">
        <v>2.1764995453435576E-2</v>
      </c>
      <c r="AB27" s="63">
        <v>2.1606568431308405E-2</v>
      </c>
      <c r="AC27" s="63">
        <v>2.1449129994530775E-2</v>
      </c>
      <c r="AD27" s="63">
        <v>2.1292702071941762E-2</v>
      </c>
      <c r="AE27" s="63">
        <v>2.1137307098667794E-2</v>
      </c>
      <c r="AF27" s="63">
        <v>2.0982968024067447E-2</v>
      </c>
      <c r="AG27" s="63">
        <v>2.0829708319403027E-2</v>
      </c>
      <c r="AH27" s="63">
        <v>2.067755198519652E-2</v>
      </c>
      <c r="AI27" s="63">
        <v>2.0526523558224059E-2</v>
      </c>
      <c r="AJ27" s="63">
        <v>2.037664811810019E-2</v>
      </c>
      <c r="AK27" s="63">
        <v>2.0227951293399694E-2</v>
      </c>
      <c r="AL27" s="63">
        <v>2.0080459267261572E-2</v>
      </c>
      <c r="AM27" s="63">
        <v>1.9934198782416049E-2</v>
      </c>
      <c r="AN27" s="63">
        <v>1.9789197145572378E-2</v>
      </c>
      <c r="AO27" s="63">
        <v>1.9645482231101078E-2</v>
      </c>
      <c r="AP27" s="63">
        <v>1.9503082483941163E-2</v>
      </c>
      <c r="AQ27" s="63">
        <v>1.9362026921658865E-2</v>
      </c>
      <c r="AR27" s="63">
        <v>1.9222345135581111E-2</v>
      </c>
      <c r="AS27" s="63">
        <v>1.9084067290923098E-2</v>
      </c>
      <c r="AT27" s="63">
        <v>1.8947224125826161E-2</v>
      </c>
      <c r="AU27" s="63">
        <v>1.8811846949218537E-2</v>
      </c>
      <c r="AV27" s="63">
        <v>1.8677967637408591E-2</v>
      </c>
      <c r="AW27" s="63">
        <v>1.8545618629316966E-2</v>
      </c>
      <c r="AX27" s="63">
        <v>1.8414832920251551E-2</v>
      </c>
      <c r="AY27" s="63">
        <v>1.8285644054126665E-2</v>
      </c>
      <c r="AZ27" s="63">
        <v>1.8158086114025935E-2</v>
      </c>
      <c r="BA27" s="63">
        <v>1.8032193711006738E-2</v>
      </c>
      <c r="BB27" s="63">
        <v>1.790800197104318E-2</v>
      </c>
      <c r="BC27" s="63">
        <v>1.7785546520004039E-2</v>
      </c>
      <c r="BD27" s="63">
        <v>1.7664863466562514E-2</v>
      </c>
      <c r="BE27" s="63">
        <v>1.7545989382935587E-2</v>
      </c>
      <c r="BF27" s="63">
        <v>1.7428961283352699E-2</v>
      </c>
      <c r="BG27" s="63">
        <v>1.7313816600156424E-2</v>
      </c>
      <c r="BH27" s="63">
        <v>1.7200593157441497E-2</v>
      </c>
      <c r="BI27" s="63">
        <v>1.7089329142143651E-2</v>
      </c>
      <c r="BJ27" s="63">
        <v>1.6980063072496027E-2</v>
      </c>
    </row>
    <row r="28" spans="1:62" x14ac:dyDescent="0.25">
      <c r="A28" s="56">
        <v>-0.11</v>
      </c>
      <c r="B28" s="63">
        <v>2.5798261020037769E-2</v>
      </c>
      <c r="C28" s="63">
        <v>2.5621086748913446E-2</v>
      </c>
      <c r="D28" s="63">
        <v>2.5444498552524519E-2</v>
      </c>
      <c r="E28" s="63">
        <v>2.5268508718169786E-2</v>
      </c>
      <c r="F28" s="63">
        <v>2.5093129835629283E-2</v>
      </c>
      <c r="G28" s="63">
        <v>2.4918374804790148E-2</v>
      </c>
      <c r="H28" s="63">
        <v>2.4744256843416784E-2</v>
      </c>
      <c r="I28" s="63">
        <v>2.4570789495062671E-2</v>
      </c>
      <c r="J28" s="63">
        <v>2.4397986637120526E-2</v>
      </c>
      <c r="K28" s="63">
        <v>2.4225862489006812E-2</v>
      </c>
      <c r="L28" s="63">
        <v>2.4054431620475863E-2</v>
      </c>
      <c r="M28" s="63">
        <v>2.388370896005804E-2</v>
      </c>
      <c r="N28" s="63">
        <v>2.3713709803615503E-2</v>
      </c>
      <c r="O28" s="63">
        <v>2.3544449823008167E-2</v>
      </c>
      <c r="P28" s="63">
        <v>2.3375945074861348E-2</v>
      </c>
      <c r="Q28" s="63">
        <v>2.3208212009425588E-2</v>
      </c>
      <c r="R28" s="63">
        <v>2.3041267479517773E-2</v>
      </c>
      <c r="S28" s="63">
        <v>2.2875128749531584E-2</v>
      </c>
      <c r="T28" s="63">
        <v>2.2709813504503629E-2</v>
      </c>
      <c r="U28" s="63">
        <v>2.2545339859220363E-2</v>
      </c>
      <c r="V28" s="63">
        <v>2.2381726367349131E-2</v>
      </c>
      <c r="W28" s="63">
        <v>2.2218992030575063E-2</v>
      </c>
      <c r="X28" s="63">
        <v>2.2057156307723601E-2</v>
      </c>
      <c r="Y28" s="63">
        <v>2.189623912384658E-2</v>
      </c>
      <c r="Z28" s="63">
        <v>2.173626087924771E-2</v>
      </c>
      <c r="AA28" s="63">
        <v>2.1577242458420975E-2</v>
      </c>
      <c r="AB28" s="63">
        <v>2.1419205238873393E-2</v>
      </c>
      <c r="AC28" s="63">
        <v>2.1262171099800786E-2</v>
      </c>
      <c r="AD28" s="63">
        <v>2.1106162430582977E-2</v>
      </c>
      <c r="AE28" s="63">
        <v>2.0951202139061771E-2</v>
      </c>
      <c r="AF28" s="63">
        <v>2.0797313659562545E-2</v>
      </c>
      <c r="AG28" s="63">
        <v>2.0644520960616961E-2</v>
      </c>
      <c r="AH28" s="63">
        <v>2.04928485523415E-2</v>
      </c>
      <c r="AI28" s="63">
        <v>2.0342321493423094E-2</v>
      </c>
      <c r="AJ28" s="63">
        <v>2.0192965397659822E-2</v>
      </c>
      <c r="AK28" s="63">
        <v>2.0044806440001284E-2</v>
      </c>
      <c r="AL28" s="63">
        <v>1.9897871362029477E-2</v>
      </c>
      <c r="AM28" s="63">
        <v>1.9752187476817715E-2</v>
      </c>
      <c r="AN28" s="63">
        <v>1.9607782673101062E-2</v>
      </c>
      <c r="AO28" s="63">
        <v>1.9464685418688274E-2</v>
      </c>
      <c r="AP28" s="63">
        <v>1.9322924763041319E-2</v>
      </c>
      <c r="AQ28" s="63">
        <v>1.9182530338944886E-2</v>
      </c>
      <c r="AR28" s="63">
        <v>1.9043532363184418E-2</v>
      </c>
      <c r="AS28" s="63">
        <v>1.8905961636147727E-2</v>
      </c>
      <c r="AT28" s="63">
        <v>1.8769849540261452E-2</v>
      </c>
      <c r="AU28" s="63">
        <v>1.8635228037170413E-2</v>
      </c>
      <c r="AV28" s="63">
        <v>1.8502129663564609E-2</v>
      </c>
      <c r="AW28" s="63">
        <v>1.8370587525555586E-2</v>
      </c>
      <c r="AX28" s="63">
        <v>1.824063529150138E-2</v>
      </c>
      <c r="AY28" s="63">
        <v>1.8112307183176815E-2</v>
      </c>
      <c r="AZ28" s="63">
        <v>1.7985637965184261E-2</v>
      </c>
      <c r="BA28" s="63">
        <v>1.7860662932498397E-2</v>
      </c>
      <c r="BB28" s="63">
        <v>1.773741789603811E-2</v>
      </c>
      <c r="BC28" s="63">
        <v>1.7615939166158289E-2</v>
      </c>
      <c r="BD28" s="63">
        <v>1.749626353395525E-2</v>
      </c>
      <c r="BE28" s="63">
        <v>1.7378428250280888E-2</v>
      </c>
      <c r="BF28" s="63">
        <v>1.7262471002363344E-2</v>
      </c>
      <c r="BG28" s="63">
        <v>1.7148429887935378E-2</v>
      </c>
      <c r="BH28" s="63">
        <v>1.703634338677645E-2</v>
      </c>
      <c r="BI28" s="63">
        <v>1.6926250329580207E-2</v>
      </c>
      <c r="BJ28" s="63">
        <v>1.6818189864066593E-2</v>
      </c>
    </row>
    <row r="29" spans="1:62" x14ac:dyDescent="0.25">
      <c r="A29" s="56">
        <v>-0.1</v>
      </c>
      <c r="B29" s="63">
        <v>2.5608534307171017E-2</v>
      </c>
      <c r="C29" s="63">
        <v>2.54315361817893E-2</v>
      </c>
      <c r="D29" s="63">
        <v>2.5255130996027081E-2</v>
      </c>
      <c r="E29" s="63">
        <v>2.5079331261898576E-2</v>
      </c>
      <c r="F29" s="63">
        <v>2.4904149801154112E-2</v>
      </c>
      <c r="G29" s="63">
        <v>2.4729599753116338E-2</v>
      </c>
      <c r="H29" s="63">
        <v>2.4555694582663812E-2</v>
      </c>
      <c r="I29" s="63">
        <v>2.4382448088359054E-2</v>
      </c>
      <c r="J29" s="63">
        <v>2.4209874410717397E-2</v>
      </c>
      <c r="K29" s="63">
        <v>2.4037988040612301E-2</v>
      </c>
      <c r="L29" s="63">
        <v>2.3866803827811901E-2</v>
      </c>
      <c r="M29" s="63">
        <v>2.3696336989640819E-2</v>
      </c>
      <c r="N29" s="63">
        <v>2.352660311976016E-2</v>
      </c>
      <c r="O29" s="63">
        <v>2.3357618197057745E-2</v>
      </c>
      <c r="P29" s="63">
        <v>2.31893985946394E-2</v>
      </c>
      <c r="Q29" s="63">
        <v>2.3021961088910959E-2</v>
      </c>
      <c r="R29" s="63">
        <v>2.2855322868739418E-2</v>
      </c>
      <c r="S29" s="63">
        <v>2.2689501544680114E-2</v>
      </c>
      <c r="T29" s="63">
        <v>2.2524515158255588E-2</v>
      </c>
      <c r="U29" s="63">
        <v>2.2360382191269807E-2</v>
      </c>
      <c r="V29" s="63">
        <v>2.2197121575140148E-2</v>
      </c>
      <c r="W29" s="63">
        <v>2.2034752700227308E-2</v>
      </c>
      <c r="X29" s="63">
        <v>2.1873295425141645E-2</v>
      </c>
      <c r="Y29" s="63">
        <v>2.1712770086002309E-2</v>
      </c>
      <c r="Z29" s="63">
        <v>2.1553197505623067E-2</v>
      </c>
      <c r="AA29" s="63">
        <v>2.1394599002596951E-2</v>
      </c>
      <c r="AB29" s="63">
        <v>2.1236996400248655E-2</v>
      </c>
      <c r="AC29" s="63">
        <v>2.1080412035421697E-2</v>
      </c>
      <c r="AD29" s="63">
        <v>2.0924868767064123E-2</v>
      </c>
      <c r="AE29" s="63">
        <v>2.0770389984573839E-2</v>
      </c>
      <c r="AF29" s="63">
        <v>2.0616999615861685E-2</v>
      </c>
      <c r="AG29" s="63">
        <v>2.0464722135087061E-2</v>
      </c>
      <c r="AH29" s="63">
        <v>2.0313582570017769E-2</v>
      </c>
      <c r="AI29" s="63">
        <v>2.0163606508962203E-2</v>
      </c>
      <c r="AJ29" s="63">
        <v>2.0014820107218608E-2</v>
      </c>
      <c r="AK29" s="63">
        <v>1.9867250092982357E-2</v>
      </c>
      <c r="AL29" s="63">
        <v>1.9720923772648651E-2</v>
      </c>
      <c r="AM29" s="63">
        <v>1.9575869035444012E-2</v>
      </c>
      <c r="AN29" s="63">
        <v>1.9432114357316312E-2</v>
      </c>
      <c r="AO29" s="63">
        <v>1.9289688804008935E-2</v>
      </c>
      <c r="AP29" s="63">
        <v>1.9148622033240997E-2</v>
      </c>
      <c r="AQ29" s="63">
        <v>1.900894429591142E-2</v>
      </c>
      <c r="AR29" s="63">
        <v>1.8870686436241003E-2</v>
      </c>
      <c r="AS29" s="63">
        <v>1.8733879890762695E-2</v>
      </c>
      <c r="AT29" s="63">
        <v>1.8598556686066834E-2</v>
      </c>
      <c r="AU29" s="63">
        <v>1.8464749435204528E-2</v>
      </c>
      <c r="AV29" s="63">
        <v>1.8332491332649154E-2</v>
      </c>
      <c r="AW29" s="63">
        <v>1.8201816147713195E-2</v>
      </c>
      <c r="AX29" s="63">
        <v>1.8072758216314828E-2</v>
      </c>
      <c r="AY29" s="63">
        <v>1.7945352430986789E-2</v>
      </c>
      <c r="AZ29" s="63">
        <v>1.7819634229018215E-2</v>
      </c>
      <c r="BA29" s="63">
        <v>1.7695639578619301E-2</v>
      </c>
      <c r="BB29" s="63">
        <v>1.7573404962998029E-2</v>
      </c>
      <c r="BC29" s="63">
        <v>1.7452967362238888E-2</v>
      </c>
      <c r="BD29" s="63">
        <v>1.7334364232874353E-2</v>
      </c>
      <c r="BE29" s="63">
        <v>1.7217633485042527E-2</v>
      </c>
      <c r="BF29" s="63">
        <v>1.7102813457127088E-2</v>
      </c>
      <c r="BG29" s="63">
        <v>1.6989942887780485E-2</v>
      </c>
      <c r="BH29" s="63">
        <v>1.6879060885236608E-2</v>
      </c>
      <c r="BI29" s="63">
        <v>1.6770206893826085E-2</v>
      </c>
      <c r="BJ29" s="63">
        <v>1.6663420657616057E-2</v>
      </c>
    </row>
    <row r="30" spans="1:62" x14ac:dyDescent="0.25">
      <c r="A30" s="56">
        <v>-0.09</v>
      </c>
      <c r="B30" s="63">
        <v>2.5423078027967699E-2</v>
      </c>
      <c r="C30" s="63">
        <v>2.5246288604208592E-2</v>
      </c>
      <c r="D30" s="63">
        <v>2.5070099441657136E-2</v>
      </c>
      <c r="E30" s="63">
        <v>2.4894523285230591E-2</v>
      </c>
      <c r="F30" s="63">
        <v>2.4719573196961244E-2</v>
      </c>
      <c r="G30" s="63">
        <v>2.4545262564040483E-2</v>
      </c>
      <c r="H30" s="63">
        <v>2.4371605107012868E-2</v>
      </c>
      <c r="I30" s="63">
        <v>2.4198614888116841E-2</v>
      </c>
      <c r="J30" s="63">
        <v>2.402630631976814E-2</v>
      </c>
      <c r="K30" s="63">
        <v>2.3854694173181028E-2</v>
      </c>
      <c r="L30" s="63">
        <v>2.3683793587121742E-2</v>
      </c>
      <c r="M30" s="63">
        <v>2.3513620076787558E-2</v>
      </c>
      <c r="N30" s="63">
        <v>2.3344189542803817E-2</v>
      </c>
      <c r="O30" s="63">
        <v>2.3175518280330241E-2</v>
      </c>
      <c r="P30" s="63">
        <v>2.3007622988266672E-2</v>
      </c>
      <c r="Q30" s="63">
        <v>2.2840520778547039E-2</v>
      </c>
      <c r="R30" s="63">
        <v>2.2674229185508973E-2</v>
      </c>
      <c r="S30" s="63">
        <v>2.2508766175325129E-2</v>
      </c>
      <c r="T30" s="63">
        <v>2.2344150155480524E-2</v>
      </c>
      <c r="U30" s="63">
        <v>2.2180399984278596E-2</v>
      </c>
      <c r="V30" s="63">
        <v>2.201753498035685E-2</v>
      </c>
      <c r="W30" s="63">
        <v>2.1855574932190983E-2</v>
      </c>
      <c r="X30" s="63">
        <v>2.1694540107564352E-2</v>
      </c>
      <c r="Y30" s="63">
        <v>2.1534451262977372E-2</v>
      </c>
      <c r="Z30" s="63">
        <v>2.1375329652969167E-2</v>
      </c>
      <c r="AA30" s="63">
        <v>2.1217197039321289E-2</v>
      </c>
      <c r="AB30" s="63">
        <v>2.1060075700110654E-2</v>
      </c>
      <c r="AC30" s="63">
        <v>2.0903988438576125E-2</v>
      </c>
      <c r="AD30" s="63">
        <v>2.0748958591760295E-2</v>
      </c>
      <c r="AE30" s="63">
        <v>2.0595010038884861E-2</v>
      </c>
      <c r="AF30" s="63">
        <v>2.0442167209414931E-2</v>
      </c>
      <c r="AG30" s="63">
        <v>2.0290455090764128E-2</v>
      </c>
      <c r="AH30" s="63">
        <v>2.0139899235589002E-2</v>
      </c>
      <c r="AI30" s="63">
        <v>1.9990525768617675E-2</v>
      </c>
      <c r="AJ30" s="63">
        <v>1.9842361392953759E-2</v>
      </c>
      <c r="AK30" s="63">
        <v>1.9695433395793105E-2</v>
      </c>
      <c r="AL30" s="63">
        <v>1.954976965348668E-2</v>
      </c>
      <c r="AM30" s="63">
        <v>1.940539863587917E-2</v>
      </c>
      <c r="AN30" s="63">
        <v>1.9262349409848722E-2</v>
      </c>
      <c r="AO30" s="63">
        <v>1.912065164196931E-2</v>
      </c>
      <c r="AP30" s="63">
        <v>1.8980335600213026E-2</v>
      </c>
      <c r="AQ30" s="63">
        <v>1.8841432154605708E-2</v>
      </c>
      <c r="AR30" s="63">
        <v>1.8703972776745372E-2</v>
      </c>
      <c r="AS30" s="63">
        <v>1.8567989538088931E-2</v>
      </c>
      <c r="AT30" s="63">
        <v>1.8433515106909316E-2</v>
      </c>
      <c r="AU30" s="63">
        <v>1.8300582743821403E-2</v>
      </c>
      <c r="AV30" s="63">
        <v>1.8169226295772188E-2</v>
      </c>
      <c r="AW30" s="63">
        <v>1.803948018838767E-2</v>
      </c>
      <c r="AX30" s="63">
        <v>1.7911379416566689E-2</v>
      </c>
      <c r="AY30" s="63">
        <v>1.7784959533209868E-2</v>
      </c>
      <c r="AZ30" s="63">
        <v>1.7660256635970557E-2</v>
      </c>
      <c r="BA30" s="63">
        <v>1.7537307351914017E-2</v>
      </c>
      <c r="BB30" s="63">
        <v>1.7416148819971045E-2</v>
      </c>
      <c r="BC30" s="63">
        <v>1.7296818671073189E-2</v>
      </c>
      <c r="BD30" s="63">
        <v>1.7179355005858613E-2</v>
      </c>
      <c r="BE30" s="63">
        <v>1.7063796369840404E-2</v>
      </c>
      <c r="BF30" s="63">
        <v>1.6950181725933312E-2</v>
      </c>
      <c r="BG30" s="63">
        <v>1.6838550424240036E-2</v>
      </c>
      <c r="BH30" s="63">
        <v>1.6728942169004925E-2</v>
      </c>
      <c r="BI30" s="63">
        <v>1.6621396982650832E-2</v>
      </c>
      <c r="BJ30" s="63">
        <v>1.6515955166824685E-2</v>
      </c>
    </row>
    <row r="31" spans="1:62" x14ac:dyDescent="0.25">
      <c r="A31" s="56">
        <v>-0.08</v>
      </c>
      <c r="B31" s="63">
        <v>2.5241986308960258E-2</v>
      </c>
      <c r="C31" s="63">
        <v>2.5065439420831052E-2</v>
      </c>
      <c r="D31" s="63">
        <v>2.4889500592693525E-2</v>
      </c>
      <c r="E31" s="63">
        <v>2.4714182810782095E-2</v>
      </c>
      <c r="F31" s="63">
        <v>2.4539499385939991E-2</v>
      </c>
      <c r="G31" s="63">
        <v>2.4365463961867562E-2</v>
      </c>
      <c r="H31" s="63">
        <v>2.4192090523522572E-2</v>
      </c>
      <c r="I31" s="63">
        <v>2.401939340566869E-2</v>
      </c>
      <c r="J31" s="63">
        <v>2.3847387301567779E-2</v>
      </c>
      <c r="K31" s="63">
        <v>2.3676087271810725E-2</v>
      </c>
      <c r="L31" s="63">
        <v>2.3505508753280481E-2</v>
      </c>
      <c r="M31" s="63">
        <v>2.3335667568240223E-2</v>
      </c>
      <c r="N31" s="63">
        <v>2.3166579933538271E-2</v>
      </c>
      <c r="O31" s="63">
        <v>2.2998262469920275E-2</v>
      </c>
      <c r="P31" s="63">
        <v>2.2830732211438044E-2</v>
      </c>
      <c r="Q31" s="63">
        <v>2.2664006614942819E-2</v>
      </c>
      <c r="R31" s="63">
        <v>2.2498103569649489E-2</v>
      </c>
      <c r="S31" s="63">
        <v>2.2333041406756585E-2</v>
      </c>
      <c r="T31" s="63">
        <v>2.2168838909105256E-2</v>
      </c>
      <c r="U31" s="63">
        <v>2.2005515320858544E-2</v>
      </c>
      <c r="V31" s="63">
        <v>2.1843090357180388E-2</v>
      </c>
      <c r="W31" s="63">
        <v>2.1681584213891745E-2</v>
      </c>
      <c r="X31" s="63">
        <v>2.1521017577078885E-2</v>
      </c>
      <c r="Y31" s="63">
        <v>2.1361411632626788E-2</v>
      </c>
      <c r="Z31" s="63">
        <v>2.1202788075647825E-2</v>
      </c>
      <c r="AA31" s="63">
        <v>2.1045169119773544E-2</v>
      </c>
      <c r="AB31" s="63">
        <v>2.0888577506274389E-2</v>
      </c>
      <c r="AC31" s="63">
        <v>2.0733036512969365E-2</v>
      </c>
      <c r="AD31" s="63">
        <v>2.0578569962884572E-2</v>
      </c>
      <c r="AE31" s="63">
        <v>2.0425202232616336E-2</v>
      </c>
      <c r="AF31" s="63">
        <v>2.0272958260351189E-2</v>
      </c>
      <c r="AG31" s="63">
        <v>2.01218635534916E-2</v>
      </c>
      <c r="AH31" s="63">
        <v>1.9971944195832602E-2</v>
      </c>
      <c r="AI31" s="63">
        <v>1.9823226854230762E-2</v>
      </c>
      <c r="AJ31" s="63">
        <v>1.9675738784702992E-2</v>
      </c>
      <c r="AK31" s="63">
        <v>1.9529507837888833E-2</v>
      </c>
      <c r="AL31" s="63">
        <v>1.9384562463805655E-2</v>
      </c>
      <c r="AM31" s="63">
        <v>1.9240931715822151E-2</v>
      </c>
      <c r="AN31" s="63">
        <v>1.909864525377139E-2</v>
      </c>
      <c r="AO31" s="63">
        <v>1.8957733346120362E-2</v>
      </c>
      <c r="AP31" s="63">
        <v>1.8818226871109015E-2</v>
      </c>
      <c r="AQ31" s="63">
        <v>1.8680157316767459E-2</v>
      </c>
      <c r="AR31" s="63">
        <v>1.854355677971619E-2</v>
      </c>
      <c r="AS31" s="63">
        <v>1.8408457962650254E-2</v>
      </c>
      <c r="AT31" s="63">
        <v>1.8274894170404673E-2</v>
      </c>
      <c r="AU31" s="63">
        <v>1.814289930449502E-2</v>
      </c>
      <c r="AV31" s="63">
        <v>1.8012507856024016E-2</v>
      </c>
      <c r="AW31" s="63">
        <v>1.7883754896842383E-2</v>
      </c>
      <c r="AX31" s="63">
        <v>1.7756676068849904E-2</v>
      </c>
      <c r="AY31" s="63">
        <v>1.7631307571321135E-2</v>
      </c>
      <c r="AZ31" s="63">
        <v>1.7507686146139088E-2</v>
      </c>
      <c r="BA31" s="63">
        <v>1.7385849060820163E-2</v>
      </c>
      <c r="BB31" s="63">
        <v>1.7265834089213821E-2</v>
      </c>
      <c r="BC31" s="63">
        <v>1.7147679489762476E-2</v>
      </c>
      <c r="BD31" s="63">
        <v>1.7031423981209239E-2</v>
      </c>
      <c r="BE31" s="63">
        <v>1.6917106715645076E-2</v>
      </c>
      <c r="BF31" s="63">
        <v>1.6804767248791756E-2</v>
      </c>
      <c r="BG31" s="63">
        <v>1.6694445507423421E-2</v>
      </c>
      <c r="BH31" s="63">
        <v>1.658618175383721E-2</v>
      </c>
      <c r="BI31" s="63">
        <v>1.648001654729268E-2</v>
      </c>
      <c r="BJ31" s="63">
        <v>1.6375990702350952E-2</v>
      </c>
    </row>
    <row r="32" spans="1:62" x14ac:dyDescent="0.25">
      <c r="A32" s="56">
        <v>-7.0000000000000007E-2</v>
      </c>
      <c r="B32" s="63">
        <v>2.5065353749316295E-2</v>
      </c>
      <c r="C32" s="63">
        <v>2.4889084510739522E-2</v>
      </c>
      <c r="D32" s="63">
        <v>2.4713431628242754E-2</v>
      </c>
      <c r="E32" s="63">
        <v>2.4538408337984163E-2</v>
      </c>
      <c r="F32" s="63">
        <v>2.4364028208327903E-2</v>
      </c>
      <c r="G32" s="63">
        <v>2.4190305148291763E-2</v>
      </c>
      <c r="H32" s="63">
        <v>2.4017253416147945E-2</v>
      </c>
      <c r="I32" s="63">
        <v>2.3844887628172943E-2</v>
      </c>
      <c r="J32" s="63">
        <v>2.3673222767541517E-2</v>
      </c>
      <c r="K32" s="63">
        <v>2.3502274193358885E-2</v>
      </c>
      <c r="L32" s="63">
        <v>2.3332057649824323E-2</v>
      </c>
      <c r="M32" s="63">
        <v>2.3162589275518283E-2</v>
      </c>
      <c r="N32" s="63">
        <v>2.2993885612803879E-2</v>
      </c>
      <c r="O32" s="63">
        <v>2.2825963617332565E-2</v>
      </c>
      <c r="P32" s="63">
        <v>2.2658840667642212E-2</v>
      </c>
      <c r="Q32" s="63">
        <v>2.2492534574834581E-2</v>
      </c>
      <c r="R32" s="63">
        <v>2.232706359231745E-2</v>
      </c>
      <c r="S32" s="63">
        <v>2.2162446425595068E-2</v>
      </c>
      <c r="T32" s="63">
        <v>2.1998702242088785E-2</v>
      </c>
      <c r="U32" s="63">
        <v>2.1835850680967717E-2</v>
      </c>
      <c r="V32" s="63">
        <v>2.1673911862967434E-2</v>
      </c>
      <c r="W32" s="63">
        <v>2.1512906400172165E-2</v>
      </c>
      <c r="X32" s="63">
        <v>2.1352855405733975E-2</v>
      </c>
      <c r="Y32" s="63">
        <v>2.1193780503499664E-2</v>
      </c>
      <c r="Z32" s="63">
        <v>2.1035703837513697E-2</v>
      </c>
      <c r="AA32" s="63">
        <v>2.0878648081362458E-2</v>
      </c>
      <c r="AB32" s="63">
        <v>2.0722636447322477E-2</v>
      </c>
      <c r="AC32" s="63">
        <v>2.0567692695271915E-2</v>
      </c>
      <c r="AD32" s="63">
        <v>2.0413841141321522E-2</v>
      </c>
      <c r="AE32" s="63">
        <v>2.0261106666117887E-2</v>
      </c>
      <c r="AF32" s="63">
        <v>2.0109514722768129E-2</v>
      </c>
      <c r="AG32" s="63">
        <v>1.9959091344331676E-2</v>
      </c>
      <c r="AH32" s="63">
        <v>1.9809863150820832E-2</v>
      </c>
      <c r="AI32" s="63">
        <v>1.9661857355647971E-2</v>
      </c>
      <c r="AJ32" s="63">
        <v>1.9515101771453137E-2</v>
      </c>
      <c r="AK32" s="63">
        <v>1.9369624815241637E-2</v>
      </c>
      <c r="AL32" s="63">
        <v>1.9225455512757082E-2</v>
      </c>
      <c r="AM32" s="63">
        <v>1.9082623502011054E-2</v>
      </c>
      <c r="AN32" s="63">
        <v>1.8941159035886203E-2</v>
      </c>
      <c r="AO32" s="63">
        <v>1.8801092983725398E-2</v>
      </c>
      <c r="AP32" s="63">
        <v>1.8662456831815291E-2</v>
      </c>
      <c r="AQ32" s="63">
        <v>1.8525282682668461E-2</v>
      </c>
      <c r="AR32" s="63">
        <v>1.8389603253004361E-2</v>
      </c>
      <c r="AS32" s="63">
        <v>1.8255451870325401E-2</v>
      </c>
      <c r="AT32" s="63">
        <v>1.8122862467980928E-2</v>
      </c>
      <c r="AU32" s="63">
        <v>1.7991869578608613E-2</v>
      </c>
      <c r="AV32" s="63">
        <v>1.7862508325839865E-2</v>
      </c>
      <c r="AW32" s="63">
        <v>1.7734814414153338E-2</v>
      </c>
      <c r="AX32" s="63">
        <v>1.7608824116758886E-2</v>
      </c>
      <c r="AY32" s="63">
        <v>1.748457426139291E-2</v>
      </c>
      <c r="AZ32" s="63">
        <v>1.7362102213905536E-2</v>
      </c>
      <c r="BA32" s="63">
        <v>1.7241445859520296E-2</v>
      </c>
      <c r="BB32" s="63">
        <v>1.7122643581648299E-2</v>
      </c>
      <c r="BC32" s="63">
        <v>1.7005734238140956E-2</v>
      </c>
      <c r="BD32" s="63">
        <v>1.6890757134868862E-2</v>
      </c>
      <c r="BE32" s="63">
        <v>1.6777751996518875E-2</v>
      </c>
      <c r="BF32" s="63">
        <v>1.66667589345076E-2</v>
      </c>
      <c r="BG32" s="63">
        <v>1.6557818411916773E-2</v>
      </c>
      <c r="BH32" s="63">
        <v>1.6450971205365286E-2</v>
      </c>
      <c r="BI32" s="63">
        <v>1.6346258363742795E-2</v>
      </c>
      <c r="BJ32" s="63">
        <v>1.6243721163742956E-2</v>
      </c>
    </row>
    <row r="33" spans="1:62" x14ac:dyDescent="0.25">
      <c r="A33" s="56">
        <v>-0.06</v>
      </c>
      <c r="B33" s="63">
        <v>2.4893275270361996E-2</v>
      </c>
      <c r="C33" s="63">
        <v>2.4717320072312469E-2</v>
      </c>
      <c r="D33" s="63">
        <v>2.4541990043290936E-2</v>
      </c>
      <c r="E33" s="63">
        <v>2.4367298678137635E-2</v>
      </c>
      <c r="F33" s="63">
        <v>2.4193259811585349E-2</v>
      </c>
      <c r="G33" s="63">
        <v>2.4019887626899907E-2</v>
      </c>
      <c r="H33" s="63">
        <v>2.384719666467431E-2</v>
      </c>
      <c r="I33" s="63">
        <v>2.3675201831771867E-2</v>
      </c>
      <c r="J33" s="63">
        <v>2.3503918410412768E-2</v>
      </c>
      <c r="K33" s="63">
        <v>2.3333362067397667E-2</v>
      </c>
      <c r="L33" s="63">
        <v>2.3163548863460681E-2</v>
      </c>
      <c r="M33" s="63">
        <v>2.2994495262743095E-2</v>
      </c>
      <c r="N33" s="63">
        <v>2.2826218142377959E-2</v>
      </c>
      <c r="O33" s="63">
        <v>2.2658734802174205E-2</v>
      </c>
      <c r="P33" s="63">
        <v>2.2492062974387706E-2</v>
      </c>
      <c r="Q33" s="63">
        <v>2.2326220833564964E-2</v>
      </c>
      <c r="R33" s="63">
        <v>2.2161227006443573E-2</v>
      </c>
      <c r="S33" s="63">
        <v>2.1997100581891776E-2</v>
      </c>
      <c r="T33" s="63">
        <v>2.1833861120867496E-2</v>
      </c>
      <c r="U33" s="63">
        <v>2.1671528666375176E-2</v>
      </c>
      <c r="V33" s="63">
        <v>2.1510123753396636E-2</v>
      </c>
      <c r="W33" s="63">
        <v>2.1349667418769824E-2</v>
      </c>
      <c r="X33" s="63">
        <v>2.1190181210986633E-2</v>
      </c>
      <c r="Y33" s="63">
        <v>2.1031687199878812E-2</v>
      </c>
      <c r="Z33" s="63">
        <v>2.087420798615764E-2</v>
      </c>
      <c r="AA33" s="63">
        <v>2.0717766710770604E-2</v>
      </c>
      <c r="AB33" s="63">
        <v>2.0562387064034848E-2</v>
      </c>
      <c r="AC33" s="63">
        <v>2.0408093294504184E-2</v>
      </c>
      <c r="AD33" s="63">
        <v>2.0254910217522848E-2</v>
      </c>
      <c r="AE33" s="63">
        <v>2.0102863223415771E-2</v>
      </c>
      <c r="AF33" s="63">
        <v>1.9951978285261317E-2</v>
      </c>
      <c r="AG33" s="63">
        <v>1.980228196618869E-2</v>
      </c>
      <c r="AH33" s="63">
        <v>1.9653801426138161E-2</v>
      </c>
      <c r="AI33" s="63">
        <v>1.9506564428018201E-2</v>
      </c>
      <c r="AJ33" s="63">
        <v>1.9360599343189393E-2</v>
      </c>
      <c r="AK33" s="63">
        <v>1.921593515620075E-2</v>
      </c>
      <c r="AL33" s="63">
        <v>1.907260146869966E-2</v>
      </c>
      <c r="AM33" s="63">
        <v>1.8930628502432316E-2</v>
      </c>
      <c r="AN33" s="63">
        <v>1.8790047101247161E-2</v>
      </c>
      <c r="AO33" s="63">
        <v>1.865088873200945E-2</v>
      </c>
      <c r="AP33" s="63">
        <v>1.8513185484330709E-2</v>
      </c>
      <c r="AQ33" s="63">
        <v>1.8376970069012882E-2</v>
      </c>
      <c r="AR33" s="63">
        <v>1.8242275815102765E-2</v>
      </c>
      <c r="AS33" s="63">
        <v>1.8109136665448663E-2</v>
      </c>
      <c r="AT33" s="63">
        <v>1.7977587170647704E-2</v>
      </c>
      <c r="AU33" s="63">
        <v>1.7847662481269157E-2</v>
      </c>
      <c r="AV33" s="63">
        <v>1.7719398338236388E-2</v>
      </c>
      <c r="AW33" s="63">
        <v>1.7592831061247989E-2</v>
      </c>
      <c r="AX33" s="63">
        <v>1.7467997535117061E-2</v>
      </c>
      <c r="AY33" s="63">
        <v>1.7344935193906758E-2</v>
      </c>
      <c r="AZ33" s="63">
        <v>1.7223682002740315E-2</v>
      </c>
      <c r="BA33" s="63">
        <v>1.7104276437164539E-2</v>
      </c>
      <c r="BB33" s="63">
        <v>1.6986757459947713E-2</v>
      </c>
      <c r="BC33" s="63">
        <v>1.6871164495196014E-2</v>
      </c>
      <c r="BD33" s="63">
        <v>1.6757537399676652E-2</v>
      </c>
      <c r="BE33" s="63">
        <v>1.6645916431241831E-2</v>
      </c>
      <c r="BF33" s="63">
        <v>1.6536342214254575E-2</v>
      </c>
      <c r="BG33" s="63">
        <v>1.6428855701926242E-2</v>
      </c>
      <c r="BH33" s="63">
        <v>1.6323498135486069E-2</v>
      </c>
      <c r="BI33" s="63">
        <v>1.6220311000114833E-2</v>
      </c>
      <c r="BJ33" s="63">
        <v>1.6119335977589182E-2</v>
      </c>
    </row>
    <row r="34" spans="1:62" x14ac:dyDescent="0.25">
      <c r="A34" s="56">
        <v>-0.05</v>
      </c>
      <c r="B34" s="63">
        <v>2.4725845954075908E-2</v>
      </c>
      <c r="C34" s="63">
        <v>2.4550242456696271E-2</v>
      </c>
      <c r="D34" s="63">
        <v>2.4375273476972069E-2</v>
      </c>
      <c r="E34" s="63">
        <v>2.4200952777287715E-2</v>
      </c>
      <c r="F34" s="63">
        <v>2.4027294467679206E-2</v>
      </c>
      <c r="G34" s="63">
        <v>2.385431301465946E-2</v>
      </c>
      <c r="H34" s="63">
        <v>2.368202325019679E-2</v>
      </c>
      <c r="I34" s="63">
        <v>2.3510440380841376E-2</v>
      </c>
      <c r="J34" s="63">
        <v>2.3339579996993487E-2</v>
      </c>
      <c r="K34" s="63">
        <v>2.3169458082306242E-2</v>
      </c>
      <c r="L34" s="63">
        <v>2.3000091023214656E-2</v>
      </c>
      <c r="M34" s="63">
        <v>2.2831495618581339E-2</v>
      </c>
      <c r="N34" s="63">
        <v>2.2663689089447998E-2</v>
      </c>
      <c r="O34" s="63">
        <v>2.2496689088880511E-2</v>
      </c>
      <c r="P34" s="63">
        <v>2.23305137118937E-2</v>
      </c>
      <c r="Q34" s="63">
        <v>2.2165181505440366E-2</v>
      </c>
      <c r="R34" s="63">
        <v>2.2000711478447347E-2</v>
      </c>
      <c r="S34" s="63">
        <v>2.1837123111879454E-2</v>
      </c>
      <c r="T34" s="63">
        <v>2.1674436368810168E-2</v>
      </c>
      <c r="U34" s="63">
        <v>2.1512671704475655E-2</v>
      </c>
      <c r="V34" s="63">
        <v>2.1351850076286608E-2</v>
      </c>
      <c r="W34" s="63">
        <v>2.119199295376957E-2</v>
      </c>
      <c r="X34" s="63">
        <v>2.1033122328407251E-2</v>
      </c>
      <c r="Y34" s="63">
        <v>2.0875260723344134E-2</v>
      </c>
      <c r="Z34" s="63">
        <v>2.0718431202921005E-2</v>
      </c>
      <c r="AA34" s="63">
        <v>2.0562657381998882E-2</v>
      </c>
      <c r="AB34" s="63">
        <v>2.040796343502951E-2</v>
      </c>
      <c r="AC34" s="63">
        <v>2.025437410482624E-2</v>
      </c>
      <c r="AD34" s="63">
        <v>2.0101914710985515E-2</v>
      </c>
      <c r="AE34" s="63">
        <v>1.9950611157905467E-2</v>
      </c>
      <c r="AF34" s="63">
        <v>1.9800489942344211E-2</v>
      </c>
      <c r="AG34" s="63">
        <v>1.9651578160456536E-2</v>
      </c>
      <c r="AH34" s="63">
        <v>1.9503903514243401E-2</v>
      </c>
      <c r="AI34" s="63">
        <v>1.9357494317344539E-2</v>
      </c>
      <c r="AJ34" s="63">
        <v>1.9212379500099977E-2</v>
      </c>
      <c r="AK34" s="63">
        <v>1.9068588613802114E-2</v>
      </c>
      <c r="AL34" s="63">
        <v>1.8926151834055209E-2</v>
      </c>
      <c r="AM34" s="63">
        <v>1.8785099963154972E-2</v>
      </c>
      <c r="AN34" s="63">
        <v>1.8645464431396301E-2</v>
      </c>
      <c r="AO34" s="63">
        <v>1.8507277297212844E-2</v>
      </c>
      <c r="AP34" s="63">
        <v>1.8370571246047889E-2</v>
      </c>
      <c r="AQ34" s="63">
        <v>1.8235379587851711E-2</v>
      </c>
      <c r="AR34" s="63">
        <v>1.8101736253096884E-2</v>
      </c>
      <c r="AS34" s="63">
        <v>1.7969675787199147E-2</v>
      </c>
      <c r="AT34" s="63">
        <v>1.7839233343228247E-2</v>
      </c>
      <c r="AU34" s="63">
        <v>1.7710444672790333E-2</v>
      </c>
      <c r="AV34" s="63">
        <v>1.7583346114961013E-2</v>
      </c>
      <c r="AW34" s="63">
        <v>1.7457974583146452E-2</v>
      </c>
      <c r="AX34" s="63">
        <v>1.7334367549748864E-2</v>
      </c>
      <c r="AY34" s="63">
        <v>1.7212563028512377E-2</v>
      </c>
      <c r="AZ34" s="63">
        <v>1.7092599554425946E-2</v>
      </c>
      <c r="BA34" s="63">
        <v>1.6974516161061517E-2</v>
      </c>
      <c r="BB34" s="63">
        <v>1.6858352355228586E-2</v>
      </c>
      <c r="BC34" s="63">
        <v>1.6744148088830013E-2</v>
      </c>
      <c r="BD34" s="63">
        <v>1.6631943727809573E-2</v>
      </c>
      <c r="BE34" s="63">
        <v>1.6521780018088385E-2</v>
      </c>
      <c r="BF34" s="63">
        <v>1.6413698048395764E-2</v>
      </c>
      <c r="BG34" s="63">
        <v>1.6307739209910212E-2</v>
      </c>
      <c r="BH34" s="63">
        <v>1.6203945152638018E-2</v>
      </c>
      <c r="BI34" s="63">
        <v>1.610235773847064E-2</v>
      </c>
      <c r="BJ34" s="63">
        <v>1.6003018990877794E-2</v>
      </c>
    </row>
    <row r="35" spans="1:62" x14ac:dyDescent="0.25">
      <c r="A35" s="56">
        <v>-0.04</v>
      </c>
      <c r="B35" s="63">
        <v>2.4563160870588133E-2</v>
      </c>
      <c r="C35" s="63">
        <v>2.4387947989919685E-2</v>
      </c>
      <c r="D35" s="63">
        <v>2.4213379529103095E-2</v>
      </c>
      <c r="E35" s="63">
        <v>2.4039469526977417E-2</v>
      </c>
      <c r="F35" s="63">
        <v>2.3866232377844836E-2</v>
      </c>
      <c r="G35" s="63">
        <v>2.3693682840470964E-2</v>
      </c>
      <c r="H35" s="63">
        <v>2.3521836047236903E-2</v>
      </c>
      <c r="I35" s="63">
        <v>2.335070751343702E-2</v>
      </c>
      <c r="J35" s="63">
        <v>2.3180313146715713E-2</v>
      </c>
      <c r="K35" s="63">
        <v>2.3010669256634926E-2</v>
      </c>
      <c r="L35" s="63">
        <v>2.2841792564363521E-2</v>
      </c>
      <c r="M35" s="63">
        <v>2.267370021247761E-2</v>
      </c>
      <c r="N35" s="63">
        <v>2.2506409774860316E-2</v>
      </c>
      <c r="O35" s="63">
        <v>2.2339939266687245E-2</v>
      </c>
      <c r="P35" s="63">
        <v>2.2174307154482799E-2</v>
      </c>
      <c r="Q35" s="63">
        <v>2.2009532366230444E-2</v>
      </c>
      <c r="R35" s="63">
        <v>2.1845634301518226E-2</v>
      </c>
      <c r="S35" s="63">
        <v>2.1682632841698905E-2</v>
      </c>
      <c r="T35" s="63">
        <v>2.1520548360041768E-2</v>
      </c>
      <c r="U35" s="63">
        <v>2.1359401731850976E-2</v>
      </c>
      <c r="V35" s="63">
        <v>2.1199214344522925E-2</v>
      </c>
      <c r="W35" s="63">
        <v>2.1040008107512234E-2</v>
      </c>
      <c r="X35" s="63">
        <v>2.0881805462173535E-2</v>
      </c>
      <c r="Y35" s="63">
        <v>2.0724629391443081E-2</v>
      </c>
      <c r="Z35" s="63">
        <v>2.0568503429321205E-2</v>
      </c>
      <c r="AA35" s="63">
        <v>2.0413451670113408E-2</v>
      </c>
      <c r="AB35" s="63">
        <v>2.025949877738439E-2</v>
      </c>
      <c r="AC35" s="63">
        <v>2.0106669992575824E-2</v>
      </c>
      <c r="AD35" s="63">
        <v>1.9954991143234936E-2</v>
      </c>
      <c r="AE35" s="63">
        <v>1.9804488650796974E-2</v>
      </c>
      <c r="AF35" s="63">
        <v>1.9655189537860822E-2</v>
      </c>
      <c r="AG35" s="63">
        <v>1.9507121434892614E-2</v>
      </c>
      <c r="AH35" s="63">
        <v>1.936031258628812E-2</v>
      </c>
      <c r="AI35" s="63">
        <v>1.9214791855720201E-2</v>
      </c>
      <c r="AJ35" s="63">
        <v>1.90705887306932E-2</v>
      </c>
      <c r="AK35" s="63">
        <v>1.8927733326221594E-2</v>
      </c>
      <c r="AL35" s="63">
        <v>1.8786256387545722E-2</v>
      </c>
      <c r="AM35" s="63">
        <v>1.8646189291792879E-2</v>
      </c>
      <c r="AN35" s="63">
        <v>1.8507564048487482E-2</v>
      </c>
      <c r="AO35" s="63">
        <v>1.8370413298809781E-2</v>
      </c>
      <c r="AP35" s="63">
        <v>1.8234770313498166E-2</v>
      </c>
      <c r="AQ35" s="63">
        <v>1.8100668989286185E-2</v>
      </c>
      <c r="AR35" s="63">
        <v>1.7968143843761521E-2</v>
      </c>
      <c r="AS35" s="63">
        <v>1.7837230008530745E-2</v>
      </c>
      <c r="AT35" s="63">
        <v>1.7707963220570572E-2</v>
      </c>
      <c r="AU35" s="63">
        <v>1.7580379811643902E-2</v>
      </c>
      <c r="AV35" s="63">
        <v>1.7454516695656709E-2</v>
      </c>
      <c r="AW35" s="63">
        <v>1.7330411353830788E-2</v>
      </c>
      <c r="AX35" s="63">
        <v>1.7208101817566667E-2</v>
      </c>
      <c r="AY35" s="63">
        <v>1.7087626648871441E-2</v>
      </c>
      <c r="AZ35" s="63">
        <v>1.6969024918227549E-2</v>
      </c>
      <c r="BA35" s="63">
        <v>1.6852336179781109E-2</v>
      </c>
      <c r="BB35" s="63">
        <v>1.673760044373199E-2</v>
      </c>
      <c r="BC35" s="63">
        <v>1.6624858145812889E-2</v>
      </c>
      <c r="BD35" s="63">
        <v>1.6514150113751267E-2</v>
      </c>
      <c r="BE35" s="63">
        <v>1.6405517530615931E-2</v>
      </c>
      <c r="BF35" s="63">
        <v>1.6299001894959961E-2</v>
      </c>
      <c r="BG35" s="63">
        <v>1.6194644977683071E-2</v>
      </c>
      <c r="BH35" s="63">
        <v>1.6092488775550196E-2</v>
      </c>
      <c r="BI35" s="63">
        <v>1.5992575461317934E-2</v>
      </c>
      <c r="BJ35" s="63">
        <v>1.5894947330438496E-2</v>
      </c>
    </row>
    <row r="36" spans="1:62" x14ac:dyDescent="0.25">
      <c r="A36" s="56">
        <v>-0.03</v>
      </c>
      <c r="B36" s="63">
        <v>2.4405314894815767E-2</v>
      </c>
      <c r="C36" s="63">
        <v>2.4230532783793817E-2</v>
      </c>
      <c r="D36" s="63">
        <v>2.4056405565142595E-2</v>
      </c>
      <c r="E36" s="63">
        <v>2.3882947563051472E-2</v>
      </c>
      <c r="F36" s="63">
        <v>2.3710173465013591E-2</v>
      </c>
      <c r="G36" s="63">
        <v>2.3538098330989465E-2</v>
      </c>
      <c r="H36" s="63">
        <v>2.3366737602719581E-2</v>
      </c>
      <c r="I36" s="63">
        <v>2.3196107113179484E-2</v>
      </c>
      <c r="J36" s="63">
        <v>2.3026223096169456E-2</v>
      </c>
      <c r="K36" s="63">
        <v>2.2857102196030148E-2</v>
      </c>
      <c r="L36" s="63">
        <v>2.2688761477473601E-2</v>
      </c>
      <c r="M36" s="63">
        <v>2.2521218435518537E-2</v>
      </c>
      <c r="N36" s="63">
        <v>2.2354491005516453E-2</v>
      </c>
      <c r="O36" s="63">
        <v>2.2188597573254098E-2</v>
      </c>
      <c r="P36" s="63">
        <v>2.202355698511586E-2</v>
      </c>
      <c r="Q36" s="63">
        <v>2.1859388558287701E-2</v>
      </c>
      <c r="R36" s="63">
        <v>2.1696112090982551E-2</v>
      </c>
      <c r="S36" s="63">
        <v>2.153374787266454E-2</v>
      </c>
      <c r="T36" s="63">
        <v>2.1372316694247637E-2</v>
      </c>
      <c r="U36" s="63">
        <v>2.1211839858241283E-2</v>
      </c>
      <c r="V36" s="63">
        <v>2.1052339188813603E-2</v>
      </c>
      <c r="W36" s="63">
        <v>2.0893837041739517E-2</v>
      </c>
      <c r="X36" s="63">
        <v>2.073635631419854E-2</v>
      </c>
      <c r="Y36" s="63">
        <v>2.0579920454383754E-2</v>
      </c>
      <c r="Z36" s="63">
        <v>2.0424553470880333E-2</v>
      </c>
      <c r="AA36" s="63">
        <v>2.0270279941768516E-2</v>
      </c>
      <c r="AB36" s="63">
        <v>2.011712502340237E-2</v>
      </c>
      <c r="AC36" s="63">
        <v>1.9965114458812071E-2</v>
      </c>
      <c r="AD36" s="63">
        <v>1.981427458567327E-2</v>
      </c>
      <c r="AE36" s="63">
        <v>1.9664632343783454E-2</v>
      </c>
      <c r="AF36" s="63">
        <v>1.9516215281980703E-2</v>
      </c>
      <c r="AG36" s="63">
        <v>1.9369051564436131E-2</v>
      </c>
      <c r="AH36" s="63">
        <v>1.9223169976246901E-2</v>
      </c>
      <c r="AI36" s="63">
        <v>1.9078599928252095E-2</v>
      </c>
      <c r="AJ36" s="63">
        <v>1.8935371460989281E-2</v>
      </c>
      <c r="AK36" s="63">
        <v>1.8793515247704982E-2</v>
      </c>
      <c r="AL36" s="63">
        <v>1.8653062596327659E-2</v>
      </c>
      <c r="AM36" s="63">
        <v>1.8514045450307239E-2</v>
      </c>
      <c r="AN36" s="63">
        <v>1.8376496388220809E-2</v>
      </c>
      <c r="AO36" s="63">
        <v>1.8240448622039659E-2</v>
      </c>
      <c r="AP36" s="63">
        <v>1.8105935993948795E-2</v>
      </c>
      <c r="AQ36" s="63">
        <v>1.7972992971605997E-2</v>
      </c>
      <c r="AR36" s="63">
        <v>1.7841654641724023E-2</v>
      </c>
      <c r="AS36" s="63">
        <v>1.7711956701856296E-2</v>
      </c>
      <c r="AT36" s="63">
        <v>1.758393545026363E-2</v>
      </c>
      <c r="AU36" s="63">
        <v>1.7457627773737463E-2</v>
      </c>
      <c r="AV36" s="63">
        <v>1.7333071133253542E-2</v>
      </c>
      <c r="AW36" s="63">
        <v>1.7210303547329164E-2</v>
      </c>
      <c r="AX36" s="63">
        <v>1.7089363572957313E-2</v>
      </c>
      <c r="AY36" s="63">
        <v>1.6970290283992075E-2</v>
      </c>
      <c r="AZ36" s="63">
        <v>1.6853123246861907E-2</v>
      </c>
      <c r="BA36" s="63">
        <v>1.6737902493490768E-2</v>
      </c>
      <c r="BB36" s="63">
        <v>1.6624668491311868E-2</v>
      </c>
      <c r="BC36" s="63">
        <v>1.6513462110264974E-2</v>
      </c>
      <c r="BD36" s="63">
        <v>1.6404324586675977E-2</v>
      </c>
      <c r="BE36" s="63">
        <v>1.6297297483926988E-2</v>
      </c>
      <c r="BF36" s="63">
        <v>1.6192422649836245E-2</v>
      </c>
      <c r="BG36" s="63">
        <v>1.6089742170680436E-2</v>
      </c>
      <c r="BH36" s="63">
        <v>1.5989298321807035E-2</v>
      </c>
      <c r="BI36" s="63">
        <v>1.5891133514801141E-2</v>
      </c>
      <c r="BJ36" s="63">
        <v>1.5795290241190779E-2</v>
      </c>
    </row>
    <row r="37" spans="1:62" x14ac:dyDescent="0.25">
      <c r="A37" s="56">
        <v>-0.02</v>
      </c>
      <c r="B37" s="63">
        <v>2.4252402512470073E-2</v>
      </c>
      <c r="C37" s="63">
        <v>2.4078092535851151E-2</v>
      </c>
      <c r="D37" s="63">
        <v>2.3904448509846087E-2</v>
      </c>
      <c r="E37" s="63">
        <v>2.3731485052804445E-2</v>
      </c>
      <c r="F37" s="63">
        <v>2.3559217154222347E-2</v>
      </c>
      <c r="G37" s="63">
        <v>2.338766018405548E-2</v>
      </c>
      <c r="H37" s="63">
        <v>2.3216829902177209E-2</v>
      </c>
      <c r="I37" s="63">
        <v>2.3046742467974324E-2</v>
      </c>
      <c r="J37" s="63">
        <v>2.2877414450071906E-2</v>
      </c>
      <c r="K37" s="63">
        <v>2.2708862836177252E-2</v>
      </c>
      <c r="L37" s="63">
        <v>2.2541105043031754E-2</v>
      </c>
      <c r="M37" s="63">
        <v>2.2374158926457929E-2</v>
      </c>
      <c r="N37" s="63">
        <v>2.2208042791487234E-2</v>
      </c>
      <c r="O37" s="63">
        <v>2.2042775402552769E-2</v>
      </c>
      <c r="P37" s="63">
        <v>2.1878375993728796E-2</v>
      </c>
      <c r="Q37" s="63">
        <v>2.1714864278997405E-2</v>
      </c>
      <c r="R37" s="63">
        <v>2.1552260462520224E-2</v>
      </c>
      <c r="S37" s="63">
        <v>2.1390585248890998E-2</v>
      </c>
      <c r="T37" s="63">
        <v>2.1229859853342421E-2</v>
      </c>
      <c r="U37" s="63">
        <v>2.1070106011877896E-2</v>
      </c>
      <c r="V37" s="63">
        <v>2.0911345991296491E-2</v>
      </c>
      <c r="W37" s="63">
        <v>2.0753602599076052E-2</v>
      </c>
      <c r="X37" s="63">
        <v>2.0596899193076779E-2</v>
      </c>
      <c r="Y37" s="63">
        <v>2.0441259691024019E-2</v>
      </c>
      <c r="Z37" s="63">
        <v>2.0286708579725934E-2</v>
      </c>
      <c r="AA37" s="63">
        <v>2.0133270923977903E-2</v>
      </c>
      <c r="AB37" s="63">
        <v>1.998097237510198E-2</v>
      </c>
      <c r="AC37" s="63">
        <v>1.9829839179065691E-2</v>
      </c>
      <c r="AD37" s="63">
        <v>1.967989818412064E-2</v>
      </c>
      <c r="AE37" s="63">
        <v>1.9531176847896976E-2</v>
      </c>
      <c r="AF37" s="63">
        <v>1.9383703243885695E-2</v>
      </c>
      <c r="AG37" s="63">
        <v>1.923750606723618E-2</v>
      </c>
      <c r="AH37" s="63">
        <v>1.9092614639791974E-2</v>
      </c>
      <c r="AI37" s="63">
        <v>1.8949058914283171E-2</v>
      </c>
      <c r="AJ37" s="63">
        <v>1.8806869477589201E-2</v>
      </c>
      <c r="AK37" s="63">
        <v>1.8666077552981077E-2</v>
      </c>
      <c r="AL37" s="63">
        <v>1.8526715001247727E-2</v>
      </c>
      <c r="AM37" s="63">
        <v>1.8388814320606347E-2</v>
      </c>
      <c r="AN37" s="63">
        <v>1.8252408645292342E-2</v>
      </c>
      <c r="AO37" s="63">
        <v>1.8117531742720201E-2</v>
      </c>
      <c r="AP37" s="63">
        <v>1.7984218009102632E-2</v>
      </c>
      <c r="AQ37" s="63">
        <v>1.7852502463411527E-2</v>
      </c>
      <c r="AR37" s="63">
        <v>1.7722420739561054E-2</v>
      </c>
      <c r="AS37" s="63">
        <v>1.7594009076690252E-2</v>
      </c>
      <c r="AT37" s="63">
        <v>1.7467304307420193E-2</v>
      </c>
      <c r="AU37" s="63">
        <v>1.7342343843959128E-2</v>
      </c>
      <c r="AV37" s="63">
        <v>1.721916566192799E-2</v>
      </c>
      <c r="AW37" s="63">
        <v>1.7097808281778658E-2</v>
      </c>
      <c r="AX37" s="63">
        <v>1.6978310747678162E-2</v>
      </c>
      <c r="AY37" s="63">
        <v>1.6860712603733997E-2</v>
      </c>
      <c r="AZ37" s="63">
        <v>1.6745053867438922E-2</v>
      </c>
      <c r="BA37" s="63">
        <v>1.6631375000217923E-2</v>
      </c>
      <c r="BB37" s="63">
        <v>1.6519716874966176E-2</v>
      </c>
      <c r="BC37" s="63">
        <v>1.6410120740474054E-2</v>
      </c>
      <c r="BD37" s="63">
        <v>1.6302628182644573E-2</v>
      </c>
      <c r="BE37" s="63">
        <v>1.6197281082419461E-2</v>
      </c>
      <c r="BF37" s="63">
        <v>1.609412157034287E-2</v>
      </c>
      <c r="BG37" s="63">
        <v>1.5993191977706437E-2</v>
      </c>
      <c r="BH37" s="63">
        <v>1.5894534784236303E-2</v>
      </c>
      <c r="BI37" s="63">
        <v>1.5798192562301163E-2</v>
      </c>
      <c r="BJ37" s="63">
        <v>1.5704207917641811E-2</v>
      </c>
    </row>
    <row r="38" spans="1:62" x14ac:dyDescent="0.25">
      <c r="A38" s="56">
        <v>-0.01</v>
      </c>
      <c r="B38" s="63">
        <v>2.410451761578393E-2</v>
      </c>
      <c r="C38" s="63">
        <v>2.3930722318696085E-2</v>
      </c>
      <c r="D38" s="63">
        <v>2.3757604630016176E-2</v>
      </c>
      <c r="E38" s="63">
        <v>2.3585179470899078E-2</v>
      </c>
      <c r="F38" s="63">
        <v>2.3413462141460378E-2</v>
      </c>
      <c r="G38" s="63">
        <v>2.3242468330222664E-2</v>
      </c>
      <c r="H38" s="63">
        <v>2.307221412370157E-2</v>
      </c>
      <c r="I38" s="63">
        <v>2.2902716016123311E-2</v>
      </c>
      <c r="J38" s="63">
        <v>2.2733990919263914E-2</v>
      </c>
      <c r="K38" s="63">
        <v>2.2566056172399353E-2</v>
      </c>
      <c r="L38" s="63">
        <v>2.2398929552354004E-2</v>
      </c>
      <c r="M38" s="63">
        <v>2.2232629283633506E-2</v>
      </c>
      <c r="N38" s="63">
        <v>2.2067174048626268E-2</v>
      </c>
      <c r="O38" s="63">
        <v>2.1902582997856145E-2</v>
      </c>
      <c r="P38" s="63">
        <v>2.1738875760266795E-2</v>
      </c>
      <c r="Q38" s="63">
        <v>2.1576072453516181E-2</v>
      </c>
      <c r="R38" s="63">
        <v>2.1414193694257323E-2</v>
      </c>
      <c r="S38" s="63">
        <v>2.1253260608379277E-2</v>
      </c>
      <c r="T38" s="63">
        <v>2.1093294841179472E-2</v>
      </c>
      <c r="U38" s="63">
        <v>2.0934318567436022E-2</v>
      </c>
      <c r="V38" s="63">
        <v>2.0776354501345767E-2</v>
      </c>
      <c r="W38" s="63">
        <v>2.0619425906290664E-2</v>
      </c>
      <c r="X38" s="63">
        <v>2.0463556604392023E-2</v>
      </c>
      <c r="Y38" s="63">
        <v>2.0308770985808772E-2</v>
      </c>
      <c r="Z38" s="63">
        <v>2.0155094017732238E-2</v>
      </c>
      <c r="AA38" s="63">
        <v>2.000255125302644E-2</v>
      </c>
      <c r="AB38" s="63">
        <v>1.9851168838458836E-2</v>
      </c>
      <c r="AC38" s="63">
        <v>1.970097352246266E-2</v>
      </c>
      <c r="AD38" s="63">
        <v>1.9551992662367592E-2</v>
      </c>
      <c r="AE38" s="63">
        <v>1.9404254231031492E-2</v>
      </c>
      <c r="AF38" s="63">
        <v>1.9257786822801232E-2</v>
      </c>
      <c r="AG38" s="63">
        <v>1.9112619658726435E-2</v>
      </c>
      <c r="AH38" s="63">
        <v>1.8968782590945085E-2</v>
      </c>
      <c r="AI38" s="63">
        <v>1.882630610615562E-2</v>
      </c>
      <c r="AJ38" s="63">
        <v>1.8685221328085186E-2</v>
      </c>
      <c r="AK38" s="63">
        <v>1.8545560018859299E-2</v>
      </c>
      <c r="AL38" s="63">
        <v>1.840735457917355E-2</v>
      </c>
      <c r="AM38" s="63">
        <v>1.8270638047163439E-2</v>
      </c>
      <c r="AN38" s="63">
        <v>1.8135444095864241E-2</v>
      </c>
      <c r="AO38" s="63">
        <v>1.8001807029148598E-2</v>
      </c>
      <c r="AP38" s="63">
        <v>1.7869761776025905E-2</v>
      </c>
      <c r="AQ38" s="63">
        <v>1.773934388318393E-2</v>
      </c>
      <c r="AR38" s="63">
        <v>1.7610589505650275E-2</v>
      </c>
      <c r="AS38" s="63">
        <v>1.7483535395448772E-2</v>
      </c>
      <c r="AT38" s="63">
        <v>1.7358218888124045E-2</v>
      </c>
      <c r="AU38" s="63">
        <v>1.7234677887006437E-2</v>
      </c>
      <c r="AV38" s="63">
        <v>1.7112950845089132E-2</v>
      </c>
      <c r="AW38" s="63">
        <v>1.6993076744390084E-2</v>
      </c>
      <c r="AX38" s="63">
        <v>1.6875095072672961E-2</v>
      </c>
      <c r="AY38" s="63">
        <v>1.6759045797404375E-2</v>
      </c>
      <c r="AZ38" s="63">
        <v>1.6644969336828748E-2</v>
      </c>
      <c r="BA38" s="63">
        <v>1.6532906528047848E-2</v>
      </c>
      <c r="BB38" s="63">
        <v>1.6422898591999253E-2</v>
      </c>
      <c r="BC38" s="63">
        <v>1.6314987095236721E-2</v>
      </c>
      <c r="BD38" s="63">
        <v>1.6209213908426171E-2</v>
      </c>
      <c r="BE38" s="63">
        <v>1.6105621161483282E-2</v>
      </c>
      <c r="BF38" s="63">
        <v>1.6004251195293258E-2</v>
      </c>
      <c r="BG38" s="63">
        <v>1.5905146509969621E-2</v>
      </c>
      <c r="BH38" s="63">
        <v>1.580834970962745E-2</v>
      </c>
      <c r="BI38" s="63">
        <v>1.5713903443666813E-2</v>
      </c>
      <c r="BJ38" s="63">
        <v>1.5621850344585145E-2</v>
      </c>
    </row>
    <row r="39" spans="1:62" x14ac:dyDescent="0.25">
      <c r="A39" s="56">
        <v>0</v>
      </c>
      <c r="B39" s="63">
        <v>2.3961753289428438E-2</v>
      </c>
      <c r="C39" s="63">
        <v>2.3788516359266525E-2</v>
      </c>
      <c r="D39" s="63">
        <v>2.3615969306879481E-2</v>
      </c>
      <c r="E39" s="63">
        <v>2.3444127364621231E-2</v>
      </c>
      <c r="F39" s="63">
        <v>2.3273006151557144E-2</v>
      </c>
      <c r="G39" s="63">
        <v>2.3102621683025001E-2</v>
      </c>
      <c r="H39" s="63">
        <v>2.2932990380329019E-2</v>
      </c>
      <c r="I39" s="63">
        <v>2.2764129080557319E-2</v>
      </c>
      <c r="J39" s="63">
        <v>2.2596055046512287E-2</v>
      </c>
      <c r="K39" s="63">
        <v>2.2428785976741531E-2</v>
      </c>
      <c r="L39" s="63">
        <v>2.2262340015655756E-2</v>
      </c>
      <c r="M39" s="63">
        <v>2.2096735763718209E-2</v>
      </c>
      <c r="N39" s="63">
        <v>2.193199228768844E-2</v>
      </c>
      <c r="O39" s="63">
        <v>2.1768129130901284E-2</v>
      </c>
      <c r="P39" s="63">
        <v>2.16051663235599E-2</v>
      </c>
      <c r="Q39" s="63">
        <v>2.1443124393019462E-2</v>
      </c>
      <c r="R39" s="63">
        <v>2.1282024374035757E-2</v>
      </c>
      <c r="S39" s="63">
        <v>2.1121887818950358E-2</v>
      </c>
      <c r="T39" s="63">
        <v>2.0962736807781587E-2</v>
      </c>
      <c r="U39" s="63">
        <v>2.0804593958187324E-2</v>
      </c>
      <c r="V39" s="63">
        <v>2.0647482435262991E-2</v>
      </c>
      <c r="W39" s="63">
        <v>2.0491425961134794E-2</v>
      </c>
      <c r="X39" s="63">
        <v>2.033644882430485E-2</v>
      </c>
      <c r="Y39" s="63">
        <v>2.0182575888701551E-2</v>
      </c>
      <c r="Z39" s="63">
        <v>2.0029832602384633E-2</v>
      </c>
      <c r="AA39" s="63">
        <v>1.9878245005850725E-2</v>
      </c>
      <c r="AB39" s="63">
        <v>1.9727839739881157E-2</v>
      </c>
      <c r="AC39" s="63">
        <v>1.9578644052869569E-2</v>
      </c>
      <c r="AD39" s="63">
        <v>1.9430685807562784E-2</v>
      </c>
      <c r="AE39" s="63">
        <v>1.9283993487143797E-2</v>
      </c>
      <c r="AF39" s="63">
        <v>1.9138596200581511E-2</v>
      </c>
      <c r="AG39" s="63">
        <v>1.8994523687166982E-2</v>
      </c>
      <c r="AH39" s="63">
        <v>1.8851806320151609E-2</v>
      </c>
      <c r="AI39" s="63">
        <v>1.8710475109397797E-2</v>
      </c>
      <c r="AJ39" s="63">
        <v>1.8570561702948216E-2</v>
      </c>
      <c r="AK39" s="63">
        <v>1.8432098387414962E-2</v>
      </c>
      <c r="AL39" s="63">
        <v>1.8295118087085675E-2</v>
      </c>
      <c r="AM39" s="63">
        <v>1.8159654361639146E-2</v>
      </c>
      <c r="AN39" s="63">
        <v>1.8025741402358901E-2</v>
      </c>
      <c r="AO39" s="63">
        <v>1.7893414026729438E-2</v>
      </c>
      <c r="AP39" s="63">
        <v>1.7762707671296226E-2</v>
      </c>
      <c r="AQ39" s="63">
        <v>1.7633658382667495E-2</v>
      </c>
      <c r="AR39" s="63">
        <v>1.7506302806533407E-2</v>
      </c>
      <c r="AS39" s="63">
        <v>1.7380678174576079E-2</v>
      </c>
      <c r="AT39" s="63">
        <v>1.7256822289142833E-2</v>
      </c>
      <c r="AU39" s="63">
        <v>1.7134773505554559E-2</v>
      </c>
      <c r="AV39" s="63">
        <v>1.7014570711921532E-2</v>
      </c>
      <c r="AW39" s="63">
        <v>1.6896253306340654E-2</v>
      </c>
      <c r="AX39" s="63">
        <v>1.6779861171350705E-2</v>
      </c>
      <c r="AY39" s="63">
        <v>1.6665434645526181E-2</v>
      </c>
      <c r="AZ39" s="63">
        <v>1.6553014492095744E-2</v>
      </c>
      <c r="BA39" s="63">
        <v>1.6442641864478007E-2</v>
      </c>
      <c r="BB39" s="63">
        <v>1.6334358268636207E-2</v>
      </c>
      <c r="BC39" s="63">
        <v>1.6228205522163225E-2</v>
      </c>
      <c r="BD39" s="63">
        <v>1.6124225710020933E-2</v>
      </c>
      <c r="BE39" s="63">
        <v>1.6022461136871481E-2</v>
      </c>
      <c r="BF39" s="63">
        <v>1.5922954275954568E-2</v>
      </c>
      <c r="BG39" s="63">
        <v>1.5825747714482509E-2</v>
      </c>
      <c r="BH39" s="63">
        <v>1.5730884095545399E-2</v>
      </c>
      <c r="BI39" s="63">
        <v>1.563840605654054E-2</v>
      </c>
      <c r="BJ39" s="63">
        <v>1.5548356164165087E-2</v>
      </c>
    </row>
    <row r="40" spans="1:62" x14ac:dyDescent="0.25">
      <c r="A40" s="56">
        <v>0.01</v>
      </c>
      <c r="B40" s="63">
        <v>2.382420158721496E-2</v>
      </c>
      <c r="C40" s="63">
        <v>2.3651567808639404E-2</v>
      </c>
      <c r="D40" s="63">
        <v>2.3479636798762568E-2</v>
      </c>
      <c r="E40" s="63">
        <v>2.3308424109185703E-2</v>
      </c>
      <c r="F40" s="63">
        <v>2.313794568586976E-2</v>
      </c>
      <c r="G40" s="63">
        <v>2.296821787879013E-2</v>
      </c>
      <c r="H40" s="63">
        <v>2.2799257451715755E-2</v>
      </c>
      <c r="I40" s="63">
        <v>2.2631081592102122E-2</v>
      </c>
      <c r="J40" s="63">
        <v>2.2463707921086342E-2</v>
      </c>
      <c r="K40" s="63">
        <v>2.2297154503570549E-2</v>
      </c>
      <c r="L40" s="63">
        <v>2.2131439858378888E-2</v>
      </c>
      <c r="M40" s="63">
        <v>2.1966582968470837E-2</v>
      </c>
      <c r="N40" s="63">
        <v>2.1802603291192317E-2</v>
      </c>
      <c r="O40" s="63">
        <v>2.1639520768543679E-2</v>
      </c>
      <c r="P40" s="63">
        <v>2.1477355837441495E-2</v>
      </c>
      <c r="Q40" s="63">
        <v>2.1316129439948921E-2</v>
      </c>
      <c r="R40" s="63">
        <v>2.1155863033446739E-2</v>
      </c>
      <c r="S40" s="63">
        <v>2.0996578600714567E-2</v>
      </c>
      <c r="T40" s="63">
        <v>2.0838298659889148E-2</v>
      </c>
      <c r="U40" s="63">
        <v>2.0681046274263218E-2</v>
      </c>
      <c r="V40" s="63">
        <v>2.0524845061885878E-2</v>
      </c>
      <c r="W40" s="63">
        <v>2.0369719204921595E-2</v>
      </c>
      <c r="X40" s="63">
        <v>2.0215693458721817E-2</v>
      </c>
      <c r="Y40" s="63">
        <v>2.006279316055944E-2</v>
      </c>
      <c r="Z40" s="63">
        <v>1.9911044237972523E-2</v>
      </c>
      <c r="AA40" s="63">
        <v>1.9760473216659896E-2</v>
      </c>
      <c r="AB40" s="63">
        <v>1.9611107227866898E-2</v>
      </c>
      <c r="AC40" s="63">
        <v>1.9462974015195606E-2</v>
      </c>
      <c r="AD40" s="63">
        <v>1.9316101940769301E-2</v>
      </c>
      <c r="AE40" s="63">
        <v>1.9170519990676559E-2</v>
      </c>
      <c r="AF40" s="63">
        <v>1.9026257779615873E-2</v>
      </c>
      <c r="AG40" s="63">
        <v>1.8883345554656976E-2</v>
      </c>
      <c r="AH40" s="63">
        <v>1.8741814198030539E-2</v>
      </c>
      <c r="AI40" s="63">
        <v>1.8601695228853226E-2</v>
      </c>
      <c r="AJ40" s="63">
        <v>1.846302080369051E-2</v>
      </c>
      <c r="AK40" s="63">
        <v>1.8325823715855234E-2</v>
      </c>
      <c r="AL40" s="63">
        <v>1.8190137393335481E-2</v>
      </c>
      <c r="AM40" s="63">
        <v>1.8055995895241202E-2</v>
      </c>
      <c r="AN40" s="63">
        <v>1.792343390665524E-2</v>
      </c>
      <c r="AO40" s="63">
        <v>1.7792486731770685E-2</v>
      </c>
      <c r="AP40" s="63">
        <v>1.7663190285193649E-2</v>
      </c>
      <c r="AQ40" s="63">
        <v>1.7535581081287506E-2</v>
      </c>
      <c r="AR40" s="63">
        <v>1.7409696221433145E-2</v>
      </c>
      <c r="AS40" s="63">
        <v>1.7285573379077844E-2</v>
      </c>
      <c r="AT40" s="63">
        <v>1.716325078244537E-2</v>
      </c>
      <c r="AU40" s="63">
        <v>1.7042767194779859E-2</v>
      </c>
      <c r="AV40" s="63">
        <v>1.692416189199759E-2</v>
      </c>
      <c r="AW40" s="63">
        <v>1.6807474637623231E-2</v>
      </c>
      <c r="AX40" s="63">
        <v>1.66927456548909E-2</v>
      </c>
      <c r="AY40" s="63">
        <v>1.658001559589543E-2</v>
      </c>
      <c r="AZ40" s="63">
        <v>1.6469325507686046E-2</v>
      </c>
      <c r="BA40" s="63">
        <v>1.6360716795202672E-2</v>
      </c>
      <c r="BB40" s="63">
        <v>1.6254231180965195E-2</v>
      </c>
      <c r="BC40" s="63">
        <v>1.614991066143778E-2</v>
      </c>
      <c r="BD40" s="63">
        <v>1.6047797460003909E-2</v>
      </c>
      <c r="BE40" s="63">
        <v>1.5947933976503671E-2</v>
      </c>
      <c r="BF40" s="63">
        <v>1.5850362733302297E-2</v>
      </c>
      <c r="BG40" s="63">
        <v>1.5755126317878957E-2</v>
      </c>
      <c r="BH40" s="63">
        <v>1.5662267321946467E-2</v>
      </c>
      <c r="BI40" s="63">
        <v>1.5571828277136509E-2</v>
      </c>
      <c r="BJ40" s="63">
        <v>1.5483851587310896E-2</v>
      </c>
    </row>
    <row r="41" spans="1:62" x14ac:dyDescent="0.25">
      <c r="A41" s="56">
        <v>0.02</v>
      </c>
      <c r="B41" s="63">
        <v>2.3691953300310657E-2</v>
      </c>
      <c r="C41" s="63">
        <v>2.351996850315213E-2</v>
      </c>
      <c r="D41" s="63">
        <v>2.33486999948854E-2</v>
      </c>
      <c r="E41" s="63">
        <v>2.3178163653960606E-2</v>
      </c>
      <c r="F41" s="63">
        <v>2.3008375760690401E-2</v>
      </c>
      <c r="G41" s="63">
        <v>2.2839353006974528E-2</v>
      </c>
      <c r="H41" s="63">
        <v>2.2671112506138586E-2</v>
      </c>
      <c r="I41" s="63">
        <v>2.2503671802875106E-2</v>
      </c>
      <c r="J41" s="63">
        <v>2.2337048883273838E-2</v>
      </c>
      <c r="K41" s="63">
        <v>2.2171262184926224E-2</v>
      </c>
      <c r="L41" s="63">
        <v>2.2006330607087593E-2</v>
      </c>
      <c r="M41" s="63">
        <v>2.1842273520878423E-2</v>
      </c>
      <c r="N41" s="63">
        <v>2.1679110779504292E-2</v>
      </c>
      <c r="O41" s="63">
        <v>2.151686272847177E-2</v>
      </c>
      <c r="P41" s="63">
        <v>2.1355550215775336E-2</v>
      </c>
      <c r="Q41" s="63">
        <v>2.119519460202789E-2</v>
      </c>
      <c r="R41" s="63">
        <v>2.103581777050487E-2</v>
      </c>
      <c r="S41" s="63">
        <v>2.0877442137069151E-2</v>
      </c>
      <c r="T41" s="63">
        <v>2.0720090659941105E-2</v>
      </c>
      <c r="U41" s="63">
        <v>2.0563786849274932E-2</v>
      </c>
      <c r="V41" s="63">
        <v>2.0408554776499305E-2</v>
      </c>
      <c r="W41" s="63">
        <v>2.0254419083376801E-2</v>
      </c>
      <c r="X41" s="63">
        <v>2.0101404990733117E-2</v>
      </c>
      <c r="Y41" s="63">
        <v>1.9949538306803193E-2</v>
      </c>
      <c r="Z41" s="63">
        <v>1.9798845435137668E-2</v>
      </c>
      <c r="AA41" s="63">
        <v>1.9649353382008811E-2</v>
      </c>
      <c r="AB41" s="63">
        <v>1.9501089763251097E-2</v>
      </c>
      <c r="AC41" s="63">
        <v>1.9354082810467101E-2</v>
      </c>
      <c r="AD41" s="63">
        <v>1.9208361376525214E-2</v>
      </c>
      <c r="AE41" s="63">
        <v>1.906395494027089E-2</v>
      </c>
      <c r="AF41" s="63">
        <v>1.8920893610368885E-2</v>
      </c>
      <c r="AG41" s="63">
        <v>1.8779208128189093E-2</v>
      </c>
      <c r="AH41" s="63">
        <v>1.8638929869644192E-2</v>
      </c>
      <c r="AI41" s="63">
        <v>1.8500090845882663E-2</v>
      </c>
      <c r="AJ41" s="63">
        <v>1.8362723702736325E-2</v>
      </c>
      <c r="AK41" s="63">
        <v>1.8226861718817183E-2</v>
      </c>
      <c r="AL41" s="63">
        <v>1.8092538802154279E-2</v>
      </c>
      <c r="AM41" s="63">
        <v>1.7959789485257307E-2</v>
      </c>
      <c r="AN41" s="63">
        <v>1.7828648918490311E-2</v>
      </c>
      <c r="AO41" s="63">
        <v>1.7699152861635453E-2</v>
      </c>
      <c r="AP41" s="63">
        <v>1.7571337673524375E-2</v>
      </c>
      <c r="AQ41" s="63">
        <v>1.7445240299612429E-2</v>
      </c>
      <c r="AR41" s="63">
        <v>1.7320898257369675E-2</v>
      </c>
      <c r="AS41" s="63">
        <v>1.7198349619361977E-2</v>
      </c>
      <c r="AT41" s="63">
        <v>1.7077632993895569E-2</v>
      </c>
      <c r="AU41" s="63">
        <v>1.6958787503099943E-2</v>
      </c>
      <c r="AV41" s="63">
        <v>1.6841852758325997E-2</v>
      </c>
      <c r="AW41" s="63">
        <v>1.6726868832740129E-2</v>
      </c>
      <c r="AX41" s="63">
        <v>1.6613876230999771E-2</v>
      </c>
      <c r="AY41" s="63">
        <v>1.650291585590229E-2</v>
      </c>
      <c r="AZ41" s="63">
        <v>1.6394028971907091E-2</v>
      </c>
      <c r="BA41" s="63">
        <v>1.6287257165440498E-2</v>
      </c>
      <c r="BB41" s="63">
        <v>1.6182642301904304E-2</v>
      </c>
      <c r="BC41" s="63">
        <v>1.6080226479322307E-2</v>
      </c>
      <c r="BD41" s="63">
        <v>1.5980051978574408E-2</v>
      </c>
      <c r="BE41" s="63">
        <v>1.5882161210185076E-2</v>
      </c>
      <c r="BF41" s="63">
        <v>1.578659665765237E-2</v>
      </c>
      <c r="BG41" s="63">
        <v>1.56934008173251E-2</v>
      </c>
      <c r="BH41" s="63">
        <v>1.5602616134859099E-2</v>
      </c>
      <c r="BI41" s="63">
        <v>1.5514284938308849E-2</v>
      </c>
      <c r="BJ41" s="63">
        <v>1.5428449367938246E-2</v>
      </c>
    </row>
    <row r="42" spans="1:62" x14ac:dyDescent="0.25">
      <c r="A42" s="56">
        <v>0.03</v>
      </c>
      <c r="B42" s="63">
        <v>2.3565097717831995E-2</v>
      </c>
      <c r="C42" s="63">
        <v>2.3393808717754646E-2</v>
      </c>
      <c r="D42" s="63">
        <v>2.3223250161240171E-2</v>
      </c>
      <c r="E42" s="63">
        <v>2.3053438260635141E-2</v>
      </c>
      <c r="F42" s="63">
        <v>2.2884389637458466E-2</v>
      </c>
      <c r="G42" s="63">
        <v>2.2716121332169423E-2</v>
      </c>
      <c r="H42" s="63">
        <v>2.2548650814037518E-2</v>
      </c>
      <c r="I42" s="63">
        <v>2.2381995991101262E-2</v>
      </c>
      <c r="J42" s="63">
        <v>2.2216175220201091E-2</v>
      </c>
      <c r="K42" s="63">
        <v>2.2051207317070123E-2</v>
      </c>
      <c r="L42" s="63">
        <v>2.188711156646447E-2</v>
      </c>
      <c r="M42" s="63">
        <v>2.1723907732312916E-2</v>
      </c>
      <c r="N42" s="63">
        <v>2.1561616067863571E-2</v>
      </c>
      <c r="O42" s="63">
        <v>2.1400257325803029E-2</v>
      </c>
      <c r="P42" s="63">
        <v>2.1239852768320824E-2</v>
      </c>
      <c r="Q42" s="63">
        <v>2.1080424177089781E-2</v>
      </c>
      <c r="R42" s="63">
        <v>2.0921993863129849E-2</v>
      </c>
      <c r="S42" s="63">
        <v>2.0764584676520269E-2</v>
      </c>
      <c r="T42" s="63">
        <v>2.0608220015921896E-2</v>
      </c>
      <c r="U42" s="63">
        <v>2.0452923837868099E-2</v>
      </c>
      <c r="V42" s="63">
        <v>2.0298720665779611E-2</v>
      </c>
      <c r="W42" s="63">
        <v>2.014563559865485E-2</v>
      </c>
      <c r="X42" s="63">
        <v>1.9993694319383717E-2</v>
      </c>
      <c r="Y42" s="63">
        <v>1.984292310262905E-2</v>
      </c>
      <c r="Z42" s="63">
        <v>1.9693348822215805E-2</v>
      </c>
      <c r="AA42" s="63">
        <v>1.954499895796399E-2</v>
      </c>
      <c r="AB42" s="63">
        <v>1.9397901601897159E-2</v>
      </c>
      <c r="AC42" s="63">
        <v>1.9252085463753819E-2</v>
      </c>
      <c r="AD42" s="63">
        <v>1.9107579875724812E-2</v>
      </c>
      <c r="AE42" s="63">
        <v>1.8964414796335066E-2</v>
      </c>
      <c r="AF42" s="63">
        <v>1.8822620813383747E-2</v>
      </c>
      <c r="AG42" s="63">
        <v>1.8682229145852148E-2</v>
      </c>
      <c r="AH42" s="63">
        <v>1.854327164468433E-2</v>
      </c>
      <c r="AI42" s="63">
        <v>1.8405780792340929E-2</v>
      </c>
      <c r="AJ42" s="63">
        <v>1.8269789701022408E-2</v>
      </c>
      <c r="AK42" s="63">
        <v>1.8135332109453877E-2</v>
      </c>
      <c r="AL42" s="63">
        <v>1.8002442378119668E-2</v>
      </c>
      <c r="AM42" s="63">
        <v>1.7871155482832527E-2</v>
      </c>
      <c r="AN42" s="63">
        <v>1.7741507006518841E-2</v>
      </c>
      <c r="AO42" s="63">
        <v>1.7613533129098913E-2</v>
      </c>
      <c r="AP42" s="63">
        <v>1.7487270615339001E-2</v>
      </c>
      <c r="AQ42" s="63">
        <v>1.7362756800550386E-2</v>
      </c>
      <c r="AR42" s="63">
        <v>1.7240029574010145E-2</v>
      </c>
      <c r="AS42" s="63">
        <v>1.7119127359978253E-2</v>
      </c>
      <c r="AT42" s="63">
        <v>1.7000089096186929E-2</v>
      </c>
      <c r="AU42" s="63">
        <v>1.6882954209680168E-2</v>
      </c>
      <c r="AV42" s="63">
        <v>1.6767762589884997E-2</v>
      </c>
      <c r="AW42" s="63">
        <v>1.6654554558800487E-2</v>
      </c>
      <c r="AX42" s="63">
        <v>1.6543370838196899E-2</v>
      </c>
      <c r="AY42" s="63">
        <v>1.643425251372483E-2</v>
      </c>
      <c r="AZ42" s="63">
        <v>1.6327240995843848E-2</v>
      </c>
      <c r="BA42" s="63">
        <v>1.6222377977490945E-2</v>
      </c>
      <c r="BB42" s="63">
        <v>1.6119705388422216E-2</v>
      </c>
      <c r="BC42" s="63">
        <v>1.6019265346176124E-2</v>
      </c>
      <c r="BD42" s="63">
        <v>1.5921100103623374E-2</v>
      </c>
      <c r="BE42" s="63">
        <v>1.5825251993087472E-2</v>
      </c>
      <c r="BF42" s="63">
        <v>1.5731763367040831E-2</v>
      </c>
      <c r="BG42" s="63">
        <v>1.5640676535404161E-2</v>
      </c>
      <c r="BH42" s="63">
        <v>1.5552033699501906E-2</v>
      </c>
      <c r="BI42" s="63">
        <v>1.5465876882752871E-2</v>
      </c>
      <c r="BJ42" s="63">
        <v>1.538224785820402E-2</v>
      </c>
    </row>
    <row r="43" spans="1:62" x14ac:dyDescent="0.25">
      <c r="A43" s="56">
        <v>0.04</v>
      </c>
      <c r="B43" s="63">
        <v>2.344372238081795E-2</v>
      </c>
      <c r="C43" s="63">
        <v>2.3273176912650802E-2</v>
      </c>
      <c r="D43" s="63">
        <v>2.3103376679674905E-2</v>
      </c>
      <c r="E43" s="63">
        <v>2.2934338234513674E-2</v>
      </c>
      <c r="F43" s="63">
        <v>2.2766078546028332E-2</v>
      </c>
      <c r="G43" s="63">
        <v>2.2598615009099848E-2</v>
      </c>
      <c r="H43" s="63">
        <v>2.2431965454498642E-2</v>
      </c>
      <c r="I43" s="63">
        <v>2.2266148158827423E-2</v>
      </c>
      <c r="J43" s="63">
        <v>2.2101181854521111E-2</v>
      </c>
      <c r="K43" s="63">
        <v>2.1937085739885745E-2</v>
      </c>
      <c r="L43" s="63">
        <v>2.1773879489156493E-2</v>
      </c>
      <c r="M43" s="63">
        <v>2.1611583262552678E-2</v>
      </c>
      <c r="N43" s="63">
        <v>2.1450217716305585E-2</v>
      </c>
      <c r="O43" s="63">
        <v>2.1289804012632408E-2</v>
      </c>
      <c r="P43" s="63">
        <v>2.1130363829627116E-2</v>
      </c>
      <c r="Q43" s="63">
        <v>2.0971919371036471E-2</v>
      </c>
      <c r="R43" s="63">
        <v>2.0814493375886471E-2</v>
      </c>
      <c r="S43" s="63">
        <v>2.0658109127921521E-2</v>
      </c>
      <c r="T43" s="63">
        <v>2.0502790464815592E-2</v>
      </c>
      <c r="U43" s="63">
        <v>2.0348561787111093E-2</v>
      </c>
      <c r="V43" s="63">
        <v>2.0195448066837943E-2</v>
      </c>
      <c r="W43" s="63">
        <v>2.0043474855761537E-2</v>
      </c>
      <c r="X43" s="63">
        <v>1.9892668293204591E-2</v>
      </c>
      <c r="Y43" s="63">
        <v>1.9743055113383937E-2</v>
      </c>
      <c r="Z43" s="63">
        <v>1.9594662652199189E-2</v>
      </c>
      <c r="AA43" s="63">
        <v>1.9447518853406211E-2</v>
      </c>
      <c r="AB43" s="63">
        <v>1.9301652274103794E-2</v>
      </c>
      <c r="AC43" s="63">
        <v>1.9157092089457844E-2</v>
      </c>
      <c r="AD43" s="63">
        <v>1.9013868096582724E-2</v>
      </c>
      <c r="AE43" s="63">
        <v>1.8872010717495107E-2</v>
      </c>
      <c r="AF43" s="63">
        <v>1.8731551001051144E-2</v>
      </c>
      <c r="AG43" s="63">
        <v>1.8592520623773312E-2</v>
      </c>
      <c r="AH43" s="63">
        <v>1.8454951889469058E-2</v>
      </c>
      <c r="AI43" s="63">
        <v>1.8318877727539019E-2</v>
      </c>
      <c r="AJ43" s="63">
        <v>1.8184331689868584E-2</v>
      </c>
      <c r="AK43" s="63">
        <v>1.8051347946192783E-2</v>
      </c>
      <c r="AL43" s="63">
        <v>1.7919961277820994E-2</v>
      </c>
      <c r="AM43" s="63">
        <v>1.7790207069604762E-2</v>
      </c>
      <c r="AN43" s="63">
        <v>1.766212130002941E-2</v>
      </c>
      <c r="AO43" s="63">
        <v>1.7535740529308019E-2</v>
      </c>
      <c r="AP43" s="63">
        <v>1.7411101885354788E-2</v>
      </c>
      <c r="AQ43" s="63">
        <v>1.7288243047514116E-2</v>
      </c>
      <c r="AR43" s="63">
        <v>1.7167202227921743E-2</v>
      </c>
      <c r="AS43" s="63">
        <v>1.7048018150375377E-2</v>
      </c>
      <c r="AT43" s="63">
        <v>1.6930730026594277E-2</v>
      </c>
      <c r="AU43" s="63">
        <v>1.6815377529750559E-2</v>
      </c>
      <c r="AV43" s="63">
        <v>1.6702000765159389E-2</v>
      </c>
      <c r="AW43" s="63">
        <v>1.6590640238021422E-2</v>
      </c>
      <c r="AX43" s="63">
        <v>1.6481336818118007E-2</v>
      </c>
      <c r="AY43" s="63">
        <v>1.6374131701368925E-2</v>
      </c>
      <c r="AZ43" s="63">
        <v>1.6269066368173168E-2</v>
      </c>
      <c r="BA43" s="63">
        <v>1.6166182538465836E-2</v>
      </c>
      <c r="BB43" s="63">
        <v>1.6065522123438692E-2</v>
      </c>
      <c r="BC43" s="63">
        <v>1.596712717388837E-2</v>
      </c>
      <c r="BD43" s="63">
        <v>1.5871039825174554E-2</v>
      </c>
      <c r="BE43" s="63">
        <v>1.5777302238790852E-2</v>
      </c>
      <c r="BF43" s="63">
        <v>1.5685956540573448E-2</v>
      </c>
      <c r="BG43" s="63">
        <v>1.5597044755596768E-2</v>
      </c>
      <c r="BH43" s="63">
        <v>1.5510608739831738E-2</v>
      </c>
      <c r="BI43" s="63">
        <v>1.542669010866967E-2</v>
      </c>
      <c r="BJ43" s="63">
        <v>1.5345330162444682E-2</v>
      </c>
    </row>
    <row r="44" spans="1:62" x14ac:dyDescent="0.25">
      <c r="A44" s="56">
        <v>0.05</v>
      </c>
      <c r="B44" s="63">
        <v>2.3327912830722396E-2</v>
      </c>
      <c r="C44" s="63">
        <v>2.3158159474431811E-2</v>
      </c>
      <c r="D44" s="63">
        <v>2.2989166781451107E-2</v>
      </c>
      <c r="E44" s="63">
        <v>2.2820951650276543E-2</v>
      </c>
      <c r="F44" s="63">
        <v>2.2653531402407678E-2</v>
      </c>
      <c r="G44" s="63">
        <v>2.2486923792110994E-2</v>
      </c>
      <c r="H44" s="63">
        <v>2.2321147016255021E-2</v>
      </c>
      <c r="I44" s="63">
        <v>2.215621972420068E-2</v>
      </c>
      <c r="J44" s="63">
        <v>2.199216102772926E-2</v>
      </c>
      <c r="K44" s="63">
        <v>2.1828990510988234E-2</v>
      </c>
      <c r="L44" s="63">
        <v>2.1666728240433093E-2</v>
      </c>
      <c r="M44" s="63">
        <v>2.1505394774741365E-2</v>
      </c>
      <c r="N44" s="63">
        <v>2.1345011174672447E-2</v>
      </c>
      <c r="O44" s="63">
        <v>2.1185599012844458E-2</v>
      </c>
      <c r="P44" s="63">
        <v>2.1027180383396779E-2</v>
      </c>
      <c r="Q44" s="63">
        <v>2.0869777911504055E-2</v>
      </c>
      <c r="R44" s="63">
        <v>2.07134147627045E-2</v>
      </c>
      <c r="S44" s="63">
        <v>2.0558114652002326E-2</v>
      </c>
      <c r="T44" s="63">
        <v>2.0403901852700791E-2</v>
      </c>
      <c r="U44" s="63">
        <v>2.0250801204918949E-2</v>
      </c>
      <c r="V44" s="63">
        <v>2.0098838123741695E-2</v>
      </c>
      <c r="W44" s="63">
        <v>1.9948038606948913E-2</v>
      </c>
      <c r="X44" s="63">
        <v>1.9798429242265714E-2</v>
      </c>
      <c r="Y44" s="63">
        <v>1.9650037214071776E-2</v>
      </c>
      <c r="Z44" s="63">
        <v>1.9502890309503751E-2</v>
      </c>
      <c r="AA44" s="63">
        <v>1.9357016923880362E-2</v>
      </c>
      <c r="AB44" s="63">
        <v>1.9212446065375751E-2</v>
      </c>
      <c r="AC44" s="63">
        <v>1.9069207358862077E-2</v>
      </c>
      <c r="AD44" s="63">
        <v>1.8927331048838158E-2</v>
      </c>
      <c r="AE44" s="63">
        <v>1.8786848001356486E-2</v>
      </c>
      <c r="AF44" s="63">
        <v>1.8647789704856643E-2</v>
      </c>
      <c r="AG44" s="63">
        <v>1.8510188269808832E-2</v>
      </c>
      <c r="AH44" s="63">
        <v>1.8374076427067169E-2</v>
      </c>
      <c r="AI44" s="63">
        <v>1.8239487524828336E-2</v>
      </c>
      <c r="AJ44" s="63">
        <v>1.8106455524087461E-2</v>
      </c>
      <c r="AK44" s="63">
        <v>1.7975014992479763E-2</v>
      </c>
      <c r="AL44" s="63">
        <v>1.7845201096393197E-2</v>
      </c>
      <c r="AM44" s="63">
        <v>1.7717049591234983E-2</v>
      </c>
      <c r="AN44" s="63">
        <v>1.7590596809732531E-2</v>
      </c>
      <c r="AO44" s="63">
        <v>1.7465879648148011E-2</v>
      </c>
      <c r="AP44" s="63">
        <v>1.7342935550284887E-2</v>
      </c>
      <c r="AQ44" s="63">
        <v>1.7221802489164884E-2</v>
      </c>
      <c r="AR44" s="63">
        <v>1.7102518946254735E-2</v>
      </c>
      <c r="AS44" s="63">
        <v>1.6985123888124114E-2</v>
      </c>
      <c r="AT44" s="63">
        <v>1.6869656740419254E-2</v>
      </c>
      <c r="AU44" s="63">
        <v>1.6756157359041093E-2</v>
      </c>
      <c r="AV44" s="63">
        <v>1.664466599842265E-2</v>
      </c>
      <c r="AW44" s="63">
        <v>1.6535223276807395E-2</v>
      </c>
      <c r="AX44" s="63">
        <v>1.6427870138439282E-2</v>
      </c>
      <c r="AY44" s="63">
        <v>1.6322647812585522E-2</v>
      </c>
      <c r="AZ44" s="63">
        <v>1.6219597769325435E-2</v>
      </c>
      <c r="BA44" s="63">
        <v>1.6118761672052739E-2</v>
      </c>
      <c r="BB44" s="63">
        <v>1.602018132665458E-2</v>
      </c>
      <c r="BC44" s="63">
        <v>1.5923898627348575E-2</v>
      </c>
      <c r="BD44" s="63">
        <v>1.5829955499178806E-2</v>
      </c>
      <c r="BE44" s="63">
        <v>1.5738393837193641E-2</v>
      </c>
      <c r="BF44" s="63">
        <v>1.5649255442351698E-2</v>
      </c>
      <c r="BG44" s="63">
        <v>1.5562581954227881E-2</v>
      </c>
      <c r="BH44" s="63">
        <v>1.5478414780618545E-2</v>
      </c>
      <c r="BI44" s="63">
        <v>1.5396795024173305E-2</v>
      </c>
      <c r="BJ44" s="63">
        <v>1.5317763406211464E-2</v>
      </c>
    </row>
    <row r="45" spans="1:62" x14ac:dyDescent="0.25">
      <c r="A45" s="56">
        <v>0.06</v>
      </c>
      <c r="B45" s="63">
        <v>2.3217752353699633E-2</v>
      </c>
      <c r="C45" s="63">
        <v>2.3048840453044776E-2</v>
      </c>
      <c r="D45" s="63">
        <v>2.2880705276691705E-2</v>
      </c>
      <c r="E45" s="63">
        <v>2.2713364073700486E-2</v>
      </c>
      <c r="F45" s="63">
        <v>2.2546834522540724E-2</v>
      </c>
      <c r="G45" s="63">
        <v>2.2381134740801823E-2</v>
      </c>
      <c r="H45" s="63">
        <v>2.221628329495608E-2</v>
      </c>
      <c r="I45" s="63">
        <v>2.2052299210156941E-2</v>
      </c>
      <c r="J45" s="63">
        <v>2.1889201980053057E-2</v>
      </c>
      <c r="K45" s="63">
        <v>2.172701157659641E-2</v>
      </c>
      <c r="L45" s="63">
        <v>2.1565748459821101E-2</v>
      </c>
      <c r="M45" s="63">
        <v>2.1405433587566591E-2</v>
      </c>
      <c r="N45" s="63">
        <v>2.1246088425117167E-2</v>
      </c>
      <c r="O45" s="63">
        <v>2.1087734954726583E-2</v>
      </c>
      <c r="P45" s="63">
        <v>2.093039568499418E-2</v>
      </c>
      <c r="Q45" s="63">
        <v>2.0774093660055892E-2</v>
      </c>
      <c r="R45" s="63">
        <v>2.0618852468550521E-2</v>
      </c>
      <c r="S45" s="63">
        <v>2.0464696252318407E-2</v>
      </c>
      <c r="T45" s="63">
        <v>2.0311649714786453E-2</v>
      </c>
      <c r="U45" s="63">
        <v>2.0159738128989666E-2</v>
      </c>
      <c r="V45" s="63">
        <v>2.0008987345176192E-2</v>
      </c>
      <c r="W45" s="63">
        <v>1.985942379793855E-2</v>
      </c>
      <c r="X45" s="63">
        <v>1.9711074512810331E-2</v>
      </c>
      <c r="Y45" s="63">
        <v>1.9563967112263301E-2</v>
      </c>
      <c r="Z45" s="63">
        <v>1.9418129821035933E-2</v>
      </c>
      <c r="AA45" s="63">
        <v>1.9273591470720129E-2</v>
      </c>
      <c r="AB45" s="63">
        <v>1.9130381503528686E-2</v>
      </c>
      <c r="AC45" s="63">
        <v>1.8988529975161723E-2</v>
      </c>
      <c r="AD45" s="63">
        <v>1.884806755668612E-2</v>
      </c>
      <c r="AE45" s="63">
        <v>1.8709025535337705E-2</v>
      </c>
      <c r="AF45" s="63">
        <v>1.8571435814151764E-2</v>
      </c>
      <c r="AG45" s="63">
        <v>1.8435330910323396E-2</v>
      </c>
      <c r="AH45" s="63">
        <v>1.8300743952195428E-2</v>
      </c>
      <c r="AI45" s="63">
        <v>1.8167708674767875E-2</v>
      </c>
      <c r="AJ45" s="63">
        <v>1.8036259413619558E-2</v>
      </c>
      <c r="AK45" s="63">
        <v>1.7906431097129607E-2</v>
      </c>
      <c r="AL45" s="63">
        <v>1.7778259236883864E-2</v>
      </c>
      <c r="AM45" s="63">
        <v>1.7651779916149201E-2</v>
      </c>
      <c r="AN45" s="63">
        <v>1.7527029776297422E-2</v>
      </c>
      <c r="AO45" s="63">
        <v>1.740404600105936E-2</v>
      </c>
      <c r="AP45" s="63">
        <v>1.7282866298490251E-2</v>
      </c>
      <c r="AQ45" s="63">
        <v>1.7163528880527915E-2</v>
      </c>
      <c r="AR45" s="63">
        <v>1.7046072440027569E-2</v>
      </c>
      <c r="AS45" s="63">
        <v>1.6930536125159924E-2</v>
      </c>
      <c r="AT45" s="63">
        <v>1.6816959511063486E-2</v>
      </c>
      <c r="AU45" s="63">
        <v>1.6705382568647693E-2</v>
      </c>
      <c r="AV45" s="63">
        <v>1.6595845630450214E-2</v>
      </c>
      <c r="AW45" s="63">
        <v>1.6488389353460659E-2</v>
      </c>
      <c r="AX45" s="63">
        <v>1.6383054678832699E-2</v>
      </c>
      <c r="AY45" s="63">
        <v>1.6279882788418819E-2</v>
      </c>
      <c r="AZ45" s="63">
        <v>1.6178915058075258E-2</v>
      </c>
      <c r="BA45" s="63">
        <v>1.6080193007700482E-2</v>
      </c>
      <c r="BB45" s="63">
        <v>1.5983758247987565E-2</v>
      </c>
      <c r="BC45" s="63">
        <v>1.5889652423890441E-2</v>
      </c>
      <c r="BD45" s="63">
        <v>1.579791715482488E-2</v>
      </c>
      <c r="BE45" s="63">
        <v>1.5708593971648099E-2</v>
      </c>
      <c r="BF45" s="63">
        <v>1.5621724250485724E-2</v>
      </c>
      <c r="BG45" s="63">
        <v>1.5537349143501095E-2</v>
      </c>
      <c r="BH45" s="63">
        <v>1.545550950672998E-2</v>
      </c>
      <c r="BI45" s="63">
        <v>1.5376245825132782E-2</v>
      </c>
      <c r="BJ45" s="63">
        <v>1.529959813504694E-2</v>
      </c>
    </row>
    <row r="46" spans="1:62" x14ac:dyDescent="0.25">
      <c r="A46" s="56">
        <v>7.0000000000000007E-2</v>
      </c>
      <c r="B46" s="63">
        <v>2.3113321722086837E-2</v>
      </c>
      <c r="C46" s="63">
        <v>2.2945301296074434E-2</v>
      </c>
      <c r="D46" s="63">
        <v>2.2778074281275512E-2</v>
      </c>
      <c r="E46" s="63">
        <v>2.2611658280977547E-2</v>
      </c>
      <c r="F46" s="63">
        <v>2.2446071333862012E-2</v>
      </c>
      <c r="G46" s="63">
        <v>2.2281331923623179E-2</v>
      </c>
      <c r="H46" s="63">
        <v>2.2117458988618985E-2</v>
      </c>
      <c r="I46" s="63">
        <v>2.1954471931534637E-2</v>
      </c>
      <c r="J46" s="63">
        <v>2.1792390629037636E-2</v>
      </c>
      <c r="K46" s="63">
        <v>2.1631235441400908E-2</v>
      </c>
      <c r="L46" s="63">
        <v>2.1471027222068249E-2</v>
      </c>
      <c r="M46" s="63">
        <v>2.1311787327134221E-2</v>
      </c>
      <c r="N46" s="63">
        <v>2.1153537624707786E-2</v>
      </c>
      <c r="O46" s="63">
        <v>2.0996300504126503E-2</v>
      </c>
      <c r="P46" s="63">
        <v>2.0840098884985253E-2</v>
      </c>
      <c r="Q46" s="63">
        <v>2.0684956225940399E-2</v>
      </c>
      <c r="R46" s="63">
        <v>2.0530896533247234E-2</v>
      </c>
      <c r="S46" s="63">
        <v>2.0377944368985355E-2</v>
      </c>
      <c r="T46" s="63">
        <v>2.0226124858923094E-2</v>
      </c>
      <c r="U46" s="63">
        <v>2.0075463699968606E-2</v>
      </c>
      <c r="V46" s="63">
        <v>1.9925987167151684E-2</v>
      </c>
      <c r="W46" s="63">
        <v>1.9777722120076315E-2</v>
      </c>
      <c r="X46" s="63">
        <v>1.9630696008780337E-2</v>
      </c>
      <c r="Y46" s="63">
        <v>1.948493687893442E-2</v>
      </c>
      <c r="Z46" s="63">
        <v>1.9340473376308523E-2</v>
      </c>
      <c r="AA46" s="63">
        <v>1.9197334750429937E-2</v>
      </c>
      <c r="AB46" s="63">
        <v>1.9055550857352745E-2</v>
      </c>
      <c r="AC46" s="63">
        <v>1.8915152161454452E-2</v>
      </c>
      <c r="AD46" s="63">
        <v>1.8776169736171407E-2</v>
      </c>
      <c r="AE46" s="63">
        <v>1.8638635263580561E-2</v>
      </c>
      <c r="AF46" s="63">
        <v>1.8502581032731207E-2</v>
      </c>
      <c r="AG46" s="63">
        <v>1.8368039936626505E-2</v>
      </c>
      <c r="AH46" s="63">
        <v>1.8235045467751208E-2</v>
      </c>
      <c r="AI46" s="63">
        <v>1.8103631712038541E-2</v>
      </c>
      <c r="AJ46" s="63">
        <v>1.7973833341166458E-2</v>
      </c>
      <c r="AK46" s="63">
        <v>1.7845685603070916E-2</v>
      </c>
      <c r="AL46" s="63">
        <v>1.771922431056179E-2</v>
      </c>
      <c r="AM46" s="63">
        <v>1.7594485827925783E-2</v>
      </c>
      <c r="AN46" s="63">
        <v>1.747150705539979E-2</v>
      </c>
      <c r="AO46" s="63">
        <v>1.7350325411398304E-2</v>
      </c>
      <c r="AP46" s="63">
        <v>1.7230978812379432E-2</v>
      </c>
      <c r="AQ46" s="63">
        <v>1.7113505650235724E-2</v>
      </c>
      <c r="AR46" s="63">
        <v>1.6997944767099253E-2</v>
      </c>
      <c r="AS46" s="63">
        <v>1.6884335427454343E-2</v>
      </c>
      <c r="AT46" s="63">
        <v>1.6772717287456697E-2</v>
      </c>
      <c r="AU46" s="63">
        <v>1.6663130361364679E-2</v>
      </c>
      <c r="AV46" s="63">
        <v>1.6555614984996605E-2</v>
      </c>
      <c r="AW46" s="63">
        <v>1.645021177613774E-2</v>
      </c>
      <c r="AX46" s="63">
        <v>1.6346961591832392E-2</v>
      </c>
      <c r="AY46" s="63">
        <v>1.6245905482509489E-2</v>
      </c>
      <c r="AZ46" s="63">
        <v>1.6147084642905242E-2</v>
      </c>
      <c r="BA46" s="63">
        <v>1.6050540359763176E-2</v>
      </c>
      <c r="BB46" s="63">
        <v>1.5956313956310617E-2</v>
      </c>
      <c r="BC46" s="63">
        <v>1.5864446733531087E-2</v>
      </c>
      <c r="BD46" s="63">
        <v>1.5774979908274474E-2</v>
      </c>
      <c r="BE46" s="63">
        <v>1.5687954548270704E-2</v>
      </c>
      <c r="BF46" s="63">
        <v>1.5603411504138366E-2</v>
      </c>
      <c r="BG46" s="63">
        <v>1.5521391338506779E-2</v>
      </c>
      <c r="BH46" s="63">
        <v>1.5441934252398409E-2</v>
      </c>
      <c r="BI46" s="63">
        <v>1.5365080009047887E-2</v>
      </c>
      <c r="BJ46" s="63">
        <v>1.5290867855364416E-2</v>
      </c>
    </row>
    <row r="47" spans="1:62" x14ac:dyDescent="0.25">
      <c r="A47" s="56">
        <v>0.08</v>
      </c>
      <c r="B47" s="63">
        <v>2.3014698934608769E-2</v>
      </c>
      <c r="C47" s="63">
        <v>2.2847620581942032E-2</v>
      </c>
      <c r="D47" s="63">
        <v>2.2681352942864892E-2</v>
      </c>
      <c r="E47" s="63">
        <v>2.251591397740622E-2</v>
      </c>
      <c r="F47" s="63">
        <v>2.2351322086485929E-2</v>
      </c>
      <c r="G47" s="63">
        <v>2.2187596121401629E-2</v>
      </c>
      <c r="H47" s="63">
        <v>2.2024755393324245E-2</v>
      </c>
      <c r="I47" s="63">
        <v>2.1862819682781542E-2</v>
      </c>
      <c r="J47" s="63">
        <v>2.1701809249106412E-2</v>
      </c>
      <c r="K47" s="63">
        <v>2.1541744839824538E-2</v>
      </c>
      <c r="L47" s="63">
        <v>2.1382647699953801E-2</v>
      </c>
      <c r="M47" s="63">
        <v>2.1224539581185219E-2</v>
      </c>
      <c r="N47" s="63">
        <v>2.1067442750912657E-2</v>
      </c>
      <c r="O47" s="63">
        <v>2.0911380001075789E-2</v>
      </c>
      <c r="P47" s="63">
        <v>2.0756374656777824E-2</v>
      </c>
      <c r="Q47" s="63">
        <v>2.0602450584636545E-2</v>
      </c>
      <c r="R47" s="63">
        <v>2.0449632200824026E-2</v>
      </c>
      <c r="S47" s="63">
        <v>2.0297944478746926E-2</v>
      </c>
      <c r="T47" s="63">
        <v>2.0147412956316075E-2</v>
      </c>
      <c r="U47" s="63">
        <v>1.9998063742750163E-2</v>
      </c>
      <c r="V47" s="63">
        <v>1.984992352485496E-2</v>
      </c>
      <c r="W47" s="63">
        <v>1.970301957271545E-2</v>
      </c>
      <c r="X47" s="63">
        <v>1.9557379744734513E-2</v>
      </c>
      <c r="Y47" s="63">
        <v>1.9413032491947813E-2</v>
      </c>
      <c r="Z47" s="63">
        <v>1.9270006861540474E-2</v>
      </c>
      <c r="AA47" s="63">
        <v>1.9128332499487206E-2</v>
      </c>
      <c r="AB47" s="63">
        <v>1.8988039652233342E-2</v>
      </c>
      <c r="AC47" s="63">
        <v>1.884915916733049E-2</v>
      </c>
      <c r="AD47" s="63">
        <v>1.8711722492936303E-2</v>
      </c>
      <c r="AE47" s="63">
        <v>1.8575761676084334E-2</v>
      </c>
      <c r="AF47" s="63">
        <v>1.8441309359626137E-2</v>
      </c>
      <c r="AG47" s="63">
        <v>1.8308398777744372E-2</v>
      </c>
      <c r="AH47" s="63">
        <v>1.8177063749932623E-2</v>
      </c>
      <c r="AI47" s="63">
        <v>1.8047338673334735E-2</v>
      </c>
      <c r="AJ47" s="63">
        <v>1.7919258513334146E-2</v>
      </c>
      <c r="AK47" s="63">
        <v>1.779285879228178E-2</v>
      </c>
      <c r="AL47" s="63">
        <v>1.7668175576249681E-2</v>
      </c>
      <c r="AM47" s="63">
        <v>1.7545245459697004E-2</v>
      </c>
      <c r="AN47" s="63">
        <v>1.7424105547934936E-2</v>
      </c>
      <c r="AO47" s="63">
        <v>1.7304793437278049E-2</v>
      </c>
      <c r="AP47" s="63">
        <v>1.7187347192771544E-2</v>
      </c>
      <c r="AQ47" s="63">
        <v>1.7071805323386518E-2</v>
      </c>
      <c r="AR47" s="63">
        <v>1.6958206754579642E-2</v>
      </c>
      <c r="AS47" s="63">
        <v>1.6846590798118732E-2</v>
      </c>
      <c r="AT47" s="63">
        <v>1.6736997119082411E-2</v>
      </c>
      <c r="AU47" s="63">
        <v>1.6629465699949983E-2</v>
      </c>
      <c r="AV47" s="63">
        <v>1.6524036801707352E-2</v>
      </c>
      <c r="AW47" s="63">
        <v>1.6420750921905824E-2</v>
      </c>
      <c r="AX47" s="63">
        <v>1.6319648749623532E-2</v>
      </c>
      <c r="AY47" s="63">
        <v>1.6220771117293798E-2</v>
      </c>
      <c r="AZ47" s="63">
        <v>1.6124158949380969E-2</v>
      </c>
      <c r="BA47" s="63">
        <v>1.6029853207902376E-2</v>
      </c>
      <c r="BB47" s="63">
        <v>1.5937894834814909E-2</v>
      </c>
      <c r="BC47" s="63">
        <v>1.5848324691306249E-2</v>
      </c>
      <c r="BD47" s="63">
        <v>1.5761183494054018E-2</v>
      </c>
      <c r="BE47" s="63">
        <v>1.5676511748540879E-2</v>
      </c>
      <c r="BF47" s="63">
        <v>1.5594349679539878E-2</v>
      </c>
      <c r="BG47" s="63">
        <v>1.5514737158911733E-2</v>
      </c>
      <c r="BH47" s="63">
        <v>1.5437713630884392E-2</v>
      </c>
      <c r="BI47" s="63">
        <v>1.5363318035014341E-2</v>
      </c>
      <c r="BJ47" s="63">
        <v>1.5291588727059267E-2</v>
      </c>
    </row>
    <row r="48" spans="1:62" x14ac:dyDescent="0.25">
      <c r="A48" s="56">
        <v>0.09</v>
      </c>
      <c r="B48" s="63">
        <v>2.2921958956941199E-2</v>
      </c>
      <c r="C48" s="63">
        <v>2.2755873753739966E-2</v>
      </c>
      <c r="D48" s="63">
        <v>2.2590617167871519E-2</v>
      </c>
      <c r="E48" s="63">
        <v>2.2426207517349823E-2</v>
      </c>
      <c r="F48" s="63">
        <v>2.22626635660217E-2</v>
      </c>
      <c r="G48" s="63">
        <v>2.2100004532878002E-2</v>
      </c>
      <c r="H48" s="63">
        <v>2.1938250101348377E-2</v>
      </c>
      <c r="I48" s="63">
        <v>2.1777420428556779E-2</v>
      </c>
      <c r="J48" s="63">
        <v>2.1617536154512566E-2</v>
      </c>
      <c r="K48" s="63">
        <v>2.1458618411209975E-2</v>
      </c>
      <c r="L48" s="63">
        <v>2.130068883160607E-2</v>
      </c>
      <c r="M48" s="63">
        <v>2.1143769558444898E-2</v>
      </c>
      <c r="N48" s="63">
        <v>2.0987883252892865E-2</v>
      </c>
      <c r="O48" s="63">
        <v>2.0833053102947401E-2</v>
      </c>
      <c r="P48" s="63">
        <v>2.0679302831578192E-2</v>
      </c>
      <c r="Q48" s="63">
        <v>2.0526656704557011E-2</v>
      </c>
      <c r="R48" s="63">
        <v>2.0375139537929032E-2</v>
      </c>
      <c r="S48" s="63">
        <v>2.0224776705075088E-2</v>
      </c>
      <c r="T48" s="63">
        <v>2.0075594143311008E-2</v>
      </c>
      <c r="U48" s="63">
        <v>1.9927618359966263E-2</v>
      </c>
      <c r="V48" s="63">
        <v>1.9780876437880894E-2</v>
      </c>
      <c r="W48" s="63">
        <v>1.963539604025558E-2</v>
      </c>
      <c r="X48" s="63">
        <v>1.9491205414786016E-2</v>
      </c>
      <c r="Y48" s="63">
        <v>1.9348333397008862E-2</v>
      </c>
      <c r="Z48" s="63">
        <v>1.920680941278273E-2</v>
      </c>
      <c r="AA48" s="63">
        <v>1.9066663479823522E-2</v>
      </c>
      <c r="AB48" s="63">
        <v>1.8927926208209888E-2</v>
      </c>
      <c r="AC48" s="63">
        <v>1.8790628799770576E-2</v>
      </c>
      <c r="AD48" s="63">
        <v>1.8654803046261888E-2</v>
      </c>
      <c r="AE48" s="63">
        <v>1.852048132623994E-2</v>
      </c>
      <c r="AF48" s="63">
        <v>1.8387696600529083E-2</v>
      </c>
      <c r="AG48" s="63">
        <v>1.8256482406184962E-2</v>
      </c>
      <c r="AH48" s="63">
        <v>1.8126872848847904E-2</v>
      </c>
      <c r="AI48" s="63">
        <v>1.7998902593380061E-2</v>
      </c>
      <c r="AJ48" s="63">
        <v>1.7872606852678032E-2</v>
      </c>
      <c r="AK48" s="63">
        <v>1.7748021374551299E-2</v>
      </c>
      <c r="AL48" s="63">
        <v>1.7625182426556377E-2</v>
      </c>
      <c r="AM48" s="63">
        <v>1.7504126778676497E-2</v>
      </c>
      <c r="AN48" s="63">
        <v>1.738489168373774E-2</v>
      </c>
      <c r="AO48" s="63">
        <v>1.7267514855454257E-2</v>
      </c>
      <c r="AP48" s="63">
        <v>1.7152034443998158E-2</v>
      </c>
      <c r="AQ48" s="63">
        <v>1.7038489008993456E-2</v>
      </c>
      <c r="AR48" s="63">
        <v>1.6926917489838735E-2</v>
      </c>
      <c r="AS48" s="63">
        <v>1.6817359173269503E-2</v>
      </c>
      <c r="AT48" s="63">
        <v>1.6709853658079157E-2</v>
      </c>
      <c r="AU48" s="63">
        <v>1.6604440816926559E-2</v>
      </c>
      <c r="AV48" s="63">
        <v>1.6501160755169258E-2</v>
      </c>
      <c r="AW48" s="63">
        <v>1.6400053766673615E-2</v>
      </c>
      <c r="AX48" s="63">
        <v>1.6301160286567293E-2</v>
      </c>
      <c r="AY48" s="63">
        <v>1.6204520840915282E-2</v>
      </c>
      <c r="AZ48" s="63">
        <v>1.6110175993318099E-2</v>
      </c>
      <c r="BA48" s="63">
        <v>1.6018166288449931E-2</v>
      </c>
      <c r="BB48" s="63">
        <v>1.5928532192575395E-2</v>
      </c>
      <c r="BC48" s="63">
        <v>1.5841314031105929E-2</v>
      </c>
      <c r="BD48" s="63">
        <v>1.5756551923280751E-2</v>
      </c>
      <c r="BE48" s="63">
        <v>1.5674285714082699E-2</v>
      </c>
      <c r="BF48" s="63">
        <v>1.5594554903525707E-2</v>
      </c>
      <c r="BG48" s="63">
        <v>1.5517398573478225E-2</v>
      </c>
      <c r="BH48" s="63">
        <v>1.5442855312215308E-2</v>
      </c>
      <c r="BI48" s="63">
        <v>1.53709631369207E-2</v>
      </c>
      <c r="BJ48" s="63">
        <v>1.5301759414389557E-2</v>
      </c>
    </row>
    <row r="49" spans="1:62" x14ac:dyDescent="0.25">
      <c r="A49" s="56">
        <v>0.1</v>
      </c>
      <c r="B49" s="63">
        <v>2.2835173464367118E-2</v>
      </c>
      <c r="C49" s="63">
        <v>2.2670132855520404E-2</v>
      </c>
      <c r="D49" s="63">
        <v>2.2505939351266397E-2</v>
      </c>
      <c r="E49" s="63">
        <v>2.2342611627460717E-2</v>
      </c>
      <c r="F49" s="63">
        <v>2.2180168810108959E-2</v>
      </c>
      <c r="G49" s="63">
        <v>2.2018630484456653E-2</v>
      </c>
      <c r="H49" s="63">
        <v>2.185801670403523E-2</v>
      </c>
      <c r="I49" s="63">
        <v>2.1698347999639243E-2</v>
      </c>
      <c r="J49" s="63">
        <v>2.1539645388207754E-2</v>
      </c>
      <c r="K49" s="63">
        <v>2.1381930381580535E-2</v>
      </c>
      <c r="L49" s="63">
        <v>2.1225224995097217E-2</v>
      </c>
      <c r="M49" s="63">
        <v>2.1069551756004889E-2</v>
      </c>
      <c r="N49" s="63">
        <v>2.0914933711636854E-2</v>
      </c>
      <c r="O49" s="63">
        <v>2.0761394437322472E-2</v>
      </c>
      <c r="P49" s="63">
        <v>2.0608958043984934E-2</v>
      </c>
      <c r="Q49" s="63">
        <v>2.0457649185380612E-2</v>
      </c>
      <c r="R49" s="63">
        <v>2.0307493064930564E-2</v>
      </c>
      <c r="S49" s="63">
        <v>2.0158515442091147E-2</v>
      </c>
      <c r="T49" s="63">
        <v>2.0010742638207558E-2</v>
      </c>
      <c r="U49" s="63">
        <v>1.9864201541790055E-2</v>
      </c>
      <c r="V49" s="63">
        <v>1.9718919613149626E-2</v>
      </c>
      <c r="W49" s="63">
        <v>1.9574924888325504E-2</v>
      </c>
      <c r="X49" s="63">
        <v>1.9432245982233743E-2</v>
      </c>
      <c r="Y49" s="63">
        <v>1.9290912090961891E-2</v>
      </c>
      <c r="Z49" s="63">
        <v>1.915095299313133E-2</v>
      </c>
      <c r="AA49" s="63">
        <v>1.9012399050245023E-2</v>
      </c>
      <c r="AB49" s="63">
        <v>1.8875281205934812E-2</v>
      </c>
      <c r="AC49" s="63">
        <v>1.8739630984018863E-2</v>
      </c>
      <c r="AD49" s="63">
        <v>1.8605480485276632E-2</v>
      </c>
      <c r="AE49" s="63">
        <v>1.8472862382845422E-2</v>
      </c>
      <c r="AF49" s="63">
        <v>1.8341809916139876E-2</v>
      </c>
      <c r="AG49" s="63">
        <v>1.8212356883193202E-2</v>
      </c>
      <c r="AH49" s="63">
        <v>1.808453763131666E-2</v>
      </c>
      <c r="AI49" s="63">
        <v>1.7958387045972361E-2</v>
      </c>
      <c r="AJ49" s="63">
        <v>1.7833940537753099E-2</v>
      </c>
      <c r="AK49" s="63">
        <v>1.7711234027362539E-2</v>
      </c>
      <c r="AL49" s="63">
        <v>1.7590303928489179E-2</v>
      </c>
      <c r="AM49" s="63">
        <v>1.7471187128468551E-2</v>
      </c>
      <c r="AN49" s="63">
        <v>1.735392096662983E-2</v>
      </c>
      <c r="AO49" s="63">
        <v>1.7238543210226019E-2</v>
      </c>
      <c r="AP49" s="63">
        <v>1.7125092027850557E-2</v>
      </c>
      <c r="AQ49" s="63">
        <v>1.7013605960248333E-2</v>
      </c>
      <c r="AR49" s="63">
        <v>1.6904123888435346E-2</v>
      </c>
      <c r="AS49" s="63">
        <v>1.6796684999048749E-2</v>
      </c>
      <c r="AT49" s="63">
        <v>1.6691328746858174E-2</v>
      </c>
      <c r="AU49" s="63">
        <v>1.658809481437952E-2</v>
      </c>
      <c r="AV49" s="63">
        <v>1.648702306854459E-2</v>
      </c>
      <c r="AW49" s="63">
        <v>1.6388153514393378E-2</v>
      </c>
      <c r="AX49" s="63">
        <v>1.629152624577122E-2</v>
      </c>
      <c r="AY49" s="63">
        <v>1.6197181393029683E-2</v>
      </c>
      <c r="AZ49" s="63">
        <v>1.6105159067748672E-2</v>
      </c>
      <c r="BA49" s="63">
        <v>1.6015499304517285E-2</v>
      </c>
      <c r="BB49" s="63">
        <v>1.5928241999832431E-2</v>
      </c>
      <c r="BC49" s="63">
        <v>1.5843426848197457E-2</v>
      </c>
      <c r="BD49" s="63">
        <v>1.5761093275527181E-2</v>
      </c>
      <c r="BE49" s="63">
        <v>1.5681280369991415E-2</v>
      </c>
      <c r="BF49" s="63">
        <v>1.5604026810455501E-2</v>
      </c>
      <c r="BG49" s="63">
        <v>1.5529370792703603E-2</v>
      </c>
      <c r="BH49" s="63">
        <v>1.5457349953658408E-2</v>
      </c>
      <c r="BI49" s="63">
        <v>1.5388001293838566E-2</v>
      </c>
      <c r="BJ49" s="63">
        <v>1.5321361098323383E-2</v>
      </c>
    </row>
    <row r="50" spans="1:62" x14ac:dyDescent="0.25">
      <c r="A50" s="56">
        <v>0.11</v>
      </c>
      <c r="B50" s="63">
        <v>2.2754410588340875E-2</v>
      </c>
      <c r="C50" s="63">
        <v>2.2590466272938332E-2</v>
      </c>
      <c r="D50" s="63">
        <v>2.2427388111223634E-2</v>
      </c>
      <c r="E50" s="63">
        <v>2.2265195135252509E-2</v>
      </c>
      <c r="F50" s="63">
        <v>2.2103906830852657E-2</v>
      </c>
      <c r="G50" s="63">
        <v>2.1943543146444779E-2</v>
      </c>
      <c r="H50" s="63">
        <v>2.1784124501789789E-2</v>
      </c>
      <c r="I50" s="63">
        <v>2.1625671796635562E-2</v>
      </c>
      <c r="J50" s="63">
        <v>2.1468206419234127E-2</v>
      </c>
      <c r="K50" s="63">
        <v>2.1311750254697941E-2</v>
      </c>
      <c r="L50" s="63">
        <v>2.1156325693161282E-2</v>
      </c>
      <c r="M50" s="63">
        <v>2.100195563771004E-2</v>
      </c>
      <c r="N50" s="63">
        <v>2.0848663512040542E-2</v>
      </c>
      <c r="O50" s="63">
        <v>2.0696473267804997E-2</v>
      </c>
      <c r="P50" s="63">
        <v>2.054540939159814E-2</v>
      </c>
      <c r="Q50" s="63">
        <v>2.039549691153655E-2</v>
      </c>
      <c r="R50" s="63">
        <v>2.0246761403378843E-2</v>
      </c>
      <c r="S50" s="63">
        <v>2.0099228996131438E-2</v>
      </c>
      <c r="T50" s="63">
        <v>1.9952926377081556E-2</v>
      </c>
      <c r="U50" s="63">
        <v>1.980788079619495E-2</v>
      </c>
      <c r="V50" s="63">
        <v>1.96641200698131E-2</v>
      </c>
      <c r="W50" s="63">
        <v>1.9521672583580282E-2</v>
      </c>
      <c r="X50" s="63">
        <v>1.9380567294527775E-2</v>
      </c>
      <c r="Y50" s="63">
        <v>1.9240833732238713E-2</v>
      </c>
      <c r="Z50" s="63">
        <v>1.9102501999013546E-2</v>
      </c>
      <c r="AA50" s="63">
        <v>1.8965602768952639E-2</v>
      </c>
      <c r="AB50" s="63">
        <v>1.883016728586916E-2</v>
      </c>
      <c r="AC50" s="63">
        <v>1.8696227359942339E-2</v>
      </c>
      <c r="AD50" s="63">
        <v>1.8563815363017957E-2</v>
      </c>
      <c r="AE50" s="63">
        <v>1.8432964222460605E-2</v>
      </c>
      <c r="AF50" s="63">
        <v>1.8303707413459432E-2</v>
      </c>
      <c r="AG50" s="63">
        <v>1.8176078949687487E-2</v>
      </c>
      <c r="AH50" s="63">
        <v>1.8050113372212972E-2</v>
      </c>
      <c r="AI50" s="63">
        <v>1.7925845736559722E-2</v>
      </c>
      <c r="AJ50" s="63">
        <v>1.780331159781396E-2</v>
      </c>
      <c r="AK50" s="63">
        <v>1.7682546993674404E-2</v>
      </c>
      <c r="AL50" s="63">
        <v>1.7563588425343963E-2</v>
      </c>
      <c r="AM50" s="63">
        <v>1.7446472836163043E-2</v>
      </c>
      <c r="AN50" s="63">
        <v>1.7331237587887356E-2</v>
      </c>
      <c r="AO50" s="63">
        <v>1.7217920434516764E-2</v>
      </c>
      <c r="AP50" s="63">
        <v>1.7106559493586849E-2</v>
      </c>
      <c r="AQ50" s="63">
        <v>1.6997193214840754E-2</v>
      </c>
      <c r="AR50" s="63">
        <v>1.6889860346206442E-2</v>
      </c>
      <c r="AS50" s="63">
        <v>1.6784599897013062E-2</v>
      </c>
      <c r="AT50" s="63">
        <v>1.6681451098390421E-2</v>
      </c>
      <c r="AU50" s="63">
        <v>1.6580453360807025E-2</v>
      </c>
      <c r="AV50" s="63">
        <v>1.648164622871541E-2</v>
      </c>
      <c r="AW50" s="63">
        <v>1.6385069332288064E-2</v>
      </c>
      <c r="AX50" s="63">
        <v>1.6290762336243526E-2</v>
      </c>
      <c r="AY50" s="63">
        <v>1.6198764885780041E-2</v>
      </c>
      <c r="AZ50" s="63">
        <v>1.6109116549653371E-2</v>
      </c>
      <c r="BA50" s="63">
        <v>1.6021856760456251E-2</v>
      </c>
      <c r="BB50" s="63">
        <v>1.5937024752178973E-2</v>
      </c>
      <c r="BC50" s="63">
        <v>1.5854659495154057E-2</v>
      </c>
      <c r="BD50" s="63">
        <v>1.5774799628512502E-2</v>
      </c>
      <c r="BE50" s="63">
        <v>1.5697483390304426E-2</v>
      </c>
      <c r="BF50" s="63">
        <v>1.5622748545463269E-2</v>
      </c>
      <c r="BG50" s="63">
        <v>1.5550632311819081E-2</v>
      </c>
      <c r="BH50" s="63">
        <v>1.5481171284393658E-2</v>
      </c>
      <c r="BI50" s="63">
        <v>1.5414401358236521E-2</v>
      </c>
      <c r="BJ50" s="63">
        <v>1.535035765008747E-2</v>
      </c>
    </row>
    <row r="51" spans="1:62" x14ac:dyDescent="0.25">
      <c r="A51" s="56">
        <v>0.12</v>
      </c>
      <c r="B51" s="63">
        <v>2.2679734668837888E-2</v>
      </c>
      <c r="C51" s="63">
        <v>2.2516938480211007E-2</v>
      </c>
      <c r="D51" s="63">
        <v>2.2355028030647903E-2</v>
      </c>
      <c r="E51" s="63">
        <v>2.2194022705161531E-2</v>
      </c>
      <c r="F51" s="63">
        <v>2.2033942345393479E-2</v>
      </c>
      <c r="G51" s="63">
        <v>2.1874807258116531E-2</v>
      </c>
      <c r="H51" s="63">
        <v>2.1716638223631617E-2</v>
      </c>
      <c r="I51" s="63">
        <v>2.1559456504030277E-2</v>
      </c>
      <c r="J51" s="63">
        <v>2.1403283851291966E-2</v>
      </c>
      <c r="K51" s="63">
        <v>2.1248142515182429E-2</v>
      </c>
      <c r="L51" s="63">
        <v>2.1094055250917426E-2</v>
      </c>
      <c r="M51" s="63">
        <v>2.0941045326552738E-2</v>
      </c>
      <c r="N51" s="63">
        <v>2.0789136530059205E-2</v>
      </c>
      <c r="O51" s="63">
        <v>2.0638353176037894E-2</v>
      </c>
      <c r="P51" s="63">
        <v>2.0488720112028253E-2</v>
      </c>
      <c r="Q51" s="63">
        <v>2.0340262724358162E-2</v>
      </c>
      <c r="R51" s="63">
        <v>2.0193006943482278E-2</v>
      </c>
      <c r="S51" s="63">
        <v>2.0046979248751134E-2</v>
      </c>
      <c r="T51" s="63">
        <v>1.990220667255066E-2</v>
      </c>
      <c r="U51" s="63">
        <v>1.9758716803747835E-2</v>
      </c>
      <c r="V51" s="63">
        <v>1.9616537790375248E-2</v>
      </c>
      <c r="W51" s="63">
        <v>1.9475698341483397E-2</v>
      </c>
      <c r="X51" s="63">
        <v>1.9336227728086571E-2</v>
      </c>
      <c r="Y51" s="63">
        <v>1.9198155783124452E-2</v>
      </c>
      <c r="Z51" s="63">
        <v>1.906151290035845E-2</v>
      </c>
      <c r="AA51" s="63">
        <v>1.8926330032118591E-2</v>
      </c>
      <c r="AB51" s="63">
        <v>1.8792638685813729E-2</v>
      </c>
      <c r="AC51" s="63">
        <v>1.8660470919115019E-2</v>
      </c>
      <c r="AD51" s="63">
        <v>1.8529859333720203E-2</v>
      </c>
      <c r="AE51" s="63">
        <v>1.840083706760386E-2</v>
      </c>
      <c r="AF51" s="63">
        <v>1.8273437785656987E-2</v>
      </c>
      <c r="AG51" s="63">
        <v>1.8147695668617951E-2</v>
      </c>
      <c r="AH51" s="63">
        <v>1.8023645400195795E-2</v>
      </c>
      <c r="AI51" s="63">
        <v>1.790132215228666E-2</v>
      </c>
      <c r="AJ51" s="63">
        <v>1.778076156818445E-2</v>
      </c>
      <c r="AK51" s="63">
        <v>1.7661999743687779E-2</v>
      </c>
      <c r="AL51" s="63">
        <v>1.7545073206007292E-2</v>
      </c>
      <c r="AM51" s="63">
        <v>1.743001889038015E-2</v>
      </c>
      <c r="AN51" s="63">
        <v>1.7316874114302178E-2</v>
      </c>
      <c r="AO51" s="63">
        <v>1.72056765492931E-2</v>
      </c>
      <c r="AP51" s="63">
        <v>1.7096464190116217E-2</v>
      </c>
      <c r="AQ51" s="63">
        <v>1.6989275321380948E-2</v>
      </c>
      <c r="AR51" s="63">
        <v>1.6884148481465307E-2</v>
      </c>
      <c r="AS51" s="63">
        <v>1.678112242370506E-2</v>
      </c>
      <c r="AT51" s="63">
        <v>1.6680236074807578E-2</v>
      </c>
      <c r="AU51" s="63">
        <v>1.6581528490461107E-2</v>
      </c>
      <c r="AV51" s="63">
        <v>1.6485038808124193E-2</v>
      </c>
      <c r="AW51" s="63">
        <v>1.6390806196995737E-2</v>
      </c>
      <c r="AX51" s="63">
        <v>1.6298869805183212E-2</v>
      </c>
      <c r="AY51" s="63">
        <v>1.6209268704105009E-2</v>
      </c>
      <c r="AZ51" s="63">
        <v>1.6122041830182957E-2</v>
      </c>
      <c r="BA51" s="63">
        <v>1.6037227923902119E-2</v>
      </c>
      <c r="BB51" s="63">
        <v>1.5954865466337495E-2</v>
      </c>
      <c r="BC51" s="63">
        <v>1.5874992613270647E-2</v>
      </c>
      <c r="BD51" s="63">
        <v>1.5797647127043707E-2</v>
      </c>
      <c r="BE51" s="63">
        <v>1.5722866306323188E-2</v>
      </c>
      <c r="BF51" s="63">
        <v>1.5650686913971524E-2</v>
      </c>
      <c r="BG51" s="63">
        <v>1.558114510325001E-2</v>
      </c>
      <c r="BH51" s="63">
        <v>1.5514276342602327E-2</v>
      </c>
      <c r="BI51" s="63">
        <v>1.5450115339292929E-2</v>
      </c>
      <c r="BJ51" s="63">
        <v>1.5388695962199168E-2</v>
      </c>
    </row>
    <row r="52" spans="1:62" x14ac:dyDescent="0.25">
      <c r="A52" s="56">
        <v>0.13</v>
      </c>
      <c r="B52" s="63">
        <v>2.2611206014407959E-2</v>
      </c>
      <c r="C52" s="63">
        <v>2.2449609795394537E-2</v>
      </c>
      <c r="D52" s="63">
        <v>2.2288919407671512E-2</v>
      </c>
      <c r="E52" s="63">
        <v>2.2129154584271931E-2</v>
      </c>
      <c r="F52" s="63">
        <v>2.1970335516879498E-2</v>
      </c>
      <c r="G52" s="63">
        <v>2.1812482863962007E-2</v>
      </c>
      <c r="H52" s="63">
        <v>2.1655617758765074E-2</v>
      </c>
      <c r="I52" s="63">
        <v>2.1499761817135851E-2</v>
      </c>
      <c r="J52" s="63">
        <v>2.1344937145143565E-2</v>
      </c>
      <c r="K52" s="63">
        <v>2.1191166346461746E-2</v>
      </c>
      <c r="L52" s="63">
        <v>2.1038472529473749E-2</v>
      </c>
      <c r="M52" s="63">
        <v>2.0886879314061177E-2</v>
      </c>
      <c r="N52" s="63">
        <v>2.073641083803119E-2</v>
      </c>
      <c r="O52" s="63">
        <v>2.0587091763136538E-2</v>
      </c>
      <c r="P52" s="63">
        <v>2.0438947280638425E-2</v>
      </c>
      <c r="Q52" s="63">
        <v>2.0292003116359796E-2</v>
      </c>
      <c r="R52" s="63">
        <v>2.0146285535172993E-2</v>
      </c>
      <c r="S52" s="63">
        <v>2.0001821344862839E-2</v>
      </c>
      <c r="T52" s="63">
        <v>1.9858637899302849E-2</v>
      </c>
      <c r="U52" s="63">
        <v>1.9716763100878647E-2</v>
      </c>
      <c r="V52" s="63">
        <v>1.957622540209011E-2</v>
      </c>
      <c r="W52" s="63">
        <v>1.9437053806259642E-2</v>
      </c>
      <c r="X52" s="63">
        <v>1.9299277867271421E-2</v>
      </c>
      <c r="Y52" s="63">
        <v>1.916292768826305E-2</v>
      </c>
      <c r="Z52" s="63">
        <v>1.9028033919188041E-2</v>
      </c>
      <c r="AA52" s="63">
        <v>1.8894627753164882E-2</v>
      </c>
      <c r="AB52" s="63">
        <v>1.8762740921525634E-2</v>
      </c>
      <c r="AC52" s="63">
        <v>1.8632405687474776E-2</v>
      </c>
      <c r="AD52" s="63">
        <v>1.8503654838266905E-2</v>
      </c>
      <c r="AE52" s="63">
        <v>1.837652167581014E-2</v>
      </c>
      <c r="AF52" s="63">
        <v>1.8251040005600981E-2</v>
      </c>
      <c r="AG52" s="63">
        <v>1.8127244123895422E-2</v>
      </c>
      <c r="AH52" s="63">
        <v>1.8005168803020999E-2</v>
      </c>
      <c r="AI52" s="63">
        <v>1.7884849274734913E-2</v>
      </c>
      <c r="AJ52" s="63">
        <v>1.776632121153441E-2</v>
      </c>
      <c r="AK52" s="63">
        <v>1.7649620705827495E-2</v>
      </c>
      <c r="AL52" s="63">
        <v>1.7534784246875063E-2</v>
      </c>
      <c r="AM52" s="63">
        <v>1.7421848695418837E-2</v>
      </c>
      <c r="AN52" s="63">
        <v>1.7310851255914663E-2</v>
      </c>
      <c r="AO52" s="63">
        <v>1.720182944629621E-2</v>
      </c>
      <c r="AP52" s="63">
        <v>1.7094821065201306E-2</v>
      </c>
      <c r="AQ52" s="63">
        <v>1.6989864156601229E-2</v>
      </c>
      <c r="AR52" s="63">
        <v>1.6886996971782815E-2</v>
      </c>
      <c r="AS52" s="63">
        <v>1.6786257928644095E-2</v>
      </c>
      <c r="AT52" s="63">
        <v>1.6687685568276312E-2</v>
      </c>
      <c r="AU52" s="63">
        <v>1.6591318508818825E-2</v>
      </c>
      <c r="AV52" s="63">
        <v>1.6497195396588376E-2</v>
      </c>
      <c r="AW52" s="63">
        <v>1.6405354854500561E-2</v>
      </c>
      <c r="AX52" s="63">
        <v>1.6315835427819184E-2</v>
      </c>
      <c r="AY52" s="63">
        <v>1.622867552728811E-2</v>
      </c>
      <c r="AZ52" s="63">
        <v>1.6143913369720684E-2</v>
      </c>
      <c r="BA52" s="63">
        <v>1.6061586916143077E-2</v>
      </c>
      <c r="BB52" s="63">
        <v>1.5981733807610379E-2</v>
      </c>
      <c r="BC52" s="63">
        <v>1.5904391298837587E-2</v>
      </c>
      <c r="BD52" s="63">
        <v>1.5829596189811373E-2</v>
      </c>
      <c r="BE52" s="63">
        <v>1.5757384755573072E-2</v>
      </c>
      <c r="BF52" s="63">
        <v>1.5687792674387576E-2</v>
      </c>
      <c r="BG52" s="63">
        <v>1.5620854954537416E-2</v>
      </c>
      <c r="BH52" s="63">
        <v>1.5556605860005257E-2</v>
      </c>
      <c r="BI52" s="63">
        <v>1.5495078835331225E-2</v>
      </c>
      <c r="BJ52" s="63">
        <v>1.5436306429953873E-2</v>
      </c>
    </row>
    <row r="53" spans="1:62" x14ac:dyDescent="0.25">
      <c r="A53" s="56">
        <v>0.14000000000000001</v>
      </c>
      <c r="B53" s="63">
        <v>2.2548880671867836E-2</v>
      </c>
      <c r="C53" s="63">
        <v>2.2388536145991449E-2</v>
      </c>
      <c r="D53" s="63">
        <v>2.2229118017216127E-2</v>
      </c>
      <c r="E53" s="63">
        <v>2.2070646359882738E-2</v>
      </c>
      <c r="F53" s="63">
        <v>2.1913141708103243E-2</v>
      </c>
      <c r="G53" s="63">
        <v>2.1756625063473162E-2</v>
      </c>
      <c r="H53" s="63">
        <v>2.1601117902608866E-2</v>
      </c>
      <c r="I53" s="63">
        <v>2.1446642184477172E-2</v>
      </c>
      <c r="J53" s="63">
        <v>2.1293220357482524E-2</v>
      </c>
      <c r="K53" s="63">
        <v>2.1140875366274365E-2</v>
      </c>
      <c r="L53" s="63">
        <v>2.0989630658234813E-2</v>
      </c>
      <c r="M53" s="63">
        <v>2.0839510189603807E-2</v>
      </c>
      <c r="N53" s="63">
        <v>2.0690538431196451E-2</v>
      </c>
      <c r="O53" s="63">
        <v>2.0542740373663861E-2</v>
      </c>
      <c r="P53" s="63">
        <v>2.039614153224642E-2</v>
      </c>
      <c r="Q53" s="63">
        <v>2.0250767950964754E-2</v>
      </c>
      <c r="R53" s="63">
        <v>2.010664620619116E-2</v>
      </c>
      <c r="S53" s="63">
        <v>1.9963803409540654E-2</v>
      </c>
      <c r="T53" s="63">
        <v>1.9822267210018105E-2</v>
      </c>
      <c r="U53" s="63">
        <v>1.9682065795354323E-2</v>
      </c>
      <c r="V53" s="63">
        <v>1.9543227892461372E-2</v>
      </c>
      <c r="W53" s="63">
        <v>1.9405782766933929E-2</v>
      </c>
      <c r="X53" s="63">
        <v>1.9269760221520799E-2</v>
      </c>
      <c r="Y53" s="63">
        <v>1.913519059348787E-2</v>
      </c>
      <c r="Z53" s="63">
        <v>1.9002104750791005E-2</v>
      </c>
      <c r="AA53" s="63">
        <v>1.8870534086975053E-2</v>
      </c>
      <c r="AB53" s="63">
        <v>1.8740510514712951E-2</v>
      </c>
      <c r="AC53" s="63">
        <v>1.8612066457896925E-2</v>
      </c>
      <c r="AD53" s="63">
        <v>1.8485234842192371E-2</v>
      </c>
      <c r="AE53" s="63">
        <v>1.8360049083963794E-2</v>
      </c>
      <c r="AF53" s="63">
        <v>1.8236543077481619E-2</v>
      </c>
      <c r="AG53" s="63">
        <v>1.8114751180318529E-2</v>
      </c>
      <c r="AH53" s="63">
        <v>1.7994708196844605E-2</v>
      </c>
      <c r="AI53" s="63">
        <v>1.7876449359731567E-2</v>
      </c>
      <c r="AJ53" s="63">
        <v>1.7760010309378592E-2</v>
      </c>
      <c r="AK53" s="63">
        <v>1.7645427071174745E-2</v>
      </c>
      <c r="AL53" s="63">
        <v>1.7532736030516888E-2</v>
      </c>
      <c r="AM53" s="63">
        <v>1.7421973905506503E-2</v>
      </c>
      <c r="AN53" s="63">
        <v>1.7313177717254564E-2</v>
      </c>
      <c r="AO53" s="63">
        <v>1.7206384757730377E-2</v>
      </c>
      <c r="AP53" s="63">
        <v>1.7101632555098317E-2</v>
      </c>
      <c r="AQ53" s="63">
        <v>1.6998958836495451E-2</v>
      </c>
      <c r="AR53" s="63">
        <v>1.689840148821364E-2</v>
      </c>
      <c r="AS53" s="63">
        <v>1.6799998513261274E-2</v>
      </c>
      <c r="AT53" s="63">
        <v>1.6703787986293021E-2</v>
      </c>
      <c r="AU53" s="63">
        <v>1.6609808005910214E-2</v>
      </c>
      <c r="AV53" s="63">
        <v>1.6518096644350305E-2</v>
      </c>
      <c r="AW53" s="63">
        <v>1.6428691894600757E-2</v>
      </c>
      <c r="AX53" s="63">
        <v>1.6341631614990908E-2</v>
      </c>
      <c r="AY53" s="63">
        <v>1.6256953471334844E-2</v>
      </c>
      <c r="AZ53" s="63">
        <v>1.6174694876718621E-2</v>
      </c>
      <c r="BA53" s="63">
        <v>1.6094892929046627E-2</v>
      </c>
      <c r="BB53" s="63">
        <v>1.6017584346483982E-2</v>
      </c>
      <c r="BC53" s="63">
        <v>1.5942805400954628E-2</v>
      </c>
      <c r="BD53" s="63">
        <v>1.587059184987798E-2</v>
      </c>
      <c r="BE53" s="63">
        <v>1.5800978866350169E-2</v>
      </c>
      <c r="BF53" s="63">
        <v>1.5734000967999266E-2</v>
      </c>
      <c r="BG53" s="63">
        <v>1.5669691944766646E-2</v>
      </c>
      <c r="BH53" s="63">
        <v>1.5608084785888814E-2</v>
      </c>
      <c r="BI53" s="63">
        <v>1.5549211606375058E-2</v>
      </c>
      <c r="BJ53" s="63">
        <v>1.5493103573296403E-2</v>
      </c>
    </row>
    <row r="54" spans="1:62" x14ac:dyDescent="0.25">
      <c r="A54" s="56">
        <v>0.15</v>
      </c>
      <c r="B54" s="63">
        <v>2.2492810207559548E-2</v>
      </c>
      <c r="C54" s="63">
        <v>2.233376884688926E-2</v>
      </c>
      <c r="D54" s="63">
        <v>2.2175674885693861E-2</v>
      </c>
      <c r="E54" s="63">
        <v>2.2018548731068347E-2</v>
      </c>
      <c r="F54" s="63">
        <v>2.1862411250033593E-2</v>
      </c>
      <c r="G54" s="63">
        <v>2.1707283776776068E-2</v>
      </c>
      <c r="H54" s="63">
        <v>2.1553188119675042E-2</v>
      </c>
      <c r="I54" s="63">
        <v>2.14001465680832E-2</v>
      </c>
      <c r="J54" s="63">
        <v>2.1248181898823975E-2</v>
      </c>
      <c r="K54" s="63">
        <v>2.1097317382366521E-2</v>
      </c>
      <c r="L54" s="63">
        <v>2.0947576788636537E-2</v>
      </c>
      <c r="M54" s="63">
        <v>2.0798984392418531E-2</v>
      </c>
      <c r="N54" s="63">
        <v>2.0651564978302277E-2</v>
      </c>
      <c r="O54" s="63">
        <v>2.0505343845123362E-2</v>
      </c>
      <c r="P54" s="63">
        <v>2.0360346809844911E-2</v>
      </c>
      <c r="Q54" s="63">
        <v>2.0216600210824547E-2</v>
      </c>
      <c r="R54" s="63">
        <v>2.0074130910407714E-2</v>
      </c>
      <c r="S54" s="63">
        <v>1.993296629678552E-2</v>
      </c>
      <c r="T54" s="63">
        <v>1.9793134285052347E-2</v>
      </c>
      <c r="U54" s="63">
        <v>1.9654663317395384E-2</v>
      </c>
      <c r="V54" s="63">
        <v>1.9517582362345666E-2</v>
      </c>
      <c r="W54" s="63">
        <v>1.9381920913017148E-2</v>
      </c>
      <c r="X54" s="63">
        <v>1.92477089842579E-2</v>
      </c>
      <c r="Y54" s="63">
        <v>1.9114977108634971E-2</v>
      </c>
      <c r="Z54" s="63">
        <v>1.8983756331172229E-2</v>
      </c>
      <c r="AA54" s="63">
        <v>1.8854078202758421E-2</v>
      </c>
      <c r="AB54" s="63">
        <v>1.8725974772141097E-2</v>
      </c>
      <c r="AC54" s="63">
        <v>1.8599478576420501E-2</v>
      </c>
      <c r="AD54" s="63">
        <v>1.8474622629956791E-2</v>
      </c>
      <c r="AE54" s="63">
        <v>1.8351440411603224E-2</v>
      </c>
      <c r="AF54" s="63">
        <v>1.8229965850178168E-2</v>
      </c>
      <c r="AG54" s="63">
        <v>1.811023330808928E-2</v>
      </c>
      <c r="AH54" s="63">
        <v>1.7992277563024548E-2</v>
      </c>
      <c r="AI54" s="63">
        <v>1.7876133787626803E-2</v>
      </c>
      <c r="AJ54" s="63">
        <v>1.7761837527071195E-2</v>
      </c>
      <c r="AK54" s="63">
        <v>1.7649424674468641E-2</v>
      </c>
      <c r="AL54" s="63">
        <v>1.753893144402293E-2</v>
      </c>
      <c r="AM54" s="63">
        <v>1.7430394341874659E-2</v>
      </c>
      <c r="AN54" s="63">
        <v>1.7323850134571758E-2</v>
      </c>
      <c r="AO54" s="63">
        <v>1.7219335815114169E-2</v>
      </c>
      <c r="AP54" s="63">
        <v>1.7116888566528994E-2</v>
      </c>
      <c r="AQ54" s="63">
        <v>1.7016545722942557E-2</v>
      </c>
      <c r="AR54" s="63">
        <v>1.6918344728127043E-2</v>
      </c>
      <c r="AS54" s="63">
        <v>1.6822323091512048E-2</v>
      </c>
      <c r="AT54" s="63">
        <v>1.6728518341664955E-2</v>
      </c>
      <c r="AU54" s="63">
        <v>1.66369679772592E-2</v>
      </c>
      <c r="AV54" s="63">
        <v>1.6547709415565687E-2</v>
      </c>
      <c r="AW54" s="63">
        <v>1.6460779938519934E-2</v>
      </c>
      <c r="AX54" s="63">
        <v>1.6376216636436066E-2</v>
      </c>
      <c r="AY54" s="63">
        <v>1.6294056349458116E-2</v>
      </c>
      <c r="AZ54" s="63">
        <v>1.6214335606859545E-2</v>
      </c>
      <c r="BA54" s="63">
        <v>1.6137090564322804E-2</v>
      </c>
      <c r="BB54" s="63">
        <v>1.6062356939352485E-2</v>
      </c>
      <c r="BC54" s="63">
        <v>1.5990169944997447E-2</v>
      </c>
      <c r="BD54" s="63">
        <v>1.5920564222079575E-2</v>
      </c>
      <c r="BE54" s="63">
        <v>1.5853573770148698E-2</v>
      </c>
      <c r="BF54" s="63">
        <v>1.5789231877404906E-2</v>
      </c>
      <c r="BG54" s="63">
        <v>1.572757104985056E-2</v>
      </c>
      <c r="BH54" s="63">
        <v>1.5668622939954295E-2</v>
      </c>
      <c r="BI54" s="63">
        <v>1.5612418275128048E-2</v>
      </c>
      <c r="BJ54" s="63">
        <v>1.5558986786335686E-2</v>
      </c>
    </row>
    <row r="55" spans="1:62" x14ac:dyDescent="0.25">
      <c r="A55" s="56">
        <v>0.16</v>
      </c>
      <c r="B55" s="63">
        <v>2.2443041502066503E-2</v>
      </c>
      <c r="C55" s="63">
        <v>2.2285354392587546E-2</v>
      </c>
      <c r="D55" s="63">
        <v>2.2128636080872413E-2</v>
      </c>
      <c r="E55" s="63">
        <v>2.1972907296324756E-2</v>
      </c>
      <c r="F55" s="63">
        <v>2.1818189227403847E-2</v>
      </c>
      <c r="G55" s="63">
        <v>2.1664503528339769E-2</v>
      </c>
      <c r="H55" s="63">
        <v>2.1511872325597734E-2</v>
      </c>
      <c r="I55" s="63">
        <v>2.1360318224055434E-2</v>
      </c>
      <c r="J55" s="63">
        <v>2.1209864312855417E-2</v>
      </c>
      <c r="K55" s="63">
        <v>2.1060534170891456E-2</v>
      </c>
      <c r="L55" s="63">
        <v>2.0912351871885709E-2</v>
      </c>
      <c r="M55" s="63">
        <v>2.0765341989010498E-2</v>
      </c>
      <c r="N55" s="63">
        <v>2.0619529599006113E-2</v>
      </c>
      <c r="O55" s="63">
        <v>2.047494028574301E-2</v>
      </c>
      <c r="P55" s="63">
        <v>2.0331600143174186E-2</v>
      </c>
      <c r="Q55" s="63">
        <v>2.0189535777620674E-2</v>
      </c>
      <c r="R55" s="63">
        <v>2.0048774309330129E-2</v>
      </c>
      <c r="S55" s="63">
        <v>1.9909343373245941E-2</v>
      </c>
      <c r="T55" s="63">
        <v>1.977127111892138E-2</v>
      </c>
      <c r="U55" s="63">
        <v>1.9634586209510578E-2</v>
      </c>
      <c r="V55" s="63">
        <v>1.949931781976583E-2</v>
      </c>
      <c r="W55" s="63">
        <v>1.9365495632967862E-2</v>
      </c>
      <c r="X55" s="63">
        <v>1.9233149836713783E-2</v>
      </c>
      <c r="Y55" s="63">
        <v>1.9102311117485119E-2</v>
      </c>
      <c r="Z55" s="63">
        <v>1.8973010653916617E-2</v>
      </c>
      <c r="AA55" s="63">
        <v>1.884528010868497E-2</v>
      </c>
      <c r="AB55" s="63">
        <v>1.8719151618935278E-2</v>
      </c>
      <c r="AC55" s="63">
        <v>1.8594657785162463E-2</v>
      </c>
      <c r="AD55" s="63">
        <v>1.8471831658464319E-2</v>
      </c>
      <c r="AE55" s="63">
        <v>1.8350706726083122E-2</v>
      </c>
      <c r="AF55" s="63">
        <v>1.82313168951534E-2</v>
      </c>
      <c r="AG55" s="63">
        <v>1.8113696474574854E-2</v>
      </c>
      <c r="AH55" s="63">
        <v>1.7997880154931322E-2</v>
      </c>
      <c r="AI55" s="63">
        <v>1.7883902986379742E-2</v>
      </c>
      <c r="AJ55" s="63">
        <v>1.7771800354436224E-2</v>
      </c>
      <c r="AK55" s="63">
        <v>1.7661607953591393E-2</v>
      </c>
      <c r="AL55" s="63">
        <v>1.7553361758692033E-2</v>
      </c>
      <c r="AM55" s="63">
        <v>1.7447097994032903E-2</v>
      </c>
      <c r="AN55" s="63">
        <v>1.7342853100109797E-2</v>
      </c>
      <c r="AO55" s="63">
        <v>1.7240663697993621E-2</v>
      </c>
      <c r="AP55" s="63">
        <v>1.7140566551294853E-2</v>
      </c>
      <c r="AQ55" s="63">
        <v>1.7042598525698675E-2</v>
      </c>
      <c r="AR55" s="63">
        <v>1.6946796546062959E-2</v>
      </c>
      <c r="AS55" s="63">
        <v>1.6853197551084546E-2</v>
      </c>
      <c r="AT55" s="63">
        <v>1.6761838445553602E-2</v>
      </c>
      <c r="AU55" s="63">
        <v>1.6672756050231208E-2</v>
      </c>
      <c r="AV55" s="63">
        <v>1.6585987049401969E-2</v>
      </c>
      <c r="AW55" s="63">
        <v>1.650156793617092E-2</v>
      </c>
      <c r="AX55" s="63">
        <v>1.6419534955592518E-2</v>
      </c>
      <c r="AY55" s="63">
        <v>1.6339924045738734E-2</v>
      </c>
      <c r="AZ55" s="63">
        <v>1.6262770776833298E-2</v>
      </c>
      <c r="BA55" s="63">
        <v>1.6188110288599507E-2</v>
      </c>
      <c r="BB55" s="63">
        <v>1.6115977225989907E-2</v>
      </c>
      <c r="BC55" s="63">
        <v>1.6046405673486988E-2</v>
      </c>
      <c r="BD55" s="63">
        <v>1.5979429088184949E-2</v>
      </c>
      <c r="BE55" s="63">
        <v>1.5915080231883004E-2</v>
      </c>
      <c r="BF55" s="63">
        <v>1.5853391102440544E-2</v>
      </c>
      <c r="BG55" s="63">
        <v>1.579439286466354E-2</v>
      </c>
      <c r="BH55" s="63">
        <v>1.573811578100931E-2</v>
      </c>
      <c r="BI55" s="63">
        <v>1.5684589142413004E-2</v>
      </c>
      <c r="BJ55" s="63">
        <v>1.563384119955398E-2</v>
      </c>
    </row>
    <row r="56" spans="1:62" x14ac:dyDescent="0.25">
      <c r="A56" s="56">
        <v>0.17</v>
      </c>
      <c r="B56" s="63">
        <v>2.239961656021567E-2</v>
      </c>
      <c r="C56" s="63">
        <v>2.224333426559932E-2</v>
      </c>
      <c r="D56" s="63">
        <v>2.2088042518847335E-2</v>
      </c>
      <c r="E56" s="63">
        <v>2.1933762359302528E-2</v>
      </c>
      <c r="F56" s="63">
        <v>2.1780515283414004E-2</v>
      </c>
      <c r="G56" s="63">
        <v>2.1628323250877112E-2</v>
      </c>
      <c r="H56" s="63">
        <v>2.1477208690482988E-2</v>
      </c>
      <c r="I56" s="63">
        <v>2.1327194505640221E-2</v>
      </c>
      <c r="J56" s="63">
        <v>2.1178304079528861E-2</v>
      </c>
      <c r="K56" s="63">
        <v>2.1030561279844463E-2</v>
      </c>
      <c r="L56" s="63">
        <v>2.0883990463087348E-2</v>
      </c>
      <c r="M56" s="63">
        <v>2.0738616478349743E-2</v>
      </c>
      <c r="N56" s="63">
        <v>2.0594464670550715E-2</v>
      </c>
      <c r="O56" s="63">
        <v>2.045156088306635E-2</v>
      </c>
      <c r="P56" s="63">
        <v>2.0309931459699799E-2</v>
      </c>
      <c r="Q56" s="63">
        <v>2.0169603245933306E-2</v>
      </c>
      <c r="R56" s="63">
        <v>2.0030603589401629E-2</v>
      </c>
      <c r="S56" s="63">
        <v>1.989296033952365E-2</v>
      </c>
      <c r="T56" s="63">
        <v>1.9756701846226733E-2</v>
      </c>
      <c r="U56" s="63">
        <v>1.9621856957695482E-2</v>
      </c>
      <c r="V56" s="63">
        <v>1.9488455017074906E-2</v>
      </c>
      <c r="W56" s="63">
        <v>1.9356525858055404E-2</v>
      </c>
      <c r="X56" s="63">
        <v>1.9226099799265289E-2</v>
      </c>
      <c r="Y56" s="63">
        <v>1.9097207637394954E-2</v>
      </c>
      <c r="Z56" s="63">
        <v>1.8969880638975291E-2</v>
      </c>
      <c r="AA56" s="63">
        <v>1.8844150530732042E-2</v>
      </c>
      <c r="AB56" s="63">
        <v>1.8720049488437092E-2</v>
      </c>
      <c r="AC56" s="63">
        <v>1.8597610124177381E-2</v>
      </c>
      <c r="AD56" s="63">
        <v>1.8476865471962551E-2</v>
      </c>
      <c r="AE56" s="63">
        <v>1.8357848971593184E-2</v>
      </c>
      <c r="AF56" s="63">
        <v>1.8240594450712778E-2</v>
      </c>
      <c r="AG56" s="63">
        <v>1.812513610496894E-2</v>
      </c>
      <c r="AH56" s="63">
        <v>1.8011508476211795E-2</v>
      </c>
      <c r="AI56" s="63">
        <v>1.7899746428661385E-2</v>
      </c>
      <c r="AJ56" s="63">
        <v>1.7789885122980097E-2</v>
      </c>
      <c r="AK56" s="63">
        <v>1.7681959988191557E-2</v>
      </c>
      <c r="AL56" s="63">
        <v>1.7576006691393573E-2</v>
      </c>
      <c r="AM56" s="63">
        <v>1.7472061105220017E-2</v>
      </c>
      <c r="AN56" s="63">
        <v>1.7370159273014697E-2</v>
      </c>
      <c r="AO56" s="63">
        <v>1.7270337371689662E-2</v>
      </c>
      <c r="AP56" s="63">
        <v>1.7172631672250728E-2</v>
      </c>
      <c r="AQ56" s="63">
        <v>1.7077078497984455E-2</v>
      </c>
      <c r="AR56" s="63">
        <v>1.6983714180313535E-2</v>
      </c>
      <c r="AS56" s="63">
        <v>1.6892575012341045E-2</v>
      </c>
      <c r="AT56" s="63">
        <v>1.6803697200118817E-2</v>
      </c>
      <c r="AU56" s="63">
        <v>1.671711681169091E-2</v>
      </c>
      <c r="AV56" s="63">
        <v>1.6632869723979763E-2</v>
      </c>
      <c r="AW56" s="63">
        <v>1.6550991567600183E-2</v>
      </c>
      <c r="AX56" s="63">
        <v>1.6471517669704516E-2</v>
      </c>
      <c r="AY56" s="63">
        <v>1.6394482994981259E-2</v>
      </c>
      <c r="AZ56" s="63">
        <v>1.6319922084948726E-2</v>
      </c>
      <c r="BA56" s="63">
        <v>1.6247868995704965E-2</v>
      </c>
      <c r="BB56" s="63">
        <v>1.6178357234314922E-2</v>
      </c>
      <c r="BC56" s="63">
        <v>1.6111419694035511E-2</v>
      </c>
      <c r="BD56" s="63">
        <v>1.6047088588598449E-2</v>
      </c>
      <c r="BE56" s="63">
        <v>1.5985395385789612E-2</v>
      </c>
      <c r="BF56" s="63">
        <v>1.5926370740581387E-2</v>
      </c>
      <c r="BG56" s="63">
        <v>1.5870044428091427E-2</v>
      </c>
      <c r="BH56" s="63">
        <v>1.5816445276656533E-2</v>
      </c>
      <c r="BI56" s="63">
        <v>1.5765601101324103E-2</v>
      </c>
      <c r="BJ56" s="63">
        <v>1.5717538638075575E-2</v>
      </c>
    </row>
    <row r="57" spans="1:62" x14ac:dyDescent="0.25">
      <c r="A57" s="56">
        <v>0.18</v>
      </c>
      <c r="B57" s="63">
        <v>2.2362572338103702E-2</v>
      </c>
      <c r="C57" s="63">
        <v>2.2207744762811309E-2</v>
      </c>
      <c r="D57" s="63">
        <v>2.2053929789952426E-2</v>
      </c>
      <c r="E57" s="63">
        <v>2.1901148754502699E-2</v>
      </c>
      <c r="F57" s="63">
        <v>2.1749423445468274E-2</v>
      </c>
      <c r="G57" s="63">
        <v>2.1598776111401333E-2</v>
      </c>
      <c r="H57" s="63">
        <v>2.1449229465585071E-2</v>
      </c>
      <c r="I57" s="63">
        <v>2.1300806690849307E-2</v>
      </c>
      <c r="J57" s="63">
        <v>2.1153531443975596E-2</v>
      </c>
      <c r="K57" s="63">
        <v>2.1007427859648209E-2</v>
      </c>
      <c r="L57" s="63">
        <v>2.0862520553905018E-2</v>
      </c>
      <c r="M57" s="63">
        <v>2.0718834627039735E-2</v>
      </c>
      <c r="N57" s="63">
        <v>2.0576395665904613E-2</v>
      </c>
      <c r="O57" s="63">
        <v>2.0435229745560033E-2</v>
      </c>
      <c r="P57" s="63">
        <v>2.0295363430215058E-2</v>
      </c>
      <c r="Q57" s="63">
        <v>2.015682377340056E-2</v>
      </c>
      <c r="R57" s="63">
        <v>2.0019638317314008E-2</v>
      </c>
      <c r="S57" s="63">
        <v>1.9883835091272867E-2</v>
      </c>
      <c r="T57" s="63">
        <v>1.9749442609211212E-2</v>
      </c>
      <c r="U57" s="63">
        <v>1.9616489866152054E-2</v>
      </c>
      <c r="V57" s="63">
        <v>1.9485006333586116E-2</v>
      </c>
      <c r="W57" s="63">
        <v>1.9355021953685866E-2</v>
      </c>
      <c r="X57" s="63">
        <v>1.9226567132282317E-2</v>
      </c>
      <c r="Y57" s="63">
        <v>1.9099672730530787E-2</v>
      </c>
      <c r="Z57" s="63">
        <v>1.8974370055191026E-2</v>
      </c>
      <c r="AA57" s="63">
        <v>1.8850690847446529E-2</v>
      </c>
      <c r="AB57" s="63">
        <v>1.8728667270187828E-2</v>
      </c>
      <c r="AC57" s="63">
        <v>1.8608331893684913E-2</v>
      </c>
      <c r="AD57" s="63">
        <v>1.8489717679574871E-2</v>
      </c>
      <c r="AE57" s="63">
        <v>1.8372857963092234E-2</v>
      </c>
      <c r="AF57" s="63">
        <v>1.8257786433471774E-2</v>
      </c>
      <c r="AG57" s="63">
        <v>1.8144537112456085E-2</v>
      </c>
      <c r="AH57" s="63">
        <v>1.8033144330844027E-2</v>
      </c>
      <c r="AI57" s="63">
        <v>1.7923642703020336E-2</v>
      </c>
      <c r="AJ57" s="63">
        <v>1.7816067099411755E-2</v>
      </c>
      <c r="AK57" s="63">
        <v>1.7710452616821394E-2</v>
      </c>
      <c r="AL57" s="63">
        <v>1.760683454659967E-2</v>
      </c>
      <c r="AM57" s="63">
        <v>1.7505248340618344E-2</v>
      </c>
      <c r="AN57" s="63">
        <v>1.7405729575023076E-2</v>
      </c>
      <c r="AO57" s="63">
        <v>1.7308313911749768E-2</v>
      </c>
      <c r="AP57" s="63">
        <v>1.7213037057801101E-2</v>
      </c>
      <c r="AQ57" s="63">
        <v>1.7119934722291539E-2</v>
      </c>
      <c r="AR57" s="63">
        <v>1.7029042571282123E-2</v>
      </c>
      <c r="AS57" s="63">
        <v>1.6940396180440413E-2</v>
      </c>
      <c r="AT57" s="63">
        <v>1.6854030985575745E-2</v>
      </c>
      <c r="AU57" s="63">
        <v>1.6769982231115827E-2</v>
      </c>
      <c r="AV57" s="63">
        <v>1.6688284916607208E-2</v>
      </c>
      <c r="AW57" s="63">
        <v>1.6608973741339489E-2</v>
      </c>
      <c r="AX57" s="63">
        <v>1.6532083047210832E-2</v>
      </c>
      <c r="AY57" s="63">
        <v>1.6457646759970655E-2</v>
      </c>
      <c r="AZ57" s="63">
        <v>1.6385698328993961E-2</v>
      </c>
      <c r="BA57" s="63">
        <v>1.6316270665760121E-2</v>
      </c>
      <c r="BB57" s="63">
        <v>1.6249396081227725E-2</v>
      </c>
      <c r="BC57" s="63">
        <v>1.6185106222314994E-2</v>
      </c>
      <c r="BD57" s="63">
        <v>1.6123432007713063E-2</v>
      </c>
      <c r="BE57" s="63">
        <v>1.6064403563276125E-2</v>
      </c>
      <c r="BF57" s="63">
        <v>1.600805015724829E-2</v>
      </c>
      <c r="BG57" s="63">
        <v>1.5954400135601499E-2</v>
      </c>
      <c r="BH57" s="63">
        <v>1.5903480857771719E-2</v>
      </c>
      <c r="BI57" s="63">
        <v>1.5855318633091794E-2</v>
      </c>
      <c r="BJ57" s="63">
        <v>1.5809938658228564E-2</v>
      </c>
    </row>
    <row r="58" spans="1:62" x14ac:dyDescent="0.25">
      <c r="A58" s="56">
        <v>0.19</v>
      </c>
      <c r="B58" s="63">
        <v>2.2331940588766083E-2</v>
      </c>
      <c r="C58" s="63">
        <v>2.2178616841457572E-2</v>
      </c>
      <c r="D58" s="63">
        <v>2.2026328005296726E-2</v>
      </c>
      <c r="E58" s="63">
        <v>2.1875095694656475E-2</v>
      </c>
      <c r="F58" s="63">
        <v>2.1724941973698418E-2</v>
      </c>
      <c r="G58" s="63">
        <v>2.1575889361216946E-2</v>
      </c>
      <c r="H58" s="63">
        <v>2.142796083511242E-2</v>
      </c>
      <c r="I58" s="63">
        <v>2.1281179836453494E-2</v>
      </c>
      <c r="J58" s="63">
        <v>2.1135570273086168E-2</v>
      </c>
      <c r="K58" s="63">
        <v>2.0991156522744969E-2</v>
      </c>
      <c r="L58" s="63">
        <v>2.0847963435619305E-2</v>
      </c>
      <c r="M58" s="63">
        <v>2.070601633632569E-2</v>
      </c>
      <c r="N58" s="63">
        <v>2.0565341025234156E-2</v>
      </c>
      <c r="O58" s="63">
        <v>2.0425963779094919E-2</v>
      </c>
      <c r="P58" s="63">
        <v>2.0287911350908999E-2</v>
      </c>
      <c r="Q58" s="63">
        <v>2.0151210968984288E-2</v>
      </c>
      <c r="R58" s="63">
        <v>2.0015890335116481E-2</v>
      </c>
      <c r="S58" s="63">
        <v>1.9881977621832077E-2</v>
      </c>
      <c r="T58" s="63">
        <v>1.9749501468629024E-2</v>
      </c>
      <c r="U58" s="63">
        <v>1.9618490977148424E-2</v>
      </c>
      <c r="V58" s="63">
        <v>1.9488975705209709E-2</v>
      </c>
      <c r="W58" s="63">
        <v>1.9360985659639864E-2</v>
      </c>
      <c r="X58" s="63">
        <v>1.9234551287826616E-2</v>
      </c>
      <c r="Y58" s="63">
        <v>1.9109703467924621E-2</v>
      </c>
      <c r="Z58" s="63">
        <v>1.8986473497643378E-2</v>
      </c>
      <c r="AA58" s="63">
        <v>1.8864893081545521E-2</v>
      </c>
      <c r="AB58" s="63">
        <v>1.8744994316784946E-2</v>
      </c>
      <c r="AC58" s="63">
        <v>1.8626809677214765E-2</v>
      </c>
      <c r="AD58" s="63">
        <v>1.8510371995797092E-2</v>
      </c>
      <c r="AE58" s="63">
        <v>1.8395714445248457E-2</v>
      </c>
      <c r="AF58" s="63">
        <v>1.828287051685764E-2</v>
      </c>
      <c r="AG58" s="63">
        <v>1.817187399741611E-2</v>
      </c>
      <c r="AH58" s="63">
        <v>1.806275894420559E-2</v>
      </c>
      <c r="AI58" s="63">
        <v>1.7955559657992181E-2</v>
      </c>
      <c r="AJ58" s="63">
        <v>1.7850310653982456E-2</v>
      </c>
      <c r="AK58" s="63">
        <v>1.774704663070362E-2</v>
      </c>
      <c r="AL58" s="63">
        <v>1.7645802436777529E-2</v>
      </c>
      <c r="AM58" s="63">
        <v>1.7546613035566861E-2</v>
      </c>
      <c r="AN58" s="63">
        <v>1.7449513467681321E-2</v>
      </c>
      <c r="AO58" s="63">
        <v>1.7354538811342256E-2</v>
      </c>
      <c r="AP58" s="63">
        <v>1.7261724140615373E-2</v>
      </c>
      <c r="AQ58" s="63">
        <v>1.7171104481533743E-2</v>
      </c>
      <c r="AR58" s="63">
        <v>1.7082714766146478E-2</v>
      </c>
      <c r="AS58" s="63">
        <v>1.6996589784542531E-2</v>
      </c>
      <c r="AT58" s="63">
        <v>1.6912764134914139E-2</v>
      </c>
      <c r="AU58" s="63">
        <v>1.6831272171739915E-2</v>
      </c>
      <c r="AV58" s="63">
        <v>1.6752147952183952E-2</v>
      </c>
      <c r="AW58" s="63">
        <v>1.6675425180824065E-2</v>
      </c>
      <c r="AX58" s="63">
        <v>1.660113715283949E-2</v>
      </c>
      <c r="AY58" s="63">
        <v>1.6529316695805665E-2</v>
      </c>
      <c r="AZ58" s="63">
        <v>1.6459996110261325E-2</v>
      </c>
      <c r="BA58" s="63">
        <v>1.6393207109230395E-2</v>
      </c>
      <c r="BB58" s="63">
        <v>1.6328980756898211E-2</v>
      </c>
      <c r="BC58" s="63">
        <v>1.6267347406658163E-2</v>
      </c>
      <c r="BD58" s="63">
        <v>1.6208336638760618E-2</v>
      </c>
      <c r="BE58" s="63">
        <v>1.6151977197810728E-2</v>
      </c>
      <c r="BF58" s="63">
        <v>1.6098296930375317E-2</v>
      </c>
      <c r="BG58" s="63">
        <v>1.6047322722971293E-2</v>
      </c>
      <c r="BH58" s="63">
        <v>1.599908044071835E-2</v>
      </c>
      <c r="BI58" s="63">
        <v>1.5953594866947324E-2</v>
      </c>
      <c r="BJ58" s="63">
        <v>1.5910889644062193E-2</v>
      </c>
    </row>
    <row r="59" spans="1:62" x14ac:dyDescent="0.25">
      <c r="A59" s="56">
        <v>0.2</v>
      </c>
      <c r="B59" s="63">
        <v>2.230774772796347E-2</v>
      </c>
      <c r="C59" s="63">
        <v>2.2155975986203408E-2</v>
      </c>
      <c r="D59" s="63">
        <v>2.2005261665445173E-2</v>
      </c>
      <c r="E59" s="63">
        <v>2.1855626641323404E-2</v>
      </c>
      <c r="F59" s="63">
        <v>2.1707093233822576E-2</v>
      </c>
      <c r="G59" s="63">
        <v>2.1559684211405611E-2</v>
      </c>
      <c r="H59" s="63">
        <v>2.1413422794731459E-2</v>
      </c>
      <c r="I59" s="63">
        <v>2.126833265992055E-2</v>
      </c>
      <c r="J59" s="63">
        <v>2.1124437941324913E-2</v>
      </c>
      <c r="K59" s="63">
        <v>2.0981763233757493E-2</v>
      </c>
      <c r="L59" s="63">
        <v>2.0840333594133131E-2</v>
      </c>
      <c r="M59" s="63">
        <v>2.0700174542471278E-2</v>
      </c>
      <c r="N59" s="63">
        <v>2.0561312062208577E-2</v>
      </c>
      <c r="O59" s="63">
        <v>2.0423772599767111E-2</v>
      </c>
      <c r="P59" s="63">
        <v>2.0287583063322203E-2</v>
      </c>
      <c r="Q59" s="63">
        <v>2.0152770820711569E-2</v>
      </c>
      <c r="R59" s="63">
        <v>2.0019363696425905E-2</v>
      </c>
      <c r="S59" s="63">
        <v>1.9887389967619004E-2</v>
      </c>
      <c r="T59" s="63">
        <v>1.9756878359074258E-2</v>
      </c>
      <c r="U59" s="63">
        <v>1.9627858037062688E-2</v>
      </c>
      <c r="V59" s="63">
        <v>1.9500358602026834E-2</v>
      </c>
      <c r="W59" s="63">
        <v>1.937441008002368E-2</v>
      </c>
      <c r="X59" s="63">
        <v>1.9250042912859457E-2</v>
      </c>
      <c r="Y59" s="63">
        <v>1.9127287946848707E-2</v>
      </c>
      <c r="Z59" s="63">
        <v>1.9006176420130458E-2</v>
      </c>
      <c r="AA59" s="63">
        <v>1.8886739948474649E-2</v>
      </c>
      <c r="AB59" s="63">
        <v>1.8769010509513261E-2</v>
      </c>
      <c r="AC59" s="63">
        <v>1.8653020425332092E-2</v>
      </c>
      <c r="AD59" s="63">
        <v>1.8538802343361322E-2</v>
      </c>
      <c r="AE59" s="63">
        <v>1.8426389215505788E-2</v>
      </c>
      <c r="AF59" s="63">
        <v>1.8315814275459415E-2</v>
      </c>
      <c r="AG59" s="63">
        <v>1.8207111014152233E-2</v>
      </c>
      <c r="AH59" s="63">
        <v>1.810031315328357E-2</v>
      </c>
      <c r="AI59" s="63">
        <v>1.7995454616900424E-2</v>
      </c>
      <c r="AJ59" s="63">
        <v>1.7892569500986753E-2</v>
      </c>
      <c r="AK59" s="63">
        <v>1.779169204103662E-2</v>
      </c>
      <c r="AL59" s="63">
        <v>1.7692856577592442E-2</v>
      </c>
      <c r="AM59" s="63">
        <v>1.7596097519738646E-2</v>
      </c>
      <c r="AN59" s="63">
        <v>1.7501449306551009E-2</v>
      </c>
      <c r="AO59" s="63">
        <v>1.7408946366512908E-2</v>
      </c>
      <c r="AP59" s="63">
        <v>1.7318623074921317E-2</v>
      </c>
      <c r="AQ59" s="63">
        <v>1.7230513709318048E-2</v>
      </c>
      <c r="AR59" s="63">
        <v>1.7144652402995026E-2</v>
      </c>
      <c r="AS59" s="63">
        <v>1.7061073096636539E-2</v>
      </c>
      <c r="AT59" s="63">
        <v>1.6979809488176036E-2</v>
      </c>
      <c r="AU59" s="63">
        <v>1.6900894980960528E-2</v>
      </c>
      <c r="AV59" s="63">
        <v>1.6824362630331241E-2</v>
      </c>
      <c r="AW59" s="63">
        <v>1.675024508874548E-2</v>
      </c>
      <c r="AX59" s="63">
        <v>1.6678574549580782E-2</v>
      </c>
      <c r="AY59" s="63">
        <v>1.6609382689779031E-2</v>
      </c>
      <c r="AZ59" s="63">
        <v>1.6542700611504299E-2</v>
      </c>
      <c r="BA59" s="63">
        <v>1.6478558783004176E-2</v>
      </c>
      <c r="BB59" s="63">
        <v>1.6416986978879815E-2</v>
      </c>
      <c r="BC59" s="63">
        <v>1.635801421998467E-2</v>
      </c>
      <c r="BD59" s="63">
        <v>1.6301668713185707E-2</v>
      </c>
      <c r="BE59" s="63">
        <v>1.6247977791233621E-2</v>
      </c>
      <c r="BF59" s="63">
        <v>1.619696785299983E-2</v>
      </c>
      <c r="BG59" s="63">
        <v>1.6148664304348047E-2</v>
      </c>
      <c r="BH59" s="63">
        <v>1.6103091499915963E-2</v>
      </c>
      <c r="BI59" s="63">
        <v>1.6060272686088881E-2</v>
      </c>
      <c r="BJ59" s="63">
        <v>1.6020229945451013E-2</v>
      </c>
    </row>
    <row r="60" spans="1:62" x14ac:dyDescent="0.25">
      <c r="A60" s="56">
        <v>0.21</v>
      </c>
      <c r="B60" s="63">
        <v>2.2290014721389594E-2</v>
      </c>
      <c r="C60" s="63">
        <v>2.2139842098652891E-2</v>
      </c>
      <c r="D60" s="63">
        <v>2.1990749552562479E-2</v>
      </c>
      <c r="E60" s="63">
        <v>2.1842759200030037E-2</v>
      </c>
      <c r="F60" s="63">
        <v>2.1695893595659817E-2</v>
      </c>
      <c r="G60" s="63">
        <v>2.1550175735121382E-2</v>
      </c>
      <c r="H60" s="63">
        <v>2.1405629058071668E-2</v>
      </c>
      <c r="I60" s="63">
        <v>2.1262277450584541E-2</v>
      </c>
      <c r="J60" s="63">
        <v>2.1120145247044003E-2</v>
      </c>
      <c r="K60" s="63">
        <v>2.0979257231455099E-2</v>
      </c>
      <c r="L60" s="63">
        <v>2.0839638638124519E-2</v>
      </c>
      <c r="M60" s="63">
        <v>2.0701315151661012E-2</v>
      </c>
      <c r="N60" s="63">
        <v>2.0564312906243505E-2</v>
      </c>
      <c r="O60" s="63">
        <v>2.0428658484103218E-2</v>
      </c>
      <c r="P60" s="63">
        <v>2.029437891316405E-2</v>
      </c>
      <c r="Q60" s="63">
        <v>2.0161501663783842E-2</v>
      </c>
      <c r="R60" s="63">
        <v>2.0030054644537693E-2</v>
      </c>
      <c r="S60" s="63">
        <v>1.9900066196982834E-2</v>
      </c>
      <c r="T60" s="63">
        <v>1.977156508934378E-2</v>
      </c>
      <c r="U60" s="63">
        <v>1.9644580509054977E-2</v>
      </c>
      <c r="V60" s="63">
        <v>1.9519142054097906E-2</v>
      </c>
      <c r="W60" s="63">
        <v>1.9395279723068967E-2</v>
      </c>
      <c r="X60" s="63">
        <v>1.9273023903914322E-2</v>
      </c>
      <c r="Y60" s="63">
        <v>1.915240536126837E-2</v>
      </c>
      <c r="Z60" s="63">
        <v>1.9033455222333014E-2</v>
      </c>
      <c r="AA60" s="63">
        <v>1.891620496123618E-2</v>
      </c>
      <c r="AB60" s="63">
        <v>1.8800686381809647E-2</v>
      </c>
      <c r="AC60" s="63">
        <v>1.8686931598728428E-2</v>
      </c>
      <c r="AD60" s="63">
        <v>1.8574973016956802E-2</v>
      </c>
      <c r="AE60" s="63">
        <v>1.8464843309449377E-2</v>
      </c>
      <c r="AF60" s="63">
        <v>1.8356575393059776E-2</v>
      </c>
      <c r="AG60" s="63">
        <v>1.8250202402614161E-2</v>
      </c>
      <c r="AH60" s="63">
        <v>1.8145757663112487E-2</v>
      </c>
      <c r="AI60" s="63">
        <v>1.8043274660026472E-2</v>
      </c>
      <c r="AJ60" s="63">
        <v>1.7942787007670442E-2</v>
      </c>
      <c r="AK60" s="63">
        <v>1.7844328415629069E-2</v>
      </c>
      <c r="AL60" s="63">
        <v>1.7747932653234651E-2</v>
      </c>
      <c r="AM60" s="63">
        <v>1.7653633512096156E-2</v>
      </c>
      <c r="AN60" s="63">
        <v>1.75614647666925E-2</v>
      </c>
      <c r="AO60" s="63">
        <v>1.7471460133053722E-2</v>
      </c>
      <c r="AP60" s="63">
        <v>1.7383653225565534E-2</v>
      </c>
      <c r="AQ60" s="63">
        <v>1.7298077511945377E-2</v>
      </c>
      <c r="AR60" s="63">
        <v>1.7214766266451357E-2</v>
      </c>
      <c r="AS60" s="63">
        <v>1.713375252139936E-2</v>
      </c>
      <c r="AT60" s="63">
        <v>1.7055069017077946E-2</v>
      </c>
      <c r="AU60" s="63">
        <v>1.697874815016558E-2</v>
      </c>
      <c r="AV60" s="63">
        <v>1.6904821920769714E-2</v>
      </c>
      <c r="AW60" s="63">
        <v>1.6833321878222583E-2</v>
      </c>
      <c r="AX60" s="63">
        <v>1.676427906578401E-2</v>
      </c>
      <c r="AY60" s="63">
        <v>1.6697723964416433E-2</v>
      </c>
      <c r="AZ60" s="63">
        <v>1.6633686435812586E-2</v>
      </c>
      <c r="BA60" s="63">
        <v>1.6572195664870431E-2</v>
      </c>
      <c r="BB60" s="63">
        <v>1.6513280101823832E-2</v>
      </c>
      <c r="BC60" s="63">
        <v>1.645696740425032E-2</v>
      </c>
      <c r="BD60" s="63">
        <v>1.6403284379189125E-2</v>
      </c>
      <c r="BE60" s="63">
        <v>1.6352256925613307E-2</v>
      </c>
      <c r="BF60" s="63">
        <v>1.6303909977508853E-2</v>
      </c>
      <c r="BG60" s="63">
        <v>1.6258267447821211E-2</v>
      </c>
      <c r="BH60" s="63">
        <v>1.6215352173535397E-2</v>
      </c>
      <c r="BI60" s="63">
        <v>1.6175185862159398E-2</v>
      </c>
      <c r="BJ60" s="63">
        <v>1.6137789039882427E-2</v>
      </c>
    </row>
    <row r="61" spans="1:62" x14ac:dyDescent="0.25">
      <c r="A61" s="56">
        <v>0.22</v>
      </c>
      <c r="B61" s="63">
        <v>2.2278756994412736E-2</v>
      </c>
      <c r="C61" s="63">
        <v>2.2130229410387229E-2</v>
      </c>
      <c r="D61" s="63">
        <v>2.1982804647118329E-2</v>
      </c>
      <c r="E61" s="63">
        <v>2.1836505041033755E-2</v>
      </c>
      <c r="F61" s="63">
        <v>2.16913533583671E-2</v>
      </c>
      <c r="G61" s="63">
        <v>2.1547372797738489E-2</v>
      </c>
      <c r="H61" s="63">
        <v>2.1404586992245931E-2</v>
      </c>
      <c r="I61" s="63">
        <v>2.1263020011025074E-2</v>
      </c>
      <c r="J61" s="63">
        <v>2.112269636023317E-2</v>
      </c>
      <c r="K61" s="63">
        <v>2.0983640983411066E-2</v>
      </c>
      <c r="L61" s="63">
        <v>2.0845879261175222E-2</v>
      </c>
      <c r="M61" s="63">
        <v>2.0709437010190016E-2</v>
      </c>
      <c r="N61" s="63">
        <v>2.0574340481368695E-2</v>
      </c>
      <c r="O61" s="63">
        <v>2.0440616357249874E-2</v>
      </c>
      <c r="P61" s="63">
        <v>2.030829174849479E-2</v>
      </c>
      <c r="Q61" s="63">
        <v>2.0177394189449197E-2</v>
      </c>
      <c r="R61" s="63">
        <v>2.0047951632712519E-2</v>
      </c>
      <c r="S61" s="63">
        <v>1.9919992442655913E-2</v>
      </c>
      <c r="T61" s="63">
        <v>1.979354538782992E-2</v>
      </c>
      <c r="U61" s="63">
        <v>1.96686396322019E-2</v>
      </c>
      <c r="V61" s="63">
        <v>1.9545304725163262E-2</v>
      </c>
      <c r="W61" s="63">
        <v>1.9423570590246311E-2</v>
      </c>
      <c r="X61" s="63">
        <v>1.9303467512491099E-2</v>
      </c>
      <c r="Y61" s="63">
        <v>1.9185026124403461E-2</v>
      </c>
      <c r="Z61" s="63">
        <v>1.9068277390446496E-2</v>
      </c>
      <c r="AA61" s="63">
        <v>1.8953252590009684E-2</v>
      </c>
      <c r="AB61" s="63">
        <v>1.8839983298801793E-2</v>
      </c>
      <c r="AC61" s="63">
        <v>1.8728501368616715E-2</v>
      </c>
      <c r="AD61" s="63">
        <v>1.8618838905424574E-2</v>
      </c>
      <c r="AE61" s="63">
        <v>1.8511028245744514E-2</v>
      </c>
      <c r="AF61" s="63">
        <v>1.8405101931260163E-2</v>
      </c>
      <c r="AG61" s="63">
        <v>1.8301092681644118E-2</v>
      </c>
      <c r="AH61" s="63">
        <v>1.8199033365563819E-2</v>
      </c>
      <c r="AI61" s="63">
        <v>1.8098956969847969E-2</v>
      </c>
      <c r="AJ61" s="63">
        <v>1.8000896566800154E-2</v>
      </c>
      <c r="AK61" s="63">
        <v>1.7904885279654618E-2</v>
      </c>
      <c r="AL61" s="63">
        <v>1.7810956246178185E-2</v>
      </c>
      <c r="AM61" s="63">
        <v>1.7719142580432064E-2</v>
      </c>
      <c r="AN61" s="63">
        <v>1.7629477332717879E-2</v>
      </c>
      <c r="AO61" s="63">
        <v>1.75419934477434E-2</v>
      </c>
      <c r="AP61" s="63">
        <v>1.7456723721055365E-2</v>
      </c>
      <c r="AQ61" s="63">
        <v>1.7373700753799338E-2</v>
      </c>
      <c r="AR61" s="63">
        <v>1.7292956905879467E-2</v>
      </c>
      <c r="AS61" s="63">
        <v>1.7214524247604605E-2</v>
      </c>
      <c r="AT61" s="63">
        <v>1.7138434509921124E-2</v>
      </c>
      <c r="AU61" s="63">
        <v>1.7064719033346835E-2</v>
      </c>
      <c r="AV61" s="63">
        <v>1.6993408715734758E-2</v>
      </c>
      <c r="AW61" s="63">
        <v>1.6924533959009811E-2</v>
      </c>
      <c r="AX61" s="63">
        <v>1.685812461503558E-2</v>
      </c>
      <c r="AY61" s="63">
        <v>1.6794209930782296E-2</v>
      </c>
      <c r="AZ61" s="63">
        <v>1.6732818492980518E-2</v>
      </c>
      <c r="BA61" s="63">
        <v>1.6673978172457849E-2</v>
      </c>
      <c r="BB61" s="63">
        <v>1.6617716068368021E-2</v>
      </c>
      <c r="BC61" s="63">
        <v>1.6564058452532657E-2</v>
      </c>
      <c r="BD61" s="63">
        <v>1.651303071412593E-2</v>
      </c>
      <c r="BE61" s="63">
        <v>1.6464657304940792E-2</v>
      </c>
      <c r="BF61" s="63">
        <v>1.641896168548242E-2</v>
      </c>
      <c r="BG61" s="63">
        <v>1.6375966272139948E-2</v>
      </c>
      <c r="BH61" s="63">
        <v>1.6335692385690812E-2</v>
      </c>
      <c r="BI61" s="63">
        <v>1.6298160201393724E-2</v>
      </c>
      <c r="BJ61" s="63">
        <v>1.6263388700925696E-2</v>
      </c>
    </row>
    <row r="62" spans="1:62" x14ac:dyDescent="0.25">
      <c r="A62" s="56">
        <v>0.23</v>
      </c>
      <c r="B62" s="63">
        <v>2.2273984365251055E-2</v>
      </c>
      <c r="C62" s="63">
        <v>2.2127146420414835E-2</v>
      </c>
      <c r="D62" s="63">
        <v>2.1981434070010804E-2</v>
      </c>
      <c r="E62" s="63">
        <v>2.1836869846539646E-2</v>
      </c>
      <c r="F62" s="63">
        <v>2.1693476703191647E-2</v>
      </c>
      <c r="G62" s="63">
        <v>2.1551278015603883E-2</v>
      </c>
      <c r="H62" s="63">
        <v>2.1410297583090935E-2</v>
      </c>
      <c r="I62" s="63">
        <v>2.1270559629306744E-2</v>
      </c>
      <c r="J62" s="63">
        <v>2.1132088802293163E-2</v>
      </c>
      <c r="K62" s="63">
        <v>2.0994910173869289E-2</v>
      </c>
      <c r="L62" s="63">
        <v>2.0859049238313866E-2</v>
      </c>
      <c r="M62" s="63">
        <v>2.0724531910291492E-2</v>
      </c>
      <c r="N62" s="63">
        <v>2.0591384521971907E-2</v>
      </c>
      <c r="O62" s="63">
        <v>2.0459633819290217E-2</v>
      </c>
      <c r="P62" s="63">
        <v>2.0329306957294683E-2</v>
      </c>
      <c r="Q62" s="63">
        <v>2.0200431494527576E-2</v>
      </c>
      <c r="R62" s="63">
        <v>2.0073035386383883E-2</v>
      </c>
      <c r="S62" s="63">
        <v>1.9947146977391604E-2</v>
      </c>
      <c r="T62" s="63">
        <v>1.9822794992357475E-2</v>
      </c>
      <c r="U62" s="63">
        <v>1.9700008526321203E-2</v>
      </c>
      <c r="V62" s="63">
        <v>1.9578817033261982E-2</v>
      </c>
      <c r="W62" s="63">
        <v>1.9459250313501205E-2</v>
      </c>
      <c r="X62" s="63">
        <v>1.9341338499746341E-2</v>
      </c>
      <c r="Y62" s="63">
        <v>1.9225112041722132E-2</v>
      </c>
      <c r="Z62" s="63">
        <v>1.9110601689337106E-2</v>
      </c>
      <c r="AA62" s="63">
        <v>1.8997838474335588E-2</v>
      </c>
      <c r="AB62" s="63">
        <v>1.8886853690387992E-2</v>
      </c>
      <c r="AC62" s="63">
        <v>1.8777678871575835E-2</v>
      </c>
      <c r="AD62" s="63">
        <v>1.8670345769231329E-2</v>
      </c>
      <c r="AE62" s="63">
        <v>1.8564886327096349E-2</v>
      </c>
      <c r="AF62" s="63">
        <v>1.8461332654770343E-2</v>
      </c>
      <c r="AG62" s="63">
        <v>1.8359716999422852E-2</v>
      </c>
      <c r="AH62" s="63">
        <v>1.8260071715752627E-2</v>
      </c>
      <c r="AI62" s="63">
        <v>1.8162429234182511E-2</v>
      </c>
      <c r="AJ62" s="63">
        <v>1.8066822027287256E-2</v>
      </c>
      <c r="AK62" s="63">
        <v>1.7973282574459858E-2</v>
      </c>
      <c r="AL62" s="63">
        <v>1.7881843324831441E-2</v>
      </c>
      <c r="AM62" s="63">
        <v>1.7792536658469499E-2</v>
      </c>
      <c r="AN62" s="63">
        <v>1.7705394845890027E-2</v>
      </c>
      <c r="AO62" s="63">
        <v>1.7620450005930134E-2</v>
      </c>
      <c r="AP62" s="63">
        <v>1.7537734062039581E-2</v>
      </c>
      <c r="AQ62" s="63">
        <v>1.7457278697061845E-2</v>
      </c>
      <c r="AR62" s="63">
        <v>1.7379115306587999E-2</v>
      </c>
      <c r="AS62" s="63">
        <v>1.7303274950979629E-2</v>
      </c>
      <c r="AT62" s="63">
        <v>1.72297883061703E-2</v>
      </c>
      <c r="AU62" s="63">
        <v>1.7158685613368307E-2</v>
      </c>
      <c r="AV62" s="63">
        <v>1.7089996627796866E-2</v>
      </c>
      <c r="AW62" s="63">
        <v>1.7023750566621029E-2</v>
      </c>
      <c r="AX62" s="63">
        <v>1.6959976056223586E-2</v>
      </c>
      <c r="AY62" s="63">
        <v>1.6898701079004586E-2</v>
      </c>
      <c r="AZ62" s="63">
        <v>1.6839952919891141E-2</v>
      </c>
      <c r="BA62" s="63">
        <v>1.6783758112755183E-2</v>
      </c>
      <c r="BB62" s="63">
        <v>1.6730142386947179E-2</v>
      </c>
      <c r="BC62" s="63">
        <v>1.6679130614162832E-2</v>
      </c>
      <c r="BD62" s="63">
        <v>1.6630746755867787E-2</v>
      </c>
      <c r="BE62" s="63">
        <v>1.6585013811511763E-2</v>
      </c>
      <c r="BF62" s="63">
        <v>1.6541953767768514E-2</v>
      </c>
      <c r="BG62" s="63">
        <v>1.6501587549041203E-2</v>
      </c>
      <c r="BH62" s="63">
        <v>1.6463934969474295E-2</v>
      </c>
      <c r="BI62" s="63">
        <v>1.6429014686712391E-2</v>
      </c>
      <c r="BJ62" s="63">
        <v>1.639684415764418E-2</v>
      </c>
    </row>
    <row r="63" spans="1:62" x14ac:dyDescent="0.25">
      <c r="A63" s="56">
        <v>0.24</v>
      </c>
      <c r="B63" s="63">
        <v>2.227570100225415E-2</v>
      </c>
      <c r="C63" s="63">
        <v>2.2130595857672034E-2</v>
      </c>
      <c r="D63" s="63">
        <v>2.1986639050708058E-2</v>
      </c>
      <c r="E63" s="63">
        <v>2.1843853284925632E-2</v>
      </c>
      <c r="F63" s="63">
        <v>2.1702261674243037E-2</v>
      </c>
      <c r="G63" s="63">
        <v>2.1561887743841119E-2</v>
      </c>
      <c r="H63" s="63">
        <v>2.142275543050939E-2</v>
      </c>
      <c r="I63" s="63">
        <v>2.1284889082387983E-2</v>
      </c>
      <c r="J63" s="63">
        <v>2.1148313458061486E-2</v>
      </c>
      <c r="K63" s="63">
        <v>2.1013053724959069E-2</v>
      </c>
      <c r="L63" s="63">
        <v>2.0879135457013864E-2</v>
      </c>
      <c r="M63" s="63">
        <v>2.0746584631533376E-2</v>
      </c>
      <c r="N63" s="63">
        <v>2.0615427625231209E-2</v>
      </c>
      <c r="O63" s="63">
        <v>2.048569120936956E-2</v>
      </c>
      <c r="P63" s="63">
        <v>2.0357402543960817E-2</v>
      </c>
      <c r="Q63" s="63">
        <v>2.0230589170975952E-2</v>
      </c>
      <c r="R63" s="63">
        <v>2.0105279006506788E-2</v>
      </c>
      <c r="S63" s="63">
        <v>1.998150033182897E-2</v>
      </c>
      <c r="T63" s="63">
        <v>1.9859281783312466E-2</v>
      </c>
      <c r="U63" s="63">
        <v>1.9738652341126459E-2</v>
      </c>
      <c r="V63" s="63">
        <v>1.9619641316686545E-2</v>
      </c>
      <c r="W63" s="63">
        <v>1.9502278338792534E-2</v>
      </c>
      <c r="X63" s="63">
        <v>1.9386593338406956E-2</v>
      </c>
      <c r="Y63" s="63">
        <v>1.927261653202594E-2</v>
      </c>
      <c r="Z63" s="63">
        <v>1.9160378403596311E-2</v>
      </c>
      <c r="AA63" s="63">
        <v>1.9049909684935681E-2</v>
      </c>
      <c r="AB63" s="63">
        <v>1.8941241334615288E-2</v>
      </c>
      <c r="AC63" s="63">
        <v>1.8834404515269309E-2</v>
      </c>
      <c r="AD63" s="63">
        <v>1.8729430569298711E-2</v>
      </c>
      <c r="AE63" s="63">
        <v>1.8626350992942527E-2</v>
      </c>
      <c r="AF63" s="63">
        <v>1.8525197408695196E-2</v>
      </c>
      <c r="AG63" s="63">
        <v>1.842600153605467E-2</v>
      </c>
      <c r="AH63" s="63">
        <v>1.8328795160592989E-2</v>
      </c>
      <c r="AI63" s="63">
        <v>1.8233610101348299E-2</v>
      </c>
      <c r="AJ63" s="63">
        <v>1.8140478176545693E-2</v>
      </c>
      <c r="AK63" s="63">
        <v>1.8049431167662774E-2</v>
      </c>
      <c r="AL63" s="63">
        <v>1.7960500781865407E-2</v>
      </c>
      <c r="AM63" s="63">
        <v>1.7873718612849018E-2</v>
      </c>
      <c r="AN63" s="63">
        <v>1.7789116100131258E-2</v>
      </c>
      <c r="AO63" s="63">
        <v>1.7706724486852968E-2</v>
      </c>
      <c r="AP63" s="63">
        <v>1.7626574776155854E-2</v>
      </c>
      <c r="AQ63" s="63">
        <v>1.7548697686216922E-2</v>
      </c>
      <c r="AR63" s="63">
        <v>1.7473123604032061E-2</v>
      </c>
      <c r="AS63" s="63">
        <v>1.7399882538053395E-2</v>
      </c>
      <c r="AT63" s="63">
        <v>1.7329004069797392E-2</v>
      </c>
      <c r="AU63" s="63">
        <v>1.7260517304553174E-2</v>
      </c>
      <c r="AV63" s="63">
        <v>1.7194450821332752E-2</v>
      </c>
      <c r="AW63" s="63">
        <v>1.7130832622216801E-2</v>
      </c>
      <c r="AX63" s="63">
        <v>1.7069690081261298E-2</v>
      </c>
      <c r="AY63" s="63">
        <v>1.7011049893141193E-2</v>
      </c>
      <c r="AZ63" s="63">
        <v>1.6954938021717852E-2</v>
      </c>
      <c r="BA63" s="63">
        <v>1.6901379648726143E-2</v>
      </c>
      <c r="BB63" s="63">
        <v>1.6850399122785811E-2</v>
      </c>
      <c r="BC63" s="63">
        <v>1.6802019908948845E-2</v>
      </c>
      <c r="BD63" s="63">
        <v>1.6756264539000684E-2</v>
      </c>
      <c r="BE63" s="63">
        <v>1.6713154562737583E-2</v>
      </c>
      <c r="BF63" s="63">
        <v>1.6672710500445522E-2</v>
      </c>
      <c r="BG63" s="63">
        <v>1.6634951796807303E-2</v>
      </c>
      <c r="BH63" s="63">
        <v>1.6599896776464142E-2</v>
      </c>
      <c r="BI63" s="63">
        <v>1.6567562601455674E-2</v>
      </c>
      <c r="BJ63" s="63">
        <v>1.6537965230758189E-2</v>
      </c>
    </row>
    <row r="64" spans="1:62" x14ac:dyDescent="0.25">
      <c r="A64" s="56">
        <v>0.25</v>
      </c>
      <c r="B64" s="63">
        <v>2.2283905405723409E-2</v>
      </c>
      <c r="C64" s="63">
        <v>2.2140574668959436E-2</v>
      </c>
      <c r="D64" s="63">
        <v>2.1998414921740008E-2</v>
      </c>
      <c r="E64" s="63">
        <v>2.1857449012248082E-2</v>
      </c>
      <c r="F64" s="63">
        <v>2.171770018749089E-2</v>
      </c>
      <c r="G64" s="63">
        <v>2.1579192093338084E-2</v>
      </c>
      <c r="H64" s="63">
        <v>2.1441948773965342E-2</v>
      </c>
      <c r="I64" s="63">
        <v>2.1305994670661323E-2</v>
      </c>
      <c r="J64" s="63">
        <v>2.1171354619954518E-2</v>
      </c>
      <c r="K64" s="63">
        <v>2.1038053851015221E-2</v>
      </c>
      <c r="L64" s="63">
        <v>2.0906117982286643E-2</v>
      </c>
      <c r="M64" s="63">
        <v>2.0775573017298165E-2</v>
      </c>
      <c r="N64" s="63">
        <v>2.0646445339612633E-2</v>
      </c>
      <c r="O64" s="63">
        <v>2.0518761706858981E-2</v>
      </c>
      <c r="P64" s="63">
        <v>2.039254924380076E-2</v>
      </c>
      <c r="Q64" s="63">
        <v>2.0267835434390657E-2</v>
      </c>
      <c r="R64" s="63">
        <v>2.0144648112761114E-2</v>
      </c>
      <c r="S64" s="63">
        <v>2.0023015453101062E-2</v>
      </c>
      <c r="T64" s="63">
        <v>1.9902965958369226E-2</v>
      </c>
      <c r="U64" s="63">
        <v>1.9784528447795019E-2</v>
      </c>
      <c r="V64" s="63">
        <v>1.9667732043119317E-2</v>
      </c>
      <c r="W64" s="63">
        <v>1.9552606153528492E-2</v>
      </c>
      <c r="X64" s="63">
        <v>1.9439180459237065E-2</v>
      </c>
      <c r="Y64" s="63">
        <v>1.9327484893676517E-2</v>
      </c>
      <c r="Z64" s="63">
        <v>1.9217549624250478E-2</v>
      </c>
      <c r="AA64" s="63">
        <v>1.9109405031619679E-2</v>
      </c>
      <c r="AB64" s="63">
        <v>1.9003081687483717E-2</v>
      </c>
      <c r="AC64" s="63">
        <v>1.8898610330831008E-2</v>
      </c>
      <c r="AD64" s="63">
        <v>1.8796021842632869E-2</v>
      </c>
      <c r="AE64" s="63">
        <v>1.8695347218963265E-2</v>
      </c>
      <c r="AF64" s="63">
        <v>1.8596617542531457E-2</v>
      </c>
      <c r="AG64" s="63">
        <v>1.8499863952621546E-2</v>
      </c>
      <c r="AH64" s="63">
        <v>1.8405117613439728E-2</v>
      </c>
      <c r="AI64" s="63">
        <v>1.8312409680878113E-2</v>
      </c>
      <c r="AJ64" s="63">
        <v>1.8221771267711968E-2</v>
      </c>
      <c r="AK64" s="63">
        <v>1.8133233407256259E-2</v>
      </c>
      <c r="AL64" s="63">
        <v>1.8046827015516645E-2</v>
      </c>
      <c r="AM64" s="63">
        <v>1.7962582851880026E-2</v>
      </c>
      <c r="AN64" s="63">
        <v>1.7880531478399998E-2</v>
      </c>
      <c r="AO64" s="63">
        <v>1.7800703217743335E-2</v>
      </c>
      <c r="AP64" s="63">
        <v>1.7723128109874638E-2</v>
      </c>
      <c r="AQ64" s="63">
        <v>1.7647835867567588E-2</v>
      </c>
      <c r="AR64" s="63">
        <v>1.7574855830842756E-2</v>
      </c>
      <c r="AS64" s="63">
        <v>1.7504216920443374E-2</v>
      </c>
      <c r="AT64" s="63">
        <v>1.7435947590472119E-2</v>
      </c>
      <c r="AU64" s="63">
        <v>1.7370075780323208E-2</v>
      </c>
      <c r="AV64" s="63">
        <v>1.730662886605526E-2</v>
      </c>
      <c r="AW64" s="63">
        <v>1.7245633611361146E-2</v>
      </c>
      <c r="AX64" s="63">
        <v>1.7187116118301159E-2</v>
      </c>
      <c r="AY64" s="63">
        <v>1.7131101777975388E-2</v>
      </c>
      <c r="AZ64" s="63">
        <v>1.7077615221320029E-2</v>
      </c>
      <c r="BA64" s="63">
        <v>1.7026680270219953E-2</v>
      </c>
      <c r="BB64" s="63">
        <v>1.6978319889136829E-2</v>
      </c>
      <c r="BC64" s="63">
        <v>1.6932556137457425E-2</v>
      </c>
      <c r="BD64" s="63">
        <v>1.6889410122771037E-2</v>
      </c>
      <c r="BE64" s="63">
        <v>1.6848901955287779E-2</v>
      </c>
      <c r="BF64" s="63">
        <v>1.6811050703610587E-2</v>
      </c>
      <c r="BG64" s="63">
        <v>1.6775874352073498E-2</v>
      </c>
      <c r="BH64" s="63">
        <v>1.674338975985672E-2</v>
      </c>
      <c r="BI64" s="63">
        <v>1.6713612622084977E-2</v>
      </c>
      <c r="BJ64" s="63">
        <v>1.6686557433110271E-2</v>
      </c>
    </row>
    <row r="65" spans="1:62" x14ac:dyDescent="0.25">
      <c r="A65" s="56">
        <v>0.26</v>
      </c>
      <c r="B65" s="63">
        <v>2.2298590414455699E-2</v>
      </c>
      <c r="C65" s="63">
        <v>2.215707403243827E-2</v>
      </c>
      <c r="D65" s="63">
        <v>2.2016751139597567E-2</v>
      </c>
      <c r="E65" s="63">
        <v>2.1877644701011972E-2</v>
      </c>
      <c r="F65" s="63">
        <v>2.1739778067891808E-2</v>
      </c>
      <c r="G65" s="63">
        <v>2.1603174976734044E-2</v>
      </c>
      <c r="H65" s="63">
        <v>2.1467859547852276E-2</v>
      </c>
      <c r="I65" s="63">
        <v>2.1333856283240554E-2</v>
      </c>
      <c r="J65" s="63">
        <v>2.1201190063728465E-2</v>
      </c>
      <c r="K65" s="63">
        <v>2.1069886145383906E-2</v>
      </c>
      <c r="L65" s="63">
        <v>2.0939970155118864E-2</v>
      </c>
      <c r="M65" s="63">
        <v>2.0811468085452853E-2</v>
      </c>
      <c r="N65" s="63">
        <v>2.0684406288387937E-2</v>
      </c>
      <c r="O65" s="63">
        <v>2.0558811468348752E-2</v>
      </c>
      <c r="P65" s="63">
        <v>2.0434710674140703E-2</v>
      </c>
      <c r="Q65" s="63">
        <v>2.0312131289879399E-2</v>
      </c>
      <c r="R65" s="63">
        <v>2.0191101024844619E-2</v>
      </c>
      <c r="S65" s="63">
        <v>2.0071647902212483E-2</v>
      </c>
      <c r="T65" s="63">
        <v>1.995380024662035E-2</v>
      </c>
      <c r="U65" s="63">
        <v>1.9837586670519873E-2</v>
      </c>
      <c r="V65" s="63">
        <v>1.9723036059275334E-2</v>
      </c>
      <c r="W65" s="63">
        <v>1.9610177554965899E-2</v>
      </c>
      <c r="X65" s="63">
        <v>1.9499040538852867E-2</v>
      </c>
      <c r="Y65" s="63">
        <v>1.9389654612475507E-2</v>
      </c>
      <c r="Z65" s="63">
        <v>1.9282049577342232E-2</v>
      </c>
      <c r="AA65" s="63">
        <v>1.9176255413187446E-2</v>
      </c>
      <c r="AB65" s="63">
        <v>1.9072302254768393E-2</v>
      </c>
      <c r="AC65" s="63">
        <v>1.8970220367181094E-2</v>
      </c>
      <c r="AD65" s="63">
        <v>1.8870040119679323E-2</v>
      </c>
      <c r="AE65" s="63">
        <v>1.8771791957986537E-2</v>
      </c>
      <c r="AF65" s="63">
        <v>1.8675506375096622E-2</v>
      </c>
      <c r="AG65" s="63">
        <v>1.8581213880566234E-2</v>
      </c>
      <c r="AH65" s="63">
        <v>1.8488944968308649E-2</v>
      </c>
      <c r="AI65" s="63">
        <v>1.8398730082907086E-2</v>
      </c>
      <c r="AJ65" s="63">
        <v>1.8310599584473484E-2</v>
      </c>
      <c r="AK65" s="63">
        <v>1.8224583712087825E-2</v>
      </c>
      <c r="AL65" s="63">
        <v>1.8140712545862116E-2</v>
      </c>
      <c r="AM65" s="63">
        <v>1.8059015967682938E-2</v>
      </c>
      <c r="AN65" s="63">
        <v>1.7979523620696446E-2</v>
      </c>
      <c r="AO65" s="63">
        <v>1.790226486760995E-2</v>
      </c>
      <c r="AP65" s="63">
        <v>1.7827268747894823E-2</v>
      </c>
      <c r="AQ65" s="63">
        <v>1.7754563933986084E-2</v>
      </c>
      <c r="AR65" s="63">
        <v>1.7684178686584718E-2</v>
      </c>
      <c r="AS65" s="63">
        <v>1.7616140809179545E-2</v>
      </c>
      <c r="AT65" s="63">
        <v>1.7550477601915873E-2</v>
      </c>
      <c r="AU65" s="63">
        <v>1.748721581494854E-2</v>
      </c>
      <c r="AV65" s="63">
        <v>1.742638160142684E-2</v>
      </c>
      <c r="AW65" s="63">
        <v>1.736800047026817E-2</v>
      </c>
      <c r="AX65" s="63">
        <v>1.7312097238886135E-2</v>
      </c>
      <c r="AY65" s="63">
        <v>1.7258695986046808E-2</v>
      </c>
      <c r="AZ65" s="63">
        <v>1.7207820005034152E-2</v>
      </c>
      <c r="BA65" s="63">
        <v>1.7159491757311601E-2</v>
      </c>
      <c r="BB65" s="63">
        <v>1.7113732826872164E-2</v>
      </c>
      <c r="BC65" s="63">
        <v>1.7070563875473035E-2</v>
      </c>
      <c r="BD65" s="63">
        <v>1.7030004598953402E-2</v>
      </c>
      <c r="BE65" s="63">
        <v>1.6992073684835202E-2</v>
      </c>
      <c r="BF65" s="63">
        <v>1.6956788771406273E-2</v>
      </c>
      <c r="BG65" s="63">
        <v>1.6924166408483363E-2</v>
      </c>
      <c r="BH65" s="63">
        <v>1.6894222020049025E-2</v>
      </c>
      <c r="BI65" s="63">
        <v>1.6866969868951216E-2</v>
      </c>
      <c r="BJ65" s="63">
        <v>1.6842423023847631E-2</v>
      </c>
    </row>
    <row r="66" spans="1:62" x14ac:dyDescent="0.25">
      <c r="A66" s="56">
        <v>0.27000000000000102</v>
      </c>
      <c r="B66" s="63">
        <v>2.2319743236943978E-2</v>
      </c>
      <c r="C66" s="63">
        <v>2.2180079396547626E-2</v>
      </c>
      <c r="D66" s="63">
        <v>2.204163133182143E-2</v>
      </c>
      <c r="E66" s="63">
        <v>2.190442209590187E-2</v>
      </c>
      <c r="F66" s="63">
        <v>2.1768475114248627E-2</v>
      </c>
      <c r="G66" s="63">
        <v>2.1633814182908558E-2</v>
      </c>
      <c r="H66" s="63">
        <v>2.1500463466127773E-2</v>
      </c>
      <c r="I66" s="63">
        <v>2.1368447493271488E-2</v>
      </c>
      <c r="J66" s="63">
        <v>2.1237791155010257E-2</v>
      </c>
      <c r="K66" s="63">
        <v>2.1108519698730403E-2</v>
      </c>
      <c r="L66" s="63">
        <v>2.0980658723125753E-2</v>
      </c>
      <c r="M66" s="63">
        <v>2.085423417192734E-2</v>
      </c>
      <c r="N66" s="63">
        <v>2.0729272326727177E-2</v>
      </c>
      <c r="O66" s="63">
        <v>2.0605799798852222E-2</v>
      </c>
      <c r="P66" s="63">
        <v>2.0483843520244568E-2</v>
      </c>
      <c r="Q66" s="63">
        <v>2.0363430733304207E-2</v>
      </c>
      <c r="R66" s="63">
        <v>2.0244588979651264E-2</v>
      </c>
      <c r="S66" s="63">
        <v>2.0127346087765324E-2</v>
      </c>
      <c r="T66" s="63">
        <v>2.0011730159460801E-2</v>
      </c>
      <c r="U66" s="63">
        <v>1.9897769555158429E-2</v>
      </c>
      <c r="V66" s="63">
        <v>1.978549287791518E-2</v>
      </c>
      <c r="W66" s="63">
        <v>1.9674928956176715E-2</v>
      </c>
      <c r="X66" s="63">
        <v>1.9566106825219354E-2</v>
      </c>
      <c r="Y66" s="63">
        <v>1.9459055707251465E-2</v>
      </c>
      <c r="Z66" s="63">
        <v>1.9353804990147602E-2</v>
      </c>
      <c r="AA66" s="63">
        <v>1.9250384204792758E-2</v>
      </c>
      <c r="AB66" s="63">
        <v>1.9148823001018438E-2</v>
      </c>
      <c r="AC66" s="63">
        <v>1.9049151122117143E-2</v>
      </c>
      <c r="AD66" s="63">
        <v>1.895139837792734E-2</v>
      </c>
      <c r="AE66" s="63">
        <v>1.8855594616486723E-2</v>
      </c>
      <c r="AF66" s="63">
        <v>1.876176969425819E-2</v>
      </c>
      <c r="AG66" s="63">
        <v>1.8669953444939623E-2</v>
      </c>
      <c r="AH66" s="63">
        <v>1.8580175646876074E-2</v>
      </c>
      <c r="AI66" s="63">
        <v>1.8492465989100711E-2</v>
      </c>
      <c r="AJ66" s="63">
        <v>1.8406854036039193E-2</v>
      </c>
      <c r="AK66" s="63">
        <v>1.8323369190920751E-2</v>
      </c>
      <c r="AL66" s="63">
        <v>1.824204065794837E-2</v>
      </c>
      <c r="AM66" s="63">
        <v>1.8162897403289621E-2</v>
      </c>
      <c r="AN66" s="63">
        <v>1.8085968114959574E-2</v>
      </c>
      <c r="AO66" s="63">
        <v>1.8011281161676693E-2</v>
      </c>
      <c r="AP66" s="63">
        <v>1.7938864550782776E-2</v>
      </c>
      <c r="AQ66" s="63">
        <v>1.7868745885327775E-2</v>
      </c>
      <c r="AR66" s="63">
        <v>1.7800952320430257E-2</v>
      </c>
      <c r="AS66" s="63">
        <v>1.7735510519034135E-2</v>
      </c>
      <c r="AT66" s="63">
        <v>1.7672446607191531E-2</v>
      </c>
      <c r="AU66" s="63">
        <v>1.7611786129011063E-2</v>
      </c>
      <c r="AV66" s="63">
        <v>1.7553554001419294E-2</v>
      </c>
      <c r="AW66" s="63">
        <v>1.7497774468891353E-2</v>
      </c>
      <c r="AX66" s="63">
        <v>1.7444471058314006E-2</v>
      </c>
      <c r="AY66" s="63">
        <v>1.7393666534151149E-2</v>
      </c>
      <c r="AZ66" s="63">
        <v>1.7345382854087432E-2</v>
      </c>
      <c r="BA66" s="63">
        <v>1.7299641125330226E-2</v>
      </c>
      <c r="BB66" s="63">
        <v>1.7256461561753884E-2</v>
      </c>
      <c r="BC66" s="63">
        <v>1.7215863442072481E-2</v>
      </c>
      <c r="BD66" s="63">
        <v>1.7177865069228249E-2</v>
      </c>
      <c r="BE66" s="63">
        <v>1.7142483731182663E-2</v>
      </c>
      <c r="BF66" s="63">
        <v>1.7109735663295284E-2</v>
      </c>
      <c r="BG66" s="63">
        <v>1.7079636012472296E-2</v>
      </c>
      <c r="BH66" s="63">
        <v>1.7052198803261958E-2</v>
      </c>
      <c r="BI66" s="63">
        <v>1.7027436906067884E-2</v>
      </c>
      <c r="BJ66" s="63">
        <v>1.7005362007643434E-2</v>
      </c>
    </row>
    <row r="67" spans="1:62" x14ac:dyDescent="0.25">
      <c r="A67" s="56">
        <v>0.28000000000000103</v>
      </c>
      <c r="B67" s="63">
        <v>2.2347345506918304E-2</v>
      </c>
      <c r="C67" s="63">
        <v>2.2209570543943138E-2</v>
      </c>
      <c r="D67" s="63">
        <v>2.2073033369791249E-2</v>
      </c>
      <c r="E67" s="63">
        <v>2.1937757095887789E-2</v>
      </c>
      <c r="F67" s="63">
        <v>2.1803765191112247E-2</v>
      </c>
      <c r="G67" s="63">
        <v>2.1671081479170972E-2</v>
      </c>
      <c r="H67" s="63">
        <v>2.153973013529422E-2</v>
      </c>
      <c r="I67" s="63">
        <v>2.1409735682218562E-2</v>
      </c>
      <c r="J67" s="63">
        <v>2.1281122985414788E-2</v>
      </c>
      <c r="K67" s="63">
        <v>2.1153917247520901E-2</v>
      </c>
      <c r="L67" s="63">
        <v>2.1028144001939419E-2</v>
      </c>
      <c r="M67" s="63">
        <v>2.0903829105557801E-2</v>
      </c>
      <c r="N67" s="63">
        <v>2.0780998730550847E-2</v>
      </c>
      <c r="O67" s="63">
        <v>2.0659679355224086E-2</v>
      </c>
      <c r="P67" s="63">
        <v>2.0539897753857363E-2</v>
      </c>
      <c r="Q67" s="63">
        <v>2.0421680985508589E-2</v>
      </c>
      <c r="R67" s="63">
        <v>2.0305056381738452E-2</v>
      </c>
      <c r="S67" s="63">
        <v>2.0190051533217974E-2</v>
      </c>
      <c r="T67" s="63">
        <v>2.0076694275182445E-2</v>
      </c>
      <c r="U67" s="63">
        <v>1.9965012671696845E-2</v>
      </c>
      <c r="V67" s="63">
        <v>1.9855034998700293E-2</v>
      </c>
      <c r="W67" s="63">
        <v>1.9746789725799418E-2</v>
      </c>
      <c r="X67" s="63">
        <v>1.964030549678358E-2</v>
      </c>
      <c r="Y67" s="63">
        <v>1.9535611108838214E-2</v>
      </c>
      <c r="Z67" s="63">
        <v>1.9432735490436354E-2</v>
      </c>
      <c r="AA67" s="63">
        <v>1.9331707677892617E-2</v>
      </c>
      <c r="AB67" s="63">
        <v>1.9232556790568588E-2</v>
      </c>
      <c r="AC67" s="63">
        <v>1.9135312004723761E-2</v>
      </c>
      <c r="AD67" s="63">
        <v>1.9040002526011669E-2</v>
      </c>
      <c r="AE67" s="63">
        <v>1.8946657560626943E-2</v>
      </c>
      <c r="AF67" s="63">
        <v>1.8855306285115586E-2</v>
      </c>
      <c r="AG67" s="63">
        <v>1.876597781486759E-2</v>
      </c>
      <c r="AH67" s="63">
        <v>1.867870117131841E-2</v>
      </c>
      <c r="AI67" s="63">
        <v>1.8593505247893598E-2</v>
      </c>
      <c r="AJ67" s="63">
        <v>1.8510418774738937E-2</v>
      </c>
      <c r="AK67" s="63">
        <v>1.8429470282286864E-2</v>
      </c>
      <c r="AL67" s="63">
        <v>1.835068806371869E-2</v>
      </c>
      <c r="AM67" s="63">
        <v>1.8274100136391025E-2</v>
      </c>
      <c r="AN67" s="63">
        <v>1.8199734202303922E-2</v>
      </c>
      <c r="AO67" s="63">
        <v>1.8127617607697426E-2</v>
      </c>
      <c r="AP67" s="63">
        <v>1.8057777301872413E-2</v>
      </c>
      <c r="AQ67" s="63">
        <v>1.7990239795340722E-2</v>
      </c>
      <c r="AR67" s="63">
        <v>1.7925031117418722E-2</v>
      </c>
      <c r="AS67" s="63">
        <v>1.7862176773386942E-2</v>
      </c>
      <c r="AT67" s="63">
        <v>1.7801701701347098E-2</v>
      </c>
      <c r="AU67" s="63">
        <v>1.7743630228915681E-2</v>
      </c>
      <c r="AV67" s="63">
        <v>1.7687986029900706E-2</v>
      </c>
      <c r="AW67" s="63">
        <v>1.7634792081115125E-2</v>
      </c>
      <c r="AX67" s="63">
        <v>1.75840706194864E-2</v>
      </c>
      <c r="AY67" s="63">
        <v>1.7535843099626972E-2</v>
      </c>
      <c r="AZ67" s="63">
        <v>1.7490130152034624E-2</v>
      </c>
      <c r="BA67" s="63">
        <v>1.7446951542095041E-2</v>
      </c>
      <c r="BB67" s="63">
        <v>1.7406326130060885E-2</v>
      </c>
      <c r="BC67" s="63">
        <v>1.7368271832182789E-2</v>
      </c>
      <c r="BD67" s="63">
        <v>1.7332805583167247E-2</v>
      </c>
      <c r="BE67" s="63">
        <v>1.7299943300134811E-2</v>
      </c>
      <c r="BF67" s="63">
        <v>1.7269699848248981E-2</v>
      </c>
      <c r="BG67" s="63">
        <v>1.7242089008181933E-2</v>
      </c>
      <c r="BH67" s="63">
        <v>1.7217123445577416E-2</v>
      </c>
      <c r="BI67" s="63">
        <v>1.7194814682664102E-2</v>
      </c>
      <c r="BJ67" s="63">
        <v>1.7175173072164259E-2</v>
      </c>
    </row>
    <row r="68" spans="1:62" x14ac:dyDescent="0.25">
      <c r="A68" s="56">
        <v>0.29000000000000098</v>
      </c>
      <c r="B68" s="63">
        <v>2.2381373362666577E-2</v>
      </c>
      <c r="C68" s="63">
        <v>2.2245521679804262E-2</v>
      </c>
      <c r="D68" s="63">
        <v>2.2110929466463591E-2</v>
      </c>
      <c r="E68" s="63">
        <v>2.1977619861849016E-2</v>
      </c>
      <c r="F68" s="63">
        <v>2.1845616346756587E-2</v>
      </c>
      <c r="G68" s="63">
        <v>2.1714942740061347E-2</v>
      </c>
      <c r="H68" s="63">
        <v>2.1585623194509188E-2</v>
      </c>
      <c r="I68" s="63">
        <v>2.1457682191775729E-2</v>
      </c>
      <c r="J68" s="63">
        <v>2.133114453675403E-2</v>
      </c>
      <c r="K68" s="63">
        <v>2.1206035351032954E-2</v>
      </c>
      <c r="L68" s="63">
        <v>2.1082380065527546E-2</v>
      </c>
      <c r="M68" s="63">
        <v>2.0960204412223012E-2</v>
      </c>
      <c r="N68" s="63">
        <v>2.083953441499399E-2</v>
      </c>
      <c r="O68" s="63">
        <v>2.0720396379461242E-2</v>
      </c>
      <c r="P68" s="63">
        <v>2.0602816881848663E-2</v>
      </c>
      <c r="Q68" s="63">
        <v>2.0486822756804236E-2</v>
      </c>
      <c r="R68" s="63">
        <v>2.037244108414997E-2</v>
      </c>
      <c r="S68" s="63">
        <v>2.025969917452717E-2</v>
      </c>
      <c r="T68" s="63">
        <v>2.014862455390537E-2</v>
      </c>
      <c r="U68" s="63">
        <v>2.0039244946925164E-2</v>
      </c>
      <c r="V68" s="63">
        <v>1.9931588259047974E-2</v>
      </c>
      <c r="W68" s="63">
        <v>1.9825682557488362E-2</v>
      </c>
      <c r="X68" s="63">
        <v>1.9721556050907932E-2</v>
      </c>
      <c r="Y68" s="63">
        <v>1.9619237067853436E-2</v>
      </c>
      <c r="Z68" s="63">
        <v>1.9518754033925716E-2</v>
      </c>
      <c r="AA68" s="63">
        <v>1.9420135447670656E-2</v>
      </c>
      <c r="AB68" s="63">
        <v>1.9323409855188167E-2</v>
      </c>
      <c r="AC68" s="63">
        <v>1.9228605823460469E-2</v>
      </c>
      <c r="AD68" s="63">
        <v>1.913575191240675E-2</v>
      </c>
      <c r="AE68" s="63">
        <v>1.9044876645677316E-2</v>
      </c>
      <c r="AF68" s="63">
        <v>1.8956008480206954E-2</v>
      </c>
      <c r="AG68" s="63">
        <v>1.886917577455402E-2</v>
      </c>
      <c r="AH68" s="63">
        <v>1.8784406756059156E-2</v>
      </c>
      <c r="AI68" s="63">
        <v>1.8701729486864879E-2</v>
      </c>
      <c r="AJ68" s="63">
        <v>1.8621171828845453E-2</v>
      </c>
      <c r="AK68" s="63">
        <v>1.8542761407504271E-2</v>
      </c>
      <c r="AL68" s="63">
        <v>1.8466525574904392E-2</v>
      </c>
      <c r="AM68" s="63">
        <v>1.8392491371706336E-2</v>
      </c>
      <c r="AN68" s="63">
        <v>1.8320685488395681E-2</v>
      </c>
      <c r="AO68" s="63">
        <v>1.8251134225791506E-2</v>
      </c>
      <c r="AP68" s="63">
        <v>1.8183863454935258E-2</v>
      </c>
      <c r="AQ68" s="63">
        <v>1.8118898576467826E-2</v>
      </c>
      <c r="AR68" s="63">
        <v>1.8056264479610715E-2</v>
      </c>
      <c r="AS68" s="63">
        <v>1.7995985500874945E-2</v>
      </c>
      <c r="AT68" s="63">
        <v>1.7938085382628689E-2</v>
      </c>
      <c r="AU68" s="63">
        <v>1.7882587231661379E-2</v>
      </c>
      <c r="AV68" s="63">
        <v>1.7829513477888453E-2</v>
      </c>
      <c r="AW68" s="63">
        <v>1.7778885833346234E-2</v>
      </c>
      <c r="AX68" s="63">
        <v>1.7730725251631389E-2</v>
      </c>
      <c r="AY68" s="63">
        <v>1.7685051887943226E-2</v>
      </c>
      <c r="AZ68" s="63">
        <v>1.7641885059890155E-2</v>
      </c>
      <c r="BA68" s="63">
        <v>1.7601243209223391E-2</v>
      </c>
      <c r="BB68" s="63">
        <v>1.7563143864662033E-2</v>
      </c>
      <c r="BC68" s="63">
        <v>1.7527603605973198E-2</v>
      </c>
      <c r="BD68" s="63">
        <v>1.7494638029469475E-2</v>
      </c>
      <c r="BE68" s="63">
        <v>1.7464261715083192E-2</v>
      </c>
      <c r="BF68" s="63">
        <v>1.7436488195172999E-2</v>
      </c>
      <c r="BG68" s="63">
        <v>1.7411329925213066E-2</v>
      </c>
      <c r="BH68" s="63">
        <v>1.7388798256508662E-2</v>
      </c>
      <c r="BI68" s="63">
        <v>1.7368903411074155E-2</v>
      </c>
      <c r="BJ68" s="63">
        <v>1.7351654458800578E-2</v>
      </c>
    </row>
    <row r="69" spans="1:62" x14ac:dyDescent="0.25">
      <c r="A69" s="56">
        <v>0.30000000000000099</v>
      </c>
      <c r="B69" s="63">
        <v>2.2421797549340337E-2</v>
      </c>
      <c r="C69" s="63">
        <v>2.2287901543615995E-2</v>
      </c>
      <c r="D69" s="63">
        <v>2.2155286298059025E-2</v>
      </c>
      <c r="E69" s="63">
        <v>2.2023974948603843E-2</v>
      </c>
      <c r="F69" s="63">
        <v>2.1893990955995743E-2</v>
      </c>
      <c r="G69" s="63">
        <v>2.1765358101406073E-2</v>
      </c>
      <c r="H69" s="63">
        <v>2.1638100481335888E-2</v>
      </c>
      <c r="I69" s="63">
        <v>2.1512242501772333E-2</v>
      </c>
      <c r="J69" s="63">
        <v>2.1387808871561793E-2</v>
      </c>
      <c r="K69" s="63">
        <v>2.1264824594963878E-2</v>
      </c>
      <c r="L69" s="63">
        <v>2.1143314963350233E-2</v>
      </c>
      <c r="M69" s="63">
        <v>2.1023305546012623E-2</v>
      </c>
      <c r="N69" s="63">
        <v>2.0904822180045114E-2</v>
      </c>
      <c r="O69" s="63">
        <v>2.0787890959266E-2</v>
      </c>
      <c r="P69" s="63">
        <v>2.0672538222145972E-2</v>
      </c>
      <c r="Q69" s="63">
        <v>2.055879053871032E-2</v>
      </c>
      <c r="R69" s="63">
        <v>2.0446674696384497E-2</v>
      </c>
      <c r="S69" s="63">
        <v>2.0336217684753983E-2</v>
      </c>
      <c r="T69" s="63">
        <v>2.0227446679211825E-2</v>
      </c>
      <c r="U69" s="63">
        <v>2.0120389023469208E-2</v>
      </c>
      <c r="V69" s="63">
        <v>2.0015072210907679E-2</v>
      </c>
      <c r="W69" s="63">
        <v>1.991152386475438E-2</v>
      </c>
      <c r="X69" s="63">
        <v>1.9809771717065383E-2</v>
      </c>
      <c r="Y69" s="63">
        <v>1.9709843586505956E-2</v>
      </c>
      <c r="Z69" s="63">
        <v>1.9611767354920932E-2</v>
      </c>
      <c r="AA69" s="63">
        <v>1.9515570942692927E-2</v>
      </c>
      <c r="AB69" s="63">
        <v>1.9421282282891226E-2</v>
      </c>
      <c r="AC69" s="63">
        <v>1.9328929294219449E-2</v>
      </c>
      <c r="AD69" s="63">
        <v>1.9238539852776012E-2</v>
      </c>
      <c r="AE69" s="63">
        <v>1.9150141762647416E-2</v>
      </c>
      <c r="AF69" s="63">
        <v>1.9063762725360926E-2</v>
      </c>
      <c r="AG69" s="63">
        <v>1.8979430308229867E-2</v>
      </c>
      <c r="AH69" s="63">
        <v>1.8897171911632021E-2</v>
      </c>
      <c r="AI69" s="63">
        <v>1.8817014735268714E-2</v>
      </c>
      <c r="AJ69" s="63">
        <v>1.8738985743459849E-2</v>
      </c>
      <c r="AK69" s="63">
        <v>1.86631116295378E-2</v>
      </c>
      <c r="AL69" s="63">
        <v>1.8589418779410845E-2</v>
      </c>
      <c r="AM69" s="63">
        <v>1.8517933234374777E-2</v>
      </c>
      <c r="AN69" s="63">
        <v>1.8448680653259119E-2</v>
      </c>
      <c r="AO69" s="63">
        <v>1.8381686274002135E-2</v>
      </c>
      <c r="AP69" s="63">
        <v>1.8316974874756635E-2</v>
      </c>
      <c r="AQ69" s="63">
        <v>1.8254570734635722E-2</v>
      </c>
      <c r="AR69" s="63">
        <v>1.8194497594215073E-2</v>
      </c>
      <c r="AS69" s="63">
        <v>1.8136778615914763E-2</v>
      </c>
      <c r="AT69" s="63">
        <v>1.8081436344390179E-2</v>
      </c>
      <c r="AU69" s="63">
        <v>1.8028492667067061E-2</v>
      </c>
      <c r="AV69" s="63">
        <v>1.7977968774961026E-2</v>
      </c>
      <c r="AW69" s="63">
        <v>1.7929885123925987E-2</v>
      </c>
      <c r="AX69" s="63">
        <v>1.7884261396479788E-2</v>
      </c>
      <c r="AY69" s="63">
        <v>1.7841116464357768E-2</v>
      </c>
      <c r="AZ69" s="63">
        <v>1.780046835194693E-2</v>
      </c>
      <c r="BA69" s="63">
        <v>1.7762334200754043E-2</v>
      </c>
      <c r="BB69" s="63">
        <v>1.77267302350607E-2</v>
      </c>
      <c r="BC69" s="63">
        <v>1.7693671728917081E-2</v>
      </c>
      <c r="BD69" s="63">
        <v>1.7663172974623494E-2</v>
      </c>
      <c r="BE69" s="63">
        <v>1.7635247252845251E-2</v>
      </c>
      <c r="BF69" s="63">
        <v>1.7609906804501498E-2</v>
      </c>
      <c r="BG69" s="63">
        <v>1.7587162804562767E-2</v>
      </c>
      <c r="BH69" s="63">
        <v>1.7567025337884901E-2</v>
      </c>
      <c r="BI69" s="63">
        <v>1.7549503377198742E-2</v>
      </c>
      <c r="BJ69" s="63">
        <v>1.7534604763365953E-2</v>
      </c>
    </row>
  </sheetData>
  <mergeCells count="2">
    <mergeCell ref="A1:B1"/>
    <mergeCell ref="D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709E-32E6-4868-BB8A-5CB7BBF15720}">
  <dimension ref="A1:B3722"/>
  <sheetViews>
    <sheetView zoomScaleNormal="100" workbookViewId="0">
      <selection activeCell="C20" sqref="C20"/>
    </sheetView>
  </sheetViews>
  <sheetFormatPr defaultRowHeight="15" x14ac:dyDescent="0.25"/>
  <cols>
    <col min="1" max="1" width="24.5703125" customWidth="1"/>
    <col min="2" max="2" width="26.42578125" customWidth="1"/>
    <col min="3" max="4" width="8.7109375" customWidth="1"/>
  </cols>
  <sheetData>
    <row r="1" spans="1:2" x14ac:dyDescent="0.25">
      <c r="A1" t="s">
        <v>25</v>
      </c>
      <c r="B1" t="s">
        <v>26</v>
      </c>
    </row>
    <row r="2" spans="1:2" x14ac:dyDescent="0.25">
      <c r="A2" cm="1">
        <f t="array" ref="A2">INDEX('Portfolio Weights Returns'!$B$9:$BJ$69,
INT((ROW(B1)-1)/COLUMNS('Portfolio Weights Returns'!$B$9:$BJ$69))+1,MOD(ROW(B1)-1,COLUMNS('Portfolio Weights Returns'!$B$9:$BJ$69))+1)</f>
        <v>-1.1949753046213915E-3</v>
      </c>
      <c r="B2" cm="1">
        <f t="array" ref="B2">INDEX('Portfolio Weights Std'!$B$9:$BJ$69,INT((ROW(B1)-1)/COLUMNS('Portfolio Weights Std'!$B$9:$BJ$69))+1,MOD(ROW(B1)-1,COLUMNS('Portfolio Weights Std'!$B$9:$BJ$69))+1)</f>
        <v>3.0096389351300275E-2</v>
      </c>
    </row>
    <row r="3" spans="1:2" x14ac:dyDescent="0.25">
      <c r="A3" cm="1">
        <f t="array" ref="A3">INDEX('Portfolio Weights Returns'!$B$9:$BJ$69,
INT((ROW(A2)-1)/COLUMNS('Portfolio Weights Returns'!$B$9:$BJ$69))+1,MOD(ROW(A2)-1,COLUMNS('Portfolio Weights Returns'!$B$9:$BJ$69))+1)</f>
        <v>-1.1881941306547124E-3</v>
      </c>
      <c r="B3" cm="1">
        <f t="array" ref="B3">INDEX('Portfolio Weights Std'!$B$9:$BJ$69,INT((ROW(A2)-1)/COLUMNS('Portfolio Weights Std'!$B$9:$BJ$69))+1,MOD(ROW(A2)-1,COLUMNS('Portfolio Weights Std'!$B$9:$BJ$69))+1)</f>
        <v>2.9920475963026688E-2</v>
      </c>
    </row>
    <row r="4" spans="1:2" x14ac:dyDescent="0.25">
      <c r="A4" cm="1">
        <f t="array" ref="A4">INDEX('Portfolio Weights Returns'!$B$9:$BJ$69,
INT((ROW(A3)-1)/COLUMNS('Portfolio Weights Returns'!$B$9:$BJ$69))+1,MOD(ROW(A3)-1,COLUMNS('Portfolio Weights Returns'!$B$9:$BJ$69))+1)</f>
        <v>-1.1814129566880332E-3</v>
      </c>
      <c r="B4" cm="1">
        <f t="array" ref="B4">INDEX('Portfolio Weights Std'!$B$9:$BJ$69,INT((ROW(A3)-1)/COLUMNS('Portfolio Weights Std'!$B$9:$BJ$69))+1,MOD(ROW(A3)-1,COLUMNS('Portfolio Weights Std'!$B$9:$BJ$69))+1)</f>
        <v>2.974507888003965E-2</v>
      </c>
    </row>
    <row r="5" spans="1:2" x14ac:dyDescent="0.25">
      <c r="A5" cm="1">
        <f t="array" ref="A5">INDEX('Portfolio Weights Returns'!$B$9:$BJ$69,
INT((ROW(A4)-1)/COLUMNS('Portfolio Weights Returns'!$B$9:$BJ$69))+1,MOD(ROW(A4)-1,COLUMNS('Portfolio Weights Returns'!$B$9:$BJ$69))+1)</f>
        <v>-1.1746317827213541E-3</v>
      </c>
      <c r="B5" cm="1">
        <f t="array" ref="B5">INDEX('Portfolio Weights Std'!$B$9:$BJ$69,INT((ROW(A4)-1)/COLUMNS('Portfolio Weights Std'!$B$9:$BJ$69))+1,MOD(ROW(A4)-1,COLUMNS('Portfolio Weights Std'!$B$9:$BJ$69))+1)</f>
        <v>2.9570207289808269E-2</v>
      </c>
    </row>
    <row r="6" spans="1:2" x14ac:dyDescent="0.25">
      <c r="A6" cm="1">
        <f t="array" ref="A6">INDEX('Portfolio Weights Returns'!$B$9:$BJ$69,
INT((ROW(A5)-1)/COLUMNS('Portfolio Weights Returns'!$B$9:$BJ$69))+1,MOD(ROW(A5)-1,COLUMNS('Portfolio Weights Returns'!$B$9:$BJ$69))+1)</f>
        <v>-1.1678506087546749E-3</v>
      </c>
      <c r="B6" cm="1">
        <f t="array" ref="B6">INDEX('Portfolio Weights Std'!$B$9:$BJ$69,INT((ROW(A5)-1)/COLUMNS('Portfolio Weights Std'!$B$9:$BJ$69))+1,MOD(ROW(A5)-1,COLUMNS('Portfolio Weights Std'!$B$9:$BJ$69))+1)</f>
        <v>2.9395870570564933E-2</v>
      </c>
    </row>
    <row r="7" spans="1:2" x14ac:dyDescent="0.25">
      <c r="A7" cm="1">
        <f t="array" ref="A7">INDEX('Portfolio Weights Returns'!$B$9:$BJ$69,
INT((ROW(A6)-1)/COLUMNS('Portfolio Weights Returns'!$B$9:$BJ$69))+1,MOD(ROW(A6)-1,COLUMNS('Portfolio Weights Returns'!$B$9:$BJ$69))+1)</f>
        <v>-1.1610694347879958E-3</v>
      </c>
      <c r="B7" cm="1">
        <f t="array" ref="B7">INDEX('Portfolio Weights Std'!$B$9:$BJ$69,INT((ROW(A6)-1)/COLUMNS('Portfolio Weights Std'!$B$9:$BJ$69))+1,MOD(ROW(A6)-1,COLUMNS('Portfolio Weights Std'!$B$9:$BJ$69))+1)</f>
        <v>2.922207829531134E-2</v>
      </c>
    </row>
    <row r="8" spans="1:2" x14ac:dyDescent="0.25">
      <c r="A8" cm="1">
        <f t="array" ref="A8">INDEX('Portfolio Weights Returns'!$B$9:$BJ$69,
INT((ROW(A7)-1)/COLUMNS('Portfolio Weights Returns'!$B$9:$BJ$69))+1,MOD(ROW(A7)-1,COLUMNS('Portfolio Weights Returns'!$B$9:$BJ$69))+1)</f>
        <v>-1.1542882608213166E-3</v>
      </c>
      <c r="B8" cm="1">
        <f t="array" ref="B8">INDEX('Portfolio Weights Std'!$B$9:$BJ$69,INT((ROW(A7)-1)/COLUMNS('Portfolio Weights Std'!$B$9:$BJ$69))+1,MOD(ROW(A7)-1,COLUMNS('Portfolio Weights Std'!$B$9:$BJ$69))+1)</f>
        <v>2.9048840235884343E-2</v>
      </c>
    </row>
    <row r="9" spans="1:2" x14ac:dyDescent="0.25">
      <c r="A9" cm="1">
        <f t="array" ref="A9">INDEX('Portfolio Weights Returns'!$B$9:$BJ$69,
INT((ROW(A8)-1)/COLUMNS('Portfolio Weights Returns'!$B$9:$BJ$69))+1,MOD(ROW(A8)-1,COLUMNS('Portfolio Weights Returns'!$B$9:$BJ$69))+1)</f>
        <v>-1.1475070868546375E-3</v>
      </c>
      <c r="B9" cm="1">
        <f t="array" ref="B9">INDEX('Portfolio Weights Std'!$B$9:$BJ$69,INT((ROW(A8)-1)/COLUMNS('Portfolio Weights Std'!$B$9:$BJ$69))+1,MOD(ROW(A8)-1,COLUMNS('Portfolio Weights Std'!$B$9:$BJ$69))+1)</f>
        <v>2.8876166367080069E-2</v>
      </c>
    </row>
    <row r="10" spans="1:2" x14ac:dyDescent="0.25">
      <c r="A10" cm="1">
        <f t="array" ref="A10">INDEX('Portfolio Weights Returns'!$B$9:$BJ$69,
INT((ROW(A9)-1)/COLUMNS('Portfolio Weights Returns'!$B$9:$BJ$69))+1,MOD(ROW(A9)-1,COLUMNS('Portfolio Weights Returns'!$B$9:$BJ$69))+1)</f>
        <v>-1.1407259128879584E-3</v>
      </c>
      <c r="B10" cm="1">
        <f t="array" ref="B10">INDEX('Portfolio Weights Std'!$B$9:$BJ$69,INT((ROW(A9)-1)/COLUMNS('Portfolio Weights Std'!$B$9:$BJ$69))+1,MOD(ROW(A9)-1,COLUMNS('Portfolio Weights Std'!$B$9:$BJ$69))+1)</f>
        <v>2.870406687083496E-2</v>
      </c>
    </row>
    <row r="11" spans="1:2" x14ac:dyDescent="0.25">
      <c r="A11" cm="1">
        <f t="array" ref="A11">INDEX('Portfolio Weights Returns'!$B$9:$BJ$69,
INT((ROW(A10)-1)/COLUMNS('Portfolio Weights Returns'!$B$9:$BJ$69))+1,MOD(ROW(A10)-1,COLUMNS('Portfolio Weights Returns'!$B$9:$BJ$69))+1)</f>
        <v>-1.1339447389212794E-3</v>
      </c>
      <c r="B11" cm="1">
        <f t="array" ref="B11">INDEX('Portfolio Weights Std'!$B$9:$BJ$69,INT((ROW(A10)-1)/COLUMNS('Portfolio Weights Std'!$B$9:$BJ$69))+1,MOD(ROW(A10)-1,COLUMNS('Portfolio Weights Std'!$B$9:$BJ$69))+1)</f>
        <v>2.8532552140461773E-2</v>
      </c>
    </row>
    <row r="12" spans="1:2" x14ac:dyDescent="0.25">
      <c r="A12" cm="1">
        <f t="array" ref="A12">INDEX('Portfolio Weights Returns'!$B$9:$BJ$69,
INT((ROW(A11)-1)/COLUMNS('Portfolio Weights Returns'!$B$9:$BJ$69))+1,MOD(ROW(A11)-1,COLUMNS('Portfolio Weights Returns'!$B$9:$BJ$69))+1)</f>
        <v>-1.1271635649546003E-3</v>
      </c>
      <c r="B12" cm="1">
        <f t="array" ref="B12">INDEX('Portfolio Weights Std'!$B$9:$BJ$69,INT((ROW(A11)-1)/COLUMNS('Portfolio Weights Std'!$B$9:$BJ$69))+1,MOD(ROW(A11)-1,COLUMNS('Portfolio Weights Std'!$B$9:$BJ$69))+1)</f>
        <v>2.8361632784938536E-2</v>
      </c>
    </row>
    <row r="13" spans="1:2" x14ac:dyDescent="0.25">
      <c r="A13" cm="1">
        <f t="array" ref="A13">INDEX('Portfolio Weights Returns'!$B$9:$BJ$69,
INT((ROW(A12)-1)/COLUMNS('Portfolio Weights Returns'!$B$9:$BJ$69))+1,MOD(ROW(A12)-1,COLUMNS('Portfolio Weights Returns'!$B$9:$BJ$69))+1)</f>
        <v>-1.1203823909879211E-3</v>
      </c>
      <c r="B13" cm="1">
        <f t="array" ref="B13">INDEX('Portfolio Weights Std'!$B$9:$BJ$69,INT((ROW(A12)-1)/COLUMNS('Portfolio Weights Std'!$B$9:$BJ$69))+1,MOD(ROW(A12)-1,COLUMNS('Portfolio Weights Std'!$B$9:$BJ$69))+1)</f>
        <v>2.8191319633248058E-2</v>
      </c>
    </row>
    <row r="14" spans="1:2" x14ac:dyDescent="0.25">
      <c r="A14" cm="1">
        <f t="array" ref="A14">INDEX('Portfolio Weights Returns'!$B$9:$BJ$69,
INT((ROW(A13)-1)/COLUMNS('Portfolio Weights Returns'!$B$9:$BJ$69))+1,MOD(ROW(A13)-1,COLUMNS('Portfolio Weights Returns'!$B$9:$BJ$69))+1)</f>
        <v>-1.113601217021242E-3</v>
      </c>
      <c r="B14" cm="1">
        <f t="array" ref="B14">INDEX('Portfolio Weights Std'!$B$9:$BJ$69,INT((ROW(A13)-1)/COLUMNS('Portfolio Weights Std'!$B$9:$BJ$69))+1,MOD(ROW(A13)-1,COLUMNS('Portfolio Weights Std'!$B$9:$BJ$69))+1)</f>
        <v>2.8021623738765385E-2</v>
      </c>
    </row>
    <row r="15" spans="1:2" x14ac:dyDescent="0.25">
      <c r="A15" cm="1">
        <f t="array" ref="A15">INDEX('Portfolio Weights Returns'!$B$9:$BJ$69,
INT((ROW(A14)-1)/COLUMNS('Portfolio Weights Returns'!$B$9:$BJ$69))+1,MOD(ROW(A14)-1,COLUMNS('Portfolio Weights Returns'!$B$9:$BJ$69))+1)</f>
        <v>-1.1068200430545631E-3</v>
      </c>
      <c r="B15" cm="1">
        <f t="array" ref="B15">INDEX('Portfolio Weights Std'!$B$9:$BJ$69,INT((ROW(A14)-1)/COLUMNS('Portfolio Weights Std'!$B$9:$BJ$69))+1,MOD(ROW(A14)-1,COLUMNS('Portfolio Weights Std'!$B$9:$BJ$69))+1)</f>
        <v>2.785255638369032E-2</v>
      </c>
    </row>
    <row r="16" spans="1:2" x14ac:dyDescent="0.25">
      <c r="A16" cm="1">
        <f t="array" ref="A16">INDEX('Portfolio Weights Returns'!$B$9:$BJ$69,
INT((ROW(A15)-1)/COLUMNS('Portfolio Weights Returns'!$B$9:$BJ$69))+1,MOD(ROW(A15)-1,COLUMNS('Portfolio Weights Returns'!$B$9:$BJ$69))+1)</f>
        <v>-1.1000388690878839E-3</v>
      </c>
      <c r="B16" cm="1">
        <f t="array" ref="B16">INDEX('Portfolio Weights Std'!$B$9:$BJ$69,INT((ROW(A15)-1)/COLUMNS('Portfolio Weights Std'!$B$9:$BJ$69))+1,MOD(ROW(A15)-1,COLUMNS('Portfolio Weights Std'!$B$9:$BJ$69))+1)</f>
        <v>2.7684129083521532E-2</v>
      </c>
    </row>
    <row r="17" spans="1:2" x14ac:dyDescent="0.25">
      <c r="A17" cm="1">
        <f t="array" ref="A17">INDEX('Portfolio Weights Returns'!$B$9:$BJ$69,
INT((ROW(A16)-1)/COLUMNS('Portfolio Weights Returns'!$B$9:$BJ$69))+1,MOD(ROW(A16)-1,COLUMNS('Portfolio Weights Returns'!$B$9:$BJ$69))+1)</f>
        <v>-1.0932576951212048E-3</v>
      </c>
      <c r="B17" cm="1">
        <f t="array" ref="B17">INDEX('Portfolio Weights Std'!$B$9:$BJ$69,INT((ROW(A16)-1)/COLUMNS('Portfolio Weights Std'!$B$9:$BJ$69))+1,MOD(ROW(A16)-1,COLUMNS('Portfolio Weights Std'!$B$9:$BJ$69))+1)</f>
        <v>2.7516353591568839E-2</v>
      </c>
    </row>
    <row r="18" spans="1:2" x14ac:dyDescent="0.25">
      <c r="A18" cm="1">
        <f t="array" ref="A18">INDEX('Portfolio Weights Returns'!$B$9:$BJ$69,
INT((ROW(A17)-1)/COLUMNS('Portfolio Weights Returns'!$B$9:$BJ$69))+1,MOD(ROW(A17)-1,COLUMNS('Portfolio Weights Returns'!$B$9:$BJ$69))+1)</f>
        <v>-1.0864765211545256E-3</v>
      </c>
      <c r="B18" cm="1">
        <f t="array" ref="B18">INDEX('Portfolio Weights Std'!$B$9:$BJ$69,INT((ROW(A17)-1)/COLUMNS('Portfolio Weights Std'!$B$9:$BJ$69))+1,MOD(ROW(A17)-1,COLUMNS('Portfolio Weights Std'!$B$9:$BJ$69))+1)</f>
        <v>2.7349241903499438E-2</v>
      </c>
    </row>
    <row r="19" spans="1:2" x14ac:dyDescent="0.25">
      <c r="A19" cm="1">
        <f t="array" ref="A19">INDEX('Portfolio Weights Returns'!$B$9:$BJ$69,
INT((ROW(A18)-1)/COLUMNS('Portfolio Weights Returns'!$B$9:$BJ$69))+1,MOD(ROW(A18)-1,COLUMNS('Portfolio Weights Returns'!$B$9:$BJ$69))+1)</f>
        <v>-1.0796953471878463E-3</v>
      </c>
      <c r="B19" cm="1">
        <f t="array" ref="B19">INDEX('Portfolio Weights Std'!$B$9:$BJ$69,INT((ROW(A18)-1)/COLUMNS('Portfolio Weights Std'!$B$9:$BJ$69))+1,MOD(ROW(A18)-1,COLUMNS('Portfolio Weights Std'!$B$9:$BJ$69))+1)</f>
        <v>2.7182806261913831E-2</v>
      </c>
    </row>
    <row r="20" spans="1:2" x14ac:dyDescent="0.25">
      <c r="A20" cm="1">
        <f t="array" ref="A20">INDEX('Portfolio Weights Returns'!$B$9:$BJ$69,
INT((ROW(A19)-1)/COLUMNS('Portfolio Weights Returns'!$B$9:$BJ$69))+1,MOD(ROW(A19)-1,COLUMNS('Portfolio Weights Returns'!$B$9:$BJ$69))+1)</f>
        <v>-1.0729141732211676E-3</v>
      </c>
      <c r="B20" cm="1">
        <f t="array" ref="B20">INDEX('Portfolio Weights Std'!$B$9:$BJ$69,INT((ROW(A19)-1)/COLUMNS('Portfolio Weights Std'!$B$9:$BJ$69))+1,MOD(ROW(A19)-1,COLUMNS('Portfolio Weights Std'!$B$9:$BJ$69))+1)</f>
        <v>2.7017059160946447E-2</v>
      </c>
    </row>
    <row r="21" spans="1:2" x14ac:dyDescent="0.25">
      <c r="A21" cm="1">
        <f t="array" ref="A21">INDEX('Portfolio Weights Returns'!$B$9:$BJ$69,
INT((ROW(A20)-1)/COLUMNS('Portfolio Weights Returns'!$B$9:$BJ$69))+1,MOD(ROW(A20)-1,COLUMNS('Portfolio Weights Returns'!$B$9:$BJ$69))+1)</f>
        <v>-1.0661329992544884E-3</v>
      </c>
      <c r="B21" cm="1">
        <f t="array" ref="B21">INDEX('Portfolio Weights Std'!$B$9:$BJ$69,INT((ROW(A20)-1)/COLUMNS('Portfolio Weights Std'!$B$9:$BJ$69))+1,MOD(ROW(A20)-1,COLUMNS('Portfolio Weights Std'!$B$9:$BJ$69))+1)</f>
        <v>2.685201335088571E-2</v>
      </c>
    </row>
    <row r="22" spans="1:2" x14ac:dyDescent="0.25">
      <c r="A22" cm="1">
        <f t="array" ref="A22">INDEX('Portfolio Weights Returns'!$B$9:$BJ$69,
INT((ROW(A21)-1)/COLUMNS('Portfolio Weights Returns'!$B$9:$BJ$69))+1,MOD(ROW(A21)-1,COLUMNS('Portfolio Weights Returns'!$B$9:$BJ$69))+1)</f>
        <v>-1.0593518252878093E-3</v>
      </c>
      <c r="B22" cm="1">
        <f t="array" ref="B22">INDEX('Portfolio Weights Std'!$B$9:$BJ$69,INT((ROW(A21)-1)/COLUMNS('Portfolio Weights Std'!$B$9:$BJ$69))+1,MOD(ROW(A21)-1,COLUMNS('Portfolio Weights Std'!$B$9:$BJ$69))+1)</f>
        <v>2.6687681842807825E-2</v>
      </c>
    </row>
    <row r="23" spans="1:2" x14ac:dyDescent="0.25">
      <c r="A23" cm="1">
        <f t="array" ref="A23">INDEX('Portfolio Weights Returns'!$B$9:$BJ$69,
INT((ROW(A22)-1)/COLUMNS('Portfolio Weights Returns'!$B$9:$BJ$69))+1,MOD(ROW(A22)-1,COLUMNS('Portfolio Weights Returns'!$B$9:$BJ$69))+1)</f>
        <v>-1.0525706513211301E-3</v>
      </c>
      <c r="B23" cm="1">
        <f t="array" ref="B23">INDEX('Portfolio Weights Std'!$B$9:$BJ$69,INT((ROW(A22)-1)/COLUMNS('Portfolio Weights Std'!$B$9:$BJ$69))+1,MOD(ROW(A22)-1,COLUMNS('Portfolio Weights Std'!$B$9:$BJ$69))+1)</f>
        <v>2.6524077913217838E-2</v>
      </c>
    </row>
    <row r="24" spans="1:2" x14ac:dyDescent="0.25">
      <c r="A24" cm="1">
        <f t="array" ref="A24">INDEX('Portfolio Weights Returns'!$B$9:$BJ$69,
INT((ROW(A23)-1)/COLUMNS('Portfolio Weights Returns'!$B$9:$BJ$69))+1,MOD(ROW(A23)-1,COLUMNS('Portfolio Weights Returns'!$B$9:$BJ$69))+1)</f>
        <v>-1.0457894773544512E-3</v>
      </c>
      <c r="B24" cm="1">
        <f t="array" ref="B24">INDEX('Portfolio Weights Std'!$B$9:$BJ$69,INT((ROW(A23)-1)/COLUMNS('Portfolio Weights Std'!$B$9:$BJ$69))+1,MOD(ROW(A23)-1,COLUMNS('Portfolio Weights Std'!$B$9:$BJ$69))+1)</f>
        <v>2.6361215108691258E-2</v>
      </c>
    </row>
    <row r="25" spans="1:2" x14ac:dyDescent="0.25">
      <c r="A25" cm="1">
        <f t="array" ref="A25">INDEX('Portfolio Weights Returns'!$B$9:$BJ$69,
INT((ROW(A24)-1)/COLUMNS('Portfolio Weights Returns'!$B$9:$BJ$69))+1,MOD(ROW(A24)-1,COLUMNS('Portfolio Weights Returns'!$B$9:$BJ$69))+1)</f>
        <v>-1.0390083033877721E-3</v>
      </c>
      <c r="B25" cm="1">
        <f t="array" ref="B25">INDEX('Portfolio Weights Std'!$B$9:$BJ$69,INT((ROW(A24)-1)/COLUMNS('Portfolio Weights Std'!$B$9:$BJ$69))+1,MOD(ROW(A24)-1,COLUMNS('Portfolio Weights Std'!$B$9:$BJ$69))+1)</f>
        <v>2.6199107250508748E-2</v>
      </c>
    </row>
    <row r="26" spans="1:2" x14ac:dyDescent="0.25">
      <c r="A26" cm="1">
        <f t="array" ref="A26">INDEX('Portfolio Weights Returns'!$B$9:$BJ$69,
INT((ROW(A25)-1)/COLUMNS('Portfolio Weights Returns'!$B$9:$BJ$69))+1,MOD(ROW(A25)-1,COLUMNS('Portfolio Weights Returns'!$B$9:$BJ$69))+1)</f>
        <v>-1.0322271294210929E-3</v>
      </c>
      <c r="B26" cm="1">
        <f t="array" ref="B26">INDEX('Portfolio Weights Std'!$B$9:$BJ$69,INT((ROW(A25)-1)/COLUMNS('Portfolio Weights Std'!$B$9:$BJ$69))+1,MOD(ROW(A25)-1,COLUMNS('Portfolio Weights Std'!$B$9:$BJ$69))+1)</f>
        <v>2.6037768439275934E-2</v>
      </c>
    </row>
    <row r="27" spans="1:2" x14ac:dyDescent="0.25">
      <c r="A27" cm="1">
        <f t="array" ref="A27">INDEX('Portfolio Weights Returns'!$B$9:$BJ$69,
INT((ROW(A26)-1)/COLUMNS('Portfolio Weights Returns'!$B$9:$BJ$69))+1,MOD(ROW(A26)-1,COLUMNS('Portfolio Weights Returns'!$B$9:$BJ$69))+1)</f>
        <v>-1.0254459554544138E-3</v>
      </c>
      <c r="B27" cm="1">
        <f t="array" ref="B27">INDEX('Portfolio Weights Std'!$B$9:$BJ$69,INT((ROW(A26)-1)/COLUMNS('Portfolio Weights Std'!$B$9:$BJ$69))+1,MOD(ROW(A26)-1,COLUMNS('Portfolio Weights Std'!$B$9:$BJ$69))+1)</f>
        <v>2.5877213059519635E-2</v>
      </c>
    </row>
    <row r="28" spans="1:2" x14ac:dyDescent="0.25">
      <c r="A28" cm="1">
        <f t="array" ref="A28">INDEX('Portfolio Weights Returns'!$B$9:$BJ$69,
INT((ROW(A27)-1)/COLUMNS('Portfolio Weights Returns'!$B$9:$BJ$69))+1,MOD(ROW(A27)-1,COLUMNS('Portfolio Weights Returns'!$B$9:$BJ$69))+1)</f>
        <v>-1.0186647814877346E-3</v>
      </c>
      <c r="B28" cm="1">
        <f t="array" ref="B28">INDEX('Portfolio Weights Std'!$B$9:$BJ$69,INT((ROW(A27)-1)/COLUMNS('Portfolio Weights Std'!$B$9:$BJ$69))+1,MOD(ROW(A27)-1,COLUMNS('Portfolio Weights Std'!$B$9:$BJ$69))+1)</f>
        <v>2.5717455784251275E-2</v>
      </c>
    </row>
    <row r="29" spans="1:2" x14ac:dyDescent="0.25">
      <c r="A29" cm="1">
        <f t="array" ref="A29">INDEX('Portfolio Weights Returns'!$B$9:$BJ$69,
INT((ROW(A28)-1)/COLUMNS('Portfolio Weights Returns'!$B$9:$BJ$69))+1,MOD(ROW(A28)-1,COLUMNS('Portfolio Weights Returns'!$B$9:$BJ$69))+1)</f>
        <v>-1.0118836075210557E-3</v>
      </c>
      <c r="B29" cm="1">
        <f t="array" ref="B29">INDEX('Portfolio Weights Std'!$B$9:$BJ$69,INT((ROW(A28)-1)/COLUMNS('Portfolio Weights Std'!$B$9:$BJ$69))+1,MOD(ROW(A28)-1,COLUMNS('Portfolio Weights Std'!$B$9:$BJ$69))+1)</f>
        <v>2.5558511579487388E-2</v>
      </c>
    </row>
    <row r="30" spans="1:2" x14ac:dyDescent="0.25">
      <c r="A30" cm="1">
        <f t="array" ref="A30">INDEX('Portfolio Weights Returns'!$B$9:$BJ$69,
INT((ROW(A29)-1)/COLUMNS('Portfolio Weights Returns'!$B$9:$BJ$69))+1,MOD(ROW(A29)-1,COLUMNS('Portfolio Weights Returns'!$B$9:$BJ$69))+1)</f>
        <v>-1.0051024335543765E-3</v>
      </c>
      <c r="B30" cm="1">
        <f t="array" ref="B30">INDEX('Portfolio Weights Std'!$B$9:$BJ$69,INT((ROW(A29)-1)/COLUMNS('Portfolio Weights Std'!$B$9:$BJ$69))+1,MOD(ROW(A29)-1,COLUMNS('Portfolio Weights Std'!$B$9:$BJ$69))+1)</f>
        <v>2.5400395708716595E-2</v>
      </c>
    </row>
    <row r="31" spans="1:2" x14ac:dyDescent="0.25">
      <c r="A31" cm="1">
        <f t="array" ref="A31">INDEX('Portfolio Weights Returns'!$B$9:$BJ$69,
INT((ROW(A30)-1)/COLUMNS('Portfolio Weights Returns'!$B$9:$BJ$69))+1,MOD(ROW(A30)-1,COLUMNS('Portfolio Weights Returns'!$B$9:$BJ$69))+1)</f>
        <v>-9.9832125958769719E-4</v>
      </c>
      <c r="B31" cm="1">
        <f t="array" ref="B31">INDEX('Portfolio Weights Std'!$B$9:$BJ$69,INT((ROW(A30)-1)/COLUMNS('Portfolio Weights Std'!$B$9:$BJ$69))+1,MOD(ROW(A30)-1,COLUMNS('Portfolio Weights Std'!$B$9:$BJ$69))+1)</f>
        <v>2.5243123737301448E-2</v>
      </c>
    </row>
    <row r="32" spans="1:2" x14ac:dyDescent="0.25">
      <c r="A32" cm="1">
        <f t="array" ref="A32">INDEX('Portfolio Weights Returns'!$B$9:$BJ$69,
INT((ROW(A31)-1)/COLUMNS('Portfolio Weights Returns'!$B$9:$BJ$69))+1,MOD(ROW(A31)-1,COLUMNS('Portfolio Weights Returns'!$B$9:$BJ$69))+1)</f>
        <v>-9.9154008562101804E-4</v>
      </c>
      <c r="B32" cm="1">
        <f t="array" ref="B32">INDEX('Portfolio Weights Std'!$B$9:$BJ$69,INT((ROW(A31)-1)/COLUMNS('Portfolio Weights Std'!$B$9:$BJ$69))+1,MOD(ROW(A31)-1,COLUMNS('Portfolio Weights Std'!$B$9:$BJ$69))+1)</f>
        <v>2.5086711536802933E-2</v>
      </c>
    </row>
    <row r="33" spans="1:2" x14ac:dyDescent="0.25">
      <c r="A33" cm="1">
        <f t="array" ref="A33">INDEX('Portfolio Weights Returns'!$B$9:$BJ$69,
INT((ROW(A32)-1)/COLUMNS('Portfolio Weights Returns'!$B$9:$BJ$69))+1,MOD(ROW(A32)-1,COLUMNS('Portfolio Weights Returns'!$B$9:$BJ$69))+1)</f>
        <v>-9.8475891165433912E-4</v>
      </c>
      <c r="B33" cm="1">
        <f t="array" ref="B33">INDEX('Portfolio Weights Std'!$B$9:$BJ$69,INT((ROW(A32)-1)/COLUMNS('Portfolio Weights Std'!$B$9:$BJ$69))+1,MOD(ROW(A32)-1,COLUMNS('Portfolio Weights Std'!$B$9:$BJ$69))+1)</f>
        <v>2.4931175289214437E-2</v>
      </c>
    </row>
    <row r="34" spans="1:2" x14ac:dyDescent="0.25">
      <c r="A34" cm="1">
        <f t="array" ref="A34">INDEX('Portfolio Weights Returns'!$B$9:$BJ$69,
INT((ROW(A33)-1)/COLUMNS('Portfolio Weights Returns'!$B$9:$BJ$69))+1,MOD(ROW(A33)-1,COLUMNS('Portfolio Weights Returns'!$B$9:$BJ$69))+1)</f>
        <v>-9.7797773768765997E-4</v>
      </c>
      <c r="B34" cm="1">
        <f t="array" ref="B34">INDEX('Portfolio Weights Std'!$B$9:$BJ$69,INT((ROW(A33)-1)/COLUMNS('Portfolio Weights Std'!$B$9:$BJ$69))+1,MOD(ROW(A33)-1,COLUMNS('Portfolio Weights Std'!$B$9:$BJ$69))+1)</f>
        <v>2.477653149109128E-2</v>
      </c>
    </row>
    <row r="35" spans="1:2" x14ac:dyDescent="0.25">
      <c r="A35" cm="1">
        <f t="array" ref="A35">INDEX('Portfolio Weights Returns'!$B$9:$BJ$69,
INT((ROW(A34)-1)/COLUMNS('Portfolio Weights Returns'!$B$9:$BJ$69))+1,MOD(ROW(A34)-1,COLUMNS('Portfolio Weights Returns'!$B$9:$BJ$69))+1)</f>
        <v>-9.7119656372098083E-4</v>
      </c>
      <c r="B35" cm="1">
        <f t="array" ref="B35">INDEX('Portfolio Weights Std'!$B$9:$BJ$69,INT((ROW(A34)-1)/COLUMNS('Portfolio Weights Std'!$B$9:$BJ$69))+1,MOD(ROW(A34)-1,COLUMNS('Portfolio Weights Std'!$B$9:$BJ$69))+1)</f>
        <v>2.462279695756079E-2</v>
      </c>
    </row>
    <row r="36" spans="1:2" x14ac:dyDescent="0.25">
      <c r="A36" cm="1">
        <f t="array" ref="A36">INDEX('Portfolio Weights Returns'!$B$9:$BJ$69,
INT((ROW(A35)-1)/COLUMNS('Portfolio Weights Returns'!$B$9:$BJ$69))+1,MOD(ROW(A35)-1,COLUMNS('Portfolio Weights Returns'!$B$9:$BJ$69))+1)</f>
        <v>-9.6441538975430168E-4</v>
      </c>
      <c r="B36" cm="1">
        <f t="array" ref="B36">INDEX('Portfolio Weights Std'!$B$9:$BJ$69,INT((ROW(A35)-1)/COLUMNS('Portfolio Weights Std'!$B$9:$BJ$69))+1,MOD(ROW(A35)-1,COLUMNS('Portfolio Weights Std'!$B$9:$BJ$69))+1)</f>
        <v>2.4469988826197248E-2</v>
      </c>
    </row>
    <row r="37" spans="1:2" x14ac:dyDescent="0.25">
      <c r="A37" cm="1">
        <f t="array" ref="A37">INDEX('Portfolio Weights Returns'!$B$9:$BJ$69,
INT((ROW(A36)-1)/COLUMNS('Portfolio Weights Returns'!$B$9:$BJ$69))+1,MOD(ROW(A36)-1,COLUMNS('Portfolio Weights Returns'!$B$9:$BJ$69))+1)</f>
        <v>-9.5763421578762265E-4</v>
      </c>
      <c r="B37" cm="1">
        <f t="array" ref="B37">INDEX('Portfolio Weights Std'!$B$9:$BJ$69,INT((ROW(A36)-1)/COLUMNS('Portfolio Weights Std'!$B$9:$BJ$69))+1,MOD(ROW(A36)-1,COLUMNS('Portfolio Weights Std'!$B$9:$BJ$69))+1)</f>
        <v>2.4318124560744753E-2</v>
      </c>
    </row>
    <row r="38" spans="1:2" x14ac:dyDescent="0.25">
      <c r="A38" cm="1">
        <f t="array" ref="A38">INDEX('Portfolio Weights Returns'!$B$9:$BJ$69,
INT((ROW(A37)-1)/COLUMNS('Portfolio Weights Returns'!$B$9:$BJ$69))+1,MOD(ROW(A37)-1,COLUMNS('Portfolio Weights Returns'!$B$9:$BJ$69))+1)</f>
        <v>-9.508530418209435E-4</v>
      </c>
      <c r="B38" cm="1">
        <f t="array" ref="B38">INDEX('Portfolio Weights Std'!$B$9:$BJ$69,INT((ROW(A37)-1)/COLUMNS('Portfolio Weights Std'!$B$9:$BJ$69))+1,MOD(ROW(A37)-1,COLUMNS('Portfolio Weights Std'!$B$9:$BJ$69))+1)</f>
        <v>2.416722195467038E-2</v>
      </c>
    </row>
    <row r="39" spans="1:2" x14ac:dyDescent="0.25">
      <c r="A39" cm="1">
        <f t="array" ref="A39">INDEX('Portfolio Weights Returns'!$B$9:$BJ$69,
INT((ROW(A38)-1)/COLUMNS('Portfolio Weights Returns'!$B$9:$BJ$69))+1,MOD(ROW(A38)-1,COLUMNS('Portfolio Weights Returns'!$B$9:$BJ$69))+1)</f>
        <v>-9.4407186785426447E-4</v>
      </c>
      <c r="B39" cm="1">
        <f t="array" ref="B39">INDEX('Portfolio Weights Std'!$B$9:$BJ$69,INT((ROW(A38)-1)/COLUMNS('Portfolio Weights Std'!$B$9:$BJ$69))+1,MOD(ROW(A38)-1,COLUMNS('Portfolio Weights Std'!$B$9:$BJ$69))+1)</f>
        <v>2.4017299134528696E-2</v>
      </c>
    </row>
    <row r="40" spans="1:2" x14ac:dyDescent="0.25">
      <c r="A40" cm="1">
        <f t="array" ref="A40">INDEX('Portfolio Weights Returns'!$B$9:$BJ$69,
INT((ROW(A39)-1)/COLUMNS('Portfolio Weights Returns'!$B$9:$BJ$69))+1,MOD(ROW(A39)-1,COLUMNS('Portfolio Weights Returns'!$B$9:$BJ$69))+1)</f>
        <v>-9.3729069388758532E-4</v>
      </c>
      <c r="B40" cm="1">
        <f t="array" ref="B40">INDEX('Portfolio Weights Std'!$B$9:$BJ$69,INT((ROW(A39)-1)/COLUMNS('Portfolio Weights Std'!$B$9:$BJ$69))+1,MOD(ROW(A39)-1,COLUMNS('Portfolio Weights Std'!$B$9:$BJ$69))+1)</f>
        <v>2.3868374563117821E-2</v>
      </c>
    </row>
    <row r="41" spans="1:2" x14ac:dyDescent="0.25">
      <c r="A41" cm="1">
        <f t="array" ref="A41">INDEX('Portfolio Weights Returns'!$B$9:$BJ$69,
INT((ROW(A40)-1)/COLUMNS('Portfolio Weights Returns'!$B$9:$BJ$69))+1,MOD(ROW(A40)-1,COLUMNS('Portfolio Weights Returns'!$B$9:$BJ$69))+1)</f>
        <v>-9.3050951992090618E-4</v>
      </c>
      <c r="B41" cm="1">
        <f t="array" ref="B41">INDEX('Portfolio Weights Std'!$B$9:$BJ$69,INT((ROW(A40)-1)/COLUMNS('Portfolio Weights Std'!$B$9:$BJ$69))+1,MOD(ROW(A40)-1,COLUMNS('Portfolio Weights Std'!$B$9:$BJ$69))+1)</f>
        <v>2.372046704240607E-2</v>
      </c>
    </row>
    <row r="42" spans="1:2" x14ac:dyDescent="0.25">
      <c r="A42" cm="1">
        <f t="array" ref="A42">INDEX('Portfolio Weights Returns'!$B$9:$BJ$69,
INT((ROW(A41)-1)/COLUMNS('Portfolio Weights Returns'!$B$9:$BJ$69))+1,MOD(ROW(A41)-1,COLUMNS('Portfolio Weights Returns'!$B$9:$BJ$69))+1)</f>
        <v>-9.2372834595422703E-4</v>
      </c>
      <c r="B42" cm="1">
        <f t="array" ref="B42">INDEX('Portfolio Weights Std'!$B$9:$BJ$69,INT((ROW(A41)-1)/COLUMNS('Portfolio Weights Std'!$B$9:$BJ$69))+1,MOD(ROW(A41)-1,COLUMNS('Portfolio Weights Std'!$B$9:$BJ$69))+1)</f>
        <v>2.3573595716207176E-2</v>
      </c>
    </row>
    <row r="43" spans="1:2" x14ac:dyDescent="0.25">
      <c r="A43" cm="1">
        <f t="array" ref="A43">INDEX('Portfolio Weights Returns'!$B$9:$BJ$69,
INT((ROW(A42)-1)/COLUMNS('Portfolio Weights Returns'!$B$9:$BJ$69))+1,MOD(ROW(A42)-1,COLUMNS('Portfolio Weights Returns'!$B$9:$BJ$69))+1)</f>
        <v>-9.16947171987548E-4</v>
      </c>
      <c r="B43" cm="1">
        <f t="array" ref="B43">INDEX('Portfolio Weights Std'!$B$9:$BJ$69,INT((ROW(A42)-1)/COLUMNS('Portfolio Weights Std'!$B$9:$BJ$69))+1,MOD(ROW(A42)-1,COLUMNS('Portfolio Weights Std'!$B$9:$BJ$69))+1)</f>
        <v>2.3427780072580839E-2</v>
      </c>
    </row>
    <row r="44" spans="1:2" x14ac:dyDescent="0.25">
      <c r="A44" cm="1">
        <f t="array" ref="A44">INDEX('Portfolio Weights Returns'!$B$9:$BJ$69,
INT((ROW(A43)-1)/COLUMNS('Portfolio Weights Returns'!$B$9:$BJ$69))+1,MOD(ROW(A43)-1,COLUMNS('Portfolio Weights Returns'!$B$9:$BJ$69))+1)</f>
        <v>-9.1016599802086885E-4</v>
      </c>
      <c r="B44" cm="1">
        <f t="array" ref="B44">INDEX('Portfolio Weights Std'!$B$9:$BJ$69,INT((ROW(A43)-1)/COLUMNS('Portfolio Weights Std'!$B$9:$BJ$69))+1,MOD(ROW(A43)-1,COLUMNS('Portfolio Weights Std'!$B$9:$BJ$69))+1)</f>
        <v>2.3283039945934388E-2</v>
      </c>
    </row>
    <row r="45" spans="1:2" x14ac:dyDescent="0.25">
      <c r="A45" cm="1">
        <f t="array" ref="A45">INDEX('Portfolio Weights Returns'!$B$9:$BJ$69,
INT((ROW(A44)-1)/COLUMNS('Portfolio Weights Returns'!$B$9:$BJ$69))+1,MOD(ROW(A44)-1,COLUMNS('Portfolio Weights Returns'!$B$9:$BJ$69))+1)</f>
        <v>-9.0338482405418982E-4</v>
      </c>
      <c r="B45" cm="1">
        <f t="array" ref="B45">INDEX('Portfolio Weights Std'!$B$9:$BJ$69,INT((ROW(A44)-1)/COLUMNS('Portfolio Weights Std'!$B$9:$BJ$69))+1,MOD(ROW(A44)-1,COLUMNS('Portfolio Weights Std'!$B$9:$BJ$69))+1)</f>
        <v>2.3139395518800027E-2</v>
      </c>
    </row>
    <row r="46" spans="1:2" x14ac:dyDescent="0.25">
      <c r="A46" cm="1">
        <f t="array" ref="A46">INDEX('Portfolio Weights Returns'!$B$9:$BJ$69,
INT((ROW(A45)-1)/COLUMNS('Portfolio Weights Returns'!$B$9:$BJ$69))+1,MOD(ROW(A45)-1,COLUMNS('Portfolio Weights Returns'!$B$9:$BJ$69))+1)</f>
        <v>-8.9660365008751067E-4</v>
      </c>
      <c r="B46" cm="1">
        <f t="array" ref="B46">INDEX('Portfolio Weights Std'!$B$9:$BJ$69,INT((ROW(A45)-1)/COLUMNS('Portfolio Weights Std'!$B$9:$BJ$69))+1,MOD(ROW(A45)-1,COLUMNS('Portfolio Weights Std'!$B$9:$BJ$69))+1)</f>
        <v>2.299686732326113E-2</v>
      </c>
    </row>
    <row r="47" spans="1:2" x14ac:dyDescent="0.25">
      <c r="A47" cm="1">
        <f t="array" ref="A47">INDEX('Portfolio Weights Returns'!$B$9:$BJ$69,
INT((ROW(A46)-1)/COLUMNS('Portfolio Weights Returns'!$B$9:$BJ$69))+1,MOD(ROW(A46)-1,COLUMNS('Portfolio Weights Returns'!$B$9:$BJ$69))+1)</f>
        <v>-8.8982247612083153E-4</v>
      </c>
      <c r="B47" cm="1">
        <f t="array" ref="B47">INDEX('Portfolio Weights Std'!$B$9:$BJ$69,INT((ROW(A46)-1)/COLUMNS('Portfolio Weights Std'!$B$9:$BJ$69))+1,MOD(ROW(A46)-1,COLUMNS('Portfolio Weights Std'!$B$9:$BJ$69))+1)</f>
        <v>2.2855476241999722E-2</v>
      </c>
    </row>
    <row r="48" spans="1:2" x14ac:dyDescent="0.25">
      <c r="A48" cm="1">
        <f t="array" ref="A48">INDEX('Portfolio Weights Returns'!$B$9:$BJ$69,
INT((ROW(A47)-1)/COLUMNS('Portfolio Weights Returns'!$B$9:$BJ$69))+1,MOD(ROW(A47)-1,COLUMNS('Portfolio Weights Returns'!$B$9:$BJ$69))+1)</f>
        <v>-8.8304130215415238E-4</v>
      </c>
      <c r="B48" cm="1">
        <f t="array" ref="B48">INDEX('Portfolio Weights Std'!$B$9:$BJ$69,INT((ROW(A47)-1)/COLUMNS('Portfolio Weights Std'!$B$9:$BJ$69))+1,MOD(ROW(A47)-1,COLUMNS('Portfolio Weights Std'!$B$9:$BJ$69))+1)</f>
        <v>2.271524350893642E-2</v>
      </c>
    </row>
    <row r="49" spans="1:2" x14ac:dyDescent="0.25">
      <c r="A49" cm="1">
        <f t="array" ref="A49">INDEX('Portfolio Weights Returns'!$B$9:$BJ$69,
INT((ROW(A48)-1)/COLUMNS('Portfolio Weights Returns'!$B$9:$BJ$69))+1,MOD(ROW(A48)-1,COLUMNS('Portfolio Weights Returns'!$B$9:$BJ$69))+1)</f>
        <v>-8.7626012818747324E-4</v>
      </c>
      <c r="B49" cm="1">
        <f t="array" ref="B49">INDEX('Portfolio Weights Std'!$B$9:$BJ$69,INT((ROW(A48)-1)/COLUMNS('Portfolio Weights Std'!$B$9:$BJ$69))+1,MOD(ROW(A48)-1,COLUMNS('Portfolio Weights Std'!$B$9:$BJ$69))+1)</f>
        <v>2.257619070943254E-2</v>
      </c>
    </row>
    <row r="50" spans="1:2" x14ac:dyDescent="0.25">
      <c r="A50" cm="1">
        <f t="array" ref="A50">INDEX('Portfolio Weights Returns'!$B$9:$BJ$69,
INT((ROW(A49)-1)/COLUMNS('Portfolio Weights Returns'!$B$9:$BJ$69))+1,MOD(ROW(A49)-1,COLUMNS('Portfolio Weights Returns'!$B$9:$BJ$69))+1)</f>
        <v>-8.6947895422079442E-4</v>
      </c>
      <c r="B50" cm="1">
        <f t="array" ref="B50">INDEX('Portfolio Weights Std'!$B$9:$BJ$69,INT((ROW(A49)-1)/COLUMNS('Portfolio Weights Std'!$B$9:$BJ$69))+1,MOD(ROW(A49)-1,COLUMNS('Portfolio Weights Std'!$B$9:$BJ$69))+1)</f>
        <v>2.2438339780023492E-2</v>
      </c>
    </row>
    <row r="51" spans="1:2" x14ac:dyDescent="0.25">
      <c r="A51" cm="1">
        <f t="array" ref="A51">INDEX('Portfolio Weights Returns'!$B$9:$BJ$69,
INT((ROW(A50)-1)/COLUMNS('Portfolio Weights Returns'!$B$9:$BJ$69))+1,MOD(ROW(A50)-1,COLUMNS('Portfolio Weights Returns'!$B$9:$BJ$69))+1)</f>
        <v>-8.6269778025411528E-4</v>
      </c>
      <c r="B51" cm="1">
        <f t="array" ref="B51">INDEX('Portfolio Weights Std'!$B$9:$BJ$69,INT((ROW(A50)-1)/COLUMNS('Portfolio Weights Std'!$B$9:$BJ$69))+1,MOD(ROW(A50)-1,COLUMNS('Portfolio Weights Std'!$B$9:$BJ$69))+1)</f>
        <v>2.2301713007650933E-2</v>
      </c>
    </row>
    <row r="52" spans="1:2" x14ac:dyDescent="0.25">
      <c r="A52" cm="1">
        <f t="array" ref="A52">INDEX('Portfolio Weights Returns'!$B$9:$BJ$69,
INT((ROW(A51)-1)/COLUMNS('Portfolio Weights Returns'!$B$9:$BJ$69))+1,MOD(ROW(A51)-1,COLUMNS('Portfolio Weights Returns'!$B$9:$BJ$69))+1)</f>
        <v>-8.5591660628743613E-4</v>
      </c>
      <c r="B52" cm="1">
        <f t="array" ref="B52">INDEX('Portfolio Weights Std'!$B$9:$BJ$69,INT((ROW(A51)-1)/COLUMNS('Portfolio Weights Std'!$B$9:$BJ$69))+1,MOD(ROW(A51)-1,COLUMNS('Portfolio Weights Std'!$B$9:$BJ$69))+1)</f>
        <v>2.2166333028360709E-2</v>
      </c>
    </row>
    <row r="53" spans="1:2" x14ac:dyDescent="0.25">
      <c r="A53" cm="1">
        <f t="array" ref="A53">INDEX('Portfolio Weights Returns'!$B$9:$BJ$69,
INT((ROW(A52)-1)/COLUMNS('Portfolio Weights Returns'!$B$9:$BJ$69))+1,MOD(ROW(A52)-1,COLUMNS('Portfolio Weights Returns'!$B$9:$BJ$69))+1)</f>
        <v>-8.4913543232075699E-4</v>
      </c>
      <c r="B53" cm="1">
        <f t="array" ref="B53">INDEX('Portfolio Weights Std'!$B$9:$BJ$69,INT((ROW(A52)-1)/COLUMNS('Portfolio Weights Std'!$B$9:$BJ$69))+1,MOD(ROW(A52)-1,COLUMNS('Portfolio Weights Std'!$B$9:$BJ$69))+1)</f>
        <v>2.2032222825432043E-2</v>
      </c>
    </row>
    <row r="54" spans="1:2" x14ac:dyDescent="0.25">
      <c r="A54" cm="1">
        <f t="array" ref="A54">INDEX('Portfolio Weights Returns'!$B$9:$BJ$69,
INT((ROW(A53)-1)/COLUMNS('Portfolio Weights Returns'!$B$9:$BJ$69))+1,MOD(ROW(A53)-1,COLUMNS('Portfolio Weights Returns'!$B$9:$BJ$69))+1)</f>
        <v>-8.4235425835407795E-4</v>
      </c>
      <c r="B54" cm="1">
        <f t="array" ref="B54">INDEX('Portfolio Weights Std'!$B$9:$BJ$69,INT((ROW(A53)-1)/COLUMNS('Portfolio Weights Std'!$B$9:$BJ$69))+1,MOD(ROW(A53)-1,COLUMNS('Portfolio Weights Std'!$B$9:$BJ$69))+1)</f>
        <v>2.1899405726902927E-2</v>
      </c>
    </row>
    <row r="55" spans="1:2" x14ac:dyDescent="0.25">
      <c r="A55" cm="1">
        <f t="array" ref="A55">INDEX('Portfolio Weights Returns'!$B$9:$BJ$69,
INT((ROW(A54)-1)/COLUMNS('Portfolio Weights Returns'!$B$9:$BJ$69))+1,MOD(ROW(A54)-1,COLUMNS('Portfolio Weights Returns'!$B$9:$BJ$69))+1)</f>
        <v>-8.3557308438739881E-4</v>
      </c>
      <c r="B55" cm="1">
        <f t="array" ref="B55">INDEX('Portfolio Weights Std'!$B$9:$BJ$69,INT((ROW(A54)-1)/COLUMNS('Portfolio Weights Std'!$B$9:$BJ$69))+1,MOD(ROW(A54)-1,COLUMNS('Portfolio Weights Std'!$B$9:$BJ$69))+1)</f>
        <v>2.1767905402455569E-2</v>
      </c>
    </row>
    <row r="56" spans="1:2" x14ac:dyDescent="0.25">
      <c r="A56" cm="1">
        <f t="array" ref="A56">INDEX('Portfolio Weights Returns'!$B$9:$BJ$69,
INT((ROW(A55)-1)/COLUMNS('Portfolio Weights Returns'!$B$9:$BJ$69))+1,MOD(ROW(A55)-1,COLUMNS('Portfolio Weights Returns'!$B$9:$BJ$69))+1)</f>
        <v>-8.2879191042071966E-4</v>
      </c>
      <c r="B56" cm="1">
        <f t="array" ref="B56">INDEX('Portfolio Weights Std'!$B$9:$BJ$69,INT((ROW(A55)-1)/COLUMNS('Portfolio Weights Std'!$B$9:$BJ$69))+1,MOD(ROW(A55)-1,COLUMNS('Portfolio Weights Std'!$B$9:$BJ$69))+1)</f>
        <v>2.163774585962517E-2</v>
      </c>
    </row>
    <row r="57" spans="1:2" x14ac:dyDescent="0.25">
      <c r="A57" cm="1">
        <f t="array" ref="A57">INDEX('Portfolio Weights Returns'!$B$9:$BJ$69,
INT((ROW(A56)-1)/COLUMNS('Portfolio Weights Returns'!$B$9:$BJ$69))+1,MOD(ROW(A56)-1,COLUMNS('Portfolio Weights Returns'!$B$9:$BJ$69))+1)</f>
        <v>-8.2201073645404063E-4</v>
      </c>
      <c r="B57" cm="1">
        <f t="array" ref="B57">INDEX('Portfolio Weights Std'!$B$9:$BJ$69,INT((ROW(A56)-1)/COLUMNS('Portfolio Weights Std'!$B$9:$BJ$69))+1,MOD(ROW(A56)-1,COLUMNS('Portfolio Weights Std'!$B$9:$BJ$69))+1)</f>
        <v>2.150895143929438E-2</v>
      </c>
    </row>
    <row r="58" spans="1:2" x14ac:dyDescent="0.25">
      <c r="A58" cm="1">
        <f t="array" ref="A58">INDEX('Portfolio Weights Returns'!$B$9:$BJ$69,
INT((ROW(A57)-1)/COLUMNS('Portfolio Weights Returns'!$B$9:$BJ$69))+1,MOD(ROW(A57)-1,COLUMNS('Portfolio Weights Returns'!$B$9:$BJ$69))+1)</f>
        <v>-8.1522956248736148E-4</v>
      </c>
      <c r="B58" cm="1">
        <f t="array" ref="B58">INDEX('Portfolio Weights Std'!$B$9:$BJ$69,INT((ROW(A57)-1)/COLUMNS('Portfolio Weights Std'!$B$9:$BJ$69))+1,MOD(ROW(A57)-1,COLUMNS('Portfolio Weights Std'!$B$9:$BJ$69))+1)</f>
        <v>2.1381546810435574E-2</v>
      </c>
    </row>
    <row r="59" spans="1:2" x14ac:dyDescent="0.25">
      <c r="A59" cm="1">
        <f t="array" ref="A59">INDEX('Portfolio Weights Returns'!$B$9:$BJ$69,
INT((ROW(A58)-1)/COLUMNS('Portfolio Weights Returns'!$B$9:$BJ$69))+1,MOD(ROW(A58)-1,COLUMNS('Portfolio Weights Returns'!$B$9:$BJ$69))+1)</f>
        <v>-8.0844838852068158E-4</v>
      </c>
      <c r="B59" cm="1">
        <f t="array" ref="B59">INDEX('Portfolio Weights Std'!$B$9:$BJ$69,INT((ROW(A58)-1)/COLUMNS('Portfolio Weights Std'!$B$9:$BJ$69))+1,MOD(ROW(A58)-1,COLUMNS('Portfolio Weights Std'!$B$9:$BJ$69))+1)</f>
        <v>2.125555696406228E-2</v>
      </c>
    </row>
    <row r="60" spans="1:2" x14ac:dyDescent="0.25">
      <c r="A60" cm="1">
        <f t="array" ref="A60">INDEX('Portfolio Weights Returns'!$B$9:$BJ$69,
INT((ROW(A59)-1)/COLUMNS('Portfolio Weights Returns'!$B$9:$BJ$69))+1,MOD(ROW(A59)-1,COLUMNS('Portfolio Weights Returns'!$B$9:$BJ$69))+1)</f>
        <v>-8.0166721455400243E-4</v>
      </c>
      <c r="B60" cm="1">
        <f t="array" ref="B60">INDEX('Portfolio Weights Std'!$B$9:$BJ$69,INT((ROW(A59)-1)/COLUMNS('Portfolio Weights Std'!$B$9:$BJ$69))+1,MOD(ROW(A59)-1,COLUMNS('Portfolio Weights Std'!$B$9:$BJ$69))+1)</f>
        <v>2.1131007206351332E-2</v>
      </c>
    </row>
    <row r="61" spans="1:2" x14ac:dyDescent="0.25">
      <c r="A61" cm="1">
        <f t="array" ref="A61">INDEX('Portfolio Weights Returns'!$B$9:$BJ$69,
INT((ROW(A60)-1)/COLUMNS('Portfolio Weights Returns'!$B$9:$BJ$69))+1,MOD(ROW(A60)-1,COLUMNS('Portfolio Weights Returns'!$B$9:$BJ$69))+1)</f>
        <v>-7.9488604058732361E-4</v>
      </c>
      <c r="B61" cm="1">
        <f t="array" ref="B61">INDEX('Portfolio Weights Std'!$B$9:$BJ$69,INT((ROW(A60)-1)/COLUMNS('Portfolio Weights Std'!$B$9:$BJ$69))+1,MOD(ROW(A60)-1,COLUMNS('Portfolio Weights Std'!$B$9:$BJ$69))+1)</f>
        <v>2.1007923150896508E-2</v>
      </c>
    </row>
    <row r="62" spans="1:2" x14ac:dyDescent="0.25">
      <c r="A62" cm="1">
        <f t="array" ref="A62">INDEX('Portfolio Weights Returns'!$B$9:$BJ$69,
INT((ROW(A61)-1)/COLUMNS('Portfolio Weights Returns'!$B$9:$BJ$69))+1,MOD(ROW(A61)-1,COLUMNS('Portfolio Weights Returns'!$B$9:$BJ$69))+1)</f>
        <v>-7.8810486662064436E-4</v>
      </c>
      <c r="B62" cm="1">
        <f t="array" ref="B62">INDEX('Portfolio Weights Std'!$B$9:$BJ$69,INT((ROW(A61)-1)/COLUMNS('Portfolio Weights Std'!$B$9:$BJ$69))+1,MOD(ROW(A61)-1,COLUMNS('Portfolio Weights Std'!$B$9:$BJ$69))+1)</f>
        <v>2.0886330710055342E-2</v>
      </c>
    </row>
    <row r="63" spans="1:2" x14ac:dyDescent="0.25">
      <c r="A63" cm="1">
        <f t="array" ref="A63">INDEX('Portfolio Weights Returns'!$B$9:$BJ$69,
INT((ROW(A62)-1)/COLUMNS('Portfolio Weights Returns'!$B$9:$BJ$69))+1,MOD(ROW(A62)-1,COLUMNS('Portfolio Weights Returns'!$B$9:$BJ$69))+1)</f>
        <v>-1.1884010967759362E-3</v>
      </c>
      <c r="B63" cm="1">
        <f t="array" ref="B63">INDEX('Portfolio Weights Std'!$B$9:$BJ$69,INT((ROW(A62)-1)/COLUMNS('Portfolio Weights Std'!$B$9:$BJ$69))+1,MOD(ROW(A62)-1,COLUMNS('Portfolio Weights Std'!$B$9:$BJ$69))+1)</f>
        <v>2.9842022921027906E-2</v>
      </c>
    </row>
    <row r="64" spans="1:2" x14ac:dyDescent="0.25">
      <c r="A64" cm="1">
        <f t="array" ref="A64">INDEX('Portfolio Weights Returns'!$B$9:$BJ$69,
INT((ROW(A63)-1)/COLUMNS('Portfolio Weights Returns'!$B$9:$BJ$69))+1,MOD(ROW(A63)-1,COLUMNS('Portfolio Weights Returns'!$B$9:$BJ$69))+1)</f>
        <v>-1.181619922809257E-3</v>
      </c>
      <c r="B64" cm="1">
        <f t="array" ref="B64">INDEX('Portfolio Weights Std'!$B$9:$BJ$69,INT((ROW(A63)-1)/COLUMNS('Portfolio Weights Std'!$B$9:$BJ$69))+1,MOD(ROW(A63)-1,COLUMNS('Portfolio Weights Std'!$B$9:$BJ$69))+1)</f>
        <v>2.9665885298687911E-2</v>
      </c>
    </row>
    <row r="65" spans="1:2" x14ac:dyDescent="0.25">
      <c r="A65" cm="1">
        <f t="array" ref="A65">INDEX('Portfolio Weights Returns'!$B$9:$BJ$69,
INT((ROW(A64)-1)/COLUMNS('Portfolio Weights Returns'!$B$9:$BJ$69))+1,MOD(ROW(A64)-1,COLUMNS('Portfolio Weights Returns'!$B$9:$BJ$69))+1)</f>
        <v>-1.1748387488425781E-3</v>
      </c>
      <c r="B65" cm="1">
        <f t="array" ref="B65">INDEX('Portfolio Weights Std'!$B$9:$BJ$69,INT((ROW(A64)-1)/COLUMNS('Portfolio Weights Std'!$B$9:$BJ$69))+1,MOD(ROW(A64)-1,COLUMNS('Portfolio Weights Std'!$B$9:$BJ$69))+1)</f>
        <v>2.9490265765967357E-2</v>
      </c>
    </row>
    <row r="66" spans="1:2" x14ac:dyDescent="0.25">
      <c r="A66" cm="1">
        <f t="array" ref="A66">INDEX('Portfolio Weights Returns'!$B$9:$BJ$69,
INT((ROW(A65)-1)/COLUMNS('Portfolio Weights Returns'!$B$9:$BJ$69))+1,MOD(ROW(A65)-1,COLUMNS('Portfolio Weights Returns'!$B$9:$BJ$69))+1)</f>
        <v>-1.1680575748758987E-3</v>
      </c>
      <c r="B66" cm="1">
        <f t="array" ref="B66">INDEX('Portfolio Weights Std'!$B$9:$BJ$69,INT((ROW(A65)-1)/COLUMNS('Portfolio Weights Std'!$B$9:$BJ$69))+1,MOD(ROW(A65)-1,COLUMNS('Portfolio Weights Std'!$B$9:$BJ$69))+1)</f>
        <v>2.9315173634085652E-2</v>
      </c>
    </row>
    <row r="67" spans="1:2" x14ac:dyDescent="0.25">
      <c r="A67" cm="1">
        <f t="array" ref="A67">INDEX('Portfolio Weights Returns'!$B$9:$BJ$69,
INT((ROW(A66)-1)/COLUMNS('Portfolio Weights Returns'!$B$9:$BJ$69))+1,MOD(ROW(A66)-1,COLUMNS('Portfolio Weights Returns'!$B$9:$BJ$69))+1)</f>
        <v>-1.1612764009092196E-3</v>
      </c>
      <c r="B67" cm="1">
        <f t="array" ref="B67">INDEX('Portfolio Weights Std'!$B$9:$BJ$69,INT((ROW(A66)-1)/COLUMNS('Portfolio Weights Std'!$B$9:$BJ$69))+1,MOD(ROW(A66)-1,COLUMNS('Portfolio Weights Std'!$B$9:$BJ$69))+1)</f>
        <v>2.9140618409747607E-2</v>
      </c>
    </row>
    <row r="68" spans="1:2" x14ac:dyDescent="0.25">
      <c r="A68" cm="1">
        <f t="array" ref="A68">INDEX('Portfolio Weights Returns'!$B$9:$BJ$69,
INT((ROW(A67)-1)/COLUMNS('Portfolio Weights Returns'!$B$9:$BJ$69))+1,MOD(ROW(A67)-1,COLUMNS('Portfolio Weights Returns'!$B$9:$BJ$69))+1)</f>
        <v>-1.1544952269425405E-3</v>
      </c>
      <c r="B68" cm="1">
        <f t="array" ref="B68">INDEX('Portfolio Weights Std'!$B$9:$BJ$69,INT((ROW(A67)-1)/COLUMNS('Portfolio Weights Std'!$B$9:$BJ$69))+1,MOD(ROW(A67)-1,COLUMNS('Portfolio Weights Std'!$B$9:$BJ$69))+1)</f>
        <v>2.8966609799304738E-2</v>
      </c>
    </row>
    <row r="69" spans="1:2" x14ac:dyDescent="0.25">
      <c r="A69" cm="1">
        <f t="array" ref="A69">INDEX('Portfolio Weights Returns'!$B$9:$BJ$69,
INT((ROW(A68)-1)/COLUMNS('Portfolio Weights Returns'!$B$9:$BJ$69))+1,MOD(ROW(A68)-1,COLUMNS('Portfolio Weights Returns'!$B$9:$BJ$69))+1)</f>
        <v>-1.1477140529758615E-3</v>
      </c>
      <c r="B69" cm="1">
        <f t="array" ref="B69">INDEX('Portfolio Weights Std'!$B$9:$BJ$69,INT((ROW(A68)-1)/COLUMNS('Portfolio Weights Std'!$B$9:$BJ$69))+1,MOD(ROW(A68)-1,COLUMNS('Portfolio Weights Std'!$B$9:$BJ$69))+1)</f>
        <v>2.8793157712980348E-2</v>
      </c>
    </row>
    <row r="70" spans="1:2" x14ac:dyDescent="0.25">
      <c r="A70" cm="1">
        <f t="array" ref="A70">INDEX('Portfolio Weights Returns'!$B$9:$BJ$69,
INT((ROW(A69)-1)/COLUMNS('Portfolio Weights Returns'!$B$9:$BJ$69))+1,MOD(ROW(A69)-1,COLUMNS('Portfolio Weights Returns'!$B$9:$BJ$69))+1)</f>
        <v>-1.1409328790091824E-3</v>
      </c>
      <c r="B70" cm="1">
        <f t="array" ref="B70">INDEX('Portfolio Weights Std'!$B$9:$BJ$69,INT((ROW(A69)-1)/COLUMNS('Portfolio Weights Std'!$B$9:$BJ$69))+1,MOD(ROW(A69)-1,COLUMNS('Portfolio Weights Std'!$B$9:$BJ$69))+1)</f>
        <v>2.8620272269156838E-2</v>
      </c>
    </row>
    <row r="71" spans="1:2" x14ac:dyDescent="0.25">
      <c r="A71" cm="1">
        <f t="array" ref="A71">INDEX('Portfolio Weights Returns'!$B$9:$BJ$69,
INT((ROW(A70)-1)/COLUMNS('Portfolio Weights Returns'!$B$9:$BJ$69))+1,MOD(ROW(A70)-1,COLUMNS('Portfolio Weights Returns'!$B$9:$BJ$69))+1)</f>
        <v>-1.1341517050425032E-3</v>
      </c>
      <c r="B71" cm="1">
        <f t="array" ref="B71">INDEX('Portfolio Weights Std'!$B$9:$BJ$69,INT((ROW(A70)-1)/COLUMNS('Portfolio Weights Std'!$B$9:$BJ$69))+1,MOD(ROW(A70)-1,COLUMNS('Portfolio Weights Std'!$B$9:$BJ$69))+1)</f>
        <v>2.8447963798723837E-2</v>
      </c>
    </row>
    <row r="72" spans="1:2" x14ac:dyDescent="0.25">
      <c r="A72" cm="1">
        <f t="array" ref="A72">INDEX('Portfolio Weights Returns'!$B$9:$BJ$69,
INT((ROW(A71)-1)/COLUMNS('Portfolio Weights Returns'!$B$9:$BJ$69))+1,MOD(ROW(A71)-1,COLUMNS('Portfolio Weights Returns'!$B$9:$BJ$69))+1)</f>
        <v>-1.1273705310758241E-3</v>
      </c>
      <c r="B72" cm="1">
        <f t="array" ref="B72">INDEX('Portfolio Weights Std'!$B$9:$BJ$69,INT((ROW(A71)-1)/COLUMNS('Portfolio Weights Std'!$B$9:$BJ$69))+1,MOD(ROW(A71)-1,COLUMNS('Portfolio Weights Std'!$B$9:$BJ$69))+1)</f>
        <v>2.8276242849485187E-2</v>
      </c>
    </row>
    <row r="73" spans="1:2" x14ac:dyDescent="0.25">
      <c r="A73" cm="1">
        <f t="array" ref="A73">INDEX('Portfolio Weights Returns'!$B$9:$BJ$69,
INT((ROW(A72)-1)/COLUMNS('Portfolio Weights Returns'!$B$9:$BJ$69))+1,MOD(ROW(A72)-1,COLUMNS('Portfolio Weights Returns'!$B$9:$BJ$69))+1)</f>
        <v>-1.1205893571091452E-3</v>
      </c>
      <c r="B73" cm="1">
        <f t="array" ref="B73">INDEX('Portfolio Weights Std'!$B$9:$BJ$69,INT((ROW(A72)-1)/COLUMNS('Portfolio Weights Std'!$B$9:$BJ$69))+1,MOD(ROW(A72)-1,COLUMNS('Portfolio Weights Std'!$B$9:$BJ$69))+1)</f>
        <v>2.8105120190622709E-2</v>
      </c>
    </row>
    <row r="74" spans="1:2" x14ac:dyDescent="0.25">
      <c r="A74" cm="1">
        <f t="array" ref="A74">INDEX('Portfolio Weights Returns'!$B$9:$BJ$69,
INT((ROW(A73)-1)/COLUMNS('Portfolio Weights Returns'!$B$9:$BJ$69))+1,MOD(ROW(A73)-1,COLUMNS('Portfolio Weights Returns'!$B$9:$BJ$69))+1)</f>
        <v>-1.113808183142466E-3</v>
      </c>
      <c r="B74" cm="1">
        <f t="array" ref="B74">INDEX('Portfolio Weights Std'!$B$9:$BJ$69,INT((ROW(A73)-1)/COLUMNS('Portfolio Weights Std'!$B$9:$BJ$69))+1,MOD(ROW(A73)-1,COLUMNS('Portfolio Weights Std'!$B$9:$BJ$69))+1)</f>
        <v>2.7934606817214384E-2</v>
      </c>
    </row>
    <row r="75" spans="1:2" x14ac:dyDescent="0.25">
      <c r="A75" cm="1">
        <f t="array" ref="A75">INDEX('Portfolio Weights Returns'!$B$9:$BJ$69,
INT((ROW(A74)-1)/COLUMNS('Portfolio Weights Returns'!$B$9:$BJ$69))+1,MOD(ROW(A74)-1,COLUMNS('Portfolio Weights Returns'!$B$9:$BJ$69))+1)</f>
        <v>-1.1070270091757869E-3</v>
      </c>
      <c r="B75" cm="1">
        <f t="array" ref="B75">INDEX('Portfolio Weights Std'!$B$9:$BJ$69,INT((ROW(A74)-1)/COLUMNS('Portfolio Weights Std'!$B$9:$BJ$69))+1,MOD(ROW(A74)-1,COLUMNS('Portfolio Weights Std'!$B$9:$BJ$69))+1)</f>
        <v>2.7764713954804184E-2</v>
      </c>
    </row>
    <row r="76" spans="1:2" x14ac:dyDescent="0.25">
      <c r="A76" cm="1">
        <f t="array" ref="A76">INDEX('Portfolio Weights Returns'!$B$9:$BJ$69,
INT((ROW(A75)-1)/COLUMNS('Portfolio Weights Returns'!$B$9:$BJ$69))+1,MOD(ROW(A75)-1,COLUMNS('Portfolio Weights Returns'!$B$9:$BJ$69))+1)</f>
        <v>-1.1002458352091077E-3</v>
      </c>
      <c r="B76" cm="1">
        <f t="array" ref="B76">INDEX('Portfolio Weights Std'!$B$9:$BJ$69,INT((ROW(A75)-1)/COLUMNS('Portfolio Weights Std'!$B$9:$BJ$69))+1,MOD(ROW(A75)-1,COLUMNS('Portfolio Weights Std'!$B$9:$BJ$69))+1)</f>
        <v>2.7595453064020566E-2</v>
      </c>
    </row>
    <row r="77" spans="1:2" x14ac:dyDescent="0.25">
      <c r="A77" cm="1">
        <f t="array" ref="A77">INDEX('Portfolio Weights Returns'!$B$9:$BJ$69,
INT((ROW(A76)-1)/COLUMNS('Portfolio Weights Returns'!$B$9:$BJ$69))+1,MOD(ROW(A76)-1,COLUMNS('Portfolio Weights Returns'!$B$9:$BJ$69))+1)</f>
        <v>-1.0934646612424286E-3</v>
      </c>
      <c r="B77" cm="1">
        <f t="array" ref="B77">INDEX('Portfolio Weights Std'!$B$9:$BJ$69,INT((ROW(A76)-1)/COLUMNS('Portfolio Weights Std'!$B$9:$BJ$69))+1,MOD(ROW(A76)-1,COLUMNS('Portfolio Weights Std'!$B$9:$BJ$69))+1)</f>
        <v>2.7426835845240184E-2</v>
      </c>
    </row>
    <row r="78" spans="1:2" x14ac:dyDescent="0.25">
      <c r="A78" cm="1">
        <f t="array" ref="A78">INDEX('Portfolio Weights Returns'!$B$9:$BJ$69,
INT((ROW(A77)-1)/COLUMNS('Portfolio Weights Returns'!$B$9:$BJ$69))+1,MOD(ROW(A77)-1,COLUMNS('Portfolio Weights Returns'!$B$9:$BJ$69))+1)</f>
        <v>-1.0866834872757497E-3</v>
      </c>
      <c r="B78" cm="1">
        <f t="array" ref="B78">INDEX('Portfolio Weights Std'!$B$9:$BJ$69,INT((ROW(A77)-1)/COLUMNS('Portfolio Weights Std'!$B$9:$BJ$69))+1,MOD(ROW(A77)-1,COLUMNS('Portfolio Weights Std'!$B$9:$BJ$69))+1)</f>
        <v>2.7258874243293093E-2</v>
      </c>
    </row>
    <row r="79" spans="1:2" x14ac:dyDescent="0.25">
      <c r="A79" cm="1">
        <f t="array" ref="A79">INDEX('Portfolio Weights Returns'!$B$9:$BJ$69,
INT((ROW(A78)-1)/COLUMNS('Portfolio Weights Returns'!$B$9:$BJ$69))+1,MOD(ROW(A78)-1,COLUMNS('Portfolio Weights Returns'!$B$9:$BJ$69))+1)</f>
        <v>-1.0799023133090705E-3</v>
      </c>
      <c r="B79" cm="1">
        <f t="array" ref="B79">INDEX('Portfolio Weights Std'!$B$9:$BJ$69,INT((ROW(A78)-1)/COLUMNS('Portfolio Weights Std'!$B$9:$BJ$69))+1,MOD(ROW(A78)-1,COLUMNS('Portfolio Weights Std'!$B$9:$BJ$69))+1)</f>
        <v>2.7091580452205249E-2</v>
      </c>
    </row>
    <row r="80" spans="1:2" x14ac:dyDescent="0.25">
      <c r="A80" cm="1">
        <f t="array" ref="A80">INDEX('Portfolio Weights Returns'!$B$9:$BJ$69,
INT((ROW(A79)-1)/COLUMNS('Portfolio Weights Returns'!$B$9:$BJ$69))+1,MOD(ROW(A79)-1,COLUMNS('Portfolio Weights Returns'!$B$9:$BJ$69))+1)</f>
        <v>-1.0731211393423912E-3</v>
      </c>
      <c r="B80" cm="1">
        <f t="array" ref="B80">INDEX('Portfolio Weights Std'!$B$9:$BJ$69,INT((ROW(A79)-1)/COLUMNS('Portfolio Weights Std'!$B$9:$BJ$69))+1,MOD(ROW(A79)-1,COLUMNS('Portfolio Weights Std'!$B$9:$BJ$69))+1)</f>
        <v>2.6924966919973679E-2</v>
      </c>
    </row>
    <row r="81" spans="1:2" x14ac:dyDescent="0.25">
      <c r="A81" cm="1">
        <f t="array" ref="A81">INDEX('Portfolio Weights Returns'!$B$9:$BJ$69,
INT((ROW(A80)-1)/COLUMNS('Portfolio Weights Returns'!$B$9:$BJ$69))+1,MOD(ROW(A80)-1,COLUMNS('Portfolio Weights Returns'!$B$9:$BJ$69))+1)</f>
        <v>-1.0663399653757122E-3</v>
      </c>
      <c r="B81" cm="1">
        <f t="array" ref="B81">INDEX('Portfolio Weights Std'!$B$9:$BJ$69,INT((ROW(A80)-1)/COLUMNS('Portfolio Weights Std'!$B$9:$BJ$69))+1,MOD(ROW(A80)-1,COLUMNS('Portfolio Weights Std'!$B$9:$BJ$69))+1)</f>
        <v>2.6759046353369367E-2</v>
      </c>
    </row>
    <row r="82" spans="1:2" x14ac:dyDescent="0.25">
      <c r="A82" cm="1">
        <f t="array" ref="A82">INDEX('Portfolio Weights Returns'!$B$9:$BJ$69,
INT((ROW(A81)-1)/COLUMNS('Portfolio Weights Returns'!$B$9:$BJ$69))+1,MOD(ROW(A81)-1,COLUMNS('Portfolio Weights Returns'!$B$9:$BJ$69))+1)</f>
        <v>-1.0595587914090333E-3</v>
      </c>
      <c r="B82" cm="1">
        <f t="array" ref="B82">INDEX('Portfolio Weights Std'!$B$9:$BJ$69,INT((ROW(A81)-1)/COLUMNS('Portfolio Weights Std'!$B$9:$BJ$69))+1,MOD(ROW(A81)-1,COLUMNS('Portfolio Weights Std'!$B$9:$BJ$69))+1)</f>
        <v>2.6593831722762137E-2</v>
      </c>
    </row>
    <row r="83" spans="1:2" x14ac:dyDescent="0.25">
      <c r="A83" cm="1">
        <f t="array" ref="A83">INDEX('Portfolio Weights Returns'!$B$9:$BJ$69,
INT((ROW(A82)-1)/COLUMNS('Portfolio Weights Returns'!$B$9:$BJ$69))+1,MOD(ROW(A82)-1,COLUMNS('Portfolio Weights Returns'!$B$9:$BJ$69))+1)</f>
        <v>-1.0527776174423542E-3</v>
      </c>
      <c r="B83" cm="1">
        <f t="array" ref="B83">INDEX('Portfolio Weights Std'!$B$9:$BJ$69,INT((ROW(A82)-1)/COLUMNS('Portfolio Weights Std'!$B$9:$BJ$69))+1,MOD(ROW(A82)-1,COLUMNS('Portfolio Weights Std'!$B$9:$BJ$69))+1)</f>
        <v>2.6429336266961669E-2</v>
      </c>
    </row>
    <row r="84" spans="1:2" x14ac:dyDescent="0.25">
      <c r="A84" cm="1">
        <f t="array" ref="A84">INDEX('Portfolio Weights Returns'!$B$9:$BJ$69,
INT((ROW(A83)-1)/COLUMNS('Portfolio Weights Returns'!$B$9:$BJ$69))+1,MOD(ROW(A83)-1,COLUMNS('Portfolio Weights Returns'!$B$9:$BJ$69))+1)</f>
        <v>-1.045996443475675E-3</v>
      </c>
      <c r="B84" cm="1">
        <f t="array" ref="B84">INDEX('Portfolio Weights Std'!$B$9:$BJ$69,INT((ROW(A83)-1)/COLUMNS('Portfolio Weights Std'!$B$9:$BJ$69))+1,MOD(ROW(A83)-1,COLUMNS('Portfolio Weights Std'!$B$9:$BJ$69))+1)</f>
        <v>2.6265573498067893E-2</v>
      </c>
    </row>
    <row r="85" spans="1:2" x14ac:dyDescent="0.25">
      <c r="A85" cm="1">
        <f t="array" ref="A85">INDEX('Portfolio Weights Returns'!$B$9:$BJ$69,
INT((ROW(A84)-1)/COLUMNS('Portfolio Weights Returns'!$B$9:$BJ$69))+1,MOD(ROW(A84)-1,COLUMNS('Portfolio Weights Returns'!$B$9:$BJ$69))+1)</f>
        <v>-1.0392152695089959E-3</v>
      </c>
      <c r="B85" cm="1">
        <f t="array" ref="B85">INDEX('Portfolio Weights Std'!$B$9:$BJ$69,INT((ROW(A84)-1)/COLUMNS('Portfolio Weights Std'!$B$9:$BJ$69))+1,MOD(ROW(A84)-1,COLUMNS('Portfolio Weights Std'!$B$9:$BJ$69))+1)</f>
        <v>2.6102557206323745E-2</v>
      </c>
    </row>
    <row r="86" spans="1:2" x14ac:dyDescent="0.25">
      <c r="A86" cm="1">
        <f t="array" ref="A86">INDEX('Portfolio Weights Returns'!$B$9:$BJ$69,
INT((ROW(A85)-1)/COLUMNS('Portfolio Weights Returns'!$B$9:$BJ$69))+1,MOD(ROW(A85)-1,COLUMNS('Portfolio Weights Returns'!$B$9:$BJ$69))+1)</f>
        <v>-1.0324340955423167E-3</v>
      </c>
      <c r="B86" cm="1">
        <f t="array" ref="B86">INDEX('Portfolio Weights Std'!$B$9:$BJ$69,INT((ROW(A85)-1)/COLUMNS('Portfolio Weights Std'!$B$9:$BJ$69))+1,MOD(ROW(A85)-1,COLUMNS('Portfolio Weights Std'!$B$9:$BJ$69))+1)</f>
        <v>2.5940301464962331E-2</v>
      </c>
    </row>
    <row r="87" spans="1:2" x14ac:dyDescent="0.25">
      <c r="A87" cm="1">
        <f t="array" ref="A87">INDEX('Portfolio Weights Returns'!$B$9:$BJ$69,
INT((ROW(A86)-1)/COLUMNS('Portfolio Weights Returns'!$B$9:$BJ$69))+1,MOD(ROW(A86)-1,COLUMNS('Portfolio Weights Returns'!$B$9:$BJ$69))+1)</f>
        <v>-1.0256529215756378E-3</v>
      </c>
      <c r="B87" cm="1">
        <f t="array" ref="B87">INDEX('Portfolio Weights Std'!$B$9:$BJ$69,INT((ROW(A86)-1)/COLUMNS('Portfolio Weights Std'!$B$9:$BJ$69))+1,MOD(ROW(A86)-1,COLUMNS('Portfolio Weights Std'!$B$9:$BJ$69))+1)</f>
        <v>2.577882063504023E-2</v>
      </c>
    </row>
    <row r="88" spans="1:2" x14ac:dyDescent="0.25">
      <c r="A88" cm="1">
        <f t="array" ref="A88">INDEX('Portfolio Weights Returns'!$B$9:$BJ$69,
INT((ROW(A87)-1)/COLUMNS('Portfolio Weights Returns'!$B$9:$BJ$69))+1,MOD(ROW(A87)-1,COLUMNS('Portfolio Weights Returns'!$B$9:$BJ$69))+1)</f>
        <v>-1.0188717476089587E-3</v>
      </c>
      <c r="B88" cm="1">
        <f t="array" ref="B88">INDEX('Portfolio Weights Std'!$B$9:$BJ$69,INT((ROW(A87)-1)/COLUMNS('Portfolio Weights Std'!$B$9:$BJ$69))+1,MOD(ROW(A87)-1,COLUMNS('Portfolio Weights Std'!$B$9:$BJ$69))+1)</f>
        <v>2.5618129370247763E-2</v>
      </c>
    </row>
    <row r="89" spans="1:2" x14ac:dyDescent="0.25">
      <c r="A89" cm="1">
        <f t="array" ref="A89">INDEX('Portfolio Weights Returns'!$B$9:$BJ$69,
INT((ROW(A88)-1)/COLUMNS('Portfolio Weights Returns'!$B$9:$BJ$69))+1,MOD(ROW(A88)-1,COLUMNS('Portfolio Weights Returns'!$B$9:$BJ$69))+1)</f>
        <v>-1.0120905736422795E-3</v>
      </c>
      <c r="B89" cm="1">
        <f t="array" ref="B89">INDEX('Portfolio Weights Std'!$B$9:$BJ$69,INT((ROW(A88)-1)/COLUMNS('Portfolio Weights Std'!$B$9:$BJ$69))+1,MOD(ROW(A88)-1,COLUMNS('Portfolio Weights Std'!$B$9:$BJ$69))+1)</f>
        <v>2.5458242621686441E-2</v>
      </c>
    </row>
    <row r="90" spans="1:2" x14ac:dyDescent="0.25">
      <c r="A90" cm="1">
        <f t="array" ref="A90">INDEX('Portfolio Weights Returns'!$B$9:$BJ$69,
INT((ROW(A89)-1)/COLUMNS('Portfolio Weights Returns'!$B$9:$BJ$69))+1,MOD(ROW(A89)-1,COLUMNS('Portfolio Weights Returns'!$B$9:$BJ$69))+1)</f>
        <v>-1.0053093996756004E-3</v>
      </c>
      <c r="B90" cm="1">
        <f t="array" ref="B90">INDEX('Portfolio Weights Std'!$B$9:$BJ$69,INT((ROW(A89)-1)/COLUMNS('Portfolio Weights Std'!$B$9:$BJ$69))+1,MOD(ROW(A89)-1,COLUMNS('Portfolio Weights Std'!$B$9:$BJ$69))+1)</f>
        <v>2.529917564260304E-2</v>
      </c>
    </row>
    <row r="91" spans="1:2" x14ac:dyDescent="0.25">
      <c r="A91" cm="1">
        <f t="array" ref="A91">INDEX('Portfolio Weights Returns'!$B$9:$BJ$69,
INT((ROW(A90)-1)/COLUMNS('Portfolio Weights Returns'!$B$9:$BJ$69))+1,MOD(ROW(A90)-1,COLUMNS('Portfolio Weights Returns'!$B$9:$BJ$69))+1)</f>
        <v>-9.9852822570892122E-4</v>
      </c>
      <c r="B91" cm="1">
        <f t="array" ref="B91">INDEX('Portfolio Weights Std'!$B$9:$BJ$69,INT((ROW(A90)-1)/COLUMNS('Portfolio Weights Std'!$B$9:$BJ$69))+1,MOD(ROW(A90)-1,COLUMNS('Portfolio Weights Std'!$B$9:$BJ$69))+1)</f>
        <v>2.5140943993068991E-2</v>
      </c>
    </row>
    <row r="92" spans="1:2" x14ac:dyDescent="0.25">
      <c r="A92" cm="1">
        <f t="array" ref="A92">INDEX('Portfolio Weights Returns'!$B$9:$BJ$69,
INT((ROW(A91)-1)/COLUMNS('Portfolio Weights Returns'!$B$9:$BJ$69))+1,MOD(ROW(A91)-1,COLUMNS('Portfolio Weights Returns'!$B$9:$BJ$69))+1)</f>
        <v>-9.9174705174224207E-4</v>
      </c>
      <c r="B92" cm="1">
        <f t="array" ref="B92">INDEX('Portfolio Weights Std'!$B$9:$BJ$69,INT((ROW(A91)-1)/COLUMNS('Portfolio Weights Std'!$B$9:$BJ$69))+1,MOD(ROW(A91)-1,COLUMNS('Portfolio Weights Std'!$B$9:$BJ$69))+1)</f>
        <v>2.4983563544592878E-2</v>
      </c>
    </row>
    <row r="93" spans="1:2" x14ac:dyDescent="0.25">
      <c r="A93" cm="1">
        <f t="array" ref="A93">INDEX('Portfolio Weights Returns'!$B$9:$BJ$69,
INT((ROW(A92)-1)/COLUMNS('Portfolio Weights Returns'!$B$9:$BJ$69))+1,MOD(ROW(A92)-1,COLUMNS('Portfolio Weights Returns'!$B$9:$BJ$69))+1)</f>
        <v>-9.8496587777556293E-4</v>
      </c>
      <c r="B93" cm="1">
        <f t="array" ref="B93">INDEX('Portfolio Weights Std'!$B$9:$BJ$69,INT((ROW(A92)-1)/COLUMNS('Portfolio Weights Std'!$B$9:$BJ$69))+1,MOD(ROW(A92)-1,COLUMNS('Portfolio Weights Std'!$B$9:$BJ$69))+1)</f>
        <v>2.4827050484653126E-2</v>
      </c>
    </row>
    <row r="94" spans="1:2" x14ac:dyDescent="0.25">
      <c r="A94" cm="1">
        <f t="array" ref="A94">INDEX('Portfolio Weights Returns'!$B$9:$BJ$69,
INT((ROW(A93)-1)/COLUMNS('Portfolio Weights Returns'!$B$9:$BJ$69))+1,MOD(ROW(A93)-1,COLUMNS('Portfolio Weights Returns'!$B$9:$BJ$69))+1)</f>
        <v>-9.7818470380888378E-4</v>
      </c>
      <c r="B94" cm="1">
        <f t="array" ref="B94">INDEX('Portfolio Weights Std'!$B$9:$BJ$69,INT((ROW(A93)-1)/COLUMNS('Portfolio Weights Std'!$B$9:$BJ$69))+1,MOD(ROW(A93)-1,COLUMNS('Portfolio Weights Std'!$B$9:$BJ$69))+1)</f>
        <v>2.4671421321136845E-2</v>
      </c>
    </row>
    <row r="95" spans="1:2" x14ac:dyDescent="0.25">
      <c r="A95" cm="1">
        <f t="array" ref="A95">INDEX('Portfolio Weights Returns'!$B$9:$BJ$69,
INT((ROW(A94)-1)/COLUMNS('Portfolio Weights Returns'!$B$9:$BJ$69))+1,MOD(ROW(A94)-1,COLUMNS('Portfolio Weights Returns'!$B$9:$BJ$69))+1)</f>
        <v>-9.7140352984220475E-4</v>
      </c>
      <c r="B95" cm="1">
        <f t="array" ref="B95">INDEX('Portfolio Weights Std'!$B$9:$BJ$69,INT((ROW(A94)-1)/COLUMNS('Portfolio Weights Std'!$B$9:$BJ$69))+1,MOD(ROW(A94)-1,COLUMNS('Portfolio Weights Std'!$B$9:$BJ$69))+1)</f>
        <v>2.451669288667014E-2</v>
      </c>
    </row>
    <row r="96" spans="1:2" x14ac:dyDescent="0.25">
      <c r="A96" cm="1">
        <f t="array" ref="A96">INDEX('Portfolio Weights Returns'!$B$9:$BJ$69,
INT((ROW(A95)-1)/COLUMNS('Portfolio Weights Returns'!$B$9:$BJ$69))+1,MOD(ROW(A95)-1,COLUMNS('Portfolio Weights Returns'!$B$9:$BJ$69))+1)</f>
        <v>-9.646223558755256E-4</v>
      </c>
      <c r="B96" cm="1">
        <f t="array" ref="B96">INDEX('Portfolio Weights Std'!$B$9:$BJ$69,INT((ROW(A95)-1)/COLUMNS('Portfolio Weights Std'!$B$9:$BJ$69))+1,MOD(ROW(A95)-1,COLUMNS('Portfolio Weights Std'!$B$9:$BJ$69))+1)</f>
        <v>2.4362882342823983E-2</v>
      </c>
    </row>
    <row r="97" spans="1:2" x14ac:dyDescent="0.25">
      <c r="A97" cm="1">
        <f t="array" ref="A97">INDEX('Portfolio Weights Returns'!$B$9:$BJ$69,
INT((ROW(A96)-1)/COLUMNS('Portfolio Weights Returns'!$B$9:$BJ$69))+1,MOD(ROW(A96)-1,COLUMNS('Portfolio Weights Returns'!$B$9:$BJ$69))+1)</f>
        <v>-9.5784118190884657E-4</v>
      </c>
      <c r="B97" cm="1">
        <f t="array" ref="B97">INDEX('Portfolio Weights Std'!$B$9:$BJ$69,INT((ROW(A96)-1)/COLUMNS('Portfolio Weights Std'!$B$9:$BJ$69))+1,MOD(ROW(A96)-1,COLUMNS('Portfolio Weights Std'!$B$9:$BJ$69))+1)</f>
        <v>2.4210007184178886E-2</v>
      </c>
    </row>
    <row r="98" spans="1:2" x14ac:dyDescent="0.25">
      <c r="A98" cm="1">
        <f t="array" ref="A98">INDEX('Portfolio Weights Returns'!$B$9:$BJ$69,
INT((ROW(A97)-1)/COLUMNS('Portfolio Weights Returns'!$B$9:$BJ$69))+1,MOD(ROW(A97)-1,COLUMNS('Portfolio Weights Returns'!$B$9:$BJ$69))+1)</f>
        <v>-9.5106000794216742E-4</v>
      </c>
      <c r="B98" cm="1">
        <f t="array" ref="B98">INDEX('Portfolio Weights Std'!$B$9:$BJ$69,INT((ROW(A97)-1)/COLUMNS('Portfolio Weights Std'!$B$9:$BJ$69))+1,MOD(ROW(A97)-1,COLUMNS('Portfolio Weights Std'!$B$9:$BJ$69))+1)</f>
        <v>2.4058085242230472E-2</v>
      </c>
    </row>
    <row r="99" spans="1:2" x14ac:dyDescent="0.25">
      <c r="A99" cm="1">
        <f t="array" ref="A99">INDEX('Portfolio Weights Returns'!$B$9:$BJ$69,
INT((ROW(A98)-1)/COLUMNS('Portfolio Weights Returns'!$B$9:$BJ$69))+1,MOD(ROW(A98)-1,COLUMNS('Portfolio Weights Returns'!$B$9:$BJ$69))+1)</f>
        <v>-9.4427883397548839E-4</v>
      </c>
      <c r="B99" cm="1">
        <f t="array" ref="B99">INDEX('Portfolio Weights Std'!$B$9:$BJ$69,INT((ROW(A98)-1)/COLUMNS('Portfolio Weights Std'!$B$9:$BJ$69))+1,MOD(ROW(A98)-1,COLUMNS('Portfolio Weights Std'!$B$9:$BJ$69))+1)</f>
        <v>2.3907134689117135E-2</v>
      </c>
    </row>
    <row r="100" spans="1:2" x14ac:dyDescent="0.25">
      <c r="A100" cm="1">
        <f t="array" ref="A100">INDEX('Portfolio Weights Returns'!$B$9:$BJ$69,
INT((ROW(A99)-1)/COLUMNS('Portfolio Weights Returns'!$B$9:$BJ$69))+1,MOD(ROW(A99)-1,COLUMNS('Portfolio Weights Returns'!$B$9:$BJ$69))+1)</f>
        <v>-9.3749766000880924E-4</v>
      </c>
      <c r="B100" cm="1">
        <f t="array" ref="B100">INDEX('Portfolio Weights Std'!$B$9:$BJ$69,INT((ROW(A99)-1)/COLUMNS('Portfolio Weights Std'!$B$9:$BJ$69))+1,MOD(ROW(A99)-1,COLUMNS('Portfolio Weights Std'!$B$9:$BJ$69))+1)</f>
        <v>2.3757174041149635E-2</v>
      </c>
    </row>
    <row r="101" spans="1:2" x14ac:dyDescent="0.25">
      <c r="A101" cm="1">
        <f t="array" ref="A101">INDEX('Portfolio Weights Returns'!$B$9:$BJ$69,
INT((ROW(A100)-1)/COLUMNS('Portfolio Weights Returns'!$B$9:$BJ$69))+1,MOD(ROW(A100)-1,COLUMNS('Portfolio Weights Returns'!$B$9:$BJ$69))+1)</f>
        <v>-9.307164860421301E-4</v>
      </c>
      <c r="B101" cm="1">
        <f t="array" ref="B101">INDEX('Portfolio Weights Std'!$B$9:$BJ$69,INT((ROW(A100)-1)/COLUMNS('Portfolio Weights Std'!$B$9:$BJ$69))+1,MOD(ROW(A100)-1,COLUMNS('Portfolio Weights Std'!$B$9:$BJ$69))+1)</f>
        <v>2.3608222162121533E-2</v>
      </c>
    </row>
    <row r="102" spans="1:2" x14ac:dyDescent="0.25">
      <c r="A102" cm="1">
        <f t="array" ref="A102">INDEX('Portfolio Weights Returns'!$B$9:$BJ$69,
INT((ROW(A101)-1)/COLUMNS('Portfolio Weights Returns'!$B$9:$BJ$69))+1,MOD(ROW(A101)-1,COLUMNS('Portfolio Weights Returns'!$B$9:$BJ$69))+1)</f>
        <v>-9.2393531207545095E-4</v>
      </c>
      <c r="B102" cm="1">
        <f t="array" ref="B102">INDEX('Portfolio Weights Std'!$B$9:$BJ$69,INT((ROW(A101)-1)/COLUMNS('Portfolio Weights Std'!$B$9:$BJ$69))+1,MOD(ROW(A101)-1,COLUMNS('Portfolio Weights Std'!$B$9:$BJ$69))+1)</f>
        <v>2.3460298266378125E-2</v>
      </c>
    </row>
    <row r="103" spans="1:2" x14ac:dyDescent="0.25">
      <c r="A103" cm="1">
        <f t="array" ref="A103">INDEX('Portfolio Weights Returns'!$B$9:$BJ$69,
INT((ROW(A102)-1)/COLUMNS('Portfolio Weights Returns'!$B$9:$BJ$69))+1,MOD(ROW(A102)-1,COLUMNS('Portfolio Weights Returns'!$B$9:$BJ$69))+1)</f>
        <v>-9.1715413810877192E-4</v>
      </c>
      <c r="B103" cm="1">
        <f t="array" ref="B103">INDEX('Portfolio Weights Std'!$B$9:$BJ$69,INT((ROW(A102)-1)/COLUMNS('Portfolio Weights Std'!$B$9:$BJ$69))+1,MOD(ROW(A102)-1,COLUMNS('Portfolio Weights Std'!$B$9:$BJ$69))+1)</f>
        <v>2.331342192162035E-2</v>
      </c>
    </row>
    <row r="104" spans="1:2" x14ac:dyDescent="0.25">
      <c r="A104" cm="1">
        <f t="array" ref="A104">INDEX('Portfolio Weights Returns'!$B$9:$BJ$69,
INT((ROW(A103)-1)/COLUMNS('Portfolio Weights Returns'!$B$9:$BJ$69))+1,MOD(ROW(A103)-1,COLUMNS('Portfolio Weights Returns'!$B$9:$BJ$69))+1)</f>
        <v>-9.1037296414209277E-4</v>
      </c>
      <c r="B104" cm="1">
        <f t="array" ref="B104">INDEX('Portfolio Weights Std'!$B$9:$BJ$69,INT((ROW(A103)-1)/COLUMNS('Portfolio Weights Std'!$B$9:$BJ$69))+1,MOD(ROW(A103)-1,COLUMNS('Portfolio Weights Std'!$B$9:$BJ$69))+1)</f>
        <v>2.3167613051418963E-2</v>
      </c>
    </row>
    <row r="105" spans="1:2" x14ac:dyDescent="0.25">
      <c r="A105" cm="1">
        <f t="array" ref="A105">INDEX('Portfolio Weights Returns'!$B$9:$BJ$69,
INT((ROW(A104)-1)/COLUMNS('Portfolio Weights Returns'!$B$9:$BJ$69))+1,MOD(ROW(A104)-1,COLUMNS('Portfolio Weights Returns'!$B$9:$BJ$69))+1)</f>
        <v>-9.0359179017541363E-4</v>
      </c>
      <c r="B105" cm="1">
        <f t="array" ref="B105">INDEX('Portfolio Weights Std'!$B$9:$BJ$69,INT((ROW(A104)-1)/COLUMNS('Portfolio Weights Std'!$B$9:$BJ$69))+1,MOD(ROW(A104)-1,COLUMNS('Portfolio Weights Std'!$B$9:$BJ$69))+1)</f>
        <v>2.3022891937412946E-2</v>
      </c>
    </row>
    <row r="106" spans="1:2" x14ac:dyDescent="0.25">
      <c r="A106" cm="1">
        <f t="array" ref="A106">INDEX('Portfolio Weights Returns'!$B$9:$BJ$69,
INT((ROW(A105)-1)/COLUMNS('Portfolio Weights Returns'!$B$9:$BJ$69))+1,MOD(ROW(A105)-1,COLUMNS('Portfolio Weights Returns'!$B$9:$BJ$69))+1)</f>
        <v>-8.9681061620873459E-4</v>
      </c>
      <c r="B106" cm="1">
        <f t="array" ref="B106">INDEX('Portfolio Weights Std'!$B$9:$BJ$69,INT((ROW(A105)-1)/COLUMNS('Portfolio Weights Std'!$B$9:$BJ$69))+1,MOD(ROW(A105)-1,COLUMNS('Portfolio Weights Std'!$B$9:$BJ$69))+1)</f>
        <v>2.2879279221165075E-2</v>
      </c>
    </row>
    <row r="107" spans="1:2" x14ac:dyDescent="0.25">
      <c r="A107" cm="1">
        <f t="array" ref="A107">INDEX('Portfolio Weights Returns'!$B$9:$BJ$69,
INT((ROW(A106)-1)/COLUMNS('Portfolio Weights Returns'!$B$9:$BJ$69))+1,MOD(ROW(A106)-1,COLUMNS('Portfolio Weights Returns'!$B$9:$BJ$69))+1)</f>
        <v>-8.9002944224205545E-4</v>
      </c>
      <c r="B107" cm="1">
        <f t="array" ref="B107">INDEX('Portfolio Weights Std'!$B$9:$BJ$69,INT((ROW(A106)-1)/COLUMNS('Portfolio Weights Std'!$B$9:$BJ$69))+1,MOD(ROW(A106)-1,COLUMNS('Portfolio Weights Std'!$B$9:$BJ$69))+1)</f>
        <v>2.2736795905646066E-2</v>
      </c>
    </row>
    <row r="108" spans="1:2" x14ac:dyDescent="0.25">
      <c r="A108" cm="1">
        <f t="array" ref="A108">INDEX('Portfolio Weights Returns'!$B$9:$BJ$69,
INT((ROW(A107)-1)/COLUMNS('Portfolio Weights Returns'!$B$9:$BJ$69))+1,MOD(ROW(A107)-1,COLUMNS('Portfolio Weights Returns'!$B$9:$BJ$69))+1)</f>
        <v>-8.832482682753763E-4</v>
      </c>
      <c r="B108" cm="1">
        <f t="array" ref="B108">INDEX('Portfolio Weights Std'!$B$9:$BJ$69,INT((ROW(A107)-1)/COLUMNS('Portfolio Weights Std'!$B$9:$BJ$69))+1,MOD(ROW(A107)-1,COLUMNS('Portfolio Weights Std'!$B$9:$BJ$69))+1)</f>
        <v>2.2595463356317732E-2</v>
      </c>
    </row>
    <row r="109" spans="1:2" x14ac:dyDescent="0.25">
      <c r="A109" cm="1">
        <f t="array" ref="A109">INDEX('Portfolio Weights Returns'!$B$9:$BJ$69,
INT((ROW(A108)-1)/COLUMNS('Portfolio Weights Returns'!$B$9:$BJ$69))+1,MOD(ROW(A108)-1,COLUMNS('Portfolio Weights Returns'!$B$9:$BJ$69))+1)</f>
        <v>-8.7646709430869716E-4</v>
      </c>
      <c r="B109" cm="1">
        <f t="array" ref="B109">INDEX('Portfolio Weights Std'!$B$9:$BJ$69,INT((ROW(A108)-1)/COLUMNS('Portfolio Weights Std'!$B$9:$BJ$69))+1,MOD(ROW(A108)-1,COLUMNS('Portfolio Weights Std'!$B$9:$BJ$69))+1)</f>
        <v>2.2455303301784121E-2</v>
      </c>
    </row>
    <row r="110" spans="1:2" x14ac:dyDescent="0.25">
      <c r="A110" cm="1">
        <f t="array" ref="A110">INDEX('Portfolio Weights Returns'!$B$9:$BJ$69,
INT((ROW(A109)-1)/COLUMNS('Portfolio Weights Returns'!$B$9:$BJ$69))+1,MOD(ROW(A109)-1,COLUMNS('Portfolio Weights Returns'!$B$9:$BJ$69))+1)</f>
        <v>-8.6968592034201812E-4</v>
      </c>
      <c r="B110" cm="1">
        <f t="array" ref="B110">INDEX('Portfolio Weights Std'!$B$9:$BJ$69,INT((ROW(A109)-1)/COLUMNS('Portfolio Weights Std'!$B$9:$BJ$69))+1,MOD(ROW(A109)-1,COLUMNS('Portfolio Weights Std'!$B$9:$BJ$69))+1)</f>
        <v>2.2316337833978551E-2</v>
      </c>
    </row>
    <row r="111" spans="1:2" x14ac:dyDescent="0.25">
      <c r="A111" cm="1">
        <f t="array" ref="A111">INDEX('Portfolio Weights Returns'!$B$9:$BJ$69,
INT((ROW(A110)-1)/COLUMNS('Portfolio Weights Returns'!$B$9:$BJ$69))+1,MOD(ROW(A110)-1,COLUMNS('Portfolio Weights Returns'!$B$9:$BJ$69))+1)</f>
        <v>-8.629047463753392E-4</v>
      </c>
      <c r="B111" cm="1">
        <f t="array" ref="B111">INDEX('Portfolio Weights Std'!$B$9:$BJ$69,INT((ROW(A110)-1)/COLUMNS('Portfolio Weights Std'!$B$9:$BJ$69))+1,MOD(ROW(A110)-1,COLUMNS('Portfolio Weights Std'!$B$9:$BJ$69))+1)</f>
        <v>2.2178589407853111E-2</v>
      </c>
    </row>
    <row r="112" spans="1:2" x14ac:dyDescent="0.25">
      <c r="A112" cm="1">
        <f t="array" ref="A112">INDEX('Portfolio Weights Returns'!$B$9:$BJ$69,
INT((ROW(A111)-1)/COLUMNS('Portfolio Weights Returns'!$B$9:$BJ$69))+1,MOD(ROW(A111)-1,COLUMNS('Portfolio Weights Returns'!$B$9:$BJ$69))+1)</f>
        <v>-8.5612357240866005E-4</v>
      </c>
      <c r="B112" cm="1">
        <f t="array" ref="B112">INDEX('Portfolio Weights Std'!$B$9:$BJ$69,INT((ROW(A111)-1)/COLUMNS('Portfolio Weights Std'!$B$9:$BJ$69))+1,MOD(ROW(A111)-1,COLUMNS('Portfolio Weights Std'!$B$9:$BJ$69))+1)</f>
        <v>2.2042080840536167E-2</v>
      </c>
    </row>
    <row r="113" spans="1:2" x14ac:dyDescent="0.25">
      <c r="A113" cm="1">
        <f t="array" ref="A113">INDEX('Portfolio Weights Returns'!$B$9:$BJ$69,
INT((ROW(A112)-1)/COLUMNS('Portfolio Weights Returns'!$B$9:$BJ$69))+1,MOD(ROW(A112)-1,COLUMNS('Portfolio Weights Returns'!$B$9:$BJ$69))+1)</f>
        <v>-8.4934239844198091E-4</v>
      </c>
      <c r="B113" cm="1">
        <f t="array" ref="B113">INDEX('Portfolio Weights Std'!$B$9:$BJ$69,INT((ROW(A112)-1)/COLUMNS('Portfolio Weights Std'!$B$9:$BJ$69))+1,MOD(ROW(A112)-1,COLUMNS('Portfolio Weights Std'!$B$9:$BJ$69))+1)</f>
        <v>2.1906835309922216E-2</v>
      </c>
    </row>
    <row r="114" spans="1:2" x14ac:dyDescent="0.25">
      <c r="A114" cm="1">
        <f t="array" ref="A114">INDEX('Portfolio Weights Returns'!$B$9:$BJ$69,
INT((ROW(A113)-1)/COLUMNS('Portfolio Weights Returns'!$B$9:$BJ$69))+1,MOD(ROW(A113)-1,COLUMNS('Portfolio Weights Returns'!$B$9:$BJ$69))+1)</f>
        <v>-8.4256122447530176E-4</v>
      </c>
      <c r="B114" cm="1">
        <f t="array" ref="B114">INDEX('Portfolio Weights Std'!$B$9:$BJ$69,INT((ROW(A113)-1)/COLUMNS('Portfolio Weights Std'!$B$9:$BJ$69))+1,MOD(ROW(A113)-1,COLUMNS('Portfolio Weights Std'!$B$9:$BJ$69))+1)</f>
        <v>2.1772876352657313E-2</v>
      </c>
    </row>
    <row r="115" spans="1:2" x14ac:dyDescent="0.25">
      <c r="A115" cm="1">
        <f t="array" ref="A115">INDEX('Portfolio Weights Returns'!$B$9:$BJ$69,
INT((ROW(A114)-1)/COLUMNS('Portfolio Weights Returns'!$B$9:$BJ$69))+1,MOD(ROW(A114)-1,COLUMNS('Portfolio Weights Returns'!$B$9:$BJ$69))+1)</f>
        <v>-8.3578005050862273E-4</v>
      </c>
      <c r="B115" cm="1">
        <f t="array" ref="B115">INDEX('Portfolio Weights Std'!$B$9:$BJ$69,INT((ROW(A114)-1)/COLUMNS('Portfolio Weights Std'!$B$9:$BJ$69))+1,MOD(ROW(A114)-1,COLUMNS('Portfolio Weights Std'!$B$9:$BJ$69))+1)</f>
        <v>2.1640227861482404E-2</v>
      </c>
    </row>
    <row r="116" spans="1:2" x14ac:dyDescent="0.25">
      <c r="A116" cm="1">
        <f t="array" ref="A116">INDEX('Portfolio Weights Returns'!$B$9:$BJ$69,
INT((ROW(A115)-1)/COLUMNS('Portfolio Weights Returns'!$B$9:$BJ$69))+1,MOD(ROW(A115)-1,COLUMNS('Portfolio Weights Returns'!$B$9:$BJ$69))+1)</f>
        <v>-8.2899887654194358E-4</v>
      </c>
      <c r="B116" cm="1">
        <f t="array" ref="B116">INDEX('Portfolio Weights Std'!$B$9:$BJ$69,INT((ROW(A115)-1)/COLUMNS('Portfolio Weights Std'!$B$9:$BJ$69))+1,MOD(ROW(A115)-1,COLUMNS('Portfolio Weights Std'!$B$9:$BJ$69))+1)</f>
        <v>2.1508914081895918E-2</v>
      </c>
    </row>
    <row r="117" spans="1:2" x14ac:dyDescent="0.25">
      <c r="A117" cm="1">
        <f t="array" ref="A117">INDEX('Portfolio Weights Returns'!$B$9:$BJ$69,
INT((ROW(A116)-1)/COLUMNS('Portfolio Weights Returns'!$B$9:$BJ$69))+1,MOD(ROW(A116)-1,COLUMNS('Portfolio Weights Returns'!$B$9:$BJ$69))+1)</f>
        <v>-8.2221770257526455E-4</v>
      </c>
      <c r="B117" cm="1">
        <f t="array" ref="B117">INDEX('Portfolio Weights Std'!$B$9:$BJ$69,INT((ROW(A116)-1)/COLUMNS('Portfolio Weights Std'!$B$9:$BJ$69))+1,MOD(ROW(A116)-1,COLUMNS('Portfolio Weights Std'!$B$9:$BJ$69))+1)</f>
        <v>2.1378959608096167E-2</v>
      </c>
    </row>
    <row r="118" spans="1:2" x14ac:dyDescent="0.25">
      <c r="A118" cm="1">
        <f t="array" ref="A118">INDEX('Portfolio Weights Returns'!$B$9:$BJ$69,
INT((ROW(A117)-1)/COLUMNS('Portfolio Weights Returns'!$B$9:$BJ$69))+1,MOD(ROW(A117)-1,COLUMNS('Portfolio Weights Returns'!$B$9:$BJ$69))+1)</f>
        <v>-8.154365286085854E-4</v>
      </c>
      <c r="B118" cm="1">
        <f t="array" ref="B118">INDEX('Portfolio Weights Std'!$B$9:$BJ$69,INT((ROW(A117)-1)/COLUMNS('Portfolio Weights Std'!$B$9:$BJ$69))+1,MOD(ROW(A117)-1,COLUMNS('Portfolio Weights Std'!$B$9:$BJ$69))+1)</f>
        <v>2.1250389378163415E-2</v>
      </c>
    </row>
    <row r="119" spans="1:2" x14ac:dyDescent="0.25">
      <c r="A119" cm="1">
        <f t="array" ref="A119">INDEX('Portfolio Weights Returns'!$B$9:$BJ$69,
INT((ROW(A118)-1)/COLUMNS('Portfolio Weights Returns'!$B$9:$BJ$69))+1,MOD(ROW(A118)-1,COLUMNS('Portfolio Weights Returns'!$B$9:$BJ$69))+1)</f>
        <v>-8.0865535464190626E-4</v>
      </c>
      <c r="B119" cm="1">
        <f t="array" ref="B119">INDEX('Portfolio Weights Std'!$B$9:$BJ$69,INT((ROW(A118)-1)/COLUMNS('Portfolio Weights Std'!$B$9:$BJ$69))+1,MOD(ROW(A118)-1,COLUMNS('Portfolio Weights Std'!$B$9:$BJ$69))+1)</f>
        <v>2.11232286684408E-2</v>
      </c>
    </row>
    <row r="120" spans="1:2" x14ac:dyDescent="0.25">
      <c r="A120" cm="1">
        <f t="array" ref="A120">INDEX('Portfolio Weights Returns'!$B$9:$BJ$69,
INT((ROW(A119)-1)/COLUMNS('Portfolio Weights Returns'!$B$9:$BJ$69))+1,MOD(ROW(A119)-1,COLUMNS('Portfolio Weights Returns'!$B$9:$BJ$69))+1)</f>
        <v>-8.0187418067522635E-4</v>
      </c>
      <c r="B120" cm="1">
        <f t="array" ref="B120">INDEX('Portfolio Weights Std'!$B$9:$BJ$69,INT((ROW(A119)-1)/COLUMNS('Portfolio Weights Std'!$B$9:$BJ$69))+1,MOD(ROW(A119)-1,COLUMNS('Portfolio Weights Std'!$B$9:$BJ$69))+1)</f>
        <v>2.0997503087073082E-2</v>
      </c>
    </row>
    <row r="121" spans="1:2" x14ac:dyDescent="0.25">
      <c r="A121" cm="1">
        <f t="array" ref="A121">INDEX('Portfolio Weights Returns'!$B$9:$BJ$69,
INT((ROW(A120)-1)/COLUMNS('Portfolio Weights Returns'!$B$9:$BJ$69))+1,MOD(ROW(A120)-1,COLUMNS('Portfolio Weights Returns'!$B$9:$BJ$69))+1)</f>
        <v>-7.9509300670854732E-4</v>
      </c>
      <c r="B121" cm="1">
        <f t="array" ref="B121">INDEX('Portfolio Weights Std'!$B$9:$BJ$69,INT((ROW(A120)-1)/COLUMNS('Portfolio Weights Std'!$B$9:$BJ$69))+1,MOD(ROW(A120)-1,COLUMNS('Portfolio Weights Std'!$B$9:$BJ$69))+1)</f>
        <v>2.0873238566661727E-2</v>
      </c>
    </row>
    <row r="122" spans="1:2" x14ac:dyDescent="0.25">
      <c r="A122" cm="1">
        <f t="array" ref="A122">INDEX('Portfolio Weights Returns'!$B$9:$BJ$69,
INT((ROW(A121)-1)/COLUMNS('Portfolio Weights Returns'!$B$9:$BJ$69))+1,MOD(ROW(A121)-1,COLUMNS('Portfolio Weights Returns'!$B$9:$BJ$69))+1)</f>
        <v>-7.8831183274186828E-4</v>
      </c>
      <c r="B122" cm="1">
        <f t="array" ref="B122">INDEX('Portfolio Weights Std'!$B$9:$BJ$69,INT((ROW(A121)-1)/COLUMNS('Portfolio Weights Std'!$B$9:$BJ$69))+1,MOD(ROW(A121)-1,COLUMNS('Portfolio Weights Std'!$B$9:$BJ$69))+1)</f>
        <v>2.0750461355994749E-2</v>
      </c>
    </row>
    <row r="123" spans="1:2" x14ac:dyDescent="0.25">
      <c r="A123" cm="1">
        <f t="array" ref="A123">INDEX('Portfolio Weights Returns'!$B$9:$BJ$69,
INT((ROW(A122)-1)/COLUMNS('Portfolio Weights Returns'!$B$9:$BJ$69))+1,MOD(ROW(A122)-1,COLUMNS('Portfolio Weights Returns'!$B$9:$BJ$69))+1)</f>
        <v>-7.8153065877518925E-4</v>
      </c>
      <c r="B123" cm="1">
        <f t="array" ref="B123">INDEX('Portfolio Weights Std'!$B$9:$BJ$69,INT((ROW(A122)-1)/COLUMNS('Portfolio Weights Std'!$B$9:$BJ$69))+1,MOD(ROW(A122)-1,COLUMNS('Portfolio Weights Std'!$B$9:$BJ$69))+1)</f>
        <v>2.0629198010810163E-2</v>
      </c>
    </row>
    <row r="124" spans="1:2" x14ac:dyDescent="0.25">
      <c r="A124" cm="1">
        <f t="array" ref="A124">INDEX('Portfolio Weights Returns'!$B$9:$BJ$69,
INT((ROW(A123)-1)/COLUMNS('Portfolio Weights Returns'!$B$9:$BJ$69))+1,MOD(ROW(A123)-1,COLUMNS('Portfolio Weights Returns'!$B$9:$BJ$69))+1)</f>
        <v>-1.1818268889304811E-3</v>
      </c>
      <c r="B124" cm="1">
        <f t="array" ref="B124">INDEX('Portfolio Weights Std'!$B$9:$BJ$69,INT((ROW(A123)-1)/COLUMNS('Portfolio Weights Std'!$B$9:$BJ$69))+1,MOD(ROW(A123)-1,COLUMNS('Portfolio Weights Std'!$B$9:$BJ$69))+1)</f>
        <v>2.9590355209160195E-2</v>
      </c>
    </row>
    <row r="125" spans="1:2" x14ac:dyDescent="0.25">
      <c r="A125" cm="1">
        <f t="array" ref="A125">INDEX('Portfolio Weights Returns'!$B$9:$BJ$69,
INT((ROW(A124)-1)/COLUMNS('Portfolio Weights Returns'!$B$9:$BJ$69))+1,MOD(ROW(A124)-1,COLUMNS('Portfolio Weights Returns'!$B$9:$BJ$69))+1)</f>
        <v>-1.1750457149638019E-3</v>
      </c>
      <c r="B125" cm="1">
        <f t="array" ref="B125">INDEX('Portfolio Weights Std'!$B$9:$BJ$69,INT((ROW(A124)-1)/COLUMNS('Portfolio Weights Std'!$B$9:$BJ$69))+1,MOD(ROW(A124)-1,COLUMNS('Portfolio Weights Std'!$B$9:$BJ$69))+1)</f>
        <v>2.941400565388505E-2</v>
      </c>
    </row>
    <row r="126" spans="1:2" x14ac:dyDescent="0.25">
      <c r="A126" cm="1">
        <f t="array" ref="A126">INDEX('Portfolio Weights Returns'!$B$9:$BJ$69,
INT((ROW(A125)-1)/COLUMNS('Portfolio Weights Returns'!$B$9:$BJ$69))+1,MOD(ROW(A125)-1,COLUMNS('Portfolio Weights Returns'!$B$9:$BJ$69))+1)</f>
        <v>-1.1682645409971226E-3</v>
      </c>
      <c r="B126" cm="1">
        <f t="array" ref="B126">INDEX('Portfolio Weights Std'!$B$9:$BJ$69,INT((ROW(A125)-1)/COLUMNS('Portfolio Weights Std'!$B$9:$BJ$69))+1,MOD(ROW(A125)-1,COLUMNS('Portfolio Weights Std'!$B$9:$BJ$69))+1)</f>
        <v>2.9238176100195024E-2</v>
      </c>
    </row>
    <row r="127" spans="1:2" x14ac:dyDescent="0.25">
      <c r="A127" cm="1">
        <f t="array" ref="A127">INDEX('Portfolio Weights Returns'!$B$9:$BJ$69,
INT((ROW(A126)-1)/COLUMNS('Portfolio Weights Returns'!$B$9:$BJ$69))+1,MOD(ROW(A126)-1,COLUMNS('Portfolio Weights Returns'!$B$9:$BJ$69))+1)</f>
        <v>-1.1614833670304436E-3</v>
      </c>
      <c r="B127" cm="1">
        <f t="array" ref="B127">INDEX('Portfolio Weights Std'!$B$9:$BJ$69,INT((ROW(A126)-1)/COLUMNS('Portfolio Weights Std'!$B$9:$BJ$69))+1,MOD(ROW(A126)-1,COLUMNS('Portfolio Weights Std'!$B$9:$BJ$69))+1)</f>
        <v>2.9062875986075012E-2</v>
      </c>
    </row>
    <row r="128" spans="1:2" x14ac:dyDescent="0.25">
      <c r="A128" cm="1">
        <f t="array" ref="A128">INDEX('Portfolio Weights Returns'!$B$9:$BJ$69,
INT((ROW(A127)-1)/COLUMNS('Portfolio Weights Returns'!$B$9:$BJ$69))+1,MOD(ROW(A127)-1,COLUMNS('Portfolio Weights Returns'!$B$9:$BJ$69))+1)</f>
        <v>-1.1547021930637645E-3</v>
      </c>
      <c r="B128" cm="1">
        <f t="array" ref="B128">INDEX('Portfolio Weights Std'!$B$9:$BJ$69,INT((ROW(A127)-1)/COLUMNS('Portfolio Weights Std'!$B$9:$BJ$69))+1,MOD(ROW(A127)-1,COLUMNS('Portfolio Weights Std'!$B$9:$BJ$69))+1)</f>
        <v>2.8888114949831203E-2</v>
      </c>
    </row>
    <row r="129" spans="1:2" x14ac:dyDescent="0.25">
      <c r="A129" cm="1">
        <f t="array" ref="A129">INDEX('Portfolio Weights Returns'!$B$9:$BJ$69,
INT((ROW(A128)-1)/COLUMNS('Portfolio Weights Returns'!$B$9:$BJ$69))+1,MOD(ROW(A128)-1,COLUMNS('Portfolio Weights Returns'!$B$9:$BJ$69))+1)</f>
        <v>-1.1479210190970853E-3</v>
      </c>
      <c r="B129" cm="1">
        <f t="array" ref="B129">INDEX('Portfolio Weights Std'!$B$9:$BJ$69,INT((ROW(A128)-1)/COLUMNS('Portfolio Weights Std'!$B$9:$BJ$69))+1,MOD(ROW(A128)-1,COLUMNS('Portfolio Weights Std'!$B$9:$BJ$69))+1)</f>
        <v>2.8713902834412337E-2</v>
      </c>
    </row>
    <row r="130" spans="1:2" x14ac:dyDescent="0.25">
      <c r="A130" cm="1">
        <f t="array" ref="A130">INDEX('Portfolio Weights Returns'!$B$9:$BJ$69,
INT((ROW(A129)-1)/COLUMNS('Portfolio Weights Returns'!$B$9:$BJ$69))+1,MOD(ROW(A129)-1,COLUMNS('Portfolio Weights Returns'!$B$9:$BJ$69))+1)</f>
        <v>-1.1411398451304062E-3</v>
      </c>
      <c r="B130" cm="1">
        <f t="array" ref="B130">INDEX('Portfolio Weights Std'!$B$9:$BJ$69,INT((ROW(A129)-1)/COLUMNS('Portfolio Weights Std'!$B$9:$BJ$69))+1,MOD(ROW(A129)-1,COLUMNS('Portfolio Weights Std'!$B$9:$BJ$69))+1)</f>
        <v>2.8540249691798608E-2</v>
      </c>
    </row>
    <row r="131" spans="1:2" x14ac:dyDescent="0.25">
      <c r="A131" cm="1">
        <f t="array" ref="A131">INDEX('Portfolio Weights Returns'!$B$9:$BJ$69,
INT((ROW(A130)-1)/COLUMNS('Portfolio Weights Returns'!$B$9:$BJ$69))+1,MOD(ROW(A130)-1,COLUMNS('Portfolio Weights Returns'!$B$9:$BJ$69))+1)</f>
        <v>-1.1343586711637273E-3</v>
      </c>
      <c r="B131" cm="1">
        <f t="array" ref="B131">INDEX('Portfolio Weights Std'!$B$9:$BJ$69,INT((ROW(A130)-1)/COLUMNS('Portfolio Weights Std'!$B$9:$BJ$69))+1,MOD(ROW(A130)-1,COLUMNS('Portfolio Weights Std'!$B$9:$BJ$69))+1)</f>
        <v>2.8367165787457058E-2</v>
      </c>
    </row>
    <row r="132" spans="1:2" x14ac:dyDescent="0.25">
      <c r="A132" cm="1">
        <f t="array" ref="A132">INDEX('Portfolio Weights Returns'!$B$9:$BJ$69,
INT((ROW(A131)-1)/COLUMNS('Portfolio Weights Returns'!$B$9:$BJ$69))+1,MOD(ROW(A131)-1,COLUMNS('Portfolio Weights Returns'!$B$9:$BJ$69))+1)</f>
        <v>-1.1275774971970481E-3</v>
      </c>
      <c r="B132" cm="1">
        <f t="array" ref="B132">INDEX('Portfolio Weights Std'!$B$9:$BJ$69,INT((ROW(A131)-1)/COLUMNS('Portfolio Weights Std'!$B$9:$BJ$69))+1,MOD(ROW(A131)-1,COLUMNS('Portfolio Weights Std'!$B$9:$BJ$69))+1)</f>
        <v>2.8194661604861719E-2</v>
      </c>
    </row>
    <row r="133" spans="1:2" x14ac:dyDescent="0.25">
      <c r="A133" cm="1">
        <f t="array" ref="A133">INDEX('Portfolio Weights Returns'!$B$9:$BJ$69,
INT((ROW(A132)-1)/COLUMNS('Portfolio Weights Returns'!$B$9:$BJ$69))+1,MOD(ROW(A132)-1,COLUMNS('Portfolio Weights Returns'!$B$9:$BJ$69))+1)</f>
        <v>-1.120796323230369E-3</v>
      </c>
      <c r="B133" cm="1">
        <f t="array" ref="B133">INDEX('Portfolio Weights Std'!$B$9:$BJ$69,INT((ROW(A132)-1)/COLUMNS('Portfolio Weights Std'!$B$9:$BJ$69))+1,MOD(ROW(A132)-1,COLUMNS('Portfolio Weights Std'!$B$9:$BJ$69))+1)</f>
        <v>2.8022747850076711E-2</v>
      </c>
    </row>
    <row r="134" spans="1:2" x14ac:dyDescent="0.25">
      <c r="A134" cm="1">
        <f t="array" ref="A134">INDEX('Portfolio Weights Returns'!$B$9:$BJ$69,
INT((ROW(A133)-1)/COLUMNS('Portfolio Weights Returns'!$B$9:$BJ$69))+1,MOD(ROW(A133)-1,COLUMNS('Portfolio Weights Returns'!$B$9:$BJ$69))+1)</f>
        <v>-1.1140151492636898E-3</v>
      </c>
      <c r="B134" cm="1">
        <f t="array" ref="B134">INDEX('Portfolio Weights Std'!$B$9:$BJ$69,INT((ROW(A133)-1)/COLUMNS('Portfolio Weights Std'!$B$9:$BJ$69))+1,MOD(ROW(A133)-1,COLUMNS('Portfolio Weights Std'!$B$9:$BJ$69))+1)</f>
        <v>2.7851435456400096E-2</v>
      </c>
    </row>
    <row r="135" spans="1:2" x14ac:dyDescent="0.25">
      <c r="A135" cm="1">
        <f t="array" ref="A135">INDEX('Portfolio Weights Returns'!$B$9:$BJ$69,
INT((ROW(A134)-1)/COLUMNS('Portfolio Weights Returns'!$B$9:$BJ$69))+1,MOD(ROW(A134)-1,COLUMNS('Portfolio Weights Returns'!$B$9:$BJ$69))+1)</f>
        <v>-1.1072339752970107E-3</v>
      </c>
      <c r="B135" cm="1">
        <f t="array" ref="B135">INDEX('Portfolio Weights Std'!$B$9:$BJ$69,INT((ROW(A134)-1)/COLUMNS('Portfolio Weights Std'!$B$9:$BJ$69))+1,MOD(ROW(A134)-1,COLUMNS('Portfolio Weights Std'!$B$9:$BJ$69))+1)</f>
        <v>2.7680735589066047E-2</v>
      </c>
    </row>
    <row r="136" spans="1:2" x14ac:dyDescent="0.25">
      <c r="A136" cm="1">
        <f t="array" ref="A136">INDEX('Portfolio Weights Returns'!$B$9:$BJ$69,
INT((ROW(A135)-1)/COLUMNS('Portfolio Weights Returns'!$B$9:$BJ$69))+1,MOD(ROW(A135)-1,COLUMNS('Portfolio Weights Returns'!$B$9:$BJ$69))+1)</f>
        <v>-1.1004528013303318E-3</v>
      </c>
      <c r="B136" cm="1">
        <f t="array" ref="B136">INDEX('Portfolio Weights Std'!$B$9:$BJ$69,INT((ROW(A135)-1)/COLUMNS('Portfolio Weights Std'!$B$9:$BJ$69))+1,MOD(ROW(A135)-1,COLUMNS('Portfolio Weights Std'!$B$9:$BJ$69))+1)</f>
        <v>2.7510659650002593E-2</v>
      </c>
    </row>
    <row r="137" spans="1:2" x14ac:dyDescent="0.25">
      <c r="A137" cm="1">
        <f t="array" ref="A137">INDEX('Portfolio Weights Returns'!$B$9:$BJ$69,
INT((ROW(A136)-1)/COLUMNS('Portfolio Weights Returns'!$B$9:$BJ$69))+1,MOD(ROW(A136)-1,COLUMNS('Portfolio Weights Returns'!$B$9:$BJ$69))+1)</f>
        <v>-1.0936716273636526E-3</v>
      </c>
      <c r="B137" cm="1">
        <f t="array" ref="B137">INDEX('Portfolio Weights Std'!$B$9:$BJ$69,INT((ROW(A136)-1)/COLUMNS('Portfolio Weights Std'!$B$9:$BJ$69))+1,MOD(ROW(A136)-1,COLUMNS('Portfolio Weights Std'!$B$9:$BJ$69))+1)</f>
        <v>2.7341219282641729E-2</v>
      </c>
    </row>
    <row r="138" spans="1:2" x14ac:dyDescent="0.25">
      <c r="A138" cm="1">
        <f t="array" ref="A138">INDEX('Portfolio Weights Returns'!$B$9:$BJ$69,
INT((ROW(A137)-1)/COLUMNS('Portfolio Weights Returns'!$B$9:$BJ$69))+1,MOD(ROW(A137)-1,COLUMNS('Portfolio Weights Returns'!$B$9:$BJ$69))+1)</f>
        <v>-1.0868904533969735E-3</v>
      </c>
      <c r="B138" cm="1">
        <f t="array" ref="B138">INDEX('Portfolio Weights Std'!$B$9:$BJ$69,INT((ROW(A137)-1)/COLUMNS('Portfolio Weights Std'!$B$9:$BJ$69))+1,MOD(ROW(A137)-1,COLUMNS('Portfolio Weights Std'!$B$9:$BJ$69))+1)</f>
        <v>2.7172426376778448E-2</v>
      </c>
    </row>
    <row r="139" spans="1:2" x14ac:dyDescent="0.25">
      <c r="A139" cm="1">
        <f t="array" ref="A139">INDEX('Portfolio Weights Returns'!$B$9:$BJ$69,
INT((ROW(A138)-1)/COLUMNS('Portfolio Weights Returns'!$B$9:$BJ$69))+1,MOD(ROW(A138)-1,COLUMNS('Portfolio Weights Returns'!$B$9:$BJ$69))+1)</f>
        <v>-1.0801092794302941E-3</v>
      </c>
      <c r="B139" cm="1">
        <f t="array" ref="B139">INDEX('Portfolio Weights Std'!$B$9:$BJ$69,INT((ROW(A138)-1)/COLUMNS('Portfolio Weights Std'!$B$9:$BJ$69))+1,MOD(ROW(A138)-1,COLUMNS('Portfolio Weights Std'!$B$9:$BJ$69))+1)</f>
        <v>2.7004293073474742E-2</v>
      </c>
    </row>
    <row r="140" spans="1:2" x14ac:dyDescent="0.25">
      <c r="A140" cm="1">
        <f t="array" ref="A140">INDEX('Portfolio Weights Returns'!$B$9:$BJ$69,
INT((ROW(A139)-1)/COLUMNS('Portfolio Weights Returns'!$B$9:$BJ$69))+1,MOD(ROW(A139)-1,COLUMNS('Portfolio Weights Returns'!$B$9:$BJ$69))+1)</f>
        <v>-1.0733281054636154E-3</v>
      </c>
      <c r="B140" cm="1">
        <f t="array" ref="B140">INDEX('Portfolio Weights Std'!$B$9:$BJ$69,INT((ROW(A139)-1)/COLUMNS('Portfolio Weights Std'!$B$9:$BJ$69))+1,MOD(ROW(A139)-1,COLUMNS('Portfolio Weights Std'!$B$9:$BJ$69))+1)</f>
        <v>2.6836831770004323E-2</v>
      </c>
    </row>
    <row r="141" spans="1:2" x14ac:dyDescent="0.25">
      <c r="A141" cm="1">
        <f t="array" ref="A141">INDEX('Portfolio Weights Returns'!$B$9:$BJ$69,
INT((ROW(A140)-1)/COLUMNS('Portfolio Weights Returns'!$B$9:$BJ$69))+1,MOD(ROW(A140)-1,COLUMNS('Portfolio Weights Returns'!$B$9:$BJ$69))+1)</f>
        <v>-1.066546931496936E-3</v>
      </c>
      <c r="B141" cm="1">
        <f t="array" ref="B141">INDEX('Portfolio Weights Std'!$B$9:$BJ$69,INT((ROW(A140)-1)/COLUMNS('Portfolio Weights Std'!$B$9:$BJ$69))+1,MOD(ROW(A140)-1,COLUMNS('Portfolio Weights Std'!$B$9:$BJ$69))+1)</f>
        <v>2.667005512483309E-2</v>
      </c>
    </row>
    <row r="142" spans="1:2" x14ac:dyDescent="0.25">
      <c r="A142" cm="1">
        <f t="array" ref="A142">INDEX('Portfolio Weights Returns'!$B$9:$BJ$69,
INT((ROW(A141)-1)/COLUMNS('Portfolio Weights Returns'!$B$9:$BJ$69))+1,MOD(ROW(A141)-1,COLUMNS('Portfolio Weights Returns'!$B$9:$BJ$69))+1)</f>
        <v>-1.0597657575302571E-3</v>
      </c>
      <c r="B142" cm="1">
        <f t="array" ref="B142">INDEX('Portfolio Weights Std'!$B$9:$BJ$69,INT((ROW(A141)-1)/COLUMNS('Portfolio Weights Std'!$B$9:$BJ$69))+1,MOD(ROW(A141)-1,COLUMNS('Portfolio Weights Std'!$B$9:$BJ$69))+1)</f>
        <v>2.6503976062630392E-2</v>
      </c>
    </row>
    <row r="143" spans="1:2" x14ac:dyDescent="0.25">
      <c r="A143" cm="1">
        <f t="array" ref="A143">INDEX('Portfolio Weights Returns'!$B$9:$BJ$69,
INT((ROW(A142)-1)/COLUMNS('Portfolio Weights Returns'!$B$9:$BJ$69))+1,MOD(ROW(A142)-1,COLUMNS('Portfolio Weights Returns'!$B$9:$BJ$69))+1)</f>
        <v>-1.052984583563578E-3</v>
      </c>
      <c r="B143" cm="1">
        <f t="array" ref="B143">INDEX('Portfolio Weights Std'!$B$9:$BJ$69,INT((ROW(A142)-1)/COLUMNS('Portfolio Weights Std'!$B$9:$BJ$69))+1,MOD(ROW(A142)-1,COLUMNS('Portfolio Weights Std'!$B$9:$BJ$69))+1)</f>
        <v>2.6338607779304881E-2</v>
      </c>
    </row>
    <row r="144" spans="1:2" x14ac:dyDescent="0.25">
      <c r="A144" cm="1">
        <f t="array" ref="A144">INDEX('Portfolio Weights Returns'!$B$9:$BJ$69,
INT((ROW(A143)-1)/COLUMNS('Portfolio Weights Returns'!$B$9:$BJ$69))+1,MOD(ROW(A143)-1,COLUMNS('Portfolio Weights Returns'!$B$9:$BJ$69))+1)</f>
        <v>-1.0462034095968988E-3</v>
      </c>
      <c r="B144" cm="1">
        <f t="array" ref="B144">INDEX('Portfolio Weights Std'!$B$9:$BJ$69,INT((ROW(A143)-1)/COLUMNS('Portfolio Weights Std'!$B$9:$BJ$69))+1,MOD(ROW(A143)-1,COLUMNS('Portfolio Weights Std'!$B$9:$BJ$69))+1)</f>
        <v>2.6173963747059031E-2</v>
      </c>
    </row>
    <row r="145" spans="1:2" x14ac:dyDescent="0.25">
      <c r="A145" cm="1">
        <f t="array" ref="A145">INDEX('Portfolio Weights Returns'!$B$9:$BJ$69,
INT((ROW(A144)-1)/COLUMNS('Portfolio Weights Returns'!$B$9:$BJ$69))+1,MOD(ROW(A144)-1,COLUMNS('Portfolio Weights Returns'!$B$9:$BJ$69))+1)</f>
        <v>-1.0394222356302199E-3</v>
      </c>
      <c r="B145" cm="1">
        <f t="array" ref="B145">INDEX('Portfolio Weights Std'!$B$9:$BJ$69,INT((ROW(A144)-1)/COLUMNS('Portfolio Weights Std'!$B$9:$BJ$69))+1,MOD(ROW(A144)-1,COLUMNS('Portfolio Weights Std'!$B$9:$BJ$69))+1)</f>
        <v>2.601005771945512E-2</v>
      </c>
    </row>
    <row r="146" spans="1:2" x14ac:dyDescent="0.25">
      <c r="A146" cm="1">
        <f t="array" ref="A146">INDEX('Portfolio Weights Returns'!$B$9:$BJ$69,
INT((ROW(A145)-1)/COLUMNS('Portfolio Weights Returns'!$B$9:$BJ$69))+1,MOD(ROW(A145)-1,COLUMNS('Portfolio Weights Returns'!$B$9:$BJ$69))+1)</f>
        <v>-1.0326410616635408E-3</v>
      </c>
      <c r="B146" cm="1">
        <f t="array" ref="B146">INDEX('Portfolio Weights Std'!$B$9:$BJ$69,INT((ROW(A145)-1)/COLUMNS('Portfolio Weights Std'!$B$9:$BJ$69))+1,MOD(ROW(A145)-1,COLUMNS('Portfolio Weights Std'!$B$9:$BJ$69))+1)</f>
        <v>2.5846903736485332E-2</v>
      </c>
    </row>
    <row r="147" spans="1:2" x14ac:dyDescent="0.25">
      <c r="A147" cm="1">
        <f t="array" ref="A147">INDEX('Portfolio Weights Returns'!$B$9:$BJ$69,
INT((ROW(A146)-1)/COLUMNS('Portfolio Weights Returns'!$B$9:$BJ$69))+1,MOD(ROW(A146)-1,COLUMNS('Portfolio Weights Returns'!$B$9:$BJ$69))+1)</f>
        <v>-1.0258598876968616E-3</v>
      </c>
      <c r="B147" cm="1">
        <f t="array" ref="B147">INDEX('Portfolio Weights Std'!$B$9:$BJ$69,INT((ROW(A146)-1)/COLUMNS('Portfolio Weights Std'!$B$9:$BJ$69))+1,MOD(ROW(A146)-1,COLUMNS('Portfolio Weights Std'!$B$9:$BJ$69))+1)</f>
        <v>2.5684516129637673E-2</v>
      </c>
    </row>
    <row r="148" spans="1:2" x14ac:dyDescent="0.25">
      <c r="A148" cm="1">
        <f t="array" ref="A148">INDEX('Portfolio Weights Returns'!$B$9:$BJ$69,
INT((ROW(A147)-1)/COLUMNS('Portfolio Weights Returns'!$B$9:$BJ$69))+1,MOD(ROW(A147)-1,COLUMNS('Portfolio Weights Returns'!$B$9:$BJ$69))+1)</f>
        <v>-1.0190787137301825E-3</v>
      </c>
      <c r="B148" cm="1">
        <f t="array" ref="B148">INDEX('Portfolio Weights Std'!$B$9:$BJ$69,INT((ROW(A147)-1)/COLUMNS('Portfolio Weights Std'!$B$9:$BJ$69))+1,MOD(ROW(A147)-1,COLUMNS('Portfolio Weights Std'!$B$9:$BJ$69))+1)</f>
        <v>2.5522909526948967E-2</v>
      </c>
    </row>
    <row r="149" spans="1:2" x14ac:dyDescent="0.25">
      <c r="A149" cm="1">
        <f t="array" ref="A149">INDEX('Portfolio Weights Returns'!$B$9:$BJ$69,
INT((ROW(A148)-1)/COLUMNS('Portfolio Weights Returns'!$B$9:$BJ$69))+1,MOD(ROW(A148)-1,COLUMNS('Portfolio Weights Returns'!$B$9:$BJ$69))+1)</f>
        <v>-1.0122975397635035E-3</v>
      </c>
      <c r="B149" cm="1">
        <f t="array" ref="B149">INDEX('Portfolio Weights Std'!$B$9:$BJ$69,INT((ROW(A148)-1)/COLUMNS('Portfolio Weights Std'!$B$9:$BJ$69))+1,MOD(ROW(A148)-1,COLUMNS('Portfolio Weights Std'!$B$9:$BJ$69))+1)</f>
        <v>2.5362098858035243E-2</v>
      </c>
    </row>
    <row r="150" spans="1:2" x14ac:dyDescent="0.25">
      <c r="A150" cm="1">
        <f t="array" ref="A150">INDEX('Portfolio Weights Returns'!$B$9:$BJ$69,
INT((ROW(A149)-1)/COLUMNS('Portfolio Weights Returns'!$B$9:$BJ$69))+1,MOD(ROW(A149)-1,COLUMNS('Portfolio Weights Returns'!$B$9:$BJ$69))+1)</f>
        <v>-1.0055163657968244E-3</v>
      </c>
      <c r="B150" cm="1">
        <f t="array" ref="B150">INDEX('Portfolio Weights Std'!$B$9:$BJ$69,INT((ROW(A149)-1)/COLUMNS('Portfolio Weights Std'!$B$9:$BJ$69))+1,MOD(ROW(A149)-1,COLUMNS('Portfolio Weights Std'!$B$9:$BJ$69))+1)</f>
        <v>2.5202099359089292E-2</v>
      </c>
    </row>
    <row r="151" spans="1:2" x14ac:dyDescent="0.25">
      <c r="A151" cm="1">
        <f t="array" ref="A151">INDEX('Portfolio Weights Returns'!$B$9:$BJ$69,
INT((ROW(A150)-1)/COLUMNS('Portfolio Weights Returns'!$B$9:$BJ$69))+1,MOD(ROW(A150)-1,COLUMNS('Portfolio Weights Returns'!$B$9:$BJ$69))+1)</f>
        <v>-9.9873519183014503E-4</v>
      </c>
      <c r="B151" cm="1">
        <f t="array" ref="B151">INDEX('Portfolio Weights Std'!$B$9:$BJ$69,INT((ROW(A150)-1)/COLUMNS('Portfolio Weights Std'!$B$9:$BJ$69))+1,MOD(ROW(A150)-1,COLUMNS('Portfolio Weights Std'!$B$9:$BJ$69))+1)</f>
        <v>2.5042926577834128E-2</v>
      </c>
    </row>
    <row r="152" spans="1:2" x14ac:dyDescent="0.25">
      <c r="A152" cm="1">
        <f t="array" ref="A152">INDEX('Portfolio Weights Returns'!$B$9:$BJ$69,
INT((ROW(A151)-1)/COLUMNS('Portfolio Weights Returns'!$B$9:$BJ$69))+1,MOD(ROW(A151)-1,COLUMNS('Portfolio Weights Returns'!$B$9:$BJ$69))+1)</f>
        <v>-9.9195401786346588E-4</v>
      </c>
      <c r="B152" cm="1">
        <f t="array" ref="B152">INDEX('Portfolio Weights Std'!$B$9:$BJ$69,INT((ROW(A151)-1)/COLUMNS('Portfolio Weights Std'!$B$9:$BJ$69))+1,MOD(ROW(A151)-1,COLUMNS('Portfolio Weights Std'!$B$9:$BJ$69))+1)</f>
        <v>2.4884596378420512E-2</v>
      </c>
    </row>
    <row r="153" spans="1:2" x14ac:dyDescent="0.25">
      <c r="A153" cm="1">
        <f t="array" ref="A153">INDEX('Portfolio Weights Returns'!$B$9:$BJ$69,
INT((ROW(A152)-1)/COLUMNS('Portfolio Weights Returns'!$B$9:$BJ$69))+1,MOD(ROW(A152)-1,COLUMNS('Portfolio Weights Returns'!$B$9:$BJ$69))+1)</f>
        <v>-9.8517284389678674E-4</v>
      </c>
      <c r="B153" cm="1">
        <f t="array" ref="B153">INDEX('Portfolio Weights Std'!$B$9:$BJ$69,INT((ROW(A152)-1)/COLUMNS('Portfolio Weights Std'!$B$9:$BJ$69))+1,MOD(ROW(A152)-1,COLUMNS('Portfolio Weights Std'!$B$9:$BJ$69))+1)</f>
        <v>2.4727124946255546E-2</v>
      </c>
    </row>
    <row r="154" spans="1:2" x14ac:dyDescent="0.25">
      <c r="A154" cm="1">
        <f t="array" ref="A154">INDEX('Portfolio Weights Returns'!$B$9:$BJ$69,
INT((ROW(A153)-1)/COLUMNS('Portfolio Weights Returns'!$B$9:$BJ$69))+1,MOD(ROW(A153)-1,COLUMNS('Portfolio Weights Returns'!$B$9:$BJ$69))+1)</f>
        <v>-9.7839166993010781E-4</v>
      </c>
      <c r="B154" cm="1">
        <f t="array" ref="B154">INDEX('Portfolio Weights Std'!$B$9:$BJ$69,INT((ROW(A153)-1)/COLUMNS('Portfolio Weights Std'!$B$9:$BJ$69))+1,MOD(ROW(A153)-1,COLUMNS('Portfolio Weights Std'!$B$9:$BJ$69))+1)</f>
        <v>2.4570528792748708E-2</v>
      </c>
    </row>
    <row r="155" spans="1:2" x14ac:dyDescent="0.25">
      <c r="A155" cm="1">
        <f t="array" ref="A155">INDEX('Portfolio Weights Returns'!$B$9:$BJ$69,
INT((ROW(A154)-1)/COLUMNS('Portfolio Weights Returns'!$B$9:$BJ$69))+1,MOD(ROW(A154)-1,COLUMNS('Portfolio Weights Returns'!$B$9:$BJ$69))+1)</f>
        <v>-9.7161049596342867E-4</v>
      </c>
      <c r="B155" cm="1">
        <f t="array" ref="B155">INDEX('Portfolio Weights Std'!$B$9:$BJ$69,INT((ROW(A154)-1)/COLUMNS('Portfolio Weights Std'!$B$9:$BJ$69))+1,MOD(ROW(A154)-1,COLUMNS('Portfolio Weights Std'!$B$9:$BJ$69))+1)</f>
        <v>2.4414824759960478E-2</v>
      </c>
    </row>
    <row r="156" spans="1:2" x14ac:dyDescent="0.25">
      <c r="A156" cm="1">
        <f t="array" ref="A156">INDEX('Portfolio Weights Returns'!$B$9:$BJ$69,
INT((ROW(A155)-1)/COLUMNS('Portfolio Weights Returns'!$B$9:$BJ$69))+1,MOD(ROW(A155)-1,COLUMNS('Portfolio Weights Returns'!$B$9:$BJ$69))+1)</f>
        <v>-9.6482932199674952E-4</v>
      </c>
      <c r="B156" cm="1">
        <f t="array" ref="B156">INDEX('Portfolio Weights Std'!$B$9:$BJ$69,INT((ROW(A155)-1)/COLUMNS('Portfolio Weights Std'!$B$9:$BJ$69))+1,MOD(ROW(A155)-1,COLUMNS('Portfolio Weights Std'!$B$9:$BJ$69))+1)</f>
        <v>2.4260030025137873E-2</v>
      </c>
    </row>
    <row r="157" spans="1:2" x14ac:dyDescent="0.25">
      <c r="A157" cm="1">
        <f t="array" ref="A157">INDEX('Portfolio Weights Returns'!$B$9:$BJ$69,
INT((ROW(A156)-1)/COLUMNS('Portfolio Weights Returns'!$B$9:$BJ$69))+1,MOD(ROW(A156)-1,COLUMNS('Portfolio Weights Returns'!$B$9:$BJ$69))+1)</f>
        <v>-9.5804814803007049E-4</v>
      </c>
      <c r="B157" cm="1">
        <f t="array" ref="B157">INDEX('Portfolio Weights Std'!$B$9:$BJ$69,INT((ROW(A156)-1)/COLUMNS('Portfolio Weights Std'!$B$9:$BJ$69))+1,MOD(ROW(A156)-1,COLUMNS('Portfolio Weights Std'!$B$9:$BJ$69))+1)</f>
        <v>2.4106162105120107E-2</v>
      </c>
    </row>
    <row r="158" spans="1:2" x14ac:dyDescent="0.25">
      <c r="A158" cm="1">
        <f t="array" ref="A158">INDEX('Portfolio Weights Returns'!$B$9:$BJ$69,
INT((ROW(A157)-1)/COLUMNS('Portfolio Weights Returns'!$B$9:$BJ$69))+1,MOD(ROW(A157)-1,COLUMNS('Portfolio Weights Returns'!$B$9:$BJ$69))+1)</f>
        <v>-9.5126697406339134E-4</v>
      </c>
      <c r="B158" cm="1">
        <f t="array" ref="B158">INDEX('Portfolio Weights Std'!$B$9:$BJ$69,INT((ROW(A157)-1)/COLUMNS('Portfolio Weights Std'!$B$9:$BJ$69))+1,MOD(ROW(A157)-1,COLUMNS('Portfolio Weights Std'!$B$9:$BJ$69))+1)</f>
        <v>2.3953238860596551E-2</v>
      </c>
    </row>
    <row r="159" spans="1:2" x14ac:dyDescent="0.25">
      <c r="A159" cm="1">
        <f t="array" ref="A159">INDEX('Portfolio Weights Returns'!$B$9:$BJ$69,
INT((ROW(A158)-1)/COLUMNS('Portfolio Weights Returns'!$B$9:$BJ$69))+1,MOD(ROW(A158)-1,COLUMNS('Portfolio Weights Returns'!$B$9:$BJ$69))+1)</f>
        <v>-9.4448580009671231E-4</v>
      </c>
      <c r="B159" cm="1">
        <f t="array" ref="B159">INDEX('Portfolio Weights Std'!$B$9:$BJ$69,INT((ROW(A158)-1)/COLUMNS('Portfolio Weights Std'!$B$9:$BJ$69))+1,MOD(ROW(A158)-1,COLUMNS('Portfolio Weights Std'!$B$9:$BJ$69))+1)</f>
        <v>2.3801278500197889E-2</v>
      </c>
    </row>
    <row r="160" spans="1:2" x14ac:dyDescent="0.25">
      <c r="A160" cm="1">
        <f t="array" ref="A160">INDEX('Portfolio Weights Returns'!$B$9:$BJ$69,
INT((ROW(A159)-1)/COLUMNS('Portfolio Weights Returns'!$B$9:$BJ$69))+1,MOD(ROW(A159)-1,COLUMNS('Portfolio Weights Returns'!$B$9:$BJ$69))+1)</f>
        <v>-9.3770462613003316E-4</v>
      </c>
      <c r="B160" cm="1">
        <f t="array" ref="B160">INDEX('Portfolio Weights Std'!$B$9:$BJ$69,INT((ROW(A159)-1)/COLUMNS('Portfolio Weights Std'!$B$9:$BJ$69))+1,MOD(ROW(A159)-1,COLUMNS('Portfolio Weights Std'!$B$9:$BJ$69))+1)</f>
        <v>2.3650299584400573E-2</v>
      </c>
    </row>
    <row r="161" spans="1:2" x14ac:dyDescent="0.25">
      <c r="A161" cm="1">
        <f t="array" ref="A161">INDEX('Portfolio Weights Returns'!$B$9:$BJ$69,
INT((ROW(A160)-1)/COLUMNS('Portfolio Weights Returns'!$B$9:$BJ$69))+1,MOD(ROW(A160)-1,COLUMNS('Portfolio Weights Returns'!$B$9:$BJ$69))+1)</f>
        <v>-9.3092345216335402E-4</v>
      </c>
      <c r="B161" cm="1">
        <f t="array" ref="B161">INDEX('Portfolio Weights Std'!$B$9:$BJ$69,INT((ROW(A160)-1)/COLUMNS('Portfolio Weights Std'!$B$9:$BJ$69))+1,MOD(ROW(A160)-1,COLUMNS('Portfolio Weights Std'!$B$9:$BJ$69))+1)</f>
        <v>2.3500321029222969E-2</v>
      </c>
    </row>
    <row r="162" spans="1:2" x14ac:dyDescent="0.25">
      <c r="A162" cm="1">
        <f t="array" ref="A162">INDEX('Portfolio Weights Returns'!$B$9:$BJ$69,
INT((ROW(A161)-1)/COLUMNS('Portfolio Weights Returns'!$B$9:$BJ$69))+1,MOD(ROW(A161)-1,COLUMNS('Portfolio Weights Returns'!$B$9:$BJ$69))+1)</f>
        <v>-9.2414227819667509E-4</v>
      </c>
      <c r="B162" cm="1">
        <f t="array" ref="B162">INDEX('Portfolio Weights Std'!$B$9:$BJ$69,INT((ROW(A161)-1)/COLUMNS('Portfolio Weights Std'!$B$9:$BJ$69))+1,MOD(ROW(A161)-1,COLUMNS('Portfolio Weights Std'!$B$9:$BJ$69))+1)</f>
        <v>2.3351362109690878E-2</v>
      </c>
    </row>
    <row r="163" spans="1:2" x14ac:dyDescent="0.25">
      <c r="A163" cm="1">
        <f t="array" ref="A163">INDEX('Portfolio Weights Returns'!$B$9:$BJ$69,
INT((ROW(A162)-1)/COLUMNS('Portfolio Weights Returns'!$B$9:$BJ$69))+1,MOD(ROW(A162)-1,COLUMNS('Portfolio Weights Returns'!$B$9:$BJ$69))+1)</f>
        <v>-9.1736110422999573E-4</v>
      </c>
      <c r="B163" cm="1">
        <f t="array" ref="B163">INDEX('Portfolio Weights Std'!$B$9:$BJ$69,INT((ROW(A162)-1)/COLUMNS('Portfolio Weights Std'!$B$9:$BJ$69))+1,MOD(ROW(A162)-1,COLUMNS('Portfolio Weights Std'!$B$9:$BJ$69))+1)</f>
        <v>2.3203442463048455E-2</v>
      </c>
    </row>
    <row r="164" spans="1:2" x14ac:dyDescent="0.25">
      <c r="A164" cm="1">
        <f t="array" ref="A164">INDEX('Portfolio Weights Returns'!$B$9:$BJ$69,
INT((ROW(A163)-1)/COLUMNS('Portfolio Weights Returns'!$B$9:$BJ$69))+1,MOD(ROW(A163)-1,COLUMNS('Portfolio Weights Returns'!$B$9:$BJ$69))+1)</f>
        <v>-9.1057993026331691E-4</v>
      </c>
      <c r="B164" cm="1">
        <f t="array" ref="B164">INDEX('Portfolio Weights Std'!$B$9:$BJ$69,INT((ROW(A163)-1)/COLUMNS('Portfolio Weights Std'!$B$9:$BJ$69))+1,MOD(ROW(A163)-1,COLUMNS('Portfolio Weights Std'!$B$9:$BJ$69))+1)</f>
        <v>2.3056582091689558E-2</v>
      </c>
    </row>
    <row r="165" spans="1:2" x14ac:dyDescent="0.25">
      <c r="A165" cm="1">
        <f t="array" ref="A165">INDEX('Portfolio Weights Returns'!$B$9:$BJ$69,
INT((ROW(A164)-1)/COLUMNS('Portfolio Weights Returns'!$B$9:$BJ$69))+1,MOD(ROW(A164)-1,COLUMNS('Portfolio Weights Returns'!$B$9:$BJ$69))+1)</f>
        <v>-9.0379875629663755E-4</v>
      </c>
      <c r="B165" cm="1">
        <f t="array" ref="B165">INDEX('Portfolio Weights Std'!$B$9:$BJ$69,INT((ROW(A164)-1)/COLUMNS('Portfolio Weights Std'!$B$9:$BJ$69))+1,MOD(ROW(A164)-1,COLUMNS('Portfolio Weights Std'!$B$9:$BJ$69))+1)</f>
        <v>2.2910801365783013E-2</v>
      </c>
    </row>
    <row r="166" spans="1:2" x14ac:dyDescent="0.25">
      <c r="A166" cm="1">
        <f t="array" ref="A166">INDEX('Portfolio Weights Returns'!$B$9:$BJ$69,
INT((ROW(A165)-1)/COLUMNS('Portfolio Weights Returns'!$B$9:$BJ$69))+1,MOD(ROW(A165)-1,COLUMNS('Portfolio Weights Returns'!$B$9:$BJ$69))+1)</f>
        <v>-8.9701758232995862E-4</v>
      </c>
      <c r="B166" cm="1">
        <f t="array" ref="B166">INDEX('Portfolio Weights Std'!$B$9:$BJ$69,INT((ROW(A165)-1)/COLUMNS('Portfolio Weights Std'!$B$9:$BJ$69))+1,MOD(ROW(A165)-1,COLUMNS('Portfolio Weights Std'!$B$9:$BJ$69))+1)</f>
        <v>2.2766121025564193E-2</v>
      </c>
    </row>
    <row r="167" spans="1:2" x14ac:dyDescent="0.25">
      <c r="A167" cm="1">
        <f t="array" ref="A167">INDEX('Portfolio Weights Returns'!$B$9:$BJ$69,
INT((ROW(A166)-1)/COLUMNS('Portfolio Weights Returns'!$B$9:$BJ$69))+1,MOD(ROW(A166)-1,COLUMNS('Portfolio Weights Returns'!$B$9:$BJ$69))+1)</f>
        <v>-8.9023640836327937E-4</v>
      </c>
      <c r="B167" cm="1">
        <f t="array" ref="B167">INDEX('Portfolio Weights Std'!$B$9:$BJ$69,INT((ROW(A166)-1)/COLUMNS('Portfolio Weights Std'!$B$9:$BJ$69))+1,MOD(ROW(A166)-1,COLUMNS('Portfolio Weights Std'!$B$9:$BJ$69))+1)</f>
        <v>2.2622562183263705E-2</v>
      </c>
    </row>
    <row r="168" spans="1:2" x14ac:dyDescent="0.25">
      <c r="A168" cm="1">
        <f t="array" ref="A168">INDEX('Portfolio Weights Returns'!$B$9:$BJ$69,
INT((ROW(A167)-1)/COLUMNS('Portfolio Weights Returns'!$B$9:$BJ$69))+1,MOD(ROW(A167)-1,COLUMNS('Portfolio Weights Returns'!$B$9:$BJ$69))+1)</f>
        <v>-8.8345523439660044E-4</v>
      </c>
      <c r="B168" cm="1">
        <f t="array" ref="B168">INDEX('Portfolio Weights Std'!$B$9:$BJ$69,INT((ROW(A167)-1)/COLUMNS('Portfolio Weights Std'!$B$9:$BJ$69))+1,MOD(ROW(A167)-1,COLUMNS('Portfolio Weights Std'!$B$9:$BJ$69))+1)</f>
        <v>2.2480146324642913E-2</v>
      </c>
    </row>
    <row r="169" spans="1:2" x14ac:dyDescent="0.25">
      <c r="A169" cm="1">
        <f t="array" ref="A169">INDEX('Portfolio Weights Returns'!$B$9:$BJ$69,
INT((ROW(A168)-1)/COLUMNS('Portfolio Weights Returns'!$B$9:$BJ$69))+1,MOD(ROW(A168)-1,COLUMNS('Portfolio Weights Returns'!$B$9:$BJ$69))+1)</f>
        <v>-8.7667406042992108E-4</v>
      </c>
      <c r="B169" cm="1">
        <f t="array" ref="B169">INDEX('Portfolio Weights Std'!$B$9:$BJ$69,INT((ROW(A168)-1)/COLUMNS('Portfolio Weights Std'!$B$9:$BJ$69))+1,MOD(ROW(A168)-1,COLUMNS('Portfolio Weights Std'!$B$9:$BJ$69))+1)</f>
        <v>2.2338895310104415E-2</v>
      </c>
    </row>
    <row r="170" spans="1:2" x14ac:dyDescent="0.25">
      <c r="A170" cm="1">
        <f t="array" ref="A170">INDEX('Portfolio Weights Returns'!$B$9:$BJ$69,
INT((ROW(A169)-1)/COLUMNS('Portfolio Weights Returns'!$B$9:$BJ$69))+1,MOD(ROW(A169)-1,COLUMNS('Portfolio Weights Returns'!$B$9:$BJ$69))+1)</f>
        <v>-8.6989288646324226E-4</v>
      </c>
      <c r="B170" cm="1">
        <f t="array" ref="B170">INDEX('Portfolio Weights Std'!$B$9:$BJ$69,INT((ROW(A169)-1)/COLUMNS('Portfolio Weights Std'!$B$9:$BJ$69))+1,MOD(ROW(A169)-1,COLUMNS('Portfolio Weights Std'!$B$9:$BJ$69))+1)</f>
        <v>2.2198831375344515E-2</v>
      </c>
    </row>
    <row r="171" spans="1:2" x14ac:dyDescent="0.25">
      <c r="A171" cm="1">
        <f t="array" ref="A171">INDEX('Portfolio Weights Returns'!$B$9:$BJ$69,
INT((ROW(A170)-1)/COLUMNS('Portfolio Weights Returns'!$B$9:$BJ$69))+1,MOD(ROW(A170)-1,COLUMNS('Portfolio Weights Returns'!$B$9:$BJ$69))+1)</f>
        <v>-8.631117124965629E-4</v>
      </c>
      <c r="B171" cm="1">
        <f t="array" ref="B171">INDEX('Portfolio Weights Std'!$B$9:$BJ$69,INT((ROW(A170)-1)/COLUMNS('Portfolio Weights Std'!$B$9:$BJ$69))+1,MOD(ROW(A170)-1,COLUMNS('Portfolio Weights Std'!$B$9:$BJ$69))+1)</f>
        <v>2.2059977131513097E-2</v>
      </c>
    </row>
    <row r="172" spans="1:2" x14ac:dyDescent="0.25">
      <c r="A172" cm="1">
        <f t="array" ref="A172">INDEX('Portfolio Weights Returns'!$B$9:$BJ$69,
INT((ROW(A171)-1)/COLUMNS('Portfolio Weights Returns'!$B$9:$BJ$69))+1,MOD(ROW(A171)-1,COLUMNS('Portfolio Weights Returns'!$B$9:$BJ$69))+1)</f>
        <v>-8.5633053852988386E-4</v>
      </c>
      <c r="B172" cm="1">
        <f t="array" ref="B172">INDEX('Portfolio Weights Std'!$B$9:$BJ$69,INT((ROW(A171)-1)/COLUMNS('Portfolio Weights Std'!$B$9:$BJ$69))+1,MOD(ROW(A171)-1,COLUMNS('Portfolio Weights Std'!$B$9:$BJ$69))+1)</f>
        <v>2.1922355564845394E-2</v>
      </c>
    </row>
    <row r="173" spans="1:2" x14ac:dyDescent="0.25">
      <c r="A173" cm="1">
        <f t="array" ref="A173">INDEX('Portfolio Weights Returns'!$B$9:$BJ$69,
INT((ROW(A172)-1)/COLUMNS('Portfolio Weights Returns'!$B$9:$BJ$69))+1,MOD(ROW(A172)-1,COLUMNS('Portfolio Weights Returns'!$B$9:$BJ$69))+1)</f>
        <v>-8.4954936456320483E-4</v>
      </c>
      <c r="B173" cm="1">
        <f t="array" ref="B173">INDEX('Portfolio Weights Std'!$B$9:$BJ$69,INT((ROW(A172)-1)/COLUMNS('Portfolio Weights Std'!$B$9:$BJ$69))+1,MOD(ROW(A172)-1,COLUMNS('Portfolio Weights Std'!$B$9:$BJ$69))+1)</f>
        <v>2.1785990035728477E-2</v>
      </c>
    </row>
    <row r="174" spans="1:2" x14ac:dyDescent="0.25">
      <c r="A174" cm="1">
        <f t="array" ref="A174">INDEX('Portfolio Weights Returns'!$B$9:$BJ$69,
INT((ROW(A173)-1)/COLUMNS('Portfolio Weights Returns'!$B$9:$BJ$69))+1,MOD(ROW(A173)-1,COLUMNS('Portfolio Weights Returns'!$B$9:$BJ$69))+1)</f>
        <v>-8.4276819059652568E-4</v>
      </c>
      <c r="B174" cm="1">
        <f t="array" ref="B174">INDEX('Portfolio Weights Std'!$B$9:$BJ$69,INT((ROW(A173)-1)/COLUMNS('Portfolio Weights Std'!$B$9:$BJ$69))+1,MOD(ROW(A173)-1,COLUMNS('Portfolio Weights Std'!$B$9:$BJ$69))+1)</f>
        <v>2.1650904277164477E-2</v>
      </c>
    </row>
    <row r="175" spans="1:2" x14ac:dyDescent="0.25">
      <c r="A175" cm="1">
        <f t="array" ref="A175">INDEX('Portfolio Weights Returns'!$B$9:$BJ$69,
INT((ROW(A174)-1)/COLUMNS('Portfolio Weights Returns'!$B$9:$BJ$69))+1,MOD(ROW(A174)-1,COLUMNS('Portfolio Weights Returns'!$B$9:$BJ$69))+1)</f>
        <v>-8.3598701662984665E-4</v>
      </c>
      <c r="B175" cm="1">
        <f t="array" ref="B175">INDEX('Portfolio Weights Std'!$B$9:$BJ$69,INT((ROW(A174)-1)/COLUMNS('Portfolio Weights Std'!$B$9:$BJ$69))+1,MOD(ROW(A174)-1,COLUMNS('Portfolio Weights Std'!$B$9:$BJ$69))+1)</f>
        <v>2.151712239259106E-2</v>
      </c>
    </row>
    <row r="176" spans="1:2" x14ac:dyDescent="0.25">
      <c r="A176" cm="1">
        <f t="array" ref="A176">INDEX('Portfolio Weights Returns'!$B$9:$BJ$69,
INT((ROW(A175)-1)/COLUMNS('Portfolio Weights Returns'!$B$9:$BJ$69))+1,MOD(ROW(A175)-1,COLUMNS('Portfolio Weights Returns'!$B$9:$BJ$69))+1)</f>
        <v>-8.292058426631675E-4</v>
      </c>
      <c r="B176" cm="1">
        <f t="array" ref="B176">INDEX('Portfolio Weights Std'!$B$9:$BJ$69,INT((ROW(A175)-1)/COLUMNS('Portfolio Weights Std'!$B$9:$BJ$69))+1,MOD(ROW(A175)-1,COLUMNS('Portfolio Weights Std'!$B$9:$BJ$69))+1)</f>
        <v>2.1384668853018839E-2</v>
      </c>
    </row>
    <row r="177" spans="1:2" x14ac:dyDescent="0.25">
      <c r="A177" cm="1">
        <f t="array" ref="A177">INDEX('Portfolio Weights Returns'!$B$9:$BJ$69,
INT((ROW(A176)-1)/COLUMNS('Portfolio Weights Returns'!$B$9:$BJ$69))+1,MOD(ROW(A176)-1,COLUMNS('Portfolio Weights Returns'!$B$9:$BJ$69))+1)</f>
        <v>-8.2242466869648847E-4</v>
      </c>
      <c r="B177" cm="1">
        <f t="array" ref="B177">INDEX('Portfolio Weights Std'!$B$9:$BJ$69,INT((ROW(A176)-1)/COLUMNS('Portfolio Weights Std'!$B$9:$BJ$69))+1,MOD(ROW(A176)-1,COLUMNS('Portfolio Weights Std'!$B$9:$BJ$69))+1)</f>
        <v>2.1253568493444359E-2</v>
      </c>
    </row>
    <row r="178" spans="1:2" x14ac:dyDescent="0.25">
      <c r="A178" cm="1">
        <f t="array" ref="A178">INDEX('Portfolio Weights Returns'!$B$9:$BJ$69,
INT((ROW(A177)-1)/COLUMNS('Portfolio Weights Returns'!$B$9:$BJ$69))+1,MOD(ROW(A177)-1,COLUMNS('Portfolio Weights Returns'!$B$9:$BJ$69))+1)</f>
        <v>-8.1564349472980932E-4</v>
      </c>
      <c r="B178" cm="1">
        <f t="array" ref="B178">INDEX('Portfolio Weights Std'!$B$9:$BJ$69,INT((ROW(A177)-1)/COLUMNS('Portfolio Weights Std'!$B$9:$BJ$69))+1,MOD(ROW(A177)-1,COLUMNS('Portfolio Weights Std'!$B$9:$BJ$69))+1)</f>
        <v>2.112384650849634E-2</v>
      </c>
    </row>
    <row r="179" spans="1:2" x14ac:dyDescent="0.25">
      <c r="A179" cm="1">
        <f t="array" ref="A179">INDEX('Portfolio Weights Returns'!$B$9:$BJ$69,
INT((ROW(A178)-1)/COLUMNS('Portfolio Weights Returns'!$B$9:$BJ$69))+1,MOD(ROW(A178)-1,COLUMNS('Portfolio Weights Returns'!$B$9:$BJ$69))+1)</f>
        <v>-8.0886232076313018E-4</v>
      </c>
      <c r="B179" cm="1">
        <f t="array" ref="B179">INDEX('Portfolio Weights Std'!$B$9:$BJ$69,INT((ROW(A178)-1)/COLUMNS('Portfolio Weights Std'!$B$9:$BJ$69))+1,MOD(ROW(A178)-1,COLUMNS('Portfolio Weights Std'!$B$9:$BJ$69))+1)</f>
        <v>2.0995528447272319E-2</v>
      </c>
    </row>
    <row r="180" spans="1:2" x14ac:dyDescent="0.25">
      <c r="A180" cm="1">
        <f t="array" ref="A180">INDEX('Portfolio Weights Returns'!$B$9:$BJ$69,
INT((ROW(A179)-1)/COLUMNS('Portfolio Weights Returns'!$B$9:$BJ$69))+1,MOD(ROW(A179)-1,COLUMNS('Portfolio Weights Returns'!$B$9:$BJ$69))+1)</f>
        <v>-8.0208114679645103E-4</v>
      </c>
      <c r="B180" cm="1">
        <f t="array" ref="B180">INDEX('Portfolio Weights Std'!$B$9:$BJ$69,INT((ROW(A179)-1)/COLUMNS('Portfolio Weights Std'!$B$9:$BJ$69))+1,MOD(ROW(A179)-1,COLUMNS('Portfolio Weights Std'!$B$9:$BJ$69))+1)</f>
        <v>2.086864020732198E-2</v>
      </c>
    </row>
    <row r="181" spans="1:2" x14ac:dyDescent="0.25">
      <c r="A181" cm="1">
        <f t="array" ref="A181">INDEX('Portfolio Weights Returns'!$B$9:$BJ$69,
INT((ROW(A180)-1)/COLUMNS('Portfolio Weights Returns'!$B$9:$BJ$69))+1,MOD(ROW(A180)-1,COLUMNS('Portfolio Weights Returns'!$B$9:$BJ$69))+1)</f>
        <v>-7.9529997282977124E-4</v>
      </c>
      <c r="B181" cm="1">
        <f t="array" ref="B181">INDEX('Portfolio Weights Std'!$B$9:$BJ$69,INT((ROW(A180)-1)/COLUMNS('Portfolio Weights Std'!$B$9:$BJ$69))+1,MOD(ROW(A180)-1,COLUMNS('Portfolio Weights Std'!$B$9:$BJ$69))+1)</f>
        <v>2.07432080277332E-2</v>
      </c>
    </row>
    <row r="182" spans="1:2" x14ac:dyDescent="0.25">
      <c r="A182" cm="1">
        <f t="array" ref="A182">INDEX('Portfolio Weights Returns'!$B$9:$BJ$69,
INT((ROW(A181)-1)/COLUMNS('Portfolio Weights Returns'!$B$9:$BJ$69))+1,MOD(ROW(A181)-1,COLUMNS('Portfolio Weights Returns'!$B$9:$BJ$69))+1)</f>
        <v>-7.885187988630922E-4</v>
      </c>
      <c r="B182" cm="1">
        <f t="array" ref="B182">INDEX('Portfolio Weights Std'!$B$9:$BJ$69,INT((ROW(A181)-1)/COLUMNS('Portfolio Weights Std'!$B$9:$BJ$69))+1,MOD(ROW(A181)-1,COLUMNS('Portfolio Weights Std'!$B$9:$BJ$69))+1)</f>
        <v>2.06192584812767E-2</v>
      </c>
    </row>
    <row r="183" spans="1:2" x14ac:dyDescent="0.25">
      <c r="A183" cm="1">
        <f t="array" ref="A183">INDEX('Portfolio Weights Returns'!$B$9:$BJ$69,
INT((ROW(A182)-1)/COLUMNS('Portfolio Weights Returns'!$B$9:$BJ$69))+1,MOD(ROW(A182)-1,COLUMNS('Portfolio Weights Returns'!$B$9:$BJ$69))+1)</f>
        <v>-7.8173762489641306E-4</v>
      </c>
      <c r="B183" cm="1">
        <f t="array" ref="B183">INDEX('Portfolio Weights Std'!$B$9:$BJ$69,INT((ROW(A182)-1)/COLUMNS('Portfolio Weights Std'!$B$9:$BJ$69))+1,MOD(ROW(A182)-1,COLUMNS('Portfolio Weights Std'!$B$9:$BJ$69))+1)</f>
        <v>2.0496818465564687E-2</v>
      </c>
    </row>
    <row r="184" spans="1:2" x14ac:dyDescent="0.25">
      <c r="A184" cm="1">
        <f t="array" ref="A184">INDEX('Portfolio Weights Returns'!$B$9:$BJ$69,
INT((ROW(A183)-1)/COLUMNS('Portfolio Weights Returns'!$B$9:$BJ$69))+1,MOD(ROW(A183)-1,COLUMNS('Portfolio Weights Returns'!$B$9:$BJ$69))+1)</f>
        <v>-7.7495645092973402E-4</v>
      </c>
      <c r="B184" cm="1">
        <f t="array" ref="B184">INDEX('Portfolio Weights Std'!$B$9:$BJ$69,INT((ROW(A183)-1)/COLUMNS('Portfolio Weights Std'!$B$9:$BJ$69))+1,MOD(ROW(A183)-1,COLUMNS('Portfolio Weights Std'!$B$9:$BJ$69))+1)</f>
        <v>2.0375915193179703E-2</v>
      </c>
    </row>
    <row r="185" spans="1:2" x14ac:dyDescent="0.25">
      <c r="A185" cm="1">
        <f t="array" ref="A185">INDEX('Portfolio Weights Returns'!$B$9:$BJ$69,
INT((ROW(A184)-1)/COLUMNS('Portfolio Weights Returns'!$B$9:$BJ$69))+1,MOD(ROW(A184)-1,COLUMNS('Portfolio Weights Returns'!$B$9:$BJ$69))+1)</f>
        <v>-1.1752526810850259E-3</v>
      </c>
      <c r="B185" cm="1">
        <f t="array" ref="B185">INDEX('Portfolio Weights Std'!$B$9:$BJ$69,INT((ROW(A184)-1)/COLUMNS('Portfolio Weights Std'!$B$9:$BJ$69))+1,MOD(ROW(A184)-1,COLUMNS('Portfolio Weights Std'!$B$9:$BJ$69))+1)</f>
        <v>2.9341455658171034E-2</v>
      </c>
    </row>
    <row r="186" spans="1:2" x14ac:dyDescent="0.25">
      <c r="A186" cm="1">
        <f t="array" ref="A186">INDEX('Portfolio Weights Returns'!$B$9:$BJ$69,
INT((ROW(A185)-1)/COLUMNS('Portfolio Weights Returns'!$B$9:$BJ$69))+1,MOD(ROW(A185)-1,COLUMNS('Portfolio Weights Returns'!$B$9:$BJ$69))+1)</f>
        <v>-1.1684715071183466E-3</v>
      </c>
      <c r="B186" cm="1">
        <f t="array" ref="B186">INDEX('Portfolio Weights Std'!$B$9:$BJ$69,INT((ROW(A185)-1)/COLUMNS('Portfolio Weights Std'!$B$9:$BJ$69))+1,MOD(ROW(A185)-1,COLUMNS('Portfolio Weights Std'!$B$9:$BJ$69))+1)</f>
        <v>2.9164907269005332E-2</v>
      </c>
    </row>
    <row r="187" spans="1:2" x14ac:dyDescent="0.25">
      <c r="A187" cm="1">
        <f t="array" ref="A187">INDEX('Portfolio Weights Returns'!$B$9:$BJ$69,
INT((ROW(A186)-1)/COLUMNS('Portfolio Weights Returns'!$B$9:$BJ$69))+1,MOD(ROW(A186)-1,COLUMNS('Portfolio Weights Returns'!$B$9:$BJ$69))+1)</f>
        <v>-1.1616903331516674E-3</v>
      </c>
      <c r="B187" cm="1">
        <f t="array" ref="B187">INDEX('Portfolio Weights Std'!$B$9:$BJ$69,INT((ROW(A186)-1)/COLUMNS('Portfolio Weights Std'!$B$9:$BJ$69))+1,MOD(ROW(A186)-1,COLUMNS('Portfolio Weights Std'!$B$9:$BJ$69))+1)</f>
        <v>2.8988880932793344E-2</v>
      </c>
    </row>
    <row r="188" spans="1:2" x14ac:dyDescent="0.25">
      <c r="A188" cm="1">
        <f t="array" ref="A188">INDEX('Portfolio Weights Returns'!$B$9:$BJ$69,
INT((ROW(A187)-1)/COLUMNS('Portfolio Weights Returns'!$B$9:$BJ$69))+1,MOD(ROW(A187)-1,COLUMNS('Portfolio Weights Returns'!$B$9:$BJ$69))+1)</f>
        <v>-1.1549091591849883E-3</v>
      </c>
      <c r="B188" cm="1">
        <f t="array" ref="B188">INDEX('Portfolio Weights Std'!$B$9:$BJ$69,INT((ROW(A187)-1)/COLUMNS('Portfolio Weights Std'!$B$9:$BJ$69))+1,MOD(ROW(A187)-1,COLUMNS('Portfolio Weights Std'!$B$9:$BJ$69))+1)</f>
        <v>2.8813386217492461E-2</v>
      </c>
    </row>
    <row r="189" spans="1:2" x14ac:dyDescent="0.25">
      <c r="A189" cm="1">
        <f t="array" ref="A189">INDEX('Portfolio Weights Returns'!$B$9:$BJ$69,
INT((ROW(A188)-1)/COLUMNS('Portfolio Weights Returns'!$B$9:$BJ$69))+1,MOD(ROW(A188)-1,COLUMNS('Portfolio Weights Returns'!$B$9:$BJ$69))+1)</f>
        <v>-1.1481279852183094E-3</v>
      </c>
      <c r="B189" cm="1">
        <f t="array" ref="B189">INDEX('Portfolio Weights Std'!$B$9:$BJ$69,INT((ROW(A188)-1)/COLUMNS('Portfolio Weights Std'!$B$9:$BJ$69))+1,MOD(ROW(A188)-1,COLUMNS('Portfolio Weights Std'!$B$9:$BJ$69))+1)</f>
        <v>2.8638432896334002E-2</v>
      </c>
    </row>
    <row r="190" spans="1:2" x14ac:dyDescent="0.25">
      <c r="A190" cm="1">
        <f t="array" ref="A190">INDEX('Portfolio Weights Returns'!$B$9:$BJ$69,
INT((ROW(A189)-1)/COLUMNS('Portfolio Weights Returns'!$B$9:$BJ$69))+1,MOD(ROW(A189)-1,COLUMNS('Portfolio Weights Returns'!$B$9:$BJ$69))+1)</f>
        <v>-1.1413468112516302E-3</v>
      </c>
      <c r="B190" cm="1">
        <f t="array" ref="B190">INDEX('Portfolio Weights Std'!$B$9:$BJ$69,INT((ROW(A189)-1)/COLUMNS('Portfolio Weights Std'!$B$9:$BJ$69))+1,MOD(ROW(A189)-1,COLUMNS('Portfolio Weights Std'!$B$9:$BJ$69))+1)</f>
        <v>2.8464030952308789E-2</v>
      </c>
    </row>
    <row r="191" spans="1:2" x14ac:dyDescent="0.25">
      <c r="A191" cm="1">
        <f t="array" ref="A191">INDEX('Portfolio Weights Returns'!$B$9:$BJ$69,
INT((ROW(A190)-1)/COLUMNS('Portfolio Weights Returns'!$B$9:$BJ$69))+1,MOD(ROW(A190)-1,COLUMNS('Portfolio Weights Returns'!$B$9:$BJ$69))+1)</f>
        <v>-1.1345656372849511E-3</v>
      </c>
      <c r="B191" cm="1">
        <f t="array" ref="B191">INDEX('Portfolio Weights Std'!$B$9:$BJ$69,INT((ROW(A190)-1)/COLUMNS('Portfolio Weights Std'!$B$9:$BJ$69))+1,MOD(ROW(A190)-1,COLUMNS('Portfolio Weights Std'!$B$9:$BJ$69))+1)</f>
        <v>2.8290190582724705E-2</v>
      </c>
    </row>
    <row r="192" spans="1:2" x14ac:dyDescent="0.25">
      <c r="A192" cm="1">
        <f t="array" ref="A192">INDEX('Portfolio Weights Returns'!$B$9:$BJ$69,
INT((ROW(A191)-1)/COLUMNS('Portfolio Weights Returns'!$B$9:$BJ$69))+1,MOD(ROW(A191)-1,COLUMNS('Portfolio Weights Returns'!$B$9:$BJ$69))+1)</f>
        <v>-1.1277844633182719E-3</v>
      </c>
      <c r="B192" cm="1">
        <f t="array" ref="B192">INDEX('Portfolio Weights Std'!$B$9:$BJ$69,INT((ROW(A191)-1)/COLUMNS('Portfolio Weights Std'!$B$9:$BJ$69))+1,MOD(ROW(A191)-1,COLUMNS('Portfolio Weights Std'!$B$9:$BJ$69))+1)</f>
        <v>2.8116922203834903E-2</v>
      </c>
    </row>
    <row r="193" spans="1:2" x14ac:dyDescent="0.25">
      <c r="A193" cm="1">
        <f t="array" ref="A193">INDEX('Portfolio Weights Returns'!$B$9:$BJ$69,
INT((ROW(A192)-1)/COLUMNS('Portfolio Weights Returns'!$B$9:$BJ$69))+1,MOD(ROW(A192)-1,COLUMNS('Portfolio Weights Returns'!$B$9:$BJ$69))+1)</f>
        <v>-1.1210032893515928E-3</v>
      </c>
      <c r="B193" cm="1">
        <f t="array" ref="B193">INDEX('Portfolio Weights Std'!$B$9:$BJ$69,INT((ROW(A192)-1)/COLUMNS('Portfolio Weights Std'!$B$9:$BJ$69))+1,MOD(ROW(A192)-1,COLUMNS('Portfolio Weights Std'!$B$9:$BJ$69))+1)</f>
        <v>2.7944236455534961E-2</v>
      </c>
    </row>
    <row r="194" spans="1:2" x14ac:dyDescent="0.25">
      <c r="A194" cm="1">
        <f t="array" ref="A194">INDEX('Portfolio Weights Returns'!$B$9:$BJ$69,
INT((ROW(A193)-1)/COLUMNS('Portfolio Weights Returns'!$B$9:$BJ$69))+1,MOD(ROW(A193)-1,COLUMNS('Portfolio Weights Returns'!$B$9:$BJ$69))+1)</f>
        <v>-1.1142221153849139E-3</v>
      </c>
      <c r="B194" cm="1">
        <f t="array" ref="B194">INDEX('Portfolio Weights Std'!$B$9:$BJ$69,INT((ROW(A193)-1)/COLUMNS('Portfolio Weights Std'!$B$9:$BJ$69))+1,MOD(ROW(A193)-1,COLUMNS('Portfolio Weights Std'!$B$9:$BJ$69))+1)</f>
        <v>2.7772144206127114E-2</v>
      </c>
    </row>
    <row r="195" spans="1:2" x14ac:dyDescent="0.25">
      <c r="A195" cm="1">
        <f t="array" ref="A195">INDEX('Portfolio Weights Returns'!$B$9:$BJ$69,
INT((ROW(A194)-1)/COLUMNS('Portfolio Weights Returns'!$B$9:$BJ$69))+1,MOD(ROW(A194)-1,COLUMNS('Portfolio Weights Returns'!$B$9:$BJ$69))+1)</f>
        <v>-1.1074409414182347E-3</v>
      </c>
      <c r="B195" cm="1">
        <f t="array" ref="B195">INDEX('Portfolio Weights Std'!$B$9:$BJ$69,INT((ROW(A194)-1)/COLUMNS('Portfolio Weights Std'!$B$9:$BJ$69))+1,MOD(ROW(A194)-1,COLUMNS('Portfolio Weights Std'!$B$9:$BJ$69))+1)</f>
        <v>2.7600656557149442E-2</v>
      </c>
    </row>
    <row r="196" spans="1:2" x14ac:dyDescent="0.25">
      <c r="A196" cm="1">
        <f t="array" ref="A196">INDEX('Portfolio Weights Returns'!$B$9:$BJ$69,
INT((ROW(A195)-1)/COLUMNS('Portfolio Weights Returns'!$B$9:$BJ$69))+1,MOD(ROW(A195)-1,COLUMNS('Portfolio Weights Returns'!$B$9:$BJ$69))+1)</f>
        <v>-1.1006597674515556E-3</v>
      </c>
      <c r="B196" cm="1">
        <f t="array" ref="B196">INDEX('Portfolio Weights Std'!$B$9:$BJ$69,INT((ROW(A195)-1)/COLUMNS('Portfolio Weights Std'!$B$9:$BJ$69))+1,MOD(ROW(A195)-1,COLUMNS('Portfolio Weights Std'!$B$9:$BJ$69))+1)</f>
        <v>2.7429784848267386E-2</v>
      </c>
    </row>
    <row r="197" spans="1:2" x14ac:dyDescent="0.25">
      <c r="A197" cm="1">
        <f t="array" ref="A197">INDEX('Portfolio Weights Returns'!$B$9:$BJ$69,
INT((ROW(A196)-1)/COLUMNS('Portfolio Weights Returns'!$B$9:$BJ$69))+1,MOD(ROW(A196)-1,COLUMNS('Portfolio Weights Returns'!$B$9:$BJ$69))+1)</f>
        <v>-1.0938785934848764E-3</v>
      </c>
      <c r="B197" cm="1">
        <f t="array" ref="B197">INDEX('Portfolio Weights Std'!$B$9:$BJ$69,INT((ROW(A196)-1)/COLUMNS('Portfolio Weights Std'!$B$9:$BJ$69))+1,MOD(ROW(A196)-1,COLUMNS('Portfolio Weights Std'!$B$9:$BJ$69))+1)</f>
        <v>2.7259540662224805E-2</v>
      </c>
    </row>
    <row r="198" spans="1:2" x14ac:dyDescent="0.25">
      <c r="A198" cm="1">
        <f t="array" ref="A198">INDEX('Portfolio Weights Returns'!$B$9:$BJ$69,
INT((ROW(A197)-1)/COLUMNS('Portfolio Weights Returns'!$B$9:$BJ$69))+1,MOD(ROW(A197)-1,COLUMNS('Portfolio Weights Returns'!$B$9:$BJ$69))+1)</f>
        <v>-1.0870974195181975E-3</v>
      </c>
      <c r="B198" cm="1">
        <f t="array" ref="B198">INDEX('Portfolio Weights Std'!$B$9:$BJ$69,INT((ROW(A197)-1)/COLUMNS('Portfolio Weights Std'!$B$9:$BJ$69))+1,MOD(ROW(A197)-1,COLUMNS('Portfolio Weights Std'!$B$9:$BJ$69))+1)</f>
        <v>2.7089935829851315E-2</v>
      </c>
    </row>
    <row r="199" spans="1:2" x14ac:dyDescent="0.25">
      <c r="A199" cm="1">
        <f t="array" ref="A199">INDEX('Portfolio Weights Returns'!$B$9:$BJ$69,
INT((ROW(A198)-1)/COLUMNS('Portfolio Weights Returns'!$B$9:$BJ$69))+1,MOD(ROW(A198)-1,COLUMNS('Portfolio Weights Returns'!$B$9:$BJ$69))+1)</f>
        <v>-1.0803162455515181E-3</v>
      </c>
      <c r="B199" cm="1">
        <f t="array" ref="B199">INDEX('Portfolio Weights Std'!$B$9:$BJ$69,INT((ROW(A198)-1)/COLUMNS('Portfolio Weights Std'!$B$9:$BJ$69))+1,MOD(ROW(A198)-1,COLUMNS('Portfolio Weights Std'!$B$9:$BJ$69))+1)</f>
        <v>2.6920982435122282E-2</v>
      </c>
    </row>
    <row r="200" spans="1:2" x14ac:dyDescent="0.25">
      <c r="A200" cm="1">
        <f t="array" ref="A200">INDEX('Portfolio Weights Returns'!$B$9:$BJ$69,
INT((ROW(A199)-1)/COLUMNS('Portfolio Weights Returns'!$B$9:$BJ$69))+1,MOD(ROW(A199)-1,COLUMNS('Portfolio Weights Returns'!$B$9:$BJ$69))+1)</f>
        <v>-1.073535071584839E-3</v>
      </c>
      <c r="B200" cm="1">
        <f t="array" ref="B200">INDEX('Portfolio Weights Std'!$B$9:$BJ$69,INT((ROW(A199)-1)/COLUMNS('Portfolio Weights Std'!$B$9:$BJ$69))+1,MOD(ROW(A199)-1,COLUMNS('Portfolio Weights Std'!$B$9:$BJ$69))+1)</f>
        <v>2.6752692820267435E-2</v>
      </c>
    </row>
    <row r="201" spans="1:2" x14ac:dyDescent="0.25">
      <c r="A201" cm="1">
        <f t="array" ref="A201">INDEX('Portfolio Weights Returns'!$B$9:$BJ$69,
INT((ROW(A200)-1)/COLUMNS('Portfolio Weights Returns'!$B$9:$BJ$69))+1,MOD(ROW(A200)-1,COLUMNS('Portfolio Weights Returns'!$B$9:$BJ$69))+1)</f>
        <v>-1.0667538976181601E-3</v>
      </c>
      <c r="B201" cm="1">
        <f t="array" ref="B201">INDEX('Portfolio Weights Std'!$B$9:$BJ$69,INT((ROW(A200)-1)/COLUMNS('Portfolio Weights Std'!$B$9:$BJ$69))+1,MOD(ROW(A200)-1,COLUMNS('Portfolio Weights Std'!$B$9:$BJ$69))+1)</f>
        <v>2.6585079590923578E-2</v>
      </c>
    </row>
    <row r="202" spans="1:2" x14ac:dyDescent="0.25">
      <c r="A202" cm="1">
        <f t="array" ref="A202">INDEX('Portfolio Weights Returns'!$B$9:$BJ$69,
INT((ROW(A201)-1)/COLUMNS('Portfolio Weights Returns'!$B$9:$BJ$69))+1,MOD(ROW(A201)-1,COLUMNS('Portfolio Weights Returns'!$B$9:$BJ$69))+1)</f>
        <v>-1.0599727236514809E-3</v>
      </c>
      <c r="B202" cm="1">
        <f t="array" ref="B202">INDEX('Portfolio Weights Std'!$B$9:$BJ$69,INT((ROW(A201)-1)/COLUMNS('Portfolio Weights Std'!$B$9:$BJ$69))+1,MOD(ROW(A201)-1,COLUMNS('Portfolio Weights Std'!$B$9:$BJ$69))+1)</f>
        <v>2.6418155621326392E-2</v>
      </c>
    </row>
    <row r="203" spans="1:2" x14ac:dyDescent="0.25">
      <c r="A203" cm="1">
        <f t="array" ref="A203">INDEX('Portfolio Weights Returns'!$B$9:$BJ$69,
INT((ROW(A202)-1)/COLUMNS('Portfolio Weights Returns'!$B$9:$BJ$69))+1,MOD(ROW(A202)-1,COLUMNS('Portfolio Weights Returns'!$B$9:$BJ$69))+1)</f>
        <v>-1.053191549684802E-3</v>
      </c>
      <c r="B203" cm="1">
        <f t="array" ref="B203">INDEX('Portfolio Weights Std'!$B$9:$BJ$69,INT((ROW(A202)-1)/COLUMNS('Portfolio Weights Std'!$B$9:$BJ$69))+1,MOD(ROW(A202)-1,COLUMNS('Portfolio Weights Std'!$B$9:$BJ$69))+1)</f>
        <v>2.6251934059535947E-2</v>
      </c>
    </row>
    <row r="204" spans="1:2" x14ac:dyDescent="0.25">
      <c r="A204" cm="1">
        <f t="array" ref="A204">INDEX('Portfolio Weights Returns'!$B$9:$BJ$69,
INT((ROW(A203)-1)/COLUMNS('Portfolio Weights Returns'!$B$9:$BJ$69))+1,MOD(ROW(A203)-1,COLUMNS('Portfolio Weights Returns'!$B$9:$BJ$69))+1)</f>
        <v>-1.0464103757181229E-3</v>
      </c>
      <c r="B204" cm="1">
        <f t="array" ref="B204">INDEX('Portfolio Weights Std'!$B$9:$BJ$69,INT((ROW(A203)-1)/COLUMNS('Portfolio Weights Std'!$B$9:$BJ$69))+1,MOD(ROW(A203)-1,COLUMNS('Portfolio Weights Std'!$B$9:$BJ$69))+1)</f>
        <v>2.6086428332689655E-2</v>
      </c>
    </row>
    <row r="205" spans="1:2" x14ac:dyDescent="0.25">
      <c r="A205" cm="1">
        <f t="array" ref="A205">INDEX('Portfolio Weights Returns'!$B$9:$BJ$69,
INT((ROW(A204)-1)/COLUMNS('Portfolio Weights Returns'!$B$9:$BJ$69))+1,MOD(ROW(A204)-1,COLUMNS('Portfolio Weights Returns'!$B$9:$BJ$69))+1)</f>
        <v>-1.0396292017514437E-3</v>
      </c>
      <c r="B205" cm="1">
        <f t="array" ref="B205">INDEX('Portfolio Weights Std'!$B$9:$BJ$69,INT((ROW(A204)-1)/COLUMNS('Portfolio Weights Std'!$B$9:$BJ$69))+1,MOD(ROW(A204)-1,COLUMNS('Portfolio Weights Std'!$B$9:$BJ$69))+1)</f>
        <v>2.5921652152276282E-2</v>
      </c>
    </row>
    <row r="206" spans="1:2" x14ac:dyDescent="0.25">
      <c r="A206" cm="1">
        <f t="array" ref="A206">INDEX('Portfolio Weights Returns'!$B$9:$BJ$69,
INT((ROW(A205)-1)/COLUMNS('Portfolio Weights Returns'!$B$9:$BJ$69))+1,MOD(ROW(A205)-1,COLUMNS('Portfolio Weights Returns'!$B$9:$BJ$69))+1)</f>
        <v>-1.0328480277847646E-3</v>
      </c>
      <c r="B206" cm="1">
        <f t="array" ref="B206">INDEX('Portfolio Weights Std'!$B$9:$BJ$69,INT((ROW(A205)-1)/COLUMNS('Portfolio Weights Std'!$B$9:$BJ$69))+1,MOD(ROW(A205)-1,COLUMNS('Portfolio Weights Std'!$B$9:$BJ$69))+1)</f>
        <v>2.57576195194236E-2</v>
      </c>
    </row>
    <row r="207" spans="1:2" x14ac:dyDescent="0.25">
      <c r="A207" cm="1">
        <f t="array" ref="A207">INDEX('Portfolio Weights Returns'!$B$9:$BJ$69,
INT((ROW(A206)-1)/COLUMNS('Portfolio Weights Returns'!$B$9:$BJ$69))+1,MOD(ROW(A206)-1,COLUMNS('Portfolio Weights Returns'!$B$9:$BJ$69))+1)</f>
        <v>-1.0260668538180856E-3</v>
      </c>
      <c r="B207" cm="1">
        <f t="array" ref="B207">INDEX('Portfolio Weights Std'!$B$9:$BJ$69,INT((ROW(A206)-1)/COLUMNS('Portfolio Weights Std'!$B$9:$BJ$69))+1,MOD(ROW(A206)-1,COLUMNS('Portfolio Weights Std'!$B$9:$BJ$69))+1)</f>
        <v>2.5594344730191849E-2</v>
      </c>
    </row>
    <row r="208" spans="1:2" x14ac:dyDescent="0.25">
      <c r="A208" cm="1">
        <f t="array" ref="A208">INDEX('Portfolio Weights Returns'!$B$9:$BJ$69,
INT((ROW(A207)-1)/COLUMNS('Portfolio Weights Returns'!$B$9:$BJ$69))+1,MOD(ROW(A207)-1,COLUMNS('Portfolio Weights Returns'!$B$9:$BJ$69))+1)</f>
        <v>-1.0192856798514065E-3</v>
      </c>
      <c r="B208" cm="1">
        <f t="array" ref="B208">INDEX('Portfolio Weights Std'!$B$9:$BJ$69,INT((ROW(A207)-1)/COLUMNS('Portfolio Weights Std'!$B$9:$BJ$69))+1,MOD(ROW(A207)-1,COLUMNS('Portfolio Weights Std'!$B$9:$BJ$69))+1)</f>
        <v>2.5431842380864447E-2</v>
      </c>
    </row>
    <row r="209" spans="1:2" x14ac:dyDescent="0.25">
      <c r="A209" cm="1">
        <f t="array" ref="A209">INDEX('Portfolio Weights Returns'!$B$9:$BJ$69,
INT((ROW(A208)-1)/COLUMNS('Portfolio Weights Returns'!$B$9:$BJ$69))+1,MOD(ROW(A208)-1,COLUMNS('Portfolio Weights Returns'!$B$9:$BJ$69))+1)</f>
        <v>-1.0125045058847273E-3</v>
      </c>
      <c r="B209" cm="1">
        <f t="array" ref="B209">INDEX('Portfolio Weights Std'!$B$9:$BJ$69,INT((ROW(A208)-1)/COLUMNS('Portfolio Weights Std'!$B$9:$BJ$69))+1,MOD(ROW(A208)-1,COLUMNS('Portfolio Weights Std'!$B$9:$BJ$69))+1)</f>
        <v>2.5270127373226529E-2</v>
      </c>
    </row>
    <row r="210" spans="1:2" x14ac:dyDescent="0.25">
      <c r="A210" cm="1">
        <f t="array" ref="A210">INDEX('Portfolio Weights Returns'!$B$9:$BJ$69,
INT((ROW(A209)-1)/COLUMNS('Portfolio Weights Returns'!$B$9:$BJ$69))+1,MOD(ROW(A209)-1,COLUMNS('Portfolio Weights Returns'!$B$9:$BJ$69))+1)</f>
        <v>-1.0057233319180482E-3</v>
      </c>
      <c r="B210" cm="1">
        <f t="array" ref="B210">INDEX('Portfolio Weights Std'!$B$9:$BJ$69,INT((ROW(A209)-1)/COLUMNS('Portfolio Weights Std'!$B$9:$BJ$69))+1,MOD(ROW(A209)-1,COLUMNS('Portfolio Weights Std'!$B$9:$BJ$69))+1)</f>
        <v>2.5109214919821335E-2</v>
      </c>
    </row>
    <row r="211" spans="1:2" x14ac:dyDescent="0.25">
      <c r="A211" cm="1">
        <f t="array" ref="A211">INDEX('Portfolio Weights Returns'!$B$9:$BJ$69,
INT((ROW(A210)-1)/COLUMNS('Portfolio Weights Returns'!$B$9:$BJ$69))+1,MOD(ROW(A210)-1,COLUMNS('Portfolio Weights Returns'!$B$9:$BJ$69))+1)</f>
        <v>-9.9894215795136906E-4</v>
      </c>
      <c r="B211" cm="1">
        <f t="array" ref="B211">INDEX('Portfolio Weights Std'!$B$9:$BJ$69,INT((ROW(A210)-1)/COLUMNS('Portfolio Weights Std'!$B$9:$BJ$69))+1,MOD(ROW(A210)-1,COLUMNS('Portfolio Weights Std'!$B$9:$BJ$69))+1)</f>
        <v>2.4949120549173472E-2</v>
      </c>
    </row>
    <row r="212" spans="1:2" x14ac:dyDescent="0.25">
      <c r="A212" cm="1">
        <f t="array" ref="A212">INDEX('Portfolio Weights Returns'!$B$9:$BJ$69,
INT((ROW(A211)-1)/COLUMNS('Portfolio Weights Returns'!$B$9:$BJ$69))+1,MOD(ROW(A211)-1,COLUMNS('Portfolio Weights Returns'!$B$9:$BJ$69))+1)</f>
        <v>-9.9216098398468991E-4</v>
      </c>
      <c r="B212" cm="1">
        <f t="array" ref="B212">INDEX('Portfolio Weights Std'!$B$9:$BJ$69,INT((ROW(A211)-1)/COLUMNS('Portfolio Weights Std'!$B$9:$BJ$69))+1,MOD(ROW(A211)-1,COLUMNS('Portfolio Weights Std'!$B$9:$BJ$69))+1)</f>
        <v>2.4789860110967298E-2</v>
      </c>
    </row>
    <row r="213" spans="1:2" x14ac:dyDescent="0.25">
      <c r="A213" cm="1">
        <f t="array" ref="A213">INDEX('Portfolio Weights Returns'!$B$9:$BJ$69,
INT((ROW(A212)-1)/COLUMNS('Portfolio Weights Returns'!$B$9:$BJ$69))+1,MOD(ROW(A212)-1,COLUMNS('Portfolio Weights Returns'!$B$9:$BJ$69))+1)</f>
        <v>-9.8537981001801077E-4</v>
      </c>
      <c r="B213" cm="1">
        <f t="array" ref="B213">INDEX('Portfolio Weights Std'!$B$9:$BJ$69,INT((ROW(A212)-1)/COLUMNS('Portfolio Weights Std'!$B$9:$BJ$69))+1,MOD(ROW(A212)-1,COLUMNS('Portfolio Weights Std'!$B$9:$BJ$69))+1)</f>
        <v>2.4631449781167793E-2</v>
      </c>
    </row>
    <row r="214" spans="1:2" x14ac:dyDescent="0.25">
      <c r="A214" cm="1">
        <f t="array" ref="A214">INDEX('Portfolio Weights Returns'!$B$9:$BJ$69,
INT((ROW(A213)-1)/COLUMNS('Portfolio Weights Returns'!$B$9:$BJ$69))+1,MOD(ROW(A213)-1,COLUMNS('Portfolio Weights Returns'!$B$9:$BJ$69))+1)</f>
        <v>-9.7859863605133162E-4</v>
      </c>
      <c r="B214" cm="1">
        <f t="array" ref="B214">INDEX('Portfolio Weights Std'!$B$9:$BJ$69,INT((ROW(A213)-1)/COLUMNS('Portfolio Weights Std'!$B$9:$BJ$69))+1,MOD(ROW(A213)-1,COLUMNS('Portfolio Weights Std'!$B$9:$BJ$69))+1)</f>
        <v>2.4473906067070297E-2</v>
      </c>
    </row>
    <row r="215" spans="1:2" x14ac:dyDescent="0.25">
      <c r="A215" cm="1">
        <f t="array" ref="A215">INDEX('Portfolio Weights Returns'!$B$9:$BJ$69,
INT((ROW(A214)-1)/COLUMNS('Portfolio Weights Returns'!$B$9:$BJ$69))+1,MOD(ROW(A214)-1,COLUMNS('Portfolio Weights Returns'!$B$9:$BJ$69))+1)</f>
        <v>-9.7181746208465259E-4</v>
      </c>
      <c r="B215" cm="1">
        <f t="array" ref="B215">INDEX('Portfolio Weights Std'!$B$9:$BJ$69,INT((ROW(A214)-1)/COLUMNS('Portfolio Weights Std'!$B$9:$BJ$69))+1,MOD(ROW(A214)-1,COLUMNS('Portfolio Weights Std'!$B$9:$BJ$69))+1)</f>
        <v>2.4317245812264503E-2</v>
      </c>
    </row>
    <row r="216" spans="1:2" x14ac:dyDescent="0.25">
      <c r="A216" cm="1">
        <f t="array" ref="A216">INDEX('Portfolio Weights Returns'!$B$9:$BJ$69,
INT((ROW(A215)-1)/COLUMNS('Portfolio Weights Returns'!$B$9:$BJ$69))+1,MOD(ROW(A215)-1,COLUMNS('Portfolio Weights Returns'!$B$9:$BJ$69))+1)</f>
        <v>-9.6503628811797344E-4</v>
      </c>
      <c r="B216" cm="1">
        <f t="array" ref="B216">INDEX('Portfolio Weights Std'!$B$9:$BJ$69,INT((ROW(A215)-1)/COLUMNS('Portfolio Weights Std'!$B$9:$BJ$69))+1,MOD(ROW(A215)-1,COLUMNS('Portfolio Weights Std'!$B$9:$BJ$69))+1)</f>
        <v>2.4161486201497145E-2</v>
      </c>
    </row>
    <row r="217" spans="1:2" x14ac:dyDescent="0.25">
      <c r="A217" cm="1">
        <f t="array" ref="A217">INDEX('Portfolio Weights Returns'!$B$9:$BJ$69,
INT((ROW(A216)-1)/COLUMNS('Portfolio Weights Returns'!$B$9:$BJ$69))+1,MOD(ROW(A216)-1,COLUMNS('Portfolio Weights Returns'!$B$9:$BJ$69))+1)</f>
        <v>-9.5825511415129441E-4</v>
      </c>
      <c r="B217" cm="1">
        <f t="array" ref="B217">INDEX('Portfolio Weights Std'!$B$9:$BJ$69,INT((ROW(A216)-1)/COLUMNS('Portfolio Weights Std'!$B$9:$BJ$69))+1,MOD(ROW(A216)-1,COLUMNS('Portfolio Weights Std'!$B$9:$BJ$69))+1)</f>
        <v>2.4006644765416595E-2</v>
      </c>
    </row>
    <row r="218" spans="1:2" x14ac:dyDescent="0.25">
      <c r="A218" cm="1">
        <f t="array" ref="A218">INDEX('Portfolio Weights Returns'!$B$9:$BJ$69,
INT((ROW(A217)-1)/COLUMNS('Portfolio Weights Returns'!$B$9:$BJ$69))+1,MOD(ROW(A217)-1,COLUMNS('Portfolio Weights Returns'!$B$9:$BJ$69))+1)</f>
        <v>-9.5147394018461526E-4</v>
      </c>
      <c r="B218" cm="1">
        <f t="array" ref="B218">INDEX('Portfolio Weights Std'!$B$9:$BJ$69,INT((ROW(A217)-1)/COLUMNS('Portfolio Weights Std'!$B$9:$BJ$69))+1,MOD(ROW(A217)-1,COLUMNS('Portfolio Weights Std'!$B$9:$BJ$69))+1)</f>
        <v>2.3852739385181676E-2</v>
      </c>
    </row>
    <row r="219" spans="1:2" x14ac:dyDescent="0.25">
      <c r="A219" cm="1">
        <f t="array" ref="A219">INDEX('Portfolio Weights Returns'!$B$9:$BJ$69,
INT((ROW(A218)-1)/COLUMNS('Portfolio Weights Returns'!$B$9:$BJ$69))+1,MOD(ROW(A218)-1,COLUMNS('Portfolio Weights Returns'!$B$9:$BJ$69))+1)</f>
        <v>-9.4469276621793623E-4</v>
      </c>
      <c r="B219" cm="1">
        <f t="array" ref="B219">INDEX('Portfolio Weights Std'!$B$9:$BJ$69,INT((ROW(A218)-1)/COLUMNS('Portfolio Weights Std'!$B$9:$BJ$69))+1,MOD(ROW(A218)-1,COLUMNS('Portfolio Weights Std'!$B$9:$BJ$69))+1)</f>
        <v>2.3699788296915568E-2</v>
      </c>
    </row>
    <row r="220" spans="1:2" x14ac:dyDescent="0.25">
      <c r="A220" cm="1">
        <f t="array" ref="A220">INDEX('Portfolio Weights Returns'!$B$9:$BJ$69,
INT((ROW(A219)-1)/COLUMNS('Portfolio Weights Returns'!$B$9:$BJ$69))+1,MOD(ROW(A219)-1,COLUMNS('Portfolio Weights Returns'!$B$9:$BJ$69))+1)</f>
        <v>-9.3791159225125708E-4</v>
      </c>
      <c r="B220" cm="1">
        <f t="array" ref="B220">INDEX('Portfolio Weights Std'!$B$9:$BJ$69,INT((ROW(A219)-1)/COLUMNS('Portfolio Weights Std'!$B$9:$BJ$69))+1,MOD(ROW(A219)-1,COLUMNS('Portfolio Weights Std'!$B$9:$BJ$69))+1)</f>
        <v>2.3547810095984743E-2</v>
      </c>
    </row>
    <row r="221" spans="1:2" x14ac:dyDescent="0.25">
      <c r="A221" cm="1">
        <f t="array" ref="A221">INDEX('Portfolio Weights Returns'!$B$9:$BJ$69,
INT((ROW(A220)-1)/COLUMNS('Portfolio Weights Returns'!$B$9:$BJ$69))+1,MOD(ROW(A220)-1,COLUMNS('Portfolio Weights Returns'!$B$9:$BJ$69))+1)</f>
        <v>-9.3113041828457783E-4</v>
      </c>
      <c r="B221" cm="1">
        <f t="array" ref="B221">INDEX('Portfolio Weights Std'!$B$9:$BJ$69,INT((ROW(A220)-1)/COLUMNS('Portfolio Weights Std'!$B$9:$BJ$69))+1,MOD(ROW(A220)-1,COLUMNS('Portfolio Weights Std'!$B$9:$BJ$69))+1)</f>
        <v>2.339682374108144E-2</v>
      </c>
    </row>
    <row r="222" spans="1:2" x14ac:dyDescent="0.25">
      <c r="A222" cm="1">
        <f t="array" ref="A222">INDEX('Portfolio Weights Returns'!$B$9:$BJ$69,
INT((ROW(A221)-1)/COLUMNS('Portfolio Weights Returns'!$B$9:$BJ$69))+1,MOD(ROW(A221)-1,COLUMNS('Portfolio Weights Returns'!$B$9:$BJ$69))+1)</f>
        <v>-9.2434924431789879E-4</v>
      </c>
      <c r="B222" cm="1">
        <f t="array" ref="B222">INDEX('Portfolio Weights Std'!$B$9:$BJ$69,INT((ROW(A221)-1)/COLUMNS('Portfolio Weights Std'!$B$9:$BJ$69))+1,MOD(ROW(A221)-1,COLUMNS('Portfolio Weights Std'!$B$9:$BJ$69))+1)</f>
        <v>2.3246848558086938E-2</v>
      </c>
    </row>
    <row r="223" spans="1:2" x14ac:dyDescent="0.25">
      <c r="A223" cm="1">
        <f t="array" ref="A223">INDEX('Portfolio Weights Returns'!$B$9:$BJ$69,
INT((ROW(A222)-1)/COLUMNS('Portfolio Weights Returns'!$B$9:$BJ$69))+1,MOD(ROW(A222)-1,COLUMNS('Portfolio Weights Returns'!$B$9:$BJ$69))+1)</f>
        <v>-9.1756807035121965E-4</v>
      </c>
      <c r="B223" cm="1">
        <f t="array" ref="B223">INDEX('Portfolio Weights Std'!$B$9:$BJ$69,INT((ROW(A222)-1)/COLUMNS('Portfolio Weights Std'!$B$9:$BJ$69))+1,MOD(ROW(A222)-1,COLUMNS('Portfolio Weights Std'!$B$9:$BJ$69))+1)</f>
        <v>2.3097904243691712E-2</v>
      </c>
    </row>
    <row r="224" spans="1:2" x14ac:dyDescent="0.25">
      <c r="A224" cm="1">
        <f t="array" ref="A224">INDEX('Portfolio Weights Returns'!$B$9:$BJ$69,
INT((ROW(A223)-1)/COLUMNS('Portfolio Weights Returns'!$B$9:$BJ$69))+1,MOD(ROW(A223)-1,COLUMNS('Portfolio Weights Returns'!$B$9:$BJ$69))+1)</f>
        <v>-9.1078689638454083E-4</v>
      </c>
      <c r="B224" cm="1">
        <f t="array" ref="B224">INDEX('Portfolio Weights Std'!$B$9:$BJ$69,INT((ROW(A223)-1)/COLUMNS('Portfolio Weights Std'!$B$9:$BJ$69))+1,MOD(ROW(A223)-1,COLUMNS('Portfolio Weights Std'!$B$9:$BJ$69))+1)</f>
        <v>2.295001086874689E-2</v>
      </c>
    </row>
    <row r="225" spans="1:2" x14ac:dyDescent="0.25">
      <c r="A225" cm="1">
        <f t="array" ref="A225">INDEX('Portfolio Weights Returns'!$B$9:$BJ$69,
INT((ROW(A224)-1)/COLUMNS('Portfolio Weights Returns'!$B$9:$BJ$69))+1,MOD(ROW(A224)-1,COLUMNS('Portfolio Weights Returns'!$B$9:$BJ$69))+1)</f>
        <v>-9.0400572241786147E-4</v>
      </c>
      <c r="B225" cm="1">
        <f t="array" ref="B225">INDEX('Portfolio Weights Std'!$B$9:$BJ$69,INT((ROW(A224)-1)/COLUMNS('Portfolio Weights Std'!$B$9:$BJ$69))+1,MOD(ROW(A224)-1,COLUMNS('Portfolio Weights Std'!$B$9:$BJ$69))+1)</f>
        <v>2.2803188881320411E-2</v>
      </c>
    </row>
    <row r="226" spans="1:2" x14ac:dyDescent="0.25">
      <c r="A226" cm="1">
        <f t="array" ref="A226">INDEX('Portfolio Weights Returns'!$B$9:$BJ$69,
INT((ROW(A225)-1)/COLUMNS('Portfolio Weights Returns'!$B$9:$BJ$69))+1,MOD(ROW(A225)-1,COLUMNS('Portfolio Weights Returns'!$B$9:$BJ$69))+1)</f>
        <v>-8.9722454845118254E-4</v>
      </c>
      <c r="B226" cm="1">
        <f t="array" ref="B226">INDEX('Portfolio Weights Std'!$B$9:$BJ$69,INT((ROW(A225)-1)/COLUMNS('Portfolio Weights Std'!$B$9:$BJ$69))+1,MOD(ROW(A225)-1,COLUMNS('Portfolio Weights Std'!$B$9:$BJ$69))+1)</f>
        <v>2.2657459109429626E-2</v>
      </c>
    </row>
    <row r="227" spans="1:2" x14ac:dyDescent="0.25">
      <c r="A227" cm="1">
        <f t="array" ref="A227">INDEX('Portfolio Weights Returns'!$B$9:$BJ$69,
INT((ROW(A226)-1)/COLUMNS('Portfolio Weights Returns'!$B$9:$BJ$69))+1,MOD(ROW(A226)-1,COLUMNS('Portfolio Weights Returns'!$B$9:$BJ$69))+1)</f>
        <v>-8.9044337448450329E-4</v>
      </c>
      <c r="B227" cm="1">
        <f t="array" ref="B227">INDEX('Portfolio Weights Std'!$B$9:$BJ$69,INT((ROW(A226)-1)/COLUMNS('Portfolio Weights Std'!$B$9:$BJ$69))+1,MOD(ROW(A226)-1,COLUMNS('Portfolio Weights Std'!$B$9:$BJ$69))+1)</f>
        <v>2.2512842763420658E-2</v>
      </c>
    </row>
    <row r="228" spans="1:2" x14ac:dyDescent="0.25">
      <c r="A228" cm="1">
        <f t="array" ref="A228">INDEX('Portfolio Weights Returns'!$B$9:$BJ$69,
INT((ROW(A227)-1)/COLUMNS('Portfolio Weights Returns'!$B$9:$BJ$69))+1,MOD(ROW(A227)-1,COLUMNS('Portfolio Weights Returns'!$B$9:$BJ$69))+1)</f>
        <v>-8.8366220051782436E-4</v>
      </c>
      <c r="B228" cm="1">
        <f t="array" ref="B228">INDEX('Portfolio Weights Std'!$B$9:$BJ$69,INT((ROW(A227)-1)/COLUMNS('Portfolio Weights Std'!$B$9:$BJ$69))+1,MOD(ROW(A227)-1,COLUMNS('Portfolio Weights Std'!$B$9:$BJ$69))+1)</f>
        <v>2.2369361437963635E-2</v>
      </c>
    </row>
    <row r="229" spans="1:2" x14ac:dyDescent="0.25">
      <c r="A229" cm="1">
        <f t="array" ref="A229">INDEX('Portfolio Weights Returns'!$B$9:$BJ$69,
INT((ROW(A228)-1)/COLUMNS('Portfolio Weights Returns'!$B$9:$BJ$69))+1,MOD(ROW(A228)-1,COLUMNS('Portfolio Weights Returns'!$B$9:$BJ$69))+1)</f>
        <v>-8.76881026551145E-4</v>
      </c>
      <c r="B229" cm="1">
        <f t="array" ref="B229">INDEX('Portfolio Weights Std'!$B$9:$BJ$69,INT((ROW(A228)-1)/COLUMNS('Portfolio Weights Std'!$B$9:$BJ$69))+1,MOD(ROW(A228)-1,COLUMNS('Portfolio Weights Std'!$B$9:$BJ$69))+1)</f>
        <v>2.2227037113631064E-2</v>
      </c>
    </row>
    <row r="230" spans="1:2" x14ac:dyDescent="0.25">
      <c r="A230" cm="1">
        <f t="array" ref="A230">INDEX('Portfolio Weights Returns'!$B$9:$BJ$69,
INT((ROW(A229)-1)/COLUMNS('Portfolio Weights Returns'!$B$9:$BJ$69))+1,MOD(ROW(A229)-1,COLUMNS('Portfolio Weights Returns'!$B$9:$BJ$69))+1)</f>
        <v>-8.7009985258446618E-4</v>
      </c>
      <c r="B230" cm="1">
        <f t="array" ref="B230">INDEX('Portfolio Weights Std'!$B$9:$BJ$69,INT((ROW(A229)-1)/COLUMNS('Portfolio Weights Std'!$B$9:$BJ$69))+1,MOD(ROW(A229)-1,COLUMNS('Portfolio Weights Std'!$B$9:$BJ$69))+1)</f>
        <v>2.2085892158025613E-2</v>
      </c>
    </row>
    <row r="231" spans="1:2" x14ac:dyDescent="0.25">
      <c r="A231" cm="1">
        <f t="array" ref="A231">INDEX('Portfolio Weights Returns'!$B$9:$BJ$69,
INT((ROW(A230)-1)/COLUMNS('Portfolio Weights Returns'!$B$9:$BJ$69))+1,MOD(ROW(A230)-1,COLUMNS('Portfolio Weights Returns'!$B$9:$BJ$69))+1)</f>
        <v>-8.6331867861778682E-4</v>
      </c>
      <c r="B231" cm="1">
        <f t="array" ref="B231">INDEX('Portfolio Weights Std'!$B$9:$BJ$69,INT((ROW(A230)-1)/COLUMNS('Portfolio Weights Std'!$B$9:$BJ$69))+1,MOD(ROW(A230)-1,COLUMNS('Portfolio Weights Std'!$B$9:$BJ$69))+1)</f>
        <v>2.1945949326421663E-2</v>
      </c>
    </row>
    <row r="232" spans="1:2" x14ac:dyDescent="0.25">
      <c r="A232" cm="1">
        <f t="array" ref="A232">INDEX('Portfolio Weights Returns'!$B$9:$BJ$69,
INT((ROW(A231)-1)/COLUMNS('Portfolio Weights Returns'!$B$9:$BJ$69))+1,MOD(ROW(A231)-1,COLUMNS('Portfolio Weights Returns'!$B$9:$BJ$69))+1)</f>
        <v>-8.5653750465110778E-4</v>
      </c>
      <c r="B232" cm="1">
        <f t="array" ref="B232">INDEX('Portfolio Weights Std'!$B$9:$BJ$69,INT((ROW(A231)-1)/COLUMNS('Portfolio Weights Std'!$B$9:$BJ$69))+1,MOD(ROW(A231)-1,COLUMNS('Portfolio Weights Std'!$B$9:$BJ$69))+1)</f>
        <v>2.1807231761884031E-2</v>
      </c>
    </row>
    <row r="233" spans="1:2" x14ac:dyDescent="0.25">
      <c r="A233" cm="1">
        <f t="array" ref="A233">INDEX('Portfolio Weights Returns'!$B$9:$BJ$69,
INT((ROW(A232)-1)/COLUMNS('Portfolio Weights Returns'!$B$9:$BJ$69))+1,MOD(ROW(A232)-1,COLUMNS('Portfolio Weights Returns'!$B$9:$BJ$69))+1)</f>
        <v>-8.4975633068442875E-4</v>
      </c>
      <c r="B233" cm="1">
        <f t="array" ref="B233">INDEX('Portfolio Weights Std'!$B$9:$BJ$69,INT((ROW(A232)-1)/COLUMNS('Portfolio Weights Std'!$B$9:$BJ$69))+1,MOD(ROW(A232)-1,COLUMNS('Portfolio Weights Std'!$B$9:$BJ$69))+1)</f>
        <v>2.1669762994825433E-2</v>
      </c>
    </row>
    <row r="234" spans="1:2" x14ac:dyDescent="0.25">
      <c r="A234" cm="1">
        <f t="array" ref="A234">INDEX('Portfolio Weights Returns'!$B$9:$BJ$69,
INT((ROW(A233)-1)/COLUMNS('Portfolio Weights Returns'!$B$9:$BJ$69))+1,MOD(ROW(A233)-1,COLUMNS('Portfolio Weights Returns'!$B$9:$BJ$69))+1)</f>
        <v>-8.429751567177496E-4</v>
      </c>
      <c r="B234" cm="1">
        <f t="array" ref="B234">INDEX('Portfolio Weights Std'!$B$9:$BJ$69,INT((ROW(A233)-1)/COLUMNS('Portfolio Weights Std'!$B$9:$BJ$69))+1,MOD(ROW(A233)-1,COLUMNS('Portfolio Weights Std'!$B$9:$BJ$69))+1)</f>
        <v>2.1533566941963279E-2</v>
      </c>
    </row>
    <row r="235" spans="1:2" x14ac:dyDescent="0.25">
      <c r="A235" cm="1">
        <f t="array" ref="A235">INDEX('Portfolio Weights Returns'!$B$9:$BJ$69,
INT((ROW(A234)-1)/COLUMNS('Portfolio Weights Returns'!$B$9:$BJ$69))+1,MOD(ROW(A234)-1,COLUMNS('Portfolio Weights Returns'!$B$9:$BJ$69))+1)</f>
        <v>-8.3619398275107057E-4</v>
      </c>
      <c r="B235" cm="1">
        <f t="array" ref="B235">INDEX('Portfolio Weights Std'!$B$9:$BJ$69,INT((ROW(A234)-1)/COLUMNS('Portfolio Weights Std'!$B$9:$BJ$69))+1,MOD(ROW(A234)-1,COLUMNS('Portfolio Weights Std'!$B$9:$BJ$69))+1)</f>
        <v>2.1398667904634801E-2</v>
      </c>
    </row>
    <row r="236" spans="1:2" x14ac:dyDescent="0.25">
      <c r="A236" cm="1">
        <f t="array" ref="A236">INDEX('Portfolio Weights Returns'!$B$9:$BJ$69,
INT((ROW(A235)-1)/COLUMNS('Portfolio Weights Returns'!$B$9:$BJ$69))+1,MOD(ROW(A235)-1,COLUMNS('Portfolio Weights Returns'!$B$9:$BJ$69))+1)</f>
        <v>-8.2941280878439142E-4</v>
      </c>
      <c r="B236" cm="1">
        <f t="array" ref="B236">INDEX('Portfolio Weights Std'!$B$9:$BJ$69,INT((ROW(A235)-1)/COLUMNS('Portfolio Weights Std'!$B$9:$BJ$69))+1,MOD(ROW(A235)-1,COLUMNS('Portfolio Weights Std'!$B$9:$BJ$69))+1)</f>
        <v>2.1265090566428526E-2</v>
      </c>
    </row>
    <row r="237" spans="1:2" x14ac:dyDescent="0.25">
      <c r="A237" cm="1">
        <f t="array" ref="A237">INDEX('Portfolio Weights Returns'!$B$9:$BJ$69,
INT((ROW(A236)-1)/COLUMNS('Portfolio Weights Returns'!$B$9:$BJ$69))+1,MOD(ROW(A236)-1,COLUMNS('Portfolio Weights Returns'!$B$9:$BJ$69))+1)</f>
        <v>-8.2263163481771239E-4</v>
      </c>
      <c r="B237" cm="1">
        <f t="array" ref="B237">INDEX('Portfolio Weights Std'!$B$9:$BJ$69,INT((ROW(A236)-1)/COLUMNS('Portfolio Weights Std'!$B$9:$BJ$69))+1,MOD(ROW(A236)-1,COLUMNS('Portfolio Weights Std'!$B$9:$BJ$69))+1)</f>
        <v>2.1132859990088737E-2</v>
      </c>
    </row>
    <row r="238" spans="1:2" x14ac:dyDescent="0.25">
      <c r="A238" cm="1">
        <f t="array" ref="A238">INDEX('Portfolio Weights Returns'!$B$9:$BJ$69,
INT((ROW(A237)-1)/COLUMNS('Portfolio Weights Returns'!$B$9:$BJ$69))+1,MOD(ROW(A237)-1,COLUMNS('Portfolio Weights Returns'!$B$9:$BJ$69))+1)</f>
        <v>-8.1585046085103324E-4</v>
      </c>
      <c r="B238" cm="1">
        <f t="array" ref="B238">INDEX('Portfolio Weights Std'!$B$9:$BJ$69,INT((ROW(A237)-1)/COLUMNS('Portfolio Weights Std'!$B$9:$BJ$69))+1,MOD(ROW(A237)-1,COLUMNS('Portfolio Weights Std'!$B$9:$BJ$69))+1)</f>
        <v>2.100200161364876E-2</v>
      </c>
    </row>
    <row r="239" spans="1:2" x14ac:dyDescent="0.25">
      <c r="A239" cm="1">
        <f t="array" ref="A239">INDEX('Portfolio Weights Returns'!$B$9:$BJ$69,
INT((ROW(A238)-1)/COLUMNS('Portfolio Weights Returns'!$B$9:$BJ$69))+1,MOD(ROW(A238)-1,COLUMNS('Portfolio Weights Returns'!$B$9:$BJ$69))+1)</f>
        <v>-8.090692868843541E-4</v>
      </c>
      <c r="B239" cm="1">
        <f t="array" ref="B239">INDEX('Portfolio Weights Std'!$B$9:$BJ$69,INT((ROW(A238)-1)/COLUMNS('Portfolio Weights Std'!$B$9:$BJ$69))+1,MOD(ROW(A238)-1,COLUMNS('Portfolio Weights Std'!$B$9:$BJ$69))+1)</f>
        <v>2.0872541245747792E-2</v>
      </c>
    </row>
    <row r="240" spans="1:2" x14ac:dyDescent="0.25">
      <c r="A240" cm="1">
        <f t="array" ref="A240">INDEX('Portfolio Weights Returns'!$B$9:$BJ$69,
INT((ROW(A239)-1)/COLUMNS('Portfolio Weights Returns'!$B$9:$BJ$69))+1,MOD(ROW(A239)-1,COLUMNS('Portfolio Weights Returns'!$B$9:$BJ$69))+1)</f>
        <v>-8.0228811291767495E-4</v>
      </c>
      <c r="B240" cm="1">
        <f t="array" ref="B240">INDEX('Portfolio Weights Std'!$B$9:$BJ$69,INT((ROW(A239)-1)/COLUMNS('Portfolio Weights Std'!$B$9:$BJ$69))+1,MOD(ROW(A239)-1,COLUMNS('Portfolio Weights Std'!$B$9:$BJ$69))+1)</f>
        <v>2.0744505060085343E-2</v>
      </c>
    </row>
    <row r="241" spans="1:2" x14ac:dyDescent="0.25">
      <c r="A241" cm="1">
        <f t="array" ref="A241">INDEX('Portfolio Weights Returns'!$B$9:$BJ$69,
INT((ROW(A240)-1)/COLUMNS('Portfolio Weights Returns'!$B$9:$BJ$69))+1,MOD(ROW(A240)-1,COLUMNS('Portfolio Weights Returns'!$B$9:$BJ$69))+1)</f>
        <v>-7.9550693895099581E-4</v>
      </c>
      <c r="B241" cm="1">
        <f t="array" ref="B241">INDEX('Portfolio Weights Std'!$B$9:$BJ$69,INT((ROW(A240)-1)/COLUMNS('Portfolio Weights Std'!$B$9:$BJ$69))+1,MOD(ROW(A240)-1,COLUMNS('Portfolio Weights Std'!$B$9:$BJ$69))+1)</f>
        <v>2.0617919588966679E-2</v>
      </c>
    </row>
    <row r="242" spans="1:2" x14ac:dyDescent="0.25">
      <c r="A242" cm="1">
        <f t="array" ref="A242">INDEX('Portfolio Weights Returns'!$B$9:$BJ$69,
INT((ROW(A241)-1)/COLUMNS('Portfolio Weights Returns'!$B$9:$BJ$69))+1,MOD(ROW(A241)-1,COLUMNS('Portfolio Weights Returns'!$B$9:$BJ$69))+1)</f>
        <v>-7.8872576498431612E-4</v>
      </c>
      <c r="B242" cm="1">
        <f t="array" ref="B242">INDEX('Portfolio Weights Std'!$B$9:$BJ$69,INT((ROW(A241)-1)/COLUMNS('Portfolio Weights Std'!$B$9:$BJ$69))+1,MOD(ROW(A241)-1,COLUMNS('Portfolio Weights Std'!$B$9:$BJ$69))+1)</f>
        <v>2.0492811715892255E-2</v>
      </c>
    </row>
    <row r="243" spans="1:2" x14ac:dyDescent="0.25">
      <c r="A243" cm="1">
        <f t="array" ref="A243">INDEX('Portfolio Weights Returns'!$B$9:$BJ$69,
INT((ROW(A242)-1)/COLUMNS('Portfolio Weights Returns'!$B$9:$BJ$69))+1,MOD(ROW(A242)-1,COLUMNS('Portfolio Weights Returns'!$B$9:$BJ$69))+1)</f>
        <v>-7.8194459101763709E-4</v>
      </c>
      <c r="B243" cm="1">
        <f t="array" ref="B243">INDEX('Portfolio Weights Std'!$B$9:$BJ$69,INT((ROW(A242)-1)/COLUMNS('Portfolio Weights Std'!$B$9:$BJ$69))+1,MOD(ROW(A242)-1,COLUMNS('Portfolio Weights Std'!$B$9:$BJ$69))+1)</f>
        <v>2.0369208667143951E-2</v>
      </c>
    </row>
    <row r="244" spans="1:2" x14ac:dyDescent="0.25">
      <c r="A244" cm="1">
        <f t="array" ref="A244">INDEX('Portfolio Weights Returns'!$B$9:$BJ$69,
INT((ROW(A243)-1)/COLUMNS('Portfolio Weights Returns'!$B$9:$BJ$69))+1,MOD(ROW(A243)-1,COLUMNS('Portfolio Weights Returns'!$B$9:$BJ$69))+1)</f>
        <v>-7.7516341705095794E-4</v>
      </c>
      <c r="B244" cm="1">
        <f t="array" ref="B244">INDEX('Portfolio Weights Std'!$B$9:$BJ$69,INT((ROW(A243)-1)/COLUMNS('Portfolio Weights Std'!$B$9:$BJ$69))+1,MOD(ROW(A243)-1,COLUMNS('Portfolio Weights Std'!$B$9:$BJ$69))+1)</f>
        <v>2.0247138002320718E-2</v>
      </c>
    </row>
    <row r="245" spans="1:2" x14ac:dyDescent="0.25">
      <c r="A245" cm="1">
        <f t="array" ref="A245">INDEX('Portfolio Weights Returns'!$B$9:$BJ$69,
INT((ROW(A244)-1)/COLUMNS('Portfolio Weights Returns'!$B$9:$BJ$69))+1,MOD(ROW(A244)-1,COLUMNS('Portfolio Weights Returns'!$B$9:$BJ$69))+1)</f>
        <v>-7.683822430842788E-4</v>
      </c>
      <c r="B245" cm="1">
        <f t="array" ref="B245">INDEX('Portfolio Weights Std'!$B$9:$BJ$69,INT((ROW(A244)-1)/COLUMNS('Portfolio Weights Std'!$B$9:$BJ$69))+1,MOD(ROW(A244)-1,COLUMNS('Portfolio Weights Std'!$B$9:$BJ$69))+1)</f>
        <v>2.012662760377687E-2</v>
      </c>
    </row>
    <row r="246" spans="1:2" x14ac:dyDescent="0.25">
      <c r="A246" cm="1">
        <f t="array" ref="A246">INDEX('Portfolio Weights Returns'!$B$9:$BJ$69,
INT((ROW(A245)-1)/COLUMNS('Portfolio Weights Returns'!$B$9:$BJ$69))+1,MOD(ROW(A245)-1,COLUMNS('Portfolio Weights Returns'!$B$9:$BJ$69))+1)</f>
        <v>-1.1686784732395704E-3</v>
      </c>
      <c r="B246" cm="1">
        <f t="array" ref="B246">INDEX('Portfolio Weights Std'!$B$9:$BJ$69,INT((ROW(A245)-1)/COLUMNS('Portfolio Weights Std'!$B$9:$BJ$69))+1,MOD(ROW(A245)-1,COLUMNS('Portfolio Weights Std'!$B$9:$BJ$69))+1)</f>
        <v>2.9095395309697795E-2</v>
      </c>
    </row>
    <row r="247" spans="1:2" x14ac:dyDescent="0.25">
      <c r="A247" cm="1">
        <f t="array" ref="A247">INDEX('Portfolio Weights Returns'!$B$9:$BJ$69,
INT((ROW(A246)-1)/COLUMNS('Portfolio Weights Returns'!$B$9:$BJ$69))+1,MOD(ROW(A246)-1,COLUMNS('Portfolio Weights Returns'!$B$9:$BJ$69))+1)</f>
        <v>-1.1618972992728915E-3</v>
      </c>
      <c r="B247" cm="1">
        <f t="array" ref="B247">INDEX('Portfolio Weights Std'!$B$9:$BJ$69,INT((ROW(A246)-1)/COLUMNS('Portfolio Weights Std'!$B$9:$BJ$69))+1,MOD(ROW(A246)-1,COLUMNS('Portfolio Weights Std'!$B$9:$BJ$69))+1)</f>
        <v>2.8918662015446059E-2</v>
      </c>
    </row>
    <row r="248" spans="1:2" x14ac:dyDescent="0.25">
      <c r="A248" cm="1">
        <f t="array" ref="A248">INDEX('Portfolio Weights Returns'!$B$9:$BJ$69,
INT((ROW(A247)-1)/COLUMNS('Portfolio Weights Returns'!$B$9:$BJ$69))+1,MOD(ROW(A247)-1,COLUMNS('Portfolio Weights Returns'!$B$9:$BJ$69))+1)</f>
        <v>-1.1551161253062123E-3</v>
      </c>
      <c r="B248" cm="1">
        <f t="array" ref="B248">INDEX('Portfolio Weights Std'!$B$9:$BJ$69,INT((ROW(A247)-1)/COLUMNS('Portfolio Weights Std'!$B$9:$BJ$69))+1,MOD(ROW(A247)-1,COLUMNS('Portfolio Weights Std'!$B$9:$BJ$69))+1)</f>
        <v>2.8742452977370374E-2</v>
      </c>
    </row>
    <row r="249" spans="1:2" x14ac:dyDescent="0.25">
      <c r="A249" cm="1">
        <f t="array" ref="A249">INDEX('Portfolio Weights Returns'!$B$9:$BJ$69,
INT((ROW(A248)-1)/COLUMNS('Portfolio Weights Returns'!$B$9:$BJ$69))+1,MOD(ROW(A248)-1,COLUMNS('Portfolio Weights Returns'!$B$9:$BJ$69))+1)</f>
        <v>-1.1483349513395332E-3</v>
      </c>
      <c r="B249" cm="1">
        <f t="array" ref="B249">INDEX('Portfolio Weights Std'!$B$9:$BJ$69,INT((ROW(A248)-1)/COLUMNS('Portfolio Weights Std'!$B$9:$BJ$69))+1,MOD(ROW(A248)-1,COLUMNS('Portfolio Weights Std'!$B$9:$BJ$69))+1)</f>
        <v>2.8566777896812546E-2</v>
      </c>
    </row>
    <row r="250" spans="1:2" x14ac:dyDescent="0.25">
      <c r="A250" cm="1">
        <f t="array" ref="A250">INDEX('Portfolio Weights Returns'!$B$9:$BJ$69,
INT((ROW(A249)-1)/COLUMNS('Portfolio Weights Returns'!$B$9:$BJ$69))+1,MOD(ROW(A249)-1,COLUMNS('Portfolio Weights Returns'!$B$9:$BJ$69))+1)</f>
        <v>-1.141553777372854E-3</v>
      </c>
      <c r="B250" cm="1">
        <f t="array" ref="B250">INDEX('Portfolio Weights Std'!$B$9:$BJ$69,INT((ROW(A249)-1)/COLUMNS('Portfolio Weights Std'!$B$9:$BJ$69))+1,MOD(ROW(A249)-1,COLUMNS('Portfolio Weights Std'!$B$9:$BJ$69))+1)</f>
        <v>2.8391646685460393E-2</v>
      </c>
    </row>
    <row r="251" spans="1:2" x14ac:dyDescent="0.25">
      <c r="A251" cm="1">
        <f t="array" ref="A251">INDEX('Portfolio Weights Returns'!$B$9:$BJ$69,
INT((ROW(A250)-1)/COLUMNS('Portfolio Weights Returns'!$B$9:$BJ$69))+1,MOD(ROW(A250)-1,COLUMNS('Portfolio Weights Returns'!$B$9:$BJ$69))+1)</f>
        <v>-1.1347726034061749E-3</v>
      </c>
      <c r="B251" cm="1">
        <f t="array" ref="B251">INDEX('Portfolio Weights Std'!$B$9:$BJ$69,INT((ROW(A250)-1)/COLUMNS('Portfolio Weights Std'!$B$9:$BJ$69))+1,MOD(ROW(A250)-1,COLUMNS('Portfolio Weights Std'!$B$9:$BJ$69))+1)</f>
        <v>2.8217069470002309E-2</v>
      </c>
    </row>
    <row r="252" spans="1:2" x14ac:dyDescent="0.25">
      <c r="A252" cm="1">
        <f t="array" ref="A252">INDEX('Portfolio Weights Returns'!$B$9:$BJ$69,
INT((ROW(A251)-1)/COLUMNS('Portfolio Weights Returns'!$B$9:$BJ$69))+1,MOD(ROW(A251)-1,COLUMNS('Portfolio Weights Returns'!$B$9:$BJ$69))+1)</f>
        <v>-1.127991429439496E-3</v>
      </c>
      <c r="B252" cm="1">
        <f t="array" ref="B252">INDEX('Portfolio Weights Std'!$B$9:$BJ$69,INT((ROW(A251)-1)/COLUMNS('Portfolio Weights Std'!$B$9:$BJ$69))+1,MOD(ROW(A251)-1,COLUMNS('Portfolio Weights Std'!$B$9:$BJ$69))+1)</f>
        <v>2.8043056596858067E-2</v>
      </c>
    </row>
    <row r="253" spans="1:2" x14ac:dyDescent="0.25">
      <c r="A253" cm="1">
        <f t="array" ref="A253">INDEX('Portfolio Weights Returns'!$B$9:$BJ$69,
INT((ROW(A252)-1)/COLUMNS('Portfolio Weights Returns'!$B$9:$BJ$69))+1,MOD(ROW(A252)-1,COLUMNS('Portfolio Weights Returns'!$B$9:$BJ$69))+1)</f>
        <v>-1.1212102554728168E-3</v>
      </c>
      <c r="B253" cm="1">
        <f t="array" ref="B253">INDEX('Portfolio Weights Std'!$B$9:$BJ$69,INT((ROW(A252)-1)/COLUMNS('Portfolio Weights Std'!$B$9:$BJ$69))+1,MOD(ROW(A252)-1,COLUMNS('Portfolio Weights Std'!$B$9:$BJ$69))+1)</f>
        <v>2.7869618636984589E-2</v>
      </c>
    </row>
    <row r="254" spans="1:2" x14ac:dyDescent="0.25">
      <c r="A254" cm="1">
        <f t="array" ref="A254">INDEX('Portfolio Weights Returns'!$B$9:$BJ$69,
INT((ROW(A253)-1)/COLUMNS('Portfolio Weights Returns'!$B$9:$BJ$69))+1,MOD(ROW(A253)-1,COLUMNS('Portfolio Weights Returns'!$B$9:$BJ$69))+1)</f>
        <v>-1.1144290815061377E-3</v>
      </c>
      <c r="B254" cm="1">
        <f t="array" ref="B254">INDEX('Portfolio Weights Std'!$B$9:$BJ$69,INT((ROW(A253)-1)/COLUMNS('Portfolio Weights Std'!$B$9:$BJ$69))+1,MOD(ROW(A253)-1,COLUMNS('Portfolio Weights Std'!$B$9:$BJ$69))+1)</f>
        <v>2.7696766390755058E-2</v>
      </c>
    </row>
    <row r="255" spans="1:2" x14ac:dyDescent="0.25">
      <c r="A255" cm="1">
        <f t="array" ref="A255">INDEX('Portfolio Weights Returns'!$B$9:$BJ$69,
INT((ROW(A254)-1)/COLUMNS('Portfolio Weights Returns'!$B$9:$BJ$69))+1,MOD(ROW(A254)-1,COLUMNS('Portfolio Weights Returns'!$B$9:$BJ$69))+1)</f>
        <v>-1.1076479075394585E-3</v>
      </c>
      <c r="B255" cm="1">
        <f t="array" ref="B255">INDEX('Portfolio Weights Std'!$B$9:$BJ$69,INT((ROW(A254)-1)/COLUMNS('Portfolio Weights Std'!$B$9:$BJ$69))+1,MOD(ROW(A254)-1,COLUMNS('Portfolio Weights Std'!$B$9:$BJ$69))+1)</f>
        <v>2.7524510892909339E-2</v>
      </c>
    </row>
    <row r="256" spans="1:2" x14ac:dyDescent="0.25">
      <c r="A256" cm="1">
        <f t="array" ref="A256">INDEX('Portfolio Weights Returns'!$B$9:$BJ$69,
INT((ROW(A255)-1)/COLUMNS('Portfolio Weights Returns'!$B$9:$BJ$69))+1,MOD(ROW(A255)-1,COLUMNS('Portfolio Weights Returns'!$B$9:$BJ$69))+1)</f>
        <v>-1.1008667335727796E-3</v>
      </c>
      <c r="B256" cm="1">
        <f t="array" ref="B256">INDEX('Portfolio Weights Std'!$B$9:$BJ$69,INT((ROW(A255)-1)/COLUMNS('Portfolio Weights Std'!$B$9:$BJ$69))+1,MOD(ROW(A255)-1,COLUMNS('Portfolio Weights Std'!$B$9:$BJ$69))+1)</f>
        <v>2.7352863417573613E-2</v>
      </c>
    </row>
    <row r="257" spans="1:2" x14ac:dyDescent="0.25">
      <c r="A257" cm="1">
        <f t="array" ref="A257">INDEX('Portfolio Weights Returns'!$B$9:$BJ$69,
INT((ROW(A256)-1)/COLUMNS('Portfolio Weights Returns'!$B$9:$BJ$69))+1,MOD(ROW(A256)-1,COLUMNS('Portfolio Weights Returns'!$B$9:$BJ$69))+1)</f>
        <v>-1.0940855596061005E-3</v>
      </c>
      <c r="B257" cm="1">
        <f t="array" ref="B257">INDEX('Portfolio Weights Std'!$B$9:$BJ$69,INT((ROW(A256)-1)/COLUMNS('Portfolio Weights Std'!$B$9:$BJ$69))+1,MOD(ROW(A256)-1,COLUMNS('Portfolio Weights Std'!$B$9:$BJ$69))+1)</f>
        <v>2.71818354833465E-2</v>
      </c>
    </row>
    <row r="258" spans="1:2" x14ac:dyDescent="0.25">
      <c r="A258" cm="1">
        <f t="array" ref="A258">INDEX('Portfolio Weights Returns'!$B$9:$BJ$69,
INT((ROW(A257)-1)/COLUMNS('Portfolio Weights Returns'!$B$9:$BJ$69))+1,MOD(ROW(A257)-1,COLUMNS('Portfolio Weights Returns'!$B$9:$BJ$69))+1)</f>
        <v>-1.0873043856394213E-3</v>
      </c>
      <c r="B258" cm="1">
        <f t="array" ref="B258">INDEX('Portfolio Weights Std'!$B$9:$BJ$69,INT((ROW(A257)-1)/COLUMNS('Portfolio Weights Std'!$B$9:$BJ$69))+1,MOD(ROW(A257)-1,COLUMNS('Portfolio Weights Std'!$B$9:$BJ$69))+1)</f>
        <v>2.7011438858448818E-2</v>
      </c>
    </row>
    <row r="259" spans="1:2" x14ac:dyDescent="0.25">
      <c r="A259" cm="1">
        <f t="array" ref="A259">INDEX('Portfolio Weights Returns'!$B$9:$BJ$69,
INT((ROW(A258)-1)/COLUMNS('Portfolio Weights Returns'!$B$9:$BJ$69))+1,MOD(ROW(A258)-1,COLUMNS('Portfolio Weights Returns'!$B$9:$BJ$69))+1)</f>
        <v>-1.080523211672742E-3</v>
      </c>
      <c r="B259" cm="1">
        <f t="array" ref="B259">INDEX('Portfolio Weights Std'!$B$9:$BJ$69,INT((ROW(A258)-1)/COLUMNS('Portfolio Weights Std'!$B$9:$BJ$69))+1,MOD(ROW(A258)-1,COLUMNS('Portfolio Weights Std'!$B$9:$BJ$69))+1)</f>
        <v>2.6841685565933606E-2</v>
      </c>
    </row>
    <row r="260" spans="1:2" x14ac:dyDescent="0.25">
      <c r="A260" cm="1">
        <f t="array" ref="A260">INDEX('Portfolio Weights Returns'!$B$9:$BJ$69,
INT((ROW(A259)-1)/COLUMNS('Portfolio Weights Returns'!$B$9:$BJ$69))+1,MOD(ROW(A259)-1,COLUMNS('Portfolio Weights Returns'!$B$9:$BJ$69))+1)</f>
        <v>-1.073742037706063E-3</v>
      </c>
      <c r="B260" cm="1">
        <f t="array" ref="B260">INDEX('Portfolio Weights Std'!$B$9:$BJ$69,INT((ROW(A259)-1)/COLUMNS('Portfolio Weights Std'!$B$9:$BJ$69))+1,MOD(ROW(A259)-1,COLUMNS('Portfolio Weights Std'!$B$9:$BJ$69))+1)</f>
        <v>2.6672587888952663E-2</v>
      </c>
    </row>
    <row r="261" spans="1:2" x14ac:dyDescent="0.25">
      <c r="A261" cm="1">
        <f t="array" ref="A261">INDEX('Portfolio Weights Returns'!$B$9:$BJ$69,
INT((ROW(A260)-1)/COLUMNS('Portfolio Weights Returns'!$B$9:$BJ$69))+1,MOD(ROW(A260)-1,COLUMNS('Portfolio Weights Returns'!$B$9:$BJ$69))+1)</f>
        <v>-1.0669608637393839E-3</v>
      </c>
      <c r="B261" cm="1">
        <f t="array" ref="B261">INDEX('Portfolio Weights Std'!$B$9:$BJ$69,INT((ROW(A260)-1)/COLUMNS('Portfolio Weights Std'!$B$9:$BJ$69))+1,MOD(ROW(A260)-1,COLUMNS('Portfolio Weights Std'!$B$9:$BJ$69))+1)</f>
        <v>2.6504158376075362E-2</v>
      </c>
    </row>
    <row r="262" spans="1:2" x14ac:dyDescent="0.25">
      <c r="A262" cm="1">
        <f t="array" ref="A262">INDEX('Portfolio Weights Returns'!$B$9:$BJ$69,
INT((ROW(A261)-1)/COLUMNS('Portfolio Weights Returns'!$B$9:$BJ$69))+1,MOD(ROW(A261)-1,COLUMNS('Portfolio Weights Returns'!$B$9:$BJ$69))+1)</f>
        <v>-1.060179689772705E-3</v>
      </c>
      <c r="B262" cm="1">
        <f t="array" ref="B262">INDEX('Portfolio Weights Std'!$B$9:$BJ$69,INT((ROW(A261)-1)/COLUMNS('Portfolio Weights Std'!$B$9:$BJ$69))+1,MOD(ROW(A261)-1,COLUMNS('Portfolio Weights Std'!$B$9:$BJ$69))+1)</f>
        <v>2.6336409846655133E-2</v>
      </c>
    </row>
    <row r="263" spans="1:2" x14ac:dyDescent="0.25">
      <c r="A263" cm="1">
        <f t="array" ref="A263">INDEX('Portfolio Weights Returns'!$B$9:$BJ$69,
INT((ROW(A262)-1)/COLUMNS('Portfolio Weights Returns'!$B$9:$BJ$69))+1,MOD(ROW(A262)-1,COLUMNS('Portfolio Weights Returns'!$B$9:$BJ$69))+1)</f>
        <v>-1.0533985158060256E-3</v>
      </c>
      <c r="B263" cm="1">
        <f t="array" ref="B263">INDEX('Portfolio Weights Std'!$B$9:$BJ$69,INT((ROW(A262)-1)/COLUMNS('Portfolio Weights Std'!$B$9:$BJ$69))+1,MOD(ROW(A262)-1,COLUMNS('Portfolio Weights Std'!$B$9:$BJ$69))+1)</f>
        <v>2.6169355396238304E-2</v>
      </c>
    </row>
    <row r="264" spans="1:2" x14ac:dyDescent="0.25">
      <c r="A264" cm="1">
        <f t="array" ref="A264">INDEX('Portfolio Weights Returns'!$B$9:$BJ$69,
INT((ROW(A263)-1)/COLUMNS('Portfolio Weights Returns'!$B$9:$BJ$69))+1,MOD(ROW(A263)-1,COLUMNS('Portfolio Weights Returns'!$B$9:$BJ$69))+1)</f>
        <v>-1.0466173418393467E-3</v>
      </c>
      <c r="B264" cm="1">
        <f t="array" ref="B264">INDEX('Portfolio Weights Std'!$B$9:$BJ$69,INT((ROW(A263)-1)/COLUMNS('Portfolio Weights Std'!$B$9:$BJ$69))+1,MOD(ROW(A263)-1,COLUMNS('Portfolio Weights Std'!$B$9:$BJ$69))+1)</f>
        <v>2.6003008402009684E-2</v>
      </c>
    </row>
    <row r="265" spans="1:2" x14ac:dyDescent="0.25">
      <c r="A265" cm="1">
        <f t="array" ref="A265">INDEX('Portfolio Weights Returns'!$B$9:$BJ$69,
INT((ROW(A264)-1)/COLUMNS('Portfolio Weights Returns'!$B$9:$BJ$69))+1,MOD(ROW(A264)-1,COLUMNS('Portfolio Weights Returns'!$B$9:$BJ$69))+1)</f>
        <v>-1.0398361678726677E-3</v>
      </c>
      <c r="B265" cm="1">
        <f t="array" ref="B265">INDEX('Portfolio Weights Std'!$B$9:$BJ$69,INT((ROW(A264)-1)/COLUMNS('Portfolio Weights Std'!$B$9:$BJ$69))+1,MOD(ROW(A264)-1,COLUMNS('Portfolio Weights Std'!$B$9:$BJ$69))+1)</f>
        <v>2.5837382528268449E-2</v>
      </c>
    </row>
    <row r="266" spans="1:2" x14ac:dyDescent="0.25">
      <c r="A266" cm="1">
        <f t="array" ref="A266">INDEX('Portfolio Weights Returns'!$B$9:$BJ$69,
INT((ROW(A265)-1)/COLUMNS('Portfolio Weights Returns'!$B$9:$BJ$69))+1,MOD(ROW(A265)-1,COLUMNS('Portfolio Weights Returns'!$B$9:$BJ$69))+1)</f>
        <v>-1.0330549939059886E-3</v>
      </c>
      <c r="B266" cm="1">
        <f t="array" ref="B266">INDEX('Portfolio Weights Std'!$B$9:$BJ$69,INT((ROW(A265)-1)/COLUMNS('Portfolio Weights Std'!$B$9:$BJ$69))+1,MOD(ROW(A265)-1,COLUMNS('Portfolio Weights Std'!$B$9:$BJ$69))+1)</f>
        <v>2.5672491731927444E-2</v>
      </c>
    </row>
    <row r="267" spans="1:2" x14ac:dyDescent="0.25">
      <c r="A267" cm="1">
        <f t="array" ref="A267">INDEX('Portfolio Weights Returns'!$B$9:$BJ$69,
INT((ROW(A266)-1)/COLUMNS('Portfolio Weights Returns'!$B$9:$BJ$69))+1,MOD(ROW(A266)-1,COLUMNS('Portfolio Weights Returns'!$B$9:$BJ$69))+1)</f>
        <v>-1.0262738199393094E-3</v>
      </c>
      <c r="B267" cm="1">
        <f t="array" ref="B267">INDEX('Portfolio Weights Std'!$B$9:$BJ$69,INT((ROW(A266)-1)/COLUMNS('Portfolio Weights Std'!$B$9:$BJ$69))+1,MOD(ROW(A266)-1,COLUMNS('Portfolio Weights Std'!$B$9:$BJ$69))+1)</f>
        <v>2.5508350268028314E-2</v>
      </c>
    </row>
    <row r="268" spans="1:2" x14ac:dyDescent="0.25">
      <c r="A268" cm="1">
        <f t="array" ref="A268">INDEX('Portfolio Weights Returns'!$B$9:$BJ$69,
INT((ROW(A267)-1)/COLUMNS('Portfolio Weights Returns'!$B$9:$BJ$69))+1,MOD(ROW(A267)-1,COLUMNS('Portfolio Weights Returns'!$B$9:$BJ$69))+1)</f>
        <v>-1.0194926459726303E-3</v>
      </c>
      <c r="B268" cm="1">
        <f t="array" ref="B268">INDEX('Portfolio Weights Std'!$B$9:$BJ$69,INT((ROW(A267)-1)/COLUMNS('Portfolio Weights Std'!$B$9:$BJ$69))+1,MOD(ROW(A267)-1,COLUMNS('Portfolio Weights Std'!$B$9:$BJ$69))+1)</f>
        <v>2.5344972695264114E-2</v>
      </c>
    </row>
    <row r="269" spans="1:2" x14ac:dyDescent="0.25">
      <c r="A269" cm="1">
        <f t="array" ref="A269">INDEX('Portfolio Weights Returns'!$B$9:$BJ$69,
INT((ROW(A268)-1)/COLUMNS('Portfolio Weights Returns'!$B$9:$BJ$69))+1,MOD(ROW(A268)-1,COLUMNS('Portfolio Weights Returns'!$B$9:$BJ$69))+1)</f>
        <v>-1.0127114720059514E-3</v>
      </c>
      <c r="B269" cm="1">
        <f t="array" ref="B269">INDEX('Portfolio Weights Std'!$B$9:$BJ$69,INT((ROW(A268)-1)/COLUMNS('Portfolio Weights Std'!$B$9:$BJ$69))+1,MOD(ROW(A268)-1,COLUMNS('Portfolio Weights Std'!$B$9:$BJ$69))+1)</f>
        <v>2.5182373881500377E-2</v>
      </c>
    </row>
    <row r="270" spans="1:2" x14ac:dyDescent="0.25">
      <c r="A270" cm="1">
        <f t="array" ref="A270">INDEX('Portfolio Weights Returns'!$B$9:$BJ$69,
INT((ROW(A269)-1)/COLUMNS('Portfolio Weights Returns'!$B$9:$BJ$69))+1,MOD(ROW(A269)-1,COLUMNS('Portfolio Weights Returns'!$B$9:$BJ$69))+1)</f>
        <v>-1.0059302980392722E-3</v>
      </c>
      <c r="B270" cm="1">
        <f t="array" ref="B270">INDEX('Portfolio Weights Std'!$B$9:$BJ$69,INT((ROW(A269)-1)/COLUMNS('Portfolio Weights Std'!$B$9:$BJ$69))+1,MOD(ROW(A269)-1,COLUMNS('Portfolio Weights Std'!$B$9:$BJ$69))+1)</f>
        <v>2.5020569009284892E-2</v>
      </c>
    </row>
    <row r="271" spans="1:2" x14ac:dyDescent="0.25">
      <c r="A271" cm="1">
        <f t="array" ref="A271">INDEX('Portfolio Weights Returns'!$B$9:$BJ$69,
INT((ROW(A270)-1)/COLUMNS('Portfolio Weights Returns'!$B$9:$BJ$69))+1,MOD(ROW(A270)-1,COLUMNS('Portfolio Weights Returns'!$B$9:$BJ$69))+1)</f>
        <v>-9.9914912407259287E-4</v>
      </c>
      <c r="B271" cm="1">
        <f t="array" ref="B271">INDEX('Portfolio Weights Std'!$B$9:$BJ$69,INT((ROW(A270)-1)/COLUMNS('Portfolio Weights Std'!$B$9:$BJ$69))+1,MOD(ROW(A270)-1,COLUMNS('Portfolio Weights Std'!$B$9:$BJ$69))+1)</f>
        <v>2.4859573581335392E-2</v>
      </c>
    </row>
    <row r="272" spans="1:2" x14ac:dyDescent="0.25">
      <c r="A272" cm="1">
        <f t="array" ref="A272">INDEX('Portfolio Weights Returns'!$B$9:$BJ$69,
INT((ROW(A271)-1)/COLUMNS('Portfolio Weights Returns'!$B$9:$BJ$69))+1,MOD(ROW(A271)-1,COLUMNS('Portfolio Weights Returns'!$B$9:$BJ$69))+1)</f>
        <v>-9.9236795010591372E-4</v>
      </c>
      <c r="B272" cm="1">
        <f t="array" ref="B272">INDEX('Portfolio Weights Std'!$B$9:$BJ$69,INT((ROW(A271)-1)/COLUMNS('Portfolio Weights Std'!$B$9:$BJ$69))+1,MOD(ROW(A271)-1,COLUMNS('Portfolio Weights Std'!$B$9:$BJ$69))+1)</f>
        <v>2.4699403425993822E-2</v>
      </c>
    </row>
    <row r="273" spans="1:2" x14ac:dyDescent="0.25">
      <c r="A273" cm="1">
        <f t="array" ref="A273">INDEX('Portfolio Weights Returns'!$B$9:$BJ$69,
INT((ROW(A272)-1)/COLUMNS('Portfolio Weights Returns'!$B$9:$BJ$69))+1,MOD(ROW(A272)-1,COLUMNS('Portfolio Weights Returns'!$B$9:$BJ$69))+1)</f>
        <v>-9.8558677613923458E-4</v>
      </c>
      <c r="B273" cm="1">
        <f t="array" ref="B273">INDEX('Portfolio Weights Std'!$B$9:$BJ$69,INT((ROW(A272)-1)/COLUMNS('Portfolio Weights Std'!$B$9:$BJ$69))+1,MOD(ROW(A272)-1,COLUMNS('Portfolio Weights Std'!$B$9:$BJ$69))+1)</f>
        <v>2.454007470263463E-2</v>
      </c>
    </row>
    <row r="274" spans="1:2" x14ac:dyDescent="0.25">
      <c r="A274" cm="1">
        <f t="array" ref="A274">INDEX('Portfolio Weights Returns'!$B$9:$BJ$69,
INT((ROW(A273)-1)/COLUMNS('Portfolio Weights Returns'!$B$9:$BJ$69))+1,MOD(ROW(A273)-1,COLUMNS('Portfolio Weights Returns'!$B$9:$BJ$69))+1)</f>
        <v>-9.7880560217255565E-4</v>
      </c>
      <c r="B274" cm="1">
        <f t="array" ref="B274">INDEX('Portfolio Weights Std'!$B$9:$BJ$69,INT((ROW(A273)-1)/COLUMNS('Portfolio Weights Std'!$B$9:$BJ$69))+1,MOD(ROW(A273)-1,COLUMNS('Portfolio Weights Std'!$B$9:$BJ$69))+1)</f>
        <v>2.4381603907013723E-2</v>
      </c>
    </row>
    <row r="275" spans="1:2" x14ac:dyDescent="0.25">
      <c r="A275" cm="1">
        <f t="array" ref="A275">INDEX('Portfolio Weights Returns'!$B$9:$BJ$69,
INT((ROW(A274)-1)/COLUMNS('Portfolio Weights Returns'!$B$9:$BJ$69))+1,MOD(ROW(A274)-1,COLUMNS('Portfolio Weights Returns'!$B$9:$BJ$69))+1)</f>
        <v>-9.7202442820587651E-4</v>
      </c>
      <c r="B275" cm="1">
        <f t="array" ref="B275">INDEX('Portfolio Weights Std'!$B$9:$BJ$69,INT((ROW(A274)-1)/COLUMNS('Portfolio Weights Std'!$B$9:$BJ$69))+1,MOD(ROW(A274)-1,COLUMNS('Portfolio Weights Std'!$B$9:$BJ$69))+1)</f>
        <v>2.4224007876543704E-2</v>
      </c>
    </row>
    <row r="276" spans="1:2" x14ac:dyDescent="0.25">
      <c r="A276" cm="1">
        <f t="array" ref="A276">INDEX('Portfolio Weights Returns'!$B$9:$BJ$69,
INT((ROW(A275)-1)/COLUMNS('Portfolio Weights Returns'!$B$9:$BJ$69))+1,MOD(ROW(A275)-1,COLUMNS('Portfolio Weights Returns'!$B$9:$BJ$69))+1)</f>
        <v>-9.6524325423919736E-4</v>
      </c>
      <c r="B276" cm="1">
        <f t="array" ref="B276">INDEX('Portfolio Weights Std'!$B$9:$BJ$69,INT((ROW(A275)-1)/COLUMNS('Portfolio Weights Std'!$B$9:$BJ$69))+1,MOD(ROW(A275)-1,COLUMNS('Portfolio Weights Std'!$B$9:$BJ$69))+1)</f>
        <v>2.4067303795479923E-2</v>
      </c>
    </row>
    <row r="277" spans="1:2" x14ac:dyDescent="0.25">
      <c r="A277" cm="1">
        <f t="array" ref="A277">INDEX('Portfolio Weights Returns'!$B$9:$BJ$69,
INT((ROW(A276)-1)/COLUMNS('Portfolio Weights Returns'!$B$9:$BJ$69))+1,MOD(ROW(A276)-1,COLUMNS('Portfolio Weights Returns'!$B$9:$BJ$69))+1)</f>
        <v>-9.5846208027251833E-4</v>
      </c>
      <c r="B277" cm="1">
        <f t="array" ref="B277">INDEX('Portfolio Weights Std'!$B$9:$BJ$69,INT((ROW(A276)-1)/COLUMNS('Portfolio Weights Std'!$B$9:$BJ$69))+1,MOD(ROW(A276)-1,COLUMNS('Portfolio Weights Std'!$B$9:$BJ$69))+1)</f>
        <v>2.3911509200000711E-2</v>
      </c>
    </row>
    <row r="278" spans="1:2" x14ac:dyDescent="0.25">
      <c r="A278" cm="1">
        <f t="array" ref="A278">INDEX('Portfolio Weights Returns'!$B$9:$BJ$69,
INT((ROW(A277)-1)/COLUMNS('Portfolio Weights Returns'!$B$9:$BJ$69))+1,MOD(ROW(A277)-1,COLUMNS('Portfolio Weights Returns'!$B$9:$BJ$69))+1)</f>
        <v>-9.5168090630583918E-4</v>
      </c>
      <c r="B278" cm="1">
        <f t="array" ref="B278">INDEX('Portfolio Weights Std'!$B$9:$BJ$69,INT((ROW(A277)-1)/COLUMNS('Portfolio Weights Std'!$B$9:$BJ$69))+1,MOD(ROW(A277)-1,COLUMNS('Portfolio Weights Std'!$B$9:$BJ$69))+1)</f>
        <v>2.3756641983164229E-2</v>
      </c>
    </row>
    <row r="279" spans="1:2" x14ac:dyDescent="0.25">
      <c r="A279" cm="1">
        <f t="array" ref="A279">INDEX('Portfolio Weights Returns'!$B$9:$BJ$69,
INT((ROW(A278)-1)/COLUMNS('Portfolio Weights Returns'!$B$9:$BJ$69))+1,MOD(ROW(A278)-1,COLUMNS('Portfolio Weights Returns'!$B$9:$BJ$69))+1)</f>
        <v>-9.4489973233916015E-4</v>
      </c>
      <c r="B279" cm="1">
        <f t="array" ref="B279">INDEX('Portfolio Weights Std'!$B$9:$BJ$69,INT((ROW(A278)-1)/COLUMNS('Portfolio Weights Std'!$B$9:$BJ$69))+1,MOD(ROW(A278)-1,COLUMNS('Portfolio Weights Std'!$B$9:$BJ$69))+1)</f>
        <v>2.3602720399722776E-2</v>
      </c>
    </row>
    <row r="280" spans="1:2" x14ac:dyDescent="0.25">
      <c r="A280" cm="1">
        <f t="array" ref="A280">INDEX('Portfolio Weights Returns'!$B$9:$BJ$69,
INT((ROW(A279)-1)/COLUMNS('Portfolio Weights Returns'!$B$9:$BJ$69))+1,MOD(ROW(A279)-1,COLUMNS('Portfolio Weights Returns'!$B$9:$BJ$69))+1)</f>
        <v>-9.38118558372481E-4</v>
      </c>
      <c r="B280" cm="1">
        <f t="array" ref="B280">INDEX('Portfolio Weights Std'!$B$9:$BJ$69,INT((ROW(A279)-1)/COLUMNS('Portfolio Weights Std'!$B$9:$BJ$69))+1,MOD(ROW(A279)-1,COLUMNS('Portfolio Weights Std'!$B$9:$BJ$69))+1)</f>
        <v>2.3449763070774596E-2</v>
      </c>
    </row>
    <row r="281" spans="1:2" x14ac:dyDescent="0.25">
      <c r="A281" cm="1">
        <f t="array" ref="A281">INDEX('Portfolio Weights Returns'!$B$9:$BJ$69,
INT((ROW(A280)-1)/COLUMNS('Portfolio Weights Returns'!$B$9:$BJ$69))+1,MOD(ROW(A280)-1,COLUMNS('Portfolio Weights Returns'!$B$9:$BJ$69))+1)</f>
        <v>-9.3133738440580175E-4</v>
      </c>
      <c r="B281" cm="1">
        <f t="array" ref="B281">INDEX('Portfolio Weights Std'!$B$9:$BJ$69,INT((ROW(A280)-1)/COLUMNS('Portfolio Weights Std'!$B$9:$BJ$69))+1,MOD(ROW(A280)-1,COLUMNS('Portfolio Weights Std'!$B$9:$BJ$69))+1)</f>
        <v>2.3297788988231573E-2</v>
      </c>
    </row>
    <row r="282" spans="1:2" x14ac:dyDescent="0.25">
      <c r="A282" cm="1">
        <f t="array" ref="A282">INDEX('Portfolio Weights Returns'!$B$9:$BJ$69,
INT((ROW(A281)-1)/COLUMNS('Portfolio Weights Returns'!$B$9:$BJ$69))+1,MOD(ROW(A281)-1,COLUMNS('Portfolio Weights Returns'!$B$9:$BJ$69))+1)</f>
        <v>-9.2455621043912271E-4</v>
      </c>
      <c r="B282" cm="1">
        <f t="array" ref="B282">INDEX('Portfolio Weights Std'!$B$9:$BJ$69,INT((ROW(A281)-1)/COLUMNS('Portfolio Weights Std'!$B$9:$BJ$69))+1,MOD(ROW(A281)-1,COLUMNS('Portfolio Weights Std'!$B$9:$BJ$69))+1)</f>
        <v>2.3146817519080036E-2</v>
      </c>
    </row>
    <row r="283" spans="1:2" x14ac:dyDescent="0.25">
      <c r="A283" cm="1">
        <f t="array" ref="A283">INDEX('Portfolio Weights Returns'!$B$9:$BJ$69,
INT((ROW(A282)-1)/COLUMNS('Portfolio Weights Returns'!$B$9:$BJ$69))+1,MOD(ROW(A282)-1,COLUMNS('Portfolio Weights Returns'!$B$9:$BJ$69))+1)</f>
        <v>-9.1777503647244357E-4</v>
      </c>
      <c r="B283" cm="1">
        <f t="array" ref="B283">INDEX('Portfolio Weights Std'!$B$9:$BJ$69,INT((ROW(A282)-1)/COLUMNS('Portfolio Weights Std'!$B$9:$BJ$69))+1,MOD(ROW(A282)-1,COLUMNS('Portfolio Weights Std'!$B$9:$BJ$69))+1)</f>
        <v>2.2996868409410499E-2</v>
      </c>
    </row>
    <row r="284" spans="1:2" x14ac:dyDescent="0.25">
      <c r="A284" cm="1">
        <f t="array" ref="A284">INDEX('Portfolio Weights Returns'!$B$9:$BJ$69,
INT((ROW(A283)-1)/COLUMNS('Portfolio Weights Returns'!$B$9:$BJ$69))+1,MOD(ROW(A283)-1,COLUMNS('Portfolio Weights Returns'!$B$9:$BJ$69))+1)</f>
        <v>-9.1099386250576475E-4</v>
      </c>
      <c r="B284" cm="1">
        <f t="array" ref="B284">INDEX('Portfolio Weights Std'!$B$9:$BJ$69,INT((ROW(A283)-1)/COLUMNS('Portfolio Weights Std'!$B$9:$BJ$69))+1,MOD(ROW(A283)-1,COLUMNS('Portfolio Weights Std'!$B$9:$BJ$69))+1)</f>
        <v>2.2847961788190662E-2</v>
      </c>
    </row>
    <row r="285" spans="1:2" x14ac:dyDescent="0.25">
      <c r="A285" cm="1">
        <f t="array" ref="A285">INDEX('Portfolio Weights Returns'!$B$9:$BJ$69,
INT((ROW(A284)-1)/COLUMNS('Portfolio Weights Returns'!$B$9:$BJ$69))+1,MOD(ROW(A284)-1,COLUMNS('Portfolio Weights Returns'!$B$9:$BJ$69))+1)</f>
        <v>-9.0421268853908539E-4</v>
      </c>
      <c r="B285" cm="1">
        <f t="array" ref="B285">INDEX('Portfolio Weights Std'!$B$9:$BJ$69,INT((ROW(A284)-1)/COLUMNS('Portfolio Weights Std'!$B$9:$BJ$69))+1,MOD(ROW(A284)-1,COLUMNS('Portfolio Weights Std'!$B$9:$BJ$69))+1)</f>
        <v>2.2700118170754631E-2</v>
      </c>
    </row>
    <row r="286" spans="1:2" x14ac:dyDescent="0.25">
      <c r="A286" cm="1">
        <f t="array" ref="A286">INDEX('Portfolio Weights Returns'!$B$9:$BJ$69,
INT((ROW(A285)-1)/COLUMNS('Portfolio Weights Returns'!$B$9:$BJ$69))+1,MOD(ROW(A285)-1,COLUMNS('Portfolio Weights Returns'!$B$9:$BJ$69))+1)</f>
        <v>-8.9743151457240646E-4</v>
      </c>
      <c r="B286" cm="1">
        <f t="array" ref="B286">INDEX('Portfolio Weights Std'!$B$9:$BJ$69,INT((ROW(A285)-1)/COLUMNS('Portfolio Weights Std'!$B$9:$BJ$69))+1,MOD(ROW(A285)-1,COLUMNS('Portfolio Weights Std'!$B$9:$BJ$69))+1)</f>
        <v>2.2553358461979776E-2</v>
      </c>
    </row>
    <row r="287" spans="1:2" x14ac:dyDescent="0.25">
      <c r="A287" cm="1">
        <f t="array" ref="A287">INDEX('Portfolio Weights Returns'!$B$9:$BJ$69,
INT((ROW(A286)-1)/COLUMNS('Portfolio Weights Returns'!$B$9:$BJ$69))+1,MOD(ROW(A286)-1,COLUMNS('Portfolio Weights Returns'!$B$9:$BJ$69))+1)</f>
        <v>-8.9065034060572721E-4</v>
      </c>
      <c r="B287" cm="1">
        <f t="array" ref="B287">INDEX('Portfolio Weights Std'!$B$9:$BJ$69,INT((ROW(A286)-1)/COLUMNS('Portfolio Weights Std'!$B$9:$BJ$69))+1,MOD(ROW(A286)-1,COLUMNS('Portfolio Weights Std'!$B$9:$BJ$69))+1)</f>
        <v>2.2407703959121079E-2</v>
      </c>
    </row>
    <row r="288" spans="1:2" x14ac:dyDescent="0.25">
      <c r="A288" cm="1">
        <f t="array" ref="A288">INDEX('Portfolio Weights Returns'!$B$9:$BJ$69,
INT((ROW(A287)-1)/COLUMNS('Portfolio Weights Returns'!$B$9:$BJ$69))+1,MOD(ROW(A287)-1,COLUMNS('Portfolio Weights Returns'!$B$9:$BJ$69))+1)</f>
        <v>-8.8386916663904828E-4</v>
      </c>
      <c r="B288" cm="1">
        <f t="array" ref="B288">INDEX('Portfolio Weights Std'!$B$9:$BJ$69,INT((ROW(A287)-1)/COLUMNS('Portfolio Weights Std'!$B$9:$BJ$69))+1,MOD(ROW(A287)-1,COLUMNS('Portfolio Weights Std'!$B$9:$BJ$69))+1)</f>
        <v>2.2263176354271472E-2</v>
      </c>
    </row>
    <row r="289" spans="1:2" x14ac:dyDescent="0.25">
      <c r="A289" cm="1">
        <f t="array" ref="A289">INDEX('Portfolio Weights Returns'!$B$9:$BJ$69,
INT((ROW(A288)-1)/COLUMNS('Portfolio Weights Returns'!$B$9:$BJ$69))+1,MOD(ROW(A288)-1,COLUMNS('Portfolio Weights Returns'!$B$9:$BJ$69))+1)</f>
        <v>-8.7708799267236892E-4</v>
      </c>
      <c r="B289" cm="1">
        <f t="array" ref="B289">INDEX('Portfolio Weights Std'!$B$9:$BJ$69,INT((ROW(A288)-1)/COLUMNS('Portfolio Weights Std'!$B$9:$BJ$69))+1,MOD(ROW(A288)-1,COLUMNS('Portfolio Weights Std'!$B$9:$BJ$69))+1)</f>
        <v>2.2119797736414766E-2</v>
      </c>
    </row>
    <row r="290" spans="1:2" x14ac:dyDescent="0.25">
      <c r="A290" cm="1">
        <f t="array" ref="A290">INDEX('Portfolio Weights Returns'!$B$9:$BJ$69,
INT((ROW(A289)-1)/COLUMNS('Portfolio Weights Returns'!$B$9:$BJ$69))+1,MOD(ROW(A289)-1,COLUMNS('Portfolio Weights Returns'!$B$9:$BJ$69))+1)</f>
        <v>-8.7030681870568999E-4</v>
      </c>
      <c r="B290" cm="1">
        <f t="array" ref="B290">INDEX('Portfolio Weights Std'!$B$9:$BJ$69,INT((ROW(A289)-1)/COLUMNS('Portfolio Weights Std'!$B$9:$BJ$69))+1,MOD(ROW(A289)-1,COLUMNS('Portfolio Weights Std'!$B$9:$BJ$69))+1)</f>
        <v>2.1977590593036663E-2</v>
      </c>
    </row>
    <row r="291" spans="1:2" x14ac:dyDescent="0.25">
      <c r="A291" cm="1">
        <f t="array" ref="A291">INDEX('Portfolio Weights Returns'!$B$9:$BJ$69,
INT((ROW(A290)-1)/COLUMNS('Portfolio Weights Returns'!$B$9:$BJ$69))+1,MOD(ROW(A290)-1,COLUMNS('Portfolio Weights Returns'!$B$9:$BJ$69))+1)</f>
        <v>-8.6352564473901074E-4</v>
      </c>
      <c r="B291" cm="1">
        <f t="array" ref="B291">INDEX('Portfolio Weights Std'!$B$9:$BJ$69,INT((ROW(A290)-1)/COLUMNS('Portfolio Weights Std'!$B$9:$BJ$69))+1,MOD(ROW(A290)-1,COLUMNS('Portfolio Weights Std'!$B$9:$BJ$69))+1)</f>
        <v>2.1836577811257266E-2</v>
      </c>
    </row>
    <row r="292" spans="1:2" x14ac:dyDescent="0.25">
      <c r="A292" cm="1">
        <f t="array" ref="A292">INDEX('Portfolio Weights Returns'!$B$9:$BJ$69,
INT((ROW(A291)-1)/COLUMNS('Portfolio Weights Returns'!$B$9:$BJ$69))+1,MOD(ROW(A291)-1,COLUMNS('Portfolio Weights Returns'!$B$9:$BJ$69))+1)</f>
        <v>-8.567444707723317E-4</v>
      </c>
      <c r="B292" cm="1">
        <f t="array" ref="B292">INDEX('Portfolio Weights Std'!$B$9:$BJ$69,INT((ROW(A291)-1)/COLUMNS('Portfolio Weights Std'!$B$9:$BJ$69))+1,MOD(ROW(A291)-1,COLUMNS('Portfolio Weights Std'!$B$9:$BJ$69))+1)</f>
        <v>2.169678267844749E-2</v>
      </c>
    </row>
    <row r="293" spans="1:2" x14ac:dyDescent="0.25">
      <c r="A293" cm="1">
        <f t="array" ref="A293">INDEX('Portfolio Weights Returns'!$B$9:$BJ$69,
INT((ROW(A292)-1)/COLUMNS('Portfolio Weights Returns'!$B$9:$BJ$69))+1,MOD(ROW(A292)-1,COLUMNS('Portfolio Weights Returns'!$B$9:$BJ$69))+1)</f>
        <v>-8.4996329680565256E-4</v>
      </c>
      <c r="B293" cm="1">
        <f t="array" ref="B293">INDEX('Portfolio Weights Std'!$B$9:$BJ$69,INT((ROW(A292)-1)/COLUMNS('Portfolio Weights Std'!$B$9:$BJ$69))+1,MOD(ROW(A292)-1,COLUMNS('Portfolio Weights Std'!$B$9:$BJ$69))+1)</f>
        <v>2.1558228882289709E-2</v>
      </c>
    </row>
    <row r="294" spans="1:2" x14ac:dyDescent="0.25">
      <c r="A294" cm="1">
        <f t="array" ref="A294">INDEX('Portfolio Weights Returns'!$B$9:$BJ$69,
INT((ROW(A293)-1)/COLUMNS('Portfolio Weights Returns'!$B$9:$BJ$69))+1,MOD(ROW(A293)-1,COLUMNS('Portfolio Weights Returns'!$B$9:$BJ$69))+1)</f>
        <v>-8.4318212283897352E-4</v>
      </c>
      <c r="B294" cm="1">
        <f t="array" ref="B294">INDEX('Portfolio Weights Std'!$B$9:$BJ$69,INT((ROW(A293)-1)/COLUMNS('Portfolio Weights Std'!$B$9:$BJ$69))+1,MOD(ROW(A293)-1,COLUMNS('Portfolio Weights Std'!$B$9:$BJ$69))+1)</f>
        <v>2.1420940510242025E-2</v>
      </c>
    </row>
    <row r="295" spans="1:2" x14ac:dyDescent="0.25">
      <c r="A295" cm="1">
        <f t="array" ref="A295">INDEX('Portfolio Weights Returns'!$B$9:$BJ$69,
INT((ROW(A294)-1)/COLUMNS('Portfolio Weights Returns'!$B$9:$BJ$69))+1,MOD(ROW(A294)-1,COLUMNS('Portfolio Weights Returns'!$B$9:$BJ$69))+1)</f>
        <v>-8.3640094887229449E-4</v>
      </c>
      <c r="B295" cm="1">
        <f t="array" ref="B295">INDEX('Portfolio Weights Std'!$B$9:$BJ$69,INT((ROW(A294)-1)/COLUMNS('Portfolio Weights Std'!$B$9:$BJ$69))+1,MOD(ROW(A294)-1,COLUMNS('Portfolio Weights Std'!$B$9:$BJ$69))+1)</f>
        <v>2.128494204836346E-2</v>
      </c>
    </row>
    <row r="296" spans="1:2" x14ac:dyDescent="0.25">
      <c r="A296" cm="1">
        <f t="array" ref="A296">INDEX('Portfolio Weights Returns'!$B$9:$BJ$69,
INT((ROW(A295)-1)/COLUMNS('Portfolio Weights Returns'!$B$9:$BJ$69))+1,MOD(ROW(A295)-1,COLUMNS('Portfolio Weights Returns'!$B$9:$BJ$69))+1)</f>
        <v>-8.2961977490561534E-4</v>
      </c>
      <c r="B296" cm="1">
        <f t="array" ref="B296">INDEX('Portfolio Weights Std'!$B$9:$BJ$69,INT((ROW(A295)-1)/COLUMNS('Portfolio Weights Std'!$B$9:$BJ$69))+1,MOD(ROW(A295)-1,COLUMNS('Portfolio Weights Std'!$B$9:$BJ$69))+1)</f>
        <v>2.1150258379456745E-2</v>
      </c>
    </row>
    <row r="297" spans="1:2" x14ac:dyDescent="0.25">
      <c r="A297" cm="1">
        <f t="array" ref="A297">INDEX('Portfolio Weights Returns'!$B$9:$BJ$69,
INT((ROW(A296)-1)/COLUMNS('Portfolio Weights Returns'!$B$9:$BJ$69))+1,MOD(ROW(A296)-1,COLUMNS('Portfolio Weights Returns'!$B$9:$BJ$69))+1)</f>
        <v>-8.2283860093893631E-4</v>
      </c>
      <c r="B297" cm="1">
        <f t="array" ref="B297">INDEX('Portfolio Weights Std'!$B$9:$BJ$69,INT((ROW(A296)-1)/COLUMNS('Portfolio Weights Std'!$B$9:$BJ$69))+1,MOD(ROW(A296)-1,COLUMNS('Portfolio Weights Std'!$B$9:$BJ$69))+1)</f>
        <v>2.1016914780483256E-2</v>
      </c>
    </row>
    <row r="298" spans="1:2" x14ac:dyDescent="0.25">
      <c r="A298" cm="1">
        <f t="array" ref="A298">INDEX('Portfolio Weights Returns'!$B$9:$BJ$69,
INT((ROW(A297)-1)/COLUMNS('Portfolio Weights Returns'!$B$9:$BJ$69))+1,MOD(ROW(A297)-1,COLUMNS('Portfolio Weights Returns'!$B$9:$BJ$69))+1)</f>
        <v>-8.1605742697225716E-4</v>
      </c>
      <c r="B298" cm="1">
        <f t="array" ref="B298">INDEX('Portfolio Weights Std'!$B$9:$BJ$69,INT((ROW(A297)-1)/COLUMNS('Portfolio Weights Std'!$B$9:$BJ$69))+1,MOD(ROW(A297)-1,COLUMNS('Portfolio Weights Std'!$B$9:$BJ$69))+1)</f>
        <v>2.0884936919204157E-2</v>
      </c>
    </row>
    <row r="299" spans="1:2" x14ac:dyDescent="0.25">
      <c r="A299" cm="1">
        <f t="array" ref="A299">INDEX('Portfolio Weights Returns'!$B$9:$BJ$69,
INT((ROW(A298)-1)/COLUMNS('Portfolio Weights Returns'!$B$9:$BJ$69))+1,MOD(ROW(A298)-1,COLUMNS('Portfolio Weights Returns'!$B$9:$BJ$69))+1)</f>
        <v>-8.0927625300557802E-4</v>
      </c>
      <c r="B299" cm="1">
        <f t="array" ref="B299">INDEX('Portfolio Weights Std'!$B$9:$BJ$69,INT((ROW(A298)-1)/COLUMNS('Portfolio Weights Std'!$B$9:$BJ$69))+1,MOD(ROW(A298)-1,COLUMNS('Portfolio Weights Std'!$B$9:$BJ$69))+1)</f>
        <v>2.0754350850000193E-2</v>
      </c>
    </row>
    <row r="300" spans="1:2" x14ac:dyDescent="0.25">
      <c r="A300" cm="1">
        <f t="array" ref="A300">INDEX('Portfolio Weights Returns'!$B$9:$BJ$69,
INT((ROW(A299)-1)/COLUMNS('Portfolio Weights Returns'!$B$9:$BJ$69))+1,MOD(ROW(A299)-1,COLUMNS('Portfolio Weights Returns'!$B$9:$BJ$69))+1)</f>
        <v>-8.0249507903889887E-4</v>
      </c>
      <c r="B300" cm="1">
        <f t="array" ref="B300">INDEX('Portfolio Weights Std'!$B$9:$BJ$69,INT((ROW(A299)-1)/COLUMNS('Portfolio Weights Std'!$B$9:$BJ$69))+1,MOD(ROW(A299)-1,COLUMNS('Portfolio Weights Std'!$B$9:$BJ$69))+1)</f>
        <v>2.0625183008821928E-2</v>
      </c>
    </row>
    <row r="301" spans="1:2" x14ac:dyDescent="0.25">
      <c r="A301" cm="1">
        <f t="array" ref="A301">INDEX('Portfolio Weights Returns'!$B$9:$BJ$69,
INT((ROW(A300)-1)/COLUMNS('Portfolio Weights Returns'!$B$9:$BJ$69))+1,MOD(ROW(A300)-1,COLUMNS('Portfolio Weights Returns'!$B$9:$BJ$69))+1)</f>
        <v>-7.9571390507221973E-4</v>
      </c>
      <c r="B301" cm="1">
        <f t="array" ref="B301">INDEX('Portfolio Weights Std'!$B$9:$BJ$69,INT((ROW(A300)-1)/COLUMNS('Portfolio Weights Std'!$B$9:$BJ$69))+1,MOD(ROW(A300)-1,COLUMNS('Portfolio Weights Std'!$B$9:$BJ$69))+1)</f>
        <v>2.049746020722118E-2</v>
      </c>
    </row>
    <row r="302" spans="1:2" x14ac:dyDescent="0.25">
      <c r="A302" cm="1">
        <f t="array" ref="A302">INDEX('Portfolio Weights Returns'!$B$9:$BJ$69,
INT((ROW(A301)-1)/COLUMNS('Portfolio Weights Returns'!$B$9:$BJ$69))+1,MOD(ROW(A301)-1,COLUMNS('Portfolio Weights Returns'!$B$9:$BJ$69))+1)</f>
        <v>-7.8893273110554069E-4</v>
      </c>
      <c r="B302" cm="1">
        <f t="array" ref="B302">INDEX('Portfolio Weights Std'!$B$9:$BJ$69,INT((ROW(A301)-1)/COLUMNS('Portfolio Weights Std'!$B$9:$BJ$69))+1,MOD(ROW(A301)-1,COLUMNS('Portfolio Weights Std'!$B$9:$BJ$69))+1)</f>
        <v>2.037120962541401E-2</v>
      </c>
    </row>
    <row r="303" spans="1:2" x14ac:dyDescent="0.25">
      <c r="A303" cm="1">
        <f t="array" ref="A303">INDEX('Portfolio Weights Returns'!$B$9:$BJ$69,
INT((ROW(A302)-1)/COLUMNS('Portfolio Weights Returns'!$B$9:$BJ$69))+1,MOD(ROW(A302)-1,COLUMNS('Portfolio Weights Returns'!$B$9:$BJ$69))+1)</f>
        <v>-7.821515571388609E-4</v>
      </c>
      <c r="B303" cm="1">
        <f t="array" ref="B303">INDEX('Portfolio Weights Std'!$B$9:$BJ$69,INT((ROW(A302)-1)/COLUMNS('Portfolio Weights Std'!$B$9:$BJ$69))+1,MOD(ROW(A302)-1,COLUMNS('Portfolio Weights Std'!$B$9:$BJ$69))+1)</f>
        <v>2.0246458804325036E-2</v>
      </c>
    </row>
    <row r="304" spans="1:2" x14ac:dyDescent="0.25">
      <c r="A304" cm="1">
        <f t="array" ref="A304">INDEX('Portfolio Weights Returns'!$B$9:$BJ$69,
INT((ROW(A303)-1)/COLUMNS('Portfolio Weights Returns'!$B$9:$BJ$69))+1,MOD(ROW(A303)-1,COLUMNS('Portfolio Weights Returns'!$B$9:$BJ$69))+1)</f>
        <v>-7.7537038317218175E-4</v>
      </c>
      <c r="B304" cm="1">
        <f t="array" ref="B304">INDEX('Portfolio Weights Std'!$B$9:$BJ$69,INT((ROW(A303)-1)/COLUMNS('Portfolio Weights Std'!$B$9:$BJ$69))+1,MOD(ROW(A303)-1,COLUMNS('Portfolio Weights Std'!$B$9:$BJ$69))+1)</f>
        <v>2.0123235636562712E-2</v>
      </c>
    </row>
    <row r="305" spans="1:2" x14ac:dyDescent="0.25">
      <c r="A305" cm="1">
        <f t="array" ref="A305">INDEX('Portfolio Weights Returns'!$B$9:$BJ$69,
INT((ROW(A304)-1)/COLUMNS('Portfolio Weights Returns'!$B$9:$BJ$69))+1,MOD(ROW(A304)-1,COLUMNS('Portfolio Weights Returns'!$B$9:$BJ$69))+1)</f>
        <v>-7.6858920920550272E-4</v>
      </c>
      <c r="B305" cm="1">
        <f t="array" ref="B305">INDEX('Portfolio Weights Std'!$B$9:$BJ$69,INT((ROW(A304)-1)/COLUMNS('Portfolio Weights Std'!$B$9:$BJ$69))+1,MOD(ROW(A304)-1,COLUMNS('Portfolio Weights Std'!$B$9:$BJ$69))+1)</f>
        <v>2.0001568356275222E-2</v>
      </c>
    </row>
    <row r="306" spans="1:2" x14ac:dyDescent="0.25">
      <c r="A306" cm="1">
        <f t="array" ref="A306">INDEX('Portfolio Weights Returns'!$B$9:$BJ$69,
INT((ROW(A305)-1)/COLUMNS('Portfolio Weights Returns'!$B$9:$BJ$69))+1,MOD(ROW(A305)-1,COLUMNS('Portfolio Weights Returns'!$B$9:$BJ$69))+1)</f>
        <v>-7.6180803523882368E-4</v>
      </c>
      <c r="B306" cm="1">
        <f t="array" ref="B306">INDEX('Portfolio Weights Std'!$B$9:$BJ$69,INT((ROW(A305)-1)/COLUMNS('Portfolio Weights Std'!$B$9:$BJ$69))+1,MOD(ROW(A305)-1,COLUMNS('Portfolio Weights Std'!$B$9:$BJ$69))+1)</f>
        <v>1.9881485527837171E-2</v>
      </c>
    </row>
    <row r="307" spans="1:2" x14ac:dyDescent="0.25">
      <c r="A307" cm="1">
        <f t="array" ref="A307">INDEX('Portfolio Weights Returns'!$B$9:$BJ$69,
INT((ROW(A306)-1)/COLUMNS('Portfolio Weights Returns'!$B$9:$BJ$69))+1,MOD(ROW(A306)-1,COLUMNS('Portfolio Weights Returns'!$B$9:$BJ$69))+1)</f>
        <v>-1.1621042653941153E-3</v>
      </c>
      <c r="B307" cm="1">
        <f t="array" ref="B307">INDEX('Portfolio Weights Std'!$B$9:$BJ$69,INT((ROW(A306)-1)/COLUMNS('Portfolio Weights Std'!$B$9:$BJ$69))+1,MOD(ROW(A306)-1,COLUMNS('Portfolio Weights Std'!$B$9:$BJ$69))+1)</f>
        <v>2.8852246804465263E-2</v>
      </c>
    </row>
    <row r="308" spans="1:2" x14ac:dyDescent="0.25">
      <c r="A308" cm="1">
        <f t="array" ref="A308">INDEX('Portfolio Weights Returns'!$B$9:$BJ$69,
INT((ROW(A307)-1)/COLUMNS('Portfolio Weights Returns'!$B$9:$BJ$69))+1,MOD(ROW(A307)-1,COLUMNS('Portfolio Weights Returns'!$B$9:$BJ$69))+1)</f>
        <v>-1.1553230914274361E-3</v>
      </c>
      <c r="B308" cm="1">
        <f t="array" ref="B308">INDEX('Portfolio Weights Std'!$B$9:$BJ$69,INT((ROW(A307)-1)/COLUMNS('Portfolio Weights Std'!$B$9:$BJ$69))+1,MOD(ROW(A307)-1,COLUMNS('Portfolio Weights Std'!$B$9:$BJ$69))+1)</f>
        <v>2.8675343395826135E-2</v>
      </c>
    </row>
    <row r="309" spans="1:2" x14ac:dyDescent="0.25">
      <c r="A309" cm="1">
        <f t="array" ref="A309">INDEX('Portfolio Weights Returns'!$B$9:$BJ$69,
INT((ROW(A308)-1)/COLUMNS('Portfolio Weights Returns'!$B$9:$BJ$69))+1,MOD(ROW(A308)-1,COLUMNS('Portfolio Weights Returns'!$B$9:$BJ$69))+1)</f>
        <v>-1.148541917460757E-3</v>
      </c>
      <c r="B309" cm="1">
        <f t="array" ref="B309">INDEX('Portfolio Weights Std'!$B$9:$BJ$69,INT((ROW(A308)-1)/COLUMNS('Portfolio Weights Std'!$B$9:$BJ$69))+1,MOD(ROW(A308)-1,COLUMNS('Portfolio Weights Std'!$B$9:$BJ$69))+1)</f>
        <v>2.8498966611581713E-2</v>
      </c>
    </row>
    <row r="310" spans="1:2" x14ac:dyDescent="0.25">
      <c r="A310" cm="1">
        <f t="array" ref="A310">INDEX('Portfolio Weights Returns'!$B$9:$BJ$69,
INT((ROW(A309)-1)/COLUMNS('Portfolio Weights Returns'!$B$9:$BJ$69))+1,MOD(ROW(A309)-1,COLUMNS('Portfolio Weights Returns'!$B$9:$BJ$69))+1)</f>
        <v>-1.1417607434940781E-3</v>
      </c>
      <c r="B310" cm="1">
        <f t="array" ref="B310">INDEX('Portfolio Weights Std'!$B$9:$BJ$69,INT((ROW(A309)-1)/COLUMNS('Portfolio Weights Std'!$B$9:$BJ$69))+1,MOD(ROW(A309)-1,COLUMNS('Portfolio Weights Std'!$B$9:$BJ$69))+1)</f>
        <v>2.8323126290088017E-2</v>
      </c>
    </row>
    <row r="311" spans="1:2" x14ac:dyDescent="0.25">
      <c r="A311" cm="1">
        <f t="array" ref="A311">INDEX('Portfolio Weights Returns'!$B$9:$BJ$69,
INT((ROW(A310)-1)/COLUMNS('Portfolio Weights Returns'!$B$9:$BJ$69))+1,MOD(ROW(A310)-1,COLUMNS('Portfolio Weights Returns'!$B$9:$BJ$69))+1)</f>
        <v>-1.1349795695273989E-3</v>
      </c>
      <c r="B311" cm="1">
        <f t="array" ref="B311">INDEX('Portfolio Weights Std'!$B$9:$BJ$69,INT((ROW(A310)-1)/COLUMNS('Portfolio Weights Std'!$B$9:$BJ$69))+1,MOD(ROW(A310)-1,COLUMNS('Portfolio Weights Std'!$B$9:$BJ$69))+1)</f>
        <v>2.8147832485241678E-2</v>
      </c>
    </row>
    <row r="312" spans="1:2" x14ac:dyDescent="0.25">
      <c r="A312" cm="1">
        <f t="array" ref="A312">INDEX('Portfolio Weights Returns'!$B$9:$BJ$69,
INT((ROW(A311)-1)/COLUMNS('Portfolio Weights Returns'!$B$9:$BJ$69))+1,MOD(ROW(A311)-1,COLUMNS('Portfolio Weights Returns'!$B$9:$BJ$69))+1)</f>
        <v>-1.1281983955607198E-3</v>
      </c>
      <c r="B312" cm="1">
        <f t="array" ref="B312">INDEX('Portfolio Weights Std'!$B$9:$BJ$69,INT((ROW(A311)-1)/COLUMNS('Portfolio Weights Std'!$B$9:$BJ$69))+1,MOD(ROW(A311)-1,COLUMNS('Portfolio Weights Std'!$B$9:$BJ$69))+1)</f>
        <v>2.7973095471307861E-2</v>
      </c>
    </row>
    <row r="313" spans="1:2" x14ac:dyDescent="0.25">
      <c r="A313" cm="1">
        <f t="array" ref="A313">INDEX('Portfolio Weights Returns'!$B$9:$BJ$69,
INT((ROW(A312)-1)/COLUMNS('Portfolio Weights Returns'!$B$9:$BJ$69))+1,MOD(ROW(A312)-1,COLUMNS('Portfolio Weights Returns'!$B$9:$BJ$69))+1)</f>
        <v>-1.1214172215940406E-3</v>
      </c>
      <c r="B313" cm="1">
        <f t="array" ref="B313">INDEX('Portfolio Weights Std'!$B$9:$BJ$69,INT((ROW(A312)-1)/COLUMNS('Portfolio Weights Std'!$B$9:$BJ$69))+1,MOD(ROW(A312)-1,COLUMNS('Portfolio Weights Std'!$B$9:$BJ$69))+1)</f>
        <v>2.7798925747828961E-2</v>
      </c>
    </row>
    <row r="314" spans="1:2" x14ac:dyDescent="0.25">
      <c r="A314" cm="1">
        <f t="array" ref="A314">INDEX('Portfolio Weights Returns'!$B$9:$BJ$69,
INT((ROW(A313)-1)/COLUMNS('Portfolio Weights Returns'!$B$9:$BJ$69))+1,MOD(ROW(A313)-1,COLUMNS('Portfolio Weights Returns'!$B$9:$BJ$69))+1)</f>
        <v>-1.1146360476273617E-3</v>
      </c>
      <c r="B314" cm="1">
        <f t="array" ref="B314">INDEX('Portfolio Weights Std'!$B$9:$BJ$69,INT((ROW(A313)-1)/COLUMNS('Portfolio Weights Std'!$B$9:$BJ$69))+1,MOD(ROW(A313)-1,COLUMNS('Portfolio Weights Std'!$B$9:$BJ$69))+1)</f>
        <v>2.7625334044612697E-2</v>
      </c>
    </row>
    <row r="315" spans="1:2" x14ac:dyDescent="0.25">
      <c r="A315" cm="1">
        <f t="array" ref="A315">INDEX('Portfolio Weights Returns'!$B$9:$BJ$69,
INT((ROW(A314)-1)/COLUMNS('Portfolio Weights Returns'!$B$9:$BJ$69))+1,MOD(ROW(A314)-1,COLUMNS('Portfolio Weights Returns'!$B$9:$BJ$69))+1)</f>
        <v>-1.1078548736606826E-3</v>
      </c>
      <c r="B315" cm="1">
        <f t="array" ref="B315">INDEX('Portfolio Weights Std'!$B$9:$BJ$69,INT((ROW(A314)-1)/COLUMNS('Portfolio Weights Std'!$B$9:$BJ$69))+1,MOD(ROW(A314)-1,COLUMNS('Portfolio Weights Std'!$B$9:$BJ$69))+1)</f>
        <v>2.7452331326797964E-2</v>
      </c>
    </row>
    <row r="316" spans="1:2" x14ac:dyDescent="0.25">
      <c r="A316" cm="1">
        <f t="array" ref="A316">INDEX('Portfolio Weights Returns'!$B$9:$BJ$69,
INT((ROW(A315)-1)/COLUMNS('Portfolio Weights Returns'!$B$9:$BJ$69))+1,MOD(ROW(A315)-1,COLUMNS('Portfolio Weights Returns'!$B$9:$BJ$69))+1)</f>
        <v>-1.1010736996940034E-3</v>
      </c>
      <c r="B316" cm="1">
        <f t="array" ref="B316">INDEX('Portfolio Weights Std'!$B$9:$BJ$69,INT((ROW(A315)-1)/COLUMNS('Portfolio Weights Std'!$B$9:$BJ$69))+1,MOD(ROW(A315)-1,COLUMNS('Portfolio Weights Std'!$B$9:$BJ$69))+1)</f>
        <v>2.7279928799996422E-2</v>
      </c>
    </row>
    <row r="317" spans="1:2" x14ac:dyDescent="0.25">
      <c r="A317" cm="1">
        <f t="array" ref="A317">INDEX('Portfolio Weights Returns'!$B$9:$BJ$69,
INT((ROW(A316)-1)/COLUMNS('Portfolio Weights Returns'!$B$9:$BJ$69))+1,MOD(ROW(A316)-1,COLUMNS('Portfolio Weights Returns'!$B$9:$BJ$69))+1)</f>
        <v>-1.0942925257273243E-3</v>
      </c>
      <c r="B317" cm="1">
        <f t="array" ref="B317">INDEX('Portfolio Weights Std'!$B$9:$BJ$69,INT((ROW(A316)-1)/COLUMNS('Portfolio Weights Std'!$B$9:$BJ$69))+1,MOD(ROW(A316)-1,COLUMNS('Portfolio Weights Std'!$B$9:$BJ$69))+1)</f>
        <v>2.7108137915507619E-2</v>
      </c>
    </row>
    <row r="318" spans="1:2" x14ac:dyDescent="0.25">
      <c r="A318" cm="1">
        <f t="array" ref="A318">INDEX('Portfolio Weights Returns'!$B$9:$BJ$69,
INT((ROW(A317)-1)/COLUMNS('Portfolio Weights Returns'!$B$9:$BJ$69))+1,MOD(ROW(A317)-1,COLUMNS('Portfolio Weights Returns'!$B$9:$BJ$69))+1)</f>
        <v>-1.0875113517606451E-3</v>
      </c>
      <c r="B318" cm="1">
        <f t="array" ref="B318">INDEX('Portfolio Weights Std'!$B$9:$BJ$69,INT((ROW(A317)-1)/COLUMNS('Portfolio Weights Std'!$B$9:$BJ$69))+1,MOD(ROW(A317)-1,COLUMNS('Portfolio Weights Std'!$B$9:$BJ$69))+1)</f>
        <v>2.6936970375604878E-2</v>
      </c>
    </row>
    <row r="319" spans="1:2" x14ac:dyDescent="0.25">
      <c r="A319" cm="1">
        <f t="array" ref="A319">INDEX('Portfolio Weights Returns'!$B$9:$BJ$69,
INT((ROW(A318)-1)/COLUMNS('Portfolio Weights Returns'!$B$9:$BJ$69))+1,MOD(ROW(A318)-1,COLUMNS('Portfolio Weights Returns'!$B$9:$BJ$69))+1)</f>
        <v>-1.080730177793966E-3</v>
      </c>
      <c r="B319" cm="1">
        <f t="array" ref="B319">INDEX('Portfolio Weights Std'!$B$9:$BJ$69,INT((ROW(A318)-1)/COLUMNS('Portfolio Weights Std'!$B$9:$BJ$69))+1,MOD(ROW(A318)-1,COLUMNS('Portfolio Weights Std'!$B$9:$BJ$69))+1)</f>
        <v>2.6766438138889043E-2</v>
      </c>
    </row>
    <row r="320" spans="1:2" x14ac:dyDescent="0.25">
      <c r="A320" cm="1">
        <f t="array" ref="A320">INDEX('Portfolio Weights Returns'!$B$9:$BJ$69,
INT((ROW(A319)-1)/COLUMNS('Portfolio Weights Returns'!$B$9:$BJ$69))+1,MOD(ROW(A319)-1,COLUMNS('Portfolio Weights Returns'!$B$9:$BJ$69))+1)</f>
        <v>-1.0739490038272868E-3</v>
      </c>
      <c r="B320" cm="1">
        <f t="array" ref="B320">INDEX('Portfolio Weights Std'!$B$9:$BJ$69,INT((ROW(A319)-1)/COLUMNS('Portfolio Weights Std'!$B$9:$BJ$69))+1,MOD(ROW(A319)-1,COLUMNS('Portfolio Weights Std'!$B$9:$BJ$69))+1)</f>
        <v>2.6596553425706479E-2</v>
      </c>
    </row>
    <row r="321" spans="1:2" x14ac:dyDescent="0.25">
      <c r="A321" cm="1">
        <f t="array" ref="A321">INDEX('Portfolio Weights Returns'!$B$9:$BJ$69,
INT((ROW(A320)-1)/COLUMNS('Portfolio Weights Returns'!$B$9:$BJ$69))+1,MOD(ROW(A320)-1,COLUMNS('Portfolio Weights Returns'!$B$9:$BJ$69))+1)</f>
        <v>-1.0671678298606077E-3</v>
      </c>
      <c r="B321" cm="1">
        <f t="array" ref="B321">INDEX('Portfolio Weights Std'!$B$9:$BJ$69,INT((ROW(A320)-1)/COLUMNS('Portfolio Weights Std'!$B$9:$BJ$69))+1,MOD(ROW(A320)-1,COLUMNS('Portfolio Weights Std'!$B$9:$BJ$69))+1)</f>
        <v>2.6427328723627554E-2</v>
      </c>
    </row>
    <row r="322" spans="1:2" x14ac:dyDescent="0.25">
      <c r="A322" cm="1">
        <f t="array" ref="A322">INDEX('Portfolio Weights Returns'!$B$9:$BJ$69,
INT((ROW(A321)-1)/COLUMNS('Portfolio Weights Returns'!$B$9:$BJ$69))+1,MOD(ROW(A321)-1,COLUMNS('Portfolio Weights Returns'!$B$9:$BJ$69))+1)</f>
        <v>-1.0603866558939285E-3</v>
      </c>
      <c r="B322" cm="1">
        <f t="array" ref="B322">INDEX('Portfolio Weights Std'!$B$9:$BJ$69,INT((ROW(A321)-1)/COLUMNS('Portfolio Weights Std'!$B$9:$BJ$69))+1,MOD(ROW(A321)-1,COLUMNS('Portfolio Weights Std'!$B$9:$BJ$69))+1)</f>
        <v>2.6258776792981178E-2</v>
      </c>
    </row>
    <row r="323" spans="1:2" x14ac:dyDescent="0.25">
      <c r="A323" cm="1">
        <f t="array" ref="A323">INDEX('Portfolio Weights Returns'!$B$9:$BJ$69,
INT((ROW(A322)-1)/COLUMNS('Portfolio Weights Returns'!$B$9:$BJ$69))+1,MOD(ROW(A322)-1,COLUMNS('Portfolio Weights Returns'!$B$9:$BJ$69))+1)</f>
        <v>-1.0536054819272498E-3</v>
      </c>
      <c r="B323" cm="1">
        <f t="array" ref="B323">INDEX('Portfolio Weights Std'!$B$9:$BJ$69,INT((ROW(A322)-1)/COLUMNS('Portfolio Weights Std'!$B$9:$BJ$69))+1,MOD(ROW(A322)-1,COLUMNS('Portfolio Weights Std'!$B$9:$BJ$69))+1)</f>
        <v>2.6090910672440508E-2</v>
      </c>
    </row>
    <row r="324" spans="1:2" x14ac:dyDescent="0.25">
      <c r="A324" cm="1">
        <f t="array" ref="A324">INDEX('Portfolio Weights Returns'!$B$9:$BJ$69,
INT((ROW(A323)-1)/COLUMNS('Portfolio Weights Returns'!$B$9:$BJ$69))+1,MOD(ROW(A323)-1,COLUMNS('Portfolio Weights Returns'!$B$9:$BJ$69))+1)</f>
        <v>-1.0468243079605705E-3</v>
      </c>
      <c r="B324" cm="1">
        <f t="array" ref="B324">INDEX('Portfolio Weights Std'!$B$9:$BJ$69,INT((ROW(A323)-1)/COLUMNS('Portfolio Weights Std'!$B$9:$BJ$69))+1,MOD(ROW(A323)-1,COLUMNS('Portfolio Weights Std'!$B$9:$BJ$69))+1)</f>
        <v>2.5923743684654391E-2</v>
      </c>
    </row>
    <row r="325" spans="1:2" x14ac:dyDescent="0.25">
      <c r="A325" cm="1">
        <f t="array" ref="A325">INDEX('Portfolio Weights Returns'!$B$9:$BJ$69,
INT((ROW(A324)-1)/COLUMNS('Portfolio Weights Returns'!$B$9:$BJ$69))+1,MOD(ROW(A324)-1,COLUMNS('Portfolio Weights Returns'!$B$9:$BJ$69))+1)</f>
        <v>-1.0400431339938915E-3</v>
      </c>
      <c r="B325" cm="1">
        <f t="array" ref="B325">INDEX('Portfolio Weights Std'!$B$9:$BJ$69,INT((ROW(A324)-1)/COLUMNS('Portfolio Weights Std'!$B$9:$BJ$69))+1,MOD(ROW(A324)-1,COLUMNS('Portfolio Weights Std'!$B$9:$BJ$69))+1)</f>
        <v>2.575728944191864E-2</v>
      </c>
    </row>
    <row r="326" spans="1:2" x14ac:dyDescent="0.25">
      <c r="A326" cm="1">
        <f t="array" ref="A326">INDEX('Portfolio Weights Returns'!$B$9:$BJ$69,
INT((ROW(A325)-1)/COLUMNS('Portfolio Weights Returns'!$B$9:$BJ$69))+1,MOD(ROW(A325)-1,COLUMNS('Portfolio Weights Returns'!$B$9:$BJ$69))+1)</f>
        <v>-1.0332619600272124E-3</v>
      </c>
      <c r="B326" cm="1">
        <f t="array" ref="B326">INDEX('Portfolio Weights Std'!$B$9:$BJ$69,INT((ROW(A325)-1)/COLUMNS('Portfolio Weights Std'!$B$9:$BJ$69))+1,MOD(ROW(A325)-1,COLUMNS('Portfolio Weights Std'!$B$9:$BJ$69))+1)</f>
        <v>2.559156185188028E-2</v>
      </c>
    </row>
    <row r="327" spans="1:2" x14ac:dyDescent="0.25">
      <c r="A327" cm="1">
        <f t="array" ref="A327">INDEX('Portfolio Weights Returns'!$B$9:$BJ$69,
INT((ROW(A326)-1)/COLUMNS('Portfolio Weights Returns'!$B$9:$BJ$69))+1,MOD(ROW(A326)-1,COLUMNS('Portfolio Weights Returns'!$B$9:$BJ$69))+1)</f>
        <v>-1.0264807860605335E-3</v>
      </c>
      <c r="B327" cm="1">
        <f t="array" ref="B327">INDEX('Portfolio Weights Std'!$B$9:$BJ$69,INT((ROW(A326)-1)/COLUMNS('Portfolio Weights Std'!$B$9:$BJ$69))+1,MOD(ROW(A326)-1,COLUMNS('Portfolio Weights Std'!$B$9:$BJ$69))+1)</f>
        <v>2.5426575123267792E-2</v>
      </c>
    </row>
    <row r="328" spans="1:2" x14ac:dyDescent="0.25">
      <c r="A328" cm="1">
        <f t="array" ref="A328">INDEX('Portfolio Weights Returns'!$B$9:$BJ$69,
INT((ROW(A327)-1)/COLUMNS('Portfolio Weights Returns'!$B$9:$BJ$69))+1,MOD(ROW(A327)-1,COLUMNS('Portfolio Weights Returns'!$B$9:$BJ$69))+1)</f>
        <v>-1.0196996120938543E-3</v>
      </c>
      <c r="B328" cm="1">
        <f t="array" ref="B328">INDEX('Portfolio Weights Std'!$B$9:$BJ$69,INT((ROW(A327)-1)/COLUMNS('Portfolio Weights Std'!$B$9:$BJ$69))+1,MOD(ROW(A327)-1,COLUMNS('Portfolio Weights Std'!$B$9:$BJ$69))+1)</f>
        <v>2.5262343771639106E-2</v>
      </c>
    </row>
    <row r="329" spans="1:2" x14ac:dyDescent="0.25">
      <c r="A329" cm="1">
        <f t="array" ref="A329">INDEX('Portfolio Weights Returns'!$B$9:$BJ$69,
INT((ROW(A328)-1)/COLUMNS('Portfolio Weights Returns'!$B$9:$BJ$69))+1,MOD(ROW(A328)-1,COLUMNS('Portfolio Weights Returns'!$B$9:$BJ$69))+1)</f>
        <v>-1.0129184381271752E-3</v>
      </c>
      <c r="B329" cm="1">
        <f t="array" ref="B329">INDEX('Portfolio Weights Std'!$B$9:$BJ$69,INT((ROW(A328)-1)/COLUMNS('Portfolio Weights Std'!$B$9:$BJ$69))+1,MOD(ROW(A328)-1,COLUMNS('Portfolio Weights Std'!$B$9:$BJ$69))+1)</f>
        <v>2.5098882625138746E-2</v>
      </c>
    </row>
    <row r="330" spans="1:2" x14ac:dyDescent="0.25">
      <c r="A330" cm="1">
        <f t="array" ref="A330">INDEX('Portfolio Weights Returns'!$B$9:$BJ$69,
INT((ROW(A329)-1)/COLUMNS('Portfolio Weights Returns'!$B$9:$BJ$69))+1,MOD(ROW(A329)-1,COLUMNS('Portfolio Weights Returns'!$B$9:$BJ$69))+1)</f>
        <v>-1.006137264160496E-3</v>
      </c>
      <c r="B330" cm="1">
        <f t="array" ref="B330">INDEX('Portfolio Weights Std'!$B$9:$BJ$69,INT((ROW(A329)-1)/COLUMNS('Portfolio Weights Std'!$B$9:$BJ$69))+1,MOD(ROW(A329)-1,COLUMNS('Portfolio Weights Std'!$B$9:$BJ$69))+1)</f>
        <v>2.49362068302546E-2</v>
      </c>
    </row>
    <row r="331" spans="1:2" x14ac:dyDescent="0.25">
      <c r="A331" cm="1">
        <f t="array" ref="A331">INDEX('Portfolio Weights Returns'!$B$9:$BJ$69,
INT((ROW(A330)-1)/COLUMNS('Portfolio Weights Returns'!$B$9:$BJ$69))+1,MOD(ROW(A330)-1,COLUMNS('Portfolio Weights Returns'!$B$9:$BJ$69))+1)</f>
        <v>-9.9935609019381668E-4</v>
      </c>
      <c r="B331" cm="1">
        <f t="array" ref="B331">INDEX('Portfolio Weights Std'!$B$9:$BJ$69,INT((ROW(A330)-1)/COLUMNS('Portfolio Weights Std'!$B$9:$BJ$69))+1,MOD(ROW(A330)-1,COLUMNS('Portfolio Weights Std'!$B$9:$BJ$69))+1)</f>
        <v>2.4774331857563919E-2</v>
      </c>
    </row>
    <row r="332" spans="1:2" x14ac:dyDescent="0.25">
      <c r="A332" cm="1">
        <f t="array" ref="A332">INDEX('Portfolio Weights Returns'!$B$9:$BJ$69,
INT((ROW(A331)-1)/COLUMNS('Portfolio Weights Returns'!$B$9:$BJ$69))+1,MOD(ROW(A331)-1,COLUMNS('Portfolio Weights Returns'!$B$9:$BJ$69))+1)</f>
        <v>-9.9257491622713775E-4</v>
      </c>
      <c r="B332" cm="1">
        <f t="array" ref="B332">INDEX('Portfolio Weights Std'!$B$9:$BJ$69,INT((ROW(A331)-1)/COLUMNS('Portfolio Weights Std'!$B$9:$BJ$69))+1,MOD(ROW(A331)-1,COLUMNS('Portfolio Weights Std'!$B$9:$BJ$69))+1)</f>
        <v>2.4613273507457369E-2</v>
      </c>
    </row>
    <row r="333" spans="1:2" x14ac:dyDescent="0.25">
      <c r="A333" cm="1">
        <f t="array" ref="A333">INDEX('Portfolio Weights Returns'!$B$9:$BJ$69,
INT((ROW(A332)-1)/COLUMNS('Portfolio Weights Returns'!$B$9:$BJ$69))+1,MOD(ROW(A332)-1,COLUMNS('Portfolio Weights Returns'!$B$9:$BJ$69))+1)</f>
        <v>-9.8579374226045861E-4</v>
      </c>
      <c r="B333" cm="1">
        <f t="array" ref="B333">INDEX('Portfolio Weights Std'!$B$9:$BJ$69,INT((ROW(A332)-1)/COLUMNS('Portfolio Weights Std'!$B$9:$BJ$69))+1,MOD(ROW(A332)-1,COLUMNS('Portfolio Weights Std'!$B$9:$BJ$69))+1)</f>
        <v>2.4453047915828915E-2</v>
      </c>
    </row>
    <row r="334" spans="1:2" x14ac:dyDescent="0.25">
      <c r="A334" cm="1">
        <f t="array" ref="A334">INDEX('Portfolio Weights Returns'!$B$9:$BJ$69,
INT((ROW(A333)-1)/COLUMNS('Portfolio Weights Returns'!$B$9:$BJ$69))+1,MOD(ROW(A333)-1,COLUMNS('Portfolio Weights Returns'!$B$9:$BJ$69))+1)</f>
        <v>-9.7901256829377946E-4</v>
      </c>
      <c r="B334" cm="1">
        <f t="array" ref="B334">INDEX('Portfolio Weights Std'!$B$9:$BJ$69,INT((ROW(A333)-1)/COLUMNS('Portfolio Weights Std'!$B$9:$BJ$69))+1,MOD(ROW(A333)-1,COLUMNS('Portfolio Weights Std'!$B$9:$BJ$69))+1)</f>
        <v>2.4293671559718448E-2</v>
      </c>
    </row>
    <row r="335" spans="1:2" x14ac:dyDescent="0.25">
      <c r="A335" cm="1">
        <f t="array" ref="A335">INDEX('Portfolio Weights Returns'!$B$9:$BJ$69,
INT((ROW(A334)-1)/COLUMNS('Portfolio Weights Returns'!$B$9:$BJ$69))+1,MOD(ROW(A334)-1,COLUMNS('Portfolio Weights Returns'!$B$9:$BJ$69))+1)</f>
        <v>-9.7223139432710043E-4</v>
      </c>
      <c r="B335" cm="1">
        <f t="array" ref="B335">INDEX('Portfolio Weights Std'!$B$9:$BJ$69,INT((ROW(A334)-1)/COLUMNS('Portfolio Weights Std'!$B$9:$BJ$69))+1,MOD(ROW(A334)-1,COLUMNS('Portfolio Weights Std'!$B$9:$BJ$69))+1)</f>
        <v>2.4135161262892921E-2</v>
      </c>
    </row>
    <row r="336" spans="1:2" x14ac:dyDescent="0.25">
      <c r="A336" cm="1">
        <f t="array" ref="A336">INDEX('Portfolio Weights Returns'!$B$9:$BJ$69,
INT((ROW(A335)-1)/COLUMNS('Portfolio Weights Returns'!$B$9:$BJ$69))+1,MOD(ROW(A335)-1,COLUMNS('Portfolio Weights Returns'!$B$9:$BJ$69))+1)</f>
        <v>-9.6545022036042128E-4</v>
      </c>
      <c r="B336" cm="1">
        <f t="array" ref="B336">INDEX('Portfolio Weights Std'!$B$9:$BJ$69,INT((ROW(A335)-1)/COLUMNS('Portfolio Weights Std'!$B$9:$BJ$69))+1,MOD(ROW(A335)-1,COLUMNS('Portfolio Weights Std'!$B$9:$BJ$69))+1)</f>
        <v>2.3977534201350795E-2</v>
      </c>
    </row>
    <row r="337" spans="1:2" x14ac:dyDescent="0.25">
      <c r="A337" cm="1">
        <f t="array" ref="A337">INDEX('Portfolio Weights Returns'!$B$9:$BJ$69,
INT((ROW(A336)-1)/COLUMNS('Portfolio Weights Returns'!$B$9:$BJ$69))+1,MOD(ROW(A336)-1,COLUMNS('Portfolio Weights Returns'!$B$9:$BJ$69))+1)</f>
        <v>-9.5866904639374225E-4</v>
      </c>
      <c r="B337" cm="1">
        <f t="array" ref="B337">INDEX('Portfolio Weights Std'!$B$9:$BJ$69,INT((ROW(A336)-1)/COLUMNS('Portfolio Weights Std'!$B$9:$BJ$69))+1,MOD(ROW(A336)-1,COLUMNS('Portfolio Weights Std'!$B$9:$BJ$69))+1)</f>
        <v>2.3820807908733341E-2</v>
      </c>
    </row>
    <row r="338" spans="1:2" x14ac:dyDescent="0.25">
      <c r="A338" cm="1">
        <f t="array" ref="A338">INDEX('Portfolio Weights Returns'!$B$9:$BJ$69,
INT((ROW(A337)-1)/COLUMNS('Portfolio Weights Returns'!$B$9:$BJ$69))+1,MOD(ROW(A337)-1,COLUMNS('Portfolio Weights Returns'!$B$9:$BJ$69))+1)</f>
        <v>-9.518878724270631E-4</v>
      </c>
      <c r="B338" cm="1">
        <f t="array" ref="B338">INDEX('Portfolio Weights Std'!$B$9:$BJ$69,INT((ROW(A337)-1)/COLUMNS('Portfolio Weights Std'!$B$9:$BJ$69))+1,MOD(ROW(A337)-1,COLUMNS('Portfolio Weights Std'!$B$9:$BJ$69))+1)</f>
        <v>2.3665000281625284E-2</v>
      </c>
    </row>
    <row r="339" spans="1:2" x14ac:dyDescent="0.25">
      <c r="A339" cm="1">
        <f t="array" ref="A339">INDEX('Portfolio Weights Returns'!$B$9:$BJ$69,
INT((ROW(A338)-1)/COLUMNS('Portfolio Weights Returns'!$B$9:$BJ$69))+1,MOD(ROW(A338)-1,COLUMNS('Portfolio Weights Returns'!$B$9:$BJ$69))+1)</f>
        <v>-9.4510669846038396E-4</v>
      </c>
      <c r="B339" cm="1">
        <f t="array" ref="B339">INDEX('Portfolio Weights Std'!$B$9:$BJ$69,INT((ROW(A338)-1)/COLUMNS('Portfolio Weights Std'!$B$9:$BJ$69))+1,MOD(ROW(A338)-1,COLUMNS('Portfolio Weights Std'!$B$9:$BJ$69))+1)</f>
        <v>2.351012958472587E-2</v>
      </c>
    </row>
    <row r="340" spans="1:2" x14ac:dyDescent="0.25">
      <c r="A340" cm="1">
        <f t="array" ref="A340">INDEX('Portfolio Weights Returns'!$B$9:$BJ$69,
INT((ROW(A339)-1)/COLUMNS('Portfolio Weights Returns'!$B$9:$BJ$69))+1,MOD(ROW(A339)-1,COLUMNS('Portfolio Weights Returns'!$B$9:$BJ$69))+1)</f>
        <v>-9.3832552449370492E-4</v>
      </c>
      <c r="B340" cm="1">
        <f t="array" ref="B340">INDEX('Portfolio Weights Std'!$B$9:$BJ$69,INT((ROW(A339)-1)/COLUMNS('Portfolio Weights Std'!$B$9:$BJ$69))+1,MOD(ROW(A339)-1,COLUMNS('Portfolio Weights Std'!$B$9:$BJ$69))+1)</f>
        <v>2.3356214455870335E-2</v>
      </c>
    </row>
    <row r="341" spans="1:2" x14ac:dyDescent="0.25">
      <c r="A341" cm="1">
        <f t="array" ref="A341">INDEX('Portfolio Weights Returns'!$B$9:$BJ$69,
INT((ROW(A340)-1)/COLUMNS('Portfolio Weights Returns'!$B$9:$BJ$69))+1,MOD(ROW(A340)-1,COLUMNS('Portfolio Weights Returns'!$B$9:$BJ$69))+1)</f>
        <v>-9.3154435052702567E-4</v>
      </c>
      <c r="B341" cm="1">
        <f t="array" ref="B341">INDEX('Portfolio Weights Std'!$B$9:$BJ$69,INT((ROW(A340)-1)/COLUMNS('Portfolio Weights Std'!$B$9:$BJ$69))+1,MOD(ROW(A340)-1,COLUMNS('Portfolio Weights Std'!$B$9:$BJ$69))+1)</f>
        <v>2.3203273910880246E-2</v>
      </c>
    </row>
    <row r="342" spans="1:2" x14ac:dyDescent="0.25">
      <c r="A342" cm="1">
        <f t="array" ref="A342">INDEX('Portfolio Weights Returns'!$B$9:$BJ$69,
INT((ROW(A341)-1)/COLUMNS('Portfolio Weights Returns'!$B$9:$BJ$69))+1,MOD(ROW(A341)-1,COLUMNS('Portfolio Weights Returns'!$B$9:$BJ$69))+1)</f>
        <v>-9.2476317656034663E-4</v>
      </c>
      <c r="B342" cm="1">
        <f t="array" ref="B342">INDEX('Portfolio Weights Std'!$B$9:$BJ$69,INT((ROW(A341)-1)/COLUMNS('Portfolio Weights Std'!$B$9:$BJ$69))+1,MOD(ROW(A341)-1,COLUMNS('Portfolio Weights Std'!$B$9:$BJ$69))+1)</f>
        <v>2.3051327348219918E-2</v>
      </c>
    </row>
    <row r="343" spans="1:2" x14ac:dyDescent="0.25">
      <c r="A343" cm="1">
        <f t="array" ref="A343">INDEX('Portfolio Weights Returns'!$B$9:$BJ$69,
INT((ROW(A342)-1)/COLUMNS('Portfolio Weights Returns'!$B$9:$BJ$69))+1,MOD(ROW(A342)-1,COLUMNS('Portfolio Weights Returns'!$B$9:$BJ$69))+1)</f>
        <v>-9.1798200259366749E-4</v>
      </c>
      <c r="B343" cm="1">
        <f t="array" ref="B343">INDEX('Portfolio Weights Std'!$B$9:$BJ$69,INT((ROW(A342)-1)/COLUMNS('Portfolio Weights Std'!$B$9:$BJ$69))+1,MOD(ROW(A342)-1,COLUMNS('Portfolio Weights Std'!$B$9:$BJ$69))+1)</f>
        <v>2.2900394553434511E-2</v>
      </c>
    </row>
    <row r="344" spans="1:2" x14ac:dyDescent="0.25">
      <c r="A344" cm="1">
        <f t="array" ref="A344">INDEX('Portfolio Weights Returns'!$B$9:$BJ$69,
INT((ROW(A343)-1)/COLUMNS('Portfolio Weights Returns'!$B$9:$BJ$69))+1,MOD(ROW(A343)-1,COLUMNS('Portfolio Weights Returns'!$B$9:$BJ$69))+1)</f>
        <v>-9.1120082862698845E-4</v>
      </c>
      <c r="B344" cm="1">
        <f t="array" ref="B344">INDEX('Portfolio Weights Std'!$B$9:$BJ$69,INT((ROW(A343)-1)/COLUMNS('Portfolio Weights Std'!$B$9:$BJ$69))+1,MOD(ROW(A343)-1,COLUMNS('Portfolio Weights Std'!$B$9:$BJ$69))+1)</f>
        <v>2.2750495703344149E-2</v>
      </c>
    </row>
    <row r="345" spans="1:2" x14ac:dyDescent="0.25">
      <c r="A345" cm="1">
        <f t="array" ref="A345">INDEX('Portfolio Weights Returns'!$B$9:$BJ$69,
INT((ROW(A344)-1)/COLUMNS('Portfolio Weights Returns'!$B$9:$BJ$69))+1,MOD(ROW(A344)-1,COLUMNS('Portfolio Weights Returns'!$B$9:$BJ$69))+1)</f>
        <v>-9.0441965466030931E-4</v>
      </c>
      <c r="B345" cm="1">
        <f t="array" ref="B345">INDEX('Portfolio Weights Std'!$B$9:$BJ$69,INT((ROW(A344)-1)/COLUMNS('Portfolio Weights Std'!$B$9:$BJ$69))+1,MOD(ROW(A344)-1,COLUMNS('Portfolio Weights Std'!$B$9:$BJ$69))+1)</f>
        <v>2.260165136996662E-2</v>
      </c>
    </row>
    <row r="346" spans="1:2" x14ac:dyDescent="0.25">
      <c r="A346" cm="1">
        <f t="array" ref="A346">INDEX('Portfolio Weights Returns'!$B$9:$BJ$69,
INT((ROW(A345)-1)/COLUMNS('Portfolio Weights Returns'!$B$9:$BJ$69))+1,MOD(ROW(A345)-1,COLUMNS('Portfolio Weights Returns'!$B$9:$BJ$69))+1)</f>
        <v>-8.9763848069363038E-4</v>
      </c>
      <c r="B346" cm="1">
        <f t="array" ref="B346">INDEX('Portfolio Weights Std'!$B$9:$BJ$69,INT((ROW(A345)-1)/COLUMNS('Portfolio Weights Std'!$B$9:$BJ$69))+1,MOD(ROW(A345)-1,COLUMNS('Portfolio Weights Std'!$B$9:$BJ$69))+1)</f>
        <v>2.2453882524139858E-2</v>
      </c>
    </row>
    <row r="347" spans="1:2" x14ac:dyDescent="0.25">
      <c r="A347" cm="1">
        <f t="array" ref="A347">INDEX('Portfolio Weights Returns'!$B$9:$BJ$69,
INT((ROW(A346)-1)/COLUMNS('Portfolio Weights Returns'!$B$9:$BJ$69))+1,MOD(ROW(A346)-1,COLUMNS('Portfolio Weights Returns'!$B$9:$BJ$69))+1)</f>
        <v>-8.9085730672695113E-4</v>
      </c>
      <c r="B347" cm="1">
        <f t="array" ref="B347">INDEX('Portfolio Weights Std'!$B$9:$BJ$69,INT((ROW(A346)-1)/COLUMNS('Portfolio Weights Std'!$B$9:$BJ$69))+1,MOD(ROW(A346)-1,COLUMNS('Portfolio Weights Std'!$B$9:$BJ$69))+1)</f>
        <v>2.2307210538813644E-2</v>
      </c>
    </row>
    <row r="348" spans="1:2" x14ac:dyDescent="0.25">
      <c r="A348" cm="1">
        <f t="array" ref="A348">INDEX('Portfolio Weights Returns'!$B$9:$BJ$69,
INT((ROW(A347)-1)/COLUMNS('Portfolio Weights Returns'!$B$9:$BJ$69))+1,MOD(ROW(A347)-1,COLUMNS('Portfolio Weights Returns'!$B$9:$BJ$69))+1)</f>
        <v>-8.8407613276027209E-4</v>
      </c>
      <c r="B348" cm="1">
        <f t="array" ref="B348">INDEX('Portfolio Weights Std'!$B$9:$BJ$69,INT((ROW(A347)-1)/COLUMNS('Portfolio Weights Std'!$B$9:$BJ$69))+1,MOD(ROW(A347)-1,COLUMNS('Portfolio Weights Std'!$B$9:$BJ$69))+1)</f>
        <v>2.2161657191978441E-2</v>
      </c>
    </row>
    <row r="349" spans="1:2" x14ac:dyDescent="0.25">
      <c r="A349" cm="1">
        <f t="array" ref="A349">INDEX('Portfolio Weights Returns'!$B$9:$BJ$69,
INT((ROW(A348)-1)/COLUMNS('Portfolio Weights Returns'!$B$9:$BJ$69))+1,MOD(ROW(A348)-1,COLUMNS('Portfolio Weights Returns'!$B$9:$BJ$69))+1)</f>
        <v>-8.7729495879359284E-4</v>
      </c>
      <c r="B349" cm="1">
        <f t="array" ref="B349">INDEX('Portfolio Weights Std'!$B$9:$BJ$69,INT((ROW(A348)-1)/COLUMNS('Portfolio Weights Std'!$B$9:$BJ$69))+1,MOD(ROW(A348)-1,COLUMNS('Portfolio Weights Std'!$B$9:$BJ$69))+1)</f>
        <v>2.2017244669197522E-2</v>
      </c>
    </row>
    <row r="350" spans="1:2" x14ac:dyDescent="0.25">
      <c r="A350" cm="1">
        <f t="array" ref="A350">INDEX('Portfolio Weights Returns'!$B$9:$BJ$69,
INT((ROW(A349)-1)/COLUMNS('Portfolio Weights Returns'!$B$9:$BJ$69))+1,MOD(ROW(A349)-1,COLUMNS('Portfolio Weights Returns'!$B$9:$BJ$69))+1)</f>
        <v>-8.7051378482691391E-4</v>
      </c>
      <c r="B350" cm="1">
        <f t="array" ref="B350">INDEX('Portfolio Weights Std'!$B$9:$BJ$69,INT((ROW(A349)-1)/COLUMNS('Portfolio Weights Std'!$B$9:$BJ$69))+1,MOD(ROW(A349)-1,COLUMNS('Portfolio Weights Std'!$B$9:$BJ$69))+1)</f>
        <v>2.1873995565707009E-2</v>
      </c>
    </row>
    <row r="351" spans="1:2" x14ac:dyDescent="0.25">
      <c r="A351" cm="1">
        <f t="array" ref="A351">INDEX('Portfolio Weights Returns'!$B$9:$BJ$69,
INT((ROW(A350)-1)/COLUMNS('Portfolio Weights Returns'!$B$9:$BJ$69))+1,MOD(ROW(A350)-1,COLUMNS('Portfolio Weights Returns'!$B$9:$BJ$69))+1)</f>
        <v>-8.6373261086023466E-4</v>
      </c>
      <c r="B351" cm="1">
        <f t="array" ref="B351">INDEX('Portfolio Weights Std'!$B$9:$BJ$69,INT((ROW(A350)-1)/COLUMNS('Portfolio Weights Std'!$B$9:$BJ$69))+1,MOD(ROW(A350)-1,COLUMNS('Portfolio Weights Std'!$B$9:$BJ$69))+1)</f>
        <v>2.1731932888046538E-2</v>
      </c>
    </row>
    <row r="352" spans="1:2" x14ac:dyDescent="0.25">
      <c r="A352" cm="1">
        <f t="array" ref="A352">INDEX('Portfolio Weights Returns'!$B$9:$BJ$69,
INT((ROW(A351)-1)/COLUMNS('Portfolio Weights Returns'!$B$9:$BJ$69))+1,MOD(ROW(A351)-1,COLUMNS('Portfolio Weights Returns'!$B$9:$BJ$69))+1)</f>
        <v>-8.5695143689355562E-4</v>
      </c>
      <c r="B352" cm="1">
        <f t="array" ref="B352">INDEX('Portfolio Weights Std'!$B$9:$BJ$69,INT((ROW(A351)-1)/COLUMNS('Portfolio Weights Std'!$B$9:$BJ$69))+1,MOD(ROW(A351)-1,COLUMNS('Portfolio Weights Std'!$B$9:$BJ$69))+1)</f>
        <v>2.1591080055181903E-2</v>
      </c>
    </row>
    <row r="353" spans="1:2" x14ac:dyDescent="0.25">
      <c r="A353" cm="1">
        <f t="array" ref="A353">INDEX('Portfolio Weights Returns'!$B$9:$BJ$69,
INT((ROW(A352)-1)/COLUMNS('Portfolio Weights Returns'!$B$9:$BJ$69))+1,MOD(ROW(A352)-1,COLUMNS('Portfolio Weights Returns'!$B$9:$BJ$69))+1)</f>
        <v>-8.5017026292687648E-4</v>
      </c>
      <c r="B353" cm="1">
        <f t="array" ref="B353">INDEX('Portfolio Weights Std'!$B$9:$BJ$69,INT((ROW(A352)-1)/COLUMNS('Portfolio Weights Std'!$B$9:$BJ$69))+1,MOD(ROW(A352)-1,COLUMNS('Portfolio Weights Std'!$B$9:$BJ$69))+1)</f>
        <v>2.1451460899078983E-2</v>
      </c>
    </row>
    <row r="354" spans="1:2" x14ac:dyDescent="0.25">
      <c r="A354" cm="1">
        <f t="array" ref="A354">INDEX('Portfolio Weights Returns'!$B$9:$BJ$69,
INT((ROW(A353)-1)/COLUMNS('Portfolio Weights Returns'!$B$9:$BJ$69))+1,MOD(ROW(A353)-1,COLUMNS('Portfolio Weights Returns'!$B$9:$BJ$69))+1)</f>
        <v>-8.4338908896019744E-4</v>
      </c>
      <c r="B354" cm="1">
        <f t="array" ref="B354">INDEX('Portfolio Weights Std'!$B$9:$BJ$69,INT((ROW(A353)-1)/COLUMNS('Portfolio Weights Std'!$B$9:$BJ$69))+1,MOD(ROW(A353)-1,COLUMNS('Portfolio Weights Std'!$B$9:$BJ$69))+1)</f>
        <v>2.1313099664687005E-2</v>
      </c>
    </row>
    <row r="355" spans="1:2" x14ac:dyDescent="0.25">
      <c r="A355" cm="1">
        <f t="array" ref="A355">INDEX('Portfolio Weights Returns'!$B$9:$BJ$69,
INT((ROW(A354)-1)/COLUMNS('Portfolio Weights Returns'!$B$9:$BJ$69))+1,MOD(ROW(A354)-1,COLUMNS('Portfolio Weights Returns'!$B$9:$BJ$69))+1)</f>
        <v>-8.3660791499351841E-4</v>
      </c>
      <c r="B355" cm="1">
        <f t="array" ref="B355">INDEX('Portfolio Weights Std'!$B$9:$BJ$69,INT((ROW(A354)-1)/COLUMNS('Portfolio Weights Std'!$B$9:$BJ$69))+1,MOD(ROW(A354)-1,COLUMNS('Portfolio Weights Std'!$B$9:$BJ$69))+1)</f>
        <v>2.1176021009287224E-2</v>
      </c>
    </row>
    <row r="356" spans="1:2" x14ac:dyDescent="0.25">
      <c r="A356" cm="1">
        <f t="array" ref="A356">INDEX('Portfolio Weights Returns'!$B$9:$BJ$69,
INT((ROW(A355)-1)/COLUMNS('Portfolio Weights Returns'!$B$9:$BJ$69))+1,MOD(ROW(A355)-1,COLUMNS('Portfolio Weights Returns'!$B$9:$BJ$69))+1)</f>
        <v>-8.2982674102683926E-4</v>
      </c>
      <c r="B356" cm="1">
        <f t="array" ref="B356">INDEX('Portfolio Weights Std'!$B$9:$BJ$69,INT((ROW(A355)-1)/COLUMNS('Portfolio Weights Std'!$B$9:$BJ$69))+1,MOD(ROW(A355)-1,COLUMNS('Portfolio Weights Std'!$B$9:$BJ$69))+1)</f>
        <v>2.1040250001161886E-2</v>
      </c>
    </row>
    <row r="357" spans="1:2" x14ac:dyDescent="0.25">
      <c r="A357" cm="1">
        <f t="array" ref="A357">INDEX('Portfolio Weights Returns'!$B$9:$BJ$69,
INT((ROW(A356)-1)/COLUMNS('Portfolio Weights Returns'!$B$9:$BJ$69))+1,MOD(ROW(A356)-1,COLUMNS('Portfolio Weights Returns'!$B$9:$BJ$69))+1)</f>
        <v>-8.2304556706016023E-4</v>
      </c>
      <c r="B357" cm="1">
        <f t="array" ref="B357">INDEX('Portfolio Weights Std'!$B$9:$BJ$69,INT((ROW(A356)-1)/COLUMNS('Portfolio Weights Std'!$B$9:$BJ$69))+1,MOD(ROW(A356)-1,COLUMNS('Portfolio Weights Std'!$B$9:$BJ$69))+1)</f>
        <v>2.0905812117536532E-2</v>
      </c>
    </row>
    <row r="358" spans="1:2" x14ac:dyDescent="0.25">
      <c r="A358" cm="1">
        <f t="array" ref="A358">INDEX('Portfolio Weights Returns'!$B$9:$BJ$69,
INT((ROW(A357)-1)/COLUMNS('Portfolio Weights Returns'!$B$9:$BJ$69))+1,MOD(ROW(A357)-1,COLUMNS('Portfolio Weights Returns'!$B$9:$BJ$69))+1)</f>
        <v>-8.1626439309348108E-4</v>
      </c>
      <c r="B358" cm="1">
        <f t="array" ref="B358">INDEX('Portfolio Weights Std'!$B$9:$BJ$69,INT((ROW(A357)-1)/COLUMNS('Portfolio Weights Std'!$B$9:$BJ$69))+1,MOD(ROW(A357)-1,COLUMNS('Portfolio Weights Std'!$B$9:$BJ$69))+1)</f>
        <v>2.0772733241747648E-2</v>
      </c>
    </row>
    <row r="359" spans="1:2" x14ac:dyDescent="0.25">
      <c r="A359" cm="1">
        <f t="array" ref="A359">INDEX('Portfolio Weights Returns'!$B$9:$BJ$69,
INT((ROW(A358)-1)/COLUMNS('Portfolio Weights Returns'!$B$9:$BJ$69))+1,MOD(ROW(A358)-1,COLUMNS('Portfolio Weights Returns'!$B$9:$BJ$69))+1)</f>
        <v>-8.0948321912680183E-4</v>
      </c>
      <c r="B359" cm="1">
        <f t="array" ref="B359">INDEX('Portfolio Weights Std'!$B$9:$BJ$69,INT((ROW(A358)-1)/COLUMNS('Portfolio Weights Std'!$B$9:$BJ$69))+1,MOD(ROW(A358)-1,COLUMNS('Portfolio Weights Std'!$B$9:$BJ$69))+1)</f>
        <v>2.0641039659586049E-2</v>
      </c>
    </row>
    <row r="360" spans="1:2" x14ac:dyDescent="0.25">
      <c r="A360" cm="1">
        <f t="array" ref="A360">INDEX('Portfolio Weights Returns'!$B$9:$BJ$69,
INT((ROW(A359)-1)/COLUMNS('Portfolio Weights Returns'!$B$9:$BJ$69))+1,MOD(ROW(A359)-1,COLUMNS('Portfolio Weights Returns'!$B$9:$BJ$69))+1)</f>
        <v>-8.0270204516012279E-4</v>
      </c>
      <c r="B360" cm="1">
        <f t="array" ref="B360">INDEX('Portfolio Weights Std'!$B$9:$BJ$69,INT((ROW(A359)-1)/COLUMNS('Portfolio Weights Std'!$B$9:$BJ$69))+1,MOD(ROW(A359)-1,COLUMNS('Portfolio Weights Std'!$B$9:$BJ$69))+1)</f>
        <v>2.051075805476547E-2</v>
      </c>
    </row>
    <row r="361" spans="1:2" x14ac:dyDescent="0.25">
      <c r="A361" cm="1">
        <f t="array" ref="A361">INDEX('Portfolio Weights Returns'!$B$9:$BJ$69,
INT((ROW(A360)-1)/COLUMNS('Portfolio Weights Returns'!$B$9:$BJ$69))+1,MOD(ROW(A360)-1,COLUMNS('Portfolio Weights Returns'!$B$9:$BJ$69))+1)</f>
        <v>-7.9592087119344365E-4</v>
      </c>
      <c r="B361" cm="1">
        <f t="array" ref="B361">INDEX('Portfolio Weights Std'!$B$9:$BJ$69,INT((ROW(A360)-1)/COLUMNS('Portfolio Weights Std'!$B$9:$BJ$69))+1,MOD(ROW(A360)-1,COLUMNS('Portfolio Weights Std'!$B$9:$BJ$69))+1)</f>
        <v>2.0381915503464701E-2</v>
      </c>
    </row>
    <row r="362" spans="1:2" x14ac:dyDescent="0.25">
      <c r="A362" cm="1">
        <f t="array" ref="A362">INDEX('Portfolio Weights Returns'!$B$9:$BJ$69,
INT((ROW(A361)-1)/COLUMNS('Portfolio Weights Returns'!$B$9:$BJ$69))+1,MOD(ROW(A361)-1,COLUMNS('Portfolio Weights Returns'!$B$9:$BJ$69))+1)</f>
        <v>-7.8913969722676461E-4</v>
      </c>
      <c r="B362" cm="1">
        <f t="array" ref="B362">INDEX('Portfolio Weights Std'!$B$9:$BJ$69,INT((ROW(A361)-1)/COLUMNS('Portfolio Weights Std'!$B$9:$BJ$69))+1,MOD(ROW(A361)-1,COLUMNS('Portfolio Weights Std'!$B$9:$BJ$69))+1)</f>
        <v>2.0254539467890874E-2</v>
      </c>
    </row>
    <row r="363" spans="1:2" x14ac:dyDescent="0.25">
      <c r="A363" cm="1">
        <f t="array" ref="A363">INDEX('Portfolio Weights Returns'!$B$9:$BJ$69,
INT((ROW(A362)-1)/COLUMNS('Portfolio Weights Returns'!$B$9:$BJ$69))+1,MOD(ROW(A362)-1,COLUMNS('Portfolio Weights Returns'!$B$9:$BJ$69))+1)</f>
        <v>-7.8235852326008547E-4</v>
      </c>
      <c r="B363" cm="1">
        <f t="array" ref="B363">INDEX('Portfolio Weights Std'!$B$9:$BJ$69,INT((ROW(A362)-1)/COLUMNS('Portfolio Weights Std'!$B$9:$BJ$69))+1,MOD(ROW(A362)-1,COLUMNS('Portfolio Weights Std'!$B$9:$BJ$69))+1)</f>
        <v>2.0128657788810692E-2</v>
      </c>
    </row>
    <row r="364" spans="1:2" x14ac:dyDescent="0.25">
      <c r="A364" cm="1">
        <f t="array" ref="A364">INDEX('Portfolio Weights Returns'!$B$9:$BJ$69,
INT((ROW(A363)-1)/COLUMNS('Portfolio Weights Returns'!$B$9:$BJ$69))+1,MOD(ROW(A363)-1,COLUMNS('Portfolio Weights Returns'!$B$9:$BJ$69))+1)</f>
        <v>-7.7557734929340567E-4</v>
      </c>
      <c r="B364" cm="1">
        <f t="array" ref="B364">INDEX('Portfolio Weights Std'!$B$9:$BJ$69,INT((ROW(A363)-1)/COLUMNS('Portfolio Weights Std'!$B$9:$BJ$69))+1,MOD(ROW(A363)-1,COLUMNS('Portfolio Weights Std'!$B$9:$BJ$69))+1)</f>
        <v>2.0004298676996272E-2</v>
      </c>
    </row>
    <row r="365" spans="1:2" x14ac:dyDescent="0.25">
      <c r="A365" cm="1">
        <f t="array" ref="A365">INDEX('Portfolio Weights Returns'!$B$9:$BJ$69,
INT((ROW(A364)-1)/COLUMNS('Portfolio Weights Returns'!$B$9:$BJ$69))+1,MOD(ROW(A364)-1,COLUMNS('Portfolio Weights Returns'!$B$9:$BJ$69))+1)</f>
        <v>-7.6879617532672653E-4</v>
      </c>
      <c r="B365" cm="1">
        <f t="array" ref="B365">INDEX('Portfolio Weights Std'!$B$9:$BJ$69,INT((ROW(A364)-1)/COLUMNS('Portfolio Weights Std'!$B$9:$BJ$69))+1,MOD(ROW(A364)-1,COLUMNS('Portfolio Weights Std'!$B$9:$BJ$69))+1)</f>
        <v>1.9881490703531939E-2</v>
      </c>
    </row>
    <row r="366" spans="1:2" x14ac:dyDescent="0.25">
      <c r="A366" cm="1">
        <f t="array" ref="A366">INDEX('Portfolio Weights Returns'!$B$9:$BJ$69,
INT((ROW(A365)-1)/COLUMNS('Portfolio Weights Returns'!$B$9:$BJ$69))+1,MOD(ROW(A365)-1,COLUMNS('Portfolio Weights Returns'!$B$9:$BJ$69))+1)</f>
        <v>-7.620150013600476E-4</v>
      </c>
      <c r="B366" cm="1">
        <f t="array" ref="B366">INDEX('Portfolio Weights Std'!$B$9:$BJ$69,INT((ROW(A365)-1)/COLUMNS('Portfolio Weights Std'!$B$9:$BJ$69))+1,MOD(ROW(A365)-1,COLUMNS('Portfolio Weights Std'!$B$9:$BJ$69))+1)</f>
        <v>1.9760262788928312E-2</v>
      </c>
    </row>
    <row r="367" spans="1:2" x14ac:dyDescent="0.25">
      <c r="A367" cm="1">
        <f t="array" ref="A367">INDEX('Portfolio Weights Returns'!$B$9:$BJ$69,
INT((ROW(A366)-1)/COLUMNS('Portfolio Weights Returns'!$B$9:$BJ$69))+1,MOD(ROW(A366)-1,COLUMNS('Portfolio Weights Returns'!$B$9:$BJ$69))+1)</f>
        <v>-7.5523382739336846E-4</v>
      </c>
      <c r="B367" cm="1">
        <f t="array" ref="B367">INDEX('Portfolio Weights Std'!$B$9:$BJ$69,INT((ROW(A366)-1)/COLUMNS('Portfolio Weights Std'!$B$9:$BJ$69))+1,MOD(ROW(A366)-1,COLUMNS('Portfolio Weights Std'!$B$9:$BJ$69))+1)</f>
        <v>1.964064419099101E-2</v>
      </c>
    </row>
    <row r="368" spans="1:2" x14ac:dyDescent="0.25">
      <c r="A368" cm="1">
        <f t="array" ref="A368">INDEX('Portfolio Weights Returns'!$B$9:$BJ$69,
INT((ROW(A367)-1)/COLUMNS('Portfolio Weights Returns'!$B$9:$BJ$69))+1,MOD(ROW(A367)-1,COLUMNS('Portfolio Weights Returns'!$B$9:$BJ$69))+1)</f>
        <v>-1.1555300575486602E-3</v>
      </c>
      <c r="B368" cm="1">
        <f t="array" ref="B368">INDEX('Portfolio Weights Std'!$B$9:$BJ$69,INT((ROW(A367)-1)/COLUMNS('Portfolio Weights Std'!$B$9:$BJ$69))+1,MOD(ROW(A367)-1,COLUMNS('Portfolio Weights Std'!$B$9:$BJ$69))+1)</f>
        <v>2.8612084378020965E-2</v>
      </c>
    </row>
    <row r="369" spans="1:2" x14ac:dyDescent="0.25">
      <c r="A369" cm="1">
        <f t="array" ref="A369">INDEX('Portfolio Weights Returns'!$B$9:$BJ$69,
INT((ROW(A368)-1)/COLUMNS('Portfolio Weights Returns'!$B$9:$BJ$69))+1,MOD(ROW(A368)-1,COLUMNS('Portfolio Weights Returns'!$B$9:$BJ$69))+1)</f>
        <v>-1.148748883581981E-3</v>
      </c>
      <c r="B369" cm="1">
        <f t="array" ref="B369">INDEX('Portfolio Weights Std'!$B$9:$BJ$69,INT((ROW(A368)-1)/COLUMNS('Portfolio Weights Std'!$B$9:$BJ$69))+1,MOD(ROW(A368)-1,COLUMNS('Portfolio Weights Std'!$B$9:$BJ$69))+1)</f>
        <v>2.8435026539894784E-2</v>
      </c>
    </row>
    <row r="370" spans="1:2" x14ac:dyDescent="0.25">
      <c r="A370" cm="1">
        <f t="array" ref="A370">INDEX('Portfolio Weights Returns'!$B$9:$BJ$69,
INT((ROW(A369)-1)/COLUMNS('Portfolio Weights Returns'!$B$9:$BJ$69))+1,MOD(ROW(A369)-1,COLUMNS('Portfolio Weights Returns'!$B$9:$BJ$69))+1)</f>
        <v>-1.1419677096153019E-3</v>
      </c>
      <c r="B370" cm="1">
        <f t="array" ref="B370">INDEX('Portfolio Weights Std'!$B$9:$BJ$69,INT((ROW(A369)-1)/COLUMNS('Portfolio Weights Std'!$B$9:$BJ$69))+1,MOD(ROW(A369)-1,COLUMNS('Portfolio Weights Std'!$B$9:$BJ$69))+1)</f>
        <v>2.8258497873219941E-2</v>
      </c>
    </row>
    <row r="371" spans="1:2" x14ac:dyDescent="0.25">
      <c r="A371" cm="1">
        <f t="array" ref="A371">INDEX('Portfolio Weights Returns'!$B$9:$BJ$69,
INT((ROW(A370)-1)/COLUMNS('Portfolio Weights Returns'!$B$9:$BJ$69))+1,MOD(ROW(A370)-1,COLUMNS('Portfolio Weights Returns'!$B$9:$BJ$69))+1)</f>
        <v>-1.1351865356486227E-3</v>
      </c>
      <c r="B371" cm="1">
        <f t="array" ref="B371">INDEX('Portfolio Weights Std'!$B$9:$BJ$69,INT((ROW(A370)-1)/COLUMNS('Portfolio Weights Std'!$B$9:$BJ$69))+1,MOD(ROW(A370)-1,COLUMNS('Portfolio Weights Std'!$B$9:$BJ$69))+1)</f>
        <v>2.808250835722758E-2</v>
      </c>
    </row>
    <row r="372" spans="1:2" x14ac:dyDescent="0.25">
      <c r="A372" cm="1">
        <f t="array" ref="A372">INDEX('Portfolio Weights Returns'!$B$9:$BJ$69,
INT((ROW(A371)-1)/COLUMNS('Portfolio Weights Returns'!$B$9:$BJ$69))+1,MOD(ROW(A371)-1,COLUMNS('Portfolio Weights Returns'!$B$9:$BJ$69))+1)</f>
        <v>-1.1284053616819438E-3</v>
      </c>
      <c r="B372" cm="1">
        <f t="array" ref="B372">INDEX('Portfolio Weights Std'!$B$9:$BJ$69,INT((ROW(A371)-1)/COLUMNS('Portfolio Weights Std'!$B$9:$BJ$69))+1,MOD(ROW(A371)-1,COLUMNS('Portfolio Weights Std'!$B$9:$BJ$69))+1)</f>
        <v>2.7907068192009419E-2</v>
      </c>
    </row>
    <row r="373" spans="1:2" x14ac:dyDescent="0.25">
      <c r="A373" cm="1">
        <f t="array" ref="A373">INDEX('Portfolio Weights Returns'!$B$9:$BJ$69,
INT((ROW(A372)-1)/COLUMNS('Portfolio Weights Returns'!$B$9:$BJ$69))+1,MOD(ROW(A372)-1,COLUMNS('Portfolio Weights Returns'!$B$9:$BJ$69))+1)</f>
        <v>-1.1216241877152647E-3</v>
      </c>
      <c r="B373" cm="1">
        <f t="array" ref="B373">INDEX('Portfolio Weights Std'!$B$9:$BJ$69,INT((ROW(A372)-1)/COLUMNS('Portfolio Weights Std'!$B$9:$BJ$69))+1,MOD(ROW(A372)-1,COLUMNS('Portfolio Weights Std'!$B$9:$BJ$69))+1)</f>
        <v>2.7732187803523486E-2</v>
      </c>
    </row>
    <row r="374" spans="1:2" x14ac:dyDescent="0.25">
      <c r="A374" cm="1">
        <f t="array" ref="A374">INDEX('Portfolio Weights Returns'!$B$9:$BJ$69,
INT((ROW(A373)-1)/COLUMNS('Portfolio Weights Returns'!$B$9:$BJ$69))+1,MOD(ROW(A373)-1,COLUMNS('Portfolio Weights Returns'!$B$9:$BJ$69))+1)</f>
        <v>-1.1148430137485855E-3</v>
      </c>
      <c r="B374" cm="1">
        <f t="array" ref="B374">INDEX('Portfolio Weights Std'!$B$9:$BJ$69,INT((ROW(A373)-1)/COLUMNS('Portfolio Weights Std'!$B$9:$BJ$69))+1,MOD(ROW(A373)-1,COLUMNS('Portfolio Weights Std'!$B$9:$BJ$69))+1)</f>
        <v>2.7557877848685221E-2</v>
      </c>
    </row>
    <row r="375" spans="1:2" x14ac:dyDescent="0.25">
      <c r="A375" cm="1">
        <f t="array" ref="A375">INDEX('Portfolio Weights Returns'!$B$9:$BJ$69,
INT((ROW(A374)-1)/COLUMNS('Portfolio Weights Returns'!$B$9:$BJ$69))+1,MOD(ROW(A374)-1,COLUMNS('Portfolio Weights Returns'!$B$9:$BJ$69))+1)</f>
        <v>-1.1080618397819064E-3</v>
      </c>
      <c r="B375" cm="1">
        <f t="array" ref="B375">INDEX('Portfolio Weights Std'!$B$9:$BJ$69,INT((ROW(A374)-1)/COLUMNS('Portfolio Weights Std'!$B$9:$BJ$69))+1,MOD(ROW(A374)-1,COLUMNS('Portfolio Weights Std'!$B$9:$BJ$69))+1)</f>
        <v>2.7384149220542536E-2</v>
      </c>
    </row>
    <row r="376" spans="1:2" x14ac:dyDescent="0.25">
      <c r="A376" cm="1">
        <f t="array" ref="A376">INDEX('Portfolio Weights Returns'!$B$9:$BJ$69,
INT((ROW(A375)-1)/COLUMNS('Portfolio Weights Returns'!$B$9:$BJ$69))+1,MOD(ROW(A375)-1,COLUMNS('Portfolio Weights Returns'!$B$9:$BJ$69))+1)</f>
        <v>-1.1012806658152274E-3</v>
      </c>
      <c r="B376" cm="1">
        <f t="array" ref="B376">INDEX('Portfolio Weights Std'!$B$9:$BJ$69,INT((ROW(A375)-1)/COLUMNS('Portfolio Weights Std'!$B$9:$BJ$69))+1,MOD(ROW(A375)-1,COLUMNS('Portfolio Weights Std'!$B$9:$BJ$69))+1)</f>
        <v>2.7211013053533142E-2</v>
      </c>
    </row>
    <row r="377" spans="1:2" x14ac:dyDescent="0.25">
      <c r="A377" cm="1">
        <f t="array" ref="A377">INDEX('Portfolio Weights Returns'!$B$9:$BJ$69,
INT((ROW(A376)-1)/COLUMNS('Portfolio Weights Returns'!$B$9:$BJ$69))+1,MOD(ROW(A376)-1,COLUMNS('Portfolio Weights Returns'!$B$9:$BJ$69))+1)</f>
        <v>-1.0944994918485483E-3</v>
      </c>
      <c r="B377" cm="1">
        <f t="array" ref="B377">INDEX('Portfolio Weights Std'!$B$9:$BJ$69,INT((ROW(A376)-1)/COLUMNS('Portfolio Weights Std'!$B$9:$BJ$69))+1,MOD(ROW(A376)-1,COLUMNS('Portfolio Weights Std'!$B$9:$BJ$69))+1)</f>
        <v>2.7038480728822169E-2</v>
      </c>
    </row>
    <row r="378" spans="1:2" x14ac:dyDescent="0.25">
      <c r="A378" cm="1">
        <f t="array" ref="A378">INDEX('Portfolio Weights Returns'!$B$9:$BJ$69,
INT((ROW(A377)-1)/COLUMNS('Portfolio Weights Returns'!$B$9:$BJ$69))+1,MOD(ROW(A377)-1,COLUMNS('Portfolio Weights Returns'!$B$9:$BJ$69))+1)</f>
        <v>-1.0877183178818692E-3</v>
      </c>
      <c r="B378" cm="1">
        <f t="array" ref="B378">INDEX('Portfolio Weights Std'!$B$9:$BJ$69,INT((ROW(A377)-1)/COLUMNS('Portfolio Weights Std'!$B$9:$BJ$69))+1,MOD(ROW(A377)-1,COLUMNS('Portfolio Weights Std'!$B$9:$BJ$69))+1)</f>
        <v>2.6866563879717673E-2</v>
      </c>
    </row>
    <row r="379" spans="1:2" x14ac:dyDescent="0.25">
      <c r="A379" cm="1">
        <f t="array" ref="A379">INDEX('Portfolio Weights Returns'!$B$9:$BJ$69,
INT((ROW(A378)-1)/COLUMNS('Portfolio Weights Returns'!$B$9:$BJ$69))+1,MOD(ROW(A378)-1,COLUMNS('Portfolio Weights Returns'!$B$9:$BJ$69))+1)</f>
        <v>-1.0809371439151898E-3</v>
      </c>
      <c r="B379" cm="1">
        <f t="array" ref="B379">INDEX('Portfolio Weights Std'!$B$9:$BJ$69,INT((ROW(A378)-1)/COLUMNS('Portfolio Weights Std'!$B$9:$BJ$69))+1,MOD(ROW(A378)-1,COLUMNS('Portfolio Weights Std'!$B$9:$BJ$69))+1)</f>
        <v>2.6695274397161361E-2</v>
      </c>
    </row>
    <row r="380" spans="1:2" x14ac:dyDescent="0.25">
      <c r="A380" cm="1">
        <f t="array" ref="A380">INDEX('Portfolio Weights Returns'!$B$9:$BJ$69,
INT((ROW(A379)-1)/COLUMNS('Portfolio Weights Returns'!$B$9:$BJ$69))+1,MOD(ROW(A379)-1,COLUMNS('Portfolio Weights Returns'!$B$9:$BJ$69))+1)</f>
        <v>-1.0741559699485106E-3</v>
      </c>
      <c r="B380" cm="1">
        <f t="array" ref="B380">INDEX('Portfolio Weights Std'!$B$9:$BJ$69,INT((ROW(A379)-1)/COLUMNS('Portfolio Weights Std'!$B$9:$BJ$69))+1,MOD(ROW(A379)-1,COLUMNS('Portfolio Weights Std'!$B$9:$BJ$69))+1)</f>
        <v>2.6524624435291317E-2</v>
      </c>
    </row>
    <row r="381" spans="1:2" x14ac:dyDescent="0.25">
      <c r="A381" cm="1">
        <f t="array" ref="A381">INDEX('Portfolio Weights Returns'!$B$9:$BJ$69,
INT((ROW(A380)-1)/COLUMNS('Portfolio Weights Returns'!$B$9:$BJ$69))+1,MOD(ROW(A380)-1,COLUMNS('Portfolio Weights Returns'!$B$9:$BJ$69))+1)</f>
        <v>-1.0673747959818317E-3</v>
      </c>
      <c r="B381" cm="1">
        <f t="array" ref="B381">INDEX('Portfolio Weights Std'!$B$9:$BJ$69,INT((ROW(A380)-1)/COLUMNS('Portfolio Weights Std'!$B$9:$BJ$69))+1,MOD(ROW(A380)-1,COLUMNS('Portfolio Weights Std'!$B$9:$BJ$69))+1)</f>
        <v>2.6354626417073222E-2</v>
      </c>
    </row>
    <row r="382" spans="1:2" x14ac:dyDescent="0.25">
      <c r="A382" cm="1">
        <f t="array" ref="A382">INDEX('Portfolio Weights Returns'!$B$9:$BJ$69,
INT((ROW(A381)-1)/COLUMNS('Portfolio Weights Returns'!$B$9:$BJ$69))+1,MOD(ROW(A381)-1,COLUMNS('Portfolio Weights Returns'!$B$9:$BJ$69))+1)</f>
        <v>-1.0605936220151526E-3</v>
      </c>
      <c r="B382" cm="1">
        <f t="array" ref="B382">INDEX('Portfolio Weights Std'!$B$9:$BJ$69,INT((ROW(A381)-1)/COLUMNS('Portfolio Weights Std'!$B$9:$BJ$69))+1,MOD(ROW(A381)-1,COLUMNS('Portfolio Weights Std'!$B$9:$BJ$69))+1)</f>
        <v>2.6185293039995946E-2</v>
      </c>
    </row>
    <row r="383" spans="1:2" x14ac:dyDescent="0.25">
      <c r="A383" cm="1">
        <f t="array" ref="A383">INDEX('Portfolio Weights Returns'!$B$9:$BJ$69,
INT((ROW(A382)-1)/COLUMNS('Portfolio Weights Returns'!$B$9:$BJ$69))+1,MOD(ROW(A382)-1,COLUMNS('Portfolio Weights Returns'!$B$9:$BJ$69))+1)</f>
        <v>-1.0538124480484734E-3</v>
      </c>
      <c r="B383" cm="1">
        <f t="array" ref="B383">INDEX('Portfolio Weights Std'!$B$9:$BJ$69,INT((ROW(A382)-1)/COLUMNS('Portfolio Weights Std'!$B$9:$BJ$69))+1,MOD(ROW(A382)-1,COLUMNS('Portfolio Weights Std'!$B$9:$BJ$69))+1)</f>
        <v>2.6016637281827033E-2</v>
      </c>
    </row>
    <row r="384" spans="1:2" x14ac:dyDescent="0.25">
      <c r="A384" cm="1">
        <f t="array" ref="A384">INDEX('Portfolio Weights Returns'!$B$9:$BJ$69,
INT((ROW(A383)-1)/COLUMNS('Portfolio Weights Returns'!$B$9:$BJ$69))+1,MOD(ROW(A383)-1,COLUMNS('Portfolio Weights Returns'!$B$9:$BJ$69))+1)</f>
        <v>-1.0470312740817945E-3</v>
      </c>
      <c r="B384" cm="1">
        <f t="array" ref="B384">INDEX('Portfolio Weights Std'!$B$9:$BJ$69,INT((ROW(A383)-1)/COLUMNS('Portfolio Weights Std'!$B$9:$BJ$69))+1,MOD(ROW(A383)-1,COLUMNS('Portfolio Weights Std'!$B$9:$BJ$69))+1)</f>
        <v>2.584867240642294E-2</v>
      </c>
    </row>
    <row r="385" spans="1:2" x14ac:dyDescent="0.25">
      <c r="A385" cm="1">
        <f t="array" ref="A385">INDEX('Portfolio Weights Returns'!$B$9:$BJ$69,
INT((ROW(A384)-1)/COLUMNS('Portfolio Weights Returns'!$B$9:$BJ$69))+1,MOD(ROW(A384)-1,COLUMNS('Portfolio Weights Returns'!$B$9:$BJ$69))+1)</f>
        <v>-1.0402501001151154E-3</v>
      </c>
      <c r="B385" cm="1">
        <f t="array" ref="B385">INDEX('Portfolio Weights Std'!$B$9:$BJ$69,INT((ROW(A384)-1)/COLUMNS('Portfolio Weights Std'!$B$9:$BJ$69))+1,MOD(ROW(A384)-1,COLUMNS('Portfolio Weights Std'!$B$9:$BJ$69))+1)</f>
        <v>2.5681411969588324E-2</v>
      </c>
    </row>
    <row r="386" spans="1:2" x14ac:dyDescent="0.25">
      <c r="A386" cm="1">
        <f t="array" ref="A386">INDEX('Portfolio Weights Returns'!$B$9:$BJ$69,
INT((ROW(A385)-1)/COLUMNS('Portfolio Weights Returns'!$B$9:$BJ$69))+1,MOD(ROW(A385)-1,COLUMNS('Portfolio Weights Returns'!$B$9:$BJ$69))+1)</f>
        <v>-1.0334689261484364E-3</v>
      </c>
      <c r="B386" cm="1">
        <f t="array" ref="B386">INDEX('Portfolio Weights Std'!$B$9:$BJ$69,INT((ROW(A385)-1)/COLUMNS('Portfolio Weights Std'!$B$9:$BJ$69))+1,MOD(ROW(A385)-1,COLUMNS('Portfolio Weights Std'!$B$9:$BJ$69))+1)</f>
        <v>2.5514869824978231E-2</v>
      </c>
    </row>
    <row r="387" spans="1:2" x14ac:dyDescent="0.25">
      <c r="A387" cm="1">
        <f t="array" ref="A387">INDEX('Portfolio Weights Returns'!$B$9:$BJ$69,
INT((ROW(A386)-1)/COLUMNS('Portfolio Weights Returns'!$B$9:$BJ$69))+1,MOD(ROW(A386)-1,COLUMNS('Portfolio Weights Returns'!$B$9:$BJ$69))+1)</f>
        <v>-1.0266877521817573E-3</v>
      </c>
      <c r="B387" cm="1">
        <f t="array" ref="B387">INDEX('Portfolio Weights Std'!$B$9:$BJ$69,INT((ROW(A386)-1)/COLUMNS('Portfolio Weights Std'!$B$9:$BJ$69))+1,MOD(ROW(A386)-1,COLUMNS('Portfolio Weights Std'!$B$9:$BJ$69))+1)</f>
        <v>2.5349060130035999E-2</v>
      </c>
    </row>
    <row r="388" spans="1:2" x14ac:dyDescent="0.25">
      <c r="A388" cm="1">
        <f t="array" ref="A388">INDEX('Portfolio Weights Returns'!$B$9:$BJ$69,
INT((ROW(A387)-1)/COLUMNS('Portfolio Weights Returns'!$B$9:$BJ$69))+1,MOD(ROW(A387)-1,COLUMNS('Portfolio Weights Returns'!$B$9:$BJ$69))+1)</f>
        <v>-1.0199065782150781E-3</v>
      </c>
      <c r="B388" cm="1">
        <f t="array" ref="B388">INDEX('Portfolio Weights Std'!$B$9:$BJ$69,INT((ROW(A387)-1)/COLUMNS('Portfolio Weights Std'!$B$9:$BJ$69))+1,MOD(ROW(A387)-1,COLUMNS('Portfolio Weights Std'!$B$9:$BJ$69))+1)</f>
        <v>2.5183997351959489E-2</v>
      </c>
    </row>
    <row r="389" spans="1:2" x14ac:dyDescent="0.25">
      <c r="A389" cm="1">
        <f t="array" ref="A389">INDEX('Portfolio Weights Returns'!$B$9:$BJ$69,
INT((ROW(A388)-1)/COLUMNS('Portfolio Weights Returns'!$B$9:$BJ$69))+1,MOD(ROW(A388)-1,COLUMNS('Portfolio Weights Returns'!$B$9:$BJ$69))+1)</f>
        <v>-1.013125404248399E-3</v>
      </c>
      <c r="B389" cm="1">
        <f t="array" ref="B389">INDEX('Portfolio Weights Std'!$B$9:$BJ$69,INT((ROW(A388)-1)/COLUMNS('Portfolio Weights Std'!$B$9:$BJ$69))+1,MOD(ROW(A388)-1,COLUMNS('Portfolio Weights Std'!$B$9:$BJ$69))+1)</f>
        <v>2.5019696273687064E-2</v>
      </c>
    </row>
    <row r="390" spans="1:2" x14ac:dyDescent="0.25">
      <c r="A390" cm="1">
        <f t="array" ref="A390">INDEX('Portfolio Weights Returns'!$B$9:$BJ$69,
INT((ROW(A389)-1)/COLUMNS('Portfolio Weights Returns'!$B$9:$BJ$69))+1,MOD(ROW(A389)-1,COLUMNS('Portfolio Weights Returns'!$B$9:$BJ$69))+1)</f>
        <v>-1.0063442302817201E-3</v>
      </c>
      <c r="B390" cm="1">
        <f t="array" ref="B390">INDEX('Portfolio Weights Std'!$B$9:$BJ$69,INT((ROW(A389)-1)/COLUMNS('Portfolio Weights Std'!$B$9:$BJ$69))+1,MOD(ROW(A389)-1,COLUMNS('Portfolio Weights Std'!$B$9:$BJ$69))+1)</f>
        <v>2.4856171999894192E-2</v>
      </c>
    </row>
    <row r="391" spans="1:2" x14ac:dyDescent="0.25">
      <c r="A391" cm="1">
        <f t="array" ref="A391">INDEX('Portfolio Weights Returns'!$B$9:$BJ$69,
INT((ROW(A390)-1)/COLUMNS('Portfolio Weights Returns'!$B$9:$BJ$69))+1,MOD(ROW(A390)-1,COLUMNS('Portfolio Weights Returns'!$B$9:$BJ$69))+1)</f>
        <v>-9.9956305631504071E-4</v>
      </c>
      <c r="B391" cm="1">
        <f t="array" ref="B391">INDEX('Portfolio Weights Std'!$B$9:$BJ$69,INT((ROW(A390)-1)/COLUMNS('Portfolio Weights Std'!$B$9:$BJ$69))+1,MOD(ROW(A390)-1,COLUMNS('Portfolio Weights Std'!$B$9:$BJ$69))+1)</f>
        <v>2.4693439962990654E-2</v>
      </c>
    </row>
    <row r="392" spans="1:2" x14ac:dyDescent="0.25">
      <c r="A392" cm="1">
        <f t="array" ref="A392">INDEX('Portfolio Weights Returns'!$B$9:$BJ$69,
INT((ROW(A391)-1)/COLUMNS('Portfolio Weights Returns'!$B$9:$BJ$69))+1,MOD(ROW(A391)-1,COLUMNS('Portfolio Weights Returns'!$B$9:$BJ$69))+1)</f>
        <v>-9.9278188234836156E-4</v>
      </c>
      <c r="B392" cm="1">
        <f t="array" ref="B392">INDEX('Portfolio Weights Std'!$B$9:$BJ$69,INT((ROW(A391)-1)/COLUMNS('Portfolio Weights Std'!$B$9:$BJ$69))+1,MOD(ROW(A391)-1,COLUMNS('Portfolio Weights Std'!$B$9:$BJ$69))+1)</f>
        <v>2.4531515929107389E-2</v>
      </c>
    </row>
    <row r="393" spans="1:2" x14ac:dyDescent="0.25">
      <c r="A393" cm="1">
        <f t="array" ref="A393">INDEX('Portfolio Weights Returns'!$B$9:$BJ$69,
INT((ROW(A392)-1)/COLUMNS('Portfolio Weights Returns'!$B$9:$BJ$69))+1,MOD(ROW(A392)-1,COLUMNS('Portfolio Weights Returns'!$B$9:$BJ$69))+1)</f>
        <v>-9.8600070838168242E-4</v>
      </c>
      <c r="B393" cm="1">
        <f t="array" ref="B393">INDEX('Portfolio Weights Std'!$B$9:$BJ$69,INT((ROW(A392)-1)/COLUMNS('Portfolio Weights Std'!$B$9:$BJ$69))+1,MOD(ROW(A392)-1,COLUMNS('Portfolio Weights Std'!$B$9:$BJ$69))+1)</f>
        <v>2.4370416004061177E-2</v>
      </c>
    </row>
    <row r="394" spans="1:2" x14ac:dyDescent="0.25">
      <c r="A394" cm="1">
        <f t="array" ref="A394">INDEX('Portfolio Weights Returns'!$B$9:$BJ$69,
INT((ROW(A393)-1)/COLUMNS('Portfolio Weights Returns'!$B$9:$BJ$69))+1,MOD(ROW(A393)-1,COLUMNS('Portfolio Weights Returns'!$B$9:$BJ$69))+1)</f>
        <v>-9.7921953441500349E-4</v>
      </c>
      <c r="B394" cm="1">
        <f t="array" ref="B394">INDEX('Portfolio Weights Std'!$B$9:$BJ$69,INT((ROW(A393)-1)/COLUMNS('Portfolio Weights Std'!$B$9:$BJ$69))+1,MOD(ROW(A393)-1,COLUMNS('Portfolio Weights Std'!$B$9:$BJ$69))+1)</f>
        <v>2.4210156639284237E-2</v>
      </c>
    </row>
    <row r="395" spans="1:2" x14ac:dyDescent="0.25">
      <c r="A395" cm="1">
        <f t="array" ref="A395">INDEX('Portfolio Weights Returns'!$B$9:$BJ$69,
INT((ROW(A394)-1)/COLUMNS('Portfolio Weights Returns'!$B$9:$BJ$69))+1,MOD(ROW(A394)-1,COLUMNS('Portfolio Weights Returns'!$B$9:$BJ$69))+1)</f>
        <v>-9.7243836044832435E-4</v>
      </c>
      <c r="B395" cm="1">
        <f t="array" ref="B395">INDEX('Portfolio Weights Std'!$B$9:$BJ$69,INT((ROW(A394)-1)/COLUMNS('Portfolio Weights Std'!$B$9:$BJ$69))+1,MOD(ROW(A394)-1,COLUMNS('Portfolio Weights Std'!$B$9:$BJ$69))+1)</f>
        <v>2.4050754637704862E-2</v>
      </c>
    </row>
    <row r="396" spans="1:2" x14ac:dyDescent="0.25">
      <c r="A396" cm="1">
        <f t="array" ref="A396">INDEX('Portfolio Weights Returns'!$B$9:$BJ$69,
INT((ROW(A395)-1)/COLUMNS('Portfolio Weights Returns'!$B$9:$BJ$69))+1,MOD(ROW(A395)-1,COLUMNS('Portfolio Weights Returns'!$B$9:$BJ$69))+1)</f>
        <v>-9.656571864816452E-4</v>
      </c>
      <c r="B396" cm="1">
        <f t="array" ref="B396">INDEX('Portfolio Weights Std'!$B$9:$BJ$69,INT((ROW(A395)-1)/COLUMNS('Portfolio Weights Std'!$B$9:$BJ$69))+1,MOD(ROW(A395)-1,COLUMNS('Portfolio Weights Std'!$B$9:$BJ$69))+1)</f>
        <v>2.3892227159564079E-2</v>
      </c>
    </row>
    <row r="397" spans="1:2" x14ac:dyDescent="0.25">
      <c r="A397" cm="1">
        <f t="array" ref="A397">INDEX('Portfolio Weights Returns'!$B$9:$BJ$69,
INT((ROW(A396)-1)/COLUMNS('Portfolio Weights Returns'!$B$9:$BJ$69))+1,MOD(ROW(A396)-1,COLUMNS('Portfolio Weights Returns'!$B$9:$BJ$69))+1)</f>
        <v>-9.5887601251496606E-4</v>
      </c>
      <c r="B397" cm="1">
        <f t="array" ref="B397">INDEX('Portfolio Weights Std'!$B$9:$BJ$69,INT((ROW(A396)-1)/COLUMNS('Portfolio Weights Std'!$B$9:$BJ$69))+1,MOD(ROW(A396)-1,COLUMNS('Portfolio Weights Std'!$B$9:$BJ$69))+1)</f>
        <v>2.3734591728152111E-2</v>
      </c>
    </row>
    <row r="398" spans="1:2" x14ac:dyDescent="0.25">
      <c r="A398" cm="1">
        <f t="array" ref="A398">INDEX('Portfolio Weights Returns'!$B$9:$BJ$69,
INT((ROW(A397)-1)/COLUMNS('Portfolio Weights Returns'!$B$9:$BJ$69))+1,MOD(ROW(A397)-1,COLUMNS('Portfolio Weights Returns'!$B$9:$BJ$69))+1)</f>
        <v>-9.5209483854828702E-4</v>
      </c>
      <c r="B398" cm="1">
        <f t="array" ref="B398">INDEX('Portfolio Weights Std'!$B$9:$BJ$69,INT((ROW(A397)-1)/COLUMNS('Portfolio Weights Std'!$B$9:$BJ$69))+1,MOD(ROW(A397)-1,COLUMNS('Portfolio Weights Std'!$B$9:$BJ$69))+1)</f>
        <v>2.3577866235447345E-2</v>
      </c>
    </row>
    <row r="399" spans="1:2" x14ac:dyDescent="0.25">
      <c r="A399" cm="1">
        <f t="array" ref="A399">INDEX('Portfolio Weights Returns'!$B$9:$BJ$69,
INT((ROW(A398)-1)/COLUMNS('Portfolio Weights Returns'!$B$9:$BJ$69))+1,MOD(ROW(A398)-1,COLUMNS('Portfolio Weights Returns'!$B$9:$BJ$69))+1)</f>
        <v>-9.4531366458160788E-4</v>
      </c>
      <c r="B399" cm="1">
        <f t="array" ref="B399">INDEX('Portfolio Weights Std'!$B$9:$BJ$69,INT((ROW(A398)-1)/COLUMNS('Portfolio Weights Std'!$B$9:$BJ$69))+1,MOD(ROW(A398)-1,COLUMNS('Portfolio Weights Std'!$B$9:$BJ$69))+1)</f>
        <v>2.3422068947639003E-2</v>
      </c>
    </row>
    <row r="400" spans="1:2" x14ac:dyDescent="0.25">
      <c r="A400" cm="1">
        <f t="array" ref="A400">INDEX('Portfolio Weights Returns'!$B$9:$BJ$69,
INT((ROW(A399)-1)/COLUMNS('Portfolio Weights Returns'!$B$9:$BJ$69))+1,MOD(ROW(A399)-1,COLUMNS('Portfolio Weights Returns'!$B$9:$BJ$69))+1)</f>
        <v>-9.3853249061492884E-4</v>
      </c>
      <c r="B400" cm="1">
        <f t="array" ref="B400">INDEX('Portfolio Weights Std'!$B$9:$BJ$69,INT((ROW(A399)-1)/COLUMNS('Portfolio Weights Std'!$B$9:$BJ$69))+1,MOD(ROW(A399)-1,COLUMNS('Portfolio Weights Std'!$B$9:$BJ$69))+1)</f>
        <v>2.3267218510513631E-2</v>
      </c>
    </row>
    <row r="401" spans="1:2" x14ac:dyDescent="0.25">
      <c r="A401" cm="1">
        <f t="array" ref="A401">INDEX('Portfolio Weights Returns'!$B$9:$BJ$69,
INT((ROW(A400)-1)/COLUMNS('Portfolio Weights Returns'!$B$9:$BJ$69))+1,MOD(ROW(A400)-1,COLUMNS('Portfolio Weights Returns'!$B$9:$BJ$69))+1)</f>
        <v>-9.3175131664824959E-4</v>
      </c>
      <c r="B401" cm="1">
        <f t="array" ref="B401">INDEX('Portfolio Weights Std'!$B$9:$BJ$69,INT((ROW(A400)-1)/COLUMNS('Portfolio Weights Std'!$B$9:$BJ$69))+1,MOD(ROW(A400)-1,COLUMNS('Portfolio Weights Std'!$B$9:$BJ$69))+1)</f>
        <v>2.3113333954683978E-2</v>
      </c>
    </row>
    <row r="402" spans="1:2" x14ac:dyDescent="0.25">
      <c r="A402" cm="1">
        <f t="array" ref="A402">INDEX('Portfolio Weights Returns'!$B$9:$BJ$69,
INT((ROW(A401)-1)/COLUMNS('Portfolio Weights Returns'!$B$9:$BJ$69))+1,MOD(ROW(A401)-1,COLUMNS('Portfolio Weights Returns'!$B$9:$BJ$69))+1)</f>
        <v>-9.2497014268157055E-4</v>
      </c>
      <c r="B402" cm="1">
        <f t="array" ref="B402">INDEX('Portfolio Weights Std'!$B$9:$BJ$69,INT((ROW(A401)-1)/COLUMNS('Portfolio Weights Std'!$B$9:$BJ$69))+1,MOD(ROW(A401)-1,COLUMNS('Portfolio Weights Std'!$B$9:$BJ$69))+1)</f>
        <v>2.2960434700637359E-2</v>
      </c>
    </row>
    <row r="403" spans="1:2" x14ac:dyDescent="0.25">
      <c r="A403" cm="1">
        <f t="array" ref="A403">INDEX('Portfolio Weights Returns'!$B$9:$BJ$69,
INT((ROW(A402)-1)/COLUMNS('Portfolio Weights Returns'!$B$9:$BJ$69))+1,MOD(ROW(A402)-1,COLUMNS('Portfolio Weights Returns'!$B$9:$BJ$69))+1)</f>
        <v>-9.1818896871489141E-4</v>
      </c>
      <c r="B403" cm="1">
        <f t="array" ref="B403">INDEX('Portfolio Weights Std'!$B$9:$BJ$69,INT((ROW(A402)-1)/COLUMNS('Portfolio Weights Std'!$B$9:$BJ$69))+1,MOD(ROW(A402)-1,COLUMNS('Portfolio Weights Std'!$B$9:$BJ$69))+1)</f>
        <v>2.2808540563579317E-2</v>
      </c>
    </row>
    <row r="404" spans="1:2" x14ac:dyDescent="0.25">
      <c r="A404" cm="1">
        <f t="array" ref="A404">INDEX('Portfolio Weights Returns'!$B$9:$BJ$69,
INT((ROW(A403)-1)/COLUMNS('Portfolio Weights Returns'!$B$9:$BJ$69))+1,MOD(ROW(A403)-1,COLUMNS('Portfolio Weights Returns'!$B$9:$BJ$69))+1)</f>
        <v>-9.1140779474821237E-4</v>
      </c>
      <c r="B404" cm="1">
        <f t="array" ref="B404">INDEX('Portfolio Weights Std'!$B$9:$BJ$69,INT((ROW(A403)-1)/COLUMNS('Portfolio Weights Std'!$B$9:$BJ$69))+1,MOD(ROW(A403)-1,COLUMNS('Portfolio Weights Std'!$B$9:$BJ$69))+1)</f>
        <v>2.2657671758046546E-2</v>
      </c>
    </row>
    <row r="405" spans="1:2" x14ac:dyDescent="0.25">
      <c r="A405" cm="1">
        <f t="array" ref="A405">INDEX('Portfolio Weights Returns'!$B$9:$BJ$69,
INT((ROW(A404)-1)/COLUMNS('Portfolio Weights Returns'!$B$9:$BJ$69))+1,MOD(ROW(A404)-1,COLUMNS('Portfolio Weights Returns'!$B$9:$BJ$69))+1)</f>
        <v>-9.0462662078153323E-4</v>
      </c>
      <c r="B405" cm="1">
        <f t="array" ref="B405">INDEX('Portfolio Weights Std'!$B$9:$BJ$69,INT((ROW(A404)-1)/COLUMNS('Portfolio Weights Std'!$B$9:$BJ$69))+1,MOD(ROW(A404)-1,COLUMNS('Portfolio Weights Std'!$B$9:$BJ$69))+1)</f>
        <v>2.2507848902261686E-2</v>
      </c>
    </row>
    <row r="406" spans="1:2" x14ac:dyDescent="0.25">
      <c r="A406" cm="1">
        <f t="array" ref="A406">INDEX('Portfolio Weights Returns'!$B$9:$BJ$69,
INT((ROW(A405)-1)/COLUMNS('Portfolio Weights Returns'!$B$9:$BJ$69))+1,MOD(ROW(A405)-1,COLUMNS('Portfolio Weights Returns'!$B$9:$BJ$69))+1)</f>
        <v>-8.978454468148543E-4</v>
      </c>
      <c r="B406" cm="1">
        <f t="array" ref="B406">INDEX('Portfolio Weights Std'!$B$9:$BJ$69,INT((ROW(A405)-1)/COLUMNS('Portfolio Weights Std'!$B$9:$BJ$69))+1,MOD(ROW(A405)-1,COLUMNS('Portfolio Weights Std'!$B$9:$BJ$69))+1)</f>
        <v>2.2359093022200866E-2</v>
      </c>
    </row>
    <row r="407" spans="1:2" x14ac:dyDescent="0.25">
      <c r="A407" cm="1">
        <f t="array" ref="A407">INDEX('Portfolio Weights Returns'!$B$9:$BJ$69,
INT((ROW(A406)-1)/COLUMNS('Portfolio Weights Returns'!$B$9:$BJ$69))+1,MOD(ROW(A406)-1,COLUMNS('Portfolio Weights Returns'!$B$9:$BJ$69))+1)</f>
        <v>-8.9106427284817505E-4</v>
      </c>
      <c r="B407" cm="1">
        <f t="array" ref="B407">INDEX('Portfolio Weights Std'!$B$9:$BJ$69,INT((ROW(A406)-1)/COLUMNS('Portfolio Weights Std'!$B$9:$BJ$69))+1,MOD(ROW(A406)-1,COLUMNS('Portfolio Weights Std'!$B$9:$BJ$69))+1)</f>
        <v>2.2211425555343042E-2</v>
      </c>
    </row>
    <row r="408" spans="1:2" x14ac:dyDescent="0.25">
      <c r="A408" cm="1">
        <f t="array" ref="A408">INDEX('Portfolio Weights Returns'!$B$9:$BJ$69,
INT((ROW(A407)-1)/COLUMNS('Portfolio Weights Returns'!$B$9:$BJ$69))+1,MOD(ROW(A407)-1,COLUMNS('Portfolio Weights Returns'!$B$9:$BJ$69))+1)</f>
        <v>-8.8428309888149601E-4</v>
      </c>
      <c r="B408" cm="1">
        <f t="array" ref="B408">INDEX('Portfolio Weights Std'!$B$9:$BJ$69,INT((ROW(A407)-1)/COLUMNS('Portfolio Weights Std'!$B$9:$BJ$69))+1,MOD(ROW(A407)-1,COLUMNS('Portfolio Weights Std'!$B$9:$BJ$69))+1)</f>
        <v>2.20648683540688E-2</v>
      </c>
    </row>
    <row r="409" spans="1:2" x14ac:dyDescent="0.25">
      <c r="A409" cm="1">
        <f t="array" ref="A409">INDEX('Portfolio Weights Returns'!$B$9:$BJ$69,
INT((ROW(A408)-1)/COLUMNS('Portfolio Weights Returns'!$B$9:$BJ$69))+1,MOD(ROW(A408)-1,COLUMNS('Portfolio Weights Returns'!$B$9:$BJ$69))+1)</f>
        <v>-8.7750192491481676E-4</v>
      </c>
      <c r="B409" cm="1">
        <f t="array" ref="B409">INDEX('Portfolio Weights Std'!$B$9:$BJ$69,INT((ROW(A408)-1)/COLUMNS('Portfolio Weights Std'!$B$9:$BJ$69))+1,MOD(ROW(A408)-1,COLUMNS('Portfolio Weights Std'!$B$9:$BJ$69))+1)</f>
        <v>2.1919443688674059E-2</v>
      </c>
    </row>
    <row r="410" spans="1:2" x14ac:dyDescent="0.25">
      <c r="A410" cm="1">
        <f t="array" ref="A410">INDEX('Portfolio Weights Returns'!$B$9:$BJ$69,
INT((ROW(A409)-1)/COLUMNS('Portfolio Weights Returns'!$B$9:$BJ$69))+1,MOD(ROW(A409)-1,COLUMNS('Portfolio Weights Returns'!$B$9:$BJ$69))+1)</f>
        <v>-8.7072075094813783E-4</v>
      </c>
      <c r="B410" cm="1">
        <f t="array" ref="B410">INDEX('Portfolio Weights Std'!$B$9:$BJ$69,INT((ROW(A409)-1)/COLUMNS('Portfolio Weights Std'!$B$9:$BJ$69))+1,MOD(ROW(A409)-1,COLUMNS('Portfolio Weights Std'!$B$9:$BJ$69))+1)</f>
        <v>2.1775174249962857E-2</v>
      </c>
    </row>
    <row r="411" spans="1:2" x14ac:dyDescent="0.25">
      <c r="A411" cm="1">
        <f t="array" ref="A411">INDEX('Portfolio Weights Returns'!$B$9:$BJ$69,
INT((ROW(A410)-1)/COLUMNS('Portfolio Weights Returns'!$B$9:$BJ$69))+1,MOD(ROW(A410)-1,COLUMNS('Portfolio Weights Returns'!$B$9:$BJ$69))+1)</f>
        <v>-8.6393957698145858E-4</v>
      </c>
      <c r="B411" cm="1">
        <f t="array" ref="B411">INDEX('Portfolio Weights Std'!$B$9:$BJ$69,INT((ROW(A410)-1)/COLUMNS('Portfolio Weights Std'!$B$9:$BJ$69))+1,MOD(ROW(A410)-1,COLUMNS('Portfolio Weights Std'!$B$9:$BJ$69))+1)</f>
        <v>2.163208315138105E-2</v>
      </c>
    </row>
    <row r="412" spans="1:2" x14ac:dyDescent="0.25">
      <c r="A412" cm="1">
        <f t="array" ref="A412">INDEX('Portfolio Weights Returns'!$B$9:$BJ$69,
INT((ROW(A411)-1)/COLUMNS('Portfolio Weights Returns'!$B$9:$BJ$69))+1,MOD(ROW(A411)-1,COLUMNS('Portfolio Weights Returns'!$B$9:$BJ$69))+1)</f>
        <v>-8.5715840301477954E-4</v>
      </c>
      <c r="B412" cm="1">
        <f t="array" ref="B412">INDEX('Portfolio Weights Std'!$B$9:$BJ$69,INT((ROW(A411)-1)/COLUMNS('Portfolio Weights Std'!$B$9:$BJ$69))+1,MOD(ROW(A411)-1,COLUMNS('Portfolio Weights Std'!$B$9:$BJ$69))+1)</f>
        <v>2.1490193930651446E-2</v>
      </c>
    </row>
    <row r="413" spans="1:2" x14ac:dyDescent="0.25">
      <c r="A413" cm="1">
        <f t="array" ref="A413">INDEX('Portfolio Weights Returns'!$B$9:$BJ$69,
INT((ROW(A412)-1)/COLUMNS('Portfolio Weights Returns'!$B$9:$BJ$69))+1,MOD(ROW(A412)-1,COLUMNS('Portfolio Weights Returns'!$B$9:$BJ$69))+1)</f>
        <v>-8.503772290481004E-4</v>
      </c>
      <c r="B413" cm="1">
        <f t="array" ref="B413">INDEX('Portfolio Weights Std'!$B$9:$BJ$69,INT((ROW(A412)-1)/COLUMNS('Portfolio Weights Std'!$B$9:$BJ$69))+1,MOD(ROW(A412)-1,COLUMNS('Portfolio Weights Std'!$B$9:$BJ$69))+1)</f>
        <v>2.1349530550868755E-2</v>
      </c>
    </row>
    <row r="414" spans="1:2" x14ac:dyDescent="0.25">
      <c r="A414" cm="1">
        <f t="array" ref="A414">INDEX('Portfolio Weights Returns'!$B$9:$BJ$69,
INT((ROW(A413)-1)/COLUMNS('Portfolio Weights Returns'!$B$9:$BJ$69))+1,MOD(ROW(A413)-1,COLUMNS('Portfolio Weights Returns'!$B$9:$BJ$69))+1)</f>
        <v>-8.4359605508142136E-4</v>
      </c>
      <c r="B414" cm="1">
        <f t="array" ref="B414">INDEX('Portfolio Weights Std'!$B$9:$BJ$69,INT((ROW(A413)-1)/COLUMNS('Portfolio Weights Std'!$B$9:$BJ$69))+1,MOD(ROW(A413)-1,COLUMNS('Portfolio Weights Std'!$B$9:$BJ$69))+1)</f>
        <v>2.1210117401011117E-2</v>
      </c>
    </row>
    <row r="415" spans="1:2" x14ac:dyDescent="0.25">
      <c r="A415" cm="1">
        <f t="array" ref="A415">INDEX('Portfolio Weights Returns'!$B$9:$BJ$69,
INT((ROW(A414)-1)/COLUMNS('Portfolio Weights Returns'!$B$9:$BJ$69))+1,MOD(ROW(A414)-1,COLUMNS('Portfolio Weights Returns'!$B$9:$BJ$69))+1)</f>
        <v>-8.3681488111474211E-4</v>
      </c>
      <c r="B415" cm="1">
        <f t="array" ref="B415">INDEX('Portfolio Weights Std'!$B$9:$BJ$69,INT((ROW(A414)-1)/COLUMNS('Portfolio Weights Std'!$B$9:$BJ$69))+1,MOD(ROW(A414)-1,COLUMNS('Portfolio Weights Std'!$B$9:$BJ$69))+1)</f>
        <v>2.1071979295823079E-2</v>
      </c>
    </row>
    <row r="416" spans="1:2" x14ac:dyDescent="0.25">
      <c r="A416" cm="1">
        <f t="array" ref="A416">INDEX('Portfolio Weights Returns'!$B$9:$BJ$69,
INT((ROW(A415)-1)/COLUMNS('Portfolio Weights Returns'!$B$9:$BJ$69))+1,MOD(ROW(A415)-1,COLUMNS('Portfolio Weights Returns'!$B$9:$BJ$69))+1)</f>
        <v>-8.3003370714806318E-4</v>
      </c>
      <c r="B416" cm="1">
        <f t="array" ref="B416">INDEX('Portfolio Weights Std'!$B$9:$BJ$69,INT((ROW(A415)-1)/COLUMNS('Portfolio Weights Std'!$B$9:$BJ$69))+1,MOD(ROW(A415)-1,COLUMNS('Portfolio Weights Std'!$B$9:$BJ$69))+1)</f>
        <v>2.0935141475023393E-2</v>
      </c>
    </row>
    <row r="417" spans="1:2" x14ac:dyDescent="0.25">
      <c r="A417" cm="1">
        <f t="array" ref="A417">INDEX('Portfolio Weights Returns'!$B$9:$BJ$69,
INT((ROW(A416)-1)/COLUMNS('Portfolio Weights Returns'!$B$9:$BJ$69))+1,MOD(ROW(A416)-1,COLUMNS('Portfolio Weights Returns'!$B$9:$BJ$69))+1)</f>
        <v>-8.2325253318138404E-4</v>
      </c>
      <c r="B417" cm="1">
        <f t="array" ref="B417">INDEX('Portfolio Weights Std'!$B$9:$BJ$69,INT((ROW(A416)-1)/COLUMNS('Portfolio Weights Std'!$B$9:$BJ$69))+1,MOD(ROW(A416)-1,COLUMNS('Portfolio Weights Std'!$B$9:$BJ$69))+1)</f>
        <v>2.0799629601789032E-2</v>
      </c>
    </row>
    <row r="418" spans="1:2" x14ac:dyDescent="0.25">
      <c r="A418" cm="1">
        <f t="array" ref="A418">INDEX('Portfolio Weights Returns'!$B$9:$BJ$69,
INT((ROW(A417)-1)/COLUMNS('Portfolio Weights Returns'!$B$9:$BJ$69))+1,MOD(ROW(A417)-1,COLUMNS('Portfolio Weights Returns'!$B$9:$BJ$69))+1)</f>
        <v>-8.16471359214705E-4</v>
      </c>
      <c r="B418" cm="1">
        <f t="array" ref="B418">INDEX('Portfolio Weights Std'!$B$9:$BJ$69,INT((ROW(A417)-1)/COLUMNS('Portfolio Weights Std'!$B$9:$BJ$69))+1,MOD(ROW(A417)-1,COLUMNS('Portfolio Weights Std'!$B$9:$BJ$69))+1)</f>
        <v>2.0665469760465609E-2</v>
      </c>
    </row>
    <row r="419" spans="1:2" x14ac:dyDescent="0.25">
      <c r="A419" cm="1">
        <f t="array" ref="A419">INDEX('Portfolio Weights Returns'!$B$9:$BJ$69,
INT((ROW(A418)-1)/COLUMNS('Portfolio Weights Returns'!$B$9:$BJ$69))+1,MOD(ROW(A418)-1,COLUMNS('Portfolio Weights Returns'!$B$9:$BJ$69))+1)</f>
        <v>-8.0969018524802575E-4</v>
      </c>
      <c r="B419" cm="1">
        <f t="array" ref="B419">INDEX('Portfolio Weights Std'!$B$9:$BJ$69,INT((ROW(A418)-1)/COLUMNS('Portfolio Weights Std'!$B$9:$BJ$69))+1,MOD(ROW(A418)-1,COLUMNS('Portfolio Weights Std'!$B$9:$BJ$69))+1)</f>
        <v>2.0532688453452564E-2</v>
      </c>
    </row>
    <row r="420" spans="1:2" x14ac:dyDescent="0.25">
      <c r="A420" cm="1">
        <f t="array" ref="A420">INDEX('Portfolio Weights Returns'!$B$9:$BJ$69,
INT((ROW(A419)-1)/COLUMNS('Portfolio Weights Returns'!$B$9:$BJ$69))+1,MOD(ROW(A419)-1,COLUMNS('Portfolio Weights Returns'!$B$9:$BJ$69))+1)</f>
        <v>-8.0290901128134671E-4</v>
      </c>
      <c r="B420" cm="1">
        <f t="array" ref="B420">INDEX('Portfolio Weights Std'!$B$9:$BJ$69,INT((ROW(A419)-1)/COLUMNS('Portfolio Weights Std'!$B$9:$BJ$69))+1,MOD(ROW(A419)-1,COLUMNS('Portfolio Weights Std'!$B$9:$BJ$69))+1)</f>
        <v>2.0401312597210407E-2</v>
      </c>
    </row>
    <row r="421" spans="1:2" x14ac:dyDescent="0.25">
      <c r="A421" cm="1">
        <f t="array" ref="A421">INDEX('Portfolio Weights Returns'!$B$9:$BJ$69,
INT((ROW(A420)-1)/COLUMNS('Portfolio Weights Returns'!$B$9:$BJ$69))+1,MOD(ROW(A420)-1,COLUMNS('Portfolio Weights Returns'!$B$9:$BJ$69))+1)</f>
        <v>-7.9612783731466757E-4</v>
      </c>
      <c r="B421" cm="1">
        <f t="array" ref="B421">INDEX('Portfolio Weights Std'!$B$9:$BJ$69,INT((ROW(A420)-1)/COLUMNS('Portfolio Weights Std'!$B$9:$BJ$69))+1,MOD(ROW(A420)-1,COLUMNS('Portfolio Weights Std'!$B$9:$BJ$69))+1)</f>
        <v>2.0271369517335863E-2</v>
      </c>
    </row>
    <row r="422" spans="1:2" x14ac:dyDescent="0.25">
      <c r="A422" cm="1">
        <f t="array" ref="A422">INDEX('Portfolio Weights Returns'!$B$9:$BJ$69,
INT((ROW(A421)-1)/COLUMNS('Portfolio Weights Returns'!$B$9:$BJ$69))+1,MOD(ROW(A421)-1,COLUMNS('Portfolio Weights Returns'!$B$9:$BJ$69))+1)</f>
        <v>-7.8934666334798853E-4</v>
      </c>
      <c r="B422" cm="1">
        <f t="array" ref="B422">INDEX('Portfolio Weights Std'!$B$9:$BJ$69,INT((ROW(A421)-1)/COLUMNS('Portfolio Weights Std'!$B$9:$BJ$69))+1,MOD(ROW(A421)-1,COLUMNS('Portfolio Weights Std'!$B$9:$BJ$69))+1)</f>
        <v>2.0142886942649936E-2</v>
      </c>
    </row>
    <row r="423" spans="1:2" x14ac:dyDescent="0.25">
      <c r="A423" cm="1">
        <f t="array" ref="A423">INDEX('Portfolio Weights Returns'!$B$9:$BJ$69,
INT((ROW(A422)-1)/COLUMNS('Portfolio Weights Returns'!$B$9:$BJ$69))+1,MOD(ROW(A422)-1,COLUMNS('Portfolio Weights Returns'!$B$9:$BJ$69))+1)</f>
        <v>-7.8256548938130939E-4</v>
      </c>
      <c r="B423" cm="1">
        <f t="array" ref="B423">INDEX('Portfolio Weights Std'!$B$9:$BJ$69,INT((ROW(A422)-1)/COLUMNS('Portfolio Weights Std'!$B$9:$BJ$69))+1,MOD(ROW(A422)-1,COLUMNS('Portfolio Weights Std'!$B$9:$BJ$69))+1)</f>
        <v>2.0015892998242843E-2</v>
      </c>
    </row>
    <row r="424" spans="1:2" x14ac:dyDescent="0.25">
      <c r="A424" cm="1">
        <f t="array" ref="A424">INDEX('Portfolio Weights Returns'!$B$9:$BJ$69,
INT((ROW(A423)-1)/COLUMNS('Portfolio Weights Returns'!$B$9:$BJ$69))+1,MOD(ROW(A423)-1,COLUMNS('Portfolio Weights Returns'!$B$9:$BJ$69))+1)</f>
        <v>-7.7578431541463035E-4</v>
      </c>
      <c r="B424" cm="1">
        <f t="array" ref="B424">INDEX('Portfolio Weights Std'!$B$9:$BJ$69,INT((ROW(A423)-1)/COLUMNS('Portfolio Weights Std'!$B$9:$BJ$69))+1,MOD(ROW(A423)-1,COLUMNS('Portfolio Weights Std'!$B$9:$BJ$69))+1)</f>
        <v>1.9890416197419356E-2</v>
      </c>
    </row>
    <row r="425" spans="1:2" x14ac:dyDescent="0.25">
      <c r="A425" cm="1">
        <f t="array" ref="A425">INDEX('Portfolio Weights Returns'!$B$9:$BJ$69,
INT((ROW(A424)-1)/COLUMNS('Portfolio Weights Returns'!$B$9:$BJ$69))+1,MOD(ROW(A424)-1,COLUMNS('Portfolio Weights Returns'!$B$9:$BJ$69))+1)</f>
        <v>-7.6900314144795045E-4</v>
      </c>
      <c r="B425" cm="1">
        <f t="array" ref="B425">INDEX('Portfolio Weights Std'!$B$9:$BJ$69,INT((ROW(A424)-1)/COLUMNS('Portfolio Weights Std'!$B$9:$BJ$69))+1,MOD(ROW(A424)-1,COLUMNS('Portfolio Weights Std'!$B$9:$BJ$69))+1)</f>
        <v>1.9766485432487567E-2</v>
      </c>
    </row>
    <row r="426" spans="1:2" x14ac:dyDescent="0.25">
      <c r="A426" cm="1">
        <f t="array" ref="A426">INDEX('Portfolio Weights Returns'!$B$9:$BJ$69,
INT((ROW(A425)-1)/COLUMNS('Portfolio Weights Returns'!$B$9:$BJ$69))+1,MOD(ROW(A425)-1,COLUMNS('Portfolio Weights Returns'!$B$9:$BJ$69))+1)</f>
        <v>-7.6222196748127141E-4</v>
      </c>
      <c r="B426" cm="1">
        <f t="array" ref="B426">INDEX('Portfolio Weights Std'!$B$9:$BJ$69,INT((ROW(A425)-1)/COLUMNS('Portfolio Weights Std'!$B$9:$BJ$69))+1,MOD(ROW(A425)-1,COLUMNS('Portfolio Weights Std'!$B$9:$BJ$69))+1)</f>
        <v>1.9644129964334144E-2</v>
      </c>
    </row>
    <row r="427" spans="1:2" x14ac:dyDescent="0.25">
      <c r="A427" cm="1">
        <f t="array" ref="A427">INDEX('Portfolio Weights Returns'!$B$9:$BJ$69,
INT((ROW(A426)-1)/COLUMNS('Portfolio Weights Returns'!$B$9:$BJ$69))+1,MOD(ROW(A426)-1,COLUMNS('Portfolio Weights Returns'!$B$9:$BJ$69))+1)</f>
        <v>-7.5544079351459238E-4</v>
      </c>
      <c r="B427" cm="1">
        <f t="array" ref="B427">INDEX('Portfolio Weights Std'!$B$9:$BJ$69,INT((ROW(A426)-1)/COLUMNS('Portfolio Weights Std'!$B$9:$BJ$69))+1,MOD(ROW(A426)-1,COLUMNS('Portfolio Weights Std'!$B$9:$BJ$69))+1)</f>
        <v>1.9523379410729177E-2</v>
      </c>
    </row>
    <row r="428" spans="1:2" x14ac:dyDescent="0.25">
      <c r="A428" cm="1">
        <f t="array" ref="A428">INDEX('Portfolio Weights Returns'!$B$9:$BJ$69,
INT((ROW(A427)-1)/COLUMNS('Portfolio Weights Returns'!$B$9:$BJ$69))+1,MOD(ROW(A427)-1,COLUMNS('Portfolio Weights Returns'!$B$9:$BJ$69))+1)</f>
        <v>-7.4865961954791323E-4</v>
      </c>
      <c r="B428" cm="1">
        <f t="array" ref="B428">INDEX('Portfolio Weights Std'!$B$9:$BJ$69,INT((ROW(A427)-1)/COLUMNS('Portfolio Weights Std'!$B$9:$BJ$69))+1,MOD(ROW(A427)-1,COLUMNS('Portfolio Weights Std'!$B$9:$BJ$69))+1)</f>
        <v>1.9404263733304675E-2</v>
      </c>
    </row>
    <row r="429" spans="1:2" x14ac:dyDescent="0.25">
      <c r="A429" cm="1">
        <f t="array" ref="A429">INDEX('Portfolio Weights Returns'!$B$9:$BJ$69,
INT((ROW(A428)-1)/COLUMNS('Portfolio Weights Returns'!$B$9:$BJ$69))+1,MOD(ROW(A428)-1,COLUMNS('Portfolio Weights Returns'!$B$9:$BJ$69))+1)</f>
        <v>-1.1489558497032048E-3</v>
      </c>
      <c r="B429" cm="1">
        <f t="array" ref="B429">INDEX('Portfolio Weights Std'!$B$9:$BJ$69,INT((ROW(A428)-1)/COLUMNS('Portfolio Weights Std'!$B$9:$BJ$69))+1,MOD(ROW(A428)-1,COLUMNS('Portfolio Weights Std'!$B$9:$BJ$69))+1)</f>
        <v>2.8374983851893756E-2</v>
      </c>
    </row>
    <row r="430" spans="1:2" x14ac:dyDescent="0.25">
      <c r="A430" cm="1">
        <f t="array" ref="A430">INDEX('Portfolio Weights Returns'!$B$9:$BJ$69,
INT((ROW(A429)-1)/COLUMNS('Portfolio Weights Returns'!$B$9:$BJ$69))+1,MOD(ROW(A429)-1,COLUMNS('Portfolio Weights Returns'!$B$9:$BJ$69))+1)</f>
        <v>-1.1421746757365259E-3</v>
      </c>
      <c r="B430" cm="1">
        <f t="array" ref="B430">INDEX('Portfolio Weights Std'!$B$9:$BJ$69,INT((ROW(A429)-1)/COLUMNS('Portfolio Weights Std'!$B$9:$BJ$69))+1,MOD(ROW(A429)-1,COLUMNS('Portfolio Weights Std'!$B$9:$BJ$69))+1)</f>
        <v>2.8197788195734711E-2</v>
      </c>
    </row>
    <row r="431" spans="1:2" x14ac:dyDescent="0.25">
      <c r="A431" cm="1">
        <f t="array" ref="A431">INDEX('Portfolio Weights Returns'!$B$9:$BJ$69,
INT((ROW(A430)-1)/COLUMNS('Portfolio Weights Returns'!$B$9:$BJ$69))+1,MOD(ROW(A430)-1,COLUMNS('Portfolio Weights Returns'!$B$9:$BJ$69))+1)</f>
        <v>-1.1353935017698468E-3</v>
      </c>
      <c r="B431" cm="1">
        <f t="array" ref="B431">INDEX('Portfolio Weights Std'!$B$9:$BJ$69,INT((ROW(A430)-1)/COLUMNS('Portfolio Weights Std'!$B$9:$BJ$69))+1,MOD(ROW(A430)-1,COLUMNS('Portfolio Weights Std'!$B$9:$BJ$69))+1)</f>
        <v>2.8021124451465654E-2</v>
      </c>
    </row>
    <row r="432" spans="1:2" x14ac:dyDescent="0.25">
      <c r="A432" cm="1">
        <f t="array" ref="A432">INDEX('Portfolio Weights Returns'!$B$9:$BJ$69,
INT((ROW(A431)-1)/COLUMNS('Portfolio Weights Returns'!$B$9:$BJ$69))+1,MOD(ROW(A431)-1,COLUMNS('Portfolio Weights Returns'!$B$9:$BJ$69))+1)</f>
        <v>-1.1286123278031676E-3</v>
      </c>
      <c r="B432" cm="1">
        <f t="array" ref="B432">INDEX('Portfolio Weights Std'!$B$9:$BJ$69,INT((ROW(A431)-1)/COLUMNS('Portfolio Weights Std'!$B$9:$BJ$69))+1,MOD(ROW(A431)-1,COLUMNS('Portfolio Weights Std'!$B$9:$BJ$69))+1)</f>
        <v>2.7845002743297813E-2</v>
      </c>
    </row>
    <row r="433" spans="1:2" x14ac:dyDescent="0.25">
      <c r="A433" cm="1">
        <f t="array" ref="A433">INDEX('Portfolio Weights Returns'!$B$9:$BJ$69,
INT((ROW(A432)-1)/COLUMNS('Portfolio Weights Returns'!$B$9:$BJ$69))+1,MOD(ROW(A432)-1,COLUMNS('Portfolio Weights Returns'!$B$9:$BJ$69))+1)</f>
        <v>-1.1218311538364885E-3</v>
      </c>
      <c r="B433" cm="1">
        <f t="array" ref="B433">INDEX('Portfolio Weights Std'!$B$9:$BJ$69,INT((ROW(A432)-1)/COLUMNS('Portfolio Weights Std'!$B$9:$BJ$69))+1,MOD(ROW(A432)-1,COLUMNS('Portfolio Weights Std'!$B$9:$BJ$69))+1)</f>
        <v>2.7669433421751249E-2</v>
      </c>
    </row>
    <row r="434" spans="1:2" x14ac:dyDescent="0.25">
      <c r="A434" cm="1">
        <f t="array" ref="A434">INDEX('Portfolio Weights Returns'!$B$9:$BJ$69,
INT((ROW(A433)-1)/COLUMNS('Portfolio Weights Returns'!$B$9:$BJ$69))+1,MOD(ROW(A433)-1,COLUMNS('Portfolio Weights Returns'!$B$9:$BJ$69))+1)</f>
        <v>-1.1150499798698095E-3</v>
      </c>
      <c r="B434" cm="1">
        <f t="array" ref="B434">INDEX('Portfolio Weights Std'!$B$9:$BJ$69,INT((ROW(A433)-1)/COLUMNS('Portfolio Weights Std'!$B$9:$BJ$69))+1,MOD(ROW(A433)-1,COLUMNS('Portfolio Weights Std'!$B$9:$BJ$69))+1)</f>
        <v>2.7494427068842753E-2</v>
      </c>
    </row>
    <row r="435" spans="1:2" x14ac:dyDescent="0.25">
      <c r="A435" cm="1">
        <f t="array" ref="A435">INDEX('Portfolio Weights Returns'!$B$9:$BJ$69,
INT((ROW(A434)-1)/COLUMNS('Portfolio Weights Returns'!$B$9:$BJ$69))+1,MOD(ROW(A434)-1,COLUMNS('Portfolio Weights Returns'!$B$9:$BJ$69))+1)</f>
        <v>-1.1082688059031304E-3</v>
      </c>
      <c r="B435" cm="1">
        <f t="array" ref="B435">INDEX('Portfolio Weights Std'!$B$9:$BJ$69,INT((ROW(A434)-1)/COLUMNS('Portfolio Weights Std'!$B$9:$BJ$69))+1,MOD(ROW(A434)-1,COLUMNS('Portfolio Weights Std'!$B$9:$BJ$69))+1)</f>
        <v>2.7319994503363785E-2</v>
      </c>
    </row>
    <row r="436" spans="1:2" x14ac:dyDescent="0.25">
      <c r="A436" cm="1">
        <f t="array" ref="A436">INDEX('Portfolio Weights Returns'!$B$9:$BJ$69,
INT((ROW(A435)-1)/COLUMNS('Portfolio Weights Returns'!$B$9:$BJ$69))+1,MOD(ROW(A435)-1,COLUMNS('Portfolio Weights Returns'!$B$9:$BJ$69))+1)</f>
        <v>-1.1014876319364513E-3</v>
      </c>
      <c r="B436" cm="1">
        <f t="array" ref="B436">INDEX('Portfolio Weights Std'!$B$9:$BJ$69,INT((ROW(A435)-1)/COLUMNS('Portfolio Weights Std'!$B$9:$BJ$69))+1,MOD(ROW(A435)-1,COLUMNS('Portfolio Weights Std'!$B$9:$BJ$69))+1)</f>
        <v>2.7146146786246984E-2</v>
      </c>
    </row>
    <row r="437" spans="1:2" x14ac:dyDescent="0.25">
      <c r="A437" cm="1">
        <f t="array" ref="A437">INDEX('Portfolio Weights Returns'!$B$9:$BJ$69,
INT((ROW(A436)-1)/COLUMNS('Portfolio Weights Returns'!$B$9:$BJ$69))+1,MOD(ROW(A436)-1,COLUMNS('Portfolio Weights Returns'!$B$9:$BJ$69))+1)</f>
        <v>-1.0947064579697721E-3</v>
      </c>
      <c r="B437" cm="1">
        <f t="array" ref="B437">INDEX('Portfolio Weights Std'!$B$9:$BJ$69,INT((ROW(A436)-1)/COLUMNS('Portfolio Weights Std'!$B$9:$BJ$69))+1,MOD(ROW(A436)-1,COLUMNS('Portfolio Weights Std'!$B$9:$BJ$69))+1)</f>
        <v>2.6972895226019651E-2</v>
      </c>
    </row>
    <row r="438" spans="1:2" x14ac:dyDescent="0.25">
      <c r="A438" cm="1">
        <f t="array" ref="A438">INDEX('Portfolio Weights Returns'!$B$9:$BJ$69,
INT((ROW(A437)-1)/COLUMNS('Portfolio Weights Returns'!$B$9:$BJ$69))+1,MOD(ROW(A437)-1,COLUMNS('Portfolio Weights Returns'!$B$9:$BJ$69))+1)</f>
        <v>-1.087925284003093E-3</v>
      </c>
      <c r="B438" cm="1">
        <f t="array" ref="B438">INDEX('Portfolio Weights Std'!$B$9:$BJ$69,INT((ROW(A437)-1)/COLUMNS('Portfolio Weights Std'!$B$9:$BJ$69))+1,MOD(ROW(A437)-1,COLUMNS('Portfolio Weights Std'!$B$9:$BJ$69))+1)</f>
        <v>2.6800251384342003E-2</v>
      </c>
    </row>
    <row r="439" spans="1:2" x14ac:dyDescent="0.25">
      <c r="A439" cm="1">
        <f t="array" ref="A439">INDEX('Portfolio Weights Returns'!$B$9:$BJ$69,
INT((ROW(A438)-1)/COLUMNS('Portfolio Weights Returns'!$B$9:$BJ$69))+1,MOD(ROW(A438)-1,COLUMNS('Portfolio Weights Returns'!$B$9:$BJ$69))+1)</f>
        <v>-1.0811441100364138E-3</v>
      </c>
      <c r="B439" cm="1">
        <f t="array" ref="B439">INDEX('Portfolio Weights Std'!$B$9:$BJ$69,INT((ROW(A438)-1)/COLUMNS('Portfolio Weights Std'!$B$9:$BJ$69))+1,MOD(ROW(A438)-1,COLUMNS('Portfolio Weights Std'!$B$9:$BJ$69))+1)</f>
        <v>2.6628227081627934E-2</v>
      </c>
    </row>
    <row r="440" spans="1:2" x14ac:dyDescent="0.25">
      <c r="A440" cm="1">
        <f t="array" ref="A440">INDEX('Portfolio Weights Returns'!$B$9:$BJ$69,
INT((ROW(A439)-1)/COLUMNS('Portfolio Weights Returns'!$B$9:$BJ$69))+1,MOD(ROW(A439)-1,COLUMNS('Portfolio Weights Returns'!$B$9:$BJ$69))+1)</f>
        <v>-1.0743629360697347E-3</v>
      </c>
      <c r="B440" cm="1">
        <f t="array" ref="B440">INDEX('Portfolio Weights Std'!$B$9:$BJ$69,INT((ROW(A439)-1)/COLUMNS('Portfolio Weights Std'!$B$9:$BJ$69))+1,MOD(ROW(A439)-1,COLUMNS('Portfolio Weights Std'!$B$9:$BJ$69))+1)</f>
        <v>2.6456834402745301E-2</v>
      </c>
    </row>
    <row r="441" spans="1:2" x14ac:dyDescent="0.25">
      <c r="A441" cm="1">
        <f t="array" ref="A441">INDEX('Portfolio Weights Returns'!$B$9:$BJ$69,
INT((ROW(A440)-1)/COLUMNS('Portfolio Weights Returns'!$B$9:$BJ$69))+1,MOD(ROW(A440)-1,COLUMNS('Portfolio Weights Returns'!$B$9:$BJ$69))+1)</f>
        <v>-1.0675817621030555E-3</v>
      </c>
      <c r="B441" cm="1">
        <f t="array" ref="B441">INDEX('Portfolio Weights Std'!$B$9:$BJ$69,INT((ROW(A440)-1)/COLUMNS('Portfolio Weights Std'!$B$9:$BJ$69))+1,MOD(ROW(A440)-1,COLUMNS('Portfolio Weights Std'!$B$9:$BJ$69))+1)</f>
        <v>2.6286085702792589E-2</v>
      </c>
    </row>
    <row r="442" spans="1:2" x14ac:dyDescent="0.25">
      <c r="A442" cm="1">
        <f t="array" ref="A442">INDEX('Portfolio Weights Returns'!$B$9:$BJ$69,
INT((ROW(A441)-1)/COLUMNS('Portfolio Weights Returns'!$B$9:$BJ$69))+1,MOD(ROW(A441)-1,COLUMNS('Portfolio Weights Returns'!$B$9:$BJ$69))+1)</f>
        <v>-1.0608005881363764E-3</v>
      </c>
      <c r="B442" cm="1">
        <f t="array" ref="B442">INDEX('Portfolio Weights Std'!$B$9:$BJ$69,INT((ROW(A441)-1)/COLUMNS('Portfolio Weights Std'!$B$9:$BJ$69))+1,MOD(ROW(A441)-1,COLUMNS('Portfolio Weights Std'!$B$9:$BJ$69))+1)</f>
        <v>2.6115993612948224E-2</v>
      </c>
    </row>
    <row r="443" spans="1:2" x14ac:dyDescent="0.25">
      <c r="A443" cm="1">
        <f t="array" ref="A443">INDEX('Portfolio Weights Returns'!$B$9:$BJ$69,
INT((ROW(A442)-1)/COLUMNS('Portfolio Weights Returns'!$B$9:$BJ$69))+1,MOD(ROW(A442)-1,COLUMNS('Portfolio Weights Returns'!$B$9:$BJ$69))+1)</f>
        <v>-1.0540194141696975E-3</v>
      </c>
      <c r="B443" cm="1">
        <f t="array" ref="B443">INDEX('Portfolio Weights Std'!$B$9:$BJ$69,INT((ROW(A442)-1)/COLUMNS('Portfolio Weights Std'!$B$9:$BJ$69))+1,MOD(ROW(A442)-1,COLUMNS('Portfolio Weights Std'!$B$9:$BJ$69))+1)</f>
        <v>2.5946571046388273E-2</v>
      </c>
    </row>
    <row r="444" spans="1:2" x14ac:dyDescent="0.25">
      <c r="A444" cm="1">
        <f t="array" ref="A444">INDEX('Portfolio Weights Returns'!$B$9:$BJ$69,
INT((ROW(A443)-1)/COLUMNS('Portfolio Weights Returns'!$B$9:$BJ$69))+1,MOD(ROW(A443)-1,COLUMNS('Portfolio Weights Returns'!$B$9:$BJ$69))+1)</f>
        <v>-1.0472382402030183E-3</v>
      </c>
      <c r="B444" cm="1">
        <f t="array" ref="B444">INDEX('Portfolio Weights Std'!$B$9:$BJ$69,INT((ROW(A443)-1)/COLUMNS('Portfolio Weights Std'!$B$9:$BJ$69))+1,MOD(ROW(A443)-1,COLUMNS('Portfolio Weights Std'!$B$9:$BJ$69))+1)</f>
        <v>2.5777831204267781E-2</v>
      </c>
    </row>
    <row r="445" spans="1:2" x14ac:dyDescent="0.25">
      <c r="A445" cm="1">
        <f t="array" ref="A445">INDEX('Portfolio Weights Returns'!$B$9:$BJ$69,
INT((ROW(A444)-1)/COLUMNS('Portfolio Weights Returns'!$B$9:$BJ$69))+1,MOD(ROW(A444)-1,COLUMNS('Portfolio Weights Returns'!$B$9:$BJ$69))+1)</f>
        <v>-1.0404570662363394E-3</v>
      </c>
      <c r="B445" cm="1">
        <f t="array" ref="B445">INDEX('Portfolio Weights Std'!$B$9:$BJ$69,INT((ROW(A444)-1)/COLUMNS('Portfolio Weights Std'!$B$9:$BJ$69))+1,MOD(ROW(A444)-1,COLUMNS('Portfolio Weights Std'!$B$9:$BJ$69))+1)</f>
        <v>2.5609787581760524E-2</v>
      </c>
    </row>
    <row r="446" spans="1:2" x14ac:dyDescent="0.25">
      <c r="A446" cm="1">
        <f t="array" ref="A446">INDEX('Portfolio Weights Returns'!$B$9:$BJ$69,
INT((ROW(A445)-1)/COLUMNS('Portfolio Weights Returns'!$B$9:$BJ$69))+1,MOD(ROW(A445)-1,COLUMNS('Portfolio Weights Returns'!$B$9:$BJ$69))+1)</f>
        <v>-1.03367589226966E-3</v>
      </c>
      <c r="B446" cm="1">
        <f t="array" ref="B446">INDEX('Portfolio Weights Std'!$B$9:$BJ$69,INT((ROW(A445)-1)/COLUMNS('Portfolio Weights Std'!$B$9:$BJ$69))+1,MOD(ROW(A445)-1,COLUMNS('Portfolio Weights Std'!$B$9:$BJ$69))+1)</f>
        <v>2.5442453974151052E-2</v>
      </c>
    </row>
    <row r="447" spans="1:2" x14ac:dyDescent="0.25">
      <c r="A447" cm="1">
        <f t="array" ref="A447">INDEX('Portfolio Weights Returns'!$B$9:$BJ$69,
INT((ROW(A446)-1)/COLUMNS('Portfolio Weights Returns'!$B$9:$BJ$69))+1,MOD(ROW(A446)-1,COLUMNS('Portfolio Weights Returns'!$B$9:$BJ$69))+1)</f>
        <v>-1.0268947183029811E-3</v>
      </c>
      <c r="B447" cm="1">
        <f t="array" ref="B447">INDEX('Portfolio Weights Std'!$B$9:$BJ$69,INT((ROW(A446)-1)/COLUMNS('Portfolio Weights Std'!$B$9:$BJ$69))+1,MOD(ROW(A446)-1,COLUMNS('Portfolio Weights Std'!$B$9:$BJ$69))+1)</f>
        <v>2.5275844482972674E-2</v>
      </c>
    </row>
    <row r="448" spans="1:2" x14ac:dyDescent="0.25">
      <c r="A448" cm="1">
        <f t="array" ref="A448">INDEX('Portfolio Weights Returns'!$B$9:$BJ$69,
INT((ROW(A447)-1)/COLUMNS('Portfolio Weights Returns'!$B$9:$BJ$69))+1,MOD(ROW(A447)-1,COLUMNS('Portfolio Weights Returns'!$B$9:$BJ$69))+1)</f>
        <v>-1.0201135443363022E-3</v>
      </c>
      <c r="B448" cm="1">
        <f t="array" ref="B448">INDEX('Portfolio Weights Std'!$B$9:$BJ$69,INT((ROW(A447)-1)/COLUMNS('Portfolio Weights Std'!$B$9:$BJ$69))+1,MOD(ROW(A447)-1,COLUMNS('Portfolio Weights Std'!$B$9:$BJ$69))+1)</f>
        <v>2.51099735221838E-2</v>
      </c>
    </row>
    <row r="449" spans="1:2" x14ac:dyDescent="0.25">
      <c r="A449" cm="1">
        <f t="array" ref="A449">INDEX('Portfolio Weights Returns'!$B$9:$BJ$69,
INT((ROW(A448)-1)/COLUMNS('Portfolio Weights Returns'!$B$9:$BJ$69))+1,MOD(ROW(A448)-1,COLUMNS('Portfolio Weights Returns'!$B$9:$BJ$69))+1)</f>
        <v>-1.013332370369623E-3</v>
      </c>
      <c r="B449" cm="1">
        <f t="array" ref="B449">INDEX('Portfolio Weights Std'!$B$9:$BJ$69,INT((ROW(A448)-1)/COLUMNS('Portfolio Weights Std'!$B$9:$BJ$69))+1,MOD(ROW(A448)-1,COLUMNS('Portfolio Weights Std'!$B$9:$BJ$69))+1)</f>
        <v>2.4944855824374869E-2</v>
      </c>
    </row>
    <row r="450" spans="1:2" x14ac:dyDescent="0.25">
      <c r="A450" cm="1">
        <f t="array" ref="A450">INDEX('Portfolio Weights Returns'!$B$9:$BJ$69,
INT((ROW(A449)-1)/COLUMNS('Portfolio Weights Returns'!$B$9:$BJ$69))+1,MOD(ROW(A449)-1,COLUMNS('Portfolio Weights Returns'!$B$9:$BJ$69))+1)</f>
        <v>-1.0065511964029439E-3</v>
      </c>
      <c r="B450" cm="1">
        <f t="array" ref="B450">INDEX('Portfolio Weights Std'!$B$9:$BJ$69,INT((ROW(A449)-1)/COLUMNS('Portfolio Weights Std'!$B$9:$BJ$69))+1,MOD(ROW(A449)-1,COLUMNS('Portfolio Weights Std'!$B$9:$BJ$69))+1)</f>
        <v>2.4780506446996836E-2</v>
      </c>
    </row>
    <row r="451" spans="1:2" x14ac:dyDescent="0.25">
      <c r="A451" cm="1">
        <f t="array" ref="A451">INDEX('Portfolio Weights Returns'!$B$9:$BJ$69,
INT((ROW(A450)-1)/COLUMNS('Portfolio Weights Returns'!$B$9:$BJ$69))+1,MOD(ROW(A450)-1,COLUMNS('Portfolio Weights Returns'!$B$9:$BJ$69))+1)</f>
        <v>-9.9977002243626452E-4</v>
      </c>
      <c r="B451" cm="1">
        <f t="array" ref="B451">INDEX('Portfolio Weights Std'!$B$9:$BJ$69,INT((ROW(A450)-1)/COLUMNS('Portfolio Weights Std'!$B$9:$BJ$69))+1,MOD(ROW(A450)-1,COLUMNS('Portfolio Weights Std'!$B$9:$BJ$69))+1)</f>
        <v>2.4616940778601649E-2</v>
      </c>
    </row>
    <row r="452" spans="1:2" x14ac:dyDescent="0.25">
      <c r="A452" cm="1">
        <f t="array" ref="A452">INDEX('Portfolio Weights Returns'!$B$9:$BJ$69,
INT((ROW(A451)-1)/COLUMNS('Portfolio Weights Returns'!$B$9:$BJ$69))+1,MOD(ROW(A451)-1,COLUMNS('Portfolio Weights Returns'!$B$9:$BJ$69))+1)</f>
        <v>-9.9298884846958559E-4</v>
      </c>
      <c r="B452" cm="1">
        <f t="array" ref="B452">INDEX('Portfolio Weights Std'!$B$9:$BJ$69,INT((ROW(A451)-1)/COLUMNS('Portfolio Weights Std'!$B$9:$BJ$69))+1,MOD(ROW(A451)-1,COLUMNS('Portfolio Weights Std'!$B$9:$BJ$69))+1)</f>
        <v>2.4454174545084032E-2</v>
      </c>
    </row>
    <row r="453" spans="1:2" x14ac:dyDescent="0.25">
      <c r="A453" cm="1">
        <f t="array" ref="A453">INDEX('Portfolio Weights Returns'!$B$9:$BJ$69,
INT((ROW(A452)-1)/COLUMNS('Portfolio Weights Returns'!$B$9:$BJ$69))+1,MOD(ROW(A452)-1,COLUMNS('Portfolio Weights Returns'!$B$9:$BJ$69))+1)</f>
        <v>-9.8620767450290645E-4</v>
      </c>
      <c r="B453" cm="1">
        <f t="array" ref="B453">INDEX('Portfolio Weights Std'!$B$9:$BJ$69,INT((ROW(A452)-1)/COLUMNS('Portfolio Weights Std'!$B$9:$BJ$69))+1,MOD(ROW(A452)-1,COLUMNS('Portfolio Weights Std'!$B$9:$BJ$69))+1)</f>
        <v>2.4292223815913127E-2</v>
      </c>
    </row>
    <row r="454" spans="1:2" x14ac:dyDescent="0.25">
      <c r="A454" cm="1">
        <f t="array" ref="A454">INDEX('Portfolio Weights Returns'!$B$9:$BJ$69,
INT((ROW(A453)-1)/COLUMNS('Portfolio Weights Returns'!$B$9:$BJ$69))+1,MOD(ROW(A453)-1,COLUMNS('Portfolio Weights Returns'!$B$9:$BJ$69))+1)</f>
        <v>-9.794265005362273E-4</v>
      </c>
      <c r="B454" cm="1">
        <f t="array" ref="B454">INDEX('Portfolio Weights Std'!$B$9:$BJ$69,INT((ROW(A453)-1)/COLUMNS('Portfolio Weights Std'!$B$9:$BJ$69))+1,MOD(ROW(A453)-1,COLUMNS('Portfolio Weights Std'!$B$9:$BJ$69))+1)</f>
        <v>2.4131105010341398E-2</v>
      </c>
    </row>
    <row r="455" spans="1:2" x14ac:dyDescent="0.25">
      <c r="A455" cm="1">
        <f t="array" ref="A455">INDEX('Portfolio Weights Returns'!$B$9:$BJ$69,
INT((ROW(A454)-1)/COLUMNS('Portfolio Weights Returns'!$B$9:$BJ$69))+1,MOD(ROW(A454)-1,COLUMNS('Portfolio Weights Returns'!$B$9:$BJ$69))+1)</f>
        <v>-9.7264532656954816E-4</v>
      </c>
      <c r="B455" cm="1">
        <f t="array" ref="B455">INDEX('Portfolio Weights Std'!$B$9:$BJ$69,INT((ROW(A454)-1)/COLUMNS('Portfolio Weights Std'!$B$9:$BJ$69))+1,MOD(ROW(A454)-1,COLUMNS('Portfolio Weights Std'!$B$9:$BJ$69))+1)</f>
        <v>2.3970834903577234E-2</v>
      </c>
    </row>
    <row r="456" spans="1:2" x14ac:dyDescent="0.25">
      <c r="A456" cm="1">
        <f t="array" ref="A456">INDEX('Portfolio Weights Returns'!$B$9:$BJ$69,
INT((ROW(A455)-1)/COLUMNS('Portfolio Weights Returns'!$B$9:$BJ$69))+1,MOD(ROW(A455)-1,COLUMNS('Portfolio Weights Returns'!$B$9:$BJ$69))+1)</f>
        <v>-9.6586415260286912E-4</v>
      </c>
      <c r="B456" cm="1">
        <f t="array" ref="B456">INDEX('Portfolio Weights Std'!$B$9:$BJ$69,INT((ROW(A455)-1)/COLUMNS('Portfolio Weights Std'!$B$9:$BJ$69))+1,MOD(ROW(A455)-1,COLUMNS('Portfolio Weights Std'!$B$9:$BJ$69))+1)</f>
        <v>2.3811430632906447E-2</v>
      </c>
    </row>
    <row r="457" spans="1:2" x14ac:dyDescent="0.25">
      <c r="A457" cm="1">
        <f t="array" ref="A457">INDEX('Portfolio Weights Returns'!$B$9:$BJ$69,
INT((ROW(A456)-1)/COLUMNS('Portfolio Weights Returns'!$B$9:$BJ$69))+1,MOD(ROW(A456)-1,COLUMNS('Portfolio Weights Returns'!$B$9:$BJ$69))+1)</f>
        <v>-9.5908297863618998E-4</v>
      </c>
      <c r="B457" cm="1">
        <f t="array" ref="B457">INDEX('Portfolio Weights Std'!$B$9:$BJ$69,INT((ROW(A456)-1)/COLUMNS('Portfolio Weights Std'!$B$9:$BJ$69))+1,MOD(ROW(A456)-1,COLUMNS('Portfolio Weights Std'!$B$9:$BJ$69))+1)</f>
        <v>2.3652909703746807E-2</v>
      </c>
    </row>
    <row r="458" spans="1:2" x14ac:dyDescent="0.25">
      <c r="A458" cm="1">
        <f t="array" ref="A458">INDEX('Portfolio Weights Returns'!$B$9:$BJ$69,
INT((ROW(A457)-1)/COLUMNS('Portfolio Weights Returns'!$B$9:$BJ$69))+1,MOD(ROW(A457)-1,COLUMNS('Portfolio Weights Returns'!$B$9:$BJ$69))+1)</f>
        <v>-9.5230180466951094E-4</v>
      </c>
      <c r="B458" cm="1">
        <f t="array" ref="B458">INDEX('Portfolio Weights Std'!$B$9:$BJ$69,INT((ROW(A457)-1)/COLUMNS('Portfolio Weights Std'!$B$9:$BJ$69))+1,MOD(ROW(A457)-1,COLUMNS('Portfolio Weights Std'!$B$9:$BJ$69))+1)</f>
        <v>2.34952899956185E-2</v>
      </c>
    </row>
    <row r="459" spans="1:2" x14ac:dyDescent="0.25">
      <c r="A459" cm="1">
        <f t="array" ref="A459">INDEX('Portfolio Weights Returns'!$B$9:$BJ$69,
INT((ROW(A458)-1)/COLUMNS('Portfolio Weights Returns'!$B$9:$BJ$69))+1,MOD(ROW(A458)-1,COLUMNS('Portfolio Weights Returns'!$B$9:$BJ$69))+1)</f>
        <v>-9.455206307028318E-4</v>
      </c>
      <c r="B459" cm="1">
        <f t="array" ref="B459">INDEX('Portfolio Weights Std'!$B$9:$BJ$69,INT((ROW(A458)-1)/COLUMNS('Portfolio Weights Std'!$B$9:$BJ$69))+1,MOD(ROW(A458)-1,COLUMNS('Portfolio Weights Std'!$B$9:$BJ$69))+1)</f>
        <v>2.3338589768011845E-2</v>
      </c>
    </row>
    <row r="460" spans="1:2" x14ac:dyDescent="0.25">
      <c r="A460" cm="1">
        <f t="array" ref="A460">INDEX('Portfolio Weights Returns'!$B$9:$BJ$69,
INT((ROW(A459)-1)/COLUMNS('Portfolio Weights Returns'!$B$9:$BJ$69))+1,MOD(ROW(A459)-1,COLUMNS('Portfolio Weights Returns'!$B$9:$BJ$69))+1)</f>
        <v>-9.3873945673615276E-4</v>
      </c>
      <c r="B460" cm="1">
        <f t="array" ref="B460">INDEX('Portfolio Weights Std'!$B$9:$BJ$69,INT((ROW(A459)-1)/COLUMNS('Portfolio Weights Std'!$B$9:$BJ$69))+1,MOD(ROW(A459)-1,COLUMNS('Portfolio Weights Std'!$B$9:$BJ$69))+1)</f>
        <v>2.3182827666132742E-2</v>
      </c>
    </row>
    <row r="461" spans="1:2" x14ac:dyDescent="0.25">
      <c r="A461" cm="1">
        <f t="array" ref="A461">INDEX('Portfolio Weights Returns'!$B$9:$BJ$69,
INT((ROW(A460)-1)/COLUMNS('Portfolio Weights Returns'!$B$9:$BJ$69))+1,MOD(ROW(A460)-1,COLUMNS('Portfolio Weights Returns'!$B$9:$BJ$69))+1)</f>
        <v>-9.3195828276947351E-4</v>
      </c>
      <c r="B461" cm="1">
        <f t="array" ref="B461">INDEX('Portfolio Weights Std'!$B$9:$BJ$69,INT((ROW(A460)-1)/COLUMNS('Portfolio Weights Std'!$B$9:$BJ$69))+1,MOD(ROW(A460)-1,COLUMNS('Portfolio Weights Std'!$B$9:$BJ$69))+1)</f>
        <v>2.3028022726504289E-2</v>
      </c>
    </row>
    <row r="462" spans="1:2" x14ac:dyDescent="0.25">
      <c r="A462" cm="1">
        <f t="array" ref="A462">INDEX('Portfolio Weights Returns'!$B$9:$BJ$69,
INT((ROW(A461)-1)/COLUMNS('Portfolio Weights Returns'!$B$9:$BJ$69))+1,MOD(ROW(A461)-1,COLUMNS('Portfolio Weights Returns'!$B$9:$BJ$69))+1)</f>
        <v>-9.2517710880279447E-4</v>
      </c>
      <c r="B462" cm="1">
        <f t="array" ref="B462">INDEX('Portfolio Weights Std'!$B$9:$BJ$69,INT((ROW(A461)-1)/COLUMNS('Portfolio Weights Std'!$B$9:$BJ$69))+1,MOD(ROW(A461)-1,COLUMNS('Portfolio Weights Std'!$B$9:$BJ$69))+1)</f>
        <v>2.2874194382402027E-2</v>
      </c>
    </row>
    <row r="463" spans="1:2" x14ac:dyDescent="0.25">
      <c r="A463" cm="1">
        <f t="array" ref="A463">INDEX('Portfolio Weights Returns'!$B$9:$BJ$69,
INT((ROW(A462)-1)/COLUMNS('Portfolio Weights Returns'!$B$9:$BJ$69))+1,MOD(ROW(A462)-1,COLUMNS('Portfolio Weights Returns'!$B$9:$BJ$69))+1)</f>
        <v>-9.1839593483611533E-4</v>
      </c>
      <c r="B463" cm="1">
        <f t="array" ref="B463">INDEX('Portfolio Weights Std'!$B$9:$BJ$69,INT((ROW(A462)-1)/COLUMNS('Portfolio Weights Std'!$B$9:$BJ$69))+1,MOD(ROW(A462)-1,COLUMNS('Portfolio Weights Std'!$B$9:$BJ$69))+1)</f>
        <v>2.2721362469098384E-2</v>
      </c>
    </row>
    <row r="464" spans="1:2" x14ac:dyDescent="0.25">
      <c r="A464" cm="1">
        <f t="array" ref="A464">INDEX('Portfolio Weights Returns'!$B$9:$BJ$69,
INT((ROW(A463)-1)/COLUMNS('Portfolio Weights Returns'!$B$9:$BJ$69))+1,MOD(ROW(A463)-1,COLUMNS('Portfolio Weights Returns'!$B$9:$BJ$69))+1)</f>
        <v>-9.1161476086943629E-4</v>
      </c>
      <c r="B464" cm="1">
        <f t="array" ref="B464">INDEX('Portfolio Weights Std'!$B$9:$BJ$69,INT((ROW(A463)-1)/COLUMNS('Portfolio Weights Std'!$B$9:$BJ$69))+1,MOD(ROW(A463)-1,COLUMNS('Portfolio Weights Std'!$B$9:$BJ$69))+1)</f>
        <v>2.2569547228890503E-2</v>
      </c>
    </row>
    <row r="465" spans="1:2" x14ac:dyDescent="0.25">
      <c r="A465" cm="1">
        <f t="array" ref="A465">INDEX('Portfolio Weights Returns'!$B$9:$BJ$69,
INT((ROW(A464)-1)/COLUMNS('Portfolio Weights Returns'!$B$9:$BJ$69))+1,MOD(ROW(A464)-1,COLUMNS('Portfolio Weights Returns'!$B$9:$BJ$69))+1)</f>
        <v>-9.0483358690275715E-4</v>
      </c>
      <c r="B465" cm="1">
        <f t="array" ref="B465">INDEX('Portfolio Weights Std'!$B$9:$BJ$69,INT((ROW(A464)-1)/COLUMNS('Portfolio Weights Std'!$B$9:$BJ$69))+1,MOD(ROW(A464)-1,COLUMNS('Portfolio Weights Std'!$B$9:$BJ$69))+1)</f>
        <v>2.2418769315883755E-2</v>
      </c>
    </row>
    <row r="466" spans="1:2" x14ac:dyDescent="0.25">
      <c r="A466" cm="1">
        <f t="array" ref="A466">INDEX('Portfolio Weights Returns'!$B$9:$BJ$69,
INT((ROW(A465)-1)/COLUMNS('Portfolio Weights Returns'!$B$9:$BJ$69))+1,MOD(ROW(A465)-1,COLUMNS('Portfolio Weights Returns'!$B$9:$BJ$69))+1)</f>
        <v>-8.98052412936078E-4</v>
      </c>
      <c r="B466" cm="1">
        <f t="array" ref="B466">INDEX('Portfolio Weights Std'!$B$9:$BJ$69,INT((ROW(A465)-1)/COLUMNS('Portfolio Weights Std'!$B$9:$BJ$69))+1,MOD(ROW(A465)-1,COLUMNS('Portfolio Weights Std'!$B$9:$BJ$69))+1)</f>
        <v>2.2269049800501796E-2</v>
      </c>
    </row>
    <row r="467" spans="1:2" x14ac:dyDescent="0.25">
      <c r="A467" cm="1">
        <f t="array" ref="A467">INDEX('Portfolio Weights Returns'!$B$9:$BJ$69,
INT((ROW(A466)-1)/COLUMNS('Portfolio Weights Returns'!$B$9:$BJ$69))+1,MOD(ROW(A466)-1,COLUMNS('Portfolio Weights Returns'!$B$9:$BJ$69))+1)</f>
        <v>-8.9127123896939908E-4</v>
      </c>
      <c r="B467" cm="1">
        <f t="array" ref="B467">INDEX('Portfolio Weights Std'!$B$9:$BJ$69,INT((ROW(A466)-1)/COLUMNS('Portfolio Weights Std'!$B$9:$BJ$69))+1,MOD(ROW(A466)-1,COLUMNS('Portfolio Weights Std'!$B$9:$BJ$69))+1)</f>
        <v>2.2120410173691925E-2</v>
      </c>
    </row>
    <row r="468" spans="1:2" x14ac:dyDescent="0.25">
      <c r="A468" cm="1">
        <f t="array" ref="A468">INDEX('Portfolio Weights Returns'!$B$9:$BJ$69,
INT((ROW(A467)-1)/COLUMNS('Portfolio Weights Returns'!$B$9:$BJ$69))+1,MOD(ROW(A467)-1,COLUMNS('Portfolio Weights Returns'!$B$9:$BJ$69))+1)</f>
        <v>-8.8449006500271993E-4</v>
      </c>
      <c r="B468" cm="1">
        <f t="array" ref="B468">INDEX('Portfolio Weights Std'!$B$9:$BJ$69,INT((ROW(A467)-1)/COLUMNS('Portfolio Weights Std'!$B$9:$BJ$69))+1,MOD(ROW(A467)-1,COLUMNS('Portfolio Weights Std'!$B$9:$BJ$69))+1)</f>
        <v>2.1972872350792993E-2</v>
      </c>
    </row>
    <row r="469" spans="1:2" x14ac:dyDescent="0.25">
      <c r="A469" cm="1">
        <f t="array" ref="A469">INDEX('Portfolio Weights Returns'!$B$9:$BJ$69,
INT((ROW(A468)-1)/COLUMNS('Portfolio Weights Returns'!$B$9:$BJ$69))+1,MOD(ROW(A468)-1,COLUMNS('Portfolio Weights Returns'!$B$9:$BJ$69))+1)</f>
        <v>-8.777088910360409E-4</v>
      </c>
      <c r="B469" cm="1">
        <f t="array" ref="B469">INDEX('Portfolio Weights Std'!$B$9:$BJ$69,INT((ROW(A468)-1)/COLUMNS('Portfolio Weights Std'!$B$9:$BJ$69))+1,MOD(ROW(A468)-1,COLUMNS('Portfolio Weights Std'!$B$9:$BJ$69))+1)</f>
        <v>2.1826458675031069E-2</v>
      </c>
    </row>
    <row r="470" spans="1:2" x14ac:dyDescent="0.25">
      <c r="A470" cm="1">
        <f t="array" ref="A470">INDEX('Portfolio Weights Returns'!$B$9:$BJ$69,
INT((ROW(A469)-1)/COLUMNS('Portfolio Weights Returns'!$B$9:$BJ$69))+1,MOD(ROW(A469)-1,COLUMNS('Portfolio Weights Returns'!$B$9:$BJ$69))+1)</f>
        <v>-8.7092771706936175E-4</v>
      </c>
      <c r="B470" cm="1">
        <f t="array" ref="B470">INDEX('Portfolio Weights Std'!$B$9:$BJ$69,INT((ROW(A469)-1)/COLUMNS('Portfolio Weights Std'!$B$9:$BJ$69))+1,MOD(ROW(A469)-1,COLUMNS('Portfolio Weights Std'!$B$9:$BJ$69))+1)</f>
        <v>2.1681191920606226E-2</v>
      </c>
    </row>
    <row r="471" spans="1:2" x14ac:dyDescent="0.25">
      <c r="A471" cm="1">
        <f t="array" ref="A471">INDEX('Portfolio Weights Returns'!$B$9:$BJ$69,
INT((ROW(A470)-1)/COLUMNS('Portfolio Weights Returns'!$B$9:$BJ$69))+1,MOD(ROW(A470)-1,COLUMNS('Portfolio Weights Returns'!$B$9:$BJ$69))+1)</f>
        <v>-8.6414654310268272E-4</v>
      </c>
      <c r="B471" cm="1">
        <f t="array" ref="B471">INDEX('Portfolio Weights Std'!$B$9:$BJ$69,INT((ROW(A470)-1)/COLUMNS('Portfolio Weights Std'!$B$9:$BJ$69))+1,MOD(ROW(A470)-1,COLUMNS('Portfolio Weights Std'!$B$9:$BJ$69))+1)</f>
        <v>2.1537095295331921E-2</v>
      </c>
    </row>
    <row r="472" spans="1:2" x14ac:dyDescent="0.25">
      <c r="A472" cm="1">
        <f t="array" ref="A472">INDEX('Portfolio Weights Returns'!$B$9:$BJ$69,
INT((ROW(A471)-1)/COLUMNS('Portfolio Weights Returns'!$B$9:$BJ$69))+1,MOD(ROW(A471)-1,COLUMNS('Portfolio Weights Returns'!$B$9:$BJ$69))+1)</f>
        <v>-8.5736536913600346E-4</v>
      </c>
      <c r="B472" cm="1">
        <f t="array" ref="B472">INDEX('Portfolio Weights Std'!$B$9:$BJ$69,INT((ROW(A471)-1)/COLUMNS('Portfolio Weights Std'!$B$9:$BJ$69))+1,MOD(ROW(A471)-1,COLUMNS('Portfolio Weights Std'!$B$9:$BJ$69))+1)</f>
        <v>2.139419244278648E-2</v>
      </c>
    </row>
    <row r="473" spans="1:2" x14ac:dyDescent="0.25">
      <c r="A473" cm="1">
        <f t="array" ref="A473">INDEX('Portfolio Weights Returns'!$B$9:$BJ$69,
INT((ROW(A472)-1)/COLUMNS('Portfolio Weights Returns'!$B$9:$BJ$69))+1,MOD(ROW(A472)-1,COLUMNS('Portfolio Weights Returns'!$B$9:$BJ$69))+1)</f>
        <v>-8.5058419516932443E-4</v>
      </c>
      <c r="B473" cm="1">
        <f t="array" ref="B473">INDEX('Portfolio Weights Std'!$B$9:$BJ$69,INT((ROW(A472)-1)/COLUMNS('Portfolio Weights Std'!$B$9:$BJ$69))+1,MOD(ROW(A472)-1,COLUMNS('Portfolio Weights Std'!$B$9:$BJ$69))+1)</f>
        <v>2.1252507443934272E-2</v>
      </c>
    </row>
    <row r="474" spans="1:2" x14ac:dyDescent="0.25">
      <c r="A474" cm="1">
        <f t="array" ref="A474">INDEX('Portfolio Weights Returns'!$B$9:$BJ$69,
INT((ROW(A473)-1)/COLUMNS('Portfolio Weights Returns'!$B$9:$BJ$69))+1,MOD(ROW(A473)-1,COLUMNS('Portfolio Weights Returns'!$B$9:$BJ$69))+1)</f>
        <v>-8.4380302120264528E-4</v>
      </c>
      <c r="B474" cm="1">
        <f t="array" ref="B474">INDEX('Portfolio Weights Std'!$B$9:$BJ$69,INT((ROW(A473)-1)/COLUMNS('Portfolio Weights Std'!$B$9:$BJ$69))+1,MOD(ROW(A473)-1,COLUMNS('Portfolio Weights Std'!$B$9:$BJ$69))+1)</f>
        <v>2.1112064818172269E-2</v>
      </c>
    </row>
    <row r="475" spans="1:2" x14ac:dyDescent="0.25">
      <c r="A475" cm="1">
        <f t="array" ref="A475">INDEX('Portfolio Weights Returns'!$B$9:$BJ$69,
INT((ROW(A474)-1)/COLUMNS('Portfolio Weights Returns'!$B$9:$BJ$69))+1,MOD(ROW(A474)-1,COLUMNS('Portfolio Weights Returns'!$B$9:$BJ$69))+1)</f>
        <v>-8.3702184723596614E-4</v>
      </c>
      <c r="B475" cm="1">
        <f t="array" ref="B475">INDEX('Portfolio Weights Std'!$B$9:$BJ$69,INT((ROW(A474)-1)/COLUMNS('Portfolio Weights Std'!$B$9:$BJ$69))+1,MOD(ROW(A474)-1,COLUMNS('Portfolio Weights Std'!$B$9:$BJ$69))+1)</f>
        <v>2.0972889523755631E-2</v>
      </c>
    </row>
    <row r="476" spans="1:2" x14ac:dyDescent="0.25">
      <c r="A476" cm="1">
        <f t="array" ref="A476">INDEX('Portfolio Weights Returns'!$B$9:$BJ$69,
INT((ROW(A475)-1)/COLUMNS('Portfolio Weights Returns'!$B$9:$BJ$69))+1,MOD(ROW(A475)-1,COLUMNS('Portfolio Weights Returns'!$B$9:$BJ$69))+1)</f>
        <v>-8.302406732692871E-4</v>
      </c>
      <c r="B476" cm="1">
        <f t="array" ref="B476">INDEX('Portfolio Weights Std'!$B$9:$BJ$69,INT((ROW(A475)-1)/COLUMNS('Portfolio Weights Std'!$B$9:$BJ$69))+1,MOD(ROW(A475)-1,COLUMNS('Portfolio Weights Std'!$B$9:$BJ$69))+1)</f>
        <v>2.0835006957554299E-2</v>
      </c>
    </row>
    <row r="477" spans="1:2" x14ac:dyDescent="0.25">
      <c r="A477" cm="1">
        <f t="array" ref="A477">INDEX('Portfolio Weights Returns'!$B$9:$BJ$69,
INT((ROW(A476)-1)/COLUMNS('Portfolio Weights Returns'!$B$9:$BJ$69))+1,MOD(ROW(A476)-1,COLUMNS('Portfolio Weights Returns'!$B$9:$BJ$69))+1)</f>
        <v>-8.2345949930260796E-4</v>
      </c>
      <c r="B477" cm="1">
        <f t="array" ref="B477">INDEX('Portfolio Weights Std'!$B$9:$BJ$69,INT((ROW(A476)-1)/COLUMNS('Portfolio Weights Std'!$B$9:$BJ$69))+1,MOD(ROW(A476)-1,COLUMNS('Portfolio Weights Std'!$B$9:$BJ$69))+1)</f>
        <v>2.0698442954090519E-2</v>
      </c>
    </row>
    <row r="478" spans="1:2" x14ac:dyDescent="0.25">
      <c r="A478" cm="1">
        <f t="array" ref="A478">INDEX('Portfolio Weights Returns'!$B$9:$BJ$69,
INT((ROW(A477)-1)/COLUMNS('Portfolio Weights Returns'!$B$9:$BJ$69))+1,MOD(ROW(A477)-1,COLUMNS('Portfolio Weights Returns'!$B$9:$BJ$69))+1)</f>
        <v>-8.1667832533592892E-4</v>
      </c>
      <c r="B478" cm="1">
        <f t="array" ref="B478">INDEX('Portfolio Weights Std'!$B$9:$BJ$69,INT((ROW(A477)-1)/COLUMNS('Portfolio Weights Std'!$B$9:$BJ$69))+1,MOD(ROW(A477)-1,COLUMNS('Portfolio Weights Std'!$B$9:$BJ$69))+1)</f>
        <v>2.0563223783805609E-2</v>
      </c>
    </row>
    <row r="479" spans="1:2" x14ac:dyDescent="0.25">
      <c r="A479" cm="1">
        <f t="array" ref="A479">INDEX('Portfolio Weights Returns'!$B$9:$BJ$69,
INT((ROW(A478)-1)/COLUMNS('Portfolio Weights Returns'!$B$9:$BJ$69))+1,MOD(ROW(A478)-1,COLUMNS('Portfolio Weights Returns'!$B$9:$BJ$69))+1)</f>
        <v>-8.0989715136924967E-4</v>
      </c>
      <c r="B479" cm="1">
        <f t="array" ref="B479">INDEX('Portfolio Weights Std'!$B$9:$BJ$69,INT((ROW(A478)-1)/COLUMNS('Portfolio Weights Std'!$B$9:$BJ$69))+1,MOD(ROW(A478)-1,COLUMNS('Portfolio Weights Std'!$B$9:$BJ$69))+1)</f>
        <v>2.0429376150502585E-2</v>
      </c>
    </row>
    <row r="480" spans="1:2" x14ac:dyDescent="0.25">
      <c r="A480" cm="1">
        <f t="array" ref="A480">INDEX('Portfolio Weights Returns'!$B$9:$BJ$69,
INT((ROW(A479)-1)/COLUMNS('Portfolio Weights Returns'!$B$9:$BJ$69))+1,MOD(ROW(A479)-1,COLUMNS('Portfolio Weights Returns'!$B$9:$BJ$69))+1)</f>
        <v>-8.0311597740257063E-4</v>
      </c>
      <c r="B480" cm="1">
        <f t="array" ref="B480">INDEX('Portfolio Weights Std'!$B$9:$BJ$69,INT((ROW(A479)-1)/COLUMNS('Portfolio Weights Std'!$B$9:$BJ$69))+1,MOD(ROW(A479)-1,COLUMNS('Portfolio Weights Std'!$B$9:$BJ$69))+1)</f>
        <v>2.0296927187909625E-2</v>
      </c>
    </row>
    <row r="481" spans="1:2" x14ac:dyDescent="0.25">
      <c r="A481" cm="1">
        <f t="array" ref="A481">INDEX('Portfolio Weights Returns'!$B$9:$BJ$69,
INT((ROW(A480)-1)/COLUMNS('Portfolio Weights Returns'!$B$9:$BJ$69))+1,MOD(ROW(A480)-1,COLUMNS('Portfolio Weights Returns'!$B$9:$BJ$69))+1)</f>
        <v>-7.9633480343589149E-4</v>
      </c>
      <c r="B481" cm="1">
        <f t="array" ref="B481">INDEX('Portfolio Weights Std'!$B$9:$BJ$69,INT((ROW(A480)-1)/COLUMNS('Portfolio Weights Std'!$B$9:$BJ$69))+1,MOD(ROW(A480)-1,COLUMNS('Portfolio Weights Std'!$B$9:$BJ$69))+1)</f>
        <v>2.0165904455308026E-2</v>
      </c>
    </row>
    <row r="482" spans="1:2" x14ac:dyDescent="0.25">
      <c r="A482" cm="1">
        <f t="array" ref="A482">INDEX('Portfolio Weights Returns'!$B$9:$BJ$69,
INT((ROW(A481)-1)/COLUMNS('Portfolio Weights Returns'!$B$9:$BJ$69))+1,MOD(ROW(A481)-1,COLUMNS('Portfolio Weights Returns'!$B$9:$BJ$69))+1)</f>
        <v>-7.8955362946921245E-4</v>
      </c>
      <c r="B482" cm="1">
        <f t="array" ref="B482">INDEX('Portfolio Weights Std'!$B$9:$BJ$69,INT((ROW(A481)-1)/COLUMNS('Portfolio Weights Std'!$B$9:$BJ$69))+1,MOD(ROW(A481)-1,COLUMNS('Portfolio Weights Std'!$B$9:$BJ$69))+1)</f>
        <v>2.0036335932166964E-2</v>
      </c>
    </row>
    <row r="483" spans="1:2" x14ac:dyDescent="0.25">
      <c r="A483" cm="1">
        <f t="array" ref="A483">INDEX('Portfolio Weights Returns'!$B$9:$BJ$69,
INT((ROW(A482)-1)/COLUMNS('Portfolio Weights Returns'!$B$9:$BJ$69))+1,MOD(ROW(A482)-1,COLUMNS('Portfolio Weights Returns'!$B$9:$BJ$69))+1)</f>
        <v>-7.8277245550253331E-4</v>
      </c>
      <c r="B483" cm="1">
        <f t="array" ref="B483">INDEX('Portfolio Weights Std'!$B$9:$BJ$69,INT((ROW(A482)-1)/COLUMNS('Portfolio Weights Std'!$B$9:$BJ$69))+1,MOD(ROW(A482)-1,COLUMNS('Portfolio Weights Std'!$B$9:$BJ$69))+1)</f>
        <v>1.9908250011726393E-2</v>
      </c>
    </row>
    <row r="484" spans="1:2" x14ac:dyDescent="0.25">
      <c r="A484" cm="1">
        <f t="array" ref="A484">INDEX('Portfolio Weights Returns'!$B$9:$BJ$69,
INT((ROW(A483)-1)/COLUMNS('Portfolio Weights Returns'!$B$9:$BJ$69))+1,MOD(ROW(A483)-1,COLUMNS('Portfolio Weights Returns'!$B$9:$BJ$69))+1)</f>
        <v>-7.7599128153585427E-4</v>
      </c>
      <c r="B484" cm="1">
        <f t="array" ref="B484">INDEX('Portfolio Weights Std'!$B$9:$BJ$69,INT((ROW(A483)-1)/COLUMNS('Portfolio Weights Std'!$B$9:$BJ$69))+1,MOD(ROW(A483)-1,COLUMNS('Portfolio Weights Std'!$B$9:$BJ$69))+1)</f>
        <v>1.9781675493468411E-2</v>
      </c>
    </row>
    <row r="485" spans="1:2" x14ac:dyDescent="0.25">
      <c r="A485" cm="1">
        <f t="array" ref="A485">INDEX('Portfolio Weights Returns'!$B$9:$BJ$69,
INT((ROW(A484)-1)/COLUMNS('Portfolio Weights Returns'!$B$9:$BJ$69))+1,MOD(ROW(A484)-1,COLUMNS('Portfolio Weights Returns'!$B$9:$BJ$69))+1)</f>
        <v>-7.6921010756917513E-4</v>
      </c>
      <c r="B485" cm="1">
        <f t="array" ref="B485">INDEX('Portfolio Weights Std'!$B$9:$BJ$69,INT((ROW(A484)-1)/COLUMNS('Portfolio Weights Std'!$B$9:$BJ$69))+1,MOD(ROW(A484)-1,COLUMNS('Portfolio Weights Std'!$B$9:$BJ$69))+1)</f>
        <v>1.9656641574417016E-2</v>
      </c>
    </row>
    <row r="486" spans="1:2" x14ac:dyDescent="0.25">
      <c r="A486" cm="1">
        <f t="array" ref="A486">INDEX('Portfolio Weights Returns'!$B$9:$BJ$69,
INT((ROW(A485)-1)/COLUMNS('Portfolio Weights Returns'!$B$9:$BJ$69))+1,MOD(ROW(A485)-1,COLUMNS('Portfolio Weights Returns'!$B$9:$BJ$69))+1)</f>
        <v>-7.6242893360249533E-4</v>
      </c>
      <c r="B486" cm="1">
        <f t="array" ref="B486">INDEX('Portfolio Weights Std'!$B$9:$BJ$69,INT((ROW(A485)-1)/COLUMNS('Portfolio Weights Std'!$B$9:$BJ$69))+1,MOD(ROW(A485)-1,COLUMNS('Portfolio Weights Std'!$B$9:$BJ$69))+1)</f>
        <v>1.9533177839205676E-2</v>
      </c>
    </row>
    <row r="487" spans="1:2" x14ac:dyDescent="0.25">
      <c r="A487" cm="1">
        <f t="array" ref="A487">INDEX('Portfolio Weights Returns'!$B$9:$BJ$69,
INT((ROW(A486)-1)/COLUMNS('Portfolio Weights Returns'!$B$9:$BJ$69))+1,MOD(ROW(A486)-1,COLUMNS('Portfolio Weights Returns'!$B$9:$BJ$69))+1)</f>
        <v>-7.5564775963581619E-4</v>
      </c>
      <c r="B487" cm="1">
        <f t="array" ref="B487">INDEX('Portfolio Weights Std'!$B$9:$BJ$69,INT((ROW(A486)-1)/COLUMNS('Portfolio Weights Std'!$B$9:$BJ$69))+1,MOD(ROW(A486)-1,COLUMNS('Portfolio Weights Std'!$B$9:$BJ$69))+1)</f>
        <v>1.9411314248852354E-2</v>
      </c>
    </row>
    <row r="488" spans="1:2" x14ac:dyDescent="0.25">
      <c r="A488" cm="1">
        <f t="array" ref="A488">INDEX('Portfolio Weights Returns'!$B$9:$BJ$69,
INT((ROW(A487)-1)/COLUMNS('Portfolio Weights Returns'!$B$9:$BJ$69))+1,MOD(ROW(A487)-1,COLUMNS('Portfolio Weights Returns'!$B$9:$BJ$69))+1)</f>
        <v>-7.4886658566913715E-4</v>
      </c>
      <c r="B488" cm="1">
        <f t="array" ref="B488">INDEX('Portfolio Weights Std'!$B$9:$BJ$69,INT((ROW(A487)-1)/COLUMNS('Portfolio Weights Std'!$B$9:$BJ$69))+1,MOD(ROW(A487)-1,COLUMNS('Portfolio Weights Std'!$B$9:$BJ$69))+1)</f>
        <v>1.9291081128181675E-2</v>
      </c>
    </row>
    <row r="489" spans="1:2" x14ac:dyDescent="0.25">
      <c r="A489" cm="1">
        <f t="array" ref="A489">INDEX('Portfolio Weights Returns'!$B$9:$BJ$69,
INT((ROW(A488)-1)/COLUMNS('Portfolio Weights Returns'!$B$9:$BJ$69))+1,MOD(ROW(A488)-1,COLUMNS('Portfolio Weights Returns'!$B$9:$BJ$69))+1)</f>
        <v>-7.4208541170245801E-4</v>
      </c>
      <c r="B489" cm="1">
        <f t="array" ref="B489">INDEX('Portfolio Weights Std'!$B$9:$BJ$69,INT((ROW(A488)-1)/COLUMNS('Portfolio Weights Std'!$B$9:$BJ$69))+1,MOD(ROW(A488)-1,COLUMNS('Portfolio Weights Std'!$B$9:$BJ$69))+1)</f>
        <v>1.9172509151835122E-2</v>
      </c>
    </row>
    <row r="490" spans="1:2" x14ac:dyDescent="0.25">
      <c r="A490" cm="1">
        <f t="array" ref="A490">INDEX('Portfolio Weights Returns'!$B$9:$BJ$69,
INT((ROW(A489)-1)/COLUMNS('Portfolio Weights Returns'!$B$9:$BJ$69))+1,MOD(ROW(A489)-1,COLUMNS('Portfolio Weights Returns'!$B$9:$BJ$69))+1)</f>
        <v>-1.1423816418577497E-3</v>
      </c>
      <c r="B490" cm="1">
        <f t="array" ref="B490">INDEX('Portfolio Weights Std'!$B$9:$BJ$69,INT((ROW(A489)-1)/COLUMNS('Portfolio Weights Std'!$B$9:$BJ$69))+1,MOD(ROW(A489)-1,COLUMNS('Portfolio Weights Std'!$B$9:$BJ$69))+1)</f>
        <v>2.8141022619771576E-2</v>
      </c>
    </row>
    <row r="491" spans="1:2" x14ac:dyDescent="0.25">
      <c r="A491" cm="1">
        <f t="array" ref="A491">INDEX('Portfolio Weights Returns'!$B$9:$BJ$69,
INT((ROW(A490)-1)/COLUMNS('Portfolio Weights Returns'!$B$9:$BJ$69))+1,MOD(ROW(A490)-1,COLUMNS('Portfolio Weights Returns'!$B$9:$BJ$69))+1)</f>
        <v>-1.1356004678910706E-3</v>
      </c>
      <c r="B491" cm="1">
        <f t="array" ref="B491">INDEX('Portfolio Weights Std'!$B$9:$BJ$69,INT((ROW(A490)-1)/COLUMNS('Portfolio Weights Std'!$B$9:$BJ$69))+1,MOD(ROW(A490)-1,COLUMNS('Portfolio Weights Std'!$B$9:$BJ$69))+1)</f>
        <v>2.7963706715840361E-2</v>
      </c>
    </row>
    <row r="492" spans="1:2" x14ac:dyDescent="0.25">
      <c r="A492" cm="1">
        <f t="array" ref="A492">INDEX('Portfolio Weights Returns'!$B$9:$BJ$69,
INT((ROW(A491)-1)/COLUMNS('Portfolio Weights Returns'!$B$9:$BJ$69))+1,MOD(ROW(A491)-1,COLUMNS('Portfolio Weights Returns'!$B$9:$BJ$69))+1)</f>
        <v>-1.1288192939243916E-3</v>
      </c>
      <c r="B492" cm="1">
        <f t="array" ref="B492">INDEX('Portfolio Weights Std'!$B$9:$BJ$69,INT((ROW(A491)-1)/COLUMNS('Portfolio Weights Std'!$B$9:$BJ$69))+1,MOD(ROW(A491)-1,COLUMNS('Portfolio Weights Std'!$B$9:$BJ$69))+1)</f>
        <v>2.7786925672864587E-2</v>
      </c>
    </row>
    <row r="493" spans="1:2" x14ac:dyDescent="0.25">
      <c r="A493" cm="1">
        <f t="array" ref="A493">INDEX('Portfolio Weights Returns'!$B$9:$BJ$69,
INT((ROW(A492)-1)/COLUMNS('Portfolio Weights Returns'!$B$9:$BJ$69))+1,MOD(ROW(A492)-1,COLUMNS('Portfolio Weights Returns'!$B$9:$BJ$69))+1)</f>
        <v>-1.1220381199577125E-3</v>
      </c>
      <c r="B493" cm="1">
        <f t="array" ref="B493">INDEX('Portfolio Weights Std'!$B$9:$BJ$69,INT((ROW(A492)-1)/COLUMNS('Portfolio Weights Std'!$B$9:$BJ$69))+1,MOD(ROW(A492)-1,COLUMNS('Portfolio Weights Std'!$B$9:$BJ$69))+1)</f>
        <v>2.7610689764397282E-2</v>
      </c>
    </row>
    <row r="494" spans="1:2" x14ac:dyDescent="0.25">
      <c r="A494" cm="1">
        <f t="array" ref="A494">INDEX('Portfolio Weights Returns'!$B$9:$BJ$69,
INT((ROW(A493)-1)/COLUMNS('Portfolio Weights Returns'!$B$9:$BJ$69))+1,MOD(ROW(A493)-1,COLUMNS('Portfolio Weights Returns'!$B$9:$BJ$69))+1)</f>
        <v>-1.1152569459910334E-3</v>
      </c>
      <c r="B494" cm="1">
        <f t="array" ref="B494">INDEX('Portfolio Weights Std'!$B$9:$BJ$69,INT((ROW(A493)-1)/COLUMNS('Portfolio Weights Std'!$B$9:$BJ$69))+1,MOD(ROW(A493)-1,COLUMNS('Portfolio Weights Std'!$B$9:$BJ$69))+1)</f>
        <v>2.7435009495879719E-2</v>
      </c>
    </row>
    <row r="495" spans="1:2" x14ac:dyDescent="0.25">
      <c r="A495" cm="1">
        <f t="array" ref="A495">INDEX('Portfolio Weights Returns'!$B$9:$BJ$69,
INT((ROW(A494)-1)/COLUMNS('Portfolio Weights Returns'!$B$9:$BJ$69))+1,MOD(ROW(A494)-1,COLUMNS('Portfolio Weights Returns'!$B$9:$BJ$69))+1)</f>
        <v>-1.1084757720243542E-3</v>
      </c>
      <c r="B495" cm="1">
        <f t="array" ref="B495">INDEX('Portfolio Weights Std'!$B$9:$BJ$69,INT((ROW(A494)-1)/COLUMNS('Portfolio Weights Std'!$B$9:$BJ$69))+1,MOD(ROW(A494)-1,COLUMNS('Portfolio Weights Std'!$B$9:$BJ$69))+1)</f>
        <v>2.7259895610015711E-2</v>
      </c>
    </row>
    <row r="496" spans="1:2" x14ac:dyDescent="0.25">
      <c r="A496" cm="1">
        <f t="array" ref="A496">INDEX('Portfolio Weights Returns'!$B$9:$BJ$69,
INT((ROW(A495)-1)/COLUMNS('Portfolio Weights Returns'!$B$9:$BJ$69))+1,MOD(ROW(A495)-1,COLUMNS('Portfolio Weights Returns'!$B$9:$BJ$69))+1)</f>
        <v>-1.1016945980576751E-3</v>
      </c>
      <c r="B496" cm="1">
        <f t="array" ref="B496">INDEX('Portfolio Weights Std'!$B$9:$BJ$69,INT((ROW(A495)-1)/COLUMNS('Portfolio Weights Std'!$B$9:$BJ$69))+1,MOD(ROW(A495)-1,COLUMNS('Portfolio Weights Std'!$B$9:$BJ$69))+1)</f>
        <v>2.7085359092240652E-2</v>
      </c>
    </row>
    <row r="497" spans="1:2" x14ac:dyDescent="0.25">
      <c r="A497" cm="1">
        <f t="array" ref="A497">INDEX('Portfolio Weights Returns'!$B$9:$BJ$69,
INT((ROW(A496)-1)/COLUMNS('Portfolio Weights Returns'!$B$9:$BJ$69))+1,MOD(ROW(A496)-1,COLUMNS('Portfolio Weights Returns'!$B$9:$BJ$69))+1)</f>
        <v>-1.0949134240909961E-3</v>
      </c>
      <c r="B497" cm="1">
        <f t="array" ref="B497">INDEX('Portfolio Weights Std'!$B$9:$BJ$69,INT((ROW(A496)-1)/COLUMNS('Portfolio Weights Std'!$B$9:$BJ$69))+1,MOD(ROW(A496)-1,COLUMNS('Portfolio Weights Std'!$B$9:$BJ$69))+1)</f>
        <v>2.6911411176283918E-2</v>
      </c>
    </row>
    <row r="498" spans="1:2" x14ac:dyDescent="0.25">
      <c r="A498" cm="1">
        <f t="array" ref="A498">INDEX('Portfolio Weights Returns'!$B$9:$BJ$69,
INT((ROW(A497)-1)/COLUMNS('Portfolio Weights Returns'!$B$9:$BJ$69))+1,MOD(ROW(A497)-1,COLUMNS('Portfolio Weights Returns'!$B$9:$BJ$69))+1)</f>
        <v>-1.088132250124317E-3</v>
      </c>
      <c r="B498" cm="1">
        <f t="array" ref="B498">INDEX('Portfolio Weights Std'!$B$9:$BJ$69,INT((ROW(A497)-1)/COLUMNS('Portfolio Weights Std'!$B$9:$BJ$69))+1,MOD(ROW(A497)-1,COLUMNS('Portfolio Weights Std'!$B$9:$BJ$69))+1)</f>
        <v>2.6738063349822854E-2</v>
      </c>
    </row>
    <row r="499" spans="1:2" x14ac:dyDescent="0.25">
      <c r="A499" cm="1">
        <f t="array" ref="A499">INDEX('Portfolio Weights Returns'!$B$9:$BJ$69,
INT((ROW(A498)-1)/COLUMNS('Portfolio Weights Returns'!$B$9:$BJ$69))+1,MOD(ROW(A498)-1,COLUMNS('Portfolio Weights Returns'!$B$9:$BJ$69))+1)</f>
        <v>-1.0813510761576376E-3</v>
      </c>
      <c r="B499" cm="1">
        <f t="array" ref="B499">INDEX('Portfolio Weights Std'!$B$9:$BJ$69,INT((ROW(A498)-1)/COLUMNS('Portfolio Weights Std'!$B$9:$BJ$69))+1,MOD(ROW(A498)-1,COLUMNS('Portfolio Weights Std'!$B$9:$BJ$69))+1)</f>
        <v>2.6565327360226289E-2</v>
      </c>
    </row>
    <row r="500" spans="1:2" x14ac:dyDescent="0.25">
      <c r="A500" cm="1">
        <f t="array" ref="A500">INDEX('Portfolio Weights Returns'!$B$9:$BJ$69,
INT((ROW(A499)-1)/COLUMNS('Portfolio Weights Returns'!$B$9:$BJ$69))+1,MOD(ROW(A499)-1,COLUMNS('Portfolio Weights Returns'!$B$9:$BJ$69))+1)</f>
        <v>-1.0745699021909585E-3</v>
      </c>
      <c r="B500" cm="1">
        <f t="array" ref="B500">INDEX('Portfolio Weights Std'!$B$9:$BJ$69,INT((ROW(A499)-1)/COLUMNS('Portfolio Weights Std'!$B$9:$BJ$69))+1,MOD(ROW(A499)-1,COLUMNS('Portfolio Weights Std'!$B$9:$BJ$69))+1)</f>
        <v>2.6393215220384968E-2</v>
      </c>
    </row>
    <row r="501" spans="1:2" x14ac:dyDescent="0.25">
      <c r="A501" cm="1">
        <f t="array" ref="A501">INDEX('Portfolio Weights Returns'!$B$9:$BJ$69,
INT((ROW(A500)-1)/COLUMNS('Portfolio Weights Returns'!$B$9:$BJ$69))+1,MOD(ROW(A500)-1,COLUMNS('Portfolio Weights Returns'!$B$9:$BJ$69))+1)</f>
        <v>-1.0677887282242796E-3</v>
      </c>
      <c r="B501" cm="1">
        <f t="array" ref="B501">INDEX('Portfolio Weights Std'!$B$9:$BJ$69,INT((ROW(A500)-1)/COLUMNS('Portfolio Weights Std'!$B$9:$BJ$69))+1,MOD(ROW(A500)-1,COLUMNS('Portfolio Weights Std'!$B$9:$BJ$69))+1)</f>
        <v>2.6221739214626092E-2</v>
      </c>
    </row>
    <row r="502" spans="1:2" x14ac:dyDescent="0.25">
      <c r="A502" cm="1">
        <f t="array" ref="A502">INDEX('Portfolio Weights Returns'!$B$9:$BJ$69,
INT((ROW(A501)-1)/COLUMNS('Portfolio Weights Returns'!$B$9:$BJ$69))+1,MOD(ROW(A501)-1,COLUMNS('Portfolio Weights Returns'!$B$9:$BJ$69))+1)</f>
        <v>-1.0610075542576004E-3</v>
      </c>
      <c r="B502" cm="1">
        <f t="array" ref="B502">INDEX('Portfolio Weights Std'!$B$9:$BJ$69,INT((ROW(A501)-1)/COLUMNS('Portfolio Weights Std'!$B$9:$BJ$69))+1,MOD(ROW(A501)-1,COLUMNS('Portfolio Weights Std'!$B$9:$BJ$69))+1)</f>
        <v>2.6050911904708533E-2</v>
      </c>
    </row>
    <row r="503" spans="1:2" x14ac:dyDescent="0.25">
      <c r="A503" cm="1">
        <f t="array" ref="A503">INDEX('Portfolio Weights Returns'!$B$9:$BJ$69,
INT((ROW(A502)-1)/COLUMNS('Portfolio Weights Returns'!$B$9:$BJ$69))+1,MOD(ROW(A502)-1,COLUMNS('Portfolio Weights Returns'!$B$9:$BJ$69))+1)</f>
        <v>-1.0542263802909213E-3</v>
      </c>
      <c r="B503" cm="1">
        <f t="array" ref="B503">INDEX('Portfolio Weights Std'!$B$9:$BJ$69,INT((ROW(A502)-1)/COLUMNS('Portfolio Weights Std'!$B$9:$BJ$69))+1,MOD(ROW(A502)-1,COLUMNS('Portfolio Weights Std'!$B$9:$BJ$69))+1)</f>
        <v>2.5880746135894844E-2</v>
      </c>
    </row>
    <row r="504" spans="1:2" x14ac:dyDescent="0.25">
      <c r="A504" cm="1">
        <f t="array" ref="A504">INDEX('Portfolio Weights Returns'!$B$9:$BJ$69,
INT((ROW(A503)-1)/COLUMNS('Portfolio Weights Returns'!$B$9:$BJ$69))+1,MOD(ROW(A503)-1,COLUMNS('Portfolio Weights Returns'!$B$9:$BJ$69))+1)</f>
        <v>-1.0474452063242421E-3</v>
      </c>
      <c r="B504" cm="1">
        <f t="array" ref="B504">INDEX('Portfolio Weights Std'!$B$9:$BJ$69,INT((ROW(A503)-1)/COLUMNS('Portfolio Weights Std'!$B$9:$BJ$69))+1,MOD(ROW(A503)-1,COLUMNS('Portfolio Weights Std'!$B$9:$BJ$69))+1)</f>
        <v>2.5711255043095675E-2</v>
      </c>
    </row>
    <row r="505" spans="1:2" x14ac:dyDescent="0.25">
      <c r="A505" cm="1">
        <f t="array" ref="A505">INDEX('Portfolio Weights Returns'!$B$9:$BJ$69,
INT((ROW(A504)-1)/COLUMNS('Portfolio Weights Returns'!$B$9:$BJ$69))+1,MOD(ROW(A504)-1,COLUMNS('Portfolio Weights Returns'!$B$9:$BJ$69))+1)</f>
        <v>-1.040664032357563E-3</v>
      </c>
      <c r="B505" cm="1">
        <f t="array" ref="B505">INDEX('Portfolio Weights Std'!$B$9:$BJ$69,INT((ROW(A504)-1)/COLUMNS('Portfolio Weights Std'!$B$9:$BJ$69))+1,MOD(ROW(A504)-1,COLUMNS('Portfolio Weights Std'!$B$9:$BJ$69))+1)</f>
        <v>2.5542452057081669E-2</v>
      </c>
    </row>
    <row r="506" spans="1:2" x14ac:dyDescent="0.25">
      <c r="A506" cm="1">
        <f t="array" ref="A506">INDEX('Portfolio Weights Returns'!$B$9:$BJ$69,
INT((ROW(A505)-1)/COLUMNS('Portfolio Weights Returns'!$B$9:$BJ$69))+1,MOD(ROW(A505)-1,COLUMNS('Portfolio Weights Returns'!$B$9:$BJ$69))+1)</f>
        <v>-1.0338828583908843E-3</v>
      </c>
      <c r="B506" cm="1">
        <f t="array" ref="B506">INDEX('Portfolio Weights Std'!$B$9:$BJ$69,INT((ROW(A505)-1)/COLUMNS('Portfolio Weights Std'!$B$9:$BJ$69))+1,MOD(ROW(A505)-1,COLUMNS('Portfolio Weights Std'!$B$9:$BJ$69))+1)</f>
        <v>2.5374350910757199E-2</v>
      </c>
    </row>
    <row r="507" spans="1:2" x14ac:dyDescent="0.25">
      <c r="A507" cm="1">
        <f t="array" ref="A507">INDEX('Portfolio Weights Returns'!$B$9:$BJ$69,
INT((ROW(A506)-1)/COLUMNS('Portfolio Weights Returns'!$B$9:$BJ$69))+1,MOD(ROW(A506)-1,COLUMNS('Portfolio Weights Returns'!$B$9:$BJ$69))+1)</f>
        <v>-1.0271016844242049E-3</v>
      </c>
      <c r="B507" cm="1">
        <f t="array" ref="B507">INDEX('Portfolio Weights Std'!$B$9:$BJ$69,INT((ROW(A506)-1)/COLUMNS('Portfolio Weights Std'!$B$9:$BJ$69))+1,MOD(ROW(A506)-1,COLUMNS('Portfolio Weights Std'!$B$9:$BJ$69))+1)</f>
        <v>2.5206965645489722E-2</v>
      </c>
    </row>
    <row r="508" spans="1:2" x14ac:dyDescent="0.25">
      <c r="A508" cm="1">
        <f t="array" ref="A508">INDEX('Portfolio Weights Returns'!$B$9:$BJ$69,
INT((ROW(A507)-1)/COLUMNS('Portfolio Weights Returns'!$B$9:$BJ$69))+1,MOD(ROW(A507)-1,COLUMNS('Portfolio Weights Returns'!$B$9:$BJ$69))+1)</f>
        <v>-1.020320510457526E-3</v>
      </c>
      <c r="B508" cm="1">
        <f t="array" ref="B508">INDEX('Portfolio Weights Std'!$B$9:$BJ$69,INT((ROW(A507)-1)/COLUMNS('Portfolio Weights Std'!$B$9:$BJ$69))+1,MOD(ROW(A507)-1,COLUMNS('Portfolio Weights Std'!$B$9:$BJ$69))+1)</f>
        <v>2.5040310617487953E-2</v>
      </c>
    </row>
    <row r="509" spans="1:2" x14ac:dyDescent="0.25">
      <c r="A509" cm="1">
        <f t="array" ref="A509">INDEX('Portfolio Weights Returns'!$B$9:$BJ$69,
INT((ROW(A508)-1)/COLUMNS('Portfolio Weights Returns'!$B$9:$BJ$69))+1,MOD(ROW(A508)-1,COLUMNS('Portfolio Weights Returns'!$B$9:$BJ$69))+1)</f>
        <v>-1.0135393364908468E-3</v>
      </c>
      <c r="B509" cm="1">
        <f t="array" ref="B509">INDEX('Portfolio Weights Std'!$B$9:$BJ$69,INT((ROW(A508)-1)/COLUMNS('Portfolio Weights Std'!$B$9:$BJ$69))+1,MOD(ROW(A508)-1,COLUMNS('Portfolio Weights Std'!$B$9:$BJ$69))+1)</f>
        <v>2.487440050422093E-2</v>
      </c>
    </row>
    <row r="510" spans="1:2" x14ac:dyDescent="0.25">
      <c r="A510" cm="1">
        <f t="array" ref="A510">INDEX('Portfolio Weights Returns'!$B$9:$BJ$69,
INT((ROW(A509)-1)/COLUMNS('Portfolio Weights Returns'!$B$9:$BJ$69))+1,MOD(ROW(A509)-1,COLUMNS('Portfolio Weights Returns'!$B$9:$BJ$69))+1)</f>
        <v>-1.0067581625241679E-3</v>
      </c>
      <c r="B510" cm="1">
        <f t="array" ref="B510">INDEX('Portfolio Weights Std'!$B$9:$BJ$69,INT((ROW(A509)-1)/COLUMNS('Portfolio Weights Std'!$B$9:$BJ$69))+1,MOD(ROW(A509)-1,COLUMNS('Portfolio Weights Std'!$B$9:$BJ$69))+1)</f>
        <v>2.4709250310869794E-2</v>
      </c>
    </row>
    <row r="511" spans="1:2" x14ac:dyDescent="0.25">
      <c r="A511" cm="1">
        <f t="array" ref="A511">INDEX('Portfolio Weights Returns'!$B$9:$BJ$69,
INT((ROW(A510)-1)/COLUMNS('Portfolio Weights Returns'!$B$9:$BJ$69))+1,MOD(ROW(A510)-1,COLUMNS('Portfolio Weights Returns'!$B$9:$BJ$69))+1)</f>
        <v>-9.9997698855748855E-4</v>
      </c>
      <c r="B511" cm="1">
        <f t="array" ref="B511">INDEX('Portfolio Weights Std'!$B$9:$BJ$69,INT((ROW(A510)-1)/COLUMNS('Portfolio Weights Std'!$B$9:$BJ$69))+1,MOD(ROW(A510)-1,COLUMNS('Portfolio Weights Std'!$B$9:$BJ$69))+1)</f>
        <v>2.4544875376802743E-2</v>
      </c>
    </row>
    <row r="512" spans="1:2" x14ac:dyDescent="0.25">
      <c r="A512" cm="1">
        <f t="array" ref="A512">INDEX('Portfolio Weights Returns'!$B$9:$BJ$69,
INT((ROW(A511)-1)/COLUMNS('Portfolio Weights Returns'!$B$9:$BJ$69))+1,MOD(ROW(A511)-1,COLUMNS('Portfolio Weights Returns'!$B$9:$BJ$69))+1)</f>
        <v>-9.931958145908094E-4</v>
      </c>
      <c r="B512" cm="1">
        <f t="array" ref="B512">INDEX('Portfolio Weights Std'!$B$9:$BJ$69,INT((ROW(A511)-1)/COLUMNS('Portfolio Weights Std'!$B$9:$BJ$69))+1,MOD(ROW(A511)-1,COLUMNS('Portfolio Weights Std'!$B$9:$BJ$69))+1)</f>
        <v>2.4381291382063047E-2</v>
      </c>
    </row>
    <row r="513" spans="1:2" x14ac:dyDescent="0.25">
      <c r="A513" cm="1">
        <f t="array" ref="A513">INDEX('Portfolio Weights Returns'!$B$9:$BJ$69,
INT((ROW(A512)-1)/COLUMNS('Portfolio Weights Returns'!$B$9:$BJ$69))+1,MOD(ROW(A512)-1,COLUMNS('Portfolio Weights Returns'!$B$9:$BJ$69))+1)</f>
        <v>-9.8641464062413026E-4</v>
      </c>
      <c r="B513" cm="1">
        <f t="array" ref="B513">INDEX('Portfolio Weights Std'!$B$9:$BJ$69,INT((ROW(A512)-1)/COLUMNS('Portfolio Weights Std'!$B$9:$BJ$69))+1,MOD(ROW(A512)-1,COLUMNS('Portfolio Weights Std'!$B$9:$BJ$69))+1)</f>
        <v>2.4218514353858956E-2</v>
      </c>
    </row>
    <row r="514" spans="1:2" x14ac:dyDescent="0.25">
      <c r="A514" cm="1">
        <f t="array" ref="A514">INDEX('Portfolio Weights Returns'!$B$9:$BJ$69,
INT((ROW(A513)-1)/COLUMNS('Portfolio Weights Returns'!$B$9:$BJ$69))+1,MOD(ROW(A513)-1,COLUMNS('Portfolio Weights Returns'!$B$9:$BJ$69))+1)</f>
        <v>-9.7963346665745112E-4</v>
      </c>
      <c r="B514" cm="1">
        <f t="array" ref="B514">INDEX('Portfolio Weights Std'!$B$9:$BJ$69,INT((ROW(A513)-1)/COLUMNS('Portfolio Weights Std'!$B$9:$BJ$69))+1,MOD(ROW(A513)-1,COLUMNS('Portfolio Weights Std'!$B$9:$BJ$69))+1)</f>
        <v>2.4056560673043195E-2</v>
      </c>
    </row>
    <row r="515" spans="1:2" x14ac:dyDescent="0.25">
      <c r="A515" cm="1">
        <f t="array" ref="A515">INDEX('Portfolio Weights Returns'!$B$9:$BJ$69,
INT((ROW(A514)-1)/COLUMNS('Portfolio Weights Returns'!$B$9:$BJ$69))+1,MOD(ROW(A514)-1,COLUMNS('Portfolio Weights Returns'!$B$9:$BJ$69))+1)</f>
        <v>-9.7285229269077208E-4</v>
      </c>
      <c r="B515" cm="1">
        <f t="array" ref="B515">INDEX('Portfolio Weights Std'!$B$9:$BJ$69,INT((ROW(A514)-1)/COLUMNS('Portfolio Weights Std'!$B$9:$BJ$69))+1,MOD(ROW(A514)-1,COLUMNS('Portfolio Weights Std'!$B$9:$BJ$69))+1)</f>
        <v>2.3895447080568937E-2</v>
      </c>
    </row>
    <row r="516" spans="1:2" x14ac:dyDescent="0.25">
      <c r="A516" cm="1">
        <f t="array" ref="A516">INDEX('Portfolio Weights Returns'!$B$9:$BJ$69,
INT((ROW(A515)-1)/COLUMNS('Portfolio Weights Returns'!$B$9:$BJ$69))+1,MOD(ROW(A515)-1,COLUMNS('Portfolio Weights Returns'!$B$9:$BJ$69))+1)</f>
        <v>-9.6607111872409304E-4</v>
      </c>
      <c r="B516" cm="1">
        <f t="array" ref="B516">INDEX('Portfolio Weights Std'!$B$9:$BJ$69,INT((ROW(A515)-1)/COLUMNS('Portfolio Weights Std'!$B$9:$BJ$69))+1,MOD(ROW(A515)-1,COLUMNS('Portfolio Weights Std'!$B$9:$BJ$69))+1)</f>
        <v>2.3735190683907701E-2</v>
      </c>
    </row>
    <row r="517" spans="1:2" x14ac:dyDescent="0.25">
      <c r="A517" cm="1">
        <f t="array" ref="A517">INDEX('Portfolio Weights Returns'!$B$9:$BJ$69,
INT((ROW(A516)-1)/COLUMNS('Portfolio Weights Returns'!$B$9:$BJ$69))+1,MOD(ROW(A516)-1,COLUMNS('Portfolio Weights Returns'!$B$9:$BJ$69))+1)</f>
        <v>-9.592899447574139E-4</v>
      </c>
      <c r="B517" cm="1">
        <f t="array" ref="B517">INDEX('Portfolio Weights Std'!$B$9:$BJ$69,INT((ROW(A516)-1)/COLUMNS('Portfolio Weights Std'!$B$9:$BJ$69))+1,MOD(ROW(A516)-1,COLUMNS('Portfolio Weights Std'!$B$9:$BJ$69))+1)</f>
        <v>2.3575808963413596E-2</v>
      </c>
    </row>
    <row r="518" spans="1:2" x14ac:dyDescent="0.25">
      <c r="A518" cm="1">
        <f t="array" ref="A518">INDEX('Portfolio Weights Returns'!$B$9:$BJ$69,
INT((ROW(A517)-1)/COLUMNS('Portfolio Weights Returns'!$B$9:$BJ$69))+1,MOD(ROW(A517)-1,COLUMNS('Portfolio Weights Returns'!$B$9:$BJ$69))+1)</f>
        <v>-9.5250877079073486E-4</v>
      </c>
      <c r="B518" cm="1">
        <f t="array" ref="B518">INDEX('Portfolio Weights Std'!$B$9:$BJ$69,INT((ROW(A517)-1)/COLUMNS('Portfolio Weights Std'!$B$9:$BJ$69))+1,MOD(ROW(A517)-1,COLUMNS('Portfolio Weights Std'!$B$9:$BJ$69))+1)</f>
        <v>2.3417319778617125E-2</v>
      </c>
    </row>
    <row r="519" spans="1:2" x14ac:dyDescent="0.25">
      <c r="A519" cm="1">
        <f t="array" ref="A519">INDEX('Portfolio Weights Returns'!$B$9:$BJ$69,
INT((ROW(A518)-1)/COLUMNS('Portfolio Weights Returns'!$B$9:$BJ$69))+1,MOD(ROW(A518)-1,COLUMNS('Portfolio Weights Returns'!$B$9:$BJ$69))+1)</f>
        <v>-9.4572759682405572E-4</v>
      </c>
      <c r="B519" cm="1">
        <f t="array" ref="B519">INDEX('Portfolio Weights Std'!$B$9:$BJ$69,INT((ROW(A518)-1)/COLUMNS('Portfolio Weights Std'!$B$9:$BJ$69))+1,MOD(ROW(A518)-1,COLUMNS('Portfolio Weights Std'!$B$9:$BJ$69))+1)</f>
        <v>2.3259741374430171E-2</v>
      </c>
    </row>
    <row r="520" spans="1:2" x14ac:dyDescent="0.25">
      <c r="A520" cm="1">
        <f t="array" ref="A520">INDEX('Portfolio Weights Returns'!$B$9:$BJ$69,
INT((ROW(A519)-1)/COLUMNS('Portfolio Weights Returns'!$B$9:$BJ$69))+1,MOD(ROW(A519)-1,COLUMNS('Portfolio Weights Returns'!$B$9:$BJ$69))+1)</f>
        <v>-9.3894642285737668E-4</v>
      </c>
      <c r="B520" cm="1">
        <f t="array" ref="B520">INDEX('Portfolio Weights Std'!$B$9:$BJ$69,INT((ROW(A519)-1)/COLUMNS('Portfolio Weights Std'!$B$9:$BJ$69))+1,MOD(ROW(A519)-1,COLUMNS('Portfolio Weights Std'!$B$9:$BJ$69))+1)</f>
        <v>2.3103092387242681E-2</v>
      </c>
    </row>
    <row r="521" spans="1:2" x14ac:dyDescent="0.25">
      <c r="A521" cm="1">
        <f t="array" ref="A521">INDEX('Portfolio Weights Returns'!$B$9:$BJ$69,
INT((ROW(A520)-1)/COLUMNS('Portfolio Weights Returns'!$B$9:$BJ$69))+1,MOD(ROW(A520)-1,COLUMNS('Portfolio Weights Returns'!$B$9:$BJ$69))+1)</f>
        <v>-9.3216524889069743E-4</v>
      </c>
      <c r="B521" cm="1">
        <f t="array" ref="B521">INDEX('Portfolio Weights Std'!$B$9:$BJ$69,INT((ROW(A520)-1)/COLUMNS('Portfolio Weights Std'!$B$9:$BJ$69))+1,MOD(ROW(A520)-1,COLUMNS('Portfolio Weights Std'!$B$9:$BJ$69))+1)</f>
        <v>2.2947391850889905E-2</v>
      </c>
    </row>
    <row r="522" spans="1:2" x14ac:dyDescent="0.25">
      <c r="A522" cm="1">
        <f t="array" ref="A522">INDEX('Portfolio Weights Returns'!$B$9:$BJ$69,
INT((ROW(A521)-1)/COLUMNS('Portfolio Weights Returns'!$B$9:$BJ$69))+1,MOD(ROW(A521)-1,COLUMNS('Portfolio Weights Returns'!$B$9:$BJ$69))+1)</f>
        <v>-9.2538407492401839E-4</v>
      </c>
      <c r="B522" cm="1">
        <f t="array" ref="B522">INDEX('Portfolio Weights Std'!$B$9:$BJ$69,INT((ROW(A521)-1)/COLUMNS('Portfolio Weights Std'!$B$9:$BJ$69))+1,MOD(ROW(A521)-1,COLUMNS('Portfolio Weights Std'!$B$9:$BJ$69))+1)</f>
        <v>2.2792659202467626E-2</v>
      </c>
    </row>
    <row r="523" spans="1:2" x14ac:dyDescent="0.25">
      <c r="A523" cm="1">
        <f t="array" ref="A523">INDEX('Portfolio Weights Returns'!$B$9:$BJ$69,
INT((ROW(A522)-1)/COLUMNS('Portfolio Weights Returns'!$B$9:$BJ$69))+1,MOD(ROW(A522)-1,COLUMNS('Portfolio Weights Returns'!$B$9:$BJ$69))+1)</f>
        <v>-9.1860290095733925E-4</v>
      </c>
      <c r="B523" cm="1">
        <f t="array" ref="B523">INDEX('Portfolio Weights Std'!$B$9:$BJ$69,INT((ROW(A522)-1)/COLUMNS('Portfolio Weights Std'!$B$9:$BJ$69))+1,MOD(ROW(A522)-1,COLUMNS('Portfolio Weights Std'!$B$9:$BJ$69))+1)</f>
        <v>2.2638914287971091E-2</v>
      </c>
    </row>
    <row r="524" spans="1:2" x14ac:dyDescent="0.25">
      <c r="A524" cm="1">
        <f t="array" ref="A524">INDEX('Portfolio Weights Returns'!$B$9:$BJ$69,
INT((ROW(A523)-1)/COLUMNS('Portfolio Weights Returns'!$B$9:$BJ$69))+1,MOD(ROW(A523)-1,COLUMNS('Portfolio Weights Returns'!$B$9:$BJ$69))+1)</f>
        <v>-9.1182172699066011E-4</v>
      </c>
      <c r="B524" cm="1">
        <f t="array" ref="B524">INDEX('Portfolio Weights Std'!$B$9:$BJ$69,INT((ROW(A523)-1)/COLUMNS('Portfolio Weights Std'!$B$9:$BJ$69))+1,MOD(ROW(A523)-1,COLUMNS('Portfolio Weights Std'!$B$9:$BJ$69))+1)</f>
        <v>2.2486177367731876E-2</v>
      </c>
    </row>
    <row r="525" spans="1:2" x14ac:dyDescent="0.25">
      <c r="A525" cm="1">
        <f t="array" ref="A525">INDEX('Portfolio Weights Returns'!$B$9:$BJ$69,
INT((ROW(A524)-1)/COLUMNS('Portfolio Weights Returns'!$B$9:$BJ$69))+1,MOD(ROW(A524)-1,COLUMNS('Portfolio Weights Returns'!$B$9:$BJ$69))+1)</f>
        <v>-9.0504055302398107E-4</v>
      </c>
      <c r="B525" cm="1">
        <f t="array" ref="B525">INDEX('Portfolio Weights Std'!$B$9:$BJ$69,INT((ROW(A524)-1)/COLUMNS('Portfolio Weights Std'!$B$9:$BJ$69))+1,MOD(ROW(A524)-1,COLUMNS('Portfolio Weights Std'!$B$9:$BJ$69))+1)</f>
        <v>2.2334469121624959E-2</v>
      </c>
    </row>
    <row r="526" spans="1:2" x14ac:dyDescent="0.25">
      <c r="A526" cm="1">
        <f t="array" ref="A526">INDEX('Portfolio Weights Returns'!$B$9:$BJ$69,
INT((ROW(A525)-1)/COLUMNS('Portfolio Weights Returns'!$B$9:$BJ$69))+1,MOD(ROW(A525)-1,COLUMNS('Portfolio Weights Returns'!$B$9:$BJ$69))+1)</f>
        <v>-8.9825937905730192E-4</v>
      </c>
      <c r="B526" cm="1">
        <f t="array" ref="B526">INDEX('Portfolio Weights Std'!$B$9:$BJ$69,INT((ROW(A525)-1)/COLUMNS('Portfolio Weights Std'!$B$9:$BJ$69))+1,MOD(ROW(A525)-1,COLUMNS('Portfolio Weights Std'!$B$9:$BJ$69))+1)</f>
        <v>2.2183810654016735E-2</v>
      </c>
    </row>
    <row r="527" spans="1:2" x14ac:dyDescent="0.25">
      <c r="A527" cm="1">
        <f t="array" ref="A527">INDEX('Portfolio Weights Returns'!$B$9:$BJ$69,
INT((ROW(A526)-1)/COLUMNS('Portfolio Weights Returns'!$B$9:$BJ$69))+1,MOD(ROW(A526)-1,COLUMNS('Portfolio Weights Returns'!$B$9:$BJ$69))+1)</f>
        <v>-8.9147820509062289E-4</v>
      </c>
      <c r="B527" cm="1">
        <f t="array" ref="B527">INDEX('Portfolio Weights Std'!$B$9:$BJ$69,INT((ROW(A526)-1)/COLUMNS('Portfolio Weights Std'!$B$9:$BJ$69))+1,MOD(ROW(A526)-1,COLUMNS('Portfolio Weights Std'!$B$9:$BJ$69))+1)</f>
        <v>2.2034223498422621E-2</v>
      </c>
    </row>
    <row r="528" spans="1:2" x14ac:dyDescent="0.25">
      <c r="A528" cm="1">
        <f t="array" ref="A528">INDEX('Portfolio Weights Returns'!$B$9:$BJ$69,
INT((ROW(A527)-1)/COLUMNS('Portfolio Weights Returns'!$B$9:$BJ$69))+1,MOD(ROW(A527)-1,COLUMNS('Portfolio Weights Returns'!$B$9:$BJ$69))+1)</f>
        <v>-8.8469703112394385E-4</v>
      </c>
      <c r="B528" cm="1">
        <f t="array" ref="B528">INDEX('Portfolio Weights Std'!$B$9:$BJ$69,INT((ROW(A527)-1)/COLUMNS('Portfolio Weights Std'!$B$9:$BJ$69))+1,MOD(ROW(A527)-1,COLUMNS('Portfolio Weights Std'!$B$9:$BJ$69))+1)</f>
        <v>2.1885729621841238E-2</v>
      </c>
    </row>
    <row r="529" spans="1:2" x14ac:dyDescent="0.25">
      <c r="A529" cm="1">
        <f t="array" ref="A529">INDEX('Portfolio Weights Returns'!$B$9:$BJ$69,
INT((ROW(A528)-1)/COLUMNS('Portfolio Weights Returns'!$B$9:$BJ$69))+1,MOD(ROW(A528)-1,COLUMNS('Portfolio Weights Returns'!$B$9:$BJ$69))+1)</f>
        <v>-8.7791585715726482E-4</v>
      </c>
      <c r="B529" cm="1">
        <f t="array" ref="B529">INDEX('Portfolio Weights Std'!$B$9:$BJ$69,INT((ROW(A528)-1)/COLUMNS('Portfolio Weights Std'!$B$9:$BJ$69))+1,MOD(ROW(A528)-1,COLUMNS('Portfolio Weights Std'!$B$9:$BJ$69))+1)</f>
        <v>2.1738351428729926E-2</v>
      </c>
    </row>
    <row r="530" spans="1:2" x14ac:dyDescent="0.25">
      <c r="A530" cm="1">
        <f t="array" ref="A530">INDEX('Portfolio Weights Returns'!$B$9:$BJ$69,
INT((ROW(A529)-1)/COLUMNS('Portfolio Weights Returns'!$B$9:$BJ$69))+1,MOD(ROW(A529)-1,COLUMNS('Portfolio Weights Returns'!$B$9:$BJ$69))+1)</f>
        <v>-8.7113468319058567E-4</v>
      </c>
      <c r="B530" cm="1">
        <f t="array" ref="B530">INDEX('Portfolio Weights Std'!$B$9:$BJ$69,INT((ROW(A529)-1)/COLUMNS('Portfolio Weights Std'!$B$9:$BJ$69))+1,MOD(ROW(A529)-1,COLUMNS('Portfolio Weights Std'!$B$9:$BJ$69))+1)</f>
        <v>2.1592111764584664E-2</v>
      </c>
    </row>
    <row r="531" spans="1:2" x14ac:dyDescent="0.25">
      <c r="A531" cm="1">
        <f t="array" ref="A531">INDEX('Portfolio Weights Returns'!$B$9:$BJ$69,
INT((ROW(A530)-1)/COLUMNS('Portfolio Weights Returns'!$B$9:$BJ$69))+1,MOD(ROW(A530)-1,COLUMNS('Portfolio Weights Returns'!$B$9:$BJ$69))+1)</f>
        <v>-8.6435350922390664E-4</v>
      </c>
      <c r="B531" cm="1">
        <f t="array" ref="B531">INDEX('Portfolio Weights Std'!$B$9:$BJ$69,INT((ROW(A530)-1)/COLUMNS('Portfolio Weights Std'!$B$9:$BJ$69))+1,MOD(ROW(A530)-1,COLUMNS('Portfolio Weights Std'!$B$9:$BJ$69))+1)</f>
        <v>2.1447033919085236E-2</v>
      </c>
    </row>
    <row r="532" spans="1:2" x14ac:dyDescent="0.25">
      <c r="A532" cm="1">
        <f t="array" ref="A532">INDEX('Portfolio Weights Returns'!$B$9:$BJ$69,
INT((ROW(A531)-1)/COLUMNS('Portfolio Weights Returns'!$B$9:$BJ$69))+1,MOD(ROW(A531)-1,COLUMNS('Portfolio Weights Returns'!$B$9:$BJ$69))+1)</f>
        <v>-8.5757233525722738E-4</v>
      </c>
      <c r="B532" cm="1">
        <f t="array" ref="B532">INDEX('Portfolio Weights Std'!$B$9:$BJ$69,INT((ROW(A531)-1)/COLUMNS('Portfolio Weights Std'!$B$9:$BJ$69))+1,MOD(ROW(A531)-1,COLUMNS('Portfolio Weights Std'!$B$9:$BJ$69))+1)</f>
        <v>2.130314162876442E-2</v>
      </c>
    </row>
    <row r="533" spans="1:2" x14ac:dyDescent="0.25">
      <c r="A533" cm="1">
        <f t="array" ref="A533">INDEX('Portfolio Weights Returns'!$B$9:$BJ$69,
INT((ROW(A532)-1)/COLUMNS('Portfolio Weights Returns'!$B$9:$BJ$69))+1,MOD(ROW(A532)-1,COLUMNS('Portfolio Weights Returns'!$B$9:$BJ$69))+1)</f>
        <v>-8.5079116129054835E-4</v>
      </c>
      <c r="B533" cm="1">
        <f t="array" ref="B533">INDEX('Portfolio Weights Std'!$B$9:$BJ$69,INT((ROW(A532)-1)/COLUMNS('Portfolio Weights Std'!$B$9:$BJ$69))+1,MOD(ROW(A532)-1,COLUMNS('Portfolio Weights Std'!$B$9:$BJ$69))+1)</f>
        <v>2.1160459079158103E-2</v>
      </c>
    </row>
    <row r="534" spans="1:2" x14ac:dyDescent="0.25">
      <c r="A534" cm="1">
        <f t="array" ref="A534">INDEX('Portfolio Weights Returns'!$B$9:$BJ$69,
INT((ROW(A533)-1)/COLUMNS('Portfolio Weights Returns'!$B$9:$BJ$69))+1,MOD(ROW(A533)-1,COLUMNS('Portfolio Weights Returns'!$B$9:$BJ$69))+1)</f>
        <v>-8.440099873238692E-4</v>
      </c>
      <c r="B534" cm="1">
        <f t="array" ref="B534">INDEX('Portfolio Weights Std'!$B$9:$BJ$69,INT((ROW(A533)-1)/COLUMNS('Portfolio Weights Std'!$B$9:$BJ$69))+1,MOD(ROW(A533)-1,COLUMNS('Portfolio Weights Std'!$B$9:$BJ$69))+1)</f>
        <v>2.1019010906390898E-2</v>
      </c>
    </row>
    <row r="535" spans="1:2" x14ac:dyDescent="0.25">
      <c r="A535" cm="1">
        <f t="array" ref="A535">INDEX('Portfolio Weights Returns'!$B$9:$BJ$69,
INT((ROW(A534)-1)/COLUMNS('Portfolio Weights Returns'!$B$9:$BJ$69))+1,MOD(ROW(A534)-1,COLUMNS('Portfolio Weights Returns'!$B$9:$BJ$69))+1)</f>
        <v>-8.3722881335719006E-4</v>
      </c>
      <c r="B535" cm="1">
        <f t="array" ref="B535">INDEX('Portfolio Weights Std'!$B$9:$BJ$69,INT((ROW(A534)-1)/COLUMNS('Portfolio Weights Std'!$B$9:$BJ$69))+1,MOD(ROW(A534)-1,COLUMNS('Portfolio Weights Std'!$B$9:$BJ$69))+1)</f>
        <v>2.0878822198149977E-2</v>
      </c>
    </row>
    <row r="536" spans="1:2" x14ac:dyDescent="0.25">
      <c r="A536" cm="1">
        <f t="array" ref="A536">INDEX('Portfolio Weights Returns'!$B$9:$BJ$69,
INT((ROW(A535)-1)/COLUMNS('Portfolio Weights Returns'!$B$9:$BJ$69))+1,MOD(ROW(A535)-1,COLUMNS('Portfolio Weights Returns'!$B$9:$BJ$69))+1)</f>
        <v>-8.3044763939051102E-4</v>
      </c>
      <c r="B536" cm="1">
        <f t="array" ref="B536">INDEX('Portfolio Weights Std'!$B$9:$BJ$69,INT((ROW(A535)-1)/COLUMNS('Portfolio Weights Std'!$B$9:$BJ$69))+1,MOD(ROW(A535)-1,COLUMNS('Portfolio Weights Std'!$B$9:$BJ$69))+1)</f>
        <v>2.0739918493997683E-2</v>
      </c>
    </row>
    <row r="537" spans="1:2" x14ac:dyDescent="0.25">
      <c r="A537" cm="1">
        <f t="array" ref="A537">INDEX('Portfolio Weights Returns'!$B$9:$BJ$69,
INT((ROW(A536)-1)/COLUMNS('Portfolio Weights Returns'!$B$9:$BJ$69))+1,MOD(ROW(A536)-1,COLUMNS('Portfolio Weights Returns'!$B$9:$BJ$69))+1)</f>
        <v>-8.2366646542383188E-4</v>
      </c>
      <c r="B537" cm="1">
        <f t="array" ref="B537">INDEX('Portfolio Weights Std'!$B$9:$BJ$69,INT((ROW(A536)-1)/COLUMNS('Portfolio Weights Std'!$B$9:$BJ$69))+1,MOD(ROW(A536)-1,COLUMNS('Portfolio Weights Std'!$B$9:$BJ$69))+1)</f>
        <v>2.0602325784971457E-2</v>
      </c>
    </row>
    <row r="538" spans="1:2" x14ac:dyDescent="0.25">
      <c r="A538" cm="1">
        <f t="array" ref="A538">INDEX('Portfolio Weights Returns'!$B$9:$BJ$69,
INT((ROW(A537)-1)/COLUMNS('Portfolio Weights Returns'!$B$9:$BJ$69))+1,MOD(ROW(A537)-1,COLUMNS('Portfolio Weights Returns'!$B$9:$BJ$69))+1)</f>
        <v>-8.1688529145715284E-4</v>
      </c>
      <c r="B538" cm="1">
        <f t="array" ref="B538">INDEX('Portfolio Weights Std'!$B$9:$BJ$69,INT((ROW(A537)-1)/COLUMNS('Portfolio Weights Std'!$B$9:$BJ$69))+1,MOD(ROW(A537)-1,COLUMNS('Portfolio Weights Std'!$B$9:$BJ$69))+1)</f>
        <v>2.0466070512417826E-2</v>
      </c>
    </row>
    <row r="539" spans="1:2" x14ac:dyDescent="0.25">
      <c r="A539" cm="1">
        <f t="array" ref="A539">INDEX('Portfolio Weights Returns'!$B$9:$BJ$69,
INT((ROW(A538)-1)/COLUMNS('Portfolio Weights Returns'!$B$9:$BJ$69))+1,MOD(ROW(A538)-1,COLUMNS('Portfolio Weights Returns'!$B$9:$BJ$69))+1)</f>
        <v>-8.1010411749047359E-4</v>
      </c>
      <c r="B539" cm="1">
        <f t="array" ref="B539">INDEX('Portfolio Weights Std'!$B$9:$BJ$69,INT((ROW(A538)-1)/COLUMNS('Portfolio Weights Std'!$B$9:$BJ$69))+1,MOD(ROW(A538)-1,COLUMNS('Portfolio Weights Std'!$B$9:$BJ$69))+1)</f>
        <v>2.0331179566005088E-2</v>
      </c>
    </row>
    <row r="540" spans="1:2" x14ac:dyDescent="0.25">
      <c r="A540" cm="1">
        <f t="array" ref="A540">INDEX('Portfolio Weights Returns'!$B$9:$BJ$69,
INT((ROW(A539)-1)/COLUMNS('Portfolio Weights Returns'!$B$9:$BJ$69))+1,MOD(ROW(A539)-1,COLUMNS('Portfolio Weights Returns'!$B$9:$BJ$69))+1)</f>
        <v>-8.0332294352379455E-4</v>
      </c>
      <c r="B540" cm="1">
        <f t="array" ref="B540">INDEX('Portfolio Weights Std'!$B$9:$BJ$69,INT((ROW(A539)-1)/COLUMNS('Portfolio Weights Std'!$B$9:$BJ$69))+1,MOD(ROW(A539)-1,COLUMNS('Portfolio Weights Std'!$B$9:$BJ$69))+1)</f>
        <v>2.0197680280857836E-2</v>
      </c>
    </row>
    <row r="541" spans="1:2" x14ac:dyDescent="0.25">
      <c r="A541" cm="1">
        <f t="array" ref="A541">INDEX('Portfolio Weights Returns'!$B$9:$BJ$69,
INT((ROW(A540)-1)/COLUMNS('Portfolio Weights Returns'!$B$9:$BJ$69))+1,MOD(ROW(A540)-1,COLUMNS('Portfolio Weights Returns'!$B$9:$BJ$69))+1)</f>
        <v>-7.9654176955711541E-4</v>
      </c>
      <c r="B541" cm="1">
        <f t="array" ref="B541">INDEX('Portfolio Weights Std'!$B$9:$BJ$69,INT((ROW(A540)-1)/COLUMNS('Portfolio Weights Std'!$B$9:$BJ$69))+1,MOD(ROW(A540)-1,COLUMNS('Portfolio Weights Std'!$B$9:$BJ$69))+1)</f>
        <v>2.0065600433754528E-2</v>
      </c>
    </row>
    <row r="542" spans="1:2" x14ac:dyDescent="0.25">
      <c r="A542" cm="1">
        <f t="array" ref="A542">INDEX('Portfolio Weights Returns'!$B$9:$BJ$69,
INT((ROW(A541)-1)/COLUMNS('Portfolio Weights Returns'!$B$9:$BJ$69))+1,MOD(ROW(A541)-1,COLUMNS('Portfolio Weights Returns'!$B$9:$BJ$69))+1)</f>
        <v>-7.8976059559043637E-4</v>
      </c>
      <c r="B542" cm="1">
        <f t="array" ref="B542">INDEX('Portfolio Weights Std'!$B$9:$BJ$69,INT((ROW(A541)-1)/COLUMNS('Portfolio Weights Std'!$B$9:$BJ$69))+1,MOD(ROW(A541)-1,COLUMNS('Portfolio Weights Std'!$B$9:$BJ$69))+1)</f>
        <v>1.9934968238328153E-2</v>
      </c>
    </row>
    <row r="543" spans="1:2" x14ac:dyDescent="0.25">
      <c r="A543" cm="1">
        <f t="array" ref="A543">INDEX('Portfolio Weights Returns'!$B$9:$BJ$69,
INT((ROW(A542)-1)/COLUMNS('Portfolio Weights Returns'!$B$9:$BJ$69))+1,MOD(ROW(A542)-1,COLUMNS('Portfolio Weights Returns'!$B$9:$BJ$69))+1)</f>
        <v>-7.8297942162375723E-4</v>
      </c>
      <c r="B543" cm="1">
        <f t="array" ref="B543">INDEX('Portfolio Weights Std'!$B$9:$BJ$69,INT((ROW(A542)-1)/COLUMNS('Portfolio Weights Std'!$B$9:$BJ$69))+1,MOD(ROW(A542)-1,COLUMNS('Portfolio Weights Std'!$B$9:$BJ$69))+1)</f>
        <v>1.9805812339208421E-2</v>
      </c>
    </row>
    <row r="544" spans="1:2" x14ac:dyDescent="0.25">
      <c r="A544" cm="1">
        <f t="array" ref="A544">INDEX('Portfolio Weights Returns'!$B$9:$BJ$69,
INT((ROW(A543)-1)/COLUMNS('Portfolio Weights Returns'!$B$9:$BJ$69))+1,MOD(ROW(A543)-1,COLUMNS('Portfolio Weights Returns'!$B$9:$BJ$69))+1)</f>
        <v>-7.7619824765707808E-4</v>
      </c>
      <c r="B544" cm="1">
        <f t="array" ref="B544">INDEX('Portfolio Weights Std'!$B$9:$BJ$69,INT((ROW(A543)-1)/COLUMNS('Portfolio Weights Std'!$B$9:$BJ$69))+1,MOD(ROW(A543)-1,COLUMNS('Portfolio Weights Std'!$B$9:$BJ$69))+1)</f>
        <v>1.9678161805043039E-2</v>
      </c>
    </row>
    <row r="545" spans="1:2" x14ac:dyDescent="0.25">
      <c r="A545" cm="1">
        <f t="array" ref="A545">INDEX('Portfolio Weights Returns'!$B$9:$BJ$69,
INT((ROW(A544)-1)/COLUMNS('Portfolio Weights Returns'!$B$9:$BJ$69))+1,MOD(ROW(A544)-1,COLUMNS('Portfolio Weights Returns'!$B$9:$BJ$69))+1)</f>
        <v>-7.6941707369039905E-4</v>
      </c>
      <c r="B545" cm="1">
        <f t="array" ref="B545">INDEX('Portfolio Weights Std'!$B$9:$BJ$69,INT((ROW(A544)-1)/COLUMNS('Portfolio Weights Std'!$B$9:$BJ$69))+1,MOD(ROW(A544)-1,COLUMNS('Portfolio Weights Std'!$B$9:$BJ$69))+1)</f>
        <v>1.9552046120334694E-2</v>
      </c>
    </row>
    <row r="546" spans="1:2" x14ac:dyDescent="0.25">
      <c r="A546" cm="1">
        <f t="array" ref="A546">INDEX('Portfolio Weights Returns'!$B$9:$BJ$69,
INT((ROW(A545)-1)/COLUMNS('Portfolio Weights Returns'!$B$9:$BJ$69))+1,MOD(ROW(A545)-1,COLUMNS('Portfolio Weights Returns'!$B$9:$BJ$69))+1)</f>
        <v>-7.6263589972371979E-4</v>
      </c>
      <c r="B546" cm="1">
        <f t="array" ref="B546">INDEX('Portfolio Weights Std'!$B$9:$BJ$69,INT((ROW(A545)-1)/COLUMNS('Portfolio Weights Std'!$B$9:$BJ$69))+1,MOD(ROW(A545)-1,COLUMNS('Portfolio Weights Std'!$B$9:$BJ$69))+1)</f>
        <v>1.9427495176029794E-2</v>
      </c>
    </row>
    <row r="547" spans="1:2" x14ac:dyDescent="0.25">
      <c r="A547" cm="1">
        <f t="array" ref="A547">INDEX('Portfolio Weights Returns'!$B$9:$BJ$69,
INT((ROW(A546)-1)/COLUMNS('Portfolio Weights Returns'!$B$9:$BJ$69))+1,MOD(ROW(A546)-1,COLUMNS('Portfolio Weights Returns'!$B$9:$BJ$69))+1)</f>
        <v>-7.5585472575704011E-4</v>
      </c>
      <c r="B547" cm="1">
        <f t="array" ref="B547">INDEX('Portfolio Weights Std'!$B$9:$BJ$69,INT((ROW(A546)-1)/COLUMNS('Portfolio Weights Std'!$B$9:$BJ$69))+1,MOD(ROW(A546)-1,COLUMNS('Portfolio Weights Std'!$B$9:$BJ$69))+1)</f>
        <v>1.9304539258794873E-2</v>
      </c>
    </row>
    <row r="548" spans="1:2" x14ac:dyDescent="0.25">
      <c r="A548" cm="1">
        <f t="array" ref="A548">INDEX('Portfolio Weights Returns'!$B$9:$BJ$69,
INT((ROW(A547)-1)/COLUMNS('Portfolio Weights Returns'!$B$9:$BJ$69))+1,MOD(ROW(A547)-1,COLUMNS('Portfolio Weights Returns'!$B$9:$BJ$69))+1)</f>
        <v>-7.4907355179036096E-4</v>
      </c>
      <c r="B548" cm="1">
        <f t="array" ref="B548">INDEX('Portfolio Weights Std'!$B$9:$BJ$69,INT((ROW(A547)-1)/COLUMNS('Portfolio Weights Std'!$B$9:$BJ$69))+1,MOD(ROW(A547)-1,COLUMNS('Portfolio Weights Std'!$B$9:$BJ$69))+1)</f>
        <v>1.9183209038916571E-2</v>
      </c>
    </row>
    <row r="549" spans="1:2" x14ac:dyDescent="0.25">
      <c r="A549" cm="1">
        <f t="array" ref="A549">INDEX('Portfolio Weights Returns'!$B$9:$BJ$69,
INT((ROW(A548)-1)/COLUMNS('Portfolio Weights Returns'!$B$9:$BJ$69))+1,MOD(ROW(A548)-1,COLUMNS('Portfolio Weights Returns'!$B$9:$BJ$69))+1)</f>
        <v>-7.4229237782368193E-4</v>
      </c>
      <c r="B549" cm="1">
        <f t="array" ref="B549">INDEX('Portfolio Weights Std'!$B$9:$BJ$69,INT((ROW(A548)-1)/COLUMNS('Portfolio Weights Std'!$B$9:$BJ$69))+1,MOD(ROW(A548)-1,COLUMNS('Portfolio Weights Std'!$B$9:$BJ$69))+1)</f>
        <v>1.9063535556761615E-2</v>
      </c>
    </row>
    <row r="550" spans="1:2" x14ac:dyDescent="0.25">
      <c r="A550" cm="1">
        <f t="array" ref="A550">INDEX('Portfolio Weights Returns'!$B$9:$BJ$69,
INT((ROW(A549)-1)/COLUMNS('Portfolio Weights Returns'!$B$9:$BJ$69))+1,MOD(ROW(A549)-1,COLUMNS('Portfolio Weights Returns'!$B$9:$BJ$69))+1)</f>
        <v>-7.3551120385700278E-4</v>
      </c>
      <c r="B550" cm="1">
        <f t="array" ref="B550">INDEX('Portfolio Weights Std'!$B$9:$BJ$69,INT((ROW(A549)-1)/COLUMNS('Portfolio Weights Std'!$B$9:$BJ$69))+1,MOD(ROW(A549)-1,COLUMNS('Portfolio Weights Std'!$B$9:$BJ$69))+1)</f>
        <v>1.894555020773438E-2</v>
      </c>
    </row>
    <row r="551" spans="1:2" x14ac:dyDescent="0.25">
      <c r="A551" cm="1">
        <f t="array" ref="A551">INDEX('Portfolio Weights Returns'!$B$9:$BJ$69,
INT((ROW(A550)-1)/COLUMNS('Portfolio Weights Returns'!$B$9:$BJ$69))+1,MOD(ROW(A550)-1,COLUMNS('Portfolio Weights Returns'!$B$9:$BJ$69))+1)</f>
        <v>-1.1358074340122946E-3</v>
      </c>
      <c r="B551" cm="1">
        <f t="array" ref="B551">INDEX('Portfolio Weights Std'!$B$9:$BJ$69,INT((ROW(A550)-1)/COLUMNS('Portfolio Weights Std'!$B$9:$BJ$69))+1,MOD(ROW(A550)-1,COLUMNS('Portfolio Weights Std'!$B$9:$BJ$69))+1)</f>
        <v>2.7910279628280046E-2</v>
      </c>
    </row>
    <row r="552" spans="1:2" x14ac:dyDescent="0.25">
      <c r="A552" cm="1">
        <f t="array" ref="A552">INDEX('Portfolio Weights Returns'!$B$9:$BJ$69,
INT((ROW(A551)-1)/COLUMNS('Portfolio Weights Returns'!$B$9:$BJ$69))+1,MOD(ROW(A551)-1,COLUMNS('Portfolio Weights Returns'!$B$9:$BJ$69))+1)</f>
        <v>-1.1290262600456155E-3</v>
      </c>
      <c r="B552" cm="1">
        <f t="array" ref="B552">INDEX('Portfolio Weights Std'!$B$9:$BJ$69,INT((ROW(A551)-1)/COLUMNS('Portfolio Weights Std'!$B$9:$BJ$69))+1,MOD(ROW(A551)-1,COLUMNS('Portfolio Weights Std'!$B$9:$BJ$69))+1)</f>
        <v>2.7732862037636488E-2</v>
      </c>
    </row>
    <row r="553" spans="1:2" x14ac:dyDescent="0.25">
      <c r="A553" cm="1">
        <f t="array" ref="A553">INDEX('Portfolio Weights Returns'!$B$9:$BJ$69,
INT((ROW(A552)-1)/COLUMNS('Portfolio Weights Returns'!$B$9:$BJ$69))+1,MOD(ROW(A552)-1,COLUMNS('Portfolio Weights Returns'!$B$9:$BJ$69))+1)</f>
        <v>-1.1222450860789363E-3</v>
      </c>
      <c r="B553" cm="1">
        <f t="array" ref="B553">INDEX('Portfolio Weights Std'!$B$9:$BJ$69,INT((ROW(A552)-1)/COLUMNS('Portfolio Weights Std'!$B$9:$BJ$69))+1,MOD(ROW(A552)-1,COLUMNS('Portfolio Weights Std'!$B$9:$BJ$69))+1)</f>
        <v>2.7555982481579207E-2</v>
      </c>
    </row>
    <row r="554" spans="1:2" x14ac:dyDescent="0.25">
      <c r="A554" cm="1">
        <f t="array" ref="A554">INDEX('Portfolio Weights Returns'!$B$9:$BJ$69,
INT((ROW(A553)-1)/COLUMNS('Portfolio Weights Returns'!$B$9:$BJ$69))+1,MOD(ROW(A553)-1,COLUMNS('Portfolio Weights Returns'!$B$9:$BJ$69))+1)</f>
        <v>-1.1154639121122574E-3</v>
      </c>
      <c r="B554" cm="1">
        <f t="array" ref="B554">INDEX('Portfolio Weights Std'!$B$9:$BJ$69,INT((ROW(A553)-1)/COLUMNS('Portfolio Weights Std'!$B$9:$BJ$69))+1,MOD(ROW(A553)-1,COLUMNS('Portfolio Weights Std'!$B$9:$BJ$69))+1)</f>
        <v>2.7379651387633611E-2</v>
      </c>
    </row>
    <row r="555" spans="1:2" x14ac:dyDescent="0.25">
      <c r="A555" cm="1">
        <f t="array" ref="A555">INDEX('Portfolio Weights Returns'!$B$9:$BJ$69,
INT((ROW(A554)-1)/COLUMNS('Portfolio Weights Returns'!$B$9:$BJ$69))+1,MOD(ROW(A554)-1,COLUMNS('Portfolio Weights Returns'!$B$9:$BJ$69))+1)</f>
        <v>-1.1086827381455782E-3</v>
      </c>
      <c r="B555" cm="1">
        <f t="array" ref="B555">INDEX('Portfolio Weights Std'!$B$9:$BJ$69,INT((ROW(A554)-1)/COLUMNS('Portfolio Weights Std'!$B$9:$BJ$69))+1,MOD(ROW(A554)-1,COLUMNS('Portfolio Weights Std'!$B$9:$BJ$69))+1)</f>
        <v>2.7203879420926714E-2</v>
      </c>
    </row>
    <row r="556" spans="1:2" x14ac:dyDescent="0.25">
      <c r="A556" cm="1">
        <f t="array" ref="A556">INDEX('Portfolio Weights Returns'!$B$9:$BJ$69,
INT((ROW(A555)-1)/COLUMNS('Portfolio Weights Returns'!$B$9:$BJ$69))+1,MOD(ROW(A555)-1,COLUMNS('Portfolio Weights Returns'!$B$9:$BJ$69))+1)</f>
        <v>-1.1019015641788991E-3</v>
      </c>
      <c r="B556" cm="1">
        <f t="array" ref="B556">INDEX('Portfolio Weights Std'!$B$9:$BJ$69,INT((ROW(A555)-1)/COLUMNS('Portfolio Weights Std'!$B$9:$BJ$69))+1,MOD(ROW(A555)-1,COLUMNS('Portfolio Weights Std'!$B$9:$BJ$69))+1)</f>
        <v>2.7028677489751858E-2</v>
      </c>
    </row>
    <row r="557" spans="1:2" x14ac:dyDescent="0.25">
      <c r="A557" cm="1">
        <f t="array" ref="A557">INDEX('Portfolio Weights Returns'!$B$9:$BJ$69,
INT((ROW(A556)-1)/COLUMNS('Portfolio Weights Returns'!$B$9:$BJ$69))+1,MOD(ROW(A556)-1,COLUMNS('Portfolio Weights Returns'!$B$9:$BJ$69))+1)</f>
        <v>-1.0951203902122199E-3</v>
      </c>
      <c r="B557" cm="1">
        <f t="array" ref="B557">INDEX('Portfolio Weights Std'!$B$9:$BJ$69,INT((ROW(A556)-1)/COLUMNS('Portfolio Weights Std'!$B$9:$BJ$69))+1,MOD(ROW(A556)-1,COLUMNS('Portfolio Weights Std'!$B$9:$BJ$69))+1)</f>
        <v>2.6854056751233021E-2</v>
      </c>
    </row>
    <row r="558" spans="1:2" x14ac:dyDescent="0.25">
      <c r="A558" cm="1">
        <f t="array" ref="A558">INDEX('Portfolio Weights Returns'!$B$9:$BJ$69,
INT((ROW(A557)-1)/COLUMNS('Portfolio Weights Returns'!$B$9:$BJ$69))+1,MOD(ROW(A557)-1,COLUMNS('Portfolio Weights Returns'!$B$9:$BJ$69))+1)</f>
        <v>-1.0883392162455408E-3</v>
      </c>
      <c r="B558" cm="1">
        <f t="array" ref="B558">INDEX('Portfolio Weights Std'!$B$9:$BJ$69,INT((ROW(A557)-1)/COLUMNS('Portfolio Weights Std'!$B$9:$BJ$69))+1,MOD(ROW(A557)-1,COLUMNS('Portfolio Weights Std'!$B$9:$BJ$69))+1)</f>
        <v>2.6680028617087247E-2</v>
      </c>
    </row>
    <row r="559" spans="1:2" x14ac:dyDescent="0.25">
      <c r="A559" cm="1">
        <f t="array" ref="A559">INDEX('Portfolio Weights Returns'!$B$9:$BJ$69,
INT((ROW(A558)-1)/COLUMNS('Portfolio Weights Returns'!$B$9:$BJ$69))+1,MOD(ROW(A558)-1,COLUMNS('Portfolio Weights Returns'!$B$9:$BJ$69))+1)</f>
        <v>-1.0815580422788617E-3</v>
      </c>
      <c r="B559" cm="1">
        <f t="array" ref="B559">INDEX('Portfolio Weights Std'!$B$9:$BJ$69,INT((ROW(A558)-1)/COLUMNS('Portfolio Weights Std'!$B$9:$BJ$69))+1,MOD(ROW(A558)-1,COLUMNS('Portfolio Weights Std'!$B$9:$BJ$69))+1)</f>
        <v>2.6506604759483458E-2</v>
      </c>
    </row>
    <row r="560" spans="1:2" x14ac:dyDescent="0.25">
      <c r="A560" cm="1">
        <f t="array" ref="A560">INDEX('Portfolio Weights Returns'!$B$9:$BJ$69,
INT((ROW(A559)-1)/COLUMNS('Portfolio Weights Returns'!$B$9:$BJ$69))+1,MOD(ROW(A559)-1,COLUMNS('Portfolio Weights Returns'!$B$9:$BJ$69))+1)</f>
        <v>-1.0747768683121825E-3</v>
      </c>
      <c r="B560" cm="1">
        <f t="array" ref="B560">INDEX('Portfolio Weights Std'!$B$9:$BJ$69,INT((ROW(A559)-1)/COLUMNS('Portfolio Weights Std'!$B$9:$BJ$69))+1,MOD(ROW(A559)-1,COLUMNS('Portfolio Weights Std'!$B$9:$BJ$69))+1)</f>
        <v>2.6333797116995371E-2</v>
      </c>
    </row>
    <row r="561" spans="1:2" x14ac:dyDescent="0.25">
      <c r="A561" cm="1">
        <f t="array" ref="A561">INDEX('Portfolio Weights Returns'!$B$9:$BJ$69,
INT((ROW(A560)-1)/COLUMNS('Portfolio Weights Returns'!$B$9:$BJ$69))+1,MOD(ROW(A560)-1,COLUMNS('Portfolio Weights Returns'!$B$9:$BJ$69))+1)</f>
        <v>-1.0679956943455034E-3</v>
      </c>
      <c r="B561" cm="1">
        <f t="array" ref="B561">INDEX('Portfolio Weights Std'!$B$9:$BJ$69,INT((ROW(A560)-1)/COLUMNS('Portfolio Weights Std'!$B$9:$BJ$69))+1,MOD(ROW(A560)-1,COLUMNS('Portfolio Weights Std'!$B$9:$BJ$69))+1)</f>
        <v>2.6161617900646014E-2</v>
      </c>
    </row>
    <row r="562" spans="1:2" x14ac:dyDescent="0.25">
      <c r="A562" cm="1">
        <f t="array" ref="A562">INDEX('Portfolio Weights Returns'!$B$9:$BJ$69,
INT((ROW(A561)-1)/COLUMNS('Portfolio Weights Returns'!$B$9:$BJ$69))+1,MOD(ROW(A561)-1,COLUMNS('Portfolio Weights Returns'!$B$9:$BJ$69))+1)</f>
        <v>-1.0612145203788242E-3</v>
      </c>
      <c r="B562" cm="1">
        <f t="array" ref="B562">INDEX('Portfolio Weights Std'!$B$9:$BJ$69,INT((ROW(A561)-1)/COLUMNS('Portfolio Weights Std'!$B$9:$BJ$69))+1,MOD(ROW(A561)-1,COLUMNS('Portfolio Weights Std'!$B$9:$BJ$69))+1)</f>
        <v>2.5990079600040791E-2</v>
      </c>
    </row>
    <row r="563" spans="1:2" x14ac:dyDescent="0.25">
      <c r="A563" cm="1">
        <f t="array" ref="A563">INDEX('Portfolio Weights Returns'!$B$9:$BJ$69,
INT((ROW(A562)-1)/COLUMNS('Portfolio Weights Returns'!$B$9:$BJ$69))+1,MOD(ROW(A562)-1,COLUMNS('Portfolio Weights Returns'!$B$9:$BJ$69))+1)</f>
        <v>-1.0544333464121451E-3</v>
      </c>
      <c r="B563" cm="1">
        <f t="array" ref="B563">INDEX('Portfolio Weights Std'!$B$9:$BJ$69,INT((ROW(A562)-1)/COLUMNS('Portfolio Weights Std'!$B$9:$BJ$69))+1,MOD(ROW(A562)-1,COLUMNS('Portfolio Weights Std'!$B$9:$BJ$69))+1)</f>
        <v>2.5819194989585501E-2</v>
      </c>
    </row>
    <row r="564" spans="1:2" x14ac:dyDescent="0.25">
      <c r="A564" cm="1">
        <f t="array" ref="A564">INDEX('Portfolio Weights Returns'!$B$9:$BJ$69,
INT((ROW(A563)-1)/COLUMNS('Portfolio Weights Returns'!$B$9:$BJ$69))+1,MOD(ROW(A563)-1,COLUMNS('Portfolio Weights Returns'!$B$9:$BJ$69))+1)</f>
        <v>-1.0476521724454662E-3</v>
      </c>
      <c r="B564" cm="1">
        <f t="array" ref="B564">INDEX('Portfolio Weights Std'!$B$9:$BJ$69,INT((ROW(A563)-1)/COLUMNS('Portfolio Weights Std'!$B$9:$BJ$69))+1,MOD(ROW(A563)-1,COLUMNS('Portfolio Weights Std'!$B$9:$BJ$69))+1)</f>
        <v>2.5648977134785381E-2</v>
      </c>
    </row>
    <row r="565" spans="1:2" x14ac:dyDescent="0.25">
      <c r="A565" cm="1">
        <f t="array" ref="A565">INDEX('Portfolio Weights Returns'!$B$9:$BJ$69,
INT((ROW(A564)-1)/COLUMNS('Portfolio Weights Returns'!$B$9:$BJ$69))+1,MOD(ROW(A564)-1,COLUMNS('Portfolio Weights Returns'!$B$9:$BJ$69))+1)</f>
        <v>-1.040870998478787E-3</v>
      </c>
      <c r="B565" cm="1">
        <f t="array" ref="B565">INDEX('Portfolio Weights Std'!$B$9:$BJ$69,INT((ROW(A564)-1)/COLUMNS('Portfolio Weights Std'!$B$9:$BJ$69))+1,MOD(ROW(A564)-1,COLUMNS('Portfolio Weights Std'!$B$9:$BJ$69))+1)</f>
        <v>2.5479439398620518E-2</v>
      </c>
    </row>
    <row r="566" spans="1:2" x14ac:dyDescent="0.25">
      <c r="A566" cm="1">
        <f t="array" ref="A566">INDEX('Portfolio Weights Returns'!$B$9:$BJ$69,
INT((ROW(A565)-1)/COLUMNS('Portfolio Weights Returns'!$B$9:$BJ$69))+1,MOD(ROW(A565)-1,COLUMNS('Portfolio Weights Returns'!$B$9:$BJ$69))+1)</f>
        <v>-1.0340898245121079E-3</v>
      </c>
      <c r="B566" cm="1">
        <f t="array" ref="B566">INDEX('Portfolio Weights Std'!$B$9:$BJ$69,INT((ROW(A565)-1)/COLUMNS('Portfolio Weights Std'!$B$9:$BJ$69))+1,MOD(ROW(A565)-1,COLUMNS('Portfolio Weights Std'!$B$9:$BJ$69))+1)</f>
        <v>2.5310595447992398E-2</v>
      </c>
    </row>
    <row r="567" spans="1:2" x14ac:dyDescent="0.25">
      <c r="A567" cm="1">
        <f t="array" ref="A567">INDEX('Portfolio Weights Returns'!$B$9:$BJ$69,
INT((ROW(A566)-1)/COLUMNS('Portfolio Weights Returns'!$B$9:$BJ$69))+1,MOD(ROW(A566)-1,COLUMNS('Portfolio Weights Returns'!$B$9:$BJ$69))+1)</f>
        <v>-1.0273086505454289E-3</v>
      </c>
      <c r="B567" cm="1">
        <f t="array" ref="B567">INDEX('Portfolio Weights Std'!$B$9:$BJ$69,INT((ROW(A566)-1)/COLUMNS('Portfolio Weights Std'!$B$9:$BJ$69))+1,MOD(ROW(A566)-1,COLUMNS('Portfolio Weights Std'!$B$9:$BJ$69))+1)</f>
        <v>2.5142459260235821E-2</v>
      </c>
    </row>
    <row r="568" spans="1:2" x14ac:dyDescent="0.25">
      <c r="A568" cm="1">
        <f t="array" ref="A568">INDEX('Portfolio Weights Returns'!$B$9:$BJ$69,
INT((ROW(A567)-1)/COLUMNS('Portfolio Weights Returns'!$B$9:$BJ$69))+1,MOD(ROW(A567)-1,COLUMNS('Portfolio Weights Returns'!$B$9:$BJ$69))+1)</f>
        <v>-1.0205274765787498E-3</v>
      </c>
      <c r="B568" cm="1">
        <f t="array" ref="B568">INDEX('Portfolio Weights Std'!$B$9:$BJ$69,INT((ROW(A567)-1)/COLUMNS('Portfolio Weights Std'!$B$9:$BJ$69))+1,MOD(ROW(A567)-1,COLUMNS('Portfolio Weights Std'!$B$9:$BJ$69))+1)</f>
        <v>2.497504512968951E-2</v>
      </c>
    </row>
    <row r="569" spans="1:2" x14ac:dyDescent="0.25">
      <c r="A569" cm="1">
        <f t="array" ref="A569">INDEX('Portfolio Weights Returns'!$B$9:$BJ$69,
INT((ROW(A568)-1)/COLUMNS('Portfolio Weights Returns'!$B$9:$BJ$69))+1,MOD(ROW(A568)-1,COLUMNS('Portfolio Weights Returns'!$B$9:$BJ$69))+1)</f>
        <v>-1.0137463026120709E-3</v>
      </c>
      <c r="B569" cm="1">
        <f t="array" ref="B569">INDEX('Portfolio Weights Std'!$B$9:$BJ$69,INT((ROW(A568)-1)/COLUMNS('Portfolio Weights Std'!$B$9:$BJ$69))+1,MOD(ROW(A568)-1,COLUMNS('Portfolio Weights Std'!$B$9:$BJ$69))+1)</f>
        <v>2.4808367674318356E-2</v>
      </c>
    </row>
    <row r="570" spans="1:2" x14ac:dyDescent="0.25">
      <c r="A570" cm="1">
        <f t="array" ref="A570">INDEX('Portfolio Weights Returns'!$B$9:$BJ$69,
INT((ROW(A569)-1)/COLUMNS('Portfolio Weights Returns'!$B$9:$BJ$69))+1,MOD(ROW(A569)-1,COLUMNS('Portfolio Weights Returns'!$B$9:$BJ$69))+1)</f>
        <v>-1.0069651286453917E-3</v>
      </c>
      <c r="B570" cm="1">
        <f t="array" ref="B570">INDEX('Portfolio Weights Std'!$B$9:$BJ$69,INT((ROW(A569)-1)/COLUMNS('Portfolio Weights Std'!$B$9:$BJ$69))+1,MOD(ROW(A569)-1,COLUMNS('Portfolio Weights Std'!$B$9:$BJ$69))+1)</f>
        <v>2.4642441842378883E-2</v>
      </c>
    </row>
    <row r="571" spans="1:2" x14ac:dyDescent="0.25">
      <c r="A571" cm="1">
        <f t="array" ref="A571">INDEX('Portfolio Weights Returns'!$B$9:$BJ$69,
INT((ROW(A570)-1)/COLUMNS('Portfolio Weights Returns'!$B$9:$BJ$69))+1,MOD(ROW(A570)-1,COLUMNS('Portfolio Weights Returns'!$B$9:$BJ$69))+1)</f>
        <v>-1.0001839546787124E-3</v>
      </c>
      <c r="B571" cm="1">
        <f t="array" ref="B571">INDEX('Portfolio Weights Std'!$B$9:$BJ$69,INT((ROW(A570)-1)/COLUMNS('Portfolio Weights Std'!$B$9:$BJ$69))+1,MOD(ROW(A570)-1,COLUMNS('Portfolio Weights Std'!$B$9:$BJ$69))+1)</f>
        <v>2.4477282919119388E-2</v>
      </c>
    </row>
    <row r="572" spans="1:2" x14ac:dyDescent="0.25">
      <c r="A572" cm="1">
        <f t="array" ref="A572">INDEX('Portfolio Weights Returns'!$B$9:$BJ$69,
INT((ROW(A571)-1)/COLUMNS('Portfolio Weights Returns'!$B$9:$BJ$69))+1,MOD(ROW(A571)-1,COLUMNS('Portfolio Weights Returns'!$B$9:$BJ$69))+1)</f>
        <v>-9.9340278071203343E-4</v>
      </c>
      <c r="B572" cm="1">
        <f t="array" ref="B572">INDEX('Portfolio Weights Std'!$B$9:$BJ$69,INT((ROW(A571)-1)/COLUMNS('Portfolio Weights Std'!$B$9:$BJ$69))+1,MOD(ROW(A571)-1,COLUMNS('Portfolio Weights Std'!$B$9:$BJ$69))+1)</f>
        <v>2.4312906533504534E-2</v>
      </c>
    </row>
    <row r="573" spans="1:2" x14ac:dyDescent="0.25">
      <c r="A573" cm="1">
        <f t="array" ref="A573">INDEX('Portfolio Weights Returns'!$B$9:$BJ$69,
INT((ROW(A572)-1)/COLUMNS('Portfolio Weights Returns'!$B$9:$BJ$69))+1,MOD(ROW(A572)-1,COLUMNS('Portfolio Weights Returns'!$B$9:$BJ$69))+1)</f>
        <v>-9.8662160674535429E-4</v>
      </c>
      <c r="B573" cm="1">
        <f t="array" ref="B573">INDEX('Portfolio Weights Std'!$B$9:$BJ$69,INT((ROW(A572)-1)/COLUMNS('Portfolio Weights Std'!$B$9:$BJ$69))+1,MOD(ROW(A572)-1,COLUMNS('Portfolio Weights Std'!$B$9:$BJ$69))+1)</f>
        <v>2.4149328664953961E-2</v>
      </c>
    </row>
    <row r="574" spans="1:2" x14ac:dyDescent="0.25">
      <c r="A574" cm="1">
        <f t="array" ref="A574">INDEX('Portfolio Weights Returns'!$B$9:$BJ$69,
INT((ROW(A573)-1)/COLUMNS('Portfolio Weights Returns'!$B$9:$BJ$69))+1,MOD(ROW(A573)-1,COLUMNS('Portfolio Weights Returns'!$B$9:$BJ$69))+1)</f>
        <v>-9.7984043277867514E-4</v>
      </c>
      <c r="B574" cm="1">
        <f t="array" ref="B574">INDEX('Portfolio Weights Std'!$B$9:$BJ$69,INT((ROW(A573)-1)/COLUMNS('Portfolio Weights Std'!$B$9:$BJ$69))+1,MOD(ROW(A573)-1,COLUMNS('Portfolio Weights Std'!$B$9:$BJ$69))+1)</f>
        <v>2.3986565650082812E-2</v>
      </c>
    </row>
    <row r="575" spans="1:2" x14ac:dyDescent="0.25">
      <c r="A575" cm="1">
        <f t="array" ref="A575">INDEX('Portfolio Weights Returns'!$B$9:$BJ$69,
INT((ROW(A574)-1)/COLUMNS('Portfolio Weights Returns'!$B$9:$BJ$69))+1,MOD(ROW(A574)-1,COLUMNS('Portfolio Weights Returns'!$B$9:$BJ$69))+1)</f>
        <v>-9.73059258811996E-4</v>
      </c>
      <c r="B575" cm="1">
        <f t="array" ref="B575">INDEX('Portfolio Weights Std'!$B$9:$BJ$69,INT((ROW(A574)-1)/COLUMNS('Portfolio Weights Std'!$B$9:$BJ$69))+1,MOD(ROW(A574)-1,COLUMNS('Portfolio Weights Std'!$B$9:$BJ$69))+1)</f>
        <v>2.3824634189431412E-2</v>
      </c>
    </row>
    <row r="576" spans="1:2" x14ac:dyDescent="0.25">
      <c r="A576" cm="1">
        <f t="array" ref="A576">INDEX('Portfolio Weights Returns'!$B$9:$BJ$69,
INT((ROW(A575)-1)/COLUMNS('Portfolio Weights Returns'!$B$9:$BJ$69))+1,MOD(ROW(A575)-1,COLUMNS('Portfolio Weights Returns'!$B$9:$BJ$69))+1)</f>
        <v>-9.6627808484531696E-4</v>
      </c>
      <c r="B576" cm="1">
        <f t="array" ref="B576">INDEX('Portfolio Weights Std'!$B$9:$BJ$69,INT((ROW(A575)-1)/COLUMNS('Portfolio Weights Std'!$B$9:$BJ$69))+1,MOD(ROW(A575)-1,COLUMNS('Portfolio Weights Std'!$B$9:$BJ$69))+1)</f>
        <v>2.3663551354170021E-2</v>
      </c>
    </row>
    <row r="577" spans="1:2" x14ac:dyDescent="0.25">
      <c r="A577" cm="1">
        <f t="array" ref="A577">INDEX('Portfolio Weights Returns'!$B$9:$BJ$69,
INT((ROW(A576)-1)/COLUMNS('Portfolio Weights Returns'!$B$9:$BJ$69))+1,MOD(ROW(A576)-1,COLUMNS('Portfolio Weights Returns'!$B$9:$BJ$69))+1)</f>
        <v>-9.5949691087863782E-4</v>
      </c>
      <c r="B577" cm="1">
        <f t="array" ref="B577">INDEX('Portfolio Weights Std'!$B$9:$BJ$69,INT((ROW(A576)-1)/COLUMNS('Portfolio Weights Std'!$B$9:$BJ$69))+1,MOD(ROW(A576)-1,COLUMNS('Portfolio Weights Std'!$B$9:$BJ$69))+1)</f>
        <v>2.3503334592763325E-2</v>
      </c>
    </row>
    <row r="578" spans="1:2" x14ac:dyDescent="0.25">
      <c r="A578" cm="1">
        <f t="array" ref="A578">INDEX('Portfolio Weights Returns'!$B$9:$BJ$69,
INT((ROW(A577)-1)/COLUMNS('Portfolio Weights Returns'!$B$9:$BJ$69))+1,MOD(ROW(A577)-1,COLUMNS('Portfolio Weights Returns'!$B$9:$BJ$69))+1)</f>
        <v>-9.5271573691195878E-4</v>
      </c>
      <c r="B578" cm="1">
        <f t="array" ref="B578">INDEX('Portfolio Weights Std'!$B$9:$BJ$69,INT((ROW(A577)-1)/COLUMNS('Portfolio Weights Std'!$B$9:$BJ$69))+1,MOD(ROW(A577)-1,COLUMNS('Portfolio Weights Std'!$B$9:$BJ$69))+1)</f>
        <v>2.3344001737578213E-2</v>
      </c>
    </row>
    <row r="579" spans="1:2" x14ac:dyDescent="0.25">
      <c r="A579" cm="1">
        <f t="array" ref="A579">INDEX('Portfolio Weights Returns'!$B$9:$BJ$69,
INT((ROW(A578)-1)/COLUMNS('Portfolio Weights Returns'!$B$9:$BJ$69))+1,MOD(ROW(A578)-1,COLUMNS('Portfolio Weights Returns'!$B$9:$BJ$69))+1)</f>
        <v>-9.4593456294527964E-4</v>
      </c>
      <c r="B579" cm="1">
        <f t="array" ref="B579">INDEX('Portfolio Weights Std'!$B$9:$BJ$69,INT((ROW(A578)-1)/COLUMNS('Portfolio Weights Std'!$B$9:$BJ$69))+1,MOD(ROW(A578)-1,COLUMNS('Portfolio Weights Std'!$B$9:$BJ$69))+1)</f>
        <v>2.3185571011416776E-2</v>
      </c>
    </row>
    <row r="580" spans="1:2" x14ac:dyDescent="0.25">
      <c r="A580" cm="1">
        <f t="array" ref="A580">INDEX('Portfolio Weights Returns'!$B$9:$BJ$69,
INT((ROW(A579)-1)/COLUMNS('Portfolio Weights Returns'!$B$9:$BJ$69))+1,MOD(ROW(A579)-1,COLUMNS('Portfolio Weights Returns'!$B$9:$BJ$69))+1)</f>
        <v>-9.391533889786006E-4</v>
      </c>
      <c r="B580" cm="1">
        <f t="array" ref="B580">INDEX('Portfolio Weights Std'!$B$9:$BJ$69,INT((ROW(A579)-1)/COLUMNS('Portfolio Weights Std'!$B$9:$BJ$69))+1,MOD(ROW(A579)-1,COLUMNS('Portfolio Weights Std'!$B$9:$BJ$69))+1)</f>
        <v>2.3028061033955313E-2</v>
      </c>
    </row>
    <row r="581" spans="1:2" x14ac:dyDescent="0.25">
      <c r="A581" cm="1">
        <f t="array" ref="A581">INDEX('Portfolio Weights Returns'!$B$9:$BJ$69,
INT((ROW(A580)-1)/COLUMNS('Portfolio Weights Returns'!$B$9:$BJ$69))+1,MOD(ROW(A580)-1,COLUMNS('Portfolio Weights Returns'!$B$9:$BJ$69))+1)</f>
        <v>-9.3237221501192135E-4</v>
      </c>
      <c r="B581" cm="1">
        <f t="array" ref="B581">INDEX('Portfolio Weights Std'!$B$9:$BJ$69,INT((ROW(A580)-1)/COLUMNS('Portfolio Weights Std'!$B$9:$BJ$69))+1,MOD(ROW(A580)-1,COLUMNS('Portfolio Weights Std'!$B$9:$BJ$69))+1)</f>
        <v>2.2871490828068428E-2</v>
      </c>
    </row>
    <row r="582" spans="1:2" x14ac:dyDescent="0.25">
      <c r="A582" cm="1">
        <f t="array" ref="A582">INDEX('Portfolio Weights Returns'!$B$9:$BJ$69,
INT((ROW(A581)-1)/COLUMNS('Portfolio Weights Returns'!$B$9:$BJ$69))+1,MOD(ROW(A581)-1,COLUMNS('Portfolio Weights Returns'!$B$9:$BJ$69))+1)</f>
        <v>-9.2559104104524231E-4</v>
      </c>
      <c r="B582" cm="1">
        <f t="array" ref="B582">INDEX('Portfolio Weights Std'!$B$9:$BJ$69,INT((ROW(A581)-1)/COLUMNS('Portfolio Weights Std'!$B$9:$BJ$69))+1,MOD(ROW(A581)-1,COLUMNS('Portfolio Weights Std'!$B$9:$BJ$69))+1)</f>
        <v>2.2715879826015795E-2</v>
      </c>
    </row>
    <row r="583" spans="1:2" x14ac:dyDescent="0.25">
      <c r="A583" cm="1">
        <f t="array" ref="A583">INDEX('Portfolio Weights Returns'!$B$9:$BJ$69,
INT((ROW(A582)-1)/COLUMNS('Portfolio Weights Returns'!$B$9:$BJ$69))+1,MOD(ROW(A582)-1,COLUMNS('Portfolio Weights Returns'!$B$9:$BJ$69))+1)</f>
        <v>-9.1880986707856317E-4</v>
      </c>
      <c r="B583" cm="1">
        <f t="array" ref="B583">INDEX('Portfolio Weights Std'!$B$9:$BJ$69,INT((ROW(A582)-1)/COLUMNS('Portfolio Weights Std'!$B$9:$BJ$69))+1,MOD(ROW(A582)-1,COLUMNS('Portfolio Weights Std'!$B$9:$BJ$69))+1)</f>
        <v>2.2561247875467576E-2</v>
      </c>
    </row>
    <row r="584" spans="1:2" x14ac:dyDescent="0.25">
      <c r="A584" cm="1">
        <f t="array" ref="A584">INDEX('Portfolio Weights Returns'!$B$9:$BJ$69,
INT((ROW(A583)-1)/COLUMNS('Portfolio Weights Returns'!$B$9:$BJ$69))+1,MOD(ROW(A583)-1,COLUMNS('Portfolio Weights Returns'!$B$9:$BJ$69))+1)</f>
        <v>-9.1202869311188403E-4</v>
      </c>
      <c r="B584" cm="1">
        <f t="array" ref="B584">INDEX('Portfolio Weights Std'!$B$9:$BJ$69,INT((ROW(A583)-1)/COLUMNS('Portfolio Weights Std'!$B$9:$BJ$69))+1,MOD(ROW(A583)-1,COLUMNS('Portfolio Weights Std'!$B$9:$BJ$69))+1)</f>
        <v>2.2407615245342714E-2</v>
      </c>
    </row>
    <row r="585" spans="1:2" x14ac:dyDescent="0.25">
      <c r="A585" cm="1">
        <f t="array" ref="A585">INDEX('Portfolio Weights Returns'!$B$9:$BJ$69,
INT((ROW(A584)-1)/COLUMNS('Portfolio Weights Returns'!$B$9:$BJ$69))+1,MOD(ROW(A584)-1,COLUMNS('Portfolio Weights Returns'!$B$9:$BJ$69))+1)</f>
        <v>-9.0524751914520499E-4</v>
      </c>
      <c r="B585" cm="1">
        <f t="array" ref="B585">INDEX('Portfolio Weights Std'!$B$9:$BJ$69,INT((ROW(A584)-1)/COLUMNS('Portfolio Weights Std'!$B$9:$BJ$69))+1,MOD(ROW(A584)-1,COLUMNS('Portfolio Weights Std'!$B$9:$BJ$69))+1)</f>
        <v>2.2255002631432472E-2</v>
      </c>
    </row>
    <row r="586" spans="1:2" x14ac:dyDescent="0.25">
      <c r="A586" cm="1">
        <f t="array" ref="A586">INDEX('Portfolio Weights Returns'!$B$9:$BJ$69,
INT((ROW(A585)-1)/COLUMNS('Portfolio Weights Returns'!$B$9:$BJ$69))+1,MOD(ROW(A585)-1,COLUMNS('Portfolio Weights Returns'!$B$9:$BJ$69))+1)</f>
        <v>-8.9846634517852584E-4</v>
      </c>
      <c r="B586" cm="1">
        <f t="array" ref="B586">INDEX('Portfolio Weights Std'!$B$9:$BJ$69,INT((ROW(A585)-1)/COLUMNS('Portfolio Weights Std'!$B$9:$BJ$69))+1,MOD(ROW(A585)-1,COLUMNS('Portfolio Weights Std'!$B$9:$BJ$69))+1)</f>
        <v>2.2103431161779909E-2</v>
      </c>
    </row>
    <row r="587" spans="1:2" x14ac:dyDescent="0.25">
      <c r="A587" cm="1">
        <f t="array" ref="A587">INDEX('Portfolio Weights Returns'!$B$9:$BJ$69,
INT((ROW(A586)-1)/COLUMNS('Portfolio Weights Returns'!$B$9:$BJ$69))+1,MOD(ROW(A586)-1,COLUMNS('Portfolio Weights Returns'!$B$9:$BJ$69))+1)</f>
        <v>-8.9168517121184681E-4</v>
      </c>
      <c r="B587" cm="1">
        <f t="array" ref="B587">INDEX('Portfolio Weights Std'!$B$9:$BJ$69,INT((ROW(A586)-1)/COLUMNS('Portfolio Weights Std'!$B$9:$BJ$69))+1,MOD(ROW(A586)-1,COLUMNS('Portfolio Weights Std'!$B$9:$BJ$69))+1)</f>
        <v>2.1952922401783911E-2</v>
      </c>
    </row>
    <row r="588" spans="1:2" x14ac:dyDescent="0.25">
      <c r="A588" cm="1">
        <f t="array" ref="A588">INDEX('Portfolio Weights Returns'!$B$9:$BJ$69,
INT((ROW(A587)-1)/COLUMNS('Portfolio Weights Returns'!$B$9:$BJ$69))+1,MOD(ROW(A587)-1,COLUMNS('Portfolio Weights Returns'!$B$9:$BJ$69))+1)</f>
        <v>-8.8490399724516756E-4</v>
      </c>
      <c r="B588" cm="1">
        <f t="array" ref="B588">INDEX('Portfolio Weights Std'!$B$9:$BJ$69,INT((ROW(A587)-1)/COLUMNS('Portfolio Weights Std'!$B$9:$BJ$69))+1,MOD(ROW(A587)-1,COLUMNS('Portfolio Weights Std'!$B$9:$BJ$69))+1)</f>
        <v>2.1803498358994467E-2</v>
      </c>
    </row>
    <row r="589" spans="1:2" x14ac:dyDescent="0.25">
      <c r="A589" cm="1">
        <f t="array" ref="A589">INDEX('Portfolio Weights Returns'!$B$9:$BJ$69,
INT((ROW(A588)-1)/COLUMNS('Portfolio Weights Returns'!$B$9:$BJ$69))+1,MOD(ROW(A588)-1,COLUMNS('Portfolio Weights Returns'!$B$9:$BJ$69))+1)</f>
        <v>-8.7812282327848874E-4</v>
      </c>
      <c r="B589" cm="1">
        <f t="array" ref="B589">INDEX('Portfolio Weights Std'!$B$9:$BJ$69,INT((ROW(A588)-1)/COLUMNS('Portfolio Weights Std'!$B$9:$BJ$69))+1,MOD(ROW(A588)-1,COLUMNS('Portfolio Weights Std'!$B$9:$BJ$69))+1)</f>
        <v>2.1655181487563877E-2</v>
      </c>
    </row>
    <row r="590" spans="1:2" x14ac:dyDescent="0.25">
      <c r="A590" cm="1">
        <f t="array" ref="A590">INDEX('Portfolio Weights Returns'!$B$9:$BJ$69,
INT((ROW(A589)-1)/COLUMNS('Portfolio Weights Returns'!$B$9:$BJ$69))+1,MOD(ROW(A589)-1,COLUMNS('Portfolio Weights Returns'!$B$9:$BJ$69))+1)</f>
        <v>-8.7134164931180959E-4</v>
      </c>
      <c r="B590" cm="1">
        <f t="array" ref="B590">INDEX('Portfolio Weights Std'!$B$9:$BJ$69,INT((ROW(A589)-1)/COLUMNS('Portfolio Weights Std'!$B$9:$BJ$69))+1,MOD(ROW(A589)-1,COLUMNS('Portfolio Weights Std'!$B$9:$BJ$69))+1)</f>
        <v>2.150799469231638E-2</v>
      </c>
    </row>
    <row r="591" spans="1:2" x14ac:dyDescent="0.25">
      <c r="A591" cm="1">
        <f t="array" ref="A591">INDEX('Portfolio Weights Returns'!$B$9:$BJ$69,
INT((ROW(A590)-1)/COLUMNS('Portfolio Weights Returns'!$B$9:$BJ$69))+1,MOD(ROW(A590)-1,COLUMNS('Portfolio Weights Returns'!$B$9:$BJ$69))+1)</f>
        <v>-8.6456047534513056E-4</v>
      </c>
      <c r="B591" cm="1">
        <f t="array" ref="B591">INDEX('Portfolio Weights Std'!$B$9:$BJ$69,INT((ROW(A590)-1)/COLUMNS('Portfolio Weights Std'!$B$9:$BJ$69))+1,MOD(ROW(A590)-1,COLUMNS('Portfolio Weights Std'!$B$9:$BJ$69))+1)</f>
        <v>2.1361961332396803E-2</v>
      </c>
    </row>
    <row r="592" spans="1:2" x14ac:dyDescent="0.25">
      <c r="A592" cm="1">
        <f t="array" ref="A592">INDEX('Portfolio Weights Returns'!$B$9:$BJ$69,
INT((ROW(A591)-1)/COLUMNS('Portfolio Weights Returns'!$B$9:$BJ$69))+1,MOD(ROW(A591)-1,COLUMNS('Portfolio Weights Returns'!$B$9:$BJ$69))+1)</f>
        <v>-8.577793013784513E-4</v>
      </c>
      <c r="B592" cm="1">
        <f t="array" ref="B592">INDEX('Portfolio Weights Std'!$B$9:$BJ$69,INT((ROW(A591)-1)/COLUMNS('Portfolio Weights Std'!$B$9:$BJ$69))+1,MOD(ROW(A591)-1,COLUMNS('Portfolio Weights Std'!$B$9:$BJ$69))+1)</f>
        <v>2.1217105224456249E-2</v>
      </c>
    </row>
    <row r="593" spans="1:2" x14ac:dyDescent="0.25">
      <c r="A593" cm="1">
        <f t="array" ref="A593">INDEX('Portfolio Weights Returns'!$B$9:$BJ$69,
INT((ROW(A592)-1)/COLUMNS('Portfolio Weights Returns'!$B$9:$BJ$69))+1,MOD(ROW(A592)-1,COLUMNS('Portfolio Weights Returns'!$B$9:$BJ$69))+1)</f>
        <v>-8.5099812741177216E-4</v>
      </c>
      <c r="B593" cm="1">
        <f t="array" ref="B593">INDEX('Portfolio Weights Std'!$B$9:$BJ$69,INT((ROW(A592)-1)/COLUMNS('Portfolio Weights Std'!$B$9:$BJ$69))+1,MOD(ROW(A592)-1,COLUMNS('Portfolio Weights Std'!$B$9:$BJ$69))+1)</f>
        <v>2.1073450645331129E-2</v>
      </c>
    </row>
    <row r="594" spans="1:2" x14ac:dyDescent="0.25">
      <c r="A594" cm="1">
        <f t="array" ref="A594">INDEX('Portfolio Weights Returns'!$B$9:$BJ$69,
INT((ROW(A593)-1)/COLUMNS('Portfolio Weights Returns'!$B$9:$BJ$69))+1,MOD(ROW(A593)-1,COLUMNS('Portfolio Weights Returns'!$B$9:$BJ$69))+1)</f>
        <v>-8.4421695344509312E-4</v>
      </c>
      <c r="B594" cm="1">
        <f t="array" ref="B594">INDEX('Portfolio Weights Std'!$B$9:$BJ$69,INT((ROW(A593)-1)/COLUMNS('Portfolio Weights Std'!$B$9:$BJ$69))+1,MOD(ROW(A593)-1,COLUMNS('Portfolio Weights Std'!$B$9:$BJ$69))+1)</f>
        <v>2.0931022334169234E-2</v>
      </c>
    </row>
    <row r="595" spans="1:2" x14ac:dyDescent="0.25">
      <c r="A595" cm="1">
        <f t="array" ref="A595">INDEX('Portfolio Weights Returns'!$B$9:$BJ$69,
INT((ROW(A594)-1)/COLUMNS('Portfolio Weights Returns'!$B$9:$BJ$69))+1,MOD(ROW(A594)-1,COLUMNS('Portfolio Weights Returns'!$B$9:$BJ$69))+1)</f>
        <v>-8.3743577947841398E-4</v>
      </c>
      <c r="B595" cm="1">
        <f t="array" ref="B595">INDEX('Portfolio Weights Std'!$B$9:$BJ$69,INT((ROW(A594)-1)/COLUMNS('Portfolio Weights Std'!$B$9:$BJ$69))+1,MOD(ROW(A594)-1,COLUMNS('Portfolio Weights Std'!$B$9:$BJ$69))+1)</f>
        <v>2.0789845493954528E-2</v>
      </c>
    </row>
    <row r="596" spans="1:2" x14ac:dyDescent="0.25">
      <c r="A596" cm="1">
        <f t="array" ref="A596">INDEX('Portfolio Weights Returns'!$B$9:$BJ$69,
INT((ROW(A595)-1)/COLUMNS('Portfolio Weights Returns'!$B$9:$BJ$69))+1,MOD(ROW(A595)-1,COLUMNS('Portfolio Weights Returns'!$B$9:$BJ$69))+1)</f>
        <v>-8.3065460551173494E-4</v>
      </c>
      <c r="B596" cm="1">
        <f t="array" ref="B596">INDEX('Portfolio Weights Std'!$B$9:$BJ$69,INT((ROW(A595)-1)/COLUMNS('Portfolio Weights Std'!$B$9:$BJ$69))+1,MOD(ROW(A595)-1,COLUMNS('Portfolio Weights Std'!$B$9:$BJ$69))+1)</f>
        <v>2.0649945792380126E-2</v>
      </c>
    </row>
    <row r="597" spans="1:2" x14ac:dyDescent="0.25">
      <c r="A597" cm="1">
        <f t="array" ref="A597">INDEX('Portfolio Weights Returns'!$B$9:$BJ$69,
INT((ROW(A596)-1)/COLUMNS('Portfolio Weights Returns'!$B$9:$BJ$69))+1,MOD(ROW(A596)-1,COLUMNS('Portfolio Weights Returns'!$B$9:$BJ$69))+1)</f>
        <v>-8.238734315450558E-4</v>
      </c>
      <c r="B597" cm="1">
        <f t="array" ref="B597">INDEX('Portfolio Weights Std'!$B$9:$BJ$69,INT((ROW(A596)-1)/COLUMNS('Portfolio Weights Std'!$B$9:$BJ$69))+1,MOD(ROW(A596)-1,COLUMNS('Portfolio Weights Std'!$B$9:$BJ$69))+1)</f>
        <v>2.051134936201662E-2</v>
      </c>
    </row>
    <row r="598" spans="1:2" x14ac:dyDescent="0.25">
      <c r="A598" cm="1">
        <f t="array" ref="A598">INDEX('Portfolio Weights Returns'!$B$9:$BJ$69,
INT((ROW(A597)-1)/COLUMNS('Portfolio Weights Returns'!$B$9:$BJ$69))+1,MOD(ROW(A597)-1,COLUMNS('Portfolio Weights Returns'!$B$9:$BJ$69))+1)</f>
        <v>-8.1709225757837676E-4</v>
      </c>
      <c r="B598" cm="1">
        <f t="array" ref="B598">INDEX('Portfolio Weights Std'!$B$9:$BJ$69,INT((ROW(A597)-1)/COLUMNS('Portfolio Weights Std'!$B$9:$BJ$69))+1,MOD(ROW(A597)-1,COLUMNS('Portfolio Weights Std'!$B$9:$BJ$69))+1)</f>
        <v>2.0374082799721013E-2</v>
      </c>
    </row>
    <row r="599" spans="1:2" x14ac:dyDescent="0.25">
      <c r="A599" cm="1">
        <f t="array" ref="A599">INDEX('Portfolio Weights Returns'!$B$9:$BJ$69,
INT((ROW(A598)-1)/COLUMNS('Portfolio Weights Returns'!$B$9:$BJ$69))+1,MOD(ROW(A598)-1,COLUMNS('Portfolio Weights Returns'!$B$9:$BJ$69))+1)</f>
        <v>-8.1031108361169751E-4</v>
      </c>
      <c r="B599" cm="1">
        <f t="array" ref="B599">INDEX('Portfolio Weights Std'!$B$9:$BJ$69,INT((ROW(A598)-1)/COLUMNS('Portfolio Weights Std'!$B$9:$BJ$69))+1,MOD(ROW(A598)-1,COLUMNS('Portfolio Weights Std'!$B$9:$BJ$69))+1)</f>
        <v>2.0238173165229155E-2</v>
      </c>
    </row>
    <row r="600" spans="1:2" x14ac:dyDescent="0.25">
      <c r="A600" cm="1">
        <f t="array" ref="A600">INDEX('Portfolio Weights Returns'!$B$9:$BJ$69,
INT((ROW(A599)-1)/COLUMNS('Portfolio Weights Returns'!$B$9:$BJ$69))+1,MOD(ROW(A599)-1,COLUMNS('Portfolio Weights Returns'!$B$9:$BJ$69))+1)</f>
        <v>-8.0352990964501847E-4</v>
      </c>
      <c r="B600" cm="1">
        <f t="array" ref="B600">INDEX('Portfolio Weights Std'!$B$9:$BJ$69,INT((ROW(A599)-1)/COLUMNS('Portfolio Weights Std'!$B$9:$BJ$69))+1,MOD(ROW(A599)-1,COLUMNS('Portfolio Weights Std'!$B$9:$BJ$69))+1)</f>
        <v>2.0103647978872922E-2</v>
      </c>
    </row>
    <row r="601" spans="1:2" x14ac:dyDescent="0.25">
      <c r="A601" cm="1">
        <f t="array" ref="A601">INDEX('Portfolio Weights Returns'!$B$9:$BJ$69,
INT((ROW(A600)-1)/COLUMNS('Portfolio Weights Returns'!$B$9:$BJ$69))+1,MOD(ROW(A600)-1,COLUMNS('Portfolio Weights Returns'!$B$9:$BJ$69))+1)</f>
        <v>-7.9674873567833933E-4</v>
      </c>
      <c r="B601" cm="1">
        <f t="array" ref="B601">INDEX('Portfolio Weights Std'!$B$9:$BJ$69,INT((ROW(A600)-1)/COLUMNS('Portfolio Weights Std'!$B$9:$BJ$69))+1,MOD(ROW(A600)-1,COLUMNS('Portfolio Weights Std'!$B$9:$BJ$69))+1)</f>
        <v>1.9970535218361257E-2</v>
      </c>
    </row>
    <row r="602" spans="1:2" x14ac:dyDescent="0.25">
      <c r="A602" cm="1">
        <f t="array" ref="A602">INDEX('Portfolio Weights Returns'!$B$9:$BJ$69,
INT((ROW(A601)-1)/COLUMNS('Portfolio Weights Returns'!$B$9:$BJ$69))+1,MOD(ROW(A601)-1,COLUMNS('Portfolio Weights Returns'!$B$9:$BJ$69))+1)</f>
        <v>-7.8996756171166018E-4</v>
      </c>
      <c r="B602" cm="1">
        <f t="array" ref="B602">INDEX('Portfolio Weights Std'!$B$9:$BJ$69,INT((ROW(A601)-1)/COLUMNS('Portfolio Weights Std'!$B$9:$BJ$69))+1,MOD(ROW(A601)-1,COLUMNS('Portfolio Weights Std'!$B$9:$BJ$69))+1)</f>
        <v>1.9838863314562631E-2</v>
      </c>
    </row>
    <row r="603" spans="1:2" x14ac:dyDescent="0.25">
      <c r="A603" cm="1">
        <f t="array" ref="A603">INDEX('Portfolio Weights Returns'!$B$9:$BJ$69,
INT((ROW(A602)-1)/COLUMNS('Portfolio Weights Returns'!$B$9:$BJ$69))+1,MOD(ROW(A602)-1,COLUMNS('Portfolio Weights Returns'!$B$9:$BJ$69))+1)</f>
        <v>-7.8318638774498115E-4</v>
      </c>
      <c r="B603" cm="1">
        <f t="array" ref="B603">INDEX('Portfolio Weights Std'!$B$9:$BJ$69,INT((ROW(A602)-1)/COLUMNS('Portfolio Weights Std'!$B$9:$BJ$69))+1,MOD(ROW(A602)-1,COLUMNS('Portfolio Weights Std'!$B$9:$BJ$69))+1)</f>
        <v>1.9708661146224941E-2</v>
      </c>
    </row>
    <row r="604" spans="1:2" x14ac:dyDescent="0.25">
      <c r="A604" cm="1">
        <f t="array" ref="A604">INDEX('Portfolio Weights Returns'!$B$9:$BJ$69,
INT((ROW(A603)-1)/COLUMNS('Portfolio Weights Returns'!$B$9:$BJ$69))+1,MOD(ROW(A603)-1,COLUMNS('Portfolio Weights Returns'!$B$9:$BJ$69))+1)</f>
        <v>-7.76405213778302E-4</v>
      </c>
      <c r="B604" cm="1">
        <f t="array" ref="B604">INDEX('Portfolio Weights Std'!$B$9:$BJ$69,INT((ROW(A603)-1)/COLUMNS('Portfolio Weights Std'!$B$9:$BJ$69))+1,MOD(ROW(A603)-1,COLUMNS('Portfolio Weights Std'!$B$9:$BJ$69))+1)</f>
        <v>1.957995803356739E-2</v>
      </c>
    </row>
    <row r="605" spans="1:2" x14ac:dyDescent="0.25">
      <c r="A605" cm="1">
        <f t="array" ref="A605">INDEX('Portfolio Weights Returns'!$B$9:$BJ$69,
INT((ROW(A604)-1)/COLUMNS('Portfolio Weights Returns'!$B$9:$BJ$69))+1,MOD(ROW(A604)-1,COLUMNS('Portfolio Weights Returns'!$B$9:$BJ$69))+1)</f>
        <v>-7.6962403981162297E-4</v>
      </c>
      <c r="B605" cm="1">
        <f t="array" ref="B605">INDEX('Portfolio Weights Std'!$B$9:$BJ$69,INT((ROW(A604)-1)/COLUMNS('Portfolio Weights Std'!$B$9:$BJ$69))+1,MOD(ROW(A604)-1,COLUMNS('Portfolio Weights Std'!$B$9:$BJ$69))+1)</f>
        <v>1.9452783730677978E-2</v>
      </c>
    </row>
    <row r="606" spans="1:2" x14ac:dyDescent="0.25">
      <c r="A606" cm="1">
        <f t="array" ref="A606">INDEX('Portfolio Weights Returns'!$B$9:$BJ$69,
INT((ROW(A605)-1)/COLUMNS('Portfolio Weights Returns'!$B$9:$BJ$69))+1,MOD(ROW(A605)-1,COLUMNS('Portfolio Weights Returns'!$B$9:$BJ$69))+1)</f>
        <v>-7.6284286584494372E-4</v>
      </c>
      <c r="B606" cm="1">
        <f t="array" ref="B606">INDEX('Portfolio Weights Std'!$B$9:$BJ$69,INT((ROW(A605)-1)/COLUMNS('Portfolio Weights Std'!$B$9:$BJ$69))+1,MOD(ROW(A605)-1,COLUMNS('Portfolio Weights Std'!$B$9:$BJ$69))+1)</f>
        <v>1.9327168416649276E-2</v>
      </c>
    </row>
    <row r="607" spans="1:2" x14ac:dyDescent="0.25">
      <c r="A607" cm="1">
        <f t="array" ref="A607">INDEX('Portfolio Weights Returns'!$B$9:$BJ$69,
INT((ROW(A606)-1)/COLUMNS('Portfolio Weights Returns'!$B$9:$BJ$69))+1,MOD(ROW(A606)-1,COLUMNS('Portfolio Weights Returns'!$B$9:$BJ$69))+1)</f>
        <v>-7.5606169187826468E-4</v>
      </c>
      <c r="B607" cm="1">
        <f t="array" ref="B607">INDEX('Portfolio Weights Std'!$B$9:$BJ$69,INT((ROW(A606)-1)/COLUMNS('Portfolio Weights Std'!$B$9:$BJ$69))+1,MOD(ROW(A606)-1,COLUMNS('Portfolio Weights Std'!$B$9:$BJ$69))+1)</f>
        <v>1.9203142685384773E-2</v>
      </c>
    </row>
    <row r="608" spans="1:2" x14ac:dyDescent="0.25">
      <c r="A608" cm="1">
        <f t="array" ref="A608">INDEX('Portfolio Weights Returns'!$B$9:$BJ$69,
INT((ROW(A607)-1)/COLUMNS('Portfolio Weights Returns'!$B$9:$BJ$69))+1,MOD(ROW(A607)-1,COLUMNS('Portfolio Weights Returns'!$B$9:$BJ$69))+1)</f>
        <v>-7.4928051791158488E-4</v>
      </c>
      <c r="B608" cm="1">
        <f t="array" ref="B608">INDEX('Portfolio Weights Std'!$B$9:$BJ$69,INT((ROW(A607)-1)/COLUMNS('Portfolio Weights Std'!$B$9:$BJ$69))+1,MOD(ROW(A607)-1,COLUMNS('Portfolio Weights Std'!$B$9:$BJ$69))+1)</f>
        <v>1.9080737534007786E-2</v>
      </c>
    </row>
    <row r="609" spans="1:2" x14ac:dyDescent="0.25">
      <c r="A609" cm="1">
        <f t="array" ref="A609">INDEX('Portfolio Weights Returns'!$B$9:$BJ$69,
INT((ROW(A608)-1)/COLUMNS('Portfolio Weights Returns'!$B$9:$BJ$69))+1,MOD(ROW(A608)-1,COLUMNS('Portfolio Weights Returns'!$B$9:$BJ$69))+1)</f>
        <v>-7.4249934394490585E-4</v>
      </c>
      <c r="B609" cm="1">
        <f t="array" ref="B609">INDEX('Portfolio Weights Std'!$B$9:$BJ$69,INT((ROW(A608)-1)/COLUMNS('Portfolio Weights Std'!$B$9:$BJ$69))+1,MOD(ROW(A608)-1,COLUMNS('Portfolio Weights Std'!$B$9:$BJ$69))+1)</f>
        <v>1.895998434980543E-2</v>
      </c>
    </row>
    <row r="610" spans="1:2" x14ac:dyDescent="0.25">
      <c r="A610" cm="1">
        <f t="array" ref="A610">INDEX('Portfolio Weights Returns'!$B$9:$BJ$69,
INT((ROW(A609)-1)/COLUMNS('Portfolio Weights Returns'!$B$9:$BJ$69))+1,MOD(ROW(A609)-1,COLUMNS('Portfolio Weights Returns'!$B$9:$BJ$69))+1)</f>
        <v>-7.357181699782267E-4</v>
      </c>
      <c r="B610" cm="1">
        <f t="array" ref="B610">INDEX('Portfolio Weights Std'!$B$9:$BJ$69,INT((ROW(A609)-1)/COLUMNS('Portfolio Weights Std'!$B$9:$BJ$69))+1,MOD(ROW(A609)-1,COLUMNS('Portfolio Weights Std'!$B$9:$BJ$69))+1)</f>
        <v>1.8840914895640447E-2</v>
      </c>
    </row>
    <row r="611" spans="1:2" x14ac:dyDescent="0.25">
      <c r="A611" cm="1">
        <f t="array" ref="A611">INDEX('Portfolio Weights Returns'!$B$9:$BJ$69,
INT((ROW(A610)-1)/COLUMNS('Portfolio Weights Returns'!$B$9:$BJ$69))+1,MOD(ROW(A610)-1,COLUMNS('Portfolio Weights Returns'!$B$9:$BJ$69))+1)</f>
        <v>-7.2893699601154767E-4</v>
      </c>
      <c r="B611" cm="1">
        <f t="array" ref="B611">INDEX('Portfolio Weights Std'!$B$9:$BJ$69,INT((ROW(A610)-1)/COLUMNS('Portfolio Weights Std'!$B$9:$BJ$69))+1,MOD(ROW(A610)-1,COLUMNS('Portfolio Weights Std'!$B$9:$BJ$69))+1)</f>
        <v>1.8723561293765435E-2</v>
      </c>
    </row>
    <row r="612" spans="1:2" x14ac:dyDescent="0.25">
      <c r="A612" cm="1">
        <f t="array" ref="A612">INDEX('Portfolio Weights Returns'!$B$9:$BJ$69,
INT((ROW(A611)-1)/COLUMNS('Portfolio Weights Returns'!$B$9:$BJ$69))+1,MOD(ROW(A611)-1,COLUMNS('Portfolio Weights Returns'!$B$9:$BJ$69))+1)</f>
        <v>-1.1292332261668395E-3</v>
      </c>
      <c r="B612" cm="1">
        <f t="array" ref="B612">INDEX('Portfolio Weights Std'!$B$9:$BJ$69,INT((ROW(A611)-1)/COLUMNS('Portfolio Weights Std'!$B$9:$BJ$69))+1,MOD(ROW(A611)-1,COLUMNS('Portfolio Weights Std'!$B$9:$BJ$69))+1)</f>
        <v>2.7682835351930564E-2</v>
      </c>
    </row>
    <row r="613" spans="1:2" x14ac:dyDescent="0.25">
      <c r="A613" cm="1">
        <f t="array" ref="A613">INDEX('Portfolio Weights Returns'!$B$9:$BJ$69,
INT((ROW(A612)-1)/COLUMNS('Portfolio Weights Returns'!$B$9:$BJ$69))+1,MOD(ROW(A612)-1,COLUMNS('Portfolio Weights Returns'!$B$9:$BJ$69))+1)</f>
        <v>-1.1224520522001603E-3</v>
      </c>
      <c r="B613" cm="1">
        <f t="array" ref="B613">INDEX('Portfolio Weights Std'!$B$9:$BJ$69,INT((ROW(A612)-1)/COLUMNS('Portfolio Weights Std'!$B$9:$BJ$69))+1,MOD(ROW(A612)-1,COLUMNS('Portfolio Weights Std'!$B$9:$BJ$69))+1)</f>
        <v>2.7505335657989106E-2</v>
      </c>
    </row>
    <row r="614" spans="1:2" x14ac:dyDescent="0.25">
      <c r="A614" cm="1">
        <f t="array" ref="A614">INDEX('Portfolio Weights Returns'!$B$9:$BJ$69,
INT((ROW(A613)-1)/COLUMNS('Portfolio Weights Returns'!$B$9:$BJ$69))+1,MOD(ROW(A613)-1,COLUMNS('Portfolio Weights Returns'!$B$9:$BJ$69))+1)</f>
        <v>-1.1156708782334812E-3</v>
      </c>
      <c r="B614" cm="1">
        <f t="array" ref="B614">INDEX('Portfolio Weights Std'!$B$9:$BJ$69,INT((ROW(A613)-1)/COLUMNS('Portfolio Weights Std'!$B$9:$BJ$69))+1,MOD(ROW(A613)-1,COLUMNS('Portfolio Weights Std'!$B$9:$BJ$69))+1)</f>
        <v>2.7328377413449255E-2</v>
      </c>
    </row>
    <row r="615" spans="1:2" x14ac:dyDescent="0.25">
      <c r="A615" cm="1">
        <f t="array" ref="A615">INDEX('Portfolio Weights Returns'!$B$9:$BJ$69,
INT((ROW(A614)-1)/COLUMNS('Portfolio Weights Returns'!$B$9:$BJ$69))+1,MOD(ROW(A614)-1,COLUMNS('Portfolio Weights Returns'!$B$9:$BJ$69))+1)</f>
        <v>-1.108889704266802E-3</v>
      </c>
      <c r="B615" cm="1">
        <f t="array" ref="B615">INDEX('Portfolio Weights Std'!$B$9:$BJ$69,INT((ROW(A614)-1)/COLUMNS('Portfolio Weights Std'!$B$9:$BJ$69))+1,MOD(ROW(A614)-1,COLUMNS('Portfolio Weights Std'!$B$9:$BJ$69))+1)</f>
        <v>2.7151971204719662E-2</v>
      </c>
    </row>
    <row r="616" spans="1:2" x14ac:dyDescent="0.25">
      <c r="A616" cm="1">
        <f t="array" ref="A616">INDEX('Portfolio Weights Returns'!$B$9:$BJ$69,
INT((ROW(A615)-1)/COLUMNS('Portfolio Weights Returns'!$B$9:$BJ$69))+1,MOD(ROW(A615)-1,COLUMNS('Portfolio Weights Returns'!$B$9:$BJ$69))+1)</f>
        <v>-1.1021085303001229E-3</v>
      </c>
      <c r="B616" cm="1">
        <f t="array" ref="B616">INDEX('Portfolio Weights Std'!$B$9:$BJ$69,INT((ROW(A615)-1)/COLUMNS('Portfolio Weights Std'!$B$9:$BJ$69))+1,MOD(ROW(A615)-1,COLUMNS('Portfolio Weights Std'!$B$9:$BJ$69))+1)</f>
        <v>2.6976127861660464E-2</v>
      </c>
    </row>
    <row r="617" spans="1:2" x14ac:dyDescent="0.25">
      <c r="A617" cm="1">
        <f t="array" ref="A617">INDEX('Portfolio Weights Returns'!$B$9:$BJ$69,
INT((ROW(A616)-1)/COLUMNS('Portfolio Weights Returns'!$B$9:$BJ$69))+1,MOD(ROW(A616)-1,COLUMNS('Portfolio Weights Returns'!$B$9:$BJ$69))+1)</f>
        <v>-1.095327356333444E-3</v>
      </c>
      <c r="B617" cm="1">
        <f t="array" ref="B617">INDEX('Portfolio Weights Std'!$B$9:$BJ$69,INT((ROW(A616)-1)/COLUMNS('Portfolio Weights Std'!$B$9:$BJ$69))+1,MOD(ROW(A616)-1,COLUMNS('Portfolio Weights Std'!$B$9:$BJ$69))+1)</f>
        <v>2.680085846334233E-2</v>
      </c>
    </row>
    <row r="618" spans="1:2" x14ac:dyDescent="0.25">
      <c r="A618" cm="1">
        <f t="array" ref="A618">INDEX('Portfolio Weights Returns'!$B$9:$BJ$69,
INT((ROW(A617)-1)/COLUMNS('Portfolio Weights Returns'!$B$9:$BJ$69))+1,MOD(ROW(A617)-1,COLUMNS('Portfolio Weights Returns'!$B$9:$BJ$69))+1)</f>
        <v>-1.0885461823667648E-3</v>
      </c>
      <c r="B618" cm="1">
        <f t="array" ref="B618">INDEX('Portfolio Weights Std'!$B$9:$BJ$69,INT((ROW(A617)-1)/COLUMNS('Portfolio Weights Std'!$B$9:$BJ$69))+1,MOD(ROW(A617)-1,COLUMNS('Portfolio Weights Std'!$B$9:$BJ$69))+1)</f>
        <v>2.6626174343909945E-2</v>
      </c>
    </row>
    <row r="619" spans="1:2" x14ac:dyDescent="0.25">
      <c r="A619" cm="1">
        <f t="array" ref="A619">INDEX('Portfolio Weights Returns'!$B$9:$BJ$69,
INT((ROW(A618)-1)/COLUMNS('Portfolio Weights Returns'!$B$9:$BJ$69))+1,MOD(ROW(A618)-1,COLUMNS('Portfolio Weights Returns'!$B$9:$BJ$69))+1)</f>
        <v>-1.0817650084000855E-3</v>
      </c>
      <c r="B619" cm="1">
        <f t="array" ref="B619">INDEX('Portfolio Weights Std'!$B$9:$BJ$69,INT((ROW(A618)-1)/COLUMNS('Portfolio Weights Std'!$B$9:$BJ$69))+1,MOD(ROW(A618)-1,COLUMNS('Portfolio Weights Std'!$B$9:$BJ$69))+1)</f>
        <v>2.6452087098548467E-2</v>
      </c>
    </row>
    <row r="620" spans="1:2" x14ac:dyDescent="0.25">
      <c r="A620" cm="1">
        <f t="array" ref="A620">INDEX('Portfolio Weights Returns'!$B$9:$BJ$69,
INT((ROW(A619)-1)/COLUMNS('Portfolio Weights Returns'!$B$9:$BJ$69))+1,MOD(ROW(A619)-1,COLUMNS('Portfolio Weights Returns'!$B$9:$BJ$69))+1)</f>
        <v>-1.0749838344334063E-3</v>
      </c>
      <c r="B620" cm="1">
        <f t="array" ref="B620">INDEX('Portfolio Weights Std'!$B$9:$BJ$69,INT((ROW(A619)-1)/COLUMNS('Portfolio Weights Std'!$B$9:$BJ$69))+1,MOD(ROW(A619)-1,COLUMNS('Portfolio Weights Std'!$B$9:$BJ$69))+1)</f>
        <v>2.6278608589551049E-2</v>
      </c>
    </row>
    <row r="621" spans="1:2" x14ac:dyDescent="0.25">
      <c r="A621" cm="1">
        <f t="array" ref="A621">INDEX('Portfolio Weights Returns'!$B$9:$BJ$69,
INT((ROW(A620)-1)/COLUMNS('Portfolio Weights Returns'!$B$9:$BJ$69))+1,MOD(ROW(A620)-1,COLUMNS('Portfolio Weights Returns'!$B$9:$BJ$69))+1)</f>
        <v>-1.0682026604667272E-3</v>
      </c>
      <c r="B621" cm="1">
        <f t="array" ref="B621">INDEX('Portfolio Weights Std'!$B$9:$BJ$69,INT((ROW(A620)-1)/COLUMNS('Portfolio Weights Std'!$B$9:$BJ$69))+1,MOD(ROW(A620)-1,COLUMNS('Portfolio Weights Std'!$B$9:$BJ$69))+1)</f>
        <v>2.6105750952485237E-2</v>
      </c>
    </row>
    <row r="622" spans="1:2" x14ac:dyDescent="0.25">
      <c r="A622" cm="1">
        <f t="array" ref="A622">INDEX('Portfolio Weights Returns'!$B$9:$BJ$69,
INT((ROW(A621)-1)/COLUMNS('Portfolio Weights Returns'!$B$9:$BJ$69))+1,MOD(ROW(A621)-1,COLUMNS('Portfolio Weights Returns'!$B$9:$BJ$69))+1)</f>
        <v>-1.0614214865000483E-3</v>
      </c>
      <c r="B622" cm="1">
        <f t="array" ref="B622">INDEX('Portfolio Weights Std'!$B$9:$BJ$69,INT((ROW(A621)-1)/COLUMNS('Portfolio Weights Std'!$B$9:$BJ$69))+1,MOD(ROW(A621)-1,COLUMNS('Portfolio Weights Std'!$B$9:$BJ$69))+1)</f>
        <v>2.5933526602455514E-2</v>
      </c>
    </row>
    <row r="623" spans="1:2" x14ac:dyDescent="0.25">
      <c r="A623" cm="1">
        <f t="array" ref="A623">INDEX('Portfolio Weights Returns'!$B$9:$BJ$69,
INT((ROW(A622)-1)/COLUMNS('Portfolio Weights Returns'!$B$9:$BJ$69))+1,MOD(ROW(A622)-1,COLUMNS('Portfolio Weights Returns'!$B$9:$BJ$69))+1)</f>
        <v>-1.0546403125333691E-3</v>
      </c>
      <c r="B623" cm="1">
        <f t="array" ref="B623">INDEX('Portfolio Weights Std'!$B$9:$BJ$69,INT((ROW(A622)-1)/COLUMNS('Portfolio Weights Std'!$B$9:$BJ$69))+1,MOD(ROW(A622)-1,COLUMNS('Portfolio Weights Std'!$B$9:$BJ$69))+1)</f>
        <v>2.5761948240458788E-2</v>
      </c>
    </row>
    <row r="624" spans="1:2" x14ac:dyDescent="0.25">
      <c r="A624" cm="1">
        <f t="array" ref="A624">INDEX('Portfolio Weights Returns'!$B$9:$BJ$69,
INT((ROW(A623)-1)/COLUMNS('Portfolio Weights Returns'!$B$9:$BJ$69))+1,MOD(ROW(A623)-1,COLUMNS('Portfolio Weights Returns'!$B$9:$BJ$69))+1)</f>
        <v>-1.04785913856669E-3</v>
      </c>
      <c r="B624" cm="1">
        <f t="array" ref="B624">INDEX('Portfolio Weights Std'!$B$9:$BJ$69,INT((ROW(A623)-1)/COLUMNS('Portfolio Weights Std'!$B$9:$BJ$69))+1,MOD(ROW(A623)-1,COLUMNS('Portfolio Weights Std'!$B$9:$BJ$69))+1)</f>
        <v>2.5591028859829244E-2</v>
      </c>
    </row>
    <row r="625" spans="1:2" x14ac:dyDescent="0.25">
      <c r="A625" cm="1">
        <f t="array" ref="A625">INDEX('Portfolio Weights Returns'!$B$9:$BJ$69,
INT((ROW(A624)-1)/COLUMNS('Portfolio Weights Returns'!$B$9:$BJ$69))+1,MOD(ROW(A624)-1,COLUMNS('Portfolio Weights Returns'!$B$9:$BJ$69))+1)</f>
        <v>-1.0410779646000108E-3</v>
      </c>
      <c r="B625" cm="1">
        <f t="array" ref="B625">INDEX('Portfolio Weights Std'!$B$9:$BJ$69,INT((ROW(A624)-1)/COLUMNS('Portfolio Weights Std'!$B$9:$BJ$69))+1,MOD(ROW(A624)-1,COLUMNS('Portfolio Weights Std'!$B$9:$BJ$69))+1)</f>
        <v>2.5420781752768244E-2</v>
      </c>
    </row>
    <row r="626" spans="1:2" x14ac:dyDescent="0.25">
      <c r="A626" cm="1">
        <f t="array" ref="A626">INDEX('Portfolio Weights Returns'!$B$9:$BJ$69,
INT((ROW(A625)-1)/COLUMNS('Portfolio Weights Returns'!$B$9:$BJ$69))+1,MOD(ROW(A625)-1,COLUMNS('Portfolio Weights Returns'!$B$9:$BJ$69))+1)</f>
        <v>-1.0342967906333319E-3</v>
      </c>
      <c r="B626" cm="1">
        <f t="array" ref="B626">INDEX('Portfolio Weights Std'!$B$9:$BJ$69,INT((ROW(A625)-1)/COLUMNS('Portfolio Weights Std'!$B$9:$BJ$69))+1,MOD(ROW(A625)-1,COLUMNS('Portfolio Weights Std'!$B$9:$BJ$69))+1)</f>
        <v>2.5251220516954467E-2</v>
      </c>
    </row>
    <row r="627" spans="1:2" x14ac:dyDescent="0.25">
      <c r="A627" cm="1">
        <f t="array" ref="A627">INDEX('Portfolio Weights Returns'!$B$9:$BJ$69,
INT((ROW(A626)-1)/COLUMNS('Portfolio Weights Returns'!$B$9:$BJ$69))+1,MOD(ROW(A626)-1,COLUMNS('Portfolio Weights Returns'!$B$9:$BJ$69))+1)</f>
        <v>-1.0275156166666528E-3</v>
      </c>
      <c r="B627" cm="1">
        <f t="array" ref="B627">INDEX('Portfolio Weights Std'!$B$9:$BJ$69,INT((ROW(A626)-1)/COLUMNS('Portfolio Weights Std'!$B$9:$BJ$69))+1,MOD(ROW(A626)-1,COLUMNS('Portfolio Weights Std'!$B$9:$BJ$69))+1)</f>
        <v>2.5082359062228891E-2</v>
      </c>
    </row>
    <row r="628" spans="1:2" x14ac:dyDescent="0.25">
      <c r="A628" cm="1">
        <f t="array" ref="A628">INDEX('Portfolio Weights Returns'!$B$9:$BJ$69,
INT((ROW(A627)-1)/COLUMNS('Portfolio Weights Returns'!$B$9:$BJ$69))+1,MOD(ROW(A627)-1,COLUMNS('Portfolio Weights Returns'!$B$9:$BJ$69))+1)</f>
        <v>-1.0207344426999738E-3</v>
      </c>
      <c r="B628" cm="1">
        <f t="array" ref="B628">INDEX('Portfolio Weights Std'!$B$9:$BJ$69,INT((ROW(A627)-1)/COLUMNS('Portfolio Weights Std'!$B$9:$BJ$69))+1,MOD(ROW(A627)-1,COLUMNS('Portfolio Weights Std'!$B$9:$BJ$69))+1)</f>
        <v>2.4914211617348348E-2</v>
      </c>
    </row>
    <row r="629" spans="1:2" x14ac:dyDescent="0.25">
      <c r="A629" cm="1">
        <f t="array" ref="A629">INDEX('Portfolio Weights Returns'!$B$9:$BJ$69,
INT((ROW(A628)-1)/COLUMNS('Portfolio Weights Returns'!$B$9:$BJ$69))+1,MOD(ROW(A628)-1,COLUMNS('Portfolio Weights Returns'!$B$9:$BJ$69))+1)</f>
        <v>-1.0139532687332945E-3</v>
      </c>
      <c r="B629" cm="1">
        <f t="array" ref="B629">INDEX('Portfolio Weights Std'!$B$9:$BJ$69,INT((ROW(A628)-1)/COLUMNS('Portfolio Weights Std'!$B$9:$BJ$69))+1,MOD(ROW(A628)-1,COLUMNS('Portfolio Weights Std'!$B$9:$BJ$69))+1)</f>
        <v>2.4746792736800874E-2</v>
      </c>
    </row>
    <row r="630" spans="1:2" x14ac:dyDescent="0.25">
      <c r="A630" cm="1">
        <f t="array" ref="A630">INDEX('Portfolio Weights Returns'!$B$9:$BJ$69,
INT((ROW(A629)-1)/COLUMNS('Portfolio Weights Returns'!$B$9:$BJ$69))+1,MOD(ROW(A629)-1,COLUMNS('Portfolio Weights Returns'!$B$9:$BJ$69))+1)</f>
        <v>-1.0071720947666158E-3</v>
      </c>
      <c r="B630" cm="1">
        <f t="array" ref="B630">INDEX('Portfolio Weights Std'!$B$9:$BJ$69,INT((ROW(A629)-1)/COLUMNS('Portfolio Weights Std'!$B$9:$BJ$69))+1,MOD(ROW(A629)-1,COLUMNS('Portfolio Weights Std'!$B$9:$BJ$69))+1)</f>
        <v>2.4580117307675162E-2</v>
      </c>
    </row>
    <row r="631" spans="1:2" x14ac:dyDescent="0.25">
      <c r="A631" cm="1">
        <f t="array" ref="A631">INDEX('Portfolio Weights Returns'!$B$9:$BJ$69,
INT((ROW(A630)-1)/COLUMNS('Portfolio Weights Returns'!$B$9:$BJ$69))+1,MOD(ROW(A630)-1,COLUMNS('Portfolio Weights Returns'!$B$9:$BJ$69))+1)</f>
        <v>-1.0003909207999364E-3</v>
      </c>
      <c r="B631" cm="1">
        <f t="array" ref="B631">INDEX('Portfolio Weights Std'!$B$9:$BJ$69,INT((ROW(A630)-1)/COLUMNS('Portfolio Weights Std'!$B$9:$BJ$69))+1,MOD(ROW(A630)-1,COLUMNS('Portfolio Weights Std'!$B$9:$BJ$69))+1)</f>
        <v>2.4414200556575456E-2</v>
      </c>
    </row>
    <row r="632" spans="1:2" x14ac:dyDescent="0.25">
      <c r="A632" cm="1">
        <f t="array" ref="A632">INDEX('Portfolio Weights Returns'!$B$9:$BJ$69,
INT((ROW(A631)-1)/COLUMNS('Portfolio Weights Returns'!$B$9:$BJ$69))+1,MOD(ROW(A631)-1,COLUMNS('Portfolio Weights Returns'!$B$9:$BJ$69))+1)</f>
        <v>-9.9360974683325724E-4</v>
      </c>
      <c r="B632" cm="1">
        <f t="array" ref="B632">INDEX('Portfolio Weights Std'!$B$9:$BJ$69,INT((ROW(A631)-1)/COLUMNS('Portfolio Weights Std'!$B$9:$BJ$69))+1,MOD(ROW(A631)-1,COLUMNS('Portfolio Weights Std'!$B$9:$BJ$69))+1)</f>
        <v>2.4249058056572681E-2</v>
      </c>
    </row>
    <row r="633" spans="1:2" x14ac:dyDescent="0.25">
      <c r="A633" cm="1">
        <f t="array" ref="A633">INDEX('Portfolio Weights Returns'!$B$9:$BJ$69,
INT((ROW(A632)-1)/COLUMNS('Portfolio Weights Returns'!$B$9:$BJ$69))+1,MOD(ROW(A632)-1,COLUMNS('Portfolio Weights Returns'!$B$9:$BJ$69))+1)</f>
        <v>-9.868285728665781E-4</v>
      </c>
      <c r="B633" cm="1">
        <f t="array" ref="B633">INDEX('Portfolio Weights Std'!$B$9:$BJ$69,INT((ROW(A632)-1)/COLUMNS('Portfolio Weights Std'!$B$9:$BJ$69))+1,MOD(ROW(A632)-1,COLUMNS('Portfolio Weights Std'!$B$9:$BJ$69))+1)</f>
        <v>2.4084705734181214E-2</v>
      </c>
    </row>
    <row r="634" spans="1:2" x14ac:dyDescent="0.25">
      <c r="A634" cm="1">
        <f t="array" ref="A634">INDEX('Portfolio Weights Returns'!$B$9:$BJ$69,
INT((ROW(A633)-1)/COLUMNS('Portfolio Weights Returns'!$B$9:$BJ$69))+1,MOD(ROW(A633)-1,COLUMNS('Portfolio Weights Returns'!$B$9:$BJ$69))+1)</f>
        <v>-9.8004739889989896E-4</v>
      </c>
      <c r="B634" cm="1">
        <f t="array" ref="B634">INDEX('Portfolio Weights Std'!$B$9:$BJ$69,INT((ROW(A633)-1)/COLUMNS('Portfolio Weights Std'!$B$9:$BJ$69))+1,MOD(ROW(A633)-1,COLUMNS('Portfolio Weights Std'!$B$9:$BJ$69))+1)</f>
        <v>2.3921159876349987E-2</v>
      </c>
    </row>
    <row r="635" spans="1:2" x14ac:dyDescent="0.25">
      <c r="A635" cm="1">
        <f t="array" ref="A635">INDEX('Portfolio Weights Returns'!$B$9:$BJ$69,
INT((ROW(A634)-1)/COLUMNS('Portfolio Weights Returns'!$B$9:$BJ$69))+1,MOD(ROW(A634)-1,COLUMNS('Portfolio Weights Returns'!$B$9:$BJ$69))+1)</f>
        <v>-9.7326622493321992E-4</v>
      </c>
      <c r="B635" cm="1">
        <f t="array" ref="B635">INDEX('Portfolio Weights Std'!$B$9:$BJ$69,INT((ROW(A634)-1)/COLUMNS('Portfolio Weights Std'!$B$9:$BJ$69))+1,MOD(ROW(A634)-1,COLUMNS('Portfolio Weights Std'!$B$9:$BJ$69))+1)</f>
        <v>2.3758437137455343E-2</v>
      </c>
    </row>
    <row r="636" spans="1:2" x14ac:dyDescent="0.25">
      <c r="A636" cm="1">
        <f t="array" ref="A636">INDEX('Portfolio Weights Returns'!$B$9:$BJ$69,
INT((ROW(A635)-1)/COLUMNS('Portfolio Weights Returns'!$B$9:$BJ$69))+1,MOD(ROW(A635)-1,COLUMNS('Portfolio Weights Returns'!$B$9:$BJ$69))+1)</f>
        <v>-9.6648505096654088E-4</v>
      </c>
      <c r="B636" cm="1">
        <f t="array" ref="B636">INDEX('Portfolio Weights Std'!$B$9:$BJ$69,INT((ROW(A635)-1)/COLUMNS('Portfolio Weights Std'!$B$9:$BJ$69))+1,MOD(ROW(A635)-1,COLUMNS('Portfolio Weights Std'!$B$9:$BJ$69))+1)</f>
        <v>2.3596554546282057E-2</v>
      </c>
    </row>
    <row r="637" spans="1:2" x14ac:dyDescent="0.25">
      <c r="A637" cm="1">
        <f t="array" ref="A637">INDEX('Portfolio Weights Returns'!$B$9:$BJ$69,
INT((ROW(A636)-1)/COLUMNS('Portfolio Weights Returns'!$B$9:$BJ$69))+1,MOD(ROW(A636)-1,COLUMNS('Portfolio Weights Returns'!$B$9:$BJ$69))+1)</f>
        <v>-9.5970387699986174E-4</v>
      </c>
      <c r="B637" cm="1">
        <f t="array" ref="B637">INDEX('Portfolio Weights Std'!$B$9:$BJ$69,INT((ROW(A636)-1)/COLUMNS('Portfolio Weights Std'!$B$9:$BJ$69))+1,MOD(ROW(A636)-1,COLUMNS('Portfolio Weights Std'!$B$9:$BJ$69))+1)</f>
        <v>2.3435529512977452E-2</v>
      </c>
    </row>
    <row r="638" spans="1:2" x14ac:dyDescent="0.25">
      <c r="A638" cm="1">
        <f t="array" ref="A638">INDEX('Portfolio Weights Returns'!$B$9:$BJ$69,
INT((ROW(A637)-1)/COLUMNS('Portfolio Weights Returns'!$B$9:$BJ$69))+1,MOD(ROW(A637)-1,COLUMNS('Portfolio Weights Returns'!$B$9:$BJ$69))+1)</f>
        <v>-9.529227030331827E-4</v>
      </c>
      <c r="B638" cm="1">
        <f t="array" ref="B638">INDEX('Portfolio Weights Std'!$B$9:$BJ$69,INT((ROW(A637)-1)/COLUMNS('Portfolio Weights Std'!$B$9:$BJ$69))+1,MOD(ROW(A637)-1,COLUMNS('Portfolio Weights Std'!$B$9:$BJ$69))+1)</f>
        <v>2.3275379835962631E-2</v>
      </c>
    </row>
    <row r="639" spans="1:2" x14ac:dyDescent="0.25">
      <c r="A639" cm="1">
        <f t="array" ref="A639">INDEX('Portfolio Weights Returns'!$B$9:$BJ$69,
INT((ROW(A638)-1)/COLUMNS('Portfolio Weights Returns'!$B$9:$BJ$69))+1,MOD(ROW(A638)-1,COLUMNS('Portfolio Weights Returns'!$B$9:$BJ$69))+1)</f>
        <v>-9.4614152906650356E-4</v>
      </c>
      <c r="B639" cm="1">
        <f t="array" ref="B639">INDEX('Portfolio Weights Std'!$B$9:$BJ$69,INT((ROW(A638)-1)/COLUMNS('Portfolio Weights Std'!$B$9:$BJ$69))+1,MOD(ROW(A638)-1,COLUMNS('Portfolio Weights Std'!$B$9:$BJ$69))+1)</f>
        <v>2.3116123708783021E-2</v>
      </c>
    </row>
    <row r="640" spans="1:2" x14ac:dyDescent="0.25">
      <c r="A640" cm="1">
        <f t="array" ref="A640">INDEX('Portfolio Weights Returns'!$B$9:$BJ$69,
INT((ROW(A639)-1)/COLUMNS('Portfolio Weights Returns'!$B$9:$BJ$69))+1,MOD(ROW(A639)-1,COLUMNS('Portfolio Weights Returns'!$B$9:$BJ$69))+1)</f>
        <v>-9.3936035509982452E-4</v>
      </c>
      <c r="B640" cm="1">
        <f t="array" ref="B640">INDEX('Portfolio Weights Std'!$B$9:$BJ$69,INT((ROW(A639)-1)/COLUMNS('Portfolio Weights Std'!$B$9:$BJ$69))+1,MOD(ROW(A639)-1,COLUMNS('Portfolio Weights Std'!$B$9:$BJ$69))+1)</f>
        <v>2.2957779726879322E-2</v>
      </c>
    </row>
    <row r="641" spans="1:2" x14ac:dyDescent="0.25">
      <c r="A641" cm="1">
        <f t="array" ref="A641">INDEX('Portfolio Weights Returns'!$B$9:$BJ$69,
INT((ROW(A640)-1)/COLUMNS('Portfolio Weights Returns'!$B$9:$BJ$69))+1,MOD(ROW(A640)-1,COLUMNS('Portfolio Weights Returns'!$B$9:$BJ$69))+1)</f>
        <v>-9.3257918113314527E-4</v>
      </c>
      <c r="B641" cm="1">
        <f t="array" ref="B641">INDEX('Portfolio Weights Std'!$B$9:$BJ$69,INT((ROW(A640)-1)/COLUMNS('Portfolio Weights Std'!$B$9:$BJ$69))+1,MOD(ROW(A640)-1,COLUMNS('Portfolio Weights Std'!$B$9:$BJ$69))+1)</f>
        <v>2.280036689425825E-2</v>
      </c>
    </row>
    <row r="642" spans="1:2" x14ac:dyDescent="0.25">
      <c r="A642" cm="1">
        <f t="array" ref="A642">INDEX('Portfolio Weights Returns'!$B$9:$BJ$69,
INT((ROW(A641)-1)/COLUMNS('Portfolio Weights Returns'!$B$9:$BJ$69))+1,MOD(ROW(A641)-1,COLUMNS('Portfolio Weights Returns'!$B$9:$BJ$69))+1)</f>
        <v>-9.2579800716646613E-4</v>
      </c>
      <c r="B642" cm="1">
        <f t="array" ref="B642">INDEX('Portfolio Weights Std'!$B$9:$BJ$69,INT((ROW(A641)-1)/COLUMNS('Portfolio Weights Std'!$B$9:$BJ$69))+1,MOD(ROW(A641)-1,COLUMNS('Portfolio Weights Std'!$B$9:$BJ$69))+1)</f>
        <v>2.2643904630040956E-2</v>
      </c>
    </row>
    <row r="643" spans="1:2" x14ac:dyDescent="0.25">
      <c r="A643" cm="1">
        <f t="array" ref="A643">INDEX('Portfolio Weights Returns'!$B$9:$BJ$69,
INT((ROW(A642)-1)/COLUMNS('Portfolio Weights Returns'!$B$9:$BJ$69))+1,MOD(ROW(A642)-1,COLUMNS('Portfolio Weights Returns'!$B$9:$BJ$69))+1)</f>
        <v>-9.1901683319978709E-4</v>
      </c>
      <c r="B643" cm="1">
        <f t="array" ref="B643">INDEX('Portfolio Weights Std'!$B$9:$BJ$69,INT((ROW(A642)-1)/COLUMNS('Portfolio Weights Std'!$B$9:$BJ$69))+1,MOD(ROW(A642)-1,COLUMNS('Portfolio Weights Std'!$B$9:$BJ$69))+1)</f>
        <v>2.2488412774865157E-2</v>
      </c>
    </row>
    <row r="644" spans="1:2" x14ac:dyDescent="0.25">
      <c r="A644" cm="1">
        <f t="array" ref="A644">INDEX('Portfolio Weights Returns'!$B$9:$BJ$69,
INT((ROW(A643)-1)/COLUMNS('Portfolio Weights Returns'!$B$9:$BJ$69))+1,MOD(ROW(A643)-1,COLUMNS('Portfolio Weights Returns'!$B$9:$BJ$69))+1)</f>
        <v>-9.1223565923310795E-4</v>
      </c>
      <c r="B644" cm="1">
        <f t="array" ref="B644">INDEX('Portfolio Weights Std'!$B$9:$BJ$69,INT((ROW(A643)-1)/COLUMNS('Portfolio Weights Std'!$B$9:$BJ$69))+1,MOD(ROW(A643)-1,COLUMNS('Portfolio Weights Std'!$B$9:$BJ$69))+1)</f>
        <v>2.233391159711556E-2</v>
      </c>
    </row>
    <row r="645" spans="1:2" x14ac:dyDescent="0.25">
      <c r="A645" cm="1">
        <f t="array" ref="A645">INDEX('Portfolio Weights Returns'!$B$9:$BJ$69,
INT((ROW(A644)-1)/COLUMNS('Portfolio Weights Returns'!$B$9:$BJ$69))+1,MOD(ROW(A644)-1,COLUMNS('Portfolio Weights Returns'!$B$9:$BJ$69))+1)</f>
        <v>-9.0545448526642891E-4</v>
      </c>
      <c r="B645" cm="1">
        <f t="array" ref="B645">INDEX('Portfolio Weights Std'!$B$9:$BJ$69,INT((ROW(A644)-1)/COLUMNS('Portfolio Weights Std'!$B$9:$BJ$69))+1,MOD(ROW(A644)-1,COLUMNS('Portfolio Weights Std'!$B$9:$BJ$69))+1)</f>
        <v>2.2180421798954884E-2</v>
      </c>
    </row>
    <row r="646" spans="1:2" x14ac:dyDescent="0.25">
      <c r="A646" cm="1">
        <f t="array" ref="A646">INDEX('Portfolio Weights Returns'!$B$9:$BJ$69,
INT((ROW(A645)-1)/COLUMNS('Portfolio Weights Returns'!$B$9:$BJ$69))+1,MOD(ROW(A645)-1,COLUMNS('Portfolio Weights Returns'!$B$9:$BJ$69))+1)</f>
        <v>-8.9867331129974976E-4</v>
      </c>
      <c r="B646" cm="1">
        <f t="array" ref="B646">INDEX('Portfolio Weights Std'!$B$9:$BJ$69,INT((ROW(A645)-1)/COLUMNS('Portfolio Weights Std'!$B$9:$BJ$69))+1,MOD(ROW(A645)-1,COLUMNS('Portfolio Weights Std'!$B$9:$BJ$69))+1)</f>
        <v>2.2027964522126398E-2</v>
      </c>
    </row>
    <row r="647" spans="1:2" x14ac:dyDescent="0.25">
      <c r="A647" cm="1">
        <f t="array" ref="A647">INDEX('Portfolio Weights Returns'!$B$9:$BJ$69,
INT((ROW(A646)-1)/COLUMNS('Portfolio Weights Returns'!$B$9:$BJ$69))+1,MOD(ROW(A646)-1,COLUMNS('Portfolio Weights Returns'!$B$9:$BJ$69))+1)</f>
        <v>-8.9189213733307073E-4</v>
      </c>
      <c r="B647" cm="1">
        <f t="array" ref="B647">INDEX('Portfolio Weights Std'!$B$9:$BJ$69,INT((ROW(A646)-1)/COLUMNS('Portfolio Weights Std'!$B$9:$BJ$69))+1,MOD(ROW(A646)-1,COLUMNS('Portfolio Weights Std'!$B$9:$BJ$69))+1)</f>
        <v>2.1876561353496381E-2</v>
      </c>
    </row>
    <row r="648" spans="1:2" x14ac:dyDescent="0.25">
      <c r="A648" cm="1">
        <f t="array" ref="A648">INDEX('Portfolio Weights Returns'!$B$9:$BJ$69,
INT((ROW(A647)-1)/COLUMNS('Portfolio Weights Returns'!$B$9:$BJ$69))+1,MOD(ROW(A647)-1,COLUMNS('Portfolio Weights Returns'!$B$9:$BJ$69))+1)</f>
        <v>-8.8511096336639148E-4</v>
      </c>
      <c r="B648" cm="1">
        <f t="array" ref="B648">INDEX('Portfolio Weights Std'!$B$9:$BJ$69,INT((ROW(A647)-1)/COLUMNS('Portfolio Weights Std'!$B$9:$BJ$69))+1,MOD(ROW(A647)-1,COLUMNS('Portfolio Weights Std'!$B$9:$BJ$69))+1)</f>
        <v>2.1726234330303296E-2</v>
      </c>
    </row>
    <row r="649" spans="1:2" x14ac:dyDescent="0.25">
      <c r="A649" cm="1">
        <f t="array" ref="A649">INDEX('Portfolio Weights Returns'!$B$9:$BJ$69,
INT((ROW(A648)-1)/COLUMNS('Portfolio Weights Returns'!$B$9:$BJ$69))+1,MOD(ROW(A648)-1,COLUMNS('Portfolio Weights Returns'!$B$9:$BJ$69))+1)</f>
        <v>-8.7832978939971244E-4</v>
      </c>
      <c r="B649" cm="1">
        <f t="array" ref="B649">INDEX('Portfolio Weights Std'!$B$9:$BJ$69,INT((ROW(A648)-1)/COLUMNS('Portfolio Weights Std'!$B$9:$BJ$69))+1,MOD(ROW(A648)-1,COLUMNS('Portfolio Weights Std'!$B$9:$BJ$69))+1)</f>
        <v>2.1577005945078047E-2</v>
      </c>
    </row>
    <row r="650" spans="1:2" x14ac:dyDescent="0.25">
      <c r="A650" cm="1">
        <f t="array" ref="A650">INDEX('Portfolio Weights Returns'!$B$9:$BJ$69,
INT((ROW(A649)-1)/COLUMNS('Portfolio Weights Returns'!$B$9:$BJ$69))+1,MOD(ROW(A649)-1,COLUMNS('Portfolio Weights Returns'!$B$9:$BJ$69))+1)</f>
        <v>-8.7154861543303351E-4</v>
      </c>
      <c r="B650" cm="1">
        <f t="array" ref="B650">INDEX('Portfolio Weights Std'!$B$9:$BJ$69,INT((ROW(A649)-1)/COLUMNS('Portfolio Weights Std'!$B$9:$BJ$69))+1,MOD(ROW(A649)-1,COLUMNS('Portfolio Weights Std'!$B$9:$BJ$69))+1)</f>
        <v>2.1428899150197696E-2</v>
      </c>
    </row>
    <row r="651" spans="1:2" x14ac:dyDescent="0.25">
      <c r="A651" cm="1">
        <f t="array" ref="A651">INDEX('Portfolio Weights Returns'!$B$9:$BJ$69,
INT((ROW(A650)-1)/COLUMNS('Portfolio Weights Returns'!$B$9:$BJ$69))+1,MOD(ROW(A650)-1,COLUMNS('Portfolio Weights Returns'!$B$9:$BJ$69))+1)</f>
        <v>-8.6476744146635437E-4</v>
      </c>
      <c r="B651" cm="1">
        <f t="array" ref="B651">INDEX('Portfolio Weights Std'!$B$9:$BJ$69,INT((ROW(A650)-1)/COLUMNS('Portfolio Weights Std'!$B$9:$BJ$69))+1,MOD(ROW(A650)-1,COLUMNS('Portfolio Weights Std'!$B$9:$BJ$69))+1)</f>
        <v>2.1281937362032606E-2</v>
      </c>
    </row>
    <row r="652" spans="1:2" x14ac:dyDescent="0.25">
      <c r="A652" cm="1">
        <f t="array" ref="A652">INDEX('Portfolio Weights Returns'!$B$9:$BJ$69,
INT((ROW(A651)-1)/COLUMNS('Portfolio Weights Returns'!$B$9:$BJ$69))+1,MOD(ROW(A651)-1,COLUMNS('Portfolio Weights Returns'!$B$9:$BJ$69))+1)</f>
        <v>-8.5798626749967522E-4</v>
      </c>
      <c r="B652" cm="1">
        <f t="array" ref="B652">INDEX('Portfolio Weights Std'!$B$9:$BJ$69,INT((ROW(A651)-1)/COLUMNS('Portfolio Weights Std'!$B$9:$BJ$69))+1,MOD(ROW(A651)-1,COLUMNS('Portfolio Weights Std'!$B$9:$BJ$69))+1)</f>
        <v>2.1136144464644947E-2</v>
      </c>
    </row>
    <row r="653" spans="1:2" x14ac:dyDescent="0.25">
      <c r="A653" cm="1">
        <f t="array" ref="A653">INDEX('Portfolio Weights Returns'!$B$9:$BJ$69,
INT((ROW(A652)-1)/COLUMNS('Portfolio Weights Returns'!$B$9:$BJ$69))+1,MOD(ROW(A652)-1,COLUMNS('Portfolio Weights Returns'!$B$9:$BJ$69))+1)</f>
        <v>-8.5120509353299608E-4</v>
      </c>
      <c r="B653" cm="1">
        <f t="array" ref="B653">INDEX('Portfolio Weights Std'!$B$9:$BJ$69,INT((ROW(A652)-1)/COLUMNS('Portfolio Weights Std'!$B$9:$BJ$69))+1,MOD(ROW(A652)-1,COLUMNS('Portfolio Weights Std'!$B$9:$BJ$69))+1)</f>
        <v>2.0991544812993847E-2</v>
      </c>
    </row>
    <row r="654" spans="1:2" x14ac:dyDescent="0.25">
      <c r="A654" cm="1">
        <f t="array" ref="A654">INDEX('Portfolio Weights Returns'!$B$9:$BJ$69,
INT((ROW(A653)-1)/COLUMNS('Portfolio Weights Returns'!$B$9:$BJ$69))+1,MOD(ROW(A653)-1,COLUMNS('Portfolio Weights Returns'!$B$9:$BJ$69))+1)</f>
        <v>-8.4442391956631704E-4</v>
      </c>
      <c r="B654" cm="1">
        <f t="array" ref="B654">INDEX('Portfolio Weights Std'!$B$9:$BJ$69,INT((ROW(A653)-1)/COLUMNS('Portfolio Weights Std'!$B$9:$BJ$69))+1,MOD(ROW(A653)-1,COLUMNS('Portfolio Weights Std'!$B$9:$BJ$69))+1)</f>
        <v>2.0848163235600455E-2</v>
      </c>
    </row>
    <row r="655" spans="1:2" x14ac:dyDescent="0.25">
      <c r="A655" cm="1">
        <f t="array" ref="A655">INDEX('Portfolio Weights Returns'!$B$9:$BJ$69,
INT((ROW(A654)-1)/COLUMNS('Portfolio Weights Returns'!$B$9:$BJ$69))+1,MOD(ROW(A654)-1,COLUMNS('Portfolio Weights Returns'!$B$9:$BJ$69))+1)</f>
        <v>-8.376427455996379E-4</v>
      </c>
      <c r="B655" cm="1">
        <f t="array" ref="B655">INDEX('Portfolio Weights Std'!$B$9:$BJ$69,INT((ROW(A654)-1)/COLUMNS('Portfolio Weights Std'!$B$9:$BJ$69))+1,MOD(ROW(A654)-1,COLUMNS('Portfolio Weights Std'!$B$9:$BJ$69))+1)</f>
        <v>2.0706025036623568E-2</v>
      </c>
    </row>
    <row r="656" spans="1:2" x14ac:dyDescent="0.25">
      <c r="A656" cm="1">
        <f t="array" ref="A656">INDEX('Portfolio Weights Returns'!$B$9:$BJ$69,
INT((ROW(A655)-1)/COLUMNS('Portfolio Weights Returns'!$B$9:$BJ$69))+1,MOD(ROW(A655)-1,COLUMNS('Portfolio Weights Returns'!$B$9:$BJ$69))+1)</f>
        <v>-8.3086157163295886E-4</v>
      </c>
      <c r="B656" cm="1">
        <f t="array" ref="B656">INDEX('Portfolio Weights Std'!$B$9:$BJ$69,INT((ROW(A655)-1)/COLUMNS('Portfolio Weights Std'!$B$9:$BJ$69))+1,MOD(ROW(A655)-1,COLUMNS('Portfolio Weights Std'!$B$9:$BJ$69))+1)</f>
        <v>2.0565155997294249E-2</v>
      </c>
    </row>
    <row r="657" spans="1:2" x14ac:dyDescent="0.25">
      <c r="A657" cm="1">
        <f t="array" ref="A657">INDEX('Portfolio Weights Returns'!$B$9:$BJ$69,
INT((ROW(A656)-1)/COLUMNS('Portfolio Weights Returns'!$B$9:$BJ$69))+1,MOD(ROW(A656)-1,COLUMNS('Portfolio Weights Returns'!$B$9:$BJ$69))+1)</f>
        <v>-8.2408039766627972E-4</v>
      </c>
      <c r="B657" cm="1">
        <f t="array" ref="B657">INDEX('Portfolio Weights Std'!$B$9:$BJ$69,INT((ROW(A656)-1)/COLUMNS('Portfolio Weights Std'!$B$9:$BJ$69))+1,MOD(ROW(A656)-1,COLUMNS('Portfolio Weights Std'!$B$9:$BJ$69))+1)</f>
        <v>2.0425582376655482E-2</v>
      </c>
    </row>
    <row r="658" spans="1:2" x14ac:dyDescent="0.25">
      <c r="A658" cm="1">
        <f t="array" ref="A658">INDEX('Portfolio Weights Returns'!$B$9:$BJ$69,
INT((ROW(A657)-1)/COLUMNS('Portfolio Weights Returns'!$B$9:$BJ$69))+1,MOD(ROW(A657)-1,COLUMNS('Portfolio Weights Returns'!$B$9:$BJ$69))+1)</f>
        <v>-8.1729922369960068E-4</v>
      </c>
      <c r="B658" cm="1">
        <f t="array" ref="B658">INDEX('Portfolio Weights Std'!$B$9:$BJ$69,INT((ROW(A657)-1)/COLUMNS('Portfolio Weights Std'!$B$9:$BJ$69))+1,MOD(ROW(A657)-1,COLUMNS('Portfolio Weights Std'!$B$9:$BJ$69))+1)</f>
        <v>2.0287330911550598E-2</v>
      </c>
    </row>
    <row r="659" spans="1:2" x14ac:dyDescent="0.25">
      <c r="A659" cm="1">
        <f t="array" ref="A659">INDEX('Portfolio Weights Returns'!$B$9:$BJ$69,
INT((ROW(A658)-1)/COLUMNS('Portfolio Weights Returns'!$B$9:$BJ$69))+1,MOD(ROW(A658)-1,COLUMNS('Portfolio Weights Returns'!$B$9:$BJ$69))+1)</f>
        <v>-8.1051804973292143E-4</v>
      </c>
      <c r="B659" cm="1">
        <f t="array" ref="B659">INDEX('Portfolio Weights Std'!$B$9:$BJ$69,INT((ROW(A658)-1)/COLUMNS('Portfolio Weights Std'!$B$9:$BJ$69))+1,MOD(ROW(A658)-1,COLUMNS('Portfolio Weights Std'!$B$9:$BJ$69))+1)</f>
        <v>2.0150428815801907E-2</v>
      </c>
    </row>
    <row r="660" spans="1:2" x14ac:dyDescent="0.25">
      <c r="A660" cm="1">
        <f t="array" ref="A660">INDEX('Portfolio Weights Returns'!$B$9:$BJ$69,
INT((ROW(A659)-1)/COLUMNS('Portfolio Weights Returns'!$B$9:$BJ$69))+1,MOD(ROW(A659)-1,COLUMNS('Portfolio Weights Returns'!$B$9:$BJ$69))+1)</f>
        <v>-8.0373687576624228E-4</v>
      </c>
      <c r="B660" cm="1">
        <f t="array" ref="B660">INDEX('Portfolio Weights Std'!$B$9:$BJ$69,INT((ROW(A659)-1)/COLUMNS('Portfolio Weights Std'!$B$9:$BJ$69))+1,MOD(ROW(A659)-1,COLUMNS('Portfolio Weights Std'!$B$9:$BJ$69))+1)</f>
        <v>2.0014903778518871E-2</v>
      </c>
    </row>
    <row r="661" spans="1:2" x14ac:dyDescent="0.25">
      <c r="A661" cm="1">
        <f t="array" ref="A661">INDEX('Portfolio Weights Returns'!$B$9:$BJ$69,
INT((ROW(A660)-1)/COLUMNS('Portfolio Weights Returns'!$B$9:$BJ$69))+1,MOD(ROW(A660)-1,COLUMNS('Portfolio Weights Returns'!$B$9:$BJ$69))+1)</f>
        <v>-7.9695570179956325E-4</v>
      </c>
      <c r="B661" cm="1">
        <f t="array" ref="B661">INDEX('Portfolio Weights Std'!$B$9:$BJ$69,INT((ROW(A660)-1)/COLUMNS('Portfolio Weights Std'!$B$9:$BJ$69))+1,MOD(ROW(A660)-1,COLUMNS('Portfolio Weights Std'!$B$9:$BJ$69))+1)</f>
        <v>1.9880783961473053E-2</v>
      </c>
    </row>
    <row r="662" spans="1:2" x14ac:dyDescent="0.25">
      <c r="A662" cm="1">
        <f t="array" ref="A662">INDEX('Portfolio Weights Returns'!$B$9:$BJ$69,
INT((ROW(A661)-1)/COLUMNS('Portfolio Weights Returns'!$B$9:$BJ$69))+1,MOD(ROW(A661)-1,COLUMNS('Portfolio Weights Returns'!$B$9:$BJ$69))+1)</f>
        <v>-7.901745278328841E-4</v>
      </c>
      <c r="B662" cm="1">
        <f t="array" ref="B662">INDEX('Portfolio Weights Std'!$B$9:$BJ$69,INT((ROW(A661)-1)/COLUMNS('Portfolio Weights Std'!$B$9:$BJ$69))+1,MOD(ROW(A661)-1,COLUMNS('Portfolio Weights Std'!$B$9:$BJ$69))+1)</f>
        <v>1.9748097995475042E-2</v>
      </c>
    </row>
    <row r="663" spans="1:2" x14ac:dyDescent="0.25">
      <c r="A663" cm="1">
        <f t="array" ref="A663">INDEX('Portfolio Weights Returns'!$B$9:$BJ$69,
INT((ROW(A662)-1)/COLUMNS('Portfolio Weights Returns'!$B$9:$BJ$69))+1,MOD(ROW(A662)-1,COLUMNS('Portfolio Weights Returns'!$B$9:$BJ$69))+1)</f>
        <v>-7.8339335386620507E-4</v>
      </c>
      <c r="B663" cm="1">
        <f t="array" ref="B663">INDEX('Portfolio Weights Std'!$B$9:$BJ$69,INT((ROW(A662)-1)/COLUMNS('Portfolio Weights Std'!$B$9:$BJ$69))+1,MOD(ROW(A662)-1,COLUMNS('Portfolio Weights Std'!$B$9:$BJ$69))+1)</f>
        <v>1.9616874975686937E-2</v>
      </c>
    </row>
    <row r="664" spans="1:2" x14ac:dyDescent="0.25">
      <c r="A664" cm="1">
        <f t="array" ref="A664">INDEX('Portfolio Weights Returns'!$B$9:$BJ$69,
INT((ROW(A663)-1)/COLUMNS('Portfolio Weights Returns'!$B$9:$BJ$69))+1,MOD(ROW(A663)-1,COLUMNS('Portfolio Weights Returns'!$B$9:$BJ$69))+1)</f>
        <v>-7.7661217989952592E-4</v>
      </c>
      <c r="B664" cm="1">
        <f t="array" ref="B664">INDEX('Portfolio Weights Std'!$B$9:$BJ$69,INT((ROW(A663)-1)/COLUMNS('Portfolio Weights Std'!$B$9:$BJ$69))+1,MOD(ROW(A663)-1,COLUMNS('Portfolio Weights Std'!$B$9:$BJ$69))+1)</f>
        <v>1.9487144455802272E-2</v>
      </c>
    </row>
    <row r="665" spans="1:2" x14ac:dyDescent="0.25">
      <c r="A665" cm="1">
        <f t="array" ref="A665">INDEX('Portfolio Weights Returns'!$B$9:$BJ$69,
INT((ROW(A664)-1)/COLUMNS('Portfolio Weights Returns'!$B$9:$BJ$69))+1,MOD(ROW(A664)-1,COLUMNS('Portfolio Weights Returns'!$B$9:$BJ$69))+1)</f>
        <v>-7.6983100593284689E-4</v>
      </c>
      <c r="B665" cm="1">
        <f t="array" ref="B665">INDEX('Portfolio Weights Std'!$B$9:$BJ$69,INT((ROW(A664)-1)/COLUMNS('Portfolio Weights Std'!$B$9:$BJ$69))+1,MOD(ROW(A664)-1,COLUMNS('Portfolio Weights Std'!$B$9:$BJ$69))+1)</f>
        <v>1.9358936441023929E-2</v>
      </c>
    </row>
    <row r="666" spans="1:2" x14ac:dyDescent="0.25">
      <c r="A666" cm="1">
        <f t="array" ref="A666">INDEX('Portfolio Weights Returns'!$B$9:$BJ$69,
INT((ROW(A665)-1)/COLUMNS('Portfolio Weights Returns'!$B$9:$BJ$69))+1,MOD(ROW(A665)-1,COLUMNS('Portfolio Weights Returns'!$B$9:$BJ$69))+1)</f>
        <v>-7.6304983196616764E-4</v>
      </c>
      <c r="B666" cm="1">
        <f t="array" ref="B666">INDEX('Portfolio Weights Std'!$B$9:$BJ$69,INT((ROW(A665)-1)/COLUMNS('Portfolio Weights Std'!$B$9:$BJ$69))+1,MOD(ROW(A665)-1,COLUMNS('Portfolio Weights Std'!$B$9:$BJ$69))+1)</f>
        <v>1.9232281379769511E-2</v>
      </c>
    </row>
    <row r="667" spans="1:2" x14ac:dyDescent="0.25">
      <c r="A667" cm="1">
        <f t="array" ref="A667">INDEX('Portfolio Weights Returns'!$B$9:$BJ$69,
INT((ROW(A666)-1)/COLUMNS('Portfolio Weights Returns'!$B$9:$BJ$69))+1,MOD(ROW(A666)-1,COLUMNS('Portfolio Weights Returns'!$B$9:$BJ$69))+1)</f>
        <v>-7.562686579994886E-4</v>
      </c>
      <c r="B667" cm="1">
        <f t="array" ref="B667">INDEX('Portfolio Weights Std'!$B$9:$BJ$69,INT((ROW(A666)-1)/COLUMNS('Portfolio Weights Std'!$B$9:$BJ$69))+1,MOD(ROW(A666)-1,COLUMNS('Portfolio Weights Std'!$B$9:$BJ$69))+1)</f>
        <v>1.9107210154032949E-2</v>
      </c>
    </row>
    <row r="668" spans="1:2" x14ac:dyDescent="0.25">
      <c r="A668" cm="1">
        <f t="array" ref="A668">INDEX('Portfolio Weights Returns'!$B$9:$BJ$69,
INT((ROW(A667)-1)/COLUMNS('Portfolio Weights Returns'!$B$9:$BJ$69))+1,MOD(ROW(A667)-1,COLUMNS('Portfolio Weights Returns'!$B$9:$BJ$69))+1)</f>
        <v>-7.4948748403280945E-4</v>
      </c>
      <c r="B668" cm="1">
        <f t="array" ref="B668">INDEX('Portfolio Weights Std'!$B$9:$BJ$69,INT((ROW(A667)-1)/COLUMNS('Portfolio Weights Std'!$B$9:$BJ$69))+1,MOD(ROW(A667)-1,COLUMNS('Portfolio Weights Std'!$B$9:$BJ$69))+1)</f>
        <v>1.8983754068330545E-2</v>
      </c>
    </row>
    <row r="669" spans="1:2" x14ac:dyDescent="0.25">
      <c r="A669" cm="1">
        <f t="array" ref="A669">INDEX('Portfolio Weights Returns'!$B$9:$BJ$69,
INT((ROW(A668)-1)/COLUMNS('Portfolio Weights Returns'!$B$9:$BJ$69))+1,MOD(ROW(A668)-1,COLUMNS('Portfolio Weights Returns'!$B$9:$BJ$69))+1)</f>
        <v>-7.4270631006612977E-4</v>
      </c>
      <c r="B669" cm="1">
        <f t="array" ref="B669">INDEX('Portfolio Weights Std'!$B$9:$BJ$69,INT((ROW(A668)-1)/COLUMNS('Portfolio Weights Std'!$B$9:$BJ$69))+1,MOD(ROW(A668)-1,COLUMNS('Portfolio Weights Std'!$B$9:$BJ$69))+1)</f>
        <v>1.8861944837159788E-2</v>
      </c>
    </row>
    <row r="670" spans="1:2" x14ac:dyDescent="0.25">
      <c r="A670" cm="1">
        <f t="array" ref="A670">INDEX('Portfolio Weights Returns'!$B$9:$BJ$69,
INT((ROW(A669)-1)/COLUMNS('Portfolio Weights Returns'!$B$9:$BJ$69))+1,MOD(ROW(A669)-1,COLUMNS('Portfolio Weights Returns'!$B$9:$BJ$69))+1)</f>
        <v>-7.3592513609945062E-4</v>
      </c>
      <c r="B670" cm="1">
        <f t="array" ref="B670">INDEX('Portfolio Weights Std'!$B$9:$BJ$69,INT((ROW(A669)-1)/COLUMNS('Portfolio Weights Std'!$B$9:$BJ$69))+1,MOD(ROW(A669)-1,COLUMNS('Portfolio Weights Std'!$B$9:$BJ$69))+1)</f>
        <v>1.8741814570899674E-2</v>
      </c>
    </row>
    <row r="671" spans="1:2" x14ac:dyDescent="0.25">
      <c r="A671" cm="1">
        <f t="array" ref="A671">INDEX('Portfolio Weights Returns'!$B$9:$BJ$69,
INT((ROW(A670)-1)/COLUMNS('Portfolio Weights Returns'!$B$9:$BJ$69))+1,MOD(ROW(A670)-1,COLUMNS('Portfolio Weights Returns'!$B$9:$BJ$69))+1)</f>
        <v>-7.2914396213277148E-4</v>
      </c>
      <c r="B671" cm="1">
        <f t="array" ref="B671">INDEX('Portfolio Weights Std'!$B$9:$BJ$69,INT((ROW(A670)-1)/COLUMNS('Portfolio Weights Std'!$B$9:$BJ$69))+1,MOD(ROW(A670)-1,COLUMNS('Portfolio Weights Std'!$B$9:$BJ$69))+1)</f>
        <v>1.8623395760082047E-2</v>
      </c>
    </row>
    <row r="672" spans="1:2" x14ac:dyDescent="0.25">
      <c r="A672" cm="1">
        <f t="array" ref="A672">INDEX('Portfolio Weights Returns'!$B$9:$BJ$69,
INT((ROW(A671)-1)/COLUMNS('Portfolio Weights Returns'!$B$9:$BJ$69))+1,MOD(ROW(A671)-1,COLUMNS('Portfolio Weights Returns'!$B$9:$BJ$69))+1)</f>
        <v>-7.2236278816609244E-4</v>
      </c>
      <c r="B672" cm="1">
        <f t="array" ref="B672">INDEX('Portfolio Weights Std'!$B$9:$BJ$69,INT((ROW(A671)-1)/COLUMNS('Portfolio Weights Std'!$B$9:$BJ$69))+1,MOD(ROW(A671)-1,COLUMNS('Portfolio Weights Std'!$B$9:$BJ$69))+1)</f>
        <v>1.8506721257965236E-2</v>
      </c>
    </row>
    <row r="673" spans="1:2" x14ac:dyDescent="0.25">
      <c r="A673" cm="1">
        <f t="array" ref="A673">INDEX('Portfolio Weights Returns'!$B$9:$BJ$69,
INT((ROW(A672)-1)/COLUMNS('Portfolio Weights Returns'!$B$9:$BJ$69))+1,MOD(ROW(A672)-1,COLUMNS('Portfolio Weights Returns'!$B$9:$BJ$69))+1)</f>
        <v>-1.1226590183213842E-3</v>
      </c>
      <c r="B673" cm="1">
        <f t="array" ref="B673">INDEX('Portfolio Weights Std'!$B$9:$BJ$69,INT((ROW(A672)-1)/COLUMNS('Portfolio Weights Std'!$B$9:$BJ$69))+1,MOD(ROW(A672)-1,COLUMNS('Portfolio Weights Std'!$B$9:$BJ$69))+1)</f>
        <v>2.7458771761796511E-2</v>
      </c>
    </row>
    <row r="674" spans="1:2" x14ac:dyDescent="0.25">
      <c r="A674" cm="1">
        <f t="array" ref="A674">INDEX('Portfolio Weights Returns'!$B$9:$BJ$69,
INT((ROW(A673)-1)/COLUMNS('Portfolio Weights Returns'!$B$9:$BJ$69))+1,MOD(ROW(A673)-1,COLUMNS('Portfolio Weights Returns'!$B$9:$BJ$69))+1)</f>
        <v>-1.115877844354705E-3</v>
      </c>
      <c r="B674" cm="1">
        <f t="array" ref="B674">INDEX('Portfolio Weights Std'!$B$9:$BJ$69,INT((ROW(A673)-1)/COLUMNS('Portfolio Weights Std'!$B$9:$BJ$69))+1,MOD(ROW(A673)-1,COLUMNS('Portfolio Weights Std'!$B$9:$BJ$69))+1)</f>
        <v>2.7281210601249703E-2</v>
      </c>
    </row>
    <row r="675" spans="1:2" x14ac:dyDescent="0.25">
      <c r="A675" cm="1">
        <f t="array" ref="A675">INDEX('Portfolio Weights Returns'!$B$9:$BJ$69,
INT((ROW(A674)-1)/COLUMNS('Portfolio Weights Returns'!$B$9:$BJ$69))+1,MOD(ROW(A674)-1,COLUMNS('Portfolio Weights Returns'!$B$9:$BJ$69))+1)</f>
        <v>-1.1090966703880261E-3</v>
      </c>
      <c r="B675" cm="1">
        <f t="array" ref="B675">INDEX('Portfolio Weights Std'!$B$9:$BJ$69,INT((ROW(A674)-1)/COLUMNS('Portfolio Weights Std'!$B$9:$BJ$69))+1,MOD(ROW(A674)-1,COLUMNS('Portfolio Weights Std'!$B$9:$BJ$69))+1)</f>
        <v>2.7104194563383924E-2</v>
      </c>
    </row>
    <row r="676" spans="1:2" x14ac:dyDescent="0.25">
      <c r="A676" cm="1">
        <f t="array" ref="A676">INDEX('Portfolio Weights Returns'!$B$9:$BJ$69,
INT((ROW(A675)-1)/COLUMNS('Portfolio Weights Returns'!$B$9:$BJ$69))+1,MOD(ROW(A675)-1,COLUMNS('Portfolio Weights Returns'!$B$9:$BJ$69))+1)</f>
        <v>-1.1023154964213469E-3</v>
      </c>
      <c r="B676" cm="1">
        <f t="array" ref="B676">INDEX('Portfolio Weights Std'!$B$9:$BJ$69,INT((ROW(A675)-1)/COLUMNS('Portfolio Weights Std'!$B$9:$BJ$69))+1,MOD(ROW(A675)-1,COLUMNS('Portfolio Weights Std'!$B$9:$BJ$69))+1)</f>
        <v>2.6927734398692518E-2</v>
      </c>
    </row>
    <row r="677" spans="1:2" x14ac:dyDescent="0.25">
      <c r="A677" cm="1">
        <f t="array" ref="A677">INDEX('Portfolio Weights Returns'!$B$9:$BJ$69,
INT((ROW(A676)-1)/COLUMNS('Portfolio Weights Returns'!$B$9:$BJ$69))+1,MOD(ROW(A676)-1,COLUMNS('Portfolio Weights Returns'!$B$9:$BJ$69))+1)</f>
        <v>-1.0955343224546678E-3</v>
      </c>
      <c r="B677" cm="1">
        <f t="array" ref="B677">INDEX('Portfolio Weights Std'!$B$9:$BJ$69,INT((ROW(A676)-1)/COLUMNS('Portfolio Weights Std'!$B$9:$BJ$69))+1,MOD(ROW(A676)-1,COLUMNS('Portfolio Weights Std'!$B$9:$BJ$69))+1)</f>
        <v>2.6751841107109098E-2</v>
      </c>
    </row>
    <row r="678" spans="1:2" x14ac:dyDescent="0.25">
      <c r="A678" cm="1">
        <f t="array" ref="A678">INDEX('Portfolio Weights Returns'!$B$9:$BJ$69,
INT((ROW(A677)-1)/COLUMNS('Portfolio Weights Returns'!$B$9:$BJ$69))+1,MOD(ROW(A677)-1,COLUMNS('Portfolio Weights Returns'!$B$9:$BJ$69))+1)</f>
        <v>-1.0887531484879886E-3</v>
      </c>
      <c r="B678" cm="1">
        <f t="array" ref="B678">INDEX('Portfolio Weights Std'!$B$9:$BJ$69,INT((ROW(A677)-1)/COLUMNS('Portfolio Weights Std'!$B$9:$BJ$69))+1,MOD(ROW(A677)-1,COLUMNS('Portfolio Weights Std'!$B$9:$BJ$69))+1)</f>
        <v>2.6576525943964563E-2</v>
      </c>
    </row>
    <row r="679" spans="1:2" x14ac:dyDescent="0.25">
      <c r="A679" cm="1">
        <f t="array" ref="A679">INDEX('Portfolio Weights Returns'!$B$9:$BJ$69,
INT((ROW(A678)-1)/COLUMNS('Portfolio Weights Returns'!$B$9:$BJ$69))+1,MOD(ROW(A678)-1,COLUMNS('Portfolio Weights Returns'!$B$9:$BJ$69))+1)</f>
        <v>-1.0819719745213095E-3</v>
      </c>
      <c r="B679" cm="1">
        <f t="array" ref="B679">INDEX('Portfolio Weights Std'!$B$9:$BJ$69,INT((ROW(A678)-1)/COLUMNS('Portfolio Weights Std'!$B$9:$BJ$69))+1,MOD(ROW(A678)-1,COLUMNS('Portfolio Weights Std'!$B$9:$BJ$69))+1)</f>
        <v>2.6401800426053463E-2</v>
      </c>
    </row>
    <row r="680" spans="1:2" x14ac:dyDescent="0.25">
      <c r="A680" cm="1">
        <f t="array" ref="A680">INDEX('Portfolio Weights Returns'!$B$9:$BJ$69,
INT((ROW(A679)-1)/COLUMNS('Portfolio Weights Returns'!$B$9:$BJ$69))+1,MOD(ROW(A679)-1,COLUMNS('Portfolio Weights Returns'!$B$9:$BJ$69))+1)</f>
        <v>-1.0751908005546304E-3</v>
      </c>
      <c r="B680" cm="1">
        <f t="array" ref="B680">INDEX('Portfolio Weights Std'!$B$9:$BJ$69,INT((ROW(A679)-1)/COLUMNS('Portfolio Weights Std'!$B$9:$BJ$69))+1,MOD(ROW(A679)-1,COLUMNS('Portfolio Weights Std'!$B$9:$BJ$69))+1)</f>
        <v>2.6227676337808089E-2</v>
      </c>
    </row>
    <row r="681" spans="1:2" x14ac:dyDescent="0.25">
      <c r="A681" cm="1">
        <f t="array" ref="A681">INDEX('Portfolio Weights Returns'!$B$9:$BJ$69,
INT((ROW(A680)-1)/COLUMNS('Portfolio Weights Returns'!$B$9:$BJ$69))+1,MOD(ROW(A680)-1,COLUMNS('Portfolio Weights Returns'!$B$9:$BJ$69))+1)</f>
        <v>-1.0684096265879512E-3</v>
      </c>
      <c r="B681" cm="1">
        <f t="array" ref="B681">INDEX('Portfolio Weights Std'!$B$9:$BJ$69,INT((ROW(A680)-1)/COLUMNS('Portfolio Weights Std'!$B$9:$BJ$69))+1,MOD(ROW(A680)-1,COLUMNS('Portfolio Weights Std'!$B$9:$BJ$69))+1)</f>
        <v>2.6054165737578423E-2</v>
      </c>
    </row>
    <row r="682" spans="1:2" x14ac:dyDescent="0.25">
      <c r="A682" cm="1">
        <f t="array" ref="A682">INDEX('Portfolio Weights Returns'!$B$9:$BJ$69,
INT((ROW(A681)-1)/COLUMNS('Portfolio Weights Returns'!$B$9:$BJ$69))+1,MOD(ROW(A681)-1,COLUMNS('Portfolio Weights Returns'!$B$9:$BJ$69))+1)</f>
        <v>-1.0616284526212721E-3</v>
      </c>
      <c r="B682" cm="1">
        <f t="array" ref="B682">INDEX('Portfolio Weights Std'!$B$9:$BJ$69,INT((ROW(A681)-1)/COLUMNS('Portfolio Weights Std'!$B$9:$BJ$69))+1,MOD(ROW(A681)-1,COLUMNS('Portfolio Weights Std'!$B$9:$BJ$69))+1)</f>
        <v>2.5881280964015645E-2</v>
      </c>
    </row>
    <row r="683" spans="1:2" x14ac:dyDescent="0.25">
      <c r="A683" cm="1">
        <f t="array" ref="A683">INDEX('Portfolio Weights Returns'!$B$9:$BJ$69,
INT((ROW(A682)-1)/COLUMNS('Portfolio Weights Returns'!$B$9:$BJ$69))+1,MOD(ROW(A682)-1,COLUMNS('Portfolio Weights Returns'!$B$9:$BJ$69))+1)</f>
        <v>-1.0548472786545929E-3</v>
      </c>
      <c r="B683" cm="1">
        <f t="array" ref="B683">INDEX('Portfolio Weights Std'!$B$9:$BJ$69,INT((ROW(A682)-1)/COLUMNS('Portfolio Weights Std'!$B$9:$BJ$69))+1,MOD(ROW(A682)-1,COLUMNS('Portfolio Weights Std'!$B$9:$BJ$69))+1)</f>
        <v>2.570903464255626E-2</v>
      </c>
    </row>
    <row r="684" spans="1:2" x14ac:dyDescent="0.25">
      <c r="A684" cm="1">
        <f t="array" ref="A684">INDEX('Portfolio Weights Returns'!$B$9:$BJ$69,
INT((ROW(A683)-1)/COLUMNS('Portfolio Weights Returns'!$B$9:$BJ$69))+1,MOD(ROW(A683)-1,COLUMNS('Portfolio Weights Returns'!$B$9:$BJ$69))+1)</f>
        <v>-1.048066104687914E-3</v>
      </c>
      <c r="B684" cm="1">
        <f t="array" ref="B684">INDEX('Portfolio Weights Std'!$B$9:$BJ$69,INT((ROW(A683)-1)/COLUMNS('Portfolio Weights Std'!$B$9:$BJ$69))+1,MOD(ROW(A683)-1,COLUMNS('Portfolio Weights Std'!$B$9:$BJ$69))+1)</f>
        <v>2.5537439692003637E-2</v>
      </c>
    </row>
    <row r="685" spans="1:2" x14ac:dyDescent="0.25">
      <c r="A685" cm="1">
        <f t="array" ref="A685">INDEX('Portfolio Weights Returns'!$B$9:$BJ$69,
INT((ROW(A684)-1)/COLUMNS('Portfolio Weights Returns'!$B$9:$BJ$69))+1,MOD(ROW(A684)-1,COLUMNS('Portfolio Weights Returns'!$B$9:$BJ$69))+1)</f>
        <v>-1.0412849307212349E-3</v>
      </c>
      <c r="B685" cm="1">
        <f t="array" ref="B685">INDEX('Portfolio Weights Std'!$B$9:$BJ$69,INT((ROW(A684)-1)/COLUMNS('Portfolio Weights Std'!$B$9:$BJ$69))+1,MOD(ROW(A684)-1,COLUMNS('Portfolio Weights Std'!$B$9:$BJ$69))+1)</f>
        <v>2.5366509331203095E-2</v>
      </c>
    </row>
    <row r="686" spans="1:2" x14ac:dyDescent="0.25">
      <c r="A686" cm="1">
        <f t="array" ref="A686">INDEX('Portfolio Weights Returns'!$B$9:$BJ$69,
INT((ROW(A685)-1)/COLUMNS('Portfolio Weights Returns'!$B$9:$BJ$69))+1,MOD(ROW(A685)-1,COLUMNS('Portfolio Weights Returns'!$B$9:$BJ$69))+1)</f>
        <v>-1.0345037567545557E-3</v>
      </c>
      <c r="B686" cm="1">
        <f t="array" ref="B686">INDEX('Portfolio Weights Std'!$B$9:$BJ$69,INT((ROW(A685)-1)/COLUMNS('Portfolio Weights Std'!$B$9:$BJ$69))+1,MOD(ROW(A685)-1,COLUMNS('Portfolio Weights Std'!$B$9:$BJ$69))+1)</f>
        <v>2.5196257085806032E-2</v>
      </c>
    </row>
    <row r="687" spans="1:2" x14ac:dyDescent="0.25">
      <c r="A687" cm="1">
        <f t="array" ref="A687">INDEX('Portfolio Weights Returns'!$B$9:$BJ$69,
INT((ROW(A686)-1)/COLUMNS('Portfolio Weights Returns'!$B$9:$BJ$69))+1,MOD(ROW(A686)-1,COLUMNS('Portfolio Weights Returns'!$B$9:$BJ$69))+1)</f>
        <v>-1.0277225827878766E-3</v>
      </c>
      <c r="B687" cm="1">
        <f t="array" ref="B687">INDEX('Portfolio Weights Std'!$B$9:$BJ$69,INT((ROW(A686)-1)/COLUMNS('Portfolio Weights Std'!$B$9:$BJ$69))+1,MOD(ROW(A686)-1,COLUMNS('Portfolio Weights Std'!$B$9:$BJ$69))+1)</f>
        <v>2.5026696795118077E-2</v>
      </c>
    </row>
    <row r="688" spans="1:2" x14ac:dyDescent="0.25">
      <c r="A688" cm="1">
        <f t="array" ref="A688">INDEX('Portfolio Weights Returns'!$B$9:$BJ$69,
INT((ROW(A687)-1)/COLUMNS('Portfolio Weights Returns'!$B$9:$BJ$69))+1,MOD(ROW(A687)-1,COLUMNS('Portfolio Weights Returns'!$B$9:$BJ$69))+1)</f>
        <v>-1.0209414088211976E-3</v>
      </c>
      <c r="B688" cm="1">
        <f t="array" ref="B688">INDEX('Portfolio Weights Std'!$B$9:$BJ$69,INT((ROW(A687)-1)/COLUMNS('Portfolio Weights Std'!$B$9:$BJ$69))+1,MOD(ROW(A687)-1,COLUMNS('Portfolio Weights Std'!$B$9:$BJ$69))+1)</f>
        <v>2.4857842619025534E-2</v>
      </c>
    </row>
    <row r="689" spans="1:2" x14ac:dyDescent="0.25">
      <c r="A689" cm="1">
        <f t="array" ref="A689">INDEX('Portfolio Weights Returns'!$B$9:$BJ$69,
INT((ROW(A688)-1)/COLUMNS('Portfolio Weights Returns'!$B$9:$BJ$69))+1,MOD(ROW(A688)-1,COLUMNS('Portfolio Weights Returns'!$B$9:$BJ$69))+1)</f>
        <v>-1.0141602348545187E-3</v>
      </c>
      <c r="B689" cm="1">
        <f t="array" ref="B689">INDEX('Portfolio Weights Std'!$B$9:$BJ$69,INT((ROW(A688)-1)/COLUMNS('Portfolio Weights Std'!$B$9:$BJ$69))+1,MOD(ROW(A688)-1,COLUMNS('Portfolio Weights Std'!$B$9:$BJ$69))+1)</f>
        <v>2.4689709044993569E-2</v>
      </c>
    </row>
    <row r="690" spans="1:2" x14ac:dyDescent="0.25">
      <c r="A690" cm="1">
        <f t="array" ref="A690">INDEX('Portfolio Weights Returns'!$B$9:$BJ$69,
INT((ROW(A689)-1)/COLUMNS('Portfolio Weights Returns'!$B$9:$BJ$69))+1,MOD(ROW(A689)-1,COLUMNS('Portfolio Weights Returns'!$B$9:$BJ$69))+1)</f>
        <v>-1.0073790608878393E-3</v>
      </c>
      <c r="B690" cm="1">
        <f t="array" ref="B690">INDEX('Portfolio Weights Std'!$B$9:$BJ$69,INT((ROW(A689)-1)/COLUMNS('Portfolio Weights Std'!$B$9:$BJ$69))+1,MOD(ROW(A689)-1,COLUMNS('Portfolio Weights Std'!$B$9:$BJ$69))+1)</f>
        <v>2.45223108951289E-2</v>
      </c>
    </row>
    <row r="691" spans="1:2" x14ac:dyDescent="0.25">
      <c r="A691" cm="1">
        <f t="array" ref="A691">INDEX('Portfolio Weights Returns'!$B$9:$BJ$69,
INT((ROW(A690)-1)/COLUMNS('Portfolio Weights Returns'!$B$9:$BJ$69))+1,MOD(ROW(A690)-1,COLUMNS('Portfolio Weights Returns'!$B$9:$BJ$69))+1)</f>
        <v>-1.0005978869211602E-3</v>
      </c>
      <c r="B691" cm="1">
        <f t="array" ref="B691">INDEX('Portfolio Weights Std'!$B$9:$BJ$69,INT((ROW(A690)-1)/COLUMNS('Portfolio Weights Std'!$B$9:$BJ$69))+1,MOD(ROW(A690)-1,COLUMNS('Portfolio Weights Std'!$B$9:$BJ$69))+1)</f>
        <v>2.4355663333298982E-2</v>
      </c>
    </row>
    <row r="692" spans="1:2" x14ac:dyDescent="0.25">
      <c r="A692" cm="1">
        <f t="array" ref="A692">INDEX('Portfolio Weights Returns'!$B$9:$BJ$69,
INT((ROW(A691)-1)/COLUMNS('Portfolio Weights Returns'!$B$9:$BJ$69))+1,MOD(ROW(A691)-1,COLUMNS('Portfolio Weights Returns'!$B$9:$BJ$69))+1)</f>
        <v>-9.9381671295448106E-4</v>
      </c>
      <c r="B692" cm="1">
        <f t="array" ref="B692">INDEX('Portfolio Weights Std'!$B$9:$BJ$69,INT((ROW(A691)-1)/COLUMNS('Portfolio Weights Std'!$B$9:$BJ$69))+1,MOD(ROW(A691)-1,COLUMNS('Portfolio Weights Std'!$B$9:$BJ$69))+1)</f>
        <v>2.4189781872298415E-2</v>
      </c>
    </row>
    <row r="693" spans="1:2" x14ac:dyDescent="0.25">
      <c r="A693" cm="1">
        <f t="array" ref="A693">INDEX('Portfolio Weights Returns'!$B$9:$BJ$69,
INT((ROW(A692)-1)/COLUMNS('Portfolio Weights Returns'!$B$9:$BJ$69))+1,MOD(ROW(A692)-1,COLUMNS('Portfolio Weights Returns'!$B$9:$BJ$69))+1)</f>
        <v>-9.8703553898780213E-4</v>
      </c>
      <c r="B693" cm="1">
        <f t="array" ref="B693">INDEX('Portfolio Weights Std'!$B$9:$BJ$69,INT((ROW(A692)-1)/COLUMNS('Portfolio Weights Std'!$B$9:$BJ$69))+1,MOD(ROW(A692)-1,COLUMNS('Portfolio Weights Std'!$B$9:$BJ$69))+1)</f>
        <v>2.4024682381052938E-2</v>
      </c>
    </row>
    <row r="694" spans="1:2" x14ac:dyDescent="0.25">
      <c r="A694" cm="1">
        <f t="array" ref="A694">INDEX('Portfolio Weights Returns'!$B$9:$BJ$69,
INT((ROW(A693)-1)/COLUMNS('Portfolio Weights Returns'!$B$9:$BJ$69))+1,MOD(ROW(A693)-1,COLUMNS('Portfolio Weights Returns'!$B$9:$BJ$69))+1)</f>
        <v>-9.8025436502112298E-4</v>
      </c>
      <c r="B694" cm="1">
        <f t="array" ref="B694">INDEX('Portfolio Weights Std'!$B$9:$BJ$69,INT((ROW(A693)-1)/COLUMNS('Portfolio Weights Std'!$B$9:$BJ$69))+1,MOD(ROW(A693)-1,COLUMNS('Portfolio Weights Std'!$B$9:$BJ$69))+1)</f>
        <v>2.3860381091849722E-2</v>
      </c>
    </row>
    <row r="695" spans="1:2" x14ac:dyDescent="0.25">
      <c r="A695" cm="1">
        <f t="array" ref="A695">INDEX('Portfolio Weights Returns'!$B$9:$BJ$69,
INT((ROW(A694)-1)/COLUMNS('Portfolio Weights Returns'!$B$9:$BJ$69))+1,MOD(ROW(A694)-1,COLUMNS('Portfolio Weights Returns'!$B$9:$BJ$69))+1)</f>
        <v>-9.7347319105444384E-4</v>
      </c>
      <c r="B695" cm="1">
        <f t="array" ref="B695">INDEX('Portfolio Weights Std'!$B$9:$BJ$69,INT((ROW(A694)-1)/COLUMNS('Portfolio Weights Std'!$B$9:$BJ$69))+1,MOD(ROW(A694)-1,COLUMNS('Portfolio Weights Std'!$B$9:$BJ$69))+1)</f>
        <v>2.3696894607582026E-2</v>
      </c>
    </row>
    <row r="696" spans="1:2" x14ac:dyDescent="0.25">
      <c r="A696" cm="1">
        <f t="array" ref="A696">INDEX('Portfolio Weights Returns'!$B$9:$BJ$69,
INT((ROW(A695)-1)/COLUMNS('Portfolio Weights Returns'!$B$9:$BJ$69))+1,MOD(ROW(A695)-1,COLUMNS('Portfolio Weights Returns'!$B$9:$BJ$69))+1)</f>
        <v>-9.666920170877648E-4</v>
      </c>
      <c r="B696" cm="1">
        <f t="array" ref="B696">INDEX('Portfolio Weights Std'!$B$9:$BJ$69,INT((ROW(A695)-1)/COLUMNS('Portfolio Weights Std'!$B$9:$BJ$69))+1,MOD(ROW(A695)-1,COLUMNS('Portfolio Weights Std'!$B$9:$BJ$69))+1)</f>
        <v>2.353423990899486E-2</v>
      </c>
    </row>
    <row r="697" spans="1:2" x14ac:dyDescent="0.25">
      <c r="A697" cm="1">
        <f t="array" ref="A697">INDEX('Portfolio Weights Returns'!$B$9:$BJ$69,
INT((ROW(A696)-1)/COLUMNS('Portfolio Weights Returns'!$B$9:$BJ$69))+1,MOD(ROW(A696)-1,COLUMNS('Portfolio Weights Returns'!$B$9:$BJ$69))+1)</f>
        <v>-9.5991084312108566E-4</v>
      </c>
      <c r="B697" cm="1">
        <f t="array" ref="B697">INDEX('Portfolio Weights Std'!$B$9:$BJ$69,INT((ROW(A696)-1)/COLUMNS('Portfolio Weights Std'!$B$9:$BJ$69))+1,MOD(ROW(A696)-1,COLUMNS('Portfolio Weights Std'!$B$9:$BJ$69))+1)</f>
        <v>2.3372434361917212E-2</v>
      </c>
    </row>
    <row r="698" spans="1:2" x14ac:dyDescent="0.25">
      <c r="A698" cm="1">
        <f t="array" ref="A698">INDEX('Portfolio Weights Returns'!$B$9:$BJ$69,
INT((ROW(A697)-1)/COLUMNS('Portfolio Weights Returns'!$B$9:$BJ$69))+1,MOD(ROW(A697)-1,COLUMNS('Portfolio Weights Returns'!$B$9:$BJ$69))+1)</f>
        <v>-9.5312966915440662E-4</v>
      </c>
      <c r="B698" cm="1">
        <f t="array" ref="B698">INDEX('Portfolio Weights Std'!$B$9:$BJ$69,INT((ROW(A697)-1)/COLUMNS('Portfolio Weights Std'!$B$9:$BJ$69))+1,MOD(ROW(A697)-1,COLUMNS('Portfolio Weights Std'!$B$9:$BJ$69))+1)</f>
        <v>2.3211495724464997E-2</v>
      </c>
    </row>
    <row r="699" spans="1:2" x14ac:dyDescent="0.25">
      <c r="A699" cm="1">
        <f t="array" ref="A699">INDEX('Portfolio Weights Returns'!$B$9:$BJ$69,
INT((ROW(A698)-1)/COLUMNS('Portfolio Weights Returns'!$B$9:$BJ$69))+1,MOD(ROW(A698)-1,COLUMNS('Portfolio Weights Returns'!$B$9:$BJ$69))+1)</f>
        <v>-9.4634849518772748E-4</v>
      </c>
      <c r="B699" cm="1">
        <f t="array" ref="B699">INDEX('Portfolio Weights Std'!$B$9:$BJ$69,INT((ROW(A698)-1)/COLUMNS('Portfolio Weights Std'!$B$9:$BJ$69))+1,MOD(ROW(A698)-1,COLUMNS('Portfolio Weights Std'!$B$9:$BJ$69))+1)</f>
        <v>2.3051442154197441E-2</v>
      </c>
    </row>
    <row r="700" spans="1:2" x14ac:dyDescent="0.25">
      <c r="A700" cm="1">
        <f t="array" ref="A700">INDEX('Portfolio Weights Returns'!$B$9:$BJ$69,
INT((ROW(A699)-1)/COLUMNS('Portfolio Weights Returns'!$B$9:$BJ$69))+1,MOD(ROW(A699)-1,COLUMNS('Portfolio Weights Returns'!$B$9:$BJ$69))+1)</f>
        <v>-9.3956732122104833E-4</v>
      </c>
      <c r="B700" cm="1">
        <f t="array" ref="B700">INDEX('Portfolio Weights Std'!$B$9:$BJ$69,INT((ROW(A699)-1)/COLUMNS('Portfolio Weights Std'!$B$9:$BJ$69))+1,MOD(ROW(A699)-1,COLUMNS('Portfolio Weights Std'!$B$9:$BJ$69))+1)</f>
        <v>2.2892292215208387E-2</v>
      </c>
    </row>
    <row r="701" spans="1:2" x14ac:dyDescent="0.25">
      <c r="A701" cm="1">
        <f t="array" ref="A701">INDEX('Portfolio Weights Returns'!$B$9:$BJ$69,
INT((ROW(A700)-1)/COLUMNS('Portfolio Weights Returns'!$B$9:$BJ$69))+1,MOD(ROW(A700)-1,COLUMNS('Portfolio Weights Returns'!$B$9:$BJ$69))+1)</f>
        <v>-9.3278614725436919E-4</v>
      </c>
      <c r="B701" cm="1">
        <f t="array" ref="B701">INDEX('Portfolio Weights Std'!$B$9:$BJ$69,INT((ROW(A700)-1)/COLUMNS('Portfolio Weights Std'!$B$9:$BJ$69))+1,MOD(ROW(A700)-1,COLUMNS('Portfolio Weights Std'!$B$9:$BJ$69))+1)</f>
        <v>2.2734064885132101E-2</v>
      </c>
    </row>
    <row r="702" spans="1:2" x14ac:dyDescent="0.25">
      <c r="A702" cm="1">
        <f t="array" ref="A702">INDEX('Portfolio Weights Returns'!$B$9:$BJ$69,
INT((ROW(A701)-1)/COLUMNS('Portfolio Weights Returns'!$B$9:$BJ$69))+1,MOD(ROW(A701)-1,COLUMNS('Portfolio Weights Returns'!$B$9:$BJ$69))+1)</f>
        <v>-9.2600497328769005E-4</v>
      </c>
      <c r="B702" cm="1">
        <f t="array" ref="B702">INDEX('Portfolio Weights Std'!$B$9:$BJ$69,INT((ROW(A701)-1)/COLUMNS('Portfolio Weights Std'!$B$9:$BJ$69))+1,MOD(ROW(A701)-1,COLUMNS('Portfolio Weights Std'!$B$9:$BJ$69))+1)</f>
        <v>2.25767795620418E-2</v>
      </c>
    </row>
    <row r="703" spans="1:2" x14ac:dyDescent="0.25">
      <c r="A703" cm="1">
        <f t="array" ref="A703">INDEX('Portfolio Weights Returns'!$B$9:$BJ$69,
INT((ROW(A702)-1)/COLUMNS('Portfolio Weights Returns'!$B$9:$BJ$69))+1,MOD(ROW(A702)-1,COLUMNS('Portfolio Weights Returns'!$B$9:$BJ$69))+1)</f>
        <v>-9.1922379932101101E-4</v>
      </c>
      <c r="B703" cm="1">
        <f t="array" ref="B703">INDEX('Portfolio Weights Std'!$B$9:$BJ$69,INT((ROW(A702)-1)/COLUMNS('Portfolio Weights Std'!$B$9:$BJ$69))+1,MOD(ROW(A702)-1,COLUMNS('Portfolio Weights Std'!$B$9:$BJ$69))+1)</f>
        <v>2.2420456071217332E-2</v>
      </c>
    </row>
    <row r="704" spans="1:2" x14ac:dyDescent="0.25">
      <c r="A704" cm="1">
        <f t="array" ref="A704">INDEX('Portfolio Weights Returns'!$B$9:$BJ$69,
INT((ROW(A703)-1)/COLUMNS('Portfolio Weights Returns'!$B$9:$BJ$69))+1,MOD(ROW(A703)-1,COLUMNS('Portfolio Weights Returns'!$B$9:$BJ$69))+1)</f>
        <v>-9.1244262535433187E-4</v>
      </c>
      <c r="B704" cm="1">
        <f t="array" ref="B704">INDEX('Portfolio Weights Std'!$B$9:$BJ$69,INT((ROW(A703)-1)/COLUMNS('Portfolio Weights Std'!$B$9:$BJ$69))+1,MOD(ROW(A703)-1,COLUMNS('Portfolio Weights Std'!$B$9:$BJ$69))+1)</f>
        <v>2.2265114671756573E-2</v>
      </c>
    </row>
    <row r="705" spans="1:2" x14ac:dyDescent="0.25">
      <c r="A705" cm="1">
        <f t="array" ref="A705">INDEX('Portfolio Weights Returns'!$B$9:$BJ$69,
INT((ROW(A704)-1)/COLUMNS('Portfolio Weights Returns'!$B$9:$BJ$69))+1,MOD(ROW(A704)-1,COLUMNS('Portfolio Weights Returns'!$B$9:$BJ$69))+1)</f>
        <v>-9.0566145138765283E-4</v>
      </c>
      <c r="B705" cm="1">
        <f t="array" ref="B705">INDEX('Portfolio Weights Std'!$B$9:$BJ$69,INT((ROW(A704)-1)/COLUMNS('Portfolio Weights Std'!$B$9:$BJ$69))+1,MOD(ROW(A704)-1,COLUMNS('Portfolio Weights Std'!$B$9:$BJ$69))+1)</f>
        <v>2.2110776063003292E-2</v>
      </c>
    </row>
    <row r="706" spans="1:2" x14ac:dyDescent="0.25">
      <c r="A706" cm="1">
        <f t="array" ref="A706">INDEX('Portfolio Weights Returns'!$B$9:$BJ$69,
INT((ROW(A705)-1)/COLUMNS('Portfolio Weights Returns'!$B$9:$BJ$69))+1,MOD(ROW(A705)-1,COLUMNS('Portfolio Weights Returns'!$B$9:$BJ$69))+1)</f>
        <v>-8.9888027742097368E-4</v>
      </c>
      <c r="B706" cm="1">
        <f t="array" ref="B706">INDEX('Portfolio Weights Std'!$B$9:$BJ$69,INT((ROW(A705)-1)/COLUMNS('Portfolio Weights Std'!$B$9:$BJ$69))+1,MOD(ROW(A705)-1,COLUMNS('Portfolio Weights Std'!$B$9:$BJ$69))+1)</f>
        <v>2.1957461390762257E-2</v>
      </c>
    </row>
    <row r="707" spans="1:2" x14ac:dyDescent="0.25">
      <c r="A707" cm="1">
        <f t="array" ref="A707">INDEX('Portfolio Weights Returns'!$B$9:$BJ$69,
INT((ROW(A706)-1)/COLUMNS('Portfolio Weights Returns'!$B$9:$BJ$69))+1,MOD(ROW(A706)-1,COLUMNS('Portfolio Weights Returns'!$B$9:$BJ$69))+1)</f>
        <v>-8.9209910345429465E-4</v>
      </c>
      <c r="B707" cm="1">
        <f t="array" ref="B707">INDEX('Portfolio Weights Std'!$B$9:$BJ$69,INT((ROW(A706)-1)/COLUMNS('Portfolio Weights Std'!$B$9:$BJ$69))+1,MOD(ROW(A706)-1,COLUMNS('Portfolio Weights Std'!$B$9:$BJ$69))+1)</f>
        <v>2.1805192253270243E-2</v>
      </c>
    </row>
    <row r="708" spans="1:2" x14ac:dyDescent="0.25">
      <c r="A708" cm="1">
        <f t="array" ref="A708">INDEX('Portfolio Weights Returns'!$B$9:$BJ$69,
INT((ROW(A707)-1)/COLUMNS('Portfolio Weights Returns'!$B$9:$BJ$69))+1,MOD(ROW(A707)-1,COLUMNS('Portfolio Weights Returns'!$B$9:$BJ$69))+1)</f>
        <v>-8.853179294876154E-4</v>
      </c>
      <c r="B708" cm="1">
        <f t="array" ref="B708">INDEX('Portfolio Weights Std'!$B$9:$BJ$69,INT((ROW(A707)-1)/COLUMNS('Portfolio Weights Std'!$B$9:$BJ$69))+1,MOD(ROW(A707)-1,COLUMNS('Portfolio Weights Std'!$B$9:$BJ$69))+1)</f>
        <v>2.1653990706889666E-2</v>
      </c>
    </row>
    <row r="709" spans="1:2" x14ac:dyDescent="0.25">
      <c r="A709" cm="1">
        <f t="array" ref="A709">INDEX('Portfolio Weights Returns'!$B$9:$BJ$69,
INT((ROW(A708)-1)/COLUMNS('Portfolio Weights Returns'!$B$9:$BJ$69))+1,MOD(ROW(A708)-1,COLUMNS('Portfolio Weights Returns'!$B$9:$BJ$69))+1)</f>
        <v>-8.7853675552093625E-4</v>
      </c>
      <c r="B709" cm="1">
        <f t="array" ref="B709">INDEX('Portfolio Weights Std'!$B$9:$BJ$69,INT((ROW(A708)-1)/COLUMNS('Portfolio Weights Std'!$B$9:$BJ$69))+1,MOD(ROW(A708)-1,COLUMNS('Portfolio Weights Std'!$B$9:$BJ$69))+1)</f>
        <v>2.1503879271489071E-2</v>
      </c>
    </row>
    <row r="710" spans="1:2" x14ac:dyDescent="0.25">
      <c r="A710" cm="1">
        <f t="array" ref="A710">INDEX('Portfolio Weights Returns'!$B$9:$BJ$69,
INT((ROW(A709)-1)/COLUMNS('Portfolio Weights Returns'!$B$9:$BJ$69))+1,MOD(ROW(A709)-1,COLUMNS('Portfolio Weights Returns'!$B$9:$BJ$69))+1)</f>
        <v>-8.7175558155425722E-4</v>
      </c>
      <c r="B710" cm="1">
        <f t="array" ref="B710">INDEX('Portfolio Weights Std'!$B$9:$BJ$69,INT((ROW(A709)-1)/COLUMNS('Portfolio Weights Std'!$B$9:$BJ$69))+1,MOD(ROW(A709)-1,COLUMNS('Portfolio Weights Std'!$B$9:$BJ$69))+1)</f>
        <v>2.135488093547273E-2</v>
      </c>
    </row>
    <row r="711" spans="1:2" x14ac:dyDescent="0.25">
      <c r="A711" cm="1">
        <f t="array" ref="A711">INDEX('Portfolio Weights Returns'!$B$9:$BJ$69,
INT((ROW(A710)-1)/COLUMNS('Portfolio Weights Returns'!$B$9:$BJ$69))+1,MOD(ROW(A710)-1,COLUMNS('Portfolio Weights Returns'!$B$9:$BJ$69))+1)</f>
        <v>-8.6497440758757829E-4</v>
      </c>
      <c r="B711" cm="1">
        <f t="array" ref="B711">INDEX('Portfolio Weights Std'!$B$9:$BJ$69,INT((ROW(A710)-1)/COLUMNS('Portfolio Weights Std'!$B$9:$BJ$69))+1,MOD(ROW(A710)-1,COLUMNS('Portfolio Weights Std'!$B$9:$BJ$69))+1)</f>
        <v>2.1207019160419081E-2</v>
      </c>
    </row>
    <row r="712" spans="1:2" x14ac:dyDescent="0.25">
      <c r="A712" cm="1">
        <f t="array" ref="A712">INDEX('Portfolio Weights Returns'!$B$9:$BJ$69,
INT((ROW(A711)-1)/COLUMNS('Portfolio Weights Returns'!$B$9:$BJ$69))+1,MOD(ROW(A711)-1,COLUMNS('Portfolio Weights Returns'!$B$9:$BJ$69))+1)</f>
        <v>-8.5819323362089914E-4</v>
      </c>
      <c r="B712" cm="1">
        <f t="array" ref="B712">INDEX('Portfolio Weights Std'!$B$9:$BJ$69,INT((ROW(A711)-1)/COLUMNS('Portfolio Weights Std'!$B$9:$BJ$69))+1,MOD(ROW(A711)-1,COLUMNS('Portfolio Weights Std'!$B$9:$BJ$69))+1)</f>
        <v>2.1060317885285427E-2</v>
      </c>
    </row>
    <row r="713" spans="1:2" x14ac:dyDescent="0.25">
      <c r="A713" cm="1">
        <f t="array" ref="A713">INDEX('Portfolio Weights Returns'!$B$9:$BJ$69,
INT((ROW(A712)-1)/COLUMNS('Portfolio Weights Returns'!$B$9:$BJ$69))+1,MOD(ROW(A712)-1,COLUMNS('Portfolio Weights Returns'!$B$9:$BJ$69))+1)</f>
        <v>-8.5141205965422E-4</v>
      </c>
      <c r="B713" cm="1">
        <f t="array" ref="B713">INDEX('Portfolio Weights Std'!$B$9:$BJ$69,INT((ROW(A712)-1)/COLUMNS('Portfolio Weights Std'!$B$9:$BJ$69))+1,MOD(ROW(A712)-1,COLUMNS('Portfolio Weights Std'!$B$9:$BJ$69))+1)</f>
        <v>2.0914801530133875E-2</v>
      </c>
    </row>
    <row r="714" spans="1:2" x14ac:dyDescent="0.25">
      <c r="A714" cm="1">
        <f t="array" ref="A714">INDEX('Portfolio Weights Returns'!$B$9:$BJ$69,
INT((ROW(A713)-1)/COLUMNS('Portfolio Weights Returns'!$B$9:$BJ$69))+1,MOD(ROW(A713)-1,COLUMNS('Portfolio Weights Returns'!$B$9:$BJ$69))+1)</f>
        <v>-8.4463088568754096E-4</v>
      </c>
      <c r="B714" cm="1">
        <f t="array" ref="B714">INDEX('Portfolio Weights Std'!$B$9:$BJ$69,INT((ROW(A713)-1)/COLUMNS('Portfolio Weights Std'!$B$9:$BJ$69))+1,MOD(ROW(A713)-1,COLUMNS('Portfolio Weights Std'!$B$9:$BJ$69))+1)</f>
        <v>2.0770494999330983E-2</v>
      </c>
    </row>
    <row r="715" spans="1:2" x14ac:dyDescent="0.25">
      <c r="A715" cm="1">
        <f t="array" ref="A715">INDEX('Portfolio Weights Returns'!$B$9:$BJ$69,
INT((ROW(A714)-1)/COLUMNS('Portfolio Weights Returns'!$B$9:$BJ$69))+1,MOD(ROW(A714)-1,COLUMNS('Portfolio Weights Returns'!$B$9:$BJ$69))+1)</f>
        <v>-8.3784971172086182E-4</v>
      </c>
      <c r="B715" cm="1">
        <f t="array" ref="B715">INDEX('Portfolio Weights Std'!$B$9:$BJ$69,INT((ROW(A714)-1)/COLUMNS('Portfolio Weights Std'!$B$9:$BJ$69))+1,MOD(ROW(A714)-1,COLUMNS('Portfolio Weights Std'!$B$9:$BJ$69))+1)</f>
        <v>2.0627423684171087E-2</v>
      </c>
    </row>
    <row r="716" spans="1:2" x14ac:dyDescent="0.25">
      <c r="A716" cm="1">
        <f t="array" ref="A716">INDEX('Portfolio Weights Returns'!$B$9:$BJ$69,
INT((ROW(A715)-1)/COLUMNS('Portfolio Weights Returns'!$B$9:$BJ$69))+1,MOD(ROW(A715)-1,COLUMNS('Portfolio Weights Returns'!$B$9:$BJ$69))+1)</f>
        <v>-8.3106853775418278E-4</v>
      </c>
      <c r="B716" cm="1">
        <f t="array" ref="B716">INDEX('Portfolio Weights Std'!$B$9:$BJ$69,INT((ROW(A715)-1)/COLUMNS('Portfolio Weights Std'!$B$9:$BJ$69))+1,MOD(ROW(A715)-1,COLUMNS('Portfolio Weights Std'!$B$9:$BJ$69))+1)</f>
        <v>2.0485613464870833E-2</v>
      </c>
    </row>
    <row r="717" spans="1:2" x14ac:dyDescent="0.25">
      <c r="A717" cm="1">
        <f t="array" ref="A717">INDEX('Portfolio Weights Returns'!$B$9:$BJ$69,
INT((ROW(A716)-1)/COLUMNS('Portfolio Weights Returns'!$B$9:$BJ$69))+1,MOD(ROW(A716)-1,COLUMNS('Portfolio Weights Returns'!$B$9:$BJ$69))+1)</f>
        <v>-8.2428736378750364E-4</v>
      </c>
      <c r="B717" cm="1">
        <f t="array" ref="B717">INDEX('Portfolio Weights Std'!$B$9:$BJ$69,INT((ROW(A716)-1)/COLUMNS('Portfolio Weights Std'!$B$9:$BJ$69))+1,MOD(ROW(A716)-1,COLUMNS('Portfolio Weights Std'!$B$9:$BJ$69))+1)</f>
        <v>2.0345090711879808E-2</v>
      </c>
    </row>
    <row r="718" spans="1:2" x14ac:dyDescent="0.25">
      <c r="A718" cm="1">
        <f t="array" ref="A718">INDEX('Portfolio Weights Returns'!$B$9:$BJ$69,
INT((ROW(A717)-1)/COLUMNS('Portfolio Weights Returns'!$B$9:$BJ$69))+1,MOD(ROW(A717)-1,COLUMNS('Portfolio Weights Returns'!$B$9:$BJ$69))+1)</f>
        <v>-8.175061898208246E-4</v>
      </c>
      <c r="B718" cm="1">
        <f t="array" ref="B718">INDEX('Portfolio Weights Std'!$B$9:$BJ$69,INT((ROW(A717)-1)/COLUMNS('Portfolio Weights Std'!$B$9:$BJ$69))+1,MOD(ROW(A717)-1,COLUMNS('Portfolio Weights Std'!$B$9:$BJ$69))+1)</f>
        <v>2.0205882286449775E-2</v>
      </c>
    </row>
    <row r="719" spans="1:2" x14ac:dyDescent="0.25">
      <c r="A719" cm="1">
        <f t="array" ref="A719">INDEX('Portfolio Weights Returns'!$B$9:$BJ$69,
INT((ROW(A718)-1)/COLUMNS('Portfolio Weights Returns'!$B$9:$BJ$69))+1,MOD(ROW(A718)-1,COLUMNS('Portfolio Weights Returns'!$B$9:$BJ$69))+1)</f>
        <v>-8.1072501585414535E-4</v>
      </c>
      <c r="B719" cm="1">
        <f t="array" ref="B719">INDEX('Portfolio Weights Std'!$B$9:$BJ$69,INT((ROW(A718)-1)/COLUMNS('Portfolio Weights Std'!$B$9:$BJ$69))+1,MOD(ROW(A718)-1,COLUMNS('Portfolio Weights Std'!$B$9:$BJ$69))+1)</f>
        <v>2.006801554040253E-2</v>
      </c>
    </row>
    <row r="720" spans="1:2" x14ac:dyDescent="0.25">
      <c r="A720" cm="1">
        <f t="array" ref="A720">INDEX('Portfolio Weights Returns'!$B$9:$BJ$69,
INT((ROW(A719)-1)/COLUMNS('Portfolio Weights Returns'!$B$9:$BJ$69))+1,MOD(ROW(A719)-1,COLUMNS('Portfolio Weights Returns'!$B$9:$BJ$69))+1)</f>
        <v>-8.039438418874662E-4</v>
      </c>
      <c r="B720" cm="1">
        <f t="array" ref="B720">INDEX('Portfolio Weights Std'!$B$9:$BJ$69,INT((ROW(A719)-1)/COLUMNS('Portfolio Weights Std'!$B$9:$BJ$69))+1,MOD(ROW(A719)-1,COLUMNS('Portfolio Weights Std'!$B$9:$BJ$69))+1)</f>
        <v>1.9931518315034008E-2</v>
      </c>
    </row>
    <row r="721" spans="1:2" x14ac:dyDescent="0.25">
      <c r="A721" cm="1">
        <f t="array" ref="A721">INDEX('Portfolio Weights Returns'!$B$9:$BJ$69,
INT((ROW(A720)-1)/COLUMNS('Portfolio Weights Returns'!$B$9:$BJ$69))+1,MOD(ROW(A720)-1,COLUMNS('Portfolio Weights Returns'!$B$9:$BJ$69))+1)</f>
        <v>-7.9716266792078717E-4</v>
      </c>
      <c r="B721" cm="1">
        <f t="array" ref="B721">INDEX('Portfolio Weights Std'!$B$9:$BJ$69,INT((ROW(A720)-1)/COLUMNS('Portfolio Weights Std'!$B$9:$BJ$69))+1,MOD(ROW(A720)-1,COLUMNS('Portfolio Weights Std'!$B$9:$BJ$69))+1)</f>
        <v>1.9796418939089983E-2</v>
      </c>
    </row>
    <row r="722" spans="1:2" x14ac:dyDescent="0.25">
      <c r="A722" cm="1">
        <f t="array" ref="A722">INDEX('Portfolio Weights Returns'!$B$9:$BJ$69,
INT((ROW(A721)-1)/COLUMNS('Portfolio Weights Returns'!$B$9:$BJ$69))+1,MOD(ROW(A721)-1,COLUMNS('Portfolio Weights Returns'!$B$9:$BJ$69))+1)</f>
        <v>-7.9038149395410802E-4</v>
      </c>
      <c r="B722" cm="1">
        <f t="array" ref="B722">INDEX('Portfolio Weights Std'!$B$9:$BJ$69,INT((ROW(A721)-1)/COLUMNS('Portfolio Weights Std'!$B$9:$BJ$69))+1,MOD(ROW(A721)-1,COLUMNS('Portfolio Weights Std'!$B$9:$BJ$69))+1)</f>
        <v>1.9662746225746573E-2</v>
      </c>
    </row>
    <row r="723" spans="1:2" x14ac:dyDescent="0.25">
      <c r="A723" cm="1">
        <f t="array" ref="A723">INDEX('Portfolio Weights Returns'!$B$9:$BJ$69,
INT((ROW(A722)-1)/COLUMNS('Portfolio Weights Returns'!$B$9:$BJ$69))+1,MOD(ROW(A722)-1,COLUMNS('Portfolio Weights Returns'!$B$9:$BJ$69))+1)</f>
        <v>-7.8360031998742899E-4</v>
      </c>
      <c r="B723" cm="1">
        <f t="array" ref="B723">INDEX('Portfolio Weights Std'!$B$9:$BJ$69,INT((ROW(A722)-1)/COLUMNS('Portfolio Weights Std'!$B$9:$BJ$69))+1,MOD(ROW(A722)-1,COLUMNS('Portfolio Weights Std'!$B$9:$BJ$69))+1)</f>
        <v>1.9530529468526642E-2</v>
      </c>
    </row>
    <row r="724" spans="1:2" x14ac:dyDescent="0.25">
      <c r="A724" cm="1">
        <f t="array" ref="A724">INDEX('Portfolio Weights Returns'!$B$9:$BJ$69,
INT((ROW(A723)-1)/COLUMNS('Portfolio Weights Returns'!$B$9:$BJ$69))+1,MOD(ROW(A723)-1,COLUMNS('Portfolio Weights Returns'!$B$9:$BJ$69))+1)</f>
        <v>-7.7681914602074984E-4</v>
      </c>
      <c r="B724" cm="1">
        <f t="array" ref="B724">INDEX('Portfolio Weights Std'!$B$9:$BJ$69,INT((ROW(A723)-1)/COLUMNS('Portfolio Weights Std'!$B$9:$BJ$69))+1,MOD(ROW(A723)-1,COLUMNS('Portfolio Weights Std'!$B$9:$BJ$69))+1)</f>
        <v>1.939979843608149E-2</v>
      </c>
    </row>
    <row r="725" spans="1:2" x14ac:dyDescent="0.25">
      <c r="A725" cm="1">
        <f t="array" ref="A725">INDEX('Portfolio Weights Returns'!$B$9:$BJ$69,
INT((ROW(A724)-1)/COLUMNS('Portfolio Weights Returns'!$B$9:$BJ$69))+1,MOD(ROW(A724)-1,COLUMNS('Portfolio Weights Returns'!$B$9:$BJ$69))+1)</f>
        <v>-7.7003797205407081E-4</v>
      </c>
      <c r="B725" cm="1">
        <f t="array" ref="B725">INDEX('Portfolio Weights Std'!$B$9:$BJ$69,INT((ROW(A724)-1)/COLUMNS('Portfolio Weights Std'!$B$9:$BJ$69))+1,MOD(ROW(A724)-1,COLUMNS('Portfolio Weights Std'!$B$9:$BJ$69))+1)</f>
        <v>1.9270583365765506E-2</v>
      </c>
    </row>
    <row r="726" spans="1:2" x14ac:dyDescent="0.25">
      <c r="A726" cm="1">
        <f t="array" ref="A726">INDEX('Portfolio Weights Returns'!$B$9:$BJ$69,
INT((ROW(A725)-1)/COLUMNS('Portfolio Weights Returns'!$B$9:$BJ$69))+1,MOD(ROW(A725)-1,COLUMNS('Portfolio Weights Returns'!$B$9:$BJ$69))+1)</f>
        <v>-7.6325679808739156E-4</v>
      </c>
      <c r="B726" cm="1">
        <f t="array" ref="B726">INDEX('Portfolio Weights Std'!$B$9:$BJ$69,INT((ROW(A725)-1)/COLUMNS('Portfolio Weights Std'!$B$9:$BJ$69))+1,MOD(ROW(A725)-1,COLUMNS('Portfolio Weights Std'!$B$9:$BJ$69))+1)</f>
        <v>1.9142914955930103E-2</v>
      </c>
    </row>
    <row r="727" spans="1:2" x14ac:dyDescent="0.25">
      <c r="A727" cm="1">
        <f t="array" ref="A727">INDEX('Portfolio Weights Returns'!$B$9:$BJ$69,
INT((ROW(A726)-1)/COLUMNS('Portfolio Weights Returns'!$B$9:$BJ$69))+1,MOD(ROW(A726)-1,COLUMNS('Portfolio Weights Returns'!$B$9:$BJ$69))+1)</f>
        <v>-7.5647562412071252E-4</v>
      </c>
      <c r="B727" cm="1">
        <f t="array" ref="B727">INDEX('Portfolio Weights Std'!$B$9:$BJ$69,INT((ROW(A726)-1)/COLUMNS('Portfolio Weights Std'!$B$9:$BJ$69))+1,MOD(ROW(A726)-1,COLUMNS('Portfolio Weights Std'!$B$9:$BJ$69))+1)</f>
        <v>1.9016824356862333E-2</v>
      </c>
    </row>
    <row r="728" spans="1:2" x14ac:dyDescent="0.25">
      <c r="A728" cm="1">
        <f t="array" ref="A728">INDEX('Portfolio Weights Returns'!$B$9:$BJ$69,
INT((ROW(A727)-1)/COLUMNS('Portfolio Weights Returns'!$B$9:$BJ$69))+1,MOD(ROW(A727)-1,COLUMNS('Portfolio Weights Returns'!$B$9:$BJ$69))+1)</f>
        <v>-7.4969445015403337E-4</v>
      </c>
      <c r="B728" cm="1">
        <f t="array" ref="B728">INDEX('Portfolio Weights Std'!$B$9:$BJ$69,INT((ROW(A727)-1)/COLUMNS('Portfolio Weights Std'!$B$9:$BJ$69))+1,MOD(ROW(A727)-1,COLUMNS('Portfolio Weights Std'!$B$9:$BJ$69))+1)</f>
        <v>1.8892343160292709E-2</v>
      </c>
    </row>
    <row r="729" spans="1:2" x14ac:dyDescent="0.25">
      <c r="A729" cm="1">
        <f t="array" ref="A729">INDEX('Portfolio Weights Returns'!$B$9:$BJ$69,
INT((ROW(A728)-1)/COLUMNS('Portfolio Weights Returns'!$B$9:$BJ$69))+1,MOD(ROW(A728)-1,COLUMNS('Portfolio Weights Returns'!$B$9:$BJ$69))+1)</f>
        <v>-7.4291327618735423E-4</v>
      </c>
      <c r="B729" cm="1">
        <f t="array" ref="B729">INDEX('Portfolio Weights Std'!$B$9:$BJ$69,INT((ROW(A728)-1)/COLUMNS('Portfolio Weights Std'!$B$9:$BJ$69))+1,MOD(ROW(A728)-1,COLUMNS('Portfolio Weights Std'!$B$9:$BJ$69))+1)</f>
        <v>1.8769503387396552E-2</v>
      </c>
    </row>
    <row r="730" spans="1:2" x14ac:dyDescent="0.25">
      <c r="A730" cm="1">
        <f t="array" ref="A730">INDEX('Portfolio Weights Returns'!$B$9:$BJ$69,
INT((ROW(A729)-1)/COLUMNS('Portfolio Weights Returns'!$B$9:$BJ$69))+1,MOD(ROW(A729)-1,COLUMNS('Portfolio Weights Returns'!$B$9:$BJ$69))+1)</f>
        <v>-7.3613210222067454E-4</v>
      </c>
      <c r="B730" cm="1">
        <f t="array" ref="B730">INDEX('Portfolio Weights Std'!$B$9:$BJ$69,INT((ROW(A729)-1)/COLUMNS('Portfolio Weights Std'!$B$9:$BJ$69))+1,MOD(ROW(A729)-1,COLUMNS('Portfolio Weights Std'!$B$9:$BJ$69))+1)</f>
        <v>1.8648337475213394E-2</v>
      </c>
    </row>
    <row r="731" spans="1:2" x14ac:dyDescent="0.25">
      <c r="A731" cm="1">
        <f t="array" ref="A731">INDEX('Portfolio Weights Returns'!$B$9:$BJ$69,
INT((ROW(A730)-1)/COLUMNS('Portfolio Weights Returns'!$B$9:$BJ$69))+1,MOD(ROW(A730)-1,COLUMNS('Portfolio Weights Returns'!$B$9:$BJ$69))+1)</f>
        <v>-7.2935092825399551E-4</v>
      </c>
      <c r="B731" cm="1">
        <f t="array" ref="B731">INDEX('Portfolio Weights Std'!$B$9:$BJ$69,INT((ROW(A730)-1)/COLUMNS('Portfolio Weights Std'!$B$9:$BJ$69))+1,MOD(ROW(A730)-1,COLUMNS('Portfolio Weights Std'!$B$9:$BJ$69))+1)</f>
        <v>1.8528878261409462E-2</v>
      </c>
    </row>
    <row r="732" spans="1:2" x14ac:dyDescent="0.25">
      <c r="A732" cm="1">
        <f t="array" ref="A732">INDEX('Portfolio Weights Returns'!$B$9:$BJ$69,
INT((ROW(A731)-1)/COLUMNS('Portfolio Weights Returns'!$B$9:$BJ$69))+1,MOD(ROW(A731)-1,COLUMNS('Portfolio Weights Returns'!$B$9:$BJ$69))+1)</f>
        <v>-7.2256975428731636E-4</v>
      </c>
      <c r="B732" cm="1">
        <f t="array" ref="B732">INDEX('Portfolio Weights Std'!$B$9:$BJ$69,INT((ROW(A731)-1)/COLUMNS('Portfolio Weights Std'!$B$9:$BJ$69))+1,MOD(ROW(A731)-1,COLUMNS('Portfolio Weights Std'!$B$9:$BJ$69))+1)</f>
        <v>1.8411158967309525E-2</v>
      </c>
    </row>
    <row r="733" spans="1:2" x14ac:dyDescent="0.25">
      <c r="A733" cm="1">
        <f t="array" ref="A733">INDEX('Portfolio Weights Returns'!$B$9:$BJ$69,
INT((ROW(A732)-1)/COLUMNS('Portfolio Weights Returns'!$B$9:$BJ$69))+1,MOD(ROW(A732)-1,COLUMNS('Portfolio Weights Returns'!$B$9:$BJ$69))+1)</f>
        <v>-7.1578858032063722E-4</v>
      </c>
      <c r="B733" cm="1">
        <f t="array" ref="B733">INDEX('Portfolio Weights Std'!$B$9:$BJ$69,INT((ROW(A732)-1)/COLUMNS('Portfolio Weights Std'!$B$9:$BJ$69))+1,MOD(ROW(A732)-1,COLUMNS('Portfolio Weights Std'!$B$9:$BJ$69))+1)</f>
        <v>1.8295213179126329E-2</v>
      </c>
    </row>
    <row r="734" spans="1:2" x14ac:dyDescent="0.25">
      <c r="A734" cm="1">
        <f t="array" ref="A734">INDEX('Portfolio Weights Returns'!$B$9:$BJ$69,
INT((ROW(A733)-1)/COLUMNS('Portfolio Weights Returns'!$B$9:$BJ$69))+1,MOD(ROW(A733)-1,COLUMNS('Portfolio Weights Returns'!$B$9:$BJ$69))+1)</f>
        <v>-1.116084810475929E-3</v>
      </c>
      <c r="B734" cm="1">
        <f t="array" ref="B734">INDEX('Portfolio Weights Std'!$B$9:$BJ$69,INT((ROW(A733)-1)/COLUMNS('Portfolio Weights Std'!$B$9:$BJ$69))+1,MOD(ROW(A733)-1,COLUMNS('Portfolio Weights Std'!$B$9:$BJ$69))+1)</f>
        <v>2.7238172287468086E-2</v>
      </c>
    </row>
    <row r="735" spans="1:2" x14ac:dyDescent="0.25">
      <c r="A735" cm="1">
        <f t="array" ref="A735">INDEX('Portfolio Weights Returns'!$B$9:$BJ$69,
INT((ROW(A734)-1)/COLUMNS('Portfolio Weights Returns'!$B$9:$BJ$69))+1,MOD(ROW(A734)-1,COLUMNS('Portfolio Weights Returns'!$B$9:$BJ$69))+1)</f>
        <v>-1.1093036365092499E-3</v>
      </c>
      <c r="B735" cm="1">
        <f t="array" ref="B735">INDEX('Portfolio Weights Std'!$B$9:$BJ$69,INT((ROW(A734)-1)/COLUMNS('Portfolio Weights Std'!$B$9:$BJ$69))+1,MOD(ROW(A734)-1,COLUMNS('Portfolio Weights Std'!$B$9:$BJ$69))+1)</f>
        <v>2.7060571380365484E-2</v>
      </c>
    </row>
    <row r="736" spans="1:2" x14ac:dyDescent="0.25">
      <c r="A736" cm="1">
        <f t="array" ref="A736">INDEX('Portfolio Weights Returns'!$B$9:$BJ$69,
INT((ROW(A735)-1)/COLUMNS('Portfolio Weights Returns'!$B$9:$BJ$69))+1,MOD(ROW(A735)-1,COLUMNS('Portfolio Weights Returns'!$B$9:$BJ$69))+1)</f>
        <v>-1.1025224625425707E-3</v>
      </c>
      <c r="B736" cm="1">
        <f t="array" ref="B736">INDEX('Portfolio Weights Std'!$B$9:$BJ$69,INT((ROW(A735)-1)/COLUMNS('Portfolio Weights Std'!$B$9:$BJ$69))+1,MOD(ROW(A735)-1,COLUMNS('Portfolio Weights Std'!$B$9:$BJ$69))+1)</f>
        <v>2.6883519545599723E-2</v>
      </c>
    </row>
    <row r="737" spans="1:2" x14ac:dyDescent="0.25">
      <c r="A737" cm="1">
        <f t="array" ref="A737">INDEX('Portfolio Weights Returns'!$B$9:$BJ$69,
INT((ROW(A736)-1)/COLUMNS('Portfolio Weights Returns'!$B$9:$BJ$69))+1,MOD(ROW(A736)-1,COLUMNS('Portfolio Weights Returns'!$B$9:$BJ$69))+1)</f>
        <v>-1.0957412885758918E-3</v>
      </c>
      <c r="B737" cm="1">
        <f t="array" ref="B737">INDEX('Portfolio Weights Std'!$B$9:$BJ$69,INT((ROW(A736)-1)/COLUMNS('Portfolio Weights Std'!$B$9:$BJ$69))+1,MOD(ROW(A736)-1,COLUMNS('Portfolio Weights Std'!$B$9:$BJ$69))+1)</f>
        <v>2.6707027703249859E-2</v>
      </c>
    </row>
    <row r="738" spans="1:2" x14ac:dyDescent="0.25">
      <c r="A738" cm="1">
        <f t="array" ref="A738">INDEX('Portfolio Weights Returns'!$B$9:$BJ$69,
INT((ROW(A737)-1)/COLUMNS('Portfolio Weights Returns'!$B$9:$BJ$69))+1,MOD(ROW(A737)-1,COLUMNS('Portfolio Weights Returns'!$B$9:$BJ$69))+1)</f>
        <v>-1.0889601146092127E-3</v>
      </c>
      <c r="B738" cm="1">
        <f t="array" ref="B738">INDEX('Portfolio Weights Std'!$B$9:$BJ$69,INT((ROW(A737)-1)/COLUMNS('Portfolio Weights Std'!$B$9:$BJ$69))+1,MOD(ROW(A737)-1,COLUMNS('Portfolio Weights Std'!$B$9:$BJ$69))+1)</f>
        <v>2.6531107028964968E-2</v>
      </c>
    </row>
    <row r="739" spans="1:2" x14ac:dyDescent="0.25">
      <c r="A739" cm="1">
        <f t="array" ref="A739">INDEX('Portfolio Weights Returns'!$B$9:$BJ$69,
INT((ROW(A738)-1)/COLUMNS('Portfolio Weights Returns'!$B$9:$BJ$69))+1,MOD(ROW(A738)-1,COLUMNS('Portfolio Weights Returns'!$B$9:$BJ$69))+1)</f>
        <v>-1.0821789406425333E-3</v>
      </c>
      <c r="B739" cm="1">
        <f t="array" ref="B739">INDEX('Portfolio Weights Std'!$B$9:$BJ$69,INT((ROW(A738)-1)/COLUMNS('Portfolio Weights Std'!$B$9:$BJ$69))+1,MOD(ROW(A738)-1,COLUMNS('Portfolio Weights Std'!$B$9:$BJ$69))+1)</f>
        <v>2.6355768960122549E-2</v>
      </c>
    </row>
    <row r="740" spans="1:2" x14ac:dyDescent="0.25">
      <c r="A740" cm="1">
        <f t="array" ref="A740">INDEX('Portfolio Weights Returns'!$B$9:$BJ$69,
INT((ROW(A739)-1)/COLUMNS('Portfolio Weights Returns'!$B$9:$BJ$69))+1,MOD(ROW(A739)-1,COLUMNS('Portfolio Weights Returns'!$B$9:$BJ$69))+1)</f>
        <v>-1.0753977666758542E-3</v>
      </c>
      <c r="B740" cm="1">
        <f t="array" ref="B740">INDEX('Portfolio Weights Std'!$B$9:$BJ$69,INT((ROW(A739)-1)/COLUMNS('Portfolio Weights Std'!$B$9:$BJ$69))+1,MOD(ROW(A739)-1,COLUMNS('Portfolio Weights Std'!$B$9:$BJ$69))+1)</f>
        <v>2.6181025202101037E-2</v>
      </c>
    </row>
    <row r="741" spans="1:2" x14ac:dyDescent="0.25">
      <c r="A741" cm="1">
        <f t="array" ref="A741">INDEX('Portfolio Weights Returns'!$B$9:$BJ$69,
INT((ROW(A740)-1)/COLUMNS('Portfolio Weights Returns'!$B$9:$BJ$69))+1,MOD(ROW(A740)-1,COLUMNS('Portfolio Weights Returns'!$B$9:$BJ$69))+1)</f>
        <v>-1.068616592709175E-3</v>
      </c>
      <c r="B741" cm="1">
        <f t="array" ref="B741">INDEX('Portfolio Weights Std'!$B$9:$BJ$69,INT((ROW(A740)-1)/COLUMNS('Portfolio Weights Std'!$B$9:$BJ$69))+1,MOD(ROW(A740)-1,COLUMNS('Portfolio Weights Std'!$B$9:$BJ$69))+1)</f>
        <v>2.6006887734664953E-2</v>
      </c>
    </row>
    <row r="742" spans="1:2" x14ac:dyDescent="0.25">
      <c r="A742" cm="1">
        <f t="array" ref="A742">INDEX('Portfolio Weights Returns'!$B$9:$BJ$69,
INT((ROW(A741)-1)/COLUMNS('Portfolio Weights Returns'!$B$9:$BJ$69))+1,MOD(ROW(A741)-1,COLUMNS('Portfolio Weights Returns'!$B$9:$BJ$69))+1)</f>
        <v>-1.0618354187424961E-3</v>
      </c>
      <c r="B742" cm="1">
        <f t="array" ref="B742">INDEX('Portfolio Weights Std'!$B$9:$BJ$69,INT((ROW(A741)-1)/COLUMNS('Portfolio Weights Std'!$B$9:$BJ$69))+1,MOD(ROW(A741)-1,COLUMNS('Portfolio Weights Std'!$B$9:$BJ$69))+1)</f>
        <v>2.5833368818460534E-2</v>
      </c>
    </row>
    <row r="743" spans="1:2" x14ac:dyDescent="0.25">
      <c r="A743" cm="1">
        <f t="array" ref="A743">INDEX('Portfolio Weights Returns'!$B$9:$BJ$69,
INT((ROW(A742)-1)/COLUMNS('Portfolio Weights Returns'!$B$9:$BJ$69))+1,MOD(ROW(A742)-1,COLUMNS('Portfolio Weights Returns'!$B$9:$BJ$69))+1)</f>
        <v>-1.055054244775817E-3</v>
      </c>
      <c r="B743" cm="1">
        <f t="array" ref="B743">INDEX('Portfolio Weights Std'!$B$9:$BJ$69,INT((ROW(A742)-1)/COLUMNS('Portfolio Weights Std'!$B$9:$BJ$69))+1,MOD(ROW(A742)-1,COLUMNS('Portfolio Weights Std'!$B$9:$BJ$69))+1)</f>
        <v>2.5660481001619544E-2</v>
      </c>
    </row>
    <row r="744" spans="1:2" x14ac:dyDescent="0.25">
      <c r="A744" cm="1">
        <f t="array" ref="A744">INDEX('Portfolio Weights Returns'!$B$9:$BJ$69,
INT((ROW(A743)-1)/COLUMNS('Portfolio Weights Returns'!$B$9:$BJ$69))+1,MOD(ROW(A743)-1,COLUMNS('Portfolio Weights Returns'!$B$9:$BJ$69))+1)</f>
        <v>-1.0482730708091378E-3</v>
      </c>
      <c r="B744" cm="1">
        <f t="array" ref="B744">INDEX('Portfolio Weights Std'!$B$9:$BJ$69,INT((ROW(A743)-1)/COLUMNS('Portfolio Weights Std'!$B$9:$BJ$69))+1,MOD(ROW(A743)-1,COLUMNS('Portfolio Weights Std'!$B$9:$BJ$69))+1)</f>
        <v>2.5488237126468197E-2</v>
      </c>
    </row>
    <row r="745" spans="1:2" x14ac:dyDescent="0.25">
      <c r="A745" cm="1">
        <f t="array" ref="A745">INDEX('Portfolio Weights Returns'!$B$9:$BJ$69,
INT((ROW(A744)-1)/COLUMNS('Portfolio Weights Returns'!$B$9:$BJ$69))+1,MOD(ROW(A744)-1,COLUMNS('Portfolio Weights Returns'!$B$9:$BJ$69))+1)</f>
        <v>-1.0414918968424587E-3</v>
      </c>
      <c r="B745" cm="1">
        <f t="array" ref="B745">INDEX('Portfolio Weights Std'!$B$9:$BJ$69,INT((ROW(A744)-1)/COLUMNS('Portfolio Weights Std'!$B$9:$BJ$69))+1,MOD(ROW(A744)-1,COLUMNS('Portfolio Weights Std'!$B$9:$BJ$69))+1)</f>
        <v>2.5316650336337787E-2</v>
      </c>
    </row>
    <row r="746" spans="1:2" x14ac:dyDescent="0.25">
      <c r="A746" cm="1">
        <f t="array" ref="A746">INDEX('Portfolio Weights Returns'!$B$9:$BJ$69,
INT((ROW(A745)-1)/COLUMNS('Portfolio Weights Returns'!$B$9:$BJ$69))+1,MOD(ROW(A745)-1,COLUMNS('Portfolio Weights Returns'!$B$9:$BJ$69))+1)</f>
        <v>-1.0347107228757797E-3</v>
      </c>
      <c r="B746" cm="1">
        <f t="array" ref="B746">INDEX('Portfolio Weights Std'!$B$9:$BJ$69,INT((ROW(A745)-1)/COLUMNS('Portfolio Weights Std'!$B$9:$BJ$69))+1,MOD(ROW(A745)-1,COLUMNS('Portfolio Weights Std'!$B$9:$BJ$69))+1)</f>
        <v>2.5145734082472886E-2</v>
      </c>
    </row>
    <row r="747" spans="1:2" x14ac:dyDescent="0.25">
      <c r="A747" cm="1">
        <f t="array" ref="A747">INDEX('Portfolio Weights Returns'!$B$9:$BJ$69,
INT((ROW(A746)-1)/COLUMNS('Portfolio Weights Returns'!$B$9:$BJ$69))+1,MOD(ROW(A746)-1,COLUMNS('Portfolio Weights Returns'!$B$9:$BJ$69))+1)</f>
        <v>-1.0279295489091006E-3</v>
      </c>
      <c r="B747" cm="1">
        <f t="array" ref="B747">INDEX('Portfolio Weights Std'!$B$9:$BJ$69,INT((ROW(A746)-1)/COLUMNS('Portfolio Weights Std'!$B$9:$BJ$69))+1,MOD(ROW(A746)-1,COLUMNS('Portfolio Weights Std'!$B$9:$BJ$69))+1)</f>
        <v>2.4975502131032536E-2</v>
      </c>
    </row>
    <row r="748" spans="1:2" x14ac:dyDescent="0.25">
      <c r="A748" cm="1">
        <f t="array" ref="A748">INDEX('Portfolio Weights Returns'!$B$9:$BJ$69,
INT((ROW(A747)-1)/COLUMNS('Portfolio Weights Returns'!$B$9:$BJ$69))+1,MOD(ROW(A747)-1,COLUMNS('Portfolio Weights Returns'!$B$9:$BJ$69))+1)</f>
        <v>-1.0211483749424214E-3</v>
      </c>
      <c r="B748" cm="1">
        <f t="array" ref="B748">INDEX('Portfolio Weights Std'!$B$9:$BJ$69,INT((ROW(A747)-1)/COLUMNS('Portfolio Weights Std'!$B$9:$BJ$69))+1,MOD(ROW(A747)-1,COLUMNS('Portfolio Weights Std'!$B$9:$BJ$69))+1)</f>
        <v>2.4805968570179013E-2</v>
      </c>
    </row>
    <row r="749" spans="1:2" x14ac:dyDescent="0.25">
      <c r="A749" cm="1">
        <f t="array" ref="A749">INDEX('Portfolio Weights Returns'!$B$9:$BJ$69,
INT((ROW(A748)-1)/COLUMNS('Portfolio Weights Returns'!$B$9:$BJ$69))+1,MOD(ROW(A748)-1,COLUMNS('Portfolio Weights Returns'!$B$9:$BJ$69))+1)</f>
        <v>-1.0143672009757423E-3</v>
      </c>
      <c r="B749" cm="1">
        <f t="array" ref="B749">INDEX('Portfolio Weights Std'!$B$9:$BJ$69,INT((ROW(A748)-1)/COLUMNS('Portfolio Weights Std'!$B$9:$BJ$69))+1,MOD(ROW(A748)-1,COLUMNS('Portfolio Weights Std'!$B$9:$BJ$69))+1)</f>
        <v>2.4637147817248104E-2</v>
      </c>
    </row>
    <row r="750" spans="1:2" x14ac:dyDescent="0.25">
      <c r="A750" cm="1">
        <f t="array" ref="A750">INDEX('Portfolio Weights Returns'!$B$9:$BJ$69,
INT((ROW(A749)-1)/COLUMNS('Portfolio Weights Returns'!$B$9:$BJ$69))+1,MOD(ROW(A749)-1,COLUMNS('Portfolio Weights Returns'!$B$9:$BJ$69))+1)</f>
        <v>-1.0075860270090634E-3</v>
      </c>
      <c r="B750" cm="1">
        <f t="array" ref="B750">INDEX('Portfolio Weights Std'!$B$9:$BJ$69,INT((ROW(A749)-1)/COLUMNS('Portfolio Weights Std'!$B$9:$BJ$69))+1,MOD(ROW(A749)-1,COLUMNS('Portfolio Weights Std'!$B$9:$BJ$69))+1)</f>
        <v>2.4469054625994101E-2</v>
      </c>
    </row>
    <row r="751" spans="1:2" x14ac:dyDescent="0.25">
      <c r="A751" cm="1">
        <f t="array" ref="A751">INDEX('Portfolio Weights Returns'!$B$9:$BJ$69,
INT((ROW(A750)-1)/COLUMNS('Portfolio Weights Returns'!$B$9:$BJ$69))+1,MOD(ROW(A750)-1,COLUMNS('Portfolio Weights Returns'!$B$9:$BJ$69))+1)</f>
        <v>-1.0008048530423842E-3</v>
      </c>
      <c r="B751" cm="1">
        <f t="array" ref="B751">INDEX('Portfolio Weights Std'!$B$9:$BJ$69,INT((ROW(A750)-1)/COLUMNS('Portfolio Weights Std'!$B$9:$BJ$69))+1,MOD(ROW(A750)-1,COLUMNS('Portfolio Weights Std'!$B$9:$BJ$69))+1)</f>
        <v>2.4301704093901706E-2</v>
      </c>
    </row>
    <row r="752" spans="1:2" x14ac:dyDescent="0.25">
      <c r="A752" cm="1">
        <f t="array" ref="A752">INDEX('Portfolio Weights Returns'!$B$9:$BJ$69,
INT((ROW(A751)-1)/COLUMNS('Portfolio Weights Returns'!$B$9:$BJ$69))+1,MOD(ROW(A751)-1,COLUMNS('Portfolio Weights Returns'!$B$9:$BJ$69))+1)</f>
        <v>-9.9402367907570508E-4</v>
      </c>
      <c r="B752" cm="1">
        <f t="array" ref="B752">INDEX('Portfolio Weights Std'!$B$9:$BJ$69,INT((ROW(A751)-1)/COLUMNS('Portfolio Weights Std'!$B$9:$BJ$69))+1,MOD(ROW(A751)-1,COLUMNS('Portfolio Weights Std'!$B$9:$BJ$69))+1)</f>
        <v>2.4135111669556474E-2</v>
      </c>
    </row>
    <row r="753" spans="1:2" x14ac:dyDescent="0.25">
      <c r="A753" cm="1">
        <f t="array" ref="A753">INDEX('Portfolio Weights Returns'!$B$9:$BJ$69,
INT((ROW(A752)-1)/COLUMNS('Portfolio Weights Returns'!$B$9:$BJ$69))+1,MOD(ROW(A752)-1,COLUMNS('Portfolio Weights Returns'!$B$9:$BJ$69))+1)</f>
        <v>-9.8724250510902594E-4</v>
      </c>
      <c r="B753" cm="1">
        <f t="array" ref="B753">INDEX('Portfolio Weights Std'!$B$9:$BJ$69,INT((ROW(A752)-1)/COLUMNS('Portfolio Weights Std'!$B$9:$BJ$69))+1,MOD(ROW(A752)-1,COLUMNS('Portfolio Weights Std'!$B$9:$BJ$69))+1)</f>
        <v>2.3969293160063958E-2</v>
      </c>
    </row>
    <row r="754" spans="1:2" x14ac:dyDescent="0.25">
      <c r="A754" cm="1">
        <f t="array" ref="A754">INDEX('Portfolio Weights Returns'!$B$9:$BJ$69,
INT((ROW(A753)-1)/COLUMNS('Portfolio Weights Returns'!$B$9:$BJ$69))+1,MOD(ROW(A753)-1,COLUMNS('Portfolio Weights Returns'!$B$9:$BJ$69))+1)</f>
        <v>-9.804613311423468E-4</v>
      </c>
      <c r="B754" cm="1">
        <f t="array" ref="B754">INDEX('Portfolio Weights Std'!$B$9:$BJ$69,INT((ROW(A753)-1)/COLUMNS('Portfolio Weights Std'!$B$9:$BJ$69))+1,MOD(ROW(A753)-1,COLUMNS('Portfolio Weights Std'!$B$9:$BJ$69))+1)</f>
        <v>2.3804264738507313E-2</v>
      </c>
    </row>
    <row r="755" spans="1:2" x14ac:dyDescent="0.25">
      <c r="A755" cm="1">
        <f t="array" ref="A755">INDEX('Portfolio Weights Returns'!$B$9:$BJ$69,
INT((ROW(A754)-1)/COLUMNS('Portfolio Weights Returns'!$B$9:$BJ$69))+1,MOD(ROW(A754)-1,COLUMNS('Portfolio Weights Returns'!$B$9:$BJ$69))+1)</f>
        <v>-9.7368015717566776E-4</v>
      </c>
      <c r="B755" cm="1">
        <f t="array" ref="B755">INDEX('Portfolio Weights Std'!$B$9:$BJ$69,INT((ROW(A754)-1)/COLUMNS('Portfolio Weights Std'!$B$9:$BJ$69))+1,MOD(ROW(A754)-1,COLUMNS('Portfolio Weights Std'!$B$9:$BJ$69))+1)</f>
        <v>2.364004295143142E-2</v>
      </c>
    </row>
    <row r="756" spans="1:2" x14ac:dyDescent="0.25">
      <c r="A756" cm="1">
        <f t="array" ref="A756">INDEX('Portfolio Weights Returns'!$B$9:$BJ$69,
INT((ROW(A755)-1)/COLUMNS('Portfolio Weights Returns'!$B$9:$BJ$69))+1,MOD(ROW(A755)-1,COLUMNS('Portfolio Weights Returns'!$B$9:$BJ$69))+1)</f>
        <v>-9.6689898320898872E-4</v>
      </c>
      <c r="B756" cm="1">
        <f t="array" ref="B756">INDEX('Portfolio Weights Std'!$B$9:$BJ$69,INT((ROW(A755)-1)/COLUMNS('Portfolio Weights Std'!$B$9:$BJ$69))+1,MOD(ROW(A755)-1,COLUMNS('Portfolio Weights Std'!$B$9:$BJ$69))+1)</f>
        <v>2.3476644726340857E-2</v>
      </c>
    </row>
    <row r="757" spans="1:2" x14ac:dyDescent="0.25">
      <c r="A757" cm="1">
        <f t="array" ref="A757">INDEX('Portfolio Weights Returns'!$B$9:$BJ$69,
INT((ROW(A756)-1)/COLUMNS('Portfolio Weights Returns'!$B$9:$BJ$69))+1,MOD(ROW(A756)-1,COLUMNS('Portfolio Weights Returns'!$B$9:$BJ$69))+1)</f>
        <v>-9.6011780924230958E-4</v>
      </c>
      <c r="B757" cm="1">
        <f t="array" ref="B757">INDEX('Portfolio Weights Std'!$B$9:$BJ$69,INT((ROW(A756)-1)/COLUMNS('Portfolio Weights Std'!$B$9:$BJ$69))+1,MOD(ROW(A756)-1,COLUMNS('Portfolio Weights Std'!$B$9:$BJ$69))+1)</f>
        <v>2.3314087379197573E-2</v>
      </c>
    </row>
    <row r="758" spans="1:2" x14ac:dyDescent="0.25">
      <c r="A758" cm="1">
        <f t="array" ref="A758">INDEX('Portfolio Weights Returns'!$B$9:$BJ$69,
INT((ROW(A757)-1)/COLUMNS('Portfolio Weights Returns'!$B$9:$BJ$69))+1,MOD(ROW(A757)-1,COLUMNS('Portfolio Weights Returns'!$B$9:$BJ$69))+1)</f>
        <v>-9.5333663527563044E-4</v>
      </c>
      <c r="B758" cm="1">
        <f t="array" ref="B758">INDEX('Portfolio Weights Std'!$B$9:$BJ$69,INT((ROW(A757)-1)/COLUMNS('Portfolio Weights Std'!$B$9:$BJ$69))+1,MOD(ROW(A757)-1,COLUMNS('Portfolio Weights Std'!$B$9:$BJ$69))+1)</f>
        <v>2.3152388621902859E-2</v>
      </c>
    </row>
    <row r="759" spans="1:2" x14ac:dyDescent="0.25">
      <c r="A759" cm="1">
        <f t="array" ref="A759">INDEX('Portfolio Weights Returns'!$B$9:$BJ$69,
INT((ROW(A758)-1)/COLUMNS('Portfolio Weights Returns'!$B$9:$BJ$69))+1,MOD(ROW(A758)-1,COLUMNS('Portfolio Weights Returns'!$B$9:$BJ$69))+1)</f>
        <v>-9.465554613089514E-4</v>
      </c>
      <c r="B759" cm="1">
        <f t="array" ref="B759">INDEX('Portfolio Weights Std'!$B$9:$BJ$69,INT((ROW(A758)-1)/COLUMNS('Portfolio Weights Std'!$B$9:$BJ$69))+1,MOD(ROW(A758)-1,COLUMNS('Portfolio Weights Std'!$B$9:$BJ$69))+1)</f>
        <v>2.2991566569746838E-2</v>
      </c>
    </row>
    <row r="760" spans="1:2" x14ac:dyDescent="0.25">
      <c r="A760" cm="1">
        <f t="array" ref="A760">INDEX('Portfolio Weights Returns'!$B$9:$BJ$69,
INT((ROW(A759)-1)/COLUMNS('Portfolio Weights Returns'!$B$9:$BJ$69))+1,MOD(ROW(A759)-1,COLUMNS('Portfolio Weights Returns'!$B$9:$BJ$69))+1)</f>
        <v>-9.3977428734227225E-4</v>
      </c>
      <c r="B760" cm="1">
        <f t="array" ref="B760">INDEX('Portfolio Weights Std'!$B$9:$BJ$69,INT((ROW(A759)-1)/COLUMNS('Portfolio Weights Std'!$B$9:$BJ$69))+1,MOD(ROW(A759)-1,COLUMNS('Portfolio Weights Std'!$B$9:$BJ$69))+1)</f>
        <v>2.2831639748807132E-2</v>
      </c>
    </row>
    <row r="761" spans="1:2" x14ac:dyDescent="0.25">
      <c r="A761" cm="1">
        <f t="array" ref="A761">INDEX('Portfolio Weights Returns'!$B$9:$BJ$69,
INT((ROW(A760)-1)/COLUMNS('Portfolio Weights Returns'!$B$9:$BJ$69))+1,MOD(ROW(A760)-1,COLUMNS('Portfolio Weights Returns'!$B$9:$BJ$69))+1)</f>
        <v>-9.3299311337559311E-4</v>
      </c>
      <c r="B761" cm="1">
        <f t="array" ref="B761">INDEX('Portfolio Weights Std'!$B$9:$BJ$69,INT((ROW(A760)-1)/COLUMNS('Portfolio Weights Std'!$B$9:$BJ$69))+1,MOD(ROW(A760)-1,COLUMNS('Portfolio Weights Std'!$B$9:$BJ$69))+1)</f>
        <v>2.267262710327687E-2</v>
      </c>
    </row>
    <row r="762" spans="1:2" x14ac:dyDescent="0.25">
      <c r="A762" cm="1">
        <f t="array" ref="A762">INDEX('Portfolio Weights Returns'!$B$9:$BJ$69,
INT((ROW(A761)-1)/COLUMNS('Portfolio Weights Returns'!$B$9:$BJ$69))+1,MOD(ROW(A761)-1,COLUMNS('Portfolio Weights Returns'!$B$9:$BJ$69))+1)</f>
        <v>-9.2621193940891397E-4</v>
      </c>
      <c r="B762" cm="1">
        <f t="array" ref="B762">INDEX('Portfolio Weights Std'!$B$9:$BJ$69,INT((ROW(A761)-1)/COLUMNS('Portfolio Weights Std'!$B$9:$BJ$69))+1,MOD(ROW(A761)-1,COLUMNS('Portfolio Weights Std'!$B$9:$BJ$69))+1)</f>
        <v>2.2514548002700526E-2</v>
      </c>
    </row>
    <row r="763" spans="1:2" x14ac:dyDescent="0.25">
      <c r="A763" cm="1">
        <f t="array" ref="A763">INDEX('Portfolio Weights Returns'!$B$9:$BJ$69,
INT((ROW(A762)-1)/COLUMNS('Portfolio Weights Returns'!$B$9:$BJ$69))+1,MOD(ROW(A762)-1,COLUMNS('Portfolio Weights Returns'!$B$9:$BJ$69))+1)</f>
        <v>-9.1943076544223493E-4</v>
      </c>
      <c r="B763" cm="1">
        <f t="array" ref="B763">INDEX('Portfolio Weights Std'!$B$9:$BJ$69,INT((ROW(A762)-1)/COLUMNS('Portfolio Weights Std'!$B$9:$BJ$69))+1,MOD(ROW(A762)-1,COLUMNS('Portfolio Weights Std'!$B$9:$BJ$69))+1)</f>
        <v>2.2357422249094226E-2</v>
      </c>
    </row>
    <row r="764" spans="1:2" x14ac:dyDescent="0.25">
      <c r="A764" cm="1">
        <f t="array" ref="A764">INDEX('Portfolio Weights Returns'!$B$9:$BJ$69,
INT((ROW(A763)-1)/COLUMNS('Portfolio Weights Returns'!$B$9:$BJ$69))+1,MOD(ROW(A763)-1,COLUMNS('Portfolio Weights Returns'!$B$9:$BJ$69))+1)</f>
        <v>-9.1264959147555579E-4</v>
      </c>
      <c r="B764" cm="1">
        <f t="array" ref="B764">INDEX('Portfolio Weights Std'!$B$9:$BJ$69,INT((ROW(A763)-1)/COLUMNS('Portfolio Weights Std'!$B$9:$BJ$69))+1,MOD(ROW(A763)-1,COLUMNS('Portfolio Weights Std'!$B$9:$BJ$69))+1)</f>
        <v>2.2201270083925525E-2</v>
      </c>
    </row>
    <row r="765" spans="1:2" x14ac:dyDescent="0.25">
      <c r="A765" cm="1">
        <f t="array" ref="A765">INDEX('Portfolio Weights Returns'!$B$9:$BJ$69,
INT((ROW(A764)-1)/COLUMNS('Portfolio Weights Returns'!$B$9:$BJ$69))+1,MOD(ROW(A764)-1,COLUMNS('Portfolio Weights Returns'!$B$9:$BJ$69))+1)</f>
        <v>-9.0586841750887675E-4</v>
      </c>
      <c r="B765" cm="1">
        <f t="array" ref="B765">INDEX('Portfolio Weights Std'!$B$9:$BJ$69,INT((ROW(A764)-1)/COLUMNS('Portfolio Weights Std'!$B$9:$BJ$69))+1,MOD(ROW(A764)-1,COLUMNS('Portfolio Weights Std'!$B$9:$BJ$69))+1)</f>
        <v>2.2046112194925558E-2</v>
      </c>
    </row>
    <row r="766" spans="1:2" x14ac:dyDescent="0.25">
      <c r="A766" cm="1">
        <f t="array" ref="A766">INDEX('Portfolio Weights Returns'!$B$9:$BJ$69,
INT((ROW(A765)-1)/COLUMNS('Portfolio Weights Returns'!$B$9:$BJ$69))+1,MOD(ROW(A765)-1,COLUMNS('Portfolio Weights Returns'!$B$9:$BJ$69))+1)</f>
        <v>-8.990872435421976E-4</v>
      </c>
      <c r="B766" cm="1">
        <f t="array" ref="B766">INDEX('Portfolio Weights Std'!$B$9:$BJ$69,INT((ROW(A765)-1)/COLUMNS('Portfolio Weights Std'!$B$9:$BJ$69))+1,MOD(ROW(A765)-1,COLUMNS('Portfolio Weights Std'!$B$9:$BJ$69))+1)</f>
        <v>2.1891969722704498E-2</v>
      </c>
    </row>
    <row r="767" spans="1:2" x14ac:dyDescent="0.25">
      <c r="A767" cm="1">
        <f t="array" ref="A767">INDEX('Portfolio Weights Returns'!$B$9:$BJ$69,
INT((ROW(A766)-1)/COLUMNS('Portfolio Weights Returns'!$B$9:$BJ$69))+1,MOD(ROW(A766)-1,COLUMNS('Portfolio Weights Returns'!$B$9:$BJ$69))+1)</f>
        <v>-8.9230606957551857E-4</v>
      </c>
      <c r="B767" cm="1">
        <f t="array" ref="B767">INDEX('Portfolio Weights Std'!$B$9:$BJ$69,INT((ROW(A766)-1)/COLUMNS('Portfolio Weights Std'!$B$9:$BJ$69))+1,MOD(ROW(A766)-1,COLUMNS('Portfolio Weights Std'!$B$9:$BJ$69))+1)</f>
        <v>2.1738864267139193E-2</v>
      </c>
    </row>
    <row r="768" spans="1:2" x14ac:dyDescent="0.25">
      <c r="A768" cm="1">
        <f t="array" ref="A768">INDEX('Portfolio Weights Returns'!$B$9:$BJ$69,
INT((ROW(A767)-1)/COLUMNS('Portfolio Weights Returns'!$B$9:$BJ$69))+1,MOD(ROW(A767)-1,COLUMNS('Portfolio Weights Returns'!$B$9:$BJ$69))+1)</f>
        <v>-8.8552489560883932E-4</v>
      </c>
      <c r="B768" cm="1">
        <f t="array" ref="B768">INDEX('Portfolio Weights Std'!$B$9:$BJ$69,INT((ROW(A767)-1)/COLUMNS('Portfolio Weights Std'!$B$9:$BJ$69))+1,MOD(ROW(A767)-1,COLUMNS('Portfolio Weights Std'!$B$9:$BJ$69))+1)</f>
        <v>2.1586817893499682E-2</v>
      </c>
    </row>
    <row r="769" spans="1:2" x14ac:dyDescent="0.25">
      <c r="A769" cm="1">
        <f t="array" ref="A769">INDEX('Portfolio Weights Returns'!$B$9:$BJ$69,
INT((ROW(A768)-1)/COLUMNS('Portfolio Weights Returns'!$B$9:$BJ$69))+1,MOD(ROW(A768)-1,COLUMNS('Portfolio Weights Returns'!$B$9:$BJ$69))+1)</f>
        <v>-8.7874372164216017E-4</v>
      </c>
      <c r="B769" cm="1">
        <f t="array" ref="B769">INDEX('Portfolio Weights Std'!$B$9:$BJ$69,INT((ROW(A768)-1)/COLUMNS('Portfolio Weights Std'!$B$9:$BJ$69))+1,MOD(ROW(A768)-1,COLUMNS('Portfolio Weights Std'!$B$9:$BJ$69))+1)</f>
        <v>2.1435853138278886E-2</v>
      </c>
    </row>
    <row r="770" spans="1:2" x14ac:dyDescent="0.25">
      <c r="A770" cm="1">
        <f t="array" ref="A770">INDEX('Portfolio Weights Returns'!$B$9:$BJ$69,
INT((ROW(A769)-1)/COLUMNS('Portfolio Weights Returns'!$B$9:$BJ$69))+1,MOD(ROW(A769)-1,COLUMNS('Portfolio Weights Returns'!$B$9:$BJ$69))+1)</f>
        <v>-8.7196254767548114E-4</v>
      </c>
      <c r="B770" cm="1">
        <f t="array" ref="B770">INDEX('Portfolio Weights Std'!$B$9:$BJ$69,INT((ROW(A769)-1)/COLUMNS('Portfolio Weights Std'!$B$9:$BJ$69))+1,MOD(ROW(A769)-1,COLUMNS('Portfolio Weights Std'!$B$9:$BJ$69))+1)</f>
        <v>2.1285993014687605E-2</v>
      </c>
    </row>
    <row r="771" spans="1:2" x14ac:dyDescent="0.25">
      <c r="A771" cm="1">
        <f t="array" ref="A771">INDEX('Portfolio Weights Returns'!$B$9:$BJ$69,
INT((ROW(A770)-1)/COLUMNS('Portfolio Weights Returns'!$B$9:$BJ$69))+1,MOD(ROW(A770)-1,COLUMNS('Portfolio Weights Returns'!$B$9:$BJ$69))+1)</f>
        <v>-8.6518137370880199E-4</v>
      </c>
      <c r="B771" cm="1">
        <f t="array" ref="B771">INDEX('Portfolio Weights Std'!$B$9:$BJ$69,INT((ROW(A770)-1)/COLUMNS('Portfolio Weights Std'!$B$9:$BJ$69))+1,MOD(ROW(A770)-1,COLUMNS('Portfolio Weights Std'!$B$9:$BJ$69))+1)</f>
        <v>2.1137261017774373E-2</v>
      </c>
    </row>
    <row r="772" spans="1:2" x14ac:dyDescent="0.25">
      <c r="A772" cm="1">
        <f t="array" ref="A772">INDEX('Portfolio Weights Returns'!$B$9:$BJ$69,
INT((ROW(A771)-1)/COLUMNS('Portfolio Weights Returns'!$B$9:$BJ$69))+1,MOD(ROW(A771)-1,COLUMNS('Portfolio Weights Returns'!$B$9:$BJ$69))+1)</f>
        <v>-8.5840019974212306E-4</v>
      </c>
      <c r="B772" cm="1">
        <f t="array" ref="B772">INDEX('Portfolio Weights Std'!$B$9:$BJ$69,INT((ROW(A771)-1)/COLUMNS('Portfolio Weights Std'!$B$9:$BJ$69))+1,MOD(ROW(A771)-1,COLUMNS('Portfolio Weights Std'!$B$9:$BJ$69))+1)</f>
        <v>2.0989681129127354E-2</v>
      </c>
    </row>
    <row r="773" spans="1:2" x14ac:dyDescent="0.25">
      <c r="A773" cm="1">
        <f t="array" ref="A773">INDEX('Portfolio Weights Returns'!$B$9:$BJ$69,
INT((ROW(A772)-1)/COLUMNS('Portfolio Weights Returns'!$B$9:$BJ$69))+1,MOD(ROW(A772)-1,COLUMNS('Portfolio Weights Returns'!$B$9:$BJ$69))+1)</f>
        <v>-8.5161902577544392E-4</v>
      </c>
      <c r="B773" cm="1">
        <f t="array" ref="B773">INDEX('Portfolio Weights Std'!$B$9:$BJ$69,INT((ROW(A772)-1)/COLUMNS('Portfolio Weights Std'!$B$9:$BJ$69))+1,MOD(ROW(A772)-1,COLUMNS('Portfolio Weights Std'!$B$9:$BJ$69))+1)</f>
        <v>2.0843277821112761E-2</v>
      </c>
    </row>
    <row r="774" spans="1:2" x14ac:dyDescent="0.25">
      <c r="A774" cm="1">
        <f t="array" ref="A774">INDEX('Portfolio Weights Returns'!$B$9:$BJ$69,
INT((ROW(A773)-1)/COLUMNS('Portfolio Weights Returns'!$B$9:$BJ$69))+1,MOD(ROW(A773)-1,COLUMNS('Portfolio Weights Returns'!$B$9:$BJ$69))+1)</f>
        <v>-8.4483785180876488E-4</v>
      </c>
      <c r="B774" cm="1">
        <f t="array" ref="B774">INDEX('Portfolio Weights Std'!$B$9:$BJ$69,INT((ROW(A773)-1)/COLUMNS('Portfolio Weights Std'!$B$9:$BJ$69))+1,MOD(ROW(A773)-1,COLUMNS('Portfolio Weights Std'!$B$9:$BJ$69))+1)</f>
        <v>2.0698076060601953E-2</v>
      </c>
    </row>
    <row r="775" spans="1:2" x14ac:dyDescent="0.25">
      <c r="A775" cm="1">
        <f t="array" ref="A775">INDEX('Portfolio Weights Returns'!$B$9:$BJ$69,
INT((ROW(A774)-1)/COLUMNS('Portfolio Weights Returns'!$B$9:$BJ$69))+1,MOD(ROW(A774)-1,COLUMNS('Portfolio Weights Returns'!$B$9:$BJ$69))+1)</f>
        <v>-8.3805667784208574E-4</v>
      </c>
      <c r="B775" cm="1">
        <f t="array" ref="B775">INDEX('Portfolio Weights Std'!$B$9:$BJ$69,INT((ROW(A774)-1)/COLUMNS('Portfolio Weights Std'!$B$9:$BJ$69))+1,MOD(ROW(A774)-1,COLUMNS('Portfolio Weights Std'!$B$9:$BJ$69))+1)</f>
        <v>2.055410131213627E-2</v>
      </c>
    </row>
    <row r="776" spans="1:2" x14ac:dyDescent="0.25">
      <c r="A776" cm="1">
        <f t="array" ref="A776">INDEX('Portfolio Weights Returns'!$B$9:$BJ$69,
INT((ROW(A775)-1)/COLUMNS('Portfolio Weights Returns'!$B$9:$BJ$69))+1,MOD(ROW(A775)-1,COLUMNS('Portfolio Weights Returns'!$B$9:$BJ$69))+1)</f>
        <v>-8.312755038754067E-4</v>
      </c>
      <c r="B776" cm="1">
        <f t="array" ref="B776">INDEX('Portfolio Weights Std'!$B$9:$BJ$69,INT((ROW(A775)-1)/COLUMNS('Portfolio Weights Std'!$B$9:$BJ$69))+1,MOD(ROW(A775)-1,COLUMNS('Portfolio Weights Std'!$B$9:$BJ$69))+1)</f>
        <v>2.0411379540476591E-2</v>
      </c>
    </row>
    <row r="777" spans="1:2" x14ac:dyDescent="0.25">
      <c r="A777" cm="1">
        <f t="array" ref="A777">INDEX('Portfolio Weights Returns'!$B$9:$BJ$69,
INT((ROW(A776)-1)/COLUMNS('Portfolio Weights Returns'!$B$9:$BJ$69))+1,MOD(ROW(A776)-1,COLUMNS('Portfolio Weights Returns'!$B$9:$BJ$69))+1)</f>
        <v>-8.2449432990872756E-4</v>
      </c>
      <c r="B777" cm="1">
        <f t="array" ref="B777">INDEX('Portfolio Weights Std'!$B$9:$BJ$69,INT((ROW(A776)-1)/COLUMNS('Portfolio Weights Std'!$B$9:$BJ$69))+1,MOD(ROW(A776)-1,COLUMNS('Portfolio Weights Std'!$B$9:$BJ$69))+1)</f>
        <v>2.0269937212481357E-2</v>
      </c>
    </row>
    <row r="778" spans="1:2" x14ac:dyDescent="0.25">
      <c r="A778" cm="1">
        <f t="array" ref="A778">INDEX('Portfolio Weights Returns'!$B$9:$BJ$69,
INT((ROW(A777)-1)/COLUMNS('Portfolio Weights Returns'!$B$9:$BJ$69))+1,MOD(ROW(A777)-1,COLUMNS('Portfolio Weights Returns'!$B$9:$BJ$69))+1)</f>
        <v>-8.1771315594204841E-4</v>
      </c>
      <c r="B778" cm="1">
        <f t="array" ref="B778">INDEX('Portfolio Weights Std'!$B$9:$BJ$69,INT((ROW(A777)-1)/COLUMNS('Portfolio Weights Std'!$B$9:$BJ$69))+1,MOD(ROW(A777)-1,COLUMNS('Portfolio Weights Std'!$B$9:$BJ$69))+1)</f>
        <v>2.0129801298254601E-2</v>
      </c>
    </row>
    <row r="779" spans="1:2" x14ac:dyDescent="0.25">
      <c r="A779" cm="1">
        <f t="array" ref="A779">INDEX('Portfolio Weights Returns'!$B$9:$BJ$69,
INT((ROW(A778)-1)/COLUMNS('Portfolio Weights Returns'!$B$9:$BJ$69))+1,MOD(ROW(A778)-1,COLUMNS('Portfolio Weights Returns'!$B$9:$BJ$69))+1)</f>
        <v>-8.1093198197536927E-4</v>
      </c>
      <c r="B779" cm="1">
        <f t="array" ref="B779">INDEX('Portfolio Weights Std'!$B$9:$BJ$69,INT((ROW(A778)-1)/COLUMNS('Portfolio Weights Std'!$B$9:$BJ$69))+1,MOD(ROW(A778)-1,COLUMNS('Portfolio Weights Std'!$B$9:$BJ$69))+1)</f>
        <v>1.9990999271502528E-2</v>
      </c>
    </row>
    <row r="780" spans="1:2" x14ac:dyDescent="0.25">
      <c r="A780" cm="1">
        <f t="array" ref="A780">INDEX('Portfolio Weights Returns'!$B$9:$BJ$69,
INT((ROW(A779)-1)/COLUMNS('Portfolio Weights Returns'!$B$9:$BJ$69))+1,MOD(ROW(A779)-1,COLUMNS('Portfolio Weights Returns'!$B$9:$BJ$69))+1)</f>
        <v>-8.0415080800869012E-4</v>
      </c>
      <c r="B780" cm="1">
        <f t="array" ref="B780">INDEX('Portfolio Weights Std'!$B$9:$BJ$69,INT((ROW(A779)-1)/COLUMNS('Portfolio Weights Std'!$B$9:$BJ$69))+1,MOD(ROW(A779)-1,COLUMNS('Portfolio Weights Std'!$B$9:$BJ$69))+1)</f>
        <v>1.9853559109034902E-2</v>
      </c>
    </row>
    <row r="781" spans="1:2" x14ac:dyDescent="0.25">
      <c r="A781" cm="1">
        <f t="array" ref="A781">INDEX('Portfolio Weights Returns'!$B$9:$BJ$69,
INT((ROW(A780)-1)/COLUMNS('Portfolio Weights Returns'!$B$9:$BJ$69))+1,MOD(ROW(A780)-1,COLUMNS('Portfolio Weights Returns'!$B$9:$BJ$69))+1)</f>
        <v>-7.9736963404201109E-4</v>
      </c>
      <c r="B781" cm="1">
        <f t="array" ref="B781">INDEX('Portfolio Weights Std'!$B$9:$BJ$69,INT((ROW(A780)-1)/COLUMNS('Portfolio Weights Std'!$B$9:$BJ$69))+1,MOD(ROW(A780)-1,COLUMNS('Portfolio Weights Std'!$B$9:$BJ$69))+1)</f>
        <v>1.9717509289344751E-2</v>
      </c>
    </row>
    <row r="782" spans="1:2" x14ac:dyDescent="0.25">
      <c r="A782" cm="1">
        <f t="array" ref="A782">INDEX('Portfolio Weights Returns'!$B$9:$BJ$69,
INT((ROW(A781)-1)/COLUMNS('Portfolio Weights Returns'!$B$9:$BJ$69))+1,MOD(ROW(A781)-1,COLUMNS('Portfolio Weights Returns'!$B$9:$BJ$69))+1)</f>
        <v>-7.9058846007533194E-4</v>
      </c>
      <c r="B782" cm="1">
        <f t="array" ref="B782">INDEX('Portfolio Weights Std'!$B$9:$BJ$69,INT((ROW(A781)-1)/COLUMNS('Portfolio Weights Std'!$B$9:$BJ$69))+1,MOD(ROW(A781)-1,COLUMNS('Portfolio Weights Std'!$B$9:$BJ$69))+1)</f>
        <v>1.9582878790197739E-2</v>
      </c>
    </row>
    <row r="783" spans="1:2" x14ac:dyDescent="0.25">
      <c r="A783" cm="1">
        <f t="array" ref="A783">INDEX('Portfolio Weights Returns'!$B$9:$BJ$69,
INT((ROW(A782)-1)/COLUMNS('Portfolio Weights Returns'!$B$9:$BJ$69))+1,MOD(ROW(A782)-1,COLUMNS('Portfolio Weights Returns'!$B$9:$BJ$69))+1)</f>
        <v>-7.8380728610865291E-4</v>
      </c>
      <c r="B783" cm="1">
        <f t="array" ref="B783">INDEX('Portfolio Weights Std'!$B$9:$BJ$69,INT((ROW(A782)-1)/COLUMNS('Portfolio Weights Std'!$B$9:$BJ$69))+1,MOD(ROW(A782)-1,COLUMNS('Portfolio Weights Std'!$B$9:$BJ$69))+1)</f>
        <v>1.9449697085160023E-2</v>
      </c>
    </row>
    <row r="784" spans="1:2" x14ac:dyDescent="0.25">
      <c r="A784" cm="1">
        <f t="array" ref="A784">INDEX('Portfolio Weights Returns'!$B$9:$BJ$69,
INT((ROW(A783)-1)/COLUMNS('Portfolio Weights Returns'!$B$9:$BJ$69))+1,MOD(ROW(A783)-1,COLUMNS('Portfolio Weights Returns'!$B$9:$BJ$69))+1)</f>
        <v>-7.7702611214197376E-4</v>
      </c>
      <c r="B784" cm="1">
        <f t="array" ref="B784">INDEX('Portfolio Weights Std'!$B$9:$BJ$69,INT((ROW(A783)-1)/COLUMNS('Portfolio Weights Std'!$B$9:$BJ$69))+1,MOD(ROW(A783)-1,COLUMNS('Portfolio Weights Std'!$B$9:$BJ$69))+1)</f>
        <v>1.9317994138991604E-2</v>
      </c>
    </row>
    <row r="785" spans="1:2" x14ac:dyDescent="0.25">
      <c r="A785" cm="1">
        <f t="array" ref="A785">INDEX('Portfolio Weights Returns'!$B$9:$BJ$69,
INT((ROW(A784)-1)/COLUMNS('Portfolio Weights Returns'!$B$9:$BJ$69))+1,MOD(ROW(A784)-1,COLUMNS('Portfolio Weights Returns'!$B$9:$BJ$69))+1)</f>
        <v>-7.7024493817529473E-4</v>
      </c>
      <c r="B785" cm="1">
        <f t="array" ref="B785">INDEX('Portfolio Weights Std'!$B$9:$BJ$69,INT((ROW(A784)-1)/COLUMNS('Portfolio Weights Std'!$B$9:$BJ$69))+1,MOD(ROW(A784)-1,COLUMNS('Portfolio Weights Std'!$B$9:$BJ$69))+1)</f>
        <v>1.9187800401830109E-2</v>
      </c>
    </row>
    <row r="786" spans="1:2" x14ac:dyDescent="0.25">
      <c r="A786" cm="1">
        <f t="array" ref="A786">INDEX('Portfolio Weights Returns'!$B$9:$BJ$69,
INT((ROW(A785)-1)/COLUMNS('Portfolio Weights Returns'!$B$9:$BJ$69))+1,MOD(ROW(A785)-1,COLUMNS('Portfolio Weights Returns'!$B$9:$BJ$69))+1)</f>
        <v>-7.6346376420861548E-4</v>
      </c>
      <c r="B786" cm="1">
        <f t="array" ref="B786">INDEX('Portfolio Weights Std'!$B$9:$BJ$69,INT((ROW(A785)-1)/COLUMNS('Portfolio Weights Std'!$B$9:$BJ$69))+1,MOD(ROW(A785)-1,COLUMNS('Portfolio Weights Std'!$B$9:$BJ$69))+1)</f>
        <v>1.905914680208837E-2</v>
      </c>
    </row>
    <row r="787" spans="1:2" x14ac:dyDescent="0.25">
      <c r="A787" cm="1">
        <f t="array" ref="A787">INDEX('Portfolio Weights Returns'!$B$9:$BJ$69,
INT((ROW(A786)-1)/COLUMNS('Portfolio Weights Returns'!$B$9:$BJ$69))+1,MOD(ROW(A786)-1,COLUMNS('Portfolio Weights Returns'!$B$9:$BJ$69))+1)</f>
        <v>-7.5668259024193644E-4</v>
      </c>
      <c r="B787" cm="1">
        <f t="array" ref="B787">INDEX('Portfolio Weights Std'!$B$9:$BJ$69,INT((ROW(A786)-1)/COLUMNS('Portfolio Weights Std'!$B$9:$BJ$69))+1,MOD(ROW(A786)-1,COLUMNS('Portfolio Weights Std'!$B$9:$BJ$69))+1)</f>
        <v>1.8932064737987898E-2</v>
      </c>
    </row>
    <row r="788" spans="1:2" x14ac:dyDescent="0.25">
      <c r="A788" cm="1">
        <f t="array" ref="A788">INDEX('Portfolio Weights Returns'!$B$9:$BJ$69,
INT((ROW(A787)-1)/COLUMNS('Portfolio Weights Returns'!$B$9:$BJ$69))+1,MOD(ROW(A787)-1,COLUMNS('Portfolio Weights Returns'!$B$9:$BJ$69))+1)</f>
        <v>-7.4990141627525729E-4</v>
      </c>
      <c r="B788" cm="1">
        <f t="array" ref="B788">INDEX('Portfolio Weights Std'!$B$9:$BJ$69,INT((ROW(A787)-1)/COLUMNS('Portfolio Weights Std'!$B$9:$BJ$69))+1,MOD(ROW(A787)-1,COLUMNS('Portfolio Weights Std'!$B$9:$BJ$69))+1)</f>
        <v>1.8806586067649286E-2</v>
      </c>
    </row>
    <row r="789" spans="1:2" x14ac:dyDescent="0.25">
      <c r="A789" cm="1">
        <f t="array" ref="A789">INDEX('Portfolio Weights Returns'!$B$9:$BJ$69,
INT((ROW(A788)-1)/COLUMNS('Portfolio Weights Returns'!$B$9:$BJ$69))+1,MOD(ROW(A788)-1,COLUMNS('Portfolio Weights Returns'!$B$9:$BJ$69))+1)</f>
        <v>-7.4312024230857815E-4</v>
      </c>
      <c r="B789" cm="1">
        <f t="array" ref="B789">INDEX('Portfolio Weights Std'!$B$9:$BJ$69,INT((ROW(A788)-1)/COLUMNS('Portfolio Weights Std'!$B$9:$BJ$69))+1,MOD(ROW(A788)-1,COLUMNS('Portfolio Weights Std'!$B$9:$BJ$69))+1)</f>
        <v>1.8682743097659979E-2</v>
      </c>
    </row>
    <row r="790" spans="1:2" x14ac:dyDescent="0.25">
      <c r="A790" cm="1">
        <f t="array" ref="A790">INDEX('Portfolio Weights Returns'!$B$9:$BJ$69,
INT((ROW(A789)-1)/COLUMNS('Portfolio Weights Returns'!$B$9:$BJ$69))+1,MOD(ROW(A789)-1,COLUMNS('Portfolio Weights Returns'!$B$9:$BJ$69))+1)</f>
        <v>-7.3633906834189911E-4</v>
      </c>
      <c r="B790" cm="1">
        <f t="array" ref="B790">INDEX('Portfolio Weights Std'!$B$9:$BJ$69,INT((ROW(A789)-1)/COLUMNS('Portfolio Weights Std'!$B$9:$BJ$69))+1,MOD(ROW(A789)-1,COLUMNS('Portfolio Weights Std'!$B$9:$BJ$69))+1)</f>
        <v>1.8560568570039793E-2</v>
      </c>
    </row>
    <row r="791" spans="1:2" x14ac:dyDescent="0.25">
      <c r="A791" cm="1">
        <f t="array" ref="A791">INDEX('Portfolio Weights Returns'!$B$9:$BJ$69,
INT((ROW(A790)-1)/COLUMNS('Portfolio Weights Returns'!$B$9:$BJ$69))+1,MOD(ROW(A790)-1,COLUMNS('Portfolio Weights Returns'!$B$9:$BJ$69))+1)</f>
        <v>-7.2955789437521932E-4</v>
      </c>
      <c r="B791" cm="1">
        <f t="array" ref="B791">INDEX('Portfolio Weights Std'!$B$9:$BJ$69,INT((ROW(A790)-1)/COLUMNS('Portfolio Weights Std'!$B$9:$BJ$69))+1,MOD(ROW(A790)-1,COLUMNS('Portfolio Weights Std'!$B$9:$BJ$69))+1)</f>
        <v>1.8440095647524767E-2</v>
      </c>
    </row>
    <row r="792" spans="1:2" x14ac:dyDescent="0.25">
      <c r="A792" cm="1">
        <f t="array" ref="A792">INDEX('Portfolio Weights Returns'!$B$9:$BJ$69,
INT((ROW(A791)-1)/COLUMNS('Portfolio Weights Returns'!$B$9:$BJ$69))+1,MOD(ROW(A791)-1,COLUMNS('Portfolio Weights Returns'!$B$9:$BJ$69))+1)</f>
        <v>-7.2277672040854028E-4</v>
      </c>
      <c r="B792" cm="1">
        <f t="array" ref="B792">INDEX('Portfolio Weights Std'!$B$9:$BJ$69,INT((ROW(A791)-1)/COLUMNS('Portfolio Weights Std'!$B$9:$BJ$69))+1,MOD(ROW(A791)-1,COLUMNS('Portfolio Weights Std'!$B$9:$BJ$69))+1)</f>
        <v>1.8321357897091061E-2</v>
      </c>
    </row>
    <row r="793" spans="1:2" x14ac:dyDescent="0.25">
      <c r="A793" cm="1">
        <f t="array" ref="A793">INDEX('Portfolio Weights Returns'!$B$9:$BJ$69,
INT((ROW(A792)-1)/COLUMNS('Portfolio Weights Returns'!$B$9:$BJ$69))+1,MOD(ROW(A792)-1,COLUMNS('Portfolio Weights Returns'!$B$9:$BJ$69))+1)</f>
        <v>-7.1599554644186114E-4</v>
      </c>
      <c r="B793" cm="1">
        <f t="array" ref="B793">INDEX('Portfolio Weights Std'!$B$9:$BJ$69,INT((ROW(A792)-1)/COLUMNS('Portfolio Weights Std'!$B$9:$BJ$69))+1,MOD(ROW(A792)-1,COLUMNS('Portfolio Weights Std'!$B$9:$BJ$69))+1)</f>
        <v>1.8204389271641776E-2</v>
      </c>
    </row>
    <row r="794" spans="1:2" x14ac:dyDescent="0.25">
      <c r="A794" cm="1">
        <f t="array" ref="A794">INDEX('Portfolio Weights Returns'!$B$9:$BJ$69,
INT((ROW(A793)-1)/COLUMNS('Portfolio Weights Returns'!$B$9:$BJ$69))+1,MOD(ROW(A793)-1,COLUMNS('Portfolio Weights Returns'!$B$9:$BJ$69))+1)</f>
        <v>-7.092143724751821E-4</v>
      </c>
      <c r="B794" cm="1">
        <f t="array" ref="B794">INDEX('Portfolio Weights Std'!$B$9:$BJ$69,INT((ROW(A793)-1)/COLUMNS('Portfolio Weights Std'!$B$9:$BJ$69))+1,MOD(ROW(A793)-1,COLUMNS('Portfolio Weights Std'!$B$9:$BJ$69))+1)</f>
        <v>1.8089224089782214E-2</v>
      </c>
    </row>
    <row r="795" spans="1:2" x14ac:dyDescent="0.25">
      <c r="A795" cm="1">
        <f t="array" ref="A795">INDEX('Portfolio Weights Returns'!$B$9:$BJ$69,
INT((ROW(A794)-1)/COLUMNS('Portfolio Weights Returns'!$B$9:$BJ$69))+1,MOD(ROW(A794)-1,COLUMNS('Portfolio Weights Returns'!$B$9:$BJ$69))+1)</f>
        <v>-1.1095106026304739E-3</v>
      </c>
      <c r="B795" cm="1">
        <f t="array" ref="B795">INDEX('Portfolio Weights Std'!$B$9:$BJ$69,INT((ROW(A794)-1)/COLUMNS('Portfolio Weights Std'!$B$9:$BJ$69))+1,MOD(ROW(A794)-1,COLUMNS('Portfolio Weights Std'!$B$9:$BJ$69))+1)</f>
        <v>2.7021121771832118E-2</v>
      </c>
    </row>
    <row r="796" spans="1:2" x14ac:dyDescent="0.25">
      <c r="A796" cm="1">
        <f t="array" ref="A796">INDEX('Portfolio Weights Returns'!$B$9:$BJ$69,
INT((ROW(A795)-1)/COLUMNS('Portfolio Weights Returns'!$B$9:$BJ$69))+1,MOD(ROW(A795)-1,COLUMNS('Portfolio Weights Returns'!$B$9:$BJ$69))+1)</f>
        <v>-1.1027294286637948E-3</v>
      </c>
      <c r="B796" cm="1">
        <f t="array" ref="B796">INDEX('Portfolio Weights Std'!$B$9:$BJ$69,INT((ROW(A795)-1)/COLUMNS('Portfolio Weights Std'!$B$9:$BJ$69))+1,MOD(ROW(A795)-1,COLUMNS('Portfolio Weights Std'!$B$9:$BJ$69))+1)</f>
        <v>2.6843503950583578E-2</v>
      </c>
    </row>
    <row r="797" spans="1:2" x14ac:dyDescent="0.25">
      <c r="A797" cm="1">
        <f t="array" ref="A797">INDEX('Portfolio Weights Returns'!$B$9:$BJ$69,
INT((ROW(A796)-1)/COLUMNS('Portfolio Weights Returns'!$B$9:$BJ$69))+1,MOD(ROW(A796)-1,COLUMNS('Portfolio Weights Returns'!$B$9:$BJ$69))+1)</f>
        <v>-1.0959482546971156E-3</v>
      </c>
      <c r="B797" cm="1">
        <f t="array" ref="B797">INDEX('Portfolio Weights Std'!$B$9:$BJ$69,INT((ROW(A796)-1)/COLUMNS('Portfolio Weights Std'!$B$9:$BJ$69))+1,MOD(ROW(A796)-1,COLUMNS('Portfolio Weights Std'!$B$9:$BJ$69))+1)</f>
        <v>2.6666439446212883E-2</v>
      </c>
    </row>
    <row r="798" spans="1:2" x14ac:dyDescent="0.25">
      <c r="A798" cm="1">
        <f t="array" ref="A798">INDEX('Portfolio Weights Returns'!$B$9:$BJ$69,
INT((ROW(A797)-1)/COLUMNS('Portfolio Weights Returns'!$B$9:$BJ$69))+1,MOD(ROW(A797)-1,COLUMNS('Portfolio Weights Returns'!$B$9:$BJ$69))+1)</f>
        <v>-1.0891670807304365E-3</v>
      </c>
      <c r="B798" cm="1">
        <f t="array" ref="B798">INDEX('Portfolio Weights Std'!$B$9:$BJ$69,INT((ROW(A797)-1)/COLUMNS('Portfolio Weights Std'!$B$9:$BJ$69))+1,MOD(ROW(A797)-1,COLUMNS('Portfolio Weights Std'!$B$9:$BJ$69))+1)</f>
        <v>2.648993935419269E-2</v>
      </c>
    </row>
    <row r="799" spans="1:2" x14ac:dyDescent="0.25">
      <c r="A799" cm="1">
        <f t="array" ref="A799">INDEX('Portfolio Weights Returns'!$B$9:$BJ$69,
INT((ROW(A798)-1)/COLUMNS('Portfolio Weights Returns'!$B$9:$BJ$69))+1,MOD(ROW(A798)-1,COLUMNS('Portfolio Weights Returns'!$B$9:$BJ$69))+1)</f>
        <v>-1.0823859067637571E-3</v>
      </c>
      <c r="B799" cm="1">
        <f t="array" ref="B799">INDEX('Portfolio Weights Std'!$B$9:$BJ$69,INT((ROW(A798)-1)/COLUMNS('Portfolio Weights Std'!$B$9:$BJ$69))+1,MOD(ROW(A798)-1,COLUMNS('Portfolio Weights Std'!$B$9:$BJ$69))+1)</f>
        <v>2.6314015031838087E-2</v>
      </c>
    </row>
    <row r="800" spans="1:2" x14ac:dyDescent="0.25">
      <c r="A800" cm="1">
        <f t="array" ref="A800">INDEX('Portfolio Weights Returns'!$B$9:$BJ$69,
INT((ROW(A799)-1)/COLUMNS('Portfolio Weights Returns'!$B$9:$BJ$69))+1,MOD(ROW(A799)-1,COLUMNS('Portfolio Weights Returns'!$B$9:$BJ$69))+1)</f>
        <v>-1.0756047327970782E-3</v>
      </c>
      <c r="B800" cm="1">
        <f t="array" ref="B800">INDEX('Portfolio Weights Std'!$B$9:$BJ$69,INT((ROW(A799)-1)/COLUMNS('Portfolio Weights Std'!$B$9:$BJ$69))+1,MOD(ROW(A799)-1,COLUMNS('Portfolio Weights Std'!$B$9:$BJ$69))+1)</f>
        <v>2.6138678104669352E-2</v>
      </c>
    </row>
    <row r="801" spans="1:2" x14ac:dyDescent="0.25">
      <c r="A801" cm="1">
        <f t="array" ref="A801">INDEX('Portfolio Weights Returns'!$B$9:$BJ$69,
INT((ROW(A800)-1)/COLUMNS('Portfolio Weights Returns'!$B$9:$BJ$69))+1,MOD(ROW(A800)-1,COLUMNS('Portfolio Weights Returns'!$B$9:$BJ$69))+1)</f>
        <v>-1.0688235588303991E-3</v>
      </c>
      <c r="B801" cm="1">
        <f t="array" ref="B801">INDEX('Portfolio Weights Std'!$B$9:$BJ$69,INT((ROW(A800)-1)/COLUMNS('Portfolio Weights Std'!$B$9:$BJ$69))+1,MOD(ROW(A800)-1,COLUMNS('Portfolio Weights Std'!$B$9:$BJ$69))+1)</f>
        <v>2.5963940472893684E-2</v>
      </c>
    </row>
    <row r="802" spans="1:2" x14ac:dyDescent="0.25">
      <c r="A802" cm="1">
        <f t="array" ref="A802">INDEX('Portfolio Weights Returns'!$B$9:$BJ$69,
INT((ROW(A801)-1)/COLUMNS('Portfolio Weights Returns'!$B$9:$BJ$69))+1,MOD(ROW(A801)-1,COLUMNS('Portfolio Weights Returns'!$B$9:$BJ$69))+1)</f>
        <v>-1.0620423848637199E-3</v>
      </c>
      <c r="B802" cm="1">
        <f t="array" ref="B802">INDEX('Portfolio Weights Std'!$B$9:$BJ$69,INT((ROW(A801)-1)/COLUMNS('Portfolio Weights Std'!$B$9:$BJ$69))+1,MOD(ROW(A801)-1,COLUMNS('Portfolio Weights Std'!$B$9:$BJ$69))+1)</f>
        <v>2.5789814318004284E-2</v>
      </c>
    </row>
    <row r="803" spans="1:2" x14ac:dyDescent="0.25">
      <c r="A803" cm="1">
        <f t="array" ref="A803">INDEX('Portfolio Weights Returns'!$B$9:$BJ$69,
INT((ROW(A802)-1)/COLUMNS('Portfolio Weights Returns'!$B$9:$BJ$69))+1,MOD(ROW(A802)-1,COLUMNS('Portfolio Weights Returns'!$B$9:$BJ$69))+1)</f>
        <v>-1.0552612108970408E-3</v>
      </c>
      <c r="B803" cm="1">
        <f t="array" ref="B803">INDEX('Portfolio Weights Std'!$B$9:$BJ$69,INT((ROW(A802)-1)/COLUMNS('Portfolio Weights Std'!$B$9:$BJ$69))+1,MOD(ROW(A802)-1,COLUMNS('Portfolio Weights Std'!$B$9:$BJ$69))+1)</f>
        <v>2.5616312109494537E-2</v>
      </c>
    </row>
    <row r="804" spans="1:2" x14ac:dyDescent="0.25">
      <c r="A804" cm="1">
        <f t="array" ref="A804">INDEX('Portfolio Weights Returns'!$B$9:$BJ$69,
INT((ROW(A803)-1)/COLUMNS('Portfolio Weights Returns'!$B$9:$BJ$69))+1,MOD(ROW(A803)-1,COLUMNS('Portfolio Weights Returns'!$B$9:$BJ$69))+1)</f>
        <v>-1.0484800369303618E-3</v>
      </c>
      <c r="B804" cm="1">
        <f t="array" ref="B804">INDEX('Portfolio Weights Std'!$B$9:$BJ$69,INT((ROW(A803)-1)/COLUMNS('Portfolio Weights Std'!$B$9:$BJ$69))+1,MOD(ROW(A803)-1,COLUMNS('Portfolio Weights Std'!$B$9:$BJ$69))+1)</f>
        <v>2.5443446611684916E-2</v>
      </c>
    </row>
    <row r="805" spans="1:2" x14ac:dyDescent="0.25">
      <c r="A805" cm="1">
        <f t="array" ref="A805">INDEX('Portfolio Weights Returns'!$B$9:$BJ$69,
INT((ROW(A804)-1)/COLUMNS('Portfolio Weights Returns'!$B$9:$BJ$69))+1,MOD(ROW(A804)-1,COLUMNS('Portfolio Weights Returns'!$B$9:$BJ$69))+1)</f>
        <v>-1.0416988629636827E-3</v>
      </c>
      <c r="B805" cm="1">
        <f t="array" ref="B805">INDEX('Portfolio Weights Std'!$B$9:$BJ$69,INT((ROW(A804)-1)/COLUMNS('Portfolio Weights Std'!$B$9:$BJ$69))+1,MOD(ROW(A804)-1,COLUMNS('Portfolio Weights Std'!$B$9:$BJ$69))+1)</f>
        <v>2.5271230890659246E-2</v>
      </c>
    </row>
    <row r="806" spans="1:2" x14ac:dyDescent="0.25">
      <c r="A806" cm="1">
        <f t="array" ref="A806">INDEX('Portfolio Weights Returns'!$B$9:$BJ$69,
INT((ROW(A805)-1)/COLUMNS('Portfolio Weights Returns'!$B$9:$BJ$69))+1,MOD(ROW(A805)-1,COLUMNS('Portfolio Weights Returns'!$B$9:$BJ$69))+1)</f>
        <v>-1.0349176889970035E-3</v>
      </c>
      <c r="B806" cm="1">
        <f t="array" ref="B806">INDEX('Portfolio Weights Std'!$B$9:$BJ$69,INT((ROW(A805)-1)/COLUMNS('Portfolio Weights Std'!$B$9:$BJ$69))+1,MOD(ROW(A805)-1,COLUMNS('Portfolio Weights Std'!$B$9:$BJ$69))+1)</f>
        <v>2.5099678321306943E-2</v>
      </c>
    </row>
    <row r="807" spans="1:2" x14ac:dyDescent="0.25">
      <c r="A807" cm="1">
        <f t="array" ref="A807">INDEX('Portfolio Weights Returns'!$B$9:$BJ$69,
INT((ROW(A806)-1)/COLUMNS('Portfolio Weights Returns'!$B$9:$BJ$69))+1,MOD(ROW(A806)-1,COLUMNS('Portfolio Weights Returns'!$B$9:$BJ$69))+1)</f>
        <v>-1.0281365150303244E-3</v>
      </c>
      <c r="B807" cm="1">
        <f t="array" ref="B807">INDEX('Portfolio Weights Std'!$B$9:$BJ$69,INT((ROW(A806)-1)/COLUMNS('Portfolio Weights Std'!$B$9:$BJ$69))+1,MOD(ROW(A806)-1,COLUMNS('Portfolio Weights Std'!$B$9:$BJ$69))+1)</f>
        <v>2.4928802594466653E-2</v>
      </c>
    </row>
    <row r="808" spans="1:2" x14ac:dyDescent="0.25">
      <c r="A808" cm="1">
        <f t="array" ref="A808">INDEX('Portfolio Weights Returns'!$B$9:$BJ$69,
INT((ROW(A807)-1)/COLUMNS('Portfolio Weights Returns'!$B$9:$BJ$69))+1,MOD(ROW(A807)-1,COLUMNS('Portfolio Weights Returns'!$B$9:$BJ$69))+1)</f>
        <v>-1.0213553410636453E-3</v>
      </c>
      <c r="B808" cm="1">
        <f t="array" ref="B808">INDEX('Portfolio Weights Std'!$B$9:$BJ$69,INT((ROW(A807)-1)/COLUMNS('Portfolio Weights Std'!$B$9:$BJ$69))+1,MOD(ROW(A807)-1,COLUMNS('Portfolio Weights Std'!$B$9:$BJ$69))+1)</f>
        <v>2.4758617724166567E-2</v>
      </c>
    </row>
    <row r="809" spans="1:2" x14ac:dyDescent="0.25">
      <c r="A809" cm="1">
        <f t="array" ref="A809">INDEX('Portfolio Weights Returns'!$B$9:$BJ$69,
INT((ROW(A808)-1)/COLUMNS('Portfolio Weights Returns'!$B$9:$BJ$69))+1,MOD(ROW(A808)-1,COLUMNS('Portfolio Weights Returns'!$B$9:$BJ$69))+1)</f>
        <v>-1.0145741670969663E-3</v>
      </c>
      <c r="B809" cm="1">
        <f t="array" ref="B809">INDEX('Portfolio Weights Std'!$B$9:$BJ$69,INT((ROW(A808)-1)/COLUMNS('Portfolio Weights Std'!$B$9:$BJ$69))+1,MOD(ROW(A808)-1,COLUMNS('Portfolio Weights Std'!$B$9:$BJ$69))+1)</f>
        <v>2.4589138054955658E-2</v>
      </c>
    </row>
    <row r="810" spans="1:2" x14ac:dyDescent="0.25">
      <c r="A810" cm="1">
        <f t="array" ref="A810">INDEX('Portfolio Weights Returns'!$B$9:$BJ$69,
INT((ROW(A809)-1)/COLUMNS('Portfolio Weights Returns'!$B$9:$BJ$69))+1,MOD(ROW(A809)-1,COLUMNS('Portfolio Weights Returns'!$B$9:$BJ$69))+1)</f>
        <v>-1.0077929931302872E-3</v>
      </c>
      <c r="B810" cm="1">
        <f t="array" ref="B810">INDEX('Portfolio Weights Std'!$B$9:$BJ$69,INT((ROW(A809)-1)/COLUMNS('Portfolio Weights Std'!$B$9:$BJ$69))+1,MOD(ROW(A809)-1,COLUMNS('Portfolio Weights Std'!$B$9:$BJ$69))+1)</f>
        <v>2.4420378269319414E-2</v>
      </c>
    </row>
    <row r="811" spans="1:2" x14ac:dyDescent="0.25">
      <c r="A811" cm="1">
        <f t="array" ref="A811">INDEX('Portfolio Weights Returns'!$B$9:$BJ$69,
INT((ROW(A810)-1)/COLUMNS('Portfolio Weights Returns'!$B$9:$BJ$69))+1,MOD(ROW(A810)-1,COLUMNS('Portfolio Weights Returns'!$B$9:$BJ$69))+1)</f>
        <v>-1.001011819163608E-3</v>
      </c>
      <c r="B811" cm="1">
        <f t="array" ref="B811">INDEX('Portfolio Weights Std'!$B$9:$BJ$69,INT((ROW(A810)-1)/COLUMNS('Portfolio Weights Std'!$B$9:$BJ$69))+1,MOD(ROW(A810)-1,COLUMNS('Portfolio Weights Std'!$B$9:$BJ$69))+1)</f>
        <v>2.4252353395172878E-2</v>
      </c>
    </row>
    <row r="812" spans="1:2" x14ac:dyDescent="0.25">
      <c r="A812" cm="1">
        <f t="array" ref="A812">INDEX('Portfolio Weights Returns'!$B$9:$BJ$69,
INT((ROW(A811)-1)/COLUMNS('Portfolio Weights Returns'!$B$9:$BJ$69))+1,MOD(ROW(A811)-1,COLUMNS('Portfolio Weights Returns'!$B$9:$BJ$69))+1)</f>
        <v>-9.942306451969289E-4</v>
      </c>
      <c r="B812" cm="1">
        <f t="array" ref="B812">INDEX('Portfolio Weights Std'!$B$9:$BJ$69,INT((ROW(A811)-1)/COLUMNS('Portfolio Weights Std'!$B$9:$BJ$69))+1,MOD(ROW(A811)-1,COLUMNS('Portfolio Weights Std'!$B$9:$BJ$69))+1)</f>
        <v>2.4085078813422731E-2</v>
      </c>
    </row>
    <row r="813" spans="1:2" x14ac:dyDescent="0.25">
      <c r="A813" cm="1">
        <f t="array" ref="A813">INDEX('Portfolio Weights Returns'!$B$9:$BJ$69,
INT((ROW(A812)-1)/COLUMNS('Portfolio Weights Returns'!$B$9:$BJ$69))+1,MOD(ROW(A812)-1,COLUMNS('Portfolio Weights Returns'!$B$9:$BJ$69))+1)</f>
        <v>-9.8744947123024997E-4</v>
      </c>
      <c r="B813" cm="1">
        <f t="array" ref="B813">INDEX('Portfolio Weights Std'!$B$9:$BJ$69,INT((ROW(A812)-1)/COLUMNS('Portfolio Weights Std'!$B$9:$BJ$69))+1,MOD(ROW(A812)-1,COLUMNS('Portfolio Weights Std'!$B$9:$BJ$69))+1)</f>
        <v>2.3918570265589495E-2</v>
      </c>
    </row>
    <row r="814" spans="1:2" x14ac:dyDescent="0.25">
      <c r="A814" cm="1">
        <f t="array" ref="A814">INDEX('Portfolio Weights Returns'!$B$9:$BJ$69,
INT((ROW(A813)-1)/COLUMNS('Portfolio Weights Returns'!$B$9:$BJ$69))+1,MOD(ROW(A813)-1,COLUMNS('Portfolio Weights Returns'!$B$9:$BJ$69))+1)</f>
        <v>-9.8066829726357082E-4</v>
      </c>
      <c r="B814" cm="1">
        <f t="array" ref="B814">INDEX('Portfolio Weights Std'!$B$9:$BJ$69,INT((ROW(A813)-1)/COLUMNS('Portfolio Weights Std'!$B$9:$BJ$69))+1,MOD(ROW(A813)-1,COLUMNS('Portfolio Weights Std'!$B$9:$BJ$69))+1)</f>
        <v>2.3752843861479515E-2</v>
      </c>
    </row>
    <row r="815" spans="1:2" x14ac:dyDescent="0.25">
      <c r="A815" cm="1">
        <f t="array" ref="A815">INDEX('Portfolio Weights Returns'!$B$9:$BJ$69,
INT((ROW(A814)-1)/COLUMNS('Portfolio Weights Returns'!$B$9:$BJ$69))+1,MOD(ROW(A814)-1,COLUMNS('Portfolio Weights Returns'!$B$9:$BJ$69))+1)</f>
        <v>-9.7388712329689168E-4</v>
      </c>
      <c r="B815" cm="1">
        <f t="array" ref="B815">INDEX('Portfolio Weights Std'!$B$9:$BJ$69,INT((ROW(A814)-1)/COLUMNS('Portfolio Weights Std'!$B$9:$BJ$69))+1,MOD(ROW(A814)-1,COLUMNS('Portfolio Weights Std'!$B$9:$BJ$69))+1)</f>
        <v>2.3587916086895724E-2</v>
      </c>
    </row>
    <row r="816" spans="1:2" x14ac:dyDescent="0.25">
      <c r="A816" cm="1">
        <f t="array" ref="A816">INDEX('Portfolio Weights Returns'!$B$9:$BJ$69,
INT((ROW(A815)-1)/COLUMNS('Portfolio Weights Returns'!$B$9:$BJ$69))+1,MOD(ROW(A815)-1,COLUMNS('Portfolio Weights Returns'!$B$9:$BJ$69))+1)</f>
        <v>-9.6710594933021254E-4</v>
      </c>
      <c r="B816" cm="1">
        <f t="array" ref="B816">INDEX('Portfolio Weights Std'!$B$9:$BJ$69,INT((ROW(A815)-1)/COLUMNS('Portfolio Weights Std'!$B$9:$BJ$69))+1,MOD(ROW(A815)-1,COLUMNS('Portfolio Weights Std'!$B$9:$BJ$69))+1)</f>
        <v>2.3423803811374641E-2</v>
      </c>
    </row>
    <row r="817" spans="1:2" x14ac:dyDescent="0.25">
      <c r="A817" cm="1">
        <f t="array" ref="A817">INDEX('Portfolio Weights Returns'!$B$9:$BJ$69,
INT((ROW(A816)-1)/COLUMNS('Portfolio Weights Returns'!$B$9:$BJ$69))+1,MOD(ROW(A816)-1,COLUMNS('Portfolio Weights Returns'!$B$9:$BJ$69))+1)</f>
        <v>-9.603247753635335E-4</v>
      </c>
      <c r="B817" cm="1">
        <f t="array" ref="B817">INDEX('Portfolio Weights Std'!$B$9:$BJ$69,INT((ROW(A816)-1)/COLUMNS('Portfolio Weights Std'!$B$9:$BJ$69))+1,MOD(ROW(A816)-1,COLUMNS('Portfolio Weights Std'!$B$9:$BJ$69))+1)</f>
        <v>2.326052429593602E-2</v>
      </c>
    </row>
    <row r="818" spans="1:2" x14ac:dyDescent="0.25">
      <c r="A818" cm="1">
        <f t="array" ref="A818">INDEX('Portfolio Weights Returns'!$B$9:$BJ$69,
INT((ROW(A817)-1)/COLUMNS('Portfolio Weights Returns'!$B$9:$BJ$69))+1,MOD(ROW(A817)-1,COLUMNS('Portfolio Weights Returns'!$B$9:$BJ$69))+1)</f>
        <v>-9.5354360139685436E-4</v>
      </c>
      <c r="B818" cm="1">
        <f t="array" ref="B818">INDEX('Portfolio Weights Std'!$B$9:$BJ$69,INT((ROW(A817)-1)/COLUMNS('Portfolio Weights Std'!$B$9:$BJ$69))+1,MOD(ROW(A817)-1,COLUMNS('Portfolio Weights Std'!$B$9:$BJ$69))+1)</f>
        <v>2.309809520083024E-2</v>
      </c>
    </row>
    <row r="819" spans="1:2" x14ac:dyDescent="0.25">
      <c r="A819" cm="1">
        <f t="array" ref="A819">INDEX('Portfolio Weights Returns'!$B$9:$BJ$69,
INT((ROW(A818)-1)/COLUMNS('Portfolio Weights Returns'!$B$9:$BJ$69))+1,MOD(ROW(A818)-1,COLUMNS('Portfolio Weights Returns'!$B$9:$BJ$69))+1)</f>
        <v>-9.4676242743017532E-4</v>
      </c>
      <c r="B819" cm="1">
        <f t="array" ref="B819">INDEX('Portfolio Weights Std'!$B$9:$BJ$69,INT((ROW(A818)-1)/COLUMNS('Portfolio Weights Std'!$B$9:$BJ$69))+1,MOD(ROW(A818)-1,COLUMNS('Portfolio Weights Std'!$B$9:$BJ$69))+1)</f>
        <v>2.2936534593266909E-2</v>
      </c>
    </row>
    <row r="820" spans="1:2" x14ac:dyDescent="0.25">
      <c r="A820" cm="1">
        <f t="array" ref="A820">INDEX('Portfolio Weights Returns'!$B$9:$BJ$69,
INT((ROW(A819)-1)/COLUMNS('Portfolio Weights Returns'!$B$9:$BJ$69))+1,MOD(ROW(A819)-1,COLUMNS('Portfolio Weights Returns'!$B$9:$BJ$69))+1)</f>
        <v>-9.3998125346349617E-4</v>
      </c>
      <c r="B820" cm="1">
        <f t="array" ref="B820">INDEX('Portfolio Weights Std'!$B$9:$BJ$69,INT((ROW(A819)-1)/COLUMNS('Portfolio Weights Std'!$B$9:$BJ$69))+1,MOD(ROW(A819)-1,COLUMNS('Portfolio Weights Std'!$B$9:$BJ$69))+1)</f>
        <v>2.277586095510702E-2</v>
      </c>
    </row>
    <row r="821" spans="1:2" x14ac:dyDescent="0.25">
      <c r="A821" cm="1">
        <f t="array" ref="A821">INDEX('Portfolio Weights Returns'!$B$9:$BJ$69,
INT((ROW(A820)-1)/COLUMNS('Portfolio Weights Returns'!$B$9:$BJ$69))+1,MOD(ROW(A820)-1,COLUMNS('Portfolio Weights Returns'!$B$9:$BJ$69))+1)</f>
        <v>-9.3320007949681703E-4</v>
      </c>
      <c r="B821" cm="1">
        <f t="array" ref="B821">INDEX('Portfolio Weights Std'!$B$9:$BJ$69,INT((ROW(A820)-1)/COLUMNS('Portfolio Weights Std'!$B$9:$BJ$69))+1,MOD(ROW(A820)-1,COLUMNS('Portfolio Weights Std'!$B$9:$BJ$69))+1)</f>
        <v>2.2616093190498954E-2</v>
      </c>
    </row>
    <row r="822" spans="1:2" x14ac:dyDescent="0.25">
      <c r="A822" cm="1">
        <f t="array" ref="A822">INDEX('Portfolio Weights Returns'!$B$9:$BJ$69,
INT((ROW(A821)-1)/COLUMNS('Portfolio Weights Returns'!$B$9:$BJ$69))+1,MOD(ROW(A821)-1,COLUMNS('Portfolio Weights Returns'!$B$9:$BJ$69))+1)</f>
        <v>-9.2641890553013789E-4</v>
      </c>
      <c r="B822" cm="1">
        <f t="array" ref="B822">INDEX('Portfolio Weights Std'!$B$9:$BJ$69,INT((ROW(A821)-1)/COLUMNS('Portfolio Weights Std'!$B$9:$BJ$69))+1,MOD(ROW(A821)-1,COLUMNS('Portfolio Weights Std'!$B$9:$BJ$69))+1)</f>
        <v>2.2457250633437377E-2</v>
      </c>
    </row>
    <row r="823" spans="1:2" x14ac:dyDescent="0.25">
      <c r="A823" cm="1">
        <f t="array" ref="A823">INDEX('Portfolio Weights Returns'!$B$9:$BJ$69,
INT((ROW(A822)-1)/COLUMNS('Portfolio Weights Returns'!$B$9:$BJ$69))+1,MOD(ROW(A822)-1,COLUMNS('Portfolio Weights Returns'!$B$9:$BJ$69))+1)</f>
        <v>-9.1963773156345885E-4</v>
      </c>
      <c r="B823" cm="1">
        <f t="array" ref="B823">INDEX('Portfolio Weights Std'!$B$9:$BJ$69,INT((ROW(A822)-1)/COLUMNS('Portfolio Weights Std'!$B$9:$BJ$69))+1,MOD(ROW(A822)-1,COLUMNS('Portfolio Weights Std'!$B$9:$BJ$69))+1)</f>
        <v>2.2299353055222033E-2</v>
      </c>
    </row>
    <row r="824" spans="1:2" x14ac:dyDescent="0.25">
      <c r="A824" cm="1">
        <f t="array" ref="A824">INDEX('Portfolio Weights Returns'!$B$9:$BJ$69,
INT((ROW(A823)-1)/COLUMNS('Portfolio Weights Returns'!$B$9:$BJ$69))+1,MOD(ROW(A823)-1,COLUMNS('Portfolio Weights Returns'!$B$9:$BJ$69))+1)</f>
        <v>-9.1285655759677971E-4</v>
      </c>
      <c r="B824" cm="1">
        <f t="array" ref="B824">INDEX('Portfolio Weights Std'!$B$9:$BJ$69,INT((ROW(A823)-1)/COLUMNS('Portfolio Weights Std'!$B$9:$BJ$69))+1,MOD(ROW(A823)-1,COLUMNS('Portfolio Weights Std'!$B$9:$BJ$69))+1)</f>
        <v>2.214242067179157E-2</v>
      </c>
    </row>
    <row r="825" spans="1:2" x14ac:dyDescent="0.25">
      <c r="A825" cm="1">
        <f t="array" ref="A825">INDEX('Portfolio Weights Returns'!$B$9:$BJ$69,
INT((ROW(A824)-1)/COLUMNS('Portfolio Weights Returns'!$B$9:$BJ$69))+1,MOD(ROW(A824)-1,COLUMNS('Portfolio Weights Returns'!$B$9:$BJ$69))+1)</f>
        <v>-9.0607538363010067E-4</v>
      </c>
      <c r="B825" cm="1">
        <f t="array" ref="B825">INDEX('Portfolio Weights Std'!$B$9:$BJ$69,INT((ROW(A824)-1)/COLUMNS('Portfolio Weights Std'!$B$9:$BJ$69))+1,MOD(ROW(A824)-1,COLUMNS('Portfolio Weights Std'!$B$9:$BJ$69))+1)</f>
        <v>2.1986474150905846E-2</v>
      </c>
    </row>
    <row r="826" spans="1:2" x14ac:dyDescent="0.25">
      <c r="A826" cm="1">
        <f t="array" ref="A826">INDEX('Portfolio Weights Returns'!$B$9:$BJ$69,
INT((ROW(A825)-1)/COLUMNS('Portfolio Weights Returns'!$B$9:$BJ$69))+1,MOD(ROW(A825)-1,COLUMNS('Portfolio Weights Returns'!$B$9:$BJ$69))+1)</f>
        <v>-8.9929420966342152E-4</v>
      </c>
      <c r="B826" cm="1">
        <f t="array" ref="B826">INDEX('Portfolio Weights Std'!$B$9:$BJ$69,INT((ROW(A825)-1)/COLUMNS('Portfolio Weights Std'!$B$9:$BJ$69))+1,MOD(ROW(A825)-1,COLUMNS('Portfolio Weights Std'!$B$9:$BJ$69))+1)</f>
        <v>2.1831534619147715E-2</v>
      </c>
    </row>
    <row r="827" spans="1:2" x14ac:dyDescent="0.25">
      <c r="A827" cm="1">
        <f t="array" ref="A827">INDEX('Portfolio Weights Returns'!$B$9:$BJ$69,
INT((ROW(A826)-1)/COLUMNS('Portfolio Weights Returns'!$B$9:$BJ$69))+1,MOD(ROW(A826)-1,COLUMNS('Portfolio Weights Returns'!$B$9:$BJ$69))+1)</f>
        <v>-8.9251303569674238E-4</v>
      </c>
      <c r="B827" cm="1">
        <f t="array" ref="B827">INDEX('Portfolio Weights Std'!$B$9:$BJ$69,INT((ROW(A826)-1)/COLUMNS('Portfolio Weights Std'!$B$9:$BJ$69))+1,MOD(ROW(A826)-1,COLUMNS('Portfolio Weights Std'!$B$9:$BJ$69))+1)</f>
        <v>2.1677623668713449E-2</v>
      </c>
    </row>
    <row r="828" spans="1:2" x14ac:dyDescent="0.25">
      <c r="A828" cm="1">
        <f t="array" ref="A828">INDEX('Portfolio Weights Returns'!$B$9:$BJ$69,
INT((ROW(A827)-1)/COLUMNS('Portfolio Weights Returns'!$B$9:$BJ$69))+1,MOD(ROW(A827)-1,COLUMNS('Portfolio Weights Returns'!$B$9:$BJ$69))+1)</f>
        <v>-8.8573186173006324E-4</v>
      </c>
      <c r="B828" cm="1">
        <f t="array" ref="B828">INDEX('Portfolio Weights Std'!$B$9:$BJ$69,INT((ROW(A827)-1)/COLUMNS('Portfolio Weights Std'!$B$9:$BJ$69))+1,MOD(ROW(A827)-1,COLUMNS('Portfolio Weights Std'!$B$9:$BJ$69))+1)</f>
        <v>2.1524763363958543E-2</v>
      </c>
    </row>
    <row r="829" spans="1:2" x14ac:dyDescent="0.25">
      <c r="A829" cm="1">
        <f t="array" ref="A829">INDEX('Portfolio Weights Returns'!$B$9:$BJ$69,
INT((ROW(A828)-1)/COLUMNS('Portfolio Weights Returns'!$B$9:$BJ$69))+1,MOD(ROW(A828)-1,COLUMNS('Portfolio Weights Returns'!$B$9:$BJ$69))+1)</f>
        <v>-8.7895068776338409E-4</v>
      </c>
      <c r="B829" cm="1">
        <f t="array" ref="B829">INDEX('Portfolio Weights Std'!$B$9:$BJ$69,INT((ROW(A828)-1)/COLUMNS('Portfolio Weights Std'!$B$9:$BJ$69))+1,MOD(ROW(A828)-1,COLUMNS('Portfolio Weights Std'!$B$9:$BJ$69))+1)</f>
        <v>2.1372976247663402E-2</v>
      </c>
    </row>
    <row r="830" spans="1:2" x14ac:dyDescent="0.25">
      <c r="A830" cm="1">
        <f t="array" ref="A830">INDEX('Portfolio Weights Returns'!$B$9:$BJ$69,
INT((ROW(A829)-1)/COLUMNS('Portfolio Weights Returns'!$B$9:$BJ$69))+1,MOD(ROW(A829)-1,COLUMNS('Portfolio Weights Returns'!$B$9:$BJ$69))+1)</f>
        <v>-8.7216951379670506E-4</v>
      </c>
      <c r="B830" cm="1">
        <f t="array" ref="B830">INDEX('Portfolio Weights Std'!$B$9:$BJ$69,INT((ROW(A829)-1)/COLUMNS('Portfolio Weights Std'!$B$9:$BJ$69))+1,MOD(ROW(A829)-1,COLUMNS('Portfolio Weights Std'!$B$9:$BJ$69))+1)</f>
        <v>2.1222285346980941E-2</v>
      </c>
    </row>
    <row r="831" spans="1:2" x14ac:dyDescent="0.25">
      <c r="A831" cm="1">
        <f t="array" ref="A831">INDEX('Portfolio Weights Returns'!$B$9:$BJ$69,
INT((ROW(A830)-1)/COLUMNS('Portfolio Weights Returns'!$B$9:$BJ$69))+1,MOD(ROW(A830)-1,COLUMNS('Portfolio Weights Returns'!$B$9:$BJ$69))+1)</f>
        <v>-8.6538833983002591E-4</v>
      </c>
      <c r="B831" cm="1">
        <f t="array" ref="B831">INDEX('Portfolio Weights Std'!$B$9:$BJ$69,INT((ROW(A830)-1)/COLUMNS('Portfolio Weights Std'!$B$9:$BJ$69))+1,MOD(ROW(A830)-1,COLUMNS('Portfolio Weights Std'!$B$9:$BJ$69))+1)</f>
        <v>2.1072714179025585E-2</v>
      </c>
    </row>
    <row r="832" spans="1:2" x14ac:dyDescent="0.25">
      <c r="A832" cm="1">
        <f t="array" ref="A832">INDEX('Portfolio Weights Returns'!$B$9:$BJ$69,
INT((ROW(A831)-1)/COLUMNS('Portfolio Weights Returns'!$B$9:$BJ$69))+1,MOD(ROW(A831)-1,COLUMNS('Portfolio Weights Returns'!$B$9:$BJ$69))+1)</f>
        <v>-8.5860716586334688E-4</v>
      </c>
      <c r="B832" cm="1">
        <f t="array" ref="B832">INDEX('Portfolio Weights Std'!$B$9:$BJ$69,INT((ROW(A831)-1)/COLUMNS('Portfolio Weights Std'!$B$9:$BJ$69))+1,MOD(ROW(A831)-1,COLUMNS('Portfolio Weights Std'!$B$9:$BJ$69))+1)</f>
        <v>2.0924286756060669E-2</v>
      </c>
    </row>
    <row r="833" spans="1:2" x14ac:dyDescent="0.25">
      <c r="A833" cm="1">
        <f t="array" ref="A833">INDEX('Portfolio Weights Returns'!$B$9:$BJ$69,
INT((ROW(A832)-1)/COLUMNS('Portfolio Weights Returns'!$B$9:$BJ$69))+1,MOD(ROW(A832)-1,COLUMNS('Portfolio Weights Returns'!$B$9:$BJ$69))+1)</f>
        <v>-8.5182599189666784E-4</v>
      </c>
      <c r="B833" cm="1">
        <f t="array" ref="B833">INDEX('Portfolio Weights Std'!$B$9:$BJ$69,INT((ROW(A832)-1)/COLUMNS('Portfolio Weights Std'!$B$9:$BJ$69))+1,MOD(ROW(A832)-1,COLUMNS('Portfolio Weights Std'!$B$9:$BJ$69))+1)</f>
        <v>2.07770275902385E-2</v>
      </c>
    </row>
    <row r="834" spans="1:2" x14ac:dyDescent="0.25">
      <c r="A834" cm="1">
        <f t="array" ref="A834">INDEX('Portfolio Weights Returns'!$B$9:$BJ$69,
INT((ROW(A833)-1)/COLUMNS('Portfolio Weights Returns'!$B$9:$BJ$69))+1,MOD(ROW(A833)-1,COLUMNS('Portfolio Weights Returns'!$B$9:$BJ$69))+1)</f>
        <v>-8.450448179299888E-4</v>
      </c>
      <c r="B834" cm="1">
        <f t="array" ref="B834">INDEX('Portfolio Weights Std'!$B$9:$BJ$69,INT((ROW(A833)-1)/COLUMNS('Portfolio Weights Std'!$B$9:$BJ$69))+1,MOD(ROW(A833)-1,COLUMNS('Portfolio Weights Std'!$B$9:$BJ$69))+1)</f>
        <v>2.0630961697844664E-2</v>
      </c>
    </row>
    <row r="835" spans="1:2" x14ac:dyDescent="0.25">
      <c r="A835" cm="1">
        <f t="array" ref="A835">INDEX('Portfolio Weights Returns'!$B$9:$BJ$69,
INT((ROW(A834)-1)/COLUMNS('Portfolio Weights Returns'!$B$9:$BJ$69))+1,MOD(ROW(A834)-1,COLUMNS('Portfolio Weights Returns'!$B$9:$BJ$69))+1)</f>
        <v>-8.3826364396330966E-4</v>
      </c>
      <c r="B835" cm="1">
        <f t="array" ref="B835">INDEX('Portfolio Weights Std'!$B$9:$BJ$69,INT((ROW(A834)-1)/COLUMNS('Portfolio Weights Std'!$B$9:$BJ$69))+1,MOD(ROW(A834)-1,COLUMNS('Portfolio Weights Std'!$B$9:$BJ$69))+1)</f>
        <v>2.0486114602995396E-2</v>
      </c>
    </row>
    <row r="836" spans="1:2" x14ac:dyDescent="0.25">
      <c r="A836" cm="1">
        <f t="array" ref="A836">INDEX('Portfolio Weights Returns'!$B$9:$BJ$69,
INT((ROW(A835)-1)/COLUMNS('Portfolio Weights Returns'!$B$9:$BJ$69))+1,MOD(ROW(A835)-1,COLUMNS('Portfolio Weights Returns'!$B$9:$BJ$69))+1)</f>
        <v>-8.3148246999663051E-4</v>
      </c>
      <c r="B836" cm="1">
        <f t="array" ref="B836">INDEX('Portfolio Weights Std'!$B$9:$BJ$69,INT((ROW(A835)-1)/COLUMNS('Portfolio Weights Std'!$B$9:$BJ$69))+1,MOD(ROW(A835)-1,COLUMNS('Portfolio Weights Std'!$B$9:$BJ$69))+1)</f>
        <v>2.0342512340733997E-2</v>
      </c>
    </row>
    <row r="837" spans="1:2" x14ac:dyDescent="0.25">
      <c r="A837" cm="1">
        <f t="array" ref="A837">INDEX('Portfolio Weights Returns'!$B$9:$BJ$69,
INT((ROW(A836)-1)/COLUMNS('Portfolio Weights Returns'!$B$9:$BJ$69))+1,MOD(ROW(A836)-1,COLUMNS('Portfolio Weights Returns'!$B$9:$BJ$69))+1)</f>
        <v>-8.2470129602995148E-4</v>
      </c>
      <c r="B837" cm="1">
        <f t="array" ref="B837">INDEX('Portfolio Weights Std'!$B$9:$BJ$69,INT((ROW(A836)-1)/COLUMNS('Portfolio Weights Std'!$B$9:$BJ$69))+1,MOD(ROW(A836)-1,COLUMNS('Portfolio Weights Std'!$B$9:$BJ$69))+1)</f>
        <v>2.0200181459469481E-2</v>
      </c>
    </row>
    <row r="838" spans="1:2" x14ac:dyDescent="0.25">
      <c r="A838" cm="1">
        <f t="array" ref="A838">INDEX('Portfolio Weights Returns'!$B$9:$BJ$69,
INT((ROW(A837)-1)/COLUMNS('Portfolio Weights Returns'!$B$9:$BJ$69))+1,MOD(ROW(A837)-1,COLUMNS('Portfolio Weights Returns'!$B$9:$BJ$69))+1)</f>
        <v>-8.1792012206327233E-4</v>
      </c>
      <c r="B838" cm="1">
        <f t="array" ref="B838">INDEX('Portfolio Weights Std'!$B$9:$BJ$69,INT((ROW(A837)-1)/COLUMNS('Portfolio Weights Std'!$B$9:$BJ$69))+1,MOD(ROW(A837)-1,COLUMNS('Portfolio Weights Std'!$B$9:$BJ$69))+1)</f>
        <v>2.0059149022697849E-2</v>
      </c>
    </row>
    <row r="839" spans="1:2" x14ac:dyDescent="0.25">
      <c r="A839" cm="1">
        <f t="array" ref="A839">INDEX('Portfolio Weights Returns'!$B$9:$BJ$69,
INT((ROW(A838)-1)/COLUMNS('Portfolio Weights Returns'!$B$9:$BJ$69))+1,MOD(ROW(A838)-1,COLUMNS('Portfolio Weights Returns'!$B$9:$BJ$69))+1)</f>
        <v>-8.1113894809659319E-4</v>
      </c>
      <c r="B839" cm="1">
        <f t="array" ref="B839">INDEX('Portfolio Weights Std'!$B$9:$BJ$69,INT((ROW(A838)-1)/COLUMNS('Portfolio Weights Std'!$B$9:$BJ$69))+1,MOD(ROW(A838)-1,COLUMNS('Portfolio Weights Std'!$B$9:$BJ$69))+1)</f>
        <v>1.9919442609943466E-2</v>
      </c>
    </row>
    <row r="840" spans="1:2" x14ac:dyDescent="0.25">
      <c r="A840" cm="1">
        <f t="array" ref="A840">INDEX('Portfolio Weights Returns'!$B$9:$BJ$69,
INT((ROW(A839)-1)/COLUMNS('Portfolio Weights Returns'!$B$9:$BJ$69))+1,MOD(ROW(A839)-1,COLUMNS('Portfolio Weights Returns'!$B$9:$BJ$69))+1)</f>
        <v>-8.0435777412991404E-4</v>
      </c>
      <c r="B840" cm="1">
        <f t="array" ref="B840">INDEX('Portfolio Weights Std'!$B$9:$BJ$69,INT((ROW(A839)-1)/COLUMNS('Portfolio Weights Std'!$B$9:$BJ$69))+1,MOD(ROW(A839)-1,COLUMNS('Portfolio Weights Std'!$B$9:$BJ$69))+1)</f>
        <v>1.9781090316855359E-2</v>
      </c>
    </row>
    <row r="841" spans="1:2" x14ac:dyDescent="0.25">
      <c r="A841" cm="1">
        <f t="array" ref="A841">INDEX('Portfolio Weights Returns'!$B$9:$BJ$69,
INT((ROW(A840)-1)/COLUMNS('Portfolio Weights Returns'!$B$9:$BJ$69))+1,MOD(ROW(A840)-1,COLUMNS('Portfolio Weights Returns'!$B$9:$BJ$69))+1)</f>
        <v>-7.9757660016323501E-4</v>
      </c>
      <c r="B841" cm="1">
        <f t="array" ref="B841">INDEX('Portfolio Weights Std'!$B$9:$BJ$69,INT((ROW(A840)-1)/COLUMNS('Portfolio Weights Std'!$B$9:$BJ$69))+1,MOD(ROW(A840)-1,COLUMNS('Portfolio Weights Std'!$B$9:$BJ$69))+1)</f>
        <v>1.9644120754390412E-2</v>
      </c>
    </row>
    <row r="842" spans="1:2" x14ac:dyDescent="0.25">
      <c r="A842" cm="1">
        <f t="array" ref="A842">INDEX('Portfolio Weights Returns'!$B$9:$BJ$69,
INT((ROW(A841)-1)/COLUMNS('Portfolio Weights Returns'!$B$9:$BJ$69))+1,MOD(ROW(A841)-1,COLUMNS('Portfolio Weights Returns'!$B$9:$BJ$69))+1)</f>
        <v>-7.9079542619655586E-4</v>
      </c>
      <c r="B842" cm="1">
        <f t="array" ref="B842">INDEX('Portfolio Weights Std'!$B$9:$BJ$69,INT((ROW(A841)-1)/COLUMNS('Portfolio Weights Std'!$B$9:$BJ$69))+1,MOD(ROW(A841)-1,COLUMNS('Portfolio Weights Std'!$B$9:$BJ$69))+1)</f>
        <v>1.9508563047013008E-2</v>
      </c>
    </row>
    <row r="843" spans="1:2" x14ac:dyDescent="0.25">
      <c r="A843" cm="1">
        <f t="array" ref="A843">INDEX('Portfolio Weights Returns'!$B$9:$BJ$69,
INT((ROW(A842)-1)/COLUMNS('Portfolio Weights Returns'!$B$9:$BJ$69))+1,MOD(ROW(A842)-1,COLUMNS('Portfolio Weights Returns'!$B$9:$BJ$69))+1)</f>
        <v>-7.8401425222987694E-4</v>
      </c>
      <c r="B843" cm="1">
        <f t="array" ref="B843">INDEX('Portfolio Weights Std'!$B$9:$BJ$69,INT((ROW(A842)-1)/COLUMNS('Portfolio Weights Std'!$B$9:$BJ$69))+1,MOD(ROW(A842)-1,COLUMNS('Portfolio Weights Std'!$B$9:$BJ$69))+1)</f>
        <v>1.9374446829837917E-2</v>
      </c>
    </row>
    <row r="844" spans="1:2" x14ac:dyDescent="0.25">
      <c r="A844" cm="1">
        <f t="array" ref="A844">INDEX('Portfolio Weights Returns'!$B$9:$BJ$69,
INT((ROW(A843)-1)/COLUMNS('Portfolio Weights Returns'!$B$9:$BJ$69))+1,MOD(ROW(A843)-1,COLUMNS('Portfolio Weights Returns'!$B$9:$BJ$69))+1)</f>
        <v>-7.7723307826319779E-4</v>
      </c>
      <c r="B844" cm="1">
        <f t="array" ref="B844">INDEX('Portfolio Weights Std'!$B$9:$BJ$69,INT((ROW(A843)-1)/COLUMNS('Portfolio Weights Std'!$B$9:$BJ$69))+1,MOD(ROW(A843)-1,COLUMNS('Portfolio Weights Std'!$B$9:$BJ$69))+1)</f>
        <v>1.9241802244641164E-2</v>
      </c>
    </row>
    <row r="845" spans="1:2" x14ac:dyDescent="0.25">
      <c r="A845" cm="1">
        <f t="array" ref="A845">INDEX('Portfolio Weights Returns'!$B$9:$BJ$69,
INT((ROW(A844)-1)/COLUMNS('Portfolio Weights Returns'!$B$9:$BJ$69))+1,MOD(ROW(A844)-1,COLUMNS('Portfolio Weights Returns'!$B$9:$BJ$69))+1)</f>
        <v>-7.7045190429651865E-4</v>
      </c>
      <c r="B845" cm="1">
        <f t="array" ref="B845">INDEX('Portfolio Weights Std'!$B$9:$BJ$69,INT((ROW(A844)-1)/COLUMNS('Portfolio Weights Std'!$B$9:$BJ$69))+1,MOD(ROW(A844)-1,COLUMNS('Portfolio Weights Std'!$B$9:$BJ$69))+1)</f>
        <v>1.9110659934661198E-2</v>
      </c>
    </row>
    <row r="846" spans="1:2" x14ac:dyDescent="0.25">
      <c r="A846" cm="1">
        <f t="array" ref="A846">INDEX('Portfolio Weights Returns'!$B$9:$BJ$69,
INT((ROW(A845)-1)/COLUMNS('Portfolio Weights Returns'!$B$9:$BJ$69))+1,MOD(ROW(A845)-1,COLUMNS('Portfolio Weights Returns'!$B$9:$BJ$69))+1)</f>
        <v>-7.636707303298395E-4</v>
      </c>
      <c r="B846" cm="1">
        <f t="array" ref="B846">INDEX('Portfolio Weights Std'!$B$9:$BJ$69,INT((ROW(A845)-1)/COLUMNS('Portfolio Weights Std'!$B$9:$BJ$69))+1,MOD(ROW(A845)-1,COLUMNS('Portfolio Weights Std'!$B$9:$BJ$69))+1)</f>
        <v>1.8981051038111079E-2</v>
      </c>
    </row>
    <row r="847" spans="1:2" x14ac:dyDescent="0.25">
      <c r="A847" cm="1">
        <f t="array" ref="A847">INDEX('Portfolio Weights Returns'!$B$9:$BJ$69,
INT((ROW(A846)-1)/COLUMNS('Portfolio Weights Returns'!$B$9:$BJ$69))+1,MOD(ROW(A846)-1,COLUMNS('Portfolio Weights Returns'!$B$9:$BJ$69))+1)</f>
        <v>-7.5688955636316036E-4</v>
      </c>
      <c r="B847" cm="1">
        <f t="array" ref="B847">INDEX('Portfolio Weights Std'!$B$9:$BJ$69,INT((ROW(A846)-1)/COLUMNS('Portfolio Weights Std'!$B$9:$BJ$69))+1,MOD(ROW(A846)-1,COLUMNS('Portfolio Weights Std'!$B$9:$BJ$69))+1)</f>
        <v>1.885300718032051E-2</v>
      </c>
    </row>
    <row r="848" spans="1:2" x14ac:dyDescent="0.25">
      <c r="A848" cm="1">
        <f t="array" ref="A848">INDEX('Portfolio Weights Returns'!$B$9:$BJ$69,
INT((ROW(A847)-1)/COLUMNS('Portfolio Weights Returns'!$B$9:$BJ$69))+1,MOD(ROW(A847)-1,COLUMNS('Portfolio Weights Returns'!$B$9:$BJ$69))+1)</f>
        <v>-7.5010838239648132E-4</v>
      </c>
      <c r="B848" cm="1">
        <f t="array" ref="B848">INDEX('Portfolio Weights Std'!$B$9:$BJ$69,INT((ROW(A847)-1)/COLUMNS('Portfolio Weights Std'!$B$9:$BJ$69))+1,MOD(ROW(A847)-1,COLUMNS('Portfolio Weights Std'!$B$9:$BJ$69))+1)</f>
        <v>1.8726560464425428E-2</v>
      </c>
    </row>
    <row r="849" spans="1:2" x14ac:dyDescent="0.25">
      <c r="A849" cm="1">
        <f t="array" ref="A849">INDEX('Portfolio Weights Returns'!$B$9:$BJ$69,
INT((ROW(A848)-1)/COLUMNS('Portfolio Weights Returns'!$B$9:$BJ$69))+1,MOD(ROW(A848)-1,COLUMNS('Portfolio Weights Returns'!$B$9:$BJ$69))+1)</f>
        <v>-7.4332720842980218E-4</v>
      </c>
      <c r="B849" cm="1">
        <f t="array" ref="B849">INDEX('Portfolio Weights Std'!$B$9:$BJ$69,INT((ROW(A848)-1)/COLUMNS('Portfolio Weights Std'!$B$9:$BJ$69))+1,MOD(ROW(A848)-1,COLUMNS('Portfolio Weights Std'!$B$9:$BJ$69))+1)</f>
        <v>1.8601743460521979E-2</v>
      </c>
    </row>
    <row r="850" spans="1:2" x14ac:dyDescent="0.25">
      <c r="A850" cm="1">
        <f t="array" ref="A850">INDEX('Portfolio Weights Returns'!$B$9:$BJ$69,
INT((ROW(A849)-1)/COLUMNS('Portfolio Weights Returns'!$B$9:$BJ$69))+1,MOD(ROW(A849)-1,COLUMNS('Portfolio Weights Returns'!$B$9:$BJ$69))+1)</f>
        <v>-7.3654603446312314E-4</v>
      </c>
      <c r="B850" cm="1">
        <f t="array" ref="B850">INDEX('Portfolio Weights Std'!$B$9:$BJ$69,INT((ROW(A849)-1)/COLUMNS('Portfolio Weights Std'!$B$9:$BJ$69))+1,MOD(ROW(A849)-1,COLUMNS('Portfolio Weights Std'!$B$9:$BJ$69))+1)</f>
        <v>1.8478589193201111E-2</v>
      </c>
    </row>
    <row r="851" spans="1:2" x14ac:dyDescent="0.25">
      <c r="A851" cm="1">
        <f t="array" ref="A851">INDEX('Portfolio Weights Returns'!$B$9:$BJ$69,
INT((ROW(A850)-1)/COLUMNS('Portfolio Weights Returns'!$B$9:$BJ$69))+1,MOD(ROW(A850)-1,COLUMNS('Portfolio Weights Returns'!$B$9:$BJ$69))+1)</f>
        <v>-7.29764860496444E-4</v>
      </c>
      <c r="B851" cm="1">
        <f t="array" ref="B851">INDEX('Portfolio Weights Std'!$B$9:$BJ$69,INT((ROW(A850)-1)/COLUMNS('Portfolio Weights Std'!$B$9:$BJ$69))+1,MOD(ROW(A850)-1,COLUMNS('Portfolio Weights Std'!$B$9:$BJ$69))+1)</f>
        <v>1.8357131127380216E-2</v>
      </c>
    </row>
    <row r="852" spans="1:2" x14ac:dyDescent="0.25">
      <c r="A852" cm="1">
        <f t="array" ref="A852">INDEX('Portfolio Weights Returns'!$B$9:$BJ$69,
INT((ROW(A851)-1)/COLUMNS('Portfolio Weights Returns'!$B$9:$BJ$69))+1,MOD(ROW(A851)-1,COLUMNS('Portfolio Weights Returns'!$B$9:$BJ$69))+1)</f>
        <v>-7.229836865297642E-4</v>
      </c>
      <c r="B852" cm="1">
        <f t="array" ref="B852">INDEX('Portfolio Weights Std'!$B$9:$BJ$69,INT((ROW(A851)-1)/COLUMNS('Portfolio Weights Std'!$B$9:$BJ$69))+1,MOD(ROW(A851)-1,COLUMNS('Portfolio Weights Std'!$B$9:$BJ$69))+1)</f>
        <v>1.8237403152348741E-2</v>
      </c>
    </row>
    <row r="853" spans="1:2" x14ac:dyDescent="0.25">
      <c r="A853" cm="1">
        <f t="array" ref="A853">INDEX('Portfolio Weights Returns'!$B$9:$BJ$69,
INT((ROW(A852)-1)/COLUMNS('Portfolio Weights Returns'!$B$9:$BJ$69))+1,MOD(ROW(A852)-1,COLUMNS('Portfolio Weights Returns'!$B$9:$BJ$69))+1)</f>
        <v>-7.1620251256308506E-4</v>
      </c>
      <c r="B853" cm="1">
        <f t="array" ref="B853">INDEX('Portfolio Weights Std'!$B$9:$BJ$69,INT((ROW(A852)-1)/COLUMNS('Portfolio Weights Std'!$B$9:$BJ$69))+1,MOD(ROW(A852)-1,COLUMNS('Portfolio Weights Std'!$B$9:$BJ$69))+1)</f>
        <v>1.8119439563946071E-2</v>
      </c>
    </row>
    <row r="854" spans="1:2" x14ac:dyDescent="0.25">
      <c r="A854" cm="1">
        <f t="array" ref="A854">INDEX('Portfolio Weights Returns'!$B$9:$BJ$69,
INT((ROW(A853)-1)/COLUMNS('Portfolio Weights Returns'!$B$9:$BJ$69))+1,MOD(ROW(A853)-1,COLUMNS('Portfolio Weights Returns'!$B$9:$BJ$69))+1)</f>
        <v>-7.0942133859640613E-4</v>
      </c>
      <c r="B854" cm="1">
        <f t="array" ref="B854">INDEX('Portfolio Weights Std'!$B$9:$BJ$69,INT((ROW(A853)-1)/COLUMNS('Portfolio Weights Std'!$B$9:$BJ$69))+1,MOD(ROW(A853)-1,COLUMNS('Portfolio Weights Std'!$B$9:$BJ$69))+1)</f>
        <v>1.8003275044791565E-2</v>
      </c>
    </row>
    <row r="855" spans="1:2" x14ac:dyDescent="0.25">
      <c r="A855" cm="1">
        <f t="array" ref="A855">INDEX('Portfolio Weights Returns'!$B$9:$BJ$69,
INT((ROW(A854)-1)/COLUMNS('Portfolio Weights Returns'!$B$9:$BJ$69))+1,MOD(ROW(A854)-1,COLUMNS('Portfolio Weights Returns'!$B$9:$BJ$69))+1)</f>
        <v>-7.0264016462972688E-4</v>
      </c>
      <c r="B855" cm="1">
        <f t="array" ref="B855">INDEX('Portfolio Weights Std'!$B$9:$BJ$69,INT((ROW(A854)-1)/COLUMNS('Portfolio Weights Std'!$B$9:$BJ$69))+1,MOD(ROW(A854)-1,COLUMNS('Portfolio Weights Std'!$B$9:$BJ$69))+1)</f>
        <v>1.7888944642489704E-2</v>
      </c>
    </row>
    <row r="856" spans="1:2" x14ac:dyDescent="0.25">
      <c r="A856" cm="1">
        <f t="array" ref="A856">INDEX('Portfolio Weights Returns'!$B$9:$BJ$69,
INT((ROW(A855)-1)/COLUMNS('Portfolio Weights Returns'!$B$9:$BJ$69))+1,MOD(ROW(A855)-1,COLUMNS('Portfolio Weights Returns'!$B$9:$BJ$69))+1)</f>
        <v>-1.1029363947850186E-3</v>
      </c>
      <c r="B856" cm="1">
        <f t="array" ref="B856">INDEX('Portfolio Weights Std'!$B$9:$BJ$69,INT((ROW(A855)-1)/COLUMNS('Portfolio Weights Std'!$B$9:$BJ$69))+1,MOD(ROW(A855)-1,COLUMNS('Portfolio Weights Std'!$B$9:$BJ$69))+1)</f>
        <v>2.6807706418222152E-2</v>
      </c>
    </row>
    <row r="857" spans="1:2" x14ac:dyDescent="0.25">
      <c r="A857" cm="1">
        <f t="array" ref="A857">INDEX('Portfolio Weights Returns'!$B$9:$BJ$69,
INT((ROW(A856)-1)/COLUMNS('Portfolio Weights Returns'!$B$9:$BJ$69))+1,MOD(ROW(A856)-1,COLUMNS('Portfolio Weights Returns'!$B$9:$BJ$69))+1)</f>
        <v>-1.0961552208183394E-3</v>
      </c>
      <c r="B857" cm="1">
        <f t="array" ref="B857">INDEX('Portfolio Weights Std'!$B$9:$BJ$69,INT((ROW(A856)-1)/COLUMNS('Portfolio Weights Std'!$B$9:$BJ$69))+1,MOD(ROW(A856)-1,COLUMNS('Portfolio Weights Std'!$B$9:$BJ$69))+1)</f>
        <v>2.6630095655276211E-2</v>
      </c>
    </row>
    <row r="858" spans="1:2" x14ac:dyDescent="0.25">
      <c r="A858" cm="1">
        <f t="array" ref="A858">INDEX('Portfolio Weights Returns'!$B$9:$BJ$69,
INT((ROW(A857)-1)/COLUMNS('Portfolio Weights Returns'!$B$9:$BJ$69))+1,MOD(ROW(A857)-1,COLUMNS('Portfolio Weights Returns'!$B$9:$BJ$69))+1)</f>
        <v>-1.0893740468516605E-3</v>
      </c>
      <c r="B858" cm="1">
        <f t="array" ref="B858">INDEX('Portfolio Weights Std'!$B$9:$BJ$69,INT((ROW(A857)-1)/COLUMNS('Portfolio Weights Std'!$B$9:$BJ$69))+1,MOD(ROW(A857)-1,COLUMNS('Portfolio Weights Std'!$B$9:$BJ$69))+1)</f>
        <v>2.6453042767694203E-2</v>
      </c>
    </row>
    <row r="859" spans="1:2" x14ac:dyDescent="0.25">
      <c r="A859" cm="1">
        <f t="array" ref="A859">INDEX('Portfolio Weights Returns'!$B$9:$BJ$69,
INT((ROW(A858)-1)/COLUMNS('Portfolio Weights Returns'!$B$9:$BJ$69))+1,MOD(ROW(A858)-1,COLUMNS('Portfolio Weights Returns'!$B$9:$BJ$69))+1)</f>
        <v>-1.0825928728849812E-3</v>
      </c>
      <c r="B859" cm="1">
        <f t="array" ref="B859">INDEX('Portfolio Weights Std'!$B$9:$BJ$69,INT((ROW(A858)-1)/COLUMNS('Portfolio Weights Std'!$B$9:$BJ$69))+1,MOD(ROW(A858)-1,COLUMNS('Portfolio Weights Std'!$B$9:$BJ$69))+1)</f>
        <v>2.6276559032462409E-2</v>
      </c>
    </row>
    <row r="860" spans="1:2" x14ac:dyDescent="0.25">
      <c r="A860" cm="1">
        <f t="array" ref="A860">INDEX('Portfolio Weights Returns'!$B$9:$BJ$69,
INT((ROW(A859)-1)/COLUMNS('Portfolio Weights Returns'!$B$9:$BJ$69))+1,MOD(ROW(A859)-1,COLUMNS('Portfolio Weights Returns'!$B$9:$BJ$69))+1)</f>
        <v>-1.075811698918302E-3</v>
      </c>
      <c r="B860" cm="1">
        <f t="array" ref="B860">INDEX('Portfolio Weights Std'!$B$9:$BJ$69,INT((ROW(A859)-1)/COLUMNS('Portfolio Weights Std'!$B$9:$BJ$69))+1,MOD(ROW(A859)-1,COLUMNS('Portfolio Weights Std'!$B$9:$BJ$69))+1)</f>
        <v>2.6100655994825715E-2</v>
      </c>
    </row>
    <row r="861" spans="1:2" x14ac:dyDescent="0.25">
      <c r="A861" cm="1">
        <f t="array" ref="A861">INDEX('Portfolio Weights Returns'!$B$9:$BJ$69,
INT((ROW(A860)-1)/COLUMNS('Portfolio Weights Returns'!$B$9:$BJ$69))+1,MOD(ROW(A860)-1,COLUMNS('Portfolio Weights Returns'!$B$9:$BJ$69))+1)</f>
        <v>-1.0690305249516229E-3</v>
      </c>
      <c r="B861" cm="1">
        <f t="array" ref="B861">INDEX('Portfolio Weights Std'!$B$9:$BJ$69,INT((ROW(A860)-1)/COLUMNS('Portfolio Weights Std'!$B$9:$BJ$69))+1,MOD(ROW(A860)-1,COLUMNS('Portfolio Weights Std'!$B$9:$BJ$69))+1)</f>
        <v>2.5925345474857357E-2</v>
      </c>
    </row>
    <row r="862" spans="1:2" x14ac:dyDescent="0.25">
      <c r="A862" cm="1">
        <f t="array" ref="A862">INDEX('Portfolio Weights Returns'!$B$9:$BJ$69,
INT((ROW(A861)-1)/COLUMNS('Portfolio Weights Returns'!$B$9:$BJ$69))+1,MOD(ROW(A861)-1,COLUMNS('Portfolio Weights Returns'!$B$9:$BJ$69))+1)</f>
        <v>-1.0622493509849439E-3</v>
      </c>
      <c r="B862" cm="1">
        <f t="array" ref="B862">INDEX('Portfolio Weights Std'!$B$9:$BJ$69,INT((ROW(A861)-1)/COLUMNS('Portfolio Weights Std'!$B$9:$BJ$69))+1,MOD(ROW(A861)-1,COLUMNS('Portfolio Weights Std'!$B$9:$BJ$69))+1)</f>
        <v>2.5750639574152488E-2</v>
      </c>
    </row>
    <row r="863" spans="1:2" x14ac:dyDescent="0.25">
      <c r="A863" cm="1">
        <f t="array" ref="A863">INDEX('Portfolio Weights Returns'!$B$9:$BJ$69,
INT((ROW(A862)-1)/COLUMNS('Portfolio Weights Returns'!$B$9:$BJ$69))+1,MOD(ROW(A862)-1,COLUMNS('Portfolio Weights Returns'!$B$9:$BJ$69))+1)</f>
        <v>-1.0554681770182648E-3</v>
      </c>
      <c r="B863" cm="1">
        <f t="array" ref="B863">INDEX('Portfolio Weights Std'!$B$9:$BJ$69,INT((ROW(A862)-1)/COLUMNS('Portfolio Weights Std'!$B$9:$BJ$69))+1,MOD(ROW(A862)-1,COLUMNS('Portfolio Weights Std'!$B$9:$BJ$69))+1)</f>
        <v>2.5576550682643574E-2</v>
      </c>
    </row>
    <row r="864" spans="1:2" x14ac:dyDescent="0.25">
      <c r="A864" cm="1">
        <f t="array" ref="A864">INDEX('Portfolio Weights Returns'!$B$9:$BJ$69,
INT((ROW(A863)-1)/COLUMNS('Portfolio Weights Returns'!$B$9:$BJ$69))+1,MOD(ROW(A863)-1,COLUMNS('Portfolio Weights Returns'!$B$9:$BJ$69))+1)</f>
        <v>-1.0486870030515856E-3</v>
      </c>
      <c r="B864" cm="1">
        <f t="array" ref="B864">INDEX('Portfolio Weights Std'!$B$9:$BJ$69,INT((ROW(A863)-1)/COLUMNS('Portfolio Weights Std'!$B$9:$BJ$69))+1,MOD(ROW(A863)-1,COLUMNS('Portfolio Weights Std'!$B$9:$BJ$69))+1)</f>
        <v>2.5403091485535545E-2</v>
      </c>
    </row>
    <row r="865" spans="1:2" x14ac:dyDescent="0.25">
      <c r="A865" cm="1">
        <f t="array" ref="A865">INDEX('Portfolio Weights Returns'!$B$9:$BJ$69,
INT((ROW(A864)-1)/COLUMNS('Portfolio Weights Returns'!$B$9:$BJ$69))+1,MOD(ROW(A864)-1,COLUMNS('Portfolio Weights Returns'!$B$9:$BJ$69))+1)</f>
        <v>-1.0419058290849065E-3</v>
      </c>
      <c r="B865" cm="1">
        <f t="array" ref="B865">INDEX('Portfolio Weights Std'!$B$9:$BJ$69,INT((ROW(A864)-1)/COLUMNS('Portfolio Weights Std'!$B$9:$BJ$69))+1,MOD(ROW(A864)-1,COLUMNS('Portfolio Weights Std'!$B$9:$BJ$69))+1)</f>
        <v>2.5230274970357888E-2</v>
      </c>
    </row>
    <row r="866" spans="1:2" x14ac:dyDescent="0.25">
      <c r="A866" cm="1">
        <f t="array" ref="A866">INDEX('Portfolio Weights Returns'!$B$9:$BJ$69,
INT((ROW(A865)-1)/COLUMNS('Portfolio Weights Returns'!$B$9:$BJ$69))+1,MOD(ROW(A865)-1,COLUMNS('Portfolio Weights Returns'!$B$9:$BJ$69))+1)</f>
        <v>-1.0351246551182276E-3</v>
      </c>
      <c r="B866" cm="1">
        <f t="array" ref="B866">INDEX('Portfolio Weights Std'!$B$9:$BJ$69,INT((ROW(A865)-1)/COLUMNS('Portfolio Weights Std'!$B$9:$BJ$69))+1,MOD(ROW(A865)-1,COLUMNS('Portfolio Weights Std'!$B$9:$BJ$69))+1)</f>
        <v>2.5058114434130366E-2</v>
      </c>
    </row>
    <row r="867" spans="1:2" x14ac:dyDescent="0.25">
      <c r="A867" cm="1">
        <f t="array" ref="A867">INDEX('Portfolio Weights Returns'!$B$9:$BJ$69,
INT((ROW(A866)-1)/COLUMNS('Portfolio Weights Returns'!$B$9:$BJ$69))+1,MOD(ROW(A866)-1,COLUMNS('Portfolio Weights Returns'!$B$9:$BJ$69))+1)</f>
        <v>-1.0283434811515484E-3</v>
      </c>
      <c r="B867" cm="1">
        <f t="array" ref="B867">INDEX('Portfolio Weights Std'!$B$9:$BJ$69,INT((ROW(A866)-1)/COLUMNS('Portfolio Weights Std'!$B$9:$BJ$69))+1,MOD(ROW(A866)-1,COLUMNS('Portfolio Weights Std'!$B$9:$BJ$69))+1)</f>
        <v>2.4886623490638575E-2</v>
      </c>
    </row>
    <row r="868" spans="1:2" x14ac:dyDescent="0.25">
      <c r="A868" cm="1">
        <f t="array" ref="A868">INDEX('Portfolio Weights Returns'!$B$9:$BJ$69,
INT((ROW(A867)-1)/COLUMNS('Portfolio Weights Returns'!$B$9:$BJ$69))+1,MOD(ROW(A867)-1,COLUMNS('Portfolio Weights Returns'!$B$9:$BJ$69))+1)</f>
        <v>-1.0215623071848693E-3</v>
      </c>
      <c r="B868" cm="1">
        <f t="array" ref="B868">INDEX('Portfolio Weights Std'!$B$9:$BJ$69,INT((ROW(A867)-1)/COLUMNS('Portfolio Weights Std'!$B$9:$BJ$69))+1,MOD(ROW(A867)-1,COLUMNS('Portfolio Weights Std'!$B$9:$BJ$69))+1)</f>
        <v>2.4715816077814642E-2</v>
      </c>
    </row>
    <row r="869" spans="1:2" x14ac:dyDescent="0.25">
      <c r="A869" cm="1">
        <f t="array" ref="A869">INDEX('Portfolio Weights Returns'!$B$9:$BJ$69,
INT((ROW(A868)-1)/COLUMNS('Portfolio Weights Returns'!$B$9:$BJ$69))+1,MOD(ROW(A868)-1,COLUMNS('Portfolio Weights Returns'!$B$9:$BJ$69))+1)</f>
        <v>-1.0147811332181901E-3</v>
      </c>
      <c r="B869" cm="1">
        <f t="array" ref="B869">INDEX('Portfolio Weights Std'!$B$9:$BJ$69,INT((ROW(A868)-1)/COLUMNS('Portfolio Weights Std'!$B$9:$BJ$69))+1,MOD(ROW(A868)-1,COLUMNS('Portfolio Weights Std'!$B$9:$BJ$69))+1)</f>
        <v>2.4545706465217976E-2</v>
      </c>
    </row>
    <row r="870" spans="1:2" x14ac:dyDescent="0.25">
      <c r="A870" cm="1">
        <f t="array" ref="A870">INDEX('Portfolio Weights Returns'!$B$9:$BJ$69,
INT((ROW(A869)-1)/COLUMNS('Portfolio Weights Returns'!$B$9:$BJ$69))+1,MOD(ROW(A869)-1,COLUMNS('Portfolio Weights Returns'!$B$9:$BJ$69))+1)</f>
        <v>-1.007999959251511E-3</v>
      </c>
      <c r="B870" cm="1">
        <f t="array" ref="B870">INDEX('Portfolio Weights Std'!$B$9:$BJ$69,INT((ROW(A869)-1)/COLUMNS('Portfolio Weights Std'!$B$9:$BJ$69))+1,MOD(ROW(A869)-1,COLUMNS('Portfolio Weights Std'!$B$9:$BJ$69))+1)</f>
        <v>2.4376309261609976E-2</v>
      </c>
    </row>
    <row r="871" spans="1:2" x14ac:dyDescent="0.25">
      <c r="A871" cm="1">
        <f t="array" ref="A871">INDEX('Portfolio Weights Returns'!$B$9:$BJ$69,
INT((ROW(A870)-1)/COLUMNS('Portfolio Weights Returns'!$B$9:$BJ$69))+1,MOD(ROW(A870)-1,COLUMNS('Portfolio Weights Returns'!$B$9:$BJ$69))+1)</f>
        <v>-1.0012187852848321E-3</v>
      </c>
      <c r="B871" cm="1">
        <f t="array" ref="B871">INDEX('Portfolio Weights Std'!$B$9:$BJ$69,INT((ROW(A870)-1)/COLUMNS('Portfolio Weights Std'!$B$9:$BJ$69))+1,MOD(ROW(A870)-1,COLUMNS('Portfolio Weights Std'!$B$9:$BJ$69))+1)</f>
        <v>2.420763942261589E-2</v>
      </c>
    </row>
    <row r="872" spans="1:2" x14ac:dyDescent="0.25">
      <c r="A872" cm="1">
        <f t="array" ref="A872">INDEX('Portfolio Weights Returns'!$B$9:$BJ$69,
INT((ROW(A871)-1)/COLUMNS('Portfolio Weights Returns'!$B$9:$BJ$69))+1,MOD(ROW(A871)-1,COLUMNS('Portfolio Weights Returns'!$B$9:$BJ$69))+1)</f>
        <v>-9.9443761131815292E-4</v>
      </c>
      <c r="B872" cm="1">
        <f t="array" ref="B872">INDEX('Portfolio Weights Std'!$B$9:$BJ$69,INT((ROW(A871)-1)/COLUMNS('Portfolio Weights Std'!$B$9:$BJ$69))+1,MOD(ROW(A871)-1,COLUMNS('Portfolio Weights Std'!$B$9:$BJ$69))+1)</f>
        <v>2.4039712258466156E-2</v>
      </c>
    </row>
    <row r="873" spans="1:2" x14ac:dyDescent="0.25">
      <c r="A873" cm="1">
        <f t="array" ref="A873">INDEX('Portfolio Weights Returns'!$B$9:$BJ$69,
INT((ROW(A872)-1)/COLUMNS('Portfolio Weights Returns'!$B$9:$BJ$69))+1,MOD(ROW(A872)-1,COLUMNS('Portfolio Weights Returns'!$B$9:$BJ$69))+1)</f>
        <v>-9.8765643735147356E-4</v>
      </c>
      <c r="B873" cm="1">
        <f t="array" ref="B873">INDEX('Portfolio Weights Std'!$B$9:$BJ$69,INT((ROW(A872)-1)/COLUMNS('Portfolio Weights Std'!$B$9:$BJ$69))+1,MOD(ROW(A872)-1,COLUMNS('Portfolio Weights Std'!$B$9:$BJ$69))+1)</f>
        <v>2.3872543441808506E-2</v>
      </c>
    </row>
    <row r="874" spans="1:2" x14ac:dyDescent="0.25">
      <c r="A874" cm="1">
        <f t="array" ref="A874">INDEX('Portfolio Weights Returns'!$B$9:$BJ$69,
INT((ROW(A873)-1)/COLUMNS('Portfolio Weights Returns'!$B$9:$BJ$69))+1,MOD(ROW(A873)-1,COLUMNS('Portfolio Weights Returns'!$B$9:$BJ$69))+1)</f>
        <v>-9.8087526338479464E-4</v>
      </c>
      <c r="B874" cm="1">
        <f t="array" ref="B874">INDEX('Portfolio Weights Std'!$B$9:$BJ$69,INT((ROW(A873)-1)/COLUMNS('Portfolio Weights Std'!$B$9:$BJ$69))+1,MOD(ROW(A873)-1,COLUMNS('Portfolio Weights Std'!$B$9:$BJ$69))+1)</f>
        <v>2.3706149015581313E-2</v>
      </c>
    </row>
    <row r="875" spans="1:2" x14ac:dyDescent="0.25">
      <c r="A875" cm="1">
        <f t="array" ref="A875">INDEX('Portfolio Weights Returns'!$B$9:$BJ$69,
INT((ROW(A874)-1)/COLUMNS('Portfolio Weights Returns'!$B$9:$BJ$69))+1,MOD(ROW(A874)-1,COLUMNS('Portfolio Weights Returns'!$B$9:$BJ$69))+1)</f>
        <v>-9.740940894181156E-4</v>
      </c>
      <c r="B875" cm="1">
        <f t="array" ref="B875">INDEX('Portfolio Weights Std'!$B$9:$BJ$69,INT((ROW(A874)-1)/COLUMNS('Portfolio Weights Std'!$B$9:$BJ$69))+1,MOD(ROW(A874)-1,COLUMNS('Portfolio Weights Std'!$B$9:$BJ$69))+1)</f>
        <v>2.3540545400937193E-2</v>
      </c>
    </row>
    <row r="876" spans="1:2" x14ac:dyDescent="0.25">
      <c r="A876" cm="1">
        <f t="array" ref="A876">INDEX('Portfolio Weights Returns'!$B$9:$BJ$69,
INT((ROW(A875)-1)/COLUMNS('Portfolio Weights Returns'!$B$9:$BJ$69))+1,MOD(ROW(A875)-1,COLUMNS('Portfolio Weights Returns'!$B$9:$BJ$69))+1)</f>
        <v>-9.6731291545143656E-4</v>
      </c>
      <c r="B876" cm="1">
        <f t="array" ref="B876">INDEX('Portfolio Weights Std'!$B$9:$BJ$69,INT((ROW(A875)-1)/COLUMNS('Portfolio Weights Std'!$B$9:$BJ$69))+1,MOD(ROW(A875)-1,COLUMNS('Portfolio Weights Std'!$B$9:$BJ$69))+1)</f>
        <v>2.3375749405205169E-2</v>
      </c>
    </row>
    <row r="877" spans="1:2" x14ac:dyDescent="0.25">
      <c r="A877" cm="1">
        <f t="array" ref="A877">INDEX('Portfolio Weights Returns'!$B$9:$BJ$69,
INT((ROW(A876)-1)/COLUMNS('Portfolio Weights Returns'!$B$9:$BJ$69))+1,MOD(ROW(A876)-1,COLUMNS('Portfolio Weights Returns'!$B$9:$BJ$69))+1)</f>
        <v>-9.6053174148475742E-4</v>
      </c>
      <c r="B877" cm="1">
        <f t="array" ref="B877">INDEX('Portfolio Weights Std'!$B$9:$BJ$69,INT((ROW(A876)-1)/COLUMNS('Portfolio Weights Std'!$B$9:$BJ$69))+1,MOD(ROW(A876)-1,COLUMNS('Portfolio Weights Std'!$B$9:$BJ$69))+1)</f>
        <v>2.3211778229878036E-2</v>
      </c>
    </row>
    <row r="878" spans="1:2" x14ac:dyDescent="0.25">
      <c r="A878" cm="1">
        <f t="array" ref="A878">INDEX('Portfolio Weights Returns'!$B$9:$BJ$69,
INT((ROW(A877)-1)/COLUMNS('Portfolio Weights Returns'!$B$9:$BJ$69))+1,MOD(ROW(A877)-1,COLUMNS('Portfolio Weights Returns'!$B$9:$BJ$69))+1)</f>
        <v>-9.5375056751807828E-4</v>
      </c>
      <c r="B878" cm="1">
        <f t="array" ref="B878">INDEX('Portfolio Weights Std'!$B$9:$BJ$69,INT((ROW(A877)-1)/COLUMNS('Portfolio Weights Std'!$B$9:$BJ$69))+1,MOD(ROW(A877)-1,COLUMNS('Portfolio Weights Std'!$B$9:$BJ$69))+1)</f>
        <v>2.3048649478610593E-2</v>
      </c>
    </row>
    <row r="879" spans="1:2" x14ac:dyDescent="0.25">
      <c r="A879" cm="1">
        <f t="array" ref="A879">INDEX('Portfolio Weights Returns'!$B$9:$BJ$69,
INT((ROW(A878)-1)/COLUMNS('Portfolio Weights Returns'!$B$9:$BJ$69))+1,MOD(ROW(A878)-1,COLUMNS('Portfolio Weights Returns'!$B$9:$BJ$69))+1)</f>
        <v>-9.4696939355139924E-4</v>
      </c>
      <c r="B879" cm="1">
        <f t="array" ref="B879">INDEX('Portfolio Weights Std'!$B$9:$BJ$69,INT((ROW(A878)-1)/COLUMNS('Portfolio Weights Std'!$B$9:$BJ$69))+1,MOD(ROW(A878)-1,COLUMNS('Portfolio Weights Std'!$B$9:$BJ$69))+1)</f>
        <v>2.2886381165212608E-2</v>
      </c>
    </row>
    <row r="880" spans="1:2" x14ac:dyDescent="0.25">
      <c r="A880" cm="1">
        <f t="array" ref="A880">INDEX('Portfolio Weights Returns'!$B$9:$BJ$69,
INT((ROW(A879)-1)/COLUMNS('Portfolio Weights Returns'!$B$9:$BJ$69))+1,MOD(ROW(A879)-1,COLUMNS('Portfolio Weights Returns'!$B$9:$BJ$69))+1)</f>
        <v>-9.4018821958472009E-4</v>
      </c>
      <c r="B880" cm="1">
        <f t="array" ref="B880">INDEX('Portfolio Weights Std'!$B$9:$BJ$69,INT((ROW(A879)-1)/COLUMNS('Portfolio Weights Std'!$B$9:$BJ$69))+1,MOD(ROW(A879)-1,COLUMNS('Portfolio Weights Std'!$B$9:$BJ$69))+1)</f>
        <v>2.2724991721619316E-2</v>
      </c>
    </row>
    <row r="881" spans="1:2" x14ac:dyDescent="0.25">
      <c r="A881" cm="1">
        <f t="array" ref="A881">INDEX('Portfolio Weights Returns'!$B$9:$BJ$69,
INT((ROW(A880)-1)/COLUMNS('Portfolio Weights Returns'!$B$9:$BJ$69))+1,MOD(ROW(A880)-1,COLUMNS('Portfolio Weights Returns'!$B$9:$BJ$69))+1)</f>
        <v>-9.3340704561804095E-4</v>
      </c>
      <c r="B881" cm="1">
        <f t="array" ref="B881">INDEX('Portfolio Weights Std'!$B$9:$BJ$69,INT((ROW(A880)-1)/COLUMNS('Portfolio Weights Std'!$B$9:$BJ$69))+1,MOD(ROW(A880)-1,COLUMNS('Portfolio Weights Std'!$B$9:$BJ$69))+1)</f>
        <v>2.2564500005820217E-2</v>
      </c>
    </row>
    <row r="882" spans="1:2" x14ac:dyDescent="0.25">
      <c r="A882" cm="1">
        <f t="array" ref="A882">INDEX('Portfolio Weights Returns'!$B$9:$BJ$69,
INT((ROW(A881)-1)/COLUMNS('Portfolio Weights Returns'!$B$9:$BJ$69))+1,MOD(ROW(A881)-1,COLUMNS('Portfolio Weights Returns'!$B$9:$BJ$69))+1)</f>
        <v>-9.2662587165136181E-4</v>
      </c>
      <c r="B882" cm="1">
        <f t="array" ref="B882">INDEX('Portfolio Weights Std'!$B$9:$BJ$69,INT((ROW(A881)-1)/COLUMNS('Portfolio Weights Std'!$B$9:$BJ$69))+1,MOD(ROW(A881)-1,COLUMNS('Portfolio Weights Std'!$B$9:$BJ$69))+1)</f>
        <v>2.2404925309725553E-2</v>
      </c>
    </row>
    <row r="883" spans="1:2" x14ac:dyDescent="0.25">
      <c r="A883" cm="1">
        <f t="array" ref="A883">INDEX('Portfolio Weights Returns'!$B$9:$BJ$69,
INT((ROW(A882)-1)/COLUMNS('Portfolio Weights Returns'!$B$9:$BJ$69))+1,MOD(ROW(A882)-1,COLUMNS('Portfolio Weights Returns'!$B$9:$BJ$69))+1)</f>
        <v>-9.1984469768468277E-4</v>
      </c>
      <c r="B883" cm="1">
        <f t="array" ref="B883">INDEX('Portfolio Weights Std'!$B$9:$BJ$69,INT((ROW(A882)-1)/COLUMNS('Portfolio Weights Std'!$B$9:$BJ$69))+1,MOD(ROW(A882)-1,COLUMNS('Portfolio Weights Std'!$B$9:$BJ$69))+1)</f>
        <v>2.2246287366947917E-2</v>
      </c>
    </row>
    <row r="884" spans="1:2" x14ac:dyDescent="0.25">
      <c r="A884" cm="1">
        <f t="array" ref="A884">INDEX('Portfolio Weights Returns'!$B$9:$BJ$69,
INT((ROW(A883)-1)/COLUMNS('Portfolio Weights Returns'!$B$9:$BJ$69))+1,MOD(ROW(A883)-1,COLUMNS('Portfolio Weights Returns'!$B$9:$BJ$69))+1)</f>
        <v>-9.1306352371800363E-4</v>
      </c>
      <c r="B884" cm="1">
        <f t="array" ref="B884">INDEX('Portfolio Weights Std'!$B$9:$BJ$69,INT((ROW(A883)-1)/COLUMNS('Portfolio Weights Std'!$B$9:$BJ$69))+1,MOD(ROW(A883)-1,COLUMNS('Portfolio Weights Std'!$B$9:$BJ$69))+1)</f>
        <v>2.2088606360474588E-2</v>
      </c>
    </row>
    <row r="885" spans="1:2" x14ac:dyDescent="0.25">
      <c r="A885" cm="1">
        <f t="array" ref="A885">INDEX('Portfolio Weights Returns'!$B$9:$BJ$69,
INT((ROW(A884)-1)/COLUMNS('Portfolio Weights Returns'!$B$9:$BJ$69))+1,MOD(ROW(A884)-1,COLUMNS('Portfolio Weights Returns'!$B$9:$BJ$69))+1)</f>
        <v>-9.0628234975132459E-4</v>
      </c>
      <c r="B885" cm="1">
        <f t="array" ref="B885">INDEX('Portfolio Weights Std'!$B$9:$BJ$69,INT((ROW(A884)-1)/COLUMNS('Portfolio Weights Std'!$B$9:$BJ$69))+1,MOD(ROW(A884)-1,COLUMNS('Portfolio Weights Std'!$B$9:$BJ$69))+1)</f>
        <v>2.1931902930204115E-2</v>
      </c>
    </row>
    <row r="886" spans="1:2" x14ac:dyDescent="0.25">
      <c r="A886" cm="1">
        <f t="array" ref="A886">INDEX('Portfolio Weights Returns'!$B$9:$BJ$69,
INT((ROW(A885)-1)/COLUMNS('Portfolio Weights Returns'!$B$9:$BJ$69))+1,MOD(ROW(A885)-1,COLUMNS('Portfolio Weights Returns'!$B$9:$BJ$69))+1)</f>
        <v>-8.9950117578464545E-4</v>
      </c>
      <c r="B886" cm="1">
        <f t="array" ref="B886">INDEX('Portfolio Weights Std'!$B$9:$BJ$69,INT((ROW(A885)-1)/COLUMNS('Portfolio Weights Std'!$B$9:$BJ$69))+1,MOD(ROW(A885)-1,COLUMNS('Portfolio Weights Std'!$B$9:$BJ$69))+1)</f>
        <v>2.1776198180318798E-2</v>
      </c>
    </row>
    <row r="887" spans="1:2" x14ac:dyDescent="0.25">
      <c r="A887" cm="1">
        <f t="array" ref="A887">INDEX('Portfolio Weights Returns'!$B$9:$BJ$69,
INT((ROW(A886)-1)/COLUMNS('Portfolio Weights Returns'!$B$9:$BJ$69))+1,MOD(ROW(A886)-1,COLUMNS('Portfolio Weights Returns'!$B$9:$BJ$69))+1)</f>
        <v>-8.927200018179663E-4</v>
      </c>
      <c r="B887" cm="1">
        <f t="array" ref="B887">INDEX('Portfolio Weights Std'!$B$9:$BJ$69,INT((ROW(A886)-1)/COLUMNS('Portfolio Weights Std'!$B$9:$BJ$69))+1,MOD(ROW(A886)-1,COLUMNS('Portfolio Weights Std'!$B$9:$BJ$69))+1)</f>
        <v>2.1621513686462136E-2</v>
      </c>
    </row>
    <row r="888" spans="1:2" x14ac:dyDescent="0.25">
      <c r="A888" cm="1">
        <f t="array" ref="A888">INDEX('Portfolio Weights Returns'!$B$9:$BJ$69,
INT((ROW(A887)-1)/COLUMNS('Portfolio Weights Returns'!$B$9:$BJ$69))+1,MOD(ROW(A887)-1,COLUMNS('Portfolio Weights Returns'!$B$9:$BJ$69))+1)</f>
        <v>-8.8593882785128716E-4</v>
      </c>
      <c r="B888" cm="1">
        <f t="array" ref="B888">INDEX('Portfolio Weights Std'!$B$9:$BJ$69,INT((ROW(A887)-1)/COLUMNS('Portfolio Weights Std'!$B$9:$BJ$69))+1,MOD(ROW(A887)-1,COLUMNS('Portfolio Weights Std'!$B$9:$BJ$69))+1)</f>
        <v>2.1467871502688498E-2</v>
      </c>
    </row>
    <row r="889" spans="1:2" x14ac:dyDescent="0.25">
      <c r="A889" cm="1">
        <f t="array" ref="A889">INDEX('Portfolio Weights Returns'!$B$9:$BJ$69,
INT((ROW(A888)-1)/COLUMNS('Portfolio Weights Returns'!$B$9:$BJ$69))+1,MOD(ROW(A888)-1,COLUMNS('Portfolio Weights Returns'!$B$9:$BJ$69))+1)</f>
        <v>-8.7915765388460801E-4</v>
      </c>
      <c r="B889" cm="1">
        <f t="array" ref="B889">INDEX('Portfolio Weights Std'!$B$9:$BJ$69,INT((ROW(A888)-1)/COLUMNS('Portfolio Weights Std'!$B$9:$BJ$69))+1,MOD(ROW(A888)-1,COLUMNS('Portfolio Weights Std'!$B$9:$BJ$69))+1)</f>
        <v>2.1315294168149458E-2</v>
      </c>
    </row>
    <row r="890" spans="1:2" x14ac:dyDescent="0.25">
      <c r="A890" cm="1">
        <f t="array" ref="A890">INDEX('Portfolio Weights Returns'!$B$9:$BJ$69,
INT((ROW(A889)-1)/COLUMNS('Portfolio Weights Returns'!$B$9:$BJ$69))+1,MOD(ROW(A889)-1,COLUMNS('Portfolio Weights Returns'!$B$9:$BJ$69))+1)</f>
        <v>-8.7237647991792898E-4</v>
      </c>
      <c r="B890" cm="1">
        <f t="array" ref="B890">INDEX('Portfolio Weights Std'!$B$9:$BJ$69,INT((ROW(A889)-1)/COLUMNS('Portfolio Weights Std'!$B$9:$BJ$69))+1,MOD(ROW(A889)-1,COLUMNS('Portfolio Weights Std'!$B$9:$BJ$69))+1)</f>
        <v>2.1163804713478951E-2</v>
      </c>
    </row>
    <row r="891" spans="1:2" x14ac:dyDescent="0.25">
      <c r="A891" cm="1">
        <f t="array" ref="A891">INDEX('Portfolio Weights Returns'!$B$9:$BJ$69,
INT((ROW(A890)-1)/COLUMNS('Portfolio Weights Returns'!$B$9:$BJ$69))+1,MOD(ROW(A890)-1,COLUMNS('Portfolio Weights Returns'!$B$9:$BJ$69))+1)</f>
        <v>-8.6559530595124983E-4</v>
      </c>
      <c r="B891" cm="1">
        <f t="array" ref="B891">INDEX('Portfolio Weights Std'!$B$9:$BJ$69,INT((ROW(A890)-1)/COLUMNS('Portfolio Weights Std'!$B$9:$BJ$69))+1,MOD(ROW(A890)-1,COLUMNS('Portfolio Weights Std'!$B$9:$BJ$69))+1)</f>
        <v>2.1013426666836785E-2</v>
      </c>
    </row>
    <row r="892" spans="1:2" x14ac:dyDescent="0.25">
      <c r="A892" cm="1">
        <f t="array" ref="A892">INDEX('Portfolio Weights Returns'!$B$9:$BJ$69,
INT((ROW(A891)-1)/COLUMNS('Portfolio Weights Returns'!$B$9:$BJ$69))+1,MOD(ROW(A891)-1,COLUMNS('Portfolio Weights Returns'!$B$9:$BJ$69))+1)</f>
        <v>-8.588141319845708E-4</v>
      </c>
      <c r="B892" cm="1">
        <f t="array" ref="B892">INDEX('Portfolio Weights Std'!$B$9:$BJ$69,INT((ROW(A891)-1)/COLUMNS('Portfolio Weights Std'!$B$9:$BJ$69))+1,MOD(ROW(A891)-1,COLUMNS('Portfolio Weights Std'!$B$9:$BJ$69))+1)</f>
        <v>2.0864184059567401E-2</v>
      </c>
    </row>
    <row r="893" spans="1:2" x14ac:dyDescent="0.25">
      <c r="A893" cm="1">
        <f t="array" ref="A893">INDEX('Portfolio Weights Returns'!$B$9:$BJ$69,
INT((ROW(A892)-1)/COLUMNS('Portfolio Weights Returns'!$B$9:$BJ$69))+1,MOD(ROW(A892)-1,COLUMNS('Portfolio Weights Returns'!$B$9:$BJ$69))+1)</f>
        <v>-8.5203295801789165E-4</v>
      </c>
      <c r="B893" cm="1">
        <f t="array" ref="B893">INDEX('Portfolio Weights Std'!$B$9:$BJ$69,INT((ROW(A892)-1)/COLUMNS('Portfolio Weights Std'!$B$9:$BJ$69))+1,MOD(ROW(A892)-1,COLUMNS('Portfolio Weights Std'!$B$9:$BJ$69))+1)</f>
        <v>2.0716101431427963E-2</v>
      </c>
    </row>
    <row r="894" spans="1:2" x14ac:dyDescent="0.25">
      <c r="A894" cm="1">
        <f t="array" ref="A894">INDEX('Portfolio Weights Returns'!$B$9:$BJ$69,
INT((ROW(A893)-1)/COLUMNS('Portfolio Weights Returns'!$B$9:$BJ$69))+1,MOD(ROW(A893)-1,COLUMNS('Portfolio Weights Returns'!$B$9:$BJ$69))+1)</f>
        <v>-8.4525178405121272E-4</v>
      </c>
      <c r="B894" cm="1">
        <f t="array" ref="B894">INDEX('Portfolio Weights Std'!$B$9:$BJ$69,INT((ROW(A893)-1)/COLUMNS('Portfolio Weights Std'!$B$9:$BJ$69))+1,MOD(ROW(A893)-1,COLUMNS('Portfolio Weights Std'!$B$9:$BJ$69))+1)</f>
        <v>2.0569203835337016E-2</v>
      </c>
    </row>
    <row r="895" spans="1:2" x14ac:dyDescent="0.25">
      <c r="A895" cm="1">
        <f t="array" ref="A895">INDEX('Portfolio Weights Returns'!$B$9:$BJ$69,
INT((ROW(A894)-1)/COLUMNS('Portfolio Weights Returns'!$B$9:$BJ$69))+1,MOD(ROW(A894)-1,COLUMNS('Portfolio Weights Returns'!$B$9:$BJ$69))+1)</f>
        <v>-8.3847061008453358E-4</v>
      </c>
      <c r="B895" cm="1">
        <f t="array" ref="B895">INDEX('Portfolio Weights Std'!$B$9:$BJ$69,INT((ROW(A894)-1)/COLUMNS('Portfolio Weights Std'!$B$9:$BJ$69))+1,MOD(ROW(A894)-1,COLUMNS('Portfolio Weights Std'!$B$9:$BJ$69))+1)</f>
        <v>2.0423516841592194E-2</v>
      </c>
    </row>
    <row r="896" spans="1:2" x14ac:dyDescent="0.25">
      <c r="A896" cm="1">
        <f t="array" ref="A896">INDEX('Portfolio Weights Returns'!$B$9:$BJ$69,
INT((ROW(A895)-1)/COLUMNS('Portfolio Weights Returns'!$B$9:$BJ$69))+1,MOD(ROW(A895)-1,COLUMNS('Portfolio Weights Returns'!$B$9:$BJ$69))+1)</f>
        <v>-8.3168943611785443E-4</v>
      </c>
      <c r="B896" cm="1">
        <f t="array" ref="B896">INDEX('Portfolio Weights Std'!$B$9:$BJ$69,INT((ROW(A895)-1)/COLUMNS('Portfolio Weights Std'!$B$9:$BJ$69))+1,MOD(ROW(A895)-1,COLUMNS('Portfolio Weights Std'!$B$9:$BJ$69))+1)</f>
        <v>2.0279066541502425E-2</v>
      </c>
    </row>
    <row r="897" spans="1:2" x14ac:dyDescent="0.25">
      <c r="A897" cm="1">
        <f t="array" ref="A897">INDEX('Portfolio Weights Returns'!$B$9:$BJ$69,
INT((ROW(A896)-1)/COLUMNS('Portfolio Weights Returns'!$B$9:$BJ$69))+1,MOD(ROW(A896)-1,COLUMNS('Portfolio Weights Returns'!$B$9:$BJ$69))+1)</f>
        <v>-8.249082621511754E-4</v>
      </c>
      <c r="B897" cm="1">
        <f t="array" ref="B897">INDEX('Portfolio Weights Std'!$B$9:$BJ$69,INT((ROW(A896)-1)/COLUMNS('Portfolio Weights Std'!$B$9:$BJ$69))+1,MOD(ROW(A896)-1,COLUMNS('Portfolio Weights Std'!$B$9:$BJ$69))+1)</f>
        <v>2.0135879550377035E-2</v>
      </c>
    </row>
    <row r="898" spans="1:2" x14ac:dyDescent="0.25">
      <c r="A898" cm="1">
        <f t="array" ref="A898">INDEX('Portfolio Weights Returns'!$B$9:$BJ$69,
INT((ROW(A897)-1)/COLUMNS('Portfolio Weights Returns'!$B$9:$BJ$69))+1,MOD(ROW(A897)-1,COLUMNS('Portfolio Weights Returns'!$B$9:$BJ$69))+1)</f>
        <v>-8.1812708818449625E-4</v>
      </c>
      <c r="B898" cm="1">
        <f t="array" ref="B898">INDEX('Portfolio Weights Std'!$B$9:$BJ$69,INT((ROW(A897)-1)/COLUMNS('Portfolio Weights Std'!$B$9:$BJ$69))+1,MOD(ROW(A897)-1,COLUMNS('Portfolio Weights Std'!$B$9:$BJ$69))+1)</f>
        <v>1.9993983009811398E-2</v>
      </c>
    </row>
    <row r="899" spans="1:2" x14ac:dyDescent="0.25">
      <c r="A899" cm="1">
        <f t="array" ref="A899">INDEX('Portfolio Weights Returns'!$B$9:$BJ$69,
INT((ROW(A898)-1)/COLUMNS('Portfolio Weights Returns'!$B$9:$BJ$69))+1,MOD(ROW(A898)-1,COLUMNS('Portfolio Weights Returns'!$B$9:$BJ$69))+1)</f>
        <v>-8.1134591421781711E-4</v>
      </c>
      <c r="B899" cm="1">
        <f t="array" ref="B899">INDEX('Portfolio Weights Std'!$B$9:$BJ$69,INT((ROW(A898)-1)/COLUMNS('Portfolio Weights Std'!$B$9:$BJ$69))+1,MOD(ROW(A898)-1,COLUMNS('Portfolio Weights Std'!$B$9:$BJ$69))+1)</f>
        <v>1.9853404589205544E-2</v>
      </c>
    </row>
    <row r="900" spans="1:2" x14ac:dyDescent="0.25">
      <c r="A900" cm="1">
        <f t="array" ref="A900">INDEX('Portfolio Weights Returns'!$B$9:$BJ$69,
INT((ROW(A899)-1)/COLUMNS('Portfolio Weights Returns'!$B$9:$BJ$69))+1,MOD(ROW(A899)-1,COLUMNS('Portfolio Weights Returns'!$B$9:$BJ$69))+1)</f>
        <v>-8.0456474025113797E-4</v>
      </c>
      <c r="B900" cm="1">
        <f t="array" ref="B900">INDEX('Portfolio Weights Std'!$B$9:$BJ$69,INT((ROW(A899)-1)/COLUMNS('Portfolio Weights Std'!$B$9:$BJ$69))+1,MOD(ROW(A899)-1,COLUMNS('Portfolio Weights Std'!$B$9:$BJ$69))+1)</f>
        <v>1.9714172486449296E-2</v>
      </c>
    </row>
    <row r="901" spans="1:2" x14ac:dyDescent="0.25">
      <c r="A901" cm="1">
        <f t="array" ref="A901">INDEX('Portfolio Weights Returns'!$B$9:$BJ$69,
INT((ROW(A900)-1)/COLUMNS('Portfolio Weights Returns'!$B$9:$BJ$69))+1,MOD(ROW(A900)-1,COLUMNS('Portfolio Weights Returns'!$B$9:$BJ$69))+1)</f>
        <v>-7.9778356628445893E-4</v>
      </c>
      <c r="B901" cm="1">
        <f t="array" ref="B901">INDEX('Portfolio Weights Std'!$B$9:$BJ$69,INT((ROW(A900)-1)/COLUMNS('Portfolio Weights Std'!$B$9:$BJ$69))+1,MOD(ROW(A900)-1,COLUMNS('Portfolio Weights Std'!$B$9:$BJ$69))+1)</f>
        <v>1.9576315427704653E-2</v>
      </c>
    </row>
    <row r="902" spans="1:2" x14ac:dyDescent="0.25">
      <c r="A902" cm="1">
        <f t="array" ref="A902">INDEX('Portfolio Weights Returns'!$B$9:$BJ$69,
INT((ROW(A901)-1)/COLUMNS('Portfolio Weights Returns'!$B$9:$BJ$69))+1,MOD(ROW(A901)-1,COLUMNS('Portfolio Weights Returns'!$B$9:$BJ$69))+1)</f>
        <v>-7.9100239231777978E-4</v>
      </c>
      <c r="B902" cm="1">
        <f t="array" ref="B902">INDEX('Portfolio Weights Std'!$B$9:$BJ$69,INT((ROW(A901)-1)/COLUMNS('Portfolio Weights Std'!$B$9:$BJ$69))+1,MOD(ROW(A901)-1,COLUMNS('Portfolio Weights Std'!$B$9:$BJ$69))+1)</f>
        <v>1.9439862666213097E-2</v>
      </c>
    </row>
    <row r="903" spans="1:2" x14ac:dyDescent="0.25">
      <c r="A903" cm="1">
        <f t="array" ref="A903">INDEX('Portfolio Weights Returns'!$B$9:$BJ$69,
INT((ROW(A902)-1)/COLUMNS('Portfolio Weights Returns'!$B$9:$BJ$69))+1,MOD(ROW(A902)-1,COLUMNS('Portfolio Weights Returns'!$B$9:$BJ$69))+1)</f>
        <v>-7.8422121835110075E-4</v>
      </c>
      <c r="B903" cm="1">
        <f t="array" ref="B903">INDEX('Portfolio Weights Std'!$B$9:$BJ$69,INT((ROW(A902)-1)/COLUMNS('Portfolio Weights Std'!$B$9:$BJ$69))+1,MOD(ROW(A902)-1,COLUMNS('Portfolio Weights Std'!$B$9:$BJ$69))+1)</f>
        <v>1.9304843980053048E-2</v>
      </c>
    </row>
    <row r="904" spans="1:2" x14ac:dyDescent="0.25">
      <c r="A904" cm="1">
        <f t="array" ref="A904">INDEX('Portfolio Weights Returns'!$B$9:$BJ$69,
INT((ROW(A903)-1)/COLUMNS('Portfolio Weights Returns'!$B$9:$BJ$69))+1,MOD(ROW(A903)-1,COLUMNS('Portfolio Weights Returns'!$B$9:$BJ$69))+1)</f>
        <v>-7.7744004438442171E-4</v>
      </c>
      <c r="B904" cm="1">
        <f t="array" ref="B904">INDEX('Portfolio Weights Std'!$B$9:$BJ$69,INT((ROW(A903)-1)/COLUMNS('Portfolio Weights Std'!$B$9:$BJ$69))+1,MOD(ROW(A903)-1,COLUMNS('Portfolio Weights Std'!$B$9:$BJ$69))+1)</f>
        <v>1.9171289668769832E-2</v>
      </c>
    </row>
    <row r="905" spans="1:2" x14ac:dyDescent="0.25">
      <c r="A905" cm="1">
        <f t="array" ref="A905">INDEX('Portfolio Weights Returns'!$B$9:$BJ$69,
INT((ROW(A904)-1)/COLUMNS('Portfolio Weights Returns'!$B$9:$BJ$69))+1,MOD(ROW(A904)-1,COLUMNS('Portfolio Weights Returns'!$B$9:$BJ$69))+1)</f>
        <v>-7.7065887041774246E-4</v>
      </c>
      <c r="B905" cm="1">
        <f t="array" ref="B905">INDEX('Portfolio Weights Std'!$B$9:$BJ$69,INT((ROW(A904)-1)/COLUMNS('Portfolio Weights Std'!$B$9:$BJ$69))+1,MOD(ROW(A904)-1,COLUMNS('Portfolio Weights Std'!$B$9:$BJ$69))+1)</f>
        <v>1.9039230548798376E-2</v>
      </c>
    </row>
    <row r="906" spans="1:2" x14ac:dyDescent="0.25">
      <c r="A906" cm="1">
        <f t="array" ref="A906">INDEX('Portfolio Weights Returns'!$B$9:$BJ$69,
INT((ROW(A905)-1)/COLUMNS('Portfolio Weights Returns'!$B$9:$BJ$69))+1,MOD(ROW(A905)-1,COLUMNS('Portfolio Weights Returns'!$B$9:$BJ$69))+1)</f>
        <v>-7.6387769645106342E-4</v>
      </c>
      <c r="B906" cm="1">
        <f t="array" ref="B906">INDEX('Portfolio Weights Std'!$B$9:$BJ$69,INT((ROW(A905)-1)/COLUMNS('Portfolio Weights Std'!$B$9:$BJ$69))+1,MOD(ROW(A905)-1,COLUMNS('Portfolio Weights Std'!$B$9:$BJ$69))+1)</f>
        <v>1.8908697947596489E-2</v>
      </c>
    </row>
    <row r="907" spans="1:2" x14ac:dyDescent="0.25">
      <c r="A907" cm="1">
        <f t="array" ref="A907">INDEX('Portfolio Weights Returns'!$B$9:$BJ$69,
INT((ROW(A906)-1)/COLUMNS('Portfolio Weights Returns'!$B$9:$BJ$69))+1,MOD(ROW(A906)-1,COLUMNS('Portfolio Weights Returns'!$B$9:$BJ$69))+1)</f>
        <v>-7.5709652248438428E-4</v>
      </c>
      <c r="B907" cm="1">
        <f t="array" ref="B907">INDEX('Portfolio Weights Std'!$B$9:$BJ$69,INT((ROW(A906)-1)/COLUMNS('Portfolio Weights Std'!$B$9:$BJ$69))+1,MOD(ROW(A906)-1,COLUMNS('Portfolio Weights Std'!$B$9:$BJ$69))+1)</f>
        <v>1.87797236964048E-2</v>
      </c>
    </row>
    <row r="908" spans="1:2" x14ac:dyDescent="0.25">
      <c r="A908" cm="1">
        <f t="array" ref="A908">INDEX('Portfolio Weights Returns'!$B$9:$BJ$69,
INT((ROW(A907)-1)/COLUMNS('Portfolio Weights Returns'!$B$9:$BJ$69))+1,MOD(ROW(A907)-1,COLUMNS('Portfolio Weights Returns'!$B$9:$BJ$69))+1)</f>
        <v>-7.5031534851770524E-4</v>
      </c>
      <c r="B908" cm="1">
        <f t="array" ref="B908">INDEX('Portfolio Weights Std'!$B$9:$BJ$69,INT((ROW(A907)-1)/COLUMNS('Portfolio Weights Std'!$B$9:$BJ$69))+1,MOD(ROW(A907)-1,COLUMNS('Portfolio Weights Std'!$B$9:$BJ$69))+1)</f>
        <v>1.865234012154781E-2</v>
      </c>
    </row>
    <row r="909" spans="1:2" x14ac:dyDescent="0.25">
      <c r="A909" cm="1">
        <f t="array" ref="A909">INDEX('Portfolio Weights Returns'!$B$9:$BJ$69,
INT((ROW(A908)-1)/COLUMNS('Portfolio Weights Returns'!$B$9:$BJ$69))+1,MOD(ROW(A908)-1,COLUMNS('Portfolio Weights Returns'!$B$9:$BJ$69))+1)</f>
        <v>-7.435341745510261E-4</v>
      </c>
      <c r="B909" cm="1">
        <f t="array" ref="B909">INDEX('Portfolio Weights Std'!$B$9:$BJ$69,INT((ROW(A908)-1)/COLUMNS('Portfolio Weights Std'!$B$9:$BJ$69))+1,MOD(ROW(A908)-1,COLUMNS('Portfolio Weights Std'!$B$9:$BJ$69))+1)</f>
        <v>1.8526580034189319E-2</v>
      </c>
    </row>
    <row r="910" spans="1:2" x14ac:dyDescent="0.25">
      <c r="A910" cm="1">
        <f t="array" ref="A910">INDEX('Portfolio Weights Returns'!$B$9:$BJ$69,
INT((ROW(A909)-1)/COLUMNS('Portfolio Weights Returns'!$B$9:$BJ$69))+1,MOD(ROW(A909)-1,COLUMNS('Portfolio Weights Returns'!$B$9:$BJ$69))+1)</f>
        <v>-7.3675300058434706E-4</v>
      </c>
      <c r="B910" cm="1">
        <f t="array" ref="B910">INDEX('Portfolio Weights Std'!$B$9:$BJ$69,INT((ROW(A909)-1)/COLUMNS('Portfolio Weights Std'!$B$9:$BJ$69))+1,MOD(ROW(A909)-1,COLUMNS('Portfolio Weights Std'!$B$9:$BJ$69))+1)</f>
        <v>1.8402476718454731E-2</v>
      </c>
    </row>
    <row r="911" spans="1:2" x14ac:dyDescent="0.25">
      <c r="A911" cm="1">
        <f t="array" ref="A911">INDEX('Portfolio Weights Returns'!$B$9:$BJ$69,
INT((ROW(A910)-1)/COLUMNS('Portfolio Weights Returns'!$B$9:$BJ$69))+1,MOD(ROW(A910)-1,COLUMNS('Portfolio Weights Returns'!$B$9:$BJ$69))+1)</f>
        <v>-7.2997182661766792E-4</v>
      </c>
      <c r="B911" cm="1">
        <f t="array" ref="B911">INDEX('Portfolio Weights Std'!$B$9:$BJ$69,INT((ROW(A910)-1)/COLUMNS('Portfolio Weights Std'!$B$9:$BJ$69))+1,MOD(ROW(A910)-1,COLUMNS('Portfolio Weights Std'!$B$9:$BJ$69))+1)</f>
        <v>1.8280063917832462E-2</v>
      </c>
    </row>
    <row r="912" spans="1:2" x14ac:dyDescent="0.25">
      <c r="A912" cm="1">
        <f t="array" ref="A912">INDEX('Portfolio Weights Returns'!$B$9:$BJ$69,
INT((ROW(A911)-1)/COLUMNS('Portfolio Weights Returns'!$B$9:$BJ$69))+1,MOD(ROW(A911)-1,COLUMNS('Portfolio Weights Returns'!$B$9:$BJ$69))+1)</f>
        <v>-7.2319065265098877E-4</v>
      </c>
      <c r="B912" cm="1">
        <f t="array" ref="B912">INDEX('Portfolio Weights Std'!$B$9:$BJ$69,INT((ROW(A911)-1)/COLUMNS('Portfolio Weights Std'!$B$9:$BJ$69))+1,MOD(ROW(A911)-1,COLUMNS('Portfolio Weights Std'!$B$9:$BJ$69))+1)</f>
        <v>1.8159375819766999E-2</v>
      </c>
    </row>
    <row r="913" spans="1:2" x14ac:dyDescent="0.25">
      <c r="A913" cm="1">
        <f t="array" ref="A913">INDEX('Portfolio Weights Returns'!$B$9:$BJ$69,
INT((ROW(A912)-1)/COLUMNS('Portfolio Weights Returns'!$B$9:$BJ$69))+1,MOD(ROW(A912)-1,COLUMNS('Portfolio Weights Returns'!$B$9:$BJ$69))+1)</f>
        <v>-7.1640947868430898E-4</v>
      </c>
      <c r="B913" cm="1">
        <f t="array" ref="B913">INDEX('Portfolio Weights Std'!$B$9:$BJ$69,INT((ROW(A912)-1)/COLUMNS('Portfolio Weights Std'!$B$9:$BJ$69))+1,MOD(ROW(A912)-1,COLUMNS('Portfolio Weights Std'!$B$9:$BJ$69))+1)</f>
        <v>1.8040447038356944E-2</v>
      </c>
    </row>
    <row r="914" spans="1:2" x14ac:dyDescent="0.25">
      <c r="A914" cm="1">
        <f t="array" ref="A914">INDEX('Portfolio Weights Returns'!$B$9:$BJ$69,
INT((ROW(A913)-1)/COLUMNS('Portfolio Weights Returns'!$B$9:$BJ$69))+1,MOD(ROW(A913)-1,COLUMNS('Portfolio Weights Returns'!$B$9:$BJ$69))+1)</f>
        <v>-7.0962830471762994E-4</v>
      </c>
      <c r="B914" cm="1">
        <f t="array" ref="B914">INDEX('Portfolio Weights Std'!$B$9:$BJ$69,INT((ROW(A913)-1)/COLUMNS('Portfolio Weights Std'!$B$9:$BJ$69))+1,MOD(ROW(A913)-1,COLUMNS('Portfolio Weights Std'!$B$9:$BJ$69))+1)</f>
        <v>1.7923312595073255E-2</v>
      </c>
    </row>
    <row r="915" spans="1:2" x14ac:dyDescent="0.25">
      <c r="A915" cm="1">
        <f t="array" ref="A915">INDEX('Portfolio Weights Returns'!$B$9:$BJ$69,
INT((ROW(A914)-1)/COLUMNS('Portfolio Weights Returns'!$B$9:$BJ$69))+1,MOD(ROW(A914)-1,COLUMNS('Portfolio Weights Returns'!$B$9:$BJ$69))+1)</f>
        <v>-7.028471307509508E-4</v>
      </c>
      <c r="B915" cm="1">
        <f t="array" ref="B915">INDEX('Portfolio Weights Std'!$B$9:$BJ$69,INT((ROW(A914)-1)/COLUMNS('Portfolio Weights Std'!$B$9:$BJ$69))+1,MOD(ROW(A914)-1,COLUMNS('Portfolio Weights Std'!$B$9:$BJ$69))+1)</f>
        <v>1.7808007897414789E-2</v>
      </c>
    </row>
    <row r="916" spans="1:2" x14ac:dyDescent="0.25">
      <c r="A916" cm="1">
        <f t="array" ref="A916">INDEX('Portfolio Weights Returns'!$B$9:$BJ$69,
INT((ROW(A915)-1)/COLUMNS('Portfolio Weights Returns'!$B$9:$BJ$69))+1,MOD(ROW(A915)-1,COLUMNS('Portfolio Weights Returns'!$B$9:$BJ$69))+1)</f>
        <v>-6.9606595678427165E-4</v>
      </c>
      <c r="B916" cm="1">
        <f t="array" ref="B916">INDEX('Portfolio Weights Std'!$B$9:$BJ$69,INT((ROW(A915)-1)/COLUMNS('Portfolio Weights Std'!$B$9:$BJ$69))+1,MOD(ROW(A915)-1,COLUMNS('Portfolio Weights Std'!$B$9:$BJ$69))+1)</f>
        <v>1.7694568715421945E-2</v>
      </c>
    </row>
    <row r="917" spans="1:2" x14ac:dyDescent="0.25">
      <c r="A917" cm="1">
        <f t="array" ref="A917">INDEX('Portfolio Weights Returns'!$B$9:$BJ$69,
INT((ROW(A916)-1)/COLUMNS('Portfolio Weights Returns'!$B$9:$BJ$69))+1,MOD(ROW(A916)-1,COLUMNS('Portfolio Weights Returns'!$B$9:$BJ$69))+1)</f>
        <v>-1.0963621869395635E-3</v>
      </c>
      <c r="B917" cm="1">
        <f t="array" ref="B917">INDEX('Portfolio Weights Std'!$B$9:$BJ$69,INT((ROW(A916)-1)/COLUMNS('Portfolio Weights Std'!$B$9:$BJ$69))+1,MOD(ROW(A916)-1,COLUMNS('Portfolio Weights Std'!$B$9:$BJ$69))+1)</f>
        <v>2.6598013729487828E-2</v>
      </c>
    </row>
    <row r="918" spans="1:2" x14ac:dyDescent="0.25">
      <c r="A918" cm="1">
        <f t="array" ref="A918">INDEX('Portfolio Weights Returns'!$B$9:$BJ$69,
INT((ROW(A917)-1)/COLUMNS('Portfolio Weights Returns'!$B$9:$BJ$69))+1,MOD(ROW(A917)-1,COLUMNS('Portfolio Weights Returns'!$B$9:$BJ$69))+1)</f>
        <v>-1.0895810129728843E-3</v>
      </c>
      <c r="B918" cm="1">
        <f t="array" ref="B918">INDEX('Portfolio Weights Std'!$B$9:$BJ$69,INT((ROW(A917)-1)/COLUMNS('Portfolio Weights Std'!$B$9:$BJ$69))+1,MOD(ROW(A917)-1,COLUMNS('Portfolio Weights Std'!$B$9:$BJ$69))+1)</f>
        <v>2.6420435163417539E-2</v>
      </c>
    </row>
    <row r="919" spans="1:2" x14ac:dyDescent="0.25">
      <c r="A919" cm="1">
        <f t="array" ref="A919">INDEX('Portfolio Weights Returns'!$B$9:$BJ$69,
INT((ROW(A918)-1)/COLUMNS('Portfolio Weights Returns'!$B$9:$BJ$69))+1,MOD(ROW(A918)-1,COLUMNS('Portfolio Weights Returns'!$B$9:$BJ$69))+1)</f>
        <v>-1.082799839006205E-3</v>
      </c>
      <c r="B919" cm="1">
        <f t="array" ref="B919">INDEX('Portfolio Weights Std'!$B$9:$BJ$69,INT((ROW(A918)-1)/COLUMNS('Portfolio Weights Std'!$B$9:$BJ$69))+1,MOD(ROW(A918)-1,COLUMNS('Portfolio Weights Std'!$B$9:$BJ$69))+1)</f>
        <v>2.6243419364697936E-2</v>
      </c>
    </row>
    <row r="920" spans="1:2" x14ac:dyDescent="0.25">
      <c r="A920" cm="1">
        <f t="array" ref="A920">INDEX('Portfolio Weights Returns'!$B$9:$BJ$69,
INT((ROW(A919)-1)/COLUMNS('Portfolio Weights Returns'!$B$9:$BJ$69))+1,MOD(ROW(A919)-1,COLUMNS('Portfolio Weights Returns'!$B$9:$BJ$69))+1)</f>
        <v>-1.076018665039526E-3</v>
      </c>
      <c r="B920" cm="1">
        <f t="array" ref="B920">INDEX('Portfolio Weights Std'!$B$9:$BJ$69,INT((ROW(A919)-1)/COLUMNS('Portfolio Weights Std'!$B$9:$BJ$69))+1,MOD(ROW(A919)-1,COLUMNS('Portfolio Weights Std'!$B$9:$BJ$69))+1)</f>
        <v>2.606697779826387E-2</v>
      </c>
    </row>
    <row r="921" spans="1:2" x14ac:dyDescent="0.25">
      <c r="A921" cm="1">
        <f t="array" ref="A921">INDEX('Portfolio Weights Returns'!$B$9:$BJ$69,
INT((ROW(A920)-1)/COLUMNS('Portfolio Weights Returns'!$B$9:$BJ$69))+1,MOD(ROW(A920)-1,COLUMNS('Portfolio Weights Returns'!$B$9:$BJ$69))+1)</f>
        <v>-1.0692374910728469E-3</v>
      </c>
      <c r="B921" cm="1">
        <f t="array" ref="B921">INDEX('Portfolio Weights Std'!$B$9:$BJ$69,INT((ROW(A920)-1)/COLUMNS('Portfolio Weights Std'!$B$9:$BJ$69))+1,MOD(ROW(A920)-1,COLUMNS('Portfolio Weights Std'!$B$9:$BJ$69))+1)</f>
        <v>2.5891122203869153E-2</v>
      </c>
    </row>
    <row r="922" spans="1:2" x14ac:dyDescent="0.25">
      <c r="A922" cm="1">
        <f t="array" ref="A922">INDEX('Portfolio Weights Returns'!$B$9:$BJ$69,
INT((ROW(A921)-1)/COLUMNS('Portfolio Weights Returns'!$B$9:$BJ$69))+1,MOD(ROW(A921)-1,COLUMNS('Portfolio Weights Returns'!$B$9:$BJ$69))+1)</f>
        <v>-1.0624563171061677E-3</v>
      </c>
      <c r="B922" cm="1">
        <f t="array" ref="B922">INDEX('Portfolio Weights Std'!$B$9:$BJ$69,INT((ROW(A921)-1)/COLUMNS('Portfolio Weights Std'!$B$9:$BJ$69))+1,MOD(ROW(A921)-1,COLUMNS('Portfolio Weights Std'!$B$9:$BJ$69))+1)</f>
        <v>2.5715864602865623E-2</v>
      </c>
    </row>
    <row r="923" spans="1:2" x14ac:dyDescent="0.25">
      <c r="A923" cm="1">
        <f t="array" ref="A923">INDEX('Portfolio Weights Returns'!$B$9:$BJ$69,
INT((ROW(A922)-1)/COLUMNS('Portfolio Weights Returns'!$B$9:$BJ$69))+1,MOD(ROW(A922)-1,COLUMNS('Portfolio Weights Returns'!$B$9:$BJ$69))+1)</f>
        <v>-1.0556751431394886E-3</v>
      </c>
      <c r="B923" cm="1">
        <f t="array" ref="B923">INDEX('Portfolio Weights Std'!$B$9:$BJ$69,INT((ROW(A922)-1)/COLUMNS('Portfolio Weights Std'!$B$9:$BJ$69))+1,MOD(ROW(A922)-1,COLUMNS('Portfolio Weights Std'!$B$9:$BJ$69))+1)</f>
        <v>2.5541217305110456E-2</v>
      </c>
    </row>
    <row r="924" spans="1:2" x14ac:dyDescent="0.25">
      <c r="A924" cm="1">
        <f t="array" ref="A924">INDEX('Portfolio Weights Returns'!$B$9:$BJ$69,
INT((ROW(A923)-1)/COLUMNS('Portfolio Weights Returns'!$B$9:$BJ$69))+1,MOD(ROW(A923)-1,COLUMNS('Portfolio Weights Returns'!$B$9:$BJ$69))+1)</f>
        <v>-1.0488939691728097E-3</v>
      </c>
      <c r="B924" cm="1">
        <f t="array" ref="B924">INDEX('Portfolio Weights Std'!$B$9:$BJ$69,INT((ROW(A923)-1)/COLUMNS('Portfolio Weights Std'!$B$9:$BJ$69))+1,MOD(ROW(A923)-1,COLUMNS('Portfolio Weights Std'!$B$9:$BJ$69))+1)</f>
        <v>2.5367192915999915E-2</v>
      </c>
    </row>
    <row r="925" spans="1:2" x14ac:dyDescent="0.25">
      <c r="A925" cm="1">
        <f t="array" ref="A925">INDEX('Portfolio Weights Returns'!$B$9:$BJ$69,
INT((ROW(A924)-1)/COLUMNS('Portfolio Weights Returns'!$B$9:$BJ$69))+1,MOD(ROW(A924)-1,COLUMNS('Portfolio Weights Returns'!$B$9:$BJ$69))+1)</f>
        <v>-1.0421127952061305E-3</v>
      </c>
      <c r="B925" cm="1">
        <f t="array" ref="B925">INDEX('Portfolio Weights Std'!$B$9:$BJ$69,INT((ROW(A924)-1)/COLUMNS('Portfolio Weights Std'!$B$9:$BJ$69))+1,MOD(ROW(A924)-1,COLUMNS('Portfolio Weights Std'!$B$9:$BJ$69))+1)</f>
        <v>2.5193804343627123E-2</v>
      </c>
    </row>
    <row r="926" spans="1:2" x14ac:dyDescent="0.25">
      <c r="A926" cm="1">
        <f t="array" ref="A926">INDEX('Portfolio Weights Returns'!$B$9:$BJ$69,
INT((ROW(A925)-1)/COLUMNS('Portfolio Weights Returns'!$B$9:$BJ$69))+1,MOD(ROW(A925)-1,COLUMNS('Portfolio Weights Returns'!$B$9:$BJ$69))+1)</f>
        <v>-1.0353316212394514E-3</v>
      </c>
      <c r="B926" cm="1">
        <f t="array" ref="B926">INDEX('Portfolio Weights Std'!$B$9:$BJ$69,INT((ROW(A925)-1)/COLUMNS('Portfolio Weights Std'!$B$9:$BJ$69))+1,MOD(ROW(A925)-1,COLUMNS('Portfolio Weights Std'!$B$9:$BJ$69))+1)</f>
        <v>2.5021064806060894E-2</v>
      </c>
    </row>
    <row r="927" spans="1:2" x14ac:dyDescent="0.25">
      <c r="A927" cm="1">
        <f t="array" ref="A927">INDEX('Portfolio Weights Returns'!$B$9:$BJ$69,
INT((ROW(A926)-1)/COLUMNS('Portfolio Weights Returns'!$B$9:$BJ$69))+1,MOD(ROW(A926)-1,COLUMNS('Portfolio Weights Returns'!$B$9:$BJ$69))+1)</f>
        <v>-1.0285504472727722E-3</v>
      </c>
      <c r="B927" cm="1">
        <f t="array" ref="B927">INDEX('Portfolio Weights Std'!$B$9:$BJ$69,INT((ROW(A926)-1)/COLUMNS('Portfolio Weights Std'!$B$9:$BJ$69))+1,MOD(ROW(A926)-1,COLUMNS('Portfolio Weights Std'!$B$9:$BJ$69))+1)</f>
        <v>2.4848987838742235E-2</v>
      </c>
    </row>
    <row r="928" spans="1:2" x14ac:dyDescent="0.25">
      <c r="A928" cm="1">
        <f t="array" ref="A928">INDEX('Portfolio Weights Returns'!$B$9:$BJ$69,
INT((ROW(A927)-1)/COLUMNS('Portfolio Weights Returns'!$B$9:$BJ$69))+1,MOD(ROW(A927)-1,COLUMNS('Portfolio Weights Returns'!$B$9:$BJ$69))+1)</f>
        <v>-1.0217692733060931E-3</v>
      </c>
      <c r="B928" cm="1">
        <f t="array" ref="B928">INDEX('Portfolio Weights Std'!$B$9:$BJ$69,INT((ROW(A927)-1)/COLUMNS('Portfolio Weights Std'!$B$9:$BJ$69))+1,MOD(ROW(A927)-1,COLUMNS('Portfolio Weights Std'!$B$9:$BJ$69))+1)</f>
        <v>2.4677587301994208E-2</v>
      </c>
    </row>
    <row r="929" spans="1:2" x14ac:dyDescent="0.25">
      <c r="A929" cm="1">
        <f t="array" ref="A929">INDEX('Portfolio Weights Returns'!$B$9:$BJ$69,
INT((ROW(A928)-1)/COLUMNS('Portfolio Weights Returns'!$B$9:$BJ$69))+1,MOD(ROW(A928)-1,COLUMNS('Portfolio Weights Returns'!$B$9:$BJ$69))+1)</f>
        <v>-1.0149880993394142E-3</v>
      </c>
      <c r="B929" cm="1">
        <f t="array" ref="B929">INDEX('Portfolio Weights Std'!$B$9:$BJ$69,INT((ROW(A928)-1)/COLUMNS('Portfolio Weights Std'!$B$9:$BJ$69))+1,MOD(ROW(A928)-1,COLUMNS('Portfolio Weights Std'!$B$9:$BJ$69))+1)</f>
        <v>2.4506877388640477E-2</v>
      </c>
    </row>
    <row r="930" spans="1:2" x14ac:dyDescent="0.25">
      <c r="A930" cm="1">
        <f t="array" ref="A930">INDEX('Portfolio Weights Returns'!$B$9:$BJ$69,
INT((ROW(A929)-1)/COLUMNS('Portfolio Weights Returns'!$B$9:$BJ$69))+1,MOD(ROW(A929)-1,COLUMNS('Portfolio Weights Returns'!$B$9:$BJ$69))+1)</f>
        <v>-1.008206925372735E-3</v>
      </c>
      <c r="B930" cm="1">
        <f t="array" ref="B930">INDEX('Portfolio Weights Std'!$B$9:$BJ$69,INT((ROW(A929)-1)/COLUMNS('Portfolio Weights Std'!$B$9:$BJ$69))+1,MOD(ROW(A929)-1,COLUMNS('Portfolio Weights Std'!$B$9:$BJ$69))+1)</f>
        <v>2.4336872631726868E-2</v>
      </c>
    </row>
    <row r="931" spans="1:2" x14ac:dyDescent="0.25">
      <c r="A931" cm="1">
        <f t="array" ref="A931">INDEX('Portfolio Weights Returns'!$B$9:$BJ$69,
INT((ROW(A930)-1)/COLUMNS('Portfolio Weights Returns'!$B$9:$BJ$69))+1,MOD(ROW(A930)-1,COLUMNS('Portfolio Weights Returns'!$B$9:$BJ$69))+1)</f>
        <v>-1.0014257514060559E-3</v>
      </c>
      <c r="B931" cm="1">
        <f t="array" ref="B931">INDEX('Portfolio Weights Std'!$B$9:$BJ$69,INT((ROW(A930)-1)/COLUMNS('Portfolio Weights Std'!$B$9:$BJ$69))+1,MOD(ROW(A930)-1,COLUMNS('Portfolio Weights Std'!$B$9:$BJ$69))+1)</f>
        <v>2.4167587912339542E-2</v>
      </c>
    </row>
    <row r="932" spans="1:2" x14ac:dyDescent="0.25">
      <c r="A932" cm="1">
        <f t="array" ref="A932">INDEX('Portfolio Weights Returns'!$B$9:$BJ$69,
INT((ROW(A931)-1)/COLUMNS('Portfolio Weights Returns'!$B$9:$BJ$69))+1,MOD(ROW(A931)-1,COLUMNS('Portfolio Weights Returns'!$B$9:$BJ$69))+1)</f>
        <v>-9.9464457743937674E-4</v>
      </c>
      <c r="B932" cm="1">
        <f t="array" ref="B932">INDEX('Portfolio Weights Std'!$B$9:$BJ$69,INT((ROW(A931)-1)/COLUMNS('Portfolio Weights Std'!$B$9:$BJ$69))+1,MOD(ROW(A931)-1,COLUMNS('Portfolio Weights Std'!$B$9:$BJ$69))+1)</f>
        <v>2.3999038467512616E-2</v>
      </c>
    </row>
    <row r="933" spans="1:2" x14ac:dyDescent="0.25">
      <c r="A933" cm="1">
        <f t="array" ref="A933">INDEX('Portfolio Weights Returns'!$B$9:$BJ$69,
INT((ROW(A932)-1)/COLUMNS('Portfolio Weights Returns'!$B$9:$BJ$69))+1,MOD(ROW(A932)-1,COLUMNS('Portfolio Weights Returns'!$B$9:$BJ$69))+1)</f>
        <v>-9.8786340347269781E-4</v>
      </c>
      <c r="B933" cm="1">
        <f t="array" ref="B933">INDEX('Portfolio Weights Std'!$B$9:$BJ$69,INT((ROW(A932)-1)/COLUMNS('Portfolio Weights Std'!$B$9:$BJ$69))+1,MOD(ROW(A932)-1,COLUMNS('Portfolio Weights Std'!$B$9:$BJ$69))+1)</f>
        <v>2.3831239898216932E-2</v>
      </c>
    </row>
    <row r="934" spans="1:2" x14ac:dyDescent="0.25">
      <c r="A934" cm="1">
        <f t="array" ref="A934">INDEX('Portfolio Weights Returns'!$B$9:$BJ$69,
INT((ROW(A933)-1)/COLUMNS('Portfolio Weights Returns'!$B$9:$BJ$69))+1,MOD(ROW(A933)-1,COLUMNS('Portfolio Weights Returns'!$B$9:$BJ$69))+1)</f>
        <v>-9.8108222950601845E-4</v>
      </c>
      <c r="B934" cm="1">
        <f t="array" ref="B934">INDEX('Portfolio Weights Std'!$B$9:$BJ$69,INT((ROW(A933)-1)/COLUMNS('Portfolio Weights Std'!$B$9:$BJ$69))+1,MOD(ROW(A933)-1,COLUMNS('Portfolio Weights Std'!$B$9:$BJ$69))+1)</f>
        <v>2.3664208177420772E-2</v>
      </c>
    </row>
    <row r="935" spans="1:2" x14ac:dyDescent="0.25">
      <c r="A935" cm="1">
        <f t="array" ref="A935">INDEX('Portfolio Weights Returns'!$B$9:$BJ$69,
INT((ROW(A934)-1)/COLUMNS('Portfolio Weights Returns'!$B$9:$BJ$69))+1,MOD(ROW(A934)-1,COLUMNS('Portfolio Weights Returns'!$B$9:$BJ$69))+1)</f>
        <v>-9.7430105553933952E-4</v>
      </c>
      <c r="B935" cm="1">
        <f t="array" ref="B935">INDEX('Portfolio Weights Std'!$B$9:$BJ$69,INT((ROW(A934)-1)/COLUMNS('Portfolio Weights Std'!$B$9:$BJ$69))+1,MOD(ROW(A934)-1,COLUMNS('Portfolio Weights Std'!$B$9:$BJ$69))+1)</f>
        <v>2.3497959658212369E-2</v>
      </c>
    </row>
    <row r="936" spans="1:2" x14ac:dyDescent="0.25">
      <c r="A936" cm="1">
        <f t="array" ref="A936">INDEX('Portfolio Weights Returns'!$B$9:$BJ$69,
INT((ROW(A935)-1)/COLUMNS('Portfolio Weights Returns'!$B$9:$BJ$69))+1,MOD(ROW(A935)-1,COLUMNS('Portfolio Weights Returns'!$B$9:$BJ$69))+1)</f>
        <v>-9.6751988157266038E-4</v>
      </c>
      <c r="B936" cm="1">
        <f t="array" ref="B936">INDEX('Portfolio Weights Std'!$B$9:$BJ$69,INT((ROW(A935)-1)/COLUMNS('Portfolio Weights Std'!$B$9:$BJ$69))+1,MOD(ROW(A935)-1,COLUMNS('Portfolio Weights Std'!$B$9:$BJ$69))+1)</f>
        <v>2.3332511081972505E-2</v>
      </c>
    </row>
    <row r="937" spans="1:2" x14ac:dyDescent="0.25">
      <c r="A937" cm="1">
        <f t="array" ref="A937">INDEX('Portfolio Weights Returns'!$B$9:$BJ$69,
INT((ROW(A936)-1)/COLUMNS('Portfolio Weights Returns'!$B$9:$BJ$69))+1,MOD(ROW(A936)-1,COLUMNS('Portfolio Weights Returns'!$B$9:$BJ$69))+1)</f>
        <v>-9.6073870760598134E-4</v>
      </c>
      <c r="B937" cm="1">
        <f t="array" ref="B937">INDEX('Portfolio Weights Std'!$B$9:$BJ$69,INT((ROW(A936)-1)/COLUMNS('Portfolio Weights Std'!$B$9:$BJ$69))+1,MOD(ROW(A936)-1,COLUMNS('Portfolio Weights Std'!$B$9:$BJ$69))+1)</f>
        <v>2.3167879586584731E-2</v>
      </c>
    </row>
    <row r="938" spans="1:2" x14ac:dyDescent="0.25">
      <c r="A938" cm="1">
        <f t="array" ref="A938">INDEX('Portfolio Weights Returns'!$B$9:$BJ$69,
INT((ROW(A937)-1)/COLUMNS('Portfolio Weights Returns'!$B$9:$BJ$69))+1,MOD(ROW(A937)-1,COLUMNS('Portfolio Weights Returns'!$B$9:$BJ$69))+1)</f>
        <v>-9.539575336393022E-4</v>
      </c>
      <c r="B938" cm="1">
        <f t="array" ref="B938">INDEX('Portfolio Weights Std'!$B$9:$BJ$69,INT((ROW(A937)-1)/COLUMNS('Portfolio Weights Std'!$B$9:$BJ$69))+1,MOD(ROW(A937)-1,COLUMNS('Portfolio Weights Std'!$B$9:$BJ$69))+1)</f>
        <v>2.3004082714669045E-2</v>
      </c>
    </row>
    <row r="939" spans="1:2" x14ac:dyDescent="0.25">
      <c r="A939" cm="1">
        <f t="array" ref="A939">INDEX('Portfolio Weights Returns'!$B$9:$BJ$69,
INT((ROW(A938)-1)/COLUMNS('Portfolio Weights Returns'!$B$9:$BJ$69))+1,MOD(ROW(A938)-1,COLUMNS('Portfolio Weights Returns'!$B$9:$BJ$69))+1)</f>
        <v>-9.4717635967262316E-4</v>
      </c>
      <c r="B939" cm="1">
        <f t="array" ref="B939">INDEX('Portfolio Weights Std'!$B$9:$BJ$69,INT((ROW(A938)-1)/COLUMNS('Portfolio Weights Std'!$B$9:$BJ$69))+1,MOD(ROW(A938)-1,COLUMNS('Portfolio Weights Std'!$B$9:$BJ$69))+1)</f>
        <v>2.2841138421823611E-2</v>
      </c>
    </row>
    <row r="940" spans="1:2" x14ac:dyDescent="0.25">
      <c r="A940" cm="1">
        <f t="array" ref="A940">INDEX('Portfolio Weights Returns'!$B$9:$BJ$69,
INT((ROW(A939)-1)/COLUMNS('Portfolio Weights Returns'!$B$9:$BJ$69))+1,MOD(ROW(A939)-1,COLUMNS('Portfolio Weights Returns'!$B$9:$BJ$69))+1)</f>
        <v>-9.4039518570594401E-4</v>
      </c>
      <c r="B940" cm="1">
        <f t="array" ref="B940">INDEX('Portfolio Weights Std'!$B$9:$BJ$69,INT((ROW(A939)-1)/COLUMNS('Portfolio Weights Std'!$B$9:$BJ$69))+1,MOD(ROW(A939)-1,COLUMNS('Portfolio Weights Std'!$B$9:$BJ$69))+1)</f>
        <v>2.2679065084857539E-2</v>
      </c>
    </row>
    <row r="941" spans="1:2" x14ac:dyDescent="0.25">
      <c r="A941" cm="1">
        <f t="array" ref="A941">INDEX('Portfolio Weights Returns'!$B$9:$BJ$69,
INT((ROW(A940)-1)/COLUMNS('Portfolio Weights Returns'!$B$9:$BJ$69))+1,MOD(ROW(A940)-1,COLUMNS('Portfolio Weights Returns'!$B$9:$BJ$69))+1)</f>
        <v>-9.3361401173926487E-4</v>
      </c>
      <c r="B941" cm="1">
        <f t="array" ref="B941">INDEX('Portfolio Weights Std'!$B$9:$BJ$69,INT((ROW(A940)-1)/COLUMNS('Portfolio Weights Std'!$B$9:$BJ$69))+1,MOD(ROW(A940)-1,COLUMNS('Portfolio Weights Std'!$B$9:$BJ$69))+1)</f>
        <v>2.2517881509996181E-2</v>
      </c>
    </row>
    <row r="942" spans="1:2" x14ac:dyDescent="0.25">
      <c r="A942" cm="1">
        <f t="array" ref="A942">INDEX('Portfolio Weights Returns'!$B$9:$BJ$69,
INT((ROW(A941)-1)/COLUMNS('Portfolio Weights Returns'!$B$9:$BJ$69))+1,MOD(ROW(A941)-1,COLUMNS('Portfolio Weights Returns'!$B$9:$BJ$69))+1)</f>
        <v>-9.2683283777258573E-4</v>
      </c>
      <c r="B942" cm="1">
        <f t="array" ref="B942">INDEX('Portfolio Weights Std'!$B$9:$BJ$69,INT((ROW(A941)-1)/COLUMNS('Portfolio Weights Std'!$B$9:$BJ$69))+1,MOD(ROW(A941)-1,COLUMNS('Portfolio Weights Std'!$B$9:$BJ$69))+1)</f>
        <v>2.2357606941038593E-2</v>
      </c>
    </row>
    <row r="943" spans="1:2" x14ac:dyDescent="0.25">
      <c r="A943" cm="1">
        <f t="array" ref="A943">INDEX('Portfolio Weights Returns'!$B$9:$BJ$69,
INT((ROW(A942)-1)/COLUMNS('Portfolio Weights Returns'!$B$9:$BJ$69))+1,MOD(ROW(A942)-1,COLUMNS('Portfolio Weights Returns'!$B$9:$BJ$69))+1)</f>
        <v>-9.2005166380590669E-4</v>
      </c>
      <c r="B943" cm="1">
        <f t="array" ref="B943">INDEX('Portfolio Weights Std'!$B$9:$BJ$69,INT((ROW(A942)-1)/COLUMNS('Portfolio Weights Std'!$B$9:$BJ$69))+1,MOD(ROW(A942)-1,COLUMNS('Portfolio Weights Std'!$B$9:$BJ$69))+1)</f>
        <v>2.2198261067445175E-2</v>
      </c>
    </row>
    <row r="944" spans="1:2" x14ac:dyDescent="0.25">
      <c r="A944" cm="1">
        <f t="array" ref="A944">INDEX('Portfolio Weights Returns'!$B$9:$BJ$69,
INT((ROW(A943)-1)/COLUMNS('Portfolio Weights Returns'!$B$9:$BJ$69))+1,MOD(ROW(A943)-1,COLUMNS('Portfolio Weights Returns'!$B$9:$BJ$69))+1)</f>
        <v>-9.1327048983922755E-4</v>
      </c>
      <c r="B944" cm="1">
        <f t="array" ref="B944">INDEX('Portfolio Weights Std'!$B$9:$BJ$69,INT((ROW(A943)-1)/COLUMNS('Portfolio Weights Std'!$B$9:$BJ$69))+1,MOD(ROW(A943)-1,COLUMNS('Portfolio Weights Std'!$B$9:$BJ$69))+1)</f>
        <v>2.2039864032331359E-2</v>
      </c>
    </row>
    <row r="945" spans="1:2" x14ac:dyDescent="0.25">
      <c r="A945" cm="1">
        <f t="array" ref="A945">INDEX('Portfolio Weights Returns'!$B$9:$BJ$69,
INT((ROW(A944)-1)/COLUMNS('Portfolio Weights Returns'!$B$9:$BJ$69))+1,MOD(ROW(A944)-1,COLUMNS('Portfolio Weights Returns'!$B$9:$BJ$69))+1)</f>
        <v>-9.064893158725484E-4</v>
      </c>
      <c r="B945" cm="1">
        <f t="array" ref="B945">INDEX('Portfolio Weights Std'!$B$9:$BJ$69,INT((ROW(A944)-1)/COLUMNS('Portfolio Weights Std'!$B$9:$BJ$69))+1,MOD(ROW(A944)-1,COLUMNS('Portfolio Weights Std'!$B$9:$BJ$69))+1)</f>
        <v>2.1882436440341387E-2</v>
      </c>
    </row>
    <row r="946" spans="1:2" x14ac:dyDescent="0.25">
      <c r="A946" cm="1">
        <f t="array" ref="A946">INDEX('Portfolio Weights Returns'!$B$9:$BJ$69,
INT((ROW(A945)-1)/COLUMNS('Portfolio Weights Returns'!$B$9:$BJ$69))+1,MOD(ROW(A945)-1,COLUMNS('Portfolio Weights Returns'!$B$9:$BJ$69))+1)</f>
        <v>-8.9970814190586937E-4</v>
      </c>
      <c r="B946" cm="1">
        <f t="array" ref="B946">INDEX('Portfolio Weights Std'!$B$9:$BJ$69,INT((ROW(A945)-1)/COLUMNS('Portfolio Weights Std'!$B$9:$BJ$69))+1,MOD(ROW(A945)-1,COLUMNS('Portfolio Weights Std'!$B$9:$BJ$69))+1)</f>
        <v>2.1725999365374053E-2</v>
      </c>
    </row>
    <row r="947" spans="1:2" x14ac:dyDescent="0.25">
      <c r="A947" cm="1">
        <f t="array" ref="A947">INDEX('Portfolio Weights Returns'!$B$9:$BJ$69,
INT((ROW(A946)-1)/COLUMNS('Portfolio Weights Returns'!$B$9:$BJ$69))+1,MOD(ROW(A946)-1,COLUMNS('Portfolio Weights Returns'!$B$9:$BJ$69))+1)</f>
        <v>-8.9292696793919022E-4</v>
      </c>
      <c r="B947" cm="1">
        <f t="array" ref="B947">INDEX('Portfolio Weights Std'!$B$9:$BJ$69,INT((ROW(A946)-1)/COLUMNS('Portfolio Weights Std'!$B$9:$BJ$69))+1,MOD(ROW(A946)-1,COLUMNS('Portfolio Weights Std'!$B$9:$BJ$69))+1)</f>
        <v>2.1570574358129934E-2</v>
      </c>
    </row>
    <row r="948" spans="1:2" x14ac:dyDescent="0.25">
      <c r="A948" cm="1">
        <f t="array" ref="A948">INDEX('Portfolio Weights Returns'!$B$9:$BJ$69,
INT((ROW(A947)-1)/COLUMNS('Portfolio Weights Returns'!$B$9:$BJ$69))+1,MOD(ROW(A947)-1,COLUMNS('Portfolio Weights Returns'!$B$9:$BJ$69))+1)</f>
        <v>-8.8614579397251108E-4</v>
      </c>
      <c r="B948" cm="1">
        <f t="array" ref="B948">INDEX('Portfolio Weights Std'!$B$9:$BJ$69,INT((ROW(A947)-1)/COLUMNS('Portfolio Weights Std'!$B$9:$BJ$69))+1,MOD(ROW(A947)-1,COLUMNS('Portfolio Weights Std'!$B$9:$BJ$69))+1)</f>
        <v>2.1416183453447479E-2</v>
      </c>
    </row>
    <row r="949" spans="1:2" x14ac:dyDescent="0.25">
      <c r="A949" cm="1">
        <f t="array" ref="A949">INDEX('Portfolio Weights Returns'!$B$9:$BJ$69,
INT((ROW(A948)-1)/COLUMNS('Portfolio Weights Returns'!$B$9:$BJ$69))+1,MOD(ROW(A948)-1,COLUMNS('Portfolio Weights Returns'!$B$9:$BJ$69))+1)</f>
        <v>-8.7936462000583193E-4</v>
      </c>
      <c r="B949" cm="1">
        <f t="array" ref="B949">INDEX('Portfolio Weights Std'!$B$9:$BJ$69,INT((ROW(A948)-1)/COLUMNS('Portfolio Weights Std'!$B$9:$BJ$69))+1,MOD(ROW(A948)-1,COLUMNS('Portfolio Weights Std'!$B$9:$BJ$69))+1)</f>
        <v>2.1262849177392674E-2</v>
      </c>
    </row>
    <row r="950" spans="1:2" x14ac:dyDescent="0.25">
      <c r="A950" cm="1">
        <f t="array" ref="A950">INDEX('Portfolio Weights Returns'!$B$9:$BJ$69,
INT((ROW(A949)-1)/COLUMNS('Portfolio Weights Returns'!$B$9:$BJ$69))+1,MOD(ROW(A949)-1,COLUMNS('Portfolio Weights Returns'!$B$9:$BJ$69))+1)</f>
        <v>-8.725834460391529E-4</v>
      </c>
      <c r="B950" cm="1">
        <f t="array" ref="B950">INDEX('Portfolio Weights Std'!$B$9:$BJ$69,INT((ROW(A949)-1)/COLUMNS('Portfolio Weights Std'!$B$9:$BJ$69))+1,MOD(ROW(A949)-1,COLUMNS('Portfolio Weights Std'!$B$9:$BJ$69))+1)</f>
        <v>2.1110594554064679E-2</v>
      </c>
    </row>
    <row r="951" spans="1:2" x14ac:dyDescent="0.25">
      <c r="A951" cm="1">
        <f t="array" ref="A951">INDEX('Portfolio Weights Returns'!$B$9:$BJ$69,
INT((ROW(A950)-1)/COLUMNS('Portfolio Weights Returns'!$B$9:$BJ$69))+1,MOD(ROW(A950)-1,COLUMNS('Portfolio Weights Returns'!$B$9:$BJ$69))+1)</f>
        <v>-8.6580227207247375E-4</v>
      </c>
      <c r="B951" cm="1">
        <f t="array" ref="B951">INDEX('Portfolio Weights Std'!$B$9:$BJ$69,INT((ROW(A950)-1)/COLUMNS('Portfolio Weights Std'!$B$9:$BJ$69))+1,MOD(ROW(A950)-1,COLUMNS('Portfolio Weights Std'!$B$9:$BJ$69))+1)</f>
        <v>2.0959443112076905E-2</v>
      </c>
    </row>
    <row r="952" spans="1:2" x14ac:dyDescent="0.25">
      <c r="A952" cm="1">
        <f t="array" ref="A952">INDEX('Portfolio Weights Returns'!$B$9:$BJ$69,
INT((ROW(A951)-1)/COLUMNS('Portfolio Weights Returns'!$B$9:$BJ$69))+1,MOD(ROW(A951)-1,COLUMNS('Portfolio Weights Returns'!$B$9:$BJ$69))+1)</f>
        <v>-8.5902109810579472E-4</v>
      </c>
      <c r="B952" cm="1">
        <f t="array" ref="B952">INDEX('Portfolio Weights Std'!$B$9:$BJ$69,INT((ROW(A951)-1)/COLUMNS('Portfolio Weights Std'!$B$9:$BJ$69))+1,MOD(ROW(A951)-1,COLUMNS('Portfolio Weights Std'!$B$9:$BJ$69))+1)</f>
        <v>2.0809418890670558E-2</v>
      </c>
    </row>
    <row r="953" spans="1:2" x14ac:dyDescent="0.25">
      <c r="A953" cm="1">
        <f t="array" ref="A953">INDEX('Portfolio Weights Returns'!$B$9:$BJ$69,
INT((ROW(A952)-1)/COLUMNS('Portfolio Weights Returns'!$B$9:$BJ$69))+1,MOD(ROW(A952)-1,COLUMNS('Portfolio Weights Returns'!$B$9:$BJ$69))+1)</f>
        <v>-8.5223992413911557E-4</v>
      </c>
      <c r="B953" cm="1">
        <f t="array" ref="B953">INDEX('Portfolio Weights Std'!$B$9:$BJ$69,INT((ROW(A952)-1)/COLUMNS('Portfolio Weights Std'!$B$9:$BJ$69))+1,MOD(ROW(A952)-1,COLUMNS('Portfolio Weights Std'!$B$9:$BJ$69))+1)</f>
        <v>2.0660546445414537E-2</v>
      </c>
    </row>
    <row r="954" spans="1:2" x14ac:dyDescent="0.25">
      <c r="A954" cm="1">
        <f t="array" ref="A954">INDEX('Portfolio Weights Returns'!$B$9:$BJ$69,
INT((ROW(A953)-1)/COLUMNS('Portfolio Weights Returns'!$B$9:$BJ$69))+1,MOD(ROW(A953)-1,COLUMNS('Portfolio Weights Returns'!$B$9:$BJ$69))+1)</f>
        <v>-8.4545875017243643E-4</v>
      </c>
      <c r="B954" cm="1">
        <f t="array" ref="B954">INDEX('Portfolio Weights Std'!$B$9:$BJ$69,INT((ROW(A953)-1)/COLUMNS('Portfolio Weights Std'!$B$9:$BJ$69))+1,MOD(ROW(A953)-1,COLUMNS('Portfolio Weights Std'!$B$9:$BJ$69))+1)</f>
        <v>2.0512850853442868E-2</v>
      </c>
    </row>
    <row r="955" spans="1:2" x14ac:dyDescent="0.25">
      <c r="A955" cm="1">
        <f t="array" ref="A955">INDEX('Portfolio Weights Returns'!$B$9:$BJ$69,
INT((ROW(A954)-1)/COLUMNS('Portfolio Weights Returns'!$B$9:$BJ$69))+1,MOD(ROW(A954)-1,COLUMNS('Portfolio Weights Returns'!$B$9:$BJ$69))+1)</f>
        <v>-8.386775762057575E-4</v>
      </c>
      <c r="B955" cm="1">
        <f t="array" ref="B955">INDEX('Portfolio Weights Std'!$B$9:$BJ$69,INT((ROW(A954)-1)/COLUMNS('Portfolio Weights Std'!$B$9:$BJ$69))+1,MOD(ROW(A954)-1,COLUMNS('Portfolio Weights Std'!$B$9:$BJ$69))+1)</f>
        <v>2.0366357718177748E-2</v>
      </c>
    </row>
    <row r="956" spans="1:2" x14ac:dyDescent="0.25">
      <c r="A956" cm="1">
        <f t="array" ref="A956">INDEX('Portfolio Weights Returns'!$B$9:$BJ$69,
INT((ROW(A955)-1)/COLUMNS('Portfolio Weights Returns'!$B$9:$BJ$69))+1,MOD(ROW(A955)-1,COLUMNS('Portfolio Weights Returns'!$B$9:$BJ$69))+1)</f>
        <v>-8.3189640223907835E-4</v>
      </c>
      <c r="B956" cm="1">
        <f t="array" ref="B956">INDEX('Portfolio Weights Std'!$B$9:$BJ$69,INT((ROW(A955)-1)/COLUMNS('Portfolio Weights Std'!$B$9:$BJ$69))+1,MOD(ROW(A955)-1,COLUMNS('Portfolio Weights Std'!$B$9:$BJ$69))+1)</f>
        <v>2.0221093173483248E-2</v>
      </c>
    </row>
    <row r="957" spans="1:2" x14ac:dyDescent="0.25">
      <c r="A957" cm="1">
        <f t="array" ref="A957">INDEX('Portfolio Weights Returns'!$B$9:$BJ$69,
INT((ROW(A956)-1)/COLUMNS('Portfolio Weights Returns'!$B$9:$BJ$69))+1,MOD(ROW(A956)-1,COLUMNS('Portfolio Weights Returns'!$B$9:$BJ$69))+1)</f>
        <v>-8.2511522827239932E-4</v>
      </c>
      <c r="B957" cm="1">
        <f t="array" ref="B957">INDEX('Portfolio Weights Std'!$B$9:$BJ$69,INT((ROW(A956)-1)/COLUMNS('Portfolio Weights Std'!$B$9:$BJ$69))+1,MOD(ROW(A956)-1,COLUMNS('Portfolio Weights Std'!$B$9:$BJ$69))+1)</f>
        <v>2.0077083887191614E-2</v>
      </c>
    </row>
    <row r="958" spans="1:2" x14ac:dyDescent="0.25">
      <c r="A958" cm="1">
        <f t="array" ref="A958">INDEX('Portfolio Weights Returns'!$B$9:$BJ$69,
INT((ROW(A957)-1)/COLUMNS('Portfolio Weights Returns'!$B$9:$BJ$69))+1,MOD(ROW(A957)-1,COLUMNS('Portfolio Weights Returns'!$B$9:$BJ$69))+1)</f>
        <v>-8.1833405430572017E-4</v>
      </c>
      <c r="B958" cm="1">
        <f t="array" ref="B958">INDEX('Portfolio Weights Std'!$B$9:$BJ$69,INT((ROW(A957)-1)/COLUMNS('Portfolio Weights Std'!$B$9:$BJ$69))+1,MOD(ROW(A957)-1,COLUMNS('Portfolio Weights Std'!$B$9:$BJ$69))+1)</f>
        <v>1.9934357063940974E-2</v>
      </c>
    </row>
    <row r="959" spans="1:2" x14ac:dyDescent="0.25">
      <c r="A959" cm="1">
        <f t="array" ref="A959">INDEX('Portfolio Weights Returns'!$B$9:$BJ$69,
INT((ROW(A958)-1)/COLUMNS('Portfolio Weights Returns'!$B$9:$BJ$69))+1,MOD(ROW(A958)-1,COLUMNS('Portfolio Weights Returns'!$B$9:$BJ$69))+1)</f>
        <v>-8.1155288033904103E-4</v>
      </c>
      <c r="B959" cm="1">
        <f t="array" ref="B959">INDEX('Portfolio Weights Std'!$B$9:$BJ$69,INT((ROW(A958)-1)/COLUMNS('Portfolio Weights Std'!$B$9:$BJ$69))+1,MOD(ROW(A958)-1,COLUMNS('Portfolio Weights Std'!$B$9:$BJ$69))+1)</f>
        <v>1.9792940447260068E-2</v>
      </c>
    </row>
    <row r="960" spans="1:2" x14ac:dyDescent="0.25">
      <c r="A960" cm="1">
        <f t="array" ref="A960">INDEX('Portfolio Weights Returns'!$B$9:$BJ$69,
INT((ROW(A959)-1)/COLUMNS('Portfolio Weights Returns'!$B$9:$BJ$69))+1,MOD(ROW(A959)-1,COLUMNS('Portfolio Weights Returns'!$B$9:$BJ$69))+1)</f>
        <v>-8.0477170637236189E-4</v>
      </c>
      <c r="B960" cm="1">
        <f t="array" ref="B960">INDEX('Portfolio Weights Std'!$B$9:$BJ$69,INT((ROW(A959)-1)/COLUMNS('Portfolio Weights Std'!$B$9:$BJ$69))+1,MOD(ROW(A959)-1,COLUMNS('Portfolio Weights Std'!$B$9:$BJ$69))+1)</f>
        <v>1.9652862320832548E-2</v>
      </c>
    </row>
    <row r="961" spans="1:2" x14ac:dyDescent="0.25">
      <c r="A961" cm="1">
        <f t="array" ref="A961">INDEX('Portfolio Weights Returns'!$B$9:$BJ$69,
INT((ROW(A960)-1)/COLUMNS('Portfolio Weights Returns'!$B$9:$BJ$69))+1,MOD(ROW(A960)-1,COLUMNS('Portfolio Weights Returns'!$B$9:$BJ$69))+1)</f>
        <v>-7.9799053240568285E-4</v>
      </c>
      <c r="B961" cm="1">
        <f t="array" ref="B961">INDEX('Portfolio Weights Std'!$B$9:$BJ$69,INT((ROW(A960)-1)/COLUMNS('Portfolio Weights Std'!$B$9:$BJ$69))+1,MOD(ROW(A960)-1,COLUMNS('Portfolio Weights Std'!$B$9:$BJ$69))+1)</f>
        <v>1.9514151508870217E-2</v>
      </c>
    </row>
    <row r="962" spans="1:2" x14ac:dyDescent="0.25">
      <c r="A962" cm="1">
        <f t="array" ref="A962">INDEX('Portfolio Weights Returns'!$B$9:$BJ$69,
INT((ROW(A961)-1)/COLUMNS('Portfolio Weights Returns'!$B$9:$BJ$69))+1,MOD(ROW(A961)-1,COLUMNS('Portfolio Weights Returns'!$B$9:$BJ$69))+1)</f>
        <v>-7.912093584390037E-4</v>
      </c>
      <c r="B962" cm="1">
        <f t="array" ref="B962">INDEX('Portfolio Weights Std'!$B$9:$BJ$69,INT((ROW(A961)-1)/COLUMNS('Portfolio Weights Std'!$B$9:$BJ$69))+1,MOD(ROW(A961)-1,COLUMNS('Portfolio Weights Std'!$B$9:$BJ$69))+1)</f>
        <v>1.9376837375521573E-2</v>
      </c>
    </row>
    <row r="963" spans="1:2" x14ac:dyDescent="0.25">
      <c r="A963" cm="1">
        <f t="array" ref="A963">INDEX('Portfolio Weights Returns'!$B$9:$BJ$69,
INT((ROW(A962)-1)/COLUMNS('Portfolio Weights Returns'!$B$9:$BJ$69))+1,MOD(ROW(A962)-1,COLUMNS('Portfolio Weights Returns'!$B$9:$BJ$69))+1)</f>
        <v>-7.8442818447232467E-4</v>
      </c>
      <c r="B963" cm="1">
        <f t="array" ref="B963">INDEX('Portfolio Weights Std'!$B$9:$BJ$69,INT((ROW(A962)-1)/COLUMNS('Portfolio Weights Std'!$B$9:$BJ$69))+1,MOD(ROW(A962)-1,COLUMNS('Portfolio Weights Std'!$B$9:$BJ$69))+1)</f>
        <v>1.9240949823239071E-2</v>
      </c>
    </row>
    <row r="964" spans="1:2" x14ac:dyDescent="0.25">
      <c r="A964" cm="1">
        <f t="array" ref="A964">INDEX('Portfolio Weights Returns'!$B$9:$BJ$69,
INT((ROW(A963)-1)/COLUMNS('Portfolio Weights Returns'!$B$9:$BJ$69))+1,MOD(ROW(A963)-1,COLUMNS('Portfolio Weights Returns'!$B$9:$BJ$69))+1)</f>
        <v>-7.7764701050564552E-4</v>
      </c>
      <c r="B964" cm="1">
        <f t="array" ref="B964">INDEX('Portfolio Weights Std'!$B$9:$BJ$69,INT((ROW(A963)-1)/COLUMNS('Portfolio Weights Std'!$B$9:$BJ$69))+1,MOD(ROW(A963)-1,COLUMNS('Portfolio Weights Std'!$B$9:$BJ$69))+1)</f>
        <v>1.9106519290025683E-2</v>
      </c>
    </row>
    <row r="965" spans="1:2" x14ac:dyDescent="0.25">
      <c r="A965" cm="1">
        <f t="array" ref="A965">INDEX('Portfolio Weights Returns'!$B$9:$BJ$69,
INT((ROW(A964)-1)/COLUMNS('Portfolio Weights Returns'!$B$9:$BJ$69))+1,MOD(ROW(A964)-1,COLUMNS('Portfolio Weights Returns'!$B$9:$BJ$69))+1)</f>
        <v>-7.7086583653896638E-4</v>
      </c>
      <c r="B965" cm="1">
        <f t="array" ref="B965">INDEX('Portfolio Weights Std'!$B$9:$BJ$69,INT((ROW(A964)-1)/COLUMNS('Portfolio Weights Std'!$B$9:$BJ$69))+1,MOD(ROW(A964)-1,COLUMNS('Portfolio Weights Std'!$B$9:$BJ$69))+1)</f>
        <v>1.8973576745478685E-2</v>
      </c>
    </row>
    <row r="966" spans="1:2" x14ac:dyDescent="0.25">
      <c r="A966" cm="1">
        <f t="array" ref="A966">INDEX('Portfolio Weights Returns'!$B$9:$BJ$69,
INT((ROW(A965)-1)/COLUMNS('Portfolio Weights Returns'!$B$9:$BJ$69))+1,MOD(ROW(A965)-1,COLUMNS('Portfolio Weights Returns'!$B$9:$BJ$69))+1)</f>
        <v>-7.6408466257228734E-4</v>
      </c>
      <c r="B966" cm="1">
        <f t="array" ref="B966">INDEX('Portfolio Weights Std'!$B$9:$BJ$69,INT((ROW(A965)-1)/COLUMNS('Portfolio Weights Std'!$B$9:$BJ$69))+1,MOD(ROW(A965)-1,COLUMNS('Portfolio Weights Std'!$B$9:$BJ$69))+1)</f>
        <v>1.8842153685546169E-2</v>
      </c>
    </row>
    <row r="967" spans="1:2" x14ac:dyDescent="0.25">
      <c r="A967" cm="1">
        <f t="array" ref="A967">INDEX('Portfolio Weights Returns'!$B$9:$BJ$69,
INT((ROW(A966)-1)/COLUMNS('Portfolio Weights Returns'!$B$9:$BJ$69))+1,MOD(ROW(A966)-1,COLUMNS('Portfolio Weights Returns'!$B$9:$BJ$69))+1)</f>
        <v>-7.573034886056082E-4</v>
      </c>
      <c r="B967" cm="1">
        <f t="array" ref="B967">INDEX('Portfolio Weights Std'!$B$9:$BJ$69,INT((ROW(A966)-1)/COLUMNS('Portfolio Weights Std'!$B$9:$BJ$69))+1,MOD(ROW(A966)-1,COLUMNS('Portfolio Weights Std'!$B$9:$BJ$69))+1)</f>
        <v>1.8712282125909675E-2</v>
      </c>
    </row>
    <row r="968" spans="1:2" x14ac:dyDescent="0.25">
      <c r="A968" cm="1">
        <f t="array" ref="A968">INDEX('Portfolio Weights Returns'!$B$9:$BJ$69,
INT((ROW(A967)-1)/COLUMNS('Portfolio Weights Returns'!$B$9:$BJ$69))+1,MOD(ROW(A967)-1,COLUMNS('Portfolio Weights Returns'!$B$9:$BJ$69))+1)</f>
        <v>-7.5052231463892916E-4</v>
      </c>
      <c r="B968" cm="1">
        <f t="array" ref="B968">INDEX('Portfolio Weights Std'!$B$9:$BJ$69,INT((ROW(A967)-1)/COLUMNS('Portfolio Weights Std'!$B$9:$BJ$69))+1,MOD(ROW(A967)-1,COLUMNS('Portfolio Weights Std'!$B$9:$BJ$69))+1)</f>
        <v>1.8583994593904252E-2</v>
      </c>
    </row>
    <row r="969" spans="1:2" x14ac:dyDescent="0.25">
      <c r="A969" cm="1">
        <f t="array" ref="A969">INDEX('Portfolio Weights Returns'!$B$9:$BJ$69,
INT((ROW(A968)-1)/COLUMNS('Portfolio Weights Returns'!$B$9:$BJ$69))+1,MOD(ROW(A968)-1,COLUMNS('Portfolio Weights Returns'!$B$9:$BJ$69))+1)</f>
        <v>-7.4374114067225002E-4</v>
      </c>
      <c r="B969" cm="1">
        <f t="array" ref="B969">INDEX('Portfolio Weights Std'!$B$9:$BJ$69,INT((ROW(A968)-1)/COLUMNS('Portfolio Weights Std'!$B$9:$BJ$69))+1,MOD(ROW(A968)-1,COLUMNS('Portfolio Weights Std'!$B$9:$BJ$69))+1)</f>
        <v>1.845732411888603E-2</v>
      </c>
    </row>
    <row r="970" spans="1:2" x14ac:dyDescent="0.25">
      <c r="A970" cm="1">
        <f t="array" ref="A970">INDEX('Portfolio Weights Returns'!$B$9:$BJ$69,
INT((ROW(A969)-1)/COLUMNS('Portfolio Weights Returns'!$B$9:$BJ$69))+1,MOD(ROW(A969)-1,COLUMNS('Portfolio Weights Returns'!$B$9:$BJ$69))+1)</f>
        <v>-7.3695996670557098E-4</v>
      </c>
      <c r="B970" cm="1">
        <f t="array" ref="B970">INDEX('Portfolio Weights Std'!$B$9:$BJ$69,INT((ROW(A969)-1)/COLUMNS('Portfolio Weights Std'!$B$9:$BJ$69))+1,MOD(ROW(A969)-1,COLUMNS('Portfolio Weights Std'!$B$9:$BJ$69))+1)</f>
        <v>1.8332304220956167E-2</v>
      </c>
    </row>
    <row r="971" spans="1:2" x14ac:dyDescent="0.25">
      <c r="A971" cm="1">
        <f t="array" ref="A971">INDEX('Portfolio Weights Returns'!$B$9:$BJ$69,
INT((ROW(A970)-1)/COLUMNS('Portfolio Weights Returns'!$B$9:$BJ$69))+1,MOD(ROW(A970)-1,COLUMNS('Portfolio Weights Returns'!$B$9:$BJ$69))+1)</f>
        <v>-7.3017879273889184E-4</v>
      </c>
      <c r="B971" cm="1">
        <f t="array" ref="B971">INDEX('Portfolio Weights Std'!$B$9:$BJ$69,INT((ROW(A970)-1)/COLUMNS('Portfolio Weights Std'!$B$9:$BJ$69))+1,MOD(ROW(A970)-1,COLUMNS('Portfolio Weights Std'!$B$9:$BJ$69))+1)</f>
        <v>1.8208968897949405E-2</v>
      </c>
    </row>
    <row r="972" spans="1:2" x14ac:dyDescent="0.25">
      <c r="A972" cm="1">
        <f t="array" ref="A972">INDEX('Portfolio Weights Returns'!$B$9:$BJ$69,
INT((ROW(A971)-1)/COLUMNS('Portfolio Weights Returns'!$B$9:$BJ$69))+1,MOD(ROW(A971)-1,COLUMNS('Portfolio Weights Returns'!$B$9:$BJ$69))+1)</f>
        <v>-7.2339761877221269E-4</v>
      </c>
      <c r="B972" cm="1">
        <f t="array" ref="B972">INDEX('Portfolio Weights Std'!$B$9:$BJ$69,INT((ROW(A971)-1)/COLUMNS('Portfolio Weights Std'!$B$9:$BJ$69))+1,MOD(ROW(A971)-1,COLUMNS('Portfolio Weights Std'!$B$9:$BJ$69))+1)</f>
        <v>1.8087352610595506E-2</v>
      </c>
    </row>
    <row r="973" spans="1:2" x14ac:dyDescent="0.25">
      <c r="A973" cm="1">
        <f t="array" ref="A973">INDEX('Portfolio Weights Returns'!$B$9:$BJ$69,
INT((ROW(A972)-1)/COLUMNS('Portfolio Weights Returns'!$B$9:$BJ$69))+1,MOD(ROW(A972)-1,COLUMNS('Portfolio Weights Returns'!$B$9:$BJ$69))+1)</f>
        <v>-7.1661644480553355E-4</v>
      </c>
      <c r="B973" cm="1">
        <f t="array" ref="B973">INDEX('Portfolio Weights Std'!$B$9:$BJ$69,INT((ROW(A972)-1)/COLUMNS('Portfolio Weights Std'!$B$9:$BJ$69))+1,MOD(ROW(A972)-1,COLUMNS('Portfolio Weights Std'!$B$9:$BJ$69))+1)</f>
        <v>1.7967490265762477E-2</v>
      </c>
    </row>
    <row r="974" spans="1:2" x14ac:dyDescent="0.25">
      <c r="A974" cm="1">
        <f t="array" ref="A974">INDEX('Portfolio Weights Returns'!$B$9:$BJ$69,
INT((ROW(A973)-1)/COLUMNS('Portfolio Weights Returns'!$B$9:$BJ$69))+1,MOD(ROW(A973)-1,COLUMNS('Portfolio Weights Returns'!$B$9:$BJ$69))+1)</f>
        <v>-7.0983527083885386E-4</v>
      </c>
      <c r="B974" cm="1">
        <f t="array" ref="B974">INDEX('Portfolio Weights Std'!$B$9:$BJ$69,INT((ROW(A973)-1)/COLUMNS('Portfolio Weights Std'!$B$9:$BJ$69))+1,MOD(ROW(A973)-1,COLUMNS('Portfolio Weights Std'!$B$9:$BJ$69))+1)</f>
        <v>1.7849417197691581E-2</v>
      </c>
    </row>
    <row r="975" spans="1:2" x14ac:dyDescent="0.25">
      <c r="A975" cm="1">
        <f t="array" ref="A975">INDEX('Portfolio Weights Returns'!$B$9:$BJ$69,
INT((ROW(A974)-1)/COLUMNS('Portfolio Weights Returns'!$B$9:$BJ$69))+1,MOD(ROW(A974)-1,COLUMNS('Portfolio Weights Returns'!$B$9:$BJ$69))+1)</f>
        <v>-7.0305409687217472E-4</v>
      </c>
      <c r="B975" cm="1">
        <f t="array" ref="B975">INDEX('Portfolio Weights Std'!$B$9:$BJ$69,INT((ROW(A974)-1)/COLUMNS('Portfolio Weights Std'!$B$9:$BJ$69))+1,MOD(ROW(A974)-1,COLUMNS('Portfolio Weights Std'!$B$9:$BJ$69))+1)</f>
        <v>1.773316914713648E-2</v>
      </c>
    </row>
    <row r="976" spans="1:2" x14ac:dyDescent="0.25">
      <c r="A976" cm="1">
        <f t="array" ref="A976">INDEX('Portfolio Weights Returns'!$B$9:$BJ$69,
INT((ROW(A975)-1)/COLUMNS('Portfolio Weights Returns'!$B$9:$BJ$69))+1,MOD(ROW(A975)-1,COLUMNS('Portfolio Weights Returns'!$B$9:$BJ$69))+1)</f>
        <v>-6.9627292290549557E-4</v>
      </c>
      <c r="B976" cm="1">
        <f t="array" ref="B976">INDEX('Portfolio Weights Std'!$B$9:$BJ$69,INT((ROW(A975)-1)/COLUMNS('Portfolio Weights Std'!$B$9:$BJ$69))+1,MOD(ROW(A975)-1,COLUMNS('Portfolio Weights Std'!$B$9:$BJ$69))+1)</f>
        <v>1.7618782238321251E-2</v>
      </c>
    </row>
    <row r="977" spans="1:2" x14ac:dyDescent="0.25">
      <c r="A977" cm="1">
        <f t="array" ref="A977">INDEX('Portfolio Weights Returns'!$B$9:$BJ$69,
INT((ROW(A976)-1)/COLUMNS('Portfolio Weights Returns'!$B$9:$BJ$69))+1,MOD(ROW(A976)-1,COLUMNS('Portfolio Weights Returns'!$B$9:$BJ$69))+1)</f>
        <v>-6.8949174893881654E-4</v>
      </c>
      <c r="B977" cm="1">
        <f t="array" ref="B977">INDEX('Portfolio Weights Std'!$B$9:$BJ$69,INT((ROW(A976)-1)/COLUMNS('Portfolio Weights Std'!$B$9:$BJ$69))+1,MOD(ROW(A976)-1,COLUMNS('Portfolio Weights Std'!$B$9:$BJ$69))+1)</f>
        <v>1.7506292953636451E-2</v>
      </c>
    </row>
    <row r="978" spans="1:2" x14ac:dyDescent="0.25">
      <c r="A978" cm="1">
        <f t="array" ref="A978">INDEX('Portfolio Weights Returns'!$B$9:$BJ$69,
INT((ROW(A977)-1)/COLUMNS('Portfolio Weights Returns'!$B$9:$BJ$69))+1,MOD(ROW(A977)-1,COLUMNS('Portfolio Weights Returns'!$B$9:$BJ$69))+1)</f>
        <v>-1.0897879790941084E-3</v>
      </c>
      <c r="B978" cm="1">
        <f t="array" ref="B978">INDEX('Portfolio Weights Std'!$B$9:$BJ$69,INT((ROW(A977)-1)/COLUMNS('Portfolio Weights Std'!$B$9:$BJ$69))+1,MOD(ROW(A977)-1,COLUMNS('Portfolio Weights Std'!$B$9:$BJ$69))+1)</f>
        <v>2.6392132438540862E-2</v>
      </c>
    </row>
    <row r="979" spans="1:2" x14ac:dyDescent="0.25">
      <c r="A979" cm="1">
        <f t="array" ref="A979">INDEX('Portfolio Weights Returns'!$B$9:$BJ$69,
INT((ROW(A978)-1)/COLUMNS('Portfolio Weights Returns'!$B$9:$BJ$69))+1,MOD(ROW(A978)-1,COLUMNS('Portfolio Weights Returns'!$B$9:$BJ$69))+1)</f>
        <v>-1.0830068051274292E-3</v>
      </c>
      <c r="B979" cm="1">
        <f t="array" ref="B979">INDEX('Portfolio Weights Std'!$B$9:$BJ$69,INT((ROW(A978)-1)/COLUMNS('Portfolio Weights Std'!$B$9:$BJ$69))+1,MOD(ROW(A978)-1,COLUMNS('Portfolio Weights Std'!$B$9:$BJ$69))+1)</f>
        <v>2.6214612398251541E-2</v>
      </c>
    </row>
    <row r="980" spans="1:2" x14ac:dyDescent="0.25">
      <c r="A980" cm="1">
        <f t="array" ref="A980">INDEX('Portfolio Weights Returns'!$B$9:$BJ$69,
INT((ROW(A979)-1)/COLUMNS('Portfolio Weights Returns'!$B$9:$BJ$69))+1,MOD(ROW(A979)-1,COLUMNS('Portfolio Weights Returns'!$B$9:$BJ$69))+1)</f>
        <v>-1.0762256311607498E-3</v>
      </c>
      <c r="B980" cm="1">
        <f t="array" ref="B980">INDEX('Portfolio Weights Std'!$B$9:$BJ$69,INT((ROW(A979)-1)/COLUMNS('Portfolio Weights Std'!$B$9:$BJ$69))+1,MOD(ROW(A979)-1,COLUMNS('Portfolio Weights Std'!$B$9:$BJ$69))+1)</f>
        <v>2.6037660370785455E-2</v>
      </c>
    </row>
    <row r="981" spans="1:2" x14ac:dyDescent="0.25">
      <c r="A981" cm="1">
        <f t="array" ref="A981">INDEX('Portfolio Weights Returns'!$B$9:$BJ$69,
INT((ROW(A980)-1)/COLUMNS('Portfolio Weights Returns'!$B$9:$BJ$69))+1,MOD(ROW(A980)-1,COLUMNS('Portfolio Weights Returns'!$B$9:$BJ$69))+1)</f>
        <v>-1.0694444571940709E-3</v>
      </c>
      <c r="B981" cm="1">
        <f t="array" ref="B981">INDEX('Portfolio Weights Std'!$B$9:$BJ$69,INT((ROW(A980)-1)/COLUMNS('Portfolio Weights Std'!$B$9:$BJ$69))+1,MOD(ROW(A980)-1,COLUMNS('Portfolio Weights Std'!$B$9:$BJ$69))+1)</f>
        <v>2.5861288015775738E-2</v>
      </c>
    </row>
    <row r="982" spans="1:2" x14ac:dyDescent="0.25">
      <c r="A982" cm="1">
        <f t="array" ref="A982">INDEX('Portfolio Weights Returns'!$B$9:$BJ$69,
INT((ROW(A981)-1)/COLUMNS('Portfolio Weights Returns'!$B$9:$BJ$69))+1,MOD(ROW(A981)-1,COLUMNS('Portfolio Weights Returns'!$B$9:$BJ$69))+1)</f>
        <v>-1.0626632832273918E-3</v>
      </c>
      <c r="B982" cm="1">
        <f t="array" ref="B982">INDEX('Portfolio Weights Std'!$B$9:$BJ$69,INT((ROW(A981)-1)/COLUMNS('Portfolio Weights Std'!$B$9:$BJ$69))+1,MOD(ROW(A981)-1,COLUMNS('Portfolio Weights Std'!$B$9:$BJ$69))+1)</f>
        <v>2.5685507274378787E-2</v>
      </c>
    </row>
    <row r="983" spans="1:2" x14ac:dyDescent="0.25">
      <c r="A983" cm="1">
        <f t="array" ref="A983">INDEX('Portfolio Weights Returns'!$B$9:$BJ$69,
INT((ROW(A982)-1)/COLUMNS('Portfolio Weights Returns'!$B$9:$BJ$69))+1,MOD(ROW(A982)-1,COLUMNS('Portfolio Weights Returns'!$B$9:$BJ$69))+1)</f>
        <v>-1.0558821092607128E-3</v>
      </c>
      <c r="B983" cm="1">
        <f t="array" ref="B983">INDEX('Portfolio Weights Std'!$B$9:$BJ$69,INT((ROW(A982)-1)/COLUMNS('Portfolio Weights Std'!$B$9:$BJ$69))+1,MOD(ROW(A982)-1,COLUMNS('Portfolio Weights Std'!$B$9:$BJ$69))+1)</f>
        <v>2.5510330376264274E-2</v>
      </c>
    </row>
    <row r="984" spans="1:2" x14ac:dyDescent="0.25">
      <c r="A984" cm="1">
        <f t="array" ref="A984">INDEX('Portfolio Weights Returns'!$B$9:$BJ$69,
INT((ROW(A983)-1)/COLUMNS('Portfolio Weights Returns'!$B$9:$BJ$69))+1,MOD(ROW(A983)-1,COLUMNS('Portfolio Weights Returns'!$B$9:$BJ$69))+1)</f>
        <v>-1.0491009352940335E-3</v>
      </c>
      <c r="B984" cm="1">
        <f t="array" ref="B984">INDEX('Portfolio Weights Std'!$B$9:$BJ$69,INT((ROW(A983)-1)/COLUMNS('Portfolio Weights Std'!$B$9:$BJ$69))+1,MOD(ROW(A983)-1,COLUMNS('Portfolio Weights Std'!$B$9:$BJ$69))+1)</f>
        <v>2.5335769846737705E-2</v>
      </c>
    </row>
    <row r="985" spans="1:2" x14ac:dyDescent="0.25">
      <c r="A985" cm="1">
        <f t="array" ref="A985">INDEX('Portfolio Weights Returns'!$B$9:$BJ$69,
INT((ROW(A984)-1)/COLUMNS('Portfolio Weights Returns'!$B$9:$BJ$69))+1,MOD(ROW(A984)-1,COLUMNS('Portfolio Weights Returns'!$B$9:$BJ$69))+1)</f>
        <v>-1.0423197613273546E-3</v>
      </c>
      <c r="B985" cm="1">
        <f t="array" ref="B985">INDEX('Portfolio Weights Std'!$B$9:$BJ$69,INT((ROW(A984)-1)/COLUMNS('Portfolio Weights Std'!$B$9:$BJ$69))+1,MOD(ROW(A984)-1,COLUMNS('Portfolio Weights Std'!$B$9:$BJ$69))+1)</f>
        <v>2.5161838513993798E-2</v>
      </c>
    </row>
    <row r="986" spans="1:2" x14ac:dyDescent="0.25">
      <c r="A986" cm="1">
        <f t="array" ref="A986">INDEX('Portfolio Weights Returns'!$B$9:$BJ$69,
INT((ROW(A985)-1)/COLUMNS('Portfolio Weights Returns'!$B$9:$BJ$69))+1,MOD(ROW(A985)-1,COLUMNS('Portfolio Weights Returns'!$B$9:$BJ$69))+1)</f>
        <v>-1.0355385873606752E-3</v>
      </c>
      <c r="B986" cm="1">
        <f t="array" ref="B986">INDEX('Portfolio Weights Std'!$B$9:$BJ$69,INT((ROW(A985)-1)/COLUMNS('Portfolio Weights Std'!$B$9:$BJ$69))+1,MOD(ROW(A985)-1,COLUMNS('Portfolio Weights Std'!$B$9:$BJ$69))+1)</f>
        <v>2.498854951649785E-2</v>
      </c>
    </row>
    <row r="987" spans="1:2" x14ac:dyDescent="0.25">
      <c r="A987" cm="1">
        <f t="array" ref="A987">INDEX('Portfolio Weights Returns'!$B$9:$BJ$69,
INT((ROW(A986)-1)/COLUMNS('Portfolio Weights Returns'!$B$9:$BJ$69))+1,MOD(ROW(A986)-1,COLUMNS('Portfolio Weights Returns'!$B$9:$BJ$69))+1)</f>
        <v>-1.0287574133939965E-3</v>
      </c>
      <c r="B987" cm="1">
        <f t="array" ref="B987">INDEX('Portfolio Weights Std'!$B$9:$BJ$69,INT((ROW(A986)-1)/COLUMNS('Portfolio Weights Std'!$B$9:$BJ$69))+1,MOD(ROW(A986)-1,COLUMNS('Portfolio Weights Std'!$B$9:$BJ$69))+1)</f>
        <v>2.4815916310492243E-2</v>
      </c>
    </row>
    <row r="988" spans="1:2" x14ac:dyDescent="0.25">
      <c r="A988" cm="1">
        <f t="array" ref="A988">INDEX('Portfolio Weights Returns'!$B$9:$BJ$69,
INT((ROW(A987)-1)/COLUMNS('Portfolio Weights Returns'!$B$9:$BJ$69))+1,MOD(ROW(A987)-1,COLUMNS('Portfolio Weights Returns'!$B$9:$BJ$69))+1)</f>
        <v>-1.0219762394273171E-3</v>
      </c>
      <c r="B988" cm="1">
        <f t="array" ref="B988">INDEX('Portfolio Weights Std'!$B$9:$BJ$69,INT((ROW(A987)-1)/COLUMNS('Portfolio Weights Std'!$B$9:$BJ$69))+1,MOD(ROW(A987)-1,COLUMNS('Portfolio Weights Std'!$B$9:$BJ$69))+1)</f>
        <v>2.4643952677623988E-2</v>
      </c>
    </row>
    <row r="989" spans="1:2" x14ac:dyDescent="0.25">
      <c r="A989" cm="1">
        <f t="array" ref="A989">INDEX('Portfolio Weights Returns'!$B$9:$BJ$69,
INT((ROW(A988)-1)/COLUMNS('Portfolio Weights Returns'!$B$9:$BJ$69))+1,MOD(ROW(A988)-1,COLUMNS('Portfolio Weights Returns'!$B$9:$BJ$69))+1)</f>
        <v>-1.0151950654606382E-3</v>
      </c>
      <c r="B989" cm="1">
        <f t="array" ref="B989">INDEX('Portfolio Weights Std'!$B$9:$BJ$69,INT((ROW(A988)-1)/COLUMNS('Portfolio Weights Std'!$B$9:$BJ$69))+1,MOD(ROW(A988)-1,COLUMNS('Portfolio Weights Std'!$B$9:$BJ$69))+1)</f>
        <v>2.4472672732689257E-2</v>
      </c>
    </row>
    <row r="990" spans="1:2" x14ac:dyDescent="0.25">
      <c r="A990" cm="1">
        <f t="array" ref="A990">INDEX('Portfolio Weights Returns'!$B$9:$BJ$69,
INT((ROW(A989)-1)/COLUMNS('Portfolio Weights Returns'!$B$9:$BJ$69))+1,MOD(ROW(A989)-1,COLUMNS('Portfolio Weights Returns'!$B$9:$BJ$69))+1)</f>
        <v>-1.0084138914939588E-3</v>
      </c>
      <c r="B990" cm="1">
        <f t="array" ref="B990">INDEX('Portfolio Weights Std'!$B$9:$BJ$69,INT((ROW(A989)-1)/COLUMNS('Portfolio Weights Std'!$B$9:$BJ$69))+1,MOD(ROW(A989)-1,COLUMNS('Portfolio Weights Std'!$B$9:$BJ$69))+1)</f>
        <v>2.4302090931489405E-2</v>
      </c>
    </row>
    <row r="991" spans="1:2" x14ac:dyDescent="0.25">
      <c r="A991" cm="1">
        <f t="array" ref="A991">INDEX('Portfolio Weights Returns'!$B$9:$BJ$69,
INT((ROW(A990)-1)/COLUMNS('Portfolio Weights Returns'!$B$9:$BJ$69))+1,MOD(ROW(A990)-1,COLUMNS('Portfolio Weights Returns'!$B$9:$BJ$69))+1)</f>
        <v>-1.0016327175272799E-3</v>
      </c>
      <c r="B991" cm="1">
        <f t="array" ref="B991">INDEX('Portfolio Weights Std'!$B$9:$BJ$69,INT((ROW(A990)-1)/COLUMNS('Portfolio Weights Std'!$B$9:$BJ$69))+1,MOD(ROW(A990)-1,COLUMNS('Portfolio Weights Std'!$B$9:$BJ$69))+1)</f>
        <v>2.4132222078792773E-2</v>
      </c>
    </row>
    <row r="992" spans="1:2" x14ac:dyDescent="0.25">
      <c r="A992" cm="1">
        <f t="array" ref="A992">INDEX('Portfolio Weights Returns'!$B$9:$BJ$69,
INT((ROW(A991)-1)/COLUMNS('Portfolio Weights Returns'!$B$9:$BJ$69))+1,MOD(ROW(A991)-1,COLUMNS('Portfolio Weights Returns'!$B$9:$BJ$69))+1)</f>
        <v>-9.9485154356060077E-4</v>
      </c>
      <c r="B992" cm="1">
        <f t="array" ref="B992">INDEX('Portfolio Weights Std'!$B$9:$BJ$69,INT((ROW(A991)-1)/COLUMNS('Portfolio Weights Std'!$B$9:$BJ$69))+1,MOD(ROW(A991)-1,COLUMNS('Portfolio Weights Std'!$B$9:$BJ$69))+1)</f>
        <v>2.3963081336395214E-2</v>
      </c>
    </row>
    <row r="993" spans="1:2" x14ac:dyDescent="0.25">
      <c r="A993" cm="1">
        <f t="array" ref="A993">INDEX('Portfolio Weights Returns'!$B$9:$BJ$69,
INT((ROW(A992)-1)/COLUMNS('Portfolio Weights Returns'!$B$9:$BJ$69))+1,MOD(ROW(A992)-1,COLUMNS('Portfolio Weights Returns'!$B$9:$BJ$69))+1)</f>
        <v>-9.8807036959392162E-4</v>
      </c>
      <c r="B993" cm="1">
        <f t="array" ref="B993">INDEX('Portfolio Weights Std'!$B$9:$BJ$69,INT((ROW(A992)-1)/COLUMNS('Portfolio Weights Std'!$B$9:$BJ$69))+1,MOD(ROW(A992)-1,COLUMNS('Portfolio Weights Std'!$B$9:$BJ$69))+1)</f>
        <v>2.379468423127187E-2</v>
      </c>
    </row>
    <row r="994" spans="1:2" x14ac:dyDescent="0.25">
      <c r="A994" cm="1">
        <f t="array" ref="A994">INDEX('Portfolio Weights Returns'!$B$9:$BJ$69,
INT((ROW(A993)-1)/COLUMNS('Portfolio Weights Returns'!$B$9:$BJ$69))+1,MOD(ROW(A993)-1,COLUMNS('Portfolio Weights Returns'!$B$9:$BJ$69))+1)</f>
        <v>-9.8128919562724269E-4</v>
      </c>
      <c r="B994" cm="1">
        <f t="array" ref="B994">INDEX('Portfolio Weights Std'!$B$9:$BJ$69,INT((ROW(A993)-1)/COLUMNS('Portfolio Weights Std'!$B$9:$BJ$69))+1,MOD(ROW(A993)-1,COLUMNS('Portfolio Weights Std'!$B$9:$BJ$69))+1)</f>
        <v>2.3627046663811144E-2</v>
      </c>
    </row>
    <row r="995" spans="1:2" x14ac:dyDescent="0.25">
      <c r="A995" cm="1">
        <f t="array" ref="A995">INDEX('Portfolio Weights Returns'!$B$9:$BJ$69,
INT((ROW(A994)-1)/COLUMNS('Portfolio Weights Returns'!$B$9:$BJ$69))+1,MOD(ROW(A994)-1,COLUMNS('Portfolio Weights Returns'!$B$9:$BJ$69))+1)</f>
        <v>-9.7450802166056344E-4</v>
      </c>
      <c r="B995" cm="1">
        <f t="array" ref="B995">INDEX('Portfolio Weights Std'!$B$9:$BJ$69,INT((ROW(A994)-1)/COLUMNS('Portfolio Weights Std'!$B$9:$BJ$69))+1,MOD(ROW(A994)-1,COLUMNS('Portfolio Weights Std'!$B$9:$BJ$69))+1)</f>
        <v>2.346018491612132E-2</v>
      </c>
    </row>
    <row r="996" spans="1:2" x14ac:dyDescent="0.25">
      <c r="A996" cm="1">
        <f t="array" ref="A996">INDEX('Portfolio Weights Returns'!$B$9:$BJ$69,
INT((ROW(A995)-1)/COLUMNS('Portfolio Weights Returns'!$B$9:$BJ$69))+1,MOD(ROW(A995)-1,COLUMNS('Portfolio Weights Returns'!$B$9:$BJ$69))+1)</f>
        <v>-9.6772684769388451E-4</v>
      </c>
      <c r="B996" cm="1">
        <f t="array" ref="B996">INDEX('Portfolio Weights Std'!$B$9:$BJ$69,INT((ROW(A995)-1)/COLUMNS('Portfolio Weights Std'!$B$9:$BJ$69))+1,MOD(ROW(A995)-1,COLUMNS('Portfolio Weights Std'!$B$9:$BJ$69))+1)</f>
        <v>2.3294115660398653E-2</v>
      </c>
    </row>
    <row r="997" spans="1:2" x14ac:dyDescent="0.25">
      <c r="A997" cm="1">
        <f t="array" ref="A997">INDEX('Portfolio Weights Returns'!$B$9:$BJ$69,
INT((ROW(A996)-1)/COLUMNS('Portfolio Weights Returns'!$B$9:$BJ$69))+1,MOD(ROW(A996)-1,COLUMNS('Portfolio Weights Returns'!$B$9:$BJ$69))+1)</f>
        <v>-9.6094567372720526E-4</v>
      </c>
      <c r="B997" cm="1">
        <f t="array" ref="B997">INDEX('Portfolio Weights Std'!$B$9:$BJ$69,INT((ROW(A996)-1)/COLUMNS('Portfolio Weights Std'!$B$9:$BJ$69))+1,MOD(ROW(A996)-1,COLUMNS('Portfolio Weights Std'!$B$9:$BJ$69))+1)</f>
        <v>2.3128855967344746E-2</v>
      </c>
    </row>
    <row r="998" spans="1:2" x14ac:dyDescent="0.25">
      <c r="A998" cm="1">
        <f t="array" ref="A998">INDEX('Portfolio Weights Returns'!$B$9:$BJ$69,
INT((ROW(A997)-1)/COLUMNS('Portfolio Weights Returns'!$B$9:$BJ$69))+1,MOD(ROW(A997)-1,COLUMNS('Portfolio Weights Returns'!$B$9:$BJ$69))+1)</f>
        <v>-9.5416449976052633E-4</v>
      </c>
      <c r="B998" cm="1">
        <f t="array" ref="B998">INDEX('Portfolio Weights Std'!$B$9:$BJ$69,INT((ROW(A997)-1)/COLUMNS('Portfolio Weights Std'!$B$9:$BJ$69))+1,MOD(ROW(A997)-1,COLUMNS('Portfolio Weights Std'!$B$9:$BJ$69))+1)</f>
        <v>2.2964423314619807E-2</v>
      </c>
    </row>
    <row r="999" spans="1:2" x14ac:dyDescent="0.25">
      <c r="A999" cm="1">
        <f t="array" ref="A999">INDEX('Portfolio Weights Returns'!$B$9:$BJ$69,
INT((ROW(A998)-1)/COLUMNS('Portfolio Weights Returns'!$B$9:$BJ$69))+1,MOD(ROW(A998)-1,COLUMNS('Portfolio Weights Returns'!$B$9:$BJ$69))+1)</f>
        <v>-9.4738332579384708E-4</v>
      </c>
      <c r="B999" cm="1">
        <f t="array" ref="B999">INDEX('Portfolio Weights Std'!$B$9:$BJ$69,INT((ROW(A998)-1)/COLUMNS('Portfolio Weights Std'!$B$9:$BJ$69))+1,MOD(ROW(A998)-1,COLUMNS('Portfolio Weights Std'!$B$9:$BJ$69))+1)</f>
        <v>2.2800835595316558E-2</v>
      </c>
    </row>
    <row r="1000" spans="1:2" x14ac:dyDescent="0.25">
      <c r="A1000" cm="1">
        <f t="array" ref="A1000">INDEX('Portfolio Weights Returns'!$B$9:$BJ$69,
INT((ROW(A999)-1)/COLUMNS('Portfolio Weights Returns'!$B$9:$BJ$69))+1,MOD(ROW(A999)-1,COLUMNS('Portfolio Weights Returns'!$B$9:$BJ$69))+1)</f>
        <v>-9.4060215182716804E-4</v>
      </c>
      <c r="B1000" cm="1">
        <f t="array" ref="B1000">INDEX('Portfolio Weights Std'!$B$9:$BJ$69,INT((ROW(A999)-1)/COLUMNS('Portfolio Weights Std'!$B$9:$BJ$69))+1,MOD(ROW(A999)-1,COLUMNS('Portfolio Weights Std'!$B$9:$BJ$69))+1)</f>
        <v>2.2638111126438567E-2</v>
      </c>
    </row>
    <row r="1001" spans="1:2" x14ac:dyDescent="0.25">
      <c r="A1001" cm="1">
        <f t="array" ref="A1001">INDEX('Portfolio Weights Returns'!$B$9:$BJ$69,
INT((ROW(A1000)-1)/COLUMNS('Portfolio Weights Returns'!$B$9:$BJ$69))+1,MOD(ROW(A1000)-1,COLUMNS('Portfolio Weights Returns'!$B$9:$BJ$69))+1)</f>
        <v>-9.3382097786048879E-4</v>
      </c>
      <c r="B1001" cm="1">
        <f t="array" ref="B1001">INDEX('Portfolio Weights Std'!$B$9:$BJ$69,INT((ROW(A1000)-1)/COLUMNS('Portfolio Weights Std'!$B$9:$BJ$69))+1,MOD(ROW(A1000)-1,COLUMNS('Portfolio Weights Std'!$B$9:$BJ$69))+1)</f>
        <v>2.2476268657364691E-2</v>
      </c>
    </row>
    <row r="1002" spans="1:2" x14ac:dyDescent="0.25">
      <c r="A1002" cm="1">
        <f t="array" ref="A1002">INDEX('Portfolio Weights Returns'!$B$9:$BJ$69,
INT((ROW(A1001)-1)/COLUMNS('Portfolio Weights Returns'!$B$9:$BJ$69))+1,MOD(ROW(A1001)-1,COLUMNS('Portfolio Weights Returns'!$B$9:$BJ$69))+1)</f>
        <v>-9.2703980389380986E-4</v>
      </c>
      <c r="B1002" cm="1">
        <f t="array" ref="B1002">INDEX('Portfolio Weights Std'!$B$9:$BJ$69,INT((ROW(A1001)-1)/COLUMNS('Portfolio Weights Std'!$B$9:$BJ$69))+1,MOD(ROW(A1001)-1,COLUMNS('Portfolio Weights Std'!$B$9:$BJ$69))+1)</f>
        <v>2.2315327378280004E-2</v>
      </c>
    </row>
    <row r="1003" spans="1:2" x14ac:dyDescent="0.25">
      <c r="A1003" cm="1">
        <f t="array" ref="A1003">INDEX('Portfolio Weights Returns'!$B$9:$BJ$69,
INT((ROW(A1002)-1)/COLUMNS('Portfolio Weights Returns'!$B$9:$BJ$69))+1,MOD(ROW(A1002)-1,COLUMNS('Portfolio Weights Returns'!$B$9:$BJ$69))+1)</f>
        <v>-9.202586299271305E-4</v>
      </c>
      <c r="B1003" cm="1">
        <f t="array" ref="B1003">INDEX('Portfolio Weights Std'!$B$9:$BJ$69,INT((ROW(A1002)-1)/COLUMNS('Portfolio Weights Std'!$B$9:$BJ$69))+1,MOD(ROW(A1002)-1,COLUMNS('Portfolio Weights Std'!$B$9:$BJ$69))+1)</f>
        <v>2.2155306928551399E-2</v>
      </c>
    </row>
    <row r="1004" spans="1:2" x14ac:dyDescent="0.25">
      <c r="A1004" cm="1">
        <f t="array" ref="A1004">INDEX('Portfolio Weights Returns'!$B$9:$BJ$69,
INT((ROW(A1003)-1)/COLUMNS('Portfolio Weights Returns'!$B$9:$BJ$69))+1,MOD(ROW(A1003)-1,COLUMNS('Portfolio Weights Returns'!$B$9:$BJ$69))+1)</f>
        <v>-9.1347745596045168E-4</v>
      </c>
      <c r="B1004" cm="1">
        <f t="array" ref="B1004">INDEX('Portfolio Weights Std'!$B$9:$BJ$69,INT((ROW(A1003)-1)/COLUMNS('Portfolio Weights Std'!$B$9:$BJ$69))+1,MOD(ROW(A1003)-1,COLUMNS('Portfolio Weights Std'!$B$9:$BJ$69))+1)</f>
        <v>2.1996227405024441E-2</v>
      </c>
    </row>
    <row r="1005" spans="1:2" x14ac:dyDescent="0.25">
      <c r="A1005" cm="1">
        <f t="array" ref="A1005">INDEX('Portfolio Weights Returns'!$B$9:$BJ$69,
INT((ROW(A1004)-1)/COLUMNS('Portfolio Weights Returns'!$B$9:$BJ$69))+1,MOD(ROW(A1004)-1,COLUMNS('Portfolio Weights Returns'!$B$9:$BJ$69))+1)</f>
        <v>-9.0669628199377232E-4</v>
      </c>
      <c r="B1005" cm="1">
        <f t="array" ref="B1005">INDEX('Portfolio Weights Std'!$B$9:$BJ$69,INT((ROW(A1004)-1)/COLUMNS('Portfolio Weights Std'!$B$9:$BJ$69))+1,MOD(ROW(A1004)-1,COLUMNS('Portfolio Weights Std'!$B$9:$BJ$69))+1)</f>
        <v>2.1838109370215745E-2</v>
      </c>
    </row>
    <row r="1006" spans="1:2" x14ac:dyDescent="0.25">
      <c r="A1006" cm="1">
        <f t="array" ref="A1006">INDEX('Portfolio Weights Returns'!$B$9:$BJ$69,
INT((ROW(A1005)-1)/COLUMNS('Portfolio Weights Returns'!$B$9:$BJ$69))+1,MOD(ROW(A1005)-1,COLUMNS('Portfolio Weights Returns'!$B$9:$BJ$69))+1)</f>
        <v>-8.9991510802709339E-4</v>
      </c>
      <c r="B1006" cm="1">
        <f t="array" ref="B1006">INDEX('Portfolio Weights Std'!$B$9:$BJ$69,INT((ROW(A1005)-1)/COLUMNS('Portfolio Weights Std'!$B$9:$BJ$69))+1,MOD(ROW(A1005)-1,COLUMNS('Portfolio Weights Std'!$B$9:$BJ$69))+1)</f>
        <v>2.1680973860373227E-2</v>
      </c>
    </row>
    <row r="1007" spans="1:2" x14ac:dyDescent="0.25">
      <c r="A1007" cm="1">
        <f t="array" ref="A1007">INDEX('Portfolio Weights Returns'!$B$9:$BJ$69,
INT((ROW(A1006)-1)/COLUMNS('Portfolio Weights Returns'!$B$9:$BJ$69))+1,MOD(ROW(A1006)-1,COLUMNS('Portfolio Weights Returns'!$B$9:$BJ$69))+1)</f>
        <v>-8.9313393406041414E-4</v>
      </c>
      <c r="B1007" cm="1">
        <f t="array" ref="B1007">INDEX('Portfolio Weights Std'!$B$9:$BJ$69,INT((ROW(A1006)-1)/COLUMNS('Portfolio Weights Std'!$B$9:$BJ$69))+1,MOD(ROW(A1006)-1,COLUMNS('Portfolio Weights Std'!$B$9:$BJ$69))+1)</f>
        <v>2.1524842393374113E-2</v>
      </c>
    </row>
    <row r="1008" spans="1:2" x14ac:dyDescent="0.25">
      <c r="A1008" cm="1">
        <f t="array" ref="A1008">INDEX('Portfolio Weights Returns'!$B$9:$BJ$69,
INT((ROW(A1007)-1)/COLUMNS('Portfolio Weights Returns'!$B$9:$BJ$69))+1,MOD(ROW(A1007)-1,COLUMNS('Portfolio Weights Returns'!$B$9:$BJ$69))+1)</f>
        <v>-8.8635276009373521E-4</v>
      </c>
      <c r="B1008" cm="1">
        <f t="array" ref="B1008">INDEX('Portfolio Weights Std'!$B$9:$BJ$69,INT((ROW(A1007)-1)/COLUMNS('Portfolio Weights Std'!$B$9:$BJ$69))+1,MOD(ROW(A1007)-1,COLUMNS('Portfolio Weights Std'!$B$9:$BJ$69))+1)</f>
        <v>2.1369736976428369E-2</v>
      </c>
    </row>
    <row r="1009" spans="1:2" x14ac:dyDescent="0.25">
      <c r="A1009" cm="1">
        <f t="array" ref="A1009">INDEX('Portfolio Weights Returns'!$B$9:$BJ$69,
INT((ROW(A1008)-1)/COLUMNS('Portfolio Weights Returns'!$B$9:$BJ$69))+1,MOD(ROW(A1008)-1,COLUMNS('Portfolio Weights Returns'!$B$9:$BJ$69))+1)</f>
        <v>-8.7957158612705585E-4</v>
      </c>
      <c r="B1009" cm="1">
        <f t="array" ref="B1009">INDEX('Portfolio Weights Std'!$B$9:$BJ$69,INT((ROW(A1008)-1)/COLUMNS('Portfolio Weights Std'!$B$9:$BJ$69))+1,MOD(ROW(A1008)-1,COLUMNS('Portfolio Weights Std'!$B$9:$BJ$69))+1)</f>
        <v>2.1215680113552571E-2</v>
      </c>
    </row>
    <row r="1010" spans="1:2" x14ac:dyDescent="0.25">
      <c r="A1010" cm="1">
        <f t="array" ref="A1010">INDEX('Portfolio Weights Returns'!$B$9:$BJ$69,
INT((ROW(A1009)-1)/COLUMNS('Portfolio Weights Returns'!$B$9:$BJ$69))+1,MOD(ROW(A1009)-1,COLUMNS('Portfolio Weights Returns'!$B$9:$BJ$69))+1)</f>
        <v>-8.7279041216037703E-4</v>
      </c>
      <c r="B1010" cm="1">
        <f t="array" ref="B1010">INDEX('Portfolio Weights Std'!$B$9:$BJ$69,INT((ROW(A1009)-1)/COLUMNS('Portfolio Weights Std'!$B$9:$BJ$69))+1,MOD(ROW(A1009)-1,COLUMNS('Portfolio Weights Std'!$B$9:$BJ$69))+1)</f>
        <v>2.1062694812776839E-2</v>
      </c>
    </row>
    <row r="1011" spans="1:2" x14ac:dyDescent="0.25">
      <c r="A1011" cm="1">
        <f t="array" ref="A1011">INDEX('Portfolio Weights Returns'!$B$9:$BJ$69,
INT((ROW(A1010)-1)/COLUMNS('Portfolio Weights Returns'!$B$9:$BJ$69))+1,MOD(ROW(A1010)-1,COLUMNS('Portfolio Weights Returns'!$B$9:$BJ$69))+1)</f>
        <v>-8.6600923819369767E-4</v>
      </c>
      <c r="B1011" cm="1">
        <f t="array" ref="B1011">INDEX('Portfolio Weights Std'!$B$9:$BJ$69,INT((ROW(A1010)-1)/COLUMNS('Portfolio Weights Std'!$B$9:$BJ$69))+1,MOD(ROW(A1010)-1,COLUMNS('Portfolio Weights Std'!$B$9:$BJ$69))+1)</f>
        <v>2.0910804593044438E-2</v>
      </c>
    </row>
    <row r="1012" spans="1:2" x14ac:dyDescent="0.25">
      <c r="A1012" cm="1">
        <f t="array" ref="A1012">INDEX('Portfolio Weights Returns'!$B$9:$BJ$69,
INT((ROW(A1011)-1)/COLUMNS('Portfolio Weights Returns'!$B$9:$BJ$69))+1,MOD(ROW(A1011)-1,COLUMNS('Portfolio Weights Returns'!$B$9:$BJ$69))+1)</f>
        <v>-8.5922806422701864E-4</v>
      </c>
      <c r="B1012" cm="1">
        <f t="array" ref="B1012">INDEX('Portfolio Weights Std'!$B$9:$BJ$69,INT((ROW(A1011)-1)/COLUMNS('Portfolio Weights Std'!$B$9:$BJ$69))+1,MOD(ROW(A1011)-1,COLUMNS('Portfolio Weights Std'!$B$9:$BJ$69))+1)</f>
        <v>2.0760033490761196E-2</v>
      </c>
    </row>
    <row r="1013" spans="1:2" x14ac:dyDescent="0.25">
      <c r="A1013" cm="1">
        <f t="array" ref="A1013">INDEX('Portfolio Weights Returns'!$B$9:$BJ$69,
INT((ROW(A1012)-1)/COLUMNS('Portfolio Weights Returns'!$B$9:$BJ$69))+1,MOD(ROW(A1012)-1,COLUMNS('Portfolio Weights Returns'!$B$9:$BJ$69))+1)</f>
        <v>-8.5244689026033949E-4</v>
      </c>
      <c r="B1013" cm="1">
        <f t="array" ref="B1013">INDEX('Portfolio Weights Std'!$B$9:$BJ$69,INT((ROW(A1012)-1)/COLUMNS('Portfolio Weights Std'!$B$9:$BJ$69))+1,MOD(ROW(A1012)-1,COLUMNS('Portfolio Weights Std'!$B$9:$BJ$69))+1)</f>
        <v>2.0610406065948588E-2</v>
      </c>
    </row>
    <row r="1014" spans="1:2" x14ac:dyDescent="0.25">
      <c r="A1014" cm="1">
        <f t="array" ref="A1014">INDEX('Portfolio Weights Returns'!$B$9:$BJ$69,
INT((ROW(A1013)-1)/COLUMNS('Portfolio Weights Returns'!$B$9:$BJ$69))+1,MOD(ROW(A1013)-1,COLUMNS('Portfolio Weights Returns'!$B$9:$BJ$69))+1)</f>
        <v>-8.4566571629366045E-4</v>
      </c>
      <c r="B1014" cm="1">
        <f t="array" ref="B1014">INDEX('Portfolio Weights Std'!$B$9:$BJ$69,INT((ROW(A1013)-1)/COLUMNS('Portfolio Weights Std'!$B$9:$BJ$69))+1,MOD(ROW(A1013)-1,COLUMNS('Portfolio Weights Std'!$B$9:$BJ$69))+1)</f>
        <v>2.0461947407951677E-2</v>
      </c>
    </row>
    <row r="1015" spans="1:2" x14ac:dyDescent="0.25">
      <c r="A1015" cm="1">
        <f t="array" ref="A1015">INDEX('Portfolio Weights Returns'!$B$9:$BJ$69,
INT((ROW(A1014)-1)/COLUMNS('Portfolio Weights Returns'!$B$9:$BJ$69))+1,MOD(ROW(A1014)-1,COLUMNS('Portfolio Weights Returns'!$B$9:$BJ$69))+1)</f>
        <v>-8.388845423269812E-4</v>
      </c>
      <c r="B1015" cm="1">
        <f t="array" ref="B1015">INDEX('Portfolio Weights Std'!$B$9:$BJ$69,INT((ROW(A1014)-1)/COLUMNS('Portfolio Weights Std'!$B$9:$BJ$69))+1,MOD(ROW(A1014)-1,COLUMNS('Portfolio Weights Std'!$B$9:$BJ$69))+1)</f>
        <v>2.0314683140649673E-2</v>
      </c>
    </row>
    <row r="1016" spans="1:2" x14ac:dyDescent="0.25">
      <c r="A1016" cm="1">
        <f t="array" ref="A1016">INDEX('Portfolio Weights Returns'!$B$9:$BJ$69,
INT((ROW(A1015)-1)/COLUMNS('Portfolio Weights Returns'!$B$9:$BJ$69))+1,MOD(ROW(A1015)-1,COLUMNS('Portfolio Weights Returns'!$B$9:$BJ$69))+1)</f>
        <v>-8.3210336836030227E-4</v>
      </c>
      <c r="B1016" cm="1">
        <f t="array" ref="B1016">INDEX('Portfolio Weights Std'!$B$9:$BJ$69,INT((ROW(A1015)-1)/COLUMNS('Portfolio Weights Std'!$B$9:$BJ$69))+1,MOD(ROW(A1015)-1,COLUMNS('Portfolio Weights Std'!$B$9:$BJ$69))+1)</f>
        <v>2.0168639427114016E-2</v>
      </c>
    </row>
    <row r="1017" spans="1:2" x14ac:dyDescent="0.25">
      <c r="A1017" cm="1">
        <f t="array" ref="A1017">INDEX('Portfolio Weights Returns'!$B$9:$BJ$69,
INT((ROW(A1016)-1)/COLUMNS('Portfolio Weights Returns'!$B$9:$BJ$69))+1,MOD(ROW(A1016)-1,COLUMNS('Portfolio Weights Returns'!$B$9:$BJ$69))+1)</f>
        <v>-8.2532219439362324E-4</v>
      </c>
      <c r="B1017" cm="1">
        <f t="array" ref="B1017">INDEX('Portfolio Weights Std'!$B$9:$BJ$69,INT((ROW(A1016)-1)/COLUMNS('Portfolio Weights Std'!$B$9:$BJ$69))+1,MOD(ROW(A1016)-1,COLUMNS('Portfolio Weights Std'!$B$9:$BJ$69))+1)</f>
        <v>2.0023842973655327E-2</v>
      </c>
    </row>
    <row r="1018" spans="1:2" x14ac:dyDescent="0.25">
      <c r="A1018" cm="1">
        <f t="array" ref="A1018">INDEX('Portfolio Weights Returns'!$B$9:$BJ$69,
INT((ROW(A1017)-1)/COLUMNS('Portfolio Weights Returns'!$B$9:$BJ$69))+1,MOD(ROW(A1017)-1,COLUMNS('Portfolio Weights Returns'!$B$9:$BJ$69))+1)</f>
        <v>-8.1854102042694409E-4</v>
      </c>
      <c r="B1018" cm="1">
        <f t="array" ref="B1018">INDEX('Portfolio Weights Std'!$B$9:$BJ$69,INT((ROW(A1017)-1)/COLUMNS('Portfolio Weights Std'!$B$9:$BJ$69))+1,MOD(ROW(A1017)-1,COLUMNS('Portfolio Weights Std'!$B$9:$BJ$69))+1)</f>
        <v>1.9880321033197614E-2</v>
      </c>
    </row>
    <row r="1019" spans="1:2" x14ac:dyDescent="0.25">
      <c r="A1019" cm="1">
        <f t="array" ref="A1019">INDEX('Portfolio Weights Returns'!$B$9:$BJ$69,
INT((ROW(A1018)-1)/COLUMNS('Portfolio Weights Returns'!$B$9:$BJ$69))+1,MOD(ROW(A1018)-1,COLUMNS('Portfolio Weights Returns'!$B$9:$BJ$69))+1)</f>
        <v>-8.1175984646026495E-4</v>
      </c>
      <c r="B1019" cm="1">
        <f t="array" ref="B1019">INDEX('Portfolio Weights Std'!$B$9:$BJ$69,INT((ROW(A1018)-1)/COLUMNS('Portfolio Weights Std'!$B$9:$BJ$69))+1,MOD(ROW(A1018)-1,COLUMNS('Portfolio Weights Std'!$B$9:$BJ$69))+1)</f>
        <v>1.9738101407914564E-2</v>
      </c>
    </row>
    <row r="1020" spans="1:2" x14ac:dyDescent="0.25">
      <c r="A1020" cm="1">
        <f t="array" ref="A1020">INDEX('Portfolio Weights Returns'!$B$9:$BJ$69,
INT((ROW(A1019)-1)/COLUMNS('Portfolio Weights Returns'!$B$9:$BJ$69))+1,MOD(ROW(A1019)-1,COLUMNS('Portfolio Weights Returns'!$B$9:$BJ$69))+1)</f>
        <v>-8.0497867249358581E-4</v>
      </c>
      <c r="B1020" cm="1">
        <f t="array" ref="B1020">INDEX('Portfolio Weights Std'!$B$9:$BJ$69,INT((ROW(A1019)-1)/COLUMNS('Portfolio Weights Std'!$B$9:$BJ$69))+1,MOD(ROW(A1019)-1,COLUMNS('Portfolio Weights Std'!$B$9:$BJ$69))+1)</f>
        <v>1.9597212451059574E-2</v>
      </c>
    </row>
    <row r="1021" spans="1:2" x14ac:dyDescent="0.25">
      <c r="A1021" cm="1">
        <f t="array" ref="A1021">INDEX('Portfolio Weights Returns'!$B$9:$BJ$69,
INT((ROW(A1020)-1)/COLUMNS('Portfolio Weights Returns'!$B$9:$BJ$69))+1,MOD(ROW(A1020)-1,COLUMNS('Portfolio Weights Returns'!$B$9:$BJ$69))+1)</f>
        <v>-7.9819749852690677E-4</v>
      </c>
      <c r="B1021" cm="1">
        <f t="array" ref="B1021">INDEX('Portfolio Weights Std'!$B$9:$BJ$69,INT((ROW(A1020)-1)/COLUMNS('Portfolio Weights Std'!$B$9:$BJ$69))+1,MOD(ROW(A1020)-1,COLUMNS('Portfolio Weights Std'!$B$9:$BJ$69))+1)</f>
        <v>1.9457683067917824E-2</v>
      </c>
    </row>
    <row r="1022" spans="1:2" x14ac:dyDescent="0.25">
      <c r="A1022" cm="1">
        <f t="array" ref="A1022">INDEX('Portfolio Weights Returns'!$B$9:$BJ$69,
INT((ROW(A1021)-1)/COLUMNS('Portfolio Weights Returns'!$B$9:$BJ$69))+1,MOD(ROW(A1021)-1,COLUMNS('Portfolio Weights Returns'!$B$9:$BJ$69))+1)</f>
        <v>-7.9141632456022762E-4</v>
      </c>
      <c r="B1022" cm="1">
        <f t="array" ref="B1022">INDEX('Portfolio Weights Std'!$B$9:$BJ$69,INT((ROW(A1021)-1)/COLUMNS('Portfolio Weights Std'!$B$9:$BJ$69))+1,MOD(ROW(A1021)-1,COLUMNS('Portfolio Weights Std'!$B$9:$BJ$69))+1)</f>
        <v>1.9319542715805497E-2</v>
      </c>
    </row>
    <row r="1023" spans="1:2" x14ac:dyDescent="0.25">
      <c r="A1023" cm="1">
        <f t="array" ref="A1023">INDEX('Portfolio Weights Returns'!$B$9:$BJ$69,
INT((ROW(A1022)-1)/COLUMNS('Portfolio Weights Returns'!$B$9:$BJ$69))+1,MOD(ROW(A1022)-1,COLUMNS('Portfolio Weights Returns'!$B$9:$BJ$69))+1)</f>
        <v>-7.8463515059354848E-4</v>
      </c>
      <c r="B1023" cm="1">
        <f t="array" ref="B1023">INDEX('Portfolio Weights Std'!$B$9:$BJ$69,INT((ROW(A1022)-1)/COLUMNS('Portfolio Weights Std'!$B$9:$BJ$69))+1,MOD(ROW(A1022)-1,COLUMNS('Portfolio Weights Std'!$B$9:$BJ$69))+1)</f>
        <v>1.9182821403038099E-2</v>
      </c>
    </row>
    <row r="1024" spans="1:2" x14ac:dyDescent="0.25">
      <c r="A1024" cm="1">
        <f t="array" ref="A1024">INDEX('Portfolio Weights Returns'!$B$9:$BJ$69,
INT((ROW(A1023)-1)/COLUMNS('Portfolio Weights Returns'!$B$9:$BJ$69))+1,MOD(ROW(A1023)-1,COLUMNS('Portfolio Weights Returns'!$B$9:$BJ$69))+1)</f>
        <v>-7.7785397662686944E-4</v>
      </c>
      <c r="B1024" cm="1">
        <f t="array" ref="B1024">INDEX('Portfolio Weights Std'!$B$9:$BJ$69,INT((ROW(A1023)-1)/COLUMNS('Portfolio Weights Std'!$B$9:$BJ$69))+1,MOD(ROW(A1023)-1,COLUMNS('Portfolio Weights Std'!$B$9:$BJ$69))+1)</f>
        <v>1.9047549686786638E-2</v>
      </c>
    </row>
    <row r="1025" spans="1:2" x14ac:dyDescent="0.25">
      <c r="A1025" cm="1">
        <f t="array" ref="A1025">INDEX('Portfolio Weights Returns'!$B$9:$BJ$69,
INT((ROW(A1024)-1)/COLUMNS('Portfolio Weights Returns'!$B$9:$BJ$69))+1,MOD(ROW(A1024)-1,COLUMNS('Portfolio Weights Returns'!$B$9:$BJ$69))+1)</f>
        <v>-7.710728026601903E-4</v>
      </c>
      <c r="B1025" cm="1">
        <f t="array" ref="B1025">INDEX('Portfolio Weights Std'!$B$9:$BJ$69,INT((ROW(A1024)-1)/COLUMNS('Portfolio Weights Std'!$B$9:$BJ$69))+1,MOD(ROW(A1024)-1,COLUMNS('Portfolio Weights Std'!$B$9:$BJ$69))+1)</f>
        <v>1.8913758669737778E-2</v>
      </c>
    </row>
    <row r="1026" spans="1:2" x14ac:dyDescent="0.25">
      <c r="A1026" cm="1">
        <f t="array" ref="A1026">INDEX('Portfolio Weights Returns'!$B$9:$BJ$69,
INT((ROW(A1025)-1)/COLUMNS('Portfolio Weights Returns'!$B$9:$BJ$69))+1,MOD(ROW(A1025)-1,COLUMNS('Portfolio Weights Returns'!$B$9:$BJ$69))+1)</f>
        <v>-7.6429162869351126E-4</v>
      </c>
      <c r="B1026" cm="1">
        <f t="array" ref="B1026">INDEX('Portfolio Weights Std'!$B$9:$BJ$69,INT((ROW(A1025)-1)/COLUMNS('Portfolio Weights Std'!$B$9:$BJ$69))+1,MOD(ROW(A1025)-1,COLUMNS('Portfolio Weights Std'!$B$9:$BJ$69))+1)</f>
        <v>1.8781479995471126E-2</v>
      </c>
    </row>
    <row r="1027" spans="1:2" x14ac:dyDescent="0.25">
      <c r="A1027" cm="1">
        <f t="array" ref="A1027">INDEX('Portfolio Weights Returns'!$B$9:$BJ$69,
INT((ROW(A1026)-1)/COLUMNS('Portfolio Weights Returns'!$B$9:$BJ$69))+1,MOD(ROW(A1026)-1,COLUMNS('Portfolio Weights Returns'!$B$9:$BJ$69))+1)</f>
        <v>-7.5751045472683212E-4</v>
      </c>
      <c r="B1027" cm="1">
        <f t="array" ref="B1027">INDEX('Portfolio Weights Std'!$B$9:$BJ$69,INT((ROW(A1026)-1)/COLUMNS('Portfolio Weights Std'!$B$9:$BJ$69))+1,MOD(ROW(A1026)-1,COLUMNS('Portfolio Weights Std'!$B$9:$BJ$69))+1)</f>
        <v>1.8650745842464563E-2</v>
      </c>
    </row>
    <row r="1028" spans="1:2" x14ac:dyDescent="0.25">
      <c r="A1028" cm="1">
        <f t="array" ref="A1028">INDEX('Portfolio Weights Returns'!$B$9:$BJ$69,
INT((ROW(A1027)-1)/COLUMNS('Portfolio Weights Returns'!$B$9:$BJ$69))+1,MOD(ROW(A1027)-1,COLUMNS('Portfolio Weights Returns'!$B$9:$BJ$69))+1)</f>
        <v>-7.5072928076015308E-4</v>
      </c>
      <c r="B1028" cm="1">
        <f t="array" ref="B1028">INDEX('Portfolio Weights Std'!$B$9:$BJ$69,INT((ROW(A1027)-1)/COLUMNS('Portfolio Weights Std'!$B$9:$BJ$69))+1,MOD(ROW(A1027)-1,COLUMNS('Portfolio Weights Std'!$B$9:$BJ$69))+1)</f>
        <v>1.8521588916636231E-2</v>
      </c>
    </row>
    <row r="1029" spans="1:2" x14ac:dyDescent="0.25">
      <c r="A1029" cm="1">
        <f t="array" ref="A1029">INDEX('Portfolio Weights Returns'!$B$9:$BJ$69,
INT((ROW(A1028)-1)/COLUMNS('Portfolio Weights Returns'!$B$9:$BJ$69))+1,MOD(ROW(A1028)-1,COLUMNS('Portfolio Weights Returns'!$B$9:$BJ$69))+1)</f>
        <v>-7.4394810679347394E-4</v>
      </c>
      <c r="B1029" cm="1">
        <f t="array" ref="B1029">INDEX('Portfolio Weights Std'!$B$9:$BJ$69,INT((ROW(A1028)-1)/COLUMNS('Portfolio Weights Std'!$B$9:$BJ$69))+1,MOD(ROW(A1028)-1,COLUMNS('Portfolio Weights Std'!$B$9:$BJ$69))+1)</f>
        <v>1.8394042442330099E-2</v>
      </c>
    </row>
    <row r="1030" spans="1:2" x14ac:dyDescent="0.25">
      <c r="A1030" cm="1">
        <f t="array" ref="A1030">INDEX('Portfolio Weights Returns'!$B$9:$BJ$69,
INT((ROW(A1029)-1)/COLUMNS('Portfolio Weights Returns'!$B$9:$BJ$69))+1,MOD(ROW(A1029)-1,COLUMNS('Portfolio Weights Returns'!$B$9:$BJ$69))+1)</f>
        <v>-7.371669328267949E-4</v>
      </c>
      <c r="B1030" cm="1">
        <f t="array" ref="B1030">INDEX('Portfolio Weights Std'!$B$9:$BJ$69,INT((ROW(A1029)-1)/COLUMNS('Portfolio Weights Std'!$B$9:$BJ$69))+1,MOD(ROW(A1029)-1,COLUMNS('Portfolio Weights Std'!$B$9:$BJ$69))+1)</f>
        <v>1.8268140151650517E-2</v>
      </c>
    </row>
    <row r="1031" spans="1:2" x14ac:dyDescent="0.25">
      <c r="A1031" cm="1">
        <f t="array" ref="A1031">INDEX('Portfolio Weights Returns'!$B$9:$BJ$69,
INT((ROW(A1030)-1)/COLUMNS('Portfolio Weights Returns'!$B$9:$BJ$69))+1,MOD(ROW(A1030)-1,COLUMNS('Portfolio Weights Returns'!$B$9:$BJ$69))+1)</f>
        <v>-7.3038575886011576E-4</v>
      </c>
      <c r="B1031" cm="1">
        <f t="array" ref="B1031">INDEX('Portfolio Weights Std'!$B$9:$BJ$69,INT((ROW(A1030)-1)/COLUMNS('Portfolio Weights Std'!$B$9:$BJ$69))+1,MOD(ROW(A1030)-1,COLUMNS('Portfolio Weights Std'!$B$9:$BJ$69))+1)</f>
        <v>1.8143916272050437E-2</v>
      </c>
    </row>
    <row r="1032" spans="1:2" x14ac:dyDescent="0.25">
      <c r="A1032" cm="1">
        <f t="array" ref="A1032">INDEX('Portfolio Weights Returns'!$B$9:$BJ$69,
INT((ROW(A1031)-1)/COLUMNS('Portfolio Weights Returns'!$B$9:$BJ$69))+1,MOD(ROW(A1031)-1,COLUMNS('Portfolio Weights Returns'!$B$9:$BJ$69))+1)</f>
        <v>-7.2360458489343651E-4</v>
      </c>
      <c r="B1032" cm="1">
        <f t="array" ref="B1032">INDEX('Portfolio Weights Std'!$B$9:$BJ$69,INT((ROW(A1031)-1)/COLUMNS('Portfolio Weights Std'!$B$9:$BJ$69))+1,MOD(ROW(A1031)-1,COLUMNS('Portfolio Weights Std'!$B$9:$BJ$69))+1)</f>
        <v>1.8021405512077388E-2</v>
      </c>
    </row>
    <row r="1033" spans="1:2" x14ac:dyDescent="0.25">
      <c r="A1033" cm="1">
        <f t="array" ref="A1033">INDEX('Portfolio Weights Returns'!$B$9:$BJ$69,
INT((ROW(A1032)-1)/COLUMNS('Portfolio Weights Returns'!$B$9:$BJ$69))+1,MOD(ROW(A1032)-1,COLUMNS('Portfolio Weights Returns'!$B$9:$BJ$69))+1)</f>
        <v>-7.1682341092675747E-4</v>
      </c>
      <c r="B1033" cm="1">
        <f t="array" ref="B1033">INDEX('Portfolio Weights Std'!$B$9:$BJ$69,INT((ROW(A1032)-1)/COLUMNS('Portfolio Weights Std'!$B$9:$BJ$69))+1,MOD(ROW(A1032)-1,COLUMNS('Portfolio Weights Std'!$B$9:$BJ$69))+1)</f>
        <v>1.790064304518181E-2</v>
      </c>
    </row>
    <row r="1034" spans="1:2" x14ac:dyDescent="0.25">
      <c r="A1034" cm="1">
        <f t="array" ref="A1034">INDEX('Portfolio Weights Returns'!$B$9:$BJ$69,
INT((ROW(A1033)-1)/COLUMNS('Portfolio Weights Returns'!$B$9:$BJ$69))+1,MOD(ROW(A1033)-1,COLUMNS('Portfolio Weights Returns'!$B$9:$BJ$69))+1)</f>
        <v>-7.1004223696007833E-4</v>
      </c>
      <c r="B1034" cm="1">
        <f t="array" ref="B1034">INDEX('Portfolio Weights Std'!$B$9:$BJ$69,INT((ROW(A1033)-1)/COLUMNS('Portfolio Weights Std'!$B$9:$BJ$69))+1,MOD(ROW(A1033)-1,COLUMNS('Portfolio Weights Std'!$B$9:$BJ$69))+1)</f>
        <v>1.778166449149304E-2</v>
      </c>
    </row>
    <row r="1035" spans="1:2" x14ac:dyDescent="0.25">
      <c r="A1035" cm="1">
        <f t="array" ref="A1035">INDEX('Portfolio Weights Returns'!$B$9:$BJ$69,
INT((ROW(A1034)-1)/COLUMNS('Portfolio Weights Returns'!$B$9:$BJ$69))+1,MOD(ROW(A1034)-1,COLUMNS('Portfolio Weights Returns'!$B$9:$BJ$69))+1)</f>
        <v>-7.0326106299339864E-4</v>
      </c>
      <c r="B1035" cm="1">
        <f t="array" ref="B1035">INDEX('Portfolio Weights Std'!$B$9:$BJ$69,INT((ROW(A1034)-1)/COLUMNS('Portfolio Weights Std'!$B$9:$BJ$69))+1,MOD(ROW(A1034)-1,COLUMNS('Portfolio Weights Std'!$B$9:$BJ$69))+1)</f>
        <v>1.7664505897470175E-2</v>
      </c>
    </row>
    <row r="1036" spans="1:2" x14ac:dyDescent="0.25">
      <c r="A1036" cm="1">
        <f t="array" ref="A1036">INDEX('Portfolio Weights Returns'!$B$9:$BJ$69,
INT((ROW(A1035)-1)/COLUMNS('Portfolio Weights Returns'!$B$9:$BJ$69))+1,MOD(ROW(A1035)-1,COLUMNS('Portfolio Weights Returns'!$B$9:$BJ$69))+1)</f>
        <v>-6.9647988902671939E-4</v>
      </c>
      <c r="B1036" cm="1">
        <f t="array" ref="B1036">INDEX('Portfolio Weights Std'!$B$9:$BJ$69,INT((ROW(A1035)-1)/COLUMNS('Portfolio Weights Std'!$B$9:$BJ$69))+1,MOD(ROW(A1035)-1,COLUMNS('Portfolio Weights Std'!$B$9:$BJ$69))+1)</f>
        <v>1.7549203713337506E-2</v>
      </c>
    </row>
    <row r="1037" spans="1:2" x14ac:dyDescent="0.25">
      <c r="A1037" cm="1">
        <f t="array" ref="A1037">INDEX('Portfolio Weights Returns'!$B$9:$BJ$69,
INT((ROW(A1036)-1)/COLUMNS('Portfolio Weights Returns'!$B$9:$BJ$69))+1,MOD(ROW(A1036)-1,COLUMNS('Portfolio Weights Returns'!$B$9:$BJ$69))+1)</f>
        <v>-6.8969871506004046E-4</v>
      </c>
      <c r="B1037" cm="1">
        <f t="array" ref="B1037">INDEX('Portfolio Weights Std'!$B$9:$BJ$69,INT((ROW(A1036)-1)/COLUMNS('Portfolio Weights Std'!$B$9:$BJ$69))+1,MOD(ROW(A1036)-1,COLUMNS('Portfolio Weights Std'!$B$9:$BJ$69))+1)</f>
        <v>1.7435794768217633E-2</v>
      </c>
    </row>
    <row r="1038" spans="1:2" x14ac:dyDescent="0.25">
      <c r="A1038" cm="1">
        <f t="array" ref="A1038">INDEX('Portfolio Weights Returns'!$B$9:$BJ$69,
INT((ROW(A1037)-1)/COLUMNS('Portfolio Weights Returns'!$B$9:$BJ$69))+1,MOD(ROW(A1037)-1,COLUMNS('Portfolio Weights Returns'!$B$9:$BJ$69))+1)</f>
        <v>-6.8291754109336131E-4</v>
      </c>
      <c r="B1038" cm="1">
        <f t="array" ref="B1038">INDEX('Portfolio Weights Std'!$B$9:$BJ$69,INT((ROW(A1037)-1)/COLUMNS('Portfolio Weights Std'!$B$9:$BJ$69))+1,MOD(ROW(A1037)-1,COLUMNS('Portfolio Weights Std'!$B$9:$BJ$69))+1)</f>
        <v>1.7324316242880052E-2</v>
      </c>
    </row>
    <row r="1039" spans="1:2" x14ac:dyDescent="0.25">
      <c r="A1039" cm="1">
        <f t="array" ref="A1039">INDEX('Portfolio Weights Returns'!$B$9:$BJ$69,
INT((ROW(A1038)-1)/COLUMNS('Portfolio Weights Returns'!$B$9:$BJ$69))+1,MOD(ROW(A1038)-1,COLUMNS('Portfolio Weights Returns'!$B$9:$BJ$69))+1)</f>
        <v>-1.083213771248653E-3</v>
      </c>
      <c r="B1039" cm="1">
        <f t="array" ref="B1039">INDEX('Portfolio Weights Std'!$B$9:$BJ$69,INT((ROW(A1038)-1)/COLUMNS('Portfolio Weights Std'!$B$9:$BJ$69))+1,MOD(ROW(A1038)-1,COLUMNS('Portfolio Weights Std'!$B$9:$BJ$69))+1)</f>
        <v>2.6190152429948994E-2</v>
      </c>
    </row>
    <row r="1040" spans="1:2" x14ac:dyDescent="0.25">
      <c r="A1040" cm="1">
        <f t="array" ref="A1040">INDEX('Portfolio Weights Returns'!$B$9:$BJ$69,
INT((ROW(A1039)-1)/COLUMNS('Portfolio Weights Returns'!$B$9:$BJ$69))+1,MOD(ROW(A1039)-1,COLUMNS('Portfolio Weights Returns'!$B$9:$BJ$69))+1)</f>
        <v>-1.0764325972819739E-3</v>
      </c>
      <c r="B1040" cm="1">
        <f t="array" ref="B1040">INDEX('Portfolio Weights Std'!$B$9:$BJ$69,INT((ROW(A1039)-1)/COLUMNS('Portfolio Weights Std'!$B$9:$BJ$69))+1,MOD(ROW(A1039)-1,COLUMNS('Portfolio Weights Std'!$B$9:$BJ$69))+1)</f>
        <v>2.601271845670499E-2</v>
      </c>
    </row>
    <row r="1041" spans="1:2" x14ac:dyDescent="0.25">
      <c r="A1041" cm="1">
        <f t="array" ref="A1041">INDEX('Portfolio Weights Returns'!$B$9:$BJ$69,
INT((ROW(A1040)-1)/COLUMNS('Portfolio Weights Returns'!$B$9:$BJ$69))+1,MOD(ROW(A1040)-1,COLUMNS('Portfolio Weights Returns'!$B$9:$BJ$69))+1)</f>
        <v>-1.0696514233152949E-3</v>
      </c>
      <c r="B1041" cm="1">
        <f t="array" ref="B1041">INDEX('Portfolio Weights Std'!$B$9:$BJ$69,INT((ROW(A1040)-1)/COLUMNS('Portfolio Weights Std'!$B$9:$BJ$69))+1,MOD(ROW(A1040)-1,COLUMNS('Portfolio Weights Std'!$B$9:$BJ$69))+1)</f>
        <v>2.5835858115579678E-2</v>
      </c>
    </row>
    <row r="1042" spans="1:2" x14ac:dyDescent="0.25">
      <c r="A1042" cm="1">
        <f t="array" ref="A1042">INDEX('Portfolio Weights Returns'!$B$9:$BJ$69,
INT((ROW(A1041)-1)/COLUMNS('Portfolio Weights Returns'!$B$9:$BJ$69))+1,MOD(ROW(A1041)-1,COLUMNS('Portfolio Weights Returns'!$B$9:$BJ$69))+1)</f>
        <v>-1.0628702493486156E-3</v>
      </c>
      <c r="B1042" cm="1">
        <f t="array" ref="B1042">INDEX('Portfolio Weights Std'!$B$9:$BJ$69,INT((ROW(A1041)-1)/COLUMNS('Portfolio Weights Std'!$B$9:$BJ$69))+1,MOD(ROW(A1041)-1,COLUMNS('Portfolio Weights Std'!$B$9:$BJ$69))+1)</f>
        <v>2.5659583267965472E-2</v>
      </c>
    </row>
    <row r="1043" spans="1:2" x14ac:dyDescent="0.25">
      <c r="A1043" cm="1">
        <f t="array" ref="A1043">INDEX('Portfolio Weights Returns'!$B$9:$BJ$69,
INT((ROW(A1042)-1)/COLUMNS('Portfolio Weights Returns'!$B$9:$BJ$69))+1,MOD(ROW(A1042)-1,COLUMNS('Portfolio Weights Returns'!$B$9:$BJ$69))+1)</f>
        <v>-1.0560890753819367E-3</v>
      </c>
      <c r="B1043" cm="1">
        <f t="array" ref="B1043">INDEX('Portfolio Weights Std'!$B$9:$BJ$69,INT((ROW(A1042)-1)/COLUMNS('Portfolio Weights Std'!$B$9:$BJ$69))+1,MOD(ROW(A1042)-1,COLUMNS('Portfolio Weights Std'!$B$9:$BJ$69))+1)</f>
        <v>2.548390606362512E-2</v>
      </c>
    </row>
    <row r="1044" spans="1:2" x14ac:dyDescent="0.25">
      <c r="A1044" cm="1">
        <f t="array" ref="A1044">INDEX('Portfolio Weights Returns'!$B$9:$BJ$69,
INT((ROW(A1043)-1)/COLUMNS('Portfolio Weights Returns'!$B$9:$BJ$69))+1,MOD(ROW(A1043)-1,COLUMNS('Portfolio Weights Returns'!$B$9:$BJ$69))+1)</f>
        <v>-1.0493079014152573E-3</v>
      </c>
      <c r="B1044" cm="1">
        <f t="array" ref="B1044">INDEX('Portfolio Weights Std'!$B$9:$BJ$69,INT((ROW(A1043)-1)/COLUMNS('Portfolio Weights Std'!$B$9:$BJ$69))+1,MOD(ROW(A1043)-1,COLUMNS('Portfolio Weights Std'!$B$9:$BJ$69))+1)</f>
        <v>2.5308838947893486E-2</v>
      </c>
    </row>
    <row r="1045" spans="1:2" x14ac:dyDescent="0.25">
      <c r="A1045" cm="1">
        <f t="array" ref="A1045">INDEX('Portfolio Weights Returns'!$B$9:$BJ$69,
INT((ROW(A1044)-1)/COLUMNS('Portfolio Weights Returns'!$B$9:$BJ$69))+1,MOD(ROW(A1044)-1,COLUMNS('Portfolio Weights Returns'!$B$9:$BJ$69))+1)</f>
        <v>-1.0425267274485786E-3</v>
      </c>
      <c r="B1045" cm="1">
        <f t="array" ref="B1045">INDEX('Portfolio Weights Std'!$B$9:$BJ$69,INT((ROW(A1044)-1)/COLUMNS('Portfolio Weights Std'!$B$9:$BJ$69))+1,MOD(ROW(A1044)-1,COLUMNS('Portfolio Weights Std'!$B$9:$BJ$69))+1)</f>
        <v>2.5134394669016354E-2</v>
      </c>
    </row>
    <row r="1046" spans="1:2" x14ac:dyDescent="0.25">
      <c r="A1046" cm="1">
        <f t="array" ref="A1046">INDEX('Portfolio Weights Returns'!$B$9:$BJ$69,
INT((ROW(A1045)-1)/COLUMNS('Portfolio Weights Returns'!$B$9:$BJ$69))+1,MOD(ROW(A1045)-1,COLUMNS('Portfolio Weights Returns'!$B$9:$BJ$69))+1)</f>
        <v>-1.0357455534818992E-3</v>
      </c>
      <c r="B1046" cm="1">
        <f t="array" ref="B1046">INDEX('Portfolio Weights Std'!$B$9:$BJ$69,INT((ROW(A1045)-1)/COLUMNS('Portfolio Weights Std'!$B$9:$BJ$69))+1,MOD(ROW(A1045)-1,COLUMNS('Portfolio Weights Std'!$B$9:$BJ$69))+1)</f>
        <v>2.4960586285623795E-2</v>
      </c>
    </row>
    <row r="1047" spans="1:2" x14ac:dyDescent="0.25">
      <c r="A1047" cm="1">
        <f t="array" ref="A1047">INDEX('Portfolio Weights Returns'!$B$9:$BJ$69,
INT((ROW(A1046)-1)/COLUMNS('Portfolio Weights Returns'!$B$9:$BJ$69))+1,MOD(ROW(A1046)-1,COLUMNS('Portfolio Weights Returns'!$B$9:$BJ$69))+1)</f>
        <v>-1.0289643795152203E-3</v>
      </c>
      <c r="B1047" cm="1">
        <f t="array" ref="B1047">INDEX('Portfolio Weights Std'!$B$9:$BJ$69,INT((ROW(A1046)-1)/COLUMNS('Portfolio Weights Std'!$B$9:$BJ$69))+1,MOD(ROW(A1046)-1,COLUMNS('Portfolio Weights Std'!$B$9:$BJ$69))+1)</f>
        <v>2.4787427174335581E-2</v>
      </c>
    </row>
    <row r="1048" spans="1:2" x14ac:dyDescent="0.25">
      <c r="A1048" cm="1">
        <f t="array" ref="A1048">INDEX('Portfolio Weights Returns'!$B$9:$BJ$69,
INT((ROW(A1047)-1)/COLUMNS('Portfolio Weights Returns'!$B$9:$BJ$69))+1,MOD(ROW(A1047)-1,COLUMNS('Portfolio Weights Returns'!$B$9:$BJ$69))+1)</f>
        <v>-1.0221832055485409E-3</v>
      </c>
      <c r="B1048" cm="1">
        <f t="array" ref="B1048">INDEX('Portfolio Weights Std'!$B$9:$BJ$69,INT((ROW(A1047)-1)/COLUMNS('Portfolio Weights Std'!$B$9:$BJ$69))+1,MOD(ROW(A1047)-1,COLUMNS('Portfolio Weights Std'!$B$9:$BJ$69))+1)</f>
        <v>2.4614931037495E-2</v>
      </c>
    </row>
    <row r="1049" spans="1:2" x14ac:dyDescent="0.25">
      <c r="A1049" cm="1">
        <f t="array" ref="A1049">INDEX('Portfolio Weights Returns'!$B$9:$BJ$69,
INT((ROW(A1048)-1)/COLUMNS('Portfolio Weights Returns'!$B$9:$BJ$69))+1,MOD(ROW(A1048)-1,COLUMNS('Portfolio Weights Returns'!$B$9:$BJ$69))+1)</f>
        <v>-1.0154020315818622E-3</v>
      </c>
      <c r="B1049" cm="1">
        <f t="array" ref="B1049">INDEX('Portfolio Weights Std'!$B$9:$BJ$69,INT((ROW(A1048)-1)/COLUMNS('Portfolio Weights Std'!$B$9:$BJ$69))+1,MOD(ROW(A1048)-1,COLUMNS('Portfolio Weights Std'!$B$9:$BJ$69))+1)</f>
        <v>2.4443111911027326E-2</v>
      </c>
    </row>
    <row r="1050" spans="1:2" x14ac:dyDescent="0.25">
      <c r="A1050" cm="1">
        <f t="array" ref="A1050">INDEX('Portfolio Weights Returns'!$B$9:$BJ$69,
INT((ROW(A1049)-1)/COLUMNS('Portfolio Weights Returns'!$B$9:$BJ$69))+1,MOD(ROW(A1049)-1,COLUMNS('Portfolio Weights Returns'!$B$9:$BJ$69))+1)</f>
        <v>-1.0086208576151829E-3</v>
      </c>
      <c r="B1050" cm="1">
        <f t="array" ref="B1050">INDEX('Portfolio Weights Std'!$B$9:$BJ$69,INT((ROW(A1049)-1)/COLUMNS('Portfolio Weights Std'!$B$9:$BJ$69))+1,MOD(ROW(A1049)-1,COLUMNS('Portfolio Weights Std'!$B$9:$BJ$69))+1)</f>
        <v>2.4271984172417847E-2</v>
      </c>
    </row>
    <row r="1051" spans="1:2" x14ac:dyDescent="0.25">
      <c r="A1051" cm="1">
        <f t="array" ref="A1051">INDEX('Portfolio Weights Returns'!$B$9:$BJ$69,
INT((ROW(A1050)-1)/COLUMNS('Portfolio Weights Returns'!$B$9:$BJ$69))+1,MOD(ROW(A1050)-1,COLUMNS('Portfolio Weights Returns'!$B$9:$BJ$69))+1)</f>
        <v>-1.0018396836485037E-3</v>
      </c>
      <c r="B1051" cm="1">
        <f t="array" ref="B1051">INDEX('Portfolio Weights Std'!$B$9:$BJ$69,INT((ROW(A1050)-1)/COLUMNS('Portfolio Weights Std'!$B$9:$BJ$69))+1,MOD(ROW(A1050)-1,COLUMNS('Portfolio Weights Std'!$B$9:$BJ$69))+1)</f>
        <v>2.4101562548804294E-2</v>
      </c>
    </row>
    <row r="1052" spans="1:2" x14ac:dyDescent="0.25">
      <c r="A1052" cm="1">
        <f t="array" ref="A1052">INDEX('Portfolio Weights Returns'!$B$9:$BJ$69,
INT((ROW(A1051)-1)/COLUMNS('Portfolio Weights Returns'!$B$9:$BJ$69))+1,MOD(ROW(A1051)-1,COLUMNS('Portfolio Weights Returns'!$B$9:$BJ$69))+1)</f>
        <v>-9.9505850968182458E-4</v>
      </c>
      <c r="B1052" cm="1">
        <f t="array" ref="B1052">INDEX('Portfolio Weights Std'!$B$9:$BJ$69,INT((ROW(A1051)-1)/COLUMNS('Portfolio Weights Std'!$B$9:$BJ$69))+1,MOD(ROW(A1051)-1,COLUMNS('Portfolio Weights Std'!$B$9:$BJ$69))+1)</f>
        <v>2.393186212517685E-2</v>
      </c>
    </row>
    <row r="1053" spans="1:2" x14ac:dyDescent="0.25">
      <c r="A1053" cm="1">
        <f t="array" ref="A1053">INDEX('Portfolio Weights Returns'!$B$9:$BJ$69,
INT((ROW(A1052)-1)/COLUMNS('Portfolio Weights Returns'!$B$9:$BJ$69))+1,MOD(ROW(A1052)-1,COLUMNS('Portfolio Weights Returns'!$B$9:$BJ$69))+1)</f>
        <v>-9.8827733571514543E-4</v>
      </c>
      <c r="B1053" cm="1">
        <f t="array" ref="B1053">INDEX('Portfolio Weights Std'!$B$9:$BJ$69,INT((ROW(A1052)-1)/COLUMNS('Portfolio Weights Std'!$B$9:$BJ$69))+1,MOD(ROW(A1052)-1,COLUMNS('Portfolio Weights Std'!$B$9:$BJ$69))+1)</f>
        <v>2.3762898352678891E-2</v>
      </c>
    </row>
    <row r="1054" spans="1:2" x14ac:dyDescent="0.25">
      <c r="A1054" cm="1">
        <f t="array" ref="A1054">INDEX('Portfolio Weights Returns'!$B$9:$BJ$69,
INT((ROW(A1053)-1)/COLUMNS('Portfolio Weights Returns'!$B$9:$BJ$69))+1,MOD(ROW(A1053)-1,COLUMNS('Portfolio Weights Returns'!$B$9:$BJ$69))+1)</f>
        <v>-9.8149616174846629E-4</v>
      </c>
      <c r="B1054" cm="1">
        <f t="array" ref="B1054">INDEX('Portfolio Weights Std'!$B$9:$BJ$69,INT((ROW(A1053)-1)/COLUMNS('Portfolio Weights Std'!$B$9:$BJ$69))+1,MOD(ROW(A1053)-1,COLUMNS('Portfolio Weights Std'!$B$9:$BJ$69))+1)</f>
        <v>2.3594687056999707E-2</v>
      </c>
    </row>
    <row r="1055" spans="1:2" x14ac:dyDescent="0.25">
      <c r="A1055" cm="1">
        <f t="array" ref="A1055">INDEX('Portfolio Weights Returns'!$B$9:$BJ$69,
INT((ROW(A1054)-1)/COLUMNS('Portfolio Weights Returns'!$B$9:$BJ$69))+1,MOD(ROW(A1054)-1,COLUMNS('Portfolio Weights Returns'!$B$9:$BJ$69))+1)</f>
        <v>-9.7471498778178736E-4</v>
      </c>
      <c r="B1055" cm="1">
        <f t="array" ref="B1055">INDEX('Portfolio Weights Std'!$B$9:$BJ$69,INT((ROW(A1054)-1)/COLUMNS('Portfolio Weights Std'!$B$9:$BJ$69))+1,MOD(ROW(A1054)-1,COLUMNS('Portfolio Weights Std'!$B$9:$BJ$69))+1)</f>
        <v>2.3427244446850258E-2</v>
      </c>
    </row>
    <row r="1056" spans="1:2" x14ac:dyDescent="0.25">
      <c r="A1056" cm="1">
        <f t="array" ref="A1056">INDEX('Portfolio Weights Returns'!$B$9:$BJ$69,
INT((ROW(A1055)-1)/COLUMNS('Portfolio Weights Returns'!$B$9:$BJ$69))+1,MOD(ROW(A1055)-1,COLUMNS('Portfolio Weights Returns'!$B$9:$BJ$69))+1)</f>
        <v>-9.67933813815108E-4</v>
      </c>
      <c r="B1056" cm="1">
        <f t="array" ref="B1056">INDEX('Portfolio Weights Std'!$B$9:$BJ$69,INT((ROW(A1055)-1)/COLUMNS('Portfolio Weights Std'!$B$9:$BJ$69))+1,MOD(ROW(A1055)-1,COLUMNS('Portfolio Weights Std'!$B$9:$BJ$69))+1)</f>
        <v>2.3260587122511084E-2</v>
      </c>
    </row>
    <row r="1057" spans="1:2" x14ac:dyDescent="0.25">
      <c r="A1057" cm="1">
        <f t="array" ref="A1057">INDEX('Portfolio Weights Returns'!$B$9:$BJ$69,
INT((ROW(A1056)-1)/COLUMNS('Portfolio Weights Returns'!$B$9:$BJ$69))+1,MOD(ROW(A1056)-1,COLUMNS('Portfolio Weights Returns'!$B$9:$BJ$69))+1)</f>
        <v>-9.6115263984842918E-4</v>
      </c>
      <c r="B1057" cm="1">
        <f t="array" ref="B1057">INDEX('Portfolio Weights Std'!$B$9:$BJ$69,INT((ROW(A1056)-1)/COLUMNS('Portfolio Weights Std'!$B$9:$BJ$69))+1,MOD(ROW(A1056)-1,COLUMNS('Portfolio Weights Std'!$B$9:$BJ$69))+1)</f>
        <v>2.3094732084440971E-2</v>
      </c>
    </row>
    <row r="1058" spans="1:2" x14ac:dyDescent="0.25">
      <c r="A1058" cm="1">
        <f t="array" ref="A1058">INDEX('Portfolio Weights Returns'!$B$9:$BJ$69,
INT((ROW(A1057)-1)/COLUMNS('Portfolio Weights Returns'!$B$9:$BJ$69))+1,MOD(ROW(A1057)-1,COLUMNS('Portfolio Weights Returns'!$B$9:$BJ$69))+1)</f>
        <v>-9.5437146588175025E-4</v>
      </c>
      <c r="B1058" cm="1">
        <f t="array" ref="B1058">INDEX('Portfolio Weights Std'!$B$9:$BJ$69,INT((ROW(A1057)-1)/COLUMNS('Portfolio Weights Std'!$B$9:$BJ$69))+1,MOD(ROW(A1057)-1,COLUMNS('Portfolio Weights Std'!$B$9:$BJ$69))+1)</f>
        <v>2.292969674193298E-2</v>
      </c>
    </row>
    <row r="1059" spans="1:2" x14ac:dyDescent="0.25">
      <c r="A1059" cm="1">
        <f t="array" ref="A1059">INDEX('Portfolio Weights Returns'!$B$9:$BJ$69,
INT((ROW(A1058)-1)/COLUMNS('Portfolio Weights Returns'!$B$9:$BJ$69))+1,MOD(ROW(A1058)-1,COLUMNS('Portfolio Weights Returns'!$B$9:$BJ$69))+1)</f>
        <v>-9.47590291915071E-4</v>
      </c>
      <c r="B1059" cm="1">
        <f t="array" ref="B1059">INDEX('Portfolio Weights Std'!$B$9:$BJ$69,INT((ROW(A1058)-1)/COLUMNS('Portfolio Weights Std'!$B$9:$BJ$69))+1,MOD(ROW(A1058)-1,COLUMNS('Portfolio Weights Std'!$B$9:$BJ$69))+1)</f>
        <v>2.2765498921803622E-2</v>
      </c>
    </row>
    <row r="1060" spans="1:2" x14ac:dyDescent="0.25">
      <c r="A1060" cm="1">
        <f t="array" ref="A1060">INDEX('Portfolio Weights Returns'!$B$9:$BJ$69,
INT((ROW(A1059)-1)/COLUMNS('Portfolio Weights Returns'!$B$9:$BJ$69))+1,MOD(ROW(A1059)-1,COLUMNS('Portfolio Weights Returns'!$B$9:$BJ$69))+1)</f>
        <v>-9.4080911794839196E-4</v>
      </c>
      <c r="B1060" cm="1">
        <f t="array" ref="B1060">INDEX('Portfolio Weights Std'!$B$9:$BJ$69,INT((ROW(A1059)-1)/COLUMNS('Portfolio Weights Std'!$B$9:$BJ$69))+1,MOD(ROW(A1059)-1,COLUMNS('Portfolio Weights Std'!$B$9:$BJ$69))+1)</f>
        <v>2.2602156877099103E-2</v>
      </c>
    </row>
    <row r="1061" spans="1:2" x14ac:dyDescent="0.25">
      <c r="A1061" cm="1">
        <f t="array" ref="A1061">INDEX('Portfolio Weights Returns'!$B$9:$BJ$69,
INT((ROW(A1060)-1)/COLUMNS('Portfolio Weights Returns'!$B$9:$BJ$69))+1,MOD(ROW(A1060)-1,COLUMNS('Portfolio Weights Returns'!$B$9:$BJ$69))+1)</f>
        <v>-9.3402794398171271E-4</v>
      </c>
      <c r="B1061" cm="1">
        <f t="array" ref="B1061">INDEX('Portfolio Weights Std'!$B$9:$BJ$69,INT((ROW(A1060)-1)/COLUMNS('Portfolio Weights Std'!$B$9:$BJ$69))+1,MOD(ROW(A1060)-1,COLUMNS('Portfolio Weights Std'!$B$9:$BJ$69))+1)</f>
        <v>2.2439689295800876E-2</v>
      </c>
    </row>
    <row r="1062" spans="1:2" x14ac:dyDescent="0.25">
      <c r="A1062" cm="1">
        <f t="array" ref="A1062">INDEX('Portfolio Weights Returns'!$B$9:$BJ$69,
INT((ROW(A1061)-1)/COLUMNS('Portfolio Weights Returns'!$B$9:$BJ$69))+1,MOD(ROW(A1061)-1,COLUMNS('Portfolio Weights Returns'!$B$9:$BJ$69))+1)</f>
        <v>-9.2724677001503378E-4</v>
      </c>
      <c r="B1062" cm="1">
        <f t="array" ref="B1062">INDEX('Portfolio Weights Std'!$B$9:$BJ$69,INT((ROW(A1061)-1)/COLUMNS('Portfolio Weights Std'!$B$9:$BJ$69))+1,MOD(ROW(A1061)-1,COLUMNS('Portfolio Weights Std'!$B$9:$BJ$69))+1)</f>
        <v>2.2278115309511452E-2</v>
      </c>
    </row>
    <row r="1063" spans="1:2" x14ac:dyDescent="0.25">
      <c r="A1063" cm="1">
        <f t="array" ref="A1063">INDEX('Portfolio Weights Returns'!$B$9:$BJ$69,
INT((ROW(A1062)-1)/COLUMNS('Portfolio Weights Returns'!$B$9:$BJ$69))+1,MOD(ROW(A1062)-1,COLUMNS('Portfolio Weights Returns'!$B$9:$BJ$69))+1)</f>
        <v>-9.2046559604835442E-4</v>
      </c>
      <c r="B1063" cm="1">
        <f t="array" ref="B1063">INDEX('Portfolio Weights Std'!$B$9:$BJ$69,INT((ROW(A1062)-1)/COLUMNS('Portfolio Weights Std'!$B$9:$BJ$69))+1,MOD(ROW(A1062)-1,COLUMNS('Portfolio Weights Std'!$B$9:$BJ$69))+1)</f>
        <v>2.2117454502099069E-2</v>
      </c>
    </row>
    <row r="1064" spans="1:2" x14ac:dyDescent="0.25">
      <c r="A1064" cm="1">
        <f t="array" ref="A1064">INDEX('Portfolio Weights Returns'!$B$9:$BJ$69,
INT((ROW(A1063)-1)/COLUMNS('Portfolio Weights Returns'!$B$9:$BJ$69))+1,MOD(ROW(A1063)-1,COLUMNS('Portfolio Weights Returns'!$B$9:$BJ$69))+1)</f>
        <v>-9.136844220816756E-4</v>
      </c>
      <c r="B1064" cm="1">
        <f t="array" ref="B1064">INDEX('Portfolio Weights Std'!$B$9:$BJ$69,INT((ROW(A1063)-1)/COLUMNS('Portfolio Weights Std'!$B$9:$BJ$69))+1,MOD(ROW(A1063)-1,COLUMNS('Portfolio Weights Std'!$B$9:$BJ$69))+1)</f>
        <v>2.195772691827828E-2</v>
      </c>
    </row>
    <row r="1065" spans="1:2" x14ac:dyDescent="0.25">
      <c r="A1065" cm="1">
        <f t="array" ref="A1065">INDEX('Portfolio Weights Returns'!$B$9:$BJ$69,
INT((ROW(A1064)-1)/COLUMNS('Portfolio Weights Returns'!$B$9:$BJ$69))+1,MOD(ROW(A1064)-1,COLUMNS('Portfolio Weights Returns'!$B$9:$BJ$69))+1)</f>
        <v>-9.0690324811499624E-4</v>
      </c>
      <c r="B1065" cm="1">
        <f t="array" ref="B1065">INDEX('Portfolio Weights Std'!$B$9:$BJ$69,INT((ROW(A1064)-1)/COLUMNS('Portfolio Weights Std'!$B$9:$BJ$69))+1,MOD(ROW(A1064)-1,COLUMNS('Portfolio Weights Std'!$B$9:$BJ$69))+1)</f>
        <v>2.1798953072101154E-2</v>
      </c>
    </row>
    <row r="1066" spans="1:2" x14ac:dyDescent="0.25">
      <c r="A1066" cm="1">
        <f t="array" ref="A1066">INDEX('Portfolio Weights Returns'!$B$9:$BJ$69,
INT((ROW(A1065)-1)/COLUMNS('Portfolio Weights Returns'!$B$9:$BJ$69))+1,MOD(ROW(A1065)-1,COLUMNS('Portfolio Weights Returns'!$B$9:$BJ$69))+1)</f>
        <v>-9.0012207414831731E-4</v>
      </c>
      <c r="B1066" cm="1">
        <f t="array" ref="B1066">INDEX('Portfolio Weights Std'!$B$9:$BJ$69,INT((ROW(A1065)-1)/COLUMNS('Portfolio Weights Std'!$B$9:$BJ$69))+1,MOD(ROW(A1065)-1,COLUMNS('Portfolio Weights Std'!$B$9:$BJ$69))+1)</f>
        <v>2.1641153955331966E-2</v>
      </c>
    </row>
    <row r="1067" spans="1:2" x14ac:dyDescent="0.25">
      <c r="A1067" cm="1">
        <f t="array" ref="A1067">INDEX('Portfolio Weights Returns'!$B$9:$BJ$69,
INT((ROW(A1066)-1)/COLUMNS('Portfolio Weights Returns'!$B$9:$BJ$69))+1,MOD(ROW(A1066)-1,COLUMNS('Portfolio Weights Returns'!$B$9:$BJ$69))+1)</f>
        <v>-8.9334090018163806E-4</v>
      </c>
      <c r="B1067" cm="1">
        <f t="array" ref="B1067">INDEX('Portfolio Weights Std'!$B$9:$BJ$69,INT((ROW(A1066)-1)/COLUMNS('Portfolio Weights Std'!$B$9:$BJ$69))+1,MOD(ROW(A1066)-1,COLUMNS('Portfolio Weights Std'!$B$9:$BJ$69))+1)</f>
        <v>2.1484351045675497E-2</v>
      </c>
    </row>
    <row r="1068" spans="1:2" x14ac:dyDescent="0.25">
      <c r="A1068" cm="1">
        <f t="array" ref="A1068">INDEX('Portfolio Weights Returns'!$B$9:$BJ$69,
INT((ROW(A1067)-1)/COLUMNS('Portfolio Weights Returns'!$B$9:$BJ$69))+1,MOD(ROW(A1067)-1,COLUMNS('Portfolio Weights Returns'!$B$9:$BJ$69))+1)</f>
        <v>-8.8655972621495913E-4</v>
      </c>
      <c r="B1068" cm="1">
        <f t="array" ref="B1068">INDEX('Portfolio Weights Std'!$B$9:$BJ$69,INT((ROW(A1067)-1)/COLUMNS('Portfolio Weights Std'!$B$9:$BJ$69))+1,MOD(ROW(A1067)-1,COLUMNS('Portfolio Weights Std'!$B$9:$BJ$69))+1)</f>
        <v>2.1328566314827206E-2</v>
      </c>
    </row>
    <row r="1069" spans="1:2" x14ac:dyDescent="0.25">
      <c r="A1069" cm="1">
        <f t="array" ref="A1069">INDEX('Portfolio Weights Returns'!$B$9:$BJ$69,
INT((ROW(A1068)-1)/COLUMNS('Portfolio Weights Returns'!$B$9:$BJ$69))+1,MOD(ROW(A1068)-1,COLUMNS('Portfolio Weights Returns'!$B$9:$BJ$69))+1)</f>
        <v>-8.7977855224827977E-4</v>
      </c>
      <c r="B1069" cm="1">
        <f t="array" ref="B1069">INDEX('Portfolio Weights Std'!$B$9:$BJ$69,INT((ROW(A1068)-1)/COLUMNS('Portfolio Weights Std'!$B$9:$BJ$69))+1,MOD(ROW(A1068)-1,COLUMNS('Portfolio Weights Std'!$B$9:$BJ$69))+1)</f>
        <v>2.1173822236310362E-2</v>
      </c>
    </row>
    <row r="1070" spans="1:2" x14ac:dyDescent="0.25">
      <c r="A1070" cm="1">
        <f t="array" ref="A1070">INDEX('Portfolio Weights Returns'!$B$9:$BJ$69,
INT((ROW(A1069)-1)/COLUMNS('Portfolio Weights Returns'!$B$9:$BJ$69))+1,MOD(ROW(A1069)-1,COLUMNS('Portfolio Weights Returns'!$B$9:$BJ$69))+1)</f>
        <v>-8.7299737828160095E-4</v>
      </c>
      <c r="B1070" cm="1">
        <f t="array" ref="B1070">INDEX('Portfolio Weights Std'!$B$9:$BJ$69,INT((ROW(A1069)-1)/COLUMNS('Portfolio Weights Std'!$B$9:$BJ$69))+1,MOD(ROW(A1069)-1,COLUMNS('Portfolio Weights Std'!$B$9:$BJ$69))+1)</f>
        <v>2.1020141793063312E-2</v>
      </c>
    </row>
    <row r="1071" spans="1:2" x14ac:dyDescent="0.25">
      <c r="A1071" cm="1">
        <f t="array" ref="A1071">INDEX('Portfolio Weights Returns'!$B$9:$BJ$69,
INT((ROW(A1070)-1)/COLUMNS('Portfolio Weights Returns'!$B$9:$BJ$69))+1,MOD(ROW(A1070)-1,COLUMNS('Portfolio Weights Returns'!$B$9:$BJ$69))+1)</f>
        <v>-8.6621620431492159E-4</v>
      </c>
      <c r="B1071" cm="1">
        <f t="array" ref="B1071">INDEX('Portfolio Weights Std'!$B$9:$BJ$69,INT((ROW(A1070)-1)/COLUMNS('Portfolio Weights Std'!$B$9:$BJ$69))+1,MOD(ROW(A1070)-1,COLUMNS('Portfolio Weights Std'!$B$9:$BJ$69))+1)</f>
        <v>2.0867548484736494E-2</v>
      </c>
    </row>
    <row r="1072" spans="1:2" x14ac:dyDescent="0.25">
      <c r="A1072" cm="1">
        <f t="array" ref="A1072">INDEX('Portfolio Weights Returns'!$B$9:$BJ$69,
INT((ROW(A1071)-1)/COLUMNS('Portfolio Weights Returns'!$B$9:$BJ$69))+1,MOD(ROW(A1071)-1,COLUMNS('Portfolio Weights Returns'!$B$9:$BJ$69))+1)</f>
        <v>-8.5943503034824256E-4</v>
      </c>
      <c r="B1072" cm="1">
        <f t="array" ref="B1072">INDEX('Portfolio Weights Std'!$B$9:$BJ$69,INT((ROW(A1071)-1)/COLUMNS('Portfolio Weights Std'!$B$9:$BJ$69))+1,MOD(ROW(A1071)-1,COLUMNS('Portfolio Weights Std'!$B$9:$BJ$69))+1)</f>
        <v>2.0716066334656679E-2</v>
      </c>
    </row>
    <row r="1073" spans="1:2" x14ac:dyDescent="0.25">
      <c r="A1073" cm="1">
        <f t="array" ref="A1073">INDEX('Portfolio Weights Returns'!$B$9:$BJ$69,
INT((ROW(A1072)-1)/COLUMNS('Portfolio Weights Returns'!$B$9:$BJ$69))+1,MOD(ROW(A1072)-1,COLUMNS('Portfolio Weights Returns'!$B$9:$BJ$69))+1)</f>
        <v>-8.5265385638156341E-4</v>
      </c>
      <c r="B1073" cm="1">
        <f t="array" ref="B1073">INDEX('Portfolio Weights Std'!$B$9:$BJ$69,INT((ROW(A1072)-1)/COLUMNS('Portfolio Weights Std'!$B$9:$BJ$69))+1,MOD(ROW(A1072)-1,COLUMNS('Portfolio Weights Std'!$B$9:$BJ$69))+1)</f>
        <v>2.0565719896412305E-2</v>
      </c>
    </row>
    <row r="1074" spans="1:2" x14ac:dyDescent="0.25">
      <c r="A1074" cm="1">
        <f t="array" ref="A1074">INDEX('Portfolio Weights Returns'!$B$9:$BJ$69,
INT((ROW(A1073)-1)/COLUMNS('Portfolio Weights Returns'!$B$9:$BJ$69))+1,MOD(ROW(A1073)-1,COLUMNS('Portfolio Weights Returns'!$B$9:$BJ$69))+1)</f>
        <v>-8.4587268241488437E-4</v>
      </c>
      <c r="B1074" cm="1">
        <f t="array" ref="B1074">INDEX('Portfolio Weights Std'!$B$9:$BJ$69,INT((ROW(A1073)-1)/COLUMNS('Portfolio Weights Std'!$B$9:$BJ$69))+1,MOD(ROW(A1073)-1,COLUMNS('Portfolio Weights Std'!$B$9:$BJ$69))+1)</f>
        <v>2.0416534260011138E-2</v>
      </c>
    </row>
    <row r="1075" spans="1:2" x14ac:dyDescent="0.25">
      <c r="A1075" cm="1">
        <f t="array" ref="A1075">INDEX('Portfolio Weights Returns'!$B$9:$BJ$69,
INT((ROW(A1074)-1)/COLUMNS('Portfolio Weights Returns'!$B$9:$BJ$69))+1,MOD(ROW(A1074)-1,COLUMNS('Portfolio Weights Returns'!$B$9:$BJ$69))+1)</f>
        <v>-8.3909150844820512E-4</v>
      </c>
      <c r="B1075" cm="1">
        <f t="array" ref="B1075">INDEX('Portfolio Weights Std'!$B$9:$BJ$69,INT((ROW(A1074)-1)/COLUMNS('Portfolio Weights Std'!$B$9:$BJ$69))+1,MOD(ROW(A1074)-1,COLUMNS('Portfolio Weights Std'!$B$9:$BJ$69))+1)</f>
        <v>2.0268535057557897E-2</v>
      </c>
    </row>
    <row r="1076" spans="1:2" x14ac:dyDescent="0.25">
      <c r="A1076" cm="1">
        <f t="array" ref="A1076">INDEX('Portfolio Weights Returns'!$B$9:$BJ$69,
INT((ROW(A1075)-1)/COLUMNS('Portfolio Weights Returns'!$B$9:$BJ$69))+1,MOD(ROW(A1075)-1,COLUMNS('Portfolio Weights Returns'!$B$9:$BJ$69))+1)</f>
        <v>-8.3231033448152619E-4</v>
      </c>
      <c r="B1076" cm="1">
        <f t="array" ref="B1076">INDEX('Portfolio Weights Std'!$B$9:$BJ$69,INT((ROW(A1075)-1)/COLUMNS('Portfolio Weights Std'!$B$9:$BJ$69))+1,MOD(ROW(A1075)-1,COLUMNS('Portfolio Weights Std'!$B$9:$BJ$69))+1)</f>
        <v>2.0121748468396698E-2</v>
      </c>
    </row>
    <row r="1077" spans="1:2" x14ac:dyDescent="0.25">
      <c r="A1077" cm="1">
        <f t="array" ref="A1077">INDEX('Portfolio Weights Returns'!$B$9:$BJ$69,
INT((ROW(A1076)-1)/COLUMNS('Portfolio Weights Returns'!$B$9:$BJ$69))+1,MOD(ROW(A1076)-1,COLUMNS('Portfolio Weights Returns'!$B$9:$BJ$69))+1)</f>
        <v>-8.2552916051484716E-4</v>
      </c>
      <c r="B1077" cm="1">
        <f t="array" ref="B1077">INDEX('Portfolio Weights Std'!$B$9:$BJ$69,INT((ROW(A1076)-1)/COLUMNS('Portfolio Weights Std'!$B$9:$BJ$69))+1,MOD(ROW(A1076)-1,COLUMNS('Portfolio Weights Std'!$B$9:$BJ$69))+1)</f>
        <v>1.9976201223659163E-2</v>
      </c>
    </row>
    <row r="1078" spans="1:2" x14ac:dyDescent="0.25">
      <c r="A1078" cm="1">
        <f t="array" ref="A1078">INDEX('Portfolio Weights Returns'!$B$9:$BJ$69,
INT((ROW(A1077)-1)/COLUMNS('Portfolio Weights Returns'!$B$9:$BJ$69))+1,MOD(ROW(A1077)-1,COLUMNS('Portfolio Weights Returns'!$B$9:$BJ$69))+1)</f>
        <v>-8.1874798654816801E-4</v>
      </c>
      <c r="B1078" cm="1">
        <f t="array" ref="B1078">INDEX('Portfolio Weights Std'!$B$9:$BJ$69,INT((ROW(A1077)-1)/COLUMNS('Portfolio Weights Std'!$B$9:$BJ$69))+1,MOD(ROW(A1077)-1,COLUMNS('Portfolio Weights Std'!$B$9:$BJ$69))+1)</f>
        <v>1.9831920610156369E-2</v>
      </c>
    </row>
    <row r="1079" spans="1:2" x14ac:dyDescent="0.25">
      <c r="A1079" cm="1">
        <f t="array" ref="A1079">INDEX('Portfolio Weights Returns'!$B$9:$BJ$69,
INT((ROW(A1078)-1)/COLUMNS('Portfolio Weights Returns'!$B$9:$BJ$69))+1,MOD(ROW(A1078)-1,COLUMNS('Portfolio Weights Returns'!$B$9:$BJ$69))+1)</f>
        <v>-8.1196681258148887E-4</v>
      </c>
      <c r="B1079" cm="1">
        <f t="array" ref="B1079">INDEX('Portfolio Weights Std'!$B$9:$BJ$69,INT((ROW(A1078)-1)/COLUMNS('Portfolio Weights Std'!$B$9:$BJ$69))+1,MOD(ROW(A1078)-1,COLUMNS('Portfolio Weights Std'!$B$9:$BJ$69))+1)</f>
        <v>1.9688934473548685E-2</v>
      </c>
    </row>
    <row r="1080" spans="1:2" x14ac:dyDescent="0.25">
      <c r="A1080" cm="1">
        <f t="array" ref="A1080">INDEX('Portfolio Weights Returns'!$B$9:$BJ$69,
INT((ROW(A1079)-1)/COLUMNS('Portfolio Weights Returns'!$B$9:$BJ$69))+1,MOD(ROW(A1079)-1,COLUMNS('Portfolio Weights Returns'!$B$9:$BJ$69))+1)</f>
        <v>-8.0518563861480973E-4</v>
      </c>
      <c r="B1080" cm="1">
        <f t="array" ref="B1080">INDEX('Portfolio Weights Std'!$B$9:$BJ$69,INT((ROW(A1079)-1)/COLUMNS('Portfolio Weights Std'!$B$9:$BJ$69))+1,MOD(ROW(A1079)-1,COLUMNS('Portfolio Weights Std'!$B$9:$BJ$69))+1)</f>
        <v>1.9547271220724614E-2</v>
      </c>
    </row>
    <row r="1081" spans="1:2" x14ac:dyDescent="0.25">
      <c r="A1081" cm="1">
        <f t="array" ref="A1081">INDEX('Portfolio Weights Returns'!$B$9:$BJ$69,
INT((ROW(A1080)-1)/COLUMNS('Portfolio Weights Returns'!$B$9:$BJ$69))+1,MOD(ROW(A1080)-1,COLUMNS('Portfolio Weights Returns'!$B$9:$BJ$69))+1)</f>
        <v>-7.9840446464813058E-4</v>
      </c>
      <c r="B1081" cm="1">
        <f t="array" ref="B1081">INDEX('Portfolio Weights Std'!$B$9:$BJ$69,INT((ROW(A1080)-1)/COLUMNS('Portfolio Weights Std'!$B$9:$BJ$69))+1,MOD(ROW(A1080)-1,COLUMNS('Portfolio Weights Std'!$B$9:$BJ$69))+1)</f>
        <v>1.9406959821315899E-2</v>
      </c>
    </row>
    <row r="1082" spans="1:2" x14ac:dyDescent="0.25">
      <c r="A1082" cm="1">
        <f t="array" ref="A1082">INDEX('Portfolio Weights Returns'!$B$9:$BJ$69,
INT((ROW(A1081)-1)/COLUMNS('Portfolio Weights Returns'!$B$9:$BJ$69))+1,MOD(ROW(A1081)-1,COLUMNS('Portfolio Weights Returns'!$B$9:$BJ$69))+1)</f>
        <v>-7.9162329068145154E-4</v>
      </c>
      <c r="B1082" cm="1">
        <f t="array" ref="B1082">INDEX('Portfolio Weights Std'!$B$9:$BJ$69,INT((ROW(A1081)-1)/COLUMNS('Portfolio Weights Std'!$B$9:$BJ$69))+1,MOD(ROW(A1081)-1,COLUMNS('Portfolio Weights Std'!$B$9:$BJ$69))+1)</f>
        <v>1.9268029808272986E-2</v>
      </c>
    </row>
    <row r="1083" spans="1:2" x14ac:dyDescent="0.25">
      <c r="A1083" cm="1">
        <f t="array" ref="A1083">INDEX('Portfolio Weights Returns'!$B$9:$BJ$69,
INT((ROW(A1082)-1)/COLUMNS('Portfolio Weights Returns'!$B$9:$BJ$69))+1,MOD(ROW(A1082)-1,COLUMNS('Portfolio Weights Returns'!$B$9:$BJ$69))+1)</f>
        <v>-7.848421167147724E-4</v>
      </c>
      <c r="B1083" cm="1">
        <f t="array" ref="B1083">INDEX('Portfolio Weights Std'!$B$9:$BJ$69,INT((ROW(A1082)-1)/COLUMNS('Portfolio Weights Std'!$B$9:$BJ$69))+1,MOD(ROW(A1082)-1,COLUMNS('Portfolio Weights Std'!$B$9:$BJ$69))+1)</f>
        <v>1.9130511277421443E-2</v>
      </c>
    </row>
    <row r="1084" spans="1:2" x14ac:dyDescent="0.25">
      <c r="A1084" cm="1">
        <f t="array" ref="A1084">INDEX('Portfolio Weights Returns'!$B$9:$BJ$69,
INT((ROW(A1083)-1)/COLUMNS('Portfolio Weights Returns'!$B$9:$BJ$69))+1,MOD(ROW(A1083)-1,COLUMNS('Portfolio Weights Returns'!$B$9:$BJ$69))+1)</f>
        <v>-7.7806094274809336E-4</v>
      </c>
      <c r="B1084" cm="1">
        <f t="array" ref="B1084">INDEX('Portfolio Weights Std'!$B$9:$BJ$69,INT((ROW(A1083)-1)/COLUMNS('Portfolio Weights Std'!$B$9:$BJ$69))+1,MOD(ROW(A1083)-1,COLUMNS('Portfolio Weights Std'!$B$9:$BJ$69))+1)</f>
        <v>1.8994434885916654E-2</v>
      </c>
    </row>
    <row r="1085" spans="1:2" x14ac:dyDescent="0.25">
      <c r="A1085" cm="1">
        <f t="array" ref="A1085">INDEX('Portfolio Weights Returns'!$B$9:$BJ$69,
INT((ROW(A1084)-1)/COLUMNS('Portfolio Weights Returns'!$B$9:$BJ$69))+1,MOD(ROW(A1084)-1,COLUMNS('Portfolio Weights Returns'!$B$9:$BJ$69))+1)</f>
        <v>-7.7127976878141422E-4</v>
      </c>
      <c r="B1085" cm="1">
        <f t="array" ref="B1085">INDEX('Portfolio Weights Std'!$B$9:$BJ$69,INT((ROW(A1084)-1)/COLUMNS('Portfolio Weights Std'!$B$9:$BJ$69))+1,MOD(ROW(A1084)-1,COLUMNS('Portfolio Weights Std'!$B$9:$BJ$69))+1)</f>
        <v>1.8859831849511066E-2</v>
      </c>
    </row>
    <row r="1086" spans="1:2" x14ac:dyDescent="0.25">
      <c r="A1086" cm="1">
        <f t="array" ref="A1086">INDEX('Portfolio Weights Returns'!$B$9:$BJ$69,
INT((ROW(A1085)-1)/COLUMNS('Portfolio Weights Returns'!$B$9:$BJ$69))+1,MOD(ROW(A1085)-1,COLUMNS('Portfolio Weights Returns'!$B$9:$BJ$69))+1)</f>
        <v>-7.6449859481473508E-4</v>
      </c>
      <c r="B1086" cm="1">
        <f t="array" ref="B1086">INDEX('Portfolio Weights Std'!$B$9:$BJ$69,INT((ROW(A1085)-1)/COLUMNS('Portfolio Weights Std'!$B$9:$BJ$69))+1,MOD(ROW(A1085)-1,COLUMNS('Portfolio Weights Std'!$B$9:$BJ$69))+1)</f>
        <v>1.8726733938545254E-2</v>
      </c>
    </row>
    <row r="1087" spans="1:2" x14ac:dyDescent="0.25">
      <c r="A1087" cm="1">
        <f t="array" ref="A1087">INDEX('Portfolio Weights Returns'!$B$9:$BJ$69,
INT((ROW(A1086)-1)/COLUMNS('Portfolio Weights Returns'!$B$9:$BJ$69))+1,MOD(ROW(A1086)-1,COLUMNS('Portfolio Weights Returns'!$B$9:$BJ$69))+1)</f>
        <v>-7.5771742084805604E-4</v>
      </c>
      <c r="B1087" cm="1">
        <f t="array" ref="B1087">INDEX('Portfolio Weights Std'!$B$9:$BJ$69,INT((ROW(A1086)-1)/COLUMNS('Portfolio Weights Std'!$B$9:$BJ$69))+1,MOD(ROW(A1086)-1,COLUMNS('Portfolio Weights Std'!$B$9:$BJ$69))+1)</f>
        <v>1.8595173472571291E-2</v>
      </c>
    </row>
    <row r="1088" spans="1:2" x14ac:dyDescent="0.25">
      <c r="A1088" cm="1">
        <f t="array" ref="A1088">INDEX('Portfolio Weights Returns'!$B$9:$BJ$69,
INT((ROW(A1087)-1)/COLUMNS('Portfolio Weights Returns'!$B$9:$BJ$69))+1,MOD(ROW(A1087)-1,COLUMNS('Portfolio Weights Returns'!$B$9:$BJ$69))+1)</f>
        <v>-7.50936246881377E-4</v>
      </c>
      <c r="B1088" cm="1">
        <f t="array" ref="B1088">INDEX('Portfolio Weights Std'!$B$9:$BJ$69,INT((ROW(A1087)-1)/COLUMNS('Portfolio Weights Std'!$B$9:$BJ$69))+1,MOD(ROW(A1087)-1,COLUMNS('Portfolio Weights Std'!$B$9:$BJ$69))+1)</f>
        <v>1.8465183313514693E-2</v>
      </c>
    </row>
    <row r="1089" spans="1:2" x14ac:dyDescent="0.25">
      <c r="A1089" cm="1">
        <f t="array" ref="A1089">INDEX('Portfolio Weights Returns'!$B$9:$BJ$69,
INT((ROW(A1088)-1)/COLUMNS('Portfolio Weights Returns'!$B$9:$BJ$69))+1,MOD(ROW(A1088)-1,COLUMNS('Portfolio Weights Returns'!$B$9:$BJ$69))+1)</f>
        <v>-7.4415507291469786E-4</v>
      </c>
      <c r="B1089" cm="1">
        <f t="array" ref="B1089">INDEX('Portfolio Weights Std'!$B$9:$BJ$69,INT((ROW(A1088)-1)/COLUMNS('Portfolio Weights Std'!$B$9:$BJ$69))+1,MOD(ROW(A1088)-1,COLUMNS('Portfolio Weights Std'!$B$9:$BJ$69))+1)</f>
        <v>1.8336796857278799E-2</v>
      </c>
    </row>
    <row r="1090" spans="1:2" x14ac:dyDescent="0.25">
      <c r="A1090" cm="1">
        <f t="array" ref="A1090">INDEX('Portfolio Weights Returns'!$B$9:$BJ$69,
INT((ROW(A1089)-1)/COLUMNS('Portfolio Weights Returns'!$B$9:$BJ$69))+1,MOD(ROW(A1089)-1,COLUMNS('Portfolio Weights Returns'!$B$9:$BJ$69))+1)</f>
        <v>-7.3737389894801882E-4</v>
      </c>
      <c r="B1090" cm="1">
        <f t="array" ref="B1090">INDEX('Portfolio Weights Std'!$B$9:$BJ$69,INT((ROW(A1089)-1)/COLUMNS('Portfolio Weights Std'!$B$9:$BJ$69))+1,MOD(ROW(A1089)-1,COLUMNS('Portfolio Weights Std'!$B$9:$BJ$69))+1)</f>
        <v>1.821004802369406E-2</v>
      </c>
    </row>
    <row r="1091" spans="1:2" x14ac:dyDescent="0.25">
      <c r="A1091" cm="1">
        <f t="array" ref="A1091">INDEX('Portfolio Weights Returns'!$B$9:$BJ$69,
INT((ROW(A1090)-1)/COLUMNS('Portfolio Weights Returns'!$B$9:$BJ$69))+1,MOD(ROW(A1090)-1,COLUMNS('Portfolio Weights Returns'!$B$9:$BJ$69))+1)</f>
        <v>-7.3059272498133968E-4</v>
      </c>
      <c r="B1091" cm="1">
        <f t="array" ref="B1091">INDEX('Portfolio Weights Std'!$B$9:$BJ$69,INT((ROW(A1090)-1)/COLUMNS('Portfolio Weights Std'!$B$9:$BJ$69))+1,MOD(ROW(A1090)-1,COLUMNS('Portfolio Weights Std'!$B$9:$BJ$69))+1)</f>
        <v>1.808497124471322E-2</v>
      </c>
    </row>
    <row r="1092" spans="1:2" x14ac:dyDescent="0.25">
      <c r="A1092" cm="1">
        <f t="array" ref="A1092">INDEX('Portfolio Weights Returns'!$B$9:$BJ$69,
INT((ROW(A1091)-1)/COLUMNS('Portfolio Weights Returns'!$B$9:$BJ$69))+1,MOD(ROW(A1091)-1,COLUMNS('Portfolio Weights Returns'!$B$9:$BJ$69))+1)</f>
        <v>-7.2381155101466043E-4</v>
      </c>
      <c r="B1092" cm="1">
        <f t="array" ref="B1092">INDEX('Portfolio Weights Std'!$B$9:$BJ$69,INT((ROW(A1091)-1)/COLUMNS('Portfolio Weights Std'!$B$9:$BJ$69))+1,MOD(ROW(A1091)-1,COLUMNS('Portfolio Weights Std'!$B$9:$BJ$69))+1)</f>
        <v>1.7961601450752939E-2</v>
      </c>
    </row>
    <row r="1093" spans="1:2" x14ac:dyDescent="0.25">
      <c r="A1093" cm="1">
        <f t="array" ref="A1093">INDEX('Portfolio Weights Returns'!$B$9:$BJ$69,
INT((ROW(A1092)-1)/COLUMNS('Portfolio Weights Returns'!$B$9:$BJ$69))+1,MOD(ROW(A1092)-1,COLUMNS('Portfolio Weights Returns'!$B$9:$BJ$69))+1)</f>
        <v>-7.1703037704798139E-4</v>
      </c>
      <c r="B1093" cm="1">
        <f t="array" ref="B1093">INDEX('Portfolio Weights Std'!$B$9:$BJ$69,INT((ROW(A1092)-1)/COLUMNS('Portfolio Weights Std'!$B$9:$BJ$69))+1,MOD(ROW(A1092)-1,COLUMNS('Portfolio Weights Std'!$B$9:$BJ$69))+1)</f>
        <v>1.783997405508209E-2</v>
      </c>
    </row>
    <row r="1094" spans="1:2" x14ac:dyDescent="0.25">
      <c r="A1094" cm="1">
        <f t="array" ref="A1094">INDEX('Portfolio Weights Returns'!$B$9:$BJ$69,
INT((ROW(A1093)-1)/COLUMNS('Portfolio Weights Returns'!$B$9:$BJ$69))+1,MOD(ROW(A1093)-1,COLUMNS('Portfolio Weights Returns'!$B$9:$BJ$69))+1)</f>
        <v>-7.1024920308130225E-4</v>
      </c>
      <c r="B1094" cm="1">
        <f t="array" ref="B1094">INDEX('Portfolio Weights Std'!$B$9:$BJ$69,INT((ROW(A1093)-1)/COLUMNS('Portfolio Weights Std'!$B$9:$BJ$69))+1,MOD(ROW(A1093)-1,COLUMNS('Portfolio Weights Std'!$B$9:$BJ$69))+1)</f>
        <v>1.7720124936157759E-2</v>
      </c>
    </row>
    <row r="1095" spans="1:2" x14ac:dyDescent="0.25">
      <c r="A1095" cm="1">
        <f t="array" ref="A1095">INDEX('Portfolio Weights Returns'!$B$9:$BJ$69,
INT((ROW(A1094)-1)/COLUMNS('Portfolio Weights Returns'!$B$9:$BJ$69))+1,MOD(ROW(A1094)-1,COLUMNS('Portfolio Weights Returns'!$B$9:$BJ$69))+1)</f>
        <v>-7.0346802911462321E-4</v>
      </c>
      <c r="B1095" cm="1">
        <f t="array" ref="B1095">INDEX('Portfolio Weights Std'!$B$9:$BJ$69,INT((ROW(A1094)-1)/COLUMNS('Portfolio Weights Std'!$B$9:$BJ$69))+1,MOD(ROW(A1094)-1,COLUMNS('Portfolio Weights Std'!$B$9:$BJ$69))+1)</f>
        <v>1.7602090417811283E-2</v>
      </c>
    </row>
    <row r="1096" spans="1:2" x14ac:dyDescent="0.25">
      <c r="A1096" cm="1">
        <f t="array" ref="A1096">INDEX('Portfolio Weights Returns'!$B$9:$BJ$69,
INT((ROW(A1095)-1)/COLUMNS('Portfolio Weights Returns'!$B$9:$BJ$69))+1,MOD(ROW(A1095)-1,COLUMNS('Portfolio Weights Returns'!$B$9:$BJ$69))+1)</f>
        <v>-6.9668685514794331E-4</v>
      </c>
      <c r="B1096" cm="1">
        <f t="array" ref="B1096">INDEX('Portfolio Weights Std'!$B$9:$BJ$69,INT((ROW(A1095)-1)/COLUMNS('Portfolio Weights Std'!$B$9:$BJ$69))+1,MOD(ROW(A1095)-1,COLUMNS('Portfolio Weights Std'!$B$9:$BJ$69))+1)</f>
        <v>1.7485907247188896E-2</v>
      </c>
    </row>
    <row r="1097" spans="1:2" x14ac:dyDescent="0.25">
      <c r="A1097" cm="1">
        <f t="array" ref="A1097">INDEX('Portfolio Weights Returns'!$B$9:$BJ$69,
INT((ROW(A1096)-1)/COLUMNS('Portfolio Weights Returns'!$B$9:$BJ$69))+1,MOD(ROW(A1096)-1,COLUMNS('Portfolio Weights Returns'!$B$9:$BJ$69))+1)</f>
        <v>-6.8990568118126427E-4</v>
      </c>
      <c r="B1097" cm="1">
        <f t="array" ref="B1097">INDEX('Portfolio Weights Std'!$B$9:$BJ$69,INT((ROW(A1096)-1)/COLUMNS('Portfolio Weights Std'!$B$9:$BJ$69))+1,MOD(ROW(A1096)-1,COLUMNS('Portfolio Weights Std'!$B$9:$BJ$69))+1)</f>
        <v>1.73716125703548E-2</v>
      </c>
    </row>
    <row r="1098" spans="1:2" x14ac:dyDescent="0.25">
      <c r="A1098" cm="1">
        <f t="array" ref="A1098">INDEX('Portfolio Weights Returns'!$B$9:$BJ$69,
INT((ROW(A1097)-1)/COLUMNS('Portfolio Weights Returns'!$B$9:$BJ$69))+1,MOD(ROW(A1097)-1,COLUMNS('Portfolio Weights Returns'!$B$9:$BJ$69))+1)</f>
        <v>-6.8312450721458523E-4</v>
      </c>
      <c r="B1098" cm="1">
        <f t="array" ref="B1098">INDEX('Portfolio Weights Std'!$B$9:$BJ$69,INT((ROW(A1097)-1)/COLUMNS('Portfolio Weights Std'!$B$9:$BJ$69))+1,MOD(ROW(A1097)-1,COLUMNS('Portfolio Weights Std'!$B$9:$BJ$69))+1)</f>
        <v>1.7259243905468475E-2</v>
      </c>
    </row>
    <row r="1099" spans="1:2" x14ac:dyDescent="0.25">
      <c r="A1099" cm="1">
        <f t="array" ref="A1099">INDEX('Portfolio Weights Returns'!$B$9:$BJ$69,
INT((ROW(A1098)-1)/COLUMNS('Portfolio Weights Returns'!$B$9:$BJ$69))+1,MOD(ROW(A1098)-1,COLUMNS('Portfolio Weights Returns'!$B$9:$BJ$69))+1)</f>
        <v>-6.763433332479062E-4</v>
      </c>
      <c r="B1099" cm="1">
        <f t="array" ref="B1099">INDEX('Portfolio Weights Std'!$B$9:$BJ$69,INT((ROW(A1098)-1)/COLUMNS('Portfolio Weights Std'!$B$9:$BJ$69))+1,MOD(ROW(A1098)-1,COLUMNS('Portfolio Weights Std'!$B$9:$BJ$69))+1)</f>
        <v>1.7148839113453666E-2</v>
      </c>
    </row>
    <row r="1100" spans="1:2" x14ac:dyDescent="0.25">
      <c r="A1100" cm="1">
        <f t="array" ref="A1100">INDEX('Portfolio Weights Returns'!$B$9:$BJ$69,
INT((ROW(A1099)-1)/COLUMNS('Portfolio Weights Returns'!$B$9:$BJ$69))+1,MOD(ROW(A1099)-1,COLUMNS('Portfolio Weights Returns'!$B$9:$BJ$69))+1)</f>
        <v>-1.0766395634031977E-3</v>
      </c>
      <c r="B1100" cm="1">
        <f t="array" ref="B1100">INDEX('Portfolio Weights Std'!$B$9:$BJ$69,INT((ROW(A1099)-1)/COLUMNS('Portfolio Weights Std'!$B$9:$BJ$69))+1,MOD(ROW(A1099)-1,COLUMNS('Portfolio Weights Std'!$B$9:$BJ$69))+1)</f>
        <v>2.5992164652169112E-2</v>
      </c>
    </row>
    <row r="1101" spans="1:2" x14ac:dyDescent="0.25">
      <c r="A1101" cm="1">
        <f t="array" ref="A1101">INDEX('Portfolio Weights Returns'!$B$9:$BJ$69,
INT((ROW(A1100)-1)/COLUMNS('Portfolio Weights Returns'!$B$9:$BJ$69))+1,MOD(ROW(A1100)-1,COLUMNS('Portfolio Weights Returns'!$B$9:$BJ$69))+1)</f>
        <v>-1.0698583894365188E-3</v>
      </c>
      <c r="B1101" cm="1">
        <f t="array" ref="B1101">INDEX('Portfolio Weights Std'!$B$9:$BJ$69,INT((ROW(A1100)-1)/COLUMNS('Portfolio Weights Std'!$B$9:$BJ$69))+1,MOD(ROW(A1100)-1,COLUMNS('Portfolio Weights Std'!$B$9:$BJ$69))+1)</f>
        <v>2.5814845519120628E-2</v>
      </c>
    </row>
    <row r="1102" spans="1:2" x14ac:dyDescent="0.25">
      <c r="A1102" cm="1">
        <f t="array" ref="A1102">INDEX('Portfolio Weights Returns'!$B$9:$BJ$69,
INT((ROW(A1101)-1)/COLUMNS('Portfolio Weights Returns'!$B$9:$BJ$69))+1,MOD(ROW(A1101)-1,COLUMNS('Portfolio Weights Returns'!$B$9:$BJ$69))+1)</f>
        <v>-1.0630772154698394E-3</v>
      </c>
      <c r="B1102" cm="1">
        <f t="array" ref="B1102">INDEX('Portfolio Weights Std'!$B$9:$BJ$69,INT((ROW(A1101)-1)/COLUMNS('Portfolio Weights Std'!$B$9:$BJ$69))+1,MOD(ROW(A1101)-1,COLUMNS('Portfolio Weights Std'!$B$9:$BJ$69))+1)</f>
        <v>2.5638106031908463E-2</v>
      </c>
    </row>
    <row r="1103" spans="1:2" x14ac:dyDescent="0.25">
      <c r="A1103" cm="1">
        <f t="array" ref="A1103">INDEX('Portfolio Weights Returns'!$B$9:$BJ$69,
INT((ROW(A1102)-1)/COLUMNS('Portfolio Weights Returns'!$B$9:$BJ$69))+1,MOD(ROW(A1102)-1,COLUMNS('Portfolio Weights Returns'!$B$9:$BJ$69))+1)</f>
        <v>-1.0562960415031607E-3</v>
      </c>
      <c r="B1103" cm="1">
        <f t="array" ref="B1103">INDEX('Portfolio Weights Std'!$B$9:$BJ$69,INT((ROW(A1102)-1)/COLUMNS('Portfolio Weights Std'!$B$9:$BJ$69))+1,MOD(ROW(A1102)-1,COLUMNS('Portfolio Weights Std'!$B$9:$BJ$69))+1)</f>
        <v>2.546195826104948E-2</v>
      </c>
    </row>
    <row r="1104" spans="1:2" x14ac:dyDescent="0.25">
      <c r="A1104" cm="1">
        <f t="array" ref="A1104">INDEX('Portfolio Weights Returns'!$B$9:$BJ$69,
INT((ROW(A1103)-1)/COLUMNS('Portfolio Weights Returns'!$B$9:$BJ$69))+1,MOD(ROW(A1103)-1,COLUMNS('Portfolio Weights Returns'!$B$9:$BJ$69))+1)</f>
        <v>-1.0495148675364813E-3</v>
      </c>
      <c r="B1104" cm="1">
        <f t="array" ref="B1104">INDEX('Portfolio Weights Std'!$B$9:$BJ$69,INT((ROW(A1103)-1)/COLUMNS('Portfolio Weights Std'!$B$9:$BJ$69))+1,MOD(ROW(A1103)-1,COLUMNS('Portfolio Weights Std'!$B$9:$BJ$69))+1)</f>
        <v>2.5286414572418061E-2</v>
      </c>
    </row>
    <row r="1105" spans="1:2" x14ac:dyDescent="0.25">
      <c r="A1105" cm="1">
        <f t="array" ref="A1105">INDEX('Portfolio Weights Returns'!$B$9:$BJ$69,
INT((ROW(A1104)-1)/COLUMNS('Portfolio Weights Returns'!$B$9:$BJ$69))+1,MOD(ROW(A1104)-1,COLUMNS('Portfolio Weights Returns'!$B$9:$BJ$69))+1)</f>
        <v>-1.0427336935698024E-3</v>
      </c>
      <c r="B1105" cm="1">
        <f t="array" ref="B1105">INDEX('Portfolio Weights Std'!$B$9:$BJ$69,INT((ROW(A1104)-1)/COLUMNS('Portfolio Weights Std'!$B$9:$BJ$69))+1,MOD(ROW(A1104)-1,COLUMNS('Portfolio Weights Std'!$B$9:$BJ$69))+1)</f>
        <v>2.5111487634660225E-2</v>
      </c>
    </row>
    <row r="1106" spans="1:2" x14ac:dyDescent="0.25">
      <c r="A1106" cm="1">
        <f t="array" ref="A1106">INDEX('Portfolio Weights Returns'!$B$9:$BJ$69,
INT((ROW(A1105)-1)/COLUMNS('Portfolio Weights Returns'!$B$9:$BJ$69))+1,MOD(ROW(A1105)-1,COLUMNS('Portfolio Weights Returns'!$B$9:$BJ$69))+1)</f>
        <v>-1.035952519603123E-3</v>
      </c>
      <c r="B1106" cm="1">
        <f t="array" ref="B1106">INDEX('Portfolio Weights Std'!$B$9:$BJ$69,INT((ROW(A1105)-1)/COLUMNS('Portfolio Weights Std'!$B$9:$BJ$69))+1,MOD(ROW(A1105)-1,COLUMNS('Portfolio Weights Std'!$B$9:$BJ$69))+1)</f>
        <v>2.4937190426748471E-2</v>
      </c>
    </row>
    <row r="1107" spans="1:2" x14ac:dyDescent="0.25">
      <c r="A1107" cm="1">
        <f t="array" ref="A1107">INDEX('Portfolio Weights Returns'!$B$9:$BJ$69,
INT((ROW(A1106)-1)/COLUMNS('Portfolio Weights Returns'!$B$9:$BJ$69))+1,MOD(ROW(A1106)-1,COLUMNS('Portfolio Weights Returns'!$B$9:$BJ$69))+1)</f>
        <v>-1.0291713456364443E-3</v>
      </c>
      <c r="B1107" cm="1">
        <f t="array" ref="B1107">INDEX('Portfolio Weights Std'!$B$9:$BJ$69,INT((ROW(A1106)-1)/COLUMNS('Portfolio Weights Std'!$B$9:$BJ$69))+1,MOD(ROW(A1106)-1,COLUMNS('Portfolio Weights Std'!$B$9:$BJ$69))+1)</f>
        <v>2.4763536245675098E-2</v>
      </c>
    </row>
    <row r="1108" spans="1:2" x14ac:dyDescent="0.25">
      <c r="A1108" cm="1">
        <f t="array" ref="A1108">INDEX('Portfolio Weights Returns'!$B$9:$BJ$69,
INT((ROW(A1107)-1)/COLUMNS('Portfolio Weights Returns'!$B$9:$BJ$69))+1,MOD(ROW(A1107)-1,COLUMNS('Portfolio Weights Returns'!$B$9:$BJ$69))+1)</f>
        <v>-1.022390171669765E-3</v>
      </c>
      <c r="B1108" cm="1">
        <f t="array" ref="B1108">INDEX('Portfolio Weights Std'!$B$9:$BJ$69,INT((ROW(A1107)-1)/COLUMNS('Portfolio Weights Std'!$B$9:$BJ$69))+1,MOD(ROW(A1107)-1,COLUMNS('Portfolio Weights Std'!$B$9:$BJ$69))+1)</f>
        <v>2.4590538714280713E-2</v>
      </c>
    </row>
    <row r="1109" spans="1:2" x14ac:dyDescent="0.25">
      <c r="A1109" cm="1">
        <f t="array" ref="A1109">INDEX('Portfolio Weights Returns'!$B$9:$BJ$69,
INT((ROW(A1108)-1)/COLUMNS('Portfolio Weights Returns'!$B$9:$BJ$69))+1,MOD(ROW(A1108)-1,COLUMNS('Portfolio Weights Returns'!$B$9:$BJ$69))+1)</f>
        <v>-1.015608997703086E-3</v>
      </c>
      <c r="B1109" cm="1">
        <f t="array" ref="B1109">INDEX('Portfolio Weights Std'!$B$9:$BJ$69,INT((ROW(A1108)-1)/COLUMNS('Portfolio Weights Std'!$B$9:$BJ$69))+1,MOD(ROW(A1108)-1,COLUMNS('Portfolio Weights Std'!$B$9:$BJ$69))+1)</f>
        <v>2.4418211789214602E-2</v>
      </c>
    </row>
    <row r="1110" spans="1:2" x14ac:dyDescent="0.25">
      <c r="A1110" cm="1">
        <f t="array" ref="A1110">INDEX('Portfolio Weights Returns'!$B$9:$BJ$69,
INT((ROW(A1109)-1)/COLUMNS('Portfolio Weights Returns'!$B$9:$BJ$69))+1,MOD(ROW(A1109)-1,COLUMNS('Portfolio Weights Returns'!$B$9:$BJ$69))+1)</f>
        <v>-1.0088278237364067E-3</v>
      </c>
      <c r="B1110" cm="1">
        <f t="array" ref="B1110">INDEX('Portfolio Weights Std'!$B$9:$BJ$69,INT((ROW(A1109)-1)/COLUMNS('Portfolio Weights Std'!$B$9:$BJ$69))+1,MOD(ROW(A1109)-1,COLUMNS('Portfolio Weights Std'!$B$9:$BJ$69))+1)</f>
        <v>2.4246569769022279E-2</v>
      </c>
    </row>
    <row r="1111" spans="1:2" x14ac:dyDescent="0.25">
      <c r="A1111" cm="1">
        <f t="array" ref="A1111">INDEX('Portfolio Weights Returns'!$B$9:$BJ$69,
INT((ROW(A1110)-1)/COLUMNS('Portfolio Weights Returns'!$B$9:$BJ$69))+1,MOD(ROW(A1110)-1,COLUMNS('Portfolio Weights Returns'!$B$9:$BJ$69))+1)</f>
        <v>-1.0020466497697275E-3</v>
      </c>
      <c r="B1111" cm="1">
        <f t="array" ref="B1111">INDEX('Portfolio Weights Std'!$B$9:$BJ$69,INT((ROW(A1110)-1)/COLUMNS('Portfolio Weights Std'!$B$9:$BJ$69))+1,MOD(ROW(A1110)-1,COLUMNS('Portfolio Weights Std'!$B$9:$BJ$69))+1)</f>
        <v>2.4075627302355337E-2</v>
      </c>
    </row>
    <row r="1112" spans="1:2" x14ac:dyDescent="0.25">
      <c r="A1112" cm="1">
        <f t="array" ref="A1112">INDEX('Portfolio Weights Returns'!$B$9:$BJ$69,
INT((ROW(A1111)-1)/COLUMNS('Portfolio Weights Returns'!$B$9:$BJ$69))+1,MOD(ROW(A1111)-1,COLUMNS('Portfolio Weights Returns'!$B$9:$BJ$69))+1)</f>
        <v>-9.9526547580304861E-4</v>
      </c>
      <c r="B1112" cm="1">
        <f t="array" ref="B1112">INDEX('Portfolio Weights Std'!$B$9:$BJ$69,INT((ROW(A1111)-1)/COLUMNS('Portfolio Weights Std'!$B$9:$BJ$69))+1,MOD(ROW(A1111)-1,COLUMNS('Portfolio Weights Std'!$B$9:$BJ$69))+1)</f>
        <v>2.3905399396297392E-2</v>
      </c>
    </row>
    <row r="1113" spans="1:2" x14ac:dyDescent="0.25">
      <c r="A1113" cm="1">
        <f t="array" ref="A1113">INDEX('Portfolio Weights Returns'!$B$9:$BJ$69,
INT((ROW(A1112)-1)/COLUMNS('Portfolio Weights Returns'!$B$9:$BJ$69))+1,MOD(ROW(A1112)-1,COLUMNS('Portfolio Weights Returns'!$B$9:$BJ$69))+1)</f>
        <v>-9.8848430183636946E-4</v>
      </c>
      <c r="B1113" cm="1">
        <f t="array" ref="B1113">INDEX('Portfolio Weights Std'!$B$9:$BJ$69,INT((ROW(A1112)-1)/COLUMNS('Portfolio Weights Std'!$B$9:$BJ$69))+1,MOD(ROW(A1112)-1,COLUMNS('Portfolio Weights Std'!$B$9:$BJ$69))+1)</f>
        <v>2.3735901424799519E-2</v>
      </c>
    </row>
    <row r="1114" spans="1:2" x14ac:dyDescent="0.25">
      <c r="A1114" cm="1">
        <f t="array" ref="A1114">INDEX('Portfolio Weights Returns'!$B$9:$BJ$69,
INT((ROW(A1113)-1)/COLUMNS('Portfolio Weights Returns'!$B$9:$BJ$69))+1,MOD(ROW(A1113)-1,COLUMNS('Portfolio Weights Returns'!$B$9:$BJ$69))+1)</f>
        <v>-9.817031278696901E-4</v>
      </c>
      <c r="B1114" cm="1">
        <f t="array" ref="B1114">INDEX('Portfolio Weights Std'!$B$9:$BJ$69,INT((ROW(A1113)-1)/COLUMNS('Portfolio Weights Std'!$B$9:$BJ$69))+1,MOD(ROW(A1113)-1,COLUMNS('Portfolio Weights Std'!$B$9:$BJ$69))+1)</f>
        <v>2.3567149137217035E-2</v>
      </c>
    </row>
    <row r="1115" spans="1:2" x14ac:dyDescent="0.25">
      <c r="A1115" cm="1">
        <f t="array" ref="A1115">INDEX('Portfolio Weights Returns'!$B$9:$BJ$69,
INT((ROW(A1114)-1)/COLUMNS('Portfolio Weights Returns'!$B$9:$BJ$69))+1,MOD(ROW(A1114)-1,COLUMNS('Portfolio Weights Returns'!$B$9:$BJ$69))+1)</f>
        <v>-9.7492195390301128E-4</v>
      </c>
      <c r="B1115" cm="1">
        <f t="array" ref="B1115">INDEX('Portfolio Weights Std'!$B$9:$BJ$69,INT((ROW(A1114)-1)/COLUMNS('Portfolio Weights Std'!$B$9:$BJ$69))+1,MOD(ROW(A1114)-1,COLUMNS('Portfolio Weights Std'!$B$9:$BJ$69))+1)</f>
        <v>2.3399158666938983E-2</v>
      </c>
    </row>
    <row r="1116" spans="1:2" x14ac:dyDescent="0.25">
      <c r="A1116" cm="1">
        <f t="array" ref="A1116">INDEX('Portfolio Weights Returns'!$B$9:$BJ$69,
INT((ROW(A1115)-1)/COLUMNS('Portfolio Weights Returns'!$B$9:$BJ$69))+1,MOD(ROW(A1115)-1,COLUMNS('Portfolio Weights Returns'!$B$9:$BJ$69))+1)</f>
        <v>-9.6814077993633235E-4</v>
      </c>
      <c r="B1116" cm="1">
        <f t="array" ref="B1116">INDEX('Portfolio Weights Std'!$B$9:$BJ$69,INT((ROW(A1115)-1)/COLUMNS('Portfolio Weights Std'!$B$9:$BJ$69))+1,MOD(ROW(A1115)-1,COLUMNS('Portfolio Weights Std'!$B$9:$BJ$69))+1)</f>
        <v>2.3231946540100076E-2</v>
      </c>
    </row>
    <row r="1117" spans="1:2" x14ac:dyDescent="0.25">
      <c r="A1117" cm="1">
        <f t="array" ref="A1117">INDEX('Portfolio Weights Returns'!$B$9:$BJ$69,
INT((ROW(A1116)-1)/COLUMNS('Portfolio Weights Returns'!$B$9:$BJ$69))+1,MOD(ROW(A1116)-1,COLUMNS('Portfolio Weights Returns'!$B$9:$BJ$69))+1)</f>
        <v>-9.613596059696531E-4</v>
      </c>
      <c r="B1117" cm="1">
        <f t="array" ref="B1117">INDEX('Portfolio Weights Std'!$B$9:$BJ$69,INT((ROW(A1116)-1)/COLUMNS('Portfolio Weights Std'!$B$9:$BJ$69))+1,MOD(ROW(A1116)-1,COLUMNS('Portfolio Weights Std'!$B$9:$BJ$69))+1)</f>
        <v>2.306552968436397E-2</v>
      </c>
    </row>
    <row r="1118" spans="1:2" x14ac:dyDescent="0.25">
      <c r="A1118" cm="1">
        <f t="array" ref="A1118">INDEX('Portfolio Weights Returns'!$B$9:$BJ$69,
INT((ROW(A1117)-1)/COLUMNS('Portfolio Weights Returns'!$B$9:$BJ$69))+1,MOD(ROW(A1117)-1,COLUMNS('Portfolio Weights Returns'!$B$9:$BJ$69))+1)</f>
        <v>-9.5457843200297417E-4</v>
      </c>
      <c r="B1118" cm="1">
        <f t="array" ref="B1118">INDEX('Portfolio Weights Std'!$B$9:$BJ$69,INT((ROW(A1117)-1)/COLUMNS('Portfolio Weights Std'!$B$9:$BJ$69))+1,MOD(ROW(A1117)-1,COLUMNS('Portfolio Weights Std'!$B$9:$BJ$69))+1)</f>
        <v>2.2899925437765277E-2</v>
      </c>
    </row>
    <row r="1119" spans="1:2" x14ac:dyDescent="0.25">
      <c r="A1119" cm="1">
        <f t="array" ref="A1119">INDEX('Portfolio Weights Returns'!$B$9:$BJ$69,
INT((ROW(A1118)-1)/COLUMNS('Portfolio Weights Returns'!$B$9:$BJ$69))+1,MOD(ROW(A1118)-1,COLUMNS('Portfolio Weights Returns'!$B$9:$BJ$69))+1)</f>
        <v>-9.4779725803629492E-4</v>
      </c>
      <c r="B1119" cm="1">
        <f t="array" ref="B1119">INDEX('Portfolio Weights Std'!$B$9:$BJ$69,INT((ROW(A1118)-1)/COLUMNS('Portfolio Weights Std'!$B$9:$BJ$69))+1,MOD(ROW(A1118)-1,COLUMNS('Portfolio Weights Std'!$B$9:$BJ$69))+1)</f>
        <v>2.2735151557596197E-2</v>
      </c>
    </row>
    <row r="1120" spans="1:2" x14ac:dyDescent="0.25">
      <c r="A1120" cm="1">
        <f t="array" ref="A1120">INDEX('Portfolio Weights Returns'!$B$9:$BJ$69,
INT((ROW(A1119)-1)/COLUMNS('Portfolio Weights Returns'!$B$9:$BJ$69))+1,MOD(ROW(A1119)-1,COLUMNS('Portfolio Weights Returns'!$B$9:$BJ$69))+1)</f>
        <v>-9.4101608406961588E-4</v>
      </c>
      <c r="B1120" cm="1">
        <f t="array" ref="B1120">INDEX('Portfolio Weights Std'!$B$9:$BJ$69,INT((ROW(A1119)-1)/COLUMNS('Portfolio Weights Std'!$B$9:$BJ$69))+1,MOD(ROW(A1119)-1,COLUMNS('Portfolio Weights Std'!$B$9:$BJ$69))+1)</f>
        <v>2.2571226229322471E-2</v>
      </c>
    </row>
    <row r="1121" spans="1:2" x14ac:dyDescent="0.25">
      <c r="A1121" cm="1">
        <f t="array" ref="A1121">INDEX('Portfolio Weights Returns'!$B$9:$BJ$69,
INT((ROW(A1120)-1)/COLUMNS('Portfolio Weights Returns'!$B$9:$BJ$69))+1,MOD(ROW(A1120)-1,COLUMNS('Portfolio Weights Returns'!$B$9:$BJ$69))+1)</f>
        <v>-9.3423491010293652E-4</v>
      </c>
      <c r="B1121" cm="1">
        <f t="array" ref="B1121">INDEX('Portfolio Weights Std'!$B$9:$BJ$69,INT((ROW(A1120)-1)/COLUMNS('Portfolio Weights Std'!$B$9:$BJ$69))+1,MOD(ROW(A1120)-1,COLUMNS('Portfolio Weights Std'!$B$9:$BJ$69))+1)</f>
        <v>2.2408168075511353E-2</v>
      </c>
    </row>
    <row r="1122" spans="1:2" x14ac:dyDescent="0.25">
      <c r="A1122" cm="1">
        <f t="array" ref="A1122">INDEX('Portfolio Weights Returns'!$B$9:$BJ$69,
INT((ROW(A1121)-1)/COLUMNS('Portfolio Weights Returns'!$B$9:$BJ$69))+1,MOD(ROW(A1121)-1,COLUMNS('Portfolio Weights Returns'!$B$9:$BJ$69))+1)</f>
        <v>-9.274537361362577E-4</v>
      </c>
      <c r="B1122" cm="1">
        <f t="array" ref="B1122">INDEX('Portfolio Weights Std'!$B$9:$BJ$69,INT((ROW(A1121)-1)/COLUMNS('Portfolio Weights Std'!$B$9:$BJ$69))+1,MOD(ROW(A1121)-1,COLUMNS('Portfolio Weights Std'!$B$9:$BJ$69))+1)</f>
        <v>2.2245996164752965E-2</v>
      </c>
    </row>
    <row r="1123" spans="1:2" x14ac:dyDescent="0.25">
      <c r="A1123" cm="1">
        <f t="array" ref="A1123">INDEX('Portfolio Weights Returns'!$B$9:$BJ$69,
INT((ROW(A1122)-1)/COLUMNS('Portfolio Weights Returns'!$B$9:$BJ$69))+1,MOD(ROW(A1122)-1,COLUMNS('Portfolio Weights Returns'!$B$9:$BJ$69))+1)</f>
        <v>-9.2067256216957834E-4</v>
      </c>
      <c r="B1123" cm="1">
        <f t="array" ref="B1123">INDEX('Portfolio Weights Std'!$B$9:$BJ$69,INT((ROW(A1122)-1)/COLUMNS('Portfolio Weights Std'!$B$9:$BJ$69))+1,MOD(ROW(A1122)-1,COLUMNS('Portfolio Weights Std'!$B$9:$BJ$69))+1)</f>
        <v>2.2084730020554177E-2</v>
      </c>
    </row>
    <row r="1124" spans="1:2" x14ac:dyDescent="0.25">
      <c r="A1124" cm="1">
        <f t="array" ref="A1124">INDEX('Portfolio Weights Returns'!$B$9:$BJ$69,
INT((ROW(A1123)-1)/COLUMNS('Portfolio Weights Returns'!$B$9:$BJ$69))+1,MOD(ROW(A1123)-1,COLUMNS('Portfolio Weights Returns'!$B$9:$BJ$69))+1)</f>
        <v>-9.1389138820289952E-4</v>
      </c>
      <c r="B1124" cm="1">
        <f t="array" ref="B1124">INDEX('Portfolio Weights Std'!$B$9:$BJ$69,INT((ROW(A1123)-1)/COLUMNS('Portfolio Weights Std'!$B$9:$BJ$69))+1,MOD(ROW(A1123)-1,COLUMNS('Portfolio Weights Std'!$B$9:$BJ$69))+1)</f>
        <v>2.1924389630182554E-2</v>
      </c>
    </row>
    <row r="1125" spans="1:2" x14ac:dyDescent="0.25">
      <c r="A1125" cm="1">
        <f t="array" ref="A1125">INDEX('Portfolio Weights Returns'!$B$9:$BJ$69,
INT((ROW(A1124)-1)/COLUMNS('Portfolio Weights Returns'!$B$9:$BJ$69))+1,MOD(ROW(A1124)-1,COLUMNS('Portfolio Weights Returns'!$B$9:$BJ$69))+1)</f>
        <v>-9.0711021423622016E-4</v>
      </c>
      <c r="B1125" cm="1">
        <f t="array" ref="B1125">INDEX('Portfolio Weights Std'!$B$9:$BJ$69,INT((ROW(A1124)-1)/COLUMNS('Portfolio Weights Std'!$B$9:$BJ$69))+1,MOD(ROW(A1124)-1,COLUMNS('Portfolio Weights Std'!$B$9:$BJ$69))+1)</f>
        <v>2.1764995453435576E-2</v>
      </c>
    </row>
    <row r="1126" spans="1:2" x14ac:dyDescent="0.25">
      <c r="A1126" cm="1">
        <f t="array" ref="A1126">INDEX('Portfolio Weights Returns'!$B$9:$BJ$69,
INT((ROW(A1125)-1)/COLUMNS('Portfolio Weights Returns'!$B$9:$BJ$69))+1,MOD(ROW(A1125)-1,COLUMNS('Portfolio Weights Returns'!$B$9:$BJ$69))+1)</f>
        <v>-9.0032904026954123E-4</v>
      </c>
      <c r="B1126" cm="1">
        <f t="array" ref="B1126">INDEX('Portfolio Weights Std'!$B$9:$BJ$69,INT((ROW(A1125)-1)/COLUMNS('Portfolio Weights Std'!$B$9:$BJ$69))+1,MOD(ROW(A1125)-1,COLUMNS('Portfolio Weights Std'!$B$9:$BJ$69))+1)</f>
        <v>2.1606568431308405E-2</v>
      </c>
    </row>
    <row r="1127" spans="1:2" x14ac:dyDescent="0.25">
      <c r="A1127" cm="1">
        <f t="array" ref="A1127">INDEX('Portfolio Weights Returns'!$B$9:$BJ$69,
INT((ROW(A1126)-1)/COLUMNS('Portfolio Weights Returns'!$B$9:$BJ$69))+1,MOD(ROW(A1126)-1,COLUMNS('Portfolio Weights Returns'!$B$9:$BJ$69))+1)</f>
        <v>-8.9354786630286198E-4</v>
      </c>
      <c r="B1127" cm="1">
        <f t="array" ref="B1127">INDEX('Portfolio Weights Std'!$B$9:$BJ$69,INT((ROW(A1126)-1)/COLUMNS('Portfolio Weights Std'!$B$9:$BJ$69))+1,MOD(ROW(A1126)-1,COLUMNS('Portfolio Weights Std'!$B$9:$BJ$69))+1)</f>
        <v>2.1449129994530775E-2</v>
      </c>
    </row>
    <row r="1128" spans="1:2" x14ac:dyDescent="0.25">
      <c r="A1128" cm="1">
        <f t="array" ref="A1128">INDEX('Portfolio Weights Returns'!$B$9:$BJ$69,
INT((ROW(A1127)-1)/COLUMNS('Portfolio Weights Returns'!$B$9:$BJ$69))+1,MOD(ROW(A1127)-1,COLUMNS('Portfolio Weights Returns'!$B$9:$BJ$69))+1)</f>
        <v>-8.8676669233618305E-4</v>
      </c>
      <c r="B1128" cm="1">
        <f t="array" ref="B1128">INDEX('Portfolio Weights Std'!$B$9:$BJ$69,INT((ROW(A1127)-1)/COLUMNS('Portfolio Weights Std'!$B$9:$BJ$69))+1,MOD(ROW(A1127)-1,COLUMNS('Portfolio Weights Std'!$B$9:$BJ$69))+1)</f>
        <v>2.1292702071941762E-2</v>
      </c>
    </row>
    <row r="1129" spans="1:2" x14ac:dyDescent="0.25">
      <c r="A1129" cm="1">
        <f t="array" ref="A1129">INDEX('Portfolio Weights Returns'!$B$9:$BJ$69,
INT((ROW(A1128)-1)/COLUMNS('Portfolio Weights Returns'!$B$9:$BJ$69))+1,MOD(ROW(A1128)-1,COLUMNS('Portfolio Weights Returns'!$B$9:$BJ$69))+1)</f>
        <v>-8.7998551836950369E-4</v>
      </c>
      <c r="B1129" cm="1">
        <f t="array" ref="B1129">INDEX('Portfolio Weights Std'!$B$9:$BJ$69,INT((ROW(A1128)-1)/COLUMNS('Portfolio Weights Std'!$B$9:$BJ$69))+1,MOD(ROW(A1128)-1,COLUMNS('Portfolio Weights Std'!$B$9:$BJ$69))+1)</f>
        <v>2.1137307098667794E-2</v>
      </c>
    </row>
    <row r="1130" spans="1:2" x14ac:dyDescent="0.25">
      <c r="A1130" cm="1">
        <f t="array" ref="A1130">INDEX('Portfolio Weights Returns'!$B$9:$BJ$69,
INT((ROW(A1129)-1)/COLUMNS('Portfolio Weights Returns'!$B$9:$BJ$69))+1,MOD(ROW(A1129)-1,COLUMNS('Portfolio Weights Returns'!$B$9:$BJ$69))+1)</f>
        <v>-8.7320434440282476E-4</v>
      </c>
      <c r="B1130" cm="1">
        <f t="array" ref="B1130">INDEX('Portfolio Weights Std'!$B$9:$BJ$69,INT((ROW(A1129)-1)/COLUMNS('Portfolio Weights Std'!$B$9:$BJ$69))+1,MOD(ROW(A1129)-1,COLUMNS('Portfolio Weights Std'!$B$9:$BJ$69))+1)</f>
        <v>2.0982968024067447E-2</v>
      </c>
    </row>
    <row r="1131" spans="1:2" x14ac:dyDescent="0.25">
      <c r="A1131" cm="1">
        <f t="array" ref="A1131">INDEX('Portfolio Weights Returns'!$B$9:$BJ$69,
INT((ROW(A1130)-1)/COLUMNS('Portfolio Weights Returns'!$B$9:$BJ$69))+1,MOD(ROW(A1130)-1,COLUMNS('Portfolio Weights Returns'!$B$9:$BJ$69))+1)</f>
        <v>-8.6642317043614551E-4</v>
      </c>
      <c r="B1131" cm="1">
        <f t="array" ref="B1131">INDEX('Portfolio Weights Std'!$B$9:$BJ$69,INT((ROW(A1130)-1)/COLUMNS('Portfolio Weights Std'!$B$9:$BJ$69))+1,MOD(ROW(A1130)-1,COLUMNS('Portfolio Weights Std'!$B$9:$BJ$69))+1)</f>
        <v>2.0829708319403027E-2</v>
      </c>
    </row>
    <row r="1132" spans="1:2" x14ac:dyDescent="0.25">
      <c r="A1132" cm="1">
        <f t="array" ref="A1132">INDEX('Portfolio Weights Returns'!$B$9:$BJ$69,
INT((ROW(A1131)-1)/COLUMNS('Portfolio Weights Returns'!$B$9:$BJ$69))+1,MOD(ROW(A1131)-1,COLUMNS('Portfolio Weights Returns'!$B$9:$BJ$69))+1)</f>
        <v>-8.5964199646946648E-4</v>
      </c>
      <c r="B1132" cm="1">
        <f t="array" ref="B1132">INDEX('Portfolio Weights Std'!$B$9:$BJ$69,INT((ROW(A1131)-1)/COLUMNS('Portfolio Weights Std'!$B$9:$BJ$69))+1,MOD(ROW(A1131)-1,COLUMNS('Portfolio Weights Std'!$B$9:$BJ$69))+1)</f>
        <v>2.067755198519652E-2</v>
      </c>
    </row>
    <row r="1133" spans="1:2" x14ac:dyDescent="0.25">
      <c r="A1133" cm="1">
        <f t="array" ref="A1133">INDEX('Portfolio Weights Returns'!$B$9:$BJ$69,
INT((ROW(A1132)-1)/COLUMNS('Portfolio Weights Returns'!$B$9:$BJ$69))+1,MOD(ROW(A1132)-1,COLUMNS('Portfolio Weights Returns'!$B$9:$BJ$69))+1)</f>
        <v>-8.5286082250278733E-4</v>
      </c>
      <c r="B1133" cm="1">
        <f t="array" ref="B1133">INDEX('Portfolio Weights Std'!$B$9:$BJ$69,INT((ROW(A1132)-1)/COLUMNS('Portfolio Weights Std'!$B$9:$BJ$69))+1,MOD(ROW(A1132)-1,COLUMNS('Portfolio Weights Std'!$B$9:$BJ$69))+1)</f>
        <v>2.0526523558224059E-2</v>
      </c>
    </row>
    <row r="1134" spans="1:2" x14ac:dyDescent="0.25">
      <c r="A1134" cm="1">
        <f t="array" ref="A1134">INDEX('Portfolio Weights Returns'!$B$9:$BJ$69,
INT((ROW(A1133)-1)/COLUMNS('Portfolio Weights Returns'!$B$9:$BJ$69))+1,MOD(ROW(A1133)-1,COLUMNS('Portfolio Weights Returns'!$B$9:$BJ$69))+1)</f>
        <v>-8.460796485361083E-4</v>
      </c>
      <c r="B1134" cm="1">
        <f t="array" ref="B1134">INDEX('Portfolio Weights Std'!$B$9:$BJ$69,INT((ROW(A1133)-1)/COLUMNS('Portfolio Weights Std'!$B$9:$BJ$69))+1,MOD(ROW(A1133)-1,COLUMNS('Portfolio Weights Std'!$B$9:$BJ$69))+1)</f>
        <v>2.037664811810019E-2</v>
      </c>
    </row>
    <row r="1135" spans="1:2" x14ac:dyDescent="0.25">
      <c r="A1135" cm="1">
        <f t="array" ref="A1135">INDEX('Portfolio Weights Returns'!$B$9:$BJ$69,
INT((ROW(A1134)-1)/COLUMNS('Portfolio Weights Returns'!$B$9:$BJ$69))+1,MOD(ROW(A1134)-1,COLUMNS('Portfolio Weights Returns'!$B$9:$BJ$69))+1)</f>
        <v>-8.3929847456942904E-4</v>
      </c>
      <c r="B1135" cm="1">
        <f t="array" ref="B1135">INDEX('Portfolio Weights Std'!$B$9:$BJ$69,INT((ROW(A1134)-1)/COLUMNS('Portfolio Weights Std'!$B$9:$BJ$69))+1,MOD(ROW(A1134)-1,COLUMNS('Portfolio Weights Std'!$B$9:$BJ$69))+1)</f>
        <v>2.0227951293399694E-2</v>
      </c>
    </row>
    <row r="1136" spans="1:2" x14ac:dyDescent="0.25">
      <c r="A1136" cm="1">
        <f t="array" ref="A1136">INDEX('Portfolio Weights Returns'!$B$9:$BJ$69,
INT((ROW(A1135)-1)/COLUMNS('Portfolio Weights Returns'!$B$9:$BJ$69))+1,MOD(ROW(A1135)-1,COLUMNS('Portfolio Weights Returns'!$B$9:$BJ$69))+1)</f>
        <v>-8.3251730060275011E-4</v>
      </c>
      <c r="B1136" cm="1">
        <f t="array" ref="B1136">INDEX('Portfolio Weights Std'!$B$9:$BJ$69,INT((ROW(A1135)-1)/COLUMNS('Portfolio Weights Std'!$B$9:$BJ$69))+1,MOD(ROW(A1135)-1,COLUMNS('Portfolio Weights Std'!$B$9:$BJ$69))+1)</f>
        <v>2.0080459267261572E-2</v>
      </c>
    </row>
    <row r="1137" spans="1:2" x14ac:dyDescent="0.25">
      <c r="A1137" cm="1">
        <f t="array" ref="A1137">INDEX('Portfolio Weights Returns'!$B$9:$BJ$69,
INT((ROW(A1136)-1)/COLUMNS('Portfolio Weights Returns'!$B$9:$BJ$69))+1,MOD(ROW(A1136)-1,COLUMNS('Portfolio Weights Returns'!$B$9:$BJ$69))+1)</f>
        <v>-8.2573612663607086E-4</v>
      </c>
      <c r="B1137" cm="1">
        <f t="array" ref="B1137">INDEX('Portfolio Weights Std'!$B$9:$BJ$69,INT((ROW(A1136)-1)/COLUMNS('Portfolio Weights Std'!$B$9:$BJ$69))+1,MOD(ROW(A1136)-1,COLUMNS('Portfolio Weights Std'!$B$9:$BJ$69))+1)</f>
        <v>1.9934198782416049E-2</v>
      </c>
    </row>
    <row r="1138" spans="1:2" x14ac:dyDescent="0.25">
      <c r="A1138" cm="1">
        <f t="array" ref="A1138">INDEX('Portfolio Weights Returns'!$B$9:$BJ$69,
INT((ROW(A1137)-1)/COLUMNS('Portfolio Weights Returns'!$B$9:$BJ$69))+1,MOD(ROW(A1137)-1,COLUMNS('Portfolio Weights Returns'!$B$9:$BJ$69))+1)</f>
        <v>-8.1895495266939193E-4</v>
      </c>
      <c r="B1138" cm="1">
        <f t="array" ref="B1138">INDEX('Portfolio Weights Std'!$B$9:$BJ$69,INT((ROW(A1137)-1)/COLUMNS('Portfolio Weights Std'!$B$9:$BJ$69))+1,MOD(ROW(A1137)-1,COLUMNS('Portfolio Weights Std'!$B$9:$BJ$69))+1)</f>
        <v>1.9789197145572378E-2</v>
      </c>
    </row>
    <row r="1139" spans="1:2" x14ac:dyDescent="0.25">
      <c r="A1139" cm="1">
        <f t="array" ref="A1139">INDEX('Portfolio Weights Returns'!$B$9:$BJ$69,
INT((ROW(A1138)-1)/COLUMNS('Portfolio Weights Returns'!$B$9:$BJ$69))+1,MOD(ROW(A1138)-1,COLUMNS('Portfolio Weights Returns'!$B$9:$BJ$69))+1)</f>
        <v>-8.1217377870271279E-4</v>
      </c>
      <c r="B1139" cm="1">
        <f t="array" ref="B1139">INDEX('Portfolio Weights Std'!$B$9:$BJ$69,INT((ROW(A1138)-1)/COLUMNS('Portfolio Weights Std'!$B$9:$BJ$69))+1,MOD(ROW(A1138)-1,COLUMNS('Portfolio Weights Std'!$B$9:$BJ$69))+1)</f>
        <v>1.9645482231101078E-2</v>
      </c>
    </row>
    <row r="1140" spans="1:2" x14ac:dyDescent="0.25">
      <c r="A1140" cm="1">
        <f t="array" ref="A1140">INDEX('Portfolio Weights Returns'!$B$9:$BJ$69,
INT((ROW(A1139)-1)/COLUMNS('Portfolio Weights Returns'!$B$9:$BJ$69))+1,MOD(ROW(A1139)-1,COLUMNS('Portfolio Weights Returns'!$B$9:$BJ$69))+1)</f>
        <v>-8.0539260473603365E-4</v>
      </c>
      <c r="B1140" cm="1">
        <f t="array" ref="B1140">INDEX('Portfolio Weights Std'!$B$9:$BJ$69,INT((ROW(A1139)-1)/COLUMNS('Portfolio Weights Std'!$B$9:$BJ$69))+1,MOD(ROW(A1139)-1,COLUMNS('Portfolio Weights Std'!$B$9:$BJ$69))+1)</f>
        <v>1.9503082483941163E-2</v>
      </c>
    </row>
    <row r="1141" spans="1:2" x14ac:dyDescent="0.25">
      <c r="A1141" cm="1">
        <f t="array" ref="A1141">INDEX('Portfolio Weights Returns'!$B$9:$BJ$69,
INT((ROW(A1140)-1)/COLUMNS('Portfolio Weights Returns'!$B$9:$BJ$69))+1,MOD(ROW(A1140)-1,COLUMNS('Portfolio Weights Returns'!$B$9:$BJ$69))+1)</f>
        <v>-7.986114307693545E-4</v>
      </c>
      <c r="B1141" cm="1">
        <f t="array" ref="B1141">INDEX('Portfolio Weights Std'!$B$9:$BJ$69,INT((ROW(A1140)-1)/COLUMNS('Portfolio Weights Std'!$B$9:$BJ$69))+1,MOD(ROW(A1140)-1,COLUMNS('Portfolio Weights Std'!$B$9:$BJ$69))+1)</f>
        <v>1.9362026921658865E-2</v>
      </c>
    </row>
    <row r="1142" spans="1:2" x14ac:dyDescent="0.25">
      <c r="A1142" cm="1">
        <f t="array" ref="A1142">INDEX('Portfolio Weights Returns'!$B$9:$BJ$69,
INT((ROW(A1141)-1)/COLUMNS('Portfolio Weights Returns'!$B$9:$BJ$69))+1,MOD(ROW(A1141)-1,COLUMNS('Portfolio Weights Returns'!$B$9:$BJ$69))+1)</f>
        <v>-7.9183025680267546E-4</v>
      </c>
      <c r="B1142" cm="1">
        <f t="array" ref="B1142">INDEX('Portfolio Weights Std'!$B$9:$BJ$69,INT((ROW(A1141)-1)/COLUMNS('Portfolio Weights Std'!$B$9:$BJ$69))+1,MOD(ROW(A1141)-1,COLUMNS('Portfolio Weights Std'!$B$9:$BJ$69))+1)</f>
        <v>1.9222345135581111E-2</v>
      </c>
    </row>
    <row r="1143" spans="1:2" x14ac:dyDescent="0.25">
      <c r="A1143" cm="1">
        <f t="array" ref="A1143">INDEX('Portfolio Weights Returns'!$B$9:$BJ$69,
INT((ROW(A1142)-1)/COLUMNS('Portfolio Weights Returns'!$B$9:$BJ$69))+1,MOD(ROW(A1142)-1,COLUMNS('Portfolio Weights Returns'!$B$9:$BJ$69))+1)</f>
        <v>-7.8504908283599632E-4</v>
      </c>
      <c r="B1143" cm="1">
        <f t="array" ref="B1143">INDEX('Portfolio Weights Std'!$B$9:$BJ$69,INT((ROW(A1142)-1)/COLUMNS('Portfolio Weights Std'!$B$9:$BJ$69))+1,MOD(ROW(A1142)-1,COLUMNS('Portfolio Weights Std'!$B$9:$BJ$69))+1)</f>
        <v>1.9084067290923098E-2</v>
      </c>
    </row>
    <row r="1144" spans="1:2" x14ac:dyDescent="0.25">
      <c r="A1144" cm="1">
        <f t="array" ref="A1144">INDEX('Portfolio Weights Returns'!$B$9:$BJ$69,
INT((ROW(A1143)-1)/COLUMNS('Portfolio Weights Returns'!$B$9:$BJ$69))+1,MOD(ROW(A1143)-1,COLUMNS('Portfolio Weights Returns'!$B$9:$BJ$69))+1)</f>
        <v>-7.7826790886931728E-4</v>
      </c>
      <c r="B1144" cm="1">
        <f t="array" ref="B1144">INDEX('Portfolio Weights Std'!$B$9:$BJ$69,INT((ROW(A1143)-1)/COLUMNS('Portfolio Weights Std'!$B$9:$BJ$69))+1,MOD(ROW(A1143)-1,COLUMNS('Portfolio Weights Std'!$B$9:$BJ$69))+1)</f>
        <v>1.8947224125826161E-2</v>
      </c>
    </row>
    <row r="1145" spans="1:2" x14ac:dyDescent="0.25">
      <c r="A1145" cm="1">
        <f t="array" ref="A1145">INDEX('Portfolio Weights Returns'!$B$9:$BJ$69,
INT((ROW(A1144)-1)/COLUMNS('Portfolio Weights Returns'!$B$9:$BJ$69))+1,MOD(ROW(A1144)-1,COLUMNS('Portfolio Weights Returns'!$B$9:$BJ$69))+1)</f>
        <v>-7.7148673490263814E-4</v>
      </c>
      <c r="B1145" cm="1">
        <f t="array" ref="B1145">INDEX('Portfolio Weights Std'!$B$9:$BJ$69,INT((ROW(A1144)-1)/COLUMNS('Portfolio Weights Std'!$B$9:$BJ$69))+1,MOD(ROW(A1144)-1,COLUMNS('Portfolio Weights Std'!$B$9:$BJ$69))+1)</f>
        <v>1.8811846949218537E-2</v>
      </c>
    </row>
    <row r="1146" spans="1:2" x14ac:dyDescent="0.25">
      <c r="A1146" cm="1">
        <f t="array" ref="A1146">INDEX('Portfolio Weights Returns'!$B$9:$BJ$69,
INT((ROW(A1145)-1)/COLUMNS('Portfolio Weights Returns'!$B$9:$BJ$69))+1,MOD(ROW(A1145)-1,COLUMNS('Portfolio Weights Returns'!$B$9:$BJ$69))+1)</f>
        <v>-7.64705560935959E-4</v>
      </c>
      <c r="B1146" cm="1">
        <f t="array" ref="B1146">INDEX('Portfolio Weights Std'!$B$9:$BJ$69,INT((ROW(A1145)-1)/COLUMNS('Portfolio Weights Std'!$B$9:$BJ$69))+1,MOD(ROW(A1145)-1,COLUMNS('Portfolio Weights Std'!$B$9:$BJ$69))+1)</f>
        <v>1.8677967637408591E-2</v>
      </c>
    </row>
    <row r="1147" spans="1:2" x14ac:dyDescent="0.25">
      <c r="A1147" cm="1">
        <f t="array" ref="A1147">INDEX('Portfolio Weights Returns'!$B$9:$BJ$69,
INT((ROW(A1146)-1)/COLUMNS('Portfolio Weights Returns'!$B$9:$BJ$69))+1,MOD(ROW(A1146)-1,COLUMNS('Portfolio Weights Returns'!$B$9:$BJ$69))+1)</f>
        <v>-7.5792438696927985E-4</v>
      </c>
      <c r="B1147" cm="1">
        <f t="array" ref="B1147">INDEX('Portfolio Weights Std'!$B$9:$BJ$69,INT((ROW(A1146)-1)/COLUMNS('Portfolio Weights Std'!$B$9:$BJ$69))+1,MOD(ROW(A1146)-1,COLUMNS('Portfolio Weights Std'!$B$9:$BJ$69))+1)</f>
        <v>1.8545618629316966E-2</v>
      </c>
    </row>
    <row r="1148" spans="1:2" x14ac:dyDescent="0.25">
      <c r="A1148" cm="1">
        <f t="array" ref="A1148">INDEX('Portfolio Weights Returns'!$B$9:$BJ$69,
INT((ROW(A1147)-1)/COLUMNS('Portfolio Weights Returns'!$B$9:$BJ$69))+1,MOD(ROW(A1147)-1,COLUMNS('Portfolio Weights Returns'!$B$9:$BJ$69))+1)</f>
        <v>-7.5114321300260092E-4</v>
      </c>
      <c r="B1148" cm="1">
        <f t="array" ref="B1148">INDEX('Portfolio Weights Std'!$B$9:$BJ$69,INT((ROW(A1147)-1)/COLUMNS('Portfolio Weights Std'!$B$9:$BJ$69))+1,MOD(ROW(A1147)-1,COLUMNS('Portfolio Weights Std'!$B$9:$BJ$69))+1)</f>
        <v>1.8414832920251551E-2</v>
      </c>
    </row>
    <row r="1149" spans="1:2" x14ac:dyDescent="0.25">
      <c r="A1149" cm="1">
        <f t="array" ref="A1149">INDEX('Portfolio Weights Returns'!$B$9:$BJ$69,
INT((ROW(A1148)-1)/COLUMNS('Portfolio Weights Returns'!$B$9:$BJ$69))+1,MOD(ROW(A1148)-1,COLUMNS('Portfolio Weights Returns'!$B$9:$BJ$69))+1)</f>
        <v>-7.4436203903592178E-4</v>
      </c>
      <c r="B1149" cm="1">
        <f t="array" ref="B1149">INDEX('Portfolio Weights Std'!$B$9:$BJ$69,INT((ROW(A1148)-1)/COLUMNS('Portfolio Weights Std'!$B$9:$BJ$69))+1,MOD(ROW(A1148)-1,COLUMNS('Portfolio Weights Std'!$B$9:$BJ$69))+1)</f>
        <v>1.8285644054126665E-2</v>
      </c>
    </row>
    <row r="1150" spans="1:2" x14ac:dyDescent="0.25">
      <c r="A1150" cm="1">
        <f t="array" ref="A1150">INDEX('Portfolio Weights Returns'!$B$9:$BJ$69,
INT((ROW(A1149)-1)/COLUMNS('Portfolio Weights Returns'!$B$9:$BJ$69))+1,MOD(ROW(A1149)-1,COLUMNS('Portfolio Weights Returns'!$B$9:$BJ$69))+1)</f>
        <v>-7.3758086506924263E-4</v>
      </c>
      <c r="B1150" cm="1">
        <f t="array" ref="B1150">INDEX('Portfolio Weights Std'!$B$9:$BJ$69,INT((ROW(A1149)-1)/COLUMNS('Portfolio Weights Std'!$B$9:$BJ$69))+1,MOD(ROW(A1149)-1,COLUMNS('Portfolio Weights Std'!$B$9:$BJ$69))+1)</f>
        <v>1.8158086114025935E-2</v>
      </c>
    </row>
    <row r="1151" spans="1:2" x14ac:dyDescent="0.25">
      <c r="A1151" cm="1">
        <f t="array" ref="A1151">INDEX('Portfolio Weights Returns'!$B$9:$BJ$69,
INT((ROW(A1150)-1)/COLUMNS('Portfolio Weights Returns'!$B$9:$BJ$69))+1,MOD(ROW(A1150)-1,COLUMNS('Portfolio Weights Returns'!$B$9:$BJ$69))+1)</f>
        <v>-7.307996911025636E-4</v>
      </c>
      <c r="B1151" cm="1">
        <f t="array" ref="B1151">INDEX('Portfolio Weights Std'!$B$9:$BJ$69,INT((ROW(A1150)-1)/COLUMNS('Portfolio Weights Std'!$B$9:$BJ$69))+1,MOD(ROW(A1150)-1,COLUMNS('Portfolio Weights Std'!$B$9:$BJ$69))+1)</f>
        <v>1.8032193711006738E-2</v>
      </c>
    </row>
    <row r="1152" spans="1:2" x14ac:dyDescent="0.25">
      <c r="A1152" cm="1">
        <f t="array" ref="A1152">INDEX('Portfolio Weights Returns'!$B$9:$BJ$69,
INT((ROW(A1151)-1)/COLUMNS('Portfolio Weights Returns'!$B$9:$BJ$69))+1,MOD(ROW(A1151)-1,COLUMNS('Portfolio Weights Returns'!$B$9:$BJ$69))+1)</f>
        <v>-7.2401851713588435E-4</v>
      </c>
      <c r="B1152" cm="1">
        <f t="array" ref="B1152">INDEX('Portfolio Weights Std'!$B$9:$BJ$69,INT((ROW(A1151)-1)/COLUMNS('Portfolio Weights Std'!$B$9:$BJ$69))+1,MOD(ROW(A1151)-1,COLUMNS('Portfolio Weights Std'!$B$9:$BJ$69))+1)</f>
        <v>1.790800197104318E-2</v>
      </c>
    </row>
    <row r="1153" spans="1:2" x14ac:dyDescent="0.25">
      <c r="A1153" cm="1">
        <f t="array" ref="A1153">INDEX('Portfolio Weights Returns'!$B$9:$BJ$69,
INT((ROW(A1152)-1)/COLUMNS('Portfolio Weights Returns'!$B$9:$BJ$69))+1,MOD(ROW(A1152)-1,COLUMNS('Portfolio Weights Returns'!$B$9:$BJ$69))+1)</f>
        <v>-7.1723734316920531E-4</v>
      </c>
      <c r="B1153" cm="1">
        <f t="array" ref="B1153">INDEX('Portfolio Weights Std'!$B$9:$BJ$69,INT((ROW(A1152)-1)/COLUMNS('Portfolio Weights Std'!$B$9:$BJ$69))+1,MOD(ROW(A1152)-1,COLUMNS('Portfolio Weights Std'!$B$9:$BJ$69))+1)</f>
        <v>1.7785546520004039E-2</v>
      </c>
    </row>
    <row r="1154" spans="1:2" x14ac:dyDescent="0.25">
      <c r="A1154" cm="1">
        <f t="array" ref="A1154">INDEX('Portfolio Weights Returns'!$B$9:$BJ$69,
INT((ROW(A1153)-1)/COLUMNS('Portfolio Weights Returns'!$B$9:$BJ$69))+1,MOD(ROW(A1153)-1,COLUMNS('Portfolio Weights Returns'!$B$9:$BJ$69))+1)</f>
        <v>-7.1045616920252617E-4</v>
      </c>
      <c r="B1154" cm="1">
        <f t="array" ref="B1154">INDEX('Portfolio Weights Std'!$B$9:$BJ$69,INT((ROW(A1153)-1)/COLUMNS('Portfolio Weights Std'!$B$9:$BJ$69))+1,MOD(ROW(A1153)-1,COLUMNS('Portfolio Weights Std'!$B$9:$BJ$69))+1)</f>
        <v>1.7664863466562514E-2</v>
      </c>
    </row>
    <row r="1155" spans="1:2" x14ac:dyDescent="0.25">
      <c r="A1155" cm="1">
        <f t="array" ref="A1155">INDEX('Portfolio Weights Returns'!$B$9:$BJ$69,
INT((ROW(A1154)-1)/COLUMNS('Portfolio Weights Returns'!$B$9:$BJ$69))+1,MOD(ROW(A1154)-1,COLUMNS('Portfolio Weights Returns'!$B$9:$BJ$69))+1)</f>
        <v>-7.0367499523584713E-4</v>
      </c>
      <c r="B1155" cm="1">
        <f t="array" ref="B1155">INDEX('Portfolio Weights Std'!$B$9:$BJ$69,INT((ROW(A1154)-1)/COLUMNS('Portfolio Weights Std'!$B$9:$BJ$69))+1,MOD(ROW(A1154)-1,COLUMNS('Portfolio Weights Std'!$B$9:$BJ$69))+1)</f>
        <v>1.7545989382935587E-2</v>
      </c>
    </row>
    <row r="1156" spans="1:2" x14ac:dyDescent="0.25">
      <c r="A1156" cm="1">
        <f t="array" ref="A1156">INDEX('Portfolio Weights Returns'!$B$9:$BJ$69,
INT((ROW(A1155)-1)/COLUMNS('Portfolio Weights Returns'!$B$9:$BJ$69))+1,MOD(ROW(A1155)-1,COLUMNS('Portfolio Weights Returns'!$B$9:$BJ$69))+1)</f>
        <v>-6.9689382126916798E-4</v>
      </c>
      <c r="B1156" cm="1">
        <f t="array" ref="B1156">INDEX('Portfolio Weights Std'!$B$9:$BJ$69,INT((ROW(A1155)-1)/COLUMNS('Portfolio Weights Std'!$B$9:$BJ$69))+1,MOD(ROW(A1155)-1,COLUMNS('Portfolio Weights Std'!$B$9:$BJ$69))+1)</f>
        <v>1.7428961283352699E-2</v>
      </c>
    </row>
    <row r="1157" spans="1:2" x14ac:dyDescent="0.25">
      <c r="A1157" cm="1">
        <f t="array" ref="A1157">INDEX('Portfolio Weights Returns'!$B$9:$BJ$69,
INT((ROW(A1156)-1)/COLUMNS('Portfolio Weights Returns'!$B$9:$BJ$69))+1,MOD(ROW(A1156)-1,COLUMNS('Portfolio Weights Returns'!$B$9:$BJ$69))+1)</f>
        <v>-6.9011264730248819E-4</v>
      </c>
      <c r="B1157" cm="1">
        <f t="array" ref="B1157">INDEX('Portfolio Weights Std'!$B$9:$BJ$69,INT((ROW(A1156)-1)/COLUMNS('Portfolio Weights Std'!$B$9:$BJ$69))+1,MOD(ROW(A1156)-1,COLUMNS('Portfolio Weights Std'!$B$9:$BJ$69))+1)</f>
        <v>1.7313816600156424E-2</v>
      </c>
    </row>
    <row r="1158" spans="1:2" x14ac:dyDescent="0.25">
      <c r="A1158" cm="1">
        <f t="array" ref="A1158">INDEX('Portfolio Weights Returns'!$B$9:$BJ$69,
INT((ROW(A1157)-1)/COLUMNS('Portfolio Weights Returns'!$B$9:$BJ$69))+1,MOD(ROW(A1157)-1,COLUMNS('Portfolio Weights Returns'!$B$9:$BJ$69))+1)</f>
        <v>-6.8333147333580905E-4</v>
      </c>
      <c r="B1158" cm="1">
        <f t="array" ref="B1158">INDEX('Portfolio Weights Std'!$B$9:$BJ$69,INT((ROW(A1157)-1)/COLUMNS('Portfolio Weights Std'!$B$9:$BJ$69))+1,MOD(ROW(A1157)-1,COLUMNS('Portfolio Weights Std'!$B$9:$BJ$69))+1)</f>
        <v>1.7200593157441497E-2</v>
      </c>
    </row>
    <row r="1159" spans="1:2" x14ac:dyDescent="0.25">
      <c r="A1159" cm="1">
        <f t="array" ref="A1159">INDEX('Portfolio Weights Returns'!$B$9:$BJ$69,
INT((ROW(A1158)-1)/COLUMNS('Portfolio Weights Returns'!$B$9:$BJ$69))+1,MOD(ROW(A1158)-1,COLUMNS('Portfolio Weights Returns'!$B$9:$BJ$69))+1)</f>
        <v>-6.7655029936913012E-4</v>
      </c>
      <c r="B1159" cm="1">
        <f t="array" ref="B1159">INDEX('Portfolio Weights Std'!$B$9:$BJ$69,INT((ROW(A1158)-1)/COLUMNS('Portfolio Weights Std'!$B$9:$BJ$69))+1,MOD(ROW(A1158)-1,COLUMNS('Portfolio Weights Std'!$B$9:$BJ$69))+1)</f>
        <v>1.7089329142143651E-2</v>
      </c>
    </row>
    <row r="1160" spans="1:2" x14ac:dyDescent="0.25">
      <c r="A1160" cm="1">
        <f t="array" ref="A1160">INDEX('Portfolio Weights Returns'!$B$9:$BJ$69,
INT((ROW(A1159)-1)/COLUMNS('Portfolio Weights Returns'!$B$9:$BJ$69))+1,MOD(ROW(A1159)-1,COLUMNS('Portfolio Weights Returns'!$B$9:$BJ$69))+1)</f>
        <v>-6.6976912540245097E-4</v>
      </c>
      <c r="B1160" cm="1">
        <f t="array" ref="B1160">INDEX('Portfolio Weights Std'!$B$9:$BJ$69,INT((ROW(A1159)-1)/COLUMNS('Portfolio Weights Std'!$B$9:$BJ$69))+1,MOD(ROW(A1159)-1,COLUMNS('Portfolio Weights Std'!$B$9:$BJ$69))+1)</f>
        <v>1.6980063072496027E-2</v>
      </c>
    </row>
    <row r="1161" spans="1:2" x14ac:dyDescent="0.25">
      <c r="A1161" cm="1">
        <f t="array" ref="A1161">INDEX('Portfolio Weights Returns'!$B$9:$BJ$69,
INT((ROW(A1160)-1)/COLUMNS('Portfolio Weights Returns'!$B$9:$BJ$69))+1,MOD(ROW(A1160)-1,COLUMNS('Portfolio Weights Returns'!$B$9:$BJ$69))+1)</f>
        <v>-1.0700653555577428E-3</v>
      </c>
      <c r="B1161" cm="1">
        <f t="array" ref="B1161">INDEX('Portfolio Weights Std'!$B$9:$BJ$69,INT((ROW(A1160)-1)/COLUMNS('Portfolio Weights Std'!$B$9:$BJ$69))+1,MOD(ROW(A1160)-1,COLUMNS('Portfolio Weights Std'!$B$9:$BJ$69))+1)</f>
        <v>2.5798261020037769E-2</v>
      </c>
    </row>
    <row r="1162" spans="1:2" x14ac:dyDescent="0.25">
      <c r="A1162" cm="1">
        <f t="array" ref="A1162">INDEX('Portfolio Weights Returns'!$B$9:$BJ$69,
INT((ROW(A1161)-1)/COLUMNS('Portfolio Weights Returns'!$B$9:$BJ$69))+1,MOD(ROW(A1161)-1,COLUMNS('Portfolio Weights Returns'!$B$9:$BJ$69))+1)</f>
        <v>-1.0632841815910636E-3</v>
      </c>
      <c r="B1162" cm="1">
        <f t="array" ref="B1162">INDEX('Portfolio Weights Std'!$B$9:$BJ$69,INT((ROW(A1161)-1)/COLUMNS('Portfolio Weights Std'!$B$9:$BJ$69))+1,MOD(ROW(A1161)-1,COLUMNS('Portfolio Weights Std'!$B$9:$BJ$69))+1)</f>
        <v>2.5621086748913446E-2</v>
      </c>
    </row>
    <row r="1163" spans="1:2" x14ac:dyDescent="0.25">
      <c r="A1163" cm="1">
        <f t="array" ref="A1163">INDEX('Portfolio Weights Returns'!$B$9:$BJ$69,
INT((ROW(A1162)-1)/COLUMNS('Portfolio Weights Returns'!$B$9:$BJ$69))+1,MOD(ROW(A1162)-1,COLUMNS('Portfolio Weights Returns'!$B$9:$BJ$69))+1)</f>
        <v>-1.0565030076243845E-3</v>
      </c>
      <c r="B1163" cm="1">
        <f t="array" ref="B1163">INDEX('Portfolio Weights Std'!$B$9:$BJ$69,INT((ROW(A1162)-1)/COLUMNS('Portfolio Weights Std'!$B$9:$BJ$69))+1,MOD(ROW(A1162)-1,COLUMNS('Portfolio Weights Std'!$B$9:$BJ$69))+1)</f>
        <v>2.5444498552524519E-2</v>
      </c>
    </row>
    <row r="1164" spans="1:2" x14ac:dyDescent="0.25">
      <c r="A1164" cm="1">
        <f t="array" ref="A1164">INDEX('Portfolio Weights Returns'!$B$9:$BJ$69,
INT((ROW(A1163)-1)/COLUMNS('Portfolio Weights Returns'!$B$9:$BJ$69))+1,MOD(ROW(A1163)-1,COLUMNS('Portfolio Weights Returns'!$B$9:$BJ$69))+1)</f>
        <v>-1.0497218336577054E-3</v>
      </c>
      <c r="B1164" cm="1">
        <f t="array" ref="B1164">INDEX('Portfolio Weights Std'!$B$9:$BJ$69,INT((ROW(A1163)-1)/COLUMNS('Portfolio Weights Std'!$B$9:$BJ$69))+1,MOD(ROW(A1163)-1,COLUMNS('Portfolio Weights Std'!$B$9:$BJ$69))+1)</f>
        <v>2.5268508718169786E-2</v>
      </c>
    </row>
    <row r="1165" spans="1:2" x14ac:dyDescent="0.25">
      <c r="A1165" cm="1">
        <f t="array" ref="A1165">INDEX('Portfolio Weights Returns'!$B$9:$BJ$69,
INT((ROW(A1164)-1)/COLUMNS('Portfolio Weights Returns'!$B$9:$BJ$69))+1,MOD(ROW(A1164)-1,COLUMNS('Portfolio Weights Returns'!$B$9:$BJ$69))+1)</f>
        <v>-1.0429406596910264E-3</v>
      </c>
      <c r="B1165" cm="1">
        <f t="array" ref="B1165">INDEX('Portfolio Weights Std'!$B$9:$BJ$69,INT((ROW(A1164)-1)/COLUMNS('Portfolio Weights Std'!$B$9:$BJ$69))+1,MOD(ROW(A1164)-1,COLUMNS('Portfolio Weights Std'!$B$9:$BJ$69))+1)</f>
        <v>2.5093129835629283E-2</v>
      </c>
    </row>
    <row r="1166" spans="1:2" x14ac:dyDescent="0.25">
      <c r="A1166" cm="1">
        <f t="array" ref="A1166">INDEX('Portfolio Weights Returns'!$B$9:$BJ$69,
INT((ROW(A1165)-1)/COLUMNS('Portfolio Weights Returns'!$B$9:$BJ$69))+1,MOD(ROW(A1165)-1,COLUMNS('Portfolio Weights Returns'!$B$9:$BJ$69))+1)</f>
        <v>-1.0361594857243473E-3</v>
      </c>
      <c r="B1166" cm="1">
        <f t="array" ref="B1166">INDEX('Portfolio Weights Std'!$B$9:$BJ$69,INT((ROW(A1165)-1)/COLUMNS('Portfolio Weights Std'!$B$9:$BJ$69))+1,MOD(ROW(A1165)-1,COLUMNS('Portfolio Weights Std'!$B$9:$BJ$69))+1)</f>
        <v>2.4918374804790148E-2</v>
      </c>
    </row>
    <row r="1167" spans="1:2" x14ac:dyDescent="0.25">
      <c r="A1167" cm="1">
        <f t="array" ref="A1167">INDEX('Portfolio Weights Returns'!$B$9:$BJ$69,
INT((ROW(A1166)-1)/COLUMNS('Portfolio Weights Returns'!$B$9:$BJ$69))+1,MOD(ROW(A1166)-1,COLUMNS('Portfolio Weights Returns'!$B$9:$BJ$69))+1)</f>
        <v>-1.0293783117576681E-3</v>
      </c>
      <c r="B1167" cm="1">
        <f t="array" ref="B1167">INDEX('Portfolio Weights Std'!$B$9:$BJ$69,INT((ROW(A1166)-1)/COLUMNS('Portfolio Weights Std'!$B$9:$BJ$69))+1,MOD(ROW(A1166)-1,COLUMNS('Portfolio Weights Std'!$B$9:$BJ$69))+1)</f>
        <v>2.4744256843416784E-2</v>
      </c>
    </row>
    <row r="1168" spans="1:2" x14ac:dyDescent="0.25">
      <c r="A1168" cm="1">
        <f t="array" ref="A1168">INDEX('Portfolio Weights Returns'!$B$9:$BJ$69,
INT((ROW(A1167)-1)/COLUMNS('Portfolio Weights Returns'!$B$9:$BJ$69))+1,MOD(ROW(A1167)-1,COLUMNS('Portfolio Weights Returns'!$B$9:$BJ$69))+1)</f>
        <v>-1.022597137790989E-3</v>
      </c>
      <c r="B1168" cm="1">
        <f t="array" ref="B1168">INDEX('Portfolio Weights Std'!$B$9:$BJ$69,INT((ROW(A1167)-1)/COLUMNS('Portfolio Weights Std'!$B$9:$BJ$69))+1,MOD(ROW(A1167)-1,COLUMNS('Portfolio Weights Std'!$B$9:$BJ$69))+1)</f>
        <v>2.4570789495062671E-2</v>
      </c>
    </row>
    <row r="1169" spans="1:2" x14ac:dyDescent="0.25">
      <c r="A1169" cm="1">
        <f t="array" ref="A1169">INDEX('Portfolio Weights Returns'!$B$9:$BJ$69,
INT((ROW(A1168)-1)/COLUMNS('Portfolio Weights Returns'!$B$9:$BJ$69))+1,MOD(ROW(A1168)-1,COLUMNS('Portfolio Weights Returns'!$B$9:$BJ$69))+1)</f>
        <v>-1.0158159638243101E-3</v>
      </c>
      <c r="B1169" cm="1">
        <f t="array" ref="B1169">INDEX('Portfolio Weights Std'!$B$9:$BJ$69,INT((ROW(A1168)-1)/COLUMNS('Portfolio Weights Std'!$B$9:$BJ$69))+1,MOD(ROW(A1168)-1,COLUMNS('Portfolio Weights Std'!$B$9:$BJ$69))+1)</f>
        <v>2.4397986637120526E-2</v>
      </c>
    </row>
    <row r="1170" spans="1:2" x14ac:dyDescent="0.25">
      <c r="A1170" cm="1">
        <f t="array" ref="A1170">INDEX('Portfolio Weights Returns'!$B$9:$BJ$69,
INT((ROW(A1169)-1)/COLUMNS('Portfolio Weights Returns'!$B$9:$BJ$69))+1,MOD(ROW(A1169)-1,COLUMNS('Portfolio Weights Returns'!$B$9:$BJ$69))+1)</f>
        <v>-1.0090347898576309E-3</v>
      </c>
      <c r="B1170" cm="1">
        <f t="array" ref="B1170">INDEX('Portfolio Weights Std'!$B$9:$BJ$69,INT((ROW(A1169)-1)/COLUMNS('Portfolio Weights Std'!$B$9:$BJ$69))+1,MOD(ROW(A1169)-1,COLUMNS('Portfolio Weights Std'!$B$9:$BJ$69))+1)</f>
        <v>2.4225862489006812E-2</v>
      </c>
    </row>
    <row r="1171" spans="1:2" x14ac:dyDescent="0.25">
      <c r="A1171" cm="1">
        <f t="array" ref="A1171">INDEX('Portfolio Weights Returns'!$B$9:$BJ$69,
INT((ROW(A1170)-1)/COLUMNS('Portfolio Weights Returns'!$B$9:$BJ$69))+1,MOD(ROW(A1170)-1,COLUMNS('Portfolio Weights Returns'!$B$9:$BJ$69))+1)</f>
        <v>-1.0022536158909516E-3</v>
      </c>
      <c r="B1171" cm="1">
        <f t="array" ref="B1171">INDEX('Portfolio Weights Std'!$B$9:$BJ$69,INT((ROW(A1170)-1)/COLUMNS('Portfolio Weights Std'!$B$9:$BJ$69))+1,MOD(ROW(A1170)-1,COLUMNS('Portfolio Weights Std'!$B$9:$BJ$69))+1)</f>
        <v>2.4054431620475863E-2</v>
      </c>
    </row>
    <row r="1172" spans="1:2" x14ac:dyDescent="0.25">
      <c r="A1172" cm="1">
        <f t="array" ref="A1172">INDEX('Portfolio Weights Returns'!$B$9:$BJ$69,
INT((ROW(A1171)-1)/COLUMNS('Portfolio Weights Returns'!$B$9:$BJ$69))+1,MOD(ROW(A1171)-1,COLUMNS('Portfolio Weights Returns'!$B$9:$BJ$69))+1)</f>
        <v>-9.9547244192427242E-4</v>
      </c>
      <c r="B1172" cm="1">
        <f t="array" ref="B1172">INDEX('Portfolio Weights Std'!$B$9:$BJ$69,INT((ROW(A1171)-1)/COLUMNS('Portfolio Weights Std'!$B$9:$BJ$69))+1,MOD(ROW(A1171)-1,COLUMNS('Portfolio Weights Std'!$B$9:$BJ$69))+1)</f>
        <v>2.388370896005804E-2</v>
      </c>
    </row>
    <row r="1173" spans="1:2" x14ac:dyDescent="0.25">
      <c r="A1173" cm="1">
        <f t="array" ref="A1173">INDEX('Portfolio Weights Returns'!$B$9:$BJ$69,
INT((ROW(A1172)-1)/COLUMNS('Portfolio Weights Returns'!$B$9:$BJ$69))+1,MOD(ROW(A1172)-1,COLUMNS('Portfolio Weights Returns'!$B$9:$BJ$69))+1)</f>
        <v>-9.8869126795759327E-4</v>
      </c>
      <c r="B1173" cm="1">
        <f t="array" ref="B1173">INDEX('Portfolio Weights Std'!$B$9:$BJ$69,INT((ROW(A1172)-1)/COLUMNS('Portfolio Weights Std'!$B$9:$BJ$69))+1,MOD(ROW(A1172)-1,COLUMNS('Portfolio Weights Std'!$B$9:$BJ$69))+1)</f>
        <v>2.3713709803615503E-2</v>
      </c>
    </row>
    <row r="1174" spans="1:2" x14ac:dyDescent="0.25">
      <c r="A1174" cm="1">
        <f t="array" ref="A1174">INDEX('Portfolio Weights Returns'!$B$9:$BJ$69,
INT((ROW(A1173)-1)/COLUMNS('Portfolio Weights Returns'!$B$9:$BJ$69))+1,MOD(ROW(A1173)-1,COLUMNS('Portfolio Weights Returns'!$B$9:$BJ$69))+1)</f>
        <v>-9.8191009399091434E-4</v>
      </c>
      <c r="B1174" cm="1">
        <f t="array" ref="B1174">INDEX('Portfolio Weights Std'!$B$9:$BJ$69,INT((ROW(A1173)-1)/COLUMNS('Portfolio Weights Std'!$B$9:$BJ$69))+1,MOD(ROW(A1173)-1,COLUMNS('Portfolio Weights Std'!$B$9:$BJ$69))+1)</f>
        <v>2.3544449823008167E-2</v>
      </c>
    </row>
    <row r="1175" spans="1:2" x14ac:dyDescent="0.25">
      <c r="A1175" cm="1">
        <f t="array" ref="A1175">INDEX('Portfolio Weights Returns'!$B$9:$BJ$69,
INT((ROW(A1174)-1)/COLUMNS('Portfolio Weights Returns'!$B$9:$BJ$69))+1,MOD(ROW(A1174)-1,COLUMNS('Portfolio Weights Returns'!$B$9:$BJ$69))+1)</f>
        <v>-9.751289200242352E-4</v>
      </c>
      <c r="B1175" cm="1">
        <f t="array" ref="B1175">INDEX('Portfolio Weights Std'!$B$9:$BJ$69,INT((ROW(A1174)-1)/COLUMNS('Portfolio Weights Std'!$B$9:$BJ$69))+1,MOD(ROW(A1174)-1,COLUMNS('Portfolio Weights Std'!$B$9:$BJ$69))+1)</f>
        <v>2.3375945074861348E-2</v>
      </c>
    </row>
    <row r="1176" spans="1:2" x14ac:dyDescent="0.25">
      <c r="A1176" cm="1">
        <f t="array" ref="A1176">INDEX('Portfolio Weights Returns'!$B$9:$BJ$69,
INT((ROW(A1175)-1)/COLUMNS('Portfolio Weights Returns'!$B$9:$BJ$69))+1,MOD(ROW(A1175)-1,COLUMNS('Portfolio Weights Returns'!$B$9:$BJ$69))+1)</f>
        <v>-9.6834774605755606E-4</v>
      </c>
      <c r="B1176" cm="1">
        <f t="array" ref="B1176">INDEX('Portfolio Weights Std'!$B$9:$BJ$69,INT((ROW(A1175)-1)/COLUMNS('Portfolio Weights Std'!$B$9:$BJ$69))+1,MOD(ROW(A1175)-1,COLUMNS('Portfolio Weights Std'!$B$9:$BJ$69))+1)</f>
        <v>2.3208212009425588E-2</v>
      </c>
    </row>
    <row r="1177" spans="1:2" x14ac:dyDescent="0.25">
      <c r="A1177" cm="1">
        <f t="array" ref="A1177">INDEX('Portfolio Weights Returns'!$B$9:$BJ$69,
INT((ROW(A1176)-1)/COLUMNS('Portfolio Weights Returns'!$B$9:$BJ$69))+1,MOD(ROW(A1176)-1,COLUMNS('Portfolio Weights Returns'!$B$9:$BJ$69))+1)</f>
        <v>-9.6156657209087724E-4</v>
      </c>
      <c r="B1177" cm="1">
        <f t="array" ref="B1177">INDEX('Portfolio Weights Std'!$B$9:$BJ$69,INT((ROW(A1176)-1)/COLUMNS('Portfolio Weights Std'!$B$9:$BJ$69))+1,MOD(ROW(A1176)-1,COLUMNS('Portfolio Weights Std'!$B$9:$BJ$69))+1)</f>
        <v>2.3041267479517773E-2</v>
      </c>
    </row>
    <row r="1178" spans="1:2" x14ac:dyDescent="0.25">
      <c r="A1178" cm="1">
        <f t="array" ref="A1178">INDEX('Portfolio Weights Returns'!$B$9:$BJ$69,
INT((ROW(A1177)-1)/COLUMNS('Portfolio Weights Returns'!$B$9:$BJ$69))+1,MOD(ROW(A1177)-1,COLUMNS('Portfolio Weights Returns'!$B$9:$BJ$69))+1)</f>
        <v>-9.5478539812419788E-4</v>
      </c>
      <c r="B1178" cm="1">
        <f t="array" ref="B1178">INDEX('Portfolio Weights Std'!$B$9:$BJ$69,INT((ROW(A1177)-1)/COLUMNS('Portfolio Weights Std'!$B$9:$BJ$69))+1,MOD(ROW(A1177)-1,COLUMNS('Portfolio Weights Std'!$B$9:$BJ$69))+1)</f>
        <v>2.2875128749531584E-2</v>
      </c>
    </row>
    <row r="1179" spans="1:2" x14ac:dyDescent="0.25">
      <c r="A1179" cm="1">
        <f t="array" ref="A1179">INDEX('Portfolio Weights Returns'!$B$9:$BJ$69,
INT((ROW(A1178)-1)/COLUMNS('Portfolio Weights Returns'!$B$9:$BJ$69))+1,MOD(ROW(A1178)-1,COLUMNS('Portfolio Weights Returns'!$B$9:$BJ$69))+1)</f>
        <v>-9.4800422415751895E-4</v>
      </c>
      <c r="B1179" cm="1">
        <f t="array" ref="B1179">INDEX('Portfolio Weights Std'!$B$9:$BJ$69,INT((ROW(A1178)-1)/COLUMNS('Portfolio Weights Std'!$B$9:$BJ$69))+1,MOD(ROW(A1178)-1,COLUMNS('Portfolio Weights Std'!$B$9:$BJ$69))+1)</f>
        <v>2.2709813504503629E-2</v>
      </c>
    </row>
    <row r="1180" spans="1:2" x14ac:dyDescent="0.25">
      <c r="A1180" cm="1">
        <f t="array" ref="A1180">INDEX('Portfolio Weights Returns'!$B$9:$BJ$69,
INT((ROW(A1179)-1)/COLUMNS('Portfolio Weights Returns'!$B$9:$BJ$69))+1,MOD(ROW(A1179)-1,COLUMNS('Portfolio Weights Returns'!$B$9:$BJ$69))+1)</f>
        <v>-9.412230501908398E-4</v>
      </c>
      <c r="B1180" cm="1">
        <f t="array" ref="B1180">INDEX('Portfolio Weights Std'!$B$9:$BJ$69,INT((ROW(A1179)-1)/COLUMNS('Portfolio Weights Std'!$B$9:$BJ$69))+1,MOD(ROW(A1179)-1,COLUMNS('Portfolio Weights Std'!$B$9:$BJ$69))+1)</f>
        <v>2.2545339859220363E-2</v>
      </c>
    </row>
    <row r="1181" spans="1:2" x14ac:dyDescent="0.25">
      <c r="A1181" cm="1">
        <f t="array" ref="A1181">INDEX('Portfolio Weights Returns'!$B$9:$BJ$69,
INT((ROW(A1180)-1)/COLUMNS('Portfolio Weights Returns'!$B$9:$BJ$69))+1,MOD(ROW(A1180)-1,COLUMNS('Portfolio Weights Returns'!$B$9:$BJ$69))+1)</f>
        <v>-9.3444187622416066E-4</v>
      </c>
      <c r="B1181" cm="1">
        <f t="array" ref="B1181">INDEX('Portfolio Weights Std'!$B$9:$BJ$69,INT((ROW(A1180)-1)/COLUMNS('Portfolio Weights Std'!$B$9:$BJ$69))+1,MOD(ROW(A1180)-1,COLUMNS('Portfolio Weights Std'!$B$9:$BJ$69))+1)</f>
        <v>2.2381726367349131E-2</v>
      </c>
    </row>
    <row r="1182" spans="1:2" x14ac:dyDescent="0.25">
      <c r="A1182" cm="1">
        <f t="array" ref="A1182">INDEX('Portfolio Weights Returns'!$B$9:$BJ$69,
INT((ROW(A1181)-1)/COLUMNS('Portfolio Weights Returns'!$B$9:$BJ$69))+1,MOD(ROW(A1181)-1,COLUMNS('Portfolio Weights Returns'!$B$9:$BJ$69))+1)</f>
        <v>-9.2766070225748162E-4</v>
      </c>
      <c r="B1182" cm="1">
        <f t="array" ref="B1182">INDEX('Portfolio Weights Std'!$B$9:$BJ$69,INT((ROW(A1181)-1)/COLUMNS('Portfolio Weights Std'!$B$9:$BJ$69))+1,MOD(ROW(A1181)-1,COLUMNS('Portfolio Weights Std'!$B$9:$BJ$69))+1)</f>
        <v>2.2218992030575063E-2</v>
      </c>
    </row>
    <row r="1183" spans="1:2" x14ac:dyDescent="0.25">
      <c r="A1183" cm="1">
        <f t="array" ref="A1183">INDEX('Portfolio Weights Returns'!$B$9:$BJ$69,
INT((ROW(A1182)-1)/COLUMNS('Portfolio Weights Returns'!$B$9:$BJ$69))+1,MOD(ROW(A1182)-1,COLUMNS('Portfolio Weights Returns'!$B$9:$BJ$69))+1)</f>
        <v>-9.2087952829080248E-4</v>
      </c>
      <c r="B1183" cm="1">
        <f t="array" ref="B1183">INDEX('Portfolio Weights Std'!$B$9:$BJ$69,INT((ROW(A1182)-1)/COLUMNS('Portfolio Weights Std'!$B$9:$BJ$69))+1,MOD(ROW(A1182)-1,COLUMNS('Portfolio Weights Std'!$B$9:$BJ$69))+1)</f>
        <v>2.2057156307723601E-2</v>
      </c>
    </row>
    <row r="1184" spans="1:2" x14ac:dyDescent="0.25">
      <c r="A1184" cm="1">
        <f t="array" ref="A1184">INDEX('Portfolio Weights Returns'!$B$9:$BJ$69,
INT((ROW(A1183)-1)/COLUMNS('Portfolio Weights Returns'!$B$9:$BJ$69))+1,MOD(ROW(A1183)-1,COLUMNS('Portfolio Weights Returns'!$B$9:$BJ$69))+1)</f>
        <v>-9.1409835432412344E-4</v>
      </c>
      <c r="B1184" cm="1">
        <f t="array" ref="B1184">INDEX('Portfolio Weights Std'!$B$9:$BJ$69,INT((ROW(A1183)-1)/COLUMNS('Portfolio Weights Std'!$B$9:$BJ$69))+1,MOD(ROW(A1183)-1,COLUMNS('Portfolio Weights Std'!$B$9:$BJ$69))+1)</f>
        <v>2.189623912384658E-2</v>
      </c>
    </row>
    <row r="1185" spans="1:2" x14ac:dyDescent="0.25">
      <c r="A1185" cm="1">
        <f t="array" ref="A1185">INDEX('Portfolio Weights Returns'!$B$9:$BJ$69,
INT((ROW(A1184)-1)/COLUMNS('Portfolio Weights Returns'!$B$9:$BJ$69))+1,MOD(ROW(A1184)-1,COLUMNS('Portfolio Weights Returns'!$B$9:$BJ$69))+1)</f>
        <v>-9.0731718035744419E-4</v>
      </c>
      <c r="B1185" cm="1">
        <f t="array" ref="B1185">INDEX('Portfolio Weights Std'!$B$9:$BJ$69,INT((ROW(A1184)-1)/COLUMNS('Portfolio Weights Std'!$B$9:$BJ$69))+1,MOD(ROW(A1184)-1,COLUMNS('Portfolio Weights Std'!$B$9:$BJ$69))+1)</f>
        <v>2.173626087924771E-2</v>
      </c>
    </row>
    <row r="1186" spans="1:2" x14ac:dyDescent="0.25">
      <c r="A1186" cm="1">
        <f t="array" ref="A1186">INDEX('Portfolio Weights Returns'!$B$9:$BJ$69,
INT((ROW(A1185)-1)/COLUMNS('Portfolio Weights Returns'!$B$9:$BJ$69))+1,MOD(ROW(A1185)-1,COLUMNS('Portfolio Weights Returns'!$B$9:$BJ$69))+1)</f>
        <v>-9.0053600639076515E-4</v>
      </c>
      <c r="B1186" cm="1">
        <f t="array" ref="B1186">INDEX('Portfolio Weights Std'!$B$9:$BJ$69,INT((ROW(A1185)-1)/COLUMNS('Portfolio Weights Std'!$B$9:$BJ$69))+1,MOD(ROW(A1185)-1,COLUMNS('Portfolio Weights Std'!$B$9:$BJ$69))+1)</f>
        <v>2.1577242458420975E-2</v>
      </c>
    </row>
    <row r="1187" spans="1:2" x14ac:dyDescent="0.25">
      <c r="A1187" cm="1">
        <f t="array" ref="A1187">INDEX('Portfolio Weights Returns'!$B$9:$BJ$69,
INT((ROW(A1186)-1)/COLUMNS('Portfolio Weights Returns'!$B$9:$BJ$69))+1,MOD(ROW(A1186)-1,COLUMNS('Portfolio Weights Returns'!$B$9:$BJ$69))+1)</f>
        <v>-8.9375483242408601E-4</v>
      </c>
      <c r="B1187" cm="1">
        <f t="array" ref="B1187">INDEX('Portfolio Weights Std'!$B$9:$BJ$69,INT((ROW(A1186)-1)/COLUMNS('Portfolio Weights Std'!$B$9:$BJ$69))+1,MOD(ROW(A1186)-1,COLUMNS('Portfolio Weights Std'!$B$9:$BJ$69))+1)</f>
        <v>2.1419205238873393E-2</v>
      </c>
    </row>
    <row r="1188" spans="1:2" x14ac:dyDescent="0.25">
      <c r="A1188" cm="1">
        <f t="array" ref="A1188">INDEX('Portfolio Weights Returns'!$B$9:$BJ$69,
INT((ROW(A1187)-1)/COLUMNS('Portfolio Weights Returns'!$B$9:$BJ$69))+1,MOD(ROW(A1187)-1,COLUMNS('Portfolio Weights Returns'!$B$9:$BJ$69))+1)</f>
        <v>-8.8697365845740697E-4</v>
      </c>
      <c r="B1188" cm="1">
        <f t="array" ref="B1188">INDEX('Portfolio Weights Std'!$B$9:$BJ$69,INT((ROW(A1187)-1)/COLUMNS('Portfolio Weights Std'!$B$9:$BJ$69))+1,MOD(ROW(A1187)-1,COLUMNS('Portfolio Weights Std'!$B$9:$BJ$69))+1)</f>
        <v>2.1262171099800786E-2</v>
      </c>
    </row>
    <row r="1189" spans="1:2" x14ac:dyDescent="0.25">
      <c r="A1189" cm="1">
        <f t="array" ref="A1189">INDEX('Portfolio Weights Returns'!$B$9:$BJ$69,
INT((ROW(A1188)-1)/COLUMNS('Portfolio Weights Returns'!$B$9:$BJ$69))+1,MOD(ROW(A1188)-1,COLUMNS('Portfolio Weights Returns'!$B$9:$BJ$69))+1)</f>
        <v>-8.8019248449072783E-4</v>
      </c>
      <c r="B1189" cm="1">
        <f t="array" ref="B1189">INDEX('Portfolio Weights Std'!$B$9:$BJ$69,INT((ROW(A1188)-1)/COLUMNS('Portfolio Weights Std'!$B$9:$BJ$69))+1,MOD(ROW(A1188)-1,COLUMNS('Portfolio Weights Std'!$B$9:$BJ$69))+1)</f>
        <v>2.1106162430582977E-2</v>
      </c>
    </row>
    <row r="1190" spans="1:2" x14ac:dyDescent="0.25">
      <c r="A1190" cm="1">
        <f t="array" ref="A1190">INDEX('Portfolio Weights Returns'!$B$9:$BJ$69,
INT((ROW(A1189)-1)/COLUMNS('Portfolio Weights Returns'!$B$9:$BJ$69))+1,MOD(ROW(A1189)-1,COLUMNS('Portfolio Weights Returns'!$B$9:$BJ$69))+1)</f>
        <v>-8.7341131052404868E-4</v>
      </c>
      <c r="B1190" cm="1">
        <f t="array" ref="B1190">INDEX('Portfolio Weights Std'!$B$9:$BJ$69,INT((ROW(A1189)-1)/COLUMNS('Portfolio Weights Std'!$B$9:$BJ$69))+1,MOD(ROW(A1189)-1,COLUMNS('Portfolio Weights Std'!$B$9:$BJ$69))+1)</f>
        <v>2.0951202139061771E-2</v>
      </c>
    </row>
    <row r="1191" spans="1:2" x14ac:dyDescent="0.25">
      <c r="A1191" cm="1">
        <f t="array" ref="A1191">INDEX('Portfolio Weights Returns'!$B$9:$BJ$69,
INT((ROW(A1190)-1)/COLUMNS('Portfolio Weights Returns'!$B$9:$BJ$69))+1,MOD(ROW(A1190)-1,COLUMNS('Portfolio Weights Returns'!$B$9:$BJ$69))+1)</f>
        <v>-8.6663013655736965E-4</v>
      </c>
      <c r="B1191" cm="1">
        <f t="array" ref="B1191">INDEX('Portfolio Weights Std'!$B$9:$BJ$69,INT((ROW(A1190)-1)/COLUMNS('Portfolio Weights Std'!$B$9:$BJ$69))+1,MOD(ROW(A1190)-1,COLUMNS('Portfolio Weights Std'!$B$9:$BJ$69))+1)</f>
        <v>2.0797313659562545E-2</v>
      </c>
    </row>
    <row r="1192" spans="1:2" x14ac:dyDescent="0.25">
      <c r="A1192" cm="1">
        <f t="array" ref="A1192">INDEX('Portfolio Weights Returns'!$B$9:$BJ$69,
INT((ROW(A1191)-1)/COLUMNS('Portfolio Weights Returns'!$B$9:$BJ$69))+1,MOD(ROW(A1191)-1,COLUMNS('Portfolio Weights Returns'!$B$9:$BJ$69))+1)</f>
        <v>-8.598489625906904E-4</v>
      </c>
      <c r="B1192" cm="1">
        <f t="array" ref="B1192">INDEX('Portfolio Weights Std'!$B$9:$BJ$69,INT((ROW(A1191)-1)/COLUMNS('Portfolio Weights Std'!$B$9:$BJ$69))+1,MOD(ROW(A1191)-1,COLUMNS('Portfolio Weights Std'!$B$9:$BJ$69))+1)</f>
        <v>2.0644520960616961E-2</v>
      </c>
    </row>
    <row r="1193" spans="1:2" x14ac:dyDescent="0.25">
      <c r="A1193" cm="1">
        <f t="array" ref="A1193">INDEX('Portfolio Weights Returns'!$B$9:$BJ$69,
INT((ROW(A1192)-1)/COLUMNS('Portfolio Weights Returns'!$B$9:$BJ$69))+1,MOD(ROW(A1192)-1,COLUMNS('Portfolio Weights Returns'!$B$9:$BJ$69))+1)</f>
        <v>-8.5306778862401136E-4</v>
      </c>
      <c r="B1193" cm="1">
        <f t="array" ref="B1193">INDEX('Portfolio Weights Std'!$B$9:$BJ$69,INT((ROW(A1192)-1)/COLUMNS('Portfolio Weights Std'!$B$9:$BJ$69))+1,MOD(ROW(A1192)-1,COLUMNS('Portfolio Weights Std'!$B$9:$BJ$69))+1)</f>
        <v>2.04928485523415E-2</v>
      </c>
    </row>
    <row r="1194" spans="1:2" x14ac:dyDescent="0.25">
      <c r="A1194" cm="1">
        <f t="array" ref="A1194">INDEX('Portfolio Weights Returns'!$B$9:$BJ$69,
INT((ROW(A1193)-1)/COLUMNS('Portfolio Weights Returns'!$B$9:$BJ$69))+1,MOD(ROW(A1193)-1,COLUMNS('Portfolio Weights Returns'!$B$9:$BJ$69))+1)</f>
        <v>-8.4628661465733222E-4</v>
      </c>
      <c r="B1194" cm="1">
        <f t="array" ref="B1194">INDEX('Portfolio Weights Std'!$B$9:$BJ$69,INT((ROW(A1193)-1)/COLUMNS('Portfolio Weights Std'!$B$9:$BJ$69))+1,MOD(ROW(A1193)-1,COLUMNS('Portfolio Weights Std'!$B$9:$BJ$69))+1)</f>
        <v>2.0342321493423094E-2</v>
      </c>
    </row>
    <row r="1195" spans="1:2" x14ac:dyDescent="0.25">
      <c r="A1195" cm="1">
        <f t="array" ref="A1195">INDEX('Portfolio Weights Returns'!$B$9:$BJ$69,
INT((ROW(A1194)-1)/COLUMNS('Portfolio Weights Returns'!$B$9:$BJ$69))+1,MOD(ROW(A1194)-1,COLUMNS('Portfolio Weights Returns'!$B$9:$BJ$69))+1)</f>
        <v>-8.3950544069065318E-4</v>
      </c>
      <c r="B1195" cm="1">
        <f t="array" ref="B1195">INDEX('Portfolio Weights Std'!$B$9:$BJ$69,INT((ROW(A1194)-1)/COLUMNS('Portfolio Weights Std'!$B$9:$BJ$69))+1,MOD(ROW(A1194)-1,COLUMNS('Portfolio Weights Std'!$B$9:$BJ$69))+1)</f>
        <v>2.0192965397659822E-2</v>
      </c>
    </row>
    <row r="1196" spans="1:2" x14ac:dyDescent="0.25">
      <c r="A1196" cm="1">
        <f t="array" ref="A1196">INDEX('Portfolio Weights Returns'!$B$9:$BJ$69,
INT((ROW(A1195)-1)/COLUMNS('Portfolio Weights Returns'!$B$9:$BJ$69))+1,MOD(ROW(A1195)-1,COLUMNS('Portfolio Weights Returns'!$B$9:$BJ$69))+1)</f>
        <v>-8.3272426672397403E-4</v>
      </c>
      <c r="B1196" cm="1">
        <f t="array" ref="B1196">INDEX('Portfolio Weights Std'!$B$9:$BJ$69,INT((ROW(A1195)-1)/COLUMNS('Portfolio Weights Std'!$B$9:$BJ$69))+1,MOD(ROW(A1195)-1,COLUMNS('Portfolio Weights Std'!$B$9:$BJ$69))+1)</f>
        <v>2.0044806440001284E-2</v>
      </c>
    </row>
    <row r="1197" spans="1:2" x14ac:dyDescent="0.25">
      <c r="A1197" cm="1">
        <f t="array" ref="A1197">INDEX('Portfolio Weights Returns'!$B$9:$BJ$69,
INT((ROW(A1196)-1)/COLUMNS('Portfolio Weights Returns'!$B$9:$BJ$69))+1,MOD(ROW(A1196)-1,COLUMNS('Portfolio Weights Returns'!$B$9:$BJ$69))+1)</f>
        <v>-8.25943092757295E-4</v>
      </c>
      <c r="B1197" cm="1">
        <f t="array" ref="B1197">INDEX('Portfolio Weights Std'!$B$9:$BJ$69,INT((ROW(A1196)-1)/COLUMNS('Portfolio Weights Std'!$B$9:$BJ$69))+1,MOD(ROW(A1196)-1,COLUMNS('Portfolio Weights Std'!$B$9:$BJ$69))+1)</f>
        <v>1.9897871362029477E-2</v>
      </c>
    </row>
    <row r="1198" spans="1:2" x14ac:dyDescent="0.25">
      <c r="A1198" cm="1">
        <f t="array" ref="A1198">INDEX('Portfolio Weights Returns'!$B$9:$BJ$69,
INT((ROW(A1197)-1)/COLUMNS('Portfolio Weights Returns'!$B$9:$BJ$69))+1,MOD(ROW(A1197)-1,COLUMNS('Portfolio Weights Returns'!$B$9:$BJ$69))+1)</f>
        <v>-8.1916191879061585E-4</v>
      </c>
      <c r="B1198" cm="1">
        <f t="array" ref="B1198">INDEX('Portfolio Weights Std'!$B$9:$BJ$69,INT((ROW(A1197)-1)/COLUMNS('Portfolio Weights Std'!$B$9:$BJ$69))+1,MOD(ROW(A1197)-1,COLUMNS('Portfolio Weights Std'!$B$9:$BJ$69))+1)</f>
        <v>1.9752187476817715E-2</v>
      </c>
    </row>
    <row r="1199" spans="1:2" x14ac:dyDescent="0.25">
      <c r="A1199" cm="1">
        <f t="array" ref="A1199">INDEX('Portfolio Weights Returns'!$B$9:$BJ$69,
INT((ROW(A1198)-1)/COLUMNS('Portfolio Weights Returns'!$B$9:$BJ$69))+1,MOD(ROW(A1198)-1,COLUMNS('Portfolio Weights Returns'!$B$9:$BJ$69))+1)</f>
        <v>-8.123807448239366E-4</v>
      </c>
      <c r="B1199" cm="1">
        <f t="array" ref="B1199">INDEX('Portfolio Weights Std'!$B$9:$BJ$69,INT((ROW(A1198)-1)/COLUMNS('Portfolio Weights Std'!$B$9:$BJ$69))+1,MOD(ROW(A1198)-1,COLUMNS('Portfolio Weights Std'!$B$9:$BJ$69))+1)</f>
        <v>1.9607782673101062E-2</v>
      </c>
    </row>
    <row r="1200" spans="1:2" x14ac:dyDescent="0.25">
      <c r="A1200" cm="1">
        <f t="array" ref="A1200">INDEX('Portfolio Weights Returns'!$B$9:$BJ$69,
INT((ROW(A1199)-1)/COLUMNS('Portfolio Weights Returns'!$B$9:$BJ$69))+1,MOD(ROW(A1199)-1,COLUMNS('Portfolio Weights Returns'!$B$9:$BJ$69))+1)</f>
        <v>-8.0559957085725757E-4</v>
      </c>
      <c r="B1200" cm="1">
        <f t="array" ref="B1200">INDEX('Portfolio Weights Std'!$B$9:$BJ$69,INT((ROW(A1199)-1)/COLUMNS('Portfolio Weights Std'!$B$9:$BJ$69))+1,MOD(ROW(A1199)-1,COLUMNS('Portfolio Weights Std'!$B$9:$BJ$69))+1)</f>
        <v>1.9464685418688274E-2</v>
      </c>
    </row>
    <row r="1201" spans="1:2" x14ac:dyDescent="0.25">
      <c r="A1201" cm="1">
        <f t="array" ref="A1201">INDEX('Portfolio Weights Returns'!$B$9:$BJ$69,
INT((ROW(A1200)-1)/COLUMNS('Portfolio Weights Returns'!$B$9:$BJ$69))+1,MOD(ROW(A1200)-1,COLUMNS('Portfolio Weights Returns'!$B$9:$BJ$69))+1)</f>
        <v>-7.9881839689057842E-4</v>
      </c>
      <c r="B1201" cm="1">
        <f t="array" ref="B1201">INDEX('Portfolio Weights Std'!$B$9:$BJ$69,INT((ROW(A1200)-1)/COLUMNS('Portfolio Weights Std'!$B$9:$BJ$69))+1,MOD(ROW(A1200)-1,COLUMNS('Portfolio Weights Std'!$B$9:$BJ$69))+1)</f>
        <v>1.9322924763041319E-2</v>
      </c>
    </row>
    <row r="1202" spans="1:2" x14ac:dyDescent="0.25">
      <c r="A1202" cm="1">
        <f t="array" ref="A1202">INDEX('Portfolio Weights Returns'!$B$9:$BJ$69,
INT((ROW(A1201)-1)/COLUMNS('Portfolio Weights Returns'!$B$9:$BJ$69))+1,MOD(ROW(A1201)-1,COLUMNS('Portfolio Weights Returns'!$B$9:$BJ$69))+1)</f>
        <v>-7.9203722292389938E-4</v>
      </c>
      <c r="B1202" cm="1">
        <f t="array" ref="B1202">INDEX('Portfolio Weights Std'!$B$9:$BJ$69,INT((ROW(A1201)-1)/COLUMNS('Portfolio Weights Std'!$B$9:$BJ$69))+1,MOD(ROW(A1201)-1,COLUMNS('Portfolio Weights Std'!$B$9:$BJ$69))+1)</f>
        <v>1.9182530338944886E-2</v>
      </c>
    </row>
    <row r="1203" spans="1:2" x14ac:dyDescent="0.25">
      <c r="A1203" cm="1">
        <f t="array" ref="A1203">INDEX('Portfolio Weights Returns'!$B$9:$BJ$69,
INT((ROW(A1202)-1)/COLUMNS('Portfolio Weights Returns'!$B$9:$BJ$69))+1,MOD(ROW(A1202)-1,COLUMNS('Portfolio Weights Returns'!$B$9:$BJ$69))+1)</f>
        <v>-7.8525604895722024E-4</v>
      </c>
      <c r="B1203" cm="1">
        <f t="array" ref="B1203">INDEX('Portfolio Weights Std'!$B$9:$BJ$69,INT((ROW(A1202)-1)/COLUMNS('Portfolio Weights Std'!$B$9:$BJ$69))+1,MOD(ROW(A1202)-1,COLUMNS('Portfolio Weights Std'!$B$9:$BJ$69))+1)</f>
        <v>1.9043532363184418E-2</v>
      </c>
    </row>
    <row r="1204" spans="1:2" x14ac:dyDescent="0.25">
      <c r="A1204" cm="1">
        <f t="array" ref="A1204">INDEX('Portfolio Weights Returns'!$B$9:$BJ$69,
INT((ROW(A1203)-1)/COLUMNS('Portfolio Weights Returns'!$B$9:$BJ$69))+1,MOD(ROW(A1203)-1,COLUMNS('Portfolio Weights Returns'!$B$9:$BJ$69))+1)</f>
        <v>-7.784748749905412E-4</v>
      </c>
      <c r="B1204" cm="1">
        <f t="array" ref="B1204">INDEX('Portfolio Weights Std'!$B$9:$BJ$69,INT((ROW(A1203)-1)/COLUMNS('Portfolio Weights Std'!$B$9:$BJ$69))+1,MOD(ROW(A1203)-1,COLUMNS('Portfolio Weights Std'!$B$9:$BJ$69))+1)</f>
        <v>1.8905961636147727E-2</v>
      </c>
    </row>
    <row r="1205" spans="1:2" x14ac:dyDescent="0.25">
      <c r="A1205" cm="1">
        <f t="array" ref="A1205">INDEX('Portfolio Weights Returns'!$B$9:$BJ$69,
INT((ROW(A1204)-1)/COLUMNS('Portfolio Weights Returns'!$B$9:$BJ$69))+1,MOD(ROW(A1204)-1,COLUMNS('Portfolio Weights Returns'!$B$9:$BJ$69))+1)</f>
        <v>-7.7169370102386206E-4</v>
      </c>
      <c r="B1205" cm="1">
        <f t="array" ref="B1205">INDEX('Portfolio Weights Std'!$B$9:$BJ$69,INT((ROW(A1204)-1)/COLUMNS('Portfolio Weights Std'!$B$9:$BJ$69))+1,MOD(ROW(A1204)-1,COLUMNS('Portfolio Weights Std'!$B$9:$BJ$69))+1)</f>
        <v>1.8769849540261452E-2</v>
      </c>
    </row>
    <row r="1206" spans="1:2" x14ac:dyDescent="0.25">
      <c r="A1206" cm="1">
        <f t="array" ref="A1206">INDEX('Portfolio Weights Returns'!$B$9:$BJ$69,
INT((ROW(A1205)-1)/COLUMNS('Portfolio Weights Returns'!$B$9:$BJ$69))+1,MOD(ROW(A1205)-1,COLUMNS('Portfolio Weights Returns'!$B$9:$BJ$69))+1)</f>
        <v>-7.6491252705718292E-4</v>
      </c>
      <c r="B1206" cm="1">
        <f t="array" ref="B1206">INDEX('Portfolio Weights Std'!$B$9:$BJ$69,INT((ROW(A1205)-1)/COLUMNS('Portfolio Weights Std'!$B$9:$BJ$69))+1,MOD(ROW(A1205)-1,COLUMNS('Portfolio Weights Std'!$B$9:$BJ$69))+1)</f>
        <v>1.8635228037170413E-2</v>
      </c>
    </row>
    <row r="1207" spans="1:2" x14ac:dyDescent="0.25">
      <c r="A1207" cm="1">
        <f t="array" ref="A1207">INDEX('Portfolio Weights Returns'!$B$9:$BJ$69,
INT((ROW(A1206)-1)/COLUMNS('Portfolio Weights Returns'!$B$9:$BJ$69))+1,MOD(ROW(A1206)-1,COLUMNS('Portfolio Weights Returns'!$B$9:$BJ$69))+1)</f>
        <v>-7.5813135309050377E-4</v>
      </c>
      <c r="B1207" cm="1">
        <f t="array" ref="B1207">INDEX('Portfolio Weights Std'!$B$9:$BJ$69,INT((ROW(A1206)-1)/COLUMNS('Portfolio Weights Std'!$B$9:$BJ$69))+1,MOD(ROW(A1206)-1,COLUMNS('Portfolio Weights Std'!$B$9:$BJ$69))+1)</f>
        <v>1.8502129663564609E-2</v>
      </c>
    </row>
    <row r="1208" spans="1:2" x14ac:dyDescent="0.25">
      <c r="A1208" cm="1">
        <f t="array" ref="A1208">INDEX('Portfolio Weights Returns'!$B$9:$BJ$69,
INT((ROW(A1207)-1)/COLUMNS('Portfolio Weights Returns'!$B$9:$BJ$69))+1,MOD(ROW(A1207)-1,COLUMNS('Portfolio Weights Returns'!$B$9:$BJ$69))+1)</f>
        <v>-7.5135017912382474E-4</v>
      </c>
      <c r="B1208" cm="1">
        <f t="array" ref="B1208">INDEX('Portfolio Weights Std'!$B$9:$BJ$69,INT((ROW(A1207)-1)/COLUMNS('Portfolio Weights Std'!$B$9:$BJ$69))+1,MOD(ROW(A1207)-1,COLUMNS('Portfolio Weights Std'!$B$9:$BJ$69))+1)</f>
        <v>1.8370587525555586E-2</v>
      </c>
    </row>
    <row r="1209" spans="1:2" x14ac:dyDescent="0.25">
      <c r="A1209" cm="1">
        <f t="array" ref="A1209">INDEX('Portfolio Weights Returns'!$B$9:$BJ$69,
INT((ROW(A1208)-1)/COLUMNS('Portfolio Weights Returns'!$B$9:$BJ$69))+1,MOD(ROW(A1208)-1,COLUMNS('Portfolio Weights Returns'!$B$9:$BJ$69))+1)</f>
        <v>-7.445690051571457E-4</v>
      </c>
      <c r="B1209" cm="1">
        <f t="array" ref="B1209">INDEX('Portfolio Weights Std'!$B$9:$BJ$69,INT((ROW(A1208)-1)/COLUMNS('Portfolio Weights Std'!$B$9:$BJ$69))+1,MOD(ROW(A1208)-1,COLUMNS('Portfolio Weights Std'!$B$9:$BJ$69))+1)</f>
        <v>1.824063529150138E-2</v>
      </c>
    </row>
    <row r="1210" spans="1:2" x14ac:dyDescent="0.25">
      <c r="A1210" cm="1">
        <f t="array" ref="A1210">INDEX('Portfolio Weights Returns'!$B$9:$BJ$69,
INT((ROW(A1209)-1)/COLUMNS('Portfolio Weights Returns'!$B$9:$BJ$69))+1,MOD(ROW(A1209)-1,COLUMNS('Portfolio Weights Returns'!$B$9:$BJ$69))+1)</f>
        <v>-7.3778783119046655E-4</v>
      </c>
      <c r="B1210" cm="1">
        <f t="array" ref="B1210">INDEX('Portfolio Weights Std'!$B$9:$BJ$69,INT((ROW(A1209)-1)/COLUMNS('Portfolio Weights Std'!$B$9:$BJ$69))+1,MOD(ROW(A1209)-1,COLUMNS('Portfolio Weights Std'!$B$9:$BJ$69))+1)</f>
        <v>1.8112307183176815E-2</v>
      </c>
    </row>
    <row r="1211" spans="1:2" x14ac:dyDescent="0.25">
      <c r="A1211" cm="1">
        <f t="array" ref="A1211">INDEX('Portfolio Weights Returns'!$B$9:$BJ$69,
INT((ROW(A1210)-1)/COLUMNS('Portfolio Weights Returns'!$B$9:$BJ$69))+1,MOD(ROW(A1210)-1,COLUMNS('Portfolio Weights Returns'!$B$9:$BJ$69))+1)</f>
        <v>-7.3100665722378752E-4</v>
      </c>
      <c r="B1211" cm="1">
        <f t="array" ref="B1211">INDEX('Portfolio Weights Std'!$B$9:$BJ$69,INT((ROW(A1210)-1)/COLUMNS('Portfolio Weights Std'!$B$9:$BJ$69))+1,MOD(ROW(A1210)-1,COLUMNS('Portfolio Weights Std'!$B$9:$BJ$69))+1)</f>
        <v>1.7985637965184261E-2</v>
      </c>
    </row>
    <row r="1212" spans="1:2" x14ac:dyDescent="0.25">
      <c r="A1212" cm="1">
        <f t="array" ref="A1212">INDEX('Portfolio Weights Returns'!$B$9:$BJ$69,
INT((ROW(A1211)-1)/COLUMNS('Portfolio Weights Returns'!$B$9:$BJ$69))+1,MOD(ROW(A1211)-1,COLUMNS('Portfolio Weights Returns'!$B$9:$BJ$69))+1)</f>
        <v>-7.2422548325710827E-4</v>
      </c>
      <c r="B1212" cm="1">
        <f t="array" ref="B1212">INDEX('Portfolio Weights Std'!$B$9:$BJ$69,INT((ROW(A1211)-1)/COLUMNS('Portfolio Weights Std'!$B$9:$BJ$69))+1,MOD(ROW(A1211)-1,COLUMNS('Portfolio Weights Std'!$B$9:$BJ$69))+1)</f>
        <v>1.7860662932498397E-2</v>
      </c>
    </row>
    <row r="1213" spans="1:2" x14ac:dyDescent="0.25">
      <c r="A1213" cm="1">
        <f t="array" ref="A1213">INDEX('Portfolio Weights Returns'!$B$9:$BJ$69,
INT((ROW(A1212)-1)/COLUMNS('Portfolio Weights Returns'!$B$9:$BJ$69))+1,MOD(ROW(A1212)-1,COLUMNS('Portfolio Weights Returns'!$B$9:$BJ$69))+1)</f>
        <v>-7.1744430929042923E-4</v>
      </c>
      <c r="B1213" cm="1">
        <f t="array" ref="B1213">INDEX('Portfolio Weights Std'!$B$9:$BJ$69,INT((ROW(A1212)-1)/COLUMNS('Portfolio Weights Std'!$B$9:$BJ$69))+1,MOD(ROW(A1212)-1,COLUMNS('Portfolio Weights Std'!$B$9:$BJ$69))+1)</f>
        <v>1.773741789603811E-2</v>
      </c>
    </row>
    <row r="1214" spans="1:2" x14ac:dyDescent="0.25">
      <c r="A1214" cm="1">
        <f t="array" ref="A1214">INDEX('Portfolio Weights Returns'!$B$9:$BJ$69,
INT((ROW(A1213)-1)/COLUMNS('Portfolio Weights Returns'!$B$9:$BJ$69))+1,MOD(ROW(A1213)-1,COLUMNS('Portfolio Weights Returns'!$B$9:$BJ$69))+1)</f>
        <v>-7.1066313532375009E-4</v>
      </c>
      <c r="B1214" cm="1">
        <f t="array" ref="B1214">INDEX('Portfolio Weights Std'!$B$9:$BJ$69,INT((ROW(A1213)-1)/COLUMNS('Portfolio Weights Std'!$B$9:$BJ$69))+1,MOD(ROW(A1213)-1,COLUMNS('Portfolio Weights Std'!$B$9:$BJ$69))+1)</f>
        <v>1.7615939166158289E-2</v>
      </c>
    </row>
    <row r="1215" spans="1:2" x14ac:dyDescent="0.25">
      <c r="A1215" cm="1">
        <f t="array" ref="A1215">INDEX('Portfolio Weights Returns'!$B$9:$BJ$69,
INT((ROW(A1214)-1)/COLUMNS('Portfolio Weights Returns'!$B$9:$BJ$69))+1,MOD(ROW(A1214)-1,COLUMNS('Portfolio Weights Returns'!$B$9:$BJ$69))+1)</f>
        <v>-7.0388196135707105E-4</v>
      </c>
      <c r="B1215" cm="1">
        <f t="array" ref="B1215">INDEX('Portfolio Weights Std'!$B$9:$BJ$69,INT((ROW(A1214)-1)/COLUMNS('Portfolio Weights Std'!$B$9:$BJ$69))+1,MOD(ROW(A1214)-1,COLUMNS('Portfolio Weights Std'!$B$9:$BJ$69))+1)</f>
        <v>1.749626353395525E-2</v>
      </c>
    </row>
    <row r="1216" spans="1:2" x14ac:dyDescent="0.25">
      <c r="A1216" cm="1">
        <f t="array" ref="A1216">INDEX('Portfolio Weights Returns'!$B$9:$BJ$69,
INT((ROW(A1215)-1)/COLUMNS('Portfolio Weights Returns'!$B$9:$BJ$69))+1,MOD(ROW(A1215)-1,COLUMNS('Portfolio Weights Returns'!$B$9:$BJ$69))+1)</f>
        <v>-6.971007873903919E-4</v>
      </c>
      <c r="B1216" cm="1">
        <f t="array" ref="B1216">INDEX('Portfolio Weights Std'!$B$9:$BJ$69,INT((ROW(A1215)-1)/COLUMNS('Portfolio Weights Std'!$B$9:$BJ$69))+1,MOD(ROW(A1215)-1,COLUMNS('Portfolio Weights Std'!$B$9:$BJ$69))+1)</f>
        <v>1.7378428250280888E-2</v>
      </c>
    </row>
    <row r="1217" spans="1:2" x14ac:dyDescent="0.25">
      <c r="A1217" cm="1">
        <f t="array" ref="A1217">INDEX('Portfolio Weights Returns'!$B$9:$BJ$69,
INT((ROW(A1216)-1)/COLUMNS('Portfolio Weights Returns'!$B$9:$BJ$69))+1,MOD(ROW(A1216)-1,COLUMNS('Portfolio Weights Returns'!$B$9:$BJ$69))+1)</f>
        <v>-6.9031961342371287E-4</v>
      </c>
      <c r="B1217" cm="1">
        <f t="array" ref="B1217">INDEX('Portfolio Weights Std'!$B$9:$BJ$69,INT((ROW(A1216)-1)/COLUMNS('Portfolio Weights Std'!$B$9:$BJ$69))+1,MOD(ROW(A1216)-1,COLUMNS('Portfolio Weights Std'!$B$9:$BJ$69))+1)</f>
        <v>1.7262471002363344E-2</v>
      </c>
    </row>
    <row r="1218" spans="1:2" x14ac:dyDescent="0.25">
      <c r="A1218" cm="1">
        <f t="array" ref="A1218">INDEX('Portfolio Weights Returns'!$B$9:$BJ$69,
INT((ROW(A1217)-1)/COLUMNS('Portfolio Weights Returns'!$B$9:$BJ$69))+1,MOD(ROW(A1217)-1,COLUMNS('Portfolio Weights Returns'!$B$9:$BJ$69))+1)</f>
        <v>-6.8353843945703297E-4</v>
      </c>
      <c r="B1218" cm="1">
        <f t="array" ref="B1218">INDEX('Portfolio Weights Std'!$B$9:$BJ$69,INT((ROW(A1217)-1)/COLUMNS('Portfolio Weights Std'!$B$9:$BJ$69))+1,MOD(ROW(A1217)-1,COLUMNS('Portfolio Weights Std'!$B$9:$BJ$69))+1)</f>
        <v>1.7148429887935378E-2</v>
      </c>
    </row>
    <row r="1219" spans="1:2" x14ac:dyDescent="0.25">
      <c r="A1219" cm="1">
        <f t="array" ref="A1219">INDEX('Portfolio Weights Returns'!$B$9:$BJ$69,
INT((ROW(A1218)-1)/COLUMNS('Portfolio Weights Returns'!$B$9:$BJ$69))+1,MOD(ROW(A1218)-1,COLUMNS('Portfolio Weights Returns'!$B$9:$BJ$69))+1)</f>
        <v>-6.7675726549035393E-4</v>
      </c>
      <c r="B1219" cm="1">
        <f t="array" ref="B1219">INDEX('Portfolio Weights Std'!$B$9:$BJ$69,INT((ROW(A1218)-1)/COLUMNS('Portfolio Weights Std'!$B$9:$BJ$69))+1,MOD(ROW(A1218)-1,COLUMNS('Portfolio Weights Std'!$B$9:$BJ$69))+1)</f>
        <v>1.703634338677645E-2</v>
      </c>
    </row>
    <row r="1220" spans="1:2" x14ac:dyDescent="0.25">
      <c r="A1220" cm="1">
        <f t="array" ref="A1220">INDEX('Portfolio Weights Returns'!$B$9:$BJ$69,
INT((ROW(A1219)-1)/COLUMNS('Portfolio Weights Returns'!$B$9:$BJ$69))+1,MOD(ROW(A1219)-1,COLUMNS('Portfolio Weights Returns'!$B$9:$BJ$69))+1)</f>
        <v>-6.6997609152367489E-4</v>
      </c>
      <c r="B1220" cm="1">
        <f t="array" ref="B1220">INDEX('Portfolio Weights Std'!$B$9:$BJ$69,INT((ROW(A1219)-1)/COLUMNS('Portfolio Weights Std'!$B$9:$BJ$69))+1,MOD(ROW(A1219)-1,COLUMNS('Portfolio Weights Std'!$B$9:$BJ$69))+1)</f>
        <v>1.6926250329580207E-2</v>
      </c>
    </row>
    <row r="1221" spans="1:2" x14ac:dyDescent="0.25">
      <c r="A1221" cm="1">
        <f t="array" ref="A1221">INDEX('Portfolio Weights Returns'!$B$9:$BJ$69,
INT((ROW(A1220)-1)/COLUMNS('Portfolio Weights Returns'!$B$9:$BJ$69))+1,MOD(ROW(A1220)-1,COLUMNS('Portfolio Weights Returns'!$B$9:$BJ$69))+1)</f>
        <v>-6.6319491755699575E-4</v>
      </c>
      <c r="B1221" cm="1">
        <f t="array" ref="B1221">INDEX('Portfolio Weights Std'!$B$9:$BJ$69,INT((ROW(A1220)-1)/COLUMNS('Portfolio Weights Std'!$B$9:$BJ$69))+1,MOD(ROW(A1220)-1,COLUMNS('Portfolio Weights Std'!$B$9:$BJ$69))+1)</f>
        <v>1.6818189864066593E-2</v>
      </c>
    </row>
    <row r="1222" spans="1:2" x14ac:dyDescent="0.25">
      <c r="A1222" cm="1">
        <f t="array" ref="A1222">INDEX('Portfolio Weights Returns'!$B$9:$BJ$69,
INT((ROW(A1221)-1)/COLUMNS('Portfolio Weights Returns'!$B$9:$BJ$69))+1,MOD(ROW(A1221)-1,COLUMNS('Portfolio Weights Returns'!$B$9:$BJ$69))+1)</f>
        <v>-1.0634911477122875E-3</v>
      </c>
      <c r="B1222" cm="1">
        <f t="array" ref="B1222">INDEX('Portfolio Weights Std'!$B$9:$BJ$69,INT((ROW(A1221)-1)/COLUMNS('Portfolio Weights Std'!$B$9:$BJ$69))+1,MOD(ROW(A1221)-1,COLUMNS('Portfolio Weights Std'!$B$9:$BJ$69))+1)</f>
        <v>2.5608534307171017E-2</v>
      </c>
    </row>
    <row r="1223" spans="1:2" x14ac:dyDescent="0.25">
      <c r="A1223" cm="1">
        <f t="array" ref="A1223">INDEX('Portfolio Weights Returns'!$B$9:$BJ$69,
INT((ROW(A1222)-1)/COLUMNS('Portfolio Weights Returns'!$B$9:$BJ$69))+1,MOD(ROW(A1222)-1,COLUMNS('Portfolio Weights Returns'!$B$9:$BJ$69))+1)</f>
        <v>-1.0567099737456085E-3</v>
      </c>
      <c r="B1223" cm="1">
        <f t="array" ref="B1223">INDEX('Portfolio Weights Std'!$B$9:$BJ$69,INT((ROW(A1222)-1)/COLUMNS('Portfolio Weights Std'!$B$9:$BJ$69))+1,MOD(ROW(A1222)-1,COLUMNS('Portfolio Weights Std'!$B$9:$BJ$69))+1)</f>
        <v>2.54315361817893E-2</v>
      </c>
    </row>
    <row r="1224" spans="1:2" x14ac:dyDescent="0.25">
      <c r="A1224" cm="1">
        <f t="array" ref="A1224">INDEX('Portfolio Weights Returns'!$B$9:$BJ$69,
INT((ROW(A1223)-1)/COLUMNS('Portfolio Weights Returns'!$B$9:$BJ$69))+1,MOD(ROW(A1223)-1,COLUMNS('Portfolio Weights Returns'!$B$9:$BJ$69))+1)</f>
        <v>-1.0499287997789294E-3</v>
      </c>
      <c r="B1224" cm="1">
        <f t="array" ref="B1224">INDEX('Portfolio Weights Std'!$B$9:$BJ$69,INT((ROW(A1223)-1)/COLUMNS('Portfolio Weights Std'!$B$9:$BJ$69))+1,MOD(ROW(A1223)-1,COLUMNS('Portfolio Weights Std'!$B$9:$BJ$69))+1)</f>
        <v>2.5255130996027081E-2</v>
      </c>
    </row>
    <row r="1225" spans="1:2" x14ac:dyDescent="0.25">
      <c r="A1225" cm="1">
        <f t="array" ref="A1225">INDEX('Portfolio Weights Returns'!$B$9:$BJ$69,
INT((ROW(A1224)-1)/COLUMNS('Portfolio Weights Returns'!$B$9:$BJ$69))+1,MOD(ROW(A1224)-1,COLUMNS('Portfolio Weights Returns'!$B$9:$BJ$69))+1)</f>
        <v>-1.0431476258122502E-3</v>
      </c>
      <c r="B1225" cm="1">
        <f t="array" ref="B1225">INDEX('Portfolio Weights Std'!$B$9:$BJ$69,INT((ROW(A1224)-1)/COLUMNS('Portfolio Weights Std'!$B$9:$BJ$69))+1,MOD(ROW(A1224)-1,COLUMNS('Portfolio Weights Std'!$B$9:$BJ$69))+1)</f>
        <v>2.5079331261898576E-2</v>
      </c>
    </row>
    <row r="1226" spans="1:2" x14ac:dyDescent="0.25">
      <c r="A1226" cm="1">
        <f t="array" ref="A1226">INDEX('Portfolio Weights Returns'!$B$9:$BJ$69,
INT((ROW(A1225)-1)/COLUMNS('Portfolio Weights Returns'!$B$9:$BJ$69))+1,MOD(ROW(A1225)-1,COLUMNS('Portfolio Weights Returns'!$B$9:$BJ$69))+1)</f>
        <v>-1.0363664518455711E-3</v>
      </c>
      <c r="B1226" cm="1">
        <f t="array" ref="B1226">INDEX('Portfolio Weights Std'!$B$9:$BJ$69,INT((ROW(A1225)-1)/COLUMNS('Portfolio Weights Std'!$B$9:$BJ$69))+1,MOD(ROW(A1225)-1,COLUMNS('Portfolio Weights Std'!$B$9:$BJ$69))+1)</f>
        <v>2.4904149801154112E-2</v>
      </c>
    </row>
    <row r="1227" spans="1:2" x14ac:dyDescent="0.25">
      <c r="A1227" cm="1">
        <f t="array" ref="A1227">INDEX('Portfolio Weights Returns'!$B$9:$BJ$69,
INT((ROW(A1226)-1)/COLUMNS('Portfolio Weights Returns'!$B$9:$BJ$69))+1,MOD(ROW(A1226)-1,COLUMNS('Portfolio Weights Returns'!$B$9:$BJ$69))+1)</f>
        <v>-1.0295852778788922E-3</v>
      </c>
      <c r="B1227" cm="1">
        <f t="array" ref="B1227">INDEX('Portfolio Weights Std'!$B$9:$BJ$69,INT((ROW(A1226)-1)/COLUMNS('Portfolio Weights Std'!$B$9:$BJ$69))+1,MOD(ROW(A1226)-1,COLUMNS('Portfolio Weights Std'!$B$9:$BJ$69))+1)</f>
        <v>2.4729599753116338E-2</v>
      </c>
    </row>
    <row r="1228" spans="1:2" x14ac:dyDescent="0.25">
      <c r="A1228" cm="1">
        <f t="array" ref="A1228">INDEX('Portfolio Weights Returns'!$B$9:$BJ$69,
INT((ROW(A1227)-1)/COLUMNS('Portfolio Weights Returns'!$B$9:$BJ$69))+1,MOD(ROW(A1227)-1,COLUMNS('Portfolio Weights Returns'!$B$9:$BJ$69))+1)</f>
        <v>-1.022804103912213E-3</v>
      </c>
      <c r="B1228" cm="1">
        <f t="array" ref="B1228">INDEX('Portfolio Weights Std'!$B$9:$BJ$69,INT((ROW(A1227)-1)/COLUMNS('Portfolio Weights Std'!$B$9:$BJ$69))+1,MOD(ROW(A1227)-1,COLUMNS('Portfolio Weights Std'!$B$9:$BJ$69))+1)</f>
        <v>2.4555694582663812E-2</v>
      </c>
    </row>
    <row r="1229" spans="1:2" x14ac:dyDescent="0.25">
      <c r="A1229" cm="1">
        <f t="array" ref="A1229">INDEX('Portfolio Weights Returns'!$B$9:$BJ$69,
INT((ROW(A1228)-1)/COLUMNS('Portfolio Weights Returns'!$B$9:$BJ$69))+1,MOD(ROW(A1228)-1,COLUMNS('Portfolio Weights Returns'!$B$9:$BJ$69))+1)</f>
        <v>-1.0160229299455339E-3</v>
      </c>
      <c r="B1229" cm="1">
        <f t="array" ref="B1229">INDEX('Portfolio Weights Std'!$B$9:$BJ$69,INT((ROW(A1228)-1)/COLUMNS('Portfolio Weights Std'!$B$9:$BJ$69))+1,MOD(ROW(A1228)-1,COLUMNS('Portfolio Weights Std'!$B$9:$BJ$69))+1)</f>
        <v>2.4382448088359054E-2</v>
      </c>
    </row>
    <row r="1230" spans="1:2" x14ac:dyDescent="0.25">
      <c r="A1230" cm="1">
        <f t="array" ref="A1230">INDEX('Portfolio Weights Returns'!$B$9:$BJ$69,
INT((ROW(A1229)-1)/COLUMNS('Portfolio Weights Returns'!$B$9:$BJ$69))+1,MOD(ROW(A1229)-1,COLUMNS('Portfolio Weights Returns'!$B$9:$BJ$69))+1)</f>
        <v>-1.0092417559788547E-3</v>
      </c>
      <c r="B1230" cm="1">
        <f t="array" ref="B1230">INDEX('Portfolio Weights Std'!$B$9:$BJ$69,INT((ROW(A1229)-1)/COLUMNS('Portfolio Weights Std'!$B$9:$BJ$69))+1,MOD(ROW(A1229)-1,COLUMNS('Portfolio Weights Std'!$B$9:$BJ$69))+1)</f>
        <v>2.4209874410717397E-2</v>
      </c>
    </row>
    <row r="1231" spans="1:2" x14ac:dyDescent="0.25">
      <c r="A1231" cm="1">
        <f t="array" ref="A1231">INDEX('Portfolio Weights Returns'!$B$9:$BJ$69,
INT((ROW(A1230)-1)/COLUMNS('Portfolio Weights Returns'!$B$9:$BJ$69))+1,MOD(ROW(A1230)-1,COLUMNS('Portfolio Weights Returns'!$B$9:$BJ$69))+1)</f>
        <v>-1.0024605820121754E-3</v>
      </c>
      <c r="B1231" cm="1">
        <f t="array" ref="B1231">INDEX('Portfolio Weights Std'!$B$9:$BJ$69,INT((ROW(A1230)-1)/COLUMNS('Portfolio Weights Std'!$B$9:$BJ$69))+1,MOD(ROW(A1230)-1,COLUMNS('Portfolio Weights Std'!$B$9:$BJ$69))+1)</f>
        <v>2.4037988040612301E-2</v>
      </c>
    </row>
    <row r="1232" spans="1:2" x14ac:dyDescent="0.25">
      <c r="A1232" cm="1">
        <f t="array" ref="A1232">INDEX('Portfolio Weights Returns'!$B$9:$BJ$69,
INT((ROW(A1231)-1)/COLUMNS('Portfolio Weights Returns'!$B$9:$BJ$69))+1,MOD(ROW(A1231)-1,COLUMNS('Portfolio Weights Returns'!$B$9:$BJ$69))+1)</f>
        <v>-9.9567940804549645E-4</v>
      </c>
      <c r="B1232" cm="1">
        <f t="array" ref="B1232">INDEX('Portfolio Weights Std'!$B$9:$BJ$69,INT((ROW(A1231)-1)/COLUMNS('Portfolio Weights Std'!$B$9:$BJ$69))+1,MOD(ROW(A1231)-1,COLUMNS('Portfolio Weights Std'!$B$9:$BJ$69))+1)</f>
        <v>2.3866803827811901E-2</v>
      </c>
    </row>
    <row r="1233" spans="1:2" x14ac:dyDescent="0.25">
      <c r="A1233" cm="1">
        <f t="array" ref="A1233">INDEX('Portfolio Weights Returns'!$B$9:$BJ$69,
INT((ROW(A1232)-1)/COLUMNS('Portfolio Weights Returns'!$B$9:$BJ$69))+1,MOD(ROW(A1232)-1,COLUMNS('Portfolio Weights Returns'!$B$9:$BJ$69))+1)</f>
        <v>-9.888982340788173E-4</v>
      </c>
      <c r="B1233" cm="1">
        <f t="array" ref="B1233">INDEX('Portfolio Weights Std'!$B$9:$BJ$69,INT((ROW(A1232)-1)/COLUMNS('Portfolio Weights Std'!$B$9:$BJ$69))+1,MOD(ROW(A1232)-1,COLUMNS('Portfolio Weights Std'!$B$9:$BJ$69))+1)</f>
        <v>2.3696336989640819E-2</v>
      </c>
    </row>
    <row r="1234" spans="1:2" x14ac:dyDescent="0.25">
      <c r="A1234" cm="1">
        <f t="array" ref="A1234">INDEX('Portfolio Weights Returns'!$B$9:$BJ$69,
INT((ROW(A1233)-1)/COLUMNS('Portfolio Weights Returns'!$B$9:$BJ$69))+1,MOD(ROW(A1233)-1,COLUMNS('Portfolio Weights Returns'!$B$9:$BJ$69))+1)</f>
        <v>-9.8211706011213816E-4</v>
      </c>
      <c r="B1234" cm="1">
        <f t="array" ref="B1234">INDEX('Portfolio Weights Std'!$B$9:$BJ$69,INT((ROW(A1233)-1)/COLUMNS('Portfolio Weights Std'!$B$9:$BJ$69))+1,MOD(ROW(A1233)-1,COLUMNS('Portfolio Weights Std'!$B$9:$BJ$69))+1)</f>
        <v>2.352660311976016E-2</v>
      </c>
    </row>
    <row r="1235" spans="1:2" x14ac:dyDescent="0.25">
      <c r="A1235" cm="1">
        <f t="array" ref="A1235">INDEX('Portfolio Weights Returns'!$B$9:$BJ$69,
INT((ROW(A1234)-1)/COLUMNS('Portfolio Weights Returns'!$B$9:$BJ$69))+1,MOD(ROW(A1234)-1,COLUMNS('Portfolio Weights Returns'!$B$9:$BJ$69))+1)</f>
        <v>-9.7533588614545912E-4</v>
      </c>
      <c r="B1235" cm="1">
        <f t="array" ref="B1235">INDEX('Portfolio Weights Std'!$B$9:$BJ$69,INT((ROW(A1234)-1)/COLUMNS('Portfolio Weights Std'!$B$9:$BJ$69))+1,MOD(ROW(A1234)-1,COLUMNS('Portfolio Weights Std'!$B$9:$BJ$69))+1)</f>
        <v>2.3357618197057745E-2</v>
      </c>
    </row>
    <row r="1236" spans="1:2" x14ac:dyDescent="0.25">
      <c r="A1236" cm="1">
        <f t="array" ref="A1236">INDEX('Portfolio Weights Returns'!$B$9:$BJ$69,
INT((ROW(A1235)-1)/COLUMNS('Portfolio Weights Returns'!$B$9:$BJ$69))+1,MOD(ROW(A1235)-1,COLUMNS('Portfolio Weights Returns'!$B$9:$BJ$69))+1)</f>
        <v>-9.6855471217877998E-4</v>
      </c>
      <c r="B1236" cm="1">
        <f t="array" ref="B1236">INDEX('Portfolio Weights Std'!$B$9:$BJ$69,INT((ROW(A1235)-1)/COLUMNS('Portfolio Weights Std'!$B$9:$BJ$69))+1,MOD(ROW(A1235)-1,COLUMNS('Portfolio Weights Std'!$B$9:$BJ$69))+1)</f>
        <v>2.31893985946394E-2</v>
      </c>
    </row>
    <row r="1237" spans="1:2" x14ac:dyDescent="0.25">
      <c r="A1237" cm="1">
        <f t="array" ref="A1237">INDEX('Portfolio Weights Returns'!$B$9:$BJ$69,
INT((ROW(A1236)-1)/COLUMNS('Portfolio Weights Returns'!$B$9:$BJ$69))+1,MOD(ROW(A1236)-1,COLUMNS('Portfolio Weights Returns'!$B$9:$BJ$69))+1)</f>
        <v>-9.6177353821210094E-4</v>
      </c>
      <c r="B1237" cm="1">
        <f t="array" ref="B1237">INDEX('Portfolio Weights Std'!$B$9:$BJ$69,INT((ROW(A1236)-1)/COLUMNS('Portfolio Weights Std'!$B$9:$BJ$69))+1,MOD(ROW(A1236)-1,COLUMNS('Portfolio Weights Std'!$B$9:$BJ$69))+1)</f>
        <v>2.3021961088910959E-2</v>
      </c>
    </row>
    <row r="1238" spans="1:2" x14ac:dyDescent="0.25">
      <c r="A1238" cm="1">
        <f t="array" ref="A1238">INDEX('Portfolio Weights Returns'!$B$9:$BJ$69,
INT((ROW(A1237)-1)/COLUMNS('Portfolio Weights Returns'!$B$9:$BJ$69))+1,MOD(ROW(A1237)-1,COLUMNS('Portfolio Weights Returns'!$B$9:$BJ$69))+1)</f>
        <v>-9.5499236424542201E-4</v>
      </c>
      <c r="B1238" cm="1">
        <f t="array" ref="B1238">INDEX('Portfolio Weights Std'!$B$9:$BJ$69,INT((ROW(A1237)-1)/COLUMNS('Portfolio Weights Std'!$B$9:$BJ$69))+1,MOD(ROW(A1237)-1,COLUMNS('Portfolio Weights Std'!$B$9:$BJ$69))+1)</f>
        <v>2.2855322868739418E-2</v>
      </c>
    </row>
    <row r="1239" spans="1:2" x14ac:dyDescent="0.25">
      <c r="A1239" cm="1">
        <f t="array" ref="A1239">INDEX('Portfolio Weights Returns'!$B$9:$BJ$69,
INT((ROW(A1238)-1)/COLUMNS('Portfolio Weights Returns'!$B$9:$BJ$69))+1,MOD(ROW(A1238)-1,COLUMNS('Portfolio Weights Returns'!$B$9:$BJ$69))+1)</f>
        <v>-9.4821119027874265E-4</v>
      </c>
      <c r="B1239" cm="1">
        <f t="array" ref="B1239">INDEX('Portfolio Weights Std'!$B$9:$BJ$69,INT((ROW(A1238)-1)/COLUMNS('Portfolio Weights Std'!$B$9:$BJ$69))+1,MOD(ROW(A1238)-1,COLUMNS('Portfolio Weights Std'!$B$9:$BJ$69))+1)</f>
        <v>2.2689501544680114E-2</v>
      </c>
    </row>
    <row r="1240" spans="1:2" x14ac:dyDescent="0.25">
      <c r="A1240" cm="1">
        <f t="array" ref="A1240">INDEX('Portfolio Weights Returns'!$B$9:$BJ$69,
INT((ROW(A1239)-1)/COLUMNS('Portfolio Weights Returns'!$B$9:$BJ$69))+1,MOD(ROW(A1239)-1,COLUMNS('Portfolio Weights Returns'!$B$9:$BJ$69))+1)</f>
        <v>-9.4143001631206372E-4</v>
      </c>
      <c r="B1240" cm="1">
        <f t="array" ref="B1240">INDEX('Portfolio Weights Std'!$B$9:$BJ$69,INT((ROW(A1239)-1)/COLUMNS('Portfolio Weights Std'!$B$9:$BJ$69))+1,MOD(ROW(A1239)-1,COLUMNS('Portfolio Weights Std'!$B$9:$BJ$69))+1)</f>
        <v>2.2524515158255588E-2</v>
      </c>
    </row>
    <row r="1241" spans="1:2" x14ac:dyDescent="0.25">
      <c r="A1241" cm="1">
        <f t="array" ref="A1241">INDEX('Portfolio Weights Returns'!$B$9:$BJ$69,
INT((ROW(A1240)-1)/COLUMNS('Portfolio Weights Returns'!$B$9:$BJ$69))+1,MOD(ROW(A1240)-1,COLUMNS('Portfolio Weights Returns'!$B$9:$BJ$69))+1)</f>
        <v>-9.3464884234538458E-4</v>
      </c>
      <c r="B1241" cm="1">
        <f t="array" ref="B1241">INDEX('Portfolio Weights Std'!$B$9:$BJ$69,INT((ROW(A1240)-1)/COLUMNS('Portfolio Weights Std'!$B$9:$BJ$69))+1,MOD(ROW(A1240)-1,COLUMNS('Portfolio Weights Std'!$B$9:$BJ$69))+1)</f>
        <v>2.2360382191269807E-2</v>
      </c>
    </row>
    <row r="1242" spans="1:2" x14ac:dyDescent="0.25">
      <c r="A1242" cm="1">
        <f t="array" ref="A1242">INDEX('Portfolio Weights Returns'!$B$9:$BJ$69,
INT((ROW(A1241)-1)/COLUMNS('Portfolio Weights Returns'!$B$9:$BJ$69))+1,MOD(ROW(A1241)-1,COLUMNS('Portfolio Weights Returns'!$B$9:$BJ$69))+1)</f>
        <v>-9.2786766837870554E-4</v>
      </c>
      <c r="B1242" cm="1">
        <f t="array" ref="B1242">INDEX('Portfolio Weights Std'!$B$9:$BJ$69,INT((ROW(A1241)-1)/COLUMNS('Portfolio Weights Std'!$B$9:$BJ$69))+1,MOD(ROW(A1241)-1,COLUMNS('Portfolio Weights Std'!$B$9:$BJ$69))+1)</f>
        <v>2.2197121575140148E-2</v>
      </c>
    </row>
    <row r="1243" spans="1:2" x14ac:dyDescent="0.25">
      <c r="A1243" cm="1">
        <f t="array" ref="A1243">INDEX('Portfolio Weights Returns'!$B$9:$BJ$69,
INT((ROW(A1242)-1)/COLUMNS('Portfolio Weights Returns'!$B$9:$BJ$69))+1,MOD(ROW(A1242)-1,COLUMNS('Portfolio Weights Returns'!$B$9:$BJ$69))+1)</f>
        <v>-9.210864944120264E-4</v>
      </c>
      <c r="B1243" cm="1">
        <f t="array" ref="B1243">INDEX('Portfolio Weights Std'!$B$9:$BJ$69,INT((ROW(A1242)-1)/COLUMNS('Portfolio Weights Std'!$B$9:$BJ$69))+1,MOD(ROW(A1242)-1,COLUMNS('Portfolio Weights Std'!$B$9:$BJ$69))+1)</f>
        <v>2.2034752700227308E-2</v>
      </c>
    </row>
    <row r="1244" spans="1:2" x14ac:dyDescent="0.25">
      <c r="A1244" cm="1">
        <f t="array" ref="A1244">INDEX('Portfolio Weights Returns'!$B$9:$BJ$69,
INT((ROW(A1243)-1)/COLUMNS('Portfolio Weights Returns'!$B$9:$BJ$69))+1,MOD(ROW(A1243)-1,COLUMNS('Portfolio Weights Returns'!$B$9:$BJ$69))+1)</f>
        <v>-9.1430532044534736E-4</v>
      </c>
      <c r="B1244" cm="1">
        <f t="array" ref="B1244">INDEX('Portfolio Weights Std'!$B$9:$BJ$69,INT((ROW(A1243)-1)/COLUMNS('Portfolio Weights Std'!$B$9:$BJ$69))+1,MOD(ROW(A1243)-1,COLUMNS('Portfolio Weights Std'!$B$9:$BJ$69))+1)</f>
        <v>2.1873295425141645E-2</v>
      </c>
    </row>
    <row r="1245" spans="1:2" x14ac:dyDescent="0.25">
      <c r="A1245" cm="1">
        <f t="array" ref="A1245">INDEX('Portfolio Weights Returns'!$B$9:$BJ$69,
INT((ROW(A1244)-1)/COLUMNS('Portfolio Weights Returns'!$B$9:$BJ$69))+1,MOD(ROW(A1244)-1,COLUMNS('Portfolio Weights Returns'!$B$9:$BJ$69))+1)</f>
        <v>-9.0752414647866811E-4</v>
      </c>
      <c r="B1245" cm="1">
        <f t="array" ref="B1245">INDEX('Portfolio Weights Std'!$B$9:$BJ$69,INT((ROW(A1244)-1)/COLUMNS('Portfolio Weights Std'!$B$9:$BJ$69))+1,MOD(ROW(A1244)-1,COLUMNS('Portfolio Weights Std'!$B$9:$BJ$69))+1)</f>
        <v>2.1712770086002309E-2</v>
      </c>
    </row>
    <row r="1246" spans="1:2" x14ac:dyDescent="0.25">
      <c r="A1246" cm="1">
        <f t="array" ref="A1246">INDEX('Portfolio Weights Returns'!$B$9:$BJ$69,
INT((ROW(A1245)-1)/COLUMNS('Portfolio Weights Returns'!$B$9:$BJ$69))+1,MOD(ROW(A1245)-1,COLUMNS('Portfolio Weights Returns'!$B$9:$BJ$69))+1)</f>
        <v>-9.0074297251198907E-4</v>
      </c>
      <c r="B1246" cm="1">
        <f t="array" ref="B1246">INDEX('Portfolio Weights Std'!$B$9:$BJ$69,INT((ROW(A1245)-1)/COLUMNS('Portfolio Weights Std'!$B$9:$BJ$69))+1,MOD(ROW(A1245)-1,COLUMNS('Portfolio Weights Std'!$B$9:$BJ$69))+1)</f>
        <v>2.1553197505623067E-2</v>
      </c>
    </row>
    <row r="1247" spans="1:2" x14ac:dyDescent="0.25">
      <c r="A1247" cm="1">
        <f t="array" ref="A1247">INDEX('Portfolio Weights Returns'!$B$9:$BJ$69,
INT((ROW(A1246)-1)/COLUMNS('Portfolio Weights Returns'!$B$9:$BJ$69))+1,MOD(ROW(A1246)-1,COLUMNS('Portfolio Weights Returns'!$B$9:$BJ$69))+1)</f>
        <v>-8.9396179854530993E-4</v>
      </c>
      <c r="B1247" cm="1">
        <f t="array" ref="B1247">INDEX('Portfolio Weights Std'!$B$9:$BJ$69,INT((ROW(A1246)-1)/COLUMNS('Portfolio Weights Std'!$B$9:$BJ$69))+1,MOD(ROW(A1246)-1,COLUMNS('Portfolio Weights Std'!$B$9:$BJ$69))+1)</f>
        <v>2.1394599002596951E-2</v>
      </c>
    </row>
    <row r="1248" spans="1:2" x14ac:dyDescent="0.25">
      <c r="A1248" cm="1">
        <f t="array" ref="A1248">INDEX('Portfolio Weights Returns'!$B$9:$BJ$69,
INT((ROW(A1247)-1)/COLUMNS('Portfolio Weights Returns'!$B$9:$BJ$69))+1,MOD(ROW(A1247)-1,COLUMNS('Portfolio Weights Returns'!$B$9:$BJ$69))+1)</f>
        <v>-8.8718062457863078E-4</v>
      </c>
      <c r="B1248" cm="1">
        <f t="array" ref="B1248">INDEX('Portfolio Weights Std'!$B$9:$BJ$69,INT((ROW(A1247)-1)/COLUMNS('Portfolio Weights Std'!$B$9:$BJ$69))+1,MOD(ROW(A1247)-1,COLUMNS('Portfolio Weights Std'!$B$9:$BJ$69))+1)</f>
        <v>2.1236996400248655E-2</v>
      </c>
    </row>
    <row r="1249" spans="1:2" x14ac:dyDescent="0.25">
      <c r="A1249" cm="1">
        <f t="array" ref="A1249">INDEX('Portfolio Weights Returns'!$B$9:$BJ$69,
INT((ROW(A1248)-1)/COLUMNS('Portfolio Weights Returns'!$B$9:$BJ$69))+1,MOD(ROW(A1248)-1,COLUMNS('Portfolio Weights Returns'!$B$9:$BJ$69))+1)</f>
        <v>-8.8039945061195175E-4</v>
      </c>
      <c r="B1249" cm="1">
        <f t="array" ref="B1249">INDEX('Portfolio Weights Std'!$B$9:$BJ$69,INT((ROW(A1248)-1)/COLUMNS('Portfolio Weights Std'!$B$9:$BJ$69))+1,MOD(ROW(A1248)-1,COLUMNS('Portfolio Weights Std'!$B$9:$BJ$69))+1)</f>
        <v>2.1080412035421697E-2</v>
      </c>
    </row>
    <row r="1250" spans="1:2" x14ac:dyDescent="0.25">
      <c r="A1250" cm="1">
        <f t="array" ref="A1250">INDEX('Portfolio Weights Returns'!$B$9:$BJ$69,
INT((ROW(A1249)-1)/COLUMNS('Portfolio Weights Returns'!$B$9:$BJ$69))+1,MOD(ROW(A1249)-1,COLUMNS('Portfolio Weights Returns'!$B$9:$BJ$69))+1)</f>
        <v>-8.736182766452726E-4</v>
      </c>
      <c r="B1250" cm="1">
        <f t="array" ref="B1250">INDEX('Portfolio Weights Std'!$B$9:$BJ$69,INT((ROW(A1249)-1)/COLUMNS('Portfolio Weights Std'!$B$9:$BJ$69))+1,MOD(ROW(A1249)-1,COLUMNS('Portfolio Weights Std'!$B$9:$BJ$69))+1)</f>
        <v>2.0924868767064123E-2</v>
      </c>
    </row>
    <row r="1251" spans="1:2" x14ac:dyDescent="0.25">
      <c r="A1251" cm="1">
        <f t="array" ref="A1251">INDEX('Portfolio Weights Returns'!$B$9:$BJ$69,
INT((ROW(A1250)-1)/COLUMNS('Portfolio Weights Returns'!$B$9:$BJ$69))+1,MOD(ROW(A1250)-1,COLUMNS('Portfolio Weights Returns'!$B$9:$BJ$69))+1)</f>
        <v>-8.6683710267859357E-4</v>
      </c>
      <c r="B1251" cm="1">
        <f t="array" ref="B1251">INDEX('Portfolio Weights Std'!$B$9:$BJ$69,INT((ROW(A1250)-1)/COLUMNS('Portfolio Weights Std'!$B$9:$BJ$69))+1,MOD(ROW(A1250)-1,COLUMNS('Portfolio Weights Std'!$B$9:$BJ$69))+1)</f>
        <v>2.0770389984573839E-2</v>
      </c>
    </row>
    <row r="1252" spans="1:2" x14ac:dyDescent="0.25">
      <c r="A1252" cm="1">
        <f t="array" ref="A1252">INDEX('Portfolio Weights Returns'!$B$9:$BJ$69,
INT((ROW(A1251)-1)/COLUMNS('Portfolio Weights Returns'!$B$9:$BJ$69))+1,MOD(ROW(A1251)-1,COLUMNS('Portfolio Weights Returns'!$B$9:$BJ$69))+1)</f>
        <v>-8.6005592871191432E-4</v>
      </c>
      <c r="B1252" cm="1">
        <f t="array" ref="B1252">INDEX('Portfolio Weights Std'!$B$9:$BJ$69,INT((ROW(A1251)-1)/COLUMNS('Portfolio Weights Std'!$B$9:$BJ$69))+1,MOD(ROW(A1251)-1,COLUMNS('Portfolio Weights Std'!$B$9:$BJ$69))+1)</f>
        <v>2.0616999615861685E-2</v>
      </c>
    </row>
    <row r="1253" spans="1:2" x14ac:dyDescent="0.25">
      <c r="A1253" cm="1">
        <f t="array" ref="A1253">INDEX('Portfolio Weights Returns'!$B$9:$BJ$69,
INT((ROW(A1252)-1)/COLUMNS('Portfolio Weights Returns'!$B$9:$BJ$69))+1,MOD(ROW(A1252)-1,COLUMNS('Portfolio Weights Returns'!$B$9:$BJ$69))+1)</f>
        <v>-8.5327475474523528E-4</v>
      </c>
      <c r="B1253" cm="1">
        <f t="array" ref="B1253">INDEX('Portfolio Weights Std'!$B$9:$BJ$69,INT((ROW(A1252)-1)/COLUMNS('Portfolio Weights Std'!$B$9:$BJ$69))+1,MOD(ROW(A1252)-1,COLUMNS('Portfolio Weights Std'!$B$9:$BJ$69))+1)</f>
        <v>2.0464722135087061E-2</v>
      </c>
    </row>
    <row r="1254" spans="1:2" x14ac:dyDescent="0.25">
      <c r="A1254" cm="1">
        <f t="array" ref="A1254">INDEX('Portfolio Weights Returns'!$B$9:$BJ$69,
INT((ROW(A1253)-1)/COLUMNS('Portfolio Weights Returns'!$B$9:$BJ$69))+1,MOD(ROW(A1253)-1,COLUMNS('Portfolio Weights Returns'!$B$9:$BJ$69))+1)</f>
        <v>-8.4649358077855614E-4</v>
      </c>
      <c r="B1254" cm="1">
        <f t="array" ref="B1254">INDEX('Portfolio Weights Std'!$B$9:$BJ$69,INT((ROW(A1253)-1)/COLUMNS('Portfolio Weights Std'!$B$9:$BJ$69))+1,MOD(ROW(A1253)-1,COLUMNS('Portfolio Weights Std'!$B$9:$BJ$69))+1)</f>
        <v>2.0313582570017769E-2</v>
      </c>
    </row>
    <row r="1255" spans="1:2" x14ac:dyDescent="0.25">
      <c r="A1255" cm="1">
        <f t="array" ref="A1255">INDEX('Portfolio Weights Returns'!$B$9:$BJ$69,
INT((ROW(A1254)-1)/COLUMNS('Portfolio Weights Returns'!$B$9:$BJ$69))+1,MOD(ROW(A1254)-1,COLUMNS('Portfolio Weights Returns'!$B$9:$BJ$69))+1)</f>
        <v>-8.397124068118771E-4</v>
      </c>
      <c r="B1255" cm="1">
        <f t="array" ref="B1255">INDEX('Portfolio Weights Std'!$B$9:$BJ$69,INT((ROW(A1254)-1)/COLUMNS('Portfolio Weights Std'!$B$9:$BJ$69))+1,MOD(ROW(A1254)-1,COLUMNS('Portfolio Weights Std'!$B$9:$BJ$69))+1)</f>
        <v>2.0163606508962203E-2</v>
      </c>
    </row>
    <row r="1256" spans="1:2" x14ac:dyDescent="0.25">
      <c r="A1256" cm="1">
        <f t="array" ref="A1256">INDEX('Portfolio Weights Returns'!$B$9:$BJ$69,
INT((ROW(A1255)-1)/COLUMNS('Portfolio Weights Returns'!$B$9:$BJ$69))+1,MOD(ROW(A1255)-1,COLUMNS('Portfolio Weights Returns'!$B$9:$BJ$69))+1)</f>
        <v>-8.3293123284519795E-4</v>
      </c>
      <c r="B1256" cm="1">
        <f t="array" ref="B1256">INDEX('Portfolio Weights Std'!$B$9:$BJ$69,INT((ROW(A1255)-1)/COLUMNS('Portfolio Weights Std'!$B$9:$BJ$69))+1,MOD(ROW(A1255)-1,COLUMNS('Portfolio Weights Std'!$B$9:$BJ$69))+1)</f>
        <v>2.0014820107218608E-2</v>
      </c>
    </row>
    <row r="1257" spans="1:2" x14ac:dyDescent="0.25">
      <c r="A1257" cm="1">
        <f t="array" ref="A1257">INDEX('Portfolio Weights Returns'!$B$9:$BJ$69,
INT((ROW(A1256)-1)/COLUMNS('Portfolio Weights Returns'!$B$9:$BJ$69))+1,MOD(ROW(A1256)-1,COLUMNS('Portfolio Weights Returns'!$B$9:$BJ$69))+1)</f>
        <v>-8.2615005887851881E-4</v>
      </c>
      <c r="B1257" cm="1">
        <f t="array" ref="B1257">INDEX('Portfolio Weights Std'!$B$9:$BJ$69,INT((ROW(A1256)-1)/COLUMNS('Portfolio Weights Std'!$B$9:$BJ$69))+1,MOD(ROW(A1256)-1,COLUMNS('Portfolio Weights Std'!$B$9:$BJ$69))+1)</f>
        <v>1.9867250092982357E-2</v>
      </c>
    </row>
    <row r="1258" spans="1:2" x14ac:dyDescent="0.25">
      <c r="A1258" cm="1">
        <f t="array" ref="A1258">INDEX('Portfolio Weights Returns'!$B$9:$BJ$69,
INT((ROW(A1257)-1)/COLUMNS('Portfolio Weights Returns'!$B$9:$BJ$69))+1,MOD(ROW(A1257)-1,COLUMNS('Portfolio Weights Returns'!$B$9:$BJ$69))+1)</f>
        <v>-8.1936888491183977E-4</v>
      </c>
      <c r="B1258" cm="1">
        <f t="array" ref="B1258">INDEX('Portfolio Weights Std'!$B$9:$BJ$69,INT((ROW(A1257)-1)/COLUMNS('Portfolio Weights Std'!$B$9:$BJ$69))+1,MOD(ROW(A1257)-1,COLUMNS('Portfolio Weights Std'!$B$9:$BJ$69))+1)</f>
        <v>1.9720923772648651E-2</v>
      </c>
    </row>
    <row r="1259" spans="1:2" x14ac:dyDescent="0.25">
      <c r="A1259" cm="1">
        <f t="array" ref="A1259">INDEX('Portfolio Weights Returns'!$B$9:$BJ$69,
INT((ROW(A1258)-1)/COLUMNS('Portfolio Weights Returns'!$B$9:$BJ$69))+1,MOD(ROW(A1258)-1,COLUMNS('Portfolio Weights Returns'!$B$9:$BJ$69))+1)</f>
        <v>-8.1258771094516052E-4</v>
      </c>
      <c r="B1259" cm="1">
        <f t="array" ref="B1259">INDEX('Portfolio Weights Std'!$B$9:$BJ$69,INT((ROW(A1258)-1)/COLUMNS('Portfolio Weights Std'!$B$9:$BJ$69))+1,MOD(ROW(A1258)-1,COLUMNS('Portfolio Weights Std'!$B$9:$BJ$69))+1)</f>
        <v>1.9575869035444012E-2</v>
      </c>
    </row>
    <row r="1260" spans="1:2" x14ac:dyDescent="0.25">
      <c r="A1260" cm="1">
        <f t="array" ref="A1260">INDEX('Portfolio Weights Returns'!$B$9:$BJ$69,
INT((ROW(A1259)-1)/COLUMNS('Portfolio Weights Returns'!$B$9:$BJ$69))+1,MOD(ROW(A1259)-1,COLUMNS('Portfolio Weights Returns'!$B$9:$BJ$69))+1)</f>
        <v>-8.0580653697848149E-4</v>
      </c>
      <c r="B1260" cm="1">
        <f t="array" ref="B1260">INDEX('Portfolio Weights Std'!$B$9:$BJ$69,INT((ROW(A1259)-1)/COLUMNS('Portfolio Weights Std'!$B$9:$BJ$69))+1,MOD(ROW(A1259)-1,COLUMNS('Portfolio Weights Std'!$B$9:$BJ$69))+1)</f>
        <v>1.9432114357316312E-2</v>
      </c>
    </row>
    <row r="1261" spans="1:2" x14ac:dyDescent="0.25">
      <c r="A1261" cm="1">
        <f t="array" ref="A1261">INDEX('Portfolio Weights Returns'!$B$9:$BJ$69,
INT((ROW(A1260)-1)/COLUMNS('Portfolio Weights Returns'!$B$9:$BJ$69))+1,MOD(ROW(A1260)-1,COLUMNS('Portfolio Weights Returns'!$B$9:$BJ$69))+1)</f>
        <v>-7.9902536301180234E-4</v>
      </c>
      <c r="B1261" cm="1">
        <f t="array" ref="B1261">INDEX('Portfolio Weights Std'!$B$9:$BJ$69,INT((ROW(A1260)-1)/COLUMNS('Portfolio Weights Std'!$B$9:$BJ$69))+1,MOD(ROW(A1260)-1,COLUMNS('Portfolio Weights Std'!$B$9:$BJ$69))+1)</f>
        <v>1.9289688804008935E-2</v>
      </c>
    </row>
    <row r="1262" spans="1:2" x14ac:dyDescent="0.25">
      <c r="A1262" cm="1">
        <f t="array" ref="A1262">INDEX('Portfolio Weights Returns'!$B$9:$BJ$69,
INT((ROW(A1261)-1)/COLUMNS('Portfolio Weights Returns'!$B$9:$BJ$69))+1,MOD(ROW(A1261)-1,COLUMNS('Portfolio Weights Returns'!$B$9:$BJ$69))+1)</f>
        <v>-7.922441890451233E-4</v>
      </c>
      <c r="B1262" cm="1">
        <f t="array" ref="B1262">INDEX('Portfolio Weights Std'!$B$9:$BJ$69,INT((ROW(A1261)-1)/COLUMNS('Portfolio Weights Std'!$B$9:$BJ$69))+1,MOD(ROW(A1261)-1,COLUMNS('Portfolio Weights Std'!$B$9:$BJ$69))+1)</f>
        <v>1.9148622033240997E-2</v>
      </c>
    </row>
    <row r="1263" spans="1:2" x14ac:dyDescent="0.25">
      <c r="A1263" cm="1">
        <f t="array" ref="A1263">INDEX('Portfolio Weights Returns'!$B$9:$BJ$69,
INT((ROW(A1262)-1)/COLUMNS('Portfolio Weights Returns'!$B$9:$BJ$69))+1,MOD(ROW(A1262)-1,COLUMNS('Portfolio Weights Returns'!$B$9:$BJ$69))+1)</f>
        <v>-7.8546301507844416E-4</v>
      </c>
      <c r="B1263" cm="1">
        <f t="array" ref="B1263">INDEX('Portfolio Weights Std'!$B$9:$BJ$69,INT((ROW(A1262)-1)/COLUMNS('Portfolio Weights Std'!$B$9:$BJ$69))+1,MOD(ROW(A1262)-1,COLUMNS('Portfolio Weights Std'!$B$9:$BJ$69))+1)</f>
        <v>1.900894429591142E-2</v>
      </c>
    </row>
    <row r="1264" spans="1:2" x14ac:dyDescent="0.25">
      <c r="A1264" cm="1">
        <f t="array" ref="A1264">INDEX('Portfolio Weights Returns'!$B$9:$BJ$69,
INT((ROW(A1263)-1)/COLUMNS('Portfolio Weights Returns'!$B$9:$BJ$69))+1,MOD(ROW(A1263)-1,COLUMNS('Portfolio Weights Returns'!$B$9:$BJ$69))+1)</f>
        <v>-7.7868184111176512E-4</v>
      </c>
      <c r="B1264" cm="1">
        <f t="array" ref="B1264">INDEX('Portfolio Weights Std'!$B$9:$BJ$69,INT((ROW(A1263)-1)/COLUMNS('Portfolio Weights Std'!$B$9:$BJ$69))+1,MOD(ROW(A1263)-1,COLUMNS('Portfolio Weights Std'!$B$9:$BJ$69))+1)</f>
        <v>1.8870686436241003E-2</v>
      </c>
    </row>
    <row r="1265" spans="1:2" x14ac:dyDescent="0.25">
      <c r="A1265" cm="1">
        <f t="array" ref="A1265">INDEX('Portfolio Weights Returns'!$B$9:$BJ$69,
INT((ROW(A1264)-1)/COLUMNS('Portfolio Weights Returns'!$B$9:$BJ$69))+1,MOD(ROW(A1264)-1,COLUMNS('Portfolio Weights Returns'!$B$9:$BJ$69))+1)</f>
        <v>-7.7190066714508598E-4</v>
      </c>
      <c r="B1265" cm="1">
        <f t="array" ref="B1265">INDEX('Portfolio Weights Std'!$B$9:$BJ$69,INT((ROW(A1264)-1)/COLUMNS('Portfolio Weights Std'!$B$9:$BJ$69))+1,MOD(ROW(A1264)-1,COLUMNS('Portfolio Weights Std'!$B$9:$BJ$69))+1)</f>
        <v>1.8733879890762695E-2</v>
      </c>
    </row>
    <row r="1266" spans="1:2" x14ac:dyDescent="0.25">
      <c r="A1266" cm="1">
        <f t="array" ref="A1266">INDEX('Portfolio Weights Returns'!$B$9:$BJ$69,
INT((ROW(A1265)-1)/COLUMNS('Portfolio Weights Returns'!$B$9:$BJ$69))+1,MOD(ROW(A1265)-1,COLUMNS('Portfolio Weights Returns'!$B$9:$BJ$69))+1)</f>
        <v>-7.6511949317840684E-4</v>
      </c>
      <c r="B1266" cm="1">
        <f t="array" ref="B1266">INDEX('Portfolio Weights Std'!$B$9:$BJ$69,INT((ROW(A1265)-1)/COLUMNS('Portfolio Weights Std'!$B$9:$BJ$69))+1,MOD(ROW(A1265)-1,COLUMNS('Portfolio Weights Std'!$B$9:$BJ$69))+1)</f>
        <v>1.8598556686066834E-2</v>
      </c>
    </row>
    <row r="1267" spans="1:2" x14ac:dyDescent="0.25">
      <c r="A1267" cm="1">
        <f t="array" ref="A1267">INDEX('Portfolio Weights Returns'!$B$9:$BJ$69,
INT((ROW(A1266)-1)/COLUMNS('Portfolio Weights Returns'!$B$9:$BJ$69))+1,MOD(ROW(A1266)-1,COLUMNS('Portfolio Weights Returns'!$B$9:$BJ$69))+1)</f>
        <v>-7.5833831921172769E-4</v>
      </c>
      <c r="B1267" cm="1">
        <f t="array" ref="B1267">INDEX('Portfolio Weights Std'!$B$9:$BJ$69,INT((ROW(A1266)-1)/COLUMNS('Portfolio Weights Std'!$B$9:$BJ$69))+1,MOD(ROW(A1266)-1,COLUMNS('Portfolio Weights Std'!$B$9:$BJ$69))+1)</f>
        <v>1.8464749435204528E-2</v>
      </c>
    </row>
    <row r="1268" spans="1:2" x14ac:dyDescent="0.25">
      <c r="A1268" cm="1">
        <f t="array" ref="A1268">INDEX('Portfolio Weights Returns'!$B$9:$BJ$69,
INT((ROW(A1267)-1)/COLUMNS('Portfolio Weights Returns'!$B$9:$BJ$69))+1,MOD(ROW(A1267)-1,COLUMNS('Portfolio Weights Returns'!$B$9:$BJ$69))+1)</f>
        <v>-7.5155714524504855E-4</v>
      </c>
      <c r="B1268" cm="1">
        <f t="array" ref="B1268">INDEX('Portfolio Weights Std'!$B$9:$BJ$69,INT((ROW(A1267)-1)/COLUMNS('Portfolio Weights Std'!$B$9:$BJ$69))+1,MOD(ROW(A1267)-1,COLUMNS('Portfolio Weights Std'!$B$9:$BJ$69))+1)</f>
        <v>1.8332491332649154E-2</v>
      </c>
    </row>
    <row r="1269" spans="1:2" x14ac:dyDescent="0.25">
      <c r="A1269" cm="1">
        <f t="array" ref="A1269">INDEX('Portfolio Weights Returns'!$B$9:$BJ$69,
INT((ROW(A1268)-1)/COLUMNS('Portfolio Weights Returns'!$B$9:$BJ$69))+1,MOD(ROW(A1268)-1,COLUMNS('Portfolio Weights Returns'!$B$9:$BJ$69))+1)</f>
        <v>-7.4477597127836951E-4</v>
      </c>
      <c r="B1269" cm="1">
        <f t="array" ref="B1269">INDEX('Portfolio Weights Std'!$B$9:$BJ$69,INT((ROW(A1268)-1)/COLUMNS('Portfolio Weights Std'!$B$9:$BJ$69))+1,MOD(ROW(A1268)-1,COLUMNS('Portfolio Weights Std'!$B$9:$BJ$69))+1)</f>
        <v>1.8201816147713195E-2</v>
      </c>
    </row>
    <row r="1270" spans="1:2" x14ac:dyDescent="0.25">
      <c r="A1270" cm="1">
        <f t="array" ref="A1270">INDEX('Portfolio Weights Returns'!$B$9:$BJ$69,
INT((ROW(A1269)-1)/COLUMNS('Portfolio Weights Returns'!$B$9:$BJ$69))+1,MOD(ROW(A1269)-1,COLUMNS('Portfolio Weights Returns'!$B$9:$BJ$69))+1)</f>
        <v>-7.3799479731169047E-4</v>
      </c>
      <c r="B1270" cm="1">
        <f t="array" ref="B1270">INDEX('Portfolio Weights Std'!$B$9:$BJ$69,INT((ROW(A1269)-1)/COLUMNS('Portfolio Weights Std'!$B$9:$BJ$69))+1,MOD(ROW(A1269)-1,COLUMNS('Portfolio Weights Std'!$B$9:$BJ$69))+1)</f>
        <v>1.8072758216314828E-2</v>
      </c>
    </row>
    <row r="1271" spans="1:2" x14ac:dyDescent="0.25">
      <c r="A1271" cm="1">
        <f t="array" ref="A1271">INDEX('Portfolio Weights Returns'!$B$9:$BJ$69,
INT((ROW(A1270)-1)/COLUMNS('Portfolio Weights Returns'!$B$9:$BJ$69))+1,MOD(ROW(A1270)-1,COLUMNS('Portfolio Weights Returns'!$B$9:$BJ$69))+1)</f>
        <v>-7.3121362334501144E-4</v>
      </c>
      <c r="B1271" cm="1">
        <f t="array" ref="B1271">INDEX('Portfolio Weights Std'!$B$9:$BJ$69,INT((ROW(A1270)-1)/COLUMNS('Portfolio Weights Std'!$B$9:$BJ$69))+1,MOD(ROW(A1270)-1,COLUMNS('Portfolio Weights Std'!$B$9:$BJ$69))+1)</f>
        <v>1.7945352430986789E-2</v>
      </c>
    </row>
    <row r="1272" spans="1:2" x14ac:dyDescent="0.25">
      <c r="A1272" cm="1">
        <f t="array" ref="A1272">INDEX('Portfolio Weights Returns'!$B$9:$BJ$69,
INT((ROW(A1271)-1)/COLUMNS('Portfolio Weights Returns'!$B$9:$BJ$69))+1,MOD(ROW(A1271)-1,COLUMNS('Portfolio Weights Returns'!$B$9:$BJ$69))+1)</f>
        <v>-7.2443244937833219E-4</v>
      </c>
      <c r="B1272" cm="1">
        <f t="array" ref="B1272">INDEX('Portfolio Weights Std'!$B$9:$BJ$69,INT((ROW(A1271)-1)/COLUMNS('Portfolio Weights Std'!$B$9:$BJ$69))+1,MOD(ROW(A1271)-1,COLUMNS('Portfolio Weights Std'!$B$9:$BJ$69))+1)</f>
        <v>1.7819634229018215E-2</v>
      </c>
    </row>
    <row r="1273" spans="1:2" x14ac:dyDescent="0.25">
      <c r="A1273" cm="1">
        <f t="array" ref="A1273">INDEX('Portfolio Weights Returns'!$B$9:$BJ$69,
INT((ROW(A1272)-1)/COLUMNS('Portfolio Weights Returns'!$B$9:$BJ$69))+1,MOD(ROW(A1272)-1,COLUMNS('Portfolio Weights Returns'!$B$9:$BJ$69))+1)</f>
        <v>-7.1765127541165315E-4</v>
      </c>
      <c r="B1273" cm="1">
        <f t="array" ref="B1273">INDEX('Portfolio Weights Std'!$B$9:$BJ$69,INT((ROW(A1272)-1)/COLUMNS('Portfolio Weights Std'!$B$9:$BJ$69))+1,MOD(ROW(A1272)-1,COLUMNS('Portfolio Weights Std'!$B$9:$BJ$69))+1)</f>
        <v>1.7695639578619301E-2</v>
      </c>
    </row>
    <row r="1274" spans="1:2" x14ac:dyDescent="0.25">
      <c r="A1274" cm="1">
        <f t="array" ref="A1274">INDEX('Portfolio Weights Returns'!$B$9:$BJ$69,
INT((ROW(A1273)-1)/COLUMNS('Portfolio Weights Returns'!$B$9:$BJ$69))+1,MOD(ROW(A1273)-1,COLUMNS('Portfolio Weights Returns'!$B$9:$BJ$69))+1)</f>
        <v>-7.1087010144497401E-4</v>
      </c>
      <c r="B1274" cm="1">
        <f t="array" ref="B1274">INDEX('Portfolio Weights Std'!$B$9:$BJ$69,INT((ROW(A1273)-1)/COLUMNS('Portfolio Weights Std'!$B$9:$BJ$69))+1,MOD(ROW(A1273)-1,COLUMNS('Portfolio Weights Std'!$B$9:$BJ$69))+1)</f>
        <v>1.7573404962998029E-2</v>
      </c>
    </row>
    <row r="1275" spans="1:2" x14ac:dyDescent="0.25">
      <c r="A1275" cm="1">
        <f t="array" ref="A1275">INDEX('Portfolio Weights Returns'!$B$9:$BJ$69,
INT((ROW(A1274)-1)/COLUMNS('Portfolio Weights Returns'!$B$9:$BJ$69))+1,MOD(ROW(A1274)-1,COLUMNS('Portfolio Weights Returns'!$B$9:$BJ$69))+1)</f>
        <v>-7.0408892747829497E-4</v>
      </c>
      <c r="B1275" cm="1">
        <f t="array" ref="B1275">INDEX('Portfolio Weights Std'!$B$9:$BJ$69,INT((ROW(A1274)-1)/COLUMNS('Portfolio Weights Std'!$B$9:$BJ$69))+1,MOD(ROW(A1274)-1,COLUMNS('Portfolio Weights Std'!$B$9:$BJ$69))+1)</f>
        <v>1.7452967362238888E-2</v>
      </c>
    </row>
    <row r="1276" spans="1:2" x14ac:dyDescent="0.25">
      <c r="A1276" cm="1">
        <f t="array" ref="A1276">INDEX('Portfolio Weights Returns'!$B$9:$BJ$69,
INT((ROW(A1275)-1)/COLUMNS('Portfolio Weights Returns'!$B$9:$BJ$69))+1,MOD(ROW(A1275)-1,COLUMNS('Portfolio Weights Returns'!$B$9:$BJ$69))+1)</f>
        <v>-6.9730775351161583E-4</v>
      </c>
      <c r="B1276" cm="1">
        <f t="array" ref="B1276">INDEX('Portfolio Weights Std'!$B$9:$BJ$69,INT((ROW(A1275)-1)/COLUMNS('Portfolio Weights Std'!$B$9:$BJ$69))+1,MOD(ROW(A1275)-1,COLUMNS('Portfolio Weights Std'!$B$9:$BJ$69))+1)</f>
        <v>1.7334364232874353E-2</v>
      </c>
    </row>
    <row r="1277" spans="1:2" x14ac:dyDescent="0.25">
      <c r="A1277" cm="1">
        <f t="array" ref="A1277">INDEX('Portfolio Weights Returns'!$B$9:$BJ$69,
INT((ROW(A1276)-1)/COLUMNS('Portfolio Weights Returns'!$B$9:$BJ$69))+1,MOD(ROW(A1276)-1,COLUMNS('Portfolio Weights Returns'!$B$9:$BJ$69))+1)</f>
        <v>-6.9052657954493668E-4</v>
      </c>
      <c r="B1277" cm="1">
        <f t="array" ref="B1277">INDEX('Portfolio Weights Std'!$B$9:$BJ$69,INT((ROW(A1276)-1)/COLUMNS('Portfolio Weights Std'!$B$9:$BJ$69))+1,MOD(ROW(A1276)-1,COLUMNS('Portfolio Weights Std'!$B$9:$BJ$69))+1)</f>
        <v>1.7217633485042527E-2</v>
      </c>
    </row>
    <row r="1278" spans="1:2" x14ac:dyDescent="0.25">
      <c r="A1278" cm="1">
        <f t="array" ref="A1278">INDEX('Portfolio Weights Returns'!$B$9:$BJ$69,
INT((ROW(A1277)-1)/COLUMNS('Portfolio Weights Returns'!$B$9:$BJ$69))+1,MOD(ROW(A1277)-1,COLUMNS('Portfolio Weights Returns'!$B$9:$BJ$69))+1)</f>
        <v>-6.8374540557825754E-4</v>
      </c>
      <c r="B1278" cm="1">
        <f t="array" ref="B1278">INDEX('Portfolio Weights Std'!$B$9:$BJ$69,INT((ROW(A1277)-1)/COLUMNS('Portfolio Weights Std'!$B$9:$BJ$69))+1,MOD(ROW(A1277)-1,COLUMNS('Portfolio Weights Std'!$B$9:$BJ$69))+1)</f>
        <v>1.7102813457127088E-2</v>
      </c>
    </row>
    <row r="1279" spans="1:2" x14ac:dyDescent="0.25">
      <c r="A1279" cm="1">
        <f t="array" ref="A1279">INDEX('Portfolio Weights Returns'!$B$9:$BJ$69,
INT((ROW(A1278)-1)/COLUMNS('Portfolio Weights Returns'!$B$9:$BJ$69))+1,MOD(ROW(A1278)-1,COLUMNS('Portfolio Weights Returns'!$B$9:$BJ$69))+1)</f>
        <v>-6.7696423161157774E-4</v>
      </c>
      <c r="B1279" cm="1">
        <f t="array" ref="B1279">INDEX('Portfolio Weights Std'!$B$9:$BJ$69,INT((ROW(A1278)-1)/COLUMNS('Portfolio Weights Std'!$B$9:$BJ$69))+1,MOD(ROW(A1278)-1,COLUMNS('Portfolio Weights Std'!$B$9:$BJ$69))+1)</f>
        <v>1.6989942887780485E-2</v>
      </c>
    </row>
    <row r="1280" spans="1:2" x14ac:dyDescent="0.25">
      <c r="A1280" cm="1">
        <f t="array" ref="A1280">INDEX('Portfolio Weights Returns'!$B$9:$BJ$69,
INT((ROW(A1279)-1)/COLUMNS('Portfolio Weights Returns'!$B$9:$BJ$69))+1,MOD(ROW(A1279)-1,COLUMNS('Portfolio Weights Returns'!$B$9:$BJ$69))+1)</f>
        <v>-6.7018305764489871E-4</v>
      </c>
      <c r="B1280" cm="1">
        <f t="array" ref="B1280">INDEX('Portfolio Weights Std'!$B$9:$BJ$69,INT((ROW(A1279)-1)/COLUMNS('Portfolio Weights Std'!$B$9:$BJ$69))+1,MOD(ROW(A1279)-1,COLUMNS('Portfolio Weights Std'!$B$9:$BJ$69))+1)</f>
        <v>1.6879060885236608E-2</v>
      </c>
    </row>
    <row r="1281" spans="1:2" x14ac:dyDescent="0.25">
      <c r="A1281" cm="1">
        <f t="array" ref="A1281">INDEX('Portfolio Weights Returns'!$B$9:$BJ$69,
INT((ROW(A1280)-1)/COLUMNS('Portfolio Weights Returns'!$B$9:$BJ$69))+1,MOD(ROW(A1280)-1,COLUMNS('Portfolio Weights Returns'!$B$9:$BJ$69))+1)</f>
        <v>-6.6340188367821967E-4</v>
      </c>
      <c r="B1281" cm="1">
        <f t="array" ref="B1281">INDEX('Portfolio Weights Std'!$B$9:$BJ$69,INT((ROW(A1280)-1)/COLUMNS('Portfolio Weights Std'!$B$9:$BJ$69))+1,MOD(ROW(A1280)-1,COLUMNS('Portfolio Weights Std'!$B$9:$BJ$69))+1)</f>
        <v>1.6770206893826085E-2</v>
      </c>
    </row>
    <row r="1282" spans="1:2" x14ac:dyDescent="0.25">
      <c r="A1282" cm="1">
        <f t="array" ref="A1282">INDEX('Portfolio Weights Returns'!$B$9:$BJ$69,
INT((ROW(A1281)-1)/COLUMNS('Portfolio Weights Returns'!$B$9:$BJ$69))+1,MOD(ROW(A1281)-1,COLUMNS('Portfolio Weights Returns'!$B$9:$BJ$69))+1)</f>
        <v>-6.5662070971154052E-4</v>
      </c>
      <c r="B1282" cm="1">
        <f t="array" ref="B1282">INDEX('Portfolio Weights Std'!$B$9:$BJ$69,INT((ROW(A1281)-1)/COLUMNS('Portfolio Weights Std'!$B$9:$BJ$69))+1,MOD(ROW(A1281)-1,COLUMNS('Portfolio Weights Std'!$B$9:$BJ$69))+1)</f>
        <v>1.6663420657616057E-2</v>
      </c>
    </row>
    <row r="1283" spans="1:2" x14ac:dyDescent="0.25">
      <c r="A1283" cm="1">
        <f t="array" ref="A1283">INDEX('Portfolio Weights Returns'!$B$9:$BJ$69,
INT((ROW(A1282)-1)/COLUMNS('Portfolio Weights Returns'!$B$9:$BJ$69))+1,MOD(ROW(A1282)-1,COLUMNS('Portfolio Weights Returns'!$B$9:$BJ$69))+1)</f>
        <v>-1.0569169398668323E-3</v>
      </c>
      <c r="B1283" cm="1">
        <f t="array" ref="B1283">INDEX('Portfolio Weights Std'!$B$9:$BJ$69,INT((ROW(A1282)-1)/COLUMNS('Portfolio Weights Std'!$B$9:$BJ$69))+1,MOD(ROW(A1282)-1,COLUMNS('Portfolio Weights Std'!$B$9:$BJ$69))+1)</f>
        <v>2.5423078027967699E-2</v>
      </c>
    </row>
    <row r="1284" spans="1:2" x14ac:dyDescent="0.25">
      <c r="A1284" cm="1">
        <f t="array" ref="A1284">INDEX('Portfolio Weights Returns'!$B$9:$BJ$69,
INT((ROW(A1283)-1)/COLUMNS('Portfolio Weights Returns'!$B$9:$BJ$69))+1,MOD(ROW(A1283)-1,COLUMNS('Portfolio Weights Returns'!$B$9:$BJ$69))+1)</f>
        <v>-1.0501357659001532E-3</v>
      </c>
      <c r="B1284" cm="1">
        <f t="array" ref="B1284">INDEX('Portfolio Weights Std'!$B$9:$BJ$69,INT((ROW(A1283)-1)/COLUMNS('Portfolio Weights Std'!$B$9:$BJ$69))+1,MOD(ROW(A1283)-1,COLUMNS('Portfolio Weights Std'!$B$9:$BJ$69))+1)</f>
        <v>2.5246288604208592E-2</v>
      </c>
    </row>
    <row r="1285" spans="1:2" x14ac:dyDescent="0.25">
      <c r="A1285" cm="1">
        <f t="array" ref="A1285">INDEX('Portfolio Weights Returns'!$B$9:$BJ$69,
INT((ROW(A1284)-1)/COLUMNS('Portfolio Weights Returns'!$B$9:$BJ$69))+1,MOD(ROW(A1284)-1,COLUMNS('Portfolio Weights Returns'!$B$9:$BJ$69))+1)</f>
        <v>-1.0433545919334743E-3</v>
      </c>
      <c r="B1285" cm="1">
        <f t="array" ref="B1285">INDEX('Portfolio Weights Std'!$B$9:$BJ$69,INT((ROW(A1284)-1)/COLUMNS('Portfolio Weights Std'!$B$9:$BJ$69))+1,MOD(ROW(A1284)-1,COLUMNS('Portfolio Weights Std'!$B$9:$BJ$69))+1)</f>
        <v>2.5070099441657136E-2</v>
      </c>
    </row>
    <row r="1286" spans="1:2" x14ac:dyDescent="0.25">
      <c r="A1286" cm="1">
        <f t="array" ref="A1286">INDEX('Portfolio Weights Returns'!$B$9:$BJ$69,
INT((ROW(A1285)-1)/COLUMNS('Portfolio Weights Returns'!$B$9:$BJ$69))+1,MOD(ROW(A1285)-1,COLUMNS('Portfolio Weights Returns'!$B$9:$BJ$69))+1)</f>
        <v>-1.0365734179667951E-3</v>
      </c>
      <c r="B1286" cm="1">
        <f t="array" ref="B1286">INDEX('Portfolio Weights Std'!$B$9:$BJ$69,INT((ROW(A1285)-1)/COLUMNS('Portfolio Weights Std'!$B$9:$BJ$69))+1,MOD(ROW(A1285)-1,COLUMNS('Portfolio Weights Std'!$B$9:$BJ$69))+1)</f>
        <v>2.4894523285230591E-2</v>
      </c>
    </row>
    <row r="1287" spans="1:2" x14ac:dyDescent="0.25">
      <c r="A1287" cm="1">
        <f t="array" ref="A1287">INDEX('Portfolio Weights Returns'!$B$9:$BJ$69,
INT((ROW(A1286)-1)/COLUMNS('Portfolio Weights Returns'!$B$9:$BJ$69))+1,MOD(ROW(A1286)-1,COLUMNS('Portfolio Weights Returns'!$B$9:$BJ$69))+1)</f>
        <v>-1.029792244000116E-3</v>
      </c>
      <c r="B1287" cm="1">
        <f t="array" ref="B1287">INDEX('Portfolio Weights Std'!$B$9:$BJ$69,INT((ROW(A1286)-1)/COLUMNS('Portfolio Weights Std'!$B$9:$BJ$69))+1,MOD(ROW(A1286)-1,COLUMNS('Portfolio Weights Std'!$B$9:$BJ$69))+1)</f>
        <v>2.4719573196961244E-2</v>
      </c>
    </row>
    <row r="1288" spans="1:2" x14ac:dyDescent="0.25">
      <c r="A1288" cm="1">
        <f t="array" ref="A1288">INDEX('Portfolio Weights Returns'!$B$9:$BJ$69,
INT((ROW(A1287)-1)/COLUMNS('Portfolio Weights Returns'!$B$9:$BJ$69))+1,MOD(ROW(A1287)-1,COLUMNS('Portfolio Weights Returns'!$B$9:$BJ$69))+1)</f>
        <v>-1.0230110700334368E-3</v>
      </c>
      <c r="B1288" cm="1">
        <f t="array" ref="B1288">INDEX('Portfolio Weights Std'!$B$9:$BJ$69,INT((ROW(A1287)-1)/COLUMNS('Portfolio Weights Std'!$B$9:$BJ$69))+1,MOD(ROW(A1287)-1,COLUMNS('Portfolio Weights Std'!$B$9:$BJ$69))+1)</f>
        <v>2.4545262564040483E-2</v>
      </c>
    </row>
    <row r="1289" spans="1:2" x14ac:dyDescent="0.25">
      <c r="A1289" cm="1">
        <f t="array" ref="A1289">INDEX('Portfolio Weights Returns'!$B$9:$BJ$69,
INT((ROW(A1288)-1)/COLUMNS('Portfolio Weights Returns'!$B$9:$BJ$69))+1,MOD(ROW(A1288)-1,COLUMNS('Portfolio Weights Returns'!$B$9:$BJ$69))+1)</f>
        <v>-1.0162298960667577E-3</v>
      </c>
      <c r="B1289" cm="1">
        <f t="array" ref="B1289">INDEX('Portfolio Weights Std'!$B$9:$BJ$69,INT((ROW(A1288)-1)/COLUMNS('Portfolio Weights Std'!$B$9:$BJ$69))+1,MOD(ROW(A1288)-1,COLUMNS('Portfolio Weights Std'!$B$9:$BJ$69))+1)</f>
        <v>2.4371605107012868E-2</v>
      </c>
    </row>
    <row r="1290" spans="1:2" x14ac:dyDescent="0.25">
      <c r="A1290" cm="1">
        <f t="array" ref="A1290">INDEX('Portfolio Weights Returns'!$B$9:$BJ$69,
INT((ROW(A1289)-1)/COLUMNS('Portfolio Weights Returns'!$B$9:$BJ$69))+1,MOD(ROW(A1289)-1,COLUMNS('Portfolio Weights Returns'!$B$9:$BJ$69))+1)</f>
        <v>-1.0094487221000788E-3</v>
      </c>
      <c r="B1290" cm="1">
        <f t="array" ref="B1290">INDEX('Portfolio Weights Std'!$B$9:$BJ$69,INT((ROW(A1289)-1)/COLUMNS('Portfolio Weights Std'!$B$9:$BJ$69))+1,MOD(ROW(A1289)-1,COLUMNS('Portfolio Weights Std'!$B$9:$BJ$69))+1)</f>
        <v>2.4198614888116841E-2</v>
      </c>
    </row>
    <row r="1291" spans="1:2" x14ac:dyDescent="0.25">
      <c r="A1291" cm="1">
        <f t="array" ref="A1291">INDEX('Portfolio Weights Returns'!$B$9:$BJ$69,
INT((ROW(A1290)-1)/COLUMNS('Portfolio Weights Returns'!$B$9:$BJ$69))+1,MOD(ROW(A1290)-1,COLUMNS('Portfolio Weights Returns'!$B$9:$BJ$69))+1)</f>
        <v>-1.0026675481333994E-3</v>
      </c>
      <c r="B1291" cm="1">
        <f t="array" ref="B1291">INDEX('Portfolio Weights Std'!$B$9:$BJ$69,INT((ROW(A1290)-1)/COLUMNS('Portfolio Weights Std'!$B$9:$BJ$69))+1,MOD(ROW(A1290)-1,COLUMNS('Portfolio Weights Std'!$B$9:$BJ$69))+1)</f>
        <v>2.402630631976814E-2</v>
      </c>
    </row>
    <row r="1292" spans="1:2" x14ac:dyDescent="0.25">
      <c r="A1292" cm="1">
        <f t="array" ref="A1292">INDEX('Portfolio Weights Returns'!$B$9:$BJ$69,
INT((ROW(A1291)-1)/COLUMNS('Portfolio Weights Returns'!$B$9:$BJ$69))+1,MOD(ROW(A1291)-1,COLUMNS('Portfolio Weights Returns'!$B$9:$BJ$69))+1)</f>
        <v>-9.9588637416672026E-4</v>
      </c>
      <c r="B1292" cm="1">
        <f t="array" ref="B1292">INDEX('Portfolio Weights Std'!$B$9:$BJ$69,INT((ROW(A1291)-1)/COLUMNS('Portfolio Weights Std'!$B$9:$BJ$69))+1,MOD(ROW(A1291)-1,COLUMNS('Portfolio Weights Std'!$B$9:$BJ$69))+1)</f>
        <v>2.3854694173181028E-2</v>
      </c>
    </row>
    <row r="1293" spans="1:2" x14ac:dyDescent="0.25">
      <c r="A1293" cm="1">
        <f t="array" ref="A1293">INDEX('Portfolio Weights Returns'!$B$9:$BJ$69,
INT((ROW(A1292)-1)/COLUMNS('Portfolio Weights Returns'!$B$9:$BJ$69))+1,MOD(ROW(A1292)-1,COLUMNS('Portfolio Weights Returns'!$B$9:$BJ$69))+1)</f>
        <v>-9.8910520020004111E-4</v>
      </c>
      <c r="B1293" cm="1">
        <f t="array" ref="B1293">INDEX('Portfolio Weights Std'!$B$9:$BJ$69,INT((ROW(A1292)-1)/COLUMNS('Portfolio Weights Std'!$B$9:$BJ$69))+1,MOD(ROW(A1292)-1,COLUMNS('Portfolio Weights Std'!$B$9:$BJ$69))+1)</f>
        <v>2.3683793587121742E-2</v>
      </c>
    </row>
    <row r="1294" spans="1:2" x14ac:dyDescent="0.25">
      <c r="A1294" cm="1">
        <f t="array" ref="A1294">INDEX('Portfolio Weights Returns'!$B$9:$BJ$69,
INT((ROW(A1293)-1)/COLUMNS('Portfolio Weights Returns'!$B$9:$BJ$69))+1,MOD(ROW(A1293)-1,COLUMNS('Portfolio Weights Returns'!$B$9:$BJ$69))+1)</f>
        <v>-9.8232402623336218E-4</v>
      </c>
      <c r="B1294" cm="1">
        <f t="array" ref="B1294">INDEX('Portfolio Weights Std'!$B$9:$BJ$69,INT((ROW(A1293)-1)/COLUMNS('Portfolio Weights Std'!$B$9:$BJ$69))+1,MOD(ROW(A1293)-1,COLUMNS('Portfolio Weights Std'!$B$9:$BJ$69))+1)</f>
        <v>2.3513620076787558E-2</v>
      </c>
    </row>
    <row r="1295" spans="1:2" x14ac:dyDescent="0.25">
      <c r="A1295" cm="1">
        <f t="array" ref="A1295">INDEX('Portfolio Weights Returns'!$B$9:$BJ$69,
INT((ROW(A1294)-1)/COLUMNS('Portfolio Weights Returns'!$B$9:$BJ$69))+1,MOD(ROW(A1294)-1,COLUMNS('Portfolio Weights Returns'!$B$9:$BJ$69))+1)</f>
        <v>-9.7554285226668304E-4</v>
      </c>
      <c r="B1295" cm="1">
        <f t="array" ref="B1295">INDEX('Portfolio Weights Std'!$B$9:$BJ$69,INT((ROW(A1294)-1)/COLUMNS('Portfolio Weights Std'!$B$9:$BJ$69))+1,MOD(ROW(A1294)-1,COLUMNS('Portfolio Weights Std'!$B$9:$BJ$69))+1)</f>
        <v>2.3344189542803817E-2</v>
      </c>
    </row>
    <row r="1296" spans="1:2" x14ac:dyDescent="0.25">
      <c r="A1296" cm="1">
        <f t="array" ref="A1296">INDEX('Portfolio Weights Returns'!$B$9:$BJ$69,
INT((ROW(A1295)-1)/COLUMNS('Portfolio Weights Returns'!$B$9:$BJ$69))+1,MOD(ROW(A1295)-1,COLUMNS('Portfolio Weights Returns'!$B$9:$BJ$69))+1)</f>
        <v>-9.687616783000039E-4</v>
      </c>
      <c r="B1296" cm="1">
        <f t="array" ref="B1296">INDEX('Portfolio Weights Std'!$B$9:$BJ$69,INT((ROW(A1295)-1)/COLUMNS('Portfolio Weights Std'!$B$9:$BJ$69))+1,MOD(ROW(A1295)-1,COLUMNS('Portfolio Weights Std'!$B$9:$BJ$69))+1)</f>
        <v>2.3175518280330241E-2</v>
      </c>
    </row>
    <row r="1297" spans="1:2" x14ac:dyDescent="0.25">
      <c r="A1297" cm="1">
        <f t="array" ref="A1297">INDEX('Portfolio Weights Returns'!$B$9:$BJ$69,
INT((ROW(A1296)-1)/COLUMNS('Portfolio Weights Returns'!$B$9:$BJ$69))+1,MOD(ROW(A1296)-1,COLUMNS('Portfolio Weights Returns'!$B$9:$BJ$69))+1)</f>
        <v>-9.6198050433332475E-4</v>
      </c>
      <c r="B1297" cm="1">
        <f t="array" ref="B1297">INDEX('Portfolio Weights Std'!$B$9:$BJ$69,INT((ROW(A1296)-1)/COLUMNS('Portfolio Weights Std'!$B$9:$BJ$69))+1,MOD(ROW(A1296)-1,COLUMNS('Portfolio Weights Std'!$B$9:$BJ$69))+1)</f>
        <v>2.3007622988266672E-2</v>
      </c>
    </row>
    <row r="1298" spans="1:2" x14ac:dyDescent="0.25">
      <c r="A1298" cm="1">
        <f t="array" ref="A1298">INDEX('Portfolio Weights Returns'!$B$9:$BJ$69,
INT((ROW(A1297)-1)/COLUMNS('Portfolio Weights Returns'!$B$9:$BJ$69))+1,MOD(ROW(A1297)-1,COLUMNS('Portfolio Weights Returns'!$B$9:$BJ$69))+1)</f>
        <v>-9.5519933036664572E-4</v>
      </c>
      <c r="B1298" cm="1">
        <f t="array" ref="B1298">INDEX('Portfolio Weights Std'!$B$9:$BJ$69,INT((ROW(A1297)-1)/COLUMNS('Portfolio Weights Std'!$B$9:$BJ$69))+1,MOD(ROW(A1297)-1,COLUMNS('Portfolio Weights Std'!$B$9:$BJ$69))+1)</f>
        <v>2.2840520778547039E-2</v>
      </c>
    </row>
    <row r="1299" spans="1:2" x14ac:dyDescent="0.25">
      <c r="A1299" cm="1">
        <f t="array" ref="A1299">INDEX('Portfolio Weights Returns'!$B$9:$BJ$69,
INT((ROW(A1298)-1)/COLUMNS('Portfolio Weights Returns'!$B$9:$BJ$69))+1,MOD(ROW(A1298)-1,COLUMNS('Portfolio Weights Returns'!$B$9:$BJ$69))+1)</f>
        <v>-9.4841815639996679E-4</v>
      </c>
      <c r="B1299" cm="1">
        <f t="array" ref="B1299">INDEX('Portfolio Weights Std'!$B$9:$BJ$69,INT((ROW(A1298)-1)/COLUMNS('Portfolio Weights Std'!$B$9:$BJ$69))+1,MOD(ROW(A1298)-1,COLUMNS('Portfolio Weights Std'!$B$9:$BJ$69))+1)</f>
        <v>2.2674229185508973E-2</v>
      </c>
    </row>
    <row r="1300" spans="1:2" x14ac:dyDescent="0.25">
      <c r="A1300" cm="1">
        <f t="array" ref="A1300">INDEX('Portfolio Weights Returns'!$B$9:$BJ$69,
INT((ROW(A1299)-1)/COLUMNS('Portfolio Weights Returns'!$B$9:$BJ$69))+1,MOD(ROW(A1299)-1,COLUMNS('Portfolio Weights Returns'!$B$9:$BJ$69))+1)</f>
        <v>-9.4163698243328754E-4</v>
      </c>
      <c r="B1300" cm="1">
        <f t="array" ref="B1300">INDEX('Portfolio Weights Std'!$B$9:$BJ$69,INT((ROW(A1299)-1)/COLUMNS('Portfolio Weights Std'!$B$9:$BJ$69))+1,MOD(ROW(A1299)-1,COLUMNS('Portfolio Weights Std'!$B$9:$BJ$69))+1)</f>
        <v>2.2508766175325129E-2</v>
      </c>
    </row>
    <row r="1301" spans="1:2" x14ac:dyDescent="0.25">
      <c r="A1301" cm="1">
        <f t="array" ref="A1301">INDEX('Portfolio Weights Returns'!$B$9:$BJ$69,
INT((ROW(A1300)-1)/COLUMNS('Portfolio Weights Returns'!$B$9:$BJ$69))+1,MOD(ROW(A1300)-1,COLUMNS('Portfolio Weights Returns'!$B$9:$BJ$69))+1)</f>
        <v>-9.348558084666085E-4</v>
      </c>
      <c r="B1301" cm="1">
        <f t="array" ref="B1301">INDEX('Portfolio Weights Std'!$B$9:$BJ$69,INT((ROW(A1300)-1)/COLUMNS('Portfolio Weights Std'!$B$9:$BJ$69))+1,MOD(ROW(A1300)-1,COLUMNS('Portfolio Weights Std'!$B$9:$BJ$69))+1)</f>
        <v>2.2344150155480524E-2</v>
      </c>
    </row>
    <row r="1302" spans="1:2" x14ac:dyDescent="0.25">
      <c r="A1302" cm="1">
        <f t="array" ref="A1302">INDEX('Portfolio Weights Returns'!$B$9:$BJ$69,
INT((ROW(A1301)-1)/COLUMNS('Portfolio Weights Returns'!$B$9:$BJ$69))+1,MOD(ROW(A1301)-1,COLUMNS('Portfolio Weights Returns'!$B$9:$BJ$69))+1)</f>
        <v>-9.2807463449992946E-4</v>
      </c>
      <c r="B1302" cm="1">
        <f t="array" ref="B1302">INDEX('Portfolio Weights Std'!$B$9:$BJ$69,INT((ROW(A1301)-1)/COLUMNS('Portfolio Weights Std'!$B$9:$BJ$69))+1,MOD(ROW(A1301)-1,COLUMNS('Portfolio Weights Std'!$B$9:$BJ$69))+1)</f>
        <v>2.2180399984278596E-2</v>
      </c>
    </row>
    <row r="1303" spans="1:2" x14ac:dyDescent="0.25">
      <c r="A1303" cm="1">
        <f t="array" ref="A1303">INDEX('Portfolio Weights Returns'!$B$9:$BJ$69,
INT((ROW(A1302)-1)/COLUMNS('Portfolio Weights Returns'!$B$9:$BJ$69))+1,MOD(ROW(A1302)-1,COLUMNS('Portfolio Weights Returns'!$B$9:$BJ$69))+1)</f>
        <v>-9.2129346053325032E-4</v>
      </c>
      <c r="B1303" cm="1">
        <f t="array" ref="B1303">INDEX('Portfolio Weights Std'!$B$9:$BJ$69,INT((ROW(A1302)-1)/COLUMNS('Portfolio Weights Std'!$B$9:$BJ$69))+1,MOD(ROW(A1302)-1,COLUMNS('Portfolio Weights Std'!$B$9:$BJ$69))+1)</f>
        <v>2.201753498035685E-2</v>
      </c>
    </row>
    <row r="1304" spans="1:2" x14ac:dyDescent="0.25">
      <c r="A1304" cm="1">
        <f t="array" ref="A1304">INDEX('Portfolio Weights Returns'!$B$9:$BJ$69,
INT((ROW(A1303)-1)/COLUMNS('Portfolio Weights Returns'!$B$9:$BJ$69))+1,MOD(ROW(A1303)-1,COLUMNS('Portfolio Weights Returns'!$B$9:$BJ$69))+1)</f>
        <v>-9.1451228656657128E-4</v>
      </c>
      <c r="B1304" cm="1">
        <f t="array" ref="B1304">INDEX('Portfolio Weights Std'!$B$9:$BJ$69,INT((ROW(A1303)-1)/COLUMNS('Portfolio Weights Std'!$B$9:$BJ$69))+1,MOD(ROW(A1303)-1,COLUMNS('Portfolio Weights Std'!$B$9:$BJ$69))+1)</f>
        <v>2.1855574932190983E-2</v>
      </c>
    </row>
    <row r="1305" spans="1:2" x14ac:dyDescent="0.25">
      <c r="A1305" cm="1">
        <f t="array" ref="A1305">INDEX('Portfolio Weights Returns'!$B$9:$BJ$69,
INT((ROW(A1304)-1)/COLUMNS('Portfolio Weights Returns'!$B$9:$BJ$69))+1,MOD(ROW(A1304)-1,COLUMNS('Portfolio Weights Returns'!$B$9:$BJ$69))+1)</f>
        <v>-9.0773111259989203E-4</v>
      </c>
      <c r="B1305" cm="1">
        <f t="array" ref="B1305">INDEX('Portfolio Weights Std'!$B$9:$BJ$69,INT((ROW(A1304)-1)/COLUMNS('Portfolio Weights Std'!$B$9:$BJ$69))+1,MOD(ROW(A1304)-1,COLUMNS('Portfolio Weights Std'!$B$9:$BJ$69))+1)</f>
        <v>2.1694540107564352E-2</v>
      </c>
    </row>
    <row r="1306" spans="1:2" x14ac:dyDescent="0.25">
      <c r="A1306" cm="1">
        <f t="array" ref="A1306">INDEX('Portfolio Weights Returns'!$B$9:$BJ$69,
INT((ROW(A1305)-1)/COLUMNS('Portfolio Weights Returns'!$B$9:$BJ$69))+1,MOD(ROW(A1305)-1,COLUMNS('Portfolio Weights Returns'!$B$9:$BJ$69))+1)</f>
        <v>-9.0094993863321289E-4</v>
      </c>
      <c r="B1306" cm="1">
        <f t="array" ref="B1306">INDEX('Portfolio Weights Std'!$B$9:$BJ$69,INT((ROW(A1305)-1)/COLUMNS('Portfolio Weights Std'!$B$9:$BJ$69))+1,MOD(ROW(A1305)-1,COLUMNS('Portfolio Weights Std'!$B$9:$BJ$69))+1)</f>
        <v>2.1534451262977372E-2</v>
      </c>
    </row>
    <row r="1307" spans="1:2" x14ac:dyDescent="0.25">
      <c r="A1307" cm="1">
        <f t="array" ref="A1307">INDEX('Portfolio Weights Returns'!$B$9:$BJ$69,
INT((ROW(A1306)-1)/COLUMNS('Portfolio Weights Returns'!$B$9:$BJ$69))+1,MOD(ROW(A1306)-1,COLUMNS('Portfolio Weights Returns'!$B$9:$BJ$69))+1)</f>
        <v>-8.9416876466653385E-4</v>
      </c>
      <c r="B1307" cm="1">
        <f t="array" ref="B1307">INDEX('Portfolio Weights Std'!$B$9:$BJ$69,INT((ROW(A1306)-1)/COLUMNS('Portfolio Weights Std'!$B$9:$BJ$69))+1,MOD(ROW(A1306)-1,COLUMNS('Portfolio Weights Std'!$B$9:$BJ$69))+1)</f>
        <v>2.1375329652969167E-2</v>
      </c>
    </row>
    <row r="1308" spans="1:2" x14ac:dyDescent="0.25">
      <c r="A1308" cm="1">
        <f t="array" ref="A1308">INDEX('Portfolio Weights Returns'!$B$9:$BJ$69,
INT((ROW(A1307)-1)/COLUMNS('Portfolio Weights Returns'!$B$9:$BJ$69))+1,MOD(ROW(A1307)-1,COLUMNS('Portfolio Weights Returns'!$B$9:$BJ$69))+1)</f>
        <v>-8.873875906998547E-4</v>
      </c>
      <c r="B1308" cm="1">
        <f t="array" ref="B1308">INDEX('Portfolio Weights Std'!$B$9:$BJ$69,INT((ROW(A1307)-1)/COLUMNS('Portfolio Weights Std'!$B$9:$BJ$69))+1,MOD(ROW(A1307)-1,COLUMNS('Portfolio Weights Std'!$B$9:$BJ$69))+1)</f>
        <v>2.1217197039321289E-2</v>
      </c>
    </row>
    <row r="1309" spans="1:2" x14ac:dyDescent="0.25">
      <c r="A1309" cm="1">
        <f t="array" ref="A1309">INDEX('Portfolio Weights Returns'!$B$9:$BJ$69,
INT((ROW(A1308)-1)/COLUMNS('Portfolio Weights Returns'!$B$9:$BJ$69))+1,MOD(ROW(A1308)-1,COLUMNS('Portfolio Weights Returns'!$B$9:$BJ$69))+1)</f>
        <v>-8.8060641673317567E-4</v>
      </c>
      <c r="B1309" cm="1">
        <f t="array" ref="B1309">INDEX('Portfolio Weights Std'!$B$9:$BJ$69,INT((ROW(A1308)-1)/COLUMNS('Portfolio Weights Std'!$B$9:$BJ$69))+1,MOD(ROW(A1308)-1,COLUMNS('Portfolio Weights Std'!$B$9:$BJ$69))+1)</f>
        <v>2.1060075700110654E-2</v>
      </c>
    </row>
    <row r="1310" spans="1:2" x14ac:dyDescent="0.25">
      <c r="A1310" cm="1">
        <f t="array" ref="A1310">INDEX('Portfolio Weights Returns'!$B$9:$BJ$69,
INT((ROW(A1309)-1)/COLUMNS('Portfolio Weights Returns'!$B$9:$BJ$69))+1,MOD(ROW(A1309)-1,COLUMNS('Portfolio Weights Returns'!$B$9:$BJ$69))+1)</f>
        <v>-8.7382524276649652E-4</v>
      </c>
      <c r="B1310" cm="1">
        <f t="array" ref="B1310">INDEX('Portfolio Weights Std'!$B$9:$BJ$69,INT((ROW(A1309)-1)/COLUMNS('Portfolio Weights Std'!$B$9:$BJ$69))+1,MOD(ROW(A1309)-1,COLUMNS('Portfolio Weights Std'!$B$9:$BJ$69))+1)</f>
        <v>2.0903988438576125E-2</v>
      </c>
    </row>
    <row r="1311" spans="1:2" x14ac:dyDescent="0.25">
      <c r="A1311" cm="1">
        <f t="array" ref="A1311">INDEX('Portfolio Weights Returns'!$B$9:$BJ$69,
INT((ROW(A1310)-1)/COLUMNS('Portfolio Weights Returns'!$B$9:$BJ$69))+1,MOD(ROW(A1310)-1,COLUMNS('Portfolio Weights Returns'!$B$9:$BJ$69))+1)</f>
        <v>-8.6704406879981749E-4</v>
      </c>
      <c r="B1311" cm="1">
        <f t="array" ref="B1311">INDEX('Portfolio Weights Std'!$B$9:$BJ$69,INT((ROW(A1310)-1)/COLUMNS('Portfolio Weights Std'!$B$9:$BJ$69))+1,MOD(ROW(A1310)-1,COLUMNS('Portfolio Weights Std'!$B$9:$BJ$69))+1)</f>
        <v>2.0748958591760295E-2</v>
      </c>
    </row>
    <row r="1312" spans="1:2" x14ac:dyDescent="0.25">
      <c r="A1312" cm="1">
        <f t="array" ref="A1312">INDEX('Portfolio Weights Returns'!$B$9:$BJ$69,
INT((ROW(A1311)-1)/COLUMNS('Portfolio Weights Returns'!$B$9:$BJ$69))+1,MOD(ROW(A1311)-1,COLUMNS('Portfolio Weights Returns'!$B$9:$BJ$69))+1)</f>
        <v>-8.6026289483313824E-4</v>
      </c>
      <c r="B1312" cm="1">
        <f t="array" ref="B1312">INDEX('Portfolio Weights Std'!$B$9:$BJ$69,INT((ROW(A1311)-1)/COLUMNS('Portfolio Weights Std'!$B$9:$BJ$69))+1,MOD(ROW(A1311)-1,COLUMNS('Portfolio Weights Std'!$B$9:$BJ$69))+1)</f>
        <v>2.0595010038884861E-2</v>
      </c>
    </row>
    <row r="1313" spans="1:2" x14ac:dyDescent="0.25">
      <c r="A1313" cm="1">
        <f t="array" ref="A1313">INDEX('Portfolio Weights Returns'!$B$9:$BJ$69,
INT((ROW(A1312)-1)/COLUMNS('Portfolio Weights Returns'!$B$9:$BJ$69))+1,MOD(ROW(A1312)-1,COLUMNS('Portfolio Weights Returns'!$B$9:$BJ$69))+1)</f>
        <v>-8.534817208664592E-4</v>
      </c>
      <c r="B1313" cm="1">
        <f t="array" ref="B1313">INDEX('Portfolio Weights Std'!$B$9:$BJ$69,INT((ROW(A1312)-1)/COLUMNS('Portfolio Weights Std'!$B$9:$BJ$69))+1,MOD(ROW(A1312)-1,COLUMNS('Portfolio Weights Std'!$B$9:$BJ$69))+1)</f>
        <v>2.0442167209414931E-2</v>
      </c>
    </row>
    <row r="1314" spans="1:2" x14ac:dyDescent="0.25">
      <c r="A1314" cm="1">
        <f t="array" ref="A1314">INDEX('Portfolio Weights Returns'!$B$9:$BJ$69,
INT((ROW(A1313)-1)/COLUMNS('Portfolio Weights Returns'!$B$9:$BJ$69))+1,MOD(ROW(A1313)-1,COLUMNS('Portfolio Weights Returns'!$B$9:$BJ$69))+1)</f>
        <v>-8.4670054689978006E-4</v>
      </c>
      <c r="B1314" cm="1">
        <f t="array" ref="B1314">INDEX('Portfolio Weights Std'!$B$9:$BJ$69,INT((ROW(A1313)-1)/COLUMNS('Portfolio Weights Std'!$B$9:$BJ$69))+1,MOD(ROW(A1313)-1,COLUMNS('Portfolio Weights Std'!$B$9:$BJ$69))+1)</f>
        <v>2.0290455090764128E-2</v>
      </c>
    </row>
    <row r="1315" spans="1:2" x14ac:dyDescent="0.25">
      <c r="A1315" cm="1">
        <f t="array" ref="A1315">INDEX('Portfolio Weights Returns'!$B$9:$BJ$69,
INT((ROW(A1314)-1)/COLUMNS('Portfolio Weights Returns'!$B$9:$BJ$69))+1,MOD(ROW(A1314)-1,COLUMNS('Portfolio Weights Returns'!$B$9:$BJ$69))+1)</f>
        <v>-8.3991937293310102E-4</v>
      </c>
      <c r="B1315" cm="1">
        <f t="array" ref="B1315">INDEX('Portfolio Weights Std'!$B$9:$BJ$69,INT((ROW(A1314)-1)/COLUMNS('Portfolio Weights Std'!$B$9:$BJ$69))+1,MOD(ROW(A1314)-1,COLUMNS('Portfolio Weights Std'!$B$9:$BJ$69))+1)</f>
        <v>2.0139899235589002E-2</v>
      </c>
    </row>
    <row r="1316" spans="1:2" x14ac:dyDescent="0.25">
      <c r="A1316" cm="1">
        <f t="array" ref="A1316">INDEX('Portfolio Weights Returns'!$B$9:$BJ$69,
INT((ROW(A1315)-1)/COLUMNS('Portfolio Weights Returns'!$B$9:$BJ$69))+1,MOD(ROW(A1315)-1,COLUMNS('Portfolio Weights Returns'!$B$9:$BJ$69))+1)</f>
        <v>-8.3313819896642187E-4</v>
      </c>
      <c r="B1316" cm="1">
        <f t="array" ref="B1316">INDEX('Portfolio Weights Std'!$B$9:$BJ$69,INT((ROW(A1315)-1)/COLUMNS('Portfolio Weights Std'!$B$9:$BJ$69))+1,MOD(ROW(A1315)-1,COLUMNS('Portfolio Weights Std'!$B$9:$BJ$69))+1)</f>
        <v>1.9990525768617675E-2</v>
      </c>
    </row>
    <row r="1317" spans="1:2" x14ac:dyDescent="0.25">
      <c r="A1317" cm="1">
        <f t="array" ref="A1317">INDEX('Portfolio Weights Returns'!$B$9:$BJ$69,
INT((ROW(A1316)-1)/COLUMNS('Portfolio Weights Returns'!$B$9:$BJ$69))+1,MOD(ROW(A1316)-1,COLUMNS('Portfolio Weights Returns'!$B$9:$BJ$69))+1)</f>
        <v>-8.2635702499974273E-4</v>
      </c>
      <c r="B1317" cm="1">
        <f t="array" ref="B1317">INDEX('Portfolio Weights Std'!$B$9:$BJ$69,INT((ROW(A1316)-1)/COLUMNS('Portfolio Weights Std'!$B$9:$BJ$69))+1,MOD(ROW(A1316)-1,COLUMNS('Portfolio Weights Std'!$B$9:$BJ$69))+1)</f>
        <v>1.9842361392953759E-2</v>
      </c>
    </row>
    <row r="1318" spans="1:2" x14ac:dyDescent="0.25">
      <c r="A1318" cm="1">
        <f t="array" ref="A1318">INDEX('Portfolio Weights Returns'!$B$9:$BJ$69,
INT((ROW(A1317)-1)/COLUMNS('Portfolio Weights Returns'!$B$9:$BJ$69))+1,MOD(ROW(A1317)-1,COLUMNS('Portfolio Weights Returns'!$B$9:$BJ$69))+1)</f>
        <v>-8.1957585103306369E-4</v>
      </c>
      <c r="B1318" cm="1">
        <f t="array" ref="B1318">INDEX('Portfolio Weights Std'!$B$9:$BJ$69,INT((ROW(A1317)-1)/COLUMNS('Portfolio Weights Std'!$B$9:$BJ$69))+1,MOD(ROW(A1317)-1,COLUMNS('Portfolio Weights Std'!$B$9:$BJ$69))+1)</f>
        <v>1.9695433395793105E-2</v>
      </c>
    </row>
    <row r="1319" spans="1:2" x14ac:dyDescent="0.25">
      <c r="A1319" cm="1">
        <f t="array" ref="A1319">INDEX('Portfolio Weights Returns'!$B$9:$BJ$69,
INT((ROW(A1318)-1)/COLUMNS('Portfolio Weights Returns'!$B$9:$BJ$69))+1,MOD(ROW(A1318)-1,COLUMNS('Portfolio Weights Returns'!$B$9:$BJ$69))+1)</f>
        <v>-8.1279467706638444E-4</v>
      </c>
      <c r="B1319" cm="1">
        <f t="array" ref="B1319">INDEX('Portfolio Weights Std'!$B$9:$BJ$69,INT((ROW(A1318)-1)/COLUMNS('Portfolio Weights Std'!$B$9:$BJ$69))+1,MOD(ROW(A1318)-1,COLUMNS('Portfolio Weights Std'!$B$9:$BJ$69))+1)</f>
        <v>1.954976965348668E-2</v>
      </c>
    </row>
    <row r="1320" spans="1:2" x14ac:dyDescent="0.25">
      <c r="A1320" cm="1">
        <f t="array" ref="A1320">INDEX('Portfolio Weights Returns'!$B$9:$BJ$69,
INT((ROW(A1319)-1)/COLUMNS('Portfolio Weights Returns'!$B$9:$BJ$69))+1,MOD(ROW(A1319)-1,COLUMNS('Portfolio Weights Returns'!$B$9:$BJ$69))+1)</f>
        <v>-8.0601350309970541E-4</v>
      </c>
      <c r="B1320" cm="1">
        <f t="array" ref="B1320">INDEX('Portfolio Weights Std'!$B$9:$BJ$69,INT((ROW(A1319)-1)/COLUMNS('Portfolio Weights Std'!$B$9:$BJ$69))+1,MOD(ROW(A1319)-1,COLUMNS('Portfolio Weights Std'!$B$9:$BJ$69))+1)</f>
        <v>1.940539863587917E-2</v>
      </c>
    </row>
    <row r="1321" spans="1:2" x14ac:dyDescent="0.25">
      <c r="A1321" cm="1">
        <f t="array" ref="A1321">INDEX('Portfolio Weights Returns'!$B$9:$BJ$69,
INT((ROW(A1320)-1)/COLUMNS('Portfolio Weights Returns'!$B$9:$BJ$69))+1,MOD(ROW(A1320)-1,COLUMNS('Portfolio Weights Returns'!$B$9:$BJ$69))+1)</f>
        <v>-7.9923232913302626E-4</v>
      </c>
      <c r="B1321" cm="1">
        <f t="array" ref="B1321">INDEX('Portfolio Weights Std'!$B$9:$BJ$69,INT((ROW(A1320)-1)/COLUMNS('Portfolio Weights Std'!$B$9:$BJ$69))+1,MOD(ROW(A1320)-1,COLUMNS('Portfolio Weights Std'!$B$9:$BJ$69))+1)</f>
        <v>1.9262349409848722E-2</v>
      </c>
    </row>
    <row r="1322" spans="1:2" x14ac:dyDescent="0.25">
      <c r="A1322" cm="1">
        <f t="array" ref="A1322">INDEX('Portfolio Weights Returns'!$B$9:$BJ$69,
INT((ROW(A1321)-1)/COLUMNS('Portfolio Weights Returns'!$B$9:$BJ$69))+1,MOD(ROW(A1321)-1,COLUMNS('Portfolio Weights Returns'!$B$9:$BJ$69))+1)</f>
        <v>-7.9245115516634723E-4</v>
      </c>
      <c r="B1322" cm="1">
        <f t="array" ref="B1322">INDEX('Portfolio Weights Std'!$B$9:$BJ$69,INT((ROW(A1321)-1)/COLUMNS('Portfolio Weights Std'!$B$9:$BJ$69))+1,MOD(ROW(A1321)-1,COLUMNS('Portfolio Weights Std'!$B$9:$BJ$69))+1)</f>
        <v>1.912065164196931E-2</v>
      </c>
    </row>
    <row r="1323" spans="1:2" x14ac:dyDescent="0.25">
      <c r="A1323" cm="1">
        <f t="array" ref="A1323">INDEX('Portfolio Weights Returns'!$B$9:$BJ$69,
INT((ROW(A1322)-1)/COLUMNS('Portfolio Weights Returns'!$B$9:$BJ$69))+1,MOD(ROW(A1322)-1,COLUMNS('Portfolio Weights Returns'!$B$9:$BJ$69))+1)</f>
        <v>-7.8566998119966808E-4</v>
      </c>
      <c r="B1323" cm="1">
        <f t="array" ref="B1323">INDEX('Portfolio Weights Std'!$B$9:$BJ$69,INT((ROW(A1322)-1)/COLUMNS('Portfolio Weights Std'!$B$9:$BJ$69))+1,MOD(ROW(A1322)-1,COLUMNS('Portfolio Weights Std'!$B$9:$BJ$69))+1)</f>
        <v>1.8980335600213026E-2</v>
      </c>
    </row>
    <row r="1324" spans="1:2" x14ac:dyDescent="0.25">
      <c r="A1324" cm="1">
        <f t="array" ref="A1324">INDEX('Portfolio Weights Returns'!$B$9:$BJ$69,
INT((ROW(A1323)-1)/COLUMNS('Portfolio Weights Returns'!$B$9:$BJ$69))+1,MOD(ROW(A1323)-1,COLUMNS('Portfolio Weights Returns'!$B$9:$BJ$69))+1)</f>
        <v>-7.7888880723298904E-4</v>
      </c>
      <c r="B1324" cm="1">
        <f t="array" ref="B1324">INDEX('Portfolio Weights Std'!$B$9:$BJ$69,INT((ROW(A1323)-1)/COLUMNS('Portfolio Weights Std'!$B$9:$BJ$69))+1,MOD(ROW(A1323)-1,COLUMNS('Portfolio Weights Std'!$B$9:$BJ$69))+1)</f>
        <v>1.8841432154605708E-2</v>
      </c>
    </row>
    <row r="1325" spans="1:2" x14ac:dyDescent="0.25">
      <c r="A1325" cm="1">
        <f t="array" ref="A1325">INDEX('Portfolio Weights Returns'!$B$9:$BJ$69,
INT((ROW(A1324)-1)/COLUMNS('Portfolio Weights Returns'!$B$9:$BJ$69))+1,MOD(ROW(A1324)-1,COLUMNS('Portfolio Weights Returns'!$B$9:$BJ$69))+1)</f>
        <v>-7.721076332663099E-4</v>
      </c>
      <c r="B1325" cm="1">
        <f t="array" ref="B1325">INDEX('Portfolio Weights Std'!$B$9:$BJ$69,INT((ROW(A1324)-1)/COLUMNS('Portfolio Weights Std'!$B$9:$BJ$69))+1,MOD(ROW(A1324)-1,COLUMNS('Portfolio Weights Std'!$B$9:$BJ$69))+1)</f>
        <v>1.8703972776745372E-2</v>
      </c>
    </row>
    <row r="1326" spans="1:2" x14ac:dyDescent="0.25">
      <c r="A1326" cm="1">
        <f t="array" ref="A1326">INDEX('Portfolio Weights Returns'!$B$9:$BJ$69,
INT((ROW(A1325)-1)/COLUMNS('Portfolio Weights Returns'!$B$9:$BJ$69))+1,MOD(ROW(A1325)-1,COLUMNS('Portfolio Weights Returns'!$B$9:$BJ$69))+1)</f>
        <v>-7.6532645929963065E-4</v>
      </c>
      <c r="B1326" cm="1">
        <f t="array" ref="B1326">INDEX('Portfolio Weights Std'!$B$9:$BJ$69,INT((ROW(A1325)-1)/COLUMNS('Portfolio Weights Std'!$B$9:$BJ$69))+1,MOD(ROW(A1325)-1,COLUMNS('Portfolio Weights Std'!$B$9:$BJ$69))+1)</f>
        <v>1.8567989538088931E-2</v>
      </c>
    </row>
    <row r="1327" spans="1:2" x14ac:dyDescent="0.25">
      <c r="A1327" cm="1">
        <f t="array" ref="A1327">INDEX('Portfolio Weights Returns'!$B$9:$BJ$69,
INT((ROW(A1326)-1)/COLUMNS('Portfolio Weights Returns'!$B$9:$BJ$69))+1,MOD(ROW(A1326)-1,COLUMNS('Portfolio Weights Returns'!$B$9:$BJ$69))+1)</f>
        <v>-7.5854528533295161E-4</v>
      </c>
      <c r="B1327" cm="1">
        <f t="array" ref="B1327">INDEX('Portfolio Weights Std'!$B$9:$BJ$69,INT((ROW(A1326)-1)/COLUMNS('Portfolio Weights Std'!$B$9:$BJ$69))+1,MOD(ROW(A1326)-1,COLUMNS('Portfolio Weights Std'!$B$9:$BJ$69))+1)</f>
        <v>1.8433515106909316E-2</v>
      </c>
    </row>
    <row r="1328" spans="1:2" x14ac:dyDescent="0.25">
      <c r="A1328" cm="1">
        <f t="array" ref="A1328">INDEX('Portfolio Weights Returns'!$B$9:$BJ$69,
INT((ROW(A1327)-1)/COLUMNS('Portfolio Weights Returns'!$B$9:$BJ$69))+1,MOD(ROW(A1327)-1,COLUMNS('Portfolio Weights Returns'!$B$9:$BJ$69))+1)</f>
        <v>-7.5176411136627247E-4</v>
      </c>
      <c r="B1328" cm="1">
        <f t="array" ref="B1328">INDEX('Portfolio Weights Std'!$B$9:$BJ$69,INT((ROW(A1327)-1)/COLUMNS('Portfolio Weights Std'!$B$9:$BJ$69))+1,MOD(ROW(A1327)-1,COLUMNS('Portfolio Weights Std'!$B$9:$BJ$69))+1)</f>
        <v>1.8300582743821403E-2</v>
      </c>
    </row>
    <row r="1329" spans="1:2" x14ac:dyDescent="0.25">
      <c r="A1329" cm="1">
        <f t="array" ref="A1329">INDEX('Portfolio Weights Returns'!$B$9:$BJ$69,
INT((ROW(A1328)-1)/COLUMNS('Portfolio Weights Returns'!$B$9:$BJ$69))+1,MOD(ROW(A1328)-1,COLUMNS('Portfolio Weights Returns'!$B$9:$BJ$69))+1)</f>
        <v>-7.4498293739959343E-4</v>
      </c>
      <c r="B1329" cm="1">
        <f t="array" ref="B1329">INDEX('Portfolio Weights Std'!$B$9:$BJ$69,INT((ROW(A1328)-1)/COLUMNS('Portfolio Weights Std'!$B$9:$BJ$69))+1,MOD(ROW(A1328)-1,COLUMNS('Portfolio Weights Std'!$B$9:$BJ$69))+1)</f>
        <v>1.8169226295772188E-2</v>
      </c>
    </row>
    <row r="1330" spans="1:2" x14ac:dyDescent="0.25">
      <c r="A1330" cm="1">
        <f t="array" ref="A1330">INDEX('Portfolio Weights Returns'!$B$9:$BJ$69,
INT((ROW(A1329)-1)/COLUMNS('Portfolio Weights Returns'!$B$9:$BJ$69))+1,MOD(ROW(A1329)-1,COLUMNS('Portfolio Weights Returns'!$B$9:$BJ$69))+1)</f>
        <v>-7.3820176343291429E-4</v>
      </c>
      <c r="B1330" cm="1">
        <f t="array" ref="B1330">INDEX('Portfolio Weights Std'!$B$9:$BJ$69,INT((ROW(A1329)-1)/COLUMNS('Portfolio Weights Std'!$B$9:$BJ$69))+1,MOD(ROW(A1329)-1,COLUMNS('Portfolio Weights Std'!$B$9:$BJ$69))+1)</f>
        <v>1.803948018838767E-2</v>
      </c>
    </row>
    <row r="1331" spans="1:2" x14ac:dyDescent="0.25">
      <c r="A1331" cm="1">
        <f t="array" ref="A1331">INDEX('Portfolio Weights Returns'!$B$9:$BJ$69,
INT((ROW(A1330)-1)/COLUMNS('Portfolio Weights Returns'!$B$9:$BJ$69))+1,MOD(ROW(A1330)-1,COLUMNS('Portfolio Weights Returns'!$B$9:$BJ$69))+1)</f>
        <v>-7.3142058946623536E-4</v>
      </c>
      <c r="B1331" cm="1">
        <f t="array" ref="B1331">INDEX('Portfolio Weights Std'!$B$9:$BJ$69,INT((ROW(A1330)-1)/COLUMNS('Portfolio Weights Std'!$B$9:$BJ$69))+1,MOD(ROW(A1330)-1,COLUMNS('Portfolio Weights Std'!$B$9:$BJ$69))+1)</f>
        <v>1.7911379416566689E-2</v>
      </c>
    </row>
    <row r="1332" spans="1:2" x14ac:dyDescent="0.25">
      <c r="A1332" cm="1">
        <f t="array" ref="A1332">INDEX('Portfolio Weights Returns'!$B$9:$BJ$69,
INT((ROW(A1331)-1)/COLUMNS('Portfolio Weights Returns'!$B$9:$BJ$69))+1,MOD(ROW(A1331)-1,COLUMNS('Portfolio Weights Returns'!$B$9:$BJ$69))+1)</f>
        <v>-7.2463941549955611E-4</v>
      </c>
      <c r="B1332" cm="1">
        <f t="array" ref="B1332">INDEX('Portfolio Weights Std'!$B$9:$BJ$69,INT((ROW(A1331)-1)/COLUMNS('Portfolio Weights Std'!$B$9:$BJ$69))+1,MOD(ROW(A1331)-1,COLUMNS('Portfolio Weights Std'!$B$9:$BJ$69))+1)</f>
        <v>1.7784959533209868E-2</v>
      </c>
    </row>
    <row r="1333" spans="1:2" x14ac:dyDescent="0.25">
      <c r="A1333" cm="1">
        <f t="array" ref="A1333">INDEX('Portfolio Weights Returns'!$B$9:$BJ$69,
INT((ROW(A1332)-1)/COLUMNS('Portfolio Weights Returns'!$B$9:$BJ$69))+1,MOD(ROW(A1332)-1,COLUMNS('Portfolio Weights Returns'!$B$9:$BJ$69))+1)</f>
        <v>-7.1785824153287707E-4</v>
      </c>
      <c r="B1333" cm="1">
        <f t="array" ref="B1333">INDEX('Portfolio Weights Std'!$B$9:$BJ$69,INT((ROW(A1332)-1)/COLUMNS('Portfolio Weights Std'!$B$9:$BJ$69))+1,MOD(ROW(A1332)-1,COLUMNS('Portfolio Weights Std'!$B$9:$BJ$69))+1)</f>
        <v>1.7660256635970557E-2</v>
      </c>
    </row>
    <row r="1334" spans="1:2" x14ac:dyDescent="0.25">
      <c r="A1334" cm="1">
        <f t="array" ref="A1334">INDEX('Portfolio Weights Returns'!$B$9:$BJ$69,
INT((ROW(A1333)-1)/COLUMNS('Portfolio Weights Returns'!$B$9:$BJ$69))+1,MOD(ROW(A1333)-1,COLUMNS('Portfolio Weights Returns'!$B$9:$BJ$69))+1)</f>
        <v>-7.1107706756619793E-4</v>
      </c>
      <c r="B1334" cm="1">
        <f t="array" ref="B1334">INDEX('Portfolio Weights Std'!$B$9:$BJ$69,INT((ROW(A1333)-1)/COLUMNS('Portfolio Weights Std'!$B$9:$BJ$69))+1,MOD(ROW(A1333)-1,COLUMNS('Portfolio Weights Std'!$B$9:$BJ$69))+1)</f>
        <v>1.7537307351914017E-2</v>
      </c>
    </row>
    <row r="1335" spans="1:2" x14ac:dyDescent="0.25">
      <c r="A1335" cm="1">
        <f t="array" ref="A1335">INDEX('Portfolio Weights Returns'!$B$9:$BJ$69,
INT((ROW(A1334)-1)/COLUMNS('Portfolio Weights Returns'!$B$9:$BJ$69))+1,MOD(ROW(A1334)-1,COLUMNS('Portfolio Weights Returns'!$B$9:$BJ$69))+1)</f>
        <v>-7.0429589359951878E-4</v>
      </c>
      <c r="B1335" cm="1">
        <f t="array" ref="B1335">INDEX('Portfolio Weights Std'!$B$9:$BJ$69,INT((ROW(A1334)-1)/COLUMNS('Portfolio Weights Std'!$B$9:$BJ$69))+1,MOD(ROW(A1334)-1,COLUMNS('Portfolio Weights Std'!$B$9:$BJ$69))+1)</f>
        <v>1.7416148819971045E-2</v>
      </c>
    </row>
    <row r="1336" spans="1:2" x14ac:dyDescent="0.25">
      <c r="A1336" cm="1">
        <f t="array" ref="A1336">INDEX('Portfolio Weights Returns'!$B$9:$BJ$69,
INT((ROW(A1335)-1)/COLUMNS('Portfolio Weights Returns'!$B$9:$BJ$69))+1,MOD(ROW(A1335)-1,COLUMNS('Portfolio Weights Returns'!$B$9:$BJ$69))+1)</f>
        <v>-6.9751471963283975E-4</v>
      </c>
      <c r="B1336" cm="1">
        <f t="array" ref="B1336">INDEX('Portfolio Weights Std'!$B$9:$BJ$69,INT((ROW(A1335)-1)/COLUMNS('Portfolio Weights Std'!$B$9:$BJ$69))+1,MOD(ROW(A1335)-1,COLUMNS('Portfolio Weights Std'!$B$9:$BJ$69))+1)</f>
        <v>1.7296818671073189E-2</v>
      </c>
    </row>
    <row r="1337" spans="1:2" x14ac:dyDescent="0.25">
      <c r="A1337" cm="1">
        <f t="array" ref="A1337">INDEX('Portfolio Weights Returns'!$B$9:$BJ$69,
INT((ROW(A1336)-1)/COLUMNS('Portfolio Weights Returns'!$B$9:$BJ$69))+1,MOD(ROW(A1336)-1,COLUMNS('Portfolio Weights Returns'!$B$9:$BJ$69))+1)</f>
        <v>-6.907335456661606E-4</v>
      </c>
      <c r="B1337" cm="1">
        <f t="array" ref="B1337">INDEX('Portfolio Weights Std'!$B$9:$BJ$69,INT((ROW(A1336)-1)/COLUMNS('Portfolio Weights Std'!$B$9:$BJ$69))+1,MOD(ROW(A1336)-1,COLUMNS('Portfolio Weights Std'!$B$9:$BJ$69))+1)</f>
        <v>1.7179355005858613E-2</v>
      </c>
    </row>
    <row r="1338" spans="1:2" x14ac:dyDescent="0.25">
      <c r="A1338" cm="1">
        <f t="array" ref="A1338">INDEX('Portfolio Weights Returns'!$B$9:$BJ$69,
INT((ROW(A1337)-1)/COLUMNS('Portfolio Weights Returns'!$B$9:$BJ$69))+1,MOD(ROW(A1337)-1,COLUMNS('Portfolio Weights Returns'!$B$9:$BJ$69))+1)</f>
        <v>-6.8395237169948146E-4</v>
      </c>
      <c r="B1338" cm="1">
        <f t="array" ref="B1338">INDEX('Portfolio Weights Std'!$B$9:$BJ$69,INT((ROW(A1337)-1)/COLUMNS('Portfolio Weights Std'!$B$9:$BJ$69))+1,MOD(ROW(A1337)-1,COLUMNS('Portfolio Weights Std'!$B$9:$BJ$69))+1)</f>
        <v>1.7063796369840404E-2</v>
      </c>
    </row>
    <row r="1339" spans="1:2" x14ac:dyDescent="0.25">
      <c r="A1339" cm="1">
        <f t="array" ref="A1339">INDEX('Portfolio Weights Returns'!$B$9:$BJ$69,
INT((ROW(A1338)-1)/COLUMNS('Portfolio Weights Returns'!$B$9:$BJ$69))+1,MOD(ROW(A1338)-1,COLUMNS('Portfolio Weights Returns'!$B$9:$BJ$69))+1)</f>
        <v>-6.7717119773280231E-4</v>
      </c>
      <c r="B1339" cm="1">
        <f t="array" ref="B1339">INDEX('Portfolio Weights Std'!$B$9:$BJ$69,INT((ROW(A1338)-1)/COLUMNS('Portfolio Weights Std'!$B$9:$BJ$69))+1,MOD(ROW(A1338)-1,COLUMNS('Portfolio Weights Std'!$B$9:$BJ$69))+1)</f>
        <v>1.6950181725933312E-2</v>
      </c>
    </row>
    <row r="1340" spans="1:2" x14ac:dyDescent="0.25">
      <c r="A1340" cm="1">
        <f t="array" ref="A1340">INDEX('Portfolio Weights Returns'!$B$9:$BJ$69,
INT((ROW(A1339)-1)/COLUMNS('Portfolio Weights Returns'!$B$9:$BJ$69))+1,MOD(ROW(A1339)-1,COLUMNS('Portfolio Weights Returns'!$B$9:$BJ$69))+1)</f>
        <v>-6.7039002376612263E-4</v>
      </c>
      <c r="B1340" cm="1">
        <f t="array" ref="B1340">INDEX('Portfolio Weights Std'!$B$9:$BJ$69,INT((ROW(A1339)-1)/COLUMNS('Portfolio Weights Std'!$B$9:$BJ$69))+1,MOD(ROW(A1339)-1,COLUMNS('Portfolio Weights Std'!$B$9:$BJ$69))+1)</f>
        <v>1.6838550424240036E-2</v>
      </c>
    </row>
    <row r="1341" spans="1:2" x14ac:dyDescent="0.25">
      <c r="A1341" cm="1">
        <f t="array" ref="A1341">INDEX('Portfolio Weights Returns'!$B$9:$BJ$69,
INT((ROW(A1340)-1)/COLUMNS('Portfolio Weights Returns'!$B$9:$BJ$69))+1,MOD(ROW(A1340)-1,COLUMNS('Portfolio Weights Returns'!$B$9:$BJ$69))+1)</f>
        <v>-6.6360884979944348E-4</v>
      </c>
      <c r="B1341" cm="1">
        <f t="array" ref="B1341">INDEX('Portfolio Weights Std'!$B$9:$BJ$69,INT((ROW(A1340)-1)/COLUMNS('Portfolio Weights Std'!$B$9:$BJ$69))+1,MOD(ROW(A1340)-1,COLUMNS('Portfolio Weights Std'!$B$9:$BJ$69))+1)</f>
        <v>1.6728942169004925E-2</v>
      </c>
    </row>
    <row r="1342" spans="1:2" x14ac:dyDescent="0.25">
      <c r="A1342" cm="1">
        <f t="array" ref="A1342">INDEX('Portfolio Weights Returns'!$B$9:$BJ$69,
INT((ROW(A1341)-1)/COLUMNS('Portfolio Weights Returns'!$B$9:$BJ$69))+1,MOD(ROW(A1341)-1,COLUMNS('Portfolio Weights Returns'!$B$9:$BJ$69))+1)</f>
        <v>-6.5682767583276444E-4</v>
      </c>
      <c r="B1342" cm="1">
        <f t="array" ref="B1342">INDEX('Portfolio Weights Std'!$B$9:$BJ$69,INT((ROW(A1341)-1)/COLUMNS('Portfolio Weights Std'!$B$9:$BJ$69))+1,MOD(ROW(A1341)-1,COLUMNS('Portfolio Weights Std'!$B$9:$BJ$69))+1)</f>
        <v>1.6621396982650832E-2</v>
      </c>
    </row>
    <row r="1343" spans="1:2" x14ac:dyDescent="0.25">
      <c r="A1343" cm="1">
        <f t="array" ref="A1343">INDEX('Portfolio Weights Returns'!$B$9:$BJ$69,
INT((ROW(A1342)-1)/COLUMNS('Portfolio Weights Returns'!$B$9:$BJ$69))+1,MOD(ROW(A1342)-1,COLUMNS('Portfolio Weights Returns'!$B$9:$BJ$69))+1)</f>
        <v>-6.500465018660853E-4</v>
      </c>
      <c r="B1343" cm="1">
        <f t="array" ref="B1343">INDEX('Portfolio Weights Std'!$B$9:$BJ$69,INT((ROW(A1342)-1)/COLUMNS('Portfolio Weights Std'!$B$9:$BJ$69))+1,MOD(ROW(A1342)-1,COLUMNS('Portfolio Weights Std'!$B$9:$BJ$69))+1)</f>
        <v>1.6515955166824685E-2</v>
      </c>
    </row>
    <row r="1344" spans="1:2" x14ac:dyDescent="0.25">
      <c r="A1344" cm="1">
        <f t="array" ref="A1344">INDEX('Portfolio Weights Returns'!$B$9:$BJ$69,
INT((ROW(A1343)-1)/COLUMNS('Portfolio Weights Returns'!$B$9:$BJ$69))+1,MOD(ROW(A1343)-1,COLUMNS('Portfolio Weights Returns'!$B$9:$BJ$69))+1)</f>
        <v>-1.0503427320213772E-3</v>
      </c>
      <c r="B1344" cm="1">
        <f t="array" ref="B1344">INDEX('Portfolio Weights Std'!$B$9:$BJ$69,INT((ROW(A1343)-1)/COLUMNS('Portfolio Weights Std'!$B$9:$BJ$69))+1,MOD(ROW(A1343)-1,COLUMNS('Portfolio Weights Std'!$B$9:$BJ$69))+1)</f>
        <v>2.5241986308960258E-2</v>
      </c>
    </row>
    <row r="1345" spans="1:2" x14ac:dyDescent="0.25">
      <c r="A1345" cm="1">
        <f t="array" ref="A1345">INDEX('Portfolio Weights Returns'!$B$9:$BJ$69,
INT((ROW(A1344)-1)/COLUMNS('Portfolio Weights Returns'!$B$9:$BJ$69))+1,MOD(ROW(A1344)-1,COLUMNS('Portfolio Weights Returns'!$B$9:$BJ$69))+1)</f>
        <v>-1.0435615580546981E-3</v>
      </c>
      <c r="B1345" cm="1">
        <f t="array" ref="B1345">INDEX('Portfolio Weights Std'!$B$9:$BJ$69,INT((ROW(A1344)-1)/COLUMNS('Portfolio Weights Std'!$B$9:$BJ$69))+1,MOD(ROW(A1344)-1,COLUMNS('Portfolio Weights Std'!$B$9:$BJ$69))+1)</f>
        <v>2.5065439420831052E-2</v>
      </c>
    </row>
    <row r="1346" spans="1:2" x14ac:dyDescent="0.25">
      <c r="A1346" cm="1">
        <f t="array" ref="A1346">INDEX('Portfolio Weights Returns'!$B$9:$BJ$69,
INT((ROW(A1345)-1)/COLUMNS('Portfolio Weights Returns'!$B$9:$BJ$69))+1,MOD(ROW(A1345)-1,COLUMNS('Portfolio Weights Returns'!$B$9:$BJ$69))+1)</f>
        <v>-1.0367803840880189E-3</v>
      </c>
      <c r="B1346" cm="1">
        <f t="array" ref="B1346">INDEX('Portfolio Weights Std'!$B$9:$BJ$69,INT((ROW(A1345)-1)/COLUMNS('Portfolio Weights Std'!$B$9:$BJ$69))+1,MOD(ROW(A1345)-1,COLUMNS('Portfolio Weights Std'!$B$9:$BJ$69))+1)</f>
        <v>2.4889500592693525E-2</v>
      </c>
    </row>
    <row r="1347" spans="1:2" x14ac:dyDescent="0.25">
      <c r="A1347" cm="1">
        <f t="array" ref="A1347">INDEX('Portfolio Weights Returns'!$B$9:$BJ$69,
INT((ROW(A1346)-1)/COLUMNS('Portfolio Weights Returns'!$B$9:$BJ$69))+1,MOD(ROW(A1346)-1,COLUMNS('Portfolio Weights Returns'!$B$9:$BJ$69))+1)</f>
        <v>-1.0299992101213398E-3</v>
      </c>
      <c r="B1347" cm="1">
        <f t="array" ref="B1347">INDEX('Portfolio Weights Std'!$B$9:$BJ$69,INT((ROW(A1346)-1)/COLUMNS('Portfolio Weights Std'!$B$9:$BJ$69))+1,MOD(ROW(A1346)-1,COLUMNS('Portfolio Weights Std'!$B$9:$BJ$69))+1)</f>
        <v>2.4714182810782095E-2</v>
      </c>
    </row>
    <row r="1348" spans="1:2" x14ac:dyDescent="0.25">
      <c r="A1348" cm="1">
        <f t="array" ref="A1348">INDEX('Portfolio Weights Returns'!$B$9:$BJ$69,
INT((ROW(A1347)-1)/COLUMNS('Portfolio Weights Returns'!$B$9:$BJ$69))+1,MOD(ROW(A1347)-1,COLUMNS('Portfolio Weights Returns'!$B$9:$BJ$69))+1)</f>
        <v>-1.0232180361546609E-3</v>
      </c>
      <c r="B1348" cm="1">
        <f t="array" ref="B1348">INDEX('Portfolio Weights Std'!$B$9:$BJ$69,INT((ROW(A1347)-1)/COLUMNS('Portfolio Weights Std'!$B$9:$BJ$69))+1,MOD(ROW(A1347)-1,COLUMNS('Portfolio Weights Std'!$B$9:$BJ$69))+1)</f>
        <v>2.4539499385939991E-2</v>
      </c>
    </row>
    <row r="1349" spans="1:2" x14ac:dyDescent="0.25">
      <c r="A1349" cm="1">
        <f t="array" ref="A1349">INDEX('Portfolio Weights Returns'!$B$9:$BJ$69,
INT((ROW(A1348)-1)/COLUMNS('Portfolio Weights Returns'!$B$9:$BJ$69))+1,MOD(ROW(A1348)-1,COLUMNS('Portfolio Weights Returns'!$B$9:$BJ$69))+1)</f>
        <v>-1.0164368621879817E-3</v>
      </c>
      <c r="B1349" cm="1">
        <f t="array" ref="B1349">INDEX('Portfolio Weights Std'!$B$9:$BJ$69,INT((ROW(A1348)-1)/COLUMNS('Portfolio Weights Std'!$B$9:$BJ$69))+1,MOD(ROW(A1348)-1,COLUMNS('Portfolio Weights Std'!$B$9:$BJ$69))+1)</f>
        <v>2.4365463961867562E-2</v>
      </c>
    </row>
    <row r="1350" spans="1:2" x14ac:dyDescent="0.25">
      <c r="A1350" cm="1">
        <f t="array" ref="A1350">INDEX('Portfolio Weights Returns'!$B$9:$BJ$69,
INT((ROW(A1349)-1)/COLUMNS('Portfolio Weights Returns'!$B$9:$BJ$69))+1,MOD(ROW(A1349)-1,COLUMNS('Portfolio Weights Returns'!$B$9:$BJ$69))+1)</f>
        <v>-1.0096556882213026E-3</v>
      </c>
      <c r="B1350" cm="1">
        <f t="array" ref="B1350">INDEX('Portfolio Weights Std'!$B$9:$BJ$69,INT((ROW(A1349)-1)/COLUMNS('Portfolio Weights Std'!$B$9:$BJ$69))+1,MOD(ROW(A1349)-1,COLUMNS('Portfolio Weights Std'!$B$9:$BJ$69))+1)</f>
        <v>2.4192090523522572E-2</v>
      </c>
    </row>
    <row r="1351" spans="1:2" x14ac:dyDescent="0.25">
      <c r="A1351" cm="1">
        <f t="array" ref="A1351">INDEX('Portfolio Weights Returns'!$B$9:$BJ$69,
INT((ROW(A1350)-1)/COLUMNS('Portfolio Weights Returns'!$B$9:$BJ$69))+1,MOD(ROW(A1350)-1,COLUMNS('Portfolio Weights Returns'!$B$9:$BJ$69))+1)</f>
        <v>-1.0028745142546232E-3</v>
      </c>
      <c r="B1351" cm="1">
        <f t="array" ref="B1351">INDEX('Portfolio Weights Std'!$B$9:$BJ$69,INT((ROW(A1350)-1)/COLUMNS('Portfolio Weights Std'!$B$9:$BJ$69))+1,MOD(ROW(A1350)-1,COLUMNS('Portfolio Weights Std'!$B$9:$BJ$69))+1)</f>
        <v>2.401939340566869E-2</v>
      </c>
    </row>
    <row r="1352" spans="1:2" x14ac:dyDescent="0.25">
      <c r="A1352" cm="1">
        <f t="array" ref="A1352">INDEX('Portfolio Weights Returns'!$B$9:$BJ$69,
INT((ROW(A1351)-1)/COLUMNS('Portfolio Weights Returns'!$B$9:$BJ$69))+1,MOD(ROW(A1351)-1,COLUMNS('Portfolio Weights Returns'!$B$9:$BJ$69))+1)</f>
        <v>-9.9609334028794429E-4</v>
      </c>
      <c r="B1352" cm="1">
        <f t="array" ref="B1352">INDEX('Portfolio Weights Std'!$B$9:$BJ$69,INT((ROW(A1351)-1)/COLUMNS('Portfolio Weights Std'!$B$9:$BJ$69))+1,MOD(ROW(A1351)-1,COLUMNS('Portfolio Weights Std'!$B$9:$BJ$69))+1)</f>
        <v>2.3847387301567779E-2</v>
      </c>
    </row>
    <row r="1353" spans="1:2" x14ac:dyDescent="0.25">
      <c r="A1353" cm="1">
        <f t="array" ref="A1353">INDEX('Portfolio Weights Returns'!$B$9:$BJ$69,
INT((ROW(A1352)-1)/COLUMNS('Portfolio Weights Returns'!$B$9:$BJ$69))+1,MOD(ROW(A1352)-1,COLUMNS('Portfolio Weights Returns'!$B$9:$BJ$69))+1)</f>
        <v>-9.8931216632126514E-4</v>
      </c>
      <c r="B1353" cm="1">
        <f t="array" ref="B1353">INDEX('Portfolio Weights Std'!$B$9:$BJ$69,INT((ROW(A1352)-1)/COLUMNS('Portfolio Weights Std'!$B$9:$BJ$69))+1,MOD(ROW(A1352)-1,COLUMNS('Portfolio Weights Std'!$B$9:$BJ$69))+1)</f>
        <v>2.3676087271810725E-2</v>
      </c>
    </row>
    <row r="1354" spans="1:2" x14ac:dyDescent="0.25">
      <c r="A1354" cm="1">
        <f t="array" ref="A1354">INDEX('Portfolio Weights Returns'!$B$9:$BJ$69,
INT((ROW(A1353)-1)/COLUMNS('Portfolio Weights Returns'!$B$9:$BJ$69))+1,MOD(ROW(A1353)-1,COLUMNS('Portfolio Weights Returns'!$B$9:$BJ$69))+1)</f>
        <v>-9.82530992354586E-4</v>
      </c>
      <c r="B1354" cm="1">
        <f t="array" ref="B1354">INDEX('Portfolio Weights Std'!$B$9:$BJ$69,INT((ROW(A1353)-1)/COLUMNS('Portfolio Weights Std'!$B$9:$BJ$69))+1,MOD(ROW(A1353)-1,COLUMNS('Portfolio Weights Std'!$B$9:$BJ$69))+1)</f>
        <v>2.3505508753280481E-2</v>
      </c>
    </row>
    <row r="1355" spans="1:2" x14ac:dyDescent="0.25">
      <c r="A1355" cm="1">
        <f t="array" ref="A1355">INDEX('Portfolio Weights Returns'!$B$9:$BJ$69,
INT((ROW(A1354)-1)/COLUMNS('Portfolio Weights Returns'!$B$9:$BJ$69))+1,MOD(ROW(A1354)-1,COLUMNS('Portfolio Weights Returns'!$B$9:$BJ$69))+1)</f>
        <v>-9.7574981838790685E-4</v>
      </c>
      <c r="B1355" cm="1">
        <f t="array" ref="B1355">INDEX('Portfolio Weights Std'!$B$9:$BJ$69,INT((ROW(A1354)-1)/COLUMNS('Portfolio Weights Std'!$B$9:$BJ$69))+1,MOD(ROW(A1354)-1,COLUMNS('Portfolio Weights Std'!$B$9:$BJ$69))+1)</f>
        <v>2.3335667568240223E-2</v>
      </c>
    </row>
    <row r="1356" spans="1:2" x14ac:dyDescent="0.25">
      <c r="A1356" cm="1">
        <f t="array" ref="A1356">INDEX('Portfolio Weights Returns'!$B$9:$BJ$69,
INT((ROW(A1355)-1)/COLUMNS('Portfolio Weights Returns'!$B$9:$BJ$69))+1,MOD(ROW(A1355)-1,COLUMNS('Portfolio Weights Returns'!$B$9:$BJ$69))+1)</f>
        <v>-9.6896864442122782E-4</v>
      </c>
      <c r="B1356" cm="1">
        <f t="array" ref="B1356">INDEX('Portfolio Weights Std'!$B$9:$BJ$69,INT((ROW(A1355)-1)/COLUMNS('Portfolio Weights Std'!$B$9:$BJ$69))+1,MOD(ROW(A1355)-1,COLUMNS('Portfolio Weights Std'!$B$9:$BJ$69))+1)</f>
        <v>2.3166579933538271E-2</v>
      </c>
    </row>
    <row r="1357" spans="1:2" x14ac:dyDescent="0.25">
      <c r="A1357" cm="1">
        <f t="array" ref="A1357">INDEX('Portfolio Weights Returns'!$B$9:$BJ$69,
INT((ROW(A1356)-1)/COLUMNS('Portfolio Weights Returns'!$B$9:$BJ$69))+1,MOD(ROW(A1356)-1,COLUMNS('Portfolio Weights Returns'!$B$9:$BJ$69))+1)</f>
        <v>-9.6218747045454867E-4</v>
      </c>
      <c r="B1357" cm="1">
        <f t="array" ref="B1357">INDEX('Portfolio Weights Std'!$B$9:$BJ$69,INT((ROW(A1356)-1)/COLUMNS('Portfolio Weights Std'!$B$9:$BJ$69))+1,MOD(ROW(A1356)-1,COLUMNS('Portfolio Weights Std'!$B$9:$BJ$69))+1)</f>
        <v>2.2998262469920275E-2</v>
      </c>
    </row>
    <row r="1358" spans="1:2" x14ac:dyDescent="0.25">
      <c r="A1358" cm="1">
        <f t="array" ref="A1358">INDEX('Portfolio Weights Returns'!$B$9:$BJ$69,
INT((ROW(A1357)-1)/COLUMNS('Portfolio Weights Returns'!$B$9:$BJ$69))+1,MOD(ROW(A1357)-1,COLUMNS('Portfolio Weights Returns'!$B$9:$BJ$69))+1)</f>
        <v>-9.5540629648786964E-4</v>
      </c>
      <c r="B1358" cm="1">
        <f t="array" ref="B1358">INDEX('Portfolio Weights Std'!$B$9:$BJ$69,INT((ROW(A1357)-1)/COLUMNS('Portfolio Weights Std'!$B$9:$BJ$69))+1,MOD(ROW(A1357)-1,COLUMNS('Portfolio Weights Std'!$B$9:$BJ$69))+1)</f>
        <v>2.2830732211438044E-2</v>
      </c>
    </row>
    <row r="1359" spans="1:2" x14ac:dyDescent="0.25">
      <c r="A1359" cm="1">
        <f t="array" ref="A1359">INDEX('Portfolio Weights Returns'!$B$9:$BJ$69,
INT((ROW(A1358)-1)/COLUMNS('Portfolio Weights Returns'!$B$9:$BJ$69))+1,MOD(ROW(A1358)-1,COLUMNS('Portfolio Weights Returns'!$B$9:$BJ$69))+1)</f>
        <v>-9.4862512252119049E-4</v>
      </c>
      <c r="B1359" cm="1">
        <f t="array" ref="B1359">INDEX('Portfolio Weights Std'!$B$9:$BJ$69,INT((ROW(A1358)-1)/COLUMNS('Portfolio Weights Std'!$B$9:$BJ$69))+1,MOD(ROW(A1358)-1,COLUMNS('Portfolio Weights Std'!$B$9:$BJ$69))+1)</f>
        <v>2.2664006614942819E-2</v>
      </c>
    </row>
    <row r="1360" spans="1:2" x14ac:dyDescent="0.25">
      <c r="A1360" cm="1">
        <f t="array" ref="A1360">INDEX('Portfolio Weights Returns'!$B$9:$BJ$69,
INT((ROW(A1359)-1)/COLUMNS('Portfolio Weights Returns'!$B$9:$BJ$69))+1,MOD(ROW(A1359)-1,COLUMNS('Portfolio Weights Returns'!$B$9:$BJ$69))+1)</f>
        <v>-9.4184394855451156E-4</v>
      </c>
      <c r="B1360" cm="1">
        <f t="array" ref="B1360">INDEX('Portfolio Weights Std'!$B$9:$BJ$69,INT((ROW(A1359)-1)/COLUMNS('Portfolio Weights Std'!$B$9:$BJ$69))+1,MOD(ROW(A1359)-1,COLUMNS('Portfolio Weights Std'!$B$9:$BJ$69))+1)</f>
        <v>2.2498103569649489E-2</v>
      </c>
    </row>
    <row r="1361" spans="1:2" x14ac:dyDescent="0.25">
      <c r="A1361" cm="1">
        <f t="array" ref="A1361">INDEX('Portfolio Weights Returns'!$B$9:$BJ$69,
INT((ROW(A1360)-1)/COLUMNS('Portfolio Weights Returns'!$B$9:$BJ$69))+1,MOD(ROW(A1360)-1,COLUMNS('Portfolio Weights Returns'!$B$9:$BJ$69))+1)</f>
        <v>-9.350627745878322E-4</v>
      </c>
      <c r="B1361" cm="1">
        <f t="array" ref="B1361">INDEX('Portfolio Weights Std'!$B$9:$BJ$69,INT((ROW(A1360)-1)/COLUMNS('Portfolio Weights Std'!$B$9:$BJ$69))+1,MOD(ROW(A1360)-1,COLUMNS('Portfolio Weights Std'!$B$9:$BJ$69))+1)</f>
        <v>2.2333041406756585E-2</v>
      </c>
    </row>
    <row r="1362" spans="1:2" x14ac:dyDescent="0.25">
      <c r="A1362" cm="1">
        <f t="array" ref="A1362">INDEX('Portfolio Weights Returns'!$B$9:$BJ$69,
INT((ROW(A1361)-1)/COLUMNS('Portfolio Weights Returns'!$B$9:$BJ$69))+1,MOD(ROW(A1361)-1,COLUMNS('Portfolio Weights Returns'!$B$9:$BJ$69))+1)</f>
        <v>-9.2828160062115338E-4</v>
      </c>
      <c r="B1362" cm="1">
        <f t="array" ref="B1362">INDEX('Portfolio Weights Std'!$B$9:$BJ$69,INT((ROW(A1361)-1)/COLUMNS('Portfolio Weights Std'!$B$9:$BJ$69))+1,MOD(ROW(A1361)-1,COLUMNS('Portfolio Weights Std'!$B$9:$BJ$69))+1)</f>
        <v>2.2168838909105256E-2</v>
      </c>
    </row>
    <row r="1363" spans="1:2" x14ac:dyDescent="0.25">
      <c r="A1363" cm="1">
        <f t="array" ref="A1363">INDEX('Portfolio Weights Returns'!$B$9:$BJ$69,
INT((ROW(A1362)-1)/COLUMNS('Portfolio Weights Returns'!$B$9:$BJ$69))+1,MOD(ROW(A1362)-1,COLUMNS('Portfolio Weights Returns'!$B$9:$BJ$69))+1)</f>
        <v>-9.2150042665447424E-4</v>
      </c>
      <c r="B1363" cm="1">
        <f t="array" ref="B1363">INDEX('Portfolio Weights Std'!$B$9:$BJ$69,INT((ROW(A1362)-1)/COLUMNS('Portfolio Weights Std'!$B$9:$BJ$69))+1,MOD(ROW(A1362)-1,COLUMNS('Portfolio Weights Std'!$B$9:$BJ$69))+1)</f>
        <v>2.2005515320858544E-2</v>
      </c>
    </row>
    <row r="1364" spans="1:2" x14ac:dyDescent="0.25">
      <c r="A1364" cm="1">
        <f t="array" ref="A1364">INDEX('Portfolio Weights Returns'!$B$9:$BJ$69,
INT((ROW(A1363)-1)/COLUMNS('Portfolio Weights Returns'!$B$9:$BJ$69))+1,MOD(ROW(A1363)-1,COLUMNS('Portfolio Weights Returns'!$B$9:$BJ$69))+1)</f>
        <v>-9.147192526877952E-4</v>
      </c>
      <c r="B1364" cm="1">
        <f t="array" ref="B1364">INDEX('Portfolio Weights Std'!$B$9:$BJ$69,INT((ROW(A1363)-1)/COLUMNS('Portfolio Weights Std'!$B$9:$BJ$69))+1,MOD(ROW(A1363)-1,COLUMNS('Portfolio Weights Std'!$B$9:$BJ$69))+1)</f>
        <v>2.1843090357180388E-2</v>
      </c>
    </row>
    <row r="1365" spans="1:2" x14ac:dyDescent="0.25">
      <c r="A1365" cm="1">
        <f t="array" ref="A1365">INDEX('Portfolio Weights Returns'!$B$9:$BJ$69,
INT((ROW(A1364)-1)/COLUMNS('Portfolio Weights Returns'!$B$9:$BJ$69))+1,MOD(ROW(A1364)-1,COLUMNS('Portfolio Weights Returns'!$B$9:$BJ$69))+1)</f>
        <v>-9.0793807872111595E-4</v>
      </c>
      <c r="B1365" cm="1">
        <f t="array" ref="B1365">INDEX('Portfolio Weights Std'!$B$9:$BJ$69,INT((ROW(A1364)-1)/COLUMNS('Portfolio Weights Std'!$B$9:$BJ$69))+1,MOD(ROW(A1364)-1,COLUMNS('Portfolio Weights Std'!$B$9:$BJ$69))+1)</f>
        <v>2.1681584213891745E-2</v>
      </c>
    </row>
    <row r="1366" spans="1:2" x14ac:dyDescent="0.25">
      <c r="A1366" cm="1">
        <f t="array" ref="A1366">INDEX('Portfolio Weights Returns'!$B$9:$BJ$69,
INT((ROW(A1365)-1)/COLUMNS('Portfolio Weights Returns'!$B$9:$BJ$69))+1,MOD(ROW(A1365)-1,COLUMNS('Portfolio Weights Returns'!$B$9:$BJ$69))+1)</f>
        <v>-9.0115690475443681E-4</v>
      </c>
      <c r="B1366" cm="1">
        <f t="array" ref="B1366">INDEX('Portfolio Weights Std'!$B$9:$BJ$69,INT((ROW(A1365)-1)/COLUMNS('Portfolio Weights Std'!$B$9:$BJ$69))+1,MOD(ROW(A1365)-1,COLUMNS('Portfolio Weights Std'!$B$9:$BJ$69))+1)</f>
        <v>2.1521017577078885E-2</v>
      </c>
    </row>
    <row r="1367" spans="1:2" x14ac:dyDescent="0.25">
      <c r="A1367" cm="1">
        <f t="array" ref="A1367">INDEX('Portfolio Weights Returns'!$B$9:$BJ$69,
INT((ROW(A1366)-1)/COLUMNS('Portfolio Weights Returns'!$B$9:$BJ$69))+1,MOD(ROW(A1366)-1,COLUMNS('Portfolio Weights Returns'!$B$9:$BJ$69))+1)</f>
        <v>-8.9437573078775777E-4</v>
      </c>
      <c r="B1367" cm="1">
        <f t="array" ref="B1367">INDEX('Portfolio Weights Std'!$B$9:$BJ$69,INT((ROW(A1366)-1)/COLUMNS('Portfolio Weights Std'!$B$9:$BJ$69))+1,MOD(ROW(A1366)-1,COLUMNS('Portfolio Weights Std'!$B$9:$BJ$69))+1)</f>
        <v>2.1361411632626788E-2</v>
      </c>
    </row>
    <row r="1368" spans="1:2" x14ac:dyDescent="0.25">
      <c r="A1368" cm="1">
        <f t="array" ref="A1368">INDEX('Portfolio Weights Returns'!$B$9:$BJ$69,
INT((ROW(A1367)-1)/COLUMNS('Portfolio Weights Returns'!$B$9:$BJ$69))+1,MOD(ROW(A1367)-1,COLUMNS('Portfolio Weights Returns'!$B$9:$BJ$69))+1)</f>
        <v>-8.8759455682107863E-4</v>
      </c>
      <c r="B1368" cm="1">
        <f t="array" ref="B1368">INDEX('Portfolio Weights Std'!$B$9:$BJ$69,INT((ROW(A1367)-1)/COLUMNS('Portfolio Weights Std'!$B$9:$BJ$69))+1,MOD(ROW(A1367)-1,COLUMNS('Portfolio Weights Std'!$B$9:$BJ$69))+1)</f>
        <v>2.1202788075647825E-2</v>
      </c>
    </row>
    <row r="1369" spans="1:2" x14ac:dyDescent="0.25">
      <c r="A1369" cm="1">
        <f t="array" ref="A1369">INDEX('Portfolio Weights Returns'!$B$9:$BJ$69,
INT((ROW(A1368)-1)/COLUMNS('Portfolio Weights Returns'!$B$9:$BJ$69))+1,MOD(ROW(A1368)-1,COLUMNS('Portfolio Weights Returns'!$B$9:$BJ$69))+1)</f>
        <v>-8.8081338285439959E-4</v>
      </c>
      <c r="B1369" cm="1">
        <f t="array" ref="B1369">INDEX('Portfolio Weights Std'!$B$9:$BJ$69,INT((ROW(A1368)-1)/COLUMNS('Portfolio Weights Std'!$B$9:$BJ$69))+1,MOD(ROW(A1368)-1,COLUMNS('Portfolio Weights Std'!$B$9:$BJ$69))+1)</f>
        <v>2.1045169119773544E-2</v>
      </c>
    </row>
    <row r="1370" spans="1:2" x14ac:dyDescent="0.25">
      <c r="A1370" cm="1">
        <f t="array" ref="A1370">INDEX('Portfolio Weights Returns'!$B$9:$BJ$69,
INT((ROW(A1369)-1)/COLUMNS('Portfolio Weights Returns'!$B$9:$BJ$69))+1,MOD(ROW(A1369)-1,COLUMNS('Portfolio Weights Returns'!$B$9:$BJ$69))+1)</f>
        <v>-8.7403220888772044E-4</v>
      </c>
      <c r="B1370" cm="1">
        <f t="array" ref="B1370">INDEX('Portfolio Weights Std'!$B$9:$BJ$69,INT((ROW(A1369)-1)/COLUMNS('Portfolio Weights Std'!$B$9:$BJ$69))+1,MOD(ROW(A1369)-1,COLUMNS('Portfolio Weights Std'!$B$9:$BJ$69))+1)</f>
        <v>2.0888577506274389E-2</v>
      </c>
    </row>
    <row r="1371" spans="1:2" x14ac:dyDescent="0.25">
      <c r="A1371" cm="1">
        <f t="array" ref="A1371">INDEX('Portfolio Weights Returns'!$B$9:$BJ$69,
INT((ROW(A1370)-1)/COLUMNS('Portfolio Weights Returns'!$B$9:$BJ$69))+1,MOD(ROW(A1370)-1,COLUMNS('Portfolio Weights Returns'!$B$9:$BJ$69))+1)</f>
        <v>-8.6725103492104141E-4</v>
      </c>
      <c r="B1371" cm="1">
        <f t="array" ref="B1371">INDEX('Portfolio Weights Std'!$B$9:$BJ$69,INT((ROW(A1370)-1)/COLUMNS('Portfolio Weights Std'!$B$9:$BJ$69))+1,MOD(ROW(A1370)-1,COLUMNS('Portfolio Weights Std'!$B$9:$BJ$69))+1)</f>
        <v>2.0733036512969365E-2</v>
      </c>
    </row>
    <row r="1372" spans="1:2" x14ac:dyDescent="0.25">
      <c r="A1372" cm="1">
        <f t="array" ref="A1372">INDEX('Portfolio Weights Returns'!$B$9:$BJ$69,
INT((ROW(A1371)-1)/COLUMNS('Portfolio Weights Returns'!$B$9:$BJ$69))+1,MOD(ROW(A1371)-1,COLUMNS('Portfolio Weights Returns'!$B$9:$BJ$69))+1)</f>
        <v>-8.6046986095436216E-4</v>
      </c>
      <c r="B1372" cm="1">
        <f t="array" ref="B1372">INDEX('Portfolio Weights Std'!$B$9:$BJ$69,INT((ROW(A1371)-1)/COLUMNS('Portfolio Weights Std'!$B$9:$BJ$69))+1,MOD(ROW(A1371)-1,COLUMNS('Portfolio Weights Std'!$B$9:$BJ$69))+1)</f>
        <v>2.0578569962884572E-2</v>
      </c>
    </row>
    <row r="1373" spans="1:2" x14ac:dyDescent="0.25">
      <c r="A1373" cm="1">
        <f t="array" ref="A1373">INDEX('Portfolio Weights Returns'!$B$9:$BJ$69,
INT((ROW(A1372)-1)/COLUMNS('Portfolio Weights Returns'!$B$9:$BJ$69))+1,MOD(ROW(A1372)-1,COLUMNS('Portfolio Weights Returns'!$B$9:$BJ$69))+1)</f>
        <v>-8.5368868698768312E-4</v>
      </c>
      <c r="B1373" cm="1">
        <f t="array" ref="B1373">INDEX('Portfolio Weights Std'!$B$9:$BJ$69,INT((ROW(A1372)-1)/COLUMNS('Portfolio Weights Std'!$B$9:$BJ$69))+1,MOD(ROW(A1372)-1,COLUMNS('Portfolio Weights Std'!$B$9:$BJ$69))+1)</f>
        <v>2.0425202232616336E-2</v>
      </c>
    </row>
    <row r="1374" spans="1:2" x14ac:dyDescent="0.25">
      <c r="A1374" cm="1">
        <f t="array" ref="A1374">INDEX('Portfolio Weights Returns'!$B$9:$BJ$69,
INT((ROW(A1373)-1)/COLUMNS('Portfolio Weights Returns'!$B$9:$BJ$69))+1,MOD(ROW(A1373)-1,COLUMNS('Portfolio Weights Returns'!$B$9:$BJ$69))+1)</f>
        <v>-8.4690751302100398E-4</v>
      </c>
      <c r="B1374" cm="1">
        <f t="array" ref="B1374">INDEX('Portfolio Weights Std'!$B$9:$BJ$69,INT((ROW(A1373)-1)/COLUMNS('Portfolio Weights Std'!$B$9:$BJ$69))+1,MOD(ROW(A1373)-1,COLUMNS('Portfolio Weights Std'!$B$9:$BJ$69))+1)</f>
        <v>2.0272958260351189E-2</v>
      </c>
    </row>
    <row r="1375" spans="1:2" x14ac:dyDescent="0.25">
      <c r="A1375" cm="1">
        <f t="array" ref="A1375">INDEX('Portfolio Weights Returns'!$B$9:$BJ$69,
INT((ROW(A1374)-1)/COLUMNS('Portfolio Weights Returns'!$B$9:$BJ$69))+1,MOD(ROW(A1374)-1,COLUMNS('Portfolio Weights Returns'!$B$9:$BJ$69))+1)</f>
        <v>-8.4012633905432483E-4</v>
      </c>
      <c r="B1375" cm="1">
        <f t="array" ref="B1375">INDEX('Portfolio Weights Std'!$B$9:$BJ$69,INT((ROW(A1374)-1)/COLUMNS('Portfolio Weights Std'!$B$9:$BJ$69))+1,MOD(ROW(A1374)-1,COLUMNS('Portfolio Weights Std'!$B$9:$BJ$69))+1)</f>
        <v>2.01218635534916E-2</v>
      </c>
    </row>
    <row r="1376" spans="1:2" x14ac:dyDescent="0.25">
      <c r="A1376" cm="1">
        <f t="array" ref="A1376">INDEX('Portfolio Weights Returns'!$B$9:$BJ$69,
INT((ROW(A1375)-1)/COLUMNS('Portfolio Weights Returns'!$B$9:$BJ$69))+1,MOD(ROW(A1375)-1,COLUMNS('Portfolio Weights Returns'!$B$9:$BJ$69))+1)</f>
        <v>-8.3334516508764579E-4</v>
      </c>
      <c r="B1376" cm="1">
        <f t="array" ref="B1376">INDEX('Portfolio Weights Std'!$B$9:$BJ$69,INT((ROW(A1375)-1)/COLUMNS('Portfolio Weights Std'!$B$9:$BJ$69))+1,MOD(ROW(A1375)-1,COLUMNS('Portfolio Weights Std'!$B$9:$BJ$69))+1)</f>
        <v>1.9971944195832602E-2</v>
      </c>
    </row>
    <row r="1377" spans="1:2" x14ac:dyDescent="0.25">
      <c r="A1377" cm="1">
        <f t="array" ref="A1377">INDEX('Portfolio Weights Returns'!$B$9:$BJ$69,
INT((ROW(A1376)-1)/COLUMNS('Portfolio Weights Returns'!$B$9:$BJ$69))+1,MOD(ROW(A1376)-1,COLUMNS('Portfolio Weights Returns'!$B$9:$BJ$69))+1)</f>
        <v>-8.2656399112096665E-4</v>
      </c>
      <c r="B1377" cm="1">
        <f t="array" ref="B1377">INDEX('Portfolio Weights Std'!$B$9:$BJ$69,INT((ROW(A1376)-1)/COLUMNS('Portfolio Weights Std'!$B$9:$BJ$69))+1,MOD(ROW(A1376)-1,COLUMNS('Portfolio Weights Std'!$B$9:$BJ$69))+1)</f>
        <v>1.9823226854230762E-2</v>
      </c>
    </row>
    <row r="1378" spans="1:2" x14ac:dyDescent="0.25">
      <c r="A1378" cm="1">
        <f t="array" ref="A1378">INDEX('Portfolio Weights Returns'!$B$9:$BJ$69,
INT((ROW(A1377)-1)/COLUMNS('Portfolio Weights Returns'!$B$9:$BJ$69))+1,MOD(ROW(A1377)-1,COLUMNS('Portfolio Weights Returns'!$B$9:$BJ$69))+1)</f>
        <v>-8.1978281715428761E-4</v>
      </c>
      <c r="B1378" cm="1">
        <f t="array" ref="B1378">INDEX('Portfolio Weights Std'!$B$9:$BJ$69,INT((ROW(A1377)-1)/COLUMNS('Portfolio Weights Std'!$B$9:$BJ$69))+1,MOD(ROW(A1377)-1,COLUMNS('Portfolio Weights Std'!$B$9:$BJ$69))+1)</f>
        <v>1.9675738784702992E-2</v>
      </c>
    </row>
    <row r="1379" spans="1:2" x14ac:dyDescent="0.25">
      <c r="A1379" cm="1">
        <f t="array" ref="A1379">INDEX('Portfolio Weights Returns'!$B$9:$BJ$69,
INT((ROW(A1378)-1)/COLUMNS('Portfolio Weights Returns'!$B$9:$BJ$69))+1,MOD(ROW(A1378)-1,COLUMNS('Portfolio Weights Returns'!$B$9:$BJ$69))+1)</f>
        <v>-8.1300164318760836E-4</v>
      </c>
      <c r="B1379" cm="1">
        <f t="array" ref="B1379">INDEX('Portfolio Weights Std'!$B$9:$BJ$69,INT((ROW(A1378)-1)/COLUMNS('Portfolio Weights Std'!$B$9:$BJ$69))+1,MOD(ROW(A1378)-1,COLUMNS('Portfolio Weights Std'!$B$9:$BJ$69))+1)</f>
        <v>1.9529507837888833E-2</v>
      </c>
    </row>
    <row r="1380" spans="1:2" x14ac:dyDescent="0.25">
      <c r="A1380" cm="1">
        <f t="array" ref="A1380">INDEX('Portfolio Weights Returns'!$B$9:$BJ$69,
INT((ROW(A1379)-1)/COLUMNS('Portfolio Weights Returns'!$B$9:$BJ$69))+1,MOD(ROW(A1379)-1,COLUMNS('Portfolio Weights Returns'!$B$9:$BJ$69))+1)</f>
        <v>-8.0622046922092933E-4</v>
      </c>
      <c r="B1380" cm="1">
        <f t="array" ref="B1380">INDEX('Portfolio Weights Std'!$B$9:$BJ$69,INT((ROW(A1379)-1)/COLUMNS('Portfolio Weights Std'!$B$9:$BJ$69))+1,MOD(ROW(A1379)-1,COLUMNS('Portfolio Weights Std'!$B$9:$BJ$69))+1)</f>
        <v>1.9384562463805655E-2</v>
      </c>
    </row>
    <row r="1381" spans="1:2" x14ac:dyDescent="0.25">
      <c r="A1381" cm="1">
        <f t="array" ref="A1381">INDEX('Portfolio Weights Returns'!$B$9:$BJ$69,
INT((ROW(A1380)-1)/COLUMNS('Portfolio Weights Returns'!$B$9:$BJ$69))+1,MOD(ROW(A1380)-1,COLUMNS('Portfolio Weights Returns'!$B$9:$BJ$69))+1)</f>
        <v>-7.9943929525425018E-4</v>
      </c>
      <c r="B1381" cm="1">
        <f t="array" ref="B1381">INDEX('Portfolio Weights Std'!$B$9:$BJ$69,INT((ROW(A1380)-1)/COLUMNS('Portfolio Weights Std'!$B$9:$BJ$69))+1,MOD(ROW(A1380)-1,COLUMNS('Portfolio Weights Std'!$B$9:$BJ$69))+1)</f>
        <v>1.9240931715822151E-2</v>
      </c>
    </row>
    <row r="1382" spans="1:2" x14ac:dyDescent="0.25">
      <c r="A1382" cm="1">
        <f t="array" ref="A1382">INDEX('Portfolio Weights Returns'!$B$9:$BJ$69,
INT((ROW(A1381)-1)/COLUMNS('Portfolio Weights Returns'!$B$9:$BJ$69))+1,MOD(ROW(A1381)-1,COLUMNS('Portfolio Weights Returns'!$B$9:$BJ$69))+1)</f>
        <v>-7.9265812128757115E-4</v>
      </c>
      <c r="B1382" cm="1">
        <f t="array" ref="B1382">INDEX('Portfolio Weights Std'!$B$9:$BJ$69,INT((ROW(A1381)-1)/COLUMNS('Portfolio Weights Std'!$B$9:$BJ$69))+1,MOD(ROW(A1381)-1,COLUMNS('Portfolio Weights Std'!$B$9:$BJ$69))+1)</f>
        <v>1.909864525377139E-2</v>
      </c>
    </row>
    <row r="1383" spans="1:2" x14ac:dyDescent="0.25">
      <c r="A1383" cm="1">
        <f t="array" ref="A1383">INDEX('Portfolio Weights Returns'!$B$9:$BJ$69,
INT((ROW(A1382)-1)/COLUMNS('Portfolio Weights Returns'!$B$9:$BJ$69))+1,MOD(ROW(A1382)-1,COLUMNS('Portfolio Weights Returns'!$B$9:$BJ$69))+1)</f>
        <v>-7.85876947320892E-4</v>
      </c>
      <c r="B1383" cm="1">
        <f t="array" ref="B1383">INDEX('Portfolio Weights Std'!$B$9:$BJ$69,INT((ROW(A1382)-1)/COLUMNS('Portfolio Weights Std'!$B$9:$BJ$69))+1,MOD(ROW(A1382)-1,COLUMNS('Portfolio Weights Std'!$B$9:$BJ$69))+1)</f>
        <v>1.8957733346120362E-2</v>
      </c>
    </row>
    <row r="1384" spans="1:2" x14ac:dyDescent="0.25">
      <c r="A1384" cm="1">
        <f t="array" ref="A1384">INDEX('Portfolio Weights Returns'!$B$9:$BJ$69,
INT((ROW(A1383)-1)/COLUMNS('Portfolio Weights Returns'!$B$9:$BJ$69))+1,MOD(ROW(A1383)-1,COLUMNS('Portfolio Weights Returns'!$B$9:$BJ$69))+1)</f>
        <v>-7.7909577335421286E-4</v>
      </c>
      <c r="B1384" cm="1">
        <f t="array" ref="B1384">INDEX('Portfolio Weights Std'!$B$9:$BJ$69,INT((ROW(A1383)-1)/COLUMNS('Portfolio Weights Std'!$B$9:$BJ$69))+1,MOD(ROW(A1383)-1,COLUMNS('Portfolio Weights Std'!$B$9:$BJ$69))+1)</f>
        <v>1.8818226871109015E-2</v>
      </c>
    </row>
    <row r="1385" spans="1:2" x14ac:dyDescent="0.25">
      <c r="A1385" cm="1">
        <f t="array" ref="A1385">INDEX('Portfolio Weights Returns'!$B$9:$BJ$69,
INT((ROW(A1384)-1)/COLUMNS('Portfolio Weights Returns'!$B$9:$BJ$69))+1,MOD(ROW(A1384)-1,COLUMNS('Portfolio Weights Returns'!$B$9:$BJ$69))+1)</f>
        <v>-7.7231459938753382E-4</v>
      </c>
      <c r="B1385" cm="1">
        <f t="array" ref="B1385">INDEX('Portfolio Weights Std'!$B$9:$BJ$69,INT((ROW(A1384)-1)/COLUMNS('Portfolio Weights Std'!$B$9:$BJ$69))+1,MOD(ROW(A1384)-1,COLUMNS('Portfolio Weights Std'!$B$9:$BJ$69))+1)</f>
        <v>1.8680157316767459E-2</v>
      </c>
    </row>
    <row r="1386" spans="1:2" x14ac:dyDescent="0.25">
      <c r="A1386" cm="1">
        <f t="array" ref="A1386">INDEX('Portfolio Weights Returns'!$B$9:$BJ$69,
INT((ROW(A1385)-1)/COLUMNS('Portfolio Weights Returns'!$B$9:$BJ$69))+1,MOD(ROW(A1385)-1,COLUMNS('Portfolio Weights Returns'!$B$9:$BJ$69))+1)</f>
        <v>-7.6553342542085457E-4</v>
      </c>
      <c r="B1386" cm="1">
        <f t="array" ref="B1386">INDEX('Portfolio Weights Std'!$B$9:$BJ$69,INT((ROW(A1385)-1)/COLUMNS('Portfolio Weights Std'!$B$9:$BJ$69))+1,MOD(ROW(A1385)-1,COLUMNS('Portfolio Weights Std'!$B$9:$BJ$69))+1)</f>
        <v>1.854355677971619E-2</v>
      </c>
    </row>
    <row r="1387" spans="1:2" x14ac:dyDescent="0.25">
      <c r="A1387" cm="1">
        <f t="array" ref="A1387">INDEX('Portfolio Weights Returns'!$B$9:$BJ$69,
INT((ROW(A1386)-1)/COLUMNS('Portfolio Weights Returns'!$B$9:$BJ$69))+1,MOD(ROW(A1386)-1,COLUMNS('Portfolio Weights Returns'!$B$9:$BJ$69))+1)</f>
        <v>-7.5875225145417553E-4</v>
      </c>
      <c r="B1387" cm="1">
        <f t="array" ref="B1387">INDEX('Portfolio Weights Std'!$B$9:$BJ$69,INT((ROW(A1386)-1)/COLUMNS('Portfolio Weights Std'!$B$9:$BJ$69))+1,MOD(ROW(A1386)-1,COLUMNS('Portfolio Weights Std'!$B$9:$BJ$69))+1)</f>
        <v>1.8408457962650254E-2</v>
      </c>
    </row>
    <row r="1388" spans="1:2" x14ac:dyDescent="0.25">
      <c r="A1388" cm="1">
        <f t="array" ref="A1388">INDEX('Portfolio Weights Returns'!$B$9:$BJ$69,
INT((ROW(A1387)-1)/COLUMNS('Portfolio Weights Returns'!$B$9:$BJ$69))+1,MOD(ROW(A1387)-1,COLUMNS('Portfolio Weights Returns'!$B$9:$BJ$69))+1)</f>
        <v>-7.5197107748749639E-4</v>
      </c>
      <c r="B1388" cm="1">
        <f t="array" ref="B1388">INDEX('Portfolio Weights Std'!$B$9:$BJ$69,INT((ROW(A1387)-1)/COLUMNS('Portfolio Weights Std'!$B$9:$BJ$69))+1,MOD(ROW(A1387)-1,COLUMNS('Portfolio Weights Std'!$B$9:$BJ$69))+1)</f>
        <v>1.8274894170404673E-2</v>
      </c>
    </row>
    <row r="1389" spans="1:2" x14ac:dyDescent="0.25">
      <c r="A1389" cm="1">
        <f t="array" ref="A1389">INDEX('Portfolio Weights Returns'!$B$9:$BJ$69,
INT((ROW(A1388)-1)/COLUMNS('Portfolio Weights Returns'!$B$9:$BJ$69))+1,MOD(ROW(A1388)-1,COLUMNS('Portfolio Weights Returns'!$B$9:$BJ$69))+1)</f>
        <v>-7.4518990352081735E-4</v>
      </c>
      <c r="B1389" cm="1">
        <f t="array" ref="B1389">INDEX('Portfolio Weights Std'!$B$9:$BJ$69,INT((ROW(A1388)-1)/COLUMNS('Portfolio Weights Std'!$B$9:$BJ$69))+1,MOD(ROW(A1388)-1,COLUMNS('Portfolio Weights Std'!$B$9:$BJ$69))+1)</f>
        <v>1.814289930449502E-2</v>
      </c>
    </row>
    <row r="1390" spans="1:2" x14ac:dyDescent="0.25">
      <c r="A1390" cm="1">
        <f t="array" ref="A1390">INDEX('Portfolio Weights Returns'!$B$9:$BJ$69,
INT((ROW(A1389)-1)/COLUMNS('Portfolio Weights Returns'!$B$9:$BJ$69))+1,MOD(ROW(A1389)-1,COLUMNS('Portfolio Weights Returns'!$B$9:$BJ$69))+1)</f>
        <v>-7.3840872955413821E-4</v>
      </c>
      <c r="B1390" cm="1">
        <f t="array" ref="B1390">INDEX('Portfolio Weights Std'!$B$9:$BJ$69,INT((ROW(A1389)-1)/COLUMNS('Portfolio Weights Std'!$B$9:$BJ$69))+1,MOD(ROW(A1389)-1,COLUMNS('Portfolio Weights Std'!$B$9:$BJ$69))+1)</f>
        <v>1.8012507856024016E-2</v>
      </c>
    </row>
    <row r="1391" spans="1:2" x14ac:dyDescent="0.25">
      <c r="A1391" cm="1">
        <f t="array" ref="A1391">INDEX('Portfolio Weights Returns'!$B$9:$BJ$69,
INT((ROW(A1390)-1)/COLUMNS('Portfolio Weights Returns'!$B$9:$BJ$69))+1,MOD(ROW(A1390)-1,COLUMNS('Portfolio Weights Returns'!$B$9:$BJ$69))+1)</f>
        <v>-7.3162755558745917E-4</v>
      </c>
      <c r="B1391" cm="1">
        <f t="array" ref="B1391">INDEX('Portfolio Weights Std'!$B$9:$BJ$69,INT((ROW(A1390)-1)/COLUMNS('Portfolio Weights Std'!$B$9:$BJ$69))+1,MOD(ROW(A1390)-1,COLUMNS('Portfolio Weights Std'!$B$9:$BJ$69))+1)</f>
        <v>1.7883754896842383E-2</v>
      </c>
    </row>
    <row r="1392" spans="1:2" x14ac:dyDescent="0.25">
      <c r="A1392" cm="1">
        <f t="array" ref="A1392">INDEX('Portfolio Weights Returns'!$B$9:$BJ$69,
INT((ROW(A1391)-1)/COLUMNS('Portfolio Weights Returns'!$B$9:$BJ$69))+1,MOD(ROW(A1391)-1,COLUMNS('Portfolio Weights Returns'!$B$9:$BJ$69))+1)</f>
        <v>-7.2484638162078003E-4</v>
      </c>
      <c r="B1392" cm="1">
        <f t="array" ref="B1392">INDEX('Portfolio Weights Std'!$B$9:$BJ$69,INT((ROW(A1391)-1)/COLUMNS('Portfolio Weights Std'!$B$9:$BJ$69))+1,MOD(ROW(A1391)-1,COLUMNS('Portfolio Weights Std'!$B$9:$BJ$69))+1)</f>
        <v>1.7756676068849904E-2</v>
      </c>
    </row>
    <row r="1393" spans="1:2" x14ac:dyDescent="0.25">
      <c r="A1393" cm="1">
        <f t="array" ref="A1393">INDEX('Portfolio Weights Returns'!$B$9:$BJ$69,
INT((ROW(A1392)-1)/COLUMNS('Portfolio Weights Returns'!$B$9:$BJ$69))+1,MOD(ROW(A1392)-1,COLUMNS('Portfolio Weights Returns'!$B$9:$BJ$69))+1)</f>
        <v>-7.1806520765410099E-4</v>
      </c>
      <c r="B1393" cm="1">
        <f t="array" ref="B1393">INDEX('Portfolio Weights Std'!$B$9:$BJ$69,INT((ROW(A1392)-1)/COLUMNS('Portfolio Weights Std'!$B$9:$BJ$69))+1,MOD(ROW(A1392)-1,COLUMNS('Portfolio Weights Std'!$B$9:$BJ$69))+1)</f>
        <v>1.7631307571321135E-2</v>
      </c>
    </row>
    <row r="1394" spans="1:2" x14ac:dyDescent="0.25">
      <c r="A1394" cm="1">
        <f t="array" ref="A1394">INDEX('Portfolio Weights Returns'!$B$9:$BJ$69,
INT((ROW(A1393)-1)/COLUMNS('Portfolio Weights Returns'!$B$9:$BJ$69))+1,MOD(ROW(A1393)-1,COLUMNS('Portfolio Weights Returns'!$B$9:$BJ$69))+1)</f>
        <v>-7.1128403368742185E-4</v>
      </c>
      <c r="B1394" cm="1">
        <f t="array" ref="B1394">INDEX('Portfolio Weights Std'!$B$9:$BJ$69,INT((ROW(A1393)-1)/COLUMNS('Portfolio Weights Std'!$B$9:$BJ$69))+1,MOD(ROW(A1393)-1,COLUMNS('Portfolio Weights Std'!$B$9:$BJ$69))+1)</f>
        <v>1.7507686146139088E-2</v>
      </c>
    </row>
    <row r="1395" spans="1:2" x14ac:dyDescent="0.25">
      <c r="A1395" cm="1">
        <f t="array" ref="A1395">INDEX('Portfolio Weights Returns'!$B$9:$BJ$69,
INT((ROW(A1394)-1)/COLUMNS('Portfolio Weights Returns'!$B$9:$BJ$69))+1,MOD(ROW(A1394)-1,COLUMNS('Portfolio Weights Returns'!$B$9:$BJ$69))+1)</f>
        <v>-7.045028597207427E-4</v>
      </c>
      <c r="B1395" cm="1">
        <f t="array" ref="B1395">INDEX('Portfolio Weights Std'!$B$9:$BJ$69,INT((ROW(A1394)-1)/COLUMNS('Portfolio Weights Std'!$B$9:$BJ$69))+1,MOD(ROW(A1394)-1,COLUMNS('Portfolio Weights Std'!$B$9:$BJ$69))+1)</f>
        <v>1.7385849060820163E-2</v>
      </c>
    </row>
    <row r="1396" spans="1:2" x14ac:dyDescent="0.25">
      <c r="A1396" cm="1">
        <f t="array" ref="A1396">INDEX('Portfolio Weights Returns'!$B$9:$BJ$69,
INT((ROW(A1395)-1)/COLUMNS('Portfolio Weights Returns'!$B$9:$BJ$69))+1,MOD(ROW(A1395)-1,COLUMNS('Portfolio Weights Returns'!$B$9:$BJ$69))+1)</f>
        <v>-6.9772168575406367E-4</v>
      </c>
      <c r="B1396" cm="1">
        <f t="array" ref="B1396">INDEX('Portfolio Weights Std'!$B$9:$BJ$69,INT((ROW(A1395)-1)/COLUMNS('Portfolio Weights Std'!$B$9:$BJ$69))+1,MOD(ROW(A1395)-1,COLUMNS('Portfolio Weights Std'!$B$9:$BJ$69))+1)</f>
        <v>1.7265834089213821E-2</v>
      </c>
    </row>
    <row r="1397" spans="1:2" x14ac:dyDescent="0.25">
      <c r="A1397" cm="1">
        <f t="array" ref="A1397">INDEX('Portfolio Weights Returns'!$B$9:$BJ$69,
INT((ROW(A1396)-1)/COLUMNS('Portfolio Weights Returns'!$B$9:$BJ$69))+1,MOD(ROW(A1396)-1,COLUMNS('Portfolio Weights Returns'!$B$9:$BJ$69))+1)</f>
        <v>-6.9094051178738452E-4</v>
      </c>
      <c r="B1397" cm="1">
        <f t="array" ref="B1397">INDEX('Portfolio Weights Std'!$B$9:$BJ$69,INT((ROW(A1396)-1)/COLUMNS('Portfolio Weights Std'!$B$9:$BJ$69))+1,MOD(ROW(A1396)-1,COLUMNS('Portfolio Weights Std'!$B$9:$BJ$69))+1)</f>
        <v>1.7147679489762476E-2</v>
      </c>
    </row>
    <row r="1398" spans="1:2" x14ac:dyDescent="0.25">
      <c r="A1398" cm="1">
        <f t="array" ref="A1398">INDEX('Portfolio Weights Returns'!$B$9:$BJ$69,
INT((ROW(A1397)-1)/COLUMNS('Portfolio Weights Returns'!$B$9:$BJ$69))+1,MOD(ROW(A1397)-1,COLUMNS('Portfolio Weights Returns'!$B$9:$BJ$69))+1)</f>
        <v>-6.8415933782070538E-4</v>
      </c>
      <c r="B1398" cm="1">
        <f t="array" ref="B1398">INDEX('Portfolio Weights Std'!$B$9:$BJ$69,INT((ROW(A1397)-1)/COLUMNS('Portfolio Weights Std'!$B$9:$BJ$69))+1,MOD(ROW(A1397)-1,COLUMNS('Portfolio Weights Std'!$B$9:$BJ$69))+1)</f>
        <v>1.7031423981209239E-2</v>
      </c>
    </row>
    <row r="1399" spans="1:2" x14ac:dyDescent="0.25">
      <c r="A1399" cm="1">
        <f t="array" ref="A1399">INDEX('Portfolio Weights Returns'!$B$9:$BJ$69,
INT((ROW(A1398)-1)/COLUMNS('Portfolio Weights Returns'!$B$9:$BJ$69))+1,MOD(ROW(A1398)-1,COLUMNS('Portfolio Weights Returns'!$B$9:$BJ$69))+1)</f>
        <v>-6.7737816385402623E-4</v>
      </c>
      <c r="B1399" cm="1">
        <f t="array" ref="B1399">INDEX('Portfolio Weights Std'!$B$9:$BJ$69,INT((ROW(A1398)-1)/COLUMNS('Portfolio Weights Std'!$B$9:$BJ$69))+1,MOD(ROW(A1398)-1,COLUMNS('Portfolio Weights Std'!$B$9:$BJ$69))+1)</f>
        <v>1.6917106715645076E-2</v>
      </c>
    </row>
    <row r="1400" spans="1:2" x14ac:dyDescent="0.25">
      <c r="A1400" cm="1">
        <f t="array" ref="A1400">INDEX('Portfolio Weights Returns'!$B$9:$BJ$69,
INT((ROW(A1399)-1)/COLUMNS('Portfolio Weights Returns'!$B$9:$BJ$69))+1,MOD(ROW(A1399)-1,COLUMNS('Portfolio Weights Returns'!$B$9:$BJ$69))+1)</f>
        <v>-6.705969898873472E-4</v>
      </c>
      <c r="B1400" cm="1">
        <f t="array" ref="B1400">INDEX('Portfolio Weights Std'!$B$9:$BJ$69,INT((ROW(A1399)-1)/COLUMNS('Portfolio Weights Std'!$B$9:$BJ$69))+1,MOD(ROW(A1399)-1,COLUMNS('Portfolio Weights Std'!$B$9:$BJ$69))+1)</f>
        <v>1.6804767248791756E-2</v>
      </c>
    </row>
    <row r="1401" spans="1:2" x14ac:dyDescent="0.25">
      <c r="A1401" cm="1">
        <f t="array" ref="A1401">INDEX('Portfolio Weights Returns'!$B$9:$BJ$69,
INT((ROW(A1400)-1)/COLUMNS('Portfolio Weights Returns'!$B$9:$BJ$69))+1,MOD(ROW(A1400)-1,COLUMNS('Portfolio Weights Returns'!$B$9:$BJ$69))+1)</f>
        <v>-6.638158159206674E-4</v>
      </c>
      <c r="B1401" cm="1">
        <f t="array" ref="B1401">INDEX('Portfolio Weights Std'!$B$9:$BJ$69,INT((ROW(A1400)-1)/COLUMNS('Portfolio Weights Std'!$B$9:$BJ$69))+1,MOD(ROW(A1400)-1,COLUMNS('Portfolio Weights Std'!$B$9:$BJ$69))+1)</f>
        <v>1.6694445507423421E-2</v>
      </c>
    </row>
    <row r="1402" spans="1:2" x14ac:dyDescent="0.25">
      <c r="A1402" cm="1">
        <f t="array" ref="A1402">INDEX('Portfolio Weights Returns'!$B$9:$BJ$69,
INT((ROW(A1401)-1)/COLUMNS('Portfolio Weights Returns'!$B$9:$BJ$69))+1,MOD(ROW(A1401)-1,COLUMNS('Portfolio Weights Returns'!$B$9:$BJ$69))+1)</f>
        <v>-6.5703464195398836E-4</v>
      </c>
      <c r="B1402" cm="1">
        <f t="array" ref="B1402">INDEX('Portfolio Weights Std'!$B$9:$BJ$69,INT((ROW(A1401)-1)/COLUMNS('Portfolio Weights Std'!$B$9:$BJ$69))+1,MOD(ROW(A1401)-1,COLUMNS('Portfolio Weights Std'!$B$9:$BJ$69))+1)</f>
        <v>1.658618175383721E-2</v>
      </c>
    </row>
    <row r="1403" spans="1:2" x14ac:dyDescent="0.25">
      <c r="A1403" cm="1">
        <f t="array" ref="A1403">INDEX('Portfolio Weights Returns'!$B$9:$BJ$69,
INT((ROW(A1402)-1)/COLUMNS('Portfolio Weights Returns'!$B$9:$BJ$69))+1,MOD(ROW(A1402)-1,COLUMNS('Portfolio Weights Returns'!$B$9:$BJ$69))+1)</f>
        <v>-6.5025346798730922E-4</v>
      </c>
      <c r="B1403" cm="1">
        <f t="array" ref="B1403">INDEX('Portfolio Weights Std'!$B$9:$BJ$69,INT((ROW(A1402)-1)/COLUMNS('Portfolio Weights Std'!$B$9:$BJ$69))+1,MOD(ROW(A1402)-1,COLUMNS('Portfolio Weights Std'!$B$9:$BJ$69))+1)</f>
        <v>1.648001654729268E-2</v>
      </c>
    </row>
    <row r="1404" spans="1:2" x14ac:dyDescent="0.25">
      <c r="A1404" cm="1">
        <f t="array" ref="A1404">INDEX('Portfolio Weights Returns'!$B$9:$BJ$69,
INT((ROW(A1403)-1)/COLUMNS('Portfolio Weights Returns'!$B$9:$BJ$69))+1,MOD(ROW(A1403)-1,COLUMNS('Portfolio Weights Returns'!$B$9:$BJ$69))+1)</f>
        <v>-6.4347229402063008E-4</v>
      </c>
      <c r="B1404" cm="1">
        <f t="array" ref="B1404">INDEX('Portfolio Weights Std'!$B$9:$BJ$69,INT((ROW(A1403)-1)/COLUMNS('Portfolio Weights Std'!$B$9:$BJ$69))+1,MOD(ROW(A1403)-1,COLUMNS('Portfolio Weights Std'!$B$9:$BJ$69))+1)</f>
        <v>1.6375990702350952E-2</v>
      </c>
    </row>
    <row r="1405" spans="1:2" x14ac:dyDescent="0.25">
      <c r="A1405" cm="1">
        <f t="array" ref="A1405">INDEX('Portfolio Weights Returns'!$B$9:$BJ$69,
INT((ROW(A1404)-1)/COLUMNS('Portfolio Weights Returns'!$B$9:$BJ$69))+1,MOD(ROW(A1404)-1,COLUMNS('Portfolio Weights Returns'!$B$9:$BJ$69))+1)</f>
        <v>-1.0437685241759219E-3</v>
      </c>
      <c r="B1405" cm="1">
        <f t="array" ref="B1405">INDEX('Portfolio Weights Std'!$B$9:$BJ$69,INT((ROW(A1404)-1)/COLUMNS('Portfolio Weights Std'!$B$9:$BJ$69))+1,MOD(ROW(A1404)-1,COLUMNS('Portfolio Weights Std'!$B$9:$BJ$69))+1)</f>
        <v>2.5065353749316295E-2</v>
      </c>
    </row>
    <row r="1406" spans="1:2" x14ac:dyDescent="0.25">
      <c r="A1406" cm="1">
        <f t="array" ref="A1406">INDEX('Portfolio Weights Returns'!$B$9:$BJ$69,
INT((ROW(A1405)-1)/COLUMNS('Portfolio Weights Returns'!$B$9:$BJ$69))+1,MOD(ROW(A1405)-1,COLUMNS('Portfolio Weights Returns'!$B$9:$BJ$69))+1)</f>
        <v>-1.036987350209243E-3</v>
      </c>
      <c r="B1406" cm="1">
        <f t="array" ref="B1406">INDEX('Portfolio Weights Std'!$B$9:$BJ$69,INT((ROW(A1405)-1)/COLUMNS('Portfolio Weights Std'!$B$9:$BJ$69))+1,MOD(ROW(A1405)-1,COLUMNS('Portfolio Weights Std'!$B$9:$BJ$69))+1)</f>
        <v>2.4889084510739522E-2</v>
      </c>
    </row>
    <row r="1407" spans="1:2" x14ac:dyDescent="0.25">
      <c r="A1407" cm="1">
        <f t="array" ref="A1407">INDEX('Portfolio Weights Returns'!$B$9:$BJ$69,
INT((ROW(A1406)-1)/COLUMNS('Portfolio Weights Returns'!$B$9:$BJ$69))+1,MOD(ROW(A1406)-1,COLUMNS('Portfolio Weights Returns'!$B$9:$BJ$69))+1)</f>
        <v>-1.0302061762425638E-3</v>
      </c>
      <c r="B1407" cm="1">
        <f t="array" ref="B1407">INDEX('Portfolio Weights Std'!$B$9:$BJ$69,INT((ROW(A1406)-1)/COLUMNS('Portfolio Weights Std'!$B$9:$BJ$69))+1,MOD(ROW(A1406)-1,COLUMNS('Portfolio Weights Std'!$B$9:$BJ$69))+1)</f>
        <v>2.4713431628242754E-2</v>
      </c>
    </row>
    <row r="1408" spans="1:2" x14ac:dyDescent="0.25">
      <c r="A1408" cm="1">
        <f t="array" ref="A1408">INDEX('Portfolio Weights Returns'!$B$9:$BJ$69,
INT((ROW(A1407)-1)/COLUMNS('Portfolio Weights Returns'!$B$9:$BJ$69))+1,MOD(ROW(A1407)-1,COLUMNS('Portfolio Weights Returns'!$B$9:$BJ$69))+1)</f>
        <v>-1.0234250022758847E-3</v>
      </c>
      <c r="B1408" cm="1">
        <f t="array" ref="B1408">INDEX('Portfolio Weights Std'!$B$9:$BJ$69,INT((ROW(A1407)-1)/COLUMNS('Portfolio Weights Std'!$B$9:$BJ$69))+1,MOD(ROW(A1407)-1,COLUMNS('Portfolio Weights Std'!$B$9:$BJ$69))+1)</f>
        <v>2.4538408337984163E-2</v>
      </c>
    </row>
    <row r="1409" spans="1:2" x14ac:dyDescent="0.25">
      <c r="A1409" cm="1">
        <f t="array" ref="A1409">INDEX('Portfolio Weights Returns'!$B$9:$BJ$69,
INT((ROW(A1408)-1)/COLUMNS('Portfolio Weights Returns'!$B$9:$BJ$69))+1,MOD(ROW(A1408)-1,COLUMNS('Portfolio Weights Returns'!$B$9:$BJ$69))+1)</f>
        <v>-1.0166438283092055E-3</v>
      </c>
      <c r="B1409" cm="1">
        <f t="array" ref="B1409">INDEX('Portfolio Weights Std'!$B$9:$BJ$69,INT((ROW(A1408)-1)/COLUMNS('Portfolio Weights Std'!$B$9:$BJ$69))+1,MOD(ROW(A1408)-1,COLUMNS('Portfolio Weights Std'!$B$9:$BJ$69))+1)</f>
        <v>2.4364028208327903E-2</v>
      </c>
    </row>
    <row r="1410" spans="1:2" x14ac:dyDescent="0.25">
      <c r="A1410" cm="1">
        <f t="array" ref="A1410">INDEX('Portfolio Weights Returns'!$B$9:$BJ$69,
INT((ROW(A1409)-1)/COLUMNS('Portfolio Weights Returns'!$B$9:$BJ$69))+1,MOD(ROW(A1409)-1,COLUMNS('Portfolio Weights Returns'!$B$9:$BJ$69))+1)</f>
        <v>-1.0098626543425266E-3</v>
      </c>
      <c r="B1410" cm="1">
        <f t="array" ref="B1410">INDEX('Portfolio Weights Std'!$B$9:$BJ$69,INT((ROW(A1409)-1)/COLUMNS('Portfolio Weights Std'!$B$9:$BJ$69))+1,MOD(ROW(A1409)-1,COLUMNS('Portfolio Weights Std'!$B$9:$BJ$69))+1)</f>
        <v>2.4190305148291763E-2</v>
      </c>
    </row>
    <row r="1411" spans="1:2" x14ac:dyDescent="0.25">
      <c r="A1411" cm="1">
        <f t="array" ref="A1411">INDEX('Portfolio Weights Returns'!$B$9:$BJ$69,
INT((ROW(A1410)-1)/COLUMNS('Portfolio Weights Returns'!$B$9:$BJ$69))+1,MOD(ROW(A1410)-1,COLUMNS('Portfolio Weights Returns'!$B$9:$BJ$69))+1)</f>
        <v>-1.0030814803758472E-3</v>
      </c>
      <c r="B1411" cm="1">
        <f t="array" ref="B1411">INDEX('Portfolio Weights Std'!$B$9:$BJ$69,INT((ROW(A1410)-1)/COLUMNS('Portfolio Weights Std'!$B$9:$BJ$69))+1,MOD(ROW(A1410)-1,COLUMNS('Portfolio Weights Std'!$B$9:$BJ$69))+1)</f>
        <v>2.4017253416147945E-2</v>
      </c>
    </row>
    <row r="1412" spans="1:2" x14ac:dyDescent="0.25">
      <c r="A1412" cm="1">
        <f t="array" ref="A1412">INDEX('Portfolio Weights Returns'!$B$9:$BJ$69,
INT((ROW(A1411)-1)/COLUMNS('Portfolio Weights Returns'!$B$9:$BJ$69))+1,MOD(ROW(A1411)-1,COLUMNS('Portfolio Weights Returns'!$B$9:$BJ$69))+1)</f>
        <v>-9.963003064091681E-4</v>
      </c>
      <c r="B1412" cm="1">
        <f t="array" ref="B1412">INDEX('Portfolio Weights Std'!$B$9:$BJ$69,INT((ROW(A1411)-1)/COLUMNS('Portfolio Weights Std'!$B$9:$BJ$69))+1,MOD(ROW(A1411)-1,COLUMNS('Portfolio Weights Std'!$B$9:$BJ$69))+1)</f>
        <v>2.3844887628172943E-2</v>
      </c>
    </row>
    <row r="1413" spans="1:2" x14ac:dyDescent="0.25">
      <c r="A1413" cm="1">
        <f t="array" ref="A1413">INDEX('Portfolio Weights Returns'!$B$9:$BJ$69,
INT((ROW(A1412)-1)/COLUMNS('Portfolio Weights Returns'!$B$9:$BJ$69))+1,MOD(ROW(A1412)-1,COLUMNS('Portfolio Weights Returns'!$B$9:$BJ$69))+1)</f>
        <v>-9.8951913244248895E-4</v>
      </c>
      <c r="B1413" cm="1">
        <f t="array" ref="B1413">INDEX('Portfolio Weights Std'!$B$9:$BJ$69,INT((ROW(A1412)-1)/COLUMNS('Portfolio Weights Std'!$B$9:$BJ$69))+1,MOD(ROW(A1412)-1,COLUMNS('Portfolio Weights Std'!$B$9:$BJ$69))+1)</f>
        <v>2.3673222767541517E-2</v>
      </c>
    </row>
    <row r="1414" spans="1:2" x14ac:dyDescent="0.25">
      <c r="A1414" cm="1">
        <f t="array" ref="A1414">INDEX('Portfolio Weights Returns'!$B$9:$BJ$69,
INT((ROW(A1413)-1)/COLUMNS('Portfolio Weights Returns'!$B$9:$BJ$69))+1,MOD(ROW(A1413)-1,COLUMNS('Portfolio Weights Returns'!$B$9:$BJ$69))+1)</f>
        <v>-9.8273795847580981E-4</v>
      </c>
      <c r="B1414" cm="1">
        <f t="array" ref="B1414">INDEX('Portfolio Weights Std'!$B$9:$BJ$69,INT((ROW(A1413)-1)/COLUMNS('Portfolio Weights Std'!$B$9:$BJ$69))+1,MOD(ROW(A1413)-1,COLUMNS('Portfolio Weights Std'!$B$9:$BJ$69))+1)</f>
        <v>2.3502274193358885E-2</v>
      </c>
    </row>
    <row r="1415" spans="1:2" x14ac:dyDescent="0.25">
      <c r="A1415" cm="1">
        <f t="array" ref="A1415">INDEX('Portfolio Weights Returns'!$B$9:$BJ$69,
INT((ROW(A1414)-1)/COLUMNS('Portfolio Weights Returns'!$B$9:$BJ$69))+1,MOD(ROW(A1414)-1,COLUMNS('Portfolio Weights Returns'!$B$9:$BJ$69))+1)</f>
        <v>-9.7595678450913077E-4</v>
      </c>
      <c r="B1415" cm="1">
        <f t="array" ref="B1415">INDEX('Portfolio Weights Std'!$B$9:$BJ$69,INT((ROW(A1414)-1)/COLUMNS('Portfolio Weights Std'!$B$9:$BJ$69))+1,MOD(ROW(A1414)-1,COLUMNS('Portfolio Weights Std'!$B$9:$BJ$69))+1)</f>
        <v>2.3332057649824323E-2</v>
      </c>
    </row>
    <row r="1416" spans="1:2" x14ac:dyDescent="0.25">
      <c r="A1416" cm="1">
        <f t="array" ref="A1416">INDEX('Portfolio Weights Returns'!$B$9:$BJ$69,
INT((ROW(A1415)-1)/COLUMNS('Portfolio Weights Returns'!$B$9:$BJ$69))+1,MOD(ROW(A1415)-1,COLUMNS('Portfolio Weights Returns'!$B$9:$BJ$69))+1)</f>
        <v>-9.6917561054245174E-4</v>
      </c>
      <c r="B1416" cm="1">
        <f t="array" ref="B1416">INDEX('Portfolio Weights Std'!$B$9:$BJ$69,INT((ROW(A1415)-1)/COLUMNS('Portfolio Weights Std'!$B$9:$BJ$69))+1,MOD(ROW(A1415)-1,COLUMNS('Portfolio Weights Std'!$B$9:$BJ$69))+1)</f>
        <v>2.3162589275518283E-2</v>
      </c>
    </row>
    <row r="1417" spans="1:2" x14ac:dyDescent="0.25">
      <c r="A1417" cm="1">
        <f t="array" ref="A1417">INDEX('Portfolio Weights Returns'!$B$9:$BJ$69,
INT((ROW(A1416)-1)/COLUMNS('Portfolio Weights Returns'!$B$9:$BJ$69))+1,MOD(ROW(A1416)-1,COLUMNS('Portfolio Weights Returns'!$B$9:$BJ$69))+1)</f>
        <v>-9.6239443657577259E-4</v>
      </c>
      <c r="B1417" cm="1">
        <f t="array" ref="B1417">INDEX('Portfolio Weights Std'!$B$9:$BJ$69,INT((ROW(A1416)-1)/COLUMNS('Portfolio Weights Std'!$B$9:$BJ$69))+1,MOD(ROW(A1416)-1,COLUMNS('Portfolio Weights Std'!$B$9:$BJ$69))+1)</f>
        <v>2.2993885612803879E-2</v>
      </c>
    </row>
    <row r="1418" spans="1:2" x14ac:dyDescent="0.25">
      <c r="A1418" cm="1">
        <f t="array" ref="A1418">INDEX('Portfolio Weights Returns'!$B$9:$BJ$69,
INT((ROW(A1417)-1)/COLUMNS('Portfolio Weights Returns'!$B$9:$BJ$69))+1,MOD(ROW(A1417)-1,COLUMNS('Portfolio Weights Returns'!$B$9:$BJ$69))+1)</f>
        <v>-9.5561326260909356E-4</v>
      </c>
      <c r="B1418" cm="1">
        <f t="array" ref="B1418">INDEX('Portfolio Weights Std'!$B$9:$BJ$69,INT((ROW(A1417)-1)/COLUMNS('Portfolio Weights Std'!$B$9:$BJ$69))+1,MOD(ROW(A1417)-1,COLUMNS('Portfolio Weights Std'!$B$9:$BJ$69))+1)</f>
        <v>2.2825963617332565E-2</v>
      </c>
    </row>
    <row r="1419" spans="1:2" x14ac:dyDescent="0.25">
      <c r="A1419" cm="1">
        <f t="array" ref="A1419">INDEX('Portfolio Weights Returns'!$B$9:$BJ$69,
INT((ROW(A1418)-1)/COLUMNS('Portfolio Weights Returns'!$B$9:$BJ$69))+1,MOD(ROW(A1418)-1,COLUMNS('Portfolio Weights Returns'!$B$9:$BJ$69))+1)</f>
        <v>-9.4883208864241441E-4</v>
      </c>
      <c r="B1419" cm="1">
        <f t="array" ref="B1419">INDEX('Portfolio Weights Std'!$B$9:$BJ$69,INT((ROW(A1418)-1)/COLUMNS('Portfolio Weights Std'!$B$9:$BJ$69))+1,MOD(ROW(A1418)-1,COLUMNS('Portfolio Weights Std'!$B$9:$BJ$69))+1)</f>
        <v>2.2658840667642212E-2</v>
      </c>
    </row>
    <row r="1420" spans="1:2" x14ac:dyDescent="0.25">
      <c r="A1420" cm="1">
        <f t="array" ref="A1420">INDEX('Portfolio Weights Returns'!$B$9:$BJ$69,
INT((ROW(A1419)-1)/COLUMNS('Portfolio Weights Returns'!$B$9:$BJ$69))+1,MOD(ROW(A1419)-1,COLUMNS('Portfolio Weights Returns'!$B$9:$BJ$69))+1)</f>
        <v>-9.4205091467573538E-4</v>
      </c>
      <c r="B1420" cm="1">
        <f t="array" ref="B1420">INDEX('Portfolio Weights Std'!$B$9:$BJ$69,INT((ROW(A1419)-1)/COLUMNS('Portfolio Weights Std'!$B$9:$BJ$69))+1,MOD(ROW(A1419)-1,COLUMNS('Portfolio Weights Std'!$B$9:$BJ$69))+1)</f>
        <v>2.2492534574834581E-2</v>
      </c>
    </row>
    <row r="1421" spans="1:2" x14ac:dyDescent="0.25">
      <c r="A1421" cm="1">
        <f t="array" ref="A1421">INDEX('Portfolio Weights Returns'!$B$9:$BJ$69,
INT((ROW(A1420)-1)/COLUMNS('Portfolio Weights Returns'!$B$9:$BJ$69))+1,MOD(ROW(A1420)-1,COLUMNS('Portfolio Weights Returns'!$B$9:$BJ$69))+1)</f>
        <v>-9.3526974070905634E-4</v>
      </c>
      <c r="B1421" cm="1">
        <f t="array" ref="B1421">INDEX('Portfolio Weights Std'!$B$9:$BJ$69,INT((ROW(A1420)-1)/COLUMNS('Portfolio Weights Std'!$B$9:$BJ$69))+1,MOD(ROW(A1420)-1,COLUMNS('Portfolio Weights Std'!$B$9:$BJ$69))+1)</f>
        <v>2.232706359231745E-2</v>
      </c>
    </row>
    <row r="1422" spans="1:2" x14ac:dyDescent="0.25">
      <c r="A1422" cm="1">
        <f t="array" ref="A1422">INDEX('Portfolio Weights Returns'!$B$9:$BJ$69,
INT((ROW(A1421)-1)/COLUMNS('Portfolio Weights Returns'!$B$9:$BJ$69))+1,MOD(ROW(A1421)-1,COLUMNS('Portfolio Weights Returns'!$B$9:$BJ$69))+1)</f>
        <v>-9.2848856674237709E-4</v>
      </c>
      <c r="B1422" cm="1">
        <f t="array" ref="B1422">INDEX('Portfolio Weights Std'!$B$9:$BJ$69,INT((ROW(A1421)-1)/COLUMNS('Portfolio Weights Std'!$B$9:$BJ$69))+1,MOD(ROW(A1421)-1,COLUMNS('Portfolio Weights Std'!$B$9:$BJ$69))+1)</f>
        <v>2.2162446425595068E-2</v>
      </c>
    </row>
    <row r="1423" spans="1:2" x14ac:dyDescent="0.25">
      <c r="A1423" cm="1">
        <f t="array" ref="A1423">INDEX('Portfolio Weights Returns'!$B$9:$BJ$69,
INT((ROW(A1422)-1)/COLUMNS('Portfolio Weights Returns'!$B$9:$BJ$69))+1,MOD(ROW(A1422)-1,COLUMNS('Portfolio Weights Returns'!$B$9:$BJ$69))+1)</f>
        <v>-9.2170739277569816E-4</v>
      </c>
      <c r="B1423" cm="1">
        <f t="array" ref="B1423">INDEX('Portfolio Weights Std'!$B$9:$BJ$69,INT((ROW(A1422)-1)/COLUMNS('Portfolio Weights Std'!$B$9:$BJ$69))+1,MOD(ROW(A1422)-1,COLUMNS('Portfolio Weights Std'!$B$9:$BJ$69))+1)</f>
        <v>2.1998702242088785E-2</v>
      </c>
    </row>
    <row r="1424" spans="1:2" x14ac:dyDescent="0.25">
      <c r="A1424" cm="1">
        <f t="array" ref="A1424">INDEX('Portfolio Weights Returns'!$B$9:$BJ$69,
INT((ROW(A1423)-1)/COLUMNS('Portfolio Weights Returns'!$B$9:$BJ$69))+1,MOD(ROW(A1423)-1,COLUMNS('Portfolio Weights Returns'!$B$9:$BJ$69))+1)</f>
        <v>-9.1492621880901901E-4</v>
      </c>
      <c r="B1424" cm="1">
        <f t="array" ref="B1424">INDEX('Portfolio Weights Std'!$B$9:$BJ$69,INT((ROW(A1423)-1)/COLUMNS('Portfolio Weights Std'!$B$9:$BJ$69))+1,MOD(ROW(A1423)-1,COLUMNS('Portfolio Weights Std'!$B$9:$BJ$69))+1)</f>
        <v>2.1835850680967717E-2</v>
      </c>
    </row>
    <row r="1425" spans="1:2" x14ac:dyDescent="0.25">
      <c r="A1425" cm="1">
        <f t="array" ref="A1425">INDEX('Portfolio Weights Returns'!$B$9:$BJ$69,
INT((ROW(A1424)-1)/COLUMNS('Portfolio Weights Returns'!$B$9:$BJ$69))+1,MOD(ROW(A1424)-1,COLUMNS('Portfolio Weights Returns'!$B$9:$BJ$69))+1)</f>
        <v>-9.0814504484233987E-4</v>
      </c>
      <c r="B1425" cm="1">
        <f t="array" ref="B1425">INDEX('Portfolio Weights Std'!$B$9:$BJ$69,INT((ROW(A1424)-1)/COLUMNS('Portfolio Weights Std'!$B$9:$BJ$69))+1,MOD(ROW(A1424)-1,COLUMNS('Portfolio Weights Std'!$B$9:$BJ$69))+1)</f>
        <v>2.1673911862967434E-2</v>
      </c>
    </row>
    <row r="1426" spans="1:2" x14ac:dyDescent="0.25">
      <c r="A1426" cm="1">
        <f t="array" ref="A1426">INDEX('Portfolio Weights Returns'!$B$9:$BJ$69,
INT((ROW(A1425)-1)/COLUMNS('Portfolio Weights Returns'!$B$9:$BJ$69))+1,MOD(ROW(A1425)-1,COLUMNS('Portfolio Weights Returns'!$B$9:$BJ$69))+1)</f>
        <v>-9.0136387087566073E-4</v>
      </c>
      <c r="B1426" cm="1">
        <f t="array" ref="B1426">INDEX('Portfolio Weights Std'!$B$9:$BJ$69,INT((ROW(A1425)-1)/COLUMNS('Portfolio Weights Std'!$B$9:$BJ$69))+1,MOD(ROW(A1425)-1,COLUMNS('Portfolio Weights Std'!$B$9:$BJ$69))+1)</f>
        <v>2.1512906400172165E-2</v>
      </c>
    </row>
    <row r="1427" spans="1:2" x14ac:dyDescent="0.25">
      <c r="A1427" cm="1">
        <f t="array" ref="A1427">INDEX('Portfolio Weights Returns'!$B$9:$BJ$69,
INT((ROW(A1426)-1)/COLUMNS('Portfolio Weights Returns'!$B$9:$BJ$69))+1,MOD(ROW(A1426)-1,COLUMNS('Portfolio Weights Returns'!$B$9:$BJ$69))+1)</f>
        <v>-8.9458269690898169E-4</v>
      </c>
      <c r="B1427" cm="1">
        <f t="array" ref="B1427">INDEX('Portfolio Weights Std'!$B$9:$BJ$69,INT((ROW(A1426)-1)/COLUMNS('Portfolio Weights Std'!$B$9:$BJ$69))+1,MOD(ROW(A1426)-1,COLUMNS('Portfolio Weights Std'!$B$9:$BJ$69))+1)</f>
        <v>2.1352855405733975E-2</v>
      </c>
    </row>
    <row r="1428" spans="1:2" x14ac:dyDescent="0.25">
      <c r="A1428" cm="1">
        <f t="array" ref="A1428">INDEX('Portfolio Weights Returns'!$B$9:$BJ$69,
INT((ROW(A1427)-1)/COLUMNS('Portfolio Weights Returns'!$B$9:$BJ$69))+1,MOD(ROW(A1427)-1,COLUMNS('Portfolio Weights Returns'!$B$9:$BJ$69))+1)</f>
        <v>-8.8780152294230255E-4</v>
      </c>
      <c r="B1428" cm="1">
        <f t="array" ref="B1428">INDEX('Portfolio Weights Std'!$B$9:$BJ$69,INT((ROW(A1427)-1)/COLUMNS('Portfolio Weights Std'!$B$9:$BJ$69))+1,MOD(ROW(A1427)-1,COLUMNS('Portfolio Weights Std'!$B$9:$BJ$69))+1)</f>
        <v>2.1193780503499664E-2</v>
      </c>
    </row>
    <row r="1429" spans="1:2" x14ac:dyDescent="0.25">
      <c r="A1429" cm="1">
        <f t="array" ref="A1429">INDEX('Portfolio Weights Returns'!$B$9:$BJ$69,
INT((ROW(A1428)-1)/COLUMNS('Portfolio Weights Returns'!$B$9:$BJ$69))+1,MOD(ROW(A1428)-1,COLUMNS('Portfolio Weights Returns'!$B$9:$BJ$69))+1)</f>
        <v>-8.8102034897562351E-4</v>
      </c>
      <c r="B1429" cm="1">
        <f t="array" ref="B1429">INDEX('Portfolio Weights Std'!$B$9:$BJ$69,INT((ROW(A1428)-1)/COLUMNS('Portfolio Weights Std'!$B$9:$BJ$69))+1,MOD(ROW(A1428)-1,COLUMNS('Portfolio Weights Std'!$B$9:$BJ$69))+1)</f>
        <v>2.1035703837513697E-2</v>
      </c>
    </row>
    <row r="1430" spans="1:2" x14ac:dyDescent="0.25">
      <c r="A1430" cm="1">
        <f t="array" ref="A1430">INDEX('Portfolio Weights Returns'!$B$9:$BJ$69,
INT((ROW(A1429)-1)/COLUMNS('Portfolio Weights Returns'!$B$9:$BJ$69))+1,MOD(ROW(A1429)-1,COLUMNS('Portfolio Weights Returns'!$B$9:$BJ$69))+1)</f>
        <v>-8.7423917500894436E-4</v>
      </c>
      <c r="B1430" cm="1">
        <f t="array" ref="B1430">INDEX('Portfolio Weights Std'!$B$9:$BJ$69,INT((ROW(A1429)-1)/COLUMNS('Portfolio Weights Std'!$B$9:$BJ$69))+1,MOD(ROW(A1429)-1,COLUMNS('Portfolio Weights Std'!$B$9:$BJ$69))+1)</f>
        <v>2.0878648081362458E-2</v>
      </c>
    </row>
    <row r="1431" spans="1:2" x14ac:dyDescent="0.25">
      <c r="A1431" cm="1">
        <f t="array" ref="A1431">INDEX('Portfolio Weights Returns'!$B$9:$BJ$69,
INT((ROW(A1430)-1)/COLUMNS('Portfolio Weights Returns'!$B$9:$BJ$69))+1,MOD(ROW(A1430)-1,COLUMNS('Portfolio Weights Returns'!$B$9:$BJ$69))+1)</f>
        <v>-8.6745800104226533E-4</v>
      </c>
      <c r="B1431" cm="1">
        <f t="array" ref="B1431">INDEX('Portfolio Weights Std'!$B$9:$BJ$69,INT((ROW(A1430)-1)/COLUMNS('Portfolio Weights Std'!$B$9:$BJ$69))+1,MOD(ROW(A1430)-1,COLUMNS('Portfolio Weights Std'!$B$9:$BJ$69))+1)</f>
        <v>2.0722636447322477E-2</v>
      </c>
    </row>
    <row r="1432" spans="1:2" x14ac:dyDescent="0.25">
      <c r="A1432" cm="1">
        <f t="array" ref="A1432">INDEX('Portfolio Weights Returns'!$B$9:$BJ$69,
INT((ROW(A1431)-1)/COLUMNS('Portfolio Weights Returns'!$B$9:$BJ$69))+1,MOD(ROW(A1431)-1,COLUMNS('Portfolio Weights Returns'!$B$9:$BJ$69))+1)</f>
        <v>-8.6067682707558608E-4</v>
      </c>
      <c r="B1432" cm="1">
        <f t="array" ref="B1432">INDEX('Portfolio Weights Std'!$B$9:$BJ$69,INT((ROW(A1431)-1)/COLUMNS('Portfolio Weights Std'!$B$9:$BJ$69))+1,MOD(ROW(A1431)-1,COLUMNS('Portfolio Weights Std'!$B$9:$BJ$69))+1)</f>
        <v>2.0567692695271915E-2</v>
      </c>
    </row>
    <row r="1433" spans="1:2" x14ac:dyDescent="0.25">
      <c r="A1433" cm="1">
        <f t="array" ref="A1433">INDEX('Portfolio Weights Returns'!$B$9:$BJ$69,
INT((ROW(A1432)-1)/COLUMNS('Portfolio Weights Returns'!$B$9:$BJ$69))+1,MOD(ROW(A1432)-1,COLUMNS('Portfolio Weights Returns'!$B$9:$BJ$69))+1)</f>
        <v>-8.5389565310890693E-4</v>
      </c>
      <c r="B1433" cm="1">
        <f t="array" ref="B1433">INDEX('Portfolio Weights Std'!$B$9:$BJ$69,INT((ROW(A1432)-1)/COLUMNS('Portfolio Weights Std'!$B$9:$BJ$69))+1,MOD(ROW(A1432)-1,COLUMNS('Portfolio Weights Std'!$B$9:$BJ$69))+1)</f>
        <v>2.0413841141321522E-2</v>
      </c>
    </row>
    <row r="1434" spans="1:2" x14ac:dyDescent="0.25">
      <c r="A1434" cm="1">
        <f t="array" ref="A1434">INDEX('Portfolio Weights Returns'!$B$9:$BJ$69,
INT((ROW(A1433)-1)/COLUMNS('Portfolio Weights Returns'!$B$9:$BJ$69))+1,MOD(ROW(A1433)-1,COLUMNS('Portfolio Weights Returns'!$B$9:$BJ$69))+1)</f>
        <v>-8.471144791422279E-4</v>
      </c>
      <c r="B1434" cm="1">
        <f t="array" ref="B1434">INDEX('Portfolio Weights Std'!$B$9:$BJ$69,INT((ROW(A1433)-1)/COLUMNS('Portfolio Weights Std'!$B$9:$BJ$69))+1,MOD(ROW(A1433)-1,COLUMNS('Portfolio Weights Std'!$B$9:$BJ$69))+1)</f>
        <v>2.0261106666117887E-2</v>
      </c>
    </row>
    <row r="1435" spans="1:2" x14ac:dyDescent="0.25">
      <c r="A1435" cm="1">
        <f t="array" ref="A1435">INDEX('Portfolio Weights Returns'!$B$9:$BJ$69,
INT((ROW(A1434)-1)/COLUMNS('Portfolio Weights Returns'!$B$9:$BJ$69))+1,MOD(ROW(A1434)-1,COLUMNS('Portfolio Weights Returns'!$B$9:$BJ$69))+1)</f>
        <v>-8.4033330517554875E-4</v>
      </c>
      <c r="B1435" cm="1">
        <f t="array" ref="B1435">INDEX('Portfolio Weights Std'!$B$9:$BJ$69,INT((ROW(A1434)-1)/COLUMNS('Portfolio Weights Std'!$B$9:$BJ$69))+1,MOD(ROW(A1434)-1,COLUMNS('Portfolio Weights Std'!$B$9:$BJ$69))+1)</f>
        <v>2.0109514722768129E-2</v>
      </c>
    </row>
    <row r="1436" spans="1:2" x14ac:dyDescent="0.25">
      <c r="A1436" cm="1">
        <f t="array" ref="A1436">INDEX('Portfolio Weights Returns'!$B$9:$BJ$69,
INT((ROW(A1435)-1)/COLUMNS('Portfolio Weights Returns'!$B$9:$BJ$69))+1,MOD(ROW(A1435)-1,COLUMNS('Portfolio Weights Returns'!$B$9:$BJ$69))+1)</f>
        <v>-8.3355213120886971E-4</v>
      </c>
      <c r="B1436" cm="1">
        <f t="array" ref="B1436">INDEX('Portfolio Weights Std'!$B$9:$BJ$69,INT((ROW(A1435)-1)/COLUMNS('Portfolio Weights Std'!$B$9:$BJ$69))+1,MOD(ROW(A1435)-1,COLUMNS('Portfolio Weights Std'!$B$9:$BJ$69))+1)</f>
        <v>1.9959091344331676E-2</v>
      </c>
    </row>
    <row r="1437" spans="1:2" x14ac:dyDescent="0.25">
      <c r="A1437" cm="1">
        <f t="array" ref="A1437">INDEX('Portfolio Weights Returns'!$B$9:$BJ$69,
INT((ROW(A1436)-1)/COLUMNS('Portfolio Weights Returns'!$B$9:$BJ$69))+1,MOD(ROW(A1436)-1,COLUMNS('Portfolio Weights Returns'!$B$9:$BJ$69))+1)</f>
        <v>-8.2677095724219057E-4</v>
      </c>
      <c r="B1437" cm="1">
        <f t="array" ref="B1437">INDEX('Portfolio Weights Std'!$B$9:$BJ$69,INT((ROW(A1436)-1)/COLUMNS('Portfolio Weights Std'!$B$9:$BJ$69))+1,MOD(ROW(A1436)-1,COLUMNS('Portfolio Weights Std'!$B$9:$BJ$69))+1)</f>
        <v>1.9809863150820832E-2</v>
      </c>
    </row>
    <row r="1438" spans="1:2" x14ac:dyDescent="0.25">
      <c r="A1438" cm="1">
        <f t="array" ref="A1438">INDEX('Portfolio Weights Returns'!$B$9:$BJ$69,
INT((ROW(A1437)-1)/COLUMNS('Portfolio Weights Returns'!$B$9:$BJ$69))+1,MOD(ROW(A1437)-1,COLUMNS('Portfolio Weights Returns'!$B$9:$BJ$69))+1)</f>
        <v>-8.1998978327551153E-4</v>
      </c>
      <c r="B1438" cm="1">
        <f t="array" ref="B1438">INDEX('Portfolio Weights Std'!$B$9:$BJ$69,INT((ROW(A1437)-1)/COLUMNS('Portfolio Weights Std'!$B$9:$BJ$69))+1,MOD(ROW(A1437)-1,COLUMNS('Portfolio Weights Std'!$B$9:$BJ$69))+1)</f>
        <v>1.9661857355647971E-2</v>
      </c>
    </row>
    <row r="1439" spans="1:2" x14ac:dyDescent="0.25">
      <c r="A1439" cm="1">
        <f t="array" ref="A1439">INDEX('Portfolio Weights Returns'!$B$9:$BJ$69,
INT((ROW(A1438)-1)/COLUMNS('Portfolio Weights Returns'!$B$9:$BJ$69))+1,MOD(ROW(A1438)-1,COLUMNS('Portfolio Weights Returns'!$B$9:$BJ$69))+1)</f>
        <v>-8.1320860930883228E-4</v>
      </c>
      <c r="B1439" cm="1">
        <f t="array" ref="B1439">INDEX('Portfolio Weights Std'!$B$9:$BJ$69,INT((ROW(A1438)-1)/COLUMNS('Portfolio Weights Std'!$B$9:$BJ$69))+1,MOD(ROW(A1438)-1,COLUMNS('Portfolio Weights Std'!$B$9:$BJ$69))+1)</f>
        <v>1.9515101771453137E-2</v>
      </c>
    </row>
    <row r="1440" spans="1:2" x14ac:dyDescent="0.25">
      <c r="A1440" cm="1">
        <f t="array" ref="A1440">INDEX('Portfolio Weights Returns'!$B$9:$BJ$69,
INT((ROW(A1439)-1)/COLUMNS('Portfolio Weights Returns'!$B$9:$BJ$69))+1,MOD(ROW(A1439)-1,COLUMNS('Portfolio Weights Returns'!$B$9:$BJ$69))+1)</f>
        <v>-8.0642743534215325E-4</v>
      </c>
      <c r="B1440" cm="1">
        <f t="array" ref="B1440">INDEX('Portfolio Weights Std'!$B$9:$BJ$69,INT((ROW(A1439)-1)/COLUMNS('Portfolio Weights Std'!$B$9:$BJ$69))+1,MOD(ROW(A1439)-1,COLUMNS('Portfolio Weights Std'!$B$9:$BJ$69))+1)</f>
        <v>1.9369624815241637E-2</v>
      </c>
    </row>
    <row r="1441" spans="1:2" x14ac:dyDescent="0.25">
      <c r="A1441" cm="1">
        <f t="array" ref="A1441">INDEX('Portfolio Weights Returns'!$B$9:$BJ$69,
INT((ROW(A1440)-1)/COLUMNS('Portfolio Weights Returns'!$B$9:$BJ$69))+1,MOD(ROW(A1440)-1,COLUMNS('Portfolio Weights Returns'!$B$9:$BJ$69))+1)</f>
        <v>-7.996462613754741E-4</v>
      </c>
      <c r="B1441" cm="1">
        <f t="array" ref="B1441">INDEX('Portfolio Weights Std'!$B$9:$BJ$69,INT((ROW(A1440)-1)/COLUMNS('Portfolio Weights Std'!$B$9:$BJ$69))+1,MOD(ROW(A1440)-1,COLUMNS('Portfolio Weights Std'!$B$9:$BJ$69))+1)</f>
        <v>1.9225455512757082E-2</v>
      </c>
    </row>
    <row r="1442" spans="1:2" x14ac:dyDescent="0.25">
      <c r="A1442" cm="1">
        <f t="array" ref="A1442">INDEX('Portfolio Weights Returns'!$B$9:$BJ$69,
INT((ROW(A1441)-1)/COLUMNS('Portfolio Weights Returns'!$B$9:$BJ$69))+1,MOD(ROW(A1441)-1,COLUMNS('Portfolio Weights Returns'!$B$9:$BJ$69))+1)</f>
        <v>-7.9286508740879496E-4</v>
      </c>
      <c r="B1442" cm="1">
        <f t="array" ref="B1442">INDEX('Portfolio Weights Std'!$B$9:$BJ$69,INT((ROW(A1441)-1)/COLUMNS('Portfolio Weights Std'!$B$9:$BJ$69))+1,MOD(ROW(A1441)-1,COLUMNS('Portfolio Weights Std'!$B$9:$BJ$69))+1)</f>
        <v>1.9082623502011054E-2</v>
      </c>
    </row>
    <row r="1443" spans="1:2" x14ac:dyDescent="0.25">
      <c r="A1443" cm="1">
        <f t="array" ref="A1443">INDEX('Portfolio Weights Returns'!$B$9:$BJ$69,
INT((ROW(A1442)-1)/COLUMNS('Portfolio Weights Returns'!$B$9:$BJ$69))+1,MOD(ROW(A1442)-1,COLUMNS('Portfolio Weights Returns'!$B$9:$BJ$69))+1)</f>
        <v>-7.8608391344211592E-4</v>
      </c>
      <c r="B1443" cm="1">
        <f t="array" ref="B1443">INDEX('Portfolio Weights Std'!$B$9:$BJ$69,INT((ROW(A1442)-1)/COLUMNS('Portfolio Weights Std'!$B$9:$BJ$69))+1,MOD(ROW(A1442)-1,COLUMNS('Portfolio Weights Std'!$B$9:$BJ$69))+1)</f>
        <v>1.8941159035886203E-2</v>
      </c>
    </row>
    <row r="1444" spans="1:2" x14ac:dyDescent="0.25">
      <c r="A1444" cm="1">
        <f t="array" ref="A1444">INDEX('Portfolio Weights Returns'!$B$9:$BJ$69,
INT((ROW(A1443)-1)/COLUMNS('Portfolio Weights Returns'!$B$9:$BJ$69))+1,MOD(ROW(A1443)-1,COLUMNS('Portfolio Weights Returns'!$B$9:$BJ$69))+1)</f>
        <v>-7.7930273947543678E-4</v>
      </c>
      <c r="B1444" cm="1">
        <f t="array" ref="B1444">INDEX('Portfolio Weights Std'!$B$9:$BJ$69,INT((ROW(A1443)-1)/COLUMNS('Portfolio Weights Std'!$B$9:$BJ$69))+1,MOD(ROW(A1443)-1,COLUMNS('Portfolio Weights Std'!$B$9:$BJ$69))+1)</f>
        <v>1.8801092983725398E-2</v>
      </c>
    </row>
    <row r="1445" spans="1:2" x14ac:dyDescent="0.25">
      <c r="A1445" cm="1">
        <f t="array" ref="A1445">INDEX('Portfolio Weights Returns'!$B$9:$BJ$69,
INT((ROW(A1444)-1)/COLUMNS('Portfolio Weights Returns'!$B$9:$BJ$69))+1,MOD(ROW(A1444)-1,COLUMNS('Portfolio Weights Returns'!$B$9:$BJ$69))+1)</f>
        <v>-7.7252156550875774E-4</v>
      </c>
      <c r="B1445" cm="1">
        <f t="array" ref="B1445">INDEX('Portfolio Weights Std'!$B$9:$BJ$69,INT((ROW(A1444)-1)/COLUMNS('Portfolio Weights Std'!$B$9:$BJ$69))+1,MOD(ROW(A1444)-1,COLUMNS('Portfolio Weights Std'!$B$9:$BJ$69))+1)</f>
        <v>1.8662456831815291E-2</v>
      </c>
    </row>
    <row r="1446" spans="1:2" x14ac:dyDescent="0.25">
      <c r="A1446" cm="1">
        <f t="array" ref="A1446">INDEX('Portfolio Weights Returns'!$B$9:$BJ$69,
INT((ROW(A1445)-1)/COLUMNS('Portfolio Weights Returns'!$B$9:$BJ$69))+1,MOD(ROW(A1445)-1,COLUMNS('Portfolio Weights Returns'!$B$9:$BJ$69))+1)</f>
        <v>-7.6574039154207849E-4</v>
      </c>
      <c r="B1446" cm="1">
        <f t="array" ref="B1446">INDEX('Portfolio Weights Std'!$B$9:$BJ$69,INT((ROW(A1445)-1)/COLUMNS('Portfolio Weights Std'!$B$9:$BJ$69))+1,MOD(ROW(A1445)-1,COLUMNS('Portfolio Weights Std'!$B$9:$BJ$69))+1)</f>
        <v>1.8525282682668461E-2</v>
      </c>
    </row>
    <row r="1447" spans="1:2" x14ac:dyDescent="0.25">
      <c r="A1447" cm="1">
        <f t="array" ref="A1447">INDEX('Portfolio Weights Returns'!$B$9:$BJ$69,
INT((ROW(A1446)-1)/COLUMNS('Portfolio Weights Returns'!$B$9:$BJ$69))+1,MOD(ROW(A1446)-1,COLUMNS('Portfolio Weights Returns'!$B$9:$BJ$69))+1)</f>
        <v>-7.5895921757539945E-4</v>
      </c>
      <c r="B1447" cm="1">
        <f t="array" ref="B1447">INDEX('Portfolio Weights Std'!$B$9:$BJ$69,INT((ROW(A1446)-1)/COLUMNS('Portfolio Weights Std'!$B$9:$BJ$69))+1,MOD(ROW(A1446)-1,COLUMNS('Portfolio Weights Std'!$B$9:$BJ$69))+1)</f>
        <v>1.8389603253004361E-2</v>
      </c>
    </row>
    <row r="1448" spans="1:2" x14ac:dyDescent="0.25">
      <c r="A1448" cm="1">
        <f t="array" ref="A1448">INDEX('Portfolio Weights Returns'!$B$9:$BJ$69,
INT((ROW(A1447)-1)/COLUMNS('Portfolio Weights Returns'!$B$9:$BJ$69))+1,MOD(ROW(A1447)-1,COLUMNS('Portfolio Weights Returns'!$B$9:$BJ$69))+1)</f>
        <v>-7.5217804360872031E-4</v>
      </c>
      <c r="B1448" cm="1">
        <f t="array" ref="B1448">INDEX('Portfolio Weights Std'!$B$9:$BJ$69,INT((ROW(A1447)-1)/COLUMNS('Portfolio Weights Std'!$B$9:$BJ$69))+1,MOD(ROW(A1447)-1,COLUMNS('Portfolio Weights Std'!$B$9:$BJ$69))+1)</f>
        <v>1.8255451870325401E-2</v>
      </c>
    </row>
    <row r="1449" spans="1:2" x14ac:dyDescent="0.25">
      <c r="A1449" cm="1">
        <f t="array" ref="A1449">INDEX('Portfolio Weights Returns'!$B$9:$BJ$69,
INT((ROW(A1448)-1)/COLUMNS('Portfolio Weights Returns'!$B$9:$BJ$69))+1,MOD(ROW(A1448)-1,COLUMNS('Portfolio Weights Returns'!$B$9:$BJ$69))+1)</f>
        <v>-7.4539686964204127E-4</v>
      </c>
      <c r="B1449" cm="1">
        <f t="array" ref="B1449">INDEX('Portfolio Weights Std'!$B$9:$BJ$69,INT((ROW(A1448)-1)/COLUMNS('Portfolio Weights Std'!$B$9:$BJ$69))+1,MOD(ROW(A1448)-1,COLUMNS('Portfolio Weights Std'!$B$9:$BJ$69))+1)</f>
        <v>1.8122862467980928E-2</v>
      </c>
    </row>
    <row r="1450" spans="1:2" x14ac:dyDescent="0.25">
      <c r="A1450" cm="1">
        <f t="array" ref="A1450">INDEX('Portfolio Weights Returns'!$B$9:$BJ$69,
INT((ROW(A1449)-1)/COLUMNS('Portfolio Weights Returns'!$B$9:$BJ$69))+1,MOD(ROW(A1449)-1,COLUMNS('Portfolio Weights Returns'!$B$9:$BJ$69))+1)</f>
        <v>-7.3861569567536213E-4</v>
      </c>
      <c r="B1450" cm="1">
        <f t="array" ref="B1450">INDEX('Portfolio Weights Std'!$B$9:$BJ$69,INT((ROW(A1449)-1)/COLUMNS('Portfolio Weights Std'!$B$9:$BJ$69))+1,MOD(ROW(A1449)-1,COLUMNS('Portfolio Weights Std'!$B$9:$BJ$69))+1)</f>
        <v>1.7991869578608613E-2</v>
      </c>
    </row>
    <row r="1451" spans="1:2" x14ac:dyDescent="0.25">
      <c r="A1451" cm="1">
        <f t="array" ref="A1451">INDEX('Portfolio Weights Returns'!$B$9:$BJ$69,
INT((ROW(A1450)-1)/COLUMNS('Portfolio Weights Returns'!$B$9:$BJ$69))+1,MOD(ROW(A1450)-1,COLUMNS('Portfolio Weights Returns'!$B$9:$BJ$69))+1)</f>
        <v>-7.3183452170868309E-4</v>
      </c>
      <c r="B1451" cm="1">
        <f t="array" ref="B1451">INDEX('Portfolio Weights Std'!$B$9:$BJ$69,INT((ROW(A1450)-1)/COLUMNS('Portfolio Weights Std'!$B$9:$BJ$69))+1,MOD(ROW(A1450)-1,COLUMNS('Portfolio Weights Std'!$B$9:$BJ$69))+1)</f>
        <v>1.7862508325839865E-2</v>
      </c>
    </row>
    <row r="1452" spans="1:2" x14ac:dyDescent="0.25">
      <c r="A1452" cm="1">
        <f t="array" ref="A1452">INDEX('Portfolio Weights Returns'!$B$9:$BJ$69,
INT((ROW(A1451)-1)/COLUMNS('Portfolio Weights Returns'!$B$9:$BJ$69))+1,MOD(ROW(A1451)-1,COLUMNS('Portfolio Weights Returns'!$B$9:$BJ$69))+1)</f>
        <v>-7.2505334774200395E-4</v>
      </c>
      <c r="B1452" cm="1">
        <f t="array" ref="B1452">INDEX('Portfolio Weights Std'!$B$9:$BJ$69,INT((ROW(A1451)-1)/COLUMNS('Portfolio Weights Std'!$B$9:$BJ$69))+1,MOD(ROW(A1451)-1,COLUMNS('Portfolio Weights Std'!$B$9:$BJ$69))+1)</f>
        <v>1.7734814414153338E-2</v>
      </c>
    </row>
    <row r="1453" spans="1:2" x14ac:dyDescent="0.25">
      <c r="A1453" cm="1">
        <f t="array" ref="A1453">INDEX('Portfolio Weights Returns'!$B$9:$BJ$69,
INT((ROW(A1452)-1)/COLUMNS('Portfolio Weights Returns'!$B$9:$BJ$69))+1,MOD(ROW(A1452)-1,COLUMNS('Portfolio Weights Returns'!$B$9:$BJ$69))+1)</f>
        <v>-7.1827217377532491E-4</v>
      </c>
      <c r="B1453" cm="1">
        <f t="array" ref="B1453">INDEX('Portfolio Weights Std'!$B$9:$BJ$69,INT((ROW(A1452)-1)/COLUMNS('Portfolio Weights Std'!$B$9:$BJ$69))+1,MOD(ROW(A1452)-1,COLUMNS('Portfolio Weights Std'!$B$9:$BJ$69))+1)</f>
        <v>1.7608824116758886E-2</v>
      </c>
    </row>
    <row r="1454" spans="1:2" x14ac:dyDescent="0.25">
      <c r="A1454" cm="1">
        <f t="array" ref="A1454">INDEX('Portfolio Weights Returns'!$B$9:$BJ$69,
INT((ROW(A1453)-1)/COLUMNS('Portfolio Weights Returns'!$B$9:$BJ$69))+1,MOD(ROW(A1453)-1,COLUMNS('Portfolio Weights Returns'!$B$9:$BJ$69))+1)</f>
        <v>-7.1149099980864587E-4</v>
      </c>
      <c r="B1454" cm="1">
        <f t="array" ref="B1454">INDEX('Portfolio Weights Std'!$B$9:$BJ$69,INT((ROW(A1453)-1)/COLUMNS('Portfolio Weights Std'!$B$9:$BJ$69))+1,MOD(ROW(A1453)-1,COLUMNS('Portfolio Weights Std'!$B$9:$BJ$69))+1)</f>
        <v>1.748457426139291E-2</v>
      </c>
    </row>
    <row r="1455" spans="1:2" x14ac:dyDescent="0.25">
      <c r="A1455" cm="1">
        <f t="array" ref="A1455">INDEX('Portfolio Weights Returns'!$B$9:$BJ$69,
INT((ROW(A1454)-1)/COLUMNS('Portfolio Weights Returns'!$B$9:$BJ$69))+1,MOD(ROW(A1454)-1,COLUMNS('Portfolio Weights Returns'!$B$9:$BJ$69))+1)</f>
        <v>-7.0470982584196673E-4</v>
      </c>
      <c r="B1455" cm="1">
        <f t="array" ref="B1455">INDEX('Portfolio Weights Std'!$B$9:$BJ$69,INT((ROW(A1454)-1)/COLUMNS('Portfolio Weights Std'!$B$9:$BJ$69))+1,MOD(ROW(A1454)-1,COLUMNS('Portfolio Weights Std'!$B$9:$BJ$69))+1)</f>
        <v>1.7362102213905536E-2</v>
      </c>
    </row>
    <row r="1456" spans="1:2" x14ac:dyDescent="0.25">
      <c r="A1456" cm="1">
        <f t="array" ref="A1456">INDEX('Portfolio Weights Returns'!$B$9:$BJ$69,
INT((ROW(A1455)-1)/COLUMNS('Portfolio Weights Returns'!$B$9:$BJ$69))+1,MOD(ROW(A1455)-1,COLUMNS('Portfolio Weights Returns'!$B$9:$BJ$69))+1)</f>
        <v>-6.9792865187528769E-4</v>
      </c>
      <c r="B1456" cm="1">
        <f t="array" ref="B1456">INDEX('Portfolio Weights Std'!$B$9:$BJ$69,INT((ROW(A1455)-1)/COLUMNS('Portfolio Weights Std'!$B$9:$BJ$69))+1,MOD(ROW(A1455)-1,COLUMNS('Portfolio Weights Std'!$B$9:$BJ$69))+1)</f>
        <v>1.7241445859520296E-2</v>
      </c>
    </row>
    <row r="1457" spans="1:2" x14ac:dyDescent="0.25">
      <c r="A1457" cm="1">
        <f t="array" ref="A1457">INDEX('Portfolio Weights Returns'!$B$9:$BJ$69,
INT((ROW(A1456)-1)/COLUMNS('Portfolio Weights Returns'!$B$9:$BJ$69))+1,MOD(ROW(A1456)-1,COLUMNS('Portfolio Weights Returns'!$B$9:$BJ$69))+1)</f>
        <v>-6.9114747790860844E-4</v>
      </c>
      <c r="B1457" cm="1">
        <f t="array" ref="B1457">INDEX('Portfolio Weights Std'!$B$9:$BJ$69,INT((ROW(A1456)-1)/COLUMNS('Portfolio Weights Std'!$B$9:$BJ$69))+1,MOD(ROW(A1456)-1,COLUMNS('Portfolio Weights Std'!$B$9:$BJ$69))+1)</f>
        <v>1.7122643581648299E-2</v>
      </c>
    </row>
    <row r="1458" spans="1:2" x14ac:dyDescent="0.25">
      <c r="A1458" cm="1">
        <f t="array" ref="A1458">INDEX('Portfolio Weights Returns'!$B$9:$BJ$69,
INT((ROW(A1457)-1)/COLUMNS('Portfolio Weights Returns'!$B$9:$BJ$69))+1,MOD(ROW(A1457)-1,COLUMNS('Portfolio Weights Returns'!$B$9:$BJ$69))+1)</f>
        <v>-6.843663039419294E-4</v>
      </c>
      <c r="B1458" cm="1">
        <f t="array" ref="B1458">INDEX('Portfolio Weights Std'!$B$9:$BJ$69,INT((ROW(A1457)-1)/COLUMNS('Portfolio Weights Std'!$B$9:$BJ$69))+1,MOD(ROW(A1457)-1,COLUMNS('Portfolio Weights Std'!$B$9:$BJ$69))+1)</f>
        <v>1.7005734238140956E-2</v>
      </c>
    </row>
    <row r="1459" spans="1:2" x14ac:dyDescent="0.25">
      <c r="A1459" cm="1">
        <f t="array" ref="A1459">INDEX('Portfolio Weights Returns'!$B$9:$BJ$69,
INT((ROW(A1458)-1)/COLUMNS('Portfolio Weights Returns'!$B$9:$BJ$69))+1,MOD(ROW(A1458)-1,COLUMNS('Portfolio Weights Returns'!$B$9:$BJ$69))+1)</f>
        <v>-6.7758512997525026E-4</v>
      </c>
      <c r="B1459" cm="1">
        <f t="array" ref="B1459">INDEX('Portfolio Weights Std'!$B$9:$BJ$69,INT((ROW(A1458)-1)/COLUMNS('Portfolio Weights Std'!$B$9:$BJ$69))+1,MOD(ROW(A1458)-1,COLUMNS('Portfolio Weights Std'!$B$9:$BJ$69))+1)</f>
        <v>1.6890757134868862E-2</v>
      </c>
    </row>
    <row r="1460" spans="1:2" x14ac:dyDescent="0.25">
      <c r="A1460" cm="1">
        <f t="array" ref="A1460">INDEX('Portfolio Weights Returns'!$B$9:$BJ$69,
INT((ROW(A1459)-1)/COLUMNS('Portfolio Weights Returns'!$B$9:$BJ$69))+1,MOD(ROW(A1459)-1,COLUMNS('Portfolio Weights Returns'!$B$9:$BJ$69))+1)</f>
        <v>-6.7080395600857122E-4</v>
      </c>
      <c r="B1460" cm="1">
        <f t="array" ref="B1460">INDEX('Portfolio Weights Std'!$B$9:$BJ$69,INT((ROW(A1459)-1)/COLUMNS('Portfolio Weights Std'!$B$9:$BJ$69))+1,MOD(ROW(A1459)-1,COLUMNS('Portfolio Weights Std'!$B$9:$BJ$69))+1)</f>
        <v>1.6777751996518875E-2</v>
      </c>
    </row>
    <row r="1461" spans="1:2" x14ac:dyDescent="0.25">
      <c r="A1461" cm="1">
        <f t="array" ref="A1461">INDEX('Portfolio Weights Returns'!$B$9:$BJ$69,
INT((ROW(A1460)-1)/COLUMNS('Portfolio Weights Returns'!$B$9:$BJ$69))+1,MOD(ROW(A1460)-1,COLUMNS('Portfolio Weights Returns'!$B$9:$BJ$69))+1)</f>
        <v>-6.6402278204189208E-4</v>
      </c>
      <c r="B1461" cm="1">
        <f t="array" ref="B1461">INDEX('Portfolio Weights Std'!$B$9:$BJ$69,INT((ROW(A1460)-1)/COLUMNS('Portfolio Weights Std'!$B$9:$BJ$69))+1,MOD(ROW(A1460)-1,COLUMNS('Portfolio Weights Std'!$B$9:$BJ$69))+1)</f>
        <v>1.66667589345076E-2</v>
      </c>
    </row>
    <row r="1462" spans="1:2" x14ac:dyDescent="0.25">
      <c r="A1462" cm="1">
        <f t="array" ref="A1462">INDEX('Portfolio Weights Returns'!$B$9:$BJ$69,
INT((ROW(A1461)-1)/COLUMNS('Portfolio Weights Returns'!$B$9:$BJ$69))+1,MOD(ROW(A1461)-1,COLUMNS('Portfolio Weights Returns'!$B$9:$BJ$69))+1)</f>
        <v>-6.5724160807521228E-4</v>
      </c>
      <c r="B1462" cm="1">
        <f t="array" ref="B1462">INDEX('Portfolio Weights Std'!$B$9:$BJ$69,INT((ROW(A1461)-1)/COLUMNS('Portfolio Weights Std'!$B$9:$BJ$69))+1,MOD(ROW(A1461)-1,COLUMNS('Portfolio Weights Std'!$B$9:$BJ$69))+1)</f>
        <v>1.6557818411916773E-2</v>
      </c>
    </row>
    <row r="1463" spans="1:2" x14ac:dyDescent="0.25">
      <c r="A1463" cm="1">
        <f t="array" ref="A1463">INDEX('Portfolio Weights Returns'!$B$9:$BJ$69,
INT((ROW(A1462)-1)/COLUMNS('Portfolio Weights Returns'!$B$9:$BJ$69))+1,MOD(ROW(A1462)-1,COLUMNS('Portfolio Weights Returns'!$B$9:$BJ$69))+1)</f>
        <v>-6.5046043410853303E-4</v>
      </c>
      <c r="B1463" cm="1">
        <f t="array" ref="B1463">INDEX('Portfolio Weights Std'!$B$9:$BJ$69,INT((ROW(A1462)-1)/COLUMNS('Portfolio Weights Std'!$B$9:$BJ$69))+1,MOD(ROW(A1462)-1,COLUMNS('Portfolio Weights Std'!$B$9:$BJ$69))+1)</f>
        <v>1.6450971205365286E-2</v>
      </c>
    </row>
    <row r="1464" spans="1:2" x14ac:dyDescent="0.25">
      <c r="A1464" cm="1">
        <f t="array" ref="A1464">INDEX('Portfolio Weights Returns'!$B$9:$BJ$69,
INT((ROW(A1463)-1)/COLUMNS('Portfolio Weights Returns'!$B$9:$BJ$69))+1,MOD(ROW(A1463)-1,COLUMNS('Portfolio Weights Returns'!$B$9:$BJ$69))+1)</f>
        <v>-6.436792601418541E-4</v>
      </c>
      <c r="B1464" cm="1">
        <f t="array" ref="B1464">INDEX('Portfolio Weights Std'!$B$9:$BJ$69,INT((ROW(A1463)-1)/COLUMNS('Portfolio Weights Std'!$B$9:$BJ$69))+1,MOD(ROW(A1463)-1,COLUMNS('Portfolio Weights Std'!$B$9:$BJ$69))+1)</f>
        <v>1.6346258363742795E-2</v>
      </c>
    </row>
    <row r="1465" spans="1:2" x14ac:dyDescent="0.25">
      <c r="A1465" cm="1">
        <f t="array" ref="A1465">INDEX('Portfolio Weights Returns'!$B$9:$BJ$69,
INT((ROW(A1464)-1)/COLUMNS('Portfolio Weights Returns'!$B$9:$BJ$69))+1,MOD(ROW(A1464)-1,COLUMNS('Portfolio Weights Returns'!$B$9:$BJ$69))+1)</f>
        <v>-6.3689808617517507E-4</v>
      </c>
      <c r="B1465" cm="1">
        <f t="array" ref="B1465">INDEX('Portfolio Weights Std'!$B$9:$BJ$69,INT((ROW(A1464)-1)/COLUMNS('Portfolio Weights Std'!$B$9:$BJ$69))+1,MOD(ROW(A1464)-1,COLUMNS('Portfolio Weights Std'!$B$9:$BJ$69))+1)</f>
        <v>1.6243721163742956E-2</v>
      </c>
    </row>
    <row r="1466" spans="1:2" x14ac:dyDescent="0.25">
      <c r="A1466" cm="1">
        <f t="array" ref="A1466">INDEX('Portfolio Weights Returns'!$B$9:$BJ$69,
INT((ROW(A1465)-1)/COLUMNS('Portfolio Weights Returns'!$B$9:$BJ$69))+1,MOD(ROW(A1465)-1,COLUMNS('Portfolio Weights Returns'!$B$9:$BJ$69))+1)</f>
        <v>-1.0371943163304668E-3</v>
      </c>
      <c r="B1466" cm="1">
        <f t="array" ref="B1466">INDEX('Portfolio Weights Std'!$B$9:$BJ$69,INT((ROW(A1465)-1)/COLUMNS('Portfolio Weights Std'!$B$9:$BJ$69))+1,MOD(ROW(A1465)-1,COLUMNS('Portfolio Weights Std'!$B$9:$BJ$69))+1)</f>
        <v>2.4893275270361996E-2</v>
      </c>
    </row>
    <row r="1467" spans="1:2" x14ac:dyDescent="0.25">
      <c r="A1467" cm="1">
        <f t="array" ref="A1467">INDEX('Portfolio Weights Returns'!$B$9:$BJ$69,
INT((ROW(A1466)-1)/COLUMNS('Portfolio Weights Returns'!$B$9:$BJ$69))+1,MOD(ROW(A1466)-1,COLUMNS('Portfolio Weights Returns'!$B$9:$BJ$69))+1)</f>
        <v>-1.0304131423637876E-3</v>
      </c>
      <c r="B1467" cm="1">
        <f t="array" ref="B1467">INDEX('Portfolio Weights Std'!$B$9:$BJ$69,INT((ROW(A1466)-1)/COLUMNS('Portfolio Weights Std'!$B$9:$BJ$69))+1,MOD(ROW(A1466)-1,COLUMNS('Portfolio Weights Std'!$B$9:$BJ$69))+1)</f>
        <v>2.4717320072312469E-2</v>
      </c>
    </row>
    <row r="1468" spans="1:2" x14ac:dyDescent="0.25">
      <c r="A1468" cm="1">
        <f t="array" ref="A1468">INDEX('Portfolio Weights Returns'!$B$9:$BJ$69,
INT((ROW(A1467)-1)/COLUMNS('Portfolio Weights Returns'!$B$9:$BJ$69))+1,MOD(ROW(A1467)-1,COLUMNS('Portfolio Weights Returns'!$B$9:$BJ$69))+1)</f>
        <v>-1.0236319683971087E-3</v>
      </c>
      <c r="B1468" cm="1">
        <f t="array" ref="B1468">INDEX('Portfolio Weights Std'!$B$9:$BJ$69,INT((ROW(A1467)-1)/COLUMNS('Portfolio Weights Std'!$B$9:$BJ$69))+1,MOD(ROW(A1467)-1,COLUMNS('Portfolio Weights Std'!$B$9:$BJ$69))+1)</f>
        <v>2.4541990043290936E-2</v>
      </c>
    </row>
    <row r="1469" spans="1:2" x14ac:dyDescent="0.25">
      <c r="A1469" cm="1">
        <f t="array" ref="A1469">INDEX('Portfolio Weights Returns'!$B$9:$BJ$69,
INT((ROW(A1468)-1)/COLUMNS('Portfolio Weights Returns'!$B$9:$BJ$69))+1,MOD(ROW(A1468)-1,COLUMNS('Portfolio Weights Returns'!$B$9:$BJ$69))+1)</f>
        <v>-1.0168507944304296E-3</v>
      </c>
      <c r="B1469" cm="1">
        <f t="array" ref="B1469">INDEX('Portfolio Weights Std'!$B$9:$BJ$69,INT((ROW(A1468)-1)/COLUMNS('Portfolio Weights Std'!$B$9:$BJ$69))+1,MOD(ROW(A1468)-1,COLUMNS('Portfolio Weights Std'!$B$9:$BJ$69))+1)</f>
        <v>2.4367298678137635E-2</v>
      </c>
    </row>
    <row r="1470" spans="1:2" x14ac:dyDescent="0.25">
      <c r="A1470" cm="1">
        <f t="array" ref="A1470">INDEX('Portfolio Weights Returns'!$B$9:$BJ$69,
INT((ROW(A1469)-1)/COLUMNS('Portfolio Weights Returns'!$B$9:$BJ$69))+1,MOD(ROW(A1469)-1,COLUMNS('Portfolio Weights Returns'!$B$9:$BJ$69))+1)</f>
        <v>-1.0100696204637504E-3</v>
      </c>
      <c r="B1470" cm="1">
        <f t="array" ref="B1470">INDEX('Portfolio Weights Std'!$B$9:$BJ$69,INT((ROW(A1469)-1)/COLUMNS('Portfolio Weights Std'!$B$9:$BJ$69))+1,MOD(ROW(A1469)-1,COLUMNS('Portfolio Weights Std'!$B$9:$BJ$69))+1)</f>
        <v>2.4193259811585349E-2</v>
      </c>
    </row>
    <row r="1471" spans="1:2" x14ac:dyDescent="0.25">
      <c r="A1471" cm="1">
        <f t="array" ref="A1471">INDEX('Portfolio Weights Returns'!$B$9:$BJ$69,
INT((ROW(A1470)-1)/COLUMNS('Portfolio Weights Returns'!$B$9:$BJ$69))+1,MOD(ROW(A1470)-1,COLUMNS('Portfolio Weights Returns'!$B$9:$BJ$69))+1)</f>
        <v>-1.0032884464970711E-3</v>
      </c>
      <c r="B1471" cm="1">
        <f t="array" ref="B1471">INDEX('Portfolio Weights Std'!$B$9:$BJ$69,INT((ROW(A1470)-1)/COLUMNS('Portfolio Weights Std'!$B$9:$BJ$69))+1,MOD(ROW(A1470)-1,COLUMNS('Portfolio Weights Std'!$B$9:$BJ$69))+1)</f>
        <v>2.4019887626899907E-2</v>
      </c>
    </row>
    <row r="1472" spans="1:2" x14ac:dyDescent="0.25">
      <c r="A1472" cm="1">
        <f t="array" ref="A1472">INDEX('Portfolio Weights Returns'!$B$9:$BJ$69,
INT((ROW(A1471)-1)/COLUMNS('Portfolio Weights Returns'!$B$9:$BJ$69))+1,MOD(ROW(A1471)-1,COLUMNS('Portfolio Weights Returns'!$B$9:$BJ$69))+1)</f>
        <v>-9.9650727253039213E-4</v>
      </c>
      <c r="B1472" cm="1">
        <f t="array" ref="B1472">INDEX('Portfolio Weights Std'!$B$9:$BJ$69,INT((ROW(A1471)-1)/COLUMNS('Portfolio Weights Std'!$B$9:$BJ$69))+1,MOD(ROW(A1471)-1,COLUMNS('Portfolio Weights Std'!$B$9:$BJ$69))+1)</f>
        <v>2.384719666467431E-2</v>
      </c>
    </row>
    <row r="1473" spans="1:2" x14ac:dyDescent="0.25">
      <c r="A1473" cm="1">
        <f t="array" ref="A1473">INDEX('Portfolio Weights Returns'!$B$9:$BJ$69,
INT((ROW(A1472)-1)/COLUMNS('Portfolio Weights Returns'!$B$9:$BJ$69))+1,MOD(ROW(A1472)-1,COLUMNS('Portfolio Weights Returns'!$B$9:$BJ$69))+1)</f>
        <v>-9.8972609856371298E-4</v>
      </c>
      <c r="B1473" cm="1">
        <f t="array" ref="B1473">INDEX('Portfolio Weights Std'!$B$9:$BJ$69,INT((ROW(A1472)-1)/COLUMNS('Portfolio Weights Std'!$B$9:$BJ$69))+1,MOD(ROW(A1472)-1,COLUMNS('Portfolio Weights Std'!$B$9:$BJ$69))+1)</f>
        <v>2.3675201831771867E-2</v>
      </c>
    </row>
    <row r="1474" spans="1:2" x14ac:dyDescent="0.25">
      <c r="A1474" cm="1">
        <f t="array" ref="A1474">INDEX('Portfolio Weights Returns'!$B$9:$BJ$69,
INT((ROW(A1473)-1)/COLUMNS('Portfolio Weights Returns'!$B$9:$BJ$69))+1,MOD(ROW(A1473)-1,COLUMNS('Portfolio Weights Returns'!$B$9:$BJ$69))+1)</f>
        <v>-9.8294492459703384E-4</v>
      </c>
      <c r="B1474" cm="1">
        <f t="array" ref="B1474">INDEX('Portfolio Weights Std'!$B$9:$BJ$69,INT((ROW(A1473)-1)/COLUMNS('Portfolio Weights Std'!$B$9:$BJ$69))+1,MOD(ROW(A1473)-1,COLUMNS('Portfolio Weights Std'!$B$9:$BJ$69))+1)</f>
        <v>2.3503918410412768E-2</v>
      </c>
    </row>
    <row r="1475" spans="1:2" x14ac:dyDescent="0.25">
      <c r="A1475" cm="1">
        <f t="array" ref="A1475">INDEX('Portfolio Weights Returns'!$B$9:$BJ$69,
INT((ROW(A1474)-1)/COLUMNS('Portfolio Weights Returns'!$B$9:$BJ$69))+1,MOD(ROW(A1474)-1,COLUMNS('Portfolio Weights Returns'!$B$9:$BJ$69))+1)</f>
        <v>-9.7616375063035469E-4</v>
      </c>
      <c r="B1475" cm="1">
        <f t="array" ref="B1475">INDEX('Portfolio Weights Std'!$B$9:$BJ$69,INT((ROW(A1474)-1)/COLUMNS('Portfolio Weights Std'!$B$9:$BJ$69))+1,MOD(ROW(A1474)-1,COLUMNS('Portfolio Weights Std'!$B$9:$BJ$69))+1)</f>
        <v>2.3333362067397667E-2</v>
      </c>
    </row>
    <row r="1476" spans="1:2" x14ac:dyDescent="0.25">
      <c r="A1476" cm="1">
        <f t="array" ref="A1476">INDEX('Portfolio Weights Returns'!$B$9:$BJ$69,
INT((ROW(A1475)-1)/COLUMNS('Portfolio Weights Returns'!$B$9:$BJ$69))+1,MOD(ROW(A1475)-1,COLUMNS('Portfolio Weights Returns'!$B$9:$BJ$69))+1)</f>
        <v>-9.6938257666367566E-4</v>
      </c>
      <c r="B1476" cm="1">
        <f t="array" ref="B1476">INDEX('Portfolio Weights Std'!$B$9:$BJ$69,INT((ROW(A1475)-1)/COLUMNS('Portfolio Weights Std'!$B$9:$BJ$69))+1,MOD(ROW(A1475)-1,COLUMNS('Portfolio Weights Std'!$B$9:$BJ$69))+1)</f>
        <v>2.3163548863460681E-2</v>
      </c>
    </row>
    <row r="1477" spans="1:2" x14ac:dyDescent="0.25">
      <c r="A1477" cm="1">
        <f t="array" ref="A1477">INDEX('Portfolio Weights Returns'!$B$9:$BJ$69,
INT((ROW(A1476)-1)/COLUMNS('Portfolio Weights Returns'!$B$9:$BJ$69))+1,MOD(ROW(A1476)-1,COLUMNS('Portfolio Weights Returns'!$B$9:$BJ$69))+1)</f>
        <v>-9.6260140269699651E-4</v>
      </c>
      <c r="B1477" cm="1">
        <f t="array" ref="B1477">INDEX('Portfolio Weights Std'!$B$9:$BJ$69,INT((ROW(A1476)-1)/COLUMNS('Portfolio Weights Std'!$B$9:$BJ$69))+1,MOD(ROW(A1476)-1,COLUMNS('Portfolio Weights Std'!$B$9:$BJ$69))+1)</f>
        <v>2.2994495262743095E-2</v>
      </c>
    </row>
    <row r="1478" spans="1:2" x14ac:dyDescent="0.25">
      <c r="A1478" cm="1">
        <f t="array" ref="A1478">INDEX('Portfolio Weights Returns'!$B$9:$BJ$69,
INT((ROW(A1477)-1)/COLUMNS('Portfolio Weights Returns'!$B$9:$BJ$69))+1,MOD(ROW(A1477)-1,COLUMNS('Portfolio Weights Returns'!$B$9:$BJ$69))+1)</f>
        <v>-9.5582022873031748E-4</v>
      </c>
      <c r="B1478" cm="1">
        <f t="array" ref="B1478">INDEX('Portfolio Weights Std'!$B$9:$BJ$69,INT((ROW(A1477)-1)/COLUMNS('Portfolio Weights Std'!$B$9:$BJ$69))+1,MOD(ROW(A1477)-1,COLUMNS('Portfolio Weights Std'!$B$9:$BJ$69))+1)</f>
        <v>2.2826218142377959E-2</v>
      </c>
    </row>
    <row r="1479" spans="1:2" x14ac:dyDescent="0.25">
      <c r="A1479" cm="1">
        <f t="array" ref="A1479">INDEX('Portfolio Weights Returns'!$B$9:$BJ$69,
INT((ROW(A1478)-1)/COLUMNS('Portfolio Weights Returns'!$B$9:$BJ$69))+1,MOD(ROW(A1478)-1,COLUMNS('Portfolio Weights Returns'!$B$9:$BJ$69))+1)</f>
        <v>-9.4903905476363833E-4</v>
      </c>
      <c r="B1479" cm="1">
        <f t="array" ref="B1479">INDEX('Portfolio Weights Std'!$B$9:$BJ$69,INT((ROW(A1478)-1)/COLUMNS('Portfolio Weights Std'!$B$9:$BJ$69))+1,MOD(ROW(A1478)-1,COLUMNS('Portfolio Weights Std'!$B$9:$BJ$69))+1)</f>
        <v>2.2658734802174205E-2</v>
      </c>
    </row>
    <row r="1480" spans="1:2" x14ac:dyDescent="0.25">
      <c r="A1480" cm="1">
        <f t="array" ref="A1480">INDEX('Portfolio Weights Returns'!$B$9:$BJ$69,
INT((ROW(A1479)-1)/COLUMNS('Portfolio Weights Returns'!$B$9:$BJ$69))+1,MOD(ROW(A1479)-1,COLUMNS('Portfolio Weights Returns'!$B$9:$BJ$69))+1)</f>
        <v>-9.422578807969593E-4</v>
      </c>
      <c r="B1480" cm="1">
        <f t="array" ref="B1480">INDEX('Portfolio Weights Std'!$B$9:$BJ$69,INT((ROW(A1479)-1)/COLUMNS('Portfolio Weights Std'!$B$9:$BJ$69))+1,MOD(ROW(A1479)-1,COLUMNS('Portfolio Weights Std'!$B$9:$BJ$69))+1)</f>
        <v>2.2492062974387706E-2</v>
      </c>
    </row>
    <row r="1481" spans="1:2" x14ac:dyDescent="0.25">
      <c r="A1481" cm="1">
        <f t="array" ref="A1481">INDEX('Portfolio Weights Returns'!$B$9:$BJ$69,
INT((ROW(A1480)-1)/COLUMNS('Portfolio Weights Returns'!$B$9:$BJ$69))+1,MOD(ROW(A1480)-1,COLUMNS('Portfolio Weights Returns'!$B$9:$BJ$69))+1)</f>
        <v>-9.3547670683028004E-4</v>
      </c>
      <c r="B1481" cm="1">
        <f t="array" ref="B1481">INDEX('Portfolio Weights Std'!$B$9:$BJ$69,INT((ROW(A1480)-1)/COLUMNS('Portfolio Weights Std'!$B$9:$BJ$69))+1,MOD(ROW(A1480)-1,COLUMNS('Portfolio Weights Std'!$B$9:$BJ$69))+1)</f>
        <v>2.2326220833564964E-2</v>
      </c>
    </row>
    <row r="1482" spans="1:2" x14ac:dyDescent="0.25">
      <c r="A1482" cm="1">
        <f t="array" ref="A1482">INDEX('Portfolio Weights Returns'!$B$9:$BJ$69,
INT((ROW(A1481)-1)/COLUMNS('Portfolio Weights Returns'!$B$9:$BJ$69))+1,MOD(ROW(A1481)-1,COLUMNS('Portfolio Weights Returns'!$B$9:$BJ$69))+1)</f>
        <v>-9.2869553286360111E-4</v>
      </c>
      <c r="B1482" cm="1">
        <f t="array" ref="B1482">INDEX('Portfolio Weights Std'!$B$9:$BJ$69,INT((ROW(A1481)-1)/COLUMNS('Portfolio Weights Std'!$B$9:$BJ$69))+1,MOD(ROW(A1481)-1,COLUMNS('Portfolio Weights Std'!$B$9:$BJ$69))+1)</f>
        <v>2.2161227006443573E-2</v>
      </c>
    </row>
    <row r="1483" spans="1:2" x14ac:dyDescent="0.25">
      <c r="A1483" cm="1">
        <f t="array" ref="A1483">INDEX('Portfolio Weights Returns'!$B$9:$BJ$69,
INT((ROW(A1482)-1)/COLUMNS('Portfolio Weights Returns'!$B$9:$BJ$69))+1,MOD(ROW(A1482)-1,COLUMNS('Portfolio Weights Returns'!$B$9:$BJ$69))+1)</f>
        <v>-9.2191435889692186E-4</v>
      </c>
      <c r="B1483" cm="1">
        <f t="array" ref="B1483">INDEX('Portfolio Weights Std'!$B$9:$BJ$69,INT((ROW(A1482)-1)/COLUMNS('Portfolio Weights Std'!$B$9:$BJ$69))+1,MOD(ROW(A1482)-1,COLUMNS('Portfolio Weights Std'!$B$9:$BJ$69))+1)</f>
        <v>2.1997100581891776E-2</v>
      </c>
    </row>
    <row r="1484" spans="1:2" x14ac:dyDescent="0.25">
      <c r="A1484" cm="1">
        <f t="array" ref="A1484">INDEX('Portfolio Weights Returns'!$B$9:$BJ$69,
INT((ROW(A1483)-1)/COLUMNS('Portfolio Weights Returns'!$B$9:$BJ$69))+1,MOD(ROW(A1483)-1,COLUMNS('Portfolio Weights Returns'!$B$9:$BJ$69))+1)</f>
        <v>-9.1513318493024293E-4</v>
      </c>
      <c r="B1484" cm="1">
        <f t="array" ref="B1484">INDEX('Portfolio Weights Std'!$B$9:$BJ$69,INT((ROW(A1483)-1)/COLUMNS('Portfolio Weights Std'!$B$9:$BJ$69))+1,MOD(ROW(A1483)-1,COLUMNS('Portfolio Weights Std'!$B$9:$BJ$69))+1)</f>
        <v>2.1833861120867496E-2</v>
      </c>
    </row>
    <row r="1485" spans="1:2" x14ac:dyDescent="0.25">
      <c r="A1485" cm="1">
        <f t="array" ref="A1485">INDEX('Portfolio Weights Returns'!$B$9:$BJ$69,
INT((ROW(A1484)-1)/COLUMNS('Portfolio Weights Returns'!$B$9:$BJ$69))+1,MOD(ROW(A1484)-1,COLUMNS('Portfolio Weights Returns'!$B$9:$BJ$69))+1)</f>
        <v>-9.0835201096356379E-4</v>
      </c>
      <c r="B1485" cm="1">
        <f t="array" ref="B1485">INDEX('Portfolio Weights Std'!$B$9:$BJ$69,INT((ROW(A1484)-1)/COLUMNS('Portfolio Weights Std'!$B$9:$BJ$69))+1,MOD(ROW(A1484)-1,COLUMNS('Portfolio Weights Std'!$B$9:$BJ$69))+1)</f>
        <v>2.1671528666375176E-2</v>
      </c>
    </row>
    <row r="1486" spans="1:2" x14ac:dyDescent="0.25">
      <c r="A1486" cm="1">
        <f t="array" ref="A1486">INDEX('Portfolio Weights Returns'!$B$9:$BJ$69,
INT((ROW(A1485)-1)/COLUMNS('Portfolio Weights Returns'!$B$9:$BJ$69))+1,MOD(ROW(A1485)-1,COLUMNS('Portfolio Weights Returns'!$B$9:$BJ$69))+1)</f>
        <v>-9.0157083699688465E-4</v>
      </c>
      <c r="B1486" cm="1">
        <f t="array" ref="B1486">INDEX('Portfolio Weights Std'!$B$9:$BJ$69,INT((ROW(A1485)-1)/COLUMNS('Portfolio Weights Std'!$B$9:$BJ$69))+1,MOD(ROW(A1485)-1,COLUMNS('Portfolio Weights Std'!$B$9:$BJ$69))+1)</f>
        <v>2.1510123753396636E-2</v>
      </c>
    </row>
    <row r="1487" spans="1:2" x14ac:dyDescent="0.25">
      <c r="A1487" cm="1">
        <f t="array" ref="A1487">INDEX('Portfolio Weights Returns'!$B$9:$BJ$69,
INT((ROW(A1486)-1)/COLUMNS('Portfolio Weights Returns'!$B$9:$BJ$69))+1,MOD(ROW(A1486)-1,COLUMNS('Portfolio Weights Returns'!$B$9:$BJ$69))+1)</f>
        <v>-8.9478966303020561E-4</v>
      </c>
      <c r="B1487" cm="1">
        <f t="array" ref="B1487">INDEX('Portfolio Weights Std'!$B$9:$BJ$69,INT((ROW(A1486)-1)/COLUMNS('Portfolio Weights Std'!$B$9:$BJ$69))+1,MOD(ROW(A1486)-1,COLUMNS('Portfolio Weights Std'!$B$9:$BJ$69))+1)</f>
        <v>2.1349667418769824E-2</v>
      </c>
    </row>
    <row r="1488" spans="1:2" x14ac:dyDescent="0.25">
      <c r="A1488" cm="1">
        <f t="array" ref="A1488">INDEX('Portfolio Weights Returns'!$B$9:$BJ$69,
INT((ROW(A1487)-1)/COLUMNS('Portfolio Weights Returns'!$B$9:$BJ$69))+1,MOD(ROW(A1487)-1,COLUMNS('Portfolio Weights Returns'!$B$9:$BJ$69))+1)</f>
        <v>-8.8800848906352647E-4</v>
      </c>
      <c r="B1488" cm="1">
        <f t="array" ref="B1488">INDEX('Portfolio Weights Std'!$B$9:$BJ$69,INT((ROW(A1487)-1)/COLUMNS('Portfolio Weights Std'!$B$9:$BJ$69))+1,MOD(ROW(A1487)-1,COLUMNS('Portfolio Weights Std'!$B$9:$BJ$69))+1)</f>
        <v>2.1190181210986633E-2</v>
      </c>
    </row>
    <row r="1489" spans="1:2" x14ac:dyDescent="0.25">
      <c r="A1489" cm="1">
        <f t="array" ref="A1489">INDEX('Portfolio Weights Returns'!$B$9:$BJ$69,
INT((ROW(A1488)-1)/COLUMNS('Portfolio Weights Returns'!$B$9:$BJ$69))+1,MOD(ROW(A1488)-1,COLUMNS('Portfolio Weights Returns'!$B$9:$BJ$69))+1)</f>
        <v>-8.8122731509684743E-4</v>
      </c>
      <c r="B1489" cm="1">
        <f t="array" ref="B1489">INDEX('Portfolio Weights Std'!$B$9:$BJ$69,INT((ROW(A1488)-1)/COLUMNS('Portfolio Weights Std'!$B$9:$BJ$69))+1,MOD(ROW(A1488)-1,COLUMNS('Portfolio Weights Std'!$B$9:$BJ$69))+1)</f>
        <v>2.1031687199878812E-2</v>
      </c>
    </row>
    <row r="1490" spans="1:2" x14ac:dyDescent="0.25">
      <c r="A1490" cm="1">
        <f t="array" ref="A1490">INDEX('Portfolio Weights Returns'!$B$9:$BJ$69,
INT((ROW(A1489)-1)/COLUMNS('Portfolio Weights Returns'!$B$9:$BJ$69))+1,MOD(ROW(A1489)-1,COLUMNS('Portfolio Weights Returns'!$B$9:$BJ$69))+1)</f>
        <v>-8.7444614113016828E-4</v>
      </c>
      <c r="B1490" cm="1">
        <f t="array" ref="B1490">INDEX('Portfolio Weights Std'!$B$9:$BJ$69,INT((ROW(A1489)-1)/COLUMNS('Portfolio Weights Std'!$B$9:$BJ$69))+1,MOD(ROW(A1489)-1,COLUMNS('Portfolio Weights Std'!$B$9:$BJ$69))+1)</f>
        <v>2.087420798615764E-2</v>
      </c>
    </row>
    <row r="1491" spans="1:2" x14ac:dyDescent="0.25">
      <c r="A1491" cm="1">
        <f t="array" ref="A1491">INDEX('Portfolio Weights Returns'!$B$9:$BJ$69,
INT((ROW(A1490)-1)/COLUMNS('Portfolio Weights Returns'!$B$9:$BJ$69))+1,MOD(ROW(A1490)-1,COLUMNS('Portfolio Weights Returns'!$B$9:$BJ$69))+1)</f>
        <v>-8.6766496716348914E-4</v>
      </c>
      <c r="B1491" cm="1">
        <f t="array" ref="B1491">INDEX('Portfolio Weights Std'!$B$9:$BJ$69,INT((ROW(A1490)-1)/COLUMNS('Portfolio Weights Std'!$B$9:$BJ$69))+1,MOD(ROW(A1490)-1,COLUMNS('Portfolio Weights Std'!$B$9:$BJ$69))+1)</f>
        <v>2.0717766710770604E-2</v>
      </c>
    </row>
    <row r="1492" spans="1:2" x14ac:dyDescent="0.25">
      <c r="A1492" cm="1">
        <f t="array" ref="A1492">INDEX('Portfolio Weights Returns'!$B$9:$BJ$69,
INT((ROW(A1491)-1)/COLUMNS('Portfolio Weights Returns'!$B$9:$BJ$69))+1,MOD(ROW(A1491)-1,COLUMNS('Portfolio Weights Returns'!$B$9:$BJ$69))+1)</f>
        <v>-8.6088379319681E-4</v>
      </c>
      <c r="B1492" cm="1">
        <f t="array" ref="B1492">INDEX('Portfolio Weights Std'!$B$9:$BJ$69,INT((ROW(A1491)-1)/COLUMNS('Portfolio Weights Std'!$B$9:$BJ$69))+1,MOD(ROW(A1491)-1,COLUMNS('Portfolio Weights Std'!$B$9:$BJ$69))+1)</f>
        <v>2.0562387064034848E-2</v>
      </c>
    </row>
    <row r="1493" spans="1:2" x14ac:dyDescent="0.25">
      <c r="A1493" cm="1">
        <f t="array" ref="A1493">INDEX('Portfolio Weights Returns'!$B$9:$BJ$69,
INT((ROW(A1492)-1)/COLUMNS('Portfolio Weights Returns'!$B$9:$BJ$69))+1,MOD(ROW(A1492)-1,COLUMNS('Portfolio Weights Returns'!$B$9:$BJ$69))+1)</f>
        <v>-8.5410261923013085E-4</v>
      </c>
      <c r="B1493" cm="1">
        <f t="array" ref="B1493">INDEX('Portfolio Weights Std'!$B$9:$BJ$69,INT((ROW(A1492)-1)/COLUMNS('Portfolio Weights Std'!$B$9:$BJ$69))+1,MOD(ROW(A1492)-1,COLUMNS('Portfolio Weights Std'!$B$9:$BJ$69))+1)</f>
        <v>2.0408093294504184E-2</v>
      </c>
    </row>
    <row r="1494" spans="1:2" x14ac:dyDescent="0.25">
      <c r="A1494" cm="1">
        <f t="array" ref="A1494">INDEX('Portfolio Weights Returns'!$B$9:$BJ$69,
INT((ROW(A1493)-1)/COLUMNS('Portfolio Weights Returns'!$B$9:$BJ$69))+1,MOD(ROW(A1493)-1,COLUMNS('Portfolio Weights Returns'!$B$9:$BJ$69))+1)</f>
        <v>-8.4732144526345182E-4</v>
      </c>
      <c r="B1494" cm="1">
        <f t="array" ref="B1494">INDEX('Portfolio Weights Std'!$B$9:$BJ$69,INT((ROW(A1493)-1)/COLUMNS('Portfolio Weights Std'!$B$9:$BJ$69))+1,MOD(ROW(A1493)-1,COLUMNS('Portfolio Weights Std'!$B$9:$BJ$69))+1)</f>
        <v>2.0254910217522848E-2</v>
      </c>
    </row>
    <row r="1495" spans="1:2" x14ac:dyDescent="0.25">
      <c r="A1495" cm="1">
        <f t="array" ref="A1495">INDEX('Portfolio Weights Returns'!$B$9:$BJ$69,
INT((ROW(A1494)-1)/COLUMNS('Portfolio Weights Returns'!$B$9:$BJ$69))+1,MOD(ROW(A1494)-1,COLUMNS('Portfolio Weights Returns'!$B$9:$BJ$69))+1)</f>
        <v>-8.4054027129677267E-4</v>
      </c>
      <c r="B1495" cm="1">
        <f t="array" ref="B1495">INDEX('Portfolio Weights Std'!$B$9:$BJ$69,INT((ROW(A1494)-1)/COLUMNS('Portfolio Weights Std'!$B$9:$BJ$69))+1,MOD(ROW(A1494)-1,COLUMNS('Portfolio Weights Std'!$B$9:$BJ$69))+1)</f>
        <v>2.0102863223415771E-2</v>
      </c>
    </row>
    <row r="1496" spans="1:2" x14ac:dyDescent="0.25">
      <c r="A1496" cm="1">
        <f t="array" ref="A1496">INDEX('Portfolio Weights Returns'!$B$9:$BJ$69,
INT((ROW(A1495)-1)/COLUMNS('Portfolio Weights Returns'!$B$9:$BJ$69))+1,MOD(ROW(A1495)-1,COLUMNS('Portfolio Weights Returns'!$B$9:$BJ$69))+1)</f>
        <v>-8.3375909733009363E-4</v>
      </c>
      <c r="B1496" cm="1">
        <f t="array" ref="B1496">INDEX('Portfolio Weights Std'!$B$9:$BJ$69,INT((ROW(A1495)-1)/COLUMNS('Portfolio Weights Std'!$B$9:$BJ$69))+1,MOD(ROW(A1495)-1,COLUMNS('Portfolio Weights Std'!$B$9:$BJ$69))+1)</f>
        <v>1.9951978285261317E-2</v>
      </c>
    </row>
    <row r="1497" spans="1:2" x14ac:dyDescent="0.25">
      <c r="A1497" cm="1">
        <f t="array" ref="A1497">INDEX('Portfolio Weights Returns'!$B$9:$BJ$69,
INT((ROW(A1496)-1)/COLUMNS('Portfolio Weights Returns'!$B$9:$BJ$69))+1,MOD(ROW(A1496)-1,COLUMNS('Portfolio Weights Returns'!$B$9:$BJ$69))+1)</f>
        <v>-8.2697792336341449E-4</v>
      </c>
      <c r="B1497" cm="1">
        <f t="array" ref="B1497">INDEX('Portfolio Weights Std'!$B$9:$BJ$69,INT((ROW(A1496)-1)/COLUMNS('Portfolio Weights Std'!$B$9:$BJ$69))+1,MOD(ROW(A1496)-1,COLUMNS('Portfolio Weights Std'!$B$9:$BJ$69))+1)</f>
        <v>1.980228196618869E-2</v>
      </c>
    </row>
    <row r="1498" spans="1:2" x14ac:dyDescent="0.25">
      <c r="A1498" cm="1">
        <f t="array" ref="A1498">INDEX('Portfolio Weights Returns'!$B$9:$BJ$69,
INT((ROW(A1497)-1)/COLUMNS('Portfolio Weights Returns'!$B$9:$BJ$69))+1,MOD(ROW(A1497)-1,COLUMNS('Portfolio Weights Returns'!$B$9:$BJ$69))+1)</f>
        <v>-8.2019674939673545E-4</v>
      </c>
      <c r="B1498" cm="1">
        <f t="array" ref="B1498">INDEX('Portfolio Weights Std'!$B$9:$BJ$69,INT((ROW(A1497)-1)/COLUMNS('Portfolio Weights Std'!$B$9:$BJ$69))+1,MOD(ROW(A1497)-1,COLUMNS('Portfolio Weights Std'!$B$9:$BJ$69))+1)</f>
        <v>1.9653801426138161E-2</v>
      </c>
    </row>
    <row r="1499" spans="1:2" x14ac:dyDescent="0.25">
      <c r="A1499" cm="1">
        <f t="array" ref="A1499">INDEX('Portfolio Weights Returns'!$B$9:$BJ$69,
INT((ROW(A1498)-1)/COLUMNS('Portfolio Weights Returns'!$B$9:$BJ$69))+1,MOD(ROW(A1498)-1,COLUMNS('Portfolio Weights Returns'!$B$9:$BJ$69))+1)</f>
        <v>-8.134155754300562E-4</v>
      </c>
      <c r="B1499" cm="1">
        <f t="array" ref="B1499">INDEX('Portfolio Weights Std'!$B$9:$BJ$69,INT((ROW(A1498)-1)/COLUMNS('Portfolio Weights Std'!$B$9:$BJ$69))+1,MOD(ROW(A1498)-1,COLUMNS('Portfolio Weights Std'!$B$9:$BJ$69))+1)</f>
        <v>1.9506564428018201E-2</v>
      </c>
    </row>
    <row r="1500" spans="1:2" x14ac:dyDescent="0.25">
      <c r="A1500" cm="1">
        <f t="array" ref="A1500">INDEX('Portfolio Weights Returns'!$B$9:$BJ$69,
INT((ROW(A1499)-1)/COLUMNS('Portfolio Weights Returns'!$B$9:$BJ$69))+1,MOD(ROW(A1499)-1,COLUMNS('Portfolio Weights Returns'!$B$9:$BJ$69))+1)</f>
        <v>-8.0663440146337717E-4</v>
      </c>
      <c r="B1500" cm="1">
        <f t="array" ref="B1500">INDEX('Portfolio Weights Std'!$B$9:$BJ$69,INT((ROW(A1499)-1)/COLUMNS('Portfolio Weights Std'!$B$9:$BJ$69))+1,MOD(ROW(A1499)-1,COLUMNS('Portfolio Weights Std'!$B$9:$BJ$69))+1)</f>
        <v>1.9360599343189393E-2</v>
      </c>
    </row>
    <row r="1501" spans="1:2" x14ac:dyDescent="0.25">
      <c r="A1501" cm="1">
        <f t="array" ref="A1501">INDEX('Portfolio Weights Returns'!$B$9:$BJ$69,
INT((ROW(A1500)-1)/COLUMNS('Portfolio Weights Returns'!$B$9:$BJ$69))+1,MOD(ROW(A1500)-1,COLUMNS('Portfolio Weights Returns'!$B$9:$BJ$69))+1)</f>
        <v>-7.9985322749669802E-4</v>
      </c>
      <c r="B1501" cm="1">
        <f t="array" ref="B1501">INDEX('Portfolio Weights Std'!$B$9:$BJ$69,INT((ROW(A1500)-1)/COLUMNS('Portfolio Weights Std'!$B$9:$BJ$69))+1,MOD(ROW(A1500)-1,COLUMNS('Portfolio Weights Std'!$B$9:$BJ$69))+1)</f>
        <v>1.921593515620075E-2</v>
      </c>
    </row>
    <row r="1502" spans="1:2" x14ac:dyDescent="0.25">
      <c r="A1502" cm="1">
        <f t="array" ref="A1502">INDEX('Portfolio Weights Returns'!$B$9:$BJ$69,
INT((ROW(A1501)-1)/COLUMNS('Portfolio Weights Returns'!$B$9:$BJ$69))+1,MOD(ROW(A1501)-1,COLUMNS('Portfolio Weights Returns'!$B$9:$BJ$69))+1)</f>
        <v>-7.9307205353001888E-4</v>
      </c>
      <c r="B1502" cm="1">
        <f t="array" ref="B1502">INDEX('Portfolio Weights Std'!$B$9:$BJ$69,INT((ROW(A1501)-1)/COLUMNS('Portfolio Weights Std'!$B$9:$BJ$69))+1,MOD(ROW(A1501)-1,COLUMNS('Portfolio Weights Std'!$B$9:$BJ$69))+1)</f>
        <v>1.907260146869966E-2</v>
      </c>
    </row>
    <row r="1503" spans="1:2" x14ac:dyDescent="0.25">
      <c r="A1503" cm="1">
        <f t="array" ref="A1503">INDEX('Portfolio Weights Returns'!$B$9:$BJ$69,
INT((ROW(A1502)-1)/COLUMNS('Portfolio Weights Returns'!$B$9:$BJ$69))+1,MOD(ROW(A1502)-1,COLUMNS('Portfolio Weights Returns'!$B$9:$BJ$69))+1)</f>
        <v>-7.8629087956333984E-4</v>
      </c>
      <c r="B1503" cm="1">
        <f t="array" ref="B1503">INDEX('Portfolio Weights Std'!$B$9:$BJ$69,INT((ROW(A1502)-1)/COLUMNS('Portfolio Weights Std'!$B$9:$BJ$69))+1,MOD(ROW(A1502)-1,COLUMNS('Portfolio Weights Std'!$B$9:$BJ$69))+1)</f>
        <v>1.8930628502432316E-2</v>
      </c>
    </row>
    <row r="1504" spans="1:2" x14ac:dyDescent="0.25">
      <c r="A1504" cm="1">
        <f t="array" ref="A1504">INDEX('Portfolio Weights Returns'!$B$9:$BJ$69,
INT((ROW(A1503)-1)/COLUMNS('Portfolio Weights Returns'!$B$9:$BJ$69))+1,MOD(ROW(A1503)-1,COLUMNS('Portfolio Weights Returns'!$B$9:$BJ$69))+1)</f>
        <v>-7.795097055966607E-4</v>
      </c>
      <c r="B1504" cm="1">
        <f t="array" ref="B1504">INDEX('Portfolio Weights Std'!$B$9:$BJ$69,INT((ROW(A1503)-1)/COLUMNS('Portfolio Weights Std'!$B$9:$BJ$69))+1,MOD(ROW(A1503)-1,COLUMNS('Portfolio Weights Std'!$B$9:$BJ$69))+1)</f>
        <v>1.8790047101247161E-2</v>
      </c>
    </row>
    <row r="1505" spans="1:2" x14ac:dyDescent="0.25">
      <c r="A1505" cm="1">
        <f t="array" ref="A1505">INDEX('Portfolio Weights Returns'!$B$9:$BJ$69,
INT((ROW(A1504)-1)/COLUMNS('Portfolio Weights Returns'!$B$9:$BJ$69))+1,MOD(ROW(A1504)-1,COLUMNS('Portfolio Weights Returns'!$B$9:$BJ$69))+1)</f>
        <v>-7.7272853162998166E-4</v>
      </c>
      <c r="B1505" cm="1">
        <f t="array" ref="B1505">INDEX('Portfolio Weights Std'!$B$9:$BJ$69,INT((ROW(A1504)-1)/COLUMNS('Portfolio Weights Std'!$B$9:$BJ$69))+1,MOD(ROW(A1504)-1,COLUMNS('Portfolio Weights Std'!$B$9:$BJ$69))+1)</f>
        <v>1.865088873200945E-2</v>
      </c>
    </row>
    <row r="1506" spans="1:2" x14ac:dyDescent="0.25">
      <c r="A1506" cm="1">
        <f t="array" ref="A1506">INDEX('Portfolio Weights Returns'!$B$9:$BJ$69,
INT((ROW(A1505)-1)/COLUMNS('Portfolio Weights Returns'!$B$9:$BJ$69))+1,MOD(ROW(A1505)-1,COLUMNS('Portfolio Weights Returns'!$B$9:$BJ$69))+1)</f>
        <v>-7.6594735766330241E-4</v>
      </c>
      <c r="B1506" cm="1">
        <f t="array" ref="B1506">INDEX('Portfolio Weights Std'!$B$9:$BJ$69,INT((ROW(A1505)-1)/COLUMNS('Portfolio Weights Std'!$B$9:$BJ$69))+1,MOD(ROW(A1505)-1,COLUMNS('Portfolio Weights Std'!$B$9:$BJ$69))+1)</f>
        <v>1.8513185484330709E-2</v>
      </c>
    </row>
    <row r="1507" spans="1:2" x14ac:dyDescent="0.25">
      <c r="A1507" cm="1">
        <f t="array" ref="A1507">INDEX('Portfolio Weights Returns'!$B$9:$BJ$69,
INT((ROW(A1506)-1)/COLUMNS('Portfolio Weights Returns'!$B$9:$BJ$69))+1,MOD(ROW(A1506)-1,COLUMNS('Portfolio Weights Returns'!$B$9:$BJ$69))+1)</f>
        <v>-7.5916618369662337E-4</v>
      </c>
      <c r="B1507" cm="1">
        <f t="array" ref="B1507">INDEX('Portfolio Weights Std'!$B$9:$BJ$69,INT((ROW(A1506)-1)/COLUMNS('Portfolio Weights Std'!$B$9:$BJ$69))+1,MOD(ROW(A1506)-1,COLUMNS('Portfolio Weights Std'!$B$9:$BJ$69))+1)</f>
        <v>1.8376970069012882E-2</v>
      </c>
    </row>
    <row r="1508" spans="1:2" x14ac:dyDescent="0.25">
      <c r="A1508" cm="1">
        <f t="array" ref="A1508">INDEX('Portfolio Weights Returns'!$B$9:$BJ$69,
INT((ROW(A1507)-1)/COLUMNS('Portfolio Weights Returns'!$B$9:$BJ$69))+1,MOD(ROW(A1507)-1,COLUMNS('Portfolio Weights Returns'!$B$9:$BJ$69))+1)</f>
        <v>-7.5238500972994423E-4</v>
      </c>
      <c r="B1508" cm="1">
        <f t="array" ref="B1508">INDEX('Portfolio Weights Std'!$B$9:$BJ$69,INT((ROW(A1507)-1)/COLUMNS('Portfolio Weights Std'!$B$9:$BJ$69))+1,MOD(ROW(A1507)-1,COLUMNS('Portfolio Weights Std'!$B$9:$BJ$69))+1)</f>
        <v>1.8242275815102765E-2</v>
      </c>
    </row>
    <row r="1509" spans="1:2" x14ac:dyDescent="0.25">
      <c r="A1509" cm="1">
        <f t="array" ref="A1509">INDEX('Portfolio Weights Returns'!$B$9:$BJ$69,
INT((ROW(A1508)-1)/COLUMNS('Portfolio Weights Returns'!$B$9:$BJ$69))+1,MOD(ROW(A1508)-1,COLUMNS('Portfolio Weights Returns'!$B$9:$BJ$69))+1)</f>
        <v>-7.4560383576326519E-4</v>
      </c>
      <c r="B1509" cm="1">
        <f t="array" ref="B1509">INDEX('Portfolio Weights Std'!$B$9:$BJ$69,INT((ROW(A1508)-1)/COLUMNS('Portfolio Weights Std'!$B$9:$BJ$69))+1,MOD(ROW(A1508)-1,COLUMNS('Portfolio Weights Std'!$B$9:$BJ$69))+1)</f>
        <v>1.8109136665448663E-2</v>
      </c>
    </row>
    <row r="1510" spans="1:2" x14ac:dyDescent="0.25">
      <c r="A1510" cm="1">
        <f t="array" ref="A1510">INDEX('Portfolio Weights Returns'!$B$9:$BJ$69,
INT((ROW(A1509)-1)/COLUMNS('Portfolio Weights Returns'!$B$9:$BJ$69))+1,MOD(ROW(A1509)-1,COLUMNS('Portfolio Weights Returns'!$B$9:$BJ$69))+1)</f>
        <v>-7.3882266179658605E-4</v>
      </c>
      <c r="B1510" cm="1">
        <f t="array" ref="B1510">INDEX('Portfolio Weights Std'!$B$9:$BJ$69,INT((ROW(A1509)-1)/COLUMNS('Portfolio Weights Std'!$B$9:$BJ$69))+1,MOD(ROW(A1509)-1,COLUMNS('Portfolio Weights Std'!$B$9:$BJ$69))+1)</f>
        <v>1.7977587170647704E-2</v>
      </c>
    </row>
    <row r="1511" spans="1:2" x14ac:dyDescent="0.25">
      <c r="A1511" cm="1">
        <f t="array" ref="A1511">INDEX('Portfolio Weights Returns'!$B$9:$BJ$69,
INT((ROW(A1510)-1)/COLUMNS('Portfolio Weights Returns'!$B$9:$BJ$69))+1,MOD(ROW(A1510)-1,COLUMNS('Portfolio Weights Returns'!$B$9:$BJ$69))+1)</f>
        <v>-7.320414878299069E-4</v>
      </c>
      <c r="B1511" cm="1">
        <f t="array" ref="B1511">INDEX('Portfolio Weights Std'!$B$9:$BJ$69,INT((ROW(A1510)-1)/COLUMNS('Portfolio Weights Std'!$B$9:$BJ$69))+1,MOD(ROW(A1510)-1,COLUMNS('Portfolio Weights Std'!$B$9:$BJ$69))+1)</f>
        <v>1.7847662481269157E-2</v>
      </c>
    </row>
    <row r="1512" spans="1:2" x14ac:dyDescent="0.25">
      <c r="A1512" cm="1">
        <f t="array" ref="A1512">INDEX('Portfolio Weights Returns'!$B$9:$BJ$69,
INT((ROW(A1511)-1)/COLUMNS('Portfolio Weights Returns'!$B$9:$BJ$69))+1,MOD(ROW(A1511)-1,COLUMNS('Portfolio Weights Returns'!$B$9:$BJ$69))+1)</f>
        <v>-7.2526031386322787E-4</v>
      </c>
      <c r="B1512" cm="1">
        <f t="array" ref="B1512">INDEX('Portfolio Weights Std'!$B$9:$BJ$69,INT((ROW(A1511)-1)/COLUMNS('Portfolio Weights Std'!$B$9:$BJ$69))+1,MOD(ROW(A1511)-1,COLUMNS('Portfolio Weights Std'!$B$9:$BJ$69))+1)</f>
        <v>1.7719398338236388E-2</v>
      </c>
    </row>
    <row r="1513" spans="1:2" x14ac:dyDescent="0.25">
      <c r="A1513" cm="1">
        <f t="array" ref="A1513">INDEX('Portfolio Weights Returns'!$B$9:$BJ$69,
INT((ROW(A1512)-1)/COLUMNS('Portfolio Weights Returns'!$B$9:$BJ$69))+1,MOD(ROW(A1512)-1,COLUMNS('Portfolio Weights Returns'!$B$9:$BJ$69))+1)</f>
        <v>-7.1847913989654861E-4</v>
      </c>
      <c r="B1513" cm="1">
        <f t="array" ref="B1513">INDEX('Portfolio Weights Std'!$B$9:$BJ$69,INT((ROW(A1512)-1)/COLUMNS('Portfolio Weights Std'!$B$9:$BJ$69))+1,MOD(ROW(A1512)-1,COLUMNS('Portfolio Weights Std'!$B$9:$BJ$69))+1)</f>
        <v>1.7592831061247989E-2</v>
      </c>
    </row>
    <row r="1514" spans="1:2" x14ac:dyDescent="0.25">
      <c r="A1514" cm="1">
        <f t="array" ref="A1514">INDEX('Portfolio Weights Returns'!$B$9:$BJ$69,
INT((ROW(A1513)-1)/COLUMNS('Portfolio Weights Returns'!$B$9:$BJ$69))+1,MOD(ROW(A1513)-1,COLUMNS('Portfolio Weights Returns'!$B$9:$BJ$69))+1)</f>
        <v>-7.1169796592986979E-4</v>
      </c>
      <c r="B1514" cm="1">
        <f t="array" ref="B1514">INDEX('Portfolio Weights Std'!$B$9:$BJ$69,INT((ROW(A1513)-1)/COLUMNS('Portfolio Weights Std'!$B$9:$BJ$69))+1,MOD(ROW(A1513)-1,COLUMNS('Portfolio Weights Std'!$B$9:$BJ$69))+1)</f>
        <v>1.7467997535117061E-2</v>
      </c>
    </row>
    <row r="1515" spans="1:2" x14ac:dyDescent="0.25">
      <c r="A1515" cm="1">
        <f t="array" ref="A1515">INDEX('Portfolio Weights Returns'!$B$9:$BJ$69,
INT((ROW(A1514)-1)/COLUMNS('Portfolio Weights Returns'!$B$9:$BJ$69))+1,MOD(ROW(A1514)-1,COLUMNS('Portfolio Weights Returns'!$B$9:$BJ$69))+1)</f>
        <v>-7.0491679196319065E-4</v>
      </c>
      <c r="B1515" cm="1">
        <f t="array" ref="B1515">INDEX('Portfolio Weights Std'!$B$9:$BJ$69,INT((ROW(A1514)-1)/COLUMNS('Portfolio Weights Std'!$B$9:$BJ$69))+1,MOD(ROW(A1514)-1,COLUMNS('Portfolio Weights Std'!$B$9:$BJ$69))+1)</f>
        <v>1.7344935193906758E-2</v>
      </c>
    </row>
    <row r="1516" spans="1:2" x14ac:dyDescent="0.25">
      <c r="A1516" cm="1">
        <f t="array" ref="A1516">INDEX('Portfolio Weights Returns'!$B$9:$BJ$69,
INT((ROW(A1515)-1)/COLUMNS('Portfolio Weights Returns'!$B$9:$BJ$69))+1,MOD(ROW(A1515)-1,COLUMNS('Portfolio Weights Returns'!$B$9:$BJ$69))+1)</f>
        <v>-6.9813561799651161E-4</v>
      </c>
      <c r="B1516" cm="1">
        <f t="array" ref="B1516">INDEX('Portfolio Weights Std'!$B$9:$BJ$69,INT((ROW(A1515)-1)/COLUMNS('Portfolio Weights Std'!$B$9:$BJ$69))+1,MOD(ROW(A1515)-1,COLUMNS('Portfolio Weights Std'!$B$9:$BJ$69))+1)</f>
        <v>1.7223682002740315E-2</v>
      </c>
    </row>
    <row r="1517" spans="1:2" x14ac:dyDescent="0.25">
      <c r="A1517" cm="1">
        <f t="array" ref="A1517">INDEX('Portfolio Weights Returns'!$B$9:$BJ$69,
INT((ROW(A1516)-1)/COLUMNS('Portfolio Weights Returns'!$B$9:$BJ$69))+1,MOD(ROW(A1516)-1,COLUMNS('Portfolio Weights Returns'!$B$9:$BJ$69))+1)</f>
        <v>-6.9135444402983236E-4</v>
      </c>
      <c r="B1517" cm="1">
        <f t="array" ref="B1517">INDEX('Portfolio Weights Std'!$B$9:$BJ$69,INT((ROW(A1516)-1)/COLUMNS('Portfolio Weights Std'!$B$9:$BJ$69))+1,MOD(ROW(A1516)-1,COLUMNS('Portfolio Weights Std'!$B$9:$BJ$69))+1)</f>
        <v>1.7104276437164539E-2</v>
      </c>
    </row>
    <row r="1518" spans="1:2" x14ac:dyDescent="0.25">
      <c r="A1518" cm="1">
        <f t="array" ref="A1518">INDEX('Portfolio Weights Returns'!$B$9:$BJ$69,
INT((ROW(A1517)-1)/COLUMNS('Portfolio Weights Returns'!$B$9:$BJ$69))+1,MOD(ROW(A1517)-1,COLUMNS('Portfolio Weights Returns'!$B$9:$BJ$69))+1)</f>
        <v>-6.8457327006315332E-4</v>
      </c>
      <c r="B1518" cm="1">
        <f t="array" ref="B1518">INDEX('Portfolio Weights Std'!$B$9:$BJ$69,INT((ROW(A1517)-1)/COLUMNS('Portfolio Weights Std'!$B$9:$BJ$69))+1,MOD(ROW(A1517)-1,COLUMNS('Portfolio Weights Std'!$B$9:$BJ$69))+1)</f>
        <v>1.6986757459947713E-2</v>
      </c>
    </row>
    <row r="1519" spans="1:2" x14ac:dyDescent="0.25">
      <c r="A1519" cm="1">
        <f t="array" ref="A1519">INDEX('Portfolio Weights Returns'!$B$9:$BJ$69,
INT((ROW(A1518)-1)/COLUMNS('Portfolio Weights Returns'!$B$9:$BJ$69))+1,MOD(ROW(A1518)-1,COLUMNS('Portfolio Weights Returns'!$B$9:$BJ$69))+1)</f>
        <v>-6.7779209609647418E-4</v>
      </c>
      <c r="B1519" cm="1">
        <f t="array" ref="B1519">INDEX('Portfolio Weights Std'!$B$9:$BJ$69,INT((ROW(A1518)-1)/COLUMNS('Portfolio Weights Std'!$B$9:$BJ$69))+1,MOD(ROW(A1518)-1,COLUMNS('Portfolio Weights Std'!$B$9:$BJ$69))+1)</f>
        <v>1.6871164495196014E-2</v>
      </c>
    </row>
    <row r="1520" spans="1:2" x14ac:dyDescent="0.25">
      <c r="A1520" cm="1">
        <f t="array" ref="A1520">INDEX('Portfolio Weights Returns'!$B$9:$BJ$69,
INT((ROW(A1519)-1)/COLUMNS('Portfolio Weights Returns'!$B$9:$BJ$69))+1,MOD(ROW(A1519)-1,COLUMNS('Portfolio Weights Returns'!$B$9:$BJ$69))+1)</f>
        <v>-6.7101092212979514E-4</v>
      </c>
      <c r="B1520" cm="1">
        <f t="array" ref="B1520">INDEX('Portfolio Weights Std'!$B$9:$BJ$69,INT((ROW(A1519)-1)/COLUMNS('Portfolio Weights Std'!$B$9:$BJ$69))+1,MOD(ROW(A1519)-1,COLUMNS('Portfolio Weights Std'!$B$9:$BJ$69))+1)</f>
        <v>1.6757537399676652E-2</v>
      </c>
    </row>
    <row r="1521" spans="1:2" x14ac:dyDescent="0.25">
      <c r="A1521" cm="1">
        <f t="array" ref="A1521">INDEX('Portfolio Weights Returns'!$B$9:$BJ$69,
INT((ROW(A1520)-1)/COLUMNS('Portfolio Weights Returns'!$B$9:$BJ$69))+1,MOD(ROW(A1520)-1,COLUMNS('Portfolio Weights Returns'!$B$9:$BJ$69))+1)</f>
        <v>-6.64229748163116E-4</v>
      </c>
      <c r="B1521" cm="1">
        <f t="array" ref="B1521">INDEX('Portfolio Weights Std'!$B$9:$BJ$69,INT((ROW(A1520)-1)/COLUMNS('Portfolio Weights Std'!$B$9:$BJ$69))+1,MOD(ROW(A1520)-1,COLUMNS('Portfolio Weights Std'!$B$9:$BJ$69))+1)</f>
        <v>1.6645916431241831E-2</v>
      </c>
    </row>
    <row r="1522" spans="1:2" x14ac:dyDescent="0.25">
      <c r="A1522" cm="1">
        <f t="array" ref="A1522">INDEX('Portfolio Weights Returns'!$B$9:$BJ$69,
INT((ROW(A1521)-1)/COLUMNS('Portfolio Weights Returns'!$B$9:$BJ$69))+1,MOD(ROW(A1521)-1,COLUMNS('Portfolio Weights Returns'!$B$9:$BJ$69))+1)</f>
        <v>-6.5744857419643686E-4</v>
      </c>
      <c r="B1522" cm="1">
        <f t="array" ref="B1522">INDEX('Portfolio Weights Std'!$B$9:$BJ$69,INT((ROW(A1521)-1)/COLUMNS('Portfolio Weights Std'!$B$9:$BJ$69))+1,MOD(ROW(A1521)-1,COLUMNS('Portfolio Weights Std'!$B$9:$BJ$69))+1)</f>
        <v>1.6536342214254575E-2</v>
      </c>
    </row>
    <row r="1523" spans="1:2" x14ac:dyDescent="0.25">
      <c r="A1523" cm="1">
        <f t="array" ref="A1523">INDEX('Portfolio Weights Returns'!$B$9:$BJ$69,
INT((ROW(A1522)-1)/COLUMNS('Portfolio Weights Returns'!$B$9:$BJ$69))+1,MOD(ROW(A1522)-1,COLUMNS('Portfolio Weights Returns'!$B$9:$BJ$69))+1)</f>
        <v>-6.5066740022975695E-4</v>
      </c>
      <c r="B1523" cm="1">
        <f t="array" ref="B1523">INDEX('Portfolio Weights Std'!$B$9:$BJ$69,INT((ROW(A1522)-1)/COLUMNS('Portfolio Weights Std'!$B$9:$BJ$69))+1,MOD(ROW(A1522)-1,COLUMNS('Portfolio Weights Std'!$B$9:$BJ$69))+1)</f>
        <v>1.6428855701926242E-2</v>
      </c>
    </row>
    <row r="1524" spans="1:2" x14ac:dyDescent="0.25">
      <c r="A1524" cm="1">
        <f t="array" ref="A1524">INDEX('Portfolio Weights Returns'!$B$9:$BJ$69,
INT((ROW(A1523)-1)/COLUMNS('Portfolio Weights Returns'!$B$9:$BJ$69))+1,MOD(ROW(A1523)-1,COLUMNS('Portfolio Weights Returns'!$B$9:$BJ$69))+1)</f>
        <v>-6.4388622626307781E-4</v>
      </c>
      <c r="B1524" cm="1">
        <f t="array" ref="B1524">INDEX('Portfolio Weights Std'!$B$9:$BJ$69,INT((ROW(A1523)-1)/COLUMNS('Portfolio Weights Std'!$B$9:$BJ$69))+1,MOD(ROW(A1523)-1,COLUMNS('Portfolio Weights Std'!$B$9:$BJ$69))+1)</f>
        <v>1.6323498135486069E-2</v>
      </c>
    </row>
    <row r="1525" spans="1:2" x14ac:dyDescent="0.25">
      <c r="A1525" cm="1">
        <f t="array" ref="A1525">INDEX('Portfolio Weights Returns'!$B$9:$BJ$69,
INT((ROW(A1524)-1)/COLUMNS('Portfolio Weights Returns'!$B$9:$BJ$69))+1,MOD(ROW(A1524)-1,COLUMNS('Portfolio Weights Returns'!$B$9:$BJ$69))+1)</f>
        <v>-6.3710505229639899E-4</v>
      </c>
      <c r="B1525" cm="1">
        <f t="array" ref="B1525">INDEX('Portfolio Weights Std'!$B$9:$BJ$69,INT((ROW(A1524)-1)/COLUMNS('Portfolio Weights Std'!$B$9:$BJ$69))+1,MOD(ROW(A1524)-1,COLUMNS('Portfolio Weights Std'!$B$9:$BJ$69))+1)</f>
        <v>1.6220311000114833E-2</v>
      </c>
    </row>
    <row r="1526" spans="1:2" x14ac:dyDescent="0.25">
      <c r="A1526" cm="1">
        <f t="array" ref="A1526">INDEX('Portfolio Weights Returns'!$B$9:$BJ$69,
INT((ROW(A1525)-1)/COLUMNS('Portfolio Weights Returns'!$B$9:$BJ$69))+1,MOD(ROW(A1525)-1,COLUMNS('Portfolio Weights Returns'!$B$9:$BJ$69))+1)</f>
        <v>-6.3032387832971984E-4</v>
      </c>
      <c r="B1526" cm="1">
        <f t="array" ref="B1526">INDEX('Portfolio Weights Std'!$B$9:$BJ$69,INT((ROW(A1525)-1)/COLUMNS('Portfolio Weights Std'!$B$9:$BJ$69))+1,MOD(ROW(A1525)-1,COLUMNS('Portfolio Weights Std'!$B$9:$BJ$69))+1)</f>
        <v>1.6119335977589182E-2</v>
      </c>
    </row>
    <row r="1527" spans="1:2" x14ac:dyDescent="0.25">
      <c r="A1527" cm="1">
        <f t="array" ref="A1527">INDEX('Portfolio Weights Returns'!$B$9:$BJ$69,
INT((ROW(A1526)-1)/COLUMNS('Portfolio Weights Returns'!$B$9:$BJ$69))+1,MOD(ROW(A1526)-1,COLUMNS('Portfolio Weights Returns'!$B$9:$BJ$69))+1)</f>
        <v>-1.0306201084850117E-3</v>
      </c>
      <c r="B1527" cm="1">
        <f t="array" ref="B1527">INDEX('Portfolio Weights Std'!$B$9:$BJ$69,INT((ROW(A1526)-1)/COLUMNS('Portfolio Weights Std'!$B$9:$BJ$69))+1,MOD(ROW(A1526)-1,COLUMNS('Portfolio Weights Std'!$B$9:$BJ$69))+1)</f>
        <v>2.4725845954075908E-2</v>
      </c>
    </row>
    <row r="1528" spans="1:2" x14ac:dyDescent="0.25">
      <c r="A1528" cm="1">
        <f t="array" ref="A1528">INDEX('Portfolio Weights Returns'!$B$9:$BJ$69,
INT((ROW(A1527)-1)/COLUMNS('Portfolio Weights Returns'!$B$9:$BJ$69))+1,MOD(ROW(A1527)-1,COLUMNS('Portfolio Weights Returns'!$B$9:$BJ$69))+1)</f>
        <v>-1.0238389345183325E-3</v>
      </c>
      <c r="B1528" cm="1">
        <f t="array" ref="B1528">INDEX('Portfolio Weights Std'!$B$9:$BJ$69,INT((ROW(A1527)-1)/COLUMNS('Portfolio Weights Std'!$B$9:$BJ$69))+1,MOD(ROW(A1527)-1,COLUMNS('Portfolio Weights Std'!$B$9:$BJ$69))+1)</f>
        <v>2.4550242456696271E-2</v>
      </c>
    </row>
    <row r="1529" spans="1:2" x14ac:dyDescent="0.25">
      <c r="A1529" cm="1">
        <f t="array" ref="A1529">INDEX('Portfolio Weights Returns'!$B$9:$BJ$69,
INT((ROW(A1528)-1)/COLUMNS('Portfolio Weights Returns'!$B$9:$BJ$69))+1,MOD(ROW(A1528)-1,COLUMNS('Portfolio Weights Returns'!$B$9:$BJ$69))+1)</f>
        <v>-1.0170577605516534E-3</v>
      </c>
      <c r="B1529" cm="1">
        <f t="array" ref="B1529">INDEX('Portfolio Weights Std'!$B$9:$BJ$69,INT((ROW(A1528)-1)/COLUMNS('Portfolio Weights Std'!$B$9:$BJ$69))+1,MOD(ROW(A1528)-1,COLUMNS('Portfolio Weights Std'!$B$9:$BJ$69))+1)</f>
        <v>2.4375273476972069E-2</v>
      </c>
    </row>
    <row r="1530" spans="1:2" x14ac:dyDescent="0.25">
      <c r="A1530" cm="1">
        <f t="array" ref="A1530">INDEX('Portfolio Weights Returns'!$B$9:$BJ$69,
INT((ROW(A1529)-1)/COLUMNS('Portfolio Weights Returns'!$B$9:$BJ$69))+1,MOD(ROW(A1529)-1,COLUMNS('Portfolio Weights Returns'!$B$9:$BJ$69))+1)</f>
        <v>-1.0102765865849742E-3</v>
      </c>
      <c r="B1530" cm="1">
        <f t="array" ref="B1530">INDEX('Portfolio Weights Std'!$B$9:$BJ$69,INT((ROW(A1529)-1)/COLUMNS('Portfolio Weights Std'!$B$9:$BJ$69))+1,MOD(ROW(A1529)-1,COLUMNS('Portfolio Weights Std'!$B$9:$BJ$69))+1)</f>
        <v>2.4200952777287715E-2</v>
      </c>
    </row>
    <row r="1531" spans="1:2" x14ac:dyDescent="0.25">
      <c r="A1531" cm="1">
        <f t="array" ref="A1531">INDEX('Portfolio Weights Returns'!$B$9:$BJ$69,
INT((ROW(A1530)-1)/COLUMNS('Portfolio Weights Returns'!$B$9:$BJ$69))+1,MOD(ROW(A1530)-1,COLUMNS('Portfolio Weights Returns'!$B$9:$BJ$69))+1)</f>
        <v>-1.0034954126182951E-3</v>
      </c>
      <c r="B1531" cm="1">
        <f t="array" ref="B1531">INDEX('Portfolio Weights Std'!$B$9:$BJ$69,INT((ROW(A1530)-1)/COLUMNS('Portfolio Weights Std'!$B$9:$BJ$69))+1,MOD(ROW(A1530)-1,COLUMNS('Portfolio Weights Std'!$B$9:$BJ$69))+1)</f>
        <v>2.4027294467679206E-2</v>
      </c>
    </row>
    <row r="1532" spans="1:2" x14ac:dyDescent="0.25">
      <c r="A1532" cm="1">
        <f t="array" ref="A1532">INDEX('Portfolio Weights Returns'!$B$9:$BJ$69,
INT((ROW(A1531)-1)/COLUMNS('Portfolio Weights Returns'!$B$9:$BJ$69))+1,MOD(ROW(A1531)-1,COLUMNS('Portfolio Weights Returns'!$B$9:$BJ$69))+1)</f>
        <v>-9.9671423865161594E-4</v>
      </c>
      <c r="B1532" cm="1">
        <f t="array" ref="B1532">INDEX('Portfolio Weights Std'!$B$9:$BJ$69,INT((ROW(A1531)-1)/COLUMNS('Portfolio Weights Std'!$B$9:$BJ$69))+1,MOD(ROW(A1531)-1,COLUMNS('Portfolio Weights Std'!$B$9:$BJ$69))+1)</f>
        <v>2.385431301465946E-2</v>
      </c>
    </row>
    <row r="1533" spans="1:2" x14ac:dyDescent="0.25">
      <c r="A1533" cm="1">
        <f t="array" ref="A1533">INDEX('Portfolio Weights Returns'!$B$9:$BJ$69,
INT((ROW(A1532)-1)/COLUMNS('Portfolio Weights Returns'!$B$9:$BJ$69))+1,MOD(ROW(A1532)-1,COLUMNS('Portfolio Weights Returns'!$B$9:$BJ$69))+1)</f>
        <v>-9.8993306468493679E-4</v>
      </c>
      <c r="B1533" cm="1">
        <f t="array" ref="B1533">INDEX('Portfolio Weights Std'!$B$9:$BJ$69,INT((ROW(A1532)-1)/COLUMNS('Portfolio Weights Std'!$B$9:$BJ$69))+1,MOD(ROW(A1532)-1,COLUMNS('Portfolio Weights Std'!$B$9:$BJ$69))+1)</f>
        <v>2.368202325019679E-2</v>
      </c>
    </row>
    <row r="1534" spans="1:2" x14ac:dyDescent="0.25">
      <c r="A1534" cm="1">
        <f t="array" ref="A1534">INDEX('Portfolio Weights Returns'!$B$9:$BJ$69,
INT((ROW(A1533)-1)/COLUMNS('Portfolio Weights Returns'!$B$9:$BJ$69))+1,MOD(ROW(A1533)-1,COLUMNS('Portfolio Weights Returns'!$B$9:$BJ$69))+1)</f>
        <v>-9.8315189071825765E-4</v>
      </c>
      <c r="B1534" cm="1">
        <f t="array" ref="B1534">INDEX('Portfolio Weights Std'!$B$9:$BJ$69,INT((ROW(A1533)-1)/COLUMNS('Portfolio Weights Std'!$B$9:$BJ$69))+1,MOD(ROW(A1533)-1,COLUMNS('Portfolio Weights Std'!$B$9:$BJ$69))+1)</f>
        <v>2.3510440380841376E-2</v>
      </c>
    </row>
    <row r="1535" spans="1:2" x14ac:dyDescent="0.25">
      <c r="A1535" cm="1">
        <f t="array" ref="A1535">INDEX('Portfolio Weights Returns'!$B$9:$BJ$69,
INT((ROW(A1534)-1)/COLUMNS('Portfolio Weights Returns'!$B$9:$BJ$69))+1,MOD(ROW(A1534)-1,COLUMNS('Portfolio Weights Returns'!$B$9:$BJ$69))+1)</f>
        <v>-9.7637071675157861E-4</v>
      </c>
      <c r="B1535" cm="1">
        <f t="array" ref="B1535">INDEX('Portfolio Weights Std'!$B$9:$BJ$69,INT((ROW(A1534)-1)/COLUMNS('Portfolio Weights Std'!$B$9:$BJ$69))+1,MOD(ROW(A1534)-1,COLUMNS('Portfolio Weights Std'!$B$9:$BJ$69))+1)</f>
        <v>2.3339579996993487E-2</v>
      </c>
    </row>
    <row r="1536" spans="1:2" x14ac:dyDescent="0.25">
      <c r="A1536" cm="1">
        <f t="array" ref="A1536">INDEX('Portfolio Weights Returns'!$B$9:$BJ$69,
INT((ROW(A1535)-1)/COLUMNS('Portfolio Weights Returns'!$B$9:$BJ$69))+1,MOD(ROW(A1535)-1,COLUMNS('Portfolio Weights Returns'!$B$9:$BJ$69))+1)</f>
        <v>-9.6958954278489958E-4</v>
      </c>
      <c r="B1536" cm="1">
        <f t="array" ref="B1536">INDEX('Portfolio Weights Std'!$B$9:$BJ$69,INT((ROW(A1535)-1)/COLUMNS('Portfolio Weights Std'!$B$9:$BJ$69))+1,MOD(ROW(A1535)-1,COLUMNS('Portfolio Weights Std'!$B$9:$BJ$69))+1)</f>
        <v>2.3169458082306242E-2</v>
      </c>
    </row>
    <row r="1537" spans="1:2" x14ac:dyDescent="0.25">
      <c r="A1537" cm="1">
        <f t="array" ref="A1537">INDEX('Portfolio Weights Returns'!$B$9:$BJ$69,
INT((ROW(A1536)-1)/COLUMNS('Portfolio Weights Returns'!$B$9:$BJ$69))+1,MOD(ROW(A1536)-1,COLUMNS('Portfolio Weights Returns'!$B$9:$BJ$69))+1)</f>
        <v>-9.6280836881822043E-4</v>
      </c>
      <c r="B1537" cm="1">
        <f t="array" ref="B1537">INDEX('Portfolio Weights Std'!$B$9:$BJ$69,INT((ROW(A1536)-1)/COLUMNS('Portfolio Weights Std'!$B$9:$BJ$69))+1,MOD(ROW(A1536)-1,COLUMNS('Portfolio Weights Std'!$B$9:$BJ$69))+1)</f>
        <v>2.3000091023214656E-2</v>
      </c>
    </row>
    <row r="1538" spans="1:2" x14ac:dyDescent="0.25">
      <c r="A1538" cm="1">
        <f t="array" ref="A1538">INDEX('Portfolio Weights Returns'!$B$9:$BJ$69,
INT((ROW(A1537)-1)/COLUMNS('Portfolio Weights Returns'!$B$9:$BJ$69))+1,MOD(ROW(A1537)-1,COLUMNS('Portfolio Weights Returns'!$B$9:$BJ$69))+1)</f>
        <v>-9.560271948515414E-4</v>
      </c>
      <c r="B1538" cm="1">
        <f t="array" ref="B1538">INDEX('Portfolio Weights Std'!$B$9:$BJ$69,INT((ROW(A1537)-1)/COLUMNS('Portfolio Weights Std'!$B$9:$BJ$69))+1,MOD(ROW(A1537)-1,COLUMNS('Portfolio Weights Std'!$B$9:$BJ$69))+1)</f>
        <v>2.2831495618581339E-2</v>
      </c>
    </row>
    <row r="1539" spans="1:2" x14ac:dyDescent="0.25">
      <c r="A1539" cm="1">
        <f t="array" ref="A1539">INDEX('Portfolio Weights Returns'!$B$9:$BJ$69,
INT((ROW(A1538)-1)/COLUMNS('Portfolio Weights Returns'!$B$9:$BJ$69))+1,MOD(ROW(A1538)-1,COLUMNS('Portfolio Weights Returns'!$B$9:$BJ$69))+1)</f>
        <v>-9.4924602088486225E-4</v>
      </c>
      <c r="B1539" cm="1">
        <f t="array" ref="B1539">INDEX('Portfolio Weights Std'!$B$9:$BJ$69,INT((ROW(A1538)-1)/COLUMNS('Portfolio Weights Std'!$B$9:$BJ$69))+1,MOD(ROW(A1538)-1,COLUMNS('Portfolio Weights Std'!$B$9:$BJ$69))+1)</f>
        <v>2.2663689089447998E-2</v>
      </c>
    </row>
    <row r="1540" spans="1:2" x14ac:dyDescent="0.25">
      <c r="A1540" cm="1">
        <f t="array" ref="A1540">INDEX('Portfolio Weights Returns'!$B$9:$BJ$69,
INT((ROW(A1539)-1)/COLUMNS('Portfolio Weights Returns'!$B$9:$BJ$69))+1,MOD(ROW(A1539)-1,COLUMNS('Portfolio Weights Returns'!$B$9:$BJ$69))+1)</f>
        <v>-9.4246484691818311E-4</v>
      </c>
      <c r="B1540" cm="1">
        <f t="array" ref="B1540">INDEX('Portfolio Weights Std'!$B$9:$BJ$69,INT((ROW(A1539)-1)/COLUMNS('Portfolio Weights Std'!$B$9:$BJ$69))+1,MOD(ROW(A1539)-1,COLUMNS('Portfolio Weights Std'!$B$9:$BJ$69))+1)</f>
        <v>2.2496689088880511E-2</v>
      </c>
    </row>
    <row r="1541" spans="1:2" x14ac:dyDescent="0.25">
      <c r="A1541" cm="1">
        <f t="array" ref="A1541">INDEX('Portfolio Weights Returns'!$B$9:$BJ$69,
INT((ROW(A1540)-1)/COLUMNS('Portfolio Weights Returns'!$B$9:$BJ$69))+1,MOD(ROW(A1540)-1,COLUMNS('Portfolio Weights Returns'!$B$9:$BJ$69))+1)</f>
        <v>-9.3568367295150396E-4</v>
      </c>
      <c r="B1541" cm="1">
        <f t="array" ref="B1541">INDEX('Portfolio Weights Std'!$B$9:$BJ$69,INT((ROW(A1540)-1)/COLUMNS('Portfolio Weights Std'!$B$9:$BJ$69))+1,MOD(ROW(A1540)-1,COLUMNS('Portfolio Weights Std'!$B$9:$BJ$69))+1)</f>
        <v>2.23305137118937E-2</v>
      </c>
    </row>
    <row r="1542" spans="1:2" x14ac:dyDescent="0.25">
      <c r="A1542" cm="1">
        <f t="array" ref="A1542">INDEX('Portfolio Weights Returns'!$B$9:$BJ$69,
INT((ROW(A1541)-1)/COLUMNS('Portfolio Weights Returns'!$B$9:$BJ$69))+1,MOD(ROW(A1541)-1,COLUMNS('Portfolio Weights Returns'!$B$9:$BJ$69))+1)</f>
        <v>-9.2890249898482482E-4</v>
      </c>
      <c r="B1542" cm="1">
        <f t="array" ref="B1542">INDEX('Portfolio Weights Std'!$B$9:$BJ$69,INT((ROW(A1541)-1)/COLUMNS('Portfolio Weights Std'!$B$9:$BJ$69))+1,MOD(ROW(A1541)-1,COLUMNS('Portfolio Weights Std'!$B$9:$BJ$69))+1)</f>
        <v>2.2165181505440366E-2</v>
      </c>
    </row>
    <row r="1543" spans="1:2" x14ac:dyDescent="0.25">
      <c r="A1543" cm="1">
        <f t="array" ref="A1543">INDEX('Portfolio Weights Returns'!$B$9:$BJ$69,
INT((ROW(A1542)-1)/COLUMNS('Portfolio Weights Returns'!$B$9:$BJ$69))+1,MOD(ROW(A1542)-1,COLUMNS('Portfolio Weights Returns'!$B$9:$BJ$69))+1)</f>
        <v>-9.22121325018146E-4</v>
      </c>
      <c r="B1543" cm="1">
        <f t="array" ref="B1543">INDEX('Portfolio Weights Std'!$B$9:$BJ$69,INT((ROW(A1542)-1)/COLUMNS('Portfolio Weights Std'!$B$9:$BJ$69))+1,MOD(ROW(A1542)-1,COLUMNS('Portfolio Weights Std'!$B$9:$BJ$69))+1)</f>
        <v>2.2000711478447347E-2</v>
      </c>
    </row>
    <row r="1544" spans="1:2" x14ac:dyDescent="0.25">
      <c r="A1544" cm="1">
        <f t="array" ref="A1544">INDEX('Portfolio Weights Returns'!$B$9:$BJ$69,
INT((ROW(A1543)-1)/COLUMNS('Portfolio Weights Returns'!$B$9:$BJ$69))+1,MOD(ROW(A1543)-1,COLUMNS('Portfolio Weights Returns'!$B$9:$BJ$69))+1)</f>
        <v>-9.1534015105146664E-4</v>
      </c>
      <c r="B1544" cm="1">
        <f t="array" ref="B1544">INDEX('Portfolio Weights Std'!$B$9:$BJ$69,INT((ROW(A1543)-1)/COLUMNS('Portfolio Weights Std'!$B$9:$BJ$69))+1,MOD(ROW(A1543)-1,COLUMNS('Portfolio Weights Std'!$B$9:$BJ$69))+1)</f>
        <v>2.1837123111879454E-2</v>
      </c>
    </row>
    <row r="1545" spans="1:2" x14ac:dyDescent="0.25">
      <c r="A1545" cm="1">
        <f t="array" ref="A1545">INDEX('Portfolio Weights Returns'!$B$9:$BJ$69,
INT((ROW(A1544)-1)/COLUMNS('Portfolio Weights Returns'!$B$9:$BJ$69))+1,MOD(ROW(A1544)-1,COLUMNS('Portfolio Weights Returns'!$B$9:$BJ$69))+1)</f>
        <v>-9.0855897708478771E-4</v>
      </c>
      <c r="B1545" cm="1">
        <f t="array" ref="B1545">INDEX('Portfolio Weights Std'!$B$9:$BJ$69,INT((ROW(A1544)-1)/COLUMNS('Portfolio Weights Std'!$B$9:$BJ$69))+1,MOD(ROW(A1544)-1,COLUMNS('Portfolio Weights Std'!$B$9:$BJ$69))+1)</f>
        <v>2.1674436368810168E-2</v>
      </c>
    </row>
    <row r="1546" spans="1:2" x14ac:dyDescent="0.25">
      <c r="A1546" cm="1">
        <f t="array" ref="A1546">INDEX('Portfolio Weights Returns'!$B$9:$BJ$69,
INT((ROW(A1545)-1)/COLUMNS('Portfolio Weights Returns'!$B$9:$BJ$69))+1,MOD(ROW(A1545)-1,COLUMNS('Portfolio Weights Returns'!$B$9:$BJ$69))+1)</f>
        <v>-9.0177780311810857E-4</v>
      </c>
      <c r="B1546" cm="1">
        <f t="array" ref="B1546">INDEX('Portfolio Weights Std'!$B$9:$BJ$69,INT((ROW(A1545)-1)/COLUMNS('Portfolio Weights Std'!$B$9:$BJ$69))+1,MOD(ROW(A1545)-1,COLUMNS('Portfolio Weights Std'!$B$9:$BJ$69))+1)</f>
        <v>2.1512671704475655E-2</v>
      </c>
    </row>
    <row r="1547" spans="1:2" x14ac:dyDescent="0.25">
      <c r="A1547" cm="1">
        <f t="array" ref="A1547">INDEX('Portfolio Weights Returns'!$B$9:$BJ$69,
INT((ROW(A1546)-1)/COLUMNS('Portfolio Weights Returns'!$B$9:$BJ$69))+1,MOD(ROW(A1546)-1,COLUMNS('Portfolio Weights Returns'!$B$9:$BJ$69))+1)</f>
        <v>-8.9499662915142953E-4</v>
      </c>
      <c r="B1547" cm="1">
        <f t="array" ref="B1547">INDEX('Portfolio Weights Std'!$B$9:$BJ$69,INT((ROW(A1546)-1)/COLUMNS('Portfolio Weights Std'!$B$9:$BJ$69))+1,MOD(ROW(A1546)-1,COLUMNS('Portfolio Weights Std'!$B$9:$BJ$69))+1)</f>
        <v>2.1351850076286608E-2</v>
      </c>
    </row>
    <row r="1548" spans="1:2" x14ac:dyDescent="0.25">
      <c r="A1548" cm="1">
        <f t="array" ref="A1548">INDEX('Portfolio Weights Returns'!$B$9:$BJ$69,
INT((ROW(A1547)-1)/COLUMNS('Portfolio Weights Returns'!$B$9:$BJ$69))+1,MOD(ROW(A1547)-1,COLUMNS('Portfolio Weights Returns'!$B$9:$BJ$69))+1)</f>
        <v>-8.8821545518475039E-4</v>
      </c>
      <c r="B1548" cm="1">
        <f t="array" ref="B1548">INDEX('Portfolio Weights Std'!$B$9:$BJ$69,INT((ROW(A1547)-1)/COLUMNS('Portfolio Weights Std'!$B$9:$BJ$69))+1,MOD(ROW(A1547)-1,COLUMNS('Portfolio Weights Std'!$B$9:$BJ$69))+1)</f>
        <v>2.119199295376957E-2</v>
      </c>
    </row>
    <row r="1549" spans="1:2" x14ac:dyDescent="0.25">
      <c r="A1549" cm="1">
        <f t="array" ref="A1549">INDEX('Portfolio Weights Returns'!$B$9:$BJ$69,
INT((ROW(A1548)-1)/COLUMNS('Portfolio Weights Returns'!$B$9:$BJ$69))+1,MOD(ROW(A1548)-1,COLUMNS('Portfolio Weights Returns'!$B$9:$BJ$69))+1)</f>
        <v>-8.8143428121807135E-4</v>
      </c>
      <c r="B1549" cm="1">
        <f t="array" ref="B1549">INDEX('Portfolio Weights Std'!$B$9:$BJ$69,INT((ROW(A1548)-1)/COLUMNS('Portfolio Weights Std'!$B$9:$BJ$69))+1,MOD(ROW(A1548)-1,COLUMNS('Portfolio Weights Std'!$B$9:$BJ$69))+1)</f>
        <v>2.1033122328407251E-2</v>
      </c>
    </row>
    <row r="1550" spans="1:2" x14ac:dyDescent="0.25">
      <c r="A1550" cm="1">
        <f t="array" ref="A1550">INDEX('Portfolio Weights Returns'!$B$9:$BJ$69,
INT((ROW(A1549)-1)/COLUMNS('Portfolio Weights Returns'!$B$9:$BJ$69))+1,MOD(ROW(A1549)-1,COLUMNS('Portfolio Weights Returns'!$B$9:$BJ$69))+1)</f>
        <v>-8.746531072513922E-4</v>
      </c>
      <c r="B1550" cm="1">
        <f t="array" ref="B1550">INDEX('Portfolio Weights Std'!$B$9:$BJ$69,INT((ROW(A1549)-1)/COLUMNS('Portfolio Weights Std'!$B$9:$BJ$69))+1,MOD(ROW(A1549)-1,COLUMNS('Portfolio Weights Std'!$B$9:$BJ$69))+1)</f>
        <v>2.0875260723344134E-2</v>
      </c>
    </row>
    <row r="1551" spans="1:2" x14ac:dyDescent="0.25">
      <c r="A1551" cm="1">
        <f t="array" ref="A1551">INDEX('Portfolio Weights Returns'!$B$9:$BJ$69,
INT((ROW(A1550)-1)/COLUMNS('Portfolio Weights Returns'!$B$9:$BJ$69))+1,MOD(ROW(A1550)-1,COLUMNS('Portfolio Weights Returns'!$B$9:$BJ$69))+1)</f>
        <v>-8.6787193328471306E-4</v>
      </c>
      <c r="B1551" cm="1">
        <f t="array" ref="B1551">INDEX('Portfolio Weights Std'!$B$9:$BJ$69,INT((ROW(A1550)-1)/COLUMNS('Portfolio Weights Std'!$B$9:$BJ$69))+1,MOD(ROW(A1550)-1,COLUMNS('Portfolio Weights Std'!$B$9:$BJ$69))+1)</f>
        <v>2.0718431202921005E-2</v>
      </c>
    </row>
    <row r="1552" spans="1:2" x14ac:dyDescent="0.25">
      <c r="A1552" cm="1">
        <f t="array" ref="A1552">INDEX('Portfolio Weights Returns'!$B$9:$BJ$69,
INT((ROW(A1551)-1)/COLUMNS('Portfolio Weights Returns'!$B$9:$BJ$69))+1,MOD(ROW(A1551)-1,COLUMNS('Portfolio Weights Returns'!$B$9:$BJ$69))+1)</f>
        <v>-8.6109075931803392E-4</v>
      </c>
      <c r="B1552" cm="1">
        <f t="array" ref="B1552">INDEX('Portfolio Weights Std'!$B$9:$BJ$69,INT((ROW(A1551)-1)/COLUMNS('Portfolio Weights Std'!$B$9:$BJ$69))+1,MOD(ROW(A1551)-1,COLUMNS('Portfolio Weights Std'!$B$9:$BJ$69))+1)</f>
        <v>2.0562657381998882E-2</v>
      </c>
    </row>
    <row r="1553" spans="1:2" x14ac:dyDescent="0.25">
      <c r="A1553" cm="1">
        <f t="array" ref="A1553">INDEX('Portfolio Weights Returns'!$B$9:$BJ$69,
INT((ROW(A1552)-1)/COLUMNS('Portfolio Weights Returns'!$B$9:$BJ$69))+1,MOD(ROW(A1552)-1,COLUMNS('Portfolio Weights Returns'!$B$9:$BJ$69))+1)</f>
        <v>-8.5430958535135477E-4</v>
      </c>
      <c r="B1553" cm="1">
        <f t="array" ref="B1553">INDEX('Portfolio Weights Std'!$B$9:$BJ$69,INT((ROW(A1552)-1)/COLUMNS('Portfolio Weights Std'!$B$9:$BJ$69))+1,MOD(ROW(A1552)-1,COLUMNS('Portfolio Weights Std'!$B$9:$BJ$69))+1)</f>
        <v>2.040796343502951E-2</v>
      </c>
    </row>
    <row r="1554" spans="1:2" x14ac:dyDescent="0.25">
      <c r="A1554" cm="1">
        <f t="array" ref="A1554">INDEX('Portfolio Weights Returns'!$B$9:$BJ$69,
INT((ROW(A1553)-1)/COLUMNS('Portfolio Weights Returns'!$B$9:$BJ$69))+1,MOD(ROW(A1553)-1,COLUMNS('Portfolio Weights Returns'!$B$9:$BJ$69))+1)</f>
        <v>-8.4752841138467574E-4</v>
      </c>
      <c r="B1554" cm="1">
        <f t="array" ref="B1554">INDEX('Portfolio Weights Std'!$B$9:$BJ$69,INT((ROW(A1553)-1)/COLUMNS('Portfolio Weights Std'!$B$9:$BJ$69))+1,MOD(ROW(A1553)-1,COLUMNS('Portfolio Weights Std'!$B$9:$BJ$69))+1)</f>
        <v>2.025437410482624E-2</v>
      </c>
    </row>
    <row r="1555" spans="1:2" x14ac:dyDescent="0.25">
      <c r="A1555" cm="1">
        <f t="array" ref="A1555">INDEX('Portfolio Weights Returns'!$B$9:$BJ$69,
INT((ROW(A1554)-1)/COLUMNS('Portfolio Weights Returns'!$B$9:$BJ$69))+1,MOD(ROW(A1554)-1,COLUMNS('Portfolio Weights Returns'!$B$9:$BJ$69))+1)</f>
        <v>-8.4074723741799659E-4</v>
      </c>
      <c r="B1555" cm="1">
        <f t="array" ref="B1555">INDEX('Portfolio Weights Std'!$B$9:$BJ$69,INT((ROW(A1554)-1)/COLUMNS('Portfolio Weights Std'!$B$9:$BJ$69))+1,MOD(ROW(A1554)-1,COLUMNS('Portfolio Weights Std'!$B$9:$BJ$69))+1)</f>
        <v>2.0101914710985515E-2</v>
      </c>
    </row>
    <row r="1556" spans="1:2" x14ac:dyDescent="0.25">
      <c r="A1556" cm="1">
        <f t="array" ref="A1556">INDEX('Portfolio Weights Returns'!$B$9:$BJ$69,
INT((ROW(A1555)-1)/COLUMNS('Portfolio Weights Returns'!$B$9:$BJ$69))+1,MOD(ROW(A1555)-1,COLUMNS('Portfolio Weights Returns'!$B$9:$BJ$69))+1)</f>
        <v>-8.3396606345131756E-4</v>
      </c>
      <c r="B1556" cm="1">
        <f t="array" ref="B1556">INDEX('Portfolio Weights Std'!$B$9:$BJ$69,INT((ROW(A1555)-1)/COLUMNS('Portfolio Weights Std'!$B$9:$BJ$69))+1,MOD(ROW(A1555)-1,COLUMNS('Portfolio Weights Std'!$B$9:$BJ$69))+1)</f>
        <v>1.9950611157905467E-2</v>
      </c>
    </row>
    <row r="1557" spans="1:2" x14ac:dyDescent="0.25">
      <c r="A1557" cm="1">
        <f t="array" ref="A1557">INDEX('Portfolio Weights Returns'!$B$9:$BJ$69,
INT((ROW(A1556)-1)/COLUMNS('Portfolio Weights Returns'!$B$9:$BJ$69))+1,MOD(ROW(A1556)-1,COLUMNS('Portfolio Weights Returns'!$B$9:$BJ$69))+1)</f>
        <v>-8.2718488948463841E-4</v>
      </c>
      <c r="B1557" cm="1">
        <f t="array" ref="B1557">INDEX('Portfolio Weights Std'!$B$9:$BJ$69,INT((ROW(A1556)-1)/COLUMNS('Portfolio Weights Std'!$B$9:$BJ$69))+1,MOD(ROW(A1556)-1,COLUMNS('Portfolio Weights Std'!$B$9:$BJ$69))+1)</f>
        <v>1.9800489942344211E-2</v>
      </c>
    </row>
    <row r="1558" spans="1:2" x14ac:dyDescent="0.25">
      <c r="A1558" cm="1">
        <f t="array" ref="A1558">INDEX('Portfolio Weights Returns'!$B$9:$BJ$69,
INT((ROW(A1557)-1)/COLUMNS('Portfolio Weights Returns'!$B$9:$BJ$69))+1,MOD(ROW(A1557)-1,COLUMNS('Portfolio Weights Returns'!$B$9:$BJ$69))+1)</f>
        <v>-8.2040371551795937E-4</v>
      </c>
      <c r="B1558" cm="1">
        <f t="array" ref="B1558">INDEX('Portfolio Weights Std'!$B$9:$BJ$69,INT((ROW(A1557)-1)/COLUMNS('Portfolio Weights Std'!$B$9:$BJ$69))+1,MOD(ROW(A1557)-1,COLUMNS('Portfolio Weights Std'!$B$9:$BJ$69))+1)</f>
        <v>1.9651578160456536E-2</v>
      </c>
    </row>
    <row r="1559" spans="1:2" x14ac:dyDescent="0.25">
      <c r="A1559" cm="1">
        <f t="array" ref="A1559">INDEX('Portfolio Weights Returns'!$B$9:$BJ$69,
INT((ROW(A1558)-1)/COLUMNS('Portfolio Weights Returns'!$B$9:$BJ$69))+1,MOD(ROW(A1558)-1,COLUMNS('Portfolio Weights Returns'!$B$9:$BJ$69))+1)</f>
        <v>-8.1362254155128012E-4</v>
      </c>
      <c r="B1559" cm="1">
        <f t="array" ref="B1559">INDEX('Portfolio Weights Std'!$B$9:$BJ$69,INT((ROW(A1558)-1)/COLUMNS('Portfolio Weights Std'!$B$9:$BJ$69))+1,MOD(ROW(A1558)-1,COLUMNS('Portfolio Weights Std'!$B$9:$BJ$69))+1)</f>
        <v>1.9503903514243401E-2</v>
      </c>
    </row>
    <row r="1560" spans="1:2" x14ac:dyDescent="0.25">
      <c r="A1560" cm="1">
        <f t="array" ref="A1560">INDEX('Portfolio Weights Returns'!$B$9:$BJ$69,
INT((ROW(A1559)-1)/COLUMNS('Portfolio Weights Returns'!$B$9:$BJ$69))+1,MOD(ROW(A1559)-1,COLUMNS('Portfolio Weights Returns'!$B$9:$BJ$69))+1)</f>
        <v>-8.0684136758460098E-4</v>
      </c>
      <c r="B1560" cm="1">
        <f t="array" ref="B1560">INDEX('Portfolio Weights Std'!$B$9:$BJ$69,INT((ROW(A1559)-1)/COLUMNS('Portfolio Weights Std'!$B$9:$BJ$69))+1,MOD(ROW(A1559)-1,COLUMNS('Portfolio Weights Std'!$B$9:$BJ$69))+1)</f>
        <v>1.9357494317344539E-2</v>
      </c>
    </row>
    <row r="1561" spans="1:2" x14ac:dyDescent="0.25">
      <c r="A1561" cm="1">
        <f t="array" ref="A1561">INDEX('Portfolio Weights Returns'!$B$9:$BJ$69,
INT((ROW(A1560)-1)/COLUMNS('Portfolio Weights Returns'!$B$9:$BJ$69))+1,MOD(ROW(A1560)-1,COLUMNS('Portfolio Weights Returns'!$B$9:$BJ$69))+1)</f>
        <v>-8.0006019361792194E-4</v>
      </c>
      <c r="B1561" cm="1">
        <f t="array" ref="B1561">INDEX('Portfolio Weights Std'!$B$9:$BJ$69,INT((ROW(A1560)-1)/COLUMNS('Portfolio Weights Std'!$B$9:$BJ$69))+1,MOD(ROW(A1560)-1,COLUMNS('Portfolio Weights Std'!$B$9:$BJ$69))+1)</f>
        <v>1.9212379500099977E-2</v>
      </c>
    </row>
    <row r="1562" spans="1:2" x14ac:dyDescent="0.25">
      <c r="A1562" cm="1">
        <f t="array" ref="A1562">INDEX('Portfolio Weights Returns'!$B$9:$BJ$69,
INT((ROW(A1561)-1)/COLUMNS('Portfolio Weights Returns'!$B$9:$BJ$69))+1,MOD(ROW(A1561)-1,COLUMNS('Portfolio Weights Returns'!$B$9:$BJ$69))+1)</f>
        <v>-7.932790196512428E-4</v>
      </c>
      <c r="B1562" cm="1">
        <f t="array" ref="B1562">INDEX('Portfolio Weights Std'!$B$9:$BJ$69,INT((ROW(A1561)-1)/COLUMNS('Portfolio Weights Std'!$B$9:$BJ$69))+1,MOD(ROW(A1561)-1,COLUMNS('Portfolio Weights Std'!$B$9:$BJ$69))+1)</f>
        <v>1.9068588613802114E-2</v>
      </c>
    </row>
    <row r="1563" spans="1:2" x14ac:dyDescent="0.25">
      <c r="A1563" cm="1">
        <f t="array" ref="A1563">INDEX('Portfolio Weights Returns'!$B$9:$BJ$69,
INT((ROW(A1562)-1)/COLUMNS('Portfolio Weights Returns'!$B$9:$BJ$69))+1,MOD(ROW(A1562)-1,COLUMNS('Portfolio Weights Returns'!$B$9:$BJ$69))+1)</f>
        <v>-7.8649784568456376E-4</v>
      </c>
      <c r="B1563" cm="1">
        <f t="array" ref="B1563">INDEX('Portfolio Weights Std'!$B$9:$BJ$69,INT((ROW(A1562)-1)/COLUMNS('Portfolio Weights Std'!$B$9:$BJ$69))+1,MOD(ROW(A1562)-1,COLUMNS('Portfolio Weights Std'!$B$9:$BJ$69))+1)</f>
        <v>1.8926151834055209E-2</v>
      </c>
    </row>
    <row r="1564" spans="1:2" x14ac:dyDescent="0.25">
      <c r="A1564" cm="1">
        <f t="array" ref="A1564">INDEX('Portfolio Weights Returns'!$B$9:$BJ$69,
INT((ROW(A1563)-1)/COLUMNS('Portfolio Weights Returns'!$B$9:$BJ$69))+1,MOD(ROW(A1563)-1,COLUMNS('Portfolio Weights Returns'!$B$9:$BJ$69))+1)</f>
        <v>-7.7971667171788462E-4</v>
      </c>
      <c r="B1564" cm="1">
        <f t="array" ref="B1564">INDEX('Portfolio Weights Std'!$B$9:$BJ$69,INT((ROW(A1563)-1)/COLUMNS('Portfolio Weights Std'!$B$9:$BJ$69))+1,MOD(ROW(A1563)-1,COLUMNS('Portfolio Weights Std'!$B$9:$BJ$69))+1)</f>
        <v>1.8785099963154972E-2</v>
      </c>
    </row>
    <row r="1565" spans="1:2" x14ac:dyDescent="0.25">
      <c r="A1565" cm="1">
        <f t="array" ref="A1565">INDEX('Portfolio Weights Returns'!$B$9:$BJ$69,
INT((ROW(A1564)-1)/COLUMNS('Portfolio Weights Returns'!$B$9:$BJ$69))+1,MOD(ROW(A1564)-1,COLUMNS('Portfolio Weights Returns'!$B$9:$BJ$69))+1)</f>
        <v>-7.7293549775120558E-4</v>
      </c>
      <c r="B1565" cm="1">
        <f t="array" ref="B1565">INDEX('Portfolio Weights Std'!$B$9:$BJ$69,INT((ROW(A1564)-1)/COLUMNS('Portfolio Weights Std'!$B$9:$BJ$69))+1,MOD(ROW(A1564)-1,COLUMNS('Portfolio Weights Std'!$B$9:$BJ$69))+1)</f>
        <v>1.8645464431396301E-2</v>
      </c>
    </row>
    <row r="1566" spans="1:2" x14ac:dyDescent="0.25">
      <c r="A1566" cm="1">
        <f t="array" ref="A1566">INDEX('Portfolio Weights Returns'!$B$9:$BJ$69,
INT((ROW(A1565)-1)/COLUMNS('Portfolio Weights Returns'!$B$9:$BJ$69))+1,MOD(ROW(A1565)-1,COLUMNS('Portfolio Weights Returns'!$B$9:$BJ$69))+1)</f>
        <v>-7.6615432378452644E-4</v>
      </c>
      <c r="B1566" cm="1">
        <f t="array" ref="B1566">INDEX('Portfolio Weights Std'!$B$9:$BJ$69,INT((ROW(A1565)-1)/COLUMNS('Portfolio Weights Std'!$B$9:$BJ$69))+1,MOD(ROW(A1565)-1,COLUMNS('Portfolio Weights Std'!$B$9:$BJ$69))+1)</f>
        <v>1.8507277297212844E-2</v>
      </c>
    </row>
    <row r="1567" spans="1:2" x14ac:dyDescent="0.25">
      <c r="A1567" cm="1">
        <f t="array" ref="A1567">INDEX('Portfolio Weights Returns'!$B$9:$BJ$69,
INT((ROW(A1566)-1)/COLUMNS('Portfolio Weights Returns'!$B$9:$BJ$69))+1,MOD(ROW(A1566)-1,COLUMNS('Portfolio Weights Returns'!$B$9:$BJ$69))+1)</f>
        <v>-7.593731498178474E-4</v>
      </c>
      <c r="B1567" cm="1">
        <f t="array" ref="B1567">INDEX('Portfolio Weights Std'!$B$9:$BJ$69,INT((ROW(A1566)-1)/COLUMNS('Portfolio Weights Std'!$B$9:$BJ$69))+1,MOD(ROW(A1566)-1,COLUMNS('Portfolio Weights Std'!$B$9:$BJ$69))+1)</f>
        <v>1.8370571246047889E-2</v>
      </c>
    </row>
    <row r="1568" spans="1:2" x14ac:dyDescent="0.25">
      <c r="A1568" cm="1">
        <f t="array" ref="A1568">INDEX('Portfolio Weights Returns'!$B$9:$BJ$69,
INT((ROW(A1567)-1)/COLUMNS('Portfolio Weights Returns'!$B$9:$BJ$69))+1,MOD(ROW(A1567)-1,COLUMNS('Portfolio Weights Returns'!$B$9:$BJ$69))+1)</f>
        <v>-7.5259197585116826E-4</v>
      </c>
      <c r="B1568" cm="1">
        <f t="array" ref="B1568">INDEX('Portfolio Weights Std'!$B$9:$BJ$69,INT((ROW(A1567)-1)/COLUMNS('Portfolio Weights Std'!$B$9:$BJ$69))+1,MOD(ROW(A1567)-1,COLUMNS('Portfolio Weights Std'!$B$9:$BJ$69))+1)</f>
        <v>1.8235379587851711E-2</v>
      </c>
    </row>
    <row r="1569" spans="1:2" x14ac:dyDescent="0.25">
      <c r="A1569" cm="1">
        <f t="array" ref="A1569">INDEX('Portfolio Weights Returns'!$B$9:$BJ$69,
INT((ROW(A1568)-1)/COLUMNS('Portfolio Weights Returns'!$B$9:$BJ$69))+1,MOD(ROW(A1568)-1,COLUMNS('Portfolio Weights Returns'!$B$9:$BJ$69))+1)</f>
        <v>-7.4581080188448911E-4</v>
      </c>
      <c r="B1569" cm="1">
        <f t="array" ref="B1569">INDEX('Portfolio Weights Std'!$B$9:$BJ$69,INT((ROW(A1568)-1)/COLUMNS('Portfolio Weights Std'!$B$9:$BJ$69))+1,MOD(ROW(A1568)-1,COLUMNS('Portfolio Weights Std'!$B$9:$BJ$69))+1)</f>
        <v>1.8101736253096884E-2</v>
      </c>
    </row>
    <row r="1570" spans="1:2" x14ac:dyDescent="0.25">
      <c r="A1570" cm="1">
        <f t="array" ref="A1570">INDEX('Portfolio Weights Returns'!$B$9:$BJ$69,
INT((ROW(A1569)-1)/COLUMNS('Portfolio Weights Returns'!$B$9:$BJ$69))+1,MOD(ROW(A1569)-1,COLUMNS('Portfolio Weights Returns'!$B$9:$BJ$69))+1)</f>
        <v>-7.3902962791781008E-4</v>
      </c>
      <c r="B1570" cm="1">
        <f t="array" ref="B1570">INDEX('Portfolio Weights Std'!$B$9:$BJ$69,INT((ROW(A1569)-1)/COLUMNS('Portfolio Weights Std'!$B$9:$BJ$69))+1,MOD(ROW(A1569)-1,COLUMNS('Portfolio Weights Std'!$B$9:$BJ$69))+1)</f>
        <v>1.7969675787199147E-2</v>
      </c>
    </row>
    <row r="1571" spans="1:2" x14ac:dyDescent="0.25">
      <c r="A1571" cm="1">
        <f t="array" ref="A1571">INDEX('Portfolio Weights Returns'!$B$9:$BJ$69,
INT((ROW(A1570)-1)/COLUMNS('Portfolio Weights Returns'!$B$9:$BJ$69))+1,MOD(ROW(A1570)-1,COLUMNS('Portfolio Weights Returns'!$B$9:$BJ$69))+1)</f>
        <v>-7.3224845395113093E-4</v>
      </c>
      <c r="B1571" cm="1">
        <f t="array" ref="B1571">INDEX('Portfolio Weights Std'!$B$9:$BJ$69,INT((ROW(A1570)-1)/COLUMNS('Portfolio Weights Std'!$B$9:$BJ$69))+1,MOD(ROW(A1570)-1,COLUMNS('Portfolio Weights Std'!$B$9:$BJ$69))+1)</f>
        <v>1.7839233343228247E-2</v>
      </c>
    </row>
    <row r="1572" spans="1:2" x14ac:dyDescent="0.25">
      <c r="A1572" cm="1">
        <f t="array" ref="A1572">INDEX('Portfolio Weights Returns'!$B$9:$BJ$69,
INT((ROW(A1571)-1)/COLUMNS('Portfolio Weights Returns'!$B$9:$BJ$69))+1,MOD(ROW(A1571)-1,COLUMNS('Portfolio Weights Returns'!$B$9:$BJ$69))+1)</f>
        <v>-7.2546727998445179E-4</v>
      </c>
      <c r="B1572" cm="1">
        <f t="array" ref="B1572">INDEX('Portfolio Weights Std'!$B$9:$BJ$69,INT((ROW(A1571)-1)/COLUMNS('Portfolio Weights Std'!$B$9:$BJ$69))+1,MOD(ROW(A1571)-1,COLUMNS('Portfolio Weights Std'!$B$9:$BJ$69))+1)</f>
        <v>1.7710444672790333E-2</v>
      </c>
    </row>
    <row r="1573" spans="1:2" x14ac:dyDescent="0.25">
      <c r="A1573" cm="1">
        <f t="array" ref="A1573">INDEX('Portfolio Weights Returns'!$B$9:$BJ$69,
INT((ROW(A1572)-1)/COLUMNS('Portfolio Weights Returns'!$B$9:$BJ$69))+1,MOD(ROW(A1572)-1,COLUMNS('Portfolio Weights Returns'!$B$9:$BJ$69))+1)</f>
        <v>-7.1868610601777264E-4</v>
      </c>
      <c r="B1573" cm="1">
        <f t="array" ref="B1573">INDEX('Portfolio Weights Std'!$B$9:$BJ$69,INT((ROW(A1572)-1)/COLUMNS('Portfolio Weights Std'!$B$9:$BJ$69))+1,MOD(ROW(A1572)-1,COLUMNS('Portfolio Weights Std'!$B$9:$BJ$69))+1)</f>
        <v>1.7583346114961013E-2</v>
      </c>
    </row>
    <row r="1574" spans="1:2" x14ac:dyDescent="0.25">
      <c r="A1574" cm="1">
        <f t="array" ref="A1574">INDEX('Portfolio Weights Returns'!$B$9:$BJ$69,
INT((ROW(A1573)-1)/COLUMNS('Portfolio Weights Returns'!$B$9:$BJ$69))+1,MOD(ROW(A1573)-1,COLUMNS('Portfolio Weights Returns'!$B$9:$BJ$69))+1)</f>
        <v>-7.1190493205109361E-4</v>
      </c>
      <c r="B1574" cm="1">
        <f t="array" ref="B1574">INDEX('Portfolio Weights Std'!$B$9:$BJ$69,INT((ROW(A1573)-1)/COLUMNS('Portfolio Weights Std'!$B$9:$BJ$69))+1,MOD(ROW(A1573)-1,COLUMNS('Portfolio Weights Std'!$B$9:$BJ$69))+1)</f>
        <v>1.7457974583146452E-2</v>
      </c>
    </row>
    <row r="1575" spans="1:2" x14ac:dyDescent="0.25">
      <c r="A1575" cm="1">
        <f t="array" ref="A1575">INDEX('Portfolio Weights Returns'!$B$9:$BJ$69,
INT((ROW(A1574)-1)/COLUMNS('Portfolio Weights Returns'!$B$9:$BJ$69))+1,MOD(ROW(A1574)-1,COLUMNS('Portfolio Weights Returns'!$B$9:$BJ$69))+1)</f>
        <v>-7.0512375808441457E-4</v>
      </c>
      <c r="B1575" cm="1">
        <f t="array" ref="B1575">INDEX('Portfolio Weights Std'!$B$9:$BJ$69,INT((ROW(A1574)-1)/COLUMNS('Portfolio Weights Std'!$B$9:$BJ$69))+1,MOD(ROW(A1574)-1,COLUMNS('Portfolio Weights Std'!$B$9:$BJ$69))+1)</f>
        <v>1.7334367549748864E-2</v>
      </c>
    </row>
    <row r="1576" spans="1:2" x14ac:dyDescent="0.25">
      <c r="A1576" cm="1">
        <f t="array" ref="A1576">INDEX('Portfolio Weights Returns'!$B$9:$BJ$69,
INT((ROW(A1575)-1)/COLUMNS('Portfolio Weights Returns'!$B$9:$BJ$69))+1,MOD(ROW(A1575)-1,COLUMNS('Portfolio Weights Returns'!$B$9:$BJ$69))+1)</f>
        <v>-6.9834258411773553E-4</v>
      </c>
      <c r="B1576" cm="1">
        <f t="array" ref="B1576">INDEX('Portfolio Weights Std'!$B$9:$BJ$69,INT((ROW(A1575)-1)/COLUMNS('Portfolio Weights Std'!$B$9:$BJ$69))+1,MOD(ROW(A1575)-1,COLUMNS('Portfolio Weights Std'!$B$9:$BJ$69))+1)</f>
        <v>1.7212563028512377E-2</v>
      </c>
    </row>
    <row r="1577" spans="1:2" x14ac:dyDescent="0.25">
      <c r="A1577" cm="1">
        <f t="array" ref="A1577">INDEX('Portfolio Weights Returns'!$B$9:$BJ$69,
INT((ROW(A1576)-1)/COLUMNS('Portfolio Weights Returns'!$B$9:$BJ$69))+1,MOD(ROW(A1576)-1,COLUMNS('Portfolio Weights Returns'!$B$9:$BJ$69))+1)</f>
        <v>-6.9156141015105628E-4</v>
      </c>
      <c r="B1577" cm="1">
        <f t="array" ref="B1577">INDEX('Portfolio Weights Std'!$B$9:$BJ$69,INT((ROW(A1576)-1)/COLUMNS('Portfolio Weights Std'!$B$9:$BJ$69))+1,MOD(ROW(A1576)-1,COLUMNS('Portfolio Weights Std'!$B$9:$BJ$69))+1)</f>
        <v>1.7092599554425946E-2</v>
      </c>
    </row>
    <row r="1578" spans="1:2" x14ac:dyDescent="0.25">
      <c r="A1578" cm="1">
        <f t="array" ref="A1578">INDEX('Portfolio Weights Returns'!$B$9:$BJ$69,
INT((ROW(A1577)-1)/COLUMNS('Portfolio Weights Returns'!$B$9:$BJ$69))+1,MOD(ROW(A1577)-1,COLUMNS('Portfolio Weights Returns'!$B$9:$BJ$69))+1)</f>
        <v>-6.8478023618437724E-4</v>
      </c>
      <c r="B1578" cm="1">
        <f t="array" ref="B1578">INDEX('Portfolio Weights Std'!$B$9:$BJ$69,INT((ROW(A1577)-1)/COLUMNS('Portfolio Weights Std'!$B$9:$BJ$69))+1,MOD(ROW(A1577)-1,COLUMNS('Portfolio Weights Std'!$B$9:$BJ$69))+1)</f>
        <v>1.6974516161061517E-2</v>
      </c>
    </row>
    <row r="1579" spans="1:2" x14ac:dyDescent="0.25">
      <c r="A1579" cm="1">
        <f t="array" ref="A1579">INDEX('Portfolio Weights Returns'!$B$9:$BJ$69,
INT((ROW(A1578)-1)/COLUMNS('Portfolio Weights Returns'!$B$9:$BJ$69))+1,MOD(ROW(A1578)-1,COLUMNS('Portfolio Weights Returns'!$B$9:$BJ$69))+1)</f>
        <v>-6.779990622176981E-4</v>
      </c>
      <c r="B1579" cm="1">
        <f t="array" ref="B1579">INDEX('Portfolio Weights Std'!$B$9:$BJ$69,INT((ROW(A1578)-1)/COLUMNS('Portfolio Weights Std'!$B$9:$BJ$69))+1,MOD(ROW(A1578)-1,COLUMNS('Portfolio Weights Std'!$B$9:$BJ$69))+1)</f>
        <v>1.6858352355228586E-2</v>
      </c>
    </row>
    <row r="1580" spans="1:2" x14ac:dyDescent="0.25">
      <c r="A1580" cm="1">
        <f t="array" ref="A1580">INDEX('Portfolio Weights Returns'!$B$9:$BJ$69,
INT((ROW(A1579)-1)/COLUMNS('Portfolio Weights Returns'!$B$9:$BJ$69))+1,MOD(ROW(A1579)-1,COLUMNS('Portfolio Weights Returns'!$B$9:$BJ$69))+1)</f>
        <v>-6.7121788825101896E-4</v>
      </c>
      <c r="B1580" cm="1">
        <f t="array" ref="B1580">INDEX('Portfolio Weights Std'!$B$9:$BJ$69,INT((ROW(A1579)-1)/COLUMNS('Portfolio Weights Std'!$B$9:$BJ$69))+1,MOD(ROW(A1579)-1,COLUMNS('Portfolio Weights Std'!$B$9:$BJ$69))+1)</f>
        <v>1.6744148088830013E-2</v>
      </c>
    </row>
    <row r="1581" spans="1:2" x14ac:dyDescent="0.25">
      <c r="A1581" cm="1">
        <f t="array" ref="A1581">INDEX('Portfolio Weights Returns'!$B$9:$BJ$69,
INT((ROW(A1580)-1)/COLUMNS('Portfolio Weights Returns'!$B$9:$BJ$69))+1,MOD(ROW(A1580)-1,COLUMNS('Portfolio Weights Returns'!$B$9:$BJ$69))+1)</f>
        <v>-6.6443671428433992E-4</v>
      </c>
      <c r="B1581" cm="1">
        <f t="array" ref="B1581">INDEX('Portfolio Weights Std'!$B$9:$BJ$69,INT((ROW(A1580)-1)/COLUMNS('Portfolio Weights Std'!$B$9:$BJ$69))+1,MOD(ROW(A1580)-1,COLUMNS('Portfolio Weights Std'!$B$9:$BJ$69))+1)</f>
        <v>1.6631943727809573E-2</v>
      </c>
    </row>
    <row r="1582" spans="1:2" x14ac:dyDescent="0.25">
      <c r="A1582" cm="1">
        <f t="array" ref="A1582">INDEX('Portfolio Weights Returns'!$B$9:$BJ$69,
INT((ROW(A1581)-1)/COLUMNS('Portfolio Weights Returns'!$B$9:$BJ$69))+1,MOD(ROW(A1581)-1,COLUMNS('Portfolio Weights Returns'!$B$9:$BJ$69))+1)</f>
        <v>-6.5765554031766078E-4</v>
      </c>
      <c r="B1582" cm="1">
        <f t="array" ref="B1582">INDEX('Portfolio Weights Std'!$B$9:$BJ$69,INT((ROW(A1581)-1)/COLUMNS('Portfolio Weights Std'!$B$9:$BJ$69))+1,MOD(ROW(A1581)-1,COLUMNS('Portfolio Weights Std'!$B$9:$BJ$69))+1)</f>
        <v>1.6521780018088385E-2</v>
      </c>
    </row>
    <row r="1583" spans="1:2" x14ac:dyDescent="0.25">
      <c r="A1583" cm="1">
        <f t="array" ref="A1583">INDEX('Portfolio Weights Returns'!$B$9:$BJ$69,
INT((ROW(A1582)-1)/COLUMNS('Portfolio Weights Returns'!$B$9:$BJ$69))+1,MOD(ROW(A1582)-1,COLUMNS('Portfolio Weights Returns'!$B$9:$BJ$69))+1)</f>
        <v>-6.5087436635098174E-4</v>
      </c>
      <c r="B1583" cm="1">
        <f t="array" ref="B1583">INDEX('Portfolio Weights Std'!$B$9:$BJ$69,INT((ROW(A1582)-1)/COLUMNS('Portfolio Weights Std'!$B$9:$BJ$69))+1,MOD(ROW(A1582)-1,COLUMNS('Portfolio Weights Std'!$B$9:$BJ$69))+1)</f>
        <v>1.6413698048395764E-2</v>
      </c>
    </row>
    <row r="1584" spans="1:2" x14ac:dyDescent="0.25">
      <c r="A1584" cm="1">
        <f t="array" ref="A1584">INDEX('Portfolio Weights Returns'!$B$9:$BJ$69,
INT((ROW(A1583)-1)/COLUMNS('Portfolio Weights Returns'!$B$9:$BJ$69))+1,MOD(ROW(A1583)-1,COLUMNS('Portfolio Weights Returns'!$B$9:$BJ$69))+1)</f>
        <v>-6.4409319238430184E-4</v>
      </c>
      <c r="B1584" cm="1">
        <f t="array" ref="B1584">INDEX('Portfolio Weights Std'!$B$9:$BJ$69,INT((ROW(A1583)-1)/COLUMNS('Portfolio Weights Std'!$B$9:$BJ$69))+1,MOD(ROW(A1583)-1,COLUMNS('Portfolio Weights Std'!$B$9:$BJ$69))+1)</f>
        <v>1.6307739209910212E-2</v>
      </c>
    </row>
    <row r="1585" spans="1:2" x14ac:dyDescent="0.25">
      <c r="A1585" cm="1">
        <f t="array" ref="A1585">INDEX('Portfolio Weights Returns'!$B$9:$BJ$69,
INT((ROW(A1584)-1)/COLUMNS('Portfolio Weights Returns'!$B$9:$BJ$69))+1,MOD(ROW(A1584)-1,COLUMNS('Portfolio Weights Returns'!$B$9:$BJ$69))+1)</f>
        <v>-6.373120184176228E-4</v>
      </c>
      <c r="B1585" cm="1">
        <f t="array" ref="B1585">INDEX('Portfolio Weights Std'!$B$9:$BJ$69,INT((ROW(A1584)-1)/COLUMNS('Portfolio Weights Std'!$B$9:$BJ$69))+1,MOD(ROW(A1584)-1,COLUMNS('Portfolio Weights Std'!$B$9:$BJ$69))+1)</f>
        <v>1.6203945152638018E-2</v>
      </c>
    </row>
    <row r="1586" spans="1:2" x14ac:dyDescent="0.25">
      <c r="A1586" cm="1">
        <f t="array" ref="A1586">INDEX('Portfolio Weights Returns'!$B$9:$BJ$69,
INT((ROW(A1585)-1)/COLUMNS('Portfolio Weights Returns'!$B$9:$BJ$69))+1,MOD(ROW(A1585)-1,COLUMNS('Portfolio Weights Returns'!$B$9:$BJ$69))+1)</f>
        <v>-6.3053084445094376E-4</v>
      </c>
      <c r="B1586" cm="1">
        <f t="array" ref="B1586">INDEX('Portfolio Weights Std'!$B$9:$BJ$69,INT((ROW(A1585)-1)/COLUMNS('Portfolio Weights Std'!$B$9:$BJ$69))+1,MOD(ROW(A1585)-1,COLUMNS('Portfolio Weights Std'!$B$9:$BJ$69))+1)</f>
        <v>1.610235773847064E-2</v>
      </c>
    </row>
    <row r="1587" spans="1:2" x14ac:dyDescent="0.25">
      <c r="A1587" cm="1">
        <f t="array" ref="A1587">INDEX('Portfolio Weights Returns'!$B$9:$BJ$69,
INT((ROW(A1586)-1)/COLUMNS('Portfolio Weights Returns'!$B$9:$BJ$69))+1,MOD(ROW(A1586)-1,COLUMNS('Portfolio Weights Returns'!$B$9:$BJ$69))+1)</f>
        <v>-6.2374967048426462E-4</v>
      </c>
      <c r="B1587" cm="1">
        <f t="array" ref="B1587">INDEX('Portfolio Weights Std'!$B$9:$BJ$69,INT((ROW(A1586)-1)/COLUMNS('Portfolio Weights Std'!$B$9:$BJ$69))+1,MOD(ROW(A1586)-1,COLUMNS('Portfolio Weights Std'!$B$9:$BJ$69))+1)</f>
        <v>1.6003018990877794E-2</v>
      </c>
    </row>
    <row r="1588" spans="1:2" x14ac:dyDescent="0.25">
      <c r="A1588" cm="1">
        <f t="array" ref="A1588">INDEX('Portfolio Weights Returns'!$B$9:$BJ$69,
INT((ROW(A1587)-1)/COLUMNS('Portfolio Weights Returns'!$B$9:$BJ$69))+1,MOD(ROW(A1587)-1,COLUMNS('Portfolio Weights Returns'!$B$9:$BJ$69))+1)</f>
        <v>-1.0240459006395565E-3</v>
      </c>
      <c r="B1588" cm="1">
        <f t="array" ref="B1588">INDEX('Portfolio Weights Std'!$B$9:$BJ$69,INT((ROW(A1587)-1)/COLUMNS('Portfolio Weights Std'!$B$9:$BJ$69))+1,MOD(ROW(A1587)-1,COLUMNS('Portfolio Weights Std'!$B$9:$BJ$69))+1)</f>
        <v>2.4563160870588133E-2</v>
      </c>
    </row>
    <row r="1589" spans="1:2" x14ac:dyDescent="0.25">
      <c r="A1589" cm="1">
        <f t="array" ref="A1589">INDEX('Portfolio Weights Returns'!$B$9:$BJ$69,
INT((ROW(A1588)-1)/COLUMNS('Portfolio Weights Returns'!$B$9:$BJ$69))+1,MOD(ROW(A1588)-1,COLUMNS('Portfolio Weights Returns'!$B$9:$BJ$69))+1)</f>
        <v>-1.0172647266728774E-3</v>
      </c>
      <c r="B1589" cm="1">
        <f t="array" ref="B1589">INDEX('Portfolio Weights Std'!$B$9:$BJ$69,INT((ROW(A1588)-1)/COLUMNS('Portfolio Weights Std'!$B$9:$BJ$69))+1,MOD(ROW(A1588)-1,COLUMNS('Portfolio Weights Std'!$B$9:$BJ$69))+1)</f>
        <v>2.4387947989919685E-2</v>
      </c>
    </row>
    <row r="1590" spans="1:2" x14ac:dyDescent="0.25">
      <c r="A1590" cm="1">
        <f t="array" ref="A1590">INDEX('Portfolio Weights Returns'!$B$9:$BJ$69,
INT((ROW(A1589)-1)/COLUMNS('Portfolio Weights Returns'!$B$9:$BJ$69))+1,MOD(ROW(A1589)-1,COLUMNS('Portfolio Weights Returns'!$B$9:$BJ$69))+1)</f>
        <v>-1.0104835527061983E-3</v>
      </c>
      <c r="B1590" cm="1">
        <f t="array" ref="B1590">INDEX('Portfolio Weights Std'!$B$9:$BJ$69,INT((ROW(A1589)-1)/COLUMNS('Portfolio Weights Std'!$B$9:$BJ$69))+1,MOD(ROW(A1589)-1,COLUMNS('Portfolio Weights Std'!$B$9:$BJ$69))+1)</f>
        <v>2.4213379529103095E-2</v>
      </c>
    </row>
    <row r="1591" spans="1:2" x14ac:dyDescent="0.25">
      <c r="A1591" cm="1">
        <f t="array" ref="A1591">INDEX('Portfolio Weights Returns'!$B$9:$BJ$69,
INT((ROW(A1590)-1)/COLUMNS('Portfolio Weights Returns'!$B$9:$BJ$69))+1,MOD(ROW(A1590)-1,COLUMNS('Portfolio Weights Returns'!$B$9:$BJ$69))+1)</f>
        <v>-1.0037023787395189E-3</v>
      </c>
      <c r="B1591" cm="1">
        <f t="array" ref="B1591">INDEX('Portfolio Weights Std'!$B$9:$BJ$69,INT((ROW(A1590)-1)/COLUMNS('Portfolio Weights Std'!$B$9:$BJ$69))+1,MOD(ROW(A1590)-1,COLUMNS('Portfolio Weights Std'!$B$9:$BJ$69))+1)</f>
        <v>2.4039469526977417E-2</v>
      </c>
    </row>
    <row r="1592" spans="1:2" x14ac:dyDescent="0.25">
      <c r="A1592" cm="1">
        <f t="array" ref="A1592">INDEX('Portfolio Weights Returns'!$B$9:$BJ$69,
INT((ROW(A1591)-1)/COLUMNS('Portfolio Weights Returns'!$B$9:$BJ$69))+1,MOD(ROW(A1591)-1,COLUMNS('Portfolio Weights Returns'!$B$9:$BJ$69))+1)</f>
        <v>-9.9692120477283975E-4</v>
      </c>
      <c r="B1592" cm="1">
        <f t="array" ref="B1592">INDEX('Portfolio Weights Std'!$B$9:$BJ$69,INT((ROW(A1591)-1)/COLUMNS('Portfolio Weights Std'!$B$9:$BJ$69))+1,MOD(ROW(A1591)-1,COLUMNS('Portfolio Weights Std'!$B$9:$BJ$69))+1)</f>
        <v>2.3866232377844836E-2</v>
      </c>
    </row>
    <row r="1593" spans="1:2" x14ac:dyDescent="0.25">
      <c r="A1593" cm="1">
        <f t="array" ref="A1593">INDEX('Portfolio Weights Returns'!$B$9:$BJ$69,
INT((ROW(A1592)-1)/COLUMNS('Portfolio Weights Returns'!$B$9:$BJ$69))+1,MOD(ROW(A1592)-1,COLUMNS('Portfolio Weights Returns'!$B$9:$BJ$69))+1)</f>
        <v>-9.9014003080616082E-4</v>
      </c>
      <c r="B1593" cm="1">
        <f t="array" ref="B1593">INDEX('Portfolio Weights Std'!$B$9:$BJ$69,INT((ROW(A1592)-1)/COLUMNS('Portfolio Weights Std'!$B$9:$BJ$69))+1,MOD(ROW(A1592)-1,COLUMNS('Portfolio Weights Std'!$B$9:$BJ$69))+1)</f>
        <v>2.3693682840470964E-2</v>
      </c>
    </row>
    <row r="1594" spans="1:2" x14ac:dyDescent="0.25">
      <c r="A1594" cm="1">
        <f t="array" ref="A1594">INDEX('Portfolio Weights Returns'!$B$9:$BJ$69,
INT((ROW(A1593)-1)/COLUMNS('Portfolio Weights Returns'!$B$9:$BJ$69))+1,MOD(ROW(A1593)-1,COLUMNS('Portfolio Weights Returns'!$B$9:$BJ$69))+1)</f>
        <v>-9.8335885683948168E-4</v>
      </c>
      <c r="B1594" cm="1">
        <f t="array" ref="B1594">INDEX('Portfolio Weights Std'!$B$9:$BJ$69,INT((ROW(A1593)-1)/COLUMNS('Portfolio Weights Std'!$B$9:$BJ$69))+1,MOD(ROW(A1593)-1,COLUMNS('Portfolio Weights Std'!$B$9:$BJ$69))+1)</f>
        <v>2.3521836047236903E-2</v>
      </c>
    </row>
    <row r="1595" spans="1:2" x14ac:dyDescent="0.25">
      <c r="A1595" cm="1">
        <f t="array" ref="A1595">INDEX('Portfolio Weights Returns'!$B$9:$BJ$69,
INT((ROW(A1594)-1)/COLUMNS('Portfolio Weights Returns'!$B$9:$BJ$69))+1,MOD(ROW(A1594)-1,COLUMNS('Portfolio Weights Returns'!$B$9:$BJ$69))+1)</f>
        <v>-9.7657768287280253E-4</v>
      </c>
      <c r="B1595" cm="1">
        <f t="array" ref="B1595">INDEX('Portfolio Weights Std'!$B$9:$BJ$69,INT((ROW(A1594)-1)/COLUMNS('Portfolio Weights Std'!$B$9:$BJ$69))+1,MOD(ROW(A1594)-1,COLUMNS('Portfolio Weights Std'!$B$9:$BJ$69))+1)</f>
        <v>2.335070751343702E-2</v>
      </c>
    </row>
    <row r="1596" spans="1:2" x14ac:dyDescent="0.25">
      <c r="A1596" cm="1">
        <f t="array" ref="A1596">INDEX('Portfolio Weights Returns'!$B$9:$BJ$69,
INT((ROW(A1595)-1)/COLUMNS('Portfolio Weights Returns'!$B$9:$BJ$69))+1,MOD(ROW(A1595)-1,COLUMNS('Portfolio Weights Returns'!$B$9:$BJ$69))+1)</f>
        <v>-9.697965089061235E-4</v>
      </c>
      <c r="B1596" cm="1">
        <f t="array" ref="B1596">INDEX('Portfolio Weights Std'!$B$9:$BJ$69,INT((ROW(A1595)-1)/COLUMNS('Portfolio Weights Std'!$B$9:$BJ$69))+1,MOD(ROW(A1595)-1,COLUMNS('Portfolio Weights Std'!$B$9:$BJ$69))+1)</f>
        <v>2.3180313146715713E-2</v>
      </c>
    </row>
    <row r="1597" spans="1:2" x14ac:dyDescent="0.25">
      <c r="A1597" cm="1">
        <f t="array" ref="A1597">INDEX('Portfolio Weights Returns'!$B$9:$BJ$69,
INT((ROW(A1596)-1)/COLUMNS('Portfolio Weights Returns'!$B$9:$BJ$69))+1,MOD(ROW(A1596)-1,COLUMNS('Portfolio Weights Returns'!$B$9:$BJ$69))+1)</f>
        <v>-9.6301533493944435E-4</v>
      </c>
      <c r="B1597" cm="1">
        <f t="array" ref="B1597">INDEX('Portfolio Weights Std'!$B$9:$BJ$69,INT((ROW(A1596)-1)/COLUMNS('Portfolio Weights Std'!$B$9:$BJ$69))+1,MOD(ROW(A1596)-1,COLUMNS('Portfolio Weights Std'!$B$9:$BJ$69))+1)</f>
        <v>2.3010669256634926E-2</v>
      </c>
    </row>
    <row r="1598" spans="1:2" x14ac:dyDescent="0.25">
      <c r="A1598" cm="1">
        <f t="array" ref="A1598">INDEX('Portfolio Weights Returns'!$B$9:$BJ$69,
INT((ROW(A1597)-1)/COLUMNS('Portfolio Weights Returns'!$B$9:$BJ$69))+1,MOD(ROW(A1597)-1,COLUMNS('Portfolio Weights Returns'!$B$9:$BJ$69))+1)</f>
        <v>-9.5623416097276532E-4</v>
      </c>
      <c r="B1598" cm="1">
        <f t="array" ref="B1598">INDEX('Portfolio Weights Std'!$B$9:$BJ$69,INT((ROW(A1597)-1)/COLUMNS('Portfolio Weights Std'!$B$9:$BJ$69))+1,MOD(ROW(A1597)-1,COLUMNS('Portfolio Weights Std'!$B$9:$BJ$69))+1)</f>
        <v>2.2841792564363521E-2</v>
      </c>
    </row>
    <row r="1599" spans="1:2" x14ac:dyDescent="0.25">
      <c r="A1599" cm="1">
        <f t="array" ref="A1599">INDEX('Portfolio Weights Returns'!$B$9:$BJ$69,
INT((ROW(A1598)-1)/COLUMNS('Portfolio Weights Returns'!$B$9:$BJ$69))+1,MOD(ROW(A1598)-1,COLUMNS('Portfolio Weights Returns'!$B$9:$BJ$69))+1)</f>
        <v>-9.4945298700608617E-4</v>
      </c>
      <c r="B1599" cm="1">
        <f t="array" ref="B1599">INDEX('Portfolio Weights Std'!$B$9:$BJ$69,INT((ROW(A1598)-1)/COLUMNS('Portfolio Weights Std'!$B$9:$BJ$69))+1,MOD(ROW(A1598)-1,COLUMNS('Portfolio Weights Std'!$B$9:$BJ$69))+1)</f>
        <v>2.267370021247761E-2</v>
      </c>
    </row>
    <row r="1600" spans="1:2" x14ac:dyDescent="0.25">
      <c r="A1600" cm="1">
        <f t="array" ref="A1600">INDEX('Portfolio Weights Returns'!$B$9:$BJ$69,
INT((ROW(A1599)-1)/COLUMNS('Portfolio Weights Returns'!$B$9:$BJ$69))+1,MOD(ROW(A1599)-1,COLUMNS('Portfolio Weights Returns'!$B$9:$BJ$69))+1)</f>
        <v>-9.4267181303940703E-4</v>
      </c>
      <c r="B1600" cm="1">
        <f t="array" ref="B1600">INDEX('Portfolio Weights Std'!$B$9:$BJ$69,INT((ROW(A1599)-1)/COLUMNS('Portfolio Weights Std'!$B$9:$BJ$69))+1,MOD(ROW(A1599)-1,COLUMNS('Portfolio Weights Std'!$B$9:$BJ$69))+1)</f>
        <v>2.2506409774860316E-2</v>
      </c>
    </row>
    <row r="1601" spans="1:2" x14ac:dyDescent="0.25">
      <c r="A1601" cm="1">
        <f t="array" ref="A1601">INDEX('Portfolio Weights Returns'!$B$9:$BJ$69,
INT((ROW(A1600)-1)/COLUMNS('Portfolio Weights Returns'!$B$9:$BJ$69))+1,MOD(ROW(A1600)-1,COLUMNS('Portfolio Weights Returns'!$B$9:$BJ$69))+1)</f>
        <v>-9.3589063907272788E-4</v>
      </c>
      <c r="B1601" cm="1">
        <f t="array" ref="B1601">INDEX('Portfolio Weights Std'!$B$9:$BJ$69,INT((ROW(A1600)-1)/COLUMNS('Portfolio Weights Std'!$B$9:$BJ$69))+1,MOD(ROW(A1600)-1,COLUMNS('Portfolio Weights Std'!$B$9:$BJ$69))+1)</f>
        <v>2.2339939266687245E-2</v>
      </c>
    </row>
    <row r="1602" spans="1:2" x14ac:dyDescent="0.25">
      <c r="A1602" cm="1">
        <f t="array" ref="A1602">INDEX('Portfolio Weights Returns'!$B$9:$BJ$69,
INT((ROW(A1601)-1)/COLUMNS('Portfolio Weights Returns'!$B$9:$BJ$69))+1,MOD(ROW(A1601)-1,COLUMNS('Portfolio Weights Returns'!$B$9:$BJ$69))+1)</f>
        <v>-9.2910946510604874E-4</v>
      </c>
      <c r="B1602" cm="1">
        <f t="array" ref="B1602">INDEX('Portfolio Weights Std'!$B$9:$BJ$69,INT((ROW(A1601)-1)/COLUMNS('Portfolio Weights Std'!$B$9:$BJ$69))+1,MOD(ROW(A1601)-1,COLUMNS('Portfolio Weights Std'!$B$9:$BJ$69))+1)</f>
        <v>2.2174307154482799E-2</v>
      </c>
    </row>
    <row r="1603" spans="1:2" x14ac:dyDescent="0.25">
      <c r="A1603" cm="1">
        <f t="array" ref="A1603">INDEX('Portfolio Weights Returns'!$B$9:$BJ$69,
INT((ROW(A1602)-1)/COLUMNS('Portfolio Weights Returns'!$B$9:$BJ$69))+1,MOD(ROW(A1602)-1,COLUMNS('Portfolio Weights Returns'!$B$9:$BJ$69))+1)</f>
        <v>-9.223282911393697E-4</v>
      </c>
      <c r="B1603" cm="1">
        <f t="array" ref="B1603">INDEX('Portfolio Weights Std'!$B$9:$BJ$69,INT((ROW(A1602)-1)/COLUMNS('Portfolio Weights Std'!$B$9:$BJ$69))+1,MOD(ROW(A1602)-1,COLUMNS('Portfolio Weights Std'!$B$9:$BJ$69))+1)</f>
        <v>2.2009532366230444E-2</v>
      </c>
    </row>
    <row r="1604" spans="1:2" x14ac:dyDescent="0.25">
      <c r="A1604" cm="1">
        <f t="array" ref="A1604">INDEX('Portfolio Weights Returns'!$B$9:$BJ$69,
INT((ROW(A1603)-1)/COLUMNS('Portfolio Weights Returns'!$B$9:$BJ$69))+1,MOD(ROW(A1603)-1,COLUMNS('Portfolio Weights Returns'!$B$9:$BJ$69))+1)</f>
        <v>-9.1554711717269077E-4</v>
      </c>
      <c r="B1604" cm="1">
        <f t="array" ref="B1604">INDEX('Portfolio Weights Std'!$B$9:$BJ$69,INT((ROW(A1603)-1)/COLUMNS('Portfolio Weights Std'!$B$9:$BJ$69))+1,MOD(ROW(A1603)-1,COLUMNS('Portfolio Weights Std'!$B$9:$BJ$69))+1)</f>
        <v>2.1845634301518226E-2</v>
      </c>
    </row>
    <row r="1605" spans="1:2" x14ac:dyDescent="0.25">
      <c r="A1605" cm="1">
        <f t="array" ref="A1605">INDEX('Portfolio Weights Returns'!$B$9:$BJ$69,
INT((ROW(A1604)-1)/COLUMNS('Portfolio Weights Returns'!$B$9:$BJ$69))+1,MOD(ROW(A1604)-1,COLUMNS('Portfolio Weights Returns'!$B$9:$BJ$69))+1)</f>
        <v>-9.0876594320601152E-4</v>
      </c>
      <c r="B1605" cm="1">
        <f t="array" ref="B1605">INDEX('Portfolio Weights Std'!$B$9:$BJ$69,INT((ROW(A1604)-1)/COLUMNS('Portfolio Weights Std'!$B$9:$BJ$69))+1,MOD(ROW(A1604)-1,COLUMNS('Portfolio Weights Std'!$B$9:$BJ$69))+1)</f>
        <v>2.1682632841698905E-2</v>
      </c>
    </row>
    <row r="1606" spans="1:2" x14ac:dyDescent="0.25">
      <c r="A1606" cm="1">
        <f t="array" ref="A1606">INDEX('Portfolio Weights Returns'!$B$9:$BJ$69,
INT((ROW(A1605)-1)/COLUMNS('Portfolio Weights Returns'!$B$9:$BJ$69))+1,MOD(ROW(A1605)-1,COLUMNS('Portfolio Weights Returns'!$B$9:$BJ$69))+1)</f>
        <v>-9.0198476923933249E-4</v>
      </c>
      <c r="B1606" cm="1">
        <f t="array" ref="B1606">INDEX('Portfolio Weights Std'!$B$9:$BJ$69,INT((ROW(A1605)-1)/COLUMNS('Portfolio Weights Std'!$B$9:$BJ$69))+1,MOD(ROW(A1605)-1,COLUMNS('Portfolio Weights Std'!$B$9:$BJ$69))+1)</f>
        <v>2.1520548360041768E-2</v>
      </c>
    </row>
    <row r="1607" spans="1:2" x14ac:dyDescent="0.25">
      <c r="A1607" cm="1">
        <f t="array" ref="A1607">INDEX('Portfolio Weights Returns'!$B$9:$BJ$69,
INT((ROW(A1606)-1)/COLUMNS('Portfolio Weights Returns'!$B$9:$BJ$69))+1,MOD(ROW(A1606)-1,COLUMNS('Portfolio Weights Returns'!$B$9:$BJ$69))+1)</f>
        <v>-8.9520359527265345E-4</v>
      </c>
      <c r="B1607" cm="1">
        <f t="array" ref="B1607">INDEX('Portfolio Weights Std'!$B$9:$BJ$69,INT((ROW(A1606)-1)/COLUMNS('Portfolio Weights Std'!$B$9:$BJ$69))+1,MOD(ROW(A1606)-1,COLUMNS('Portfolio Weights Std'!$B$9:$BJ$69))+1)</f>
        <v>2.1359401731850976E-2</v>
      </c>
    </row>
    <row r="1608" spans="1:2" x14ac:dyDescent="0.25">
      <c r="A1608" cm="1">
        <f t="array" ref="A1608">INDEX('Portfolio Weights Returns'!$B$9:$BJ$69,
INT((ROW(A1607)-1)/COLUMNS('Portfolio Weights Returns'!$B$9:$BJ$69))+1,MOD(ROW(A1607)-1,COLUMNS('Portfolio Weights Returns'!$B$9:$BJ$69))+1)</f>
        <v>-8.8842242130597431E-4</v>
      </c>
      <c r="B1608" cm="1">
        <f t="array" ref="B1608">INDEX('Portfolio Weights Std'!$B$9:$BJ$69,INT((ROW(A1607)-1)/COLUMNS('Portfolio Weights Std'!$B$9:$BJ$69))+1,MOD(ROW(A1607)-1,COLUMNS('Portfolio Weights Std'!$B$9:$BJ$69))+1)</f>
        <v>2.1199214344522925E-2</v>
      </c>
    </row>
    <row r="1609" spans="1:2" x14ac:dyDescent="0.25">
      <c r="A1609" cm="1">
        <f t="array" ref="A1609">INDEX('Portfolio Weights Returns'!$B$9:$BJ$69,
INT((ROW(A1608)-1)/COLUMNS('Portfolio Weights Returns'!$B$9:$BJ$69))+1,MOD(ROW(A1608)-1,COLUMNS('Portfolio Weights Returns'!$B$9:$BJ$69))+1)</f>
        <v>-8.8164124733929516E-4</v>
      </c>
      <c r="B1609" cm="1">
        <f t="array" ref="B1609">INDEX('Portfolio Weights Std'!$B$9:$BJ$69,INT((ROW(A1608)-1)/COLUMNS('Portfolio Weights Std'!$B$9:$BJ$69))+1,MOD(ROW(A1608)-1,COLUMNS('Portfolio Weights Std'!$B$9:$BJ$69))+1)</f>
        <v>2.1040008107512234E-2</v>
      </c>
    </row>
    <row r="1610" spans="1:2" x14ac:dyDescent="0.25">
      <c r="A1610" cm="1">
        <f t="array" ref="A1610">INDEX('Portfolio Weights Returns'!$B$9:$BJ$69,
INT((ROW(A1609)-1)/COLUMNS('Portfolio Weights Returns'!$B$9:$BJ$69))+1,MOD(ROW(A1609)-1,COLUMNS('Portfolio Weights Returns'!$B$9:$BJ$69))+1)</f>
        <v>-8.7486007337261612E-4</v>
      </c>
      <c r="B1610" cm="1">
        <f t="array" ref="B1610">INDEX('Portfolio Weights Std'!$B$9:$BJ$69,INT((ROW(A1609)-1)/COLUMNS('Portfolio Weights Std'!$B$9:$BJ$69))+1,MOD(ROW(A1609)-1,COLUMNS('Portfolio Weights Std'!$B$9:$BJ$69))+1)</f>
        <v>2.0881805462173535E-2</v>
      </c>
    </row>
    <row r="1611" spans="1:2" x14ac:dyDescent="0.25">
      <c r="A1611" cm="1">
        <f t="array" ref="A1611">INDEX('Portfolio Weights Returns'!$B$9:$BJ$69,
INT((ROW(A1610)-1)/COLUMNS('Portfolio Weights Returns'!$B$9:$BJ$69))+1,MOD(ROW(A1610)-1,COLUMNS('Portfolio Weights Returns'!$B$9:$BJ$69))+1)</f>
        <v>-8.6807889940593698E-4</v>
      </c>
      <c r="B1611" cm="1">
        <f t="array" ref="B1611">INDEX('Portfolio Weights Std'!$B$9:$BJ$69,INT((ROW(A1610)-1)/COLUMNS('Portfolio Weights Std'!$B$9:$BJ$69))+1,MOD(ROW(A1610)-1,COLUMNS('Portfolio Weights Std'!$B$9:$BJ$69))+1)</f>
        <v>2.0724629391443081E-2</v>
      </c>
    </row>
    <row r="1612" spans="1:2" x14ac:dyDescent="0.25">
      <c r="A1612" cm="1">
        <f t="array" ref="A1612">INDEX('Portfolio Weights Returns'!$B$9:$BJ$69,
INT((ROW(A1611)-1)/COLUMNS('Portfolio Weights Returns'!$B$9:$BJ$69))+1,MOD(ROW(A1611)-1,COLUMNS('Portfolio Weights Returns'!$B$9:$BJ$69))+1)</f>
        <v>-8.6129772543925784E-4</v>
      </c>
      <c r="B1612" cm="1">
        <f t="array" ref="B1612">INDEX('Portfolio Weights Std'!$B$9:$BJ$69,INT((ROW(A1611)-1)/COLUMNS('Portfolio Weights Std'!$B$9:$BJ$69))+1,MOD(ROW(A1611)-1,COLUMNS('Portfolio Weights Std'!$B$9:$BJ$69))+1)</f>
        <v>2.0568503429321205E-2</v>
      </c>
    </row>
    <row r="1613" spans="1:2" x14ac:dyDescent="0.25">
      <c r="A1613" cm="1">
        <f t="array" ref="A1613">INDEX('Portfolio Weights Returns'!$B$9:$BJ$69,
INT((ROW(A1612)-1)/COLUMNS('Portfolio Weights Returns'!$B$9:$BJ$69))+1,MOD(ROW(A1612)-1,COLUMNS('Portfolio Weights Returns'!$B$9:$BJ$69))+1)</f>
        <v>-8.5451655147257869E-4</v>
      </c>
      <c r="B1613" cm="1">
        <f t="array" ref="B1613">INDEX('Portfolio Weights Std'!$B$9:$BJ$69,INT((ROW(A1612)-1)/COLUMNS('Portfolio Weights Std'!$B$9:$BJ$69))+1,MOD(ROW(A1612)-1,COLUMNS('Portfolio Weights Std'!$B$9:$BJ$69))+1)</f>
        <v>2.0413451670113408E-2</v>
      </c>
    </row>
    <row r="1614" spans="1:2" x14ac:dyDescent="0.25">
      <c r="A1614" cm="1">
        <f t="array" ref="A1614">INDEX('Portfolio Weights Returns'!$B$9:$BJ$69,
INT((ROW(A1613)-1)/COLUMNS('Portfolio Weights Returns'!$B$9:$BJ$69))+1,MOD(ROW(A1613)-1,COLUMNS('Portfolio Weights Returns'!$B$9:$BJ$69))+1)</f>
        <v>-8.4773537750589966E-4</v>
      </c>
      <c r="B1614" cm="1">
        <f t="array" ref="B1614">INDEX('Portfolio Weights Std'!$B$9:$BJ$69,INT((ROW(A1613)-1)/COLUMNS('Portfolio Weights Std'!$B$9:$BJ$69))+1,MOD(ROW(A1613)-1,COLUMNS('Portfolio Weights Std'!$B$9:$BJ$69))+1)</f>
        <v>2.025949877738439E-2</v>
      </c>
    </row>
    <row r="1615" spans="1:2" x14ac:dyDescent="0.25">
      <c r="A1615" cm="1">
        <f t="array" ref="A1615">INDEX('Portfolio Weights Returns'!$B$9:$BJ$69,
INT((ROW(A1614)-1)/COLUMNS('Portfolio Weights Returns'!$B$9:$BJ$69))+1,MOD(ROW(A1614)-1,COLUMNS('Portfolio Weights Returns'!$B$9:$BJ$69))+1)</f>
        <v>-8.4095420353922051E-4</v>
      </c>
      <c r="B1615" cm="1">
        <f t="array" ref="B1615">INDEX('Portfolio Weights Std'!$B$9:$BJ$69,INT((ROW(A1614)-1)/COLUMNS('Portfolio Weights Std'!$B$9:$BJ$69))+1,MOD(ROW(A1614)-1,COLUMNS('Portfolio Weights Std'!$B$9:$BJ$69))+1)</f>
        <v>2.0106669992575824E-2</v>
      </c>
    </row>
    <row r="1616" spans="1:2" x14ac:dyDescent="0.25">
      <c r="A1616" cm="1">
        <f t="array" ref="A1616">INDEX('Portfolio Weights Returns'!$B$9:$BJ$69,
INT((ROW(A1615)-1)/COLUMNS('Portfolio Weights Returns'!$B$9:$BJ$69))+1,MOD(ROW(A1615)-1,COLUMNS('Portfolio Weights Returns'!$B$9:$BJ$69))+1)</f>
        <v>-8.3417302957254148E-4</v>
      </c>
      <c r="B1616" cm="1">
        <f t="array" ref="B1616">INDEX('Portfolio Weights Std'!$B$9:$BJ$69,INT((ROW(A1615)-1)/COLUMNS('Portfolio Weights Std'!$B$9:$BJ$69))+1,MOD(ROW(A1615)-1,COLUMNS('Portfolio Weights Std'!$B$9:$BJ$69))+1)</f>
        <v>1.9954991143234936E-2</v>
      </c>
    </row>
    <row r="1617" spans="1:2" x14ac:dyDescent="0.25">
      <c r="A1617" cm="1">
        <f t="array" ref="A1617">INDEX('Portfolio Weights Returns'!$B$9:$BJ$69,
INT((ROW(A1616)-1)/COLUMNS('Portfolio Weights Returns'!$B$9:$BJ$69))+1,MOD(ROW(A1616)-1,COLUMNS('Portfolio Weights Returns'!$B$9:$BJ$69))+1)</f>
        <v>-8.2739185560586233E-4</v>
      </c>
      <c r="B1617" cm="1">
        <f t="array" ref="B1617">INDEX('Portfolio Weights Std'!$B$9:$BJ$69,INT((ROW(A1616)-1)/COLUMNS('Portfolio Weights Std'!$B$9:$BJ$69))+1,MOD(ROW(A1616)-1,COLUMNS('Portfolio Weights Std'!$B$9:$BJ$69))+1)</f>
        <v>1.9804488650796974E-2</v>
      </c>
    </row>
    <row r="1618" spans="1:2" x14ac:dyDescent="0.25">
      <c r="A1618" cm="1">
        <f t="array" ref="A1618">INDEX('Portfolio Weights Returns'!$B$9:$BJ$69,
INT((ROW(A1617)-1)/COLUMNS('Portfolio Weights Returns'!$B$9:$BJ$69))+1,MOD(ROW(A1617)-1,COLUMNS('Portfolio Weights Returns'!$B$9:$BJ$69))+1)</f>
        <v>-8.2061068163918319E-4</v>
      </c>
      <c r="B1618" cm="1">
        <f t="array" ref="B1618">INDEX('Portfolio Weights Std'!$B$9:$BJ$69,INT((ROW(A1617)-1)/COLUMNS('Portfolio Weights Std'!$B$9:$BJ$69))+1,MOD(ROW(A1617)-1,COLUMNS('Portfolio Weights Std'!$B$9:$BJ$69))+1)</f>
        <v>1.9655189537860822E-2</v>
      </c>
    </row>
    <row r="1619" spans="1:2" x14ac:dyDescent="0.25">
      <c r="A1619" cm="1">
        <f t="array" ref="A1619">INDEX('Portfolio Weights Returns'!$B$9:$BJ$69,
INT((ROW(A1618)-1)/COLUMNS('Portfolio Weights Returns'!$B$9:$BJ$69))+1,MOD(ROW(A1618)-1,COLUMNS('Portfolio Weights Returns'!$B$9:$BJ$69))+1)</f>
        <v>-8.1382950767250404E-4</v>
      </c>
      <c r="B1619" cm="1">
        <f t="array" ref="B1619">INDEX('Portfolio Weights Std'!$B$9:$BJ$69,INT((ROW(A1618)-1)/COLUMNS('Portfolio Weights Std'!$B$9:$BJ$69))+1,MOD(ROW(A1618)-1,COLUMNS('Portfolio Weights Std'!$B$9:$BJ$69))+1)</f>
        <v>1.9507121434892614E-2</v>
      </c>
    </row>
    <row r="1620" spans="1:2" x14ac:dyDescent="0.25">
      <c r="A1620" cm="1">
        <f t="array" ref="A1620">INDEX('Portfolio Weights Returns'!$B$9:$BJ$69,
INT((ROW(A1619)-1)/COLUMNS('Portfolio Weights Returns'!$B$9:$BJ$69))+1,MOD(ROW(A1619)-1,COLUMNS('Portfolio Weights Returns'!$B$9:$BJ$69))+1)</f>
        <v>-8.070483337058249E-4</v>
      </c>
      <c r="B1620" cm="1">
        <f t="array" ref="B1620">INDEX('Portfolio Weights Std'!$B$9:$BJ$69,INT((ROW(A1619)-1)/COLUMNS('Portfolio Weights Std'!$B$9:$BJ$69))+1,MOD(ROW(A1619)-1,COLUMNS('Portfolio Weights Std'!$B$9:$BJ$69))+1)</f>
        <v>1.936031258628812E-2</v>
      </c>
    </row>
    <row r="1621" spans="1:2" x14ac:dyDescent="0.25">
      <c r="A1621" cm="1">
        <f t="array" ref="A1621">INDEX('Portfolio Weights Returns'!$B$9:$BJ$69,
INT((ROW(A1620)-1)/COLUMNS('Portfolio Weights Returns'!$B$9:$BJ$69))+1,MOD(ROW(A1620)-1,COLUMNS('Portfolio Weights Returns'!$B$9:$BJ$69))+1)</f>
        <v>-8.0026715973914586E-4</v>
      </c>
      <c r="B1621" cm="1">
        <f t="array" ref="B1621">INDEX('Portfolio Weights Std'!$B$9:$BJ$69,INT((ROW(A1620)-1)/COLUMNS('Portfolio Weights Std'!$B$9:$BJ$69))+1,MOD(ROW(A1620)-1,COLUMNS('Portfolio Weights Std'!$B$9:$BJ$69))+1)</f>
        <v>1.9214791855720201E-2</v>
      </c>
    </row>
    <row r="1622" spans="1:2" x14ac:dyDescent="0.25">
      <c r="A1622" cm="1">
        <f t="array" ref="A1622">INDEX('Portfolio Weights Returns'!$B$9:$BJ$69,
INT((ROW(A1621)-1)/COLUMNS('Portfolio Weights Returns'!$B$9:$BJ$69))+1,MOD(ROW(A1621)-1,COLUMNS('Portfolio Weights Returns'!$B$9:$BJ$69))+1)</f>
        <v>-7.9348598577246672E-4</v>
      </c>
      <c r="B1622" cm="1">
        <f t="array" ref="B1622">INDEX('Portfolio Weights Std'!$B$9:$BJ$69,INT((ROW(A1621)-1)/COLUMNS('Portfolio Weights Std'!$B$9:$BJ$69))+1,MOD(ROW(A1621)-1,COLUMNS('Portfolio Weights Std'!$B$9:$BJ$69))+1)</f>
        <v>1.90705887306932E-2</v>
      </c>
    </row>
    <row r="1623" spans="1:2" x14ac:dyDescent="0.25">
      <c r="A1623" cm="1">
        <f t="array" ref="A1623">INDEX('Portfolio Weights Returns'!$B$9:$BJ$69,
INT((ROW(A1622)-1)/COLUMNS('Portfolio Weights Returns'!$B$9:$BJ$69))+1,MOD(ROW(A1622)-1,COLUMNS('Portfolio Weights Returns'!$B$9:$BJ$69))+1)</f>
        <v>-7.8670481180578768E-4</v>
      </c>
      <c r="B1623" cm="1">
        <f t="array" ref="B1623">INDEX('Portfolio Weights Std'!$B$9:$BJ$69,INT((ROW(A1622)-1)/COLUMNS('Portfolio Weights Std'!$B$9:$BJ$69))+1,MOD(ROW(A1622)-1,COLUMNS('Portfolio Weights Std'!$B$9:$BJ$69))+1)</f>
        <v>1.8927733326221594E-2</v>
      </c>
    </row>
    <row r="1624" spans="1:2" x14ac:dyDescent="0.25">
      <c r="A1624" cm="1">
        <f t="array" ref="A1624">INDEX('Portfolio Weights Returns'!$B$9:$BJ$69,
INT((ROW(A1623)-1)/COLUMNS('Portfolio Weights Returns'!$B$9:$BJ$69))+1,MOD(ROW(A1623)-1,COLUMNS('Portfolio Weights Returns'!$B$9:$BJ$69))+1)</f>
        <v>-7.7992363783910854E-4</v>
      </c>
      <c r="B1624" cm="1">
        <f t="array" ref="B1624">INDEX('Portfolio Weights Std'!$B$9:$BJ$69,INT((ROW(A1623)-1)/COLUMNS('Portfolio Weights Std'!$B$9:$BJ$69))+1,MOD(ROW(A1623)-1,COLUMNS('Portfolio Weights Std'!$B$9:$BJ$69))+1)</f>
        <v>1.8786256387545722E-2</v>
      </c>
    </row>
    <row r="1625" spans="1:2" x14ac:dyDescent="0.25">
      <c r="A1625" cm="1">
        <f t="array" ref="A1625">INDEX('Portfolio Weights Returns'!$B$9:$BJ$69,
INT((ROW(A1624)-1)/COLUMNS('Portfolio Weights Returns'!$B$9:$BJ$69))+1,MOD(ROW(A1624)-1,COLUMNS('Portfolio Weights Returns'!$B$9:$BJ$69))+1)</f>
        <v>-7.731424638724295E-4</v>
      </c>
      <c r="B1625" cm="1">
        <f t="array" ref="B1625">INDEX('Portfolio Weights Std'!$B$9:$BJ$69,INT((ROW(A1624)-1)/COLUMNS('Portfolio Weights Std'!$B$9:$BJ$69))+1,MOD(ROW(A1624)-1,COLUMNS('Portfolio Weights Std'!$B$9:$BJ$69))+1)</f>
        <v>1.8646189291792879E-2</v>
      </c>
    </row>
    <row r="1626" spans="1:2" x14ac:dyDescent="0.25">
      <c r="A1626" cm="1">
        <f t="array" ref="A1626">INDEX('Portfolio Weights Returns'!$B$9:$BJ$69,
INT((ROW(A1625)-1)/COLUMNS('Portfolio Weights Returns'!$B$9:$BJ$69))+1,MOD(ROW(A1625)-1,COLUMNS('Portfolio Weights Returns'!$B$9:$BJ$69))+1)</f>
        <v>-7.6636128990575036E-4</v>
      </c>
      <c r="B1626" cm="1">
        <f t="array" ref="B1626">INDEX('Portfolio Weights Std'!$B$9:$BJ$69,INT((ROW(A1625)-1)/COLUMNS('Portfolio Weights Std'!$B$9:$BJ$69))+1,MOD(ROW(A1625)-1,COLUMNS('Portfolio Weights Std'!$B$9:$BJ$69))+1)</f>
        <v>1.8507564048487482E-2</v>
      </c>
    </row>
    <row r="1627" spans="1:2" x14ac:dyDescent="0.25">
      <c r="A1627" cm="1">
        <f t="array" ref="A1627">INDEX('Portfolio Weights Returns'!$B$9:$BJ$69,
INT((ROW(A1626)-1)/COLUMNS('Portfolio Weights Returns'!$B$9:$BJ$69))+1,MOD(ROW(A1626)-1,COLUMNS('Portfolio Weights Returns'!$B$9:$BJ$69))+1)</f>
        <v>-7.5958011593907132E-4</v>
      </c>
      <c r="B1627" cm="1">
        <f t="array" ref="B1627">INDEX('Portfolio Weights Std'!$B$9:$BJ$69,INT((ROW(A1626)-1)/COLUMNS('Portfolio Weights Std'!$B$9:$BJ$69))+1,MOD(ROW(A1626)-1,COLUMNS('Portfolio Weights Std'!$B$9:$BJ$69))+1)</f>
        <v>1.8370413298809781E-2</v>
      </c>
    </row>
    <row r="1628" spans="1:2" x14ac:dyDescent="0.25">
      <c r="A1628" cm="1">
        <f t="array" ref="A1628">INDEX('Portfolio Weights Returns'!$B$9:$BJ$69,
INT((ROW(A1627)-1)/COLUMNS('Portfolio Weights Returns'!$B$9:$BJ$69))+1,MOD(ROW(A1627)-1,COLUMNS('Portfolio Weights Returns'!$B$9:$BJ$69))+1)</f>
        <v>-7.5279894197239218E-4</v>
      </c>
      <c r="B1628" cm="1">
        <f t="array" ref="B1628">INDEX('Portfolio Weights Std'!$B$9:$BJ$69,INT((ROW(A1627)-1)/COLUMNS('Portfolio Weights Std'!$B$9:$BJ$69))+1,MOD(ROW(A1627)-1,COLUMNS('Portfolio Weights Std'!$B$9:$BJ$69))+1)</f>
        <v>1.8234770313498166E-2</v>
      </c>
    </row>
    <row r="1629" spans="1:2" x14ac:dyDescent="0.25">
      <c r="A1629" cm="1">
        <f t="array" ref="A1629">INDEX('Portfolio Weights Returns'!$B$9:$BJ$69,
INT((ROW(A1628)-1)/COLUMNS('Portfolio Weights Returns'!$B$9:$BJ$69))+1,MOD(ROW(A1628)-1,COLUMNS('Portfolio Weights Returns'!$B$9:$BJ$69))+1)</f>
        <v>-7.4601776800571303E-4</v>
      </c>
      <c r="B1629" cm="1">
        <f t="array" ref="B1629">INDEX('Portfolio Weights Std'!$B$9:$BJ$69,INT((ROW(A1628)-1)/COLUMNS('Portfolio Weights Std'!$B$9:$BJ$69))+1,MOD(ROW(A1628)-1,COLUMNS('Portfolio Weights Std'!$B$9:$BJ$69))+1)</f>
        <v>1.8100668989286185E-2</v>
      </c>
    </row>
    <row r="1630" spans="1:2" x14ac:dyDescent="0.25">
      <c r="A1630" cm="1">
        <f t="array" ref="A1630">INDEX('Portfolio Weights Returns'!$B$9:$BJ$69,
INT((ROW(A1629)-1)/COLUMNS('Portfolio Weights Returns'!$B$9:$BJ$69))+1,MOD(ROW(A1629)-1,COLUMNS('Portfolio Weights Returns'!$B$9:$BJ$69))+1)</f>
        <v>-7.39236594039034E-4</v>
      </c>
      <c r="B1630" cm="1">
        <f t="array" ref="B1630">INDEX('Portfolio Weights Std'!$B$9:$BJ$69,INT((ROW(A1629)-1)/COLUMNS('Portfolio Weights Std'!$B$9:$BJ$69))+1,MOD(ROW(A1629)-1,COLUMNS('Portfolio Weights Std'!$B$9:$BJ$69))+1)</f>
        <v>1.7968143843761521E-2</v>
      </c>
    </row>
    <row r="1631" spans="1:2" x14ac:dyDescent="0.25">
      <c r="A1631" cm="1">
        <f t="array" ref="A1631">INDEX('Portfolio Weights Returns'!$B$9:$BJ$69,
INT((ROW(A1630)-1)/COLUMNS('Portfolio Weights Returns'!$B$9:$BJ$69))+1,MOD(ROW(A1630)-1,COLUMNS('Portfolio Weights Returns'!$B$9:$BJ$69))+1)</f>
        <v>-7.3245542007235485E-4</v>
      </c>
      <c r="B1631" cm="1">
        <f t="array" ref="B1631">INDEX('Portfolio Weights Std'!$B$9:$BJ$69,INT((ROW(A1630)-1)/COLUMNS('Portfolio Weights Std'!$B$9:$BJ$69))+1,MOD(ROW(A1630)-1,COLUMNS('Portfolio Weights Std'!$B$9:$BJ$69))+1)</f>
        <v>1.7837230008530745E-2</v>
      </c>
    </row>
    <row r="1632" spans="1:2" x14ac:dyDescent="0.25">
      <c r="A1632" cm="1">
        <f t="array" ref="A1632">INDEX('Portfolio Weights Returns'!$B$9:$BJ$69,
INT((ROW(A1631)-1)/COLUMNS('Portfolio Weights Returns'!$B$9:$BJ$69))+1,MOD(ROW(A1631)-1,COLUMNS('Portfolio Weights Returns'!$B$9:$BJ$69))+1)</f>
        <v>-7.2567424610567571E-4</v>
      </c>
      <c r="B1632" cm="1">
        <f t="array" ref="B1632">INDEX('Portfolio Weights Std'!$B$9:$BJ$69,INT((ROW(A1631)-1)/COLUMNS('Portfolio Weights Std'!$B$9:$BJ$69))+1,MOD(ROW(A1631)-1,COLUMNS('Portfolio Weights Std'!$B$9:$BJ$69))+1)</f>
        <v>1.7707963220570572E-2</v>
      </c>
    </row>
    <row r="1633" spans="1:2" x14ac:dyDescent="0.25">
      <c r="A1633" cm="1">
        <f t="array" ref="A1633">INDEX('Portfolio Weights Returns'!$B$9:$BJ$69,
INT((ROW(A1632)-1)/COLUMNS('Portfolio Weights Returns'!$B$9:$BJ$69))+1,MOD(ROW(A1632)-1,COLUMNS('Portfolio Weights Returns'!$B$9:$BJ$69))+1)</f>
        <v>-7.1889307213899656E-4</v>
      </c>
      <c r="B1633" cm="1">
        <f t="array" ref="B1633">INDEX('Portfolio Weights Std'!$B$9:$BJ$69,INT((ROW(A1632)-1)/COLUMNS('Portfolio Weights Std'!$B$9:$BJ$69))+1,MOD(ROW(A1632)-1,COLUMNS('Portfolio Weights Std'!$B$9:$BJ$69))+1)</f>
        <v>1.7580379811643902E-2</v>
      </c>
    </row>
    <row r="1634" spans="1:2" x14ac:dyDescent="0.25">
      <c r="A1634" cm="1">
        <f t="array" ref="A1634">INDEX('Portfolio Weights Returns'!$B$9:$BJ$69,
INT((ROW(A1633)-1)/COLUMNS('Portfolio Weights Returns'!$B$9:$BJ$69))+1,MOD(ROW(A1633)-1,COLUMNS('Portfolio Weights Returns'!$B$9:$BJ$69))+1)</f>
        <v>-7.1211189817231753E-4</v>
      </c>
      <c r="B1634" cm="1">
        <f t="array" ref="B1634">INDEX('Portfolio Weights Std'!$B$9:$BJ$69,INT((ROW(A1633)-1)/COLUMNS('Portfolio Weights Std'!$B$9:$BJ$69))+1,MOD(ROW(A1633)-1,COLUMNS('Portfolio Weights Std'!$B$9:$BJ$69))+1)</f>
        <v>1.7454516695656709E-2</v>
      </c>
    </row>
    <row r="1635" spans="1:2" x14ac:dyDescent="0.25">
      <c r="A1635" cm="1">
        <f t="array" ref="A1635">INDEX('Portfolio Weights Returns'!$B$9:$BJ$69,
INT((ROW(A1634)-1)/COLUMNS('Portfolio Weights Returns'!$B$9:$BJ$69))+1,MOD(ROW(A1634)-1,COLUMNS('Portfolio Weights Returns'!$B$9:$BJ$69))+1)</f>
        <v>-7.0533072420563838E-4</v>
      </c>
      <c r="B1635" cm="1">
        <f t="array" ref="B1635">INDEX('Portfolio Weights Std'!$B$9:$BJ$69,INT((ROW(A1634)-1)/COLUMNS('Portfolio Weights Std'!$B$9:$BJ$69))+1,MOD(ROW(A1634)-1,COLUMNS('Portfolio Weights Std'!$B$9:$BJ$69))+1)</f>
        <v>1.7330411353830788E-2</v>
      </c>
    </row>
    <row r="1636" spans="1:2" x14ac:dyDescent="0.25">
      <c r="A1636" cm="1">
        <f t="array" ref="A1636">INDEX('Portfolio Weights Returns'!$B$9:$BJ$69,
INT((ROW(A1635)-1)/COLUMNS('Portfolio Weights Returns'!$B$9:$BJ$69))+1,MOD(ROW(A1635)-1,COLUMNS('Portfolio Weights Returns'!$B$9:$BJ$69))+1)</f>
        <v>-6.9854955023895945E-4</v>
      </c>
      <c r="B1636" cm="1">
        <f t="array" ref="B1636">INDEX('Portfolio Weights Std'!$B$9:$BJ$69,INT((ROW(A1635)-1)/COLUMNS('Portfolio Weights Std'!$B$9:$BJ$69))+1,MOD(ROW(A1635)-1,COLUMNS('Portfolio Weights Std'!$B$9:$BJ$69))+1)</f>
        <v>1.7208101817566667E-2</v>
      </c>
    </row>
    <row r="1637" spans="1:2" x14ac:dyDescent="0.25">
      <c r="A1637" cm="1">
        <f t="array" ref="A1637">INDEX('Portfolio Weights Returns'!$B$9:$BJ$69,
INT((ROW(A1636)-1)/COLUMNS('Portfolio Weights Returns'!$B$9:$BJ$69))+1,MOD(ROW(A1636)-1,COLUMNS('Portfolio Weights Returns'!$B$9:$BJ$69))+1)</f>
        <v>-6.917683762722802E-4</v>
      </c>
      <c r="B1637" cm="1">
        <f t="array" ref="B1637">INDEX('Portfolio Weights Std'!$B$9:$BJ$69,INT((ROW(A1636)-1)/COLUMNS('Portfolio Weights Std'!$B$9:$BJ$69))+1,MOD(ROW(A1636)-1,COLUMNS('Portfolio Weights Std'!$B$9:$BJ$69))+1)</f>
        <v>1.7087626648871441E-2</v>
      </c>
    </row>
    <row r="1638" spans="1:2" x14ac:dyDescent="0.25">
      <c r="A1638" cm="1">
        <f t="array" ref="A1638">INDEX('Portfolio Weights Returns'!$B$9:$BJ$69,
INT((ROW(A1637)-1)/COLUMNS('Portfolio Weights Returns'!$B$9:$BJ$69))+1,MOD(ROW(A1637)-1,COLUMNS('Portfolio Weights Returns'!$B$9:$BJ$69))+1)</f>
        <v>-6.8498720230560106E-4</v>
      </c>
      <c r="B1638" cm="1">
        <f t="array" ref="B1638">INDEX('Portfolio Weights Std'!$B$9:$BJ$69,INT((ROW(A1637)-1)/COLUMNS('Portfolio Weights Std'!$B$9:$BJ$69))+1,MOD(ROW(A1637)-1,COLUMNS('Portfolio Weights Std'!$B$9:$BJ$69))+1)</f>
        <v>1.6969024918227549E-2</v>
      </c>
    </row>
    <row r="1639" spans="1:2" x14ac:dyDescent="0.25">
      <c r="A1639" cm="1">
        <f t="array" ref="A1639">INDEX('Portfolio Weights Returns'!$B$9:$BJ$69,
INT((ROW(A1638)-1)/COLUMNS('Portfolio Weights Returns'!$B$9:$BJ$69))+1,MOD(ROW(A1638)-1,COLUMNS('Portfolio Weights Returns'!$B$9:$BJ$69))+1)</f>
        <v>-6.7820602833892202E-4</v>
      </c>
      <c r="B1639" cm="1">
        <f t="array" ref="B1639">INDEX('Portfolio Weights Std'!$B$9:$BJ$69,INT((ROW(A1638)-1)/COLUMNS('Portfolio Weights Std'!$B$9:$BJ$69))+1,MOD(ROW(A1638)-1,COLUMNS('Portfolio Weights Std'!$B$9:$BJ$69))+1)</f>
        <v>1.6852336179781109E-2</v>
      </c>
    </row>
    <row r="1640" spans="1:2" x14ac:dyDescent="0.25">
      <c r="A1640" cm="1">
        <f t="array" ref="A1640">INDEX('Portfolio Weights Returns'!$B$9:$BJ$69,
INT((ROW(A1639)-1)/COLUMNS('Portfolio Weights Returns'!$B$9:$BJ$69))+1,MOD(ROW(A1639)-1,COLUMNS('Portfolio Weights Returns'!$B$9:$BJ$69))+1)</f>
        <v>-6.7142485437224288E-4</v>
      </c>
      <c r="B1640" cm="1">
        <f t="array" ref="B1640">INDEX('Portfolio Weights Std'!$B$9:$BJ$69,INT((ROW(A1639)-1)/COLUMNS('Portfolio Weights Std'!$B$9:$BJ$69))+1,MOD(ROW(A1639)-1,COLUMNS('Portfolio Weights Std'!$B$9:$BJ$69))+1)</f>
        <v>1.673760044373199E-2</v>
      </c>
    </row>
    <row r="1641" spans="1:2" x14ac:dyDescent="0.25">
      <c r="A1641" cm="1">
        <f t="array" ref="A1641">INDEX('Portfolio Weights Returns'!$B$9:$BJ$69,
INT((ROW(A1640)-1)/COLUMNS('Portfolio Weights Returns'!$B$9:$BJ$69))+1,MOD(ROW(A1640)-1,COLUMNS('Portfolio Weights Returns'!$B$9:$BJ$69))+1)</f>
        <v>-6.6464368040556384E-4</v>
      </c>
      <c r="B1641" cm="1">
        <f t="array" ref="B1641">INDEX('Portfolio Weights Std'!$B$9:$BJ$69,INT((ROW(A1640)-1)/COLUMNS('Portfolio Weights Std'!$B$9:$BJ$69))+1,MOD(ROW(A1640)-1,COLUMNS('Portfolio Weights Std'!$B$9:$BJ$69))+1)</f>
        <v>1.6624858145812889E-2</v>
      </c>
    </row>
    <row r="1642" spans="1:2" x14ac:dyDescent="0.25">
      <c r="A1642" cm="1">
        <f t="array" ref="A1642">INDEX('Portfolio Weights Returns'!$B$9:$BJ$69,
INT((ROW(A1641)-1)/COLUMNS('Portfolio Weights Returns'!$B$9:$BJ$69))+1,MOD(ROW(A1641)-1,COLUMNS('Portfolio Weights Returns'!$B$9:$BJ$69))+1)</f>
        <v>-6.578625064388847E-4</v>
      </c>
      <c r="B1642" cm="1">
        <f t="array" ref="B1642">INDEX('Portfolio Weights Std'!$B$9:$BJ$69,INT((ROW(A1641)-1)/COLUMNS('Portfolio Weights Std'!$B$9:$BJ$69))+1,MOD(ROW(A1641)-1,COLUMNS('Portfolio Weights Std'!$B$9:$BJ$69))+1)</f>
        <v>1.6514150113751267E-2</v>
      </c>
    </row>
    <row r="1643" spans="1:2" x14ac:dyDescent="0.25">
      <c r="A1643" cm="1">
        <f t="array" ref="A1643">INDEX('Portfolio Weights Returns'!$B$9:$BJ$69,
INT((ROW(A1642)-1)/COLUMNS('Portfolio Weights Returns'!$B$9:$BJ$69))+1,MOD(ROW(A1642)-1,COLUMNS('Portfolio Weights Returns'!$B$9:$BJ$69))+1)</f>
        <v>-6.5108133247220566E-4</v>
      </c>
      <c r="B1643" cm="1">
        <f t="array" ref="B1643">INDEX('Portfolio Weights Std'!$B$9:$BJ$69,INT((ROW(A1642)-1)/COLUMNS('Portfolio Weights Std'!$B$9:$BJ$69))+1,MOD(ROW(A1642)-1,COLUMNS('Portfolio Weights Std'!$B$9:$BJ$69))+1)</f>
        <v>1.6405517530615931E-2</v>
      </c>
    </row>
    <row r="1644" spans="1:2" x14ac:dyDescent="0.25">
      <c r="A1644" cm="1">
        <f t="array" ref="A1644">INDEX('Portfolio Weights Returns'!$B$9:$BJ$69,
INT((ROW(A1643)-1)/COLUMNS('Portfolio Weights Returns'!$B$9:$BJ$69))+1,MOD(ROW(A1643)-1,COLUMNS('Portfolio Weights Returns'!$B$9:$BJ$69))+1)</f>
        <v>-6.4430015850552641E-4</v>
      </c>
      <c r="B1644" cm="1">
        <f t="array" ref="B1644">INDEX('Portfolio Weights Std'!$B$9:$BJ$69,INT((ROW(A1643)-1)/COLUMNS('Portfolio Weights Std'!$B$9:$BJ$69))+1,MOD(ROW(A1643)-1,COLUMNS('Portfolio Weights Std'!$B$9:$BJ$69))+1)</f>
        <v>1.6299001894959961E-2</v>
      </c>
    </row>
    <row r="1645" spans="1:2" x14ac:dyDescent="0.25">
      <c r="A1645" cm="1">
        <f t="array" ref="A1645">INDEX('Portfolio Weights Returns'!$B$9:$BJ$69,
INT((ROW(A1644)-1)/COLUMNS('Portfolio Weights Returns'!$B$9:$BJ$69))+1,MOD(ROW(A1644)-1,COLUMNS('Portfolio Weights Returns'!$B$9:$BJ$69))+1)</f>
        <v>-6.3751898453884672E-4</v>
      </c>
      <c r="B1645" cm="1">
        <f t="array" ref="B1645">INDEX('Portfolio Weights Std'!$B$9:$BJ$69,INT((ROW(A1644)-1)/COLUMNS('Portfolio Weights Std'!$B$9:$BJ$69))+1,MOD(ROW(A1644)-1,COLUMNS('Portfolio Weights Std'!$B$9:$BJ$69))+1)</f>
        <v>1.6194644977683071E-2</v>
      </c>
    </row>
    <row r="1646" spans="1:2" x14ac:dyDescent="0.25">
      <c r="A1646" cm="1">
        <f t="array" ref="A1646">INDEX('Portfolio Weights Returns'!$B$9:$BJ$69,
INT((ROW(A1645)-1)/COLUMNS('Portfolio Weights Returns'!$B$9:$BJ$69))+1,MOD(ROW(A1645)-1,COLUMNS('Portfolio Weights Returns'!$B$9:$BJ$69))+1)</f>
        <v>-6.3073781057216758E-4</v>
      </c>
      <c r="B1646" cm="1">
        <f t="array" ref="B1646">INDEX('Portfolio Weights Std'!$B$9:$BJ$69,INT((ROW(A1645)-1)/COLUMNS('Portfolio Weights Std'!$B$9:$BJ$69))+1,MOD(ROW(A1645)-1,COLUMNS('Portfolio Weights Std'!$B$9:$BJ$69))+1)</f>
        <v>1.6092488775550196E-2</v>
      </c>
    </row>
    <row r="1647" spans="1:2" x14ac:dyDescent="0.25">
      <c r="A1647" cm="1">
        <f t="array" ref="A1647">INDEX('Portfolio Weights Returns'!$B$9:$BJ$69,
INT((ROW(A1646)-1)/COLUMNS('Portfolio Weights Returns'!$B$9:$BJ$69))+1,MOD(ROW(A1646)-1,COLUMNS('Portfolio Weights Returns'!$B$9:$BJ$69))+1)</f>
        <v>-6.2395663660548854E-4</v>
      </c>
      <c r="B1647" cm="1">
        <f t="array" ref="B1647">INDEX('Portfolio Weights Std'!$B$9:$BJ$69,INT((ROW(A1646)-1)/COLUMNS('Portfolio Weights Std'!$B$9:$BJ$69))+1,MOD(ROW(A1646)-1,COLUMNS('Portfolio Weights Std'!$B$9:$BJ$69))+1)</f>
        <v>1.5992575461317934E-2</v>
      </c>
    </row>
    <row r="1648" spans="1:2" x14ac:dyDescent="0.25">
      <c r="A1648" cm="1">
        <f t="array" ref="A1648">INDEX('Portfolio Weights Returns'!$B$9:$BJ$69,
INT((ROW(A1647)-1)/COLUMNS('Portfolio Weights Returns'!$B$9:$BJ$69))+1,MOD(ROW(A1647)-1,COLUMNS('Portfolio Weights Returns'!$B$9:$BJ$69))+1)</f>
        <v>-6.171754626388094E-4</v>
      </c>
      <c r="B1648" cm="1">
        <f t="array" ref="B1648">INDEX('Portfolio Weights Std'!$B$9:$BJ$69,INT((ROW(A1647)-1)/COLUMNS('Portfolio Weights Std'!$B$9:$BJ$69))+1,MOD(ROW(A1647)-1,COLUMNS('Portfolio Weights Std'!$B$9:$BJ$69))+1)</f>
        <v>1.5894947330438496E-2</v>
      </c>
    </row>
    <row r="1649" spans="1:2" x14ac:dyDescent="0.25">
      <c r="A1649" cm="1">
        <f t="array" ref="A1649">INDEX('Portfolio Weights Returns'!$B$9:$BJ$69,
INT((ROW(A1648)-1)/COLUMNS('Portfolio Weights Returns'!$B$9:$BJ$69))+1,MOD(ROW(A1648)-1,COLUMNS('Portfolio Weights Returns'!$B$9:$BJ$69))+1)</f>
        <v>-1.0174716927941012E-3</v>
      </c>
      <c r="B1649" cm="1">
        <f t="array" ref="B1649">INDEX('Portfolio Weights Std'!$B$9:$BJ$69,INT((ROW(A1648)-1)/COLUMNS('Portfolio Weights Std'!$B$9:$BJ$69))+1,MOD(ROW(A1648)-1,COLUMNS('Portfolio Weights Std'!$B$9:$BJ$69))+1)</f>
        <v>2.4405314894815767E-2</v>
      </c>
    </row>
    <row r="1650" spans="1:2" x14ac:dyDescent="0.25">
      <c r="A1650" cm="1">
        <f t="array" ref="A1650">INDEX('Portfolio Weights Returns'!$B$9:$BJ$69,
INT((ROW(A1649)-1)/COLUMNS('Portfolio Weights Returns'!$B$9:$BJ$69))+1,MOD(ROW(A1649)-1,COLUMNS('Portfolio Weights Returns'!$B$9:$BJ$69))+1)</f>
        <v>-1.0106905188274221E-3</v>
      </c>
      <c r="B1650" cm="1">
        <f t="array" ref="B1650">INDEX('Portfolio Weights Std'!$B$9:$BJ$69,INT((ROW(A1649)-1)/COLUMNS('Portfolio Weights Std'!$B$9:$BJ$69))+1,MOD(ROW(A1649)-1,COLUMNS('Portfolio Weights Std'!$B$9:$BJ$69))+1)</f>
        <v>2.4230532783793817E-2</v>
      </c>
    </row>
    <row r="1651" spans="1:2" x14ac:dyDescent="0.25">
      <c r="A1651" cm="1">
        <f t="array" ref="A1651">INDEX('Portfolio Weights Returns'!$B$9:$BJ$69,
INT((ROW(A1650)-1)/COLUMNS('Portfolio Weights Returns'!$B$9:$BJ$69))+1,MOD(ROW(A1650)-1,COLUMNS('Portfolio Weights Returns'!$B$9:$BJ$69))+1)</f>
        <v>-1.0039093448607429E-3</v>
      </c>
      <c r="B1651" cm="1">
        <f t="array" ref="B1651">INDEX('Portfolio Weights Std'!$B$9:$BJ$69,INT((ROW(A1650)-1)/COLUMNS('Portfolio Weights Std'!$B$9:$BJ$69))+1,MOD(ROW(A1650)-1,COLUMNS('Portfolio Weights Std'!$B$9:$BJ$69))+1)</f>
        <v>2.4056405565142595E-2</v>
      </c>
    </row>
    <row r="1652" spans="1:2" x14ac:dyDescent="0.25">
      <c r="A1652" cm="1">
        <f t="array" ref="A1652">INDEX('Portfolio Weights Returns'!$B$9:$BJ$69,
INT((ROW(A1651)-1)/COLUMNS('Portfolio Weights Returns'!$B$9:$BJ$69))+1,MOD(ROW(A1651)-1,COLUMNS('Portfolio Weights Returns'!$B$9:$BJ$69))+1)</f>
        <v>-9.9712817089406378E-4</v>
      </c>
      <c r="B1652" cm="1">
        <f t="array" ref="B1652">INDEX('Portfolio Weights Std'!$B$9:$BJ$69,INT((ROW(A1651)-1)/COLUMNS('Portfolio Weights Std'!$B$9:$BJ$69))+1,MOD(ROW(A1651)-1,COLUMNS('Portfolio Weights Std'!$B$9:$BJ$69))+1)</f>
        <v>2.3882947563051472E-2</v>
      </c>
    </row>
    <row r="1653" spans="1:2" x14ac:dyDescent="0.25">
      <c r="A1653" cm="1">
        <f t="array" ref="A1653">INDEX('Portfolio Weights Returns'!$B$9:$BJ$69,
INT((ROW(A1652)-1)/COLUMNS('Portfolio Weights Returns'!$B$9:$BJ$69))+1,MOD(ROW(A1652)-1,COLUMNS('Portfolio Weights Returns'!$B$9:$BJ$69))+1)</f>
        <v>-9.9034699692738463E-4</v>
      </c>
      <c r="B1653" cm="1">
        <f t="array" ref="B1653">INDEX('Portfolio Weights Std'!$B$9:$BJ$69,INT((ROW(A1652)-1)/COLUMNS('Portfolio Weights Std'!$B$9:$BJ$69))+1,MOD(ROW(A1652)-1,COLUMNS('Portfolio Weights Std'!$B$9:$BJ$69))+1)</f>
        <v>2.3710173465013591E-2</v>
      </c>
    </row>
    <row r="1654" spans="1:2" x14ac:dyDescent="0.25">
      <c r="A1654" cm="1">
        <f t="array" ref="A1654">INDEX('Portfolio Weights Returns'!$B$9:$BJ$69,
INT((ROW(A1653)-1)/COLUMNS('Portfolio Weights Returns'!$B$9:$BJ$69))+1,MOD(ROW(A1653)-1,COLUMNS('Portfolio Weights Returns'!$B$9:$BJ$69))+1)</f>
        <v>-9.8356582296070549E-4</v>
      </c>
      <c r="B1654" cm="1">
        <f t="array" ref="B1654">INDEX('Portfolio Weights Std'!$B$9:$BJ$69,INT((ROW(A1653)-1)/COLUMNS('Portfolio Weights Std'!$B$9:$BJ$69))+1,MOD(ROW(A1653)-1,COLUMNS('Portfolio Weights Std'!$B$9:$BJ$69))+1)</f>
        <v>2.3538098330989465E-2</v>
      </c>
    </row>
    <row r="1655" spans="1:2" x14ac:dyDescent="0.25">
      <c r="A1655" cm="1">
        <f t="array" ref="A1655">INDEX('Portfolio Weights Returns'!$B$9:$BJ$69,
INT((ROW(A1654)-1)/COLUMNS('Portfolio Weights Returns'!$B$9:$BJ$69))+1,MOD(ROW(A1654)-1,COLUMNS('Portfolio Weights Returns'!$B$9:$BJ$69))+1)</f>
        <v>-9.7678464899402656E-4</v>
      </c>
      <c r="B1655" cm="1">
        <f t="array" ref="B1655">INDEX('Portfolio Weights Std'!$B$9:$BJ$69,INT((ROW(A1654)-1)/COLUMNS('Portfolio Weights Std'!$B$9:$BJ$69))+1,MOD(ROW(A1654)-1,COLUMNS('Portfolio Weights Std'!$B$9:$BJ$69))+1)</f>
        <v>2.3366737602719581E-2</v>
      </c>
    </row>
    <row r="1656" spans="1:2" x14ac:dyDescent="0.25">
      <c r="A1656" cm="1">
        <f t="array" ref="A1656">INDEX('Portfolio Weights Returns'!$B$9:$BJ$69,
INT((ROW(A1655)-1)/COLUMNS('Portfolio Weights Returns'!$B$9:$BJ$69))+1,MOD(ROW(A1655)-1,COLUMNS('Portfolio Weights Returns'!$B$9:$BJ$69))+1)</f>
        <v>-9.7000347502734742E-4</v>
      </c>
      <c r="B1656" cm="1">
        <f t="array" ref="B1656">INDEX('Portfolio Weights Std'!$B$9:$BJ$69,INT((ROW(A1655)-1)/COLUMNS('Portfolio Weights Std'!$B$9:$BJ$69))+1,MOD(ROW(A1655)-1,COLUMNS('Portfolio Weights Std'!$B$9:$BJ$69))+1)</f>
        <v>2.3196107113179484E-2</v>
      </c>
    </row>
    <row r="1657" spans="1:2" x14ac:dyDescent="0.25">
      <c r="A1657" cm="1">
        <f t="array" ref="A1657">INDEX('Portfolio Weights Returns'!$B$9:$BJ$69,
INT((ROW(A1656)-1)/COLUMNS('Portfolio Weights Returns'!$B$9:$BJ$69))+1,MOD(ROW(A1656)-1,COLUMNS('Portfolio Weights Returns'!$B$9:$BJ$69))+1)</f>
        <v>-9.6322230106066827E-4</v>
      </c>
      <c r="B1657" cm="1">
        <f t="array" ref="B1657">INDEX('Portfolio Weights Std'!$B$9:$BJ$69,INT((ROW(A1656)-1)/COLUMNS('Portfolio Weights Std'!$B$9:$BJ$69))+1,MOD(ROW(A1656)-1,COLUMNS('Portfolio Weights Std'!$B$9:$BJ$69))+1)</f>
        <v>2.3026223096169456E-2</v>
      </c>
    </row>
    <row r="1658" spans="1:2" x14ac:dyDescent="0.25">
      <c r="A1658" cm="1">
        <f t="array" ref="A1658">INDEX('Portfolio Weights Returns'!$B$9:$BJ$69,
INT((ROW(A1657)-1)/COLUMNS('Portfolio Weights Returns'!$B$9:$BJ$69))+1,MOD(ROW(A1657)-1,COLUMNS('Portfolio Weights Returns'!$B$9:$BJ$69))+1)</f>
        <v>-9.5644112709398913E-4</v>
      </c>
      <c r="B1658" cm="1">
        <f t="array" ref="B1658">INDEX('Portfolio Weights Std'!$B$9:$BJ$69,INT((ROW(A1657)-1)/COLUMNS('Portfolio Weights Std'!$B$9:$BJ$69))+1,MOD(ROW(A1657)-1,COLUMNS('Portfolio Weights Std'!$B$9:$BJ$69))+1)</f>
        <v>2.2857102196030148E-2</v>
      </c>
    </row>
    <row r="1659" spans="1:2" x14ac:dyDescent="0.25">
      <c r="A1659" cm="1">
        <f t="array" ref="A1659">INDEX('Portfolio Weights Returns'!$B$9:$BJ$69,
INT((ROW(A1658)-1)/COLUMNS('Portfolio Weights Returns'!$B$9:$BJ$69))+1,MOD(ROW(A1658)-1,COLUMNS('Portfolio Weights Returns'!$B$9:$BJ$69))+1)</f>
        <v>-9.4965995312731009E-4</v>
      </c>
      <c r="B1659" cm="1">
        <f t="array" ref="B1659">INDEX('Portfolio Weights Std'!$B$9:$BJ$69,INT((ROW(A1658)-1)/COLUMNS('Portfolio Weights Std'!$B$9:$BJ$69))+1,MOD(ROW(A1658)-1,COLUMNS('Portfolio Weights Std'!$B$9:$BJ$69))+1)</f>
        <v>2.2688761477473601E-2</v>
      </c>
    </row>
    <row r="1660" spans="1:2" x14ac:dyDescent="0.25">
      <c r="A1660" cm="1">
        <f t="array" ref="A1660">INDEX('Portfolio Weights Returns'!$B$9:$BJ$69,
INT((ROW(A1659)-1)/COLUMNS('Portfolio Weights Returns'!$B$9:$BJ$69))+1,MOD(ROW(A1659)-1,COLUMNS('Portfolio Weights Returns'!$B$9:$BJ$69))+1)</f>
        <v>-9.4287877916063095E-4</v>
      </c>
      <c r="B1660" cm="1">
        <f t="array" ref="B1660">INDEX('Portfolio Weights Std'!$B$9:$BJ$69,INT((ROW(A1659)-1)/COLUMNS('Portfolio Weights Std'!$B$9:$BJ$69))+1,MOD(ROW(A1659)-1,COLUMNS('Portfolio Weights Std'!$B$9:$BJ$69))+1)</f>
        <v>2.2521218435518537E-2</v>
      </c>
    </row>
    <row r="1661" spans="1:2" x14ac:dyDescent="0.25">
      <c r="A1661" cm="1">
        <f t="array" ref="A1661">INDEX('Portfolio Weights Returns'!$B$9:$BJ$69,
INT((ROW(A1660)-1)/COLUMNS('Portfolio Weights Returns'!$B$9:$BJ$69))+1,MOD(ROW(A1660)-1,COLUMNS('Portfolio Weights Returns'!$B$9:$BJ$69))+1)</f>
        <v>-9.360976051939518E-4</v>
      </c>
      <c r="B1661" cm="1">
        <f t="array" ref="B1661">INDEX('Portfolio Weights Std'!$B$9:$BJ$69,INT((ROW(A1660)-1)/COLUMNS('Portfolio Weights Std'!$B$9:$BJ$69))+1,MOD(ROW(A1660)-1,COLUMNS('Portfolio Weights Std'!$B$9:$BJ$69))+1)</f>
        <v>2.2354491005516453E-2</v>
      </c>
    </row>
    <row r="1662" spans="1:2" x14ac:dyDescent="0.25">
      <c r="A1662" cm="1">
        <f t="array" ref="A1662">INDEX('Portfolio Weights Returns'!$B$9:$BJ$69,
INT((ROW(A1661)-1)/COLUMNS('Portfolio Weights Returns'!$B$9:$BJ$69))+1,MOD(ROW(A1661)-1,COLUMNS('Portfolio Weights Returns'!$B$9:$BJ$69))+1)</f>
        <v>-9.2931643122727266E-4</v>
      </c>
      <c r="B1662" cm="1">
        <f t="array" ref="B1662">INDEX('Portfolio Weights Std'!$B$9:$BJ$69,INT((ROW(A1661)-1)/COLUMNS('Portfolio Weights Std'!$B$9:$BJ$69))+1,MOD(ROW(A1661)-1,COLUMNS('Portfolio Weights Std'!$B$9:$BJ$69))+1)</f>
        <v>2.2188597573254098E-2</v>
      </c>
    </row>
    <row r="1663" spans="1:2" x14ac:dyDescent="0.25">
      <c r="A1663" cm="1">
        <f t="array" ref="A1663">INDEX('Portfolio Weights Returns'!$B$9:$BJ$69,
INT((ROW(A1662)-1)/COLUMNS('Portfolio Weights Returns'!$B$9:$BJ$69))+1,MOD(ROW(A1662)-1,COLUMNS('Portfolio Weights Returns'!$B$9:$BJ$69))+1)</f>
        <v>-9.2253525726059362E-4</v>
      </c>
      <c r="B1663" cm="1">
        <f t="array" ref="B1663">INDEX('Portfolio Weights Std'!$B$9:$BJ$69,INT((ROW(A1662)-1)/COLUMNS('Portfolio Weights Std'!$B$9:$BJ$69))+1,MOD(ROW(A1662)-1,COLUMNS('Portfolio Weights Std'!$B$9:$BJ$69))+1)</f>
        <v>2.202355698511586E-2</v>
      </c>
    </row>
    <row r="1664" spans="1:2" x14ac:dyDescent="0.25">
      <c r="A1664" cm="1">
        <f t="array" ref="A1664">INDEX('Portfolio Weights Returns'!$B$9:$BJ$69,
INT((ROW(A1663)-1)/COLUMNS('Portfolio Weights Returns'!$B$9:$BJ$69))+1,MOD(ROW(A1663)-1,COLUMNS('Portfolio Weights Returns'!$B$9:$BJ$69))+1)</f>
        <v>-9.1575408329391448E-4</v>
      </c>
      <c r="B1664" cm="1">
        <f t="array" ref="B1664">INDEX('Portfolio Weights Std'!$B$9:$BJ$69,INT((ROW(A1663)-1)/COLUMNS('Portfolio Weights Std'!$B$9:$BJ$69))+1,MOD(ROW(A1663)-1,COLUMNS('Portfolio Weights Std'!$B$9:$BJ$69))+1)</f>
        <v>2.1859388558287701E-2</v>
      </c>
    </row>
    <row r="1665" spans="1:2" x14ac:dyDescent="0.25">
      <c r="A1665" cm="1">
        <f t="array" ref="A1665">INDEX('Portfolio Weights Returns'!$B$9:$BJ$69,
INT((ROW(A1664)-1)/COLUMNS('Portfolio Weights Returns'!$B$9:$BJ$69))+1,MOD(ROW(A1664)-1,COLUMNS('Portfolio Weights Returns'!$B$9:$BJ$69))+1)</f>
        <v>-9.0897290932723555E-4</v>
      </c>
      <c r="B1665" cm="1">
        <f t="array" ref="B1665">INDEX('Portfolio Weights Std'!$B$9:$BJ$69,INT((ROW(A1664)-1)/COLUMNS('Portfolio Weights Std'!$B$9:$BJ$69))+1,MOD(ROW(A1664)-1,COLUMNS('Portfolio Weights Std'!$B$9:$BJ$69))+1)</f>
        <v>2.1696112090982551E-2</v>
      </c>
    </row>
    <row r="1666" spans="1:2" x14ac:dyDescent="0.25">
      <c r="A1666" cm="1">
        <f t="array" ref="A1666">INDEX('Portfolio Weights Returns'!$B$9:$BJ$69,
INT((ROW(A1665)-1)/COLUMNS('Portfolio Weights Returns'!$B$9:$BJ$69))+1,MOD(ROW(A1665)-1,COLUMNS('Portfolio Weights Returns'!$B$9:$BJ$69))+1)</f>
        <v>-9.021917353605563E-4</v>
      </c>
      <c r="B1666" cm="1">
        <f t="array" ref="B1666">INDEX('Portfolio Weights Std'!$B$9:$BJ$69,INT((ROW(A1665)-1)/COLUMNS('Portfolio Weights Std'!$B$9:$BJ$69))+1,MOD(ROW(A1665)-1,COLUMNS('Portfolio Weights Std'!$B$9:$BJ$69))+1)</f>
        <v>2.153374787266454E-2</v>
      </c>
    </row>
    <row r="1667" spans="1:2" x14ac:dyDescent="0.25">
      <c r="A1667" cm="1">
        <f t="array" ref="A1667">INDEX('Portfolio Weights Returns'!$B$9:$BJ$69,
INT((ROW(A1666)-1)/COLUMNS('Portfolio Weights Returns'!$B$9:$BJ$69))+1,MOD(ROW(A1666)-1,COLUMNS('Portfolio Weights Returns'!$B$9:$BJ$69))+1)</f>
        <v>-8.9541056139387726E-4</v>
      </c>
      <c r="B1667" cm="1">
        <f t="array" ref="B1667">INDEX('Portfolio Weights Std'!$B$9:$BJ$69,INT((ROW(A1666)-1)/COLUMNS('Portfolio Weights Std'!$B$9:$BJ$69))+1,MOD(ROW(A1666)-1,COLUMNS('Portfolio Weights Std'!$B$9:$BJ$69))+1)</f>
        <v>2.1372316694247637E-2</v>
      </c>
    </row>
    <row r="1668" spans="1:2" x14ac:dyDescent="0.25">
      <c r="A1668" cm="1">
        <f t="array" ref="A1668">INDEX('Portfolio Weights Returns'!$B$9:$BJ$69,
INT((ROW(A1667)-1)/COLUMNS('Portfolio Weights Returns'!$B$9:$BJ$69))+1,MOD(ROW(A1667)-1,COLUMNS('Portfolio Weights Returns'!$B$9:$BJ$69))+1)</f>
        <v>-8.8862938742719823E-4</v>
      </c>
      <c r="B1668" cm="1">
        <f t="array" ref="B1668">INDEX('Portfolio Weights Std'!$B$9:$BJ$69,INT((ROW(A1667)-1)/COLUMNS('Portfolio Weights Std'!$B$9:$BJ$69))+1,MOD(ROW(A1667)-1,COLUMNS('Portfolio Weights Std'!$B$9:$BJ$69))+1)</f>
        <v>2.1211839858241283E-2</v>
      </c>
    </row>
    <row r="1669" spans="1:2" x14ac:dyDescent="0.25">
      <c r="A1669" cm="1">
        <f t="array" ref="A1669">INDEX('Portfolio Weights Returns'!$B$9:$BJ$69,
INT((ROW(A1668)-1)/COLUMNS('Portfolio Weights Returns'!$B$9:$BJ$69))+1,MOD(ROW(A1668)-1,COLUMNS('Portfolio Weights Returns'!$B$9:$BJ$69))+1)</f>
        <v>-8.8184821346051908E-4</v>
      </c>
      <c r="B1669" cm="1">
        <f t="array" ref="B1669">INDEX('Portfolio Weights Std'!$B$9:$BJ$69,INT((ROW(A1668)-1)/COLUMNS('Portfolio Weights Std'!$B$9:$BJ$69))+1,MOD(ROW(A1668)-1,COLUMNS('Portfolio Weights Std'!$B$9:$BJ$69))+1)</f>
        <v>2.1052339188813603E-2</v>
      </c>
    </row>
    <row r="1670" spans="1:2" x14ac:dyDescent="0.25">
      <c r="A1670" cm="1">
        <f t="array" ref="A1670">INDEX('Portfolio Weights Returns'!$B$9:$BJ$69,
INT((ROW(A1669)-1)/COLUMNS('Portfolio Weights Returns'!$B$9:$BJ$69))+1,MOD(ROW(A1669)-1,COLUMNS('Portfolio Weights Returns'!$B$9:$BJ$69))+1)</f>
        <v>-8.7506703949384004E-4</v>
      </c>
      <c r="B1670" cm="1">
        <f t="array" ref="B1670">INDEX('Portfolio Weights Std'!$B$9:$BJ$69,INT((ROW(A1669)-1)/COLUMNS('Portfolio Weights Std'!$B$9:$BJ$69))+1,MOD(ROW(A1669)-1,COLUMNS('Portfolio Weights Std'!$B$9:$BJ$69))+1)</f>
        <v>2.0893837041739517E-2</v>
      </c>
    </row>
    <row r="1671" spans="1:2" x14ac:dyDescent="0.25">
      <c r="A1671" cm="1">
        <f t="array" ref="A1671">INDEX('Portfolio Weights Returns'!$B$9:$BJ$69,
INT((ROW(A1670)-1)/COLUMNS('Portfolio Weights Returns'!$B$9:$BJ$69))+1,MOD(ROW(A1670)-1,COLUMNS('Portfolio Weights Returns'!$B$9:$BJ$69))+1)</f>
        <v>-8.682858655271609E-4</v>
      </c>
      <c r="B1671" cm="1">
        <f t="array" ref="B1671">INDEX('Portfolio Weights Std'!$B$9:$BJ$69,INT((ROW(A1670)-1)/COLUMNS('Portfolio Weights Std'!$B$9:$BJ$69))+1,MOD(ROW(A1670)-1,COLUMNS('Portfolio Weights Std'!$B$9:$BJ$69))+1)</f>
        <v>2.073635631419854E-2</v>
      </c>
    </row>
    <row r="1672" spans="1:2" x14ac:dyDescent="0.25">
      <c r="A1672" cm="1">
        <f t="array" ref="A1672">INDEX('Portfolio Weights Returns'!$B$9:$BJ$69,
INT((ROW(A1671)-1)/COLUMNS('Portfolio Weights Returns'!$B$9:$BJ$69))+1,MOD(ROW(A1671)-1,COLUMNS('Portfolio Weights Returns'!$B$9:$BJ$69))+1)</f>
        <v>-8.6150469156048176E-4</v>
      </c>
      <c r="B1672" cm="1">
        <f t="array" ref="B1672">INDEX('Portfolio Weights Std'!$B$9:$BJ$69,INT((ROW(A1671)-1)/COLUMNS('Portfolio Weights Std'!$B$9:$BJ$69))+1,MOD(ROW(A1671)-1,COLUMNS('Portfolio Weights Std'!$B$9:$BJ$69))+1)</f>
        <v>2.0579920454383754E-2</v>
      </c>
    </row>
    <row r="1673" spans="1:2" x14ac:dyDescent="0.25">
      <c r="A1673" cm="1">
        <f t="array" ref="A1673">INDEX('Portfolio Weights Returns'!$B$9:$BJ$69,
INT((ROW(A1672)-1)/COLUMNS('Portfolio Weights Returns'!$B$9:$BJ$69))+1,MOD(ROW(A1672)-1,COLUMNS('Portfolio Weights Returns'!$B$9:$BJ$69))+1)</f>
        <v>-8.5472351759380261E-4</v>
      </c>
      <c r="B1673" cm="1">
        <f t="array" ref="B1673">INDEX('Portfolio Weights Std'!$B$9:$BJ$69,INT((ROW(A1672)-1)/COLUMNS('Portfolio Weights Std'!$B$9:$BJ$69))+1,MOD(ROW(A1672)-1,COLUMNS('Portfolio Weights Std'!$B$9:$BJ$69))+1)</f>
        <v>2.0424553470880333E-2</v>
      </c>
    </row>
    <row r="1674" spans="1:2" x14ac:dyDescent="0.25">
      <c r="A1674" cm="1">
        <f t="array" ref="A1674">INDEX('Portfolio Weights Returns'!$B$9:$BJ$69,
INT((ROW(A1673)-1)/COLUMNS('Portfolio Weights Returns'!$B$9:$BJ$69))+1,MOD(ROW(A1673)-1,COLUMNS('Portfolio Weights Returns'!$B$9:$BJ$69))+1)</f>
        <v>-8.4794234362712358E-4</v>
      </c>
      <c r="B1674" cm="1">
        <f t="array" ref="B1674">INDEX('Portfolio Weights Std'!$B$9:$BJ$69,INT((ROW(A1673)-1)/COLUMNS('Portfolio Weights Std'!$B$9:$BJ$69))+1,MOD(ROW(A1673)-1,COLUMNS('Portfolio Weights Std'!$B$9:$BJ$69))+1)</f>
        <v>2.0270279941768516E-2</v>
      </c>
    </row>
    <row r="1675" spans="1:2" x14ac:dyDescent="0.25">
      <c r="A1675" cm="1">
        <f t="array" ref="A1675">INDEX('Portfolio Weights Returns'!$B$9:$BJ$69,
INT((ROW(A1674)-1)/COLUMNS('Portfolio Weights Returns'!$B$9:$BJ$69))+1,MOD(ROW(A1674)-1,COLUMNS('Portfolio Weights Returns'!$B$9:$BJ$69))+1)</f>
        <v>-8.4116116966044443E-4</v>
      </c>
      <c r="B1675" cm="1">
        <f t="array" ref="B1675">INDEX('Portfolio Weights Std'!$B$9:$BJ$69,INT((ROW(A1674)-1)/COLUMNS('Portfolio Weights Std'!$B$9:$BJ$69))+1,MOD(ROW(A1674)-1,COLUMNS('Portfolio Weights Std'!$B$9:$BJ$69))+1)</f>
        <v>2.011712502340237E-2</v>
      </c>
    </row>
    <row r="1676" spans="1:2" x14ac:dyDescent="0.25">
      <c r="A1676" cm="1">
        <f t="array" ref="A1676">INDEX('Portfolio Weights Returns'!$B$9:$BJ$69,
INT((ROW(A1675)-1)/COLUMNS('Portfolio Weights Returns'!$B$9:$BJ$69))+1,MOD(ROW(A1675)-1,COLUMNS('Portfolio Weights Returns'!$B$9:$BJ$69))+1)</f>
        <v>-8.343799956937654E-4</v>
      </c>
      <c r="B1676" cm="1">
        <f t="array" ref="B1676">INDEX('Portfolio Weights Std'!$B$9:$BJ$69,INT((ROW(A1675)-1)/COLUMNS('Portfolio Weights Std'!$B$9:$BJ$69))+1,MOD(ROW(A1675)-1,COLUMNS('Portfolio Weights Std'!$B$9:$BJ$69))+1)</f>
        <v>1.9965114458812071E-2</v>
      </c>
    </row>
    <row r="1677" spans="1:2" x14ac:dyDescent="0.25">
      <c r="A1677" cm="1">
        <f t="array" ref="A1677">INDEX('Portfolio Weights Returns'!$B$9:$BJ$69,
INT((ROW(A1676)-1)/COLUMNS('Portfolio Weights Returns'!$B$9:$BJ$69))+1,MOD(ROW(A1676)-1,COLUMNS('Portfolio Weights Returns'!$B$9:$BJ$69))+1)</f>
        <v>-8.2759882172708625E-4</v>
      </c>
      <c r="B1677" cm="1">
        <f t="array" ref="B1677">INDEX('Portfolio Weights Std'!$B$9:$BJ$69,INT((ROW(A1676)-1)/COLUMNS('Portfolio Weights Std'!$B$9:$BJ$69))+1,MOD(ROW(A1676)-1,COLUMNS('Portfolio Weights Std'!$B$9:$BJ$69))+1)</f>
        <v>1.981427458567327E-2</v>
      </c>
    </row>
    <row r="1678" spans="1:2" x14ac:dyDescent="0.25">
      <c r="A1678" cm="1">
        <f t="array" ref="A1678">INDEX('Portfolio Weights Returns'!$B$9:$BJ$69,
INT((ROW(A1677)-1)/COLUMNS('Portfolio Weights Returns'!$B$9:$BJ$69))+1,MOD(ROW(A1677)-1,COLUMNS('Portfolio Weights Returns'!$B$9:$BJ$69))+1)</f>
        <v>-8.2081764776040711E-4</v>
      </c>
      <c r="B1678" cm="1">
        <f t="array" ref="B1678">INDEX('Portfolio Weights Std'!$B$9:$BJ$69,INT((ROW(A1677)-1)/COLUMNS('Portfolio Weights Std'!$B$9:$BJ$69))+1,MOD(ROW(A1677)-1,COLUMNS('Portfolio Weights Std'!$B$9:$BJ$69))+1)</f>
        <v>1.9664632343783454E-2</v>
      </c>
    </row>
    <row r="1679" spans="1:2" x14ac:dyDescent="0.25">
      <c r="A1679" cm="1">
        <f t="array" ref="A1679">INDEX('Portfolio Weights Returns'!$B$9:$BJ$69,
INT((ROW(A1678)-1)/COLUMNS('Portfolio Weights Returns'!$B$9:$BJ$69))+1,MOD(ROW(A1678)-1,COLUMNS('Portfolio Weights Returns'!$B$9:$BJ$69))+1)</f>
        <v>-8.1403647379372796E-4</v>
      </c>
      <c r="B1679" cm="1">
        <f t="array" ref="B1679">INDEX('Portfolio Weights Std'!$B$9:$BJ$69,INT((ROW(A1678)-1)/COLUMNS('Portfolio Weights Std'!$B$9:$BJ$69))+1,MOD(ROW(A1678)-1,COLUMNS('Portfolio Weights Std'!$B$9:$BJ$69))+1)</f>
        <v>1.9516215281980703E-2</v>
      </c>
    </row>
    <row r="1680" spans="1:2" x14ac:dyDescent="0.25">
      <c r="A1680" cm="1">
        <f t="array" ref="A1680">INDEX('Portfolio Weights Returns'!$B$9:$BJ$69,
INT((ROW(A1679)-1)/COLUMNS('Portfolio Weights Returns'!$B$9:$BJ$69))+1,MOD(ROW(A1679)-1,COLUMNS('Portfolio Weights Returns'!$B$9:$BJ$69))+1)</f>
        <v>-8.0725529982704882E-4</v>
      </c>
      <c r="B1680" cm="1">
        <f t="array" ref="B1680">INDEX('Portfolio Weights Std'!$B$9:$BJ$69,INT((ROW(A1679)-1)/COLUMNS('Portfolio Weights Std'!$B$9:$BJ$69))+1,MOD(ROW(A1679)-1,COLUMNS('Portfolio Weights Std'!$B$9:$BJ$69))+1)</f>
        <v>1.9369051564436131E-2</v>
      </c>
    </row>
    <row r="1681" spans="1:2" x14ac:dyDescent="0.25">
      <c r="A1681" cm="1">
        <f t="array" ref="A1681">INDEX('Portfolio Weights Returns'!$B$9:$BJ$69,
INT((ROW(A1680)-1)/COLUMNS('Portfolio Weights Returns'!$B$9:$BJ$69))+1,MOD(ROW(A1680)-1,COLUMNS('Portfolio Weights Returns'!$B$9:$BJ$69))+1)</f>
        <v>-8.0047412586036978E-4</v>
      </c>
      <c r="B1681" cm="1">
        <f t="array" ref="B1681">INDEX('Portfolio Weights Std'!$B$9:$BJ$69,INT((ROW(A1680)-1)/COLUMNS('Portfolio Weights Std'!$B$9:$BJ$69))+1,MOD(ROW(A1680)-1,COLUMNS('Portfolio Weights Std'!$B$9:$BJ$69))+1)</f>
        <v>1.9223169976246901E-2</v>
      </c>
    </row>
    <row r="1682" spans="1:2" x14ac:dyDescent="0.25">
      <c r="A1682" cm="1">
        <f t="array" ref="A1682">INDEX('Portfolio Weights Returns'!$B$9:$BJ$69,
INT((ROW(A1681)-1)/COLUMNS('Portfolio Weights Returns'!$B$9:$BJ$69))+1,MOD(ROW(A1681)-1,COLUMNS('Portfolio Weights Returns'!$B$9:$BJ$69))+1)</f>
        <v>-7.9369295189369064E-4</v>
      </c>
      <c r="B1682" cm="1">
        <f t="array" ref="B1682">INDEX('Portfolio Weights Std'!$B$9:$BJ$69,INT((ROW(A1681)-1)/COLUMNS('Portfolio Weights Std'!$B$9:$BJ$69))+1,MOD(ROW(A1681)-1,COLUMNS('Portfolio Weights Std'!$B$9:$BJ$69))+1)</f>
        <v>1.9078599928252095E-2</v>
      </c>
    </row>
    <row r="1683" spans="1:2" x14ac:dyDescent="0.25">
      <c r="A1683" cm="1">
        <f t="array" ref="A1683">INDEX('Portfolio Weights Returns'!$B$9:$BJ$69,
INT((ROW(A1682)-1)/COLUMNS('Portfolio Weights Returns'!$B$9:$BJ$69))+1,MOD(ROW(A1682)-1,COLUMNS('Portfolio Weights Returns'!$B$9:$BJ$69))+1)</f>
        <v>-7.869117779270116E-4</v>
      </c>
      <c r="B1683" cm="1">
        <f t="array" ref="B1683">INDEX('Portfolio Weights Std'!$B$9:$BJ$69,INT((ROW(A1682)-1)/COLUMNS('Portfolio Weights Std'!$B$9:$BJ$69))+1,MOD(ROW(A1682)-1,COLUMNS('Portfolio Weights Std'!$B$9:$BJ$69))+1)</f>
        <v>1.8935371460989281E-2</v>
      </c>
    </row>
    <row r="1684" spans="1:2" x14ac:dyDescent="0.25">
      <c r="A1684" cm="1">
        <f t="array" ref="A1684">INDEX('Portfolio Weights Returns'!$B$9:$BJ$69,
INT((ROW(A1683)-1)/COLUMNS('Portfolio Weights Returns'!$B$9:$BJ$69))+1,MOD(ROW(A1683)-1,COLUMNS('Portfolio Weights Returns'!$B$9:$BJ$69))+1)</f>
        <v>-7.8013060396033246E-4</v>
      </c>
      <c r="B1684" cm="1">
        <f t="array" ref="B1684">INDEX('Portfolio Weights Std'!$B$9:$BJ$69,INT((ROW(A1683)-1)/COLUMNS('Portfolio Weights Std'!$B$9:$BJ$69))+1,MOD(ROW(A1683)-1,COLUMNS('Portfolio Weights Std'!$B$9:$BJ$69))+1)</f>
        <v>1.8793515247704982E-2</v>
      </c>
    </row>
    <row r="1685" spans="1:2" x14ac:dyDescent="0.25">
      <c r="A1685" cm="1">
        <f t="array" ref="A1685">INDEX('Portfolio Weights Returns'!$B$9:$BJ$69,
INT((ROW(A1684)-1)/COLUMNS('Portfolio Weights Returns'!$B$9:$BJ$69))+1,MOD(ROW(A1684)-1,COLUMNS('Portfolio Weights Returns'!$B$9:$BJ$69))+1)</f>
        <v>-7.7334942999365342E-4</v>
      </c>
      <c r="B1685" cm="1">
        <f t="array" ref="B1685">INDEX('Portfolio Weights Std'!$B$9:$BJ$69,INT((ROW(A1684)-1)/COLUMNS('Portfolio Weights Std'!$B$9:$BJ$69))+1,MOD(ROW(A1684)-1,COLUMNS('Portfolio Weights Std'!$B$9:$BJ$69))+1)</f>
        <v>1.8653062596327659E-2</v>
      </c>
    </row>
    <row r="1686" spans="1:2" x14ac:dyDescent="0.25">
      <c r="A1686" cm="1">
        <f t="array" ref="A1686">INDEX('Portfolio Weights Returns'!$B$9:$BJ$69,
INT((ROW(A1685)-1)/COLUMNS('Portfolio Weights Returns'!$B$9:$BJ$69))+1,MOD(ROW(A1685)-1,COLUMNS('Portfolio Weights Returns'!$B$9:$BJ$69))+1)</f>
        <v>-7.6656825602697417E-4</v>
      </c>
      <c r="B1686" cm="1">
        <f t="array" ref="B1686">INDEX('Portfolio Weights Std'!$B$9:$BJ$69,INT((ROW(A1685)-1)/COLUMNS('Portfolio Weights Std'!$B$9:$BJ$69))+1,MOD(ROW(A1685)-1,COLUMNS('Portfolio Weights Std'!$B$9:$BJ$69))+1)</f>
        <v>1.8514045450307239E-2</v>
      </c>
    </row>
    <row r="1687" spans="1:2" x14ac:dyDescent="0.25">
      <c r="A1687" cm="1">
        <f t="array" ref="A1687">INDEX('Portfolio Weights Returns'!$B$9:$BJ$69,
INT((ROW(A1686)-1)/COLUMNS('Portfolio Weights Returns'!$B$9:$BJ$69))+1,MOD(ROW(A1686)-1,COLUMNS('Portfolio Weights Returns'!$B$9:$BJ$69))+1)</f>
        <v>-7.5978708206029513E-4</v>
      </c>
      <c r="B1687" cm="1">
        <f t="array" ref="B1687">INDEX('Portfolio Weights Std'!$B$9:$BJ$69,INT((ROW(A1686)-1)/COLUMNS('Portfolio Weights Std'!$B$9:$BJ$69))+1,MOD(ROW(A1686)-1,COLUMNS('Portfolio Weights Std'!$B$9:$BJ$69))+1)</f>
        <v>1.8376496388220809E-2</v>
      </c>
    </row>
    <row r="1688" spans="1:2" x14ac:dyDescent="0.25">
      <c r="A1688" cm="1">
        <f t="array" ref="A1688">INDEX('Portfolio Weights Returns'!$B$9:$BJ$69,
INT((ROW(A1687)-1)/COLUMNS('Portfolio Weights Returns'!$B$9:$BJ$69))+1,MOD(ROW(A1687)-1,COLUMNS('Portfolio Weights Returns'!$B$9:$BJ$69))+1)</f>
        <v>-7.530059080936161E-4</v>
      </c>
      <c r="B1688" cm="1">
        <f t="array" ref="B1688">INDEX('Portfolio Weights Std'!$B$9:$BJ$69,INT((ROW(A1687)-1)/COLUMNS('Portfolio Weights Std'!$B$9:$BJ$69))+1,MOD(ROW(A1687)-1,COLUMNS('Portfolio Weights Std'!$B$9:$BJ$69))+1)</f>
        <v>1.8240448622039659E-2</v>
      </c>
    </row>
    <row r="1689" spans="1:2" x14ac:dyDescent="0.25">
      <c r="A1689" cm="1">
        <f t="array" ref="A1689">INDEX('Portfolio Weights Returns'!$B$9:$BJ$69,
INT((ROW(A1688)-1)/COLUMNS('Portfolio Weights Returns'!$B$9:$BJ$69))+1,MOD(ROW(A1688)-1,COLUMNS('Portfolio Weights Returns'!$B$9:$BJ$69))+1)</f>
        <v>-7.4622473412693695E-4</v>
      </c>
      <c r="B1689" cm="1">
        <f t="array" ref="B1689">INDEX('Portfolio Weights Std'!$B$9:$BJ$69,INT((ROW(A1688)-1)/COLUMNS('Portfolio Weights Std'!$B$9:$BJ$69))+1,MOD(ROW(A1688)-1,COLUMNS('Portfolio Weights Std'!$B$9:$BJ$69))+1)</f>
        <v>1.8105935993948795E-2</v>
      </c>
    </row>
    <row r="1690" spans="1:2" x14ac:dyDescent="0.25">
      <c r="A1690" cm="1">
        <f t="array" ref="A1690">INDEX('Portfolio Weights Returns'!$B$9:$BJ$69,
INT((ROW(A1689)-1)/COLUMNS('Portfolio Weights Returns'!$B$9:$BJ$69))+1,MOD(ROW(A1689)-1,COLUMNS('Portfolio Weights Returns'!$B$9:$BJ$69))+1)</f>
        <v>-7.3944356016025792E-4</v>
      </c>
      <c r="B1690" cm="1">
        <f t="array" ref="B1690">INDEX('Portfolio Weights Std'!$B$9:$BJ$69,INT((ROW(A1689)-1)/COLUMNS('Portfolio Weights Std'!$B$9:$BJ$69))+1,MOD(ROW(A1689)-1,COLUMNS('Portfolio Weights Std'!$B$9:$BJ$69))+1)</f>
        <v>1.7972992971605997E-2</v>
      </c>
    </row>
    <row r="1691" spans="1:2" x14ac:dyDescent="0.25">
      <c r="A1691" cm="1">
        <f t="array" ref="A1691">INDEX('Portfolio Weights Returns'!$B$9:$BJ$69,
INT((ROW(A1690)-1)/COLUMNS('Portfolio Weights Returns'!$B$9:$BJ$69))+1,MOD(ROW(A1690)-1,COLUMNS('Portfolio Weights Returns'!$B$9:$BJ$69))+1)</f>
        <v>-7.3266238619357877E-4</v>
      </c>
      <c r="B1691" cm="1">
        <f t="array" ref="B1691">INDEX('Portfolio Weights Std'!$B$9:$BJ$69,INT((ROW(A1690)-1)/COLUMNS('Portfolio Weights Std'!$B$9:$BJ$69))+1,MOD(ROW(A1690)-1,COLUMNS('Portfolio Weights Std'!$B$9:$BJ$69))+1)</f>
        <v>1.7841654641724023E-2</v>
      </c>
    </row>
    <row r="1692" spans="1:2" x14ac:dyDescent="0.25">
      <c r="A1692" cm="1">
        <f t="array" ref="A1692">INDEX('Portfolio Weights Returns'!$B$9:$BJ$69,
INT((ROW(A1691)-1)/COLUMNS('Portfolio Weights Returns'!$B$9:$BJ$69))+1,MOD(ROW(A1691)-1,COLUMNS('Portfolio Weights Returns'!$B$9:$BJ$69))+1)</f>
        <v>-7.2588121222689963E-4</v>
      </c>
      <c r="B1692" cm="1">
        <f t="array" ref="B1692">INDEX('Portfolio Weights Std'!$B$9:$BJ$69,INT((ROW(A1691)-1)/COLUMNS('Portfolio Weights Std'!$B$9:$BJ$69))+1,MOD(ROW(A1691)-1,COLUMNS('Portfolio Weights Std'!$B$9:$BJ$69))+1)</f>
        <v>1.7711956701856296E-2</v>
      </c>
    </row>
    <row r="1693" spans="1:2" x14ac:dyDescent="0.25">
      <c r="A1693" cm="1">
        <f t="array" ref="A1693">INDEX('Portfolio Weights Returns'!$B$9:$BJ$69,
INT((ROW(A1692)-1)/COLUMNS('Portfolio Weights Returns'!$B$9:$BJ$69))+1,MOD(ROW(A1692)-1,COLUMNS('Portfolio Weights Returns'!$B$9:$BJ$69))+1)</f>
        <v>-7.1910003826022048E-4</v>
      </c>
      <c r="B1693" cm="1">
        <f t="array" ref="B1693">INDEX('Portfolio Weights Std'!$B$9:$BJ$69,INT((ROW(A1692)-1)/COLUMNS('Portfolio Weights Std'!$B$9:$BJ$69))+1,MOD(ROW(A1692)-1,COLUMNS('Portfolio Weights Std'!$B$9:$BJ$69))+1)</f>
        <v>1.758393545026363E-2</v>
      </c>
    </row>
    <row r="1694" spans="1:2" x14ac:dyDescent="0.25">
      <c r="A1694" cm="1">
        <f t="array" ref="A1694">INDEX('Portfolio Weights Returns'!$B$9:$BJ$69,
INT((ROW(A1693)-1)/COLUMNS('Portfolio Weights Returns'!$B$9:$BJ$69))+1,MOD(ROW(A1693)-1,COLUMNS('Portfolio Weights Returns'!$B$9:$BJ$69))+1)</f>
        <v>-7.1231886429354145E-4</v>
      </c>
      <c r="B1694" cm="1">
        <f t="array" ref="B1694">INDEX('Portfolio Weights Std'!$B$9:$BJ$69,INT((ROW(A1693)-1)/COLUMNS('Portfolio Weights Std'!$B$9:$BJ$69))+1,MOD(ROW(A1693)-1,COLUMNS('Portfolio Weights Std'!$B$9:$BJ$69))+1)</f>
        <v>1.7457627773737463E-2</v>
      </c>
    </row>
    <row r="1695" spans="1:2" x14ac:dyDescent="0.25">
      <c r="A1695" cm="1">
        <f t="array" ref="A1695">INDEX('Portfolio Weights Returns'!$B$9:$BJ$69,
INT((ROW(A1694)-1)/COLUMNS('Portfolio Weights Returns'!$B$9:$BJ$69))+1,MOD(ROW(A1694)-1,COLUMNS('Portfolio Weights Returns'!$B$9:$BJ$69))+1)</f>
        <v>-7.055376903268623E-4</v>
      </c>
      <c r="B1695" cm="1">
        <f t="array" ref="B1695">INDEX('Portfolio Weights Std'!$B$9:$BJ$69,INT((ROW(A1694)-1)/COLUMNS('Portfolio Weights Std'!$B$9:$BJ$69))+1,MOD(ROW(A1694)-1,COLUMNS('Portfolio Weights Std'!$B$9:$BJ$69))+1)</f>
        <v>1.7333071133253542E-2</v>
      </c>
    </row>
    <row r="1696" spans="1:2" x14ac:dyDescent="0.25">
      <c r="A1696" cm="1">
        <f t="array" ref="A1696">INDEX('Portfolio Weights Returns'!$B$9:$BJ$69,
INT((ROW(A1695)-1)/COLUMNS('Portfolio Weights Returns'!$B$9:$BJ$69))+1,MOD(ROW(A1695)-1,COLUMNS('Portfolio Weights Returns'!$B$9:$BJ$69))+1)</f>
        <v>-6.9875651636018327E-4</v>
      </c>
      <c r="B1696" cm="1">
        <f t="array" ref="B1696">INDEX('Portfolio Weights Std'!$B$9:$BJ$69,INT((ROW(A1695)-1)/COLUMNS('Portfolio Weights Std'!$B$9:$BJ$69))+1,MOD(ROW(A1695)-1,COLUMNS('Portfolio Weights Std'!$B$9:$BJ$69))+1)</f>
        <v>1.7210303547329164E-2</v>
      </c>
    </row>
    <row r="1697" spans="1:2" x14ac:dyDescent="0.25">
      <c r="A1697" cm="1">
        <f t="array" ref="A1697">INDEX('Portfolio Weights Returns'!$B$9:$BJ$69,
INT((ROW(A1696)-1)/COLUMNS('Portfolio Weights Returns'!$B$9:$BJ$69))+1,MOD(ROW(A1696)-1,COLUMNS('Portfolio Weights Returns'!$B$9:$BJ$69))+1)</f>
        <v>-6.9197534239350412E-4</v>
      </c>
      <c r="B1697" cm="1">
        <f t="array" ref="B1697">INDEX('Portfolio Weights Std'!$B$9:$BJ$69,INT((ROW(A1696)-1)/COLUMNS('Portfolio Weights Std'!$B$9:$BJ$69))+1,MOD(ROW(A1696)-1,COLUMNS('Portfolio Weights Std'!$B$9:$BJ$69))+1)</f>
        <v>1.7089363572957313E-2</v>
      </c>
    </row>
    <row r="1698" spans="1:2" x14ac:dyDescent="0.25">
      <c r="A1698" cm="1">
        <f t="array" ref="A1698">INDEX('Portfolio Weights Returns'!$B$9:$BJ$69,
INT((ROW(A1697)-1)/COLUMNS('Portfolio Weights Returns'!$B$9:$BJ$69))+1,MOD(ROW(A1697)-1,COLUMNS('Portfolio Weights Returns'!$B$9:$BJ$69))+1)</f>
        <v>-6.8519416842682498E-4</v>
      </c>
      <c r="B1698" cm="1">
        <f t="array" ref="B1698">INDEX('Portfolio Weights Std'!$B$9:$BJ$69,INT((ROW(A1697)-1)/COLUMNS('Portfolio Weights Std'!$B$9:$BJ$69))+1,MOD(ROW(A1697)-1,COLUMNS('Portfolio Weights Std'!$B$9:$BJ$69))+1)</f>
        <v>1.6970290283992075E-2</v>
      </c>
    </row>
    <row r="1699" spans="1:2" x14ac:dyDescent="0.25">
      <c r="A1699" cm="1">
        <f t="array" ref="A1699">INDEX('Portfolio Weights Returns'!$B$9:$BJ$69,
INT((ROW(A1698)-1)/COLUMNS('Portfolio Weights Returns'!$B$9:$BJ$69))+1,MOD(ROW(A1698)-1,COLUMNS('Portfolio Weights Returns'!$B$9:$BJ$69))+1)</f>
        <v>-6.7841299446014594E-4</v>
      </c>
      <c r="B1699" cm="1">
        <f t="array" ref="B1699">INDEX('Portfolio Weights Std'!$B$9:$BJ$69,INT((ROW(A1698)-1)/COLUMNS('Portfolio Weights Std'!$B$9:$BJ$69))+1,MOD(ROW(A1698)-1,COLUMNS('Portfolio Weights Std'!$B$9:$BJ$69))+1)</f>
        <v>1.6853123246861907E-2</v>
      </c>
    </row>
    <row r="1700" spans="1:2" x14ac:dyDescent="0.25">
      <c r="A1700" cm="1">
        <f t="array" ref="A1700">INDEX('Portfolio Weights Returns'!$B$9:$BJ$69,
INT((ROW(A1699)-1)/COLUMNS('Portfolio Weights Returns'!$B$9:$BJ$69))+1,MOD(ROW(A1699)-1,COLUMNS('Portfolio Weights Returns'!$B$9:$BJ$69))+1)</f>
        <v>-6.716318204934668E-4</v>
      </c>
      <c r="B1700" cm="1">
        <f t="array" ref="B1700">INDEX('Portfolio Weights Std'!$B$9:$BJ$69,INT((ROW(A1699)-1)/COLUMNS('Portfolio Weights Std'!$B$9:$BJ$69))+1,MOD(ROW(A1699)-1,COLUMNS('Portfolio Weights Std'!$B$9:$BJ$69))+1)</f>
        <v>1.6737902493490768E-2</v>
      </c>
    </row>
    <row r="1701" spans="1:2" x14ac:dyDescent="0.25">
      <c r="A1701" cm="1">
        <f t="array" ref="A1701">INDEX('Portfolio Weights Returns'!$B$9:$BJ$69,
INT((ROW(A1700)-1)/COLUMNS('Portfolio Weights Returns'!$B$9:$BJ$69))+1,MOD(ROW(A1700)-1,COLUMNS('Portfolio Weights Returns'!$B$9:$BJ$69))+1)</f>
        <v>-6.6485064652678776E-4</v>
      </c>
      <c r="B1701" cm="1">
        <f t="array" ref="B1701">INDEX('Portfolio Weights Std'!$B$9:$BJ$69,INT((ROW(A1700)-1)/COLUMNS('Portfolio Weights Std'!$B$9:$BJ$69))+1,MOD(ROW(A1700)-1,COLUMNS('Portfolio Weights Std'!$B$9:$BJ$69))+1)</f>
        <v>1.6624668491311868E-2</v>
      </c>
    </row>
    <row r="1702" spans="1:2" x14ac:dyDescent="0.25">
      <c r="A1702" cm="1">
        <f t="array" ref="A1702">INDEX('Portfolio Weights Returns'!$B$9:$BJ$69,
INT((ROW(A1701)-1)/COLUMNS('Portfolio Weights Returns'!$B$9:$BJ$69))+1,MOD(ROW(A1701)-1,COLUMNS('Portfolio Weights Returns'!$B$9:$BJ$69))+1)</f>
        <v>-6.5806947256010862E-4</v>
      </c>
      <c r="B1702" cm="1">
        <f t="array" ref="B1702">INDEX('Portfolio Weights Std'!$B$9:$BJ$69,INT((ROW(A1701)-1)/COLUMNS('Portfolio Weights Std'!$B$9:$BJ$69))+1,MOD(ROW(A1701)-1,COLUMNS('Portfolio Weights Std'!$B$9:$BJ$69))+1)</f>
        <v>1.6513462110264974E-2</v>
      </c>
    </row>
    <row r="1703" spans="1:2" x14ac:dyDescent="0.25">
      <c r="A1703" cm="1">
        <f t="array" ref="A1703">INDEX('Portfolio Weights Returns'!$B$9:$BJ$69,
INT((ROW(A1702)-1)/COLUMNS('Portfolio Weights Returns'!$B$9:$BJ$69))+1,MOD(ROW(A1702)-1,COLUMNS('Portfolio Weights Returns'!$B$9:$BJ$69))+1)</f>
        <v>-6.5128829859342958E-4</v>
      </c>
      <c r="B1703" cm="1">
        <f t="array" ref="B1703">INDEX('Portfolio Weights Std'!$B$9:$BJ$69,INT((ROW(A1702)-1)/COLUMNS('Portfolio Weights Std'!$B$9:$BJ$69))+1,MOD(ROW(A1702)-1,COLUMNS('Portfolio Weights Std'!$B$9:$BJ$69))+1)</f>
        <v>1.6404324586675977E-2</v>
      </c>
    </row>
    <row r="1704" spans="1:2" x14ac:dyDescent="0.25">
      <c r="A1704" cm="1">
        <f t="array" ref="A1704">INDEX('Portfolio Weights Returns'!$B$9:$BJ$69,
INT((ROW(A1703)-1)/COLUMNS('Portfolio Weights Returns'!$B$9:$BJ$69))+1,MOD(ROW(A1703)-1,COLUMNS('Portfolio Weights Returns'!$B$9:$BJ$69))+1)</f>
        <v>-6.4450712462675033E-4</v>
      </c>
      <c r="B1704" cm="1">
        <f t="array" ref="B1704">INDEX('Portfolio Weights Std'!$B$9:$BJ$69,INT((ROW(A1703)-1)/COLUMNS('Portfolio Weights Std'!$B$9:$BJ$69))+1,MOD(ROW(A1703)-1,COLUMNS('Portfolio Weights Std'!$B$9:$BJ$69))+1)</f>
        <v>1.6297297483926988E-2</v>
      </c>
    </row>
    <row r="1705" spans="1:2" x14ac:dyDescent="0.25">
      <c r="A1705" cm="1">
        <f t="array" ref="A1705">INDEX('Portfolio Weights Returns'!$B$9:$BJ$69,
INT((ROW(A1704)-1)/COLUMNS('Portfolio Weights Returns'!$B$9:$BJ$69))+1,MOD(ROW(A1704)-1,COLUMNS('Portfolio Weights Returns'!$B$9:$BJ$69))+1)</f>
        <v>-6.3772595066007129E-4</v>
      </c>
      <c r="B1705" cm="1">
        <f t="array" ref="B1705">INDEX('Portfolio Weights Std'!$B$9:$BJ$69,INT((ROW(A1704)-1)/COLUMNS('Portfolio Weights Std'!$B$9:$BJ$69))+1,MOD(ROW(A1704)-1,COLUMNS('Portfolio Weights Std'!$B$9:$BJ$69))+1)</f>
        <v>1.6192422649836245E-2</v>
      </c>
    </row>
    <row r="1706" spans="1:2" x14ac:dyDescent="0.25">
      <c r="A1706" cm="1">
        <f t="array" ref="A1706">INDEX('Portfolio Weights Returns'!$B$9:$BJ$69,
INT((ROW(A1705)-1)/COLUMNS('Portfolio Weights Returns'!$B$9:$BJ$69))+1,MOD(ROW(A1705)-1,COLUMNS('Portfolio Weights Returns'!$B$9:$BJ$69))+1)</f>
        <v>-6.309447766933915E-4</v>
      </c>
      <c r="B1706" cm="1">
        <f t="array" ref="B1706">INDEX('Portfolio Weights Std'!$B$9:$BJ$69,INT((ROW(A1705)-1)/COLUMNS('Portfolio Weights Std'!$B$9:$BJ$69))+1,MOD(ROW(A1705)-1,COLUMNS('Portfolio Weights Std'!$B$9:$BJ$69))+1)</f>
        <v>1.6089742170680436E-2</v>
      </c>
    </row>
    <row r="1707" spans="1:2" x14ac:dyDescent="0.25">
      <c r="A1707" cm="1">
        <f t="array" ref="A1707">INDEX('Portfolio Weights Returns'!$B$9:$BJ$69,
INT((ROW(A1706)-1)/COLUMNS('Portfolio Weights Returns'!$B$9:$BJ$69))+1,MOD(ROW(A1706)-1,COLUMNS('Portfolio Weights Returns'!$B$9:$BJ$69))+1)</f>
        <v>-6.2416360272671246E-4</v>
      </c>
      <c r="B1707" cm="1">
        <f t="array" ref="B1707">INDEX('Portfolio Weights Std'!$B$9:$BJ$69,INT((ROW(A1706)-1)/COLUMNS('Portfolio Weights Std'!$B$9:$BJ$69))+1,MOD(ROW(A1706)-1,COLUMNS('Portfolio Weights Std'!$B$9:$BJ$69))+1)</f>
        <v>1.5989298321807035E-2</v>
      </c>
    </row>
    <row r="1708" spans="1:2" x14ac:dyDescent="0.25">
      <c r="A1708" cm="1">
        <f t="array" ref="A1708">INDEX('Portfolio Weights Returns'!$B$9:$BJ$69,
INT((ROW(A1707)-1)/COLUMNS('Portfolio Weights Returns'!$B$9:$BJ$69))+1,MOD(ROW(A1707)-1,COLUMNS('Portfolio Weights Returns'!$B$9:$BJ$69))+1)</f>
        <v>-6.1738242876003332E-4</v>
      </c>
      <c r="B1708" cm="1">
        <f t="array" ref="B1708">INDEX('Portfolio Weights Std'!$B$9:$BJ$69,INT((ROW(A1707)-1)/COLUMNS('Portfolio Weights Std'!$B$9:$BJ$69))+1,MOD(ROW(A1707)-1,COLUMNS('Portfolio Weights Std'!$B$9:$BJ$69))+1)</f>
        <v>1.5891133514801141E-2</v>
      </c>
    </row>
    <row r="1709" spans="1:2" x14ac:dyDescent="0.25">
      <c r="A1709" cm="1">
        <f t="array" ref="A1709">INDEX('Portfolio Weights Returns'!$B$9:$BJ$69,
INT((ROW(A1708)-1)/COLUMNS('Portfolio Weights Returns'!$B$9:$BJ$69))+1,MOD(ROW(A1708)-1,COLUMNS('Portfolio Weights Returns'!$B$9:$BJ$69))+1)</f>
        <v>-6.1060125479335417E-4</v>
      </c>
      <c r="B1709" cm="1">
        <f t="array" ref="B1709">INDEX('Portfolio Weights Std'!$B$9:$BJ$69,INT((ROW(A1708)-1)/COLUMNS('Portfolio Weights Std'!$B$9:$BJ$69))+1,MOD(ROW(A1708)-1,COLUMNS('Portfolio Weights Std'!$B$9:$BJ$69))+1)</f>
        <v>1.5795290241190779E-2</v>
      </c>
    </row>
    <row r="1710" spans="1:2" x14ac:dyDescent="0.25">
      <c r="A1710" cm="1">
        <f t="array" ref="A1710">INDEX('Portfolio Weights Returns'!$B$9:$BJ$69,
INT((ROW(A1709)-1)/COLUMNS('Portfolio Weights Returns'!$B$9:$BJ$69))+1,MOD(ROW(A1709)-1,COLUMNS('Portfolio Weights Returns'!$B$9:$BJ$69))+1)</f>
        <v>-1.0108974849486461E-3</v>
      </c>
      <c r="B1710" cm="1">
        <f t="array" ref="B1710">INDEX('Portfolio Weights Std'!$B$9:$BJ$69,INT((ROW(A1709)-1)/COLUMNS('Portfolio Weights Std'!$B$9:$BJ$69))+1,MOD(ROW(A1709)-1,COLUMNS('Portfolio Weights Std'!$B$9:$BJ$69))+1)</f>
        <v>2.4252402512470073E-2</v>
      </c>
    </row>
    <row r="1711" spans="1:2" x14ac:dyDescent="0.25">
      <c r="A1711" cm="1">
        <f t="array" ref="A1711">INDEX('Portfolio Weights Returns'!$B$9:$BJ$69,
INT((ROW(A1710)-1)/COLUMNS('Portfolio Weights Returns'!$B$9:$BJ$69))+1,MOD(ROW(A1710)-1,COLUMNS('Portfolio Weights Returns'!$B$9:$BJ$69))+1)</f>
        <v>-1.0041163109819667E-3</v>
      </c>
      <c r="B1711" cm="1">
        <f t="array" ref="B1711">INDEX('Portfolio Weights Std'!$B$9:$BJ$69,INT((ROW(A1710)-1)/COLUMNS('Portfolio Weights Std'!$B$9:$BJ$69))+1,MOD(ROW(A1710)-1,COLUMNS('Portfolio Weights Std'!$B$9:$BJ$69))+1)</f>
        <v>2.4078092535851151E-2</v>
      </c>
    </row>
    <row r="1712" spans="1:2" x14ac:dyDescent="0.25">
      <c r="A1712" cm="1">
        <f t="array" ref="A1712">INDEX('Portfolio Weights Returns'!$B$9:$BJ$69,
INT((ROW(A1711)-1)/COLUMNS('Portfolio Weights Returns'!$B$9:$BJ$69))+1,MOD(ROW(A1711)-1,COLUMNS('Portfolio Weights Returns'!$B$9:$BJ$69))+1)</f>
        <v>-9.9733513701528759E-4</v>
      </c>
      <c r="B1712" cm="1">
        <f t="array" ref="B1712">INDEX('Portfolio Weights Std'!$B$9:$BJ$69,INT((ROW(A1711)-1)/COLUMNS('Portfolio Weights Std'!$B$9:$BJ$69))+1,MOD(ROW(A1711)-1,COLUMNS('Portfolio Weights Std'!$B$9:$BJ$69))+1)</f>
        <v>2.3904448509846087E-2</v>
      </c>
    </row>
    <row r="1713" spans="1:2" x14ac:dyDescent="0.25">
      <c r="A1713" cm="1">
        <f t="array" ref="A1713">INDEX('Portfolio Weights Returns'!$B$9:$BJ$69,
INT((ROW(A1712)-1)/COLUMNS('Portfolio Weights Returns'!$B$9:$BJ$69))+1,MOD(ROW(A1712)-1,COLUMNS('Portfolio Weights Returns'!$B$9:$BJ$69))+1)</f>
        <v>-9.9055396304860866E-4</v>
      </c>
      <c r="B1713" cm="1">
        <f t="array" ref="B1713">INDEX('Portfolio Weights Std'!$B$9:$BJ$69,INT((ROW(A1712)-1)/COLUMNS('Portfolio Weights Std'!$B$9:$BJ$69))+1,MOD(ROW(A1712)-1,COLUMNS('Portfolio Weights Std'!$B$9:$BJ$69))+1)</f>
        <v>2.3731485052804445E-2</v>
      </c>
    </row>
    <row r="1714" spans="1:2" x14ac:dyDescent="0.25">
      <c r="A1714" cm="1">
        <f t="array" ref="A1714">INDEX('Portfolio Weights Returns'!$B$9:$BJ$69,
INT((ROW(A1713)-1)/COLUMNS('Portfolio Weights Returns'!$B$9:$BJ$69))+1,MOD(ROW(A1713)-1,COLUMNS('Portfolio Weights Returns'!$B$9:$BJ$69))+1)</f>
        <v>-9.8377278908192952E-4</v>
      </c>
      <c r="B1714" cm="1">
        <f t="array" ref="B1714">INDEX('Portfolio Weights Std'!$B$9:$BJ$69,INT((ROW(A1713)-1)/COLUMNS('Portfolio Weights Std'!$B$9:$BJ$69))+1,MOD(ROW(A1713)-1,COLUMNS('Portfolio Weights Std'!$B$9:$BJ$69))+1)</f>
        <v>2.3559217154222347E-2</v>
      </c>
    </row>
    <row r="1715" spans="1:2" x14ac:dyDescent="0.25">
      <c r="A1715" cm="1">
        <f t="array" ref="A1715">INDEX('Portfolio Weights Returns'!$B$9:$BJ$69,
INT((ROW(A1714)-1)/COLUMNS('Portfolio Weights Returns'!$B$9:$BJ$69))+1,MOD(ROW(A1714)-1,COLUMNS('Portfolio Weights Returns'!$B$9:$BJ$69))+1)</f>
        <v>-9.7699161511525037E-4</v>
      </c>
      <c r="B1715" cm="1">
        <f t="array" ref="B1715">INDEX('Portfolio Weights Std'!$B$9:$BJ$69,INT((ROW(A1714)-1)/COLUMNS('Portfolio Weights Std'!$B$9:$BJ$69))+1,MOD(ROW(A1714)-1,COLUMNS('Portfolio Weights Std'!$B$9:$BJ$69))+1)</f>
        <v>2.338766018405548E-2</v>
      </c>
    </row>
    <row r="1716" spans="1:2" x14ac:dyDescent="0.25">
      <c r="A1716" cm="1">
        <f t="array" ref="A1716">INDEX('Portfolio Weights Returns'!$B$9:$BJ$69,
INT((ROW(A1715)-1)/COLUMNS('Portfolio Weights Returns'!$B$9:$BJ$69))+1,MOD(ROW(A1715)-1,COLUMNS('Portfolio Weights Returns'!$B$9:$BJ$69))+1)</f>
        <v>-9.7021044114857123E-4</v>
      </c>
      <c r="B1716" cm="1">
        <f t="array" ref="B1716">INDEX('Portfolio Weights Std'!$B$9:$BJ$69,INT((ROW(A1715)-1)/COLUMNS('Portfolio Weights Std'!$B$9:$BJ$69))+1,MOD(ROW(A1715)-1,COLUMNS('Portfolio Weights Std'!$B$9:$BJ$69))+1)</f>
        <v>2.3216829902177209E-2</v>
      </c>
    </row>
    <row r="1717" spans="1:2" x14ac:dyDescent="0.25">
      <c r="A1717" cm="1">
        <f t="array" ref="A1717">INDEX('Portfolio Weights Returns'!$B$9:$BJ$69,
INT((ROW(A1716)-1)/COLUMNS('Portfolio Weights Returns'!$B$9:$BJ$69))+1,MOD(ROW(A1716)-1,COLUMNS('Portfolio Weights Returns'!$B$9:$BJ$69))+1)</f>
        <v>-9.6342926718189219E-4</v>
      </c>
      <c r="B1717" cm="1">
        <f t="array" ref="B1717">INDEX('Portfolio Weights Std'!$B$9:$BJ$69,INT((ROW(A1716)-1)/COLUMNS('Portfolio Weights Std'!$B$9:$BJ$69))+1,MOD(ROW(A1716)-1,COLUMNS('Portfolio Weights Std'!$B$9:$BJ$69))+1)</f>
        <v>2.3046742467974324E-2</v>
      </c>
    </row>
    <row r="1718" spans="1:2" x14ac:dyDescent="0.25">
      <c r="A1718" cm="1">
        <f t="array" ref="A1718">INDEX('Portfolio Weights Returns'!$B$9:$BJ$69,
INT((ROW(A1717)-1)/COLUMNS('Portfolio Weights Returns'!$B$9:$BJ$69))+1,MOD(ROW(A1717)-1,COLUMNS('Portfolio Weights Returns'!$B$9:$BJ$69))+1)</f>
        <v>-9.5664809321521305E-4</v>
      </c>
      <c r="B1718" cm="1">
        <f t="array" ref="B1718">INDEX('Portfolio Weights Std'!$B$9:$BJ$69,INT((ROW(A1717)-1)/COLUMNS('Portfolio Weights Std'!$B$9:$BJ$69))+1,MOD(ROW(A1717)-1,COLUMNS('Portfolio Weights Std'!$B$9:$BJ$69))+1)</f>
        <v>2.2877414450071906E-2</v>
      </c>
    </row>
    <row r="1719" spans="1:2" x14ac:dyDescent="0.25">
      <c r="A1719" cm="1">
        <f t="array" ref="A1719">INDEX('Portfolio Weights Returns'!$B$9:$BJ$69,
INT((ROW(A1718)-1)/COLUMNS('Portfolio Weights Returns'!$B$9:$BJ$69))+1,MOD(ROW(A1718)-1,COLUMNS('Portfolio Weights Returns'!$B$9:$BJ$69))+1)</f>
        <v>-9.4986691924853401E-4</v>
      </c>
      <c r="B1719" cm="1">
        <f t="array" ref="B1719">INDEX('Portfolio Weights Std'!$B$9:$BJ$69,INT((ROW(A1718)-1)/COLUMNS('Portfolio Weights Std'!$B$9:$BJ$69))+1,MOD(ROW(A1718)-1,COLUMNS('Portfolio Weights Std'!$B$9:$BJ$69))+1)</f>
        <v>2.2708862836177252E-2</v>
      </c>
    </row>
    <row r="1720" spans="1:2" x14ac:dyDescent="0.25">
      <c r="A1720" cm="1">
        <f t="array" ref="A1720">INDEX('Portfolio Weights Returns'!$B$9:$BJ$69,
INT((ROW(A1719)-1)/COLUMNS('Portfolio Weights Returns'!$B$9:$BJ$69))+1,MOD(ROW(A1719)-1,COLUMNS('Portfolio Weights Returns'!$B$9:$BJ$69))+1)</f>
        <v>-9.4308574528185487E-4</v>
      </c>
      <c r="B1720" cm="1">
        <f t="array" ref="B1720">INDEX('Portfolio Weights Std'!$B$9:$BJ$69,INT((ROW(A1719)-1)/COLUMNS('Portfolio Weights Std'!$B$9:$BJ$69))+1,MOD(ROW(A1719)-1,COLUMNS('Portfolio Weights Std'!$B$9:$BJ$69))+1)</f>
        <v>2.2541105043031754E-2</v>
      </c>
    </row>
    <row r="1721" spans="1:2" x14ac:dyDescent="0.25">
      <c r="A1721" cm="1">
        <f t="array" ref="A1721">INDEX('Portfolio Weights Returns'!$B$9:$BJ$69,
INT((ROW(A1720)-1)/COLUMNS('Portfolio Weights Returns'!$B$9:$BJ$69))+1,MOD(ROW(A1720)-1,COLUMNS('Portfolio Weights Returns'!$B$9:$BJ$69))+1)</f>
        <v>-9.3630457131517572E-4</v>
      </c>
      <c r="B1721" cm="1">
        <f t="array" ref="B1721">INDEX('Portfolio Weights Std'!$B$9:$BJ$69,INT((ROW(A1720)-1)/COLUMNS('Portfolio Weights Std'!$B$9:$BJ$69))+1,MOD(ROW(A1720)-1,COLUMNS('Portfolio Weights Std'!$B$9:$BJ$69))+1)</f>
        <v>2.2374158926457929E-2</v>
      </c>
    </row>
    <row r="1722" spans="1:2" x14ac:dyDescent="0.25">
      <c r="A1722" cm="1">
        <f t="array" ref="A1722">INDEX('Portfolio Weights Returns'!$B$9:$BJ$69,
INT((ROW(A1721)-1)/COLUMNS('Portfolio Weights Returns'!$B$9:$BJ$69))+1,MOD(ROW(A1721)-1,COLUMNS('Portfolio Weights Returns'!$B$9:$BJ$69))+1)</f>
        <v>-9.2952339734849658E-4</v>
      </c>
      <c r="B1722" cm="1">
        <f t="array" ref="B1722">INDEX('Portfolio Weights Std'!$B$9:$BJ$69,INT((ROW(A1721)-1)/COLUMNS('Portfolio Weights Std'!$B$9:$BJ$69))+1,MOD(ROW(A1721)-1,COLUMNS('Portfolio Weights Std'!$B$9:$BJ$69))+1)</f>
        <v>2.2208042791487234E-2</v>
      </c>
    </row>
    <row r="1723" spans="1:2" x14ac:dyDescent="0.25">
      <c r="A1723" cm="1">
        <f t="array" ref="A1723">INDEX('Portfolio Weights Returns'!$B$9:$BJ$69,
INT((ROW(A1722)-1)/COLUMNS('Portfolio Weights Returns'!$B$9:$BJ$69))+1,MOD(ROW(A1722)-1,COLUMNS('Portfolio Weights Returns'!$B$9:$BJ$69))+1)</f>
        <v>-9.2274222338181754E-4</v>
      </c>
      <c r="B1723" cm="1">
        <f t="array" ref="B1723">INDEX('Portfolio Weights Std'!$B$9:$BJ$69,INT((ROW(A1722)-1)/COLUMNS('Portfolio Weights Std'!$B$9:$BJ$69))+1,MOD(ROW(A1722)-1,COLUMNS('Portfolio Weights Std'!$B$9:$BJ$69))+1)</f>
        <v>2.2042775402552769E-2</v>
      </c>
    </row>
    <row r="1724" spans="1:2" x14ac:dyDescent="0.25">
      <c r="A1724" cm="1">
        <f t="array" ref="A1724">INDEX('Portfolio Weights Returns'!$B$9:$BJ$69,
INT((ROW(A1723)-1)/COLUMNS('Portfolio Weights Returns'!$B$9:$BJ$69))+1,MOD(ROW(A1723)-1,COLUMNS('Portfolio Weights Returns'!$B$9:$BJ$69))+1)</f>
        <v>-9.159610494151384E-4</v>
      </c>
      <c r="B1724" cm="1">
        <f t="array" ref="B1724">INDEX('Portfolio Weights Std'!$B$9:$BJ$69,INT((ROW(A1723)-1)/COLUMNS('Portfolio Weights Std'!$B$9:$BJ$69))+1,MOD(ROW(A1723)-1,COLUMNS('Portfolio Weights Std'!$B$9:$BJ$69))+1)</f>
        <v>2.1878375993728796E-2</v>
      </c>
    </row>
    <row r="1725" spans="1:2" x14ac:dyDescent="0.25">
      <c r="A1725" cm="1">
        <f t="array" ref="A1725">INDEX('Portfolio Weights Returns'!$B$9:$BJ$69,
INT((ROW(A1724)-1)/COLUMNS('Portfolio Weights Returns'!$B$9:$BJ$69))+1,MOD(ROW(A1724)-1,COLUMNS('Portfolio Weights Returns'!$B$9:$BJ$69))+1)</f>
        <v>-9.0917987544845936E-4</v>
      </c>
      <c r="B1725" cm="1">
        <f t="array" ref="B1725">INDEX('Portfolio Weights Std'!$B$9:$BJ$69,INT((ROW(A1724)-1)/COLUMNS('Portfolio Weights Std'!$B$9:$BJ$69))+1,MOD(ROW(A1724)-1,COLUMNS('Portfolio Weights Std'!$B$9:$BJ$69))+1)</f>
        <v>2.1714864278997405E-2</v>
      </c>
    </row>
    <row r="1726" spans="1:2" x14ac:dyDescent="0.25">
      <c r="A1726" cm="1">
        <f t="array" ref="A1726">INDEX('Portfolio Weights Returns'!$B$9:$BJ$69,
INT((ROW(A1725)-1)/COLUMNS('Portfolio Weights Returns'!$B$9:$BJ$69))+1,MOD(ROW(A1725)-1,COLUMNS('Portfolio Weights Returns'!$B$9:$BJ$69))+1)</f>
        <v>-9.0239870148178033E-4</v>
      </c>
      <c r="B1726" cm="1">
        <f t="array" ref="B1726">INDEX('Portfolio Weights Std'!$B$9:$BJ$69,INT((ROW(A1725)-1)/COLUMNS('Portfolio Weights Std'!$B$9:$BJ$69))+1,MOD(ROW(A1725)-1,COLUMNS('Portfolio Weights Std'!$B$9:$BJ$69))+1)</f>
        <v>2.1552260462520224E-2</v>
      </c>
    </row>
    <row r="1727" spans="1:2" x14ac:dyDescent="0.25">
      <c r="A1727" cm="1">
        <f t="array" ref="A1727">INDEX('Portfolio Weights Returns'!$B$9:$BJ$69,
INT((ROW(A1726)-1)/COLUMNS('Portfolio Weights Returns'!$B$9:$BJ$69))+1,MOD(ROW(A1726)-1,COLUMNS('Portfolio Weights Returns'!$B$9:$BJ$69))+1)</f>
        <v>-8.9561752751510107E-4</v>
      </c>
      <c r="B1727" cm="1">
        <f t="array" ref="B1727">INDEX('Portfolio Weights Std'!$B$9:$BJ$69,INT((ROW(A1726)-1)/COLUMNS('Portfolio Weights Std'!$B$9:$BJ$69))+1,MOD(ROW(A1726)-1,COLUMNS('Portfolio Weights Std'!$B$9:$BJ$69))+1)</f>
        <v>2.1390585248890998E-2</v>
      </c>
    </row>
    <row r="1728" spans="1:2" x14ac:dyDescent="0.25">
      <c r="A1728" cm="1">
        <f t="array" ref="A1728">INDEX('Portfolio Weights Returns'!$B$9:$BJ$69,
INT((ROW(A1727)-1)/COLUMNS('Portfolio Weights Returns'!$B$9:$BJ$69))+1,MOD(ROW(A1727)-1,COLUMNS('Portfolio Weights Returns'!$B$9:$BJ$69))+1)</f>
        <v>-8.8883635354842215E-4</v>
      </c>
      <c r="B1728" cm="1">
        <f t="array" ref="B1728">INDEX('Portfolio Weights Std'!$B$9:$BJ$69,INT((ROW(A1727)-1)/COLUMNS('Portfolio Weights Std'!$B$9:$BJ$69))+1,MOD(ROW(A1727)-1,COLUMNS('Portfolio Weights Std'!$B$9:$BJ$69))+1)</f>
        <v>2.1229859853342421E-2</v>
      </c>
    </row>
    <row r="1729" spans="1:2" x14ac:dyDescent="0.25">
      <c r="A1729" cm="1">
        <f t="array" ref="A1729">INDEX('Portfolio Weights Returns'!$B$9:$BJ$69,
INT((ROW(A1728)-1)/COLUMNS('Portfolio Weights Returns'!$B$9:$BJ$69))+1,MOD(ROW(A1728)-1,COLUMNS('Portfolio Weights Returns'!$B$9:$BJ$69))+1)</f>
        <v>-8.82055179581743E-4</v>
      </c>
      <c r="B1729" cm="1">
        <f t="array" ref="B1729">INDEX('Portfolio Weights Std'!$B$9:$BJ$69,INT((ROW(A1728)-1)/COLUMNS('Portfolio Weights Std'!$B$9:$BJ$69))+1,MOD(ROW(A1728)-1,COLUMNS('Portfolio Weights Std'!$B$9:$BJ$69))+1)</f>
        <v>2.1070106011877896E-2</v>
      </c>
    </row>
    <row r="1730" spans="1:2" x14ac:dyDescent="0.25">
      <c r="A1730" cm="1">
        <f t="array" ref="A1730">INDEX('Portfolio Weights Returns'!$B$9:$BJ$69,
INT((ROW(A1729)-1)/COLUMNS('Portfolio Weights Returns'!$B$9:$BJ$69))+1,MOD(ROW(A1729)-1,COLUMNS('Portfolio Weights Returns'!$B$9:$BJ$69))+1)</f>
        <v>-8.7527400561506396E-4</v>
      </c>
      <c r="B1730" cm="1">
        <f t="array" ref="B1730">INDEX('Portfolio Weights Std'!$B$9:$BJ$69,INT((ROW(A1729)-1)/COLUMNS('Portfolio Weights Std'!$B$9:$BJ$69))+1,MOD(ROW(A1729)-1,COLUMNS('Portfolio Weights Std'!$B$9:$BJ$69))+1)</f>
        <v>2.0911345991296491E-2</v>
      </c>
    </row>
    <row r="1731" spans="1:2" x14ac:dyDescent="0.25">
      <c r="A1731" cm="1">
        <f t="array" ref="A1731">INDEX('Portfolio Weights Returns'!$B$9:$BJ$69,
INT((ROW(A1730)-1)/COLUMNS('Portfolio Weights Returns'!$B$9:$BJ$69))+1,MOD(ROW(A1730)-1,COLUMNS('Portfolio Weights Returns'!$B$9:$BJ$69))+1)</f>
        <v>-8.6849283164838482E-4</v>
      </c>
      <c r="B1731" cm="1">
        <f t="array" ref="B1731">INDEX('Portfolio Weights Std'!$B$9:$BJ$69,INT((ROW(A1730)-1)/COLUMNS('Portfolio Weights Std'!$B$9:$BJ$69))+1,MOD(ROW(A1730)-1,COLUMNS('Portfolio Weights Std'!$B$9:$BJ$69))+1)</f>
        <v>2.0753602599076052E-2</v>
      </c>
    </row>
    <row r="1732" spans="1:2" x14ac:dyDescent="0.25">
      <c r="A1732" cm="1">
        <f t="array" ref="A1732">INDEX('Portfolio Weights Returns'!$B$9:$BJ$69,
INT((ROW(A1731)-1)/COLUMNS('Portfolio Weights Returns'!$B$9:$BJ$69))+1,MOD(ROW(A1731)-1,COLUMNS('Portfolio Weights Returns'!$B$9:$BJ$69))+1)</f>
        <v>-8.6171165768170568E-4</v>
      </c>
      <c r="B1732" cm="1">
        <f t="array" ref="B1732">INDEX('Portfolio Weights Std'!$B$9:$BJ$69,INT((ROW(A1731)-1)/COLUMNS('Portfolio Weights Std'!$B$9:$BJ$69))+1,MOD(ROW(A1731)-1,COLUMNS('Portfolio Weights Std'!$B$9:$BJ$69))+1)</f>
        <v>2.0596899193076779E-2</v>
      </c>
    </row>
    <row r="1733" spans="1:2" x14ac:dyDescent="0.25">
      <c r="A1733" cm="1">
        <f t="array" ref="A1733">INDEX('Portfolio Weights Returns'!$B$9:$BJ$69,
INT((ROW(A1732)-1)/COLUMNS('Portfolio Weights Returns'!$B$9:$BJ$69))+1,MOD(ROW(A1732)-1,COLUMNS('Portfolio Weights Returns'!$B$9:$BJ$69))+1)</f>
        <v>-8.5493048371502653E-4</v>
      </c>
      <c r="B1733" cm="1">
        <f t="array" ref="B1733">INDEX('Portfolio Weights Std'!$B$9:$BJ$69,INT((ROW(A1732)-1)/COLUMNS('Portfolio Weights Std'!$B$9:$BJ$69))+1,MOD(ROW(A1732)-1,COLUMNS('Portfolio Weights Std'!$B$9:$BJ$69))+1)</f>
        <v>2.0441259691024019E-2</v>
      </c>
    </row>
    <row r="1734" spans="1:2" x14ac:dyDescent="0.25">
      <c r="A1734" cm="1">
        <f t="array" ref="A1734">INDEX('Portfolio Weights Returns'!$B$9:$BJ$69,
INT((ROW(A1733)-1)/COLUMNS('Portfolio Weights Returns'!$B$9:$BJ$69))+1,MOD(ROW(A1733)-1,COLUMNS('Portfolio Weights Returns'!$B$9:$BJ$69))+1)</f>
        <v>-8.481493097483475E-4</v>
      </c>
      <c r="B1734" cm="1">
        <f t="array" ref="B1734">INDEX('Portfolio Weights Std'!$B$9:$BJ$69,INT((ROW(A1733)-1)/COLUMNS('Portfolio Weights Std'!$B$9:$BJ$69))+1,MOD(ROW(A1733)-1,COLUMNS('Portfolio Weights Std'!$B$9:$BJ$69))+1)</f>
        <v>2.0286708579725934E-2</v>
      </c>
    </row>
    <row r="1735" spans="1:2" x14ac:dyDescent="0.25">
      <c r="A1735" cm="1">
        <f t="array" ref="A1735">INDEX('Portfolio Weights Returns'!$B$9:$BJ$69,
INT((ROW(A1734)-1)/COLUMNS('Portfolio Weights Returns'!$B$9:$BJ$69))+1,MOD(ROW(A1734)-1,COLUMNS('Portfolio Weights Returns'!$B$9:$BJ$69))+1)</f>
        <v>-8.4136813578166835E-4</v>
      </c>
      <c r="B1735" cm="1">
        <f t="array" ref="B1735">INDEX('Portfolio Weights Std'!$B$9:$BJ$69,INT((ROW(A1734)-1)/COLUMNS('Portfolio Weights Std'!$B$9:$BJ$69))+1,MOD(ROW(A1734)-1,COLUMNS('Portfolio Weights Std'!$B$9:$BJ$69))+1)</f>
        <v>2.0133270923977903E-2</v>
      </c>
    </row>
    <row r="1736" spans="1:2" x14ac:dyDescent="0.25">
      <c r="A1736" cm="1">
        <f t="array" ref="A1736">INDEX('Portfolio Weights Returns'!$B$9:$BJ$69,
INT((ROW(A1735)-1)/COLUMNS('Portfolio Weights Returns'!$B$9:$BJ$69))+1,MOD(ROW(A1735)-1,COLUMNS('Portfolio Weights Returns'!$B$9:$BJ$69))+1)</f>
        <v>-8.3458696181498921E-4</v>
      </c>
      <c r="B1736" cm="1">
        <f t="array" ref="B1736">INDEX('Portfolio Weights Std'!$B$9:$BJ$69,INT((ROW(A1735)-1)/COLUMNS('Portfolio Weights Std'!$B$9:$BJ$69))+1,MOD(ROW(A1735)-1,COLUMNS('Portfolio Weights Std'!$B$9:$BJ$69))+1)</f>
        <v>1.998097237510198E-2</v>
      </c>
    </row>
    <row r="1737" spans="1:2" x14ac:dyDescent="0.25">
      <c r="A1737" cm="1">
        <f t="array" ref="A1737">INDEX('Portfolio Weights Returns'!$B$9:$BJ$69,
INT((ROW(A1736)-1)/COLUMNS('Portfolio Weights Returns'!$B$9:$BJ$69))+1,MOD(ROW(A1736)-1,COLUMNS('Portfolio Weights Returns'!$B$9:$BJ$69))+1)</f>
        <v>-8.2780578784831017E-4</v>
      </c>
      <c r="B1737" cm="1">
        <f t="array" ref="B1737">INDEX('Portfolio Weights Std'!$B$9:$BJ$69,INT((ROW(A1736)-1)/COLUMNS('Portfolio Weights Std'!$B$9:$BJ$69))+1,MOD(ROW(A1736)-1,COLUMNS('Portfolio Weights Std'!$B$9:$BJ$69))+1)</f>
        <v>1.9829839179065691E-2</v>
      </c>
    </row>
    <row r="1738" spans="1:2" x14ac:dyDescent="0.25">
      <c r="A1738" cm="1">
        <f t="array" ref="A1738">INDEX('Portfolio Weights Returns'!$B$9:$BJ$69,
INT((ROW(A1737)-1)/COLUMNS('Portfolio Weights Returns'!$B$9:$BJ$69))+1,MOD(ROW(A1737)-1,COLUMNS('Portfolio Weights Returns'!$B$9:$BJ$69))+1)</f>
        <v>-8.2102461388163103E-4</v>
      </c>
      <c r="B1738" cm="1">
        <f t="array" ref="B1738">INDEX('Portfolio Weights Std'!$B$9:$BJ$69,INT((ROW(A1737)-1)/COLUMNS('Portfolio Weights Std'!$B$9:$BJ$69))+1,MOD(ROW(A1737)-1,COLUMNS('Portfolio Weights Std'!$B$9:$BJ$69))+1)</f>
        <v>1.967989818412064E-2</v>
      </c>
    </row>
    <row r="1739" spans="1:2" x14ac:dyDescent="0.25">
      <c r="A1739" cm="1">
        <f t="array" ref="A1739">INDEX('Portfolio Weights Returns'!$B$9:$BJ$69,
INT((ROW(A1738)-1)/COLUMNS('Portfolio Weights Returns'!$B$9:$BJ$69))+1,MOD(ROW(A1738)-1,COLUMNS('Portfolio Weights Returns'!$B$9:$BJ$69))+1)</f>
        <v>-8.1424343991495188E-4</v>
      </c>
      <c r="B1739" cm="1">
        <f t="array" ref="B1739">INDEX('Portfolio Weights Std'!$B$9:$BJ$69,INT((ROW(A1738)-1)/COLUMNS('Portfolio Weights Std'!$B$9:$BJ$69))+1,MOD(ROW(A1738)-1,COLUMNS('Portfolio Weights Std'!$B$9:$BJ$69))+1)</f>
        <v>1.9531176847896976E-2</v>
      </c>
    </row>
    <row r="1740" spans="1:2" x14ac:dyDescent="0.25">
      <c r="A1740" cm="1">
        <f t="array" ref="A1740">INDEX('Portfolio Weights Returns'!$B$9:$BJ$69,
INT((ROW(A1739)-1)/COLUMNS('Portfolio Weights Returns'!$B$9:$BJ$69))+1,MOD(ROW(A1739)-1,COLUMNS('Portfolio Weights Returns'!$B$9:$BJ$69))+1)</f>
        <v>-8.0746226594827274E-4</v>
      </c>
      <c r="B1740" cm="1">
        <f t="array" ref="B1740">INDEX('Portfolio Weights Std'!$B$9:$BJ$69,INT((ROW(A1739)-1)/COLUMNS('Portfolio Weights Std'!$B$9:$BJ$69))+1,MOD(ROW(A1739)-1,COLUMNS('Portfolio Weights Std'!$B$9:$BJ$69))+1)</f>
        <v>1.9383703243885695E-2</v>
      </c>
    </row>
    <row r="1741" spans="1:2" x14ac:dyDescent="0.25">
      <c r="A1741" cm="1">
        <f t="array" ref="A1741">INDEX('Portfolio Weights Returns'!$B$9:$BJ$69,
INT((ROW(A1740)-1)/COLUMNS('Portfolio Weights Returns'!$B$9:$BJ$69))+1,MOD(ROW(A1740)-1,COLUMNS('Portfolio Weights Returns'!$B$9:$BJ$69))+1)</f>
        <v>-8.006810919815937E-4</v>
      </c>
      <c r="B1741" cm="1">
        <f t="array" ref="B1741">INDEX('Portfolio Weights Std'!$B$9:$BJ$69,INT((ROW(A1740)-1)/COLUMNS('Portfolio Weights Std'!$B$9:$BJ$69))+1,MOD(ROW(A1740)-1,COLUMNS('Portfolio Weights Std'!$B$9:$BJ$69))+1)</f>
        <v>1.923750606723618E-2</v>
      </c>
    </row>
    <row r="1742" spans="1:2" x14ac:dyDescent="0.25">
      <c r="A1742" cm="1">
        <f t="array" ref="A1742">INDEX('Portfolio Weights Returns'!$B$9:$BJ$69,
INT((ROW(A1741)-1)/COLUMNS('Portfolio Weights Returns'!$B$9:$BJ$69))+1,MOD(ROW(A1741)-1,COLUMNS('Portfolio Weights Returns'!$B$9:$BJ$69))+1)</f>
        <v>-7.9389991801491456E-4</v>
      </c>
      <c r="B1742" cm="1">
        <f t="array" ref="B1742">INDEX('Portfolio Weights Std'!$B$9:$BJ$69,INT((ROW(A1741)-1)/COLUMNS('Portfolio Weights Std'!$B$9:$BJ$69))+1,MOD(ROW(A1741)-1,COLUMNS('Portfolio Weights Std'!$B$9:$BJ$69))+1)</f>
        <v>1.9092614639791974E-2</v>
      </c>
    </row>
    <row r="1743" spans="1:2" x14ac:dyDescent="0.25">
      <c r="A1743" cm="1">
        <f t="array" ref="A1743">INDEX('Portfolio Weights Returns'!$B$9:$BJ$69,
INT((ROW(A1742)-1)/COLUMNS('Portfolio Weights Returns'!$B$9:$BJ$69))+1,MOD(ROW(A1742)-1,COLUMNS('Portfolio Weights Returns'!$B$9:$BJ$69))+1)</f>
        <v>-7.8711874404823552E-4</v>
      </c>
      <c r="B1743" cm="1">
        <f t="array" ref="B1743">INDEX('Portfolio Weights Std'!$B$9:$BJ$69,INT((ROW(A1742)-1)/COLUMNS('Portfolio Weights Std'!$B$9:$BJ$69))+1,MOD(ROW(A1742)-1,COLUMNS('Portfolio Weights Std'!$B$9:$BJ$69))+1)</f>
        <v>1.8949058914283171E-2</v>
      </c>
    </row>
    <row r="1744" spans="1:2" x14ac:dyDescent="0.25">
      <c r="A1744" cm="1">
        <f t="array" ref="A1744">INDEX('Portfolio Weights Returns'!$B$9:$BJ$69,
INT((ROW(A1743)-1)/COLUMNS('Portfolio Weights Returns'!$B$9:$BJ$69))+1,MOD(ROW(A1743)-1,COLUMNS('Portfolio Weights Returns'!$B$9:$BJ$69))+1)</f>
        <v>-7.8033757008155638E-4</v>
      </c>
      <c r="B1744" cm="1">
        <f t="array" ref="B1744">INDEX('Portfolio Weights Std'!$B$9:$BJ$69,INT((ROW(A1743)-1)/COLUMNS('Portfolio Weights Std'!$B$9:$BJ$69))+1,MOD(ROW(A1743)-1,COLUMNS('Portfolio Weights Std'!$B$9:$BJ$69))+1)</f>
        <v>1.8806869477589201E-2</v>
      </c>
    </row>
    <row r="1745" spans="1:2" x14ac:dyDescent="0.25">
      <c r="A1745" cm="1">
        <f t="array" ref="A1745">INDEX('Portfolio Weights Returns'!$B$9:$BJ$69,
INT((ROW(A1744)-1)/COLUMNS('Portfolio Weights Returns'!$B$9:$BJ$69))+1,MOD(ROW(A1744)-1,COLUMNS('Portfolio Weights Returns'!$B$9:$BJ$69))+1)</f>
        <v>-7.7355639611487723E-4</v>
      </c>
      <c r="B1745" cm="1">
        <f t="array" ref="B1745">INDEX('Portfolio Weights Std'!$B$9:$BJ$69,INT((ROW(A1744)-1)/COLUMNS('Portfolio Weights Std'!$B$9:$BJ$69))+1,MOD(ROW(A1744)-1,COLUMNS('Portfolio Weights Std'!$B$9:$BJ$69))+1)</f>
        <v>1.8666077552981077E-2</v>
      </c>
    </row>
    <row r="1746" spans="1:2" x14ac:dyDescent="0.25">
      <c r="A1746" cm="1">
        <f t="array" ref="A1746">INDEX('Portfolio Weights Returns'!$B$9:$BJ$69,
INT((ROW(A1745)-1)/COLUMNS('Portfolio Weights Returns'!$B$9:$BJ$69))+1,MOD(ROW(A1745)-1,COLUMNS('Portfolio Weights Returns'!$B$9:$BJ$69))+1)</f>
        <v>-7.6677522214819809E-4</v>
      </c>
      <c r="B1746" cm="1">
        <f t="array" ref="B1746">INDEX('Portfolio Weights Std'!$B$9:$BJ$69,INT((ROW(A1745)-1)/COLUMNS('Portfolio Weights Std'!$B$9:$BJ$69))+1,MOD(ROW(A1745)-1,COLUMNS('Portfolio Weights Std'!$B$9:$BJ$69))+1)</f>
        <v>1.8526715001247727E-2</v>
      </c>
    </row>
    <row r="1747" spans="1:2" x14ac:dyDescent="0.25">
      <c r="A1747" cm="1">
        <f t="array" ref="A1747">INDEX('Portfolio Weights Returns'!$B$9:$BJ$69,
INT((ROW(A1746)-1)/COLUMNS('Portfolio Weights Returns'!$B$9:$BJ$69))+1,MOD(ROW(A1746)-1,COLUMNS('Portfolio Weights Returns'!$B$9:$BJ$69))+1)</f>
        <v>-7.5999404818151894E-4</v>
      </c>
      <c r="B1747" cm="1">
        <f t="array" ref="B1747">INDEX('Portfolio Weights Std'!$B$9:$BJ$69,INT((ROW(A1746)-1)/COLUMNS('Portfolio Weights Std'!$B$9:$BJ$69))+1,MOD(ROW(A1746)-1,COLUMNS('Portfolio Weights Std'!$B$9:$BJ$69))+1)</f>
        <v>1.8388814320606347E-2</v>
      </c>
    </row>
    <row r="1748" spans="1:2" x14ac:dyDescent="0.25">
      <c r="A1748" cm="1">
        <f t="array" ref="A1748">INDEX('Portfolio Weights Returns'!$B$9:$BJ$69,
INT((ROW(A1747)-1)/COLUMNS('Portfolio Weights Returns'!$B$9:$BJ$69))+1,MOD(ROW(A1747)-1,COLUMNS('Portfolio Weights Returns'!$B$9:$BJ$69))+1)</f>
        <v>-7.5321287421484002E-4</v>
      </c>
      <c r="B1748" cm="1">
        <f t="array" ref="B1748">INDEX('Portfolio Weights Std'!$B$9:$BJ$69,INT((ROW(A1747)-1)/COLUMNS('Portfolio Weights Std'!$B$9:$BJ$69))+1,MOD(ROW(A1747)-1,COLUMNS('Portfolio Weights Std'!$B$9:$BJ$69))+1)</f>
        <v>1.8252408645292342E-2</v>
      </c>
    </row>
    <row r="1749" spans="1:2" x14ac:dyDescent="0.25">
      <c r="A1749" cm="1">
        <f t="array" ref="A1749">INDEX('Portfolio Weights Returns'!$B$9:$BJ$69,
INT((ROW(A1748)-1)/COLUMNS('Portfolio Weights Returns'!$B$9:$BJ$69))+1,MOD(ROW(A1748)-1,COLUMNS('Portfolio Weights Returns'!$B$9:$BJ$69))+1)</f>
        <v>-7.4643170024816087E-4</v>
      </c>
      <c r="B1749" cm="1">
        <f t="array" ref="B1749">INDEX('Portfolio Weights Std'!$B$9:$BJ$69,INT((ROW(A1748)-1)/COLUMNS('Portfolio Weights Std'!$B$9:$BJ$69))+1,MOD(ROW(A1748)-1,COLUMNS('Portfolio Weights Std'!$B$9:$BJ$69))+1)</f>
        <v>1.8117531742720201E-2</v>
      </c>
    </row>
    <row r="1750" spans="1:2" x14ac:dyDescent="0.25">
      <c r="A1750" cm="1">
        <f t="array" ref="A1750">INDEX('Portfolio Weights Returns'!$B$9:$BJ$69,
INT((ROW(A1749)-1)/COLUMNS('Portfolio Weights Returns'!$B$9:$BJ$69))+1,MOD(ROW(A1749)-1,COLUMNS('Portfolio Weights Returns'!$B$9:$BJ$69))+1)</f>
        <v>-7.3965052628148184E-4</v>
      </c>
      <c r="B1750" cm="1">
        <f t="array" ref="B1750">INDEX('Portfolio Weights Std'!$B$9:$BJ$69,INT((ROW(A1749)-1)/COLUMNS('Portfolio Weights Std'!$B$9:$BJ$69))+1,MOD(ROW(A1749)-1,COLUMNS('Portfolio Weights Std'!$B$9:$BJ$69))+1)</f>
        <v>1.7984218009102632E-2</v>
      </c>
    </row>
    <row r="1751" spans="1:2" x14ac:dyDescent="0.25">
      <c r="A1751" cm="1">
        <f t="array" ref="A1751">INDEX('Portfolio Weights Returns'!$B$9:$BJ$69,
INT((ROW(A1750)-1)/COLUMNS('Portfolio Weights Returns'!$B$9:$BJ$69))+1,MOD(ROW(A1750)-1,COLUMNS('Portfolio Weights Returns'!$B$9:$BJ$69))+1)</f>
        <v>-7.3286935231480269E-4</v>
      </c>
      <c r="B1751" cm="1">
        <f t="array" ref="B1751">INDEX('Portfolio Weights Std'!$B$9:$BJ$69,INT((ROW(A1750)-1)/COLUMNS('Portfolio Weights Std'!$B$9:$BJ$69))+1,MOD(ROW(A1750)-1,COLUMNS('Portfolio Weights Std'!$B$9:$BJ$69))+1)</f>
        <v>1.7852502463411527E-2</v>
      </c>
    </row>
    <row r="1752" spans="1:2" x14ac:dyDescent="0.25">
      <c r="A1752" cm="1">
        <f t="array" ref="A1752">INDEX('Portfolio Weights Returns'!$B$9:$BJ$69,
INT((ROW(A1751)-1)/COLUMNS('Portfolio Weights Returns'!$B$9:$BJ$69))+1,MOD(ROW(A1751)-1,COLUMNS('Portfolio Weights Returns'!$B$9:$BJ$69))+1)</f>
        <v>-7.2608817834812355E-4</v>
      </c>
      <c r="B1752" cm="1">
        <f t="array" ref="B1752">INDEX('Portfolio Weights Std'!$B$9:$BJ$69,INT((ROW(A1751)-1)/COLUMNS('Portfolio Weights Std'!$B$9:$BJ$69))+1,MOD(ROW(A1751)-1,COLUMNS('Portfolio Weights Std'!$B$9:$BJ$69))+1)</f>
        <v>1.7722420739561054E-2</v>
      </c>
    </row>
    <row r="1753" spans="1:2" x14ac:dyDescent="0.25">
      <c r="A1753" cm="1">
        <f t="array" ref="A1753">INDEX('Portfolio Weights Returns'!$B$9:$BJ$69,
INT((ROW(A1752)-1)/COLUMNS('Portfolio Weights Returns'!$B$9:$BJ$69))+1,MOD(ROW(A1752)-1,COLUMNS('Portfolio Weights Returns'!$B$9:$BJ$69))+1)</f>
        <v>-7.193070043814444E-4</v>
      </c>
      <c r="B1753" cm="1">
        <f t="array" ref="B1753">INDEX('Portfolio Weights Std'!$B$9:$BJ$69,INT((ROW(A1752)-1)/COLUMNS('Portfolio Weights Std'!$B$9:$BJ$69))+1,MOD(ROW(A1752)-1,COLUMNS('Portfolio Weights Std'!$B$9:$BJ$69))+1)</f>
        <v>1.7594009076690252E-2</v>
      </c>
    </row>
    <row r="1754" spans="1:2" x14ac:dyDescent="0.25">
      <c r="A1754" cm="1">
        <f t="array" ref="A1754">INDEX('Portfolio Weights Returns'!$B$9:$BJ$69,
INT((ROW(A1753)-1)/COLUMNS('Portfolio Weights Returns'!$B$9:$BJ$69))+1,MOD(ROW(A1753)-1,COLUMNS('Portfolio Weights Returns'!$B$9:$BJ$69))+1)</f>
        <v>-7.1252583041476537E-4</v>
      </c>
      <c r="B1754" cm="1">
        <f t="array" ref="B1754">INDEX('Portfolio Weights Std'!$B$9:$BJ$69,INT((ROW(A1753)-1)/COLUMNS('Portfolio Weights Std'!$B$9:$BJ$69))+1,MOD(ROW(A1753)-1,COLUMNS('Portfolio Weights Std'!$B$9:$BJ$69))+1)</f>
        <v>1.7467304307420193E-2</v>
      </c>
    </row>
    <row r="1755" spans="1:2" x14ac:dyDescent="0.25">
      <c r="A1755" cm="1">
        <f t="array" ref="A1755">INDEX('Portfolio Weights Returns'!$B$9:$BJ$69,
INT((ROW(A1754)-1)/COLUMNS('Portfolio Weights Returns'!$B$9:$BJ$69))+1,MOD(ROW(A1754)-1,COLUMNS('Portfolio Weights Returns'!$B$9:$BJ$69))+1)</f>
        <v>-7.0574465644808622E-4</v>
      </c>
      <c r="B1755" cm="1">
        <f t="array" ref="B1755">INDEX('Portfolio Weights Std'!$B$9:$BJ$69,INT((ROW(A1754)-1)/COLUMNS('Portfolio Weights Std'!$B$9:$BJ$69))+1,MOD(ROW(A1754)-1,COLUMNS('Portfolio Weights Std'!$B$9:$BJ$69))+1)</f>
        <v>1.7342343843959128E-2</v>
      </c>
    </row>
    <row r="1756" spans="1:2" x14ac:dyDescent="0.25">
      <c r="A1756" cm="1">
        <f t="array" ref="A1756">INDEX('Portfolio Weights Returns'!$B$9:$BJ$69,
INT((ROW(A1755)-1)/COLUMNS('Portfolio Weights Returns'!$B$9:$BJ$69))+1,MOD(ROW(A1755)-1,COLUMNS('Portfolio Weights Returns'!$B$9:$BJ$69))+1)</f>
        <v>-6.9896348248140708E-4</v>
      </c>
      <c r="B1756" cm="1">
        <f t="array" ref="B1756">INDEX('Portfolio Weights Std'!$B$9:$BJ$69,INT((ROW(A1755)-1)/COLUMNS('Portfolio Weights Std'!$B$9:$BJ$69))+1,MOD(ROW(A1755)-1,COLUMNS('Portfolio Weights Std'!$B$9:$BJ$69))+1)</f>
        <v>1.721916566192799E-2</v>
      </c>
    </row>
    <row r="1757" spans="1:2" x14ac:dyDescent="0.25">
      <c r="A1757" cm="1">
        <f t="array" ref="A1757">INDEX('Portfolio Weights Returns'!$B$9:$BJ$69,
INT((ROW(A1756)-1)/COLUMNS('Portfolio Weights Returns'!$B$9:$BJ$69))+1,MOD(ROW(A1756)-1,COLUMNS('Portfolio Weights Returns'!$B$9:$BJ$69))+1)</f>
        <v>-6.9218230851472804E-4</v>
      </c>
      <c r="B1757" cm="1">
        <f t="array" ref="B1757">INDEX('Portfolio Weights Std'!$B$9:$BJ$69,INT((ROW(A1756)-1)/COLUMNS('Portfolio Weights Std'!$B$9:$BJ$69))+1,MOD(ROW(A1756)-1,COLUMNS('Portfolio Weights Std'!$B$9:$BJ$69))+1)</f>
        <v>1.7097808281778658E-2</v>
      </c>
    </row>
    <row r="1758" spans="1:2" x14ac:dyDescent="0.25">
      <c r="A1758" cm="1">
        <f t="array" ref="A1758">INDEX('Portfolio Weights Returns'!$B$9:$BJ$69,
INT((ROW(A1757)-1)/COLUMNS('Portfolio Weights Returns'!$B$9:$BJ$69))+1,MOD(ROW(A1757)-1,COLUMNS('Portfolio Weights Returns'!$B$9:$BJ$69))+1)</f>
        <v>-6.854011345480489E-4</v>
      </c>
      <c r="B1758" cm="1">
        <f t="array" ref="B1758">INDEX('Portfolio Weights Std'!$B$9:$BJ$69,INT((ROW(A1757)-1)/COLUMNS('Portfolio Weights Std'!$B$9:$BJ$69))+1,MOD(ROW(A1757)-1,COLUMNS('Portfolio Weights Std'!$B$9:$BJ$69))+1)</f>
        <v>1.6978310747678162E-2</v>
      </c>
    </row>
    <row r="1759" spans="1:2" x14ac:dyDescent="0.25">
      <c r="A1759" cm="1">
        <f t="array" ref="A1759">INDEX('Portfolio Weights Returns'!$B$9:$BJ$69,
INT((ROW(A1758)-1)/COLUMNS('Portfolio Weights Returns'!$B$9:$BJ$69))+1,MOD(ROW(A1758)-1,COLUMNS('Portfolio Weights Returns'!$B$9:$BJ$69))+1)</f>
        <v>-6.7861996058136986E-4</v>
      </c>
      <c r="B1759" cm="1">
        <f t="array" ref="B1759">INDEX('Portfolio Weights Std'!$B$9:$BJ$69,INT((ROW(A1758)-1)/COLUMNS('Portfolio Weights Std'!$B$9:$BJ$69))+1,MOD(ROW(A1758)-1,COLUMNS('Portfolio Weights Std'!$B$9:$BJ$69))+1)</f>
        <v>1.6860712603733997E-2</v>
      </c>
    </row>
    <row r="1760" spans="1:2" x14ac:dyDescent="0.25">
      <c r="A1760" cm="1">
        <f t="array" ref="A1760">INDEX('Portfolio Weights Returns'!$B$9:$BJ$69,
INT((ROW(A1759)-1)/COLUMNS('Portfolio Weights Returns'!$B$9:$BJ$69))+1,MOD(ROW(A1759)-1,COLUMNS('Portfolio Weights Returns'!$B$9:$BJ$69))+1)</f>
        <v>-6.7183878661469072E-4</v>
      </c>
      <c r="B1760" cm="1">
        <f t="array" ref="B1760">INDEX('Portfolio Weights Std'!$B$9:$BJ$69,INT((ROW(A1759)-1)/COLUMNS('Portfolio Weights Std'!$B$9:$BJ$69))+1,MOD(ROW(A1759)-1,COLUMNS('Portfolio Weights Std'!$B$9:$BJ$69))+1)</f>
        <v>1.6745053867438922E-2</v>
      </c>
    </row>
    <row r="1761" spans="1:2" x14ac:dyDescent="0.25">
      <c r="A1761" cm="1">
        <f t="array" ref="A1761">INDEX('Portfolio Weights Returns'!$B$9:$BJ$69,
INT((ROW(A1760)-1)/COLUMNS('Portfolio Weights Returns'!$B$9:$BJ$69))+1,MOD(ROW(A1760)-1,COLUMNS('Portfolio Weights Returns'!$B$9:$BJ$69))+1)</f>
        <v>-6.6505761264801168E-4</v>
      </c>
      <c r="B1761" cm="1">
        <f t="array" ref="B1761">INDEX('Portfolio Weights Std'!$B$9:$BJ$69,INT((ROW(A1760)-1)/COLUMNS('Portfolio Weights Std'!$B$9:$BJ$69))+1,MOD(ROW(A1760)-1,COLUMNS('Portfolio Weights Std'!$B$9:$BJ$69))+1)</f>
        <v>1.6631375000217923E-2</v>
      </c>
    </row>
    <row r="1762" spans="1:2" x14ac:dyDescent="0.25">
      <c r="A1762" cm="1">
        <f t="array" ref="A1762">INDEX('Portfolio Weights Returns'!$B$9:$BJ$69,
INT((ROW(A1761)-1)/COLUMNS('Portfolio Weights Returns'!$B$9:$BJ$69))+1,MOD(ROW(A1761)-1,COLUMNS('Portfolio Weights Returns'!$B$9:$BJ$69))+1)</f>
        <v>-6.5827643868133254E-4</v>
      </c>
      <c r="B1762" cm="1">
        <f t="array" ref="B1762">INDEX('Portfolio Weights Std'!$B$9:$BJ$69,INT((ROW(A1761)-1)/COLUMNS('Portfolio Weights Std'!$B$9:$BJ$69))+1,MOD(ROW(A1761)-1,COLUMNS('Portfolio Weights Std'!$B$9:$BJ$69))+1)</f>
        <v>1.6519716874966176E-2</v>
      </c>
    </row>
    <row r="1763" spans="1:2" x14ac:dyDescent="0.25">
      <c r="A1763" cm="1">
        <f t="array" ref="A1763">INDEX('Portfolio Weights Returns'!$B$9:$BJ$69,
INT((ROW(A1762)-1)/COLUMNS('Portfolio Weights Returns'!$B$9:$BJ$69))+1,MOD(ROW(A1762)-1,COLUMNS('Portfolio Weights Returns'!$B$9:$BJ$69))+1)</f>
        <v>-6.514952647146535E-4</v>
      </c>
      <c r="B1763" cm="1">
        <f t="array" ref="B1763">INDEX('Portfolio Weights Std'!$B$9:$BJ$69,INT((ROW(A1762)-1)/COLUMNS('Portfolio Weights Std'!$B$9:$BJ$69))+1,MOD(ROW(A1762)-1,COLUMNS('Portfolio Weights Std'!$B$9:$BJ$69))+1)</f>
        <v>1.6410120740474054E-2</v>
      </c>
    </row>
    <row r="1764" spans="1:2" x14ac:dyDescent="0.25">
      <c r="A1764" cm="1">
        <f t="array" ref="A1764">INDEX('Portfolio Weights Returns'!$B$9:$BJ$69,
INT((ROW(A1763)-1)/COLUMNS('Portfolio Weights Returns'!$B$9:$BJ$69))+1,MOD(ROW(A1763)-1,COLUMNS('Portfolio Weights Returns'!$B$9:$BJ$69))+1)</f>
        <v>-6.4471409074797425E-4</v>
      </c>
      <c r="B1764" cm="1">
        <f t="array" ref="B1764">INDEX('Portfolio Weights Std'!$B$9:$BJ$69,INT((ROW(A1763)-1)/COLUMNS('Portfolio Weights Std'!$B$9:$BJ$69))+1,MOD(ROW(A1763)-1,COLUMNS('Portfolio Weights Std'!$B$9:$BJ$69))+1)</f>
        <v>1.6302628182644573E-2</v>
      </c>
    </row>
    <row r="1765" spans="1:2" x14ac:dyDescent="0.25">
      <c r="A1765" cm="1">
        <f t="array" ref="A1765">INDEX('Portfolio Weights Returns'!$B$9:$BJ$69,
INT((ROW(A1764)-1)/COLUMNS('Portfolio Weights Returns'!$B$9:$BJ$69))+1,MOD(ROW(A1764)-1,COLUMNS('Portfolio Weights Returns'!$B$9:$BJ$69))+1)</f>
        <v>-6.379329167812951E-4</v>
      </c>
      <c r="B1765" cm="1">
        <f t="array" ref="B1765">INDEX('Portfolio Weights Std'!$B$9:$BJ$69,INT((ROW(A1764)-1)/COLUMNS('Portfolio Weights Std'!$B$9:$BJ$69))+1,MOD(ROW(A1764)-1,COLUMNS('Portfolio Weights Std'!$B$9:$BJ$69))+1)</f>
        <v>1.6197281082419461E-2</v>
      </c>
    </row>
    <row r="1766" spans="1:2" x14ac:dyDescent="0.25">
      <c r="A1766" cm="1">
        <f t="array" ref="A1766">INDEX('Portfolio Weights Returns'!$B$9:$BJ$69,
INT((ROW(A1765)-1)/COLUMNS('Portfolio Weights Returns'!$B$9:$BJ$69))+1,MOD(ROW(A1765)-1,COLUMNS('Portfolio Weights Returns'!$B$9:$BJ$69))+1)</f>
        <v>-6.3115174281461607E-4</v>
      </c>
      <c r="B1766" cm="1">
        <f t="array" ref="B1766">INDEX('Portfolio Weights Std'!$B$9:$BJ$69,INT((ROW(A1765)-1)/COLUMNS('Portfolio Weights Std'!$B$9:$BJ$69))+1,MOD(ROW(A1765)-1,COLUMNS('Portfolio Weights Std'!$B$9:$BJ$69))+1)</f>
        <v>1.609412157034287E-2</v>
      </c>
    </row>
    <row r="1767" spans="1:2" x14ac:dyDescent="0.25">
      <c r="A1767" cm="1">
        <f t="array" ref="A1767">INDEX('Portfolio Weights Returns'!$B$9:$BJ$69,
INT((ROW(A1766)-1)/COLUMNS('Portfolio Weights Returns'!$B$9:$BJ$69))+1,MOD(ROW(A1766)-1,COLUMNS('Portfolio Weights Returns'!$B$9:$BJ$69))+1)</f>
        <v>-6.2437056884793627E-4</v>
      </c>
      <c r="B1767" cm="1">
        <f t="array" ref="B1767">INDEX('Portfolio Weights Std'!$B$9:$BJ$69,INT((ROW(A1766)-1)/COLUMNS('Portfolio Weights Std'!$B$9:$BJ$69))+1,MOD(ROW(A1766)-1,COLUMNS('Portfolio Weights Std'!$B$9:$BJ$69))+1)</f>
        <v>1.5993191977706437E-2</v>
      </c>
    </row>
    <row r="1768" spans="1:2" x14ac:dyDescent="0.25">
      <c r="A1768" cm="1">
        <f t="array" ref="A1768">INDEX('Portfolio Weights Returns'!$B$9:$BJ$69,
INT((ROW(A1767)-1)/COLUMNS('Portfolio Weights Returns'!$B$9:$BJ$69))+1,MOD(ROW(A1767)-1,COLUMNS('Portfolio Weights Returns'!$B$9:$BJ$69))+1)</f>
        <v>-6.1758939488125724E-4</v>
      </c>
      <c r="B1768" cm="1">
        <f t="array" ref="B1768">INDEX('Portfolio Weights Std'!$B$9:$BJ$69,INT((ROW(A1767)-1)/COLUMNS('Portfolio Weights Std'!$B$9:$BJ$69))+1,MOD(ROW(A1767)-1,COLUMNS('Portfolio Weights Std'!$B$9:$BJ$69))+1)</f>
        <v>1.5894534784236303E-2</v>
      </c>
    </row>
    <row r="1769" spans="1:2" x14ac:dyDescent="0.25">
      <c r="A1769" cm="1">
        <f t="array" ref="A1769">INDEX('Portfolio Weights Returns'!$B$9:$BJ$69,
INT((ROW(A1768)-1)/COLUMNS('Portfolio Weights Returns'!$B$9:$BJ$69))+1,MOD(ROW(A1768)-1,COLUMNS('Portfolio Weights Returns'!$B$9:$BJ$69))+1)</f>
        <v>-6.1080822091457809E-4</v>
      </c>
      <c r="B1769" cm="1">
        <f t="array" ref="B1769">INDEX('Portfolio Weights Std'!$B$9:$BJ$69,INT((ROW(A1768)-1)/COLUMNS('Portfolio Weights Std'!$B$9:$BJ$69))+1,MOD(ROW(A1768)-1,COLUMNS('Portfolio Weights Std'!$B$9:$BJ$69))+1)</f>
        <v>1.5798192562301163E-2</v>
      </c>
    </row>
    <row r="1770" spans="1:2" x14ac:dyDescent="0.25">
      <c r="A1770" cm="1">
        <f t="array" ref="A1770">INDEX('Portfolio Weights Returns'!$B$9:$BJ$69,
INT((ROW(A1769)-1)/COLUMNS('Portfolio Weights Returns'!$B$9:$BJ$69))+1,MOD(ROW(A1769)-1,COLUMNS('Portfolio Weights Returns'!$B$9:$BJ$69))+1)</f>
        <v>-6.0402704694789906E-4</v>
      </c>
      <c r="B1770" cm="1">
        <f t="array" ref="B1770">INDEX('Portfolio Weights Std'!$B$9:$BJ$69,INT((ROW(A1769)-1)/COLUMNS('Portfolio Weights Std'!$B$9:$BJ$69))+1,MOD(ROW(A1769)-1,COLUMNS('Portfolio Weights Std'!$B$9:$BJ$69))+1)</f>
        <v>1.5704207917641811E-2</v>
      </c>
    </row>
    <row r="1771" spans="1:2" x14ac:dyDescent="0.25">
      <c r="A1771" cm="1">
        <f t="array" ref="A1771">INDEX('Portfolio Weights Returns'!$B$9:$BJ$69,
INT((ROW(A1770)-1)/COLUMNS('Portfolio Weights Returns'!$B$9:$BJ$69))+1,MOD(ROW(A1770)-1,COLUMNS('Portfolio Weights Returns'!$B$9:$BJ$69))+1)</f>
        <v>-1.0043232771031908E-3</v>
      </c>
      <c r="B1771" cm="1">
        <f t="array" ref="B1771">INDEX('Portfolio Weights Std'!$B$9:$BJ$69,INT((ROW(A1770)-1)/COLUMNS('Portfolio Weights Std'!$B$9:$BJ$69))+1,MOD(ROW(A1770)-1,COLUMNS('Portfolio Weights Std'!$B$9:$BJ$69))+1)</f>
        <v>2.410451761578393E-2</v>
      </c>
    </row>
    <row r="1772" spans="1:2" x14ac:dyDescent="0.25">
      <c r="A1772" cm="1">
        <f t="array" ref="A1772">INDEX('Portfolio Weights Returns'!$B$9:$BJ$69,
INT((ROW(A1771)-1)/COLUMNS('Portfolio Weights Returns'!$B$9:$BJ$69))+1,MOD(ROW(A1771)-1,COLUMNS('Portfolio Weights Returns'!$B$9:$BJ$69))+1)</f>
        <v>-9.9754210313651162E-4</v>
      </c>
      <c r="B1772" cm="1">
        <f t="array" ref="B1772">INDEX('Portfolio Weights Std'!$B$9:$BJ$69,INT((ROW(A1771)-1)/COLUMNS('Portfolio Weights Std'!$B$9:$BJ$69))+1,MOD(ROW(A1771)-1,COLUMNS('Portfolio Weights Std'!$B$9:$BJ$69))+1)</f>
        <v>2.3930722318696085E-2</v>
      </c>
    </row>
    <row r="1773" spans="1:2" x14ac:dyDescent="0.25">
      <c r="A1773" cm="1">
        <f t="array" ref="A1773">INDEX('Portfolio Weights Returns'!$B$9:$BJ$69,
INT((ROW(A1772)-1)/COLUMNS('Portfolio Weights Returns'!$B$9:$BJ$69))+1,MOD(ROW(A1772)-1,COLUMNS('Portfolio Weights Returns'!$B$9:$BJ$69))+1)</f>
        <v>-9.9076092916983247E-4</v>
      </c>
      <c r="B1773" cm="1">
        <f t="array" ref="B1773">INDEX('Portfolio Weights Std'!$B$9:$BJ$69,INT((ROW(A1772)-1)/COLUMNS('Portfolio Weights Std'!$B$9:$BJ$69))+1,MOD(ROW(A1772)-1,COLUMNS('Portfolio Weights Std'!$B$9:$BJ$69))+1)</f>
        <v>2.3757604630016176E-2</v>
      </c>
    </row>
    <row r="1774" spans="1:2" x14ac:dyDescent="0.25">
      <c r="A1774" cm="1">
        <f t="array" ref="A1774">INDEX('Portfolio Weights Returns'!$B$9:$BJ$69,
INT((ROW(A1773)-1)/COLUMNS('Portfolio Weights Returns'!$B$9:$BJ$69))+1,MOD(ROW(A1773)-1,COLUMNS('Portfolio Weights Returns'!$B$9:$BJ$69))+1)</f>
        <v>-9.8397975520315333E-4</v>
      </c>
      <c r="B1774" cm="1">
        <f t="array" ref="B1774">INDEX('Portfolio Weights Std'!$B$9:$BJ$69,INT((ROW(A1773)-1)/COLUMNS('Portfolio Weights Std'!$B$9:$BJ$69))+1,MOD(ROW(A1773)-1,COLUMNS('Portfolio Weights Std'!$B$9:$BJ$69))+1)</f>
        <v>2.3585179470899078E-2</v>
      </c>
    </row>
    <row r="1775" spans="1:2" x14ac:dyDescent="0.25">
      <c r="A1775" cm="1">
        <f t="array" ref="A1775">INDEX('Portfolio Weights Returns'!$B$9:$BJ$69,
INT((ROW(A1774)-1)/COLUMNS('Portfolio Weights Returns'!$B$9:$BJ$69))+1,MOD(ROW(A1774)-1,COLUMNS('Portfolio Weights Returns'!$B$9:$BJ$69))+1)</f>
        <v>-9.7719858123647418E-4</v>
      </c>
      <c r="B1775" cm="1">
        <f t="array" ref="B1775">INDEX('Portfolio Weights Std'!$B$9:$BJ$69,INT((ROW(A1774)-1)/COLUMNS('Portfolio Weights Std'!$B$9:$BJ$69))+1,MOD(ROW(A1774)-1,COLUMNS('Portfolio Weights Std'!$B$9:$BJ$69))+1)</f>
        <v>2.3413462141460378E-2</v>
      </c>
    </row>
    <row r="1776" spans="1:2" x14ac:dyDescent="0.25">
      <c r="A1776" cm="1">
        <f t="array" ref="A1776">INDEX('Portfolio Weights Returns'!$B$9:$BJ$69,
INT((ROW(A1775)-1)/COLUMNS('Portfolio Weights Returns'!$B$9:$BJ$69))+1,MOD(ROW(A1775)-1,COLUMNS('Portfolio Weights Returns'!$B$9:$BJ$69))+1)</f>
        <v>-9.7041740726979515E-4</v>
      </c>
      <c r="B1776" cm="1">
        <f t="array" ref="B1776">INDEX('Portfolio Weights Std'!$B$9:$BJ$69,INT((ROW(A1775)-1)/COLUMNS('Portfolio Weights Std'!$B$9:$BJ$69))+1,MOD(ROW(A1775)-1,COLUMNS('Portfolio Weights Std'!$B$9:$BJ$69))+1)</f>
        <v>2.3242468330222664E-2</v>
      </c>
    </row>
    <row r="1777" spans="1:2" x14ac:dyDescent="0.25">
      <c r="A1777" cm="1">
        <f t="array" ref="A1777">INDEX('Portfolio Weights Returns'!$B$9:$BJ$69,
INT((ROW(A1776)-1)/COLUMNS('Portfolio Weights Returns'!$B$9:$BJ$69))+1,MOD(ROW(A1776)-1,COLUMNS('Portfolio Weights Returns'!$B$9:$BJ$69))+1)</f>
        <v>-9.6363623330311611E-4</v>
      </c>
      <c r="B1777" cm="1">
        <f t="array" ref="B1777">INDEX('Portfolio Weights Std'!$B$9:$BJ$69,INT((ROW(A1776)-1)/COLUMNS('Portfolio Weights Std'!$B$9:$BJ$69))+1,MOD(ROW(A1776)-1,COLUMNS('Portfolio Weights Std'!$B$9:$BJ$69))+1)</f>
        <v>2.307221412370157E-2</v>
      </c>
    </row>
    <row r="1778" spans="1:2" x14ac:dyDescent="0.25">
      <c r="A1778" cm="1">
        <f t="array" ref="A1778">INDEX('Portfolio Weights Returns'!$B$9:$BJ$69,
INT((ROW(A1777)-1)/COLUMNS('Portfolio Weights Returns'!$B$9:$BJ$69))+1,MOD(ROW(A1777)-1,COLUMNS('Portfolio Weights Returns'!$B$9:$BJ$69))+1)</f>
        <v>-9.5685505933643697E-4</v>
      </c>
      <c r="B1778" cm="1">
        <f t="array" ref="B1778">INDEX('Portfolio Weights Std'!$B$9:$BJ$69,INT((ROW(A1777)-1)/COLUMNS('Portfolio Weights Std'!$B$9:$BJ$69))+1,MOD(ROW(A1777)-1,COLUMNS('Portfolio Weights Std'!$B$9:$BJ$69))+1)</f>
        <v>2.2902716016123311E-2</v>
      </c>
    </row>
    <row r="1779" spans="1:2" x14ac:dyDescent="0.25">
      <c r="A1779" cm="1">
        <f t="array" ref="A1779">INDEX('Portfolio Weights Returns'!$B$9:$BJ$69,
INT((ROW(A1778)-1)/COLUMNS('Portfolio Weights Returns'!$B$9:$BJ$69))+1,MOD(ROW(A1778)-1,COLUMNS('Portfolio Weights Returns'!$B$9:$BJ$69))+1)</f>
        <v>-9.5007388536975793E-4</v>
      </c>
      <c r="B1779" cm="1">
        <f t="array" ref="B1779">INDEX('Portfolio Weights Std'!$B$9:$BJ$69,INT((ROW(A1778)-1)/COLUMNS('Portfolio Weights Std'!$B$9:$BJ$69))+1,MOD(ROW(A1778)-1,COLUMNS('Portfolio Weights Std'!$B$9:$BJ$69))+1)</f>
        <v>2.2733990919263914E-2</v>
      </c>
    </row>
    <row r="1780" spans="1:2" x14ac:dyDescent="0.25">
      <c r="A1780" cm="1">
        <f t="array" ref="A1780">INDEX('Portfolio Weights Returns'!$B$9:$BJ$69,
INT((ROW(A1779)-1)/COLUMNS('Portfolio Weights Returns'!$B$9:$BJ$69))+1,MOD(ROW(A1779)-1,COLUMNS('Portfolio Weights Returns'!$B$9:$BJ$69))+1)</f>
        <v>-9.4329271140307879E-4</v>
      </c>
      <c r="B1780" cm="1">
        <f t="array" ref="B1780">INDEX('Portfolio Weights Std'!$B$9:$BJ$69,INT((ROW(A1779)-1)/COLUMNS('Portfolio Weights Std'!$B$9:$BJ$69))+1,MOD(ROW(A1779)-1,COLUMNS('Portfolio Weights Std'!$B$9:$BJ$69))+1)</f>
        <v>2.2566056172399353E-2</v>
      </c>
    </row>
    <row r="1781" spans="1:2" x14ac:dyDescent="0.25">
      <c r="A1781" cm="1">
        <f t="array" ref="A1781">INDEX('Portfolio Weights Returns'!$B$9:$BJ$69,
INT((ROW(A1780)-1)/COLUMNS('Portfolio Weights Returns'!$B$9:$BJ$69))+1,MOD(ROW(A1780)-1,COLUMNS('Portfolio Weights Returns'!$B$9:$BJ$69))+1)</f>
        <v>-9.3651153743639964E-4</v>
      </c>
      <c r="B1781" cm="1">
        <f t="array" ref="B1781">INDEX('Portfolio Weights Std'!$B$9:$BJ$69,INT((ROW(A1780)-1)/COLUMNS('Portfolio Weights Std'!$B$9:$BJ$69))+1,MOD(ROW(A1780)-1,COLUMNS('Portfolio Weights Std'!$B$9:$BJ$69))+1)</f>
        <v>2.2398929552354004E-2</v>
      </c>
    </row>
    <row r="1782" spans="1:2" x14ac:dyDescent="0.25">
      <c r="A1782" cm="1">
        <f t="array" ref="A1782">INDEX('Portfolio Weights Returns'!$B$9:$BJ$69,
INT((ROW(A1781)-1)/COLUMNS('Portfolio Weights Returns'!$B$9:$BJ$69))+1,MOD(ROW(A1781)-1,COLUMNS('Portfolio Weights Returns'!$B$9:$BJ$69))+1)</f>
        <v>-9.297303634697205E-4</v>
      </c>
      <c r="B1782" cm="1">
        <f t="array" ref="B1782">INDEX('Portfolio Weights Std'!$B$9:$BJ$69,INT((ROW(A1781)-1)/COLUMNS('Portfolio Weights Std'!$B$9:$BJ$69))+1,MOD(ROW(A1781)-1,COLUMNS('Portfolio Weights Std'!$B$9:$BJ$69))+1)</f>
        <v>2.2232629283633506E-2</v>
      </c>
    </row>
    <row r="1783" spans="1:2" x14ac:dyDescent="0.25">
      <c r="A1783" cm="1">
        <f t="array" ref="A1783">INDEX('Portfolio Weights Returns'!$B$9:$BJ$69,
INT((ROW(A1782)-1)/COLUMNS('Portfolio Weights Returns'!$B$9:$BJ$69))+1,MOD(ROW(A1782)-1,COLUMNS('Portfolio Weights Returns'!$B$9:$BJ$69))+1)</f>
        <v>-9.2294918950304146E-4</v>
      </c>
      <c r="B1783" cm="1">
        <f t="array" ref="B1783">INDEX('Portfolio Weights Std'!$B$9:$BJ$69,INT((ROW(A1782)-1)/COLUMNS('Portfolio Weights Std'!$B$9:$BJ$69))+1,MOD(ROW(A1782)-1,COLUMNS('Portfolio Weights Std'!$B$9:$BJ$69))+1)</f>
        <v>2.2067174048626268E-2</v>
      </c>
    </row>
    <row r="1784" spans="1:2" x14ac:dyDescent="0.25">
      <c r="A1784" cm="1">
        <f t="array" ref="A1784">INDEX('Portfolio Weights Returns'!$B$9:$BJ$69,
INT((ROW(A1783)-1)/COLUMNS('Portfolio Weights Returns'!$B$9:$BJ$69))+1,MOD(ROW(A1783)-1,COLUMNS('Portfolio Weights Returns'!$B$9:$BJ$69))+1)</f>
        <v>-9.1616801553636232E-4</v>
      </c>
      <c r="B1784" cm="1">
        <f t="array" ref="B1784">INDEX('Portfolio Weights Std'!$B$9:$BJ$69,INT((ROW(A1783)-1)/COLUMNS('Portfolio Weights Std'!$B$9:$BJ$69))+1,MOD(ROW(A1783)-1,COLUMNS('Portfolio Weights Std'!$B$9:$BJ$69))+1)</f>
        <v>2.1902582997856145E-2</v>
      </c>
    </row>
    <row r="1785" spans="1:2" x14ac:dyDescent="0.25">
      <c r="A1785" cm="1">
        <f t="array" ref="A1785">INDEX('Portfolio Weights Returns'!$B$9:$BJ$69,
INT((ROW(A1784)-1)/COLUMNS('Portfolio Weights Returns'!$B$9:$BJ$69))+1,MOD(ROW(A1784)-1,COLUMNS('Portfolio Weights Returns'!$B$9:$BJ$69))+1)</f>
        <v>-9.0938684156968317E-4</v>
      </c>
      <c r="B1785" cm="1">
        <f t="array" ref="B1785">INDEX('Portfolio Weights Std'!$B$9:$BJ$69,INT((ROW(A1784)-1)/COLUMNS('Portfolio Weights Std'!$B$9:$BJ$69))+1,MOD(ROW(A1784)-1,COLUMNS('Portfolio Weights Std'!$B$9:$BJ$69))+1)</f>
        <v>2.1738875760266795E-2</v>
      </c>
    </row>
    <row r="1786" spans="1:2" x14ac:dyDescent="0.25">
      <c r="A1786" cm="1">
        <f t="array" ref="A1786">INDEX('Portfolio Weights Returns'!$B$9:$BJ$69,
INT((ROW(A1785)-1)/COLUMNS('Portfolio Weights Returns'!$B$9:$BJ$69))+1,MOD(ROW(A1785)-1,COLUMNS('Portfolio Weights Returns'!$B$9:$BJ$69))+1)</f>
        <v>-9.0260566760300414E-4</v>
      </c>
      <c r="B1786" cm="1">
        <f t="array" ref="B1786">INDEX('Portfolio Weights Std'!$B$9:$BJ$69,INT((ROW(A1785)-1)/COLUMNS('Portfolio Weights Std'!$B$9:$BJ$69))+1,MOD(ROW(A1785)-1,COLUMNS('Portfolio Weights Std'!$B$9:$BJ$69))+1)</f>
        <v>2.1576072453516181E-2</v>
      </c>
    </row>
    <row r="1787" spans="1:2" x14ac:dyDescent="0.25">
      <c r="A1787" cm="1">
        <f t="array" ref="A1787">INDEX('Portfolio Weights Returns'!$B$9:$BJ$69,
INT((ROW(A1786)-1)/COLUMNS('Portfolio Weights Returns'!$B$9:$BJ$69))+1,MOD(ROW(A1786)-1,COLUMNS('Portfolio Weights Returns'!$B$9:$BJ$69))+1)</f>
        <v>-8.958244936363251E-4</v>
      </c>
      <c r="B1787" cm="1">
        <f t="array" ref="B1787">INDEX('Portfolio Weights Std'!$B$9:$BJ$69,INT((ROW(A1786)-1)/COLUMNS('Portfolio Weights Std'!$B$9:$BJ$69))+1,MOD(ROW(A1786)-1,COLUMNS('Portfolio Weights Std'!$B$9:$BJ$69))+1)</f>
        <v>2.1414193694257323E-2</v>
      </c>
    </row>
    <row r="1788" spans="1:2" x14ac:dyDescent="0.25">
      <c r="A1788" cm="1">
        <f t="array" ref="A1788">INDEX('Portfolio Weights Returns'!$B$9:$BJ$69,
INT((ROW(A1787)-1)/COLUMNS('Portfolio Weights Returns'!$B$9:$BJ$69))+1,MOD(ROW(A1787)-1,COLUMNS('Portfolio Weights Returns'!$B$9:$BJ$69))+1)</f>
        <v>-8.8904331966964585E-4</v>
      </c>
      <c r="B1788" cm="1">
        <f t="array" ref="B1788">INDEX('Portfolio Weights Std'!$B$9:$BJ$69,INT((ROW(A1787)-1)/COLUMNS('Portfolio Weights Std'!$B$9:$BJ$69))+1,MOD(ROW(A1787)-1,COLUMNS('Portfolio Weights Std'!$B$9:$BJ$69))+1)</f>
        <v>2.1253260608379277E-2</v>
      </c>
    </row>
    <row r="1789" spans="1:2" x14ac:dyDescent="0.25">
      <c r="A1789" cm="1">
        <f t="array" ref="A1789">INDEX('Portfolio Weights Returns'!$B$9:$BJ$69,
INT((ROW(A1788)-1)/COLUMNS('Portfolio Weights Returns'!$B$9:$BJ$69))+1,MOD(ROW(A1788)-1,COLUMNS('Portfolio Weights Returns'!$B$9:$BJ$69))+1)</f>
        <v>-8.8226214570296692E-4</v>
      </c>
      <c r="B1789" cm="1">
        <f t="array" ref="B1789">INDEX('Portfolio Weights Std'!$B$9:$BJ$69,INT((ROW(A1788)-1)/COLUMNS('Portfolio Weights Std'!$B$9:$BJ$69))+1,MOD(ROW(A1788)-1,COLUMNS('Portfolio Weights Std'!$B$9:$BJ$69))+1)</f>
        <v>2.1093294841179472E-2</v>
      </c>
    </row>
    <row r="1790" spans="1:2" x14ac:dyDescent="0.25">
      <c r="A1790" cm="1">
        <f t="array" ref="A1790">INDEX('Portfolio Weights Returns'!$B$9:$BJ$69,
INT((ROW(A1789)-1)/COLUMNS('Portfolio Weights Returns'!$B$9:$BJ$69))+1,MOD(ROW(A1789)-1,COLUMNS('Portfolio Weights Returns'!$B$9:$BJ$69))+1)</f>
        <v>-8.7548097173628789E-4</v>
      </c>
      <c r="B1790" cm="1">
        <f t="array" ref="B1790">INDEX('Portfolio Weights Std'!$B$9:$BJ$69,INT((ROW(A1789)-1)/COLUMNS('Portfolio Weights Std'!$B$9:$BJ$69))+1,MOD(ROW(A1789)-1,COLUMNS('Portfolio Weights Std'!$B$9:$BJ$69))+1)</f>
        <v>2.0934318567436022E-2</v>
      </c>
    </row>
    <row r="1791" spans="1:2" x14ac:dyDescent="0.25">
      <c r="A1791" cm="1">
        <f t="array" ref="A1791">INDEX('Portfolio Weights Returns'!$B$9:$BJ$69,
INT((ROW(A1790)-1)/COLUMNS('Portfolio Weights Returns'!$B$9:$BJ$69))+1,MOD(ROW(A1790)-1,COLUMNS('Portfolio Weights Returns'!$B$9:$BJ$69))+1)</f>
        <v>-8.6869979776960874E-4</v>
      </c>
      <c r="B1791" cm="1">
        <f t="array" ref="B1791">INDEX('Portfolio Weights Std'!$B$9:$BJ$69,INT((ROW(A1790)-1)/COLUMNS('Portfolio Weights Std'!$B$9:$BJ$69))+1,MOD(ROW(A1790)-1,COLUMNS('Portfolio Weights Std'!$B$9:$BJ$69))+1)</f>
        <v>2.0776354501345767E-2</v>
      </c>
    </row>
    <row r="1792" spans="1:2" x14ac:dyDescent="0.25">
      <c r="A1792" cm="1">
        <f t="array" ref="A1792">INDEX('Portfolio Weights Returns'!$B$9:$BJ$69,
INT((ROW(A1791)-1)/COLUMNS('Portfolio Weights Returns'!$B$9:$BJ$69))+1,MOD(ROW(A1791)-1,COLUMNS('Portfolio Weights Returns'!$B$9:$BJ$69))+1)</f>
        <v>-8.619186238029296E-4</v>
      </c>
      <c r="B1792" cm="1">
        <f t="array" ref="B1792">INDEX('Portfolio Weights Std'!$B$9:$BJ$69,INT((ROW(A1791)-1)/COLUMNS('Portfolio Weights Std'!$B$9:$BJ$69))+1,MOD(ROW(A1791)-1,COLUMNS('Portfolio Weights Std'!$B$9:$BJ$69))+1)</f>
        <v>2.0619425906290664E-2</v>
      </c>
    </row>
    <row r="1793" spans="1:2" x14ac:dyDescent="0.25">
      <c r="A1793" cm="1">
        <f t="array" ref="A1793">INDEX('Portfolio Weights Returns'!$B$9:$BJ$69,
INT((ROW(A1792)-1)/COLUMNS('Portfolio Weights Returns'!$B$9:$BJ$69))+1,MOD(ROW(A1792)-1,COLUMNS('Portfolio Weights Returns'!$B$9:$BJ$69))+1)</f>
        <v>-8.5513744983625045E-4</v>
      </c>
      <c r="B1793" cm="1">
        <f t="array" ref="B1793">INDEX('Portfolio Weights Std'!$B$9:$BJ$69,INT((ROW(A1792)-1)/COLUMNS('Portfolio Weights Std'!$B$9:$BJ$69))+1,MOD(ROW(A1792)-1,COLUMNS('Portfolio Weights Std'!$B$9:$BJ$69))+1)</f>
        <v>2.0463556604392023E-2</v>
      </c>
    </row>
    <row r="1794" spans="1:2" x14ac:dyDescent="0.25">
      <c r="A1794" cm="1">
        <f t="array" ref="A1794">INDEX('Portfolio Weights Returns'!$B$9:$BJ$69,
INT((ROW(A1793)-1)/COLUMNS('Portfolio Weights Returns'!$B$9:$BJ$69))+1,MOD(ROW(A1793)-1,COLUMNS('Portfolio Weights Returns'!$B$9:$BJ$69))+1)</f>
        <v>-8.4835627586957131E-4</v>
      </c>
      <c r="B1794" cm="1">
        <f t="array" ref="B1794">INDEX('Portfolio Weights Std'!$B$9:$BJ$69,INT((ROW(A1793)-1)/COLUMNS('Portfolio Weights Std'!$B$9:$BJ$69))+1,MOD(ROW(A1793)-1,COLUMNS('Portfolio Weights Std'!$B$9:$BJ$69))+1)</f>
        <v>2.0308770985808772E-2</v>
      </c>
    </row>
    <row r="1795" spans="1:2" x14ac:dyDescent="0.25">
      <c r="A1795" cm="1">
        <f t="array" ref="A1795">INDEX('Portfolio Weights Returns'!$B$9:$BJ$69,
INT((ROW(A1794)-1)/COLUMNS('Portfolio Weights Returns'!$B$9:$BJ$69))+1,MOD(ROW(A1794)-1,COLUMNS('Portfolio Weights Returns'!$B$9:$BJ$69))+1)</f>
        <v>-8.4157510190289227E-4</v>
      </c>
      <c r="B1795" cm="1">
        <f t="array" ref="B1795">INDEX('Portfolio Weights Std'!$B$9:$BJ$69,INT((ROW(A1794)-1)/COLUMNS('Portfolio Weights Std'!$B$9:$BJ$69))+1,MOD(ROW(A1794)-1,COLUMNS('Portfolio Weights Std'!$B$9:$BJ$69))+1)</f>
        <v>2.0155094017732238E-2</v>
      </c>
    </row>
    <row r="1796" spans="1:2" x14ac:dyDescent="0.25">
      <c r="A1796" cm="1">
        <f t="array" ref="A1796">INDEX('Portfolio Weights Returns'!$B$9:$BJ$69,
INT((ROW(A1795)-1)/COLUMNS('Portfolio Weights Returns'!$B$9:$BJ$69))+1,MOD(ROW(A1795)-1,COLUMNS('Portfolio Weights Returns'!$B$9:$BJ$69))+1)</f>
        <v>-8.3479392793621313E-4</v>
      </c>
      <c r="B1796" cm="1">
        <f t="array" ref="B1796">INDEX('Portfolio Weights Std'!$B$9:$BJ$69,INT((ROW(A1795)-1)/COLUMNS('Portfolio Weights Std'!$B$9:$BJ$69))+1,MOD(ROW(A1795)-1,COLUMNS('Portfolio Weights Std'!$B$9:$BJ$69))+1)</f>
        <v>2.000255125302644E-2</v>
      </c>
    </row>
    <row r="1797" spans="1:2" x14ac:dyDescent="0.25">
      <c r="A1797" cm="1">
        <f t="array" ref="A1797">INDEX('Portfolio Weights Returns'!$B$9:$BJ$69,
INT((ROW(A1796)-1)/COLUMNS('Portfolio Weights Returns'!$B$9:$BJ$69))+1,MOD(ROW(A1796)-1,COLUMNS('Portfolio Weights Returns'!$B$9:$BJ$69))+1)</f>
        <v>-8.2801275396953409E-4</v>
      </c>
      <c r="B1797" cm="1">
        <f t="array" ref="B1797">INDEX('Portfolio Weights Std'!$B$9:$BJ$69,INT((ROW(A1796)-1)/COLUMNS('Portfolio Weights Std'!$B$9:$BJ$69))+1,MOD(ROW(A1796)-1,COLUMNS('Portfolio Weights Std'!$B$9:$BJ$69))+1)</f>
        <v>1.9851168838458836E-2</v>
      </c>
    </row>
    <row r="1798" spans="1:2" x14ac:dyDescent="0.25">
      <c r="A1798" cm="1">
        <f t="array" ref="A1798">INDEX('Portfolio Weights Returns'!$B$9:$BJ$69,
INT((ROW(A1797)-1)/COLUMNS('Portfolio Weights Returns'!$B$9:$BJ$69))+1,MOD(ROW(A1797)-1,COLUMNS('Portfolio Weights Returns'!$B$9:$BJ$69))+1)</f>
        <v>-8.2123158000285495E-4</v>
      </c>
      <c r="B1798" cm="1">
        <f t="array" ref="B1798">INDEX('Portfolio Weights Std'!$B$9:$BJ$69,INT((ROW(A1797)-1)/COLUMNS('Portfolio Weights Std'!$B$9:$BJ$69))+1,MOD(ROW(A1797)-1,COLUMNS('Portfolio Weights Std'!$B$9:$BJ$69))+1)</f>
        <v>1.970097352246266E-2</v>
      </c>
    </row>
    <row r="1799" spans="1:2" x14ac:dyDescent="0.25">
      <c r="A1799" cm="1">
        <f t="array" ref="A1799">INDEX('Portfolio Weights Returns'!$B$9:$BJ$69,
INT((ROW(A1798)-1)/COLUMNS('Portfolio Weights Returns'!$B$9:$BJ$69))+1,MOD(ROW(A1798)-1,COLUMNS('Portfolio Weights Returns'!$B$9:$BJ$69))+1)</f>
        <v>-8.144504060361758E-4</v>
      </c>
      <c r="B1799" cm="1">
        <f t="array" ref="B1799">INDEX('Portfolio Weights Std'!$B$9:$BJ$69,INT((ROW(A1798)-1)/COLUMNS('Portfolio Weights Std'!$B$9:$BJ$69))+1,MOD(ROW(A1798)-1,COLUMNS('Portfolio Weights Std'!$B$9:$BJ$69))+1)</f>
        <v>1.9551992662367592E-2</v>
      </c>
    </row>
    <row r="1800" spans="1:2" x14ac:dyDescent="0.25">
      <c r="A1800" cm="1">
        <f t="array" ref="A1800">INDEX('Portfolio Weights Returns'!$B$9:$BJ$69,
INT((ROW(A1799)-1)/COLUMNS('Portfolio Weights Returns'!$B$9:$BJ$69))+1,MOD(ROW(A1799)-1,COLUMNS('Portfolio Weights Returns'!$B$9:$BJ$69))+1)</f>
        <v>-8.0766923206949666E-4</v>
      </c>
      <c r="B1800" cm="1">
        <f t="array" ref="B1800">INDEX('Portfolio Weights Std'!$B$9:$BJ$69,INT((ROW(A1799)-1)/COLUMNS('Portfolio Weights Std'!$B$9:$BJ$69))+1,MOD(ROW(A1799)-1,COLUMNS('Portfolio Weights Std'!$B$9:$BJ$69))+1)</f>
        <v>1.9404254231031492E-2</v>
      </c>
    </row>
    <row r="1801" spans="1:2" x14ac:dyDescent="0.25">
      <c r="A1801" cm="1">
        <f t="array" ref="A1801">INDEX('Portfolio Weights Returns'!$B$9:$BJ$69,
INT((ROW(A1800)-1)/COLUMNS('Portfolio Weights Returns'!$B$9:$BJ$69))+1,MOD(ROW(A1800)-1,COLUMNS('Portfolio Weights Returns'!$B$9:$BJ$69))+1)</f>
        <v>-8.0088805810281762E-4</v>
      </c>
      <c r="B1801" cm="1">
        <f t="array" ref="B1801">INDEX('Portfolio Weights Std'!$B$9:$BJ$69,INT((ROW(A1800)-1)/COLUMNS('Portfolio Weights Std'!$B$9:$BJ$69))+1,MOD(ROW(A1800)-1,COLUMNS('Portfolio Weights Std'!$B$9:$BJ$69))+1)</f>
        <v>1.9257786822801232E-2</v>
      </c>
    </row>
    <row r="1802" spans="1:2" x14ac:dyDescent="0.25">
      <c r="A1802" cm="1">
        <f t="array" ref="A1802">INDEX('Portfolio Weights Returns'!$B$9:$BJ$69,
INT((ROW(A1801)-1)/COLUMNS('Portfolio Weights Returns'!$B$9:$BJ$69))+1,MOD(ROW(A1801)-1,COLUMNS('Portfolio Weights Returns'!$B$9:$BJ$69))+1)</f>
        <v>-7.9410688413613848E-4</v>
      </c>
      <c r="B1802" cm="1">
        <f t="array" ref="B1802">INDEX('Portfolio Weights Std'!$B$9:$BJ$69,INT((ROW(A1801)-1)/COLUMNS('Portfolio Weights Std'!$B$9:$BJ$69))+1,MOD(ROW(A1801)-1,COLUMNS('Portfolio Weights Std'!$B$9:$BJ$69))+1)</f>
        <v>1.9112619658726435E-2</v>
      </c>
    </row>
    <row r="1803" spans="1:2" x14ac:dyDescent="0.25">
      <c r="A1803" cm="1">
        <f t="array" ref="A1803">INDEX('Portfolio Weights Returns'!$B$9:$BJ$69,
INT((ROW(A1802)-1)/COLUMNS('Portfolio Weights Returns'!$B$9:$BJ$69))+1,MOD(ROW(A1802)-1,COLUMNS('Portfolio Weights Returns'!$B$9:$BJ$69))+1)</f>
        <v>-7.8732571016945944E-4</v>
      </c>
      <c r="B1803" cm="1">
        <f t="array" ref="B1803">INDEX('Portfolio Weights Std'!$B$9:$BJ$69,INT((ROW(A1802)-1)/COLUMNS('Portfolio Weights Std'!$B$9:$BJ$69))+1,MOD(ROW(A1802)-1,COLUMNS('Portfolio Weights Std'!$B$9:$BJ$69))+1)</f>
        <v>1.8968782590945085E-2</v>
      </c>
    </row>
    <row r="1804" spans="1:2" x14ac:dyDescent="0.25">
      <c r="A1804" cm="1">
        <f t="array" ref="A1804">INDEX('Portfolio Weights Returns'!$B$9:$BJ$69,
INT((ROW(A1803)-1)/COLUMNS('Portfolio Weights Returns'!$B$9:$BJ$69))+1,MOD(ROW(A1803)-1,COLUMNS('Portfolio Weights Returns'!$B$9:$BJ$69))+1)</f>
        <v>-7.805445362027803E-4</v>
      </c>
      <c r="B1804" cm="1">
        <f t="array" ref="B1804">INDEX('Portfolio Weights Std'!$B$9:$BJ$69,INT((ROW(A1803)-1)/COLUMNS('Portfolio Weights Std'!$B$9:$BJ$69))+1,MOD(ROW(A1803)-1,COLUMNS('Portfolio Weights Std'!$B$9:$BJ$69))+1)</f>
        <v>1.882630610615562E-2</v>
      </c>
    </row>
    <row r="1805" spans="1:2" x14ac:dyDescent="0.25">
      <c r="A1805" cm="1">
        <f t="array" ref="A1805">INDEX('Portfolio Weights Returns'!$B$9:$BJ$69,
INT((ROW(A1804)-1)/COLUMNS('Portfolio Weights Returns'!$B$9:$BJ$69))+1,MOD(ROW(A1804)-1,COLUMNS('Portfolio Weights Returns'!$B$9:$BJ$69))+1)</f>
        <v>-7.7376336223610115E-4</v>
      </c>
      <c r="B1805" cm="1">
        <f t="array" ref="B1805">INDEX('Portfolio Weights Std'!$B$9:$BJ$69,INT((ROW(A1804)-1)/COLUMNS('Portfolio Weights Std'!$B$9:$BJ$69))+1,MOD(ROW(A1804)-1,COLUMNS('Portfolio Weights Std'!$B$9:$BJ$69))+1)</f>
        <v>1.8685221328085186E-2</v>
      </c>
    </row>
    <row r="1806" spans="1:2" x14ac:dyDescent="0.25">
      <c r="A1806" cm="1">
        <f t="array" ref="A1806">INDEX('Portfolio Weights Returns'!$B$9:$BJ$69,
INT((ROW(A1805)-1)/COLUMNS('Portfolio Weights Returns'!$B$9:$BJ$69))+1,MOD(ROW(A1805)-1,COLUMNS('Portfolio Weights Returns'!$B$9:$BJ$69))+1)</f>
        <v>-7.6698218826942201E-4</v>
      </c>
      <c r="B1806" cm="1">
        <f t="array" ref="B1806">INDEX('Portfolio Weights Std'!$B$9:$BJ$69,INT((ROW(A1805)-1)/COLUMNS('Portfolio Weights Std'!$B$9:$BJ$69))+1,MOD(ROW(A1805)-1,COLUMNS('Portfolio Weights Std'!$B$9:$BJ$69))+1)</f>
        <v>1.8545560018859299E-2</v>
      </c>
    </row>
    <row r="1807" spans="1:2" x14ac:dyDescent="0.25">
      <c r="A1807" cm="1">
        <f t="array" ref="A1807">INDEX('Portfolio Weights Returns'!$B$9:$BJ$69,
INT((ROW(A1806)-1)/COLUMNS('Portfolio Weights Returns'!$B$9:$BJ$69))+1,MOD(ROW(A1806)-1,COLUMNS('Portfolio Weights Returns'!$B$9:$BJ$69))+1)</f>
        <v>-7.6020101430274286E-4</v>
      </c>
      <c r="B1807" cm="1">
        <f t="array" ref="B1807">INDEX('Portfolio Weights Std'!$B$9:$BJ$69,INT((ROW(A1806)-1)/COLUMNS('Portfolio Weights Std'!$B$9:$BJ$69))+1,MOD(ROW(A1806)-1,COLUMNS('Portfolio Weights Std'!$B$9:$BJ$69))+1)</f>
        <v>1.840735457917355E-2</v>
      </c>
    </row>
    <row r="1808" spans="1:2" x14ac:dyDescent="0.25">
      <c r="A1808" cm="1">
        <f t="array" ref="A1808">INDEX('Portfolio Weights Returns'!$B$9:$BJ$69,
INT((ROW(A1807)-1)/COLUMNS('Portfolio Weights Returns'!$B$9:$BJ$69))+1,MOD(ROW(A1807)-1,COLUMNS('Portfolio Weights Returns'!$B$9:$BJ$69))+1)</f>
        <v>-7.5341984033606383E-4</v>
      </c>
      <c r="B1808" cm="1">
        <f t="array" ref="B1808">INDEX('Portfolio Weights Std'!$B$9:$BJ$69,INT((ROW(A1807)-1)/COLUMNS('Portfolio Weights Std'!$B$9:$BJ$69))+1,MOD(ROW(A1807)-1,COLUMNS('Portfolio Weights Std'!$B$9:$BJ$69))+1)</f>
        <v>1.8270638047163439E-2</v>
      </c>
    </row>
    <row r="1809" spans="1:2" x14ac:dyDescent="0.25">
      <c r="A1809" cm="1">
        <f t="array" ref="A1809">INDEX('Portfolio Weights Returns'!$B$9:$BJ$69,
INT((ROW(A1808)-1)/COLUMNS('Portfolio Weights Returns'!$B$9:$BJ$69))+1,MOD(ROW(A1808)-1,COLUMNS('Portfolio Weights Returns'!$B$9:$BJ$69))+1)</f>
        <v>-7.4663866636938479E-4</v>
      </c>
      <c r="B1809" cm="1">
        <f t="array" ref="B1809">INDEX('Portfolio Weights Std'!$B$9:$BJ$69,INT((ROW(A1808)-1)/COLUMNS('Portfolio Weights Std'!$B$9:$BJ$69))+1,MOD(ROW(A1808)-1,COLUMNS('Portfolio Weights Std'!$B$9:$BJ$69))+1)</f>
        <v>1.8135444095864241E-2</v>
      </c>
    </row>
    <row r="1810" spans="1:2" x14ac:dyDescent="0.25">
      <c r="A1810" cm="1">
        <f t="array" ref="A1810">INDEX('Portfolio Weights Returns'!$B$9:$BJ$69,
INT((ROW(A1809)-1)/COLUMNS('Portfolio Weights Returns'!$B$9:$BJ$69))+1,MOD(ROW(A1809)-1,COLUMNS('Portfolio Weights Returns'!$B$9:$BJ$69))+1)</f>
        <v>-7.3985749240270576E-4</v>
      </c>
      <c r="B1810" cm="1">
        <f t="array" ref="B1810">INDEX('Portfolio Weights Std'!$B$9:$BJ$69,INT((ROW(A1809)-1)/COLUMNS('Portfolio Weights Std'!$B$9:$BJ$69))+1,MOD(ROW(A1809)-1,COLUMNS('Portfolio Weights Std'!$B$9:$BJ$69))+1)</f>
        <v>1.8001807029148598E-2</v>
      </c>
    </row>
    <row r="1811" spans="1:2" x14ac:dyDescent="0.25">
      <c r="A1811" cm="1">
        <f t="array" ref="A1811">INDEX('Portfolio Weights Returns'!$B$9:$BJ$69,
INT((ROW(A1810)-1)/COLUMNS('Portfolio Weights Returns'!$B$9:$BJ$69))+1,MOD(ROW(A1810)-1,COLUMNS('Portfolio Weights Returns'!$B$9:$BJ$69))+1)</f>
        <v>-7.3307631843602661E-4</v>
      </c>
      <c r="B1811" cm="1">
        <f t="array" ref="B1811">INDEX('Portfolio Weights Std'!$B$9:$BJ$69,INT((ROW(A1810)-1)/COLUMNS('Portfolio Weights Std'!$B$9:$BJ$69))+1,MOD(ROW(A1810)-1,COLUMNS('Portfolio Weights Std'!$B$9:$BJ$69))+1)</f>
        <v>1.7869761776025905E-2</v>
      </c>
    </row>
    <row r="1812" spans="1:2" x14ac:dyDescent="0.25">
      <c r="A1812" cm="1">
        <f t="array" ref="A1812">INDEX('Portfolio Weights Returns'!$B$9:$BJ$69,
INT((ROW(A1811)-1)/COLUMNS('Portfolio Weights Returns'!$B$9:$BJ$69))+1,MOD(ROW(A1811)-1,COLUMNS('Portfolio Weights Returns'!$B$9:$BJ$69))+1)</f>
        <v>-7.2629514446934747E-4</v>
      </c>
      <c r="B1812" cm="1">
        <f t="array" ref="B1812">INDEX('Portfolio Weights Std'!$B$9:$BJ$69,INT((ROW(A1811)-1)/COLUMNS('Portfolio Weights Std'!$B$9:$BJ$69))+1,MOD(ROW(A1811)-1,COLUMNS('Portfolio Weights Std'!$B$9:$BJ$69))+1)</f>
        <v>1.773934388318393E-2</v>
      </c>
    </row>
    <row r="1813" spans="1:2" x14ac:dyDescent="0.25">
      <c r="A1813" cm="1">
        <f t="array" ref="A1813">INDEX('Portfolio Weights Returns'!$B$9:$BJ$69,
INT((ROW(A1812)-1)/COLUMNS('Portfolio Weights Returns'!$B$9:$BJ$69))+1,MOD(ROW(A1812)-1,COLUMNS('Portfolio Weights Returns'!$B$9:$BJ$69))+1)</f>
        <v>-7.1951397050266832E-4</v>
      </c>
      <c r="B1813" cm="1">
        <f t="array" ref="B1813">INDEX('Portfolio Weights Std'!$B$9:$BJ$69,INT((ROW(A1812)-1)/COLUMNS('Portfolio Weights Std'!$B$9:$BJ$69))+1,MOD(ROW(A1812)-1,COLUMNS('Portfolio Weights Std'!$B$9:$BJ$69))+1)</f>
        <v>1.7610589505650275E-2</v>
      </c>
    </row>
    <row r="1814" spans="1:2" x14ac:dyDescent="0.25">
      <c r="A1814" cm="1">
        <f t="array" ref="A1814">INDEX('Portfolio Weights Returns'!$B$9:$BJ$69,
INT((ROW(A1813)-1)/COLUMNS('Portfolio Weights Returns'!$B$9:$BJ$69))+1,MOD(ROW(A1813)-1,COLUMNS('Portfolio Weights Returns'!$B$9:$BJ$69))+1)</f>
        <v>-7.1273279653598918E-4</v>
      </c>
      <c r="B1814" cm="1">
        <f t="array" ref="B1814">INDEX('Portfolio Weights Std'!$B$9:$BJ$69,INT((ROW(A1813)-1)/COLUMNS('Portfolio Weights Std'!$B$9:$BJ$69))+1,MOD(ROW(A1813)-1,COLUMNS('Portfolio Weights Std'!$B$9:$BJ$69))+1)</f>
        <v>1.7483535395448772E-2</v>
      </c>
    </row>
    <row r="1815" spans="1:2" x14ac:dyDescent="0.25">
      <c r="A1815" cm="1">
        <f t="array" ref="A1815">INDEX('Portfolio Weights Returns'!$B$9:$BJ$69,
INT((ROW(A1814)-1)/COLUMNS('Portfolio Weights Returns'!$B$9:$BJ$69))+1,MOD(ROW(A1814)-1,COLUMNS('Portfolio Weights Returns'!$B$9:$BJ$69))+1)</f>
        <v>-7.0595162256931014E-4</v>
      </c>
      <c r="B1815" cm="1">
        <f t="array" ref="B1815">INDEX('Portfolio Weights Std'!$B$9:$BJ$69,INT((ROW(A1814)-1)/COLUMNS('Portfolio Weights Std'!$B$9:$BJ$69))+1,MOD(ROW(A1814)-1,COLUMNS('Portfolio Weights Std'!$B$9:$BJ$69))+1)</f>
        <v>1.7358218888124045E-2</v>
      </c>
    </row>
    <row r="1816" spans="1:2" x14ac:dyDescent="0.25">
      <c r="A1816" cm="1">
        <f t="array" ref="A1816">INDEX('Portfolio Weights Returns'!$B$9:$BJ$69,
INT((ROW(A1815)-1)/COLUMNS('Portfolio Weights Returns'!$B$9:$BJ$69))+1,MOD(ROW(A1815)-1,COLUMNS('Portfolio Weights Returns'!$B$9:$BJ$69))+1)</f>
        <v>-6.99170448602631E-4</v>
      </c>
      <c r="B1816" cm="1">
        <f t="array" ref="B1816">INDEX('Portfolio Weights Std'!$B$9:$BJ$69,INT((ROW(A1815)-1)/COLUMNS('Portfolio Weights Std'!$B$9:$BJ$69))+1,MOD(ROW(A1815)-1,COLUMNS('Portfolio Weights Std'!$B$9:$BJ$69))+1)</f>
        <v>1.7234677887006437E-2</v>
      </c>
    </row>
    <row r="1817" spans="1:2" x14ac:dyDescent="0.25">
      <c r="A1817" cm="1">
        <f t="array" ref="A1817">INDEX('Portfolio Weights Returns'!$B$9:$BJ$69,
INT((ROW(A1816)-1)/COLUMNS('Portfolio Weights Returns'!$B$9:$BJ$69))+1,MOD(ROW(A1816)-1,COLUMNS('Portfolio Weights Returns'!$B$9:$BJ$69))+1)</f>
        <v>-6.9238927463595196E-4</v>
      </c>
      <c r="B1817" cm="1">
        <f t="array" ref="B1817">INDEX('Portfolio Weights Std'!$B$9:$BJ$69,INT((ROW(A1816)-1)/COLUMNS('Portfolio Weights Std'!$B$9:$BJ$69))+1,MOD(ROW(A1816)-1,COLUMNS('Portfolio Weights Std'!$B$9:$BJ$69))+1)</f>
        <v>1.7112950845089132E-2</v>
      </c>
    </row>
    <row r="1818" spans="1:2" x14ac:dyDescent="0.25">
      <c r="A1818" cm="1">
        <f t="array" ref="A1818">INDEX('Portfolio Weights Returns'!$B$9:$BJ$69,
INT((ROW(A1817)-1)/COLUMNS('Portfolio Weights Returns'!$B$9:$BJ$69))+1,MOD(ROW(A1817)-1,COLUMNS('Portfolio Weights Returns'!$B$9:$BJ$69))+1)</f>
        <v>-6.8560810066927271E-4</v>
      </c>
      <c r="B1818" cm="1">
        <f t="array" ref="B1818">INDEX('Portfolio Weights Std'!$B$9:$BJ$69,INT((ROW(A1817)-1)/COLUMNS('Portfolio Weights Std'!$B$9:$BJ$69))+1,MOD(ROW(A1817)-1,COLUMNS('Portfolio Weights Std'!$B$9:$BJ$69))+1)</f>
        <v>1.6993076744390084E-2</v>
      </c>
    </row>
    <row r="1819" spans="1:2" x14ac:dyDescent="0.25">
      <c r="A1819" cm="1">
        <f t="array" ref="A1819">INDEX('Portfolio Weights Returns'!$B$9:$BJ$69,
INT((ROW(A1818)-1)/COLUMNS('Portfolio Weights Returns'!$B$9:$BJ$69))+1,MOD(ROW(A1818)-1,COLUMNS('Portfolio Weights Returns'!$B$9:$BJ$69))+1)</f>
        <v>-6.7882692670259378E-4</v>
      </c>
      <c r="B1819" cm="1">
        <f t="array" ref="B1819">INDEX('Portfolio Weights Std'!$B$9:$BJ$69,INT((ROW(A1818)-1)/COLUMNS('Portfolio Weights Std'!$B$9:$BJ$69))+1,MOD(ROW(A1818)-1,COLUMNS('Portfolio Weights Std'!$B$9:$BJ$69))+1)</f>
        <v>1.6875095072672961E-2</v>
      </c>
    </row>
    <row r="1820" spans="1:2" x14ac:dyDescent="0.25">
      <c r="A1820" cm="1">
        <f t="array" ref="A1820">INDEX('Portfolio Weights Returns'!$B$9:$BJ$69,
INT((ROW(A1819)-1)/COLUMNS('Portfolio Weights Returns'!$B$9:$BJ$69))+1,MOD(ROW(A1819)-1,COLUMNS('Portfolio Weights Returns'!$B$9:$BJ$69))+1)</f>
        <v>-6.7204575273591464E-4</v>
      </c>
      <c r="B1820" cm="1">
        <f t="array" ref="B1820">INDEX('Portfolio Weights Std'!$B$9:$BJ$69,INT((ROW(A1819)-1)/COLUMNS('Portfolio Weights Std'!$B$9:$BJ$69))+1,MOD(ROW(A1819)-1,COLUMNS('Portfolio Weights Std'!$B$9:$BJ$69))+1)</f>
        <v>1.6759045797404375E-2</v>
      </c>
    </row>
    <row r="1821" spans="1:2" x14ac:dyDescent="0.25">
      <c r="A1821" cm="1">
        <f t="array" ref="A1821">INDEX('Portfolio Weights Returns'!$B$9:$BJ$69,
INT((ROW(A1820)-1)/COLUMNS('Portfolio Weights Returns'!$B$9:$BJ$69))+1,MOD(ROW(A1820)-1,COLUMNS('Portfolio Weights Returns'!$B$9:$BJ$69))+1)</f>
        <v>-6.652645787692356E-4</v>
      </c>
      <c r="B1821" cm="1">
        <f t="array" ref="B1821">INDEX('Portfolio Weights Std'!$B$9:$BJ$69,INT((ROW(A1820)-1)/COLUMNS('Portfolio Weights Std'!$B$9:$BJ$69))+1,MOD(ROW(A1820)-1,COLUMNS('Portfolio Weights Std'!$B$9:$BJ$69))+1)</f>
        <v>1.6644969336828748E-2</v>
      </c>
    </row>
    <row r="1822" spans="1:2" x14ac:dyDescent="0.25">
      <c r="A1822" cm="1">
        <f t="array" ref="A1822">INDEX('Portfolio Weights Returns'!$B$9:$BJ$69,
INT((ROW(A1821)-1)/COLUMNS('Portfolio Weights Returns'!$B$9:$BJ$69))+1,MOD(ROW(A1821)-1,COLUMNS('Portfolio Weights Returns'!$B$9:$BJ$69))+1)</f>
        <v>-6.5848340480255646E-4</v>
      </c>
      <c r="B1822" cm="1">
        <f t="array" ref="B1822">INDEX('Portfolio Weights Std'!$B$9:$BJ$69,INT((ROW(A1821)-1)/COLUMNS('Portfolio Weights Std'!$B$9:$BJ$69))+1,MOD(ROW(A1821)-1,COLUMNS('Portfolio Weights Std'!$B$9:$BJ$69))+1)</f>
        <v>1.6532906528047848E-2</v>
      </c>
    </row>
    <row r="1823" spans="1:2" x14ac:dyDescent="0.25">
      <c r="A1823" cm="1">
        <f t="array" ref="A1823">INDEX('Portfolio Weights Returns'!$B$9:$BJ$69,
INT((ROW(A1822)-1)/COLUMNS('Portfolio Weights Returns'!$B$9:$BJ$69))+1,MOD(ROW(A1822)-1,COLUMNS('Portfolio Weights Returns'!$B$9:$BJ$69))+1)</f>
        <v>-6.5170223083587742E-4</v>
      </c>
      <c r="B1823" cm="1">
        <f t="array" ref="B1823">INDEX('Portfolio Weights Std'!$B$9:$BJ$69,INT((ROW(A1822)-1)/COLUMNS('Portfolio Weights Std'!$B$9:$BJ$69))+1,MOD(ROW(A1822)-1,COLUMNS('Portfolio Weights Std'!$B$9:$BJ$69))+1)</f>
        <v>1.6422898591999253E-2</v>
      </c>
    </row>
    <row r="1824" spans="1:2" x14ac:dyDescent="0.25">
      <c r="A1824" cm="1">
        <f t="array" ref="A1824">INDEX('Portfolio Weights Returns'!$B$9:$BJ$69,
INT((ROW(A1823)-1)/COLUMNS('Portfolio Weights Returns'!$B$9:$BJ$69))+1,MOD(ROW(A1823)-1,COLUMNS('Portfolio Weights Returns'!$B$9:$BJ$69))+1)</f>
        <v>-6.4492105686919817E-4</v>
      </c>
      <c r="B1824" cm="1">
        <f t="array" ref="B1824">INDEX('Portfolio Weights Std'!$B$9:$BJ$69,INT((ROW(A1823)-1)/COLUMNS('Portfolio Weights Std'!$B$9:$BJ$69))+1,MOD(ROW(A1823)-1,COLUMNS('Portfolio Weights Std'!$B$9:$BJ$69))+1)</f>
        <v>1.6314987095236721E-2</v>
      </c>
    </row>
    <row r="1825" spans="1:2" x14ac:dyDescent="0.25">
      <c r="A1825" cm="1">
        <f t="array" ref="A1825">INDEX('Portfolio Weights Returns'!$B$9:$BJ$69,
INT((ROW(A1824)-1)/COLUMNS('Portfolio Weights Returns'!$B$9:$BJ$69))+1,MOD(ROW(A1824)-1,COLUMNS('Portfolio Weights Returns'!$B$9:$BJ$69))+1)</f>
        <v>-6.3813988290251902E-4</v>
      </c>
      <c r="B1825" cm="1">
        <f t="array" ref="B1825">INDEX('Portfolio Weights Std'!$B$9:$BJ$69,INT((ROW(A1824)-1)/COLUMNS('Portfolio Weights Std'!$B$9:$BJ$69))+1,MOD(ROW(A1824)-1,COLUMNS('Portfolio Weights Std'!$B$9:$BJ$69))+1)</f>
        <v>1.6209213908426171E-2</v>
      </c>
    </row>
    <row r="1826" spans="1:2" x14ac:dyDescent="0.25">
      <c r="A1826" cm="1">
        <f t="array" ref="A1826">INDEX('Portfolio Weights Returns'!$B$9:$BJ$69,
INT((ROW(A1825)-1)/COLUMNS('Portfolio Weights Returns'!$B$9:$BJ$69))+1,MOD(ROW(A1825)-1,COLUMNS('Portfolio Weights Returns'!$B$9:$BJ$69))+1)</f>
        <v>-6.3135870893583999E-4</v>
      </c>
      <c r="B1826" cm="1">
        <f t="array" ref="B1826">INDEX('Portfolio Weights Std'!$B$9:$BJ$69,INT((ROW(A1825)-1)/COLUMNS('Portfolio Weights Std'!$B$9:$BJ$69))+1,MOD(ROW(A1825)-1,COLUMNS('Portfolio Weights Std'!$B$9:$BJ$69))+1)</f>
        <v>1.6105621161483282E-2</v>
      </c>
    </row>
    <row r="1827" spans="1:2" x14ac:dyDescent="0.25">
      <c r="A1827" cm="1">
        <f t="array" ref="A1827">INDEX('Portfolio Weights Returns'!$B$9:$BJ$69,
INT((ROW(A1826)-1)/COLUMNS('Portfolio Weights Returns'!$B$9:$BJ$69))+1,MOD(ROW(A1826)-1,COLUMNS('Portfolio Weights Returns'!$B$9:$BJ$69))+1)</f>
        <v>-6.2457753496916084E-4</v>
      </c>
      <c r="B1827" cm="1">
        <f t="array" ref="B1827">INDEX('Portfolio Weights Std'!$B$9:$BJ$69,INT((ROW(A1826)-1)/COLUMNS('Portfolio Weights Std'!$B$9:$BJ$69))+1,MOD(ROW(A1826)-1,COLUMNS('Portfolio Weights Std'!$B$9:$BJ$69))+1)</f>
        <v>1.6004251195293258E-2</v>
      </c>
    </row>
    <row r="1828" spans="1:2" x14ac:dyDescent="0.25">
      <c r="A1828" cm="1">
        <f t="array" ref="A1828">INDEX('Portfolio Weights Returns'!$B$9:$BJ$69,
INT((ROW(A1827)-1)/COLUMNS('Portfolio Weights Returns'!$B$9:$BJ$69))+1,MOD(ROW(A1827)-1,COLUMNS('Portfolio Weights Returns'!$B$9:$BJ$69))+1)</f>
        <v>-6.1779636100248116E-4</v>
      </c>
      <c r="B1828" cm="1">
        <f t="array" ref="B1828">INDEX('Portfolio Weights Std'!$B$9:$BJ$69,INT((ROW(A1827)-1)/COLUMNS('Portfolio Weights Std'!$B$9:$BJ$69))+1,MOD(ROW(A1827)-1,COLUMNS('Portfolio Weights Std'!$B$9:$BJ$69))+1)</f>
        <v>1.5905146509969621E-2</v>
      </c>
    </row>
    <row r="1829" spans="1:2" x14ac:dyDescent="0.25">
      <c r="A1829" cm="1">
        <f t="array" ref="A1829">INDEX('Portfolio Weights Returns'!$B$9:$BJ$69,
INT((ROW(A1828)-1)/COLUMNS('Portfolio Weights Returns'!$B$9:$BJ$69))+1,MOD(ROW(A1828)-1,COLUMNS('Portfolio Weights Returns'!$B$9:$BJ$69))+1)</f>
        <v>-6.110151870358019E-4</v>
      </c>
      <c r="B1829" cm="1">
        <f t="array" ref="B1829">INDEX('Portfolio Weights Std'!$B$9:$BJ$69,INT((ROW(A1828)-1)/COLUMNS('Portfolio Weights Std'!$B$9:$BJ$69))+1,MOD(ROW(A1828)-1,COLUMNS('Portfolio Weights Std'!$B$9:$BJ$69))+1)</f>
        <v>1.580834970962745E-2</v>
      </c>
    </row>
    <row r="1830" spans="1:2" x14ac:dyDescent="0.25">
      <c r="A1830" cm="1">
        <f t="array" ref="A1830">INDEX('Portfolio Weights Returns'!$B$9:$BJ$69,
INT((ROW(A1829)-1)/COLUMNS('Portfolio Weights Returns'!$B$9:$BJ$69))+1,MOD(ROW(A1829)-1,COLUMNS('Portfolio Weights Returns'!$B$9:$BJ$69))+1)</f>
        <v>-6.0423401306912298E-4</v>
      </c>
      <c r="B1830" cm="1">
        <f t="array" ref="B1830">INDEX('Portfolio Weights Std'!$B$9:$BJ$69,INT((ROW(A1829)-1)/COLUMNS('Portfolio Weights Std'!$B$9:$BJ$69))+1,MOD(ROW(A1829)-1,COLUMNS('Portfolio Weights Std'!$B$9:$BJ$69))+1)</f>
        <v>1.5713903443666813E-2</v>
      </c>
    </row>
    <row r="1831" spans="1:2" x14ac:dyDescent="0.25">
      <c r="A1831" cm="1">
        <f t="array" ref="A1831">INDEX('Portfolio Weights Returns'!$B$9:$BJ$69,
INT((ROW(A1830)-1)/COLUMNS('Portfolio Weights Returns'!$B$9:$BJ$69))+1,MOD(ROW(A1830)-1,COLUMNS('Portfolio Weights Returns'!$B$9:$BJ$69))+1)</f>
        <v>-5.9745283910244383E-4</v>
      </c>
      <c r="B1831" cm="1">
        <f t="array" ref="B1831">INDEX('Portfolio Weights Std'!$B$9:$BJ$69,INT((ROW(A1830)-1)/COLUMNS('Portfolio Weights Std'!$B$9:$BJ$69))+1,MOD(ROW(A1830)-1,COLUMNS('Portfolio Weights Std'!$B$9:$BJ$69))+1)</f>
        <v>1.5621850344585145E-2</v>
      </c>
    </row>
    <row r="1832" spans="1:2" x14ac:dyDescent="0.25">
      <c r="A1832" cm="1">
        <f t="array" ref="A1832">INDEX('Portfolio Weights Returns'!$B$9:$BJ$69,
INT((ROW(A1831)-1)/COLUMNS('Portfolio Weights Returns'!$B$9:$BJ$69))+1,MOD(ROW(A1831)-1,COLUMNS('Portfolio Weights Returns'!$B$9:$BJ$69))+1)</f>
        <v>-9.9774906925773543E-4</v>
      </c>
      <c r="B1832" cm="1">
        <f t="array" ref="B1832">INDEX('Portfolio Weights Std'!$B$9:$BJ$69,INT((ROW(A1831)-1)/COLUMNS('Portfolio Weights Std'!$B$9:$BJ$69))+1,MOD(ROW(A1831)-1,COLUMNS('Portfolio Weights Std'!$B$9:$BJ$69))+1)</f>
        <v>2.3961753289428438E-2</v>
      </c>
    </row>
    <row r="1833" spans="1:2" x14ac:dyDescent="0.25">
      <c r="A1833" cm="1">
        <f t="array" ref="A1833">INDEX('Portfolio Weights Returns'!$B$9:$BJ$69,
INT((ROW(A1832)-1)/COLUMNS('Portfolio Weights Returns'!$B$9:$BJ$69))+1,MOD(ROW(A1832)-1,COLUMNS('Portfolio Weights Returns'!$B$9:$BJ$69))+1)</f>
        <v>-9.9096789529105628E-4</v>
      </c>
      <c r="B1833" cm="1">
        <f t="array" ref="B1833">INDEX('Portfolio Weights Std'!$B$9:$BJ$69,INT((ROW(A1832)-1)/COLUMNS('Portfolio Weights Std'!$B$9:$BJ$69))+1,MOD(ROW(A1832)-1,COLUMNS('Portfolio Weights Std'!$B$9:$BJ$69))+1)</f>
        <v>2.3788516359266525E-2</v>
      </c>
    </row>
    <row r="1834" spans="1:2" x14ac:dyDescent="0.25">
      <c r="A1834" cm="1">
        <f t="array" ref="A1834">INDEX('Portfolio Weights Returns'!$B$9:$BJ$69,
INT((ROW(A1833)-1)/COLUMNS('Portfolio Weights Returns'!$B$9:$BJ$69))+1,MOD(ROW(A1833)-1,COLUMNS('Portfolio Weights Returns'!$B$9:$BJ$69))+1)</f>
        <v>-9.8418672132437736E-4</v>
      </c>
      <c r="B1834" cm="1">
        <f t="array" ref="B1834">INDEX('Portfolio Weights Std'!$B$9:$BJ$69,INT((ROW(A1833)-1)/COLUMNS('Portfolio Weights Std'!$B$9:$BJ$69))+1,MOD(ROW(A1833)-1,COLUMNS('Portfolio Weights Std'!$B$9:$BJ$69))+1)</f>
        <v>2.3615969306879481E-2</v>
      </c>
    </row>
    <row r="1835" spans="1:2" x14ac:dyDescent="0.25">
      <c r="A1835" cm="1">
        <f t="array" ref="A1835">INDEX('Portfolio Weights Returns'!$B$9:$BJ$69,
INT((ROW(A1834)-1)/COLUMNS('Portfolio Weights Returns'!$B$9:$BJ$69))+1,MOD(ROW(A1834)-1,COLUMNS('Portfolio Weights Returns'!$B$9:$BJ$69))+1)</f>
        <v>-9.7740554735769821E-4</v>
      </c>
      <c r="B1835" cm="1">
        <f t="array" ref="B1835">INDEX('Portfolio Weights Std'!$B$9:$BJ$69,INT((ROW(A1834)-1)/COLUMNS('Portfolio Weights Std'!$B$9:$BJ$69))+1,MOD(ROW(A1834)-1,COLUMNS('Portfolio Weights Std'!$B$9:$BJ$69))+1)</f>
        <v>2.3444127364621231E-2</v>
      </c>
    </row>
    <row r="1836" spans="1:2" x14ac:dyDescent="0.25">
      <c r="A1836" cm="1">
        <f t="array" ref="A1836">INDEX('Portfolio Weights Returns'!$B$9:$BJ$69,
INT((ROW(A1835)-1)/COLUMNS('Portfolio Weights Returns'!$B$9:$BJ$69))+1,MOD(ROW(A1835)-1,COLUMNS('Portfolio Weights Returns'!$B$9:$BJ$69))+1)</f>
        <v>-9.7062437339101907E-4</v>
      </c>
      <c r="B1836" cm="1">
        <f t="array" ref="B1836">INDEX('Portfolio Weights Std'!$B$9:$BJ$69,INT((ROW(A1835)-1)/COLUMNS('Portfolio Weights Std'!$B$9:$BJ$69))+1,MOD(ROW(A1835)-1,COLUMNS('Portfolio Weights Std'!$B$9:$BJ$69))+1)</f>
        <v>2.3273006151557144E-2</v>
      </c>
    </row>
    <row r="1837" spans="1:2" x14ac:dyDescent="0.25">
      <c r="A1837" cm="1">
        <f t="array" ref="A1837">INDEX('Portfolio Weights Returns'!$B$9:$BJ$69,
INT((ROW(A1836)-1)/COLUMNS('Portfolio Weights Returns'!$B$9:$BJ$69))+1,MOD(ROW(A1836)-1,COLUMNS('Portfolio Weights Returns'!$B$9:$BJ$69))+1)</f>
        <v>-9.6384319942434003E-4</v>
      </c>
      <c r="B1837" cm="1">
        <f t="array" ref="B1837">INDEX('Portfolio Weights Std'!$B$9:$BJ$69,INT((ROW(A1836)-1)/COLUMNS('Portfolio Weights Std'!$B$9:$BJ$69))+1,MOD(ROW(A1836)-1,COLUMNS('Portfolio Weights Std'!$B$9:$BJ$69))+1)</f>
        <v>2.3102621683025001E-2</v>
      </c>
    </row>
    <row r="1838" spans="1:2" x14ac:dyDescent="0.25">
      <c r="A1838" cm="1">
        <f t="array" ref="A1838">INDEX('Portfolio Weights Returns'!$B$9:$BJ$69,
INT((ROW(A1837)-1)/COLUMNS('Portfolio Weights Returns'!$B$9:$BJ$69))+1,MOD(ROW(A1837)-1,COLUMNS('Portfolio Weights Returns'!$B$9:$BJ$69))+1)</f>
        <v>-9.5706202545766089E-4</v>
      </c>
      <c r="B1838" cm="1">
        <f t="array" ref="B1838">INDEX('Portfolio Weights Std'!$B$9:$BJ$69,INT((ROW(A1837)-1)/COLUMNS('Portfolio Weights Std'!$B$9:$BJ$69))+1,MOD(ROW(A1837)-1,COLUMNS('Portfolio Weights Std'!$B$9:$BJ$69))+1)</f>
        <v>2.2932990380329019E-2</v>
      </c>
    </row>
    <row r="1839" spans="1:2" x14ac:dyDescent="0.25">
      <c r="A1839" cm="1">
        <f t="array" ref="A1839">INDEX('Portfolio Weights Returns'!$B$9:$BJ$69,
INT((ROW(A1838)-1)/COLUMNS('Portfolio Weights Returns'!$B$9:$BJ$69))+1,MOD(ROW(A1838)-1,COLUMNS('Portfolio Weights Returns'!$B$9:$BJ$69))+1)</f>
        <v>-9.5028085149098185E-4</v>
      </c>
      <c r="B1839" cm="1">
        <f t="array" ref="B1839">INDEX('Portfolio Weights Std'!$B$9:$BJ$69,INT((ROW(A1838)-1)/COLUMNS('Portfolio Weights Std'!$B$9:$BJ$69))+1,MOD(ROW(A1838)-1,COLUMNS('Portfolio Weights Std'!$B$9:$BJ$69))+1)</f>
        <v>2.2764129080557319E-2</v>
      </c>
    </row>
    <row r="1840" spans="1:2" x14ac:dyDescent="0.25">
      <c r="A1840" cm="1">
        <f t="array" ref="A1840">INDEX('Portfolio Weights Returns'!$B$9:$BJ$69,
INT((ROW(A1839)-1)/COLUMNS('Portfolio Weights Returns'!$B$9:$BJ$69))+1,MOD(ROW(A1839)-1,COLUMNS('Portfolio Weights Returns'!$B$9:$BJ$69))+1)</f>
        <v>-9.4349967752430271E-4</v>
      </c>
      <c r="B1840" cm="1">
        <f t="array" ref="B1840">INDEX('Portfolio Weights Std'!$B$9:$BJ$69,INT((ROW(A1839)-1)/COLUMNS('Portfolio Weights Std'!$B$9:$BJ$69))+1,MOD(ROW(A1839)-1,COLUMNS('Portfolio Weights Std'!$B$9:$BJ$69))+1)</f>
        <v>2.2596055046512287E-2</v>
      </c>
    </row>
    <row r="1841" spans="1:2" x14ac:dyDescent="0.25">
      <c r="A1841" cm="1">
        <f t="array" ref="A1841">INDEX('Portfolio Weights Returns'!$B$9:$BJ$69,
INT((ROW(A1840)-1)/COLUMNS('Portfolio Weights Returns'!$B$9:$BJ$69))+1,MOD(ROW(A1840)-1,COLUMNS('Portfolio Weights Returns'!$B$9:$BJ$69))+1)</f>
        <v>-9.3671850355762356E-4</v>
      </c>
      <c r="B1841" cm="1">
        <f t="array" ref="B1841">INDEX('Portfolio Weights Std'!$B$9:$BJ$69,INT((ROW(A1840)-1)/COLUMNS('Portfolio Weights Std'!$B$9:$BJ$69))+1,MOD(ROW(A1840)-1,COLUMNS('Portfolio Weights Std'!$B$9:$BJ$69))+1)</f>
        <v>2.2428785976741531E-2</v>
      </c>
    </row>
    <row r="1842" spans="1:2" x14ac:dyDescent="0.25">
      <c r="A1842" cm="1">
        <f t="array" ref="A1842">INDEX('Portfolio Weights Returns'!$B$9:$BJ$69,
INT((ROW(A1841)-1)/COLUMNS('Portfolio Weights Returns'!$B$9:$BJ$69))+1,MOD(ROW(A1841)-1,COLUMNS('Portfolio Weights Returns'!$B$9:$BJ$69))+1)</f>
        <v>-9.2993732959094442E-4</v>
      </c>
      <c r="B1842" cm="1">
        <f t="array" ref="B1842">INDEX('Portfolio Weights Std'!$B$9:$BJ$69,INT((ROW(A1841)-1)/COLUMNS('Portfolio Weights Std'!$B$9:$BJ$69))+1,MOD(ROW(A1841)-1,COLUMNS('Portfolio Weights Std'!$B$9:$BJ$69))+1)</f>
        <v>2.2262340015655756E-2</v>
      </c>
    </row>
    <row r="1843" spans="1:2" x14ac:dyDescent="0.25">
      <c r="A1843" cm="1">
        <f t="array" ref="A1843">INDEX('Portfolio Weights Returns'!$B$9:$BJ$69,
INT((ROW(A1842)-1)/COLUMNS('Portfolio Weights Returns'!$B$9:$BJ$69))+1,MOD(ROW(A1842)-1,COLUMNS('Portfolio Weights Returns'!$B$9:$BJ$69))+1)</f>
        <v>-9.2315615562426527E-4</v>
      </c>
      <c r="B1843" cm="1">
        <f t="array" ref="B1843">INDEX('Portfolio Weights Std'!$B$9:$BJ$69,INT((ROW(A1842)-1)/COLUMNS('Portfolio Weights Std'!$B$9:$BJ$69))+1,MOD(ROW(A1842)-1,COLUMNS('Portfolio Weights Std'!$B$9:$BJ$69))+1)</f>
        <v>2.2096735763718209E-2</v>
      </c>
    </row>
    <row r="1844" spans="1:2" x14ac:dyDescent="0.25">
      <c r="A1844" cm="1">
        <f t="array" ref="A1844">INDEX('Portfolio Weights Returns'!$B$9:$BJ$69,
INT((ROW(A1843)-1)/COLUMNS('Portfolio Weights Returns'!$B$9:$BJ$69))+1,MOD(ROW(A1843)-1,COLUMNS('Portfolio Weights Returns'!$B$9:$BJ$69))+1)</f>
        <v>-9.1637498165758624E-4</v>
      </c>
      <c r="B1844" cm="1">
        <f t="array" ref="B1844">INDEX('Portfolio Weights Std'!$B$9:$BJ$69,INT((ROW(A1843)-1)/COLUMNS('Portfolio Weights Std'!$B$9:$BJ$69))+1,MOD(ROW(A1843)-1,COLUMNS('Portfolio Weights Std'!$B$9:$BJ$69))+1)</f>
        <v>2.193199228768844E-2</v>
      </c>
    </row>
    <row r="1845" spans="1:2" x14ac:dyDescent="0.25">
      <c r="A1845" cm="1">
        <f t="array" ref="A1845">INDEX('Portfolio Weights Returns'!$B$9:$BJ$69,
INT((ROW(A1844)-1)/COLUMNS('Portfolio Weights Returns'!$B$9:$BJ$69))+1,MOD(ROW(A1844)-1,COLUMNS('Portfolio Weights Returns'!$B$9:$BJ$69))+1)</f>
        <v>-9.0959380769090709E-4</v>
      </c>
      <c r="B1845" cm="1">
        <f t="array" ref="B1845">INDEX('Portfolio Weights Std'!$B$9:$BJ$69,INT((ROW(A1844)-1)/COLUMNS('Portfolio Weights Std'!$B$9:$BJ$69))+1,MOD(ROW(A1844)-1,COLUMNS('Portfolio Weights Std'!$B$9:$BJ$69))+1)</f>
        <v>2.1768129130901284E-2</v>
      </c>
    </row>
    <row r="1846" spans="1:2" x14ac:dyDescent="0.25">
      <c r="A1846" cm="1">
        <f t="array" ref="A1846">INDEX('Portfolio Weights Returns'!$B$9:$BJ$69,
INT((ROW(A1845)-1)/COLUMNS('Portfolio Weights Returns'!$B$9:$BJ$69))+1,MOD(ROW(A1845)-1,COLUMNS('Portfolio Weights Returns'!$B$9:$BJ$69))+1)</f>
        <v>-9.0281263372422806E-4</v>
      </c>
      <c r="B1846" cm="1">
        <f t="array" ref="B1846">INDEX('Portfolio Weights Std'!$B$9:$BJ$69,INT((ROW(A1845)-1)/COLUMNS('Portfolio Weights Std'!$B$9:$BJ$69))+1,MOD(ROW(A1845)-1,COLUMNS('Portfolio Weights Std'!$B$9:$BJ$69))+1)</f>
        <v>2.16051663235599E-2</v>
      </c>
    </row>
    <row r="1847" spans="1:2" x14ac:dyDescent="0.25">
      <c r="A1847" cm="1">
        <f t="array" ref="A1847">INDEX('Portfolio Weights Returns'!$B$9:$BJ$69,
INT((ROW(A1846)-1)/COLUMNS('Portfolio Weights Returns'!$B$9:$BJ$69))+1,MOD(ROW(A1846)-1,COLUMNS('Portfolio Weights Returns'!$B$9:$BJ$69))+1)</f>
        <v>-8.9603145975754891E-4</v>
      </c>
      <c r="B1847" cm="1">
        <f t="array" ref="B1847">INDEX('Portfolio Weights Std'!$B$9:$BJ$69,INT((ROW(A1846)-1)/COLUMNS('Portfolio Weights Std'!$B$9:$BJ$69))+1,MOD(ROW(A1846)-1,COLUMNS('Portfolio Weights Std'!$B$9:$BJ$69))+1)</f>
        <v>2.1443124393019462E-2</v>
      </c>
    </row>
    <row r="1848" spans="1:2" x14ac:dyDescent="0.25">
      <c r="A1848" cm="1">
        <f t="array" ref="A1848">INDEX('Portfolio Weights Returns'!$B$9:$BJ$69,
INT((ROW(A1847)-1)/COLUMNS('Portfolio Weights Returns'!$B$9:$BJ$69))+1,MOD(ROW(A1847)-1,COLUMNS('Portfolio Weights Returns'!$B$9:$BJ$69))+1)</f>
        <v>-8.8925028579086999E-4</v>
      </c>
      <c r="B1848" cm="1">
        <f t="array" ref="B1848">INDEX('Portfolio Weights Std'!$B$9:$BJ$69,INT((ROW(A1847)-1)/COLUMNS('Portfolio Weights Std'!$B$9:$BJ$69))+1,MOD(ROW(A1847)-1,COLUMNS('Portfolio Weights Std'!$B$9:$BJ$69))+1)</f>
        <v>2.1282024374035757E-2</v>
      </c>
    </row>
    <row r="1849" spans="1:2" x14ac:dyDescent="0.25">
      <c r="A1849" cm="1">
        <f t="array" ref="A1849">INDEX('Portfolio Weights Returns'!$B$9:$BJ$69,
INT((ROW(A1848)-1)/COLUMNS('Portfolio Weights Returns'!$B$9:$BJ$69))+1,MOD(ROW(A1848)-1,COLUMNS('Portfolio Weights Returns'!$B$9:$BJ$69))+1)</f>
        <v>-8.8246911182419062E-4</v>
      </c>
      <c r="B1849" cm="1">
        <f t="array" ref="B1849">INDEX('Portfolio Weights Std'!$B$9:$BJ$69,INT((ROW(A1848)-1)/COLUMNS('Portfolio Weights Std'!$B$9:$BJ$69))+1,MOD(ROW(A1848)-1,COLUMNS('Portfolio Weights Std'!$B$9:$BJ$69))+1)</f>
        <v>2.1121887818950358E-2</v>
      </c>
    </row>
    <row r="1850" spans="1:2" x14ac:dyDescent="0.25">
      <c r="A1850" cm="1">
        <f t="array" ref="A1850">INDEX('Portfolio Weights Returns'!$B$9:$BJ$69,
INT((ROW(A1849)-1)/COLUMNS('Portfolio Weights Returns'!$B$9:$BJ$69))+1,MOD(ROW(A1849)-1,COLUMNS('Portfolio Weights Returns'!$B$9:$BJ$69))+1)</f>
        <v>-8.7568793785751181E-4</v>
      </c>
      <c r="B1850" cm="1">
        <f t="array" ref="B1850">INDEX('Portfolio Weights Std'!$B$9:$BJ$69,INT((ROW(A1849)-1)/COLUMNS('Portfolio Weights Std'!$B$9:$BJ$69))+1,MOD(ROW(A1849)-1,COLUMNS('Portfolio Weights Std'!$B$9:$BJ$69))+1)</f>
        <v>2.0962736807781587E-2</v>
      </c>
    </row>
    <row r="1851" spans="1:2" x14ac:dyDescent="0.25">
      <c r="A1851" cm="1">
        <f t="array" ref="A1851">INDEX('Portfolio Weights Returns'!$B$9:$BJ$69,
INT((ROW(A1850)-1)/COLUMNS('Portfolio Weights Returns'!$B$9:$BJ$69))+1,MOD(ROW(A1850)-1,COLUMNS('Portfolio Weights Returns'!$B$9:$BJ$69))+1)</f>
        <v>-8.6890676389083266E-4</v>
      </c>
      <c r="B1851" cm="1">
        <f t="array" ref="B1851">INDEX('Portfolio Weights Std'!$B$9:$BJ$69,INT((ROW(A1850)-1)/COLUMNS('Portfolio Weights Std'!$B$9:$BJ$69))+1,MOD(ROW(A1850)-1,COLUMNS('Portfolio Weights Std'!$B$9:$BJ$69))+1)</f>
        <v>2.0804593958187324E-2</v>
      </c>
    </row>
    <row r="1852" spans="1:2" x14ac:dyDescent="0.25">
      <c r="A1852" cm="1">
        <f t="array" ref="A1852">INDEX('Portfolio Weights Returns'!$B$9:$BJ$69,
INT((ROW(A1851)-1)/COLUMNS('Portfolio Weights Returns'!$B$9:$BJ$69))+1,MOD(ROW(A1851)-1,COLUMNS('Portfolio Weights Returns'!$B$9:$BJ$69))+1)</f>
        <v>-8.6212558992415341E-4</v>
      </c>
      <c r="B1852" cm="1">
        <f t="array" ref="B1852">INDEX('Portfolio Weights Std'!$B$9:$BJ$69,INT((ROW(A1851)-1)/COLUMNS('Portfolio Weights Std'!$B$9:$BJ$69))+1,MOD(ROW(A1851)-1,COLUMNS('Portfolio Weights Std'!$B$9:$BJ$69))+1)</f>
        <v>2.0647482435262991E-2</v>
      </c>
    </row>
    <row r="1853" spans="1:2" x14ac:dyDescent="0.25">
      <c r="A1853" cm="1">
        <f t="array" ref="A1853">INDEX('Portfolio Weights Returns'!$B$9:$BJ$69,
INT((ROW(A1852)-1)/COLUMNS('Portfolio Weights Returns'!$B$9:$BJ$69))+1,MOD(ROW(A1852)-1,COLUMNS('Portfolio Weights Returns'!$B$9:$BJ$69))+1)</f>
        <v>-8.5534441595747437E-4</v>
      </c>
      <c r="B1853" cm="1">
        <f t="array" ref="B1853">INDEX('Portfolio Weights Std'!$B$9:$BJ$69,INT((ROW(A1852)-1)/COLUMNS('Portfolio Weights Std'!$B$9:$BJ$69))+1,MOD(ROW(A1852)-1,COLUMNS('Portfolio Weights Std'!$B$9:$BJ$69))+1)</f>
        <v>2.0491425961134794E-2</v>
      </c>
    </row>
    <row r="1854" spans="1:2" x14ac:dyDescent="0.25">
      <c r="A1854" cm="1">
        <f t="array" ref="A1854">INDEX('Portfolio Weights Returns'!$B$9:$BJ$69,
INT((ROW(A1853)-1)/COLUMNS('Portfolio Weights Returns'!$B$9:$BJ$69))+1,MOD(ROW(A1853)-1,COLUMNS('Portfolio Weights Returns'!$B$9:$BJ$69))+1)</f>
        <v>-8.4856324199079523E-4</v>
      </c>
      <c r="B1854" cm="1">
        <f t="array" ref="B1854">INDEX('Portfolio Weights Std'!$B$9:$BJ$69,INT((ROW(A1853)-1)/COLUMNS('Portfolio Weights Std'!$B$9:$BJ$69))+1,MOD(ROW(A1853)-1,COLUMNS('Portfolio Weights Std'!$B$9:$BJ$69))+1)</f>
        <v>2.033644882430485E-2</v>
      </c>
    </row>
    <row r="1855" spans="1:2" x14ac:dyDescent="0.25">
      <c r="A1855" cm="1">
        <f t="array" ref="A1855">INDEX('Portfolio Weights Returns'!$B$9:$BJ$69,
INT((ROW(A1854)-1)/COLUMNS('Portfolio Weights Returns'!$B$9:$BJ$69))+1,MOD(ROW(A1854)-1,COLUMNS('Portfolio Weights Returns'!$B$9:$BJ$69))+1)</f>
        <v>-8.4178206802411619E-4</v>
      </c>
      <c r="B1855" cm="1">
        <f t="array" ref="B1855">INDEX('Portfolio Weights Std'!$B$9:$BJ$69,INT((ROW(A1854)-1)/COLUMNS('Portfolio Weights Std'!$B$9:$BJ$69))+1,MOD(ROW(A1854)-1,COLUMNS('Portfolio Weights Std'!$B$9:$BJ$69))+1)</f>
        <v>2.0182575888701551E-2</v>
      </c>
    </row>
    <row r="1856" spans="1:2" x14ac:dyDescent="0.25">
      <c r="A1856" cm="1">
        <f t="array" ref="A1856">INDEX('Portfolio Weights Returns'!$B$9:$BJ$69,
INT((ROW(A1855)-1)/COLUMNS('Portfolio Weights Returns'!$B$9:$BJ$69))+1,MOD(ROW(A1855)-1,COLUMNS('Portfolio Weights Returns'!$B$9:$BJ$69))+1)</f>
        <v>-8.3500089405743705E-4</v>
      </c>
      <c r="B1856" cm="1">
        <f t="array" ref="B1856">INDEX('Portfolio Weights Std'!$B$9:$BJ$69,INT((ROW(A1855)-1)/COLUMNS('Portfolio Weights Std'!$B$9:$BJ$69))+1,MOD(ROW(A1855)-1,COLUMNS('Portfolio Weights Std'!$B$9:$BJ$69))+1)</f>
        <v>2.0029832602384633E-2</v>
      </c>
    </row>
    <row r="1857" spans="1:2" x14ac:dyDescent="0.25">
      <c r="A1857" cm="1">
        <f t="array" ref="A1857">INDEX('Portfolio Weights Returns'!$B$9:$BJ$69,
INT((ROW(A1856)-1)/COLUMNS('Portfolio Weights Returns'!$B$9:$BJ$69))+1,MOD(ROW(A1856)-1,COLUMNS('Portfolio Weights Returns'!$B$9:$BJ$69))+1)</f>
        <v>-8.2821972009075801E-4</v>
      </c>
      <c r="B1857" cm="1">
        <f t="array" ref="B1857">INDEX('Portfolio Weights Std'!$B$9:$BJ$69,INT((ROW(A1856)-1)/COLUMNS('Portfolio Weights Std'!$B$9:$BJ$69))+1,MOD(ROW(A1856)-1,COLUMNS('Portfolio Weights Std'!$B$9:$BJ$69))+1)</f>
        <v>1.9878245005850725E-2</v>
      </c>
    </row>
    <row r="1858" spans="1:2" x14ac:dyDescent="0.25">
      <c r="A1858" cm="1">
        <f t="array" ref="A1858">INDEX('Portfolio Weights Returns'!$B$9:$BJ$69,
INT((ROW(A1857)-1)/COLUMNS('Portfolio Weights Returns'!$B$9:$BJ$69))+1,MOD(ROW(A1857)-1,COLUMNS('Portfolio Weights Returns'!$B$9:$BJ$69))+1)</f>
        <v>-8.2143854612407887E-4</v>
      </c>
      <c r="B1858" cm="1">
        <f t="array" ref="B1858">INDEX('Portfolio Weights Std'!$B$9:$BJ$69,INT((ROW(A1857)-1)/COLUMNS('Portfolio Weights Std'!$B$9:$BJ$69))+1,MOD(ROW(A1857)-1,COLUMNS('Portfolio Weights Std'!$B$9:$BJ$69))+1)</f>
        <v>1.9727839739881157E-2</v>
      </c>
    </row>
    <row r="1859" spans="1:2" x14ac:dyDescent="0.25">
      <c r="A1859" cm="1">
        <f t="array" ref="A1859">INDEX('Portfolio Weights Returns'!$B$9:$BJ$69,
INT((ROW(A1858)-1)/COLUMNS('Portfolio Weights Returns'!$B$9:$BJ$69))+1,MOD(ROW(A1858)-1,COLUMNS('Portfolio Weights Returns'!$B$9:$BJ$69))+1)</f>
        <v>-8.1465737215739972E-4</v>
      </c>
      <c r="B1859" cm="1">
        <f t="array" ref="B1859">INDEX('Portfolio Weights Std'!$B$9:$BJ$69,INT((ROW(A1858)-1)/COLUMNS('Portfolio Weights Std'!$B$9:$BJ$69))+1,MOD(ROW(A1858)-1,COLUMNS('Portfolio Weights Std'!$B$9:$BJ$69))+1)</f>
        <v>1.9578644052869569E-2</v>
      </c>
    </row>
    <row r="1860" spans="1:2" x14ac:dyDescent="0.25">
      <c r="A1860" cm="1">
        <f t="array" ref="A1860">INDEX('Portfolio Weights Returns'!$B$9:$BJ$69,
INT((ROW(A1859)-1)/COLUMNS('Portfolio Weights Returns'!$B$9:$BJ$69))+1,MOD(ROW(A1859)-1,COLUMNS('Portfolio Weights Returns'!$B$9:$BJ$69))+1)</f>
        <v>-8.0787619819072058E-4</v>
      </c>
      <c r="B1860" cm="1">
        <f t="array" ref="B1860">INDEX('Portfolio Weights Std'!$B$9:$BJ$69,INT((ROW(A1859)-1)/COLUMNS('Portfolio Weights Std'!$B$9:$BJ$69))+1,MOD(ROW(A1859)-1,COLUMNS('Portfolio Weights Std'!$B$9:$BJ$69))+1)</f>
        <v>1.9430685807562784E-2</v>
      </c>
    </row>
    <row r="1861" spans="1:2" x14ac:dyDescent="0.25">
      <c r="A1861" cm="1">
        <f t="array" ref="A1861">INDEX('Portfolio Weights Returns'!$B$9:$BJ$69,
INT((ROW(A1860)-1)/COLUMNS('Portfolio Weights Returns'!$B$9:$BJ$69))+1,MOD(ROW(A1860)-1,COLUMNS('Portfolio Weights Returns'!$B$9:$BJ$69))+1)</f>
        <v>-8.0109502422404154E-4</v>
      </c>
      <c r="B1861" cm="1">
        <f t="array" ref="B1861">INDEX('Portfolio Weights Std'!$B$9:$BJ$69,INT((ROW(A1860)-1)/COLUMNS('Portfolio Weights Std'!$B$9:$BJ$69))+1,MOD(ROW(A1860)-1,COLUMNS('Portfolio Weights Std'!$B$9:$BJ$69))+1)</f>
        <v>1.9283993487143797E-2</v>
      </c>
    </row>
    <row r="1862" spans="1:2" x14ac:dyDescent="0.25">
      <c r="A1862" cm="1">
        <f t="array" ref="A1862">INDEX('Portfolio Weights Returns'!$B$9:$BJ$69,
INT((ROW(A1861)-1)/COLUMNS('Portfolio Weights Returns'!$B$9:$BJ$69))+1,MOD(ROW(A1861)-1,COLUMNS('Portfolio Weights Returns'!$B$9:$BJ$69))+1)</f>
        <v>-7.943138502573624E-4</v>
      </c>
      <c r="B1862" cm="1">
        <f t="array" ref="B1862">INDEX('Portfolio Weights Std'!$B$9:$BJ$69,INT((ROW(A1861)-1)/COLUMNS('Portfolio Weights Std'!$B$9:$BJ$69))+1,MOD(ROW(A1861)-1,COLUMNS('Portfolio Weights Std'!$B$9:$BJ$69))+1)</f>
        <v>1.9138596200581511E-2</v>
      </c>
    </row>
    <row r="1863" spans="1:2" x14ac:dyDescent="0.25">
      <c r="A1863" cm="1">
        <f t="array" ref="A1863">INDEX('Portfolio Weights Returns'!$B$9:$BJ$69,
INT((ROW(A1862)-1)/COLUMNS('Portfolio Weights Returns'!$B$9:$BJ$69))+1,MOD(ROW(A1862)-1,COLUMNS('Portfolio Weights Returns'!$B$9:$BJ$69))+1)</f>
        <v>-7.8753267629068325E-4</v>
      </c>
      <c r="B1863" cm="1">
        <f t="array" ref="B1863">INDEX('Portfolio Weights Std'!$B$9:$BJ$69,INT((ROW(A1862)-1)/COLUMNS('Portfolio Weights Std'!$B$9:$BJ$69))+1,MOD(ROW(A1862)-1,COLUMNS('Portfolio Weights Std'!$B$9:$BJ$69))+1)</f>
        <v>1.8994523687166982E-2</v>
      </c>
    </row>
    <row r="1864" spans="1:2" x14ac:dyDescent="0.25">
      <c r="A1864" cm="1">
        <f t="array" ref="A1864">INDEX('Portfolio Weights Returns'!$B$9:$BJ$69,
INT((ROW(A1863)-1)/COLUMNS('Portfolio Weights Returns'!$B$9:$BJ$69))+1,MOD(ROW(A1863)-1,COLUMNS('Portfolio Weights Returns'!$B$9:$BJ$69))+1)</f>
        <v>-7.8075150232400422E-4</v>
      </c>
      <c r="B1864" cm="1">
        <f t="array" ref="B1864">INDEX('Portfolio Weights Std'!$B$9:$BJ$69,INT((ROW(A1863)-1)/COLUMNS('Portfolio Weights Std'!$B$9:$BJ$69))+1,MOD(ROW(A1863)-1,COLUMNS('Portfolio Weights Std'!$B$9:$BJ$69))+1)</f>
        <v>1.8851806320151609E-2</v>
      </c>
    </row>
    <row r="1865" spans="1:2" x14ac:dyDescent="0.25">
      <c r="A1865" cm="1">
        <f t="array" ref="A1865">INDEX('Portfolio Weights Returns'!$B$9:$BJ$69,
INT((ROW(A1864)-1)/COLUMNS('Portfolio Weights Returns'!$B$9:$BJ$69))+1,MOD(ROW(A1864)-1,COLUMNS('Portfolio Weights Returns'!$B$9:$BJ$69))+1)</f>
        <v>-7.7397032835732507E-4</v>
      </c>
      <c r="B1865" cm="1">
        <f t="array" ref="B1865">INDEX('Portfolio Weights Std'!$B$9:$BJ$69,INT((ROW(A1864)-1)/COLUMNS('Portfolio Weights Std'!$B$9:$BJ$69))+1,MOD(ROW(A1864)-1,COLUMNS('Portfolio Weights Std'!$B$9:$BJ$69))+1)</f>
        <v>1.8710475109397797E-2</v>
      </c>
    </row>
    <row r="1866" spans="1:2" x14ac:dyDescent="0.25">
      <c r="A1866" cm="1">
        <f t="array" ref="A1866">INDEX('Portfolio Weights Returns'!$B$9:$BJ$69,
INT((ROW(A1865)-1)/COLUMNS('Portfolio Weights Returns'!$B$9:$BJ$69))+1,MOD(ROW(A1865)-1,COLUMNS('Portfolio Weights Returns'!$B$9:$BJ$69))+1)</f>
        <v>-7.6718915439064593E-4</v>
      </c>
      <c r="B1866" cm="1">
        <f t="array" ref="B1866">INDEX('Portfolio Weights Std'!$B$9:$BJ$69,INT((ROW(A1865)-1)/COLUMNS('Portfolio Weights Std'!$B$9:$BJ$69))+1,MOD(ROW(A1865)-1,COLUMNS('Portfolio Weights Std'!$B$9:$BJ$69))+1)</f>
        <v>1.8570561702948216E-2</v>
      </c>
    </row>
    <row r="1867" spans="1:2" x14ac:dyDescent="0.25">
      <c r="A1867" cm="1">
        <f t="array" ref="A1867">INDEX('Portfolio Weights Returns'!$B$9:$BJ$69,
INT((ROW(A1866)-1)/COLUMNS('Portfolio Weights Returns'!$B$9:$BJ$69))+1,MOD(ROW(A1866)-1,COLUMNS('Portfolio Weights Returns'!$B$9:$BJ$69))+1)</f>
        <v>-7.6040798042396678E-4</v>
      </c>
      <c r="B1867" cm="1">
        <f t="array" ref="B1867">INDEX('Portfolio Weights Std'!$B$9:$BJ$69,INT((ROW(A1866)-1)/COLUMNS('Portfolio Weights Std'!$B$9:$BJ$69))+1,MOD(ROW(A1866)-1,COLUMNS('Portfolio Weights Std'!$B$9:$BJ$69))+1)</f>
        <v>1.8432098387414962E-2</v>
      </c>
    </row>
    <row r="1868" spans="1:2" x14ac:dyDescent="0.25">
      <c r="A1868" cm="1">
        <f t="array" ref="A1868">INDEX('Portfolio Weights Returns'!$B$9:$BJ$69,
INT((ROW(A1867)-1)/COLUMNS('Portfolio Weights Returns'!$B$9:$BJ$69))+1,MOD(ROW(A1867)-1,COLUMNS('Portfolio Weights Returns'!$B$9:$BJ$69))+1)</f>
        <v>-7.5362680645728775E-4</v>
      </c>
      <c r="B1868" cm="1">
        <f t="array" ref="B1868">INDEX('Portfolio Weights Std'!$B$9:$BJ$69,INT((ROW(A1867)-1)/COLUMNS('Portfolio Weights Std'!$B$9:$BJ$69))+1,MOD(ROW(A1867)-1,COLUMNS('Portfolio Weights Std'!$B$9:$BJ$69))+1)</f>
        <v>1.8295118087085675E-2</v>
      </c>
    </row>
    <row r="1869" spans="1:2" x14ac:dyDescent="0.25">
      <c r="A1869" cm="1">
        <f t="array" ref="A1869">INDEX('Portfolio Weights Returns'!$B$9:$BJ$69,
INT((ROW(A1868)-1)/COLUMNS('Portfolio Weights Returns'!$B$9:$BJ$69))+1,MOD(ROW(A1868)-1,COLUMNS('Portfolio Weights Returns'!$B$9:$BJ$69))+1)</f>
        <v>-7.468456324906086E-4</v>
      </c>
      <c r="B1869" cm="1">
        <f t="array" ref="B1869">INDEX('Portfolio Weights Std'!$B$9:$BJ$69,INT((ROW(A1868)-1)/COLUMNS('Portfolio Weights Std'!$B$9:$BJ$69))+1,MOD(ROW(A1868)-1,COLUMNS('Portfolio Weights Std'!$B$9:$BJ$69))+1)</f>
        <v>1.8159654361639146E-2</v>
      </c>
    </row>
    <row r="1870" spans="1:2" x14ac:dyDescent="0.25">
      <c r="A1870" cm="1">
        <f t="array" ref="A1870">INDEX('Portfolio Weights Returns'!$B$9:$BJ$69,
INT((ROW(A1869)-1)/COLUMNS('Portfolio Weights Returns'!$B$9:$BJ$69))+1,MOD(ROW(A1869)-1,COLUMNS('Portfolio Weights Returns'!$B$9:$BJ$69))+1)</f>
        <v>-7.4006445852392968E-4</v>
      </c>
      <c r="B1870" cm="1">
        <f t="array" ref="B1870">INDEX('Portfolio Weights Std'!$B$9:$BJ$69,INT((ROW(A1869)-1)/COLUMNS('Portfolio Weights Std'!$B$9:$BJ$69))+1,MOD(ROW(A1869)-1,COLUMNS('Portfolio Weights Std'!$B$9:$BJ$69))+1)</f>
        <v>1.8025741402358901E-2</v>
      </c>
    </row>
    <row r="1871" spans="1:2" x14ac:dyDescent="0.25">
      <c r="A1871" cm="1">
        <f t="array" ref="A1871">INDEX('Portfolio Weights Returns'!$B$9:$BJ$69,
INT((ROW(A1870)-1)/COLUMNS('Portfolio Weights Returns'!$B$9:$BJ$69))+1,MOD(ROW(A1870)-1,COLUMNS('Portfolio Weights Returns'!$B$9:$BJ$69))+1)</f>
        <v>-7.3328328455725053E-4</v>
      </c>
      <c r="B1871" cm="1">
        <f t="array" ref="B1871">INDEX('Portfolio Weights Std'!$B$9:$BJ$69,INT((ROW(A1870)-1)/COLUMNS('Portfolio Weights Std'!$B$9:$BJ$69))+1,MOD(ROW(A1870)-1,COLUMNS('Portfolio Weights Std'!$B$9:$BJ$69))+1)</f>
        <v>1.7893414026729438E-2</v>
      </c>
    </row>
    <row r="1872" spans="1:2" x14ac:dyDescent="0.25">
      <c r="A1872" cm="1">
        <f t="array" ref="A1872">INDEX('Portfolio Weights Returns'!$B$9:$BJ$69,
INT((ROW(A1871)-1)/COLUMNS('Portfolio Weights Returns'!$B$9:$BJ$69))+1,MOD(ROW(A1871)-1,COLUMNS('Portfolio Weights Returns'!$B$9:$BJ$69))+1)</f>
        <v>-7.2650211059057139E-4</v>
      </c>
      <c r="B1872" cm="1">
        <f t="array" ref="B1872">INDEX('Portfolio Weights Std'!$B$9:$BJ$69,INT((ROW(A1871)-1)/COLUMNS('Portfolio Weights Std'!$B$9:$BJ$69))+1,MOD(ROW(A1871)-1,COLUMNS('Portfolio Weights Std'!$B$9:$BJ$69))+1)</f>
        <v>1.7762707671296226E-2</v>
      </c>
    </row>
    <row r="1873" spans="1:2" x14ac:dyDescent="0.25">
      <c r="A1873" cm="1">
        <f t="array" ref="A1873">INDEX('Portfolio Weights Returns'!$B$9:$BJ$69,
INT((ROW(A1872)-1)/COLUMNS('Portfolio Weights Returns'!$B$9:$BJ$69))+1,MOD(ROW(A1872)-1,COLUMNS('Portfolio Weights Returns'!$B$9:$BJ$69))+1)</f>
        <v>-7.1972093662389224E-4</v>
      </c>
      <c r="B1873" cm="1">
        <f t="array" ref="B1873">INDEX('Portfolio Weights Std'!$B$9:$BJ$69,INT((ROW(A1872)-1)/COLUMNS('Portfolio Weights Std'!$B$9:$BJ$69))+1,MOD(ROW(A1872)-1,COLUMNS('Portfolio Weights Std'!$B$9:$BJ$69))+1)</f>
        <v>1.7633658382667495E-2</v>
      </c>
    </row>
    <row r="1874" spans="1:2" x14ac:dyDescent="0.25">
      <c r="A1874" cm="1">
        <f t="array" ref="A1874">INDEX('Portfolio Weights Returns'!$B$9:$BJ$69,
INT((ROW(A1873)-1)/COLUMNS('Portfolio Weights Returns'!$B$9:$BJ$69))+1,MOD(ROW(A1873)-1,COLUMNS('Portfolio Weights Returns'!$B$9:$BJ$69))+1)</f>
        <v>-7.129397626572131E-4</v>
      </c>
      <c r="B1874" cm="1">
        <f t="array" ref="B1874">INDEX('Portfolio Weights Std'!$B$9:$BJ$69,INT((ROW(A1873)-1)/COLUMNS('Portfolio Weights Std'!$B$9:$BJ$69))+1,MOD(ROW(A1873)-1,COLUMNS('Portfolio Weights Std'!$B$9:$BJ$69))+1)</f>
        <v>1.7506302806533407E-2</v>
      </c>
    </row>
    <row r="1875" spans="1:2" x14ac:dyDescent="0.25">
      <c r="A1875" cm="1">
        <f t="array" ref="A1875">INDEX('Portfolio Weights Returns'!$B$9:$BJ$69,
INT((ROW(A1874)-1)/COLUMNS('Portfolio Weights Returns'!$B$9:$BJ$69))+1,MOD(ROW(A1874)-1,COLUMNS('Portfolio Weights Returns'!$B$9:$BJ$69))+1)</f>
        <v>-7.0615858869053406E-4</v>
      </c>
      <c r="B1875" cm="1">
        <f t="array" ref="B1875">INDEX('Portfolio Weights Std'!$B$9:$BJ$69,INT((ROW(A1874)-1)/COLUMNS('Portfolio Weights Std'!$B$9:$BJ$69))+1,MOD(ROW(A1874)-1,COLUMNS('Portfolio Weights Std'!$B$9:$BJ$69))+1)</f>
        <v>1.7380678174576079E-2</v>
      </c>
    </row>
    <row r="1876" spans="1:2" x14ac:dyDescent="0.25">
      <c r="A1876" cm="1">
        <f t="array" ref="A1876">INDEX('Portfolio Weights Returns'!$B$9:$BJ$69,
INT((ROW(A1875)-1)/COLUMNS('Portfolio Weights Returns'!$B$9:$BJ$69))+1,MOD(ROW(A1875)-1,COLUMNS('Portfolio Weights Returns'!$B$9:$BJ$69))+1)</f>
        <v>-6.9937741472385492E-4</v>
      </c>
      <c r="B1876" cm="1">
        <f t="array" ref="B1876">INDEX('Portfolio Weights Std'!$B$9:$BJ$69,INT((ROW(A1875)-1)/COLUMNS('Portfolio Weights Std'!$B$9:$BJ$69))+1,MOD(ROW(A1875)-1,COLUMNS('Portfolio Weights Std'!$B$9:$BJ$69))+1)</f>
        <v>1.7256822289142833E-2</v>
      </c>
    </row>
    <row r="1877" spans="1:2" x14ac:dyDescent="0.25">
      <c r="A1877" cm="1">
        <f t="array" ref="A1877">INDEX('Portfolio Weights Returns'!$B$9:$BJ$69,
INT((ROW(A1876)-1)/COLUMNS('Portfolio Weights Returns'!$B$9:$BJ$69))+1,MOD(ROW(A1876)-1,COLUMNS('Portfolio Weights Returns'!$B$9:$BJ$69))+1)</f>
        <v>-6.9259624075717588E-4</v>
      </c>
      <c r="B1877" cm="1">
        <f t="array" ref="B1877">INDEX('Portfolio Weights Std'!$B$9:$BJ$69,INT((ROW(A1876)-1)/COLUMNS('Portfolio Weights Std'!$B$9:$BJ$69))+1,MOD(ROW(A1876)-1,COLUMNS('Portfolio Weights Std'!$B$9:$BJ$69))+1)</f>
        <v>1.7134773505554559E-2</v>
      </c>
    </row>
    <row r="1878" spans="1:2" x14ac:dyDescent="0.25">
      <c r="A1878" cm="1">
        <f t="array" ref="A1878">INDEX('Portfolio Weights Returns'!$B$9:$BJ$69,
INT((ROW(A1877)-1)/COLUMNS('Portfolio Weights Returns'!$B$9:$BJ$69))+1,MOD(ROW(A1877)-1,COLUMNS('Portfolio Weights Returns'!$B$9:$BJ$69))+1)</f>
        <v>-6.8581506679049663E-4</v>
      </c>
      <c r="B1878" cm="1">
        <f t="array" ref="B1878">INDEX('Portfolio Weights Std'!$B$9:$BJ$69,INT((ROW(A1877)-1)/COLUMNS('Portfolio Weights Std'!$B$9:$BJ$69))+1,MOD(ROW(A1877)-1,COLUMNS('Portfolio Weights Std'!$B$9:$BJ$69))+1)</f>
        <v>1.7014570711921532E-2</v>
      </c>
    </row>
    <row r="1879" spans="1:2" x14ac:dyDescent="0.25">
      <c r="A1879" cm="1">
        <f t="array" ref="A1879">INDEX('Portfolio Weights Returns'!$B$9:$BJ$69,
INT((ROW(A1878)-1)/COLUMNS('Portfolio Weights Returns'!$B$9:$BJ$69))+1,MOD(ROW(A1878)-1,COLUMNS('Portfolio Weights Returns'!$B$9:$BJ$69))+1)</f>
        <v>-6.7903389282381759E-4</v>
      </c>
      <c r="B1879" cm="1">
        <f t="array" ref="B1879">INDEX('Portfolio Weights Std'!$B$9:$BJ$69,INT((ROW(A1878)-1)/COLUMNS('Portfolio Weights Std'!$B$9:$BJ$69))+1,MOD(ROW(A1878)-1,COLUMNS('Portfolio Weights Std'!$B$9:$BJ$69))+1)</f>
        <v>1.6896253306340654E-2</v>
      </c>
    </row>
    <row r="1880" spans="1:2" x14ac:dyDescent="0.25">
      <c r="A1880" cm="1">
        <f t="array" ref="A1880">INDEX('Portfolio Weights Returns'!$B$9:$BJ$69,
INT((ROW(A1879)-1)/COLUMNS('Portfolio Weights Returns'!$B$9:$BJ$69))+1,MOD(ROW(A1879)-1,COLUMNS('Portfolio Weights Returns'!$B$9:$BJ$69))+1)</f>
        <v>-6.7225271885713856E-4</v>
      </c>
      <c r="B1880" cm="1">
        <f t="array" ref="B1880">INDEX('Portfolio Weights Std'!$B$9:$BJ$69,INT((ROW(A1879)-1)/COLUMNS('Portfolio Weights Std'!$B$9:$BJ$69))+1,MOD(ROW(A1879)-1,COLUMNS('Portfolio Weights Std'!$B$9:$BJ$69))+1)</f>
        <v>1.6779861171350705E-2</v>
      </c>
    </row>
    <row r="1881" spans="1:2" x14ac:dyDescent="0.25">
      <c r="A1881" cm="1">
        <f t="array" ref="A1881">INDEX('Portfolio Weights Returns'!$B$9:$BJ$69,
INT((ROW(A1880)-1)/COLUMNS('Portfolio Weights Returns'!$B$9:$BJ$69))+1,MOD(ROW(A1880)-1,COLUMNS('Portfolio Weights Returns'!$B$9:$BJ$69))+1)</f>
        <v>-6.6547154489045952E-4</v>
      </c>
      <c r="B1881" cm="1">
        <f t="array" ref="B1881">INDEX('Portfolio Weights Std'!$B$9:$BJ$69,INT((ROW(A1880)-1)/COLUMNS('Portfolio Weights Std'!$B$9:$BJ$69))+1,MOD(ROW(A1880)-1,COLUMNS('Portfolio Weights Std'!$B$9:$BJ$69))+1)</f>
        <v>1.6665434645526181E-2</v>
      </c>
    </row>
    <row r="1882" spans="1:2" x14ac:dyDescent="0.25">
      <c r="A1882" cm="1">
        <f t="array" ref="A1882">INDEX('Portfolio Weights Returns'!$B$9:$BJ$69,
INT((ROW(A1881)-1)/COLUMNS('Portfolio Weights Returns'!$B$9:$BJ$69))+1,MOD(ROW(A1881)-1,COLUMNS('Portfolio Weights Returns'!$B$9:$BJ$69))+1)</f>
        <v>-6.5869037092378038E-4</v>
      </c>
      <c r="B1882" cm="1">
        <f t="array" ref="B1882">INDEX('Portfolio Weights Std'!$B$9:$BJ$69,INT((ROW(A1881)-1)/COLUMNS('Portfolio Weights Std'!$B$9:$BJ$69))+1,MOD(ROW(A1881)-1,COLUMNS('Portfolio Weights Std'!$B$9:$BJ$69))+1)</f>
        <v>1.6553014492095744E-2</v>
      </c>
    </row>
    <row r="1883" spans="1:2" x14ac:dyDescent="0.25">
      <c r="A1883" cm="1">
        <f t="array" ref="A1883">INDEX('Portfolio Weights Returns'!$B$9:$BJ$69,
INT((ROW(A1882)-1)/COLUMNS('Portfolio Weights Returns'!$B$9:$BJ$69))+1,MOD(ROW(A1882)-1,COLUMNS('Portfolio Weights Returns'!$B$9:$BJ$69))+1)</f>
        <v>-6.5190919695710123E-4</v>
      </c>
      <c r="B1883" cm="1">
        <f t="array" ref="B1883">INDEX('Portfolio Weights Std'!$B$9:$BJ$69,INT((ROW(A1882)-1)/COLUMNS('Portfolio Weights Std'!$B$9:$BJ$69))+1,MOD(ROW(A1882)-1,COLUMNS('Portfolio Weights Std'!$B$9:$BJ$69))+1)</f>
        <v>1.6442641864478007E-2</v>
      </c>
    </row>
    <row r="1884" spans="1:2" x14ac:dyDescent="0.25">
      <c r="A1884" cm="1">
        <f t="array" ref="A1884">INDEX('Portfolio Weights Returns'!$B$9:$BJ$69,
INT((ROW(A1883)-1)/COLUMNS('Portfolio Weights Returns'!$B$9:$BJ$69))+1,MOD(ROW(A1883)-1,COLUMNS('Portfolio Weights Returns'!$B$9:$BJ$69))+1)</f>
        <v>-6.4512802299042209E-4</v>
      </c>
      <c r="B1884" cm="1">
        <f t="array" ref="B1884">INDEX('Portfolio Weights Std'!$B$9:$BJ$69,INT((ROW(A1883)-1)/COLUMNS('Portfolio Weights Std'!$B$9:$BJ$69))+1,MOD(ROW(A1883)-1,COLUMNS('Portfolio Weights Std'!$B$9:$BJ$69))+1)</f>
        <v>1.6334358268636207E-2</v>
      </c>
    </row>
    <row r="1885" spans="1:2" x14ac:dyDescent="0.25">
      <c r="A1885" cm="1">
        <f t="array" ref="A1885">INDEX('Portfolio Weights Returns'!$B$9:$BJ$69,
INT((ROW(A1884)-1)/COLUMNS('Portfolio Weights Returns'!$B$9:$BJ$69))+1,MOD(ROW(A1884)-1,COLUMNS('Portfolio Weights Returns'!$B$9:$BJ$69))+1)</f>
        <v>-6.3834684902374294E-4</v>
      </c>
      <c r="B1885" cm="1">
        <f t="array" ref="B1885">INDEX('Portfolio Weights Std'!$B$9:$BJ$69,INT((ROW(A1884)-1)/COLUMNS('Portfolio Weights Std'!$B$9:$BJ$69))+1,MOD(ROW(A1884)-1,COLUMNS('Portfolio Weights Std'!$B$9:$BJ$69))+1)</f>
        <v>1.6228205522163225E-2</v>
      </c>
    </row>
    <row r="1886" spans="1:2" x14ac:dyDescent="0.25">
      <c r="A1886" cm="1">
        <f t="array" ref="A1886">INDEX('Portfolio Weights Returns'!$B$9:$BJ$69,
INT((ROW(A1885)-1)/COLUMNS('Portfolio Weights Returns'!$B$9:$BJ$69))+1,MOD(ROW(A1885)-1,COLUMNS('Portfolio Weights Returns'!$B$9:$BJ$69))+1)</f>
        <v>-6.3156567505706391E-4</v>
      </c>
      <c r="B1886" cm="1">
        <f t="array" ref="B1886">INDEX('Portfolio Weights Std'!$B$9:$BJ$69,INT((ROW(A1885)-1)/COLUMNS('Portfolio Weights Std'!$B$9:$BJ$69))+1,MOD(ROW(A1885)-1,COLUMNS('Portfolio Weights Std'!$B$9:$BJ$69))+1)</f>
        <v>1.6124225710020933E-2</v>
      </c>
    </row>
    <row r="1887" spans="1:2" x14ac:dyDescent="0.25">
      <c r="A1887" cm="1">
        <f t="array" ref="A1887">INDEX('Portfolio Weights Returns'!$B$9:$BJ$69,
INT((ROW(A1886)-1)/COLUMNS('Portfolio Weights Returns'!$B$9:$BJ$69))+1,MOD(ROW(A1886)-1,COLUMNS('Portfolio Weights Returns'!$B$9:$BJ$69))+1)</f>
        <v>-6.2478450109038476E-4</v>
      </c>
      <c r="B1887" cm="1">
        <f t="array" ref="B1887">INDEX('Portfolio Weights Std'!$B$9:$BJ$69,INT((ROW(A1886)-1)/COLUMNS('Portfolio Weights Std'!$B$9:$BJ$69))+1,MOD(ROW(A1886)-1,COLUMNS('Portfolio Weights Std'!$B$9:$BJ$69))+1)</f>
        <v>1.6022461136871481E-2</v>
      </c>
    </row>
    <row r="1888" spans="1:2" x14ac:dyDescent="0.25">
      <c r="A1888" cm="1">
        <f t="array" ref="A1888">INDEX('Portfolio Weights Returns'!$B$9:$BJ$69,
INT((ROW(A1887)-1)/COLUMNS('Portfolio Weights Returns'!$B$9:$BJ$69))+1,MOD(ROW(A1887)-1,COLUMNS('Portfolio Weights Returns'!$B$9:$BJ$69))+1)</f>
        <v>-6.1800332712370573E-4</v>
      </c>
      <c r="B1888" cm="1">
        <f t="array" ref="B1888">INDEX('Portfolio Weights Std'!$B$9:$BJ$69,INT((ROW(A1887)-1)/COLUMNS('Portfolio Weights Std'!$B$9:$BJ$69))+1,MOD(ROW(A1887)-1,COLUMNS('Portfolio Weights Std'!$B$9:$BJ$69))+1)</f>
        <v>1.5922954275954568E-2</v>
      </c>
    </row>
    <row r="1889" spans="1:2" x14ac:dyDescent="0.25">
      <c r="A1889" cm="1">
        <f t="array" ref="A1889">INDEX('Portfolio Weights Returns'!$B$9:$BJ$69,
INT((ROW(A1888)-1)/COLUMNS('Portfolio Weights Returns'!$B$9:$BJ$69))+1,MOD(ROW(A1888)-1,COLUMNS('Portfolio Weights Returns'!$B$9:$BJ$69))+1)</f>
        <v>-6.1122215315702582E-4</v>
      </c>
      <c r="B1889" cm="1">
        <f t="array" ref="B1889">INDEX('Portfolio Weights Std'!$B$9:$BJ$69,INT((ROW(A1888)-1)/COLUMNS('Portfolio Weights Std'!$B$9:$BJ$69))+1,MOD(ROW(A1888)-1,COLUMNS('Portfolio Weights Std'!$B$9:$BJ$69))+1)</f>
        <v>1.5825747714482509E-2</v>
      </c>
    </row>
    <row r="1890" spans="1:2" x14ac:dyDescent="0.25">
      <c r="A1890" cm="1">
        <f t="array" ref="A1890">INDEX('Portfolio Weights Returns'!$B$9:$BJ$69,
INT((ROW(A1889)-1)/COLUMNS('Portfolio Weights Returns'!$B$9:$BJ$69))+1,MOD(ROW(A1889)-1,COLUMNS('Portfolio Weights Returns'!$B$9:$BJ$69))+1)</f>
        <v>-6.0444097919034679E-4</v>
      </c>
      <c r="B1890" cm="1">
        <f t="array" ref="B1890">INDEX('Portfolio Weights Std'!$B$9:$BJ$69,INT((ROW(A1889)-1)/COLUMNS('Portfolio Weights Std'!$B$9:$BJ$69))+1,MOD(ROW(A1889)-1,COLUMNS('Portfolio Weights Std'!$B$9:$BJ$69))+1)</f>
        <v>1.5730884095545399E-2</v>
      </c>
    </row>
    <row r="1891" spans="1:2" x14ac:dyDescent="0.25">
      <c r="A1891" cm="1">
        <f t="array" ref="A1891">INDEX('Portfolio Weights Returns'!$B$9:$BJ$69,
INT((ROW(A1890)-1)/COLUMNS('Portfolio Weights Returns'!$B$9:$BJ$69))+1,MOD(ROW(A1890)-1,COLUMNS('Portfolio Weights Returns'!$B$9:$BJ$69))+1)</f>
        <v>-5.9765980522366775E-4</v>
      </c>
      <c r="B1891" cm="1">
        <f t="array" ref="B1891">INDEX('Portfolio Weights Std'!$B$9:$BJ$69,INT((ROW(A1890)-1)/COLUMNS('Portfolio Weights Std'!$B$9:$BJ$69))+1,MOD(ROW(A1890)-1,COLUMNS('Portfolio Weights Std'!$B$9:$BJ$69))+1)</f>
        <v>1.563840605654054E-2</v>
      </c>
    </row>
    <row r="1892" spans="1:2" x14ac:dyDescent="0.25">
      <c r="A1892" cm="1">
        <f t="array" ref="A1892">INDEX('Portfolio Weights Returns'!$B$9:$BJ$69,
INT((ROW(A1891)-1)/COLUMNS('Portfolio Weights Returns'!$B$9:$BJ$69))+1,MOD(ROW(A1891)-1,COLUMNS('Portfolio Weights Returns'!$B$9:$BJ$69))+1)</f>
        <v>-5.9087863125698871E-4</v>
      </c>
      <c r="B1892" cm="1">
        <f t="array" ref="B1892">INDEX('Portfolio Weights Std'!$B$9:$BJ$69,INT((ROW(A1891)-1)/COLUMNS('Portfolio Weights Std'!$B$9:$BJ$69))+1,MOD(ROW(A1891)-1,COLUMNS('Portfolio Weights Std'!$B$9:$BJ$69))+1)</f>
        <v>1.5548356164165087E-2</v>
      </c>
    </row>
    <row r="1893" spans="1:2" x14ac:dyDescent="0.25">
      <c r="A1893" cm="1">
        <f t="array" ref="A1893">INDEX('Portfolio Weights Returns'!$B$9:$BJ$69,
INT((ROW(A1892)-1)/COLUMNS('Portfolio Weights Returns'!$B$9:$BJ$69))+1,MOD(ROW(A1892)-1,COLUMNS('Portfolio Weights Returns'!$B$9:$BJ$69))+1)</f>
        <v>-9.9117486141228031E-4</v>
      </c>
      <c r="B1893" cm="1">
        <f t="array" ref="B1893">INDEX('Portfolio Weights Std'!$B$9:$BJ$69,INT((ROW(A1892)-1)/COLUMNS('Portfolio Weights Std'!$B$9:$BJ$69))+1,MOD(ROW(A1892)-1,COLUMNS('Portfolio Weights Std'!$B$9:$BJ$69))+1)</f>
        <v>2.382420158721496E-2</v>
      </c>
    </row>
    <row r="1894" spans="1:2" x14ac:dyDescent="0.25">
      <c r="A1894" cm="1">
        <f t="array" ref="A1894">INDEX('Portfolio Weights Returns'!$B$9:$BJ$69,
INT((ROW(A1893)-1)/COLUMNS('Portfolio Weights Returns'!$B$9:$BJ$69))+1,MOD(ROW(A1893)-1,COLUMNS('Portfolio Weights Returns'!$B$9:$BJ$69))+1)</f>
        <v>-9.8439368744560117E-4</v>
      </c>
      <c r="B1894" cm="1">
        <f t="array" ref="B1894">INDEX('Portfolio Weights Std'!$B$9:$BJ$69,INT((ROW(A1893)-1)/COLUMNS('Portfolio Weights Std'!$B$9:$BJ$69))+1,MOD(ROW(A1893)-1,COLUMNS('Portfolio Weights Std'!$B$9:$BJ$69))+1)</f>
        <v>2.3651567808639404E-2</v>
      </c>
    </row>
    <row r="1895" spans="1:2" x14ac:dyDescent="0.25">
      <c r="A1895" cm="1">
        <f t="array" ref="A1895">INDEX('Portfolio Weights Returns'!$B$9:$BJ$69,
INT((ROW(A1894)-1)/COLUMNS('Portfolio Weights Returns'!$B$9:$BJ$69))+1,MOD(ROW(A1894)-1,COLUMNS('Portfolio Weights Returns'!$B$9:$BJ$69))+1)</f>
        <v>-9.7761251347892202E-4</v>
      </c>
      <c r="B1895" cm="1">
        <f t="array" ref="B1895">INDEX('Portfolio Weights Std'!$B$9:$BJ$69,INT((ROW(A1894)-1)/COLUMNS('Portfolio Weights Std'!$B$9:$BJ$69))+1,MOD(ROW(A1894)-1,COLUMNS('Portfolio Weights Std'!$B$9:$BJ$69))+1)</f>
        <v>2.3479636798762568E-2</v>
      </c>
    </row>
    <row r="1896" spans="1:2" x14ac:dyDescent="0.25">
      <c r="A1896" cm="1">
        <f t="array" ref="A1896">INDEX('Portfolio Weights Returns'!$B$9:$BJ$69,
INT((ROW(A1895)-1)/COLUMNS('Portfolio Weights Returns'!$B$9:$BJ$69))+1,MOD(ROW(A1895)-1,COLUMNS('Portfolio Weights Returns'!$B$9:$BJ$69))+1)</f>
        <v>-9.7083133951224299E-4</v>
      </c>
      <c r="B1896" cm="1">
        <f t="array" ref="B1896">INDEX('Portfolio Weights Std'!$B$9:$BJ$69,INT((ROW(A1895)-1)/COLUMNS('Portfolio Weights Std'!$B$9:$BJ$69))+1,MOD(ROW(A1895)-1,COLUMNS('Portfolio Weights Std'!$B$9:$BJ$69))+1)</f>
        <v>2.3308424109185703E-2</v>
      </c>
    </row>
    <row r="1897" spans="1:2" x14ac:dyDescent="0.25">
      <c r="A1897" cm="1">
        <f t="array" ref="A1897">INDEX('Portfolio Weights Returns'!$B$9:$BJ$69,
INT((ROW(A1896)-1)/COLUMNS('Portfolio Weights Returns'!$B$9:$BJ$69))+1,MOD(ROW(A1896)-1,COLUMNS('Portfolio Weights Returns'!$B$9:$BJ$69))+1)</f>
        <v>-9.6405016554556395E-4</v>
      </c>
      <c r="B1897" cm="1">
        <f t="array" ref="B1897">INDEX('Portfolio Weights Std'!$B$9:$BJ$69,INT((ROW(A1896)-1)/COLUMNS('Portfolio Weights Std'!$B$9:$BJ$69))+1,MOD(ROW(A1896)-1,COLUMNS('Portfolio Weights Std'!$B$9:$BJ$69))+1)</f>
        <v>2.313794568586976E-2</v>
      </c>
    </row>
    <row r="1898" spans="1:2" x14ac:dyDescent="0.25">
      <c r="A1898" cm="1">
        <f t="array" ref="A1898">INDEX('Portfolio Weights Returns'!$B$9:$BJ$69,
INT((ROW(A1897)-1)/COLUMNS('Portfolio Weights Returns'!$B$9:$BJ$69))+1,MOD(ROW(A1897)-1,COLUMNS('Portfolio Weights Returns'!$B$9:$BJ$69))+1)</f>
        <v>-9.5726899157888481E-4</v>
      </c>
      <c r="B1898" cm="1">
        <f t="array" ref="B1898">INDEX('Portfolio Weights Std'!$B$9:$BJ$69,INT((ROW(A1897)-1)/COLUMNS('Portfolio Weights Std'!$B$9:$BJ$69))+1,MOD(ROW(A1897)-1,COLUMNS('Portfolio Weights Std'!$B$9:$BJ$69))+1)</f>
        <v>2.296821787879013E-2</v>
      </c>
    </row>
    <row r="1899" spans="1:2" x14ac:dyDescent="0.25">
      <c r="A1899" cm="1">
        <f t="array" ref="A1899">INDEX('Portfolio Weights Returns'!$B$9:$BJ$69,
INT((ROW(A1898)-1)/COLUMNS('Portfolio Weights Returns'!$B$9:$BJ$69))+1,MOD(ROW(A1898)-1,COLUMNS('Portfolio Weights Returns'!$B$9:$BJ$69))+1)</f>
        <v>-9.5048781761220577E-4</v>
      </c>
      <c r="B1899" cm="1">
        <f t="array" ref="B1899">INDEX('Portfolio Weights Std'!$B$9:$BJ$69,INT((ROW(A1898)-1)/COLUMNS('Portfolio Weights Std'!$B$9:$BJ$69))+1,MOD(ROW(A1898)-1,COLUMNS('Portfolio Weights Std'!$B$9:$BJ$69))+1)</f>
        <v>2.2799257451715755E-2</v>
      </c>
    </row>
    <row r="1900" spans="1:2" x14ac:dyDescent="0.25">
      <c r="A1900" cm="1">
        <f t="array" ref="A1900">INDEX('Portfolio Weights Returns'!$B$9:$BJ$69,
INT((ROW(A1899)-1)/COLUMNS('Portfolio Weights Returns'!$B$9:$BJ$69))+1,MOD(ROW(A1899)-1,COLUMNS('Portfolio Weights Returns'!$B$9:$BJ$69))+1)</f>
        <v>-9.4370664364552663E-4</v>
      </c>
      <c r="B1900" cm="1">
        <f t="array" ref="B1900">INDEX('Portfolio Weights Std'!$B$9:$BJ$69,INT((ROW(A1899)-1)/COLUMNS('Portfolio Weights Std'!$B$9:$BJ$69))+1,MOD(ROW(A1899)-1,COLUMNS('Portfolio Weights Std'!$B$9:$BJ$69))+1)</f>
        <v>2.2631081592102122E-2</v>
      </c>
    </row>
    <row r="1901" spans="1:2" x14ac:dyDescent="0.25">
      <c r="A1901" cm="1">
        <f t="array" ref="A1901">INDEX('Portfolio Weights Returns'!$B$9:$BJ$69,
INT((ROW(A1900)-1)/COLUMNS('Portfolio Weights Returns'!$B$9:$BJ$69))+1,MOD(ROW(A1900)-1,COLUMNS('Portfolio Weights Returns'!$B$9:$BJ$69))+1)</f>
        <v>-9.3692546967884737E-4</v>
      </c>
      <c r="B1901" cm="1">
        <f t="array" ref="B1901">INDEX('Portfolio Weights Std'!$B$9:$BJ$69,INT((ROW(A1900)-1)/COLUMNS('Portfolio Weights Std'!$B$9:$BJ$69))+1,MOD(ROW(A1900)-1,COLUMNS('Portfolio Weights Std'!$B$9:$BJ$69))+1)</f>
        <v>2.2463707921086342E-2</v>
      </c>
    </row>
    <row r="1902" spans="1:2" x14ac:dyDescent="0.25">
      <c r="A1902" cm="1">
        <f t="array" ref="A1902">INDEX('Portfolio Weights Returns'!$B$9:$BJ$69,
INT((ROW(A1901)-1)/COLUMNS('Portfolio Weights Returns'!$B$9:$BJ$69))+1,MOD(ROW(A1901)-1,COLUMNS('Portfolio Weights Returns'!$B$9:$BJ$69))+1)</f>
        <v>-9.3014429571216834E-4</v>
      </c>
      <c r="B1902" cm="1">
        <f t="array" ref="B1902">INDEX('Portfolio Weights Std'!$B$9:$BJ$69,INT((ROW(A1901)-1)/COLUMNS('Portfolio Weights Std'!$B$9:$BJ$69))+1,MOD(ROW(A1901)-1,COLUMNS('Portfolio Weights Std'!$B$9:$BJ$69))+1)</f>
        <v>2.2297154503570549E-2</v>
      </c>
    </row>
    <row r="1903" spans="1:2" x14ac:dyDescent="0.25">
      <c r="A1903" cm="1">
        <f t="array" ref="A1903">INDEX('Portfolio Weights Returns'!$B$9:$BJ$69,
INT((ROW(A1902)-1)/COLUMNS('Portfolio Weights Returns'!$B$9:$BJ$69))+1,MOD(ROW(A1902)-1,COLUMNS('Portfolio Weights Returns'!$B$9:$BJ$69))+1)</f>
        <v>-9.2336312174548919E-4</v>
      </c>
      <c r="B1903" cm="1">
        <f t="array" ref="B1903">INDEX('Portfolio Weights Std'!$B$9:$BJ$69,INT((ROW(A1902)-1)/COLUMNS('Portfolio Weights Std'!$B$9:$BJ$69))+1,MOD(ROW(A1902)-1,COLUMNS('Portfolio Weights Std'!$B$9:$BJ$69))+1)</f>
        <v>2.2131439858378888E-2</v>
      </c>
    </row>
    <row r="1904" spans="1:2" x14ac:dyDescent="0.25">
      <c r="A1904" cm="1">
        <f t="array" ref="A1904">INDEX('Portfolio Weights Returns'!$B$9:$BJ$69,
INT((ROW(A1903)-1)/COLUMNS('Portfolio Weights Returns'!$B$9:$BJ$69))+1,MOD(ROW(A1903)-1,COLUMNS('Portfolio Weights Returns'!$B$9:$BJ$69))+1)</f>
        <v>-9.1658194777881016E-4</v>
      </c>
      <c r="B1904" cm="1">
        <f t="array" ref="B1904">INDEX('Portfolio Weights Std'!$B$9:$BJ$69,INT((ROW(A1903)-1)/COLUMNS('Portfolio Weights Std'!$B$9:$BJ$69))+1,MOD(ROW(A1903)-1,COLUMNS('Portfolio Weights Std'!$B$9:$BJ$69))+1)</f>
        <v>2.1966582968470837E-2</v>
      </c>
    </row>
    <row r="1905" spans="1:2" x14ac:dyDescent="0.25">
      <c r="A1905" cm="1">
        <f t="array" ref="A1905">INDEX('Portfolio Weights Returns'!$B$9:$BJ$69,
INT((ROW(A1904)-1)/COLUMNS('Portfolio Weights Returns'!$B$9:$BJ$69))+1,MOD(ROW(A1904)-1,COLUMNS('Portfolio Weights Returns'!$B$9:$BJ$69))+1)</f>
        <v>-9.0980077381213101E-4</v>
      </c>
      <c r="B1905" cm="1">
        <f t="array" ref="B1905">INDEX('Portfolio Weights Std'!$B$9:$BJ$69,INT((ROW(A1904)-1)/COLUMNS('Portfolio Weights Std'!$B$9:$BJ$69))+1,MOD(ROW(A1904)-1,COLUMNS('Portfolio Weights Std'!$B$9:$BJ$69))+1)</f>
        <v>2.1802603291192317E-2</v>
      </c>
    </row>
    <row r="1906" spans="1:2" x14ac:dyDescent="0.25">
      <c r="A1906" cm="1">
        <f t="array" ref="A1906">INDEX('Portfolio Weights Returns'!$B$9:$BJ$69,
INT((ROW(A1905)-1)/COLUMNS('Portfolio Weights Returns'!$B$9:$BJ$69))+1,MOD(ROW(A1905)-1,COLUMNS('Portfolio Weights Returns'!$B$9:$BJ$69))+1)</f>
        <v>-9.0301959984545198E-4</v>
      </c>
      <c r="B1906" cm="1">
        <f t="array" ref="B1906">INDEX('Portfolio Weights Std'!$B$9:$BJ$69,INT((ROW(A1905)-1)/COLUMNS('Portfolio Weights Std'!$B$9:$BJ$69))+1,MOD(ROW(A1905)-1,COLUMNS('Portfolio Weights Std'!$B$9:$BJ$69))+1)</f>
        <v>2.1639520768543679E-2</v>
      </c>
    </row>
    <row r="1907" spans="1:2" x14ac:dyDescent="0.25">
      <c r="A1907" cm="1">
        <f t="array" ref="A1907">INDEX('Portfolio Weights Returns'!$B$9:$BJ$69,
INT((ROW(A1906)-1)/COLUMNS('Portfolio Weights Returns'!$B$9:$BJ$69))+1,MOD(ROW(A1906)-1,COLUMNS('Portfolio Weights Returns'!$B$9:$BJ$69))+1)</f>
        <v>-8.9623842587877283E-4</v>
      </c>
      <c r="B1907" cm="1">
        <f t="array" ref="B1907">INDEX('Portfolio Weights Std'!$B$9:$BJ$69,INT((ROW(A1906)-1)/COLUMNS('Portfolio Weights Std'!$B$9:$BJ$69))+1,MOD(ROW(A1906)-1,COLUMNS('Portfolio Weights Std'!$B$9:$BJ$69))+1)</f>
        <v>2.1477355837441495E-2</v>
      </c>
    </row>
    <row r="1908" spans="1:2" x14ac:dyDescent="0.25">
      <c r="A1908" cm="1">
        <f t="array" ref="A1908">INDEX('Portfolio Weights Returns'!$B$9:$BJ$69,
INT((ROW(A1907)-1)/COLUMNS('Portfolio Weights Returns'!$B$9:$BJ$69))+1,MOD(ROW(A1907)-1,COLUMNS('Portfolio Weights Returns'!$B$9:$BJ$69))+1)</f>
        <v>-8.8945725191209369E-4</v>
      </c>
      <c r="B1908" cm="1">
        <f t="array" ref="B1908">INDEX('Portfolio Weights Std'!$B$9:$BJ$69,INT((ROW(A1907)-1)/COLUMNS('Portfolio Weights Std'!$B$9:$BJ$69))+1,MOD(ROW(A1907)-1,COLUMNS('Portfolio Weights Std'!$B$9:$BJ$69))+1)</f>
        <v>2.1316129439948921E-2</v>
      </c>
    </row>
    <row r="1909" spans="1:2" x14ac:dyDescent="0.25">
      <c r="A1909" cm="1">
        <f t="array" ref="A1909">INDEX('Portfolio Weights Returns'!$B$9:$BJ$69,
INT((ROW(A1908)-1)/COLUMNS('Portfolio Weights Returns'!$B$9:$BJ$69))+1,MOD(ROW(A1908)-1,COLUMNS('Portfolio Weights Returns'!$B$9:$BJ$69))+1)</f>
        <v>-8.8267607794541476E-4</v>
      </c>
      <c r="B1909" cm="1">
        <f t="array" ref="B1909">INDEX('Portfolio Weights Std'!$B$9:$BJ$69,INT((ROW(A1908)-1)/COLUMNS('Portfolio Weights Std'!$B$9:$BJ$69))+1,MOD(ROW(A1908)-1,COLUMNS('Portfolio Weights Std'!$B$9:$BJ$69))+1)</f>
        <v>2.1155863033446739E-2</v>
      </c>
    </row>
    <row r="1910" spans="1:2" x14ac:dyDescent="0.25">
      <c r="A1910" cm="1">
        <f t="array" ref="A1910">INDEX('Portfolio Weights Returns'!$B$9:$BJ$69,
INT((ROW(A1909)-1)/COLUMNS('Portfolio Weights Returns'!$B$9:$BJ$69))+1,MOD(ROW(A1909)-1,COLUMNS('Portfolio Weights Returns'!$B$9:$BJ$69))+1)</f>
        <v>-8.7589490397873551E-4</v>
      </c>
      <c r="B1910" cm="1">
        <f t="array" ref="B1910">INDEX('Portfolio Weights Std'!$B$9:$BJ$69,INT((ROW(A1909)-1)/COLUMNS('Portfolio Weights Std'!$B$9:$BJ$69))+1,MOD(ROW(A1909)-1,COLUMNS('Portfolio Weights Std'!$B$9:$BJ$69))+1)</f>
        <v>2.0996578600714567E-2</v>
      </c>
    </row>
    <row r="1911" spans="1:2" x14ac:dyDescent="0.25">
      <c r="A1911" cm="1">
        <f t="array" ref="A1911">INDEX('Portfolio Weights Returns'!$B$9:$BJ$69,
INT((ROW(A1910)-1)/COLUMNS('Portfolio Weights Returns'!$B$9:$BJ$69))+1,MOD(ROW(A1910)-1,COLUMNS('Portfolio Weights Returns'!$B$9:$BJ$69))+1)</f>
        <v>-8.6911373001205658E-4</v>
      </c>
      <c r="B1911" cm="1">
        <f t="array" ref="B1911">INDEX('Portfolio Weights Std'!$B$9:$BJ$69,INT((ROW(A1910)-1)/COLUMNS('Portfolio Weights Std'!$B$9:$BJ$69))+1,MOD(ROW(A1910)-1,COLUMNS('Portfolio Weights Std'!$B$9:$BJ$69))+1)</f>
        <v>2.0838298659889148E-2</v>
      </c>
    </row>
    <row r="1912" spans="1:2" x14ac:dyDescent="0.25">
      <c r="A1912" cm="1">
        <f t="array" ref="A1912">INDEX('Portfolio Weights Returns'!$B$9:$BJ$69,
INT((ROW(A1911)-1)/COLUMNS('Portfolio Weights Returns'!$B$9:$BJ$69))+1,MOD(ROW(A1911)-1,COLUMNS('Portfolio Weights Returns'!$B$9:$BJ$69))+1)</f>
        <v>-8.6233255604537733E-4</v>
      </c>
      <c r="B1912" cm="1">
        <f t="array" ref="B1912">INDEX('Portfolio Weights Std'!$B$9:$BJ$69,INT((ROW(A1911)-1)/COLUMNS('Portfolio Weights Std'!$B$9:$BJ$69))+1,MOD(ROW(A1911)-1,COLUMNS('Portfolio Weights Std'!$B$9:$BJ$69))+1)</f>
        <v>2.0681046274263218E-2</v>
      </c>
    </row>
    <row r="1913" spans="1:2" x14ac:dyDescent="0.25">
      <c r="A1913" cm="1">
        <f t="array" ref="A1913">INDEX('Portfolio Weights Returns'!$B$9:$BJ$69,
INT((ROW(A1912)-1)/COLUMNS('Portfolio Weights Returns'!$B$9:$BJ$69))+1,MOD(ROW(A1912)-1,COLUMNS('Portfolio Weights Returns'!$B$9:$BJ$69))+1)</f>
        <v>-8.5555138207869829E-4</v>
      </c>
      <c r="B1913" cm="1">
        <f t="array" ref="B1913">INDEX('Portfolio Weights Std'!$B$9:$BJ$69,INT((ROW(A1912)-1)/COLUMNS('Portfolio Weights Std'!$B$9:$BJ$69))+1,MOD(ROW(A1912)-1,COLUMNS('Portfolio Weights Std'!$B$9:$BJ$69))+1)</f>
        <v>2.0524845061885878E-2</v>
      </c>
    </row>
    <row r="1914" spans="1:2" x14ac:dyDescent="0.25">
      <c r="A1914" cm="1">
        <f t="array" ref="A1914">INDEX('Portfolio Weights Returns'!$B$9:$BJ$69,
INT((ROW(A1913)-1)/COLUMNS('Portfolio Weights Returns'!$B$9:$BJ$69))+1,MOD(ROW(A1913)-1,COLUMNS('Portfolio Weights Returns'!$B$9:$BJ$69))+1)</f>
        <v>-8.4877020811201915E-4</v>
      </c>
      <c r="B1914" cm="1">
        <f t="array" ref="B1914">INDEX('Portfolio Weights Std'!$B$9:$BJ$69,INT((ROW(A1913)-1)/COLUMNS('Portfolio Weights Std'!$B$9:$BJ$69))+1,MOD(ROW(A1913)-1,COLUMNS('Portfolio Weights Std'!$B$9:$BJ$69))+1)</f>
        <v>2.0369719204921595E-2</v>
      </c>
    </row>
    <row r="1915" spans="1:2" x14ac:dyDescent="0.25">
      <c r="A1915" cm="1">
        <f t="array" ref="A1915">INDEX('Portfolio Weights Returns'!$B$9:$BJ$69,
INT((ROW(A1914)-1)/COLUMNS('Portfolio Weights Returns'!$B$9:$BJ$69))+1,MOD(ROW(A1914)-1,COLUMNS('Portfolio Weights Returns'!$B$9:$BJ$69))+1)</f>
        <v>-8.4198903414534011E-4</v>
      </c>
      <c r="B1915" cm="1">
        <f t="array" ref="B1915">INDEX('Portfolio Weights Std'!$B$9:$BJ$69,INT((ROW(A1914)-1)/COLUMNS('Portfolio Weights Std'!$B$9:$BJ$69))+1,MOD(ROW(A1914)-1,COLUMNS('Portfolio Weights Std'!$B$9:$BJ$69))+1)</f>
        <v>2.0215693458721817E-2</v>
      </c>
    </row>
    <row r="1916" spans="1:2" x14ac:dyDescent="0.25">
      <c r="A1916" cm="1">
        <f t="array" ref="A1916">INDEX('Portfolio Weights Returns'!$B$9:$BJ$69,
INT((ROW(A1915)-1)/COLUMNS('Portfolio Weights Returns'!$B$9:$BJ$69))+1,MOD(ROW(A1915)-1,COLUMNS('Portfolio Weights Returns'!$B$9:$BJ$69))+1)</f>
        <v>-8.3520786017866097E-4</v>
      </c>
      <c r="B1916" cm="1">
        <f t="array" ref="B1916">INDEX('Portfolio Weights Std'!$B$9:$BJ$69,INT((ROW(A1915)-1)/COLUMNS('Portfolio Weights Std'!$B$9:$BJ$69))+1,MOD(ROW(A1915)-1,COLUMNS('Portfolio Weights Std'!$B$9:$BJ$69))+1)</f>
        <v>2.006279316055944E-2</v>
      </c>
    </row>
    <row r="1917" spans="1:2" x14ac:dyDescent="0.25">
      <c r="A1917" cm="1">
        <f t="array" ref="A1917">INDEX('Portfolio Weights Returns'!$B$9:$BJ$69,
INT((ROW(A1916)-1)/COLUMNS('Portfolio Weights Returns'!$B$9:$BJ$69))+1,MOD(ROW(A1916)-1,COLUMNS('Portfolio Weights Returns'!$B$9:$BJ$69))+1)</f>
        <v>-8.2842668621198193E-4</v>
      </c>
      <c r="B1917" cm="1">
        <f t="array" ref="B1917">INDEX('Portfolio Weights Std'!$B$9:$BJ$69,INT((ROW(A1916)-1)/COLUMNS('Portfolio Weights Std'!$B$9:$BJ$69))+1,MOD(ROW(A1916)-1,COLUMNS('Portfolio Weights Std'!$B$9:$BJ$69))+1)</f>
        <v>1.9911044237972523E-2</v>
      </c>
    </row>
    <row r="1918" spans="1:2" x14ac:dyDescent="0.25">
      <c r="A1918" cm="1">
        <f t="array" ref="A1918">INDEX('Portfolio Weights Returns'!$B$9:$BJ$69,
INT((ROW(A1917)-1)/COLUMNS('Portfolio Weights Returns'!$B$9:$BJ$69))+1,MOD(ROW(A1917)-1,COLUMNS('Portfolio Weights Returns'!$B$9:$BJ$69))+1)</f>
        <v>-8.2164551224530279E-4</v>
      </c>
      <c r="B1918" cm="1">
        <f t="array" ref="B1918">INDEX('Portfolio Weights Std'!$B$9:$BJ$69,INT((ROW(A1917)-1)/COLUMNS('Portfolio Weights Std'!$B$9:$BJ$69))+1,MOD(ROW(A1917)-1,COLUMNS('Portfolio Weights Std'!$B$9:$BJ$69))+1)</f>
        <v>1.9760473216659896E-2</v>
      </c>
    </row>
    <row r="1919" spans="1:2" x14ac:dyDescent="0.25">
      <c r="A1919" cm="1">
        <f t="array" ref="A1919">INDEX('Portfolio Weights Returns'!$B$9:$BJ$69,
INT((ROW(A1918)-1)/COLUMNS('Portfolio Weights Returns'!$B$9:$BJ$69))+1,MOD(ROW(A1918)-1,COLUMNS('Portfolio Weights Returns'!$B$9:$BJ$69))+1)</f>
        <v>-8.1486433827862364E-4</v>
      </c>
      <c r="B1919" cm="1">
        <f t="array" ref="B1919">INDEX('Portfolio Weights Std'!$B$9:$BJ$69,INT((ROW(A1918)-1)/COLUMNS('Portfolio Weights Std'!$B$9:$BJ$69))+1,MOD(ROW(A1918)-1,COLUMNS('Portfolio Weights Std'!$B$9:$BJ$69))+1)</f>
        <v>1.9611107227866898E-2</v>
      </c>
    </row>
    <row r="1920" spans="1:2" x14ac:dyDescent="0.25">
      <c r="A1920" cm="1">
        <f t="array" ref="A1920">INDEX('Portfolio Weights Returns'!$B$9:$BJ$69,
INT((ROW(A1919)-1)/COLUMNS('Portfolio Weights Returns'!$B$9:$BJ$69))+1,MOD(ROW(A1919)-1,COLUMNS('Portfolio Weights Returns'!$B$9:$BJ$69))+1)</f>
        <v>-8.080831643119445E-4</v>
      </c>
      <c r="B1920" cm="1">
        <f t="array" ref="B1920">INDEX('Portfolio Weights Std'!$B$9:$BJ$69,INT((ROW(A1919)-1)/COLUMNS('Portfolio Weights Std'!$B$9:$BJ$69))+1,MOD(ROW(A1919)-1,COLUMNS('Portfolio Weights Std'!$B$9:$BJ$69))+1)</f>
        <v>1.9462974015195606E-2</v>
      </c>
    </row>
    <row r="1921" spans="1:2" x14ac:dyDescent="0.25">
      <c r="A1921" cm="1">
        <f t="array" ref="A1921">INDEX('Portfolio Weights Returns'!$B$9:$BJ$69,
INT((ROW(A1920)-1)/COLUMNS('Portfolio Weights Returns'!$B$9:$BJ$69))+1,MOD(ROW(A1920)-1,COLUMNS('Portfolio Weights Returns'!$B$9:$BJ$69))+1)</f>
        <v>-8.0130199034526535E-4</v>
      </c>
      <c r="B1921" cm="1">
        <f t="array" ref="B1921">INDEX('Portfolio Weights Std'!$B$9:$BJ$69,INT((ROW(A1920)-1)/COLUMNS('Portfolio Weights Std'!$B$9:$BJ$69))+1,MOD(ROW(A1920)-1,COLUMNS('Portfolio Weights Std'!$B$9:$BJ$69))+1)</f>
        <v>1.9316101940769301E-2</v>
      </c>
    </row>
    <row r="1922" spans="1:2" x14ac:dyDescent="0.25">
      <c r="A1922" cm="1">
        <f t="array" ref="A1922">INDEX('Portfolio Weights Returns'!$B$9:$BJ$69,
INT((ROW(A1921)-1)/COLUMNS('Portfolio Weights Returns'!$B$9:$BJ$69))+1,MOD(ROW(A1921)-1,COLUMNS('Portfolio Weights Returns'!$B$9:$BJ$69))+1)</f>
        <v>-7.9452081637858632E-4</v>
      </c>
      <c r="B1922" cm="1">
        <f t="array" ref="B1922">INDEX('Portfolio Weights Std'!$B$9:$BJ$69,INT((ROW(A1921)-1)/COLUMNS('Portfolio Weights Std'!$B$9:$BJ$69))+1,MOD(ROW(A1921)-1,COLUMNS('Portfolio Weights Std'!$B$9:$BJ$69))+1)</f>
        <v>1.9170519990676559E-2</v>
      </c>
    </row>
    <row r="1923" spans="1:2" x14ac:dyDescent="0.25">
      <c r="A1923" cm="1">
        <f t="array" ref="A1923">INDEX('Portfolio Weights Returns'!$B$9:$BJ$69,
INT((ROW(A1922)-1)/COLUMNS('Portfolio Weights Returns'!$B$9:$BJ$69))+1,MOD(ROW(A1922)-1,COLUMNS('Portfolio Weights Returns'!$B$9:$BJ$69))+1)</f>
        <v>-7.8773964241190717E-4</v>
      </c>
      <c r="B1923" cm="1">
        <f t="array" ref="B1923">INDEX('Portfolio Weights Std'!$B$9:$BJ$69,INT((ROW(A1922)-1)/COLUMNS('Portfolio Weights Std'!$B$9:$BJ$69))+1,MOD(ROW(A1922)-1,COLUMNS('Portfolio Weights Std'!$B$9:$BJ$69))+1)</f>
        <v>1.9026257779615873E-2</v>
      </c>
    </row>
    <row r="1924" spans="1:2" x14ac:dyDescent="0.25">
      <c r="A1924" cm="1">
        <f t="array" ref="A1924">INDEX('Portfolio Weights Returns'!$B$9:$BJ$69,
INT((ROW(A1923)-1)/COLUMNS('Portfolio Weights Returns'!$B$9:$BJ$69))+1,MOD(ROW(A1923)-1,COLUMNS('Portfolio Weights Returns'!$B$9:$BJ$69))+1)</f>
        <v>-7.8095846844522814E-4</v>
      </c>
      <c r="B1924" cm="1">
        <f t="array" ref="B1924">INDEX('Portfolio Weights Std'!$B$9:$BJ$69,INT((ROW(A1923)-1)/COLUMNS('Portfolio Weights Std'!$B$9:$BJ$69))+1,MOD(ROW(A1923)-1,COLUMNS('Portfolio Weights Std'!$B$9:$BJ$69))+1)</f>
        <v>1.8883345554656976E-2</v>
      </c>
    </row>
    <row r="1925" spans="1:2" x14ac:dyDescent="0.25">
      <c r="A1925" cm="1">
        <f t="array" ref="A1925">INDEX('Portfolio Weights Returns'!$B$9:$BJ$69,
INT((ROW(A1924)-1)/COLUMNS('Portfolio Weights Returns'!$B$9:$BJ$69))+1,MOD(ROW(A1924)-1,COLUMNS('Portfolio Weights Returns'!$B$9:$BJ$69))+1)</f>
        <v>-7.7417729447854899E-4</v>
      </c>
      <c r="B1925" cm="1">
        <f t="array" ref="B1925">INDEX('Portfolio Weights Std'!$B$9:$BJ$69,INT((ROW(A1924)-1)/COLUMNS('Portfolio Weights Std'!$B$9:$BJ$69))+1,MOD(ROW(A1924)-1,COLUMNS('Portfolio Weights Std'!$B$9:$BJ$69))+1)</f>
        <v>1.8741814198030539E-2</v>
      </c>
    </row>
    <row r="1926" spans="1:2" x14ac:dyDescent="0.25">
      <c r="A1926" cm="1">
        <f t="array" ref="A1926">INDEX('Portfolio Weights Returns'!$B$9:$BJ$69,
INT((ROW(A1925)-1)/COLUMNS('Portfolio Weights Returns'!$B$9:$BJ$69))+1,MOD(ROW(A1925)-1,COLUMNS('Portfolio Weights Returns'!$B$9:$BJ$69))+1)</f>
        <v>-7.6739612051186985E-4</v>
      </c>
      <c r="B1926" cm="1">
        <f t="array" ref="B1926">INDEX('Portfolio Weights Std'!$B$9:$BJ$69,INT((ROW(A1925)-1)/COLUMNS('Portfolio Weights Std'!$B$9:$BJ$69))+1,MOD(ROW(A1925)-1,COLUMNS('Portfolio Weights Std'!$B$9:$BJ$69))+1)</f>
        <v>1.8601695228853226E-2</v>
      </c>
    </row>
    <row r="1927" spans="1:2" x14ac:dyDescent="0.25">
      <c r="A1927" cm="1">
        <f t="array" ref="A1927">INDEX('Portfolio Weights Returns'!$B$9:$BJ$69,
INT((ROW(A1926)-1)/COLUMNS('Portfolio Weights Returns'!$B$9:$BJ$69))+1,MOD(ROW(A1926)-1,COLUMNS('Portfolio Weights Returns'!$B$9:$BJ$69))+1)</f>
        <v>-7.606149465451907E-4</v>
      </c>
      <c r="B1927" cm="1">
        <f t="array" ref="B1927">INDEX('Portfolio Weights Std'!$B$9:$BJ$69,INT((ROW(A1926)-1)/COLUMNS('Portfolio Weights Std'!$B$9:$BJ$69))+1,MOD(ROW(A1926)-1,COLUMNS('Portfolio Weights Std'!$B$9:$BJ$69))+1)</f>
        <v>1.846302080369051E-2</v>
      </c>
    </row>
    <row r="1928" spans="1:2" x14ac:dyDescent="0.25">
      <c r="A1928" cm="1">
        <f t="array" ref="A1928">INDEX('Portfolio Weights Returns'!$B$9:$BJ$69,
INT((ROW(A1927)-1)/COLUMNS('Portfolio Weights Returns'!$B$9:$BJ$69))+1,MOD(ROW(A1927)-1,COLUMNS('Portfolio Weights Returns'!$B$9:$BJ$69))+1)</f>
        <v>-7.5383377257851167E-4</v>
      </c>
      <c r="B1928" cm="1">
        <f t="array" ref="B1928">INDEX('Portfolio Weights Std'!$B$9:$BJ$69,INT((ROW(A1927)-1)/COLUMNS('Portfolio Weights Std'!$B$9:$BJ$69))+1,MOD(ROW(A1927)-1,COLUMNS('Portfolio Weights Std'!$B$9:$BJ$69))+1)</f>
        <v>1.8325823715855234E-2</v>
      </c>
    </row>
    <row r="1929" spans="1:2" x14ac:dyDescent="0.25">
      <c r="A1929" cm="1">
        <f t="array" ref="A1929">INDEX('Portfolio Weights Returns'!$B$9:$BJ$69,
INT((ROW(A1928)-1)/COLUMNS('Portfolio Weights Returns'!$B$9:$BJ$69))+1,MOD(ROW(A1928)-1,COLUMNS('Portfolio Weights Returns'!$B$9:$BJ$69))+1)</f>
        <v>-7.4705259861183252E-4</v>
      </c>
      <c r="B1929" cm="1">
        <f t="array" ref="B1929">INDEX('Portfolio Weights Std'!$B$9:$BJ$69,INT((ROW(A1928)-1)/COLUMNS('Portfolio Weights Std'!$B$9:$BJ$69))+1,MOD(ROW(A1928)-1,COLUMNS('Portfolio Weights Std'!$B$9:$BJ$69))+1)</f>
        <v>1.8190137393335481E-2</v>
      </c>
    </row>
    <row r="1930" spans="1:2" x14ac:dyDescent="0.25">
      <c r="A1930" cm="1">
        <f t="array" ref="A1930">INDEX('Portfolio Weights Returns'!$B$9:$BJ$69,
INT((ROW(A1929)-1)/COLUMNS('Portfolio Weights Returns'!$B$9:$BJ$69))+1,MOD(ROW(A1929)-1,COLUMNS('Portfolio Weights Returns'!$B$9:$BJ$69))+1)</f>
        <v>-7.4027142464515349E-4</v>
      </c>
      <c r="B1930" cm="1">
        <f t="array" ref="B1930">INDEX('Portfolio Weights Std'!$B$9:$BJ$69,INT((ROW(A1929)-1)/COLUMNS('Portfolio Weights Std'!$B$9:$BJ$69))+1,MOD(ROW(A1929)-1,COLUMNS('Portfolio Weights Std'!$B$9:$BJ$69))+1)</f>
        <v>1.8055995895241202E-2</v>
      </c>
    </row>
    <row r="1931" spans="1:2" x14ac:dyDescent="0.25">
      <c r="A1931" cm="1">
        <f t="array" ref="A1931">INDEX('Portfolio Weights Returns'!$B$9:$BJ$69,
INT((ROW(A1930)-1)/COLUMNS('Portfolio Weights Returns'!$B$9:$BJ$69))+1,MOD(ROW(A1930)-1,COLUMNS('Portfolio Weights Returns'!$B$9:$BJ$69))+1)</f>
        <v>-7.3349025067847445E-4</v>
      </c>
      <c r="B1931" cm="1">
        <f t="array" ref="B1931">INDEX('Portfolio Weights Std'!$B$9:$BJ$69,INT((ROW(A1930)-1)/COLUMNS('Portfolio Weights Std'!$B$9:$BJ$69))+1,MOD(ROW(A1930)-1,COLUMNS('Portfolio Weights Std'!$B$9:$BJ$69))+1)</f>
        <v>1.792343390665524E-2</v>
      </c>
    </row>
    <row r="1932" spans="1:2" x14ac:dyDescent="0.25">
      <c r="A1932" cm="1">
        <f t="array" ref="A1932">INDEX('Portfolio Weights Returns'!$B$9:$BJ$69,
INT((ROW(A1931)-1)/COLUMNS('Portfolio Weights Returns'!$B$9:$BJ$69))+1,MOD(ROW(A1931)-1,COLUMNS('Portfolio Weights Returns'!$B$9:$BJ$69))+1)</f>
        <v>-7.267090767117952E-4</v>
      </c>
      <c r="B1932" cm="1">
        <f t="array" ref="B1932">INDEX('Portfolio Weights Std'!$B$9:$BJ$69,INT((ROW(A1931)-1)/COLUMNS('Portfolio Weights Std'!$B$9:$BJ$69))+1,MOD(ROW(A1931)-1,COLUMNS('Portfolio Weights Std'!$B$9:$BJ$69))+1)</f>
        <v>1.7792486731770685E-2</v>
      </c>
    </row>
    <row r="1933" spans="1:2" x14ac:dyDescent="0.25">
      <c r="A1933" cm="1">
        <f t="array" ref="A1933">INDEX('Portfolio Weights Returns'!$B$9:$BJ$69,
INT((ROW(A1932)-1)/COLUMNS('Portfolio Weights Returns'!$B$9:$BJ$69))+1,MOD(ROW(A1932)-1,COLUMNS('Portfolio Weights Returns'!$B$9:$BJ$69))+1)</f>
        <v>-7.1992790274511616E-4</v>
      </c>
      <c r="B1933" cm="1">
        <f t="array" ref="B1933">INDEX('Portfolio Weights Std'!$B$9:$BJ$69,INT((ROW(A1932)-1)/COLUMNS('Portfolio Weights Std'!$B$9:$BJ$69))+1,MOD(ROW(A1932)-1,COLUMNS('Portfolio Weights Std'!$B$9:$BJ$69))+1)</f>
        <v>1.7663190285193649E-2</v>
      </c>
    </row>
    <row r="1934" spans="1:2" x14ac:dyDescent="0.25">
      <c r="A1934" cm="1">
        <f t="array" ref="A1934">INDEX('Portfolio Weights Returns'!$B$9:$BJ$69,
INT((ROW(A1933)-1)/COLUMNS('Portfolio Weights Returns'!$B$9:$BJ$69))+1,MOD(ROW(A1933)-1,COLUMNS('Portfolio Weights Returns'!$B$9:$BJ$69))+1)</f>
        <v>-7.1314672877843702E-4</v>
      </c>
      <c r="B1934" cm="1">
        <f t="array" ref="B1934">INDEX('Portfolio Weights Std'!$B$9:$BJ$69,INT((ROW(A1933)-1)/COLUMNS('Portfolio Weights Std'!$B$9:$BJ$69))+1,MOD(ROW(A1933)-1,COLUMNS('Portfolio Weights Std'!$B$9:$BJ$69))+1)</f>
        <v>1.7535581081287506E-2</v>
      </c>
    </row>
    <row r="1935" spans="1:2" x14ac:dyDescent="0.25">
      <c r="A1935" cm="1">
        <f t="array" ref="A1935">INDEX('Portfolio Weights Returns'!$B$9:$BJ$69,
INT((ROW(A1934)-1)/COLUMNS('Portfolio Weights Returns'!$B$9:$BJ$69))+1,MOD(ROW(A1934)-1,COLUMNS('Portfolio Weights Returns'!$B$9:$BJ$69))+1)</f>
        <v>-7.0636555481175798E-4</v>
      </c>
      <c r="B1935" cm="1">
        <f t="array" ref="B1935">INDEX('Portfolio Weights Std'!$B$9:$BJ$69,INT((ROW(A1934)-1)/COLUMNS('Portfolio Weights Std'!$B$9:$BJ$69))+1,MOD(ROW(A1934)-1,COLUMNS('Portfolio Weights Std'!$B$9:$BJ$69))+1)</f>
        <v>1.7409696221433145E-2</v>
      </c>
    </row>
    <row r="1936" spans="1:2" x14ac:dyDescent="0.25">
      <c r="A1936" cm="1">
        <f t="array" ref="A1936">INDEX('Portfolio Weights Returns'!$B$9:$BJ$69,
INT((ROW(A1935)-1)/COLUMNS('Portfolio Weights Returns'!$B$9:$BJ$69))+1,MOD(ROW(A1935)-1,COLUMNS('Portfolio Weights Returns'!$B$9:$BJ$69))+1)</f>
        <v>-6.9958438084507884E-4</v>
      </c>
      <c r="B1936" cm="1">
        <f t="array" ref="B1936">INDEX('Portfolio Weights Std'!$B$9:$BJ$69,INT((ROW(A1935)-1)/COLUMNS('Portfolio Weights Std'!$B$9:$BJ$69))+1,MOD(ROW(A1935)-1,COLUMNS('Portfolio Weights Std'!$B$9:$BJ$69))+1)</f>
        <v>1.7285573379077844E-2</v>
      </c>
    </row>
    <row r="1937" spans="1:2" x14ac:dyDescent="0.25">
      <c r="A1937" cm="1">
        <f t="array" ref="A1937">INDEX('Portfolio Weights Returns'!$B$9:$BJ$69,
INT((ROW(A1936)-1)/COLUMNS('Portfolio Weights Returns'!$B$9:$BJ$69))+1,MOD(ROW(A1936)-1,COLUMNS('Portfolio Weights Returns'!$B$9:$BJ$69))+1)</f>
        <v>-6.928032068783998E-4</v>
      </c>
      <c r="B1937" cm="1">
        <f t="array" ref="B1937">INDEX('Portfolio Weights Std'!$B$9:$BJ$69,INT((ROW(A1936)-1)/COLUMNS('Portfolio Weights Std'!$B$9:$BJ$69))+1,MOD(ROW(A1936)-1,COLUMNS('Portfolio Weights Std'!$B$9:$BJ$69))+1)</f>
        <v>1.716325078244537E-2</v>
      </c>
    </row>
    <row r="1938" spans="1:2" x14ac:dyDescent="0.25">
      <c r="A1938" cm="1">
        <f t="array" ref="A1938">INDEX('Portfolio Weights Returns'!$B$9:$BJ$69,
INT((ROW(A1937)-1)/COLUMNS('Portfolio Weights Returns'!$B$9:$BJ$69))+1,MOD(ROW(A1937)-1,COLUMNS('Portfolio Weights Returns'!$B$9:$BJ$69))+1)</f>
        <v>-6.8602203291172055E-4</v>
      </c>
      <c r="B1938" cm="1">
        <f t="array" ref="B1938">INDEX('Portfolio Weights Std'!$B$9:$BJ$69,INT((ROW(A1937)-1)/COLUMNS('Portfolio Weights Std'!$B$9:$BJ$69))+1,MOD(ROW(A1937)-1,COLUMNS('Portfolio Weights Std'!$B$9:$BJ$69))+1)</f>
        <v>1.7042767194779859E-2</v>
      </c>
    </row>
    <row r="1939" spans="1:2" x14ac:dyDescent="0.25">
      <c r="A1939" cm="1">
        <f t="array" ref="A1939">INDEX('Portfolio Weights Returns'!$B$9:$BJ$69,
INT((ROW(A1938)-1)/COLUMNS('Portfolio Weights Returns'!$B$9:$BJ$69))+1,MOD(ROW(A1938)-1,COLUMNS('Portfolio Weights Returns'!$B$9:$BJ$69))+1)</f>
        <v>-6.7924085894504151E-4</v>
      </c>
      <c r="B1939" cm="1">
        <f t="array" ref="B1939">INDEX('Portfolio Weights Std'!$B$9:$BJ$69,INT((ROW(A1938)-1)/COLUMNS('Portfolio Weights Std'!$B$9:$BJ$69))+1,MOD(ROW(A1938)-1,COLUMNS('Portfolio Weights Std'!$B$9:$BJ$69))+1)</f>
        <v>1.692416189199759E-2</v>
      </c>
    </row>
    <row r="1940" spans="1:2" x14ac:dyDescent="0.25">
      <c r="A1940" cm="1">
        <f t="array" ref="A1940">INDEX('Portfolio Weights Returns'!$B$9:$BJ$69,
INT((ROW(A1939)-1)/COLUMNS('Portfolio Weights Returns'!$B$9:$BJ$69))+1,MOD(ROW(A1939)-1,COLUMNS('Portfolio Weights Returns'!$B$9:$BJ$69))+1)</f>
        <v>-6.7245968497836237E-4</v>
      </c>
      <c r="B1940" cm="1">
        <f t="array" ref="B1940">INDEX('Portfolio Weights Std'!$B$9:$BJ$69,INT((ROW(A1939)-1)/COLUMNS('Portfolio Weights Std'!$B$9:$BJ$69))+1,MOD(ROW(A1939)-1,COLUMNS('Portfolio Weights Std'!$B$9:$BJ$69))+1)</f>
        <v>1.6807474637623231E-2</v>
      </c>
    </row>
    <row r="1941" spans="1:2" x14ac:dyDescent="0.25">
      <c r="A1941" cm="1">
        <f t="array" ref="A1941">INDEX('Portfolio Weights Returns'!$B$9:$BJ$69,
INT((ROW(A1940)-1)/COLUMNS('Portfolio Weights Returns'!$B$9:$BJ$69))+1,MOD(ROW(A1940)-1,COLUMNS('Portfolio Weights Returns'!$B$9:$BJ$69))+1)</f>
        <v>-6.6567851101168333E-4</v>
      </c>
      <c r="B1941" cm="1">
        <f t="array" ref="B1941">INDEX('Portfolio Weights Std'!$B$9:$BJ$69,INT((ROW(A1940)-1)/COLUMNS('Portfolio Weights Std'!$B$9:$BJ$69))+1,MOD(ROW(A1940)-1,COLUMNS('Portfolio Weights Std'!$B$9:$BJ$69))+1)</f>
        <v>1.66927456548909E-2</v>
      </c>
    </row>
    <row r="1942" spans="1:2" x14ac:dyDescent="0.25">
      <c r="A1942" cm="1">
        <f t="array" ref="A1942">INDEX('Portfolio Weights Returns'!$B$9:$BJ$69,
INT((ROW(A1941)-1)/COLUMNS('Portfolio Weights Returns'!$B$9:$BJ$69))+1,MOD(ROW(A1941)-1,COLUMNS('Portfolio Weights Returns'!$B$9:$BJ$69))+1)</f>
        <v>-6.588973370450043E-4</v>
      </c>
      <c r="B1942" cm="1">
        <f t="array" ref="B1942">INDEX('Portfolio Weights Std'!$B$9:$BJ$69,INT((ROW(A1941)-1)/COLUMNS('Portfolio Weights Std'!$B$9:$BJ$69))+1,MOD(ROW(A1941)-1,COLUMNS('Portfolio Weights Std'!$B$9:$BJ$69))+1)</f>
        <v>1.658001559589543E-2</v>
      </c>
    </row>
    <row r="1943" spans="1:2" x14ac:dyDescent="0.25">
      <c r="A1943" cm="1">
        <f t="array" ref="A1943">INDEX('Portfolio Weights Returns'!$B$9:$BJ$69,
INT((ROW(A1942)-1)/COLUMNS('Portfolio Weights Returns'!$B$9:$BJ$69))+1,MOD(ROW(A1942)-1,COLUMNS('Portfolio Weights Returns'!$B$9:$BJ$69))+1)</f>
        <v>-6.5211616307832515E-4</v>
      </c>
      <c r="B1943" cm="1">
        <f t="array" ref="B1943">INDEX('Portfolio Weights Std'!$B$9:$BJ$69,INT((ROW(A1942)-1)/COLUMNS('Portfolio Weights Std'!$B$9:$BJ$69))+1,MOD(ROW(A1942)-1,COLUMNS('Portfolio Weights Std'!$B$9:$BJ$69))+1)</f>
        <v>1.6469325507686046E-2</v>
      </c>
    </row>
    <row r="1944" spans="1:2" x14ac:dyDescent="0.25">
      <c r="A1944" cm="1">
        <f t="array" ref="A1944">INDEX('Portfolio Weights Returns'!$B$9:$BJ$69,
INT((ROW(A1943)-1)/COLUMNS('Portfolio Weights Returns'!$B$9:$BJ$69))+1,MOD(ROW(A1943)-1,COLUMNS('Portfolio Weights Returns'!$B$9:$BJ$69))+1)</f>
        <v>-6.4533498911164601E-4</v>
      </c>
      <c r="B1944" cm="1">
        <f t="array" ref="B1944">INDEX('Portfolio Weights Std'!$B$9:$BJ$69,INT((ROW(A1943)-1)/COLUMNS('Portfolio Weights Std'!$B$9:$BJ$69))+1,MOD(ROW(A1943)-1,COLUMNS('Portfolio Weights Std'!$B$9:$BJ$69))+1)</f>
        <v>1.6360716795202672E-2</v>
      </c>
    </row>
    <row r="1945" spans="1:2" x14ac:dyDescent="0.25">
      <c r="A1945" cm="1">
        <f t="array" ref="A1945">INDEX('Portfolio Weights Returns'!$B$9:$BJ$69,
INT((ROW(A1944)-1)/COLUMNS('Portfolio Weights Returns'!$B$9:$BJ$69))+1,MOD(ROW(A1944)-1,COLUMNS('Portfolio Weights Returns'!$B$9:$BJ$69))+1)</f>
        <v>-6.3855381514496686E-4</v>
      </c>
      <c r="B1945" cm="1">
        <f t="array" ref="B1945">INDEX('Portfolio Weights Std'!$B$9:$BJ$69,INT((ROW(A1944)-1)/COLUMNS('Portfolio Weights Std'!$B$9:$BJ$69))+1,MOD(ROW(A1944)-1,COLUMNS('Portfolio Weights Std'!$B$9:$BJ$69))+1)</f>
        <v>1.6254231180965195E-2</v>
      </c>
    </row>
    <row r="1946" spans="1:2" x14ac:dyDescent="0.25">
      <c r="A1946" cm="1">
        <f t="array" ref="A1946">INDEX('Portfolio Weights Returns'!$B$9:$BJ$69,
INT((ROW(A1945)-1)/COLUMNS('Portfolio Weights Returns'!$B$9:$BJ$69))+1,MOD(ROW(A1945)-1,COLUMNS('Portfolio Weights Returns'!$B$9:$BJ$69))+1)</f>
        <v>-6.3177264117828783E-4</v>
      </c>
      <c r="B1946" cm="1">
        <f t="array" ref="B1946">INDEX('Portfolio Weights Std'!$B$9:$BJ$69,INT((ROW(A1945)-1)/COLUMNS('Portfolio Weights Std'!$B$9:$BJ$69))+1,MOD(ROW(A1945)-1,COLUMNS('Portfolio Weights Std'!$B$9:$BJ$69))+1)</f>
        <v>1.614991066143778E-2</v>
      </c>
    </row>
    <row r="1947" spans="1:2" x14ac:dyDescent="0.25">
      <c r="A1947" cm="1">
        <f t="array" ref="A1947">INDEX('Portfolio Weights Returns'!$B$9:$BJ$69,
INT((ROW(A1946)-1)/COLUMNS('Portfolio Weights Returns'!$B$9:$BJ$69))+1,MOD(ROW(A1946)-1,COLUMNS('Portfolio Weights Returns'!$B$9:$BJ$69))+1)</f>
        <v>-6.2499146721160868E-4</v>
      </c>
      <c r="B1947" cm="1">
        <f t="array" ref="B1947">INDEX('Portfolio Weights Std'!$B$9:$BJ$69,INT((ROW(A1946)-1)/COLUMNS('Portfolio Weights Std'!$B$9:$BJ$69))+1,MOD(ROW(A1946)-1,COLUMNS('Portfolio Weights Std'!$B$9:$BJ$69))+1)</f>
        <v>1.6047797460003909E-2</v>
      </c>
    </row>
    <row r="1948" spans="1:2" x14ac:dyDescent="0.25">
      <c r="A1948" cm="1">
        <f t="array" ref="A1948">INDEX('Portfolio Weights Returns'!$B$9:$BJ$69,
INT((ROW(A1947)-1)/COLUMNS('Portfolio Weights Returns'!$B$9:$BJ$69))+1,MOD(ROW(A1947)-1,COLUMNS('Portfolio Weights Returns'!$B$9:$BJ$69))+1)</f>
        <v>-6.1821029324492965E-4</v>
      </c>
      <c r="B1948" cm="1">
        <f t="array" ref="B1948">INDEX('Portfolio Weights Std'!$B$9:$BJ$69,INT((ROW(A1947)-1)/COLUMNS('Portfolio Weights Std'!$B$9:$BJ$69))+1,MOD(ROW(A1947)-1,COLUMNS('Portfolio Weights Std'!$B$9:$BJ$69))+1)</f>
        <v>1.5947933976503671E-2</v>
      </c>
    </row>
    <row r="1949" spans="1:2" x14ac:dyDescent="0.25">
      <c r="A1949" cm="1">
        <f t="array" ref="A1949">INDEX('Portfolio Weights Returns'!$B$9:$BJ$69,
INT((ROW(A1948)-1)/COLUMNS('Portfolio Weights Returns'!$B$9:$BJ$69))+1,MOD(ROW(A1948)-1,COLUMNS('Portfolio Weights Returns'!$B$9:$BJ$69))+1)</f>
        <v>-6.114291192782505E-4</v>
      </c>
      <c r="B1949" cm="1">
        <f t="array" ref="B1949">INDEX('Portfolio Weights Std'!$B$9:$BJ$69,INT((ROW(A1948)-1)/COLUMNS('Portfolio Weights Std'!$B$9:$BJ$69))+1,MOD(ROW(A1948)-1,COLUMNS('Portfolio Weights Std'!$B$9:$BJ$69))+1)</f>
        <v>1.5850362733302297E-2</v>
      </c>
    </row>
    <row r="1950" spans="1:2" x14ac:dyDescent="0.25">
      <c r="A1950" cm="1">
        <f t="array" ref="A1950">INDEX('Portfolio Weights Returns'!$B$9:$BJ$69,
INT((ROW(A1949)-1)/COLUMNS('Portfolio Weights Returns'!$B$9:$BJ$69))+1,MOD(ROW(A1949)-1,COLUMNS('Portfolio Weights Returns'!$B$9:$BJ$69))+1)</f>
        <v>-6.0464794531157071E-4</v>
      </c>
      <c r="B1950" cm="1">
        <f t="array" ref="B1950">INDEX('Portfolio Weights Std'!$B$9:$BJ$69,INT((ROW(A1949)-1)/COLUMNS('Portfolio Weights Std'!$B$9:$BJ$69))+1,MOD(ROW(A1949)-1,COLUMNS('Portfolio Weights Std'!$B$9:$BJ$69))+1)</f>
        <v>1.5755126317878957E-2</v>
      </c>
    </row>
    <row r="1951" spans="1:2" x14ac:dyDescent="0.25">
      <c r="A1951" cm="1">
        <f t="array" ref="A1951">INDEX('Portfolio Weights Returns'!$B$9:$BJ$69,
INT((ROW(A1950)-1)/COLUMNS('Portfolio Weights Returns'!$B$9:$BJ$69))+1,MOD(ROW(A1950)-1,COLUMNS('Portfolio Weights Returns'!$B$9:$BJ$69))+1)</f>
        <v>-5.9786677134489156E-4</v>
      </c>
      <c r="B1951" cm="1">
        <f t="array" ref="B1951">INDEX('Portfolio Weights Std'!$B$9:$BJ$69,INT((ROW(A1950)-1)/COLUMNS('Portfolio Weights Std'!$B$9:$BJ$69))+1,MOD(ROW(A1950)-1,COLUMNS('Portfolio Weights Std'!$B$9:$BJ$69))+1)</f>
        <v>1.5662267321946467E-2</v>
      </c>
    </row>
    <row r="1952" spans="1:2" x14ac:dyDescent="0.25">
      <c r="A1952" cm="1">
        <f t="array" ref="A1952">INDEX('Portfolio Weights Returns'!$B$9:$BJ$69,
INT((ROW(A1951)-1)/COLUMNS('Portfolio Weights Returns'!$B$9:$BJ$69))+1,MOD(ROW(A1951)-1,COLUMNS('Portfolio Weights Returns'!$B$9:$BJ$69))+1)</f>
        <v>-5.9108559737821253E-4</v>
      </c>
      <c r="B1952" cm="1">
        <f t="array" ref="B1952">INDEX('Portfolio Weights Std'!$B$9:$BJ$69,INT((ROW(A1951)-1)/COLUMNS('Portfolio Weights Std'!$B$9:$BJ$69))+1,MOD(ROW(A1951)-1,COLUMNS('Portfolio Weights Std'!$B$9:$BJ$69))+1)</f>
        <v>1.5571828277136509E-2</v>
      </c>
    </row>
    <row r="1953" spans="1:2" x14ac:dyDescent="0.25">
      <c r="A1953" cm="1">
        <f t="array" ref="A1953">INDEX('Portfolio Weights Returns'!$B$9:$BJ$69,
INT((ROW(A1952)-1)/COLUMNS('Portfolio Weights Returns'!$B$9:$BJ$69))+1,MOD(ROW(A1952)-1,COLUMNS('Portfolio Weights Returns'!$B$9:$BJ$69))+1)</f>
        <v>-5.8430442341153349E-4</v>
      </c>
      <c r="B1953" cm="1">
        <f t="array" ref="B1953">INDEX('Portfolio Weights Std'!$B$9:$BJ$69,INT((ROW(A1952)-1)/COLUMNS('Portfolio Weights Std'!$B$9:$BJ$69))+1,MOD(ROW(A1952)-1,COLUMNS('Portfolio Weights Std'!$B$9:$BJ$69))+1)</f>
        <v>1.5483851587310896E-2</v>
      </c>
    </row>
    <row r="1954" spans="1:2" x14ac:dyDescent="0.25">
      <c r="A1954" cm="1">
        <f t="array" ref="A1954">INDEX('Portfolio Weights Returns'!$B$9:$BJ$69,
INT((ROW(A1953)-1)/COLUMNS('Portfolio Weights Returns'!$B$9:$BJ$69))+1,MOD(ROW(A1953)-1,COLUMNS('Portfolio Weights Returns'!$B$9:$BJ$69))+1)</f>
        <v>-9.846006535668252E-4</v>
      </c>
      <c r="B1954" cm="1">
        <f t="array" ref="B1954">INDEX('Portfolio Weights Std'!$B$9:$BJ$69,INT((ROW(A1953)-1)/COLUMNS('Portfolio Weights Std'!$B$9:$BJ$69))+1,MOD(ROW(A1953)-1,COLUMNS('Portfolio Weights Std'!$B$9:$BJ$69))+1)</f>
        <v>2.3691953300310657E-2</v>
      </c>
    </row>
    <row r="1955" spans="1:2" x14ac:dyDescent="0.25">
      <c r="A1955" cm="1">
        <f t="array" ref="A1955">INDEX('Portfolio Weights Returns'!$B$9:$BJ$69,
INT((ROW(A1954)-1)/COLUMNS('Portfolio Weights Returns'!$B$9:$BJ$69))+1,MOD(ROW(A1954)-1,COLUMNS('Portfolio Weights Returns'!$B$9:$BJ$69))+1)</f>
        <v>-9.7781947960014605E-4</v>
      </c>
      <c r="B1955" cm="1">
        <f t="array" ref="B1955">INDEX('Portfolio Weights Std'!$B$9:$BJ$69,INT((ROW(A1954)-1)/COLUMNS('Portfolio Weights Std'!$B$9:$BJ$69))+1,MOD(ROW(A1954)-1,COLUMNS('Portfolio Weights Std'!$B$9:$BJ$69))+1)</f>
        <v>2.351996850315213E-2</v>
      </c>
    </row>
    <row r="1956" spans="1:2" x14ac:dyDescent="0.25">
      <c r="A1956" cm="1">
        <f t="array" ref="A1956">INDEX('Portfolio Weights Returns'!$B$9:$BJ$69,
INT((ROW(A1955)-1)/COLUMNS('Portfolio Weights Returns'!$B$9:$BJ$69))+1,MOD(ROW(A1955)-1,COLUMNS('Portfolio Weights Returns'!$B$9:$BJ$69))+1)</f>
        <v>-9.7103830563346691E-4</v>
      </c>
      <c r="B1956" cm="1">
        <f t="array" ref="B1956">INDEX('Portfolio Weights Std'!$B$9:$BJ$69,INT((ROW(A1955)-1)/COLUMNS('Portfolio Weights Std'!$B$9:$BJ$69))+1,MOD(ROW(A1955)-1,COLUMNS('Portfolio Weights Std'!$B$9:$BJ$69))+1)</f>
        <v>2.33486999948854E-2</v>
      </c>
    </row>
    <row r="1957" spans="1:2" x14ac:dyDescent="0.25">
      <c r="A1957" cm="1">
        <f t="array" ref="A1957">INDEX('Portfolio Weights Returns'!$B$9:$BJ$69,
INT((ROW(A1956)-1)/COLUMNS('Portfolio Weights Returns'!$B$9:$BJ$69))+1,MOD(ROW(A1956)-1,COLUMNS('Portfolio Weights Returns'!$B$9:$BJ$69))+1)</f>
        <v>-9.6425713166678787E-4</v>
      </c>
      <c r="B1957" cm="1">
        <f t="array" ref="B1957">INDEX('Portfolio Weights Std'!$B$9:$BJ$69,INT((ROW(A1956)-1)/COLUMNS('Portfolio Weights Std'!$B$9:$BJ$69))+1,MOD(ROW(A1956)-1,COLUMNS('Portfolio Weights Std'!$B$9:$BJ$69))+1)</f>
        <v>2.3178163653960606E-2</v>
      </c>
    </row>
    <row r="1958" spans="1:2" x14ac:dyDescent="0.25">
      <c r="A1958" cm="1">
        <f t="array" ref="A1958">INDEX('Portfolio Weights Returns'!$B$9:$BJ$69,
INT((ROW(A1957)-1)/COLUMNS('Portfolio Weights Returns'!$B$9:$BJ$69))+1,MOD(ROW(A1957)-1,COLUMNS('Portfolio Weights Returns'!$B$9:$BJ$69))+1)</f>
        <v>-9.5747595770010873E-4</v>
      </c>
      <c r="B1958" cm="1">
        <f t="array" ref="B1958">INDEX('Portfolio Weights Std'!$B$9:$BJ$69,INT((ROW(A1957)-1)/COLUMNS('Portfolio Weights Std'!$B$9:$BJ$69))+1,MOD(ROW(A1957)-1,COLUMNS('Portfolio Weights Std'!$B$9:$BJ$69))+1)</f>
        <v>2.3008375760690401E-2</v>
      </c>
    </row>
    <row r="1959" spans="1:2" x14ac:dyDescent="0.25">
      <c r="A1959" cm="1">
        <f t="array" ref="A1959">INDEX('Portfolio Weights Returns'!$B$9:$BJ$69,
INT((ROW(A1958)-1)/COLUMNS('Portfolio Weights Returns'!$B$9:$BJ$69))+1,MOD(ROW(A1958)-1,COLUMNS('Portfolio Weights Returns'!$B$9:$BJ$69))+1)</f>
        <v>-9.5069478373342969E-4</v>
      </c>
      <c r="B1959" cm="1">
        <f t="array" ref="B1959">INDEX('Portfolio Weights Std'!$B$9:$BJ$69,INT((ROW(A1958)-1)/COLUMNS('Portfolio Weights Std'!$B$9:$BJ$69))+1,MOD(ROW(A1958)-1,COLUMNS('Portfolio Weights Std'!$B$9:$BJ$69))+1)</f>
        <v>2.2839353006974528E-2</v>
      </c>
    </row>
    <row r="1960" spans="1:2" x14ac:dyDescent="0.25">
      <c r="A1960" cm="1">
        <f t="array" ref="A1960">INDEX('Portfolio Weights Returns'!$B$9:$BJ$69,
INT((ROW(A1959)-1)/COLUMNS('Portfolio Weights Returns'!$B$9:$BJ$69))+1,MOD(ROW(A1959)-1,COLUMNS('Portfolio Weights Returns'!$B$9:$BJ$69))+1)</f>
        <v>-9.4391360976675055E-4</v>
      </c>
      <c r="B1960" cm="1">
        <f t="array" ref="B1960">INDEX('Portfolio Weights Std'!$B$9:$BJ$69,INT((ROW(A1959)-1)/COLUMNS('Portfolio Weights Std'!$B$9:$BJ$69))+1,MOD(ROW(A1959)-1,COLUMNS('Portfolio Weights Std'!$B$9:$BJ$69))+1)</f>
        <v>2.2671112506138586E-2</v>
      </c>
    </row>
    <row r="1961" spans="1:2" x14ac:dyDescent="0.25">
      <c r="A1961" cm="1">
        <f t="array" ref="A1961">INDEX('Portfolio Weights Returns'!$B$9:$BJ$69,
INT((ROW(A1960)-1)/COLUMNS('Portfolio Weights Returns'!$B$9:$BJ$69))+1,MOD(ROW(A1960)-1,COLUMNS('Portfolio Weights Returns'!$B$9:$BJ$69))+1)</f>
        <v>-9.3713243580007129E-4</v>
      </c>
      <c r="B1961" cm="1">
        <f t="array" ref="B1961">INDEX('Portfolio Weights Std'!$B$9:$BJ$69,INT((ROW(A1960)-1)/COLUMNS('Portfolio Weights Std'!$B$9:$BJ$69))+1,MOD(ROW(A1960)-1,COLUMNS('Portfolio Weights Std'!$B$9:$BJ$69))+1)</f>
        <v>2.2503671802875106E-2</v>
      </c>
    </row>
    <row r="1962" spans="1:2" x14ac:dyDescent="0.25">
      <c r="A1962" cm="1">
        <f t="array" ref="A1962">INDEX('Portfolio Weights Returns'!$B$9:$BJ$69,
INT((ROW(A1961)-1)/COLUMNS('Portfolio Weights Returns'!$B$9:$BJ$69))+1,MOD(ROW(A1961)-1,COLUMNS('Portfolio Weights Returns'!$B$9:$BJ$69))+1)</f>
        <v>-9.3035126183339226E-4</v>
      </c>
      <c r="B1962" cm="1">
        <f t="array" ref="B1962">INDEX('Portfolio Weights Std'!$B$9:$BJ$69,INT((ROW(A1961)-1)/COLUMNS('Portfolio Weights Std'!$B$9:$BJ$69))+1,MOD(ROW(A1961)-1,COLUMNS('Portfolio Weights Std'!$B$9:$BJ$69))+1)</f>
        <v>2.2337048883273838E-2</v>
      </c>
    </row>
    <row r="1963" spans="1:2" x14ac:dyDescent="0.25">
      <c r="A1963" cm="1">
        <f t="array" ref="A1963">INDEX('Portfolio Weights Returns'!$B$9:$BJ$69,
INT((ROW(A1962)-1)/COLUMNS('Portfolio Weights Returns'!$B$9:$BJ$69))+1,MOD(ROW(A1962)-1,COLUMNS('Portfolio Weights Returns'!$B$9:$BJ$69))+1)</f>
        <v>-9.2357008786671311E-4</v>
      </c>
      <c r="B1963" cm="1">
        <f t="array" ref="B1963">INDEX('Portfolio Weights Std'!$B$9:$BJ$69,INT((ROW(A1962)-1)/COLUMNS('Portfolio Weights Std'!$B$9:$BJ$69))+1,MOD(ROW(A1962)-1,COLUMNS('Portfolio Weights Std'!$B$9:$BJ$69))+1)</f>
        <v>2.2171262184926224E-2</v>
      </c>
    </row>
    <row r="1964" spans="1:2" x14ac:dyDescent="0.25">
      <c r="A1964" cm="1">
        <f t="array" ref="A1964">INDEX('Portfolio Weights Returns'!$B$9:$BJ$69,
INT((ROW(A1963)-1)/COLUMNS('Portfolio Weights Returns'!$B$9:$BJ$69))+1,MOD(ROW(A1963)-1,COLUMNS('Portfolio Weights Returns'!$B$9:$BJ$69))+1)</f>
        <v>-9.1678891390003408E-4</v>
      </c>
      <c r="B1964" cm="1">
        <f t="array" ref="B1964">INDEX('Portfolio Weights Std'!$B$9:$BJ$69,INT((ROW(A1963)-1)/COLUMNS('Portfolio Weights Std'!$B$9:$BJ$69))+1,MOD(ROW(A1963)-1,COLUMNS('Portfolio Weights Std'!$B$9:$BJ$69))+1)</f>
        <v>2.2006330607087593E-2</v>
      </c>
    </row>
    <row r="1965" spans="1:2" x14ac:dyDescent="0.25">
      <c r="A1965" cm="1">
        <f t="array" ref="A1965">INDEX('Portfolio Weights Returns'!$B$9:$BJ$69,
INT((ROW(A1964)-1)/COLUMNS('Portfolio Weights Returns'!$B$9:$BJ$69))+1,MOD(ROW(A1964)-1,COLUMNS('Portfolio Weights Returns'!$B$9:$BJ$69))+1)</f>
        <v>-9.1000773993335493E-4</v>
      </c>
      <c r="B1965" cm="1">
        <f t="array" ref="B1965">INDEX('Portfolio Weights Std'!$B$9:$BJ$69,INT((ROW(A1964)-1)/COLUMNS('Portfolio Weights Std'!$B$9:$BJ$69))+1,MOD(ROW(A1964)-1,COLUMNS('Portfolio Weights Std'!$B$9:$BJ$69))+1)</f>
        <v>2.1842273520878423E-2</v>
      </c>
    </row>
    <row r="1966" spans="1:2" x14ac:dyDescent="0.25">
      <c r="A1966" cm="1">
        <f t="array" ref="A1966">INDEX('Portfolio Weights Returns'!$B$9:$BJ$69,
INT((ROW(A1965)-1)/COLUMNS('Portfolio Weights Returns'!$B$9:$BJ$69))+1,MOD(ROW(A1965)-1,COLUMNS('Portfolio Weights Returns'!$B$9:$BJ$69))+1)</f>
        <v>-9.032265659666759E-4</v>
      </c>
      <c r="B1966" cm="1">
        <f t="array" ref="B1966">INDEX('Portfolio Weights Std'!$B$9:$BJ$69,INT((ROW(A1965)-1)/COLUMNS('Portfolio Weights Std'!$B$9:$BJ$69))+1,MOD(ROW(A1965)-1,COLUMNS('Portfolio Weights Std'!$B$9:$BJ$69))+1)</f>
        <v>2.1679110779504292E-2</v>
      </c>
    </row>
    <row r="1967" spans="1:2" x14ac:dyDescent="0.25">
      <c r="A1967" cm="1">
        <f t="array" ref="A1967">INDEX('Portfolio Weights Returns'!$B$9:$BJ$69,
INT((ROW(A1966)-1)/COLUMNS('Portfolio Weights Returns'!$B$9:$BJ$69))+1,MOD(ROW(A1966)-1,COLUMNS('Portfolio Weights Returns'!$B$9:$BJ$69))+1)</f>
        <v>-8.9644539199999675E-4</v>
      </c>
      <c r="B1967" cm="1">
        <f t="array" ref="B1967">INDEX('Portfolio Weights Std'!$B$9:$BJ$69,INT((ROW(A1966)-1)/COLUMNS('Portfolio Weights Std'!$B$9:$BJ$69))+1,MOD(ROW(A1966)-1,COLUMNS('Portfolio Weights Std'!$B$9:$BJ$69))+1)</f>
        <v>2.151686272847177E-2</v>
      </c>
    </row>
    <row r="1968" spans="1:2" x14ac:dyDescent="0.25">
      <c r="A1968" cm="1">
        <f t="array" ref="A1968">INDEX('Portfolio Weights Returns'!$B$9:$BJ$69,
INT((ROW(A1967)-1)/COLUMNS('Portfolio Weights Returns'!$B$9:$BJ$69))+1,MOD(ROW(A1967)-1,COLUMNS('Portfolio Weights Returns'!$B$9:$BJ$69))+1)</f>
        <v>-8.8966421803331761E-4</v>
      </c>
      <c r="B1968" cm="1">
        <f t="array" ref="B1968">INDEX('Portfolio Weights Std'!$B$9:$BJ$69,INT((ROW(A1967)-1)/COLUMNS('Portfolio Weights Std'!$B$9:$BJ$69))+1,MOD(ROW(A1967)-1,COLUMNS('Portfolio Weights Std'!$B$9:$BJ$69))+1)</f>
        <v>2.1355550215775336E-2</v>
      </c>
    </row>
    <row r="1969" spans="1:2" x14ac:dyDescent="0.25">
      <c r="A1969" cm="1">
        <f t="array" ref="A1969">INDEX('Portfolio Weights Returns'!$B$9:$BJ$69,
INT((ROW(A1968)-1)/COLUMNS('Portfolio Weights Returns'!$B$9:$BJ$69))+1,MOD(ROW(A1968)-1,COLUMNS('Portfolio Weights Returns'!$B$9:$BJ$69))+1)</f>
        <v>-8.8288304406663846E-4</v>
      </c>
      <c r="B1969" cm="1">
        <f t="array" ref="B1969">INDEX('Portfolio Weights Std'!$B$9:$BJ$69,INT((ROW(A1968)-1)/COLUMNS('Portfolio Weights Std'!$B$9:$BJ$69))+1,MOD(ROW(A1968)-1,COLUMNS('Portfolio Weights Std'!$B$9:$BJ$69))+1)</f>
        <v>2.119519460202789E-2</v>
      </c>
    </row>
    <row r="1970" spans="1:2" x14ac:dyDescent="0.25">
      <c r="A1970" cm="1">
        <f t="array" ref="A1970">INDEX('Portfolio Weights Returns'!$B$9:$BJ$69,
INT((ROW(A1969)-1)/COLUMNS('Portfolio Weights Returns'!$B$9:$BJ$69))+1,MOD(ROW(A1969)-1,COLUMNS('Portfolio Weights Returns'!$B$9:$BJ$69))+1)</f>
        <v>-8.7610187009995954E-4</v>
      </c>
      <c r="B1970" cm="1">
        <f t="array" ref="B1970">INDEX('Portfolio Weights Std'!$B$9:$BJ$69,INT((ROW(A1969)-1)/COLUMNS('Portfolio Weights Std'!$B$9:$BJ$69))+1,MOD(ROW(A1969)-1,COLUMNS('Portfolio Weights Std'!$B$9:$BJ$69))+1)</f>
        <v>2.103581777050487E-2</v>
      </c>
    </row>
    <row r="1971" spans="1:2" x14ac:dyDescent="0.25">
      <c r="A1971" cm="1">
        <f t="array" ref="A1971">INDEX('Portfolio Weights Returns'!$B$9:$BJ$69,
INT((ROW(A1970)-1)/COLUMNS('Portfolio Weights Returns'!$B$9:$BJ$69))+1,MOD(ROW(A1970)-1,COLUMNS('Portfolio Weights Returns'!$B$9:$BJ$69))+1)</f>
        <v>-8.6932069613328028E-4</v>
      </c>
      <c r="B1971" cm="1">
        <f t="array" ref="B1971">INDEX('Portfolio Weights Std'!$B$9:$BJ$69,INT((ROW(A1970)-1)/COLUMNS('Portfolio Weights Std'!$B$9:$BJ$69))+1,MOD(ROW(A1970)-1,COLUMNS('Portfolio Weights Std'!$B$9:$BJ$69))+1)</f>
        <v>2.0877442137069151E-2</v>
      </c>
    </row>
    <row r="1972" spans="1:2" x14ac:dyDescent="0.25">
      <c r="A1972" cm="1">
        <f t="array" ref="A1972">INDEX('Portfolio Weights Returns'!$B$9:$BJ$69,
INT((ROW(A1971)-1)/COLUMNS('Portfolio Weights Returns'!$B$9:$BJ$69))+1,MOD(ROW(A1971)-1,COLUMNS('Portfolio Weights Returns'!$B$9:$BJ$69))+1)</f>
        <v>-8.6253952216660125E-4</v>
      </c>
      <c r="B1972" cm="1">
        <f t="array" ref="B1972">INDEX('Portfolio Weights Std'!$B$9:$BJ$69,INT((ROW(A1971)-1)/COLUMNS('Portfolio Weights Std'!$B$9:$BJ$69))+1,MOD(ROW(A1971)-1,COLUMNS('Portfolio Weights Std'!$B$9:$BJ$69))+1)</f>
        <v>2.0720090659941105E-2</v>
      </c>
    </row>
    <row r="1973" spans="1:2" x14ac:dyDescent="0.25">
      <c r="A1973" cm="1">
        <f t="array" ref="A1973">INDEX('Portfolio Weights Returns'!$B$9:$BJ$69,
INT((ROW(A1972)-1)/COLUMNS('Portfolio Weights Returns'!$B$9:$BJ$69))+1,MOD(ROW(A1972)-1,COLUMNS('Portfolio Weights Returns'!$B$9:$BJ$69))+1)</f>
        <v>-8.5575834819992221E-4</v>
      </c>
      <c r="B1973" cm="1">
        <f t="array" ref="B1973">INDEX('Portfolio Weights Std'!$B$9:$BJ$69,INT((ROW(A1972)-1)/COLUMNS('Portfolio Weights Std'!$B$9:$BJ$69))+1,MOD(ROW(A1972)-1,COLUMNS('Portfolio Weights Std'!$B$9:$BJ$69))+1)</f>
        <v>2.0563786849274932E-2</v>
      </c>
    </row>
    <row r="1974" spans="1:2" x14ac:dyDescent="0.25">
      <c r="A1974" cm="1">
        <f t="array" ref="A1974">INDEX('Portfolio Weights Returns'!$B$9:$BJ$69,
INT((ROW(A1973)-1)/COLUMNS('Portfolio Weights Returns'!$B$9:$BJ$69))+1,MOD(ROW(A1973)-1,COLUMNS('Portfolio Weights Returns'!$B$9:$BJ$69))+1)</f>
        <v>-8.4897717423324307E-4</v>
      </c>
      <c r="B1974" cm="1">
        <f t="array" ref="B1974">INDEX('Portfolio Weights Std'!$B$9:$BJ$69,INT((ROW(A1973)-1)/COLUMNS('Portfolio Weights Std'!$B$9:$BJ$69))+1,MOD(ROW(A1973)-1,COLUMNS('Portfolio Weights Std'!$B$9:$BJ$69))+1)</f>
        <v>2.0408554776499305E-2</v>
      </c>
    </row>
    <row r="1975" spans="1:2" x14ac:dyDescent="0.25">
      <c r="A1975" cm="1">
        <f t="array" ref="A1975">INDEX('Portfolio Weights Returns'!$B$9:$BJ$69,
INT((ROW(A1974)-1)/COLUMNS('Portfolio Weights Returns'!$B$9:$BJ$69))+1,MOD(ROW(A1974)-1,COLUMNS('Portfolio Weights Returns'!$B$9:$BJ$69))+1)</f>
        <v>-8.4219600026656403E-4</v>
      </c>
      <c r="B1975" cm="1">
        <f t="array" ref="B1975">INDEX('Portfolio Weights Std'!$B$9:$BJ$69,INT((ROW(A1974)-1)/COLUMNS('Portfolio Weights Std'!$B$9:$BJ$69))+1,MOD(ROW(A1974)-1,COLUMNS('Portfolio Weights Std'!$B$9:$BJ$69))+1)</f>
        <v>2.0254419083376801E-2</v>
      </c>
    </row>
    <row r="1976" spans="1:2" x14ac:dyDescent="0.25">
      <c r="A1976" cm="1">
        <f t="array" ref="A1976">INDEX('Portfolio Weights Returns'!$B$9:$BJ$69,
INT((ROW(A1975)-1)/COLUMNS('Portfolio Weights Returns'!$B$9:$BJ$69))+1,MOD(ROW(A1975)-1,COLUMNS('Portfolio Weights Returns'!$B$9:$BJ$69))+1)</f>
        <v>-8.3541482629988489E-4</v>
      </c>
      <c r="B1976" cm="1">
        <f t="array" ref="B1976">INDEX('Portfolio Weights Std'!$B$9:$BJ$69,INT((ROW(A1975)-1)/COLUMNS('Portfolio Weights Std'!$B$9:$BJ$69))+1,MOD(ROW(A1975)-1,COLUMNS('Portfolio Weights Std'!$B$9:$BJ$69))+1)</f>
        <v>2.0101404990733117E-2</v>
      </c>
    </row>
    <row r="1977" spans="1:2" x14ac:dyDescent="0.25">
      <c r="A1977" cm="1">
        <f t="array" ref="A1977">INDEX('Portfolio Weights Returns'!$B$9:$BJ$69,
INT((ROW(A1976)-1)/COLUMNS('Portfolio Weights Returns'!$B$9:$BJ$69))+1,MOD(ROW(A1976)-1,COLUMNS('Portfolio Weights Returns'!$B$9:$BJ$69))+1)</f>
        <v>-8.2863365233320585E-4</v>
      </c>
      <c r="B1977" cm="1">
        <f t="array" ref="B1977">INDEX('Portfolio Weights Std'!$B$9:$BJ$69,INT((ROW(A1976)-1)/COLUMNS('Portfolio Weights Std'!$B$9:$BJ$69))+1,MOD(ROW(A1976)-1,COLUMNS('Portfolio Weights Std'!$B$9:$BJ$69))+1)</f>
        <v>1.9949538306803193E-2</v>
      </c>
    </row>
    <row r="1978" spans="1:2" x14ac:dyDescent="0.25">
      <c r="A1978" cm="1">
        <f t="array" ref="A1978">INDEX('Portfolio Weights Returns'!$B$9:$BJ$69,
INT((ROW(A1977)-1)/COLUMNS('Portfolio Weights Returns'!$B$9:$BJ$69))+1,MOD(ROW(A1977)-1,COLUMNS('Portfolio Weights Returns'!$B$9:$BJ$69))+1)</f>
        <v>-8.2185247836652671E-4</v>
      </c>
      <c r="B1978" cm="1">
        <f t="array" ref="B1978">INDEX('Portfolio Weights Std'!$B$9:$BJ$69,INT((ROW(A1977)-1)/COLUMNS('Portfolio Weights Std'!$B$9:$BJ$69))+1,MOD(ROW(A1977)-1,COLUMNS('Portfolio Weights Std'!$B$9:$BJ$69))+1)</f>
        <v>1.9798845435137668E-2</v>
      </c>
    </row>
    <row r="1979" spans="1:2" x14ac:dyDescent="0.25">
      <c r="A1979" cm="1">
        <f t="array" ref="A1979">INDEX('Portfolio Weights Returns'!$B$9:$BJ$69,
INT((ROW(A1978)-1)/COLUMNS('Portfolio Weights Returns'!$B$9:$BJ$69))+1,MOD(ROW(A1978)-1,COLUMNS('Portfolio Weights Returns'!$B$9:$BJ$69))+1)</f>
        <v>-8.1507130439984756E-4</v>
      </c>
      <c r="B1979" cm="1">
        <f t="array" ref="B1979">INDEX('Portfolio Weights Std'!$B$9:$BJ$69,INT((ROW(A1978)-1)/COLUMNS('Portfolio Weights Std'!$B$9:$BJ$69))+1,MOD(ROW(A1978)-1,COLUMNS('Portfolio Weights Std'!$B$9:$BJ$69))+1)</f>
        <v>1.9649353382008811E-2</v>
      </c>
    </row>
    <row r="1980" spans="1:2" x14ac:dyDescent="0.25">
      <c r="A1980" cm="1">
        <f t="array" ref="A1980">INDEX('Portfolio Weights Returns'!$B$9:$BJ$69,
INT((ROW(A1979)-1)/COLUMNS('Portfolio Weights Returns'!$B$9:$BJ$69))+1,MOD(ROW(A1979)-1,COLUMNS('Portfolio Weights Returns'!$B$9:$BJ$69))+1)</f>
        <v>-8.0829013043316842E-4</v>
      </c>
      <c r="B1980" cm="1">
        <f t="array" ref="B1980">INDEX('Portfolio Weights Std'!$B$9:$BJ$69,INT((ROW(A1979)-1)/COLUMNS('Portfolio Weights Std'!$B$9:$BJ$69))+1,MOD(ROW(A1979)-1,COLUMNS('Portfolio Weights Std'!$B$9:$BJ$69))+1)</f>
        <v>1.9501089763251097E-2</v>
      </c>
    </row>
    <row r="1981" spans="1:2" x14ac:dyDescent="0.25">
      <c r="A1981" cm="1">
        <f t="array" ref="A1981">INDEX('Portfolio Weights Returns'!$B$9:$BJ$69,
INT((ROW(A1980)-1)/COLUMNS('Portfolio Weights Returns'!$B$9:$BJ$69))+1,MOD(ROW(A1980)-1,COLUMNS('Portfolio Weights Returns'!$B$9:$BJ$69))+1)</f>
        <v>-8.0150895646648927E-4</v>
      </c>
      <c r="B1981" cm="1">
        <f t="array" ref="B1981">INDEX('Portfolio Weights Std'!$B$9:$BJ$69,INT((ROW(A1980)-1)/COLUMNS('Portfolio Weights Std'!$B$9:$BJ$69))+1,MOD(ROW(A1980)-1,COLUMNS('Portfolio Weights Std'!$B$9:$BJ$69))+1)</f>
        <v>1.9354082810467101E-2</v>
      </c>
    </row>
    <row r="1982" spans="1:2" x14ac:dyDescent="0.25">
      <c r="A1982" cm="1">
        <f t="array" ref="A1982">INDEX('Portfolio Weights Returns'!$B$9:$BJ$69,
INT((ROW(A1981)-1)/COLUMNS('Portfolio Weights Returns'!$B$9:$BJ$69))+1,MOD(ROW(A1981)-1,COLUMNS('Portfolio Weights Returns'!$B$9:$BJ$69))+1)</f>
        <v>-7.9472778249981024E-4</v>
      </c>
      <c r="B1982" cm="1">
        <f t="array" ref="B1982">INDEX('Portfolio Weights Std'!$B$9:$BJ$69,INT((ROW(A1981)-1)/COLUMNS('Portfolio Weights Std'!$B$9:$BJ$69))+1,MOD(ROW(A1981)-1,COLUMNS('Portfolio Weights Std'!$B$9:$BJ$69))+1)</f>
        <v>1.9208361376525214E-2</v>
      </c>
    </row>
    <row r="1983" spans="1:2" x14ac:dyDescent="0.25">
      <c r="A1983" cm="1">
        <f t="array" ref="A1983">INDEX('Portfolio Weights Returns'!$B$9:$BJ$69,
INT((ROW(A1982)-1)/COLUMNS('Portfolio Weights Returns'!$B$9:$BJ$69))+1,MOD(ROW(A1982)-1,COLUMNS('Portfolio Weights Returns'!$B$9:$BJ$69))+1)</f>
        <v>-7.8794660853313109E-4</v>
      </c>
      <c r="B1983" cm="1">
        <f t="array" ref="B1983">INDEX('Portfolio Weights Std'!$B$9:$BJ$69,INT((ROW(A1982)-1)/COLUMNS('Portfolio Weights Std'!$B$9:$BJ$69))+1,MOD(ROW(A1982)-1,COLUMNS('Portfolio Weights Std'!$B$9:$BJ$69))+1)</f>
        <v>1.906395494027089E-2</v>
      </c>
    </row>
    <row r="1984" spans="1:2" x14ac:dyDescent="0.25">
      <c r="A1984" cm="1">
        <f t="array" ref="A1984">INDEX('Portfolio Weights Returns'!$B$9:$BJ$69,
INT((ROW(A1983)-1)/COLUMNS('Portfolio Weights Returns'!$B$9:$BJ$69))+1,MOD(ROW(A1983)-1,COLUMNS('Portfolio Weights Returns'!$B$9:$BJ$69))+1)</f>
        <v>-7.8116543456645206E-4</v>
      </c>
      <c r="B1984" cm="1">
        <f t="array" ref="B1984">INDEX('Portfolio Weights Std'!$B$9:$BJ$69,INT((ROW(A1983)-1)/COLUMNS('Portfolio Weights Std'!$B$9:$BJ$69))+1,MOD(ROW(A1983)-1,COLUMNS('Portfolio Weights Std'!$B$9:$BJ$69))+1)</f>
        <v>1.8920893610368885E-2</v>
      </c>
    </row>
    <row r="1985" spans="1:2" x14ac:dyDescent="0.25">
      <c r="A1985" cm="1">
        <f t="array" ref="A1985">INDEX('Portfolio Weights Returns'!$B$9:$BJ$69,
INT((ROW(A1984)-1)/COLUMNS('Portfolio Weights Returns'!$B$9:$BJ$69))+1,MOD(ROW(A1984)-1,COLUMNS('Portfolio Weights Returns'!$B$9:$BJ$69))+1)</f>
        <v>-7.7438426059977291E-4</v>
      </c>
      <c r="B1985" cm="1">
        <f t="array" ref="B1985">INDEX('Portfolio Weights Std'!$B$9:$BJ$69,INT((ROW(A1984)-1)/COLUMNS('Portfolio Weights Std'!$B$9:$BJ$69))+1,MOD(ROW(A1984)-1,COLUMNS('Portfolio Weights Std'!$B$9:$BJ$69))+1)</f>
        <v>1.8779208128189093E-2</v>
      </c>
    </row>
    <row r="1986" spans="1:2" x14ac:dyDescent="0.25">
      <c r="A1986" cm="1">
        <f t="array" ref="A1986">INDEX('Portfolio Weights Returns'!$B$9:$BJ$69,
INT((ROW(A1985)-1)/COLUMNS('Portfolio Weights Returns'!$B$9:$BJ$69))+1,MOD(ROW(A1985)-1,COLUMNS('Portfolio Weights Returns'!$B$9:$BJ$69))+1)</f>
        <v>-7.6760308663309377E-4</v>
      </c>
      <c r="B1986" cm="1">
        <f t="array" ref="B1986">INDEX('Portfolio Weights Std'!$B$9:$BJ$69,INT((ROW(A1985)-1)/COLUMNS('Portfolio Weights Std'!$B$9:$BJ$69))+1,MOD(ROW(A1985)-1,COLUMNS('Portfolio Weights Std'!$B$9:$BJ$69))+1)</f>
        <v>1.8638929869644192E-2</v>
      </c>
    </row>
    <row r="1987" spans="1:2" x14ac:dyDescent="0.25">
      <c r="A1987" cm="1">
        <f t="array" ref="A1987">INDEX('Portfolio Weights Returns'!$B$9:$BJ$69,
INT((ROW(A1986)-1)/COLUMNS('Portfolio Weights Returns'!$B$9:$BJ$69))+1,MOD(ROW(A1986)-1,COLUMNS('Portfolio Weights Returns'!$B$9:$BJ$69))+1)</f>
        <v>-7.6082191266641462E-4</v>
      </c>
      <c r="B1987" cm="1">
        <f t="array" ref="B1987">INDEX('Portfolio Weights Std'!$B$9:$BJ$69,INT((ROW(A1986)-1)/COLUMNS('Portfolio Weights Std'!$B$9:$BJ$69))+1,MOD(ROW(A1986)-1,COLUMNS('Portfolio Weights Std'!$B$9:$BJ$69))+1)</f>
        <v>1.8500090845882663E-2</v>
      </c>
    </row>
    <row r="1988" spans="1:2" x14ac:dyDescent="0.25">
      <c r="A1988" cm="1">
        <f t="array" ref="A1988">INDEX('Portfolio Weights Returns'!$B$9:$BJ$69,
INT((ROW(A1987)-1)/COLUMNS('Portfolio Weights Returns'!$B$9:$BJ$69))+1,MOD(ROW(A1987)-1,COLUMNS('Portfolio Weights Returns'!$B$9:$BJ$69))+1)</f>
        <v>-7.5404073869973559E-4</v>
      </c>
      <c r="B1988" cm="1">
        <f t="array" ref="B1988">INDEX('Portfolio Weights Std'!$B$9:$BJ$69,INT((ROW(A1987)-1)/COLUMNS('Portfolio Weights Std'!$B$9:$BJ$69))+1,MOD(ROW(A1987)-1,COLUMNS('Portfolio Weights Std'!$B$9:$BJ$69))+1)</f>
        <v>1.8362723702736325E-2</v>
      </c>
    </row>
    <row r="1989" spans="1:2" x14ac:dyDescent="0.25">
      <c r="A1989" cm="1">
        <f t="array" ref="A1989">INDEX('Portfolio Weights Returns'!$B$9:$BJ$69,
INT((ROW(A1988)-1)/COLUMNS('Portfolio Weights Returns'!$B$9:$BJ$69))+1,MOD(ROW(A1988)-1,COLUMNS('Portfolio Weights Returns'!$B$9:$BJ$69))+1)</f>
        <v>-7.4725956473305644E-4</v>
      </c>
      <c r="B1989" cm="1">
        <f t="array" ref="B1989">INDEX('Portfolio Weights Std'!$B$9:$BJ$69,INT((ROW(A1988)-1)/COLUMNS('Portfolio Weights Std'!$B$9:$BJ$69))+1,MOD(ROW(A1988)-1,COLUMNS('Portfolio Weights Std'!$B$9:$BJ$69))+1)</f>
        <v>1.8226861718817183E-2</v>
      </c>
    </row>
    <row r="1990" spans="1:2" x14ac:dyDescent="0.25">
      <c r="A1990" cm="1">
        <f t="array" ref="A1990">INDEX('Portfolio Weights Returns'!$B$9:$BJ$69,
INT((ROW(A1989)-1)/COLUMNS('Portfolio Weights Returns'!$B$9:$BJ$69))+1,MOD(ROW(A1989)-1,COLUMNS('Portfolio Weights Returns'!$B$9:$BJ$69))+1)</f>
        <v>-7.404783907663773E-4</v>
      </c>
      <c r="B1990" cm="1">
        <f t="array" ref="B1990">INDEX('Portfolio Weights Std'!$B$9:$BJ$69,INT((ROW(A1989)-1)/COLUMNS('Portfolio Weights Std'!$B$9:$BJ$69))+1,MOD(ROW(A1989)-1,COLUMNS('Portfolio Weights Std'!$B$9:$BJ$69))+1)</f>
        <v>1.8092538802154279E-2</v>
      </c>
    </row>
    <row r="1991" spans="1:2" x14ac:dyDescent="0.25">
      <c r="A1991" cm="1">
        <f t="array" ref="A1991">INDEX('Portfolio Weights Returns'!$B$9:$BJ$69,
INT((ROW(A1990)-1)/COLUMNS('Portfolio Weights Returns'!$B$9:$BJ$69))+1,MOD(ROW(A1990)-1,COLUMNS('Portfolio Weights Returns'!$B$9:$BJ$69))+1)</f>
        <v>-7.3369721679969826E-4</v>
      </c>
      <c r="B1991" cm="1">
        <f t="array" ref="B1991">INDEX('Portfolio Weights Std'!$B$9:$BJ$69,INT((ROW(A1990)-1)/COLUMNS('Portfolio Weights Std'!$B$9:$BJ$69))+1,MOD(ROW(A1990)-1,COLUMNS('Portfolio Weights Std'!$B$9:$BJ$69))+1)</f>
        <v>1.7959789485257307E-2</v>
      </c>
    </row>
    <row r="1992" spans="1:2" x14ac:dyDescent="0.25">
      <c r="A1992" cm="1">
        <f t="array" ref="A1992">INDEX('Portfolio Weights Returns'!$B$9:$BJ$69,
INT((ROW(A1991)-1)/COLUMNS('Portfolio Weights Returns'!$B$9:$BJ$69))+1,MOD(ROW(A1991)-1,COLUMNS('Portfolio Weights Returns'!$B$9:$BJ$69))+1)</f>
        <v>-7.2691604283301912E-4</v>
      </c>
      <c r="B1992" cm="1">
        <f t="array" ref="B1992">INDEX('Portfolio Weights Std'!$B$9:$BJ$69,INT((ROW(A1991)-1)/COLUMNS('Portfolio Weights Std'!$B$9:$BJ$69))+1,MOD(ROW(A1991)-1,COLUMNS('Portfolio Weights Std'!$B$9:$BJ$69))+1)</f>
        <v>1.7828648918490311E-2</v>
      </c>
    </row>
    <row r="1993" spans="1:2" x14ac:dyDescent="0.25">
      <c r="A1993" cm="1">
        <f t="array" ref="A1993">INDEX('Portfolio Weights Returns'!$B$9:$BJ$69,
INT((ROW(A1992)-1)/COLUMNS('Portfolio Weights Returns'!$B$9:$BJ$69))+1,MOD(ROW(A1992)-1,COLUMNS('Portfolio Weights Returns'!$B$9:$BJ$69))+1)</f>
        <v>-7.2013486886634008E-4</v>
      </c>
      <c r="B1993" cm="1">
        <f t="array" ref="B1993">INDEX('Portfolio Weights Std'!$B$9:$BJ$69,INT((ROW(A1992)-1)/COLUMNS('Portfolio Weights Std'!$B$9:$BJ$69))+1,MOD(ROW(A1992)-1,COLUMNS('Portfolio Weights Std'!$B$9:$BJ$69))+1)</f>
        <v>1.7699152861635453E-2</v>
      </c>
    </row>
    <row r="1994" spans="1:2" x14ac:dyDescent="0.25">
      <c r="A1994" cm="1">
        <f t="array" ref="A1994">INDEX('Portfolio Weights Returns'!$B$9:$BJ$69,
INT((ROW(A1993)-1)/COLUMNS('Portfolio Weights Returns'!$B$9:$BJ$69))+1,MOD(ROW(A1993)-1,COLUMNS('Portfolio Weights Returns'!$B$9:$BJ$69))+1)</f>
        <v>-7.1335369489966094E-4</v>
      </c>
      <c r="B1994" cm="1">
        <f t="array" ref="B1994">INDEX('Portfolio Weights Std'!$B$9:$BJ$69,INT((ROW(A1993)-1)/COLUMNS('Portfolio Weights Std'!$B$9:$BJ$69))+1,MOD(ROW(A1993)-1,COLUMNS('Portfolio Weights Std'!$B$9:$BJ$69))+1)</f>
        <v>1.7571337673524375E-2</v>
      </c>
    </row>
    <row r="1995" spans="1:2" x14ac:dyDescent="0.25">
      <c r="A1995" cm="1">
        <f t="array" ref="A1995">INDEX('Portfolio Weights Returns'!$B$9:$BJ$69,
INT((ROW(A1994)-1)/COLUMNS('Portfolio Weights Returns'!$B$9:$BJ$69))+1,MOD(ROW(A1994)-1,COLUMNS('Portfolio Weights Returns'!$B$9:$BJ$69))+1)</f>
        <v>-7.065725209329819E-4</v>
      </c>
      <c r="B1995" cm="1">
        <f t="array" ref="B1995">INDEX('Portfolio Weights Std'!$B$9:$BJ$69,INT((ROW(A1994)-1)/COLUMNS('Portfolio Weights Std'!$B$9:$BJ$69))+1,MOD(ROW(A1994)-1,COLUMNS('Portfolio Weights Std'!$B$9:$BJ$69))+1)</f>
        <v>1.7445240299612429E-2</v>
      </c>
    </row>
    <row r="1996" spans="1:2" x14ac:dyDescent="0.25">
      <c r="A1996" cm="1">
        <f t="array" ref="A1996">INDEX('Portfolio Weights Returns'!$B$9:$BJ$69,
INT((ROW(A1995)-1)/COLUMNS('Portfolio Weights Returns'!$B$9:$BJ$69))+1,MOD(ROW(A1995)-1,COLUMNS('Portfolio Weights Returns'!$B$9:$BJ$69))+1)</f>
        <v>-6.9979134696630276E-4</v>
      </c>
      <c r="B1996" cm="1">
        <f t="array" ref="B1996">INDEX('Portfolio Weights Std'!$B$9:$BJ$69,INT((ROW(A1995)-1)/COLUMNS('Portfolio Weights Std'!$B$9:$BJ$69))+1,MOD(ROW(A1995)-1,COLUMNS('Portfolio Weights Std'!$B$9:$BJ$69))+1)</f>
        <v>1.7320898257369675E-2</v>
      </c>
    </row>
    <row r="1997" spans="1:2" x14ac:dyDescent="0.25">
      <c r="A1997" cm="1">
        <f t="array" ref="A1997">INDEX('Portfolio Weights Returns'!$B$9:$BJ$69,
INT((ROW(A1996)-1)/COLUMNS('Portfolio Weights Returns'!$B$9:$BJ$69))+1,MOD(ROW(A1996)-1,COLUMNS('Portfolio Weights Returns'!$B$9:$BJ$69))+1)</f>
        <v>-6.9301017299962372E-4</v>
      </c>
      <c r="B1997" cm="1">
        <f t="array" ref="B1997">INDEX('Portfolio Weights Std'!$B$9:$BJ$69,INT((ROW(A1996)-1)/COLUMNS('Portfolio Weights Std'!$B$9:$BJ$69))+1,MOD(ROW(A1996)-1,COLUMNS('Portfolio Weights Std'!$B$9:$BJ$69))+1)</f>
        <v>1.7198349619361977E-2</v>
      </c>
    </row>
    <row r="1998" spans="1:2" x14ac:dyDescent="0.25">
      <c r="A1998" cm="1">
        <f t="array" ref="A1998">INDEX('Portfolio Weights Returns'!$B$9:$BJ$69,
INT((ROW(A1997)-1)/COLUMNS('Portfolio Weights Returns'!$B$9:$BJ$69))+1,MOD(ROW(A1997)-1,COLUMNS('Portfolio Weights Returns'!$B$9:$BJ$69))+1)</f>
        <v>-6.8622899903294447E-4</v>
      </c>
      <c r="B1998" cm="1">
        <f t="array" ref="B1998">INDEX('Portfolio Weights Std'!$B$9:$BJ$69,INT((ROW(A1997)-1)/COLUMNS('Portfolio Weights Std'!$B$9:$BJ$69))+1,MOD(ROW(A1997)-1,COLUMNS('Portfolio Weights Std'!$B$9:$BJ$69))+1)</f>
        <v>1.7077632993895569E-2</v>
      </c>
    </row>
    <row r="1999" spans="1:2" x14ac:dyDescent="0.25">
      <c r="A1999" cm="1">
        <f t="array" ref="A1999">INDEX('Portfolio Weights Returns'!$B$9:$BJ$69,
INT((ROW(A1998)-1)/COLUMNS('Portfolio Weights Returns'!$B$9:$BJ$69))+1,MOD(ROW(A1998)-1,COLUMNS('Portfolio Weights Returns'!$B$9:$BJ$69))+1)</f>
        <v>-6.7944782506626532E-4</v>
      </c>
      <c r="B1999" cm="1">
        <f t="array" ref="B1999">INDEX('Portfolio Weights Std'!$B$9:$BJ$69,INT((ROW(A1998)-1)/COLUMNS('Portfolio Weights Std'!$B$9:$BJ$69))+1,MOD(ROW(A1998)-1,COLUMNS('Portfolio Weights Std'!$B$9:$BJ$69))+1)</f>
        <v>1.6958787503099943E-2</v>
      </c>
    </row>
    <row r="2000" spans="1:2" x14ac:dyDescent="0.25">
      <c r="A2000" cm="1">
        <f t="array" ref="A2000">INDEX('Portfolio Weights Returns'!$B$9:$BJ$69,
INT((ROW(A1999)-1)/COLUMNS('Portfolio Weights Returns'!$B$9:$BJ$69))+1,MOD(ROW(A1999)-1,COLUMNS('Portfolio Weights Returns'!$B$9:$BJ$69))+1)</f>
        <v>-6.7266665109958629E-4</v>
      </c>
      <c r="B2000" cm="1">
        <f t="array" ref="B2000">INDEX('Portfolio Weights Std'!$B$9:$BJ$69,INT((ROW(A1999)-1)/COLUMNS('Portfolio Weights Std'!$B$9:$BJ$69))+1,MOD(ROW(A1999)-1,COLUMNS('Portfolio Weights Std'!$B$9:$BJ$69))+1)</f>
        <v>1.6841852758325997E-2</v>
      </c>
    </row>
    <row r="2001" spans="1:2" x14ac:dyDescent="0.25">
      <c r="A2001" cm="1">
        <f t="array" ref="A2001">INDEX('Portfolio Weights Returns'!$B$9:$BJ$69,
INT((ROW(A2000)-1)/COLUMNS('Portfolio Weights Returns'!$B$9:$BJ$69))+1,MOD(ROW(A2000)-1,COLUMNS('Portfolio Weights Returns'!$B$9:$BJ$69))+1)</f>
        <v>-6.6588547713290714E-4</v>
      </c>
      <c r="B2001" cm="1">
        <f t="array" ref="B2001">INDEX('Portfolio Weights Std'!$B$9:$BJ$69,INT((ROW(A2000)-1)/COLUMNS('Portfolio Weights Std'!$B$9:$BJ$69))+1,MOD(ROW(A2000)-1,COLUMNS('Portfolio Weights Std'!$B$9:$BJ$69))+1)</f>
        <v>1.6726868832740129E-2</v>
      </c>
    </row>
    <row r="2002" spans="1:2" x14ac:dyDescent="0.25">
      <c r="A2002" cm="1">
        <f t="array" ref="A2002">INDEX('Portfolio Weights Returns'!$B$9:$BJ$69,
INT((ROW(A2001)-1)/COLUMNS('Portfolio Weights Returns'!$B$9:$BJ$69))+1,MOD(ROW(A2001)-1,COLUMNS('Portfolio Weights Returns'!$B$9:$BJ$69))+1)</f>
        <v>-6.5910430316622822E-4</v>
      </c>
      <c r="B2002" cm="1">
        <f t="array" ref="B2002">INDEX('Portfolio Weights Std'!$B$9:$BJ$69,INT((ROW(A2001)-1)/COLUMNS('Portfolio Weights Std'!$B$9:$BJ$69))+1,MOD(ROW(A2001)-1,COLUMNS('Portfolio Weights Std'!$B$9:$BJ$69))+1)</f>
        <v>1.6613876230999771E-2</v>
      </c>
    </row>
    <row r="2003" spans="1:2" x14ac:dyDescent="0.25">
      <c r="A2003" cm="1">
        <f t="array" ref="A2003">INDEX('Portfolio Weights Returns'!$B$9:$BJ$69,
INT((ROW(A2002)-1)/COLUMNS('Portfolio Weights Returns'!$B$9:$BJ$69))+1,MOD(ROW(A2002)-1,COLUMNS('Portfolio Weights Returns'!$B$9:$BJ$69))+1)</f>
        <v>-6.5232312919954907E-4</v>
      </c>
      <c r="B2003" cm="1">
        <f t="array" ref="B2003">INDEX('Portfolio Weights Std'!$B$9:$BJ$69,INT((ROW(A2002)-1)/COLUMNS('Portfolio Weights Std'!$B$9:$BJ$69))+1,MOD(ROW(A2002)-1,COLUMNS('Portfolio Weights Std'!$B$9:$BJ$69))+1)</f>
        <v>1.650291585590229E-2</v>
      </c>
    </row>
    <row r="2004" spans="1:2" x14ac:dyDescent="0.25">
      <c r="A2004" cm="1">
        <f t="array" ref="A2004">INDEX('Portfolio Weights Returns'!$B$9:$BJ$69,
INT((ROW(A2003)-1)/COLUMNS('Portfolio Weights Returns'!$B$9:$BJ$69))+1,MOD(ROW(A2003)-1,COLUMNS('Portfolio Weights Returns'!$B$9:$BJ$69))+1)</f>
        <v>-6.4554195523286993E-4</v>
      </c>
      <c r="B2004" cm="1">
        <f t="array" ref="B2004">INDEX('Portfolio Weights Std'!$B$9:$BJ$69,INT((ROW(A2003)-1)/COLUMNS('Portfolio Weights Std'!$B$9:$BJ$69))+1,MOD(ROW(A2003)-1,COLUMNS('Portfolio Weights Std'!$B$9:$BJ$69))+1)</f>
        <v>1.6394028971907091E-2</v>
      </c>
    </row>
    <row r="2005" spans="1:2" x14ac:dyDescent="0.25">
      <c r="A2005" cm="1">
        <f t="array" ref="A2005">INDEX('Portfolio Weights Returns'!$B$9:$BJ$69,
INT((ROW(A2004)-1)/COLUMNS('Portfolio Weights Returns'!$B$9:$BJ$69))+1,MOD(ROW(A2004)-1,COLUMNS('Portfolio Weights Returns'!$B$9:$BJ$69))+1)</f>
        <v>-6.3876078126619078E-4</v>
      </c>
      <c r="B2005" cm="1">
        <f t="array" ref="B2005">INDEX('Portfolio Weights Std'!$B$9:$BJ$69,INT((ROW(A2004)-1)/COLUMNS('Portfolio Weights Std'!$B$9:$BJ$69))+1,MOD(ROW(A2004)-1,COLUMNS('Portfolio Weights Std'!$B$9:$BJ$69))+1)</f>
        <v>1.6287257165440498E-2</v>
      </c>
    </row>
    <row r="2006" spans="1:2" x14ac:dyDescent="0.25">
      <c r="A2006" cm="1">
        <f t="array" ref="A2006">INDEX('Portfolio Weights Returns'!$B$9:$BJ$69,
INT((ROW(A2005)-1)/COLUMNS('Portfolio Weights Returns'!$B$9:$BJ$69))+1,MOD(ROW(A2005)-1,COLUMNS('Portfolio Weights Returns'!$B$9:$BJ$69))+1)</f>
        <v>-6.3197960729951175E-4</v>
      </c>
      <c r="B2006" cm="1">
        <f t="array" ref="B2006">INDEX('Portfolio Weights Std'!$B$9:$BJ$69,INT((ROW(A2005)-1)/COLUMNS('Portfolio Weights Std'!$B$9:$BJ$69))+1,MOD(ROW(A2005)-1,COLUMNS('Portfolio Weights Std'!$B$9:$BJ$69))+1)</f>
        <v>1.6182642301904304E-2</v>
      </c>
    </row>
    <row r="2007" spans="1:2" x14ac:dyDescent="0.25">
      <c r="A2007" cm="1">
        <f t="array" ref="A2007">INDEX('Portfolio Weights Returns'!$B$9:$BJ$69,
INT((ROW(A2006)-1)/COLUMNS('Portfolio Weights Returns'!$B$9:$BJ$69))+1,MOD(ROW(A2006)-1,COLUMNS('Portfolio Weights Returns'!$B$9:$BJ$69))+1)</f>
        <v>-6.251984333328326E-4</v>
      </c>
      <c r="B2007" cm="1">
        <f t="array" ref="B2007">INDEX('Portfolio Weights Std'!$B$9:$BJ$69,INT((ROW(A2006)-1)/COLUMNS('Portfolio Weights Std'!$B$9:$BJ$69))+1,MOD(ROW(A2006)-1,COLUMNS('Portfolio Weights Std'!$B$9:$BJ$69))+1)</f>
        <v>1.6080226479322307E-2</v>
      </c>
    </row>
    <row r="2008" spans="1:2" x14ac:dyDescent="0.25">
      <c r="A2008" cm="1">
        <f t="array" ref="A2008">INDEX('Portfolio Weights Returns'!$B$9:$BJ$69,
INT((ROW(A2007)-1)/COLUMNS('Portfolio Weights Returns'!$B$9:$BJ$69))+1,MOD(ROW(A2007)-1,COLUMNS('Portfolio Weights Returns'!$B$9:$BJ$69))+1)</f>
        <v>-6.1841725936615357E-4</v>
      </c>
      <c r="B2008" cm="1">
        <f t="array" ref="B2008">INDEX('Portfolio Weights Std'!$B$9:$BJ$69,INT((ROW(A2007)-1)/COLUMNS('Portfolio Weights Std'!$B$9:$BJ$69))+1,MOD(ROW(A2007)-1,COLUMNS('Portfolio Weights Std'!$B$9:$BJ$69))+1)</f>
        <v>1.5980051978574408E-2</v>
      </c>
    </row>
    <row r="2009" spans="1:2" x14ac:dyDescent="0.25">
      <c r="A2009" cm="1">
        <f t="array" ref="A2009">INDEX('Portfolio Weights Returns'!$B$9:$BJ$69,
INT((ROW(A2008)-1)/COLUMNS('Portfolio Weights Returns'!$B$9:$BJ$69))+1,MOD(ROW(A2008)-1,COLUMNS('Portfolio Weights Returns'!$B$9:$BJ$69))+1)</f>
        <v>-6.1163608539947442E-4</v>
      </c>
      <c r="B2009" cm="1">
        <f t="array" ref="B2009">INDEX('Portfolio Weights Std'!$B$9:$BJ$69,INT((ROW(A2008)-1)/COLUMNS('Portfolio Weights Std'!$B$9:$BJ$69))+1,MOD(ROW(A2008)-1,COLUMNS('Portfolio Weights Std'!$B$9:$BJ$69))+1)</f>
        <v>1.5882161210185076E-2</v>
      </c>
    </row>
    <row r="2010" spans="1:2" x14ac:dyDescent="0.25">
      <c r="A2010" cm="1">
        <f t="array" ref="A2010">INDEX('Portfolio Weights Returns'!$B$9:$BJ$69,
INT((ROW(A2009)-1)/COLUMNS('Portfolio Weights Returns'!$B$9:$BJ$69))+1,MOD(ROW(A2009)-1,COLUMNS('Portfolio Weights Returns'!$B$9:$BJ$69))+1)</f>
        <v>-6.0485491143279528E-4</v>
      </c>
      <c r="B2010" cm="1">
        <f t="array" ref="B2010">INDEX('Portfolio Weights Std'!$B$9:$BJ$69,INT((ROW(A2009)-1)/COLUMNS('Portfolio Weights Std'!$B$9:$BJ$69))+1,MOD(ROW(A2009)-1,COLUMNS('Portfolio Weights Std'!$B$9:$BJ$69))+1)</f>
        <v>1.578659665765237E-2</v>
      </c>
    </row>
    <row r="2011" spans="1:2" x14ac:dyDescent="0.25">
      <c r="A2011" cm="1">
        <f t="array" ref="A2011">INDEX('Portfolio Weights Returns'!$B$9:$BJ$69,
INT((ROW(A2010)-1)/COLUMNS('Portfolio Weights Returns'!$B$9:$BJ$69))+1,MOD(ROW(A2010)-1,COLUMNS('Portfolio Weights Returns'!$B$9:$BJ$69))+1)</f>
        <v>-5.9807373746611548E-4</v>
      </c>
      <c r="B2011" cm="1">
        <f t="array" ref="B2011">INDEX('Portfolio Weights Std'!$B$9:$BJ$69,INT((ROW(A2010)-1)/COLUMNS('Portfolio Weights Std'!$B$9:$BJ$69))+1,MOD(ROW(A2010)-1,COLUMNS('Portfolio Weights Std'!$B$9:$BJ$69))+1)</f>
        <v>1.56934008173251E-2</v>
      </c>
    </row>
    <row r="2012" spans="1:2" x14ac:dyDescent="0.25">
      <c r="A2012" cm="1">
        <f t="array" ref="A2012">INDEX('Portfolio Weights Returns'!$B$9:$BJ$69,
INT((ROW(A2011)-1)/COLUMNS('Portfolio Weights Returns'!$B$9:$BJ$69))+1,MOD(ROW(A2011)-1,COLUMNS('Portfolio Weights Returns'!$B$9:$BJ$69))+1)</f>
        <v>-5.9129256349943634E-4</v>
      </c>
      <c r="B2012" cm="1">
        <f t="array" ref="B2012">INDEX('Portfolio Weights Std'!$B$9:$BJ$69,INT((ROW(A2011)-1)/COLUMNS('Portfolio Weights Std'!$B$9:$BJ$69))+1,MOD(ROW(A2011)-1,COLUMNS('Portfolio Weights Std'!$B$9:$BJ$69))+1)</f>
        <v>1.5602616134859099E-2</v>
      </c>
    </row>
    <row r="2013" spans="1:2" x14ac:dyDescent="0.25">
      <c r="A2013" cm="1">
        <f t="array" ref="A2013">INDEX('Portfolio Weights Returns'!$B$9:$BJ$69,
INT((ROW(A2012)-1)/COLUMNS('Portfolio Weights Returns'!$B$9:$BJ$69))+1,MOD(ROW(A2012)-1,COLUMNS('Portfolio Weights Returns'!$B$9:$BJ$69))+1)</f>
        <v>-5.8451138953275741E-4</v>
      </c>
      <c r="B2013" cm="1">
        <f t="array" ref="B2013">INDEX('Portfolio Weights Std'!$B$9:$BJ$69,INT((ROW(A2012)-1)/COLUMNS('Portfolio Weights Std'!$B$9:$BJ$69))+1,MOD(ROW(A2012)-1,COLUMNS('Portfolio Weights Std'!$B$9:$BJ$69))+1)</f>
        <v>1.5514284938308849E-2</v>
      </c>
    </row>
    <row r="2014" spans="1:2" x14ac:dyDescent="0.25">
      <c r="A2014" cm="1">
        <f t="array" ref="A2014">INDEX('Portfolio Weights Returns'!$B$9:$BJ$69,
INT((ROW(A2013)-1)/COLUMNS('Portfolio Weights Returns'!$B$9:$BJ$69))+1,MOD(ROW(A2013)-1,COLUMNS('Portfolio Weights Returns'!$B$9:$BJ$69))+1)</f>
        <v>-5.7773021556607816E-4</v>
      </c>
      <c r="B2014" cm="1">
        <f t="array" ref="B2014">INDEX('Portfolio Weights Std'!$B$9:$BJ$69,INT((ROW(A2013)-1)/COLUMNS('Portfolio Weights Std'!$B$9:$BJ$69))+1,MOD(ROW(A2013)-1,COLUMNS('Portfolio Weights Std'!$B$9:$BJ$69))+1)</f>
        <v>1.5428449367938246E-2</v>
      </c>
    </row>
    <row r="2015" spans="1:2" x14ac:dyDescent="0.25">
      <c r="A2015" cm="1">
        <f t="array" ref="A2015">INDEX('Portfolio Weights Returns'!$B$9:$BJ$69,
INT((ROW(A2014)-1)/COLUMNS('Portfolio Weights Returns'!$B$9:$BJ$69))+1,MOD(ROW(A2014)-1,COLUMNS('Portfolio Weights Returns'!$B$9:$BJ$69))+1)</f>
        <v>-9.7802644572136986E-4</v>
      </c>
      <c r="B2015" cm="1">
        <f t="array" ref="B2015">INDEX('Portfolio Weights Std'!$B$9:$BJ$69,INT((ROW(A2014)-1)/COLUMNS('Portfolio Weights Std'!$B$9:$BJ$69))+1,MOD(ROW(A2014)-1,COLUMNS('Portfolio Weights Std'!$B$9:$BJ$69))+1)</f>
        <v>2.3565097717831995E-2</v>
      </c>
    </row>
    <row r="2016" spans="1:2" x14ac:dyDescent="0.25">
      <c r="A2016" cm="1">
        <f t="array" ref="A2016">INDEX('Portfolio Weights Returns'!$B$9:$BJ$69,
INT((ROW(A2015)-1)/COLUMNS('Portfolio Weights Returns'!$B$9:$BJ$69))+1,MOD(ROW(A2015)-1,COLUMNS('Portfolio Weights Returns'!$B$9:$BJ$69))+1)</f>
        <v>-9.7124527175469083E-4</v>
      </c>
      <c r="B2016" cm="1">
        <f t="array" ref="B2016">INDEX('Portfolio Weights Std'!$B$9:$BJ$69,INT((ROW(A2015)-1)/COLUMNS('Portfolio Weights Std'!$B$9:$BJ$69))+1,MOD(ROW(A2015)-1,COLUMNS('Portfolio Weights Std'!$B$9:$BJ$69))+1)</f>
        <v>2.3393808717754646E-2</v>
      </c>
    </row>
    <row r="2017" spans="1:2" x14ac:dyDescent="0.25">
      <c r="A2017" cm="1">
        <f t="array" ref="A2017">INDEX('Portfolio Weights Returns'!$B$9:$BJ$69,
INT((ROW(A2016)-1)/COLUMNS('Portfolio Weights Returns'!$B$9:$BJ$69))+1,MOD(ROW(A2016)-1,COLUMNS('Portfolio Weights Returns'!$B$9:$BJ$69))+1)</f>
        <v>-9.6446409778801179E-4</v>
      </c>
      <c r="B2017" cm="1">
        <f t="array" ref="B2017">INDEX('Portfolio Weights Std'!$B$9:$BJ$69,INT((ROW(A2016)-1)/COLUMNS('Portfolio Weights Std'!$B$9:$BJ$69))+1,MOD(ROW(A2016)-1,COLUMNS('Portfolio Weights Std'!$B$9:$BJ$69))+1)</f>
        <v>2.3223250161240171E-2</v>
      </c>
    </row>
    <row r="2018" spans="1:2" x14ac:dyDescent="0.25">
      <c r="A2018" cm="1">
        <f t="array" ref="A2018">INDEX('Portfolio Weights Returns'!$B$9:$BJ$69,
INT((ROW(A2017)-1)/COLUMNS('Portfolio Weights Returns'!$B$9:$BJ$69))+1,MOD(ROW(A2017)-1,COLUMNS('Portfolio Weights Returns'!$B$9:$BJ$69))+1)</f>
        <v>-9.5768292382133265E-4</v>
      </c>
      <c r="B2018" cm="1">
        <f t="array" ref="B2018">INDEX('Portfolio Weights Std'!$B$9:$BJ$69,INT((ROW(A2017)-1)/COLUMNS('Portfolio Weights Std'!$B$9:$BJ$69))+1,MOD(ROW(A2017)-1,COLUMNS('Portfolio Weights Std'!$B$9:$BJ$69))+1)</f>
        <v>2.3053438260635141E-2</v>
      </c>
    </row>
    <row r="2019" spans="1:2" x14ac:dyDescent="0.25">
      <c r="A2019" cm="1">
        <f t="array" ref="A2019">INDEX('Portfolio Weights Returns'!$B$9:$BJ$69,
INT((ROW(A2018)-1)/COLUMNS('Portfolio Weights Returns'!$B$9:$BJ$69))+1,MOD(ROW(A2018)-1,COLUMNS('Portfolio Weights Returns'!$B$9:$BJ$69))+1)</f>
        <v>-9.509017498546535E-4</v>
      </c>
      <c r="B2019" cm="1">
        <f t="array" ref="B2019">INDEX('Portfolio Weights Std'!$B$9:$BJ$69,INT((ROW(A2018)-1)/COLUMNS('Portfolio Weights Std'!$B$9:$BJ$69))+1,MOD(ROW(A2018)-1,COLUMNS('Portfolio Weights Std'!$B$9:$BJ$69))+1)</f>
        <v>2.2884389637458466E-2</v>
      </c>
    </row>
    <row r="2020" spans="1:2" x14ac:dyDescent="0.25">
      <c r="A2020" cm="1">
        <f t="array" ref="A2020">INDEX('Portfolio Weights Returns'!$B$9:$BJ$69,
INT((ROW(A2019)-1)/COLUMNS('Portfolio Weights Returns'!$B$9:$BJ$69))+1,MOD(ROW(A2019)-1,COLUMNS('Portfolio Weights Returns'!$B$9:$BJ$69))+1)</f>
        <v>-9.4412057588797447E-4</v>
      </c>
      <c r="B2020" cm="1">
        <f t="array" ref="B2020">INDEX('Portfolio Weights Std'!$B$9:$BJ$69,INT((ROW(A2019)-1)/COLUMNS('Portfolio Weights Std'!$B$9:$BJ$69))+1,MOD(ROW(A2019)-1,COLUMNS('Portfolio Weights Std'!$B$9:$BJ$69))+1)</f>
        <v>2.2716121332169423E-2</v>
      </c>
    </row>
    <row r="2021" spans="1:2" x14ac:dyDescent="0.25">
      <c r="A2021" cm="1">
        <f t="array" ref="A2021">INDEX('Portfolio Weights Returns'!$B$9:$BJ$69,
INT((ROW(A2020)-1)/COLUMNS('Portfolio Weights Returns'!$B$9:$BJ$69))+1,MOD(ROW(A2020)-1,COLUMNS('Portfolio Weights Returns'!$B$9:$BJ$69))+1)</f>
        <v>-9.3733940192129521E-4</v>
      </c>
      <c r="B2021" cm="1">
        <f t="array" ref="B2021">INDEX('Portfolio Weights Std'!$B$9:$BJ$69,INT((ROW(A2020)-1)/COLUMNS('Portfolio Weights Std'!$B$9:$BJ$69))+1,MOD(ROW(A2020)-1,COLUMNS('Portfolio Weights Std'!$B$9:$BJ$69))+1)</f>
        <v>2.2548650814037518E-2</v>
      </c>
    </row>
    <row r="2022" spans="1:2" x14ac:dyDescent="0.25">
      <c r="A2022" cm="1">
        <f t="array" ref="A2022">INDEX('Portfolio Weights Returns'!$B$9:$BJ$69,
INT((ROW(A2021)-1)/COLUMNS('Portfolio Weights Returns'!$B$9:$BJ$69))+1,MOD(ROW(A2021)-1,COLUMNS('Portfolio Weights Returns'!$B$9:$BJ$69))+1)</f>
        <v>-9.3055822795461618E-4</v>
      </c>
      <c r="B2022" cm="1">
        <f t="array" ref="B2022">INDEX('Portfolio Weights Std'!$B$9:$BJ$69,INT((ROW(A2021)-1)/COLUMNS('Portfolio Weights Std'!$B$9:$BJ$69))+1,MOD(ROW(A2021)-1,COLUMNS('Portfolio Weights Std'!$B$9:$BJ$69))+1)</f>
        <v>2.2381995991101262E-2</v>
      </c>
    </row>
    <row r="2023" spans="1:2" x14ac:dyDescent="0.25">
      <c r="A2023" cm="1">
        <f t="array" ref="A2023">INDEX('Portfolio Weights Returns'!$B$9:$BJ$69,
INT((ROW(A2022)-1)/COLUMNS('Portfolio Weights Returns'!$B$9:$BJ$69))+1,MOD(ROW(A2022)-1,COLUMNS('Portfolio Weights Returns'!$B$9:$BJ$69))+1)</f>
        <v>-9.2377705398793703E-4</v>
      </c>
      <c r="B2023" cm="1">
        <f t="array" ref="B2023">INDEX('Portfolio Weights Std'!$B$9:$BJ$69,INT((ROW(A2022)-1)/COLUMNS('Portfolio Weights Std'!$B$9:$BJ$69))+1,MOD(ROW(A2022)-1,COLUMNS('Portfolio Weights Std'!$B$9:$BJ$69))+1)</f>
        <v>2.2216175220201091E-2</v>
      </c>
    </row>
    <row r="2024" spans="1:2" x14ac:dyDescent="0.25">
      <c r="A2024" cm="1">
        <f t="array" ref="A2024">INDEX('Portfolio Weights Returns'!$B$9:$BJ$69,
INT((ROW(A2023)-1)/COLUMNS('Portfolio Weights Returns'!$B$9:$BJ$69))+1,MOD(ROW(A2023)-1,COLUMNS('Portfolio Weights Returns'!$B$9:$BJ$69))+1)</f>
        <v>-9.16995880021258E-4</v>
      </c>
      <c r="B2024" cm="1">
        <f t="array" ref="B2024">INDEX('Portfolio Weights Std'!$B$9:$BJ$69,INT((ROW(A2023)-1)/COLUMNS('Portfolio Weights Std'!$B$9:$BJ$69))+1,MOD(ROW(A2023)-1,COLUMNS('Portfolio Weights Std'!$B$9:$BJ$69))+1)</f>
        <v>2.2051207317070123E-2</v>
      </c>
    </row>
    <row r="2025" spans="1:2" x14ac:dyDescent="0.25">
      <c r="A2025" cm="1">
        <f t="array" ref="A2025">INDEX('Portfolio Weights Returns'!$B$9:$BJ$69,
INT((ROW(A2024)-1)/COLUMNS('Portfolio Weights Returns'!$B$9:$BJ$69))+1,MOD(ROW(A2024)-1,COLUMNS('Portfolio Weights Returns'!$B$9:$BJ$69))+1)</f>
        <v>-9.1021470605457885E-4</v>
      </c>
      <c r="B2025" cm="1">
        <f t="array" ref="B2025">INDEX('Portfolio Weights Std'!$B$9:$BJ$69,INT((ROW(A2024)-1)/COLUMNS('Portfolio Weights Std'!$B$9:$BJ$69))+1,MOD(ROW(A2024)-1,COLUMNS('Portfolio Weights Std'!$B$9:$BJ$69))+1)</f>
        <v>2.188711156646447E-2</v>
      </c>
    </row>
    <row r="2026" spans="1:2" x14ac:dyDescent="0.25">
      <c r="A2026" cm="1">
        <f t="array" ref="A2026">INDEX('Portfolio Weights Returns'!$B$9:$BJ$69,
INT((ROW(A2025)-1)/COLUMNS('Portfolio Weights Returns'!$B$9:$BJ$69))+1,MOD(ROW(A2025)-1,COLUMNS('Portfolio Weights Returns'!$B$9:$BJ$69))+1)</f>
        <v>-9.0343353208789982E-4</v>
      </c>
      <c r="B2026" cm="1">
        <f t="array" ref="B2026">INDEX('Portfolio Weights Std'!$B$9:$BJ$69,INT((ROW(A2025)-1)/COLUMNS('Portfolio Weights Std'!$B$9:$BJ$69))+1,MOD(ROW(A2025)-1,COLUMNS('Portfolio Weights Std'!$B$9:$BJ$69))+1)</f>
        <v>2.1723907732312916E-2</v>
      </c>
    </row>
    <row r="2027" spans="1:2" x14ac:dyDescent="0.25">
      <c r="A2027" cm="1">
        <f t="array" ref="A2027">INDEX('Portfolio Weights Returns'!$B$9:$BJ$69,
INT((ROW(A2026)-1)/COLUMNS('Portfolio Weights Returns'!$B$9:$BJ$69))+1,MOD(ROW(A2026)-1,COLUMNS('Portfolio Weights Returns'!$B$9:$BJ$69))+1)</f>
        <v>-8.9665235812122067E-4</v>
      </c>
      <c r="B2027" cm="1">
        <f t="array" ref="B2027">INDEX('Portfolio Weights Std'!$B$9:$BJ$69,INT((ROW(A2026)-1)/COLUMNS('Portfolio Weights Std'!$B$9:$BJ$69))+1,MOD(ROW(A2026)-1,COLUMNS('Portfolio Weights Std'!$B$9:$BJ$69))+1)</f>
        <v>2.1561616067863571E-2</v>
      </c>
    </row>
    <row r="2028" spans="1:2" x14ac:dyDescent="0.25">
      <c r="A2028" cm="1">
        <f t="array" ref="A2028">INDEX('Portfolio Weights Returns'!$B$9:$BJ$69,
INT((ROW(A2027)-1)/COLUMNS('Portfolio Weights Returns'!$B$9:$BJ$69))+1,MOD(ROW(A2027)-1,COLUMNS('Portfolio Weights Returns'!$B$9:$BJ$69))+1)</f>
        <v>-8.8987118415454142E-4</v>
      </c>
      <c r="B2028" cm="1">
        <f t="array" ref="B2028">INDEX('Portfolio Weights Std'!$B$9:$BJ$69,INT((ROW(A2027)-1)/COLUMNS('Portfolio Weights Std'!$B$9:$BJ$69))+1,MOD(ROW(A2027)-1,COLUMNS('Portfolio Weights Std'!$B$9:$BJ$69))+1)</f>
        <v>2.1400257325803029E-2</v>
      </c>
    </row>
    <row r="2029" spans="1:2" x14ac:dyDescent="0.25">
      <c r="A2029" cm="1">
        <f t="array" ref="A2029">INDEX('Portfolio Weights Returns'!$B$9:$BJ$69,
INT((ROW(A2028)-1)/COLUMNS('Portfolio Weights Returns'!$B$9:$BJ$69))+1,MOD(ROW(A2028)-1,COLUMNS('Portfolio Weights Returns'!$B$9:$BJ$69))+1)</f>
        <v>-8.8309001018786238E-4</v>
      </c>
      <c r="B2029" cm="1">
        <f t="array" ref="B2029">INDEX('Portfolio Weights Std'!$B$9:$BJ$69,INT((ROW(A2028)-1)/COLUMNS('Portfolio Weights Std'!$B$9:$BJ$69))+1,MOD(ROW(A2028)-1,COLUMNS('Portfolio Weights Std'!$B$9:$BJ$69))+1)</f>
        <v>2.1239852768320824E-2</v>
      </c>
    </row>
    <row r="2030" spans="1:2" x14ac:dyDescent="0.25">
      <c r="A2030" cm="1">
        <f t="array" ref="A2030">INDEX('Portfolio Weights Returns'!$B$9:$BJ$69,
INT((ROW(A2029)-1)/COLUMNS('Portfolio Weights Returns'!$B$9:$BJ$69))+1,MOD(ROW(A2029)-1,COLUMNS('Portfolio Weights Returns'!$B$9:$BJ$69))+1)</f>
        <v>-8.7630883622118324E-4</v>
      </c>
      <c r="B2030" cm="1">
        <f t="array" ref="B2030">INDEX('Portfolio Weights Std'!$B$9:$BJ$69,INT((ROW(A2029)-1)/COLUMNS('Portfolio Weights Std'!$B$9:$BJ$69))+1,MOD(ROW(A2029)-1,COLUMNS('Portfolio Weights Std'!$B$9:$BJ$69))+1)</f>
        <v>2.1080424177089781E-2</v>
      </c>
    </row>
    <row r="2031" spans="1:2" x14ac:dyDescent="0.25">
      <c r="A2031" cm="1">
        <f t="array" ref="A2031">INDEX('Portfolio Weights Returns'!$B$9:$BJ$69,
INT((ROW(A2030)-1)/COLUMNS('Portfolio Weights Returns'!$B$9:$BJ$69))+1,MOD(ROW(A2030)-1,COLUMNS('Portfolio Weights Returns'!$B$9:$BJ$69))+1)</f>
        <v>-8.6952766225450442E-4</v>
      </c>
      <c r="B2031" cm="1">
        <f t="array" ref="B2031">INDEX('Portfolio Weights Std'!$B$9:$BJ$69,INT((ROW(A2030)-1)/COLUMNS('Portfolio Weights Std'!$B$9:$BJ$69))+1,MOD(ROW(A2030)-1,COLUMNS('Portfolio Weights Std'!$B$9:$BJ$69))+1)</f>
        <v>2.0921993863129849E-2</v>
      </c>
    </row>
    <row r="2032" spans="1:2" x14ac:dyDescent="0.25">
      <c r="A2032" cm="1">
        <f t="array" ref="A2032">INDEX('Portfolio Weights Returns'!$B$9:$BJ$69,
INT((ROW(A2031)-1)/COLUMNS('Portfolio Weights Returns'!$B$9:$BJ$69))+1,MOD(ROW(A2031)-1,COLUMNS('Portfolio Weights Returns'!$B$9:$BJ$69))+1)</f>
        <v>-8.6274648828782506E-4</v>
      </c>
      <c r="B2032" cm="1">
        <f t="array" ref="B2032">INDEX('Portfolio Weights Std'!$B$9:$BJ$69,INT((ROW(A2031)-1)/COLUMNS('Portfolio Weights Std'!$B$9:$BJ$69))+1,MOD(ROW(A2031)-1,COLUMNS('Portfolio Weights Std'!$B$9:$BJ$69))+1)</f>
        <v>2.0764584676520269E-2</v>
      </c>
    </row>
    <row r="2033" spans="1:2" x14ac:dyDescent="0.25">
      <c r="A2033" cm="1">
        <f t="array" ref="A2033">INDEX('Portfolio Weights Returns'!$B$9:$BJ$69,
INT((ROW(A2032)-1)/COLUMNS('Portfolio Weights Returns'!$B$9:$BJ$69))+1,MOD(ROW(A2032)-1,COLUMNS('Portfolio Weights Returns'!$B$9:$BJ$69))+1)</f>
        <v>-8.5596531432114613E-4</v>
      </c>
      <c r="B2033" cm="1">
        <f t="array" ref="B2033">INDEX('Portfolio Weights Std'!$B$9:$BJ$69,INT((ROW(A2032)-1)/COLUMNS('Portfolio Weights Std'!$B$9:$BJ$69))+1,MOD(ROW(A2032)-1,COLUMNS('Portfolio Weights Std'!$B$9:$BJ$69))+1)</f>
        <v>2.0608220015921896E-2</v>
      </c>
    </row>
    <row r="2034" spans="1:2" x14ac:dyDescent="0.25">
      <c r="A2034" cm="1">
        <f t="array" ref="A2034">INDEX('Portfolio Weights Returns'!$B$9:$BJ$69,
INT((ROW(A2033)-1)/COLUMNS('Portfolio Weights Returns'!$B$9:$BJ$69))+1,MOD(ROW(A2033)-1,COLUMNS('Portfolio Weights Returns'!$B$9:$BJ$69))+1)</f>
        <v>-8.4918414035446699E-4</v>
      </c>
      <c r="B2034" cm="1">
        <f t="array" ref="B2034">INDEX('Portfolio Weights Std'!$B$9:$BJ$69,INT((ROW(A2033)-1)/COLUMNS('Portfolio Weights Std'!$B$9:$BJ$69))+1,MOD(ROW(A2033)-1,COLUMNS('Portfolio Weights Std'!$B$9:$BJ$69))+1)</f>
        <v>2.0452923837868099E-2</v>
      </c>
    </row>
    <row r="2035" spans="1:2" x14ac:dyDescent="0.25">
      <c r="A2035" cm="1">
        <f t="array" ref="A2035">INDEX('Portfolio Weights Returns'!$B$9:$BJ$69,
INT((ROW(A2034)-1)/COLUMNS('Portfolio Weights Returns'!$B$9:$BJ$69))+1,MOD(ROW(A2034)-1,COLUMNS('Portfolio Weights Returns'!$B$9:$BJ$69))+1)</f>
        <v>-8.4240296638778795E-4</v>
      </c>
      <c r="B2035" cm="1">
        <f t="array" ref="B2035">INDEX('Portfolio Weights Std'!$B$9:$BJ$69,INT((ROW(A2034)-1)/COLUMNS('Portfolio Weights Std'!$B$9:$BJ$69))+1,MOD(ROW(A2034)-1,COLUMNS('Portfolio Weights Std'!$B$9:$BJ$69))+1)</f>
        <v>2.0298720665779611E-2</v>
      </c>
    </row>
    <row r="2036" spans="1:2" x14ac:dyDescent="0.25">
      <c r="A2036" cm="1">
        <f t="array" ref="A2036">INDEX('Portfolio Weights Returns'!$B$9:$BJ$69,
INT((ROW(A2035)-1)/COLUMNS('Portfolio Weights Returns'!$B$9:$BJ$69))+1,MOD(ROW(A2035)-1,COLUMNS('Portfolio Weights Returns'!$B$9:$BJ$69))+1)</f>
        <v>-8.3562179242110881E-4</v>
      </c>
      <c r="B2036" cm="1">
        <f t="array" ref="B2036">INDEX('Portfolio Weights Std'!$B$9:$BJ$69,INT((ROW(A2035)-1)/COLUMNS('Portfolio Weights Std'!$B$9:$BJ$69))+1,MOD(ROW(A2035)-1,COLUMNS('Portfolio Weights Std'!$B$9:$BJ$69))+1)</f>
        <v>2.014563559865485E-2</v>
      </c>
    </row>
    <row r="2037" spans="1:2" x14ac:dyDescent="0.25">
      <c r="A2037" cm="1">
        <f t="array" ref="A2037">INDEX('Portfolio Weights Returns'!$B$9:$BJ$69,
INT((ROW(A2036)-1)/COLUMNS('Portfolio Weights Returns'!$B$9:$BJ$69))+1,MOD(ROW(A2036)-1,COLUMNS('Portfolio Weights Returns'!$B$9:$BJ$69))+1)</f>
        <v>-8.2884061845442977E-4</v>
      </c>
      <c r="B2037" cm="1">
        <f t="array" ref="B2037">INDEX('Portfolio Weights Std'!$B$9:$BJ$69,INT((ROW(A2036)-1)/COLUMNS('Portfolio Weights Std'!$B$9:$BJ$69))+1,MOD(ROW(A2036)-1,COLUMNS('Portfolio Weights Std'!$B$9:$BJ$69))+1)</f>
        <v>1.9993694319383717E-2</v>
      </c>
    </row>
    <row r="2038" spans="1:2" x14ac:dyDescent="0.25">
      <c r="A2038" cm="1">
        <f t="array" ref="A2038">INDEX('Portfolio Weights Returns'!$B$9:$BJ$69,
INT((ROW(A2037)-1)/COLUMNS('Portfolio Weights Returns'!$B$9:$BJ$69))+1,MOD(ROW(A2037)-1,COLUMNS('Portfolio Weights Returns'!$B$9:$BJ$69))+1)</f>
        <v>-8.2205944448775063E-4</v>
      </c>
      <c r="B2038" cm="1">
        <f t="array" ref="B2038">INDEX('Portfolio Weights Std'!$B$9:$BJ$69,INT((ROW(A2037)-1)/COLUMNS('Portfolio Weights Std'!$B$9:$BJ$69))+1,MOD(ROW(A2037)-1,COLUMNS('Portfolio Weights Std'!$B$9:$BJ$69))+1)</f>
        <v>1.984292310262905E-2</v>
      </c>
    </row>
    <row r="2039" spans="1:2" x14ac:dyDescent="0.25">
      <c r="A2039" cm="1">
        <f t="array" ref="A2039">INDEX('Portfolio Weights Returns'!$B$9:$BJ$69,
INT((ROW(A2038)-1)/COLUMNS('Portfolio Weights Returns'!$B$9:$BJ$69))+1,MOD(ROW(A2038)-1,COLUMNS('Portfolio Weights Returns'!$B$9:$BJ$69))+1)</f>
        <v>-8.1527827052107137E-4</v>
      </c>
      <c r="B2039" cm="1">
        <f t="array" ref="B2039">INDEX('Portfolio Weights Std'!$B$9:$BJ$69,INT((ROW(A2038)-1)/COLUMNS('Portfolio Weights Std'!$B$9:$BJ$69))+1,MOD(ROW(A2038)-1,COLUMNS('Portfolio Weights Std'!$B$9:$BJ$69))+1)</f>
        <v>1.9693348822215805E-2</v>
      </c>
    </row>
    <row r="2040" spans="1:2" x14ac:dyDescent="0.25">
      <c r="A2040" cm="1">
        <f t="array" ref="A2040">INDEX('Portfolio Weights Returns'!$B$9:$BJ$69,
INT((ROW(A2039)-1)/COLUMNS('Portfolio Weights Returns'!$B$9:$BJ$69))+1,MOD(ROW(A2039)-1,COLUMNS('Portfolio Weights Returns'!$B$9:$BJ$69))+1)</f>
        <v>-8.0849709655439234E-4</v>
      </c>
      <c r="B2040" cm="1">
        <f t="array" ref="B2040">INDEX('Portfolio Weights Std'!$B$9:$BJ$69,INT((ROW(A2039)-1)/COLUMNS('Portfolio Weights Std'!$B$9:$BJ$69))+1,MOD(ROW(A2039)-1,COLUMNS('Portfolio Weights Std'!$B$9:$BJ$69))+1)</f>
        <v>1.954499895796399E-2</v>
      </c>
    </row>
    <row r="2041" spans="1:2" x14ac:dyDescent="0.25">
      <c r="A2041" cm="1">
        <f t="array" ref="A2041">INDEX('Portfolio Weights Returns'!$B$9:$BJ$69,
INT((ROW(A2040)-1)/COLUMNS('Portfolio Weights Returns'!$B$9:$BJ$69))+1,MOD(ROW(A2040)-1,COLUMNS('Portfolio Weights Returns'!$B$9:$BJ$69))+1)</f>
        <v>-8.0171592258771319E-4</v>
      </c>
      <c r="B2041" cm="1">
        <f t="array" ref="B2041">INDEX('Portfolio Weights Std'!$B$9:$BJ$69,INT((ROW(A2040)-1)/COLUMNS('Portfolio Weights Std'!$B$9:$BJ$69))+1,MOD(ROW(A2040)-1,COLUMNS('Portfolio Weights Std'!$B$9:$BJ$69))+1)</f>
        <v>1.9397901601897159E-2</v>
      </c>
    </row>
    <row r="2042" spans="1:2" x14ac:dyDescent="0.25">
      <c r="A2042" cm="1">
        <f t="array" ref="A2042">INDEX('Portfolio Weights Returns'!$B$9:$BJ$69,
INT((ROW(A2041)-1)/COLUMNS('Portfolio Weights Returns'!$B$9:$BJ$69))+1,MOD(ROW(A2041)-1,COLUMNS('Portfolio Weights Returns'!$B$9:$BJ$69))+1)</f>
        <v>-7.9493474862103416E-4</v>
      </c>
      <c r="B2042" cm="1">
        <f t="array" ref="B2042">INDEX('Portfolio Weights Std'!$B$9:$BJ$69,INT((ROW(A2041)-1)/COLUMNS('Portfolio Weights Std'!$B$9:$BJ$69))+1,MOD(ROW(A2041)-1,COLUMNS('Portfolio Weights Std'!$B$9:$BJ$69))+1)</f>
        <v>1.9252085463753819E-2</v>
      </c>
    </row>
    <row r="2043" spans="1:2" x14ac:dyDescent="0.25">
      <c r="A2043" cm="1">
        <f t="array" ref="A2043">INDEX('Portfolio Weights Returns'!$B$9:$BJ$69,
INT((ROW(A2042)-1)/COLUMNS('Portfolio Weights Returns'!$B$9:$BJ$69))+1,MOD(ROW(A2042)-1,COLUMNS('Portfolio Weights Returns'!$B$9:$BJ$69))+1)</f>
        <v>-7.8815357465435501E-4</v>
      </c>
      <c r="B2043" cm="1">
        <f t="array" ref="B2043">INDEX('Portfolio Weights Std'!$B$9:$BJ$69,INT((ROW(A2042)-1)/COLUMNS('Portfolio Weights Std'!$B$9:$BJ$69))+1,MOD(ROW(A2042)-1,COLUMNS('Portfolio Weights Std'!$B$9:$BJ$69))+1)</f>
        <v>1.9107579875724812E-2</v>
      </c>
    </row>
    <row r="2044" spans="1:2" x14ac:dyDescent="0.25">
      <c r="A2044" cm="1">
        <f t="array" ref="A2044">INDEX('Portfolio Weights Returns'!$B$9:$BJ$69,
INT((ROW(A2043)-1)/COLUMNS('Portfolio Weights Returns'!$B$9:$BJ$69))+1,MOD(ROW(A2043)-1,COLUMNS('Portfolio Weights Returns'!$B$9:$BJ$69))+1)</f>
        <v>-7.8137240068767598E-4</v>
      </c>
      <c r="B2044" cm="1">
        <f t="array" ref="B2044">INDEX('Portfolio Weights Std'!$B$9:$BJ$69,INT((ROW(A2043)-1)/COLUMNS('Portfolio Weights Std'!$B$9:$BJ$69))+1,MOD(ROW(A2043)-1,COLUMNS('Portfolio Weights Std'!$B$9:$BJ$69))+1)</f>
        <v>1.8964414796335066E-2</v>
      </c>
    </row>
    <row r="2045" spans="1:2" x14ac:dyDescent="0.25">
      <c r="A2045" cm="1">
        <f t="array" ref="A2045">INDEX('Portfolio Weights Returns'!$B$9:$BJ$69,
INT((ROW(A2044)-1)/COLUMNS('Portfolio Weights Returns'!$B$9:$BJ$69))+1,MOD(ROW(A2044)-1,COLUMNS('Portfolio Weights Returns'!$B$9:$BJ$69))+1)</f>
        <v>-7.7459122672099683E-4</v>
      </c>
      <c r="B2045" cm="1">
        <f t="array" ref="B2045">INDEX('Portfolio Weights Std'!$B$9:$BJ$69,INT((ROW(A2044)-1)/COLUMNS('Portfolio Weights Std'!$B$9:$BJ$69))+1,MOD(ROW(A2044)-1,COLUMNS('Portfolio Weights Std'!$B$9:$BJ$69))+1)</f>
        <v>1.8822620813383747E-2</v>
      </c>
    </row>
    <row r="2046" spans="1:2" x14ac:dyDescent="0.25">
      <c r="A2046" cm="1">
        <f t="array" ref="A2046">INDEX('Portfolio Weights Returns'!$B$9:$BJ$69,
INT((ROW(A2045)-1)/COLUMNS('Portfolio Weights Returns'!$B$9:$BJ$69))+1,MOD(ROW(A2045)-1,COLUMNS('Portfolio Weights Returns'!$B$9:$BJ$69))+1)</f>
        <v>-7.6781005275431769E-4</v>
      </c>
      <c r="B2046" cm="1">
        <f t="array" ref="B2046">INDEX('Portfolio Weights Std'!$B$9:$BJ$69,INT((ROW(A2045)-1)/COLUMNS('Portfolio Weights Std'!$B$9:$BJ$69))+1,MOD(ROW(A2045)-1,COLUMNS('Portfolio Weights Std'!$B$9:$BJ$69))+1)</f>
        <v>1.8682229145852148E-2</v>
      </c>
    </row>
    <row r="2047" spans="1:2" x14ac:dyDescent="0.25">
      <c r="A2047" cm="1">
        <f t="array" ref="A2047">INDEX('Portfolio Weights Returns'!$B$9:$BJ$69,
INT((ROW(A2046)-1)/COLUMNS('Portfolio Weights Returns'!$B$9:$BJ$69))+1,MOD(ROW(A2046)-1,COLUMNS('Portfolio Weights Returns'!$B$9:$BJ$69))+1)</f>
        <v>-7.6102887878763854E-4</v>
      </c>
      <c r="B2047" cm="1">
        <f t="array" ref="B2047">INDEX('Portfolio Weights Std'!$B$9:$BJ$69,INT((ROW(A2046)-1)/COLUMNS('Portfolio Weights Std'!$B$9:$BJ$69))+1,MOD(ROW(A2046)-1,COLUMNS('Portfolio Weights Std'!$B$9:$BJ$69))+1)</f>
        <v>1.854327164468433E-2</v>
      </c>
    </row>
    <row r="2048" spans="1:2" x14ac:dyDescent="0.25">
      <c r="A2048" cm="1">
        <f t="array" ref="A2048">INDEX('Portfolio Weights Returns'!$B$9:$BJ$69,
INT((ROW(A2047)-1)/COLUMNS('Portfolio Weights Returns'!$B$9:$BJ$69))+1,MOD(ROW(A2047)-1,COLUMNS('Portfolio Weights Returns'!$B$9:$BJ$69))+1)</f>
        <v>-7.542477048209594E-4</v>
      </c>
      <c r="B2048" cm="1">
        <f t="array" ref="B2048">INDEX('Portfolio Weights Std'!$B$9:$BJ$69,INT((ROW(A2047)-1)/COLUMNS('Portfolio Weights Std'!$B$9:$BJ$69))+1,MOD(ROW(A2047)-1,COLUMNS('Portfolio Weights Std'!$B$9:$BJ$69))+1)</f>
        <v>1.8405780792340929E-2</v>
      </c>
    </row>
    <row r="2049" spans="1:2" x14ac:dyDescent="0.25">
      <c r="A2049" cm="1">
        <f t="array" ref="A2049">INDEX('Portfolio Weights Returns'!$B$9:$BJ$69,
INT((ROW(A2048)-1)/COLUMNS('Portfolio Weights Returns'!$B$9:$BJ$69))+1,MOD(ROW(A2048)-1,COLUMNS('Portfolio Weights Returns'!$B$9:$BJ$69))+1)</f>
        <v>-7.4746653085428036E-4</v>
      </c>
      <c r="B2049" cm="1">
        <f t="array" ref="B2049">INDEX('Portfolio Weights Std'!$B$9:$BJ$69,INT((ROW(A2048)-1)/COLUMNS('Portfolio Weights Std'!$B$9:$BJ$69))+1,MOD(ROW(A2048)-1,COLUMNS('Portfolio Weights Std'!$B$9:$BJ$69))+1)</f>
        <v>1.8269789701022408E-2</v>
      </c>
    </row>
    <row r="2050" spans="1:2" x14ac:dyDescent="0.25">
      <c r="A2050" cm="1">
        <f t="array" ref="A2050">INDEX('Portfolio Weights Returns'!$B$9:$BJ$69,
INT((ROW(A2049)-1)/COLUMNS('Portfolio Weights Returns'!$B$9:$BJ$69))+1,MOD(ROW(A2049)-1,COLUMNS('Portfolio Weights Returns'!$B$9:$BJ$69))+1)</f>
        <v>-7.4068535688760122E-4</v>
      </c>
      <c r="B2050" cm="1">
        <f t="array" ref="B2050">INDEX('Portfolio Weights Std'!$B$9:$BJ$69,INT((ROW(A2049)-1)/COLUMNS('Portfolio Weights Std'!$B$9:$BJ$69))+1,MOD(ROW(A2049)-1,COLUMNS('Portfolio Weights Std'!$B$9:$BJ$69))+1)</f>
        <v>1.8135332109453877E-2</v>
      </c>
    </row>
    <row r="2051" spans="1:2" x14ac:dyDescent="0.25">
      <c r="A2051" cm="1">
        <f t="array" ref="A2051">INDEX('Portfolio Weights Returns'!$B$9:$BJ$69,
INT((ROW(A2050)-1)/COLUMNS('Portfolio Weights Returns'!$B$9:$BJ$69))+1,MOD(ROW(A2050)-1,COLUMNS('Portfolio Weights Returns'!$B$9:$BJ$69))+1)</f>
        <v>-7.3390418292092218E-4</v>
      </c>
      <c r="B2051" cm="1">
        <f t="array" ref="B2051">INDEX('Portfolio Weights Std'!$B$9:$BJ$69,INT((ROW(A2050)-1)/COLUMNS('Portfolio Weights Std'!$B$9:$BJ$69))+1,MOD(ROW(A2050)-1,COLUMNS('Portfolio Weights Std'!$B$9:$BJ$69))+1)</f>
        <v>1.8002442378119668E-2</v>
      </c>
    </row>
    <row r="2052" spans="1:2" x14ac:dyDescent="0.25">
      <c r="A2052" cm="1">
        <f t="array" ref="A2052">INDEX('Portfolio Weights Returns'!$B$9:$BJ$69,
INT((ROW(A2051)-1)/COLUMNS('Portfolio Weights Returns'!$B$9:$BJ$69))+1,MOD(ROW(A2051)-1,COLUMNS('Portfolio Weights Returns'!$B$9:$BJ$69))+1)</f>
        <v>-7.2712300895424304E-4</v>
      </c>
      <c r="B2052" cm="1">
        <f t="array" ref="B2052">INDEX('Portfolio Weights Std'!$B$9:$BJ$69,INT((ROW(A2051)-1)/COLUMNS('Portfolio Weights Std'!$B$9:$BJ$69))+1,MOD(ROW(A2051)-1,COLUMNS('Portfolio Weights Std'!$B$9:$BJ$69))+1)</f>
        <v>1.7871155482832527E-2</v>
      </c>
    </row>
    <row r="2053" spans="1:2" x14ac:dyDescent="0.25">
      <c r="A2053" cm="1">
        <f t="array" ref="A2053">INDEX('Portfolio Weights Returns'!$B$9:$BJ$69,
INT((ROW(A2052)-1)/COLUMNS('Portfolio Weights Returns'!$B$9:$BJ$69))+1,MOD(ROW(A2052)-1,COLUMNS('Portfolio Weights Returns'!$B$9:$BJ$69))+1)</f>
        <v>-7.20341834987564E-4</v>
      </c>
      <c r="B2053" cm="1">
        <f t="array" ref="B2053">INDEX('Portfolio Weights Std'!$B$9:$BJ$69,INT((ROW(A2052)-1)/COLUMNS('Portfolio Weights Std'!$B$9:$BJ$69))+1,MOD(ROW(A2052)-1,COLUMNS('Portfolio Weights Std'!$B$9:$BJ$69))+1)</f>
        <v>1.7741507006518841E-2</v>
      </c>
    </row>
    <row r="2054" spans="1:2" x14ac:dyDescent="0.25">
      <c r="A2054" cm="1">
        <f t="array" ref="A2054">INDEX('Portfolio Weights Returns'!$B$9:$BJ$69,
INT((ROW(A2053)-1)/COLUMNS('Portfolio Weights Returns'!$B$9:$BJ$69))+1,MOD(ROW(A2053)-1,COLUMNS('Portfolio Weights Returns'!$B$9:$BJ$69))+1)</f>
        <v>-7.1356066102088486E-4</v>
      </c>
      <c r="B2054" cm="1">
        <f t="array" ref="B2054">INDEX('Portfolio Weights Std'!$B$9:$BJ$69,INT((ROW(A2053)-1)/COLUMNS('Portfolio Weights Std'!$B$9:$BJ$69))+1,MOD(ROW(A2053)-1,COLUMNS('Portfolio Weights Std'!$B$9:$BJ$69))+1)</f>
        <v>1.7613533129098913E-2</v>
      </c>
    </row>
    <row r="2055" spans="1:2" x14ac:dyDescent="0.25">
      <c r="A2055" cm="1">
        <f t="array" ref="A2055">INDEX('Portfolio Weights Returns'!$B$9:$BJ$69,
INT((ROW(A2054)-1)/COLUMNS('Portfolio Weights Returns'!$B$9:$BJ$69))+1,MOD(ROW(A2054)-1,COLUMNS('Portfolio Weights Returns'!$B$9:$BJ$69))+1)</f>
        <v>-7.0677948705420582E-4</v>
      </c>
      <c r="B2055" cm="1">
        <f t="array" ref="B2055">INDEX('Portfolio Weights Std'!$B$9:$BJ$69,INT((ROW(A2054)-1)/COLUMNS('Portfolio Weights Std'!$B$9:$BJ$69))+1,MOD(ROW(A2054)-1,COLUMNS('Portfolio Weights Std'!$B$9:$BJ$69))+1)</f>
        <v>1.7487270615339001E-2</v>
      </c>
    </row>
    <row r="2056" spans="1:2" x14ac:dyDescent="0.25">
      <c r="A2056" cm="1">
        <f t="array" ref="A2056">INDEX('Portfolio Weights Returns'!$B$9:$BJ$69,
INT((ROW(A2055)-1)/COLUMNS('Portfolio Weights Returns'!$B$9:$BJ$69))+1,MOD(ROW(A2055)-1,COLUMNS('Portfolio Weights Returns'!$B$9:$BJ$69))+1)</f>
        <v>-6.9999831308752668E-4</v>
      </c>
      <c r="B2056" cm="1">
        <f t="array" ref="B2056">INDEX('Portfolio Weights Std'!$B$9:$BJ$69,INT((ROW(A2055)-1)/COLUMNS('Portfolio Weights Std'!$B$9:$BJ$69))+1,MOD(ROW(A2055)-1,COLUMNS('Portfolio Weights Std'!$B$9:$BJ$69))+1)</f>
        <v>1.7362756800550386E-2</v>
      </c>
    </row>
    <row r="2057" spans="1:2" x14ac:dyDescent="0.25">
      <c r="A2057" cm="1">
        <f t="array" ref="A2057">INDEX('Portfolio Weights Returns'!$B$9:$BJ$69,
INT((ROW(A2056)-1)/COLUMNS('Portfolio Weights Returns'!$B$9:$BJ$69))+1,MOD(ROW(A2056)-1,COLUMNS('Portfolio Weights Returns'!$B$9:$BJ$69))+1)</f>
        <v>-6.9321713912084753E-4</v>
      </c>
      <c r="B2057" cm="1">
        <f t="array" ref="B2057">INDEX('Portfolio Weights Std'!$B$9:$BJ$69,INT((ROW(A2056)-1)/COLUMNS('Portfolio Weights Std'!$B$9:$BJ$69))+1,MOD(ROW(A2056)-1,COLUMNS('Portfolio Weights Std'!$B$9:$BJ$69))+1)</f>
        <v>1.7240029574010145E-2</v>
      </c>
    </row>
    <row r="2058" spans="1:2" x14ac:dyDescent="0.25">
      <c r="A2058" cm="1">
        <f t="array" ref="A2058">INDEX('Portfolio Weights Returns'!$B$9:$BJ$69,
INT((ROW(A2057)-1)/COLUMNS('Portfolio Weights Returns'!$B$9:$BJ$69))+1,MOD(ROW(A2057)-1,COLUMNS('Portfolio Weights Returns'!$B$9:$BJ$69))+1)</f>
        <v>-6.8643596515416839E-4</v>
      </c>
      <c r="B2058" cm="1">
        <f t="array" ref="B2058">INDEX('Portfolio Weights Std'!$B$9:$BJ$69,INT((ROW(A2057)-1)/COLUMNS('Portfolio Weights Std'!$B$9:$BJ$69))+1,MOD(ROW(A2057)-1,COLUMNS('Portfolio Weights Std'!$B$9:$BJ$69))+1)</f>
        <v>1.7119127359978253E-2</v>
      </c>
    </row>
    <row r="2059" spans="1:2" x14ac:dyDescent="0.25">
      <c r="A2059" cm="1">
        <f t="array" ref="A2059">INDEX('Portfolio Weights Returns'!$B$9:$BJ$69,
INT((ROW(A2058)-1)/COLUMNS('Portfolio Weights Returns'!$B$9:$BJ$69))+1,MOD(ROW(A2058)-1,COLUMNS('Portfolio Weights Returns'!$B$9:$BJ$69))+1)</f>
        <v>-6.7965479118748924E-4</v>
      </c>
      <c r="B2059" cm="1">
        <f t="array" ref="B2059">INDEX('Portfolio Weights Std'!$B$9:$BJ$69,INT((ROW(A2058)-1)/COLUMNS('Portfolio Weights Std'!$B$9:$BJ$69))+1,MOD(ROW(A2058)-1,COLUMNS('Portfolio Weights Std'!$B$9:$BJ$69))+1)</f>
        <v>1.7000089096186929E-2</v>
      </c>
    </row>
    <row r="2060" spans="1:2" x14ac:dyDescent="0.25">
      <c r="A2060" cm="1">
        <f t="array" ref="A2060">INDEX('Portfolio Weights Returns'!$B$9:$BJ$69,
INT((ROW(A2059)-1)/COLUMNS('Portfolio Weights Returns'!$B$9:$BJ$69))+1,MOD(ROW(A2059)-1,COLUMNS('Portfolio Weights Returns'!$B$9:$BJ$69))+1)</f>
        <v>-6.7287361722081021E-4</v>
      </c>
      <c r="B2060" cm="1">
        <f t="array" ref="B2060">INDEX('Portfolio Weights Std'!$B$9:$BJ$69,INT((ROW(A2059)-1)/COLUMNS('Portfolio Weights Std'!$B$9:$BJ$69))+1,MOD(ROW(A2059)-1,COLUMNS('Portfolio Weights Std'!$B$9:$BJ$69))+1)</f>
        <v>1.6882954209680168E-2</v>
      </c>
    </row>
    <row r="2061" spans="1:2" x14ac:dyDescent="0.25">
      <c r="A2061" cm="1">
        <f t="array" ref="A2061">INDEX('Portfolio Weights Returns'!$B$9:$BJ$69,
INT((ROW(A2060)-1)/COLUMNS('Portfolio Weights Returns'!$B$9:$BJ$69))+1,MOD(ROW(A2060)-1,COLUMNS('Portfolio Weights Returns'!$B$9:$BJ$69))+1)</f>
        <v>-6.6609244325413106E-4</v>
      </c>
      <c r="B2061" cm="1">
        <f t="array" ref="B2061">INDEX('Portfolio Weights Std'!$B$9:$BJ$69,INT((ROW(A2060)-1)/COLUMNS('Portfolio Weights Std'!$B$9:$BJ$69))+1,MOD(ROW(A2060)-1,COLUMNS('Portfolio Weights Std'!$B$9:$BJ$69))+1)</f>
        <v>1.6767762589884997E-2</v>
      </c>
    </row>
    <row r="2062" spans="1:2" x14ac:dyDescent="0.25">
      <c r="A2062" cm="1">
        <f t="array" ref="A2062">INDEX('Portfolio Weights Returns'!$B$9:$BJ$69,
INT((ROW(A2061)-1)/COLUMNS('Portfolio Weights Returns'!$B$9:$BJ$69))+1,MOD(ROW(A2061)-1,COLUMNS('Portfolio Weights Returns'!$B$9:$BJ$69))+1)</f>
        <v>-6.5931126928745203E-4</v>
      </c>
      <c r="B2062" cm="1">
        <f t="array" ref="B2062">INDEX('Portfolio Weights Std'!$B$9:$BJ$69,INT((ROW(A2061)-1)/COLUMNS('Portfolio Weights Std'!$B$9:$BJ$69))+1,MOD(ROW(A2061)-1,COLUMNS('Portfolio Weights Std'!$B$9:$BJ$69))+1)</f>
        <v>1.6654554558800487E-2</v>
      </c>
    </row>
    <row r="2063" spans="1:2" x14ac:dyDescent="0.25">
      <c r="A2063" cm="1">
        <f t="array" ref="A2063">INDEX('Portfolio Weights Returns'!$B$9:$BJ$69,
INT((ROW(A2062)-1)/COLUMNS('Portfolio Weights Returns'!$B$9:$BJ$69))+1,MOD(ROW(A2062)-1,COLUMNS('Portfolio Weights Returns'!$B$9:$BJ$69))+1)</f>
        <v>-6.5253009532077299E-4</v>
      </c>
      <c r="B2063" cm="1">
        <f t="array" ref="B2063">INDEX('Portfolio Weights Std'!$B$9:$BJ$69,INT((ROW(A2062)-1)/COLUMNS('Portfolio Weights Std'!$B$9:$BJ$69))+1,MOD(ROW(A2062)-1,COLUMNS('Portfolio Weights Std'!$B$9:$BJ$69))+1)</f>
        <v>1.6543370838196899E-2</v>
      </c>
    </row>
    <row r="2064" spans="1:2" x14ac:dyDescent="0.25">
      <c r="A2064" cm="1">
        <f t="array" ref="A2064">INDEX('Portfolio Weights Returns'!$B$9:$BJ$69,
INT((ROW(A2063)-1)/COLUMNS('Portfolio Weights Returns'!$B$9:$BJ$69))+1,MOD(ROW(A2063)-1,COLUMNS('Portfolio Weights Returns'!$B$9:$BJ$69))+1)</f>
        <v>-6.4574892135409385E-4</v>
      </c>
      <c r="B2064" cm="1">
        <f t="array" ref="B2064">INDEX('Portfolio Weights Std'!$B$9:$BJ$69,INT((ROW(A2063)-1)/COLUMNS('Portfolio Weights Std'!$B$9:$BJ$69))+1,MOD(ROW(A2063)-1,COLUMNS('Portfolio Weights Std'!$B$9:$BJ$69))+1)</f>
        <v>1.643425251372483E-2</v>
      </c>
    </row>
    <row r="2065" spans="1:2" x14ac:dyDescent="0.25">
      <c r="A2065" cm="1">
        <f t="array" ref="A2065">INDEX('Portfolio Weights Returns'!$B$9:$BJ$69,
INT((ROW(A2064)-1)/COLUMNS('Portfolio Weights Returns'!$B$9:$BJ$69))+1,MOD(ROW(A2064)-1,COLUMNS('Portfolio Weights Returns'!$B$9:$BJ$69))+1)</f>
        <v>-6.389677473874147E-4</v>
      </c>
      <c r="B2065" cm="1">
        <f t="array" ref="B2065">INDEX('Portfolio Weights Std'!$B$9:$BJ$69,INT((ROW(A2064)-1)/COLUMNS('Portfolio Weights Std'!$B$9:$BJ$69))+1,MOD(ROW(A2064)-1,COLUMNS('Portfolio Weights Std'!$B$9:$BJ$69))+1)</f>
        <v>1.6327240995843848E-2</v>
      </c>
    </row>
    <row r="2066" spans="1:2" x14ac:dyDescent="0.25">
      <c r="A2066" cm="1">
        <f t="array" ref="A2066">INDEX('Portfolio Weights Returns'!$B$9:$BJ$69,
INT((ROW(A2065)-1)/COLUMNS('Portfolio Weights Returns'!$B$9:$BJ$69))+1,MOD(ROW(A2065)-1,COLUMNS('Portfolio Weights Returns'!$B$9:$BJ$69))+1)</f>
        <v>-6.3218657342073567E-4</v>
      </c>
      <c r="B2066" cm="1">
        <f t="array" ref="B2066">INDEX('Portfolio Weights Std'!$B$9:$BJ$69,INT((ROW(A2065)-1)/COLUMNS('Portfolio Weights Std'!$B$9:$BJ$69))+1,MOD(ROW(A2065)-1,COLUMNS('Portfolio Weights Std'!$B$9:$BJ$69))+1)</f>
        <v>1.6222377977490945E-2</v>
      </c>
    </row>
    <row r="2067" spans="1:2" x14ac:dyDescent="0.25">
      <c r="A2067" cm="1">
        <f t="array" ref="A2067">INDEX('Portfolio Weights Returns'!$B$9:$BJ$69,
INT((ROW(A2066)-1)/COLUMNS('Portfolio Weights Returns'!$B$9:$BJ$69))+1,MOD(ROW(A2066)-1,COLUMNS('Portfolio Weights Returns'!$B$9:$BJ$69))+1)</f>
        <v>-6.2540539945405652E-4</v>
      </c>
      <c r="B2067" cm="1">
        <f t="array" ref="B2067">INDEX('Portfolio Weights Std'!$B$9:$BJ$69,INT((ROW(A2066)-1)/COLUMNS('Portfolio Weights Std'!$B$9:$BJ$69))+1,MOD(ROW(A2066)-1,COLUMNS('Portfolio Weights Std'!$B$9:$BJ$69))+1)</f>
        <v>1.6119705388422216E-2</v>
      </c>
    </row>
    <row r="2068" spans="1:2" x14ac:dyDescent="0.25">
      <c r="A2068" cm="1">
        <f t="array" ref="A2068">INDEX('Portfolio Weights Returns'!$B$9:$BJ$69,
INT((ROW(A2067)-1)/COLUMNS('Portfolio Weights Returns'!$B$9:$BJ$69))+1,MOD(ROW(A2067)-1,COLUMNS('Portfolio Weights Returns'!$B$9:$BJ$69))+1)</f>
        <v>-6.1862422548737738E-4</v>
      </c>
      <c r="B2068" cm="1">
        <f t="array" ref="B2068">INDEX('Portfolio Weights Std'!$B$9:$BJ$69,INT((ROW(A2067)-1)/COLUMNS('Portfolio Weights Std'!$B$9:$BJ$69))+1,MOD(ROW(A2067)-1,COLUMNS('Portfolio Weights Std'!$B$9:$BJ$69))+1)</f>
        <v>1.6019265346176124E-2</v>
      </c>
    </row>
    <row r="2069" spans="1:2" x14ac:dyDescent="0.25">
      <c r="A2069" cm="1">
        <f t="array" ref="A2069">INDEX('Portfolio Weights Returns'!$B$9:$BJ$69,
INT((ROW(A2068)-1)/COLUMNS('Portfolio Weights Returns'!$B$9:$BJ$69))+1,MOD(ROW(A2068)-1,COLUMNS('Portfolio Weights Returns'!$B$9:$BJ$69))+1)</f>
        <v>-6.1184305152069834E-4</v>
      </c>
      <c r="B2069" cm="1">
        <f t="array" ref="B2069">INDEX('Portfolio Weights Std'!$B$9:$BJ$69,INT((ROW(A2068)-1)/COLUMNS('Portfolio Weights Std'!$B$9:$BJ$69))+1,MOD(ROW(A2068)-1,COLUMNS('Portfolio Weights Std'!$B$9:$BJ$69))+1)</f>
        <v>1.5921100103623374E-2</v>
      </c>
    </row>
    <row r="2070" spans="1:2" x14ac:dyDescent="0.25">
      <c r="A2070" cm="1">
        <f t="array" ref="A2070">INDEX('Portfolio Weights Returns'!$B$9:$BJ$69,
INT((ROW(A2069)-1)/COLUMNS('Portfolio Weights Returns'!$B$9:$BJ$69))+1,MOD(ROW(A2069)-1,COLUMNS('Portfolio Weights Returns'!$B$9:$BJ$69))+1)</f>
        <v>-6.050618775540192E-4</v>
      </c>
      <c r="B2070" cm="1">
        <f t="array" ref="B2070">INDEX('Portfolio Weights Std'!$B$9:$BJ$69,INT((ROW(A2069)-1)/COLUMNS('Portfolio Weights Std'!$B$9:$BJ$69))+1,MOD(ROW(A2069)-1,COLUMNS('Portfolio Weights Std'!$B$9:$BJ$69))+1)</f>
        <v>1.5825251993087472E-2</v>
      </c>
    </row>
    <row r="2071" spans="1:2" x14ac:dyDescent="0.25">
      <c r="A2071" cm="1">
        <f t="array" ref="A2071">INDEX('Portfolio Weights Returns'!$B$9:$BJ$69,
INT((ROW(A2070)-1)/COLUMNS('Portfolio Weights Returns'!$B$9:$BJ$69))+1,MOD(ROW(A2070)-1,COLUMNS('Portfolio Weights Returns'!$B$9:$BJ$69))+1)</f>
        <v>-5.9828070358734005E-4</v>
      </c>
      <c r="B2071" cm="1">
        <f t="array" ref="B2071">INDEX('Portfolio Weights Std'!$B$9:$BJ$69,INT((ROW(A2070)-1)/COLUMNS('Portfolio Weights Std'!$B$9:$BJ$69))+1,MOD(ROW(A2070)-1,COLUMNS('Portfolio Weights Std'!$B$9:$BJ$69))+1)</f>
        <v>1.5731763367040831E-2</v>
      </c>
    </row>
    <row r="2072" spans="1:2" x14ac:dyDescent="0.25">
      <c r="A2072" cm="1">
        <f t="array" ref="A2072">INDEX('Portfolio Weights Returns'!$B$9:$BJ$69,
INT((ROW(A2071)-1)/COLUMNS('Portfolio Weights Returns'!$B$9:$BJ$69))+1,MOD(ROW(A2071)-1,COLUMNS('Portfolio Weights Returns'!$B$9:$BJ$69))+1)</f>
        <v>-5.9149952962066026E-4</v>
      </c>
      <c r="B2072" cm="1">
        <f t="array" ref="B2072">INDEX('Portfolio Weights Std'!$B$9:$BJ$69,INT((ROW(A2071)-1)/COLUMNS('Portfolio Weights Std'!$B$9:$BJ$69))+1,MOD(ROW(A2071)-1,COLUMNS('Portfolio Weights Std'!$B$9:$BJ$69))+1)</f>
        <v>1.5640676535404161E-2</v>
      </c>
    </row>
    <row r="2073" spans="1:2" x14ac:dyDescent="0.25">
      <c r="A2073" cm="1">
        <f t="array" ref="A2073">INDEX('Portfolio Weights Returns'!$B$9:$BJ$69,
INT((ROW(A2072)-1)/COLUMNS('Portfolio Weights Returns'!$B$9:$BJ$69))+1,MOD(ROW(A2072)-1,COLUMNS('Portfolio Weights Returns'!$B$9:$BJ$69))+1)</f>
        <v>-5.8471835565398122E-4</v>
      </c>
      <c r="B2073" cm="1">
        <f t="array" ref="B2073">INDEX('Portfolio Weights Std'!$B$9:$BJ$69,INT((ROW(A2072)-1)/COLUMNS('Portfolio Weights Std'!$B$9:$BJ$69))+1,MOD(ROW(A2072)-1,COLUMNS('Portfolio Weights Std'!$B$9:$BJ$69))+1)</f>
        <v>1.5552033699501906E-2</v>
      </c>
    </row>
    <row r="2074" spans="1:2" x14ac:dyDescent="0.25">
      <c r="A2074" cm="1">
        <f t="array" ref="A2074">INDEX('Portfolio Weights Returns'!$B$9:$BJ$69,
INT((ROW(A2073)-1)/COLUMNS('Portfolio Weights Returns'!$B$9:$BJ$69))+1,MOD(ROW(A2073)-1,COLUMNS('Portfolio Weights Returns'!$B$9:$BJ$69))+1)</f>
        <v>-5.7793718168730208E-4</v>
      </c>
      <c r="B2074" cm="1">
        <f t="array" ref="B2074">INDEX('Portfolio Weights Std'!$B$9:$BJ$69,INT((ROW(A2073)-1)/COLUMNS('Portfolio Weights Std'!$B$9:$BJ$69))+1,MOD(ROW(A2073)-1,COLUMNS('Portfolio Weights Std'!$B$9:$BJ$69))+1)</f>
        <v>1.5465876882752871E-2</v>
      </c>
    </row>
    <row r="2075" spans="1:2" x14ac:dyDescent="0.25">
      <c r="A2075" cm="1">
        <f t="array" ref="A2075">INDEX('Portfolio Weights Returns'!$B$9:$BJ$69,
INT((ROW(A2074)-1)/COLUMNS('Portfolio Weights Returns'!$B$9:$BJ$69))+1,MOD(ROW(A2074)-1,COLUMNS('Portfolio Weights Returns'!$B$9:$BJ$69))+1)</f>
        <v>-5.7115600772062304E-4</v>
      </c>
      <c r="B2075" cm="1">
        <f t="array" ref="B2075">INDEX('Portfolio Weights Std'!$B$9:$BJ$69,INT((ROW(A2074)-1)/COLUMNS('Portfolio Weights Std'!$B$9:$BJ$69))+1,MOD(ROW(A2074)-1,COLUMNS('Portfolio Weights Std'!$B$9:$BJ$69))+1)</f>
        <v>1.538224785820402E-2</v>
      </c>
    </row>
    <row r="2076" spans="1:2" x14ac:dyDescent="0.25">
      <c r="A2076" cm="1">
        <f t="array" ref="A2076">INDEX('Portfolio Weights Returns'!$B$9:$BJ$69,
INT((ROW(A2075)-1)/COLUMNS('Portfolio Weights Returns'!$B$9:$BJ$69))+1,MOD(ROW(A2075)-1,COLUMNS('Portfolio Weights Returns'!$B$9:$BJ$69))+1)</f>
        <v>-9.7145223787591475E-4</v>
      </c>
      <c r="B2076" cm="1">
        <f t="array" ref="B2076">INDEX('Portfolio Weights Std'!$B$9:$BJ$69,INT((ROW(A2075)-1)/COLUMNS('Portfolio Weights Std'!$B$9:$BJ$69))+1,MOD(ROW(A2075)-1,COLUMNS('Portfolio Weights Std'!$B$9:$BJ$69))+1)</f>
        <v>2.344372238081795E-2</v>
      </c>
    </row>
    <row r="2077" spans="1:2" x14ac:dyDescent="0.25">
      <c r="A2077" cm="1">
        <f t="array" ref="A2077">INDEX('Portfolio Weights Returns'!$B$9:$BJ$69,
INT((ROW(A2076)-1)/COLUMNS('Portfolio Weights Returns'!$B$9:$BJ$69))+1,MOD(ROW(A2076)-1,COLUMNS('Portfolio Weights Returns'!$B$9:$BJ$69))+1)</f>
        <v>-9.646710639092356E-4</v>
      </c>
      <c r="B2077" cm="1">
        <f t="array" ref="B2077">INDEX('Portfolio Weights Std'!$B$9:$BJ$69,INT((ROW(A2076)-1)/COLUMNS('Portfolio Weights Std'!$B$9:$BJ$69))+1,MOD(ROW(A2076)-1,COLUMNS('Portfolio Weights Std'!$B$9:$BJ$69))+1)</f>
        <v>2.3273176912650802E-2</v>
      </c>
    </row>
    <row r="2078" spans="1:2" x14ac:dyDescent="0.25">
      <c r="A2078" cm="1">
        <f t="array" ref="A2078">INDEX('Portfolio Weights Returns'!$B$9:$BJ$69,
INT((ROW(A2077)-1)/COLUMNS('Portfolio Weights Returns'!$B$9:$BJ$69))+1,MOD(ROW(A2077)-1,COLUMNS('Portfolio Weights Returns'!$B$9:$BJ$69))+1)</f>
        <v>-9.5788988994255657E-4</v>
      </c>
      <c r="B2078" cm="1">
        <f t="array" ref="B2078">INDEX('Portfolio Weights Std'!$B$9:$BJ$69,INT((ROW(A2077)-1)/COLUMNS('Portfolio Weights Std'!$B$9:$BJ$69))+1,MOD(ROW(A2077)-1,COLUMNS('Portfolio Weights Std'!$B$9:$BJ$69))+1)</f>
        <v>2.3103376679674905E-2</v>
      </c>
    </row>
    <row r="2079" spans="1:2" x14ac:dyDescent="0.25">
      <c r="A2079" cm="1">
        <f t="array" ref="A2079">INDEX('Portfolio Weights Returns'!$B$9:$BJ$69,
INT((ROW(A2078)-1)/COLUMNS('Portfolio Weights Returns'!$B$9:$BJ$69))+1,MOD(ROW(A2078)-1,COLUMNS('Portfolio Weights Returns'!$B$9:$BJ$69))+1)</f>
        <v>-9.5110871597587742E-4</v>
      </c>
      <c r="B2079" cm="1">
        <f t="array" ref="B2079">INDEX('Portfolio Weights Std'!$B$9:$BJ$69,INT((ROW(A2078)-1)/COLUMNS('Portfolio Weights Std'!$B$9:$BJ$69))+1,MOD(ROW(A2078)-1,COLUMNS('Portfolio Weights Std'!$B$9:$BJ$69))+1)</f>
        <v>2.2934338234513674E-2</v>
      </c>
    </row>
    <row r="2080" spans="1:2" x14ac:dyDescent="0.25">
      <c r="A2080" cm="1">
        <f t="array" ref="A2080">INDEX('Portfolio Weights Returns'!$B$9:$BJ$69,
INT((ROW(A2079)-1)/COLUMNS('Portfolio Weights Returns'!$B$9:$BJ$69))+1,MOD(ROW(A2079)-1,COLUMNS('Portfolio Weights Returns'!$B$9:$BJ$69))+1)</f>
        <v>-9.4432754200919839E-4</v>
      </c>
      <c r="B2080" cm="1">
        <f t="array" ref="B2080">INDEX('Portfolio Weights Std'!$B$9:$BJ$69,INT((ROW(A2079)-1)/COLUMNS('Portfolio Weights Std'!$B$9:$BJ$69))+1,MOD(ROW(A2079)-1,COLUMNS('Portfolio Weights Std'!$B$9:$BJ$69))+1)</f>
        <v>2.2766078546028332E-2</v>
      </c>
    </row>
    <row r="2081" spans="1:2" x14ac:dyDescent="0.25">
      <c r="A2081" cm="1">
        <f t="array" ref="A2081">INDEX('Portfolio Weights Returns'!$B$9:$BJ$69,
INT((ROW(A2080)-1)/COLUMNS('Portfolio Weights Returns'!$B$9:$BJ$69))+1,MOD(ROW(A2080)-1,COLUMNS('Portfolio Weights Returns'!$B$9:$BJ$69))+1)</f>
        <v>-9.3754636804251913E-4</v>
      </c>
      <c r="B2081" cm="1">
        <f t="array" ref="B2081">INDEX('Portfolio Weights Std'!$B$9:$BJ$69,INT((ROW(A2080)-1)/COLUMNS('Portfolio Weights Std'!$B$9:$BJ$69))+1,MOD(ROW(A2080)-1,COLUMNS('Portfolio Weights Std'!$B$9:$BJ$69))+1)</f>
        <v>2.2598615009099848E-2</v>
      </c>
    </row>
    <row r="2082" spans="1:2" x14ac:dyDescent="0.25">
      <c r="A2082" cm="1">
        <f t="array" ref="A2082">INDEX('Portfolio Weights Returns'!$B$9:$BJ$69,
INT((ROW(A2081)-1)/COLUMNS('Portfolio Weights Returns'!$B$9:$BJ$69))+1,MOD(ROW(A2081)-1,COLUMNS('Portfolio Weights Returns'!$B$9:$BJ$69))+1)</f>
        <v>-9.307651940758401E-4</v>
      </c>
      <c r="B2082" cm="1">
        <f t="array" ref="B2082">INDEX('Portfolio Weights Std'!$B$9:$BJ$69,INT((ROW(A2081)-1)/COLUMNS('Portfolio Weights Std'!$B$9:$BJ$69))+1,MOD(ROW(A2081)-1,COLUMNS('Portfolio Weights Std'!$B$9:$BJ$69))+1)</f>
        <v>2.2431965454498642E-2</v>
      </c>
    </row>
    <row r="2083" spans="1:2" x14ac:dyDescent="0.25">
      <c r="A2083" cm="1">
        <f t="array" ref="A2083">INDEX('Portfolio Weights Returns'!$B$9:$BJ$69,
INT((ROW(A2082)-1)/COLUMNS('Portfolio Weights Returns'!$B$9:$BJ$69))+1,MOD(ROW(A2082)-1,COLUMNS('Portfolio Weights Returns'!$B$9:$BJ$69))+1)</f>
        <v>-9.2398402010916095E-4</v>
      </c>
      <c r="B2083" cm="1">
        <f t="array" ref="B2083">INDEX('Portfolio Weights Std'!$B$9:$BJ$69,INT((ROW(A2082)-1)/COLUMNS('Portfolio Weights Std'!$B$9:$BJ$69))+1,MOD(ROW(A2082)-1,COLUMNS('Portfolio Weights Std'!$B$9:$BJ$69))+1)</f>
        <v>2.2266148158827423E-2</v>
      </c>
    </row>
    <row r="2084" spans="1:2" x14ac:dyDescent="0.25">
      <c r="A2084" cm="1">
        <f t="array" ref="A2084">INDEX('Portfolio Weights Returns'!$B$9:$BJ$69,
INT((ROW(A2083)-1)/COLUMNS('Portfolio Weights Returns'!$B$9:$BJ$69))+1,MOD(ROW(A2083)-1,COLUMNS('Portfolio Weights Returns'!$B$9:$BJ$69))+1)</f>
        <v>-9.1720284614248192E-4</v>
      </c>
      <c r="B2084" cm="1">
        <f t="array" ref="B2084">INDEX('Portfolio Weights Std'!$B$9:$BJ$69,INT((ROW(A2083)-1)/COLUMNS('Portfolio Weights Std'!$B$9:$BJ$69))+1,MOD(ROW(A2083)-1,COLUMNS('Portfolio Weights Std'!$B$9:$BJ$69))+1)</f>
        <v>2.2101181854521111E-2</v>
      </c>
    </row>
    <row r="2085" spans="1:2" x14ac:dyDescent="0.25">
      <c r="A2085" cm="1">
        <f t="array" ref="A2085">INDEX('Portfolio Weights Returns'!$B$9:$BJ$69,
INT((ROW(A2084)-1)/COLUMNS('Portfolio Weights Returns'!$B$9:$BJ$69))+1,MOD(ROW(A2084)-1,COLUMNS('Portfolio Weights Returns'!$B$9:$BJ$69))+1)</f>
        <v>-9.1042167217580277E-4</v>
      </c>
      <c r="B2085" cm="1">
        <f t="array" ref="B2085">INDEX('Portfolio Weights Std'!$B$9:$BJ$69,INT((ROW(A2084)-1)/COLUMNS('Portfolio Weights Std'!$B$9:$BJ$69))+1,MOD(ROW(A2084)-1,COLUMNS('Portfolio Weights Std'!$B$9:$BJ$69))+1)</f>
        <v>2.1937085739885745E-2</v>
      </c>
    </row>
    <row r="2086" spans="1:2" x14ac:dyDescent="0.25">
      <c r="A2086" cm="1">
        <f t="array" ref="A2086">INDEX('Portfolio Weights Returns'!$B$9:$BJ$69,
INT((ROW(A2085)-1)/COLUMNS('Portfolio Weights Returns'!$B$9:$BJ$69))+1,MOD(ROW(A2085)-1,COLUMNS('Portfolio Weights Returns'!$B$9:$BJ$69))+1)</f>
        <v>-9.0364049820912374E-4</v>
      </c>
      <c r="B2086" cm="1">
        <f t="array" ref="B2086">INDEX('Portfolio Weights Std'!$B$9:$BJ$69,INT((ROW(A2085)-1)/COLUMNS('Portfolio Weights Std'!$B$9:$BJ$69))+1,MOD(ROW(A2085)-1,COLUMNS('Portfolio Weights Std'!$B$9:$BJ$69))+1)</f>
        <v>2.1773879489156493E-2</v>
      </c>
    </row>
    <row r="2087" spans="1:2" x14ac:dyDescent="0.25">
      <c r="A2087" cm="1">
        <f t="array" ref="A2087">INDEX('Portfolio Weights Returns'!$B$9:$BJ$69,
INT((ROW(A2086)-1)/COLUMNS('Portfolio Weights Returns'!$B$9:$BJ$69))+1,MOD(ROW(A2086)-1,COLUMNS('Portfolio Weights Returns'!$B$9:$BJ$69))+1)</f>
        <v>-8.9685932424244459E-4</v>
      </c>
      <c r="B2087" cm="1">
        <f t="array" ref="B2087">INDEX('Portfolio Weights Std'!$B$9:$BJ$69,INT((ROW(A2086)-1)/COLUMNS('Portfolio Weights Std'!$B$9:$BJ$69))+1,MOD(ROW(A2086)-1,COLUMNS('Portfolio Weights Std'!$B$9:$BJ$69))+1)</f>
        <v>2.1611583262552678E-2</v>
      </c>
    </row>
    <row r="2088" spans="1:2" x14ac:dyDescent="0.25">
      <c r="A2088" cm="1">
        <f t="array" ref="A2088">INDEX('Portfolio Weights Returns'!$B$9:$BJ$69,
INT((ROW(A2087)-1)/COLUMNS('Portfolio Weights Returns'!$B$9:$BJ$69))+1,MOD(ROW(A2087)-1,COLUMNS('Portfolio Weights Returns'!$B$9:$BJ$69))+1)</f>
        <v>-8.9007815027576534E-4</v>
      </c>
      <c r="B2088" cm="1">
        <f t="array" ref="B2088">INDEX('Portfolio Weights Std'!$B$9:$BJ$69,INT((ROW(A2087)-1)/COLUMNS('Portfolio Weights Std'!$B$9:$BJ$69))+1,MOD(ROW(A2087)-1,COLUMNS('Portfolio Weights Std'!$B$9:$BJ$69))+1)</f>
        <v>2.1450217716305585E-2</v>
      </c>
    </row>
    <row r="2089" spans="1:2" x14ac:dyDescent="0.25">
      <c r="A2089" cm="1">
        <f t="array" ref="A2089">INDEX('Portfolio Weights Returns'!$B$9:$BJ$69,
INT((ROW(A2088)-1)/COLUMNS('Portfolio Weights Returns'!$B$9:$BJ$69))+1,MOD(ROW(A2088)-1,COLUMNS('Portfolio Weights Returns'!$B$9:$BJ$69))+1)</f>
        <v>-8.832969763090863E-4</v>
      </c>
      <c r="B2089" cm="1">
        <f t="array" ref="B2089">INDEX('Portfolio Weights Std'!$B$9:$BJ$69,INT((ROW(A2088)-1)/COLUMNS('Portfolio Weights Std'!$B$9:$BJ$69))+1,MOD(ROW(A2088)-1,COLUMNS('Portfolio Weights Std'!$B$9:$BJ$69))+1)</f>
        <v>2.1289804012632408E-2</v>
      </c>
    </row>
    <row r="2090" spans="1:2" x14ac:dyDescent="0.25">
      <c r="A2090" cm="1">
        <f t="array" ref="A2090">INDEX('Portfolio Weights Returns'!$B$9:$BJ$69,
INT((ROW(A2089)-1)/COLUMNS('Portfolio Weights Returns'!$B$9:$BJ$69))+1,MOD(ROW(A2089)-1,COLUMNS('Portfolio Weights Returns'!$B$9:$BJ$69))+1)</f>
        <v>-8.7651580234240716E-4</v>
      </c>
      <c r="B2090" cm="1">
        <f t="array" ref="B2090">INDEX('Portfolio Weights Std'!$B$9:$BJ$69,INT((ROW(A2089)-1)/COLUMNS('Portfolio Weights Std'!$B$9:$BJ$69))+1,MOD(ROW(A2089)-1,COLUMNS('Portfolio Weights Std'!$B$9:$BJ$69))+1)</f>
        <v>2.1130363829627116E-2</v>
      </c>
    </row>
    <row r="2091" spans="1:2" x14ac:dyDescent="0.25">
      <c r="A2091" cm="1">
        <f t="array" ref="A2091">INDEX('Portfolio Weights Returns'!$B$9:$BJ$69,
INT((ROW(A2090)-1)/COLUMNS('Portfolio Weights Returns'!$B$9:$BJ$69))+1,MOD(ROW(A2090)-1,COLUMNS('Portfolio Weights Returns'!$B$9:$BJ$69))+1)</f>
        <v>-8.6973462837572812E-4</v>
      </c>
      <c r="B2091" cm="1">
        <f t="array" ref="B2091">INDEX('Portfolio Weights Std'!$B$9:$BJ$69,INT((ROW(A2090)-1)/COLUMNS('Portfolio Weights Std'!$B$9:$BJ$69))+1,MOD(ROW(A2090)-1,COLUMNS('Portfolio Weights Std'!$B$9:$BJ$69))+1)</f>
        <v>2.0971919371036471E-2</v>
      </c>
    </row>
    <row r="2092" spans="1:2" x14ac:dyDescent="0.25">
      <c r="A2092" cm="1">
        <f t="array" ref="A2092">INDEX('Portfolio Weights Returns'!$B$9:$BJ$69,
INT((ROW(A2091)-1)/COLUMNS('Portfolio Weights Returns'!$B$9:$BJ$69))+1,MOD(ROW(A2091)-1,COLUMNS('Portfolio Weights Returns'!$B$9:$BJ$69))+1)</f>
        <v>-8.6295345440904909E-4</v>
      </c>
      <c r="B2092" cm="1">
        <f t="array" ref="B2092">INDEX('Portfolio Weights Std'!$B$9:$BJ$69,INT((ROW(A2091)-1)/COLUMNS('Portfolio Weights Std'!$B$9:$BJ$69))+1,MOD(ROW(A2091)-1,COLUMNS('Portfolio Weights Std'!$B$9:$BJ$69))+1)</f>
        <v>2.0814493375886471E-2</v>
      </c>
    </row>
    <row r="2093" spans="1:2" x14ac:dyDescent="0.25">
      <c r="A2093" cm="1">
        <f t="array" ref="A2093">INDEX('Portfolio Weights Returns'!$B$9:$BJ$69,
INT((ROW(A2092)-1)/COLUMNS('Portfolio Weights Returns'!$B$9:$BJ$69))+1,MOD(ROW(A2092)-1,COLUMNS('Portfolio Weights Returns'!$B$9:$BJ$69))+1)</f>
        <v>-8.5617228044236994E-4</v>
      </c>
      <c r="B2093" cm="1">
        <f t="array" ref="B2093">INDEX('Portfolio Weights Std'!$B$9:$BJ$69,INT((ROW(A2092)-1)/COLUMNS('Portfolio Weights Std'!$B$9:$BJ$69))+1,MOD(ROW(A2092)-1,COLUMNS('Portfolio Weights Std'!$B$9:$BJ$69))+1)</f>
        <v>2.0658109127921521E-2</v>
      </c>
    </row>
    <row r="2094" spans="1:2" x14ac:dyDescent="0.25">
      <c r="A2094" cm="1">
        <f t="array" ref="A2094">INDEX('Portfolio Weights Returns'!$B$9:$BJ$69,
INT((ROW(A2093)-1)/COLUMNS('Portfolio Weights Returns'!$B$9:$BJ$69))+1,MOD(ROW(A2093)-1,COLUMNS('Portfolio Weights Returns'!$B$9:$BJ$69))+1)</f>
        <v>-8.4939110647569091E-4</v>
      </c>
      <c r="B2094" cm="1">
        <f t="array" ref="B2094">INDEX('Portfolio Weights Std'!$B$9:$BJ$69,INT((ROW(A2093)-1)/COLUMNS('Portfolio Weights Std'!$B$9:$BJ$69))+1,MOD(ROW(A2093)-1,COLUMNS('Portfolio Weights Std'!$B$9:$BJ$69))+1)</f>
        <v>2.0502790464815592E-2</v>
      </c>
    </row>
    <row r="2095" spans="1:2" x14ac:dyDescent="0.25">
      <c r="A2095" cm="1">
        <f t="array" ref="A2095">INDEX('Portfolio Weights Returns'!$B$9:$BJ$69,
INT((ROW(A2094)-1)/COLUMNS('Portfolio Weights Returns'!$B$9:$BJ$69))+1,MOD(ROW(A2094)-1,COLUMNS('Portfolio Weights Returns'!$B$9:$BJ$69))+1)</f>
        <v>-8.4260993250901187E-4</v>
      </c>
      <c r="B2095" cm="1">
        <f t="array" ref="B2095">INDEX('Portfolio Weights Std'!$B$9:$BJ$69,INT((ROW(A2094)-1)/COLUMNS('Portfolio Weights Std'!$B$9:$BJ$69))+1,MOD(ROW(A2094)-1,COLUMNS('Portfolio Weights Std'!$B$9:$BJ$69))+1)</f>
        <v>2.0348561787111093E-2</v>
      </c>
    </row>
    <row r="2096" spans="1:2" x14ac:dyDescent="0.25">
      <c r="A2096" cm="1">
        <f t="array" ref="A2096">INDEX('Portfolio Weights Returns'!$B$9:$BJ$69,
INT((ROW(A2095)-1)/COLUMNS('Portfolio Weights Returns'!$B$9:$BJ$69))+1,MOD(ROW(A2095)-1,COLUMNS('Portfolio Weights Returns'!$B$9:$BJ$69))+1)</f>
        <v>-8.3582875854233273E-4</v>
      </c>
      <c r="B2096" cm="1">
        <f t="array" ref="B2096">INDEX('Portfolio Weights Std'!$B$9:$BJ$69,INT((ROW(A2095)-1)/COLUMNS('Portfolio Weights Std'!$B$9:$BJ$69))+1,MOD(ROW(A2095)-1,COLUMNS('Portfolio Weights Std'!$B$9:$BJ$69))+1)</f>
        <v>2.0195448066837943E-2</v>
      </c>
    </row>
    <row r="2097" spans="1:2" x14ac:dyDescent="0.25">
      <c r="A2097" cm="1">
        <f t="array" ref="A2097">INDEX('Portfolio Weights Returns'!$B$9:$BJ$69,
INT((ROW(A2096)-1)/COLUMNS('Portfolio Weights Returns'!$B$9:$BJ$69))+1,MOD(ROW(A2096)-1,COLUMNS('Portfolio Weights Returns'!$B$9:$BJ$69))+1)</f>
        <v>-8.2904758457565358E-4</v>
      </c>
      <c r="B2097" cm="1">
        <f t="array" ref="B2097">INDEX('Portfolio Weights Std'!$B$9:$BJ$69,INT((ROW(A2096)-1)/COLUMNS('Portfolio Weights Std'!$B$9:$BJ$69))+1,MOD(ROW(A2096)-1,COLUMNS('Portfolio Weights Std'!$B$9:$BJ$69))+1)</f>
        <v>2.0043474855761537E-2</v>
      </c>
    </row>
    <row r="2098" spans="1:2" x14ac:dyDescent="0.25">
      <c r="A2098" cm="1">
        <f t="array" ref="A2098">INDEX('Portfolio Weights Returns'!$B$9:$BJ$69,
INT((ROW(A2097)-1)/COLUMNS('Portfolio Weights Returns'!$B$9:$BJ$69))+1,MOD(ROW(A2097)-1,COLUMNS('Portfolio Weights Returns'!$B$9:$BJ$69))+1)</f>
        <v>-8.2226641060897455E-4</v>
      </c>
      <c r="B2098" cm="1">
        <f t="array" ref="B2098">INDEX('Portfolio Weights Std'!$B$9:$BJ$69,INT((ROW(A2097)-1)/COLUMNS('Portfolio Weights Std'!$B$9:$BJ$69))+1,MOD(ROW(A2097)-1,COLUMNS('Portfolio Weights Std'!$B$9:$BJ$69))+1)</f>
        <v>1.9892668293204591E-2</v>
      </c>
    </row>
    <row r="2099" spans="1:2" x14ac:dyDescent="0.25">
      <c r="A2099" cm="1">
        <f t="array" ref="A2099">INDEX('Portfolio Weights Returns'!$B$9:$BJ$69,
INT((ROW(A2098)-1)/COLUMNS('Portfolio Weights Returns'!$B$9:$BJ$69))+1,MOD(ROW(A2098)-1,COLUMNS('Portfolio Weights Returns'!$B$9:$BJ$69))+1)</f>
        <v>-8.1548523664229529E-4</v>
      </c>
      <c r="B2099" cm="1">
        <f t="array" ref="B2099">INDEX('Portfolio Weights Std'!$B$9:$BJ$69,INT((ROW(A2098)-1)/COLUMNS('Portfolio Weights Std'!$B$9:$BJ$69))+1,MOD(ROW(A2098)-1,COLUMNS('Portfolio Weights Std'!$B$9:$BJ$69))+1)</f>
        <v>1.9743055113383937E-2</v>
      </c>
    </row>
    <row r="2100" spans="1:2" x14ac:dyDescent="0.25">
      <c r="A2100" cm="1">
        <f t="array" ref="A2100">INDEX('Portfolio Weights Returns'!$B$9:$BJ$69,
INT((ROW(A2099)-1)/COLUMNS('Portfolio Weights Returns'!$B$9:$BJ$69))+1,MOD(ROW(A2099)-1,COLUMNS('Portfolio Weights Returns'!$B$9:$BJ$69))+1)</f>
        <v>-8.0870406267561626E-4</v>
      </c>
      <c r="B2100" cm="1">
        <f t="array" ref="B2100">INDEX('Portfolio Weights Std'!$B$9:$BJ$69,INT((ROW(A2099)-1)/COLUMNS('Portfolio Weights Std'!$B$9:$BJ$69))+1,MOD(ROW(A2099)-1,COLUMNS('Portfolio Weights Std'!$B$9:$BJ$69))+1)</f>
        <v>1.9594662652199189E-2</v>
      </c>
    </row>
    <row r="2101" spans="1:2" x14ac:dyDescent="0.25">
      <c r="A2101" cm="1">
        <f t="array" ref="A2101">INDEX('Portfolio Weights Returns'!$B$9:$BJ$69,
INT((ROW(A2100)-1)/COLUMNS('Portfolio Weights Returns'!$B$9:$BJ$69))+1,MOD(ROW(A2100)-1,COLUMNS('Portfolio Weights Returns'!$B$9:$BJ$69))+1)</f>
        <v>-8.0192288870893711E-4</v>
      </c>
      <c r="B2101" cm="1">
        <f t="array" ref="B2101">INDEX('Portfolio Weights Std'!$B$9:$BJ$69,INT((ROW(A2100)-1)/COLUMNS('Portfolio Weights Std'!$B$9:$BJ$69))+1,MOD(ROW(A2100)-1,COLUMNS('Portfolio Weights Std'!$B$9:$BJ$69))+1)</f>
        <v>1.9447518853406211E-2</v>
      </c>
    </row>
    <row r="2102" spans="1:2" x14ac:dyDescent="0.25">
      <c r="A2102" cm="1">
        <f t="array" ref="A2102">INDEX('Portfolio Weights Returns'!$B$9:$BJ$69,
INT((ROW(A2101)-1)/COLUMNS('Portfolio Weights Returns'!$B$9:$BJ$69))+1,MOD(ROW(A2101)-1,COLUMNS('Portfolio Weights Returns'!$B$9:$BJ$69))+1)</f>
        <v>-7.9514171474225808E-4</v>
      </c>
      <c r="B2102" cm="1">
        <f t="array" ref="B2102">INDEX('Portfolio Weights Std'!$B$9:$BJ$69,INT((ROW(A2101)-1)/COLUMNS('Portfolio Weights Std'!$B$9:$BJ$69))+1,MOD(ROW(A2101)-1,COLUMNS('Portfolio Weights Std'!$B$9:$BJ$69))+1)</f>
        <v>1.9301652274103794E-2</v>
      </c>
    </row>
    <row r="2103" spans="1:2" x14ac:dyDescent="0.25">
      <c r="A2103" cm="1">
        <f t="array" ref="A2103">INDEX('Portfolio Weights Returns'!$B$9:$BJ$69,
INT((ROW(A2102)-1)/COLUMNS('Portfolio Weights Returns'!$B$9:$BJ$69))+1,MOD(ROW(A2102)-1,COLUMNS('Portfolio Weights Returns'!$B$9:$BJ$69))+1)</f>
        <v>-7.8836054077557893E-4</v>
      </c>
      <c r="B2103" cm="1">
        <f t="array" ref="B2103">INDEX('Portfolio Weights Std'!$B$9:$BJ$69,INT((ROW(A2102)-1)/COLUMNS('Portfolio Weights Std'!$B$9:$BJ$69))+1,MOD(ROW(A2102)-1,COLUMNS('Portfolio Weights Std'!$B$9:$BJ$69))+1)</f>
        <v>1.9157092089457844E-2</v>
      </c>
    </row>
    <row r="2104" spans="1:2" x14ac:dyDescent="0.25">
      <c r="A2104" cm="1">
        <f t="array" ref="A2104">INDEX('Portfolio Weights Returns'!$B$9:$BJ$69,
INT((ROW(A2103)-1)/COLUMNS('Portfolio Weights Returns'!$B$9:$BJ$69))+1,MOD(ROW(A2103)-1,COLUMNS('Portfolio Weights Returns'!$B$9:$BJ$69))+1)</f>
        <v>-7.815793668088999E-4</v>
      </c>
      <c r="B2104" cm="1">
        <f t="array" ref="B2104">INDEX('Portfolio Weights Std'!$B$9:$BJ$69,INT((ROW(A2103)-1)/COLUMNS('Portfolio Weights Std'!$B$9:$BJ$69))+1,MOD(ROW(A2103)-1,COLUMNS('Portfolio Weights Std'!$B$9:$BJ$69))+1)</f>
        <v>1.9013868096582724E-2</v>
      </c>
    </row>
    <row r="2105" spans="1:2" x14ac:dyDescent="0.25">
      <c r="A2105" cm="1">
        <f t="array" ref="A2105">INDEX('Portfolio Weights Returns'!$B$9:$BJ$69,
INT((ROW(A2104)-1)/COLUMNS('Portfolio Weights Returns'!$B$9:$BJ$69))+1,MOD(ROW(A2104)-1,COLUMNS('Portfolio Weights Returns'!$B$9:$BJ$69))+1)</f>
        <v>-7.7479819284222075E-4</v>
      </c>
      <c r="B2105" cm="1">
        <f t="array" ref="B2105">INDEX('Portfolio Weights Std'!$B$9:$BJ$69,INT((ROW(A2104)-1)/COLUMNS('Portfolio Weights Std'!$B$9:$BJ$69))+1,MOD(ROW(A2104)-1,COLUMNS('Portfolio Weights Std'!$B$9:$BJ$69))+1)</f>
        <v>1.8872010717495107E-2</v>
      </c>
    </row>
    <row r="2106" spans="1:2" x14ac:dyDescent="0.25">
      <c r="A2106" cm="1">
        <f t="array" ref="A2106">INDEX('Portfolio Weights Returns'!$B$9:$BJ$69,
INT((ROW(A2105)-1)/COLUMNS('Portfolio Weights Returns'!$B$9:$BJ$69))+1,MOD(ROW(A2105)-1,COLUMNS('Portfolio Weights Returns'!$B$9:$BJ$69))+1)</f>
        <v>-7.6801701887554161E-4</v>
      </c>
      <c r="B2106" cm="1">
        <f t="array" ref="B2106">INDEX('Portfolio Weights Std'!$B$9:$BJ$69,INT((ROW(A2105)-1)/COLUMNS('Portfolio Weights Std'!$B$9:$BJ$69))+1,MOD(ROW(A2105)-1,COLUMNS('Portfolio Weights Std'!$B$9:$BJ$69))+1)</f>
        <v>1.8731551001051144E-2</v>
      </c>
    </row>
    <row r="2107" spans="1:2" x14ac:dyDescent="0.25">
      <c r="A2107" cm="1">
        <f t="array" ref="A2107">INDEX('Portfolio Weights Returns'!$B$9:$BJ$69,
INT((ROW(A2106)-1)/COLUMNS('Portfolio Weights Returns'!$B$9:$BJ$69))+1,MOD(ROW(A2106)-1,COLUMNS('Portfolio Weights Returns'!$B$9:$BJ$69))+1)</f>
        <v>-7.6123584490886246E-4</v>
      </c>
      <c r="B2107" cm="1">
        <f t="array" ref="B2107">INDEX('Portfolio Weights Std'!$B$9:$BJ$69,INT((ROW(A2106)-1)/COLUMNS('Portfolio Weights Std'!$B$9:$BJ$69))+1,MOD(ROW(A2106)-1,COLUMNS('Portfolio Weights Std'!$B$9:$BJ$69))+1)</f>
        <v>1.8592520623773312E-2</v>
      </c>
    </row>
    <row r="2108" spans="1:2" x14ac:dyDescent="0.25">
      <c r="A2108" cm="1">
        <f t="array" ref="A2108">INDEX('Portfolio Weights Returns'!$B$9:$BJ$69,
INT((ROW(A2107)-1)/COLUMNS('Portfolio Weights Returns'!$B$9:$BJ$69))+1,MOD(ROW(A2107)-1,COLUMNS('Portfolio Weights Returns'!$B$9:$BJ$69))+1)</f>
        <v>-7.5445467094218332E-4</v>
      </c>
      <c r="B2108" cm="1">
        <f t="array" ref="B2108">INDEX('Portfolio Weights Std'!$B$9:$BJ$69,INT((ROW(A2107)-1)/COLUMNS('Portfolio Weights Std'!$B$9:$BJ$69))+1,MOD(ROW(A2107)-1,COLUMNS('Portfolio Weights Std'!$B$9:$BJ$69))+1)</f>
        <v>1.8454951889469058E-2</v>
      </c>
    </row>
    <row r="2109" spans="1:2" x14ac:dyDescent="0.25">
      <c r="A2109" cm="1">
        <f t="array" ref="A2109">INDEX('Portfolio Weights Returns'!$B$9:$BJ$69,
INT((ROW(A2108)-1)/COLUMNS('Portfolio Weights Returns'!$B$9:$BJ$69))+1,MOD(ROW(A2108)-1,COLUMNS('Portfolio Weights Returns'!$B$9:$BJ$69))+1)</f>
        <v>-7.4767349697550428E-4</v>
      </c>
      <c r="B2109" cm="1">
        <f t="array" ref="B2109">INDEX('Portfolio Weights Std'!$B$9:$BJ$69,INT((ROW(A2108)-1)/COLUMNS('Portfolio Weights Std'!$B$9:$BJ$69))+1,MOD(ROW(A2108)-1,COLUMNS('Portfolio Weights Std'!$B$9:$BJ$69))+1)</f>
        <v>1.8318877727539019E-2</v>
      </c>
    </row>
    <row r="2110" spans="1:2" x14ac:dyDescent="0.25">
      <c r="A2110" cm="1">
        <f t="array" ref="A2110">INDEX('Portfolio Weights Returns'!$B$9:$BJ$69,
INT((ROW(A2109)-1)/COLUMNS('Portfolio Weights Returns'!$B$9:$BJ$69))+1,MOD(ROW(A2109)-1,COLUMNS('Portfolio Weights Returns'!$B$9:$BJ$69))+1)</f>
        <v>-7.4089232300882514E-4</v>
      </c>
      <c r="B2110" cm="1">
        <f t="array" ref="B2110">INDEX('Portfolio Weights Std'!$B$9:$BJ$69,INT((ROW(A2109)-1)/COLUMNS('Portfolio Weights Std'!$B$9:$BJ$69))+1,MOD(ROW(A2109)-1,COLUMNS('Portfolio Weights Std'!$B$9:$BJ$69))+1)</f>
        <v>1.8184331689868584E-2</v>
      </c>
    </row>
    <row r="2111" spans="1:2" x14ac:dyDescent="0.25">
      <c r="A2111" cm="1">
        <f t="array" ref="A2111">INDEX('Portfolio Weights Returns'!$B$9:$BJ$69,
INT((ROW(A2110)-1)/COLUMNS('Portfolio Weights Returns'!$B$9:$BJ$69))+1,MOD(ROW(A2110)-1,COLUMNS('Portfolio Weights Returns'!$B$9:$BJ$69))+1)</f>
        <v>-7.341111490421461E-4</v>
      </c>
      <c r="B2111" cm="1">
        <f t="array" ref="B2111">INDEX('Portfolio Weights Std'!$B$9:$BJ$69,INT((ROW(A2110)-1)/COLUMNS('Portfolio Weights Std'!$B$9:$BJ$69))+1,MOD(ROW(A2110)-1,COLUMNS('Portfolio Weights Std'!$B$9:$BJ$69))+1)</f>
        <v>1.8051347946192783E-2</v>
      </c>
    </row>
    <row r="2112" spans="1:2" x14ac:dyDescent="0.25">
      <c r="A2112" cm="1">
        <f t="array" ref="A2112">INDEX('Portfolio Weights Returns'!$B$9:$BJ$69,
INT((ROW(A2111)-1)/COLUMNS('Portfolio Weights Returns'!$B$9:$BJ$69))+1,MOD(ROW(A2111)-1,COLUMNS('Portfolio Weights Returns'!$B$9:$BJ$69))+1)</f>
        <v>-7.2732997507546696E-4</v>
      </c>
      <c r="B2112" cm="1">
        <f t="array" ref="B2112">INDEX('Portfolio Weights Std'!$B$9:$BJ$69,INT((ROW(A2111)-1)/COLUMNS('Portfolio Weights Std'!$B$9:$BJ$69))+1,MOD(ROW(A2111)-1,COLUMNS('Portfolio Weights Std'!$B$9:$BJ$69))+1)</f>
        <v>1.7919961277820994E-2</v>
      </c>
    </row>
    <row r="2113" spans="1:2" x14ac:dyDescent="0.25">
      <c r="A2113" cm="1">
        <f t="array" ref="A2113">INDEX('Portfolio Weights Returns'!$B$9:$BJ$69,
INT((ROW(A2112)-1)/COLUMNS('Portfolio Weights Returns'!$B$9:$BJ$69))+1,MOD(ROW(A2112)-1,COLUMNS('Portfolio Weights Returns'!$B$9:$BJ$69))+1)</f>
        <v>-7.2054880110878781E-4</v>
      </c>
      <c r="B2113" cm="1">
        <f t="array" ref="B2113">INDEX('Portfolio Weights Std'!$B$9:$BJ$69,INT((ROW(A2112)-1)/COLUMNS('Portfolio Weights Std'!$B$9:$BJ$69))+1,MOD(ROW(A2112)-1,COLUMNS('Portfolio Weights Std'!$B$9:$BJ$69))+1)</f>
        <v>1.7790207069604762E-2</v>
      </c>
    </row>
    <row r="2114" spans="1:2" x14ac:dyDescent="0.25">
      <c r="A2114" cm="1">
        <f t="array" ref="A2114">INDEX('Portfolio Weights Returns'!$B$9:$BJ$69,
INT((ROW(A2113)-1)/COLUMNS('Portfolio Weights Returns'!$B$9:$BJ$69))+1,MOD(ROW(A2113)-1,COLUMNS('Portfolio Weights Returns'!$B$9:$BJ$69))+1)</f>
        <v>-7.1376762714210878E-4</v>
      </c>
      <c r="B2114" cm="1">
        <f t="array" ref="B2114">INDEX('Portfolio Weights Std'!$B$9:$BJ$69,INT((ROW(A2113)-1)/COLUMNS('Portfolio Weights Std'!$B$9:$BJ$69))+1,MOD(ROW(A2113)-1,COLUMNS('Portfolio Weights Std'!$B$9:$BJ$69))+1)</f>
        <v>1.766212130002941E-2</v>
      </c>
    </row>
    <row r="2115" spans="1:2" x14ac:dyDescent="0.25">
      <c r="A2115" cm="1">
        <f t="array" ref="A2115">INDEX('Portfolio Weights Returns'!$B$9:$BJ$69,
INT((ROW(A2114)-1)/COLUMNS('Portfolio Weights Returns'!$B$9:$BJ$69))+1,MOD(ROW(A2114)-1,COLUMNS('Portfolio Weights Returns'!$B$9:$BJ$69))+1)</f>
        <v>-7.0698645317542974E-4</v>
      </c>
      <c r="B2115" cm="1">
        <f t="array" ref="B2115">INDEX('Portfolio Weights Std'!$B$9:$BJ$69,INT((ROW(A2114)-1)/COLUMNS('Portfolio Weights Std'!$B$9:$BJ$69))+1,MOD(ROW(A2114)-1,COLUMNS('Portfolio Weights Std'!$B$9:$BJ$69))+1)</f>
        <v>1.7535740529308019E-2</v>
      </c>
    </row>
    <row r="2116" spans="1:2" x14ac:dyDescent="0.25">
      <c r="A2116" cm="1">
        <f t="array" ref="A2116">INDEX('Portfolio Weights Returns'!$B$9:$BJ$69,
INT((ROW(A2115)-1)/COLUMNS('Portfolio Weights Returns'!$B$9:$BJ$69))+1,MOD(ROW(A2115)-1,COLUMNS('Portfolio Weights Returns'!$B$9:$BJ$69))+1)</f>
        <v>-7.002052792087506E-4</v>
      </c>
      <c r="B2116" cm="1">
        <f t="array" ref="B2116">INDEX('Portfolio Weights Std'!$B$9:$BJ$69,INT((ROW(A2115)-1)/COLUMNS('Portfolio Weights Std'!$B$9:$BJ$69))+1,MOD(ROW(A2115)-1,COLUMNS('Portfolio Weights Std'!$B$9:$BJ$69))+1)</f>
        <v>1.7411101885354788E-2</v>
      </c>
    </row>
    <row r="2117" spans="1:2" x14ac:dyDescent="0.25">
      <c r="A2117" cm="1">
        <f t="array" ref="A2117">INDEX('Portfolio Weights Returns'!$B$9:$BJ$69,
INT((ROW(A2116)-1)/COLUMNS('Portfolio Weights Returns'!$B$9:$BJ$69))+1,MOD(ROW(A2116)-1,COLUMNS('Portfolio Weights Returns'!$B$9:$BJ$69))+1)</f>
        <v>-6.9342410524207145E-4</v>
      </c>
      <c r="B2117" cm="1">
        <f t="array" ref="B2117">INDEX('Portfolio Weights Std'!$B$9:$BJ$69,INT((ROW(A2116)-1)/COLUMNS('Portfolio Weights Std'!$B$9:$BJ$69))+1,MOD(ROW(A2116)-1,COLUMNS('Portfolio Weights Std'!$B$9:$BJ$69))+1)</f>
        <v>1.7288243047514116E-2</v>
      </c>
    </row>
    <row r="2118" spans="1:2" x14ac:dyDescent="0.25">
      <c r="A2118" cm="1">
        <f t="array" ref="A2118">INDEX('Portfolio Weights Returns'!$B$9:$BJ$69,
INT((ROW(A2117)-1)/COLUMNS('Portfolio Weights Returns'!$B$9:$BJ$69))+1,MOD(ROW(A2117)-1,COLUMNS('Portfolio Weights Returns'!$B$9:$BJ$69))+1)</f>
        <v>-6.8664293127539231E-4</v>
      </c>
      <c r="B2118" cm="1">
        <f t="array" ref="B2118">INDEX('Portfolio Weights Std'!$B$9:$BJ$69,INT((ROW(A2117)-1)/COLUMNS('Portfolio Weights Std'!$B$9:$BJ$69))+1,MOD(ROW(A2117)-1,COLUMNS('Portfolio Weights Std'!$B$9:$BJ$69))+1)</f>
        <v>1.7167202227921743E-2</v>
      </c>
    </row>
    <row r="2119" spans="1:2" x14ac:dyDescent="0.25">
      <c r="A2119" cm="1">
        <f t="array" ref="A2119">INDEX('Portfolio Weights Returns'!$B$9:$BJ$69,
INT((ROW(A2118)-1)/COLUMNS('Portfolio Weights Returns'!$B$9:$BJ$69))+1,MOD(ROW(A2118)-1,COLUMNS('Portfolio Weights Returns'!$B$9:$BJ$69))+1)</f>
        <v>-6.7986175730871316E-4</v>
      </c>
      <c r="B2119" cm="1">
        <f t="array" ref="B2119">INDEX('Portfolio Weights Std'!$B$9:$BJ$69,INT((ROW(A2118)-1)/COLUMNS('Portfolio Weights Std'!$B$9:$BJ$69))+1,MOD(ROW(A2118)-1,COLUMNS('Portfolio Weights Std'!$B$9:$BJ$69))+1)</f>
        <v>1.7048018150375377E-2</v>
      </c>
    </row>
    <row r="2120" spans="1:2" x14ac:dyDescent="0.25">
      <c r="A2120" cm="1">
        <f t="array" ref="A2120">INDEX('Portfolio Weights Returns'!$B$9:$BJ$69,
INT((ROW(A2119)-1)/COLUMNS('Portfolio Weights Returns'!$B$9:$BJ$69))+1,MOD(ROW(A2119)-1,COLUMNS('Portfolio Weights Returns'!$B$9:$BJ$69))+1)</f>
        <v>-6.7308058334203413E-4</v>
      </c>
      <c r="B2120" cm="1">
        <f t="array" ref="B2120">INDEX('Portfolio Weights Std'!$B$9:$BJ$69,INT((ROW(A2119)-1)/COLUMNS('Portfolio Weights Std'!$B$9:$BJ$69))+1,MOD(ROW(A2119)-1,COLUMNS('Portfolio Weights Std'!$B$9:$BJ$69))+1)</f>
        <v>1.6930730026594277E-2</v>
      </c>
    </row>
    <row r="2121" spans="1:2" x14ac:dyDescent="0.25">
      <c r="A2121" cm="1">
        <f t="array" ref="A2121">INDEX('Portfolio Weights Returns'!$B$9:$BJ$69,
INT((ROW(A2120)-1)/COLUMNS('Portfolio Weights Returns'!$B$9:$BJ$69))+1,MOD(ROW(A2120)-1,COLUMNS('Portfolio Weights Returns'!$B$9:$BJ$69))+1)</f>
        <v>-6.6629940937535498E-4</v>
      </c>
      <c r="B2121" cm="1">
        <f t="array" ref="B2121">INDEX('Portfolio Weights Std'!$B$9:$BJ$69,INT((ROW(A2120)-1)/COLUMNS('Portfolio Weights Std'!$B$9:$BJ$69))+1,MOD(ROW(A2120)-1,COLUMNS('Portfolio Weights Std'!$B$9:$BJ$69))+1)</f>
        <v>1.6815377529750559E-2</v>
      </c>
    </row>
    <row r="2122" spans="1:2" x14ac:dyDescent="0.25">
      <c r="A2122" cm="1">
        <f t="array" ref="A2122">INDEX('Portfolio Weights Returns'!$B$9:$BJ$69,
INT((ROW(A2121)-1)/COLUMNS('Portfolio Weights Returns'!$B$9:$BJ$69))+1,MOD(ROW(A2121)-1,COLUMNS('Portfolio Weights Returns'!$B$9:$BJ$69))+1)</f>
        <v>-6.5951823540867595E-4</v>
      </c>
      <c r="B2122" cm="1">
        <f t="array" ref="B2122">INDEX('Portfolio Weights Std'!$B$9:$BJ$69,INT((ROW(A2121)-1)/COLUMNS('Portfolio Weights Std'!$B$9:$BJ$69))+1,MOD(ROW(A2121)-1,COLUMNS('Portfolio Weights Std'!$B$9:$BJ$69))+1)</f>
        <v>1.6702000765159389E-2</v>
      </c>
    </row>
    <row r="2123" spans="1:2" x14ac:dyDescent="0.25">
      <c r="A2123" cm="1">
        <f t="array" ref="A2123">INDEX('Portfolio Weights Returns'!$B$9:$BJ$69,
INT((ROW(A2122)-1)/COLUMNS('Portfolio Weights Returns'!$B$9:$BJ$69))+1,MOD(ROW(A2122)-1,COLUMNS('Portfolio Weights Returns'!$B$9:$BJ$69))+1)</f>
        <v>-6.527370614419968E-4</v>
      </c>
      <c r="B2123" cm="1">
        <f t="array" ref="B2123">INDEX('Portfolio Weights Std'!$B$9:$BJ$69,INT((ROW(A2122)-1)/COLUMNS('Portfolio Weights Std'!$B$9:$BJ$69))+1,MOD(ROW(A2122)-1,COLUMNS('Portfolio Weights Std'!$B$9:$BJ$69))+1)</f>
        <v>1.6590640238021422E-2</v>
      </c>
    </row>
    <row r="2124" spans="1:2" x14ac:dyDescent="0.25">
      <c r="A2124" cm="1">
        <f t="array" ref="A2124">INDEX('Portfolio Weights Returns'!$B$9:$BJ$69,
INT((ROW(A2123)-1)/COLUMNS('Portfolio Weights Returns'!$B$9:$BJ$69))+1,MOD(ROW(A2123)-1,COLUMNS('Portfolio Weights Returns'!$B$9:$BJ$69))+1)</f>
        <v>-6.4595588747531777E-4</v>
      </c>
      <c r="B2124" cm="1">
        <f t="array" ref="B2124">INDEX('Portfolio Weights Std'!$B$9:$BJ$69,INT((ROW(A2123)-1)/COLUMNS('Portfolio Weights Std'!$B$9:$BJ$69))+1,MOD(ROW(A2123)-1,COLUMNS('Portfolio Weights Std'!$B$9:$BJ$69))+1)</f>
        <v>1.6481336818118007E-2</v>
      </c>
    </row>
    <row r="2125" spans="1:2" x14ac:dyDescent="0.25">
      <c r="A2125" cm="1">
        <f t="array" ref="A2125">INDEX('Portfolio Weights Returns'!$B$9:$BJ$69,
INT((ROW(A2124)-1)/COLUMNS('Portfolio Weights Returns'!$B$9:$BJ$69))+1,MOD(ROW(A2124)-1,COLUMNS('Portfolio Weights Returns'!$B$9:$BJ$69))+1)</f>
        <v>-6.3917471350863862E-4</v>
      </c>
      <c r="B2125" cm="1">
        <f t="array" ref="B2125">INDEX('Portfolio Weights Std'!$B$9:$BJ$69,INT((ROW(A2124)-1)/COLUMNS('Portfolio Weights Std'!$B$9:$BJ$69))+1,MOD(ROW(A2124)-1,COLUMNS('Portfolio Weights Std'!$B$9:$BJ$69))+1)</f>
        <v>1.6374131701368925E-2</v>
      </c>
    </row>
    <row r="2126" spans="1:2" x14ac:dyDescent="0.25">
      <c r="A2126" cm="1">
        <f t="array" ref="A2126">INDEX('Portfolio Weights Returns'!$B$9:$BJ$69,
INT((ROW(A2125)-1)/COLUMNS('Portfolio Weights Returns'!$B$9:$BJ$69))+1,MOD(ROW(A2125)-1,COLUMNS('Portfolio Weights Returns'!$B$9:$BJ$69))+1)</f>
        <v>-6.3239353954195948E-4</v>
      </c>
      <c r="B2126" cm="1">
        <f t="array" ref="B2126">INDEX('Portfolio Weights Std'!$B$9:$BJ$69,INT((ROW(A2125)-1)/COLUMNS('Portfolio Weights Std'!$B$9:$BJ$69))+1,MOD(ROW(A2125)-1,COLUMNS('Portfolio Weights Std'!$B$9:$BJ$69))+1)</f>
        <v>1.6269066368173168E-2</v>
      </c>
    </row>
    <row r="2127" spans="1:2" x14ac:dyDescent="0.25">
      <c r="A2127" cm="1">
        <f t="array" ref="A2127">INDEX('Portfolio Weights Returns'!$B$9:$BJ$69,
INT((ROW(A2126)-1)/COLUMNS('Portfolio Weights Returns'!$B$9:$BJ$69))+1,MOD(ROW(A2126)-1,COLUMNS('Portfolio Weights Returns'!$B$9:$BJ$69))+1)</f>
        <v>-6.2561236557528044E-4</v>
      </c>
      <c r="B2127" cm="1">
        <f t="array" ref="B2127">INDEX('Portfolio Weights Std'!$B$9:$BJ$69,INT((ROW(A2126)-1)/COLUMNS('Portfolio Weights Std'!$B$9:$BJ$69))+1,MOD(ROW(A2126)-1,COLUMNS('Portfolio Weights Std'!$B$9:$BJ$69))+1)</f>
        <v>1.6166182538465836E-2</v>
      </c>
    </row>
    <row r="2128" spans="1:2" x14ac:dyDescent="0.25">
      <c r="A2128" cm="1">
        <f t="array" ref="A2128">INDEX('Portfolio Weights Returns'!$B$9:$BJ$69,
INT((ROW(A2127)-1)/COLUMNS('Portfolio Weights Returns'!$B$9:$BJ$69))+1,MOD(ROW(A2127)-1,COLUMNS('Portfolio Weights Returns'!$B$9:$BJ$69))+1)</f>
        <v>-6.188311916086013E-4</v>
      </c>
      <c r="B2128" cm="1">
        <f t="array" ref="B2128">INDEX('Portfolio Weights Std'!$B$9:$BJ$69,INT((ROW(A2127)-1)/COLUMNS('Portfolio Weights Std'!$B$9:$BJ$69))+1,MOD(ROW(A2127)-1,COLUMNS('Portfolio Weights Std'!$B$9:$BJ$69))+1)</f>
        <v>1.6065522123438692E-2</v>
      </c>
    </row>
    <row r="2129" spans="1:2" x14ac:dyDescent="0.25">
      <c r="A2129" cm="1">
        <f t="array" ref="A2129">INDEX('Portfolio Weights Returns'!$B$9:$BJ$69,
INT((ROW(A2128)-1)/COLUMNS('Portfolio Weights Returns'!$B$9:$BJ$69))+1,MOD(ROW(A2128)-1,COLUMNS('Portfolio Weights Returns'!$B$9:$BJ$69))+1)</f>
        <v>-6.1205001764192226E-4</v>
      </c>
      <c r="B2129" cm="1">
        <f t="array" ref="B2129">INDEX('Portfolio Weights Std'!$B$9:$BJ$69,INT((ROW(A2128)-1)/COLUMNS('Portfolio Weights Std'!$B$9:$BJ$69))+1,MOD(ROW(A2128)-1,COLUMNS('Portfolio Weights Std'!$B$9:$BJ$69))+1)</f>
        <v>1.596712717388837E-2</v>
      </c>
    </row>
    <row r="2130" spans="1:2" x14ac:dyDescent="0.25">
      <c r="A2130" cm="1">
        <f t="array" ref="A2130">INDEX('Portfolio Weights Returns'!$B$9:$BJ$69,
INT((ROW(A2129)-1)/COLUMNS('Portfolio Weights Returns'!$B$9:$BJ$69))+1,MOD(ROW(A2129)-1,COLUMNS('Portfolio Weights Returns'!$B$9:$BJ$69))+1)</f>
        <v>-6.0526884367524312E-4</v>
      </c>
      <c r="B2130" cm="1">
        <f t="array" ref="B2130">INDEX('Portfolio Weights Std'!$B$9:$BJ$69,INT((ROW(A2129)-1)/COLUMNS('Portfolio Weights Std'!$B$9:$BJ$69))+1,MOD(ROW(A2129)-1,COLUMNS('Portfolio Weights Std'!$B$9:$BJ$69))+1)</f>
        <v>1.5871039825174554E-2</v>
      </c>
    </row>
    <row r="2131" spans="1:2" x14ac:dyDescent="0.25">
      <c r="A2131" cm="1">
        <f t="array" ref="A2131">INDEX('Portfolio Weights Returns'!$B$9:$BJ$69,
INT((ROW(A2130)-1)/COLUMNS('Portfolio Weights Returns'!$B$9:$BJ$69))+1,MOD(ROW(A2130)-1,COLUMNS('Portfolio Weights Returns'!$B$9:$BJ$69))+1)</f>
        <v>-5.9848766970856397E-4</v>
      </c>
      <c r="B2131" cm="1">
        <f t="array" ref="B2131">INDEX('Portfolio Weights Std'!$B$9:$BJ$69,INT((ROW(A2130)-1)/COLUMNS('Portfolio Weights Std'!$B$9:$BJ$69))+1,MOD(ROW(A2130)-1,COLUMNS('Portfolio Weights Std'!$B$9:$BJ$69))+1)</f>
        <v>1.5777302238790852E-2</v>
      </c>
    </row>
    <row r="2132" spans="1:2" x14ac:dyDescent="0.25">
      <c r="A2132" cm="1">
        <f t="array" ref="A2132">INDEX('Portfolio Weights Returns'!$B$9:$BJ$69,
INT((ROW(A2131)-1)/COLUMNS('Portfolio Weights Returns'!$B$9:$BJ$69))+1,MOD(ROW(A2131)-1,COLUMNS('Portfolio Weights Returns'!$B$9:$BJ$69))+1)</f>
        <v>-5.9170649574188483E-4</v>
      </c>
      <c r="B2132" cm="1">
        <f t="array" ref="B2132">INDEX('Portfolio Weights Std'!$B$9:$BJ$69,INT((ROW(A2131)-1)/COLUMNS('Portfolio Weights Std'!$B$9:$BJ$69))+1,MOD(ROW(A2131)-1,COLUMNS('Portfolio Weights Std'!$B$9:$BJ$69))+1)</f>
        <v>1.5685956540573448E-2</v>
      </c>
    </row>
    <row r="2133" spans="1:2" x14ac:dyDescent="0.25">
      <c r="A2133" cm="1">
        <f t="array" ref="A2133">INDEX('Portfolio Weights Returns'!$B$9:$BJ$69,
INT((ROW(A2132)-1)/COLUMNS('Portfolio Weights Returns'!$B$9:$BJ$69))+1,MOD(ROW(A2132)-1,COLUMNS('Portfolio Weights Returns'!$B$9:$BJ$69))+1)</f>
        <v>-5.8492532177520514E-4</v>
      </c>
      <c r="B2133" cm="1">
        <f t="array" ref="B2133">INDEX('Portfolio Weights Std'!$B$9:$BJ$69,INT((ROW(A2132)-1)/COLUMNS('Portfolio Weights Std'!$B$9:$BJ$69))+1,MOD(ROW(A2132)-1,COLUMNS('Portfolio Weights Std'!$B$9:$BJ$69))+1)</f>
        <v>1.5597044755596768E-2</v>
      </c>
    </row>
    <row r="2134" spans="1:2" x14ac:dyDescent="0.25">
      <c r="A2134" cm="1">
        <f t="array" ref="A2134">INDEX('Portfolio Weights Returns'!$B$9:$BJ$69,
INT((ROW(A2133)-1)/COLUMNS('Portfolio Weights Returns'!$B$9:$BJ$69))+1,MOD(ROW(A2133)-1,COLUMNS('Portfolio Weights Returns'!$B$9:$BJ$69))+1)</f>
        <v>-5.78144147808526E-4</v>
      </c>
      <c r="B2134" cm="1">
        <f t="array" ref="B2134">INDEX('Portfolio Weights Std'!$B$9:$BJ$69,INT((ROW(A2133)-1)/COLUMNS('Portfolio Weights Std'!$B$9:$BJ$69))+1,MOD(ROW(A2133)-1,COLUMNS('Portfolio Weights Std'!$B$9:$BJ$69))+1)</f>
        <v>1.5510608739831738E-2</v>
      </c>
    </row>
    <row r="2135" spans="1:2" x14ac:dyDescent="0.25">
      <c r="A2135" cm="1">
        <f t="array" ref="A2135">INDEX('Portfolio Weights Returns'!$B$9:$BJ$69,
INT((ROW(A2134)-1)/COLUMNS('Portfolio Weights Returns'!$B$9:$BJ$69))+1,MOD(ROW(A2134)-1,COLUMNS('Portfolio Weights Returns'!$B$9:$BJ$69))+1)</f>
        <v>-5.7136297384184696E-4</v>
      </c>
      <c r="B2135" cm="1">
        <f t="array" ref="B2135">INDEX('Portfolio Weights Std'!$B$9:$BJ$69,INT((ROW(A2134)-1)/COLUMNS('Portfolio Weights Std'!$B$9:$BJ$69))+1,MOD(ROW(A2134)-1,COLUMNS('Portfolio Weights Std'!$B$9:$BJ$69))+1)</f>
        <v>1.542669010866967E-2</v>
      </c>
    </row>
    <row r="2136" spans="1:2" x14ac:dyDescent="0.25">
      <c r="A2136" cm="1">
        <f t="array" ref="A2136">INDEX('Portfolio Weights Returns'!$B$9:$BJ$69,
INT((ROW(A2135)-1)/COLUMNS('Portfolio Weights Returns'!$B$9:$BJ$69))+1,MOD(ROW(A2135)-1,COLUMNS('Portfolio Weights Returns'!$B$9:$BJ$69))+1)</f>
        <v>-5.6458179987516782E-4</v>
      </c>
      <c r="B2136" cm="1">
        <f t="array" ref="B2136">INDEX('Portfolio Weights Std'!$B$9:$BJ$69,INT((ROW(A2135)-1)/COLUMNS('Portfolio Weights Std'!$B$9:$BJ$69))+1,MOD(ROW(A2135)-1,COLUMNS('Portfolio Weights Std'!$B$9:$BJ$69))+1)</f>
        <v>1.5345330162444682E-2</v>
      </c>
    </row>
    <row r="2137" spans="1:2" x14ac:dyDescent="0.25">
      <c r="A2137" cm="1">
        <f t="array" ref="A2137">INDEX('Portfolio Weights Returns'!$B$9:$BJ$69,
INT((ROW(A2136)-1)/COLUMNS('Portfolio Weights Returns'!$B$9:$BJ$69))+1,MOD(ROW(A2136)-1,COLUMNS('Portfolio Weights Returns'!$B$9:$BJ$69))+1)</f>
        <v>-9.6487803003045952E-4</v>
      </c>
      <c r="B2137" cm="1">
        <f t="array" ref="B2137">INDEX('Portfolio Weights Std'!$B$9:$BJ$69,INT((ROW(A2136)-1)/COLUMNS('Portfolio Weights Std'!$B$9:$BJ$69))+1,MOD(ROW(A2136)-1,COLUMNS('Portfolio Weights Std'!$B$9:$BJ$69))+1)</f>
        <v>2.3327912830722396E-2</v>
      </c>
    </row>
    <row r="2138" spans="1:2" x14ac:dyDescent="0.25">
      <c r="A2138" cm="1">
        <f t="array" ref="A2138">INDEX('Portfolio Weights Returns'!$B$9:$BJ$69,
INT((ROW(A2137)-1)/COLUMNS('Portfolio Weights Returns'!$B$9:$BJ$69))+1,MOD(ROW(A2137)-1,COLUMNS('Portfolio Weights Returns'!$B$9:$BJ$69))+1)</f>
        <v>-9.5809685606378049E-4</v>
      </c>
      <c r="B2138" cm="1">
        <f t="array" ref="B2138">INDEX('Portfolio Weights Std'!$B$9:$BJ$69,INT((ROW(A2137)-1)/COLUMNS('Portfolio Weights Std'!$B$9:$BJ$69))+1,MOD(ROW(A2137)-1,COLUMNS('Portfolio Weights Std'!$B$9:$BJ$69))+1)</f>
        <v>2.3158159474431811E-2</v>
      </c>
    </row>
    <row r="2139" spans="1:2" x14ac:dyDescent="0.25">
      <c r="A2139" cm="1">
        <f t="array" ref="A2139">INDEX('Portfolio Weights Returns'!$B$9:$BJ$69,
INT((ROW(A2138)-1)/COLUMNS('Portfolio Weights Returns'!$B$9:$BJ$69))+1,MOD(ROW(A2138)-1,COLUMNS('Portfolio Weights Returns'!$B$9:$BJ$69))+1)</f>
        <v>-9.5131568209710134E-4</v>
      </c>
      <c r="B2139" cm="1">
        <f t="array" ref="B2139">INDEX('Portfolio Weights Std'!$B$9:$BJ$69,INT((ROW(A2138)-1)/COLUMNS('Portfolio Weights Std'!$B$9:$BJ$69))+1,MOD(ROW(A2138)-1,COLUMNS('Portfolio Weights Std'!$B$9:$BJ$69))+1)</f>
        <v>2.2989166781451107E-2</v>
      </c>
    </row>
    <row r="2140" spans="1:2" x14ac:dyDescent="0.25">
      <c r="A2140" cm="1">
        <f t="array" ref="A2140">INDEX('Portfolio Weights Returns'!$B$9:$BJ$69,
INT((ROW(A2139)-1)/COLUMNS('Portfolio Weights Returns'!$B$9:$BJ$69))+1,MOD(ROW(A2139)-1,COLUMNS('Portfolio Weights Returns'!$B$9:$BJ$69))+1)</f>
        <v>-9.4453450813042231E-4</v>
      </c>
      <c r="B2140" cm="1">
        <f t="array" ref="B2140">INDEX('Portfolio Weights Std'!$B$9:$BJ$69,INT((ROW(A2139)-1)/COLUMNS('Portfolio Weights Std'!$B$9:$BJ$69))+1,MOD(ROW(A2139)-1,COLUMNS('Portfolio Weights Std'!$B$9:$BJ$69))+1)</f>
        <v>2.2820951650276543E-2</v>
      </c>
    </row>
    <row r="2141" spans="1:2" x14ac:dyDescent="0.25">
      <c r="A2141" cm="1">
        <f t="array" ref="A2141">INDEX('Portfolio Weights Returns'!$B$9:$BJ$69,
INT((ROW(A2140)-1)/COLUMNS('Portfolio Weights Returns'!$B$9:$BJ$69))+1,MOD(ROW(A2140)-1,COLUMNS('Portfolio Weights Returns'!$B$9:$BJ$69))+1)</f>
        <v>-9.3775333416374305E-4</v>
      </c>
      <c r="B2141" cm="1">
        <f t="array" ref="B2141">INDEX('Portfolio Weights Std'!$B$9:$BJ$69,INT((ROW(A2140)-1)/COLUMNS('Portfolio Weights Std'!$B$9:$BJ$69))+1,MOD(ROW(A2140)-1,COLUMNS('Portfolio Weights Std'!$B$9:$BJ$69))+1)</f>
        <v>2.2653531402407678E-2</v>
      </c>
    </row>
    <row r="2142" spans="1:2" x14ac:dyDescent="0.25">
      <c r="A2142" cm="1">
        <f t="array" ref="A2142">INDEX('Portfolio Weights Returns'!$B$9:$BJ$69,
INT((ROW(A2141)-1)/COLUMNS('Portfolio Weights Returns'!$B$9:$BJ$69))+1,MOD(ROW(A2141)-1,COLUMNS('Portfolio Weights Returns'!$B$9:$BJ$69))+1)</f>
        <v>-9.3097216019706402E-4</v>
      </c>
      <c r="B2142" cm="1">
        <f t="array" ref="B2142">INDEX('Portfolio Weights Std'!$B$9:$BJ$69,INT((ROW(A2141)-1)/COLUMNS('Portfolio Weights Std'!$B$9:$BJ$69))+1,MOD(ROW(A2141)-1,COLUMNS('Portfolio Weights Std'!$B$9:$BJ$69))+1)</f>
        <v>2.2486923792110994E-2</v>
      </c>
    </row>
    <row r="2143" spans="1:2" x14ac:dyDescent="0.25">
      <c r="A2143" cm="1">
        <f t="array" ref="A2143">INDEX('Portfolio Weights Returns'!$B$9:$BJ$69,
INT((ROW(A2142)-1)/COLUMNS('Portfolio Weights Returns'!$B$9:$BJ$69))+1,MOD(ROW(A2142)-1,COLUMNS('Portfolio Weights Returns'!$B$9:$BJ$69))+1)</f>
        <v>-9.2419098623038487E-4</v>
      </c>
      <c r="B2143" cm="1">
        <f t="array" ref="B2143">INDEX('Portfolio Weights Std'!$B$9:$BJ$69,INT((ROW(A2142)-1)/COLUMNS('Portfolio Weights Std'!$B$9:$BJ$69))+1,MOD(ROW(A2142)-1,COLUMNS('Portfolio Weights Std'!$B$9:$BJ$69))+1)</f>
        <v>2.2321147016255021E-2</v>
      </c>
    </row>
    <row r="2144" spans="1:2" x14ac:dyDescent="0.25">
      <c r="A2144" cm="1">
        <f t="array" ref="A2144">INDEX('Portfolio Weights Returns'!$B$9:$BJ$69,
INT((ROW(A2143)-1)/COLUMNS('Portfolio Weights Returns'!$B$9:$BJ$69))+1,MOD(ROW(A2143)-1,COLUMNS('Portfolio Weights Returns'!$B$9:$BJ$69))+1)</f>
        <v>-9.1740981226370584E-4</v>
      </c>
      <c r="B2144" cm="1">
        <f t="array" ref="B2144">INDEX('Portfolio Weights Std'!$B$9:$BJ$69,INT((ROW(A2143)-1)/COLUMNS('Portfolio Weights Std'!$B$9:$BJ$69))+1,MOD(ROW(A2143)-1,COLUMNS('Portfolio Weights Std'!$B$9:$BJ$69))+1)</f>
        <v>2.215621972420068E-2</v>
      </c>
    </row>
    <row r="2145" spans="1:2" x14ac:dyDescent="0.25">
      <c r="A2145" cm="1">
        <f t="array" ref="A2145">INDEX('Portfolio Weights Returns'!$B$9:$BJ$69,
INT((ROW(A2144)-1)/COLUMNS('Portfolio Weights Returns'!$B$9:$BJ$69))+1,MOD(ROW(A2144)-1,COLUMNS('Portfolio Weights Returns'!$B$9:$BJ$69))+1)</f>
        <v>-9.1062863829702669E-4</v>
      </c>
      <c r="B2145" cm="1">
        <f t="array" ref="B2145">INDEX('Portfolio Weights Std'!$B$9:$BJ$69,INT((ROW(A2144)-1)/COLUMNS('Portfolio Weights Std'!$B$9:$BJ$69))+1,MOD(ROW(A2144)-1,COLUMNS('Portfolio Weights Std'!$B$9:$BJ$69))+1)</f>
        <v>2.199216102772926E-2</v>
      </c>
    </row>
    <row r="2146" spans="1:2" x14ac:dyDescent="0.25">
      <c r="A2146" cm="1">
        <f t="array" ref="A2146">INDEX('Portfolio Weights Returns'!$B$9:$BJ$69,
INT((ROW(A2145)-1)/COLUMNS('Portfolio Weights Returns'!$B$9:$BJ$69))+1,MOD(ROW(A2145)-1,COLUMNS('Portfolio Weights Returns'!$B$9:$BJ$69))+1)</f>
        <v>-9.0384746433034755E-4</v>
      </c>
      <c r="B2146" cm="1">
        <f t="array" ref="B2146">INDEX('Portfolio Weights Std'!$B$9:$BJ$69,INT((ROW(A2145)-1)/COLUMNS('Portfolio Weights Std'!$B$9:$BJ$69))+1,MOD(ROW(A2145)-1,COLUMNS('Portfolio Weights Std'!$B$9:$BJ$69))+1)</f>
        <v>2.1828990510988234E-2</v>
      </c>
    </row>
    <row r="2147" spans="1:2" x14ac:dyDescent="0.25">
      <c r="A2147" cm="1">
        <f t="array" ref="A2147">INDEX('Portfolio Weights Returns'!$B$9:$BJ$69,
INT((ROW(A2146)-1)/COLUMNS('Portfolio Weights Returns'!$B$9:$BJ$69))+1,MOD(ROW(A2146)-1,COLUMNS('Portfolio Weights Returns'!$B$9:$BJ$69))+1)</f>
        <v>-8.9706629036366851E-4</v>
      </c>
      <c r="B2147" cm="1">
        <f t="array" ref="B2147">INDEX('Portfolio Weights Std'!$B$9:$BJ$69,INT((ROW(A2146)-1)/COLUMNS('Portfolio Weights Std'!$B$9:$BJ$69))+1,MOD(ROW(A2146)-1,COLUMNS('Portfolio Weights Std'!$B$9:$BJ$69))+1)</f>
        <v>2.1666728240433093E-2</v>
      </c>
    </row>
    <row r="2148" spans="1:2" x14ac:dyDescent="0.25">
      <c r="A2148" cm="1">
        <f t="array" ref="A2148">INDEX('Portfolio Weights Returns'!$B$9:$BJ$69,
INT((ROW(A2147)-1)/COLUMNS('Portfolio Weights Returns'!$B$9:$BJ$69))+1,MOD(ROW(A2147)-1,COLUMNS('Portfolio Weights Returns'!$B$9:$BJ$69))+1)</f>
        <v>-8.9028511639698926E-4</v>
      </c>
      <c r="B2148" cm="1">
        <f t="array" ref="B2148">INDEX('Portfolio Weights Std'!$B$9:$BJ$69,INT((ROW(A2147)-1)/COLUMNS('Portfolio Weights Std'!$B$9:$BJ$69))+1,MOD(ROW(A2147)-1,COLUMNS('Portfolio Weights Std'!$B$9:$BJ$69))+1)</f>
        <v>2.1505394774741365E-2</v>
      </c>
    </row>
    <row r="2149" spans="1:2" x14ac:dyDescent="0.25">
      <c r="A2149" cm="1">
        <f t="array" ref="A2149">INDEX('Portfolio Weights Returns'!$B$9:$BJ$69,
INT((ROW(A2148)-1)/COLUMNS('Portfolio Weights Returns'!$B$9:$BJ$69))+1,MOD(ROW(A2148)-1,COLUMNS('Portfolio Weights Returns'!$B$9:$BJ$69))+1)</f>
        <v>-8.8350394243031022E-4</v>
      </c>
      <c r="B2149" cm="1">
        <f t="array" ref="B2149">INDEX('Portfolio Weights Std'!$B$9:$BJ$69,INT((ROW(A2148)-1)/COLUMNS('Portfolio Weights Std'!$B$9:$BJ$69))+1,MOD(ROW(A2148)-1,COLUMNS('Portfolio Weights Std'!$B$9:$BJ$69))+1)</f>
        <v>2.1345011174672447E-2</v>
      </c>
    </row>
    <row r="2150" spans="1:2" x14ac:dyDescent="0.25">
      <c r="A2150" cm="1">
        <f t="array" ref="A2150">INDEX('Portfolio Weights Returns'!$B$9:$BJ$69,
INT((ROW(A2149)-1)/COLUMNS('Portfolio Weights Returns'!$B$9:$BJ$69))+1,MOD(ROW(A2149)-1,COLUMNS('Portfolio Weights Returns'!$B$9:$BJ$69))+1)</f>
        <v>-8.7672276846363108E-4</v>
      </c>
      <c r="B2150" cm="1">
        <f t="array" ref="B2150">INDEX('Portfolio Weights Std'!$B$9:$BJ$69,INT((ROW(A2149)-1)/COLUMNS('Portfolio Weights Std'!$B$9:$BJ$69))+1,MOD(ROW(A2149)-1,COLUMNS('Portfolio Weights Std'!$B$9:$BJ$69))+1)</f>
        <v>2.1185599012844458E-2</v>
      </c>
    </row>
    <row r="2151" spans="1:2" x14ac:dyDescent="0.25">
      <c r="A2151" cm="1">
        <f t="array" ref="A2151">INDEX('Portfolio Weights Returns'!$B$9:$BJ$69,
INT((ROW(A2150)-1)/COLUMNS('Portfolio Weights Returns'!$B$9:$BJ$69))+1,MOD(ROW(A2150)-1,COLUMNS('Portfolio Weights Returns'!$B$9:$BJ$69))+1)</f>
        <v>-8.6994159449695204E-4</v>
      </c>
      <c r="B2151" cm="1">
        <f t="array" ref="B2151">INDEX('Portfolio Weights Std'!$B$9:$BJ$69,INT((ROW(A2150)-1)/COLUMNS('Portfolio Weights Std'!$B$9:$BJ$69))+1,MOD(ROW(A2150)-1,COLUMNS('Portfolio Weights Std'!$B$9:$BJ$69))+1)</f>
        <v>2.1027180383396779E-2</v>
      </c>
    </row>
    <row r="2152" spans="1:2" x14ac:dyDescent="0.25">
      <c r="A2152" cm="1">
        <f t="array" ref="A2152">INDEX('Portfolio Weights Returns'!$B$9:$BJ$69,
INT((ROW(A2151)-1)/COLUMNS('Portfolio Weights Returns'!$B$9:$BJ$69))+1,MOD(ROW(A2151)-1,COLUMNS('Portfolio Weights Returns'!$B$9:$BJ$69))+1)</f>
        <v>-8.631604205302729E-4</v>
      </c>
      <c r="B2152" cm="1">
        <f t="array" ref="B2152">INDEX('Portfolio Weights Std'!$B$9:$BJ$69,INT((ROW(A2151)-1)/COLUMNS('Portfolio Weights Std'!$B$9:$BJ$69))+1,MOD(ROW(A2151)-1,COLUMNS('Portfolio Weights Std'!$B$9:$BJ$69))+1)</f>
        <v>2.0869777911504055E-2</v>
      </c>
    </row>
    <row r="2153" spans="1:2" x14ac:dyDescent="0.25">
      <c r="A2153" cm="1">
        <f t="array" ref="A2153">INDEX('Portfolio Weights Returns'!$B$9:$BJ$69,
INT((ROW(A2152)-1)/COLUMNS('Portfolio Weights Returns'!$B$9:$BJ$69))+1,MOD(ROW(A2152)-1,COLUMNS('Portfolio Weights Returns'!$B$9:$BJ$69))+1)</f>
        <v>-8.5637924656359397E-4</v>
      </c>
      <c r="B2153" cm="1">
        <f t="array" ref="B2153">INDEX('Portfolio Weights Std'!$B$9:$BJ$69,INT((ROW(A2152)-1)/COLUMNS('Portfolio Weights Std'!$B$9:$BJ$69))+1,MOD(ROW(A2152)-1,COLUMNS('Portfolio Weights Std'!$B$9:$BJ$69))+1)</f>
        <v>2.07134147627045E-2</v>
      </c>
    </row>
    <row r="2154" spans="1:2" x14ac:dyDescent="0.25">
      <c r="A2154" cm="1">
        <f t="array" ref="A2154">INDEX('Portfolio Weights Returns'!$B$9:$BJ$69,
INT((ROW(A2153)-1)/COLUMNS('Portfolio Weights Returns'!$B$9:$BJ$69))+1,MOD(ROW(A2153)-1,COLUMNS('Portfolio Weights Returns'!$B$9:$BJ$69))+1)</f>
        <v>-8.4959807259691472E-4</v>
      </c>
      <c r="B2154" cm="1">
        <f t="array" ref="B2154">INDEX('Portfolio Weights Std'!$B$9:$BJ$69,INT((ROW(A2153)-1)/COLUMNS('Portfolio Weights Std'!$B$9:$BJ$69))+1,MOD(ROW(A2153)-1,COLUMNS('Portfolio Weights Std'!$B$9:$BJ$69))+1)</f>
        <v>2.0558114652002326E-2</v>
      </c>
    </row>
    <row r="2155" spans="1:2" x14ac:dyDescent="0.25">
      <c r="A2155" cm="1">
        <f t="array" ref="A2155">INDEX('Portfolio Weights Returns'!$B$9:$BJ$69,
INT((ROW(A2154)-1)/COLUMNS('Portfolio Weights Returns'!$B$9:$BJ$69))+1,MOD(ROW(A2154)-1,COLUMNS('Portfolio Weights Returns'!$B$9:$BJ$69))+1)</f>
        <v>-8.4281689863023579E-4</v>
      </c>
      <c r="B2155" cm="1">
        <f t="array" ref="B2155">INDEX('Portfolio Weights Std'!$B$9:$BJ$69,INT((ROW(A2154)-1)/COLUMNS('Portfolio Weights Std'!$B$9:$BJ$69))+1,MOD(ROW(A2154)-1,COLUMNS('Portfolio Weights Std'!$B$9:$BJ$69))+1)</f>
        <v>2.0403901852700791E-2</v>
      </c>
    </row>
    <row r="2156" spans="1:2" x14ac:dyDescent="0.25">
      <c r="A2156" cm="1">
        <f t="array" ref="A2156">INDEX('Portfolio Weights Returns'!$B$9:$BJ$69,
INT((ROW(A2155)-1)/COLUMNS('Portfolio Weights Returns'!$B$9:$BJ$69))+1,MOD(ROW(A2155)-1,COLUMNS('Portfolio Weights Returns'!$B$9:$BJ$69))+1)</f>
        <v>-8.3603572466355665E-4</v>
      </c>
      <c r="B2156" cm="1">
        <f t="array" ref="B2156">INDEX('Portfolio Weights Std'!$B$9:$BJ$69,INT((ROW(A2155)-1)/COLUMNS('Portfolio Weights Std'!$B$9:$BJ$69))+1,MOD(ROW(A2155)-1,COLUMNS('Portfolio Weights Std'!$B$9:$BJ$69))+1)</f>
        <v>2.0250801204918949E-2</v>
      </c>
    </row>
    <row r="2157" spans="1:2" x14ac:dyDescent="0.25">
      <c r="A2157" cm="1">
        <f t="array" ref="A2157">INDEX('Portfolio Weights Returns'!$B$9:$BJ$69,
INT((ROW(A2156)-1)/COLUMNS('Portfolio Weights Returns'!$B$9:$BJ$69))+1,MOD(ROW(A2156)-1,COLUMNS('Portfolio Weights Returns'!$B$9:$BJ$69))+1)</f>
        <v>-8.292545506968775E-4</v>
      </c>
      <c r="B2157" cm="1">
        <f t="array" ref="B2157">INDEX('Portfolio Weights Std'!$B$9:$BJ$69,INT((ROW(A2156)-1)/COLUMNS('Portfolio Weights Std'!$B$9:$BJ$69))+1,MOD(ROW(A2156)-1,COLUMNS('Portfolio Weights Std'!$B$9:$BJ$69))+1)</f>
        <v>2.0098838123741695E-2</v>
      </c>
    </row>
    <row r="2158" spans="1:2" x14ac:dyDescent="0.25">
      <c r="A2158" cm="1">
        <f t="array" ref="A2158">INDEX('Portfolio Weights Returns'!$B$9:$BJ$69,
INT((ROW(A2157)-1)/COLUMNS('Portfolio Weights Returns'!$B$9:$BJ$69))+1,MOD(ROW(A2157)-1,COLUMNS('Portfolio Weights Returns'!$B$9:$BJ$69))+1)</f>
        <v>-8.2247337673019847E-4</v>
      </c>
      <c r="B2158" cm="1">
        <f t="array" ref="B2158">INDEX('Portfolio Weights Std'!$B$9:$BJ$69,INT((ROW(A2157)-1)/COLUMNS('Portfolio Weights Std'!$B$9:$BJ$69))+1,MOD(ROW(A2157)-1,COLUMNS('Portfolio Weights Std'!$B$9:$BJ$69))+1)</f>
        <v>1.9948038606948913E-2</v>
      </c>
    </row>
    <row r="2159" spans="1:2" x14ac:dyDescent="0.25">
      <c r="A2159" cm="1">
        <f t="array" ref="A2159">INDEX('Portfolio Weights Returns'!$B$9:$BJ$69,
INT((ROW(A2158)-1)/COLUMNS('Portfolio Weights Returns'!$B$9:$BJ$69))+1,MOD(ROW(A2158)-1,COLUMNS('Portfolio Weights Returns'!$B$9:$BJ$69))+1)</f>
        <v>-8.1569220276351921E-4</v>
      </c>
      <c r="B2159" cm="1">
        <f t="array" ref="B2159">INDEX('Portfolio Weights Std'!$B$9:$BJ$69,INT((ROW(A2158)-1)/COLUMNS('Portfolio Weights Std'!$B$9:$BJ$69))+1,MOD(ROW(A2158)-1,COLUMNS('Portfolio Weights Std'!$B$9:$BJ$69))+1)</f>
        <v>1.9798429242265714E-2</v>
      </c>
    </row>
    <row r="2160" spans="1:2" x14ac:dyDescent="0.25">
      <c r="A2160" cm="1">
        <f t="array" ref="A2160">INDEX('Portfolio Weights Returns'!$B$9:$BJ$69,
INT((ROW(A2159)-1)/COLUMNS('Portfolio Weights Returns'!$B$9:$BJ$69))+1,MOD(ROW(A2159)-1,COLUMNS('Portfolio Weights Returns'!$B$9:$BJ$69))+1)</f>
        <v>-8.0891102879684018E-4</v>
      </c>
      <c r="B2160" cm="1">
        <f t="array" ref="B2160">INDEX('Portfolio Weights Std'!$B$9:$BJ$69,INT((ROW(A2159)-1)/COLUMNS('Portfolio Weights Std'!$B$9:$BJ$69))+1,MOD(ROW(A2159)-1,COLUMNS('Portfolio Weights Std'!$B$9:$BJ$69))+1)</f>
        <v>1.9650037214071776E-2</v>
      </c>
    </row>
    <row r="2161" spans="1:2" x14ac:dyDescent="0.25">
      <c r="A2161" cm="1">
        <f t="array" ref="A2161">INDEX('Portfolio Weights Returns'!$B$9:$BJ$69,
INT((ROW(A2160)-1)/COLUMNS('Portfolio Weights Returns'!$B$9:$BJ$69))+1,MOD(ROW(A2160)-1,COLUMNS('Portfolio Weights Returns'!$B$9:$BJ$69))+1)</f>
        <v>-8.0212985483016103E-4</v>
      </c>
      <c r="B2161" cm="1">
        <f t="array" ref="B2161">INDEX('Portfolio Weights Std'!$B$9:$BJ$69,INT((ROW(A2160)-1)/COLUMNS('Portfolio Weights Std'!$B$9:$BJ$69))+1,MOD(ROW(A2160)-1,COLUMNS('Portfolio Weights Std'!$B$9:$BJ$69))+1)</f>
        <v>1.9502890309503751E-2</v>
      </c>
    </row>
    <row r="2162" spans="1:2" x14ac:dyDescent="0.25">
      <c r="A2162" cm="1">
        <f t="array" ref="A2162">INDEX('Portfolio Weights Returns'!$B$9:$BJ$69,
INT((ROW(A2161)-1)/COLUMNS('Portfolio Weights Returns'!$B$9:$BJ$69))+1,MOD(ROW(A2161)-1,COLUMNS('Portfolio Weights Returns'!$B$9:$BJ$69))+1)</f>
        <v>-7.95348680863482E-4</v>
      </c>
      <c r="B2162" cm="1">
        <f t="array" ref="B2162">INDEX('Portfolio Weights Std'!$B$9:$BJ$69,INT((ROW(A2161)-1)/COLUMNS('Portfolio Weights Std'!$B$9:$BJ$69))+1,MOD(ROW(A2161)-1,COLUMNS('Portfolio Weights Std'!$B$9:$BJ$69))+1)</f>
        <v>1.9357016923880362E-2</v>
      </c>
    </row>
    <row r="2163" spans="1:2" x14ac:dyDescent="0.25">
      <c r="A2163" cm="1">
        <f t="array" ref="A2163">INDEX('Portfolio Weights Returns'!$B$9:$BJ$69,
INT((ROW(A2162)-1)/COLUMNS('Portfolio Weights Returns'!$B$9:$BJ$69))+1,MOD(ROW(A2162)-1,COLUMNS('Portfolio Weights Returns'!$B$9:$BJ$69))+1)</f>
        <v>-7.8856750689680285E-4</v>
      </c>
      <c r="B2163" cm="1">
        <f t="array" ref="B2163">INDEX('Portfolio Weights Std'!$B$9:$BJ$69,INT((ROW(A2162)-1)/COLUMNS('Portfolio Weights Std'!$B$9:$BJ$69))+1,MOD(ROW(A2162)-1,COLUMNS('Portfolio Weights Std'!$B$9:$BJ$69))+1)</f>
        <v>1.9212446065375751E-2</v>
      </c>
    </row>
    <row r="2164" spans="1:2" x14ac:dyDescent="0.25">
      <c r="A2164" cm="1">
        <f t="array" ref="A2164">INDEX('Portfolio Weights Returns'!$B$9:$BJ$69,
INT((ROW(A2163)-1)/COLUMNS('Portfolio Weights Returns'!$B$9:$BJ$69))+1,MOD(ROW(A2163)-1,COLUMNS('Portfolio Weights Returns'!$B$9:$BJ$69))+1)</f>
        <v>-7.8178633293012382E-4</v>
      </c>
      <c r="B2164" cm="1">
        <f t="array" ref="B2164">INDEX('Portfolio Weights Std'!$B$9:$BJ$69,INT((ROW(A2163)-1)/COLUMNS('Portfolio Weights Std'!$B$9:$BJ$69))+1,MOD(ROW(A2163)-1,COLUMNS('Portfolio Weights Std'!$B$9:$BJ$69))+1)</f>
        <v>1.9069207358862077E-2</v>
      </c>
    </row>
    <row r="2165" spans="1:2" x14ac:dyDescent="0.25">
      <c r="A2165" cm="1">
        <f t="array" ref="A2165">INDEX('Portfolio Weights Returns'!$B$9:$BJ$69,
INT((ROW(A2164)-1)/COLUMNS('Portfolio Weights Returns'!$B$9:$BJ$69))+1,MOD(ROW(A2164)-1,COLUMNS('Portfolio Weights Returns'!$B$9:$BJ$69))+1)</f>
        <v>-7.7500515896344467E-4</v>
      </c>
      <c r="B2165" cm="1">
        <f t="array" ref="B2165">INDEX('Portfolio Weights Std'!$B$9:$BJ$69,INT((ROW(A2164)-1)/COLUMNS('Portfolio Weights Std'!$B$9:$BJ$69))+1,MOD(ROW(A2164)-1,COLUMNS('Portfolio Weights Std'!$B$9:$BJ$69))+1)</f>
        <v>1.8927331048838158E-2</v>
      </c>
    </row>
    <row r="2166" spans="1:2" x14ac:dyDescent="0.25">
      <c r="A2166" cm="1">
        <f t="array" ref="A2166">INDEX('Portfolio Weights Returns'!$B$9:$BJ$69,
INT((ROW(A2165)-1)/COLUMNS('Portfolio Weights Returns'!$B$9:$BJ$69))+1,MOD(ROW(A2165)-1,COLUMNS('Portfolio Weights Returns'!$B$9:$BJ$69))+1)</f>
        <v>-7.6822398499676542E-4</v>
      </c>
      <c r="B2166" cm="1">
        <f t="array" ref="B2166">INDEX('Portfolio Weights Std'!$B$9:$BJ$69,INT((ROW(A2165)-1)/COLUMNS('Portfolio Weights Std'!$B$9:$BJ$69))+1,MOD(ROW(A2165)-1,COLUMNS('Portfolio Weights Std'!$B$9:$BJ$69))+1)</f>
        <v>1.8786848001356486E-2</v>
      </c>
    </row>
    <row r="2167" spans="1:2" x14ac:dyDescent="0.25">
      <c r="A2167" cm="1">
        <f t="array" ref="A2167">INDEX('Portfolio Weights Returns'!$B$9:$BJ$69,
INT((ROW(A2166)-1)/COLUMNS('Portfolio Weights Returns'!$B$9:$BJ$69))+1,MOD(ROW(A2166)-1,COLUMNS('Portfolio Weights Returns'!$B$9:$BJ$69))+1)</f>
        <v>-7.6144281103008638E-4</v>
      </c>
      <c r="B2167" cm="1">
        <f t="array" ref="B2167">INDEX('Portfolio Weights Std'!$B$9:$BJ$69,INT((ROW(A2166)-1)/COLUMNS('Portfolio Weights Std'!$B$9:$BJ$69))+1,MOD(ROW(A2166)-1,COLUMNS('Portfolio Weights Std'!$B$9:$BJ$69))+1)</f>
        <v>1.8647789704856643E-2</v>
      </c>
    </row>
    <row r="2168" spans="1:2" x14ac:dyDescent="0.25">
      <c r="A2168" cm="1">
        <f t="array" ref="A2168">INDEX('Portfolio Weights Returns'!$B$9:$BJ$69,
INT((ROW(A2167)-1)/COLUMNS('Portfolio Weights Returns'!$B$9:$BJ$69))+1,MOD(ROW(A2167)-1,COLUMNS('Portfolio Weights Returns'!$B$9:$BJ$69))+1)</f>
        <v>-7.5466163706340724E-4</v>
      </c>
      <c r="B2168" cm="1">
        <f t="array" ref="B2168">INDEX('Portfolio Weights Std'!$B$9:$BJ$69,INT((ROW(A2167)-1)/COLUMNS('Portfolio Weights Std'!$B$9:$BJ$69))+1,MOD(ROW(A2167)-1,COLUMNS('Portfolio Weights Std'!$B$9:$BJ$69))+1)</f>
        <v>1.8510188269808832E-2</v>
      </c>
    </row>
    <row r="2169" spans="1:2" x14ac:dyDescent="0.25">
      <c r="A2169" cm="1">
        <f t="array" ref="A2169">INDEX('Portfolio Weights Returns'!$B$9:$BJ$69,
INT((ROW(A2168)-1)/COLUMNS('Portfolio Weights Returns'!$B$9:$BJ$69))+1,MOD(ROW(A2168)-1,COLUMNS('Portfolio Weights Returns'!$B$9:$BJ$69))+1)</f>
        <v>-7.478804630967282E-4</v>
      </c>
      <c r="B2169" cm="1">
        <f t="array" ref="B2169">INDEX('Portfolio Weights Std'!$B$9:$BJ$69,INT((ROW(A2168)-1)/COLUMNS('Portfolio Weights Std'!$B$9:$BJ$69))+1,MOD(ROW(A2168)-1,COLUMNS('Portfolio Weights Std'!$B$9:$BJ$69))+1)</f>
        <v>1.8374076427067169E-2</v>
      </c>
    </row>
    <row r="2170" spans="1:2" x14ac:dyDescent="0.25">
      <c r="A2170" cm="1">
        <f t="array" ref="A2170">INDEX('Portfolio Weights Returns'!$B$9:$BJ$69,
INT((ROW(A2169)-1)/COLUMNS('Portfolio Weights Returns'!$B$9:$BJ$69))+1,MOD(ROW(A2169)-1,COLUMNS('Portfolio Weights Returns'!$B$9:$BJ$69))+1)</f>
        <v>-7.4109928913004906E-4</v>
      </c>
      <c r="B2170" cm="1">
        <f t="array" ref="B2170">INDEX('Portfolio Weights Std'!$B$9:$BJ$69,INT((ROW(A2169)-1)/COLUMNS('Portfolio Weights Std'!$B$9:$BJ$69))+1,MOD(ROW(A2169)-1,COLUMNS('Portfolio Weights Std'!$B$9:$BJ$69))+1)</f>
        <v>1.8239487524828336E-2</v>
      </c>
    </row>
    <row r="2171" spans="1:2" x14ac:dyDescent="0.25">
      <c r="A2171" cm="1">
        <f t="array" ref="A2171">INDEX('Portfolio Weights Returns'!$B$9:$BJ$69,
INT((ROW(A2170)-1)/COLUMNS('Portfolio Weights Returns'!$B$9:$BJ$69))+1,MOD(ROW(A2170)-1,COLUMNS('Portfolio Weights Returns'!$B$9:$BJ$69))+1)</f>
        <v>-7.3431811516337002E-4</v>
      </c>
      <c r="B2171" cm="1">
        <f t="array" ref="B2171">INDEX('Portfolio Weights Std'!$B$9:$BJ$69,INT((ROW(A2170)-1)/COLUMNS('Portfolio Weights Std'!$B$9:$BJ$69))+1,MOD(ROW(A2170)-1,COLUMNS('Portfolio Weights Std'!$B$9:$BJ$69))+1)</f>
        <v>1.8106455524087461E-2</v>
      </c>
    </row>
    <row r="2172" spans="1:2" x14ac:dyDescent="0.25">
      <c r="A2172" cm="1">
        <f t="array" ref="A2172">INDEX('Portfolio Weights Returns'!$B$9:$BJ$69,
INT((ROW(A2171)-1)/COLUMNS('Portfolio Weights Returns'!$B$9:$BJ$69))+1,MOD(ROW(A2171)-1,COLUMNS('Portfolio Weights Returns'!$B$9:$BJ$69))+1)</f>
        <v>-7.2753694119669088E-4</v>
      </c>
      <c r="B2172" cm="1">
        <f t="array" ref="B2172">INDEX('Portfolio Weights Std'!$B$9:$BJ$69,INT((ROW(A2171)-1)/COLUMNS('Portfolio Weights Std'!$B$9:$BJ$69))+1,MOD(ROW(A2171)-1,COLUMNS('Portfolio Weights Std'!$B$9:$BJ$69))+1)</f>
        <v>1.7975014992479763E-2</v>
      </c>
    </row>
    <row r="2173" spans="1:2" x14ac:dyDescent="0.25">
      <c r="A2173" cm="1">
        <f t="array" ref="A2173">INDEX('Portfolio Weights Returns'!$B$9:$BJ$69,
INT((ROW(A2172)-1)/COLUMNS('Portfolio Weights Returns'!$B$9:$BJ$69))+1,MOD(ROW(A2172)-1,COLUMNS('Portfolio Weights Returns'!$B$9:$BJ$69))+1)</f>
        <v>-7.2075576723001173E-4</v>
      </c>
      <c r="B2173" cm="1">
        <f t="array" ref="B2173">INDEX('Portfolio Weights Std'!$B$9:$BJ$69,INT((ROW(A2172)-1)/COLUMNS('Portfolio Weights Std'!$B$9:$BJ$69))+1,MOD(ROW(A2172)-1,COLUMNS('Portfolio Weights Std'!$B$9:$BJ$69))+1)</f>
        <v>1.7845201096393197E-2</v>
      </c>
    </row>
    <row r="2174" spans="1:2" x14ac:dyDescent="0.25">
      <c r="A2174" cm="1">
        <f t="array" ref="A2174">INDEX('Portfolio Weights Returns'!$B$9:$BJ$69,
INT((ROW(A2173)-1)/COLUMNS('Portfolio Weights Returns'!$B$9:$BJ$69))+1,MOD(ROW(A2173)-1,COLUMNS('Portfolio Weights Returns'!$B$9:$BJ$69))+1)</f>
        <v>-7.1397459326333259E-4</v>
      </c>
      <c r="B2174" cm="1">
        <f t="array" ref="B2174">INDEX('Portfolio Weights Std'!$B$9:$BJ$69,INT((ROW(A2173)-1)/COLUMNS('Portfolio Weights Std'!$B$9:$BJ$69))+1,MOD(ROW(A2173)-1,COLUMNS('Portfolio Weights Std'!$B$9:$BJ$69))+1)</f>
        <v>1.7717049591234983E-2</v>
      </c>
    </row>
    <row r="2175" spans="1:2" x14ac:dyDescent="0.25">
      <c r="A2175" cm="1">
        <f t="array" ref="A2175">INDEX('Portfolio Weights Returns'!$B$9:$BJ$69,
INT((ROW(A2174)-1)/COLUMNS('Portfolio Weights Returns'!$B$9:$BJ$69))+1,MOD(ROW(A2174)-1,COLUMNS('Portfolio Weights Returns'!$B$9:$BJ$69))+1)</f>
        <v>-7.0719341929665366E-4</v>
      </c>
      <c r="B2175" cm="1">
        <f t="array" ref="B2175">INDEX('Portfolio Weights Std'!$B$9:$BJ$69,INT((ROW(A2174)-1)/COLUMNS('Portfolio Weights Std'!$B$9:$BJ$69))+1,MOD(ROW(A2174)-1,COLUMNS('Portfolio Weights Std'!$B$9:$BJ$69))+1)</f>
        <v>1.7590596809732531E-2</v>
      </c>
    </row>
    <row r="2176" spans="1:2" x14ac:dyDescent="0.25">
      <c r="A2176" cm="1">
        <f t="array" ref="A2176">INDEX('Portfolio Weights Returns'!$B$9:$BJ$69,
INT((ROW(A2175)-1)/COLUMNS('Portfolio Weights Returns'!$B$9:$BJ$69))+1,MOD(ROW(A2175)-1,COLUMNS('Portfolio Weights Returns'!$B$9:$BJ$69))+1)</f>
        <v>-7.0041224532997452E-4</v>
      </c>
      <c r="B2176" cm="1">
        <f t="array" ref="B2176">INDEX('Portfolio Weights Std'!$B$9:$BJ$69,INT((ROW(A2175)-1)/COLUMNS('Portfolio Weights Std'!$B$9:$BJ$69))+1,MOD(ROW(A2175)-1,COLUMNS('Portfolio Weights Std'!$B$9:$BJ$69))+1)</f>
        <v>1.7465879648148011E-2</v>
      </c>
    </row>
    <row r="2177" spans="1:2" x14ac:dyDescent="0.25">
      <c r="A2177" cm="1">
        <f t="array" ref="A2177">INDEX('Portfolio Weights Returns'!$B$9:$BJ$69,
INT((ROW(A2176)-1)/COLUMNS('Portfolio Weights Returns'!$B$9:$BJ$69))+1,MOD(ROW(A2176)-1,COLUMNS('Portfolio Weights Returns'!$B$9:$BJ$69))+1)</f>
        <v>-6.9363107136329537E-4</v>
      </c>
      <c r="B2177" cm="1">
        <f t="array" ref="B2177">INDEX('Portfolio Weights Std'!$B$9:$BJ$69,INT((ROW(A2176)-1)/COLUMNS('Portfolio Weights Std'!$B$9:$BJ$69))+1,MOD(ROW(A2176)-1,COLUMNS('Portfolio Weights Std'!$B$9:$BJ$69))+1)</f>
        <v>1.7342935550284887E-2</v>
      </c>
    </row>
    <row r="2178" spans="1:2" x14ac:dyDescent="0.25">
      <c r="A2178" cm="1">
        <f t="array" ref="A2178">INDEX('Portfolio Weights Returns'!$B$9:$BJ$69,
INT((ROW(A2177)-1)/COLUMNS('Portfolio Weights Returns'!$B$9:$BJ$69))+1,MOD(ROW(A2177)-1,COLUMNS('Portfolio Weights Returns'!$B$9:$BJ$69))+1)</f>
        <v>-6.8684989739661623E-4</v>
      </c>
      <c r="B2178" cm="1">
        <f t="array" ref="B2178">INDEX('Portfolio Weights Std'!$B$9:$BJ$69,INT((ROW(A2177)-1)/COLUMNS('Portfolio Weights Std'!$B$9:$BJ$69))+1,MOD(ROW(A2177)-1,COLUMNS('Portfolio Weights Std'!$B$9:$BJ$69))+1)</f>
        <v>1.7221802489164884E-2</v>
      </c>
    </row>
    <row r="2179" spans="1:2" x14ac:dyDescent="0.25">
      <c r="A2179" cm="1">
        <f t="array" ref="A2179">INDEX('Portfolio Weights Returns'!$B$9:$BJ$69,
INT((ROW(A2178)-1)/COLUMNS('Portfolio Weights Returns'!$B$9:$BJ$69))+1,MOD(ROW(A2178)-1,COLUMNS('Portfolio Weights Returns'!$B$9:$BJ$69))+1)</f>
        <v>-6.8006872342993708E-4</v>
      </c>
      <c r="B2179" cm="1">
        <f t="array" ref="B2179">INDEX('Portfolio Weights Std'!$B$9:$BJ$69,INT((ROW(A2178)-1)/COLUMNS('Portfolio Weights Std'!$B$9:$BJ$69))+1,MOD(ROW(A2178)-1,COLUMNS('Portfolio Weights Std'!$B$9:$BJ$69))+1)</f>
        <v>1.7102518946254735E-2</v>
      </c>
    </row>
    <row r="2180" spans="1:2" x14ac:dyDescent="0.25">
      <c r="A2180" cm="1">
        <f t="array" ref="A2180">INDEX('Portfolio Weights Returns'!$B$9:$BJ$69,
INT((ROW(A2179)-1)/COLUMNS('Portfolio Weights Returns'!$B$9:$BJ$69))+1,MOD(ROW(A2179)-1,COLUMNS('Portfolio Weights Returns'!$B$9:$BJ$69))+1)</f>
        <v>-6.7328754946325805E-4</v>
      </c>
      <c r="B2180" cm="1">
        <f t="array" ref="B2180">INDEX('Portfolio Weights Std'!$B$9:$BJ$69,INT((ROW(A2179)-1)/COLUMNS('Portfolio Weights Std'!$B$9:$BJ$69))+1,MOD(ROW(A2179)-1,COLUMNS('Portfolio Weights Std'!$B$9:$BJ$69))+1)</f>
        <v>1.6985123888124114E-2</v>
      </c>
    </row>
    <row r="2181" spans="1:2" x14ac:dyDescent="0.25">
      <c r="A2181" cm="1">
        <f t="array" ref="A2181">INDEX('Portfolio Weights Returns'!$B$9:$BJ$69,
INT((ROW(A2180)-1)/COLUMNS('Portfolio Weights Returns'!$B$9:$BJ$69))+1,MOD(ROW(A2180)-1,COLUMNS('Portfolio Weights Returns'!$B$9:$BJ$69))+1)</f>
        <v>-6.665063754965789E-4</v>
      </c>
      <c r="B2181" cm="1">
        <f t="array" ref="B2181">INDEX('Portfolio Weights Std'!$B$9:$BJ$69,INT((ROW(A2180)-1)/COLUMNS('Portfolio Weights Std'!$B$9:$BJ$69))+1,MOD(ROW(A2180)-1,COLUMNS('Portfolio Weights Std'!$B$9:$BJ$69))+1)</f>
        <v>1.6869656740419254E-2</v>
      </c>
    </row>
    <row r="2182" spans="1:2" x14ac:dyDescent="0.25">
      <c r="A2182" cm="1">
        <f t="array" ref="A2182">INDEX('Portfolio Weights Returns'!$B$9:$BJ$69,
INT((ROW(A2181)-1)/COLUMNS('Portfolio Weights Returns'!$B$9:$BJ$69))+1,MOD(ROW(A2181)-1,COLUMNS('Portfolio Weights Returns'!$B$9:$BJ$69))+1)</f>
        <v>-6.5972520152989987E-4</v>
      </c>
      <c r="B2182" cm="1">
        <f t="array" ref="B2182">INDEX('Portfolio Weights Std'!$B$9:$BJ$69,INT((ROW(A2181)-1)/COLUMNS('Portfolio Weights Std'!$B$9:$BJ$69))+1,MOD(ROW(A2181)-1,COLUMNS('Portfolio Weights Std'!$B$9:$BJ$69))+1)</f>
        <v>1.6756157359041093E-2</v>
      </c>
    </row>
    <row r="2183" spans="1:2" x14ac:dyDescent="0.25">
      <c r="A2183" cm="1">
        <f t="array" ref="A2183">INDEX('Portfolio Weights Returns'!$B$9:$BJ$69,
INT((ROW(A2182)-1)/COLUMNS('Portfolio Weights Returns'!$B$9:$BJ$69))+1,MOD(ROW(A2182)-1,COLUMNS('Portfolio Weights Returns'!$B$9:$BJ$69))+1)</f>
        <v>-6.5294402756322072E-4</v>
      </c>
      <c r="B2183" cm="1">
        <f t="array" ref="B2183">INDEX('Portfolio Weights Std'!$B$9:$BJ$69,INT((ROW(A2182)-1)/COLUMNS('Portfolio Weights Std'!$B$9:$BJ$69))+1,MOD(ROW(A2182)-1,COLUMNS('Portfolio Weights Std'!$B$9:$BJ$69))+1)</f>
        <v>1.664466599842265E-2</v>
      </c>
    </row>
    <row r="2184" spans="1:2" x14ac:dyDescent="0.25">
      <c r="A2184" cm="1">
        <f t="array" ref="A2184">INDEX('Portfolio Weights Returns'!$B$9:$BJ$69,
INT((ROW(A2183)-1)/COLUMNS('Portfolio Weights Returns'!$B$9:$BJ$69))+1,MOD(ROW(A2183)-1,COLUMNS('Portfolio Weights Returns'!$B$9:$BJ$69))+1)</f>
        <v>-6.4616285359654169E-4</v>
      </c>
      <c r="B2184" cm="1">
        <f t="array" ref="B2184">INDEX('Portfolio Weights Std'!$B$9:$BJ$69,INT((ROW(A2183)-1)/COLUMNS('Portfolio Weights Std'!$B$9:$BJ$69))+1,MOD(ROW(A2183)-1,COLUMNS('Portfolio Weights Std'!$B$9:$BJ$69))+1)</f>
        <v>1.6535223276807395E-2</v>
      </c>
    </row>
    <row r="2185" spans="1:2" x14ac:dyDescent="0.25">
      <c r="A2185" cm="1">
        <f t="array" ref="A2185">INDEX('Portfolio Weights Returns'!$B$9:$BJ$69,
INT((ROW(A2184)-1)/COLUMNS('Portfolio Weights Returns'!$B$9:$BJ$69))+1,MOD(ROW(A2184)-1,COLUMNS('Portfolio Weights Returns'!$B$9:$BJ$69))+1)</f>
        <v>-6.3938167962986254E-4</v>
      </c>
      <c r="B2185" cm="1">
        <f t="array" ref="B2185">INDEX('Portfolio Weights Std'!$B$9:$BJ$69,INT((ROW(A2184)-1)/COLUMNS('Portfolio Weights Std'!$B$9:$BJ$69))+1,MOD(ROW(A2184)-1,COLUMNS('Portfolio Weights Std'!$B$9:$BJ$69))+1)</f>
        <v>1.6427870138439282E-2</v>
      </c>
    </row>
    <row r="2186" spans="1:2" x14ac:dyDescent="0.25">
      <c r="A2186" cm="1">
        <f t="array" ref="A2186">INDEX('Portfolio Weights Returns'!$B$9:$BJ$69,
INT((ROW(A2185)-1)/COLUMNS('Portfolio Weights Returns'!$B$9:$BJ$69))+1,MOD(ROW(A2185)-1,COLUMNS('Portfolio Weights Returns'!$B$9:$BJ$69))+1)</f>
        <v>-6.326005056631834E-4</v>
      </c>
      <c r="B2186" cm="1">
        <f t="array" ref="B2186">INDEX('Portfolio Weights Std'!$B$9:$BJ$69,INT((ROW(A2185)-1)/COLUMNS('Portfolio Weights Std'!$B$9:$BJ$69))+1,MOD(ROW(A2185)-1,COLUMNS('Portfolio Weights Std'!$B$9:$BJ$69))+1)</f>
        <v>1.6322647812585522E-2</v>
      </c>
    </row>
    <row r="2187" spans="1:2" x14ac:dyDescent="0.25">
      <c r="A2187" cm="1">
        <f t="array" ref="A2187">INDEX('Portfolio Weights Returns'!$B$9:$BJ$69,
INT((ROW(A2186)-1)/COLUMNS('Portfolio Weights Returns'!$B$9:$BJ$69))+1,MOD(ROW(A2186)-1,COLUMNS('Portfolio Weights Returns'!$B$9:$BJ$69))+1)</f>
        <v>-6.2581933169650436E-4</v>
      </c>
      <c r="B2187" cm="1">
        <f t="array" ref="B2187">INDEX('Portfolio Weights Std'!$B$9:$BJ$69,INT((ROW(A2186)-1)/COLUMNS('Portfolio Weights Std'!$B$9:$BJ$69))+1,MOD(ROW(A2186)-1,COLUMNS('Portfolio Weights Std'!$B$9:$BJ$69))+1)</f>
        <v>1.6219597769325435E-2</v>
      </c>
    </row>
    <row r="2188" spans="1:2" x14ac:dyDescent="0.25">
      <c r="A2188" cm="1">
        <f t="array" ref="A2188">INDEX('Portfolio Weights Returns'!$B$9:$BJ$69,
INT((ROW(A2187)-1)/COLUMNS('Portfolio Weights Returns'!$B$9:$BJ$69))+1,MOD(ROW(A2187)-1,COLUMNS('Portfolio Weights Returns'!$B$9:$BJ$69))+1)</f>
        <v>-6.1903815772982522E-4</v>
      </c>
      <c r="B2188" cm="1">
        <f t="array" ref="B2188">INDEX('Portfolio Weights Std'!$B$9:$BJ$69,INT((ROW(A2187)-1)/COLUMNS('Portfolio Weights Std'!$B$9:$BJ$69))+1,MOD(ROW(A2187)-1,COLUMNS('Portfolio Weights Std'!$B$9:$BJ$69))+1)</f>
        <v>1.6118761672052739E-2</v>
      </c>
    </row>
    <row r="2189" spans="1:2" x14ac:dyDescent="0.25">
      <c r="A2189" cm="1">
        <f t="array" ref="A2189">INDEX('Portfolio Weights Returns'!$B$9:$BJ$69,
INT((ROW(A2188)-1)/COLUMNS('Portfolio Weights Returns'!$B$9:$BJ$69))+1,MOD(ROW(A2188)-1,COLUMNS('Portfolio Weights Returns'!$B$9:$BJ$69))+1)</f>
        <v>-6.1225698376314618E-4</v>
      </c>
      <c r="B2189" cm="1">
        <f t="array" ref="B2189">INDEX('Portfolio Weights Std'!$B$9:$BJ$69,INT((ROW(A2188)-1)/COLUMNS('Portfolio Weights Std'!$B$9:$BJ$69))+1,MOD(ROW(A2188)-1,COLUMNS('Portfolio Weights Std'!$B$9:$BJ$69))+1)</f>
        <v>1.602018132665458E-2</v>
      </c>
    </row>
    <row r="2190" spans="1:2" x14ac:dyDescent="0.25">
      <c r="A2190" cm="1">
        <f t="array" ref="A2190">INDEX('Portfolio Weights Returns'!$B$9:$BJ$69,
INT((ROW(A2189)-1)/COLUMNS('Portfolio Weights Returns'!$B$9:$BJ$69))+1,MOD(ROW(A2189)-1,COLUMNS('Portfolio Weights Returns'!$B$9:$BJ$69))+1)</f>
        <v>-6.0547580979646704E-4</v>
      </c>
      <c r="B2190" cm="1">
        <f t="array" ref="B2190">INDEX('Portfolio Weights Std'!$B$9:$BJ$69,INT((ROW(A2189)-1)/COLUMNS('Portfolio Weights Std'!$B$9:$BJ$69))+1,MOD(ROW(A2189)-1,COLUMNS('Portfolio Weights Std'!$B$9:$BJ$69))+1)</f>
        <v>1.5923898627348575E-2</v>
      </c>
    </row>
    <row r="2191" spans="1:2" x14ac:dyDescent="0.25">
      <c r="A2191" cm="1">
        <f t="array" ref="A2191">INDEX('Portfolio Weights Returns'!$B$9:$BJ$69,
INT((ROW(A2190)-1)/COLUMNS('Portfolio Weights Returns'!$B$9:$BJ$69))+1,MOD(ROW(A2190)-1,COLUMNS('Portfolio Weights Returns'!$B$9:$BJ$69))+1)</f>
        <v>-5.9869463582978789E-4</v>
      </c>
      <c r="B2191" cm="1">
        <f t="array" ref="B2191">INDEX('Portfolio Weights Std'!$B$9:$BJ$69,INT((ROW(A2190)-1)/COLUMNS('Portfolio Weights Std'!$B$9:$BJ$69))+1,MOD(ROW(A2190)-1,COLUMNS('Portfolio Weights Std'!$B$9:$BJ$69))+1)</f>
        <v>1.5829955499178806E-2</v>
      </c>
    </row>
    <row r="2192" spans="1:2" x14ac:dyDescent="0.25">
      <c r="A2192" cm="1">
        <f t="array" ref="A2192">INDEX('Portfolio Weights Returns'!$B$9:$BJ$69,
INT((ROW(A2191)-1)/COLUMNS('Portfolio Weights Returns'!$B$9:$BJ$69))+1,MOD(ROW(A2191)-1,COLUMNS('Portfolio Weights Returns'!$B$9:$BJ$69))+1)</f>
        <v>-5.9191346186310875E-4</v>
      </c>
      <c r="B2192" cm="1">
        <f t="array" ref="B2192">INDEX('Portfolio Weights Std'!$B$9:$BJ$69,INT((ROW(A2191)-1)/COLUMNS('Portfolio Weights Std'!$B$9:$BJ$69))+1,MOD(ROW(A2191)-1,COLUMNS('Portfolio Weights Std'!$B$9:$BJ$69))+1)</f>
        <v>1.5738393837193641E-2</v>
      </c>
    </row>
    <row r="2193" spans="1:2" x14ac:dyDescent="0.25">
      <c r="A2193" cm="1">
        <f t="array" ref="A2193">INDEX('Portfolio Weights Returns'!$B$9:$BJ$69,
INT((ROW(A2192)-1)/COLUMNS('Portfolio Weights Returns'!$B$9:$BJ$69))+1,MOD(ROW(A2192)-1,COLUMNS('Portfolio Weights Returns'!$B$9:$BJ$69))+1)</f>
        <v>-5.8513228789642971E-4</v>
      </c>
      <c r="B2193" cm="1">
        <f t="array" ref="B2193">INDEX('Portfolio Weights Std'!$B$9:$BJ$69,INT((ROW(A2192)-1)/COLUMNS('Portfolio Weights Std'!$B$9:$BJ$69))+1,MOD(ROW(A2192)-1,COLUMNS('Portfolio Weights Std'!$B$9:$BJ$69))+1)</f>
        <v>1.5649255442351698E-2</v>
      </c>
    </row>
    <row r="2194" spans="1:2" x14ac:dyDescent="0.25">
      <c r="A2194" cm="1">
        <f t="array" ref="A2194">INDEX('Portfolio Weights Returns'!$B$9:$BJ$69,
INT((ROW(A2193)-1)/COLUMNS('Portfolio Weights Returns'!$B$9:$BJ$69))+1,MOD(ROW(A2193)-1,COLUMNS('Portfolio Weights Returns'!$B$9:$BJ$69))+1)</f>
        <v>-5.7835111392974992E-4</v>
      </c>
      <c r="B2194" cm="1">
        <f t="array" ref="B2194">INDEX('Portfolio Weights Std'!$B$9:$BJ$69,INT((ROW(A2193)-1)/COLUMNS('Portfolio Weights Std'!$B$9:$BJ$69))+1,MOD(ROW(A2193)-1,COLUMNS('Portfolio Weights Std'!$B$9:$BJ$69))+1)</f>
        <v>1.5562581954227881E-2</v>
      </c>
    </row>
    <row r="2195" spans="1:2" x14ac:dyDescent="0.25">
      <c r="A2195" cm="1">
        <f t="array" ref="A2195">INDEX('Portfolio Weights Returns'!$B$9:$BJ$69,
INT((ROW(A2194)-1)/COLUMNS('Portfolio Weights Returns'!$B$9:$BJ$69))+1,MOD(ROW(A2194)-1,COLUMNS('Portfolio Weights Returns'!$B$9:$BJ$69))+1)</f>
        <v>-5.7156993996307088E-4</v>
      </c>
      <c r="B2195" cm="1">
        <f t="array" ref="B2195">INDEX('Portfolio Weights Std'!$B$9:$BJ$69,INT((ROW(A2194)-1)/COLUMNS('Portfolio Weights Std'!$B$9:$BJ$69))+1,MOD(ROW(A2194)-1,COLUMNS('Portfolio Weights Std'!$B$9:$BJ$69))+1)</f>
        <v>1.5478414780618545E-2</v>
      </c>
    </row>
    <row r="2196" spans="1:2" x14ac:dyDescent="0.25">
      <c r="A2196" cm="1">
        <f t="array" ref="A2196">INDEX('Portfolio Weights Returns'!$B$9:$BJ$69,
INT((ROW(A2195)-1)/COLUMNS('Portfolio Weights Returns'!$B$9:$BJ$69))+1,MOD(ROW(A2195)-1,COLUMNS('Portfolio Weights Returns'!$B$9:$BJ$69))+1)</f>
        <v>-5.6478876599639174E-4</v>
      </c>
      <c r="B2196" cm="1">
        <f t="array" ref="B2196">INDEX('Portfolio Weights Std'!$B$9:$BJ$69,INT((ROW(A2195)-1)/COLUMNS('Portfolio Weights Std'!$B$9:$BJ$69))+1,MOD(ROW(A2195)-1,COLUMNS('Portfolio Weights Std'!$B$9:$BJ$69))+1)</f>
        <v>1.5396795024173305E-2</v>
      </c>
    </row>
    <row r="2197" spans="1:2" x14ac:dyDescent="0.25">
      <c r="A2197" cm="1">
        <f t="array" ref="A2197">INDEX('Portfolio Weights Returns'!$B$9:$BJ$69,
INT((ROW(A2196)-1)/COLUMNS('Portfolio Weights Returns'!$B$9:$BJ$69))+1,MOD(ROW(A2196)-1,COLUMNS('Portfolio Weights Returns'!$B$9:$BJ$69))+1)</f>
        <v>-5.5800759202971259E-4</v>
      </c>
      <c r="B2197" cm="1">
        <f t="array" ref="B2197">INDEX('Portfolio Weights Std'!$B$9:$BJ$69,INT((ROW(A2196)-1)/COLUMNS('Portfolio Weights Std'!$B$9:$BJ$69))+1,MOD(ROW(A2196)-1,COLUMNS('Portfolio Weights Std'!$B$9:$BJ$69))+1)</f>
        <v>1.5317763406211464E-2</v>
      </c>
    </row>
    <row r="2198" spans="1:2" x14ac:dyDescent="0.25">
      <c r="A2198" cm="1">
        <f t="array" ref="A2198">INDEX('Portfolio Weights Returns'!$B$9:$BJ$69,
INT((ROW(A2197)-1)/COLUMNS('Portfolio Weights Returns'!$B$9:$BJ$69))+1,MOD(ROW(A2197)-1,COLUMNS('Portfolio Weights Returns'!$B$9:$BJ$69))+1)</f>
        <v>-9.5830382218500441E-4</v>
      </c>
      <c r="B2198" cm="1">
        <f t="array" ref="B2198">INDEX('Portfolio Weights Std'!$B$9:$BJ$69,INT((ROW(A2197)-1)/COLUMNS('Portfolio Weights Std'!$B$9:$BJ$69))+1,MOD(ROW(A2197)-1,COLUMNS('Portfolio Weights Std'!$B$9:$BJ$69))+1)</f>
        <v>2.3217752353699633E-2</v>
      </c>
    </row>
    <row r="2199" spans="1:2" x14ac:dyDescent="0.25">
      <c r="A2199" cm="1">
        <f t="array" ref="A2199">INDEX('Portfolio Weights Returns'!$B$9:$BJ$69,
INT((ROW(A2198)-1)/COLUMNS('Portfolio Weights Returns'!$B$9:$BJ$69))+1,MOD(ROW(A2198)-1,COLUMNS('Portfolio Weights Returns'!$B$9:$BJ$69))+1)</f>
        <v>-9.5152264821832526E-4</v>
      </c>
      <c r="B2199" cm="1">
        <f t="array" ref="B2199">INDEX('Portfolio Weights Std'!$B$9:$BJ$69,INT((ROW(A2198)-1)/COLUMNS('Portfolio Weights Std'!$B$9:$BJ$69))+1,MOD(ROW(A2198)-1,COLUMNS('Portfolio Weights Std'!$B$9:$BJ$69))+1)</f>
        <v>2.3048840453044776E-2</v>
      </c>
    </row>
    <row r="2200" spans="1:2" x14ac:dyDescent="0.25">
      <c r="A2200" cm="1">
        <f t="array" ref="A2200">INDEX('Portfolio Weights Returns'!$B$9:$BJ$69,
INT((ROW(A2199)-1)/COLUMNS('Portfolio Weights Returns'!$B$9:$BJ$69))+1,MOD(ROW(A2199)-1,COLUMNS('Portfolio Weights Returns'!$B$9:$BJ$69))+1)</f>
        <v>-9.4474147425164623E-4</v>
      </c>
      <c r="B2200" cm="1">
        <f t="array" ref="B2200">INDEX('Portfolio Weights Std'!$B$9:$BJ$69,INT((ROW(A2199)-1)/COLUMNS('Portfolio Weights Std'!$B$9:$BJ$69))+1,MOD(ROW(A2199)-1,COLUMNS('Portfolio Weights Std'!$B$9:$BJ$69))+1)</f>
        <v>2.2880705276691705E-2</v>
      </c>
    </row>
    <row r="2201" spans="1:2" x14ac:dyDescent="0.25">
      <c r="A2201" cm="1">
        <f t="array" ref="A2201">INDEX('Portfolio Weights Returns'!$B$9:$BJ$69,
INT((ROW(A2200)-1)/COLUMNS('Portfolio Weights Returns'!$B$9:$BJ$69))+1,MOD(ROW(A2200)-1,COLUMNS('Portfolio Weights Returns'!$B$9:$BJ$69))+1)</f>
        <v>-9.3796030028496697E-4</v>
      </c>
      <c r="B2201" cm="1">
        <f t="array" ref="B2201">INDEX('Portfolio Weights Std'!$B$9:$BJ$69,INT((ROW(A2200)-1)/COLUMNS('Portfolio Weights Std'!$B$9:$BJ$69))+1,MOD(ROW(A2200)-1,COLUMNS('Portfolio Weights Std'!$B$9:$BJ$69))+1)</f>
        <v>2.2713364073700486E-2</v>
      </c>
    </row>
    <row r="2202" spans="1:2" x14ac:dyDescent="0.25">
      <c r="A2202" cm="1">
        <f t="array" ref="A2202">INDEX('Portfolio Weights Returns'!$B$9:$BJ$69,
INT((ROW(A2201)-1)/COLUMNS('Portfolio Weights Returns'!$B$9:$BJ$69))+1,MOD(ROW(A2201)-1,COLUMNS('Portfolio Weights Returns'!$B$9:$BJ$69))+1)</f>
        <v>-9.3117912631828794E-4</v>
      </c>
      <c r="B2202" cm="1">
        <f t="array" ref="B2202">INDEX('Portfolio Weights Std'!$B$9:$BJ$69,INT((ROW(A2201)-1)/COLUMNS('Portfolio Weights Std'!$B$9:$BJ$69))+1,MOD(ROW(A2201)-1,COLUMNS('Portfolio Weights Std'!$B$9:$BJ$69))+1)</f>
        <v>2.2546834522540724E-2</v>
      </c>
    </row>
    <row r="2203" spans="1:2" x14ac:dyDescent="0.25">
      <c r="A2203" cm="1">
        <f t="array" ref="A2203">INDEX('Portfolio Weights Returns'!$B$9:$BJ$69,
INT((ROW(A2202)-1)/COLUMNS('Portfolio Weights Returns'!$B$9:$BJ$69))+1,MOD(ROW(A2202)-1,COLUMNS('Portfolio Weights Returns'!$B$9:$BJ$69))+1)</f>
        <v>-9.2439795235160879E-4</v>
      </c>
      <c r="B2203" cm="1">
        <f t="array" ref="B2203">INDEX('Portfolio Weights Std'!$B$9:$BJ$69,INT((ROW(A2202)-1)/COLUMNS('Portfolio Weights Std'!$B$9:$BJ$69))+1,MOD(ROW(A2202)-1,COLUMNS('Portfolio Weights Std'!$B$9:$BJ$69))+1)</f>
        <v>2.2381134740801823E-2</v>
      </c>
    </row>
    <row r="2204" spans="1:2" x14ac:dyDescent="0.25">
      <c r="A2204" cm="1">
        <f t="array" ref="A2204">INDEX('Portfolio Weights Returns'!$B$9:$BJ$69,
INT((ROW(A2203)-1)/COLUMNS('Portfolio Weights Returns'!$B$9:$BJ$69))+1,MOD(ROW(A2203)-1,COLUMNS('Portfolio Weights Returns'!$B$9:$BJ$69))+1)</f>
        <v>-9.1761677838492965E-4</v>
      </c>
      <c r="B2204" cm="1">
        <f t="array" ref="B2204">INDEX('Portfolio Weights Std'!$B$9:$BJ$69,INT((ROW(A2203)-1)/COLUMNS('Portfolio Weights Std'!$B$9:$BJ$69))+1,MOD(ROW(A2203)-1,COLUMNS('Portfolio Weights Std'!$B$9:$BJ$69))+1)</f>
        <v>2.221628329495608E-2</v>
      </c>
    </row>
    <row r="2205" spans="1:2" x14ac:dyDescent="0.25">
      <c r="A2205" cm="1">
        <f t="array" ref="A2205">INDEX('Portfolio Weights Returns'!$B$9:$BJ$69,
INT((ROW(A2204)-1)/COLUMNS('Portfolio Weights Returns'!$B$9:$BJ$69))+1,MOD(ROW(A2204)-1,COLUMNS('Portfolio Weights Returns'!$B$9:$BJ$69))+1)</f>
        <v>-9.1083560441825061E-4</v>
      </c>
      <c r="B2205" cm="1">
        <f t="array" ref="B2205">INDEX('Portfolio Weights Std'!$B$9:$BJ$69,INT((ROW(A2204)-1)/COLUMNS('Portfolio Weights Std'!$B$9:$BJ$69))+1,MOD(ROW(A2204)-1,COLUMNS('Portfolio Weights Std'!$B$9:$BJ$69))+1)</f>
        <v>2.2052299210156941E-2</v>
      </c>
    </row>
    <row r="2206" spans="1:2" x14ac:dyDescent="0.25">
      <c r="A2206" cm="1">
        <f t="array" ref="A2206">INDEX('Portfolio Weights Returns'!$B$9:$BJ$69,
INT((ROW(A2205)-1)/COLUMNS('Portfolio Weights Returns'!$B$9:$BJ$69))+1,MOD(ROW(A2205)-1,COLUMNS('Portfolio Weights Returns'!$B$9:$BJ$69))+1)</f>
        <v>-9.0405443045157147E-4</v>
      </c>
      <c r="B2206" cm="1">
        <f t="array" ref="B2206">INDEX('Portfolio Weights Std'!$B$9:$BJ$69,INT((ROW(A2205)-1)/COLUMNS('Portfolio Weights Std'!$B$9:$BJ$69))+1,MOD(ROW(A2205)-1,COLUMNS('Portfolio Weights Std'!$B$9:$BJ$69))+1)</f>
        <v>2.1889201980053057E-2</v>
      </c>
    </row>
    <row r="2207" spans="1:2" x14ac:dyDescent="0.25">
      <c r="A2207" cm="1">
        <f t="array" ref="A2207">INDEX('Portfolio Weights Returns'!$B$9:$BJ$69,
INT((ROW(A2206)-1)/COLUMNS('Portfolio Weights Returns'!$B$9:$BJ$69))+1,MOD(ROW(A2206)-1,COLUMNS('Portfolio Weights Returns'!$B$9:$BJ$69))+1)</f>
        <v>-8.9727325648489243E-4</v>
      </c>
      <c r="B2207" cm="1">
        <f t="array" ref="B2207">INDEX('Portfolio Weights Std'!$B$9:$BJ$69,INT((ROW(A2206)-1)/COLUMNS('Portfolio Weights Std'!$B$9:$BJ$69))+1,MOD(ROW(A2206)-1,COLUMNS('Portfolio Weights Std'!$B$9:$BJ$69))+1)</f>
        <v>2.172701157659641E-2</v>
      </c>
    </row>
    <row r="2208" spans="1:2" x14ac:dyDescent="0.25">
      <c r="A2208" cm="1">
        <f t="array" ref="A2208">INDEX('Portfolio Weights Returns'!$B$9:$BJ$69,
INT((ROW(A2207)-1)/COLUMNS('Portfolio Weights Returns'!$B$9:$BJ$69))+1,MOD(ROW(A2207)-1,COLUMNS('Portfolio Weights Returns'!$B$9:$BJ$69))+1)</f>
        <v>-8.9049208251821318E-4</v>
      </c>
      <c r="B2208" cm="1">
        <f t="array" ref="B2208">INDEX('Portfolio Weights Std'!$B$9:$BJ$69,INT((ROW(A2207)-1)/COLUMNS('Portfolio Weights Std'!$B$9:$BJ$69))+1,MOD(ROW(A2207)-1,COLUMNS('Portfolio Weights Std'!$B$9:$BJ$69))+1)</f>
        <v>2.1565748459821101E-2</v>
      </c>
    </row>
    <row r="2209" spans="1:2" x14ac:dyDescent="0.25">
      <c r="A2209" cm="1">
        <f t="array" ref="A2209">INDEX('Portfolio Weights Returns'!$B$9:$BJ$69,
INT((ROW(A2208)-1)/COLUMNS('Portfolio Weights Returns'!$B$9:$BJ$69))+1,MOD(ROW(A2208)-1,COLUMNS('Portfolio Weights Returns'!$B$9:$BJ$69))+1)</f>
        <v>-8.8371090855153414E-4</v>
      </c>
      <c r="B2209" cm="1">
        <f t="array" ref="B2209">INDEX('Portfolio Weights Std'!$B$9:$BJ$69,INT((ROW(A2208)-1)/COLUMNS('Portfolio Weights Std'!$B$9:$BJ$69))+1,MOD(ROW(A2208)-1,COLUMNS('Portfolio Weights Std'!$B$9:$BJ$69))+1)</f>
        <v>2.1405433587566591E-2</v>
      </c>
    </row>
    <row r="2210" spans="1:2" x14ac:dyDescent="0.25">
      <c r="A2210" cm="1">
        <f t="array" ref="A2210">INDEX('Portfolio Weights Returns'!$B$9:$BJ$69,
INT((ROW(A2209)-1)/COLUMNS('Portfolio Weights Returns'!$B$9:$BJ$69))+1,MOD(ROW(A2209)-1,COLUMNS('Portfolio Weights Returns'!$B$9:$BJ$69))+1)</f>
        <v>-8.76929734584855E-4</v>
      </c>
      <c r="B2210" cm="1">
        <f t="array" ref="B2210">INDEX('Portfolio Weights Std'!$B$9:$BJ$69,INT((ROW(A2209)-1)/COLUMNS('Portfolio Weights Std'!$B$9:$BJ$69))+1,MOD(ROW(A2209)-1,COLUMNS('Portfolio Weights Std'!$B$9:$BJ$69))+1)</f>
        <v>2.1246088425117167E-2</v>
      </c>
    </row>
    <row r="2211" spans="1:2" x14ac:dyDescent="0.25">
      <c r="A2211" cm="1">
        <f t="array" ref="A2211">INDEX('Portfolio Weights Returns'!$B$9:$BJ$69,
INT((ROW(A2210)-1)/COLUMNS('Portfolio Weights Returns'!$B$9:$BJ$69))+1,MOD(ROW(A2210)-1,COLUMNS('Portfolio Weights Returns'!$B$9:$BJ$69))+1)</f>
        <v>-8.7014856061817596E-4</v>
      </c>
      <c r="B2211" cm="1">
        <f t="array" ref="B2211">INDEX('Portfolio Weights Std'!$B$9:$BJ$69,INT((ROW(A2210)-1)/COLUMNS('Portfolio Weights Std'!$B$9:$BJ$69))+1,MOD(ROW(A2210)-1,COLUMNS('Portfolio Weights Std'!$B$9:$BJ$69))+1)</f>
        <v>2.1087734954726583E-2</v>
      </c>
    </row>
    <row r="2212" spans="1:2" x14ac:dyDescent="0.25">
      <c r="A2212" cm="1">
        <f t="array" ref="A2212">INDEX('Portfolio Weights Returns'!$B$9:$BJ$69,
INT((ROW(A2211)-1)/COLUMNS('Portfolio Weights Returns'!$B$9:$BJ$69))+1,MOD(ROW(A2211)-1,COLUMNS('Portfolio Weights Returns'!$B$9:$BJ$69))+1)</f>
        <v>-8.6336738665149682E-4</v>
      </c>
      <c r="B2212" cm="1">
        <f t="array" ref="B2212">INDEX('Portfolio Weights Std'!$B$9:$BJ$69,INT((ROW(A2211)-1)/COLUMNS('Portfolio Weights Std'!$B$9:$BJ$69))+1,MOD(ROW(A2211)-1,COLUMNS('Portfolio Weights Std'!$B$9:$BJ$69))+1)</f>
        <v>2.093039568499418E-2</v>
      </c>
    </row>
    <row r="2213" spans="1:2" x14ac:dyDescent="0.25">
      <c r="A2213" cm="1">
        <f t="array" ref="A2213">INDEX('Portfolio Weights Returns'!$B$9:$BJ$69,
INT((ROW(A2212)-1)/COLUMNS('Portfolio Weights Returns'!$B$9:$BJ$69))+1,MOD(ROW(A2212)-1,COLUMNS('Portfolio Weights Returns'!$B$9:$BJ$69))+1)</f>
        <v>-8.5658621268481778E-4</v>
      </c>
      <c r="B2213" cm="1">
        <f t="array" ref="B2213">INDEX('Portfolio Weights Std'!$B$9:$BJ$69,INT((ROW(A2212)-1)/COLUMNS('Portfolio Weights Std'!$B$9:$BJ$69))+1,MOD(ROW(A2212)-1,COLUMNS('Portfolio Weights Std'!$B$9:$BJ$69))+1)</f>
        <v>2.0774093660055892E-2</v>
      </c>
    </row>
    <row r="2214" spans="1:2" x14ac:dyDescent="0.25">
      <c r="A2214" cm="1">
        <f t="array" ref="A2214">INDEX('Portfolio Weights Returns'!$B$9:$BJ$69,
INT((ROW(A2213)-1)/COLUMNS('Portfolio Weights Returns'!$B$9:$BJ$69))+1,MOD(ROW(A2213)-1,COLUMNS('Portfolio Weights Returns'!$B$9:$BJ$69))+1)</f>
        <v>-8.4980503871813875E-4</v>
      </c>
      <c r="B2214" cm="1">
        <f t="array" ref="B2214">INDEX('Portfolio Weights Std'!$B$9:$BJ$69,INT((ROW(A2213)-1)/COLUMNS('Portfolio Weights Std'!$B$9:$BJ$69))+1,MOD(ROW(A2213)-1,COLUMNS('Portfolio Weights Std'!$B$9:$BJ$69))+1)</f>
        <v>2.0618852468550521E-2</v>
      </c>
    </row>
    <row r="2215" spans="1:2" x14ac:dyDescent="0.25">
      <c r="A2215" cm="1">
        <f t="array" ref="A2215">INDEX('Portfolio Weights Returns'!$B$9:$BJ$69,
INT((ROW(A2214)-1)/COLUMNS('Portfolio Weights Returns'!$B$9:$BJ$69))+1,MOD(ROW(A2214)-1,COLUMNS('Portfolio Weights Returns'!$B$9:$BJ$69))+1)</f>
        <v>-8.4302386475145939E-4</v>
      </c>
      <c r="B2215" cm="1">
        <f t="array" ref="B2215">INDEX('Portfolio Weights Std'!$B$9:$BJ$69,INT((ROW(A2214)-1)/COLUMNS('Portfolio Weights Std'!$B$9:$BJ$69))+1,MOD(ROW(A2214)-1,COLUMNS('Portfolio Weights Std'!$B$9:$BJ$69))+1)</f>
        <v>2.0464696252318407E-2</v>
      </c>
    </row>
    <row r="2216" spans="1:2" x14ac:dyDescent="0.25">
      <c r="A2216" cm="1">
        <f t="array" ref="A2216">INDEX('Portfolio Weights Returns'!$B$9:$BJ$69,
INT((ROW(A2215)-1)/COLUMNS('Portfolio Weights Returns'!$B$9:$BJ$69))+1,MOD(ROW(A2215)-1,COLUMNS('Portfolio Weights Returns'!$B$9:$BJ$69))+1)</f>
        <v>-8.3624269078478057E-4</v>
      </c>
      <c r="B2216" cm="1">
        <f t="array" ref="B2216">INDEX('Portfolio Weights Std'!$B$9:$BJ$69,INT((ROW(A2215)-1)/COLUMNS('Portfolio Weights Std'!$B$9:$BJ$69))+1,MOD(ROW(A2215)-1,COLUMNS('Portfolio Weights Std'!$B$9:$BJ$69))+1)</f>
        <v>2.0311649714786453E-2</v>
      </c>
    </row>
    <row r="2217" spans="1:2" x14ac:dyDescent="0.25">
      <c r="A2217" cm="1">
        <f t="array" ref="A2217">INDEX('Portfolio Weights Returns'!$B$9:$BJ$69,
INT((ROW(A2216)-1)/COLUMNS('Portfolio Weights Returns'!$B$9:$BJ$69))+1,MOD(ROW(A2216)-1,COLUMNS('Portfolio Weights Returns'!$B$9:$BJ$69))+1)</f>
        <v>-8.2946151681810142E-4</v>
      </c>
      <c r="B2217" cm="1">
        <f t="array" ref="B2217">INDEX('Portfolio Weights Std'!$B$9:$BJ$69,INT((ROW(A2216)-1)/COLUMNS('Portfolio Weights Std'!$B$9:$BJ$69))+1,MOD(ROW(A2216)-1,COLUMNS('Portfolio Weights Std'!$B$9:$BJ$69))+1)</f>
        <v>2.0159738128989666E-2</v>
      </c>
    </row>
    <row r="2218" spans="1:2" x14ac:dyDescent="0.25">
      <c r="A2218" cm="1">
        <f t="array" ref="A2218">INDEX('Portfolio Weights Returns'!$B$9:$BJ$69,
INT((ROW(A2217)-1)/COLUMNS('Portfolio Weights Returns'!$B$9:$BJ$69))+1,MOD(ROW(A2217)-1,COLUMNS('Portfolio Weights Returns'!$B$9:$BJ$69))+1)</f>
        <v>-8.2268034285142239E-4</v>
      </c>
      <c r="B2218" cm="1">
        <f t="array" ref="B2218">INDEX('Portfolio Weights Std'!$B$9:$BJ$69,INT((ROW(A2217)-1)/COLUMNS('Portfolio Weights Std'!$B$9:$BJ$69))+1,MOD(ROW(A2217)-1,COLUMNS('Portfolio Weights Std'!$B$9:$BJ$69))+1)</f>
        <v>2.0008987345176192E-2</v>
      </c>
    </row>
    <row r="2219" spans="1:2" x14ac:dyDescent="0.25">
      <c r="A2219" cm="1">
        <f t="array" ref="A2219">INDEX('Portfolio Weights Returns'!$B$9:$BJ$69,
INT((ROW(A2218)-1)/COLUMNS('Portfolio Weights Returns'!$B$9:$BJ$69))+1,MOD(ROW(A2218)-1,COLUMNS('Portfolio Weights Returns'!$B$9:$BJ$69))+1)</f>
        <v>-8.1589916888474313E-4</v>
      </c>
      <c r="B2219" cm="1">
        <f t="array" ref="B2219">INDEX('Portfolio Weights Std'!$B$9:$BJ$69,INT((ROW(A2218)-1)/COLUMNS('Portfolio Weights Std'!$B$9:$BJ$69))+1,MOD(ROW(A2218)-1,COLUMNS('Portfolio Weights Std'!$B$9:$BJ$69))+1)</f>
        <v>1.985942379793855E-2</v>
      </c>
    </row>
    <row r="2220" spans="1:2" x14ac:dyDescent="0.25">
      <c r="A2220" cm="1">
        <f t="array" ref="A2220">INDEX('Portfolio Weights Returns'!$B$9:$BJ$69,
INT((ROW(A2219)-1)/COLUMNS('Portfolio Weights Returns'!$B$9:$BJ$69))+1,MOD(ROW(A2219)-1,COLUMNS('Portfolio Weights Returns'!$B$9:$BJ$69))+1)</f>
        <v>-8.091179949180641E-4</v>
      </c>
      <c r="B2220" cm="1">
        <f t="array" ref="B2220">INDEX('Portfolio Weights Std'!$B$9:$BJ$69,INT((ROW(A2219)-1)/COLUMNS('Portfolio Weights Std'!$B$9:$BJ$69))+1,MOD(ROW(A2219)-1,COLUMNS('Portfolio Weights Std'!$B$9:$BJ$69))+1)</f>
        <v>1.9711074512810331E-2</v>
      </c>
    </row>
    <row r="2221" spans="1:2" x14ac:dyDescent="0.25">
      <c r="A2221" cm="1">
        <f t="array" ref="A2221">INDEX('Portfolio Weights Returns'!$B$9:$BJ$69,
INT((ROW(A2220)-1)/COLUMNS('Portfolio Weights Returns'!$B$9:$BJ$69))+1,MOD(ROW(A2220)-1,COLUMNS('Portfolio Weights Returns'!$B$9:$BJ$69))+1)</f>
        <v>-8.0233682095138495E-4</v>
      </c>
      <c r="B2221" cm="1">
        <f t="array" ref="B2221">INDEX('Portfolio Weights Std'!$B$9:$BJ$69,INT((ROW(A2220)-1)/COLUMNS('Portfolio Weights Std'!$B$9:$BJ$69))+1,MOD(ROW(A2220)-1,COLUMNS('Portfolio Weights Std'!$B$9:$BJ$69))+1)</f>
        <v>1.9563967112263301E-2</v>
      </c>
    </row>
    <row r="2222" spans="1:2" x14ac:dyDescent="0.25">
      <c r="A2222" cm="1">
        <f t="array" ref="A2222">INDEX('Portfolio Weights Returns'!$B$9:$BJ$69,
INT((ROW(A2221)-1)/COLUMNS('Portfolio Weights Returns'!$B$9:$BJ$69))+1,MOD(ROW(A2221)-1,COLUMNS('Portfolio Weights Returns'!$B$9:$BJ$69))+1)</f>
        <v>-7.9555564698470592E-4</v>
      </c>
      <c r="B2222" cm="1">
        <f t="array" ref="B2222">INDEX('Portfolio Weights Std'!$B$9:$BJ$69,INT((ROW(A2221)-1)/COLUMNS('Portfolio Weights Std'!$B$9:$BJ$69))+1,MOD(ROW(A2221)-1,COLUMNS('Portfolio Weights Std'!$B$9:$BJ$69))+1)</f>
        <v>1.9418129821035933E-2</v>
      </c>
    </row>
    <row r="2223" spans="1:2" x14ac:dyDescent="0.25">
      <c r="A2223" cm="1">
        <f t="array" ref="A2223">INDEX('Portfolio Weights Returns'!$B$9:$BJ$69,
INT((ROW(A2222)-1)/COLUMNS('Portfolio Weights Returns'!$B$9:$BJ$69))+1,MOD(ROW(A2222)-1,COLUMNS('Portfolio Weights Returns'!$B$9:$BJ$69))+1)</f>
        <v>-7.8877447301802677E-4</v>
      </c>
      <c r="B2223" cm="1">
        <f t="array" ref="B2223">INDEX('Portfolio Weights Std'!$B$9:$BJ$69,INT((ROW(A2222)-1)/COLUMNS('Portfolio Weights Std'!$B$9:$BJ$69))+1,MOD(ROW(A2222)-1,COLUMNS('Portfolio Weights Std'!$B$9:$BJ$69))+1)</f>
        <v>1.9273591470720129E-2</v>
      </c>
    </row>
    <row r="2224" spans="1:2" x14ac:dyDescent="0.25">
      <c r="A2224" cm="1">
        <f t="array" ref="A2224">INDEX('Portfolio Weights Returns'!$B$9:$BJ$69,
INT((ROW(A2223)-1)/COLUMNS('Portfolio Weights Returns'!$B$9:$BJ$69))+1,MOD(ROW(A2223)-1,COLUMNS('Portfolio Weights Returns'!$B$9:$BJ$69))+1)</f>
        <v>-7.8199329905134763E-4</v>
      </c>
      <c r="B2224" cm="1">
        <f t="array" ref="B2224">INDEX('Portfolio Weights Std'!$B$9:$BJ$69,INT((ROW(A2223)-1)/COLUMNS('Portfolio Weights Std'!$B$9:$BJ$69))+1,MOD(ROW(A2223)-1,COLUMNS('Portfolio Weights Std'!$B$9:$BJ$69))+1)</f>
        <v>1.9130381503528686E-2</v>
      </c>
    </row>
    <row r="2225" spans="1:2" x14ac:dyDescent="0.25">
      <c r="A2225" cm="1">
        <f t="array" ref="A2225">INDEX('Portfolio Weights Returns'!$B$9:$BJ$69,
INT((ROW(A2224)-1)/COLUMNS('Portfolio Weights Returns'!$B$9:$BJ$69))+1,MOD(ROW(A2224)-1,COLUMNS('Portfolio Weights Returns'!$B$9:$BJ$69))+1)</f>
        <v>-7.7521212508466859E-4</v>
      </c>
      <c r="B2225" cm="1">
        <f t="array" ref="B2225">INDEX('Portfolio Weights Std'!$B$9:$BJ$69,INT((ROW(A2224)-1)/COLUMNS('Portfolio Weights Std'!$B$9:$BJ$69))+1,MOD(ROW(A2224)-1,COLUMNS('Portfolio Weights Std'!$B$9:$BJ$69))+1)</f>
        <v>1.8988529975161723E-2</v>
      </c>
    </row>
    <row r="2226" spans="1:2" x14ac:dyDescent="0.25">
      <c r="A2226" cm="1">
        <f t="array" ref="A2226">INDEX('Portfolio Weights Returns'!$B$9:$BJ$69,
INT((ROW(A2225)-1)/COLUMNS('Portfolio Weights Returns'!$B$9:$BJ$69))+1,MOD(ROW(A2225)-1,COLUMNS('Portfolio Weights Returns'!$B$9:$BJ$69))+1)</f>
        <v>-7.6843095111798934E-4</v>
      </c>
      <c r="B2226" cm="1">
        <f t="array" ref="B2226">INDEX('Portfolio Weights Std'!$B$9:$BJ$69,INT((ROW(A2225)-1)/COLUMNS('Portfolio Weights Std'!$B$9:$BJ$69))+1,MOD(ROW(A2225)-1,COLUMNS('Portfolio Weights Std'!$B$9:$BJ$69))+1)</f>
        <v>1.884806755668612E-2</v>
      </c>
    </row>
    <row r="2227" spans="1:2" x14ac:dyDescent="0.25">
      <c r="A2227" cm="1">
        <f t="array" ref="A2227">INDEX('Portfolio Weights Returns'!$B$9:$BJ$69,
INT((ROW(A2226)-1)/COLUMNS('Portfolio Weights Returns'!$B$9:$BJ$69))+1,MOD(ROW(A2226)-1,COLUMNS('Portfolio Weights Returns'!$B$9:$BJ$69))+1)</f>
        <v>-7.616497771513103E-4</v>
      </c>
      <c r="B2227" cm="1">
        <f t="array" ref="B2227">INDEX('Portfolio Weights Std'!$B$9:$BJ$69,INT((ROW(A2226)-1)/COLUMNS('Portfolio Weights Std'!$B$9:$BJ$69))+1,MOD(ROW(A2226)-1,COLUMNS('Portfolio Weights Std'!$B$9:$BJ$69))+1)</f>
        <v>1.8709025535337705E-2</v>
      </c>
    </row>
    <row r="2228" spans="1:2" x14ac:dyDescent="0.25">
      <c r="A2228" cm="1">
        <f t="array" ref="A2228">INDEX('Portfolio Weights Returns'!$B$9:$BJ$69,
INT((ROW(A2227)-1)/COLUMNS('Portfolio Weights Returns'!$B$9:$BJ$69))+1,MOD(ROW(A2227)-1,COLUMNS('Portfolio Weights Returns'!$B$9:$BJ$69))+1)</f>
        <v>-7.5486860318463116E-4</v>
      </c>
      <c r="B2228" cm="1">
        <f t="array" ref="B2228">INDEX('Portfolio Weights Std'!$B$9:$BJ$69,INT((ROW(A2227)-1)/COLUMNS('Portfolio Weights Std'!$B$9:$BJ$69))+1,MOD(ROW(A2227)-1,COLUMNS('Portfolio Weights Std'!$B$9:$BJ$69))+1)</f>
        <v>1.8571435814151764E-2</v>
      </c>
    </row>
    <row r="2229" spans="1:2" x14ac:dyDescent="0.25">
      <c r="A2229" cm="1">
        <f t="array" ref="A2229">INDEX('Portfolio Weights Returns'!$B$9:$BJ$69,
INT((ROW(A2228)-1)/COLUMNS('Portfolio Weights Returns'!$B$9:$BJ$69))+1,MOD(ROW(A2228)-1,COLUMNS('Portfolio Weights Returns'!$B$9:$BJ$69))+1)</f>
        <v>-7.4808742921795212E-4</v>
      </c>
      <c r="B2229" cm="1">
        <f t="array" ref="B2229">INDEX('Portfolio Weights Std'!$B$9:$BJ$69,INT((ROW(A2228)-1)/COLUMNS('Portfolio Weights Std'!$B$9:$BJ$69))+1,MOD(ROW(A2228)-1,COLUMNS('Portfolio Weights Std'!$B$9:$BJ$69))+1)</f>
        <v>1.8435330910323396E-2</v>
      </c>
    </row>
    <row r="2230" spans="1:2" x14ac:dyDescent="0.25">
      <c r="A2230" cm="1">
        <f t="array" ref="A2230">INDEX('Portfolio Weights Returns'!$B$9:$BJ$69,
INT((ROW(A2229)-1)/COLUMNS('Portfolio Weights Returns'!$B$9:$BJ$69))+1,MOD(ROW(A2229)-1,COLUMNS('Portfolio Weights Returns'!$B$9:$BJ$69))+1)</f>
        <v>-7.4130625525127298E-4</v>
      </c>
      <c r="B2230" cm="1">
        <f t="array" ref="B2230">INDEX('Portfolio Weights Std'!$B$9:$BJ$69,INT((ROW(A2229)-1)/COLUMNS('Portfolio Weights Std'!$B$9:$BJ$69))+1,MOD(ROW(A2229)-1,COLUMNS('Portfolio Weights Std'!$B$9:$BJ$69))+1)</f>
        <v>1.8300743952195428E-2</v>
      </c>
    </row>
    <row r="2231" spans="1:2" x14ac:dyDescent="0.25">
      <c r="A2231" cm="1">
        <f t="array" ref="A2231">INDEX('Portfolio Weights Returns'!$B$9:$BJ$69,
INT((ROW(A2230)-1)/COLUMNS('Portfolio Weights Returns'!$B$9:$BJ$69))+1,MOD(ROW(A2230)-1,COLUMNS('Portfolio Weights Returns'!$B$9:$BJ$69))+1)</f>
        <v>-7.3452508128459394E-4</v>
      </c>
      <c r="B2231" cm="1">
        <f t="array" ref="B2231">INDEX('Portfolio Weights Std'!$B$9:$BJ$69,INT((ROW(A2230)-1)/COLUMNS('Portfolio Weights Std'!$B$9:$BJ$69))+1,MOD(ROW(A2230)-1,COLUMNS('Portfolio Weights Std'!$B$9:$BJ$69))+1)</f>
        <v>1.8167708674767875E-2</v>
      </c>
    </row>
    <row r="2232" spans="1:2" x14ac:dyDescent="0.25">
      <c r="A2232" cm="1">
        <f t="array" ref="A2232">INDEX('Portfolio Weights Returns'!$B$9:$BJ$69,
INT((ROW(A2231)-1)/COLUMNS('Portfolio Weights Returns'!$B$9:$BJ$69))+1,MOD(ROW(A2231)-1,COLUMNS('Portfolio Weights Returns'!$B$9:$BJ$69))+1)</f>
        <v>-7.277439073179148E-4</v>
      </c>
      <c r="B2232" cm="1">
        <f t="array" ref="B2232">INDEX('Portfolio Weights Std'!$B$9:$BJ$69,INT((ROW(A2231)-1)/COLUMNS('Portfolio Weights Std'!$B$9:$BJ$69))+1,MOD(ROW(A2231)-1,COLUMNS('Portfolio Weights Std'!$B$9:$BJ$69))+1)</f>
        <v>1.8036259413619558E-2</v>
      </c>
    </row>
    <row r="2233" spans="1:2" x14ac:dyDescent="0.25">
      <c r="A2233" cm="1">
        <f t="array" ref="A2233">INDEX('Portfolio Weights Returns'!$B$9:$BJ$69,
INT((ROW(A2232)-1)/COLUMNS('Portfolio Weights Returns'!$B$9:$BJ$69))+1,MOD(ROW(A2232)-1,COLUMNS('Portfolio Weights Returns'!$B$9:$BJ$69))+1)</f>
        <v>-7.2096273335123565E-4</v>
      </c>
      <c r="B2233" cm="1">
        <f t="array" ref="B2233">INDEX('Portfolio Weights Std'!$B$9:$BJ$69,INT((ROW(A2232)-1)/COLUMNS('Portfolio Weights Std'!$B$9:$BJ$69))+1,MOD(ROW(A2232)-1,COLUMNS('Portfolio Weights Std'!$B$9:$BJ$69))+1)</f>
        <v>1.7906431097129607E-2</v>
      </c>
    </row>
    <row r="2234" spans="1:2" x14ac:dyDescent="0.25">
      <c r="A2234" cm="1">
        <f t="array" ref="A2234">INDEX('Portfolio Weights Returns'!$B$9:$BJ$69,
INT((ROW(A2233)-1)/COLUMNS('Portfolio Weights Returns'!$B$9:$BJ$69))+1,MOD(ROW(A2233)-1,COLUMNS('Portfolio Weights Returns'!$B$9:$BJ$69))+1)</f>
        <v>-7.1418155938455651E-4</v>
      </c>
      <c r="B2234" cm="1">
        <f t="array" ref="B2234">INDEX('Portfolio Weights Std'!$B$9:$BJ$69,INT((ROW(A2233)-1)/COLUMNS('Portfolio Weights Std'!$B$9:$BJ$69))+1,MOD(ROW(A2233)-1,COLUMNS('Portfolio Weights Std'!$B$9:$BJ$69))+1)</f>
        <v>1.7778259236883864E-2</v>
      </c>
    </row>
    <row r="2235" spans="1:2" x14ac:dyDescent="0.25">
      <c r="A2235" cm="1">
        <f t="array" ref="A2235">INDEX('Portfolio Weights Returns'!$B$9:$BJ$69,
INT((ROW(A2234)-1)/COLUMNS('Portfolio Weights Returns'!$B$9:$BJ$69))+1,MOD(ROW(A2234)-1,COLUMNS('Portfolio Weights Returns'!$B$9:$BJ$69))+1)</f>
        <v>-7.0740038541787737E-4</v>
      </c>
      <c r="B2235" cm="1">
        <f t="array" ref="B2235">INDEX('Portfolio Weights Std'!$B$9:$BJ$69,INT((ROW(A2234)-1)/COLUMNS('Portfolio Weights Std'!$B$9:$BJ$69))+1,MOD(ROW(A2234)-1,COLUMNS('Portfolio Weights Std'!$B$9:$BJ$69))+1)</f>
        <v>1.7651779916149201E-2</v>
      </c>
    </row>
    <row r="2236" spans="1:2" x14ac:dyDescent="0.25">
      <c r="A2236" cm="1">
        <f t="array" ref="A2236">INDEX('Portfolio Weights Returns'!$B$9:$BJ$69,
INT((ROW(A2235)-1)/COLUMNS('Portfolio Weights Returns'!$B$9:$BJ$69))+1,MOD(ROW(A2235)-1,COLUMNS('Portfolio Weights Returns'!$B$9:$BJ$69))+1)</f>
        <v>-7.0061921145119855E-4</v>
      </c>
      <c r="B2236" cm="1">
        <f t="array" ref="B2236">INDEX('Portfolio Weights Std'!$B$9:$BJ$69,INT((ROW(A2235)-1)/COLUMNS('Portfolio Weights Std'!$B$9:$BJ$69))+1,MOD(ROW(A2235)-1,COLUMNS('Portfolio Weights Std'!$B$9:$BJ$69))+1)</f>
        <v>1.7527029776297422E-2</v>
      </c>
    </row>
    <row r="2237" spans="1:2" x14ac:dyDescent="0.25">
      <c r="A2237" cm="1">
        <f t="array" ref="A2237">INDEX('Portfolio Weights Returns'!$B$9:$BJ$69,
INT((ROW(A2236)-1)/COLUMNS('Portfolio Weights Returns'!$B$9:$BJ$69))+1,MOD(ROW(A2236)-1,COLUMNS('Portfolio Weights Returns'!$B$9:$BJ$69))+1)</f>
        <v>-6.9383803748451929E-4</v>
      </c>
      <c r="B2237" cm="1">
        <f t="array" ref="B2237">INDEX('Portfolio Weights Std'!$B$9:$BJ$69,INT((ROW(A2236)-1)/COLUMNS('Portfolio Weights Std'!$B$9:$BJ$69))+1,MOD(ROW(A2236)-1,COLUMNS('Portfolio Weights Std'!$B$9:$BJ$69))+1)</f>
        <v>1.740404600105936E-2</v>
      </c>
    </row>
    <row r="2238" spans="1:2" x14ac:dyDescent="0.25">
      <c r="A2238" cm="1">
        <f t="array" ref="A2238">INDEX('Portfolio Weights Returns'!$B$9:$BJ$69,
INT((ROW(A2237)-1)/COLUMNS('Portfolio Weights Returns'!$B$9:$BJ$69))+1,MOD(ROW(A2237)-1,COLUMNS('Portfolio Weights Returns'!$B$9:$BJ$69))+1)</f>
        <v>-6.8705686351784026E-4</v>
      </c>
      <c r="B2238" cm="1">
        <f t="array" ref="B2238">INDEX('Portfolio Weights Std'!$B$9:$BJ$69,INT((ROW(A2237)-1)/COLUMNS('Portfolio Weights Std'!$B$9:$BJ$69))+1,MOD(ROW(A2237)-1,COLUMNS('Portfolio Weights Std'!$B$9:$BJ$69))+1)</f>
        <v>1.7282866298490251E-2</v>
      </c>
    </row>
    <row r="2239" spans="1:2" x14ac:dyDescent="0.25">
      <c r="A2239" cm="1">
        <f t="array" ref="A2239">INDEX('Portfolio Weights Returns'!$B$9:$BJ$69,
INT((ROW(A2238)-1)/COLUMNS('Portfolio Weights Returns'!$B$9:$BJ$69))+1,MOD(ROW(A2238)-1,COLUMNS('Portfolio Weights Returns'!$B$9:$BJ$69))+1)</f>
        <v>-6.8027568955116111E-4</v>
      </c>
      <c r="B2239" cm="1">
        <f t="array" ref="B2239">INDEX('Portfolio Weights Std'!$B$9:$BJ$69,INT((ROW(A2238)-1)/COLUMNS('Portfolio Weights Std'!$B$9:$BJ$69))+1,MOD(ROW(A2238)-1,COLUMNS('Portfolio Weights Std'!$B$9:$BJ$69))+1)</f>
        <v>1.7163528880527915E-2</v>
      </c>
    </row>
    <row r="2240" spans="1:2" x14ac:dyDescent="0.25">
      <c r="A2240" cm="1">
        <f t="array" ref="A2240">INDEX('Portfolio Weights Returns'!$B$9:$BJ$69,
INT((ROW(A2239)-1)/COLUMNS('Portfolio Weights Returns'!$B$9:$BJ$69))+1,MOD(ROW(A2239)-1,COLUMNS('Portfolio Weights Returns'!$B$9:$BJ$69))+1)</f>
        <v>-6.7349451558448208E-4</v>
      </c>
      <c r="B2240" cm="1">
        <f t="array" ref="B2240">INDEX('Portfolio Weights Std'!$B$9:$BJ$69,INT((ROW(A2239)-1)/COLUMNS('Portfolio Weights Std'!$B$9:$BJ$69))+1,MOD(ROW(A2239)-1,COLUMNS('Portfolio Weights Std'!$B$9:$BJ$69))+1)</f>
        <v>1.7046072440027569E-2</v>
      </c>
    </row>
    <row r="2241" spans="1:2" x14ac:dyDescent="0.25">
      <c r="A2241" cm="1">
        <f t="array" ref="A2241">INDEX('Portfolio Weights Returns'!$B$9:$BJ$69,
INT((ROW(A2240)-1)/COLUMNS('Portfolio Weights Returns'!$B$9:$BJ$69))+1,MOD(ROW(A2240)-1,COLUMNS('Portfolio Weights Returns'!$B$9:$BJ$69))+1)</f>
        <v>-6.6671334161780293E-4</v>
      </c>
      <c r="B2241" cm="1">
        <f t="array" ref="B2241">INDEX('Portfolio Weights Std'!$B$9:$BJ$69,INT((ROW(A2240)-1)/COLUMNS('Portfolio Weights Std'!$B$9:$BJ$69))+1,MOD(ROW(A2240)-1,COLUMNS('Portfolio Weights Std'!$B$9:$BJ$69))+1)</f>
        <v>1.6930536125159924E-2</v>
      </c>
    </row>
    <row r="2242" spans="1:2" x14ac:dyDescent="0.25">
      <c r="A2242" cm="1">
        <f t="array" ref="A2242">INDEX('Portfolio Weights Returns'!$B$9:$BJ$69,
INT((ROW(A2241)-1)/COLUMNS('Portfolio Weights Returns'!$B$9:$BJ$69))+1,MOD(ROW(A2241)-1,COLUMNS('Portfolio Weights Returns'!$B$9:$BJ$69))+1)</f>
        <v>-6.599321676511239E-4</v>
      </c>
      <c r="B2242" cm="1">
        <f t="array" ref="B2242">INDEX('Portfolio Weights Std'!$B$9:$BJ$69,INT((ROW(A2241)-1)/COLUMNS('Portfolio Weights Std'!$B$9:$BJ$69))+1,MOD(ROW(A2241)-1,COLUMNS('Portfolio Weights Std'!$B$9:$BJ$69))+1)</f>
        <v>1.6816959511063486E-2</v>
      </c>
    </row>
    <row r="2243" spans="1:2" x14ac:dyDescent="0.25">
      <c r="A2243" cm="1">
        <f t="array" ref="A2243">INDEX('Portfolio Weights Returns'!$B$9:$BJ$69,
INT((ROW(A2242)-1)/COLUMNS('Portfolio Weights Returns'!$B$9:$BJ$69))+1,MOD(ROW(A2242)-1,COLUMNS('Portfolio Weights Returns'!$B$9:$BJ$69))+1)</f>
        <v>-6.5315099368444475E-4</v>
      </c>
      <c r="B2243" cm="1">
        <f t="array" ref="B2243">INDEX('Portfolio Weights Std'!$B$9:$BJ$69,INT((ROW(A2242)-1)/COLUMNS('Portfolio Weights Std'!$B$9:$BJ$69))+1,MOD(ROW(A2242)-1,COLUMNS('Portfolio Weights Std'!$B$9:$BJ$69))+1)</f>
        <v>1.6705382568647693E-2</v>
      </c>
    </row>
    <row r="2244" spans="1:2" x14ac:dyDescent="0.25">
      <c r="A2244" cm="1">
        <f t="array" ref="A2244">INDEX('Portfolio Weights Returns'!$B$9:$BJ$69,
INT((ROW(A2243)-1)/COLUMNS('Portfolio Weights Returns'!$B$9:$BJ$69))+1,MOD(ROW(A2243)-1,COLUMNS('Portfolio Weights Returns'!$B$9:$BJ$69))+1)</f>
        <v>-6.463698197177655E-4</v>
      </c>
      <c r="B2244" cm="1">
        <f t="array" ref="B2244">INDEX('Portfolio Weights Std'!$B$9:$BJ$69,INT((ROW(A2243)-1)/COLUMNS('Portfolio Weights Std'!$B$9:$BJ$69))+1,MOD(ROW(A2243)-1,COLUMNS('Portfolio Weights Std'!$B$9:$BJ$69))+1)</f>
        <v>1.6595845630450214E-2</v>
      </c>
    </row>
    <row r="2245" spans="1:2" x14ac:dyDescent="0.25">
      <c r="A2245" cm="1">
        <f t="array" ref="A2245">INDEX('Portfolio Weights Returns'!$B$9:$BJ$69,
INT((ROW(A2244)-1)/COLUMNS('Portfolio Weights Returns'!$B$9:$BJ$69))+1,MOD(ROW(A2244)-1,COLUMNS('Portfolio Weights Returns'!$B$9:$BJ$69))+1)</f>
        <v>-6.3958864575108646E-4</v>
      </c>
      <c r="B2245" cm="1">
        <f t="array" ref="B2245">INDEX('Portfolio Weights Std'!$B$9:$BJ$69,INT((ROW(A2244)-1)/COLUMNS('Portfolio Weights Std'!$B$9:$BJ$69))+1,MOD(ROW(A2244)-1,COLUMNS('Portfolio Weights Std'!$B$9:$BJ$69))+1)</f>
        <v>1.6488389353460659E-2</v>
      </c>
    </row>
    <row r="2246" spans="1:2" x14ac:dyDescent="0.25">
      <c r="A2246" cm="1">
        <f t="array" ref="A2246">INDEX('Portfolio Weights Returns'!$B$9:$BJ$69,
INT((ROW(A2245)-1)/COLUMNS('Portfolio Weights Returns'!$B$9:$BJ$69))+1,MOD(ROW(A2245)-1,COLUMNS('Portfolio Weights Returns'!$B$9:$BJ$69))+1)</f>
        <v>-6.3280747178440732E-4</v>
      </c>
      <c r="B2246" cm="1">
        <f t="array" ref="B2246">INDEX('Portfolio Weights Std'!$B$9:$BJ$69,INT((ROW(A2245)-1)/COLUMNS('Portfolio Weights Std'!$B$9:$BJ$69))+1,MOD(ROW(A2245)-1,COLUMNS('Portfolio Weights Std'!$B$9:$BJ$69))+1)</f>
        <v>1.6383054678832699E-2</v>
      </c>
    </row>
    <row r="2247" spans="1:2" x14ac:dyDescent="0.25">
      <c r="A2247" cm="1">
        <f t="array" ref="A2247">INDEX('Portfolio Weights Returns'!$B$9:$BJ$69,
INT((ROW(A2246)-1)/COLUMNS('Portfolio Weights Returns'!$B$9:$BJ$69))+1,MOD(ROW(A2246)-1,COLUMNS('Portfolio Weights Returns'!$B$9:$BJ$69))+1)</f>
        <v>-6.2602629781772828E-4</v>
      </c>
      <c r="B2247" cm="1">
        <f t="array" ref="B2247">INDEX('Portfolio Weights Std'!$B$9:$BJ$69,INT((ROW(A2246)-1)/COLUMNS('Portfolio Weights Std'!$B$9:$BJ$69))+1,MOD(ROW(A2246)-1,COLUMNS('Portfolio Weights Std'!$B$9:$BJ$69))+1)</f>
        <v>1.6279882788418819E-2</v>
      </c>
    </row>
    <row r="2248" spans="1:2" x14ac:dyDescent="0.25">
      <c r="A2248" cm="1">
        <f t="array" ref="A2248">INDEX('Portfolio Weights Returns'!$B$9:$BJ$69,
INT((ROW(A2247)-1)/COLUMNS('Portfolio Weights Returns'!$B$9:$BJ$69))+1,MOD(ROW(A2247)-1,COLUMNS('Portfolio Weights Returns'!$B$9:$BJ$69))+1)</f>
        <v>-6.1924512385104914E-4</v>
      </c>
      <c r="B2248" cm="1">
        <f t="array" ref="B2248">INDEX('Portfolio Weights Std'!$B$9:$BJ$69,INT((ROW(A2247)-1)/COLUMNS('Portfolio Weights Std'!$B$9:$BJ$69))+1,MOD(ROW(A2247)-1,COLUMNS('Portfolio Weights Std'!$B$9:$BJ$69))+1)</f>
        <v>1.6178915058075258E-2</v>
      </c>
    </row>
    <row r="2249" spans="1:2" x14ac:dyDescent="0.25">
      <c r="A2249" cm="1">
        <f t="array" ref="A2249">INDEX('Portfolio Weights Returns'!$B$9:$BJ$69,
INT((ROW(A2248)-1)/COLUMNS('Portfolio Weights Returns'!$B$9:$BJ$69))+1,MOD(ROW(A2248)-1,COLUMNS('Portfolio Weights Returns'!$B$9:$BJ$69))+1)</f>
        <v>-6.124639498843701E-4</v>
      </c>
      <c r="B2249" cm="1">
        <f t="array" ref="B2249">INDEX('Portfolio Weights Std'!$B$9:$BJ$69,INT((ROW(A2248)-1)/COLUMNS('Portfolio Weights Std'!$B$9:$BJ$69))+1,MOD(ROW(A2248)-1,COLUMNS('Portfolio Weights Std'!$B$9:$BJ$69))+1)</f>
        <v>1.6080193007700482E-2</v>
      </c>
    </row>
    <row r="2250" spans="1:2" x14ac:dyDescent="0.25">
      <c r="A2250" cm="1">
        <f t="array" ref="A2250">INDEX('Portfolio Weights Returns'!$B$9:$BJ$69,
INT((ROW(A2249)-1)/COLUMNS('Portfolio Weights Returns'!$B$9:$BJ$69))+1,MOD(ROW(A2249)-1,COLUMNS('Portfolio Weights Returns'!$B$9:$BJ$69))+1)</f>
        <v>-6.0568277591769096E-4</v>
      </c>
      <c r="B2250" cm="1">
        <f t="array" ref="B2250">INDEX('Portfolio Weights Std'!$B$9:$BJ$69,INT((ROW(A2249)-1)/COLUMNS('Portfolio Weights Std'!$B$9:$BJ$69))+1,MOD(ROW(A2249)-1,COLUMNS('Portfolio Weights Std'!$B$9:$BJ$69))+1)</f>
        <v>1.5983758247987565E-2</v>
      </c>
    </row>
    <row r="2251" spans="1:2" x14ac:dyDescent="0.25">
      <c r="A2251" cm="1">
        <f t="array" ref="A2251">INDEX('Portfolio Weights Returns'!$B$9:$BJ$69,
INT((ROW(A2250)-1)/COLUMNS('Portfolio Weights Returns'!$B$9:$BJ$69))+1,MOD(ROW(A2250)-1,COLUMNS('Portfolio Weights Returns'!$B$9:$BJ$69))+1)</f>
        <v>-5.9890160195101181E-4</v>
      </c>
      <c r="B2251" cm="1">
        <f t="array" ref="B2251">INDEX('Portfolio Weights Std'!$B$9:$BJ$69,INT((ROW(A2250)-1)/COLUMNS('Portfolio Weights Std'!$B$9:$BJ$69))+1,MOD(ROW(A2250)-1,COLUMNS('Portfolio Weights Std'!$B$9:$BJ$69))+1)</f>
        <v>1.5889652423890441E-2</v>
      </c>
    </row>
    <row r="2252" spans="1:2" x14ac:dyDescent="0.25">
      <c r="A2252" cm="1">
        <f t="array" ref="A2252">INDEX('Portfolio Weights Returns'!$B$9:$BJ$69,
INT((ROW(A2251)-1)/COLUMNS('Portfolio Weights Returns'!$B$9:$BJ$69))+1,MOD(ROW(A2251)-1,COLUMNS('Portfolio Weights Returns'!$B$9:$BJ$69))+1)</f>
        <v>-5.9212042798433267E-4</v>
      </c>
      <c r="B2252" cm="1">
        <f t="array" ref="B2252">INDEX('Portfolio Weights Std'!$B$9:$BJ$69,INT((ROW(A2251)-1)/COLUMNS('Portfolio Weights Std'!$B$9:$BJ$69))+1,MOD(ROW(A2251)-1,COLUMNS('Portfolio Weights Std'!$B$9:$BJ$69))+1)</f>
        <v>1.579791715482488E-2</v>
      </c>
    </row>
    <row r="2253" spans="1:2" x14ac:dyDescent="0.25">
      <c r="A2253" cm="1">
        <f t="array" ref="A2253">INDEX('Portfolio Weights Returns'!$B$9:$BJ$69,
INT((ROW(A2252)-1)/COLUMNS('Portfolio Weights Returns'!$B$9:$BJ$69))+1,MOD(ROW(A2252)-1,COLUMNS('Portfolio Weights Returns'!$B$9:$BJ$69))+1)</f>
        <v>-5.8533925401765352E-4</v>
      </c>
      <c r="B2253" cm="1">
        <f t="array" ref="B2253">INDEX('Portfolio Weights Std'!$B$9:$BJ$69,INT((ROW(A2252)-1)/COLUMNS('Portfolio Weights Std'!$B$9:$BJ$69))+1,MOD(ROW(A2252)-1,COLUMNS('Portfolio Weights Std'!$B$9:$BJ$69))+1)</f>
        <v>1.5708593971648099E-2</v>
      </c>
    </row>
    <row r="2254" spans="1:2" x14ac:dyDescent="0.25">
      <c r="A2254" cm="1">
        <f t="array" ref="A2254">INDEX('Portfolio Weights Returns'!$B$9:$BJ$69,
INT((ROW(A2253)-1)/COLUMNS('Portfolio Weights Returns'!$B$9:$BJ$69))+1,MOD(ROW(A2253)-1,COLUMNS('Portfolio Weights Returns'!$B$9:$BJ$69))+1)</f>
        <v>-5.7855808005097449E-4</v>
      </c>
      <c r="B2254" cm="1">
        <f t="array" ref="B2254">INDEX('Portfolio Weights Std'!$B$9:$BJ$69,INT((ROW(A2253)-1)/COLUMNS('Portfolio Weights Std'!$B$9:$BJ$69))+1,MOD(ROW(A2253)-1,COLUMNS('Portfolio Weights Std'!$B$9:$BJ$69))+1)</f>
        <v>1.5621724250485724E-2</v>
      </c>
    </row>
    <row r="2255" spans="1:2" x14ac:dyDescent="0.25">
      <c r="A2255" cm="1">
        <f t="array" ref="A2255">INDEX('Portfolio Weights Returns'!$B$9:$BJ$69,
INT((ROW(A2254)-1)/COLUMNS('Portfolio Weights Returns'!$B$9:$BJ$69))+1,MOD(ROW(A2254)-1,COLUMNS('Portfolio Weights Returns'!$B$9:$BJ$69))+1)</f>
        <v>-5.7177690608429469E-4</v>
      </c>
      <c r="B2255" cm="1">
        <f t="array" ref="B2255">INDEX('Portfolio Weights Std'!$B$9:$BJ$69,INT((ROW(A2254)-1)/COLUMNS('Portfolio Weights Std'!$B$9:$BJ$69))+1,MOD(ROW(A2254)-1,COLUMNS('Portfolio Weights Std'!$B$9:$BJ$69))+1)</f>
        <v>1.5537349143501095E-2</v>
      </c>
    </row>
    <row r="2256" spans="1:2" x14ac:dyDescent="0.25">
      <c r="A2256" cm="1">
        <f t="array" ref="A2256">INDEX('Portfolio Weights Returns'!$B$9:$BJ$69,
INT((ROW(A2255)-1)/COLUMNS('Portfolio Weights Returns'!$B$9:$BJ$69))+1,MOD(ROW(A2255)-1,COLUMNS('Portfolio Weights Returns'!$B$9:$BJ$69))+1)</f>
        <v>-5.6499573211761566E-4</v>
      </c>
      <c r="B2256" cm="1">
        <f t="array" ref="B2256">INDEX('Portfolio Weights Std'!$B$9:$BJ$69,INT((ROW(A2255)-1)/COLUMNS('Portfolio Weights Std'!$B$9:$BJ$69))+1,MOD(ROW(A2255)-1,COLUMNS('Portfolio Weights Std'!$B$9:$BJ$69))+1)</f>
        <v>1.545550950672998E-2</v>
      </c>
    </row>
    <row r="2257" spans="1:2" x14ac:dyDescent="0.25">
      <c r="A2257" cm="1">
        <f t="array" ref="A2257">INDEX('Portfolio Weights Returns'!$B$9:$BJ$69,
INT((ROW(A2256)-1)/COLUMNS('Portfolio Weights Returns'!$B$9:$BJ$69))+1,MOD(ROW(A2256)-1,COLUMNS('Portfolio Weights Returns'!$B$9:$BJ$69))+1)</f>
        <v>-5.5821455815093651E-4</v>
      </c>
      <c r="B2257" cm="1">
        <f t="array" ref="B2257">INDEX('Portfolio Weights Std'!$B$9:$BJ$69,INT((ROW(A2256)-1)/COLUMNS('Portfolio Weights Std'!$B$9:$BJ$69))+1,MOD(ROW(A2256)-1,COLUMNS('Portfolio Weights Std'!$B$9:$BJ$69))+1)</f>
        <v>1.5376245825132782E-2</v>
      </c>
    </row>
    <row r="2258" spans="1:2" x14ac:dyDescent="0.25">
      <c r="A2258" cm="1">
        <f t="array" ref="A2258">INDEX('Portfolio Weights Returns'!$B$9:$BJ$69,
INT((ROW(A2257)-1)/COLUMNS('Portfolio Weights Returns'!$B$9:$BJ$69))+1,MOD(ROW(A2257)-1,COLUMNS('Portfolio Weights Returns'!$B$9:$BJ$69))+1)</f>
        <v>-5.5143338418425748E-4</v>
      </c>
      <c r="B2258" cm="1">
        <f t="array" ref="B2258">INDEX('Portfolio Weights Std'!$B$9:$BJ$69,INT((ROW(A2257)-1)/COLUMNS('Portfolio Weights Std'!$B$9:$BJ$69))+1,MOD(ROW(A2257)-1,COLUMNS('Portfolio Weights Std'!$B$9:$BJ$69))+1)</f>
        <v>1.529959813504694E-2</v>
      </c>
    </row>
    <row r="2259" spans="1:2" x14ac:dyDescent="0.25">
      <c r="A2259" cm="1">
        <f t="array" ref="A2259">INDEX('Portfolio Weights Returns'!$B$9:$BJ$69,
INT((ROW(A2258)-1)/COLUMNS('Portfolio Weights Returns'!$B$9:$BJ$69))+1,MOD(ROW(A2258)-1,COLUMNS('Portfolio Weights Returns'!$B$9:$BJ$69))+1)</f>
        <v>-9.5172961433954918E-4</v>
      </c>
      <c r="B2259" cm="1">
        <f t="array" ref="B2259">INDEX('Portfolio Weights Std'!$B$9:$BJ$69,INT((ROW(A2258)-1)/COLUMNS('Portfolio Weights Std'!$B$9:$BJ$69))+1,MOD(ROW(A2258)-1,COLUMNS('Portfolio Weights Std'!$B$9:$BJ$69))+1)</f>
        <v>2.3113321722086837E-2</v>
      </c>
    </row>
    <row r="2260" spans="1:2" x14ac:dyDescent="0.25">
      <c r="A2260" cm="1">
        <f t="array" ref="A2260">INDEX('Portfolio Weights Returns'!$B$9:$BJ$69,
INT((ROW(A2259)-1)/COLUMNS('Portfolio Weights Returns'!$B$9:$BJ$69))+1,MOD(ROW(A2259)-1,COLUMNS('Portfolio Weights Returns'!$B$9:$BJ$69))+1)</f>
        <v>-9.4494844037287015E-4</v>
      </c>
      <c r="B2260" cm="1">
        <f t="array" ref="B2260">INDEX('Portfolio Weights Std'!$B$9:$BJ$69,INT((ROW(A2259)-1)/COLUMNS('Portfolio Weights Std'!$B$9:$BJ$69))+1,MOD(ROW(A2259)-1,COLUMNS('Portfolio Weights Std'!$B$9:$BJ$69))+1)</f>
        <v>2.2945301296074434E-2</v>
      </c>
    </row>
    <row r="2261" spans="1:2" x14ac:dyDescent="0.25">
      <c r="A2261" cm="1">
        <f t="array" ref="A2261">INDEX('Portfolio Weights Returns'!$B$9:$BJ$69,
INT((ROW(A2260)-1)/COLUMNS('Portfolio Weights Returns'!$B$9:$BJ$69))+1,MOD(ROW(A2260)-1,COLUMNS('Portfolio Weights Returns'!$B$9:$BJ$69))+1)</f>
        <v>-9.3816726640619089E-4</v>
      </c>
      <c r="B2261" cm="1">
        <f t="array" ref="B2261">INDEX('Portfolio Weights Std'!$B$9:$BJ$69,INT((ROW(A2260)-1)/COLUMNS('Portfolio Weights Std'!$B$9:$BJ$69))+1,MOD(ROW(A2260)-1,COLUMNS('Portfolio Weights Std'!$B$9:$BJ$69))+1)</f>
        <v>2.2778074281275512E-2</v>
      </c>
    </row>
    <row r="2262" spans="1:2" x14ac:dyDescent="0.25">
      <c r="A2262" cm="1">
        <f t="array" ref="A2262">INDEX('Portfolio Weights Returns'!$B$9:$BJ$69,
INT((ROW(A2261)-1)/COLUMNS('Portfolio Weights Returns'!$B$9:$BJ$69))+1,MOD(ROW(A2261)-1,COLUMNS('Portfolio Weights Returns'!$B$9:$BJ$69))+1)</f>
        <v>-9.3138609243951186E-4</v>
      </c>
      <c r="B2262" cm="1">
        <f t="array" ref="B2262">INDEX('Portfolio Weights Std'!$B$9:$BJ$69,INT((ROW(A2261)-1)/COLUMNS('Portfolio Weights Std'!$B$9:$BJ$69))+1,MOD(ROW(A2261)-1,COLUMNS('Portfolio Weights Std'!$B$9:$BJ$69))+1)</f>
        <v>2.2611658280977547E-2</v>
      </c>
    </row>
    <row r="2263" spans="1:2" x14ac:dyDescent="0.25">
      <c r="A2263" cm="1">
        <f t="array" ref="A2263">INDEX('Portfolio Weights Returns'!$B$9:$BJ$69,
INT((ROW(A2262)-1)/COLUMNS('Portfolio Weights Returns'!$B$9:$BJ$69))+1,MOD(ROW(A2262)-1,COLUMNS('Portfolio Weights Returns'!$B$9:$BJ$69))+1)</f>
        <v>-9.2460491847283271E-4</v>
      </c>
      <c r="B2263" cm="1">
        <f t="array" ref="B2263">INDEX('Portfolio Weights Std'!$B$9:$BJ$69,INT((ROW(A2262)-1)/COLUMNS('Portfolio Weights Std'!$B$9:$BJ$69))+1,MOD(ROW(A2262)-1,COLUMNS('Portfolio Weights Std'!$B$9:$BJ$69))+1)</f>
        <v>2.2446071333862012E-2</v>
      </c>
    </row>
    <row r="2264" spans="1:2" x14ac:dyDescent="0.25">
      <c r="A2264" cm="1">
        <f t="array" ref="A2264">INDEX('Portfolio Weights Returns'!$B$9:$BJ$69,
INT((ROW(A2263)-1)/COLUMNS('Portfolio Weights Returns'!$B$9:$BJ$69))+1,MOD(ROW(A2263)-1,COLUMNS('Portfolio Weights Returns'!$B$9:$BJ$69))+1)</f>
        <v>-9.1782374450615357E-4</v>
      </c>
      <c r="B2264" cm="1">
        <f t="array" ref="B2264">INDEX('Portfolio Weights Std'!$B$9:$BJ$69,INT((ROW(A2263)-1)/COLUMNS('Portfolio Weights Std'!$B$9:$BJ$69))+1,MOD(ROW(A2263)-1,COLUMNS('Portfolio Weights Std'!$B$9:$BJ$69))+1)</f>
        <v>2.2281331923623179E-2</v>
      </c>
    </row>
    <row r="2265" spans="1:2" x14ac:dyDescent="0.25">
      <c r="A2265" cm="1">
        <f t="array" ref="A2265">INDEX('Portfolio Weights Returns'!$B$9:$BJ$69,
INT((ROW(A2264)-1)/COLUMNS('Portfolio Weights Returns'!$B$9:$BJ$69))+1,MOD(ROW(A2264)-1,COLUMNS('Portfolio Weights Returns'!$B$9:$BJ$69))+1)</f>
        <v>-9.1104257053947453E-4</v>
      </c>
      <c r="B2265" cm="1">
        <f t="array" ref="B2265">INDEX('Portfolio Weights Std'!$B$9:$BJ$69,INT((ROW(A2264)-1)/COLUMNS('Portfolio Weights Std'!$B$9:$BJ$69))+1,MOD(ROW(A2264)-1,COLUMNS('Portfolio Weights Std'!$B$9:$BJ$69))+1)</f>
        <v>2.2117458988618985E-2</v>
      </c>
    </row>
    <row r="2266" spans="1:2" x14ac:dyDescent="0.25">
      <c r="A2266" cm="1">
        <f t="array" ref="A2266">INDEX('Portfolio Weights Returns'!$B$9:$BJ$69,
INT((ROW(A2265)-1)/COLUMNS('Portfolio Weights Returns'!$B$9:$BJ$69))+1,MOD(ROW(A2265)-1,COLUMNS('Portfolio Weights Returns'!$B$9:$BJ$69))+1)</f>
        <v>-9.0426139657279539E-4</v>
      </c>
      <c r="B2266" cm="1">
        <f t="array" ref="B2266">INDEX('Portfolio Weights Std'!$B$9:$BJ$69,INT((ROW(A2265)-1)/COLUMNS('Portfolio Weights Std'!$B$9:$BJ$69))+1,MOD(ROW(A2265)-1,COLUMNS('Portfolio Weights Std'!$B$9:$BJ$69))+1)</f>
        <v>2.1954471931534637E-2</v>
      </c>
    </row>
    <row r="2267" spans="1:2" x14ac:dyDescent="0.25">
      <c r="A2267" cm="1">
        <f t="array" ref="A2267">INDEX('Portfolio Weights Returns'!$B$9:$BJ$69,
INT((ROW(A2266)-1)/COLUMNS('Portfolio Weights Returns'!$B$9:$BJ$69))+1,MOD(ROW(A2266)-1,COLUMNS('Portfolio Weights Returns'!$B$9:$BJ$69))+1)</f>
        <v>-8.9748022260611635E-4</v>
      </c>
      <c r="B2267" cm="1">
        <f t="array" ref="B2267">INDEX('Portfolio Weights Std'!$B$9:$BJ$69,INT((ROW(A2266)-1)/COLUMNS('Portfolio Weights Std'!$B$9:$BJ$69))+1,MOD(ROW(A2266)-1,COLUMNS('Portfolio Weights Std'!$B$9:$BJ$69))+1)</f>
        <v>2.1792390629037636E-2</v>
      </c>
    </row>
    <row r="2268" spans="1:2" x14ac:dyDescent="0.25">
      <c r="A2268" cm="1">
        <f t="array" ref="A2268">INDEX('Portfolio Weights Returns'!$B$9:$BJ$69,
INT((ROW(A2267)-1)/COLUMNS('Portfolio Weights Returns'!$B$9:$BJ$69))+1,MOD(ROW(A2267)-1,COLUMNS('Portfolio Weights Returns'!$B$9:$BJ$69))+1)</f>
        <v>-8.906990486394371E-4</v>
      </c>
      <c r="B2268" cm="1">
        <f t="array" ref="B2268">INDEX('Portfolio Weights Std'!$B$9:$BJ$69,INT((ROW(A2267)-1)/COLUMNS('Portfolio Weights Std'!$B$9:$BJ$69))+1,MOD(ROW(A2267)-1,COLUMNS('Portfolio Weights Std'!$B$9:$BJ$69))+1)</f>
        <v>2.1631235441400908E-2</v>
      </c>
    </row>
    <row r="2269" spans="1:2" x14ac:dyDescent="0.25">
      <c r="A2269" cm="1">
        <f t="array" ref="A2269">INDEX('Portfolio Weights Returns'!$B$9:$BJ$69,
INT((ROW(A2268)-1)/COLUMNS('Portfolio Weights Returns'!$B$9:$BJ$69))+1,MOD(ROW(A2268)-1,COLUMNS('Portfolio Weights Returns'!$B$9:$BJ$69))+1)</f>
        <v>-8.8391787467275806E-4</v>
      </c>
      <c r="B2269" cm="1">
        <f t="array" ref="B2269">INDEX('Portfolio Weights Std'!$B$9:$BJ$69,INT((ROW(A2268)-1)/COLUMNS('Portfolio Weights Std'!$B$9:$BJ$69))+1,MOD(ROW(A2268)-1,COLUMNS('Portfolio Weights Std'!$B$9:$BJ$69))+1)</f>
        <v>2.1471027222068249E-2</v>
      </c>
    </row>
    <row r="2270" spans="1:2" x14ac:dyDescent="0.25">
      <c r="A2270" cm="1">
        <f t="array" ref="A2270">INDEX('Portfolio Weights Returns'!$B$9:$BJ$69,
INT((ROW(A2269)-1)/COLUMNS('Portfolio Weights Returns'!$B$9:$BJ$69))+1,MOD(ROW(A2269)-1,COLUMNS('Portfolio Weights Returns'!$B$9:$BJ$69))+1)</f>
        <v>-8.7713670070607892E-4</v>
      </c>
      <c r="B2270" cm="1">
        <f t="array" ref="B2270">INDEX('Portfolio Weights Std'!$B$9:$BJ$69,INT((ROW(A2269)-1)/COLUMNS('Portfolio Weights Std'!$B$9:$BJ$69))+1,MOD(ROW(A2269)-1,COLUMNS('Portfolio Weights Std'!$B$9:$BJ$69))+1)</f>
        <v>2.1311787327134221E-2</v>
      </c>
    </row>
    <row r="2271" spans="1:2" x14ac:dyDescent="0.25">
      <c r="A2271" cm="1">
        <f t="array" ref="A2271">INDEX('Portfolio Weights Returns'!$B$9:$BJ$69,
INT((ROW(A2270)-1)/COLUMNS('Portfolio Weights Returns'!$B$9:$BJ$69))+1,MOD(ROW(A2270)-1,COLUMNS('Portfolio Weights Returns'!$B$9:$BJ$69))+1)</f>
        <v>-8.7035552673939988E-4</v>
      </c>
      <c r="B2271" cm="1">
        <f t="array" ref="B2271">INDEX('Portfolio Weights Std'!$B$9:$BJ$69,INT((ROW(A2270)-1)/COLUMNS('Portfolio Weights Std'!$B$9:$BJ$69))+1,MOD(ROW(A2270)-1,COLUMNS('Portfolio Weights Std'!$B$9:$BJ$69))+1)</f>
        <v>2.1153537624707786E-2</v>
      </c>
    </row>
    <row r="2272" spans="1:2" x14ac:dyDescent="0.25">
      <c r="A2272" cm="1">
        <f t="array" ref="A2272">INDEX('Portfolio Weights Returns'!$B$9:$BJ$69,
INT((ROW(A2271)-1)/COLUMNS('Portfolio Weights Returns'!$B$9:$BJ$69))+1,MOD(ROW(A2271)-1,COLUMNS('Portfolio Weights Returns'!$B$9:$BJ$69))+1)</f>
        <v>-8.6357435277272074E-4</v>
      </c>
      <c r="B2272" cm="1">
        <f t="array" ref="B2272">INDEX('Portfolio Weights Std'!$B$9:$BJ$69,INT((ROW(A2271)-1)/COLUMNS('Portfolio Weights Std'!$B$9:$BJ$69))+1,MOD(ROW(A2271)-1,COLUMNS('Portfolio Weights Std'!$B$9:$BJ$69))+1)</f>
        <v>2.0996300504126503E-2</v>
      </c>
    </row>
    <row r="2273" spans="1:2" x14ac:dyDescent="0.25">
      <c r="A2273" cm="1">
        <f t="array" ref="A2273">INDEX('Portfolio Weights Returns'!$B$9:$BJ$69,
INT((ROW(A2272)-1)/COLUMNS('Portfolio Weights Returns'!$B$9:$BJ$69))+1,MOD(ROW(A2272)-1,COLUMNS('Portfolio Weights Returns'!$B$9:$BJ$69))+1)</f>
        <v>-8.567931788060416E-4</v>
      </c>
      <c r="B2273" cm="1">
        <f t="array" ref="B2273">INDEX('Portfolio Weights Std'!$B$9:$BJ$69,INT((ROW(A2272)-1)/COLUMNS('Portfolio Weights Std'!$B$9:$BJ$69))+1,MOD(ROW(A2272)-1,COLUMNS('Portfolio Weights Std'!$B$9:$BJ$69))+1)</f>
        <v>2.0840098884985253E-2</v>
      </c>
    </row>
    <row r="2274" spans="1:2" x14ac:dyDescent="0.25">
      <c r="A2274" cm="1">
        <f t="array" ref="A2274">INDEX('Portfolio Weights Returns'!$B$9:$BJ$69,
INT((ROW(A2273)-1)/COLUMNS('Portfolio Weights Returns'!$B$9:$BJ$69))+1,MOD(ROW(A2273)-1,COLUMNS('Portfolio Weights Returns'!$B$9:$BJ$69))+1)</f>
        <v>-8.5001200483936256E-4</v>
      </c>
      <c r="B2274" cm="1">
        <f t="array" ref="B2274">INDEX('Portfolio Weights Std'!$B$9:$BJ$69,INT((ROW(A2273)-1)/COLUMNS('Portfolio Weights Std'!$B$9:$BJ$69))+1,MOD(ROW(A2273)-1,COLUMNS('Portfolio Weights Std'!$B$9:$BJ$69))+1)</f>
        <v>2.0684956225940399E-2</v>
      </c>
    </row>
    <row r="2275" spans="1:2" x14ac:dyDescent="0.25">
      <c r="A2275" cm="1">
        <f t="array" ref="A2275">INDEX('Portfolio Weights Returns'!$B$9:$BJ$69,
INT((ROW(A2274)-1)/COLUMNS('Portfolio Weights Returns'!$B$9:$BJ$69))+1,MOD(ROW(A2274)-1,COLUMNS('Portfolio Weights Returns'!$B$9:$BJ$69))+1)</f>
        <v>-8.4323083087268352E-4</v>
      </c>
      <c r="B2275" cm="1">
        <f t="array" ref="B2275">INDEX('Portfolio Weights Std'!$B$9:$BJ$69,INT((ROW(A2274)-1)/COLUMNS('Portfolio Weights Std'!$B$9:$BJ$69))+1,MOD(ROW(A2274)-1,COLUMNS('Portfolio Weights Std'!$B$9:$BJ$69))+1)</f>
        <v>2.0530896533247234E-2</v>
      </c>
    </row>
    <row r="2276" spans="1:2" x14ac:dyDescent="0.25">
      <c r="A2276" cm="1">
        <f t="array" ref="A2276">INDEX('Portfolio Weights Returns'!$B$9:$BJ$69,
INT((ROW(A2275)-1)/COLUMNS('Portfolio Weights Returns'!$B$9:$BJ$69))+1,MOD(ROW(A2275)-1,COLUMNS('Portfolio Weights Returns'!$B$9:$BJ$69))+1)</f>
        <v>-8.3644965690600427E-4</v>
      </c>
      <c r="B2276" cm="1">
        <f t="array" ref="B2276">INDEX('Portfolio Weights Std'!$B$9:$BJ$69,INT((ROW(A2275)-1)/COLUMNS('Portfolio Weights Std'!$B$9:$BJ$69))+1,MOD(ROW(A2275)-1,COLUMNS('Portfolio Weights Std'!$B$9:$BJ$69))+1)</f>
        <v>2.0377944368985355E-2</v>
      </c>
    </row>
    <row r="2277" spans="1:2" x14ac:dyDescent="0.25">
      <c r="A2277" cm="1">
        <f t="array" ref="A2277">INDEX('Portfolio Weights Returns'!$B$9:$BJ$69,
INT((ROW(A2276)-1)/COLUMNS('Portfolio Weights Returns'!$B$9:$BJ$69))+1,MOD(ROW(A2276)-1,COLUMNS('Portfolio Weights Returns'!$B$9:$BJ$69))+1)</f>
        <v>-8.2966848293932534E-4</v>
      </c>
      <c r="B2277" cm="1">
        <f t="array" ref="B2277">INDEX('Portfolio Weights Std'!$B$9:$BJ$69,INT((ROW(A2276)-1)/COLUMNS('Portfolio Weights Std'!$B$9:$BJ$69))+1,MOD(ROW(A2276)-1,COLUMNS('Portfolio Weights Std'!$B$9:$BJ$69))+1)</f>
        <v>2.0226124858923094E-2</v>
      </c>
    </row>
    <row r="2278" spans="1:2" x14ac:dyDescent="0.25">
      <c r="A2278" cm="1">
        <f t="array" ref="A2278">INDEX('Portfolio Weights Returns'!$B$9:$BJ$69,
INT((ROW(A2277)-1)/COLUMNS('Portfolio Weights Returns'!$B$9:$BJ$69))+1,MOD(ROW(A2277)-1,COLUMNS('Portfolio Weights Returns'!$B$9:$BJ$69))+1)</f>
        <v>-8.2288730897264631E-4</v>
      </c>
      <c r="B2278" cm="1">
        <f t="array" ref="B2278">INDEX('Portfolio Weights Std'!$B$9:$BJ$69,INT((ROW(A2277)-1)/COLUMNS('Portfolio Weights Std'!$B$9:$BJ$69))+1,MOD(ROW(A2277)-1,COLUMNS('Portfolio Weights Std'!$B$9:$BJ$69))+1)</f>
        <v>2.0075463699968606E-2</v>
      </c>
    </row>
    <row r="2279" spans="1:2" x14ac:dyDescent="0.25">
      <c r="A2279" cm="1">
        <f t="array" ref="A2279">INDEX('Portfolio Weights Returns'!$B$9:$BJ$69,
INT((ROW(A2278)-1)/COLUMNS('Portfolio Weights Returns'!$B$9:$BJ$69))+1,MOD(ROW(A2278)-1,COLUMNS('Portfolio Weights Returns'!$B$9:$BJ$69))+1)</f>
        <v>-8.1610613500596705E-4</v>
      </c>
      <c r="B2279" cm="1">
        <f t="array" ref="B2279">INDEX('Portfolio Weights Std'!$B$9:$BJ$69,INT((ROW(A2278)-1)/COLUMNS('Portfolio Weights Std'!$B$9:$BJ$69))+1,MOD(ROW(A2278)-1,COLUMNS('Portfolio Weights Std'!$B$9:$BJ$69))+1)</f>
        <v>1.9925987167151684E-2</v>
      </c>
    </row>
    <row r="2280" spans="1:2" x14ac:dyDescent="0.25">
      <c r="A2280" cm="1">
        <f t="array" ref="A2280">INDEX('Portfolio Weights Returns'!$B$9:$BJ$69,
INT((ROW(A2279)-1)/COLUMNS('Portfolio Weights Returns'!$B$9:$BJ$69))+1,MOD(ROW(A2279)-1,COLUMNS('Portfolio Weights Returns'!$B$9:$BJ$69))+1)</f>
        <v>-8.0932496103928802E-4</v>
      </c>
      <c r="B2280" cm="1">
        <f t="array" ref="B2280">INDEX('Portfolio Weights Std'!$B$9:$BJ$69,INT((ROW(A2279)-1)/COLUMNS('Portfolio Weights Std'!$B$9:$BJ$69))+1,MOD(ROW(A2279)-1,COLUMNS('Portfolio Weights Std'!$B$9:$BJ$69))+1)</f>
        <v>1.9777722120076315E-2</v>
      </c>
    </row>
    <row r="2281" spans="1:2" x14ac:dyDescent="0.25">
      <c r="A2281" cm="1">
        <f t="array" ref="A2281">INDEX('Portfolio Weights Returns'!$B$9:$BJ$69,
INT((ROW(A2280)-1)/COLUMNS('Portfolio Weights Returns'!$B$9:$BJ$69))+1,MOD(ROW(A2280)-1,COLUMNS('Portfolio Weights Returns'!$B$9:$BJ$69))+1)</f>
        <v>-8.0254378707260887E-4</v>
      </c>
      <c r="B2281" cm="1">
        <f t="array" ref="B2281">INDEX('Portfolio Weights Std'!$B$9:$BJ$69,INT((ROW(A2280)-1)/COLUMNS('Portfolio Weights Std'!$B$9:$BJ$69))+1,MOD(ROW(A2280)-1,COLUMNS('Portfolio Weights Std'!$B$9:$BJ$69))+1)</f>
        <v>1.9630696008780337E-2</v>
      </c>
    </row>
    <row r="2282" spans="1:2" x14ac:dyDescent="0.25">
      <c r="A2282" cm="1">
        <f t="array" ref="A2282">INDEX('Portfolio Weights Returns'!$B$9:$BJ$69,
INT((ROW(A2281)-1)/COLUMNS('Portfolio Weights Returns'!$B$9:$BJ$69))+1,MOD(ROW(A2281)-1,COLUMNS('Portfolio Weights Returns'!$B$9:$BJ$69))+1)</f>
        <v>-7.9576261310592984E-4</v>
      </c>
      <c r="B2282" cm="1">
        <f t="array" ref="B2282">INDEX('Portfolio Weights Std'!$B$9:$BJ$69,INT((ROW(A2281)-1)/COLUMNS('Portfolio Weights Std'!$B$9:$BJ$69))+1,MOD(ROW(A2281)-1,COLUMNS('Portfolio Weights Std'!$B$9:$BJ$69))+1)</f>
        <v>1.948493687893442E-2</v>
      </c>
    </row>
    <row r="2283" spans="1:2" x14ac:dyDescent="0.25">
      <c r="A2283" cm="1">
        <f t="array" ref="A2283">INDEX('Portfolio Weights Returns'!$B$9:$BJ$69,
INT((ROW(A2282)-1)/COLUMNS('Portfolio Weights Returns'!$B$9:$BJ$69))+1,MOD(ROW(A2282)-1,COLUMNS('Portfolio Weights Returns'!$B$9:$BJ$69))+1)</f>
        <v>-7.8898143913925069E-4</v>
      </c>
      <c r="B2283" cm="1">
        <f t="array" ref="B2283">INDEX('Portfolio Weights Std'!$B$9:$BJ$69,INT((ROW(A2282)-1)/COLUMNS('Portfolio Weights Std'!$B$9:$BJ$69))+1,MOD(ROW(A2282)-1,COLUMNS('Portfolio Weights Std'!$B$9:$BJ$69))+1)</f>
        <v>1.9340473376308523E-2</v>
      </c>
    </row>
    <row r="2284" spans="1:2" x14ac:dyDescent="0.25">
      <c r="A2284" cm="1">
        <f t="array" ref="A2284">INDEX('Portfolio Weights Returns'!$B$9:$BJ$69,
INT((ROW(A2283)-1)/COLUMNS('Portfolio Weights Returns'!$B$9:$BJ$69))+1,MOD(ROW(A2283)-1,COLUMNS('Portfolio Weights Returns'!$B$9:$BJ$69))+1)</f>
        <v>-7.8220026517257155E-4</v>
      </c>
      <c r="B2284" cm="1">
        <f t="array" ref="B2284">INDEX('Portfolio Weights Std'!$B$9:$BJ$69,INT((ROW(A2283)-1)/COLUMNS('Portfolio Weights Std'!$B$9:$BJ$69))+1,MOD(ROW(A2283)-1,COLUMNS('Portfolio Weights Std'!$B$9:$BJ$69))+1)</f>
        <v>1.9197334750429937E-2</v>
      </c>
    </row>
    <row r="2285" spans="1:2" x14ac:dyDescent="0.25">
      <c r="A2285" cm="1">
        <f t="array" ref="A2285">INDEX('Portfolio Weights Returns'!$B$9:$BJ$69,
INT((ROW(A2284)-1)/COLUMNS('Portfolio Weights Returns'!$B$9:$BJ$69))+1,MOD(ROW(A2284)-1,COLUMNS('Portfolio Weights Returns'!$B$9:$BJ$69))+1)</f>
        <v>-7.7541909120589251E-4</v>
      </c>
      <c r="B2285" cm="1">
        <f t="array" ref="B2285">INDEX('Portfolio Weights Std'!$B$9:$BJ$69,INT((ROW(A2284)-1)/COLUMNS('Portfolio Weights Std'!$B$9:$BJ$69))+1,MOD(ROW(A2284)-1,COLUMNS('Portfolio Weights Std'!$B$9:$BJ$69))+1)</f>
        <v>1.9055550857352745E-2</v>
      </c>
    </row>
    <row r="2286" spans="1:2" x14ac:dyDescent="0.25">
      <c r="A2286" cm="1">
        <f t="array" ref="A2286">INDEX('Portfolio Weights Returns'!$B$9:$BJ$69,
INT((ROW(A2285)-1)/COLUMNS('Portfolio Weights Returns'!$B$9:$BJ$69))+1,MOD(ROW(A2285)-1,COLUMNS('Portfolio Weights Returns'!$B$9:$BJ$69))+1)</f>
        <v>-7.6863791723921326E-4</v>
      </c>
      <c r="B2286" cm="1">
        <f t="array" ref="B2286">INDEX('Portfolio Weights Std'!$B$9:$BJ$69,INT((ROW(A2285)-1)/COLUMNS('Portfolio Weights Std'!$B$9:$BJ$69))+1,MOD(ROW(A2285)-1,COLUMNS('Portfolio Weights Std'!$B$9:$BJ$69))+1)</f>
        <v>1.8915152161454452E-2</v>
      </c>
    </row>
    <row r="2287" spans="1:2" x14ac:dyDescent="0.25">
      <c r="A2287" cm="1">
        <f t="array" ref="A2287">INDEX('Portfolio Weights Returns'!$B$9:$BJ$69,
INT((ROW(A2286)-1)/COLUMNS('Portfolio Weights Returns'!$B$9:$BJ$69))+1,MOD(ROW(A2286)-1,COLUMNS('Portfolio Weights Returns'!$B$9:$BJ$69))+1)</f>
        <v>-7.6185674327253422E-4</v>
      </c>
      <c r="B2287" cm="1">
        <f t="array" ref="B2287">INDEX('Portfolio Weights Std'!$B$9:$BJ$69,INT((ROW(A2286)-1)/COLUMNS('Portfolio Weights Std'!$B$9:$BJ$69))+1,MOD(ROW(A2286)-1,COLUMNS('Portfolio Weights Std'!$B$9:$BJ$69))+1)</f>
        <v>1.8776169736171407E-2</v>
      </c>
    </row>
    <row r="2288" spans="1:2" x14ac:dyDescent="0.25">
      <c r="A2288" cm="1">
        <f t="array" ref="A2288">INDEX('Portfolio Weights Returns'!$B$9:$BJ$69,
INT((ROW(A2287)-1)/COLUMNS('Portfolio Weights Returns'!$B$9:$BJ$69))+1,MOD(ROW(A2287)-1,COLUMNS('Portfolio Weights Returns'!$B$9:$BJ$69))+1)</f>
        <v>-7.5507556930585508E-4</v>
      </c>
      <c r="B2288" cm="1">
        <f t="array" ref="B2288">INDEX('Portfolio Weights Std'!$B$9:$BJ$69,INT((ROW(A2287)-1)/COLUMNS('Portfolio Weights Std'!$B$9:$BJ$69))+1,MOD(ROW(A2287)-1,COLUMNS('Portfolio Weights Std'!$B$9:$BJ$69))+1)</f>
        <v>1.8638635263580561E-2</v>
      </c>
    </row>
    <row r="2289" spans="1:2" x14ac:dyDescent="0.25">
      <c r="A2289" cm="1">
        <f t="array" ref="A2289">INDEX('Portfolio Weights Returns'!$B$9:$BJ$69,
INT((ROW(A2288)-1)/COLUMNS('Portfolio Weights Returns'!$B$9:$BJ$69))+1,MOD(ROW(A2288)-1,COLUMNS('Portfolio Weights Returns'!$B$9:$BJ$69))+1)</f>
        <v>-7.4829439533917604E-4</v>
      </c>
      <c r="B2289" cm="1">
        <f t="array" ref="B2289">INDEX('Portfolio Weights Std'!$B$9:$BJ$69,INT((ROW(A2288)-1)/COLUMNS('Portfolio Weights Std'!$B$9:$BJ$69))+1,MOD(ROW(A2288)-1,COLUMNS('Portfolio Weights Std'!$B$9:$BJ$69))+1)</f>
        <v>1.8502581032731207E-2</v>
      </c>
    </row>
    <row r="2290" spans="1:2" x14ac:dyDescent="0.25">
      <c r="A2290" cm="1">
        <f t="array" ref="A2290">INDEX('Portfolio Weights Returns'!$B$9:$BJ$69,
INT((ROW(A2289)-1)/COLUMNS('Portfolio Weights Returns'!$B$9:$BJ$69))+1,MOD(ROW(A2289)-1,COLUMNS('Portfolio Weights Returns'!$B$9:$BJ$69))+1)</f>
        <v>-7.415132213724969E-4</v>
      </c>
      <c r="B2290" cm="1">
        <f t="array" ref="B2290">INDEX('Portfolio Weights Std'!$B$9:$BJ$69,INT((ROW(A2289)-1)/COLUMNS('Portfolio Weights Std'!$B$9:$BJ$69))+1,MOD(ROW(A2289)-1,COLUMNS('Portfolio Weights Std'!$B$9:$BJ$69))+1)</f>
        <v>1.8368039936626505E-2</v>
      </c>
    </row>
    <row r="2291" spans="1:2" x14ac:dyDescent="0.25">
      <c r="A2291" cm="1">
        <f t="array" ref="A2291">INDEX('Portfolio Weights Returns'!$B$9:$BJ$69,
INT((ROW(A2290)-1)/COLUMNS('Portfolio Weights Returns'!$B$9:$BJ$69))+1,MOD(ROW(A2290)-1,COLUMNS('Portfolio Weights Returns'!$B$9:$BJ$69))+1)</f>
        <v>-7.3473204740581786E-4</v>
      </c>
      <c r="B2291" cm="1">
        <f t="array" ref="B2291">INDEX('Portfolio Weights Std'!$B$9:$BJ$69,INT((ROW(A2290)-1)/COLUMNS('Portfolio Weights Std'!$B$9:$BJ$69))+1,MOD(ROW(A2290)-1,COLUMNS('Portfolio Weights Std'!$B$9:$BJ$69))+1)</f>
        <v>1.8235045467751208E-2</v>
      </c>
    </row>
    <row r="2292" spans="1:2" x14ac:dyDescent="0.25">
      <c r="A2292" cm="1">
        <f t="array" ref="A2292">INDEX('Portfolio Weights Returns'!$B$9:$BJ$69,
INT((ROW(A2291)-1)/COLUMNS('Portfolio Weights Returns'!$B$9:$BJ$69))+1,MOD(ROW(A2291)-1,COLUMNS('Portfolio Weights Returns'!$B$9:$BJ$69))+1)</f>
        <v>-7.2795087343913872E-4</v>
      </c>
      <c r="B2292" cm="1">
        <f t="array" ref="B2292">INDEX('Portfolio Weights Std'!$B$9:$BJ$69,INT((ROW(A2291)-1)/COLUMNS('Portfolio Weights Std'!$B$9:$BJ$69))+1,MOD(ROW(A2291)-1,COLUMNS('Portfolio Weights Std'!$B$9:$BJ$69))+1)</f>
        <v>1.8103631712038541E-2</v>
      </c>
    </row>
    <row r="2293" spans="1:2" x14ac:dyDescent="0.25">
      <c r="A2293" cm="1">
        <f t="array" ref="A2293">INDEX('Portfolio Weights Returns'!$B$9:$BJ$69,
INT((ROW(A2292)-1)/COLUMNS('Portfolio Weights Returns'!$B$9:$BJ$69))+1,MOD(ROW(A2292)-1,COLUMNS('Portfolio Weights Returns'!$B$9:$BJ$69))+1)</f>
        <v>-7.2116969947245947E-4</v>
      </c>
      <c r="B2293" cm="1">
        <f t="array" ref="B2293">INDEX('Portfolio Weights Std'!$B$9:$BJ$69,INT((ROW(A2292)-1)/COLUMNS('Portfolio Weights Std'!$B$9:$BJ$69))+1,MOD(ROW(A2292)-1,COLUMNS('Portfolio Weights Std'!$B$9:$BJ$69))+1)</f>
        <v>1.7973833341166458E-2</v>
      </c>
    </row>
    <row r="2294" spans="1:2" x14ac:dyDescent="0.25">
      <c r="A2294" cm="1">
        <f t="array" ref="A2294">INDEX('Portfolio Weights Returns'!$B$9:$BJ$69,
INT((ROW(A2293)-1)/COLUMNS('Portfolio Weights Returns'!$B$9:$BJ$69))+1,MOD(ROW(A2293)-1,COLUMNS('Portfolio Weights Returns'!$B$9:$BJ$69))+1)</f>
        <v>-7.1438852550578043E-4</v>
      </c>
      <c r="B2294" cm="1">
        <f t="array" ref="B2294">INDEX('Portfolio Weights Std'!$B$9:$BJ$69,INT((ROW(A2293)-1)/COLUMNS('Portfolio Weights Std'!$B$9:$BJ$69))+1,MOD(ROW(A2293)-1,COLUMNS('Portfolio Weights Std'!$B$9:$BJ$69))+1)</f>
        <v>1.7845685603070916E-2</v>
      </c>
    </row>
    <row r="2295" spans="1:2" x14ac:dyDescent="0.25">
      <c r="A2295" cm="1">
        <f t="array" ref="A2295">INDEX('Portfolio Weights Returns'!$B$9:$BJ$69,
INT((ROW(A2294)-1)/COLUMNS('Portfolio Weights Returns'!$B$9:$BJ$69))+1,MOD(ROW(A2294)-1,COLUMNS('Portfolio Weights Returns'!$B$9:$BJ$69))+1)</f>
        <v>-7.0760735153910129E-4</v>
      </c>
      <c r="B2295" cm="1">
        <f t="array" ref="B2295">INDEX('Portfolio Weights Std'!$B$9:$BJ$69,INT((ROW(A2294)-1)/COLUMNS('Portfolio Weights Std'!$B$9:$BJ$69))+1,MOD(ROW(A2294)-1,COLUMNS('Portfolio Weights Std'!$B$9:$BJ$69))+1)</f>
        <v>1.771922431056179E-2</v>
      </c>
    </row>
    <row r="2296" spans="1:2" x14ac:dyDescent="0.25">
      <c r="A2296" cm="1">
        <f t="array" ref="A2296">INDEX('Portfolio Weights Returns'!$B$9:$BJ$69,
INT((ROW(A2295)-1)/COLUMNS('Portfolio Weights Returns'!$B$9:$BJ$69))+1,MOD(ROW(A2295)-1,COLUMNS('Portfolio Weights Returns'!$B$9:$BJ$69))+1)</f>
        <v>-7.0082617757242225E-4</v>
      </c>
      <c r="B2296" cm="1">
        <f t="array" ref="B2296">INDEX('Portfolio Weights Std'!$B$9:$BJ$69,INT((ROW(A2295)-1)/COLUMNS('Portfolio Weights Std'!$B$9:$BJ$69))+1,MOD(ROW(A2295)-1,COLUMNS('Portfolio Weights Std'!$B$9:$BJ$69))+1)</f>
        <v>1.7594485827925783E-2</v>
      </c>
    </row>
    <row r="2297" spans="1:2" x14ac:dyDescent="0.25">
      <c r="A2297" cm="1">
        <f t="array" ref="A2297">INDEX('Portfolio Weights Returns'!$B$9:$BJ$69,
INT((ROW(A2296)-1)/COLUMNS('Portfolio Weights Returns'!$B$9:$BJ$69))+1,MOD(ROW(A2296)-1,COLUMNS('Portfolio Weights Returns'!$B$9:$BJ$69))+1)</f>
        <v>-6.9404500360574321E-4</v>
      </c>
      <c r="B2297" cm="1">
        <f t="array" ref="B2297">INDEX('Portfolio Weights Std'!$B$9:$BJ$69,INT((ROW(A2296)-1)/COLUMNS('Portfolio Weights Std'!$B$9:$BJ$69))+1,MOD(ROW(A2296)-1,COLUMNS('Portfolio Weights Std'!$B$9:$BJ$69))+1)</f>
        <v>1.747150705539979E-2</v>
      </c>
    </row>
    <row r="2298" spans="1:2" x14ac:dyDescent="0.25">
      <c r="A2298" cm="1">
        <f t="array" ref="A2298">INDEX('Portfolio Weights Returns'!$B$9:$BJ$69,
INT((ROW(A2297)-1)/COLUMNS('Portfolio Weights Returns'!$B$9:$BJ$69))+1,MOD(ROW(A2297)-1,COLUMNS('Portfolio Weights Returns'!$B$9:$BJ$69))+1)</f>
        <v>-6.8726382963906418E-4</v>
      </c>
      <c r="B2298" cm="1">
        <f t="array" ref="B2298">INDEX('Portfolio Weights Std'!$B$9:$BJ$69,INT((ROW(A2297)-1)/COLUMNS('Portfolio Weights Std'!$B$9:$BJ$69))+1,MOD(ROW(A2297)-1,COLUMNS('Portfolio Weights Std'!$B$9:$BJ$69))+1)</f>
        <v>1.7350325411398304E-2</v>
      </c>
    </row>
    <row r="2299" spans="1:2" x14ac:dyDescent="0.25">
      <c r="A2299" cm="1">
        <f t="array" ref="A2299">INDEX('Portfolio Weights Returns'!$B$9:$BJ$69,
INT((ROW(A2298)-1)/COLUMNS('Portfolio Weights Returns'!$B$9:$BJ$69))+1,MOD(ROW(A2298)-1,COLUMNS('Portfolio Weights Returns'!$B$9:$BJ$69))+1)</f>
        <v>-6.8048265567238503E-4</v>
      </c>
      <c r="B2299" cm="1">
        <f t="array" ref="B2299">INDEX('Portfolio Weights Std'!$B$9:$BJ$69,INT((ROW(A2298)-1)/COLUMNS('Portfolio Weights Std'!$B$9:$BJ$69))+1,MOD(ROW(A2298)-1,COLUMNS('Portfolio Weights Std'!$B$9:$BJ$69))+1)</f>
        <v>1.7230978812379432E-2</v>
      </c>
    </row>
    <row r="2300" spans="1:2" x14ac:dyDescent="0.25">
      <c r="A2300" cm="1">
        <f t="array" ref="A2300">INDEX('Portfolio Weights Returns'!$B$9:$BJ$69,
INT((ROW(A2299)-1)/COLUMNS('Portfolio Weights Returns'!$B$9:$BJ$69))+1,MOD(ROW(A2299)-1,COLUMNS('Portfolio Weights Returns'!$B$9:$BJ$69))+1)</f>
        <v>-6.73701481705706E-4</v>
      </c>
      <c r="B2300" cm="1">
        <f t="array" ref="B2300">INDEX('Portfolio Weights Std'!$B$9:$BJ$69,INT((ROW(A2299)-1)/COLUMNS('Portfolio Weights Std'!$B$9:$BJ$69))+1,MOD(ROW(A2299)-1,COLUMNS('Portfolio Weights Std'!$B$9:$BJ$69))+1)</f>
        <v>1.7113505650235724E-2</v>
      </c>
    </row>
    <row r="2301" spans="1:2" x14ac:dyDescent="0.25">
      <c r="A2301" cm="1">
        <f t="array" ref="A2301">INDEX('Portfolio Weights Returns'!$B$9:$BJ$69,
INT((ROW(A2300)-1)/COLUMNS('Portfolio Weights Returns'!$B$9:$BJ$69))+1,MOD(ROW(A2300)-1,COLUMNS('Portfolio Weights Returns'!$B$9:$BJ$69))+1)</f>
        <v>-6.6692030773902685E-4</v>
      </c>
      <c r="B2301" cm="1">
        <f t="array" ref="B2301">INDEX('Portfolio Weights Std'!$B$9:$BJ$69,INT((ROW(A2300)-1)/COLUMNS('Portfolio Weights Std'!$B$9:$BJ$69))+1,MOD(ROW(A2300)-1,COLUMNS('Portfolio Weights Std'!$B$9:$BJ$69))+1)</f>
        <v>1.6997944767099253E-2</v>
      </c>
    </row>
    <row r="2302" spans="1:2" x14ac:dyDescent="0.25">
      <c r="A2302" cm="1">
        <f t="array" ref="A2302">INDEX('Portfolio Weights Returns'!$B$9:$BJ$69,
INT((ROW(A2301)-1)/COLUMNS('Portfolio Weights Returns'!$B$9:$BJ$69))+1,MOD(ROW(A2301)-1,COLUMNS('Portfolio Weights Returns'!$B$9:$BJ$69))+1)</f>
        <v>-6.6013913377234771E-4</v>
      </c>
      <c r="B2302" cm="1">
        <f t="array" ref="B2302">INDEX('Portfolio Weights Std'!$B$9:$BJ$69,INT((ROW(A2301)-1)/COLUMNS('Portfolio Weights Std'!$B$9:$BJ$69))+1,MOD(ROW(A2301)-1,COLUMNS('Portfolio Weights Std'!$B$9:$BJ$69))+1)</f>
        <v>1.6884335427454343E-2</v>
      </c>
    </row>
    <row r="2303" spans="1:2" x14ac:dyDescent="0.25">
      <c r="A2303" cm="1">
        <f t="array" ref="A2303">INDEX('Portfolio Weights Returns'!$B$9:$BJ$69,
INT((ROW(A2302)-1)/COLUMNS('Portfolio Weights Returns'!$B$9:$BJ$69))+1,MOD(ROW(A2302)-1,COLUMNS('Portfolio Weights Returns'!$B$9:$BJ$69))+1)</f>
        <v>-6.5335795980566867E-4</v>
      </c>
      <c r="B2303" cm="1">
        <f t="array" ref="B2303">INDEX('Portfolio Weights Std'!$B$9:$BJ$69,INT((ROW(A2302)-1)/COLUMNS('Portfolio Weights Std'!$B$9:$BJ$69))+1,MOD(ROW(A2302)-1,COLUMNS('Portfolio Weights Std'!$B$9:$BJ$69))+1)</f>
        <v>1.6772717287456697E-2</v>
      </c>
    </row>
    <row r="2304" spans="1:2" x14ac:dyDescent="0.25">
      <c r="A2304" cm="1">
        <f t="array" ref="A2304">INDEX('Portfolio Weights Returns'!$B$9:$BJ$69,
INT((ROW(A2303)-1)/COLUMNS('Portfolio Weights Returns'!$B$9:$BJ$69))+1,MOD(ROW(A2303)-1,COLUMNS('Portfolio Weights Returns'!$B$9:$BJ$69))+1)</f>
        <v>-6.4657678583898942E-4</v>
      </c>
      <c r="B2304" cm="1">
        <f t="array" ref="B2304">INDEX('Portfolio Weights Std'!$B$9:$BJ$69,INT((ROW(A2303)-1)/COLUMNS('Portfolio Weights Std'!$B$9:$BJ$69))+1,MOD(ROW(A2303)-1,COLUMNS('Portfolio Weights Std'!$B$9:$BJ$69))+1)</f>
        <v>1.6663130361364679E-2</v>
      </c>
    </row>
    <row r="2305" spans="1:2" x14ac:dyDescent="0.25">
      <c r="A2305" cm="1">
        <f t="array" ref="A2305">INDEX('Portfolio Weights Returns'!$B$9:$BJ$69,
INT((ROW(A2304)-1)/COLUMNS('Portfolio Weights Returns'!$B$9:$BJ$69))+1,MOD(ROW(A2304)-1,COLUMNS('Portfolio Weights Returns'!$B$9:$BJ$69))+1)</f>
        <v>-6.3979561187231038E-4</v>
      </c>
      <c r="B2305" cm="1">
        <f t="array" ref="B2305">INDEX('Portfolio Weights Std'!$B$9:$BJ$69,INT((ROW(A2304)-1)/COLUMNS('Portfolio Weights Std'!$B$9:$BJ$69))+1,MOD(ROW(A2304)-1,COLUMNS('Portfolio Weights Std'!$B$9:$BJ$69))+1)</f>
        <v>1.6555614984996605E-2</v>
      </c>
    </row>
    <row r="2306" spans="1:2" x14ac:dyDescent="0.25">
      <c r="A2306" cm="1">
        <f t="array" ref="A2306">INDEX('Portfolio Weights Returns'!$B$9:$BJ$69,
INT((ROW(A2305)-1)/COLUMNS('Portfolio Weights Returns'!$B$9:$BJ$69))+1,MOD(ROW(A2305)-1,COLUMNS('Portfolio Weights Returns'!$B$9:$BJ$69))+1)</f>
        <v>-6.3301443790563124E-4</v>
      </c>
      <c r="B2306" cm="1">
        <f t="array" ref="B2306">INDEX('Portfolio Weights Std'!$B$9:$BJ$69,INT((ROW(A2305)-1)/COLUMNS('Portfolio Weights Std'!$B$9:$BJ$69))+1,MOD(ROW(A2305)-1,COLUMNS('Portfolio Weights Std'!$B$9:$BJ$69))+1)</f>
        <v>1.645021177613774E-2</v>
      </c>
    </row>
    <row r="2307" spans="1:2" x14ac:dyDescent="0.25">
      <c r="A2307" cm="1">
        <f t="array" ref="A2307">INDEX('Portfolio Weights Returns'!$B$9:$BJ$69,
INT((ROW(A2306)-1)/COLUMNS('Portfolio Weights Returns'!$B$9:$BJ$69))+1,MOD(ROW(A2306)-1,COLUMNS('Portfolio Weights Returns'!$B$9:$BJ$69))+1)</f>
        <v>-6.262332639389522E-4</v>
      </c>
      <c r="B2307" cm="1">
        <f t="array" ref="B2307">INDEX('Portfolio Weights Std'!$B$9:$BJ$69,INT((ROW(A2306)-1)/COLUMNS('Portfolio Weights Std'!$B$9:$BJ$69))+1,MOD(ROW(A2306)-1,COLUMNS('Portfolio Weights Std'!$B$9:$BJ$69))+1)</f>
        <v>1.6346961591832392E-2</v>
      </c>
    </row>
    <row r="2308" spans="1:2" x14ac:dyDescent="0.25">
      <c r="A2308" cm="1">
        <f t="array" ref="A2308">INDEX('Portfolio Weights Returns'!$B$9:$BJ$69,
INT((ROW(A2307)-1)/COLUMNS('Portfolio Weights Returns'!$B$9:$BJ$69))+1,MOD(ROW(A2307)-1,COLUMNS('Portfolio Weights Returns'!$B$9:$BJ$69))+1)</f>
        <v>-6.1945208997227306E-4</v>
      </c>
      <c r="B2308" cm="1">
        <f t="array" ref="B2308">INDEX('Portfolio Weights Std'!$B$9:$BJ$69,INT((ROW(A2307)-1)/COLUMNS('Portfolio Weights Std'!$B$9:$BJ$69))+1,MOD(ROW(A2307)-1,COLUMNS('Portfolio Weights Std'!$B$9:$BJ$69))+1)</f>
        <v>1.6245905482509489E-2</v>
      </c>
    </row>
    <row r="2309" spans="1:2" x14ac:dyDescent="0.25">
      <c r="A2309" cm="1">
        <f t="array" ref="A2309">INDEX('Portfolio Weights Returns'!$B$9:$BJ$69,
INT((ROW(A2308)-1)/COLUMNS('Portfolio Weights Returns'!$B$9:$BJ$69))+1,MOD(ROW(A2308)-1,COLUMNS('Portfolio Weights Returns'!$B$9:$BJ$69))+1)</f>
        <v>-6.1267091600559402E-4</v>
      </c>
      <c r="B2309" cm="1">
        <f t="array" ref="B2309">INDEX('Portfolio Weights Std'!$B$9:$BJ$69,INT((ROW(A2308)-1)/COLUMNS('Portfolio Weights Std'!$B$9:$BJ$69))+1,MOD(ROW(A2308)-1,COLUMNS('Portfolio Weights Std'!$B$9:$BJ$69))+1)</f>
        <v>1.6147084642905242E-2</v>
      </c>
    </row>
    <row r="2310" spans="1:2" x14ac:dyDescent="0.25">
      <c r="A2310" cm="1">
        <f t="array" ref="A2310">INDEX('Portfolio Weights Returns'!$B$9:$BJ$69,
INT((ROW(A2309)-1)/COLUMNS('Portfolio Weights Returns'!$B$9:$BJ$69))+1,MOD(ROW(A2309)-1,COLUMNS('Portfolio Weights Returns'!$B$9:$BJ$69))+1)</f>
        <v>-6.0588974203891488E-4</v>
      </c>
      <c r="B2310" cm="1">
        <f t="array" ref="B2310">INDEX('Portfolio Weights Std'!$B$9:$BJ$69,INT((ROW(A2309)-1)/COLUMNS('Portfolio Weights Std'!$B$9:$BJ$69))+1,MOD(ROW(A2309)-1,COLUMNS('Portfolio Weights Std'!$B$9:$BJ$69))+1)</f>
        <v>1.6050540359763176E-2</v>
      </c>
    </row>
    <row r="2311" spans="1:2" x14ac:dyDescent="0.25">
      <c r="A2311" cm="1">
        <f t="array" ref="A2311">INDEX('Portfolio Weights Returns'!$B$9:$BJ$69,
INT((ROW(A2310)-1)/COLUMNS('Portfolio Weights Returns'!$B$9:$BJ$69))+1,MOD(ROW(A2310)-1,COLUMNS('Portfolio Weights Returns'!$B$9:$BJ$69))+1)</f>
        <v>-5.9910856807223562E-4</v>
      </c>
      <c r="B2311" cm="1">
        <f t="array" ref="B2311">INDEX('Portfolio Weights Std'!$B$9:$BJ$69,INT((ROW(A2310)-1)/COLUMNS('Portfolio Weights Std'!$B$9:$BJ$69))+1,MOD(ROW(A2310)-1,COLUMNS('Portfolio Weights Std'!$B$9:$BJ$69))+1)</f>
        <v>1.5956313956310617E-2</v>
      </c>
    </row>
    <row r="2312" spans="1:2" x14ac:dyDescent="0.25">
      <c r="A2312" cm="1">
        <f t="array" ref="A2312">INDEX('Portfolio Weights Returns'!$B$9:$BJ$69,
INT((ROW(A2311)-1)/COLUMNS('Portfolio Weights Returns'!$B$9:$BJ$69))+1,MOD(ROW(A2311)-1,COLUMNS('Portfolio Weights Returns'!$B$9:$BJ$69))+1)</f>
        <v>-5.9232739410555659E-4</v>
      </c>
      <c r="B2312" cm="1">
        <f t="array" ref="B2312">INDEX('Portfolio Weights Std'!$B$9:$BJ$69,INT((ROW(A2311)-1)/COLUMNS('Portfolio Weights Std'!$B$9:$BJ$69))+1,MOD(ROW(A2311)-1,COLUMNS('Portfolio Weights Std'!$B$9:$BJ$69))+1)</f>
        <v>1.5864446733531087E-2</v>
      </c>
    </row>
    <row r="2313" spans="1:2" x14ac:dyDescent="0.25">
      <c r="A2313" cm="1">
        <f t="array" ref="A2313">INDEX('Portfolio Weights Returns'!$B$9:$BJ$69,
INT((ROW(A2312)-1)/COLUMNS('Portfolio Weights Returns'!$B$9:$BJ$69))+1,MOD(ROW(A2312)-1,COLUMNS('Portfolio Weights Returns'!$B$9:$BJ$69))+1)</f>
        <v>-5.8554622013887744E-4</v>
      </c>
      <c r="B2313" cm="1">
        <f t="array" ref="B2313">INDEX('Portfolio Weights Std'!$B$9:$BJ$69,INT((ROW(A2312)-1)/COLUMNS('Portfolio Weights Std'!$B$9:$BJ$69))+1,MOD(ROW(A2312)-1,COLUMNS('Portfolio Weights Std'!$B$9:$BJ$69))+1)</f>
        <v>1.5774979908274474E-2</v>
      </c>
    </row>
    <row r="2314" spans="1:2" x14ac:dyDescent="0.25">
      <c r="A2314" cm="1">
        <f t="array" ref="A2314">INDEX('Portfolio Weights Returns'!$B$9:$BJ$69,
INT((ROW(A2313)-1)/COLUMNS('Portfolio Weights Returns'!$B$9:$BJ$69))+1,MOD(ROW(A2313)-1,COLUMNS('Portfolio Weights Returns'!$B$9:$BJ$69))+1)</f>
        <v>-5.7876504617219841E-4</v>
      </c>
      <c r="B2314" cm="1">
        <f t="array" ref="B2314">INDEX('Portfolio Weights Std'!$B$9:$BJ$69,INT((ROW(A2313)-1)/COLUMNS('Portfolio Weights Std'!$B$9:$BJ$69))+1,MOD(ROW(A2313)-1,COLUMNS('Portfolio Weights Std'!$B$9:$BJ$69))+1)</f>
        <v>1.5687954548270704E-2</v>
      </c>
    </row>
    <row r="2315" spans="1:2" x14ac:dyDescent="0.25">
      <c r="A2315" cm="1">
        <f t="array" ref="A2315">INDEX('Portfolio Weights Returns'!$B$9:$BJ$69,
INT((ROW(A2314)-1)/COLUMNS('Portfolio Weights Returns'!$B$9:$BJ$69))+1,MOD(ROW(A2314)-1,COLUMNS('Portfolio Weights Returns'!$B$9:$BJ$69))+1)</f>
        <v>-5.7198387220551926E-4</v>
      </c>
      <c r="B2315" cm="1">
        <f t="array" ref="B2315">INDEX('Portfolio Weights Std'!$B$9:$BJ$69,INT((ROW(A2314)-1)/COLUMNS('Portfolio Weights Std'!$B$9:$BJ$69))+1,MOD(ROW(A2314)-1,COLUMNS('Portfolio Weights Std'!$B$9:$BJ$69))+1)</f>
        <v>1.5603411504138366E-2</v>
      </c>
    </row>
    <row r="2316" spans="1:2" x14ac:dyDescent="0.25">
      <c r="A2316" cm="1">
        <f t="array" ref="A2316">INDEX('Portfolio Weights Returns'!$B$9:$BJ$69,
INT((ROW(A2315)-1)/COLUMNS('Portfolio Weights Returns'!$B$9:$BJ$69))+1,MOD(ROW(A2315)-1,COLUMNS('Portfolio Weights Returns'!$B$9:$BJ$69))+1)</f>
        <v>-5.6520269823883958E-4</v>
      </c>
      <c r="B2316" cm="1">
        <f t="array" ref="B2316">INDEX('Portfolio Weights Std'!$B$9:$BJ$69,INT((ROW(A2315)-1)/COLUMNS('Portfolio Weights Std'!$B$9:$BJ$69))+1,MOD(ROW(A2315)-1,COLUMNS('Portfolio Weights Std'!$B$9:$BJ$69))+1)</f>
        <v>1.5521391338506779E-2</v>
      </c>
    </row>
    <row r="2317" spans="1:2" x14ac:dyDescent="0.25">
      <c r="A2317" cm="1">
        <f t="array" ref="A2317">INDEX('Portfolio Weights Returns'!$B$9:$BJ$69,
INT((ROW(A2316)-1)/COLUMNS('Portfolio Weights Returns'!$B$9:$BJ$69))+1,MOD(ROW(A2316)-1,COLUMNS('Portfolio Weights Returns'!$B$9:$BJ$69))+1)</f>
        <v>-5.5842152427216043E-4</v>
      </c>
      <c r="B2317" cm="1">
        <f t="array" ref="B2317">INDEX('Portfolio Weights Std'!$B$9:$BJ$69,INT((ROW(A2316)-1)/COLUMNS('Portfolio Weights Std'!$B$9:$BJ$69))+1,MOD(ROW(A2316)-1,COLUMNS('Portfolio Weights Std'!$B$9:$BJ$69))+1)</f>
        <v>1.5441934252398409E-2</v>
      </c>
    </row>
    <row r="2318" spans="1:2" x14ac:dyDescent="0.25">
      <c r="A2318" cm="1">
        <f t="array" ref="A2318">INDEX('Portfolio Weights Returns'!$B$9:$BJ$69,
INT((ROW(A2317)-1)/COLUMNS('Portfolio Weights Returns'!$B$9:$BJ$69))+1,MOD(ROW(A2317)-1,COLUMNS('Portfolio Weights Returns'!$B$9:$BJ$69))+1)</f>
        <v>-5.516403503054814E-4</v>
      </c>
      <c r="B2318" cm="1">
        <f t="array" ref="B2318">INDEX('Portfolio Weights Std'!$B$9:$BJ$69,INT((ROW(A2317)-1)/COLUMNS('Portfolio Weights Std'!$B$9:$BJ$69))+1,MOD(ROW(A2317)-1,COLUMNS('Portfolio Weights Std'!$B$9:$BJ$69))+1)</f>
        <v>1.5365080009047887E-2</v>
      </c>
    </row>
    <row r="2319" spans="1:2" x14ac:dyDescent="0.25">
      <c r="A2319" cm="1">
        <f t="array" ref="A2319">INDEX('Portfolio Weights Returns'!$B$9:$BJ$69,
INT((ROW(A2318)-1)/COLUMNS('Portfolio Weights Returns'!$B$9:$BJ$69))+1,MOD(ROW(A2318)-1,COLUMNS('Portfolio Weights Returns'!$B$9:$BJ$69))+1)</f>
        <v>-5.4485917633880225E-4</v>
      </c>
      <c r="B2319" cm="1">
        <f t="array" ref="B2319">INDEX('Portfolio Weights Std'!$B$9:$BJ$69,INT((ROW(A2318)-1)/COLUMNS('Portfolio Weights Std'!$B$9:$BJ$69))+1,MOD(ROW(A2318)-1,COLUMNS('Portfolio Weights Std'!$B$9:$BJ$69))+1)</f>
        <v>1.5290867855364416E-2</v>
      </c>
    </row>
    <row r="2320" spans="1:2" x14ac:dyDescent="0.25">
      <c r="A2320" cm="1">
        <f t="array" ref="A2320">INDEX('Portfolio Weights Returns'!$B$9:$BJ$69,
INT((ROW(A2319)-1)/COLUMNS('Portfolio Weights Returns'!$B$9:$BJ$69))+1,MOD(ROW(A2319)-1,COLUMNS('Portfolio Weights Returns'!$B$9:$BJ$69))+1)</f>
        <v>-9.4515540649409407E-4</v>
      </c>
      <c r="B2320" cm="1">
        <f t="array" ref="B2320">INDEX('Portfolio Weights Std'!$B$9:$BJ$69,INT((ROW(A2319)-1)/COLUMNS('Portfolio Weights Std'!$B$9:$BJ$69))+1,MOD(ROW(A2319)-1,COLUMNS('Portfolio Weights Std'!$B$9:$BJ$69))+1)</f>
        <v>2.3014698934608769E-2</v>
      </c>
    </row>
    <row r="2321" spans="1:2" x14ac:dyDescent="0.25">
      <c r="A2321" cm="1">
        <f t="array" ref="A2321">INDEX('Portfolio Weights Returns'!$B$9:$BJ$69,
INT((ROW(A2320)-1)/COLUMNS('Portfolio Weights Returns'!$B$9:$BJ$69))+1,MOD(ROW(A2320)-1,COLUMNS('Portfolio Weights Returns'!$B$9:$BJ$69))+1)</f>
        <v>-9.3837423252741481E-4</v>
      </c>
      <c r="B2321" cm="1">
        <f t="array" ref="B2321">INDEX('Portfolio Weights Std'!$B$9:$BJ$69,INT((ROW(A2320)-1)/COLUMNS('Portfolio Weights Std'!$B$9:$BJ$69))+1,MOD(ROW(A2320)-1,COLUMNS('Portfolio Weights Std'!$B$9:$BJ$69))+1)</f>
        <v>2.2847620581942032E-2</v>
      </c>
    </row>
    <row r="2322" spans="1:2" x14ac:dyDescent="0.25">
      <c r="A2322" cm="1">
        <f t="array" ref="A2322">INDEX('Portfolio Weights Returns'!$B$9:$BJ$69,
INT((ROW(A2321)-1)/COLUMNS('Portfolio Weights Returns'!$B$9:$BJ$69))+1,MOD(ROW(A2321)-1,COLUMNS('Portfolio Weights Returns'!$B$9:$BJ$69))+1)</f>
        <v>-9.3159305856073567E-4</v>
      </c>
      <c r="B2322" cm="1">
        <f t="array" ref="B2322">INDEX('Portfolio Weights Std'!$B$9:$BJ$69,INT((ROW(A2321)-1)/COLUMNS('Portfolio Weights Std'!$B$9:$BJ$69))+1,MOD(ROW(A2321)-1,COLUMNS('Portfolio Weights Std'!$B$9:$BJ$69))+1)</f>
        <v>2.2681352942864892E-2</v>
      </c>
    </row>
    <row r="2323" spans="1:2" x14ac:dyDescent="0.25">
      <c r="A2323" cm="1">
        <f t="array" ref="A2323">INDEX('Portfolio Weights Returns'!$B$9:$BJ$69,
INT((ROW(A2322)-1)/COLUMNS('Portfolio Weights Returns'!$B$9:$BJ$69))+1,MOD(ROW(A2322)-1,COLUMNS('Portfolio Weights Returns'!$B$9:$BJ$69))+1)</f>
        <v>-9.2481188459405663E-4</v>
      </c>
      <c r="B2323" cm="1">
        <f t="array" ref="B2323">INDEX('Portfolio Weights Std'!$B$9:$BJ$69,INT((ROW(A2322)-1)/COLUMNS('Portfolio Weights Std'!$B$9:$BJ$69))+1,MOD(ROW(A2322)-1,COLUMNS('Portfolio Weights Std'!$B$9:$BJ$69))+1)</f>
        <v>2.251591397740622E-2</v>
      </c>
    </row>
    <row r="2324" spans="1:2" x14ac:dyDescent="0.25">
      <c r="A2324" cm="1">
        <f t="array" ref="A2324">INDEX('Portfolio Weights Returns'!$B$9:$BJ$69,
INT((ROW(A2323)-1)/COLUMNS('Portfolio Weights Returns'!$B$9:$BJ$69))+1,MOD(ROW(A2323)-1,COLUMNS('Portfolio Weights Returns'!$B$9:$BJ$69))+1)</f>
        <v>-9.1803071062737749E-4</v>
      </c>
      <c r="B2324" cm="1">
        <f t="array" ref="B2324">INDEX('Portfolio Weights Std'!$B$9:$BJ$69,INT((ROW(A2323)-1)/COLUMNS('Portfolio Weights Std'!$B$9:$BJ$69))+1,MOD(ROW(A2323)-1,COLUMNS('Portfolio Weights Std'!$B$9:$BJ$69))+1)</f>
        <v>2.2351322086485929E-2</v>
      </c>
    </row>
    <row r="2325" spans="1:2" x14ac:dyDescent="0.25">
      <c r="A2325" cm="1">
        <f t="array" ref="A2325">INDEX('Portfolio Weights Returns'!$B$9:$BJ$69,
INT((ROW(A2324)-1)/COLUMNS('Portfolio Weights Returns'!$B$9:$BJ$69))+1,MOD(ROW(A2324)-1,COLUMNS('Portfolio Weights Returns'!$B$9:$BJ$69))+1)</f>
        <v>-9.1124953666069845E-4</v>
      </c>
      <c r="B2325" cm="1">
        <f t="array" ref="B2325">INDEX('Portfolio Weights Std'!$B$9:$BJ$69,INT((ROW(A2324)-1)/COLUMNS('Portfolio Weights Std'!$B$9:$BJ$69))+1,MOD(ROW(A2324)-1,COLUMNS('Portfolio Weights Std'!$B$9:$BJ$69))+1)</f>
        <v>2.2187596121401629E-2</v>
      </c>
    </row>
    <row r="2326" spans="1:2" x14ac:dyDescent="0.25">
      <c r="A2326" cm="1">
        <f t="array" ref="A2326">INDEX('Portfolio Weights Returns'!$B$9:$BJ$69,
INT((ROW(A2325)-1)/COLUMNS('Portfolio Weights Returns'!$B$9:$BJ$69))+1,MOD(ROW(A2325)-1,COLUMNS('Portfolio Weights Returns'!$B$9:$BJ$69))+1)</f>
        <v>-9.0446836269401931E-4</v>
      </c>
      <c r="B2326" cm="1">
        <f t="array" ref="B2326">INDEX('Portfolio Weights Std'!$B$9:$BJ$69,INT((ROW(A2325)-1)/COLUMNS('Portfolio Weights Std'!$B$9:$BJ$69))+1,MOD(ROW(A2325)-1,COLUMNS('Portfolio Weights Std'!$B$9:$BJ$69))+1)</f>
        <v>2.2024755393324245E-2</v>
      </c>
    </row>
    <row r="2327" spans="1:2" x14ac:dyDescent="0.25">
      <c r="A2327" cm="1">
        <f t="array" ref="A2327">INDEX('Portfolio Weights Returns'!$B$9:$BJ$69,
INT((ROW(A2326)-1)/COLUMNS('Portfolio Weights Returns'!$B$9:$BJ$69))+1,MOD(ROW(A2326)-1,COLUMNS('Portfolio Weights Returns'!$B$9:$BJ$69))+1)</f>
        <v>-8.9768718872734027E-4</v>
      </c>
      <c r="B2327" cm="1">
        <f t="array" ref="B2327">INDEX('Portfolio Weights Std'!$B$9:$BJ$69,INT((ROW(A2326)-1)/COLUMNS('Portfolio Weights Std'!$B$9:$BJ$69))+1,MOD(ROW(A2326)-1,COLUMNS('Portfolio Weights Std'!$B$9:$BJ$69))+1)</f>
        <v>2.1862819682781542E-2</v>
      </c>
    </row>
    <row r="2328" spans="1:2" x14ac:dyDescent="0.25">
      <c r="A2328" cm="1">
        <f t="array" ref="A2328">INDEX('Portfolio Weights Returns'!$B$9:$BJ$69,
INT((ROW(A2327)-1)/COLUMNS('Portfolio Weights Returns'!$B$9:$BJ$69))+1,MOD(ROW(A2327)-1,COLUMNS('Portfolio Weights Returns'!$B$9:$BJ$69))+1)</f>
        <v>-8.9090601476066102E-4</v>
      </c>
      <c r="B2328" cm="1">
        <f t="array" ref="B2328">INDEX('Portfolio Weights Std'!$B$9:$BJ$69,INT((ROW(A2327)-1)/COLUMNS('Portfolio Weights Std'!$B$9:$BJ$69))+1,MOD(ROW(A2327)-1,COLUMNS('Portfolio Weights Std'!$B$9:$BJ$69))+1)</f>
        <v>2.1701809249106412E-2</v>
      </c>
    </row>
    <row r="2329" spans="1:2" x14ac:dyDescent="0.25">
      <c r="A2329" cm="1">
        <f t="array" ref="A2329">INDEX('Portfolio Weights Returns'!$B$9:$BJ$69,
INT((ROW(A2328)-1)/COLUMNS('Portfolio Weights Returns'!$B$9:$BJ$69))+1,MOD(ROW(A2328)-1,COLUMNS('Portfolio Weights Returns'!$B$9:$BJ$69))+1)</f>
        <v>-8.8412484079398198E-4</v>
      </c>
      <c r="B2329" cm="1">
        <f t="array" ref="B2329">INDEX('Portfolio Weights Std'!$B$9:$BJ$69,INT((ROW(A2328)-1)/COLUMNS('Portfolio Weights Std'!$B$9:$BJ$69))+1,MOD(ROW(A2328)-1,COLUMNS('Portfolio Weights Std'!$B$9:$BJ$69))+1)</f>
        <v>2.1541744839824538E-2</v>
      </c>
    </row>
    <row r="2330" spans="1:2" x14ac:dyDescent="0.25">
      <c r="A2330" cm="1">
        <f t="array" ref="A2330">INDEX('Portfolio Weights Returns'!$B$9:$BJ$69,
INT((ROW(A2329)-1)/COLUMNS('Portfolio Weights Returns'!$B$9:$BJ$69))+1,MOD(ROW(A2329)-1,COLUMNS('Portfolio Weights Returns'!$B$9:$BJ$69))+1)</f>
        <v>-8.7734366682730284E-4</v>
      </c>
      <c r="B2330" cm="1">
        <f t="array" ref="B2330">INDEX('Portfolio Weights Std'!$B$9:$BJ$69,INT((ROW(A2329)-1)/COLUMNS('Portfolio Weights Std'!$B$9:$BJ$69))+1,MOD(ROW(A2329)-1,COLUMNS('Portfolio Weights Std'!$B$9:$BJ$69))+1)</f>
        <v>2.1382647699953801E-2</v>
      </c>
    </row>
    <row r="2331" spans="1:2" x14ac:dyDescent="0.25">
      <c r="A2331" cm="1">
        <f t="array" ref="A2331">INDEX('Portfolio Weights Returns'!$B$9:$BJ$69,
INT((ROW(A2330)-1)/COLUMNS('Portfolio Weights Returns'!$B$9:$BJ$69))+1,MOD(ROW(A2330)-1,COLUMNS('Portfolio Weights Returns'!$B$9:$BJ$69))+1)</f>
        <v>-8.705624928606237E-4</v>
      </c>
      <c r="B2331" cm="1">
        <f t="array" ref="B2331">INDEX('Portfolio Weights Std'!$B$9:$BJ$69,INT((ROW(A2330)-1)/COLUMNS('Portfolio Weights Std'!$B$9:$BJ$69))+1,MOD(ROW(A2330)-1,COLUMNS('Portfolio Weights Std'!$B$9:$BJ$69))+1)</f>
        <v>2.1224539581185219E-2</v>
      </c>
    </row>
    <row r="2332" spans="1:2" x14ac:dyDescent="0.25">
      <c r="A2332" cm="1">
        <f t="array" ref="A2332">INDEX('Portfolio Weights Returns'!$B$9:$BJ$69,
INT((ROW(A2331)-1)/COLUMNS('Portfolio Weights Returns'!$B$9:$BJ$69))+1,MOD(ROW(A2331)-1,COLUMNS('Portfolio Weights Returns'!$B$9:$BJ$69))+1)</f>
        <v>-8.6378131889394466E-4</v>
      </c>
      <c r="B2332" cm="1">
        <f t="array" ref="B2332">INDEX('Portfolio Weights Std'!$B$9:$BJ$69,INT((ROW(A2331)-1)/COLUMNS('Portfolio Weights Std'!$B$9:$BJ$69))+1,MOD(ROW(A2331)-1,COLUMNS('Portfolio Weights Std'!$B$9:$BJ$69))+1)</f>
        <v>2.1067442750912657E-2</v>
      </c>
    </row>
    <row r="2333" spans="1:2" x14ac:dyDescent="0.25">
      <c r="A2333" cm="1">
        <f t="array" ref="A2333">INDEX('Portfolio Weights Returns'!$B$9:$BJ$69,
INT((ROW(A2332)-1)/COLUMNS('Portfolio Weights Returns'!$B$9:$BJ$69))+1,MOD(ROW(A2332)-1,COLUMNS('Portfolio Weights Returns'!$B$9:$BJ$69))+1)</f>
        <v>-8.5700014492726552E-4</v>
      </c>
      <c r="B2333" cm="1">
        <f t="array" ref="B2333">INDEX('Portfolio Weights Std'!$B$9:$BJ$69,INT((ROW(A2332)-1)/COLUMNS('Portfolio Weights Std'!$B$9:$BJ$69))+1,MOD(ROW(A2332)-1,COLUMNS('Portfolio Weights Std'!$B$9:$BJ$69))+1)</f>
        <v>2.0911380001075789E-2</v>
      </c>
    </row>
    <row r="2334" spans="1:2" x14ac:dyDescent="0.25">
      <c r="A2334" cm="1">
        <f t="array" ref="A2334">INDEX('Portfolio Weights Returns'!$B$9:$BJ$69,
INT((ROW(A2333)-1)/COLUMNS('Portfolio Weights Returns'!$B$9:$BJ$69))+1,MOD(ROW(A2333)-1,COLUMNS('Portfolio Weights Returns'!$B$9:$BJ$69))+1)</f>
        <v>-8.5021897096058648E-4</v>
      </c>
      <c r="B2334" cm="1">
        <f t="array" ref="B2334">INDEX('Portfolio Weights Std'!$B$9:$BJ$69,INT((ROW(A2333)-1)/COLUMNS('Portfolio Weights Std'!$B$9:$BJ$69))+1,MOD(ROW(A2333)-1,COLUMNS('Portfolio Weights Std'!$B$9:$BJ$69))+1)</f>
        <v>2.0756374656777824E-2</v>
      </c>
    </row>
    <row r="2335" spans="1:2" x14ac:dyDescent="0.25">
      <c r="A2335" cm="1">
        <f t="array" ref="A2335">INDEX('Portfolio Weights Returns'!$B$9:$BJ$69,
INT((ROW(A2334)-1)/COLUMNS('Portfolio Weights Returns'!$B$9:$BJ$69))+1,MOD(ROW(A2334)-1,COLUMNS('Portfolio Weights Returns'!$B$9:$BJ$69))+1)</f>
        <v>-8.4343779699390723E-4</v>
      </c>
      <c r="B2335" cm="1">
        <f t="array" ref="B2335">INDEX('Portfolio Weights Std'!$B$9:$BJ$69,INT((ROW(A2334)-1)/COLUMNS('Portfolio Weights Std'!$B$9:$BJ$69))+1,MOD(ROW(A2334)-1,COLUMNS('Portfolio Weights Std'!$B$9:$BJ$69))+1)</f>
        <v>2.0602450584636545E-2</v>
      </c>
    </row>
    <row r="2336" spans="1:2" x14ac:dyDescent="0.25">
      <c r="A2336" cm="1">
        <f t="array" ref="A2336">INDEX('Portfolio Weights Returns'!$B$9:$BJ$69,
INT((ROW(A2335)-1)/COLUMNS('Portfolio Weights Returns'!$B$9:$BJ$69))+1,MOD(ROW(A2335)-1,COLUMNS('Portfolio Weights Returns'!$B$9:$BJ$69))+1)</f>
        <v>-8.3665662302722841E-4</v>
      </c>
      <c r="B2336" cm="1">
        <f t="array" ref="B2336">INDEX('Portfolio Weights Std'!$B$9:$BJ$69,INT((ROW(A2335)-1)/COLUMNS('Portfolio Weights Std'!$B$9:$BJ$69))+1,MOD(ROW(A2335)-1,COLUMNS('Portfolio Weights Std'!$B$9:$BJ$69))+1)</f>
        <v>2.0449632200824026E-2</v>
      </c>
    </row>
    <row r="2337" spans="1:2" x14ac:dyDescent="0.25">
      <c r="A2337" cm="1">
        <f t="array" ref="A2337">INDEX('Portfolio Weights Returns'!$B$9:$BJ$69,
INT((ROW(A2336)-1)/COLUMNS('Portfolio Weights Returns'!$B$9:$BJ$69))+1,MOD(ROW(A2336)-1,COLUMNS('Portfolio Weights Returns'!$B$9:$BJ$69))+1)</f>
        <v>-8.2987544906054905E-4</v>
      </c>
      <c r="B2337" cm="1">
        <f t="array" ref="B2337">INDEX('Portfolio Weights Std'!$B$9:$BJ$69,INT((ROW(A2336)-1)/COLUMNS('Portfolio Weights Std'!$B$9:$BJ$69))+1,MOD(ROW(A2336)-1,COLUMNS('Portfolio Weights Std'!$B$9:$BJ$69))+1)</f>
        <v>2.0297944478746926E-2</v>
      </c>
    </row>
    <row r="2338" spans="1:2" x14ac:dyDescent="0.25">
      <c r="A2338" cm="1">
        <f t="array" ref="A2338">INDEX('Portfolio Weights Returns'!$B$9:$BJ$69,
INT((ROW(A2337)-1)/COLUMNS('Portfolio Weights Returns'!$B$9:$BJ$69))+1,MOD(ROW(A2337)-1,COLUMNS('Portfolio Weights Returns'!$B$9:$BJ$69))+1)</f>
        <v>-8.2309427509387023E-4</v>
      </c>
      <c r="B2338" cm="1">
        <f t="array" ref="B2338">INDEX('Portfolio Weights Std'!$B$9:$BJ$69,INT((ROW(A2337)-1)/COLUMNS('Portfolio Weights Std'!$B$9:$BJ$69))+1,MOD(ROW(A2337)-1,COLUMNS('Portfolio Weights Std'!$B$9:$BJ$69))+1)</f>
        <v>2.0147412956316075E-2</v>
      </c>
    </row>
    <row r="2339" spans="1:2" x14ac:dyDescent="0.25">
      <c r="A2339" cm="1">
        <f t="array" ref="A2339">INDEX('Portfolio Weights Returns'!$B$9:$BJ$69,
INT((ROW(A2338)-1)/COLUMNS('Portfolio Weights Returns'!$B$9:$BJ$69))+1,MOD(ROW(A2338)-1,COLUMNS('Portfolio Weights Returns'!$B$9:$BJ$69))+1)</f>
        <v>-8.1631310112719097E-4</v>
      </c>
      <c r="B2339" cm="1">
        <f t="array" ref="B2339">INDEX('Portfolio Weights Std'!$B$9:$BJ$69,INT((ROW(A2338)-1)/COLUMNS('Portfolio Weights Std'!$B$9:$BJ$69))+1,MOD(ROW(A2338)-1,COLUMNS('Portfolio Weights Std'!$B$9:$BJ$69))+1)</f>
        <v>1.9998063742750163E-2</v>
      </c>
    </row>
    <row r="2340" spans="1:2" x14ac:dyDescent="0.25">
      <c r="A2340" cm="1">
        <f t="array" ref="A2340">INDEX('Portfolio Weights Returns'!$B$9:$BJ$69,
INT((ROW(A2339)-1)/COLUMNS('Portfolio Weights Returns'!$B$9:$BJ$69))+1,MOD(ROW(A2339)-1,COLUMNS('Portfolio Weights Returns'!$B$9:$BJ$69))+1)</f>
        <v>-8.0953192716051194E-4</v>
      </c>
      <c r="B2340" cm="1">
        <f t="array" ref="B2340">INDEX('Portfolio Weights Std'!$B$9:$BJ$69,INT((ROW(A2339)-1)/COLUMNS('Portfolio Weights Std'!$B$9:$BJ$69))+1,MOD(ROW(A2339)-1,COLUMNS('Portfolio Weights Std'!$B$9:$BJ$69))+1)</f>
        <v>1.984992352485496E-2</v>
      </c>
    </row>
    <row r="2341" spans="1:2" x14ac:dyDescent="0.25">
      <c r="A2341" cm="1">
        <f t="array" ref="A2341">INDEX('Portfolio Weights Returns'!$B$9:$BJ$69,
INT((ROW(A2340)-1)/COLUMNS('Portfolio Weights Returns'!$B$9:$BJ$69))+1,MOD(ROW(A2340)-1,COLUMNS('Portfolio Weights Returns'!$B$9:$BJ$69))+1)</f>
        <v>-8.0275075319383279E-4</v>
      </c>
      <c r="B2341" cm="1">
        <f t="array" ref="B2341">INDEX('Portfolio Weights Std'!$B$9:$BJ$69,INT((ROW(A2340)-1)/COLUMNS('Portfolio Weights Std'!$B$9:$BJ$69))+1,MOD(ROW(A2340)-1,COLUMNS('Portfolio Weights Std'!$B$9:$BJ$69))+1)</f>
        <v>1.970301957271545E-2</v>
      </c>
    </row>
    <row r="2342" spans="1:2" x14ac:dyDescent="0.25">
      <c r="A2342" cm="1">
        <f t="array" ref="A2342">INDEX('Portfolio Weights Returns'!$B$9:$BJ$69,
INT((ROW(A2341)-1)/COLUMNS('Portfolio Weights Returns'!$B$9:$BJ$69))+1,MOD(ROW(A2341)-1,COLUMNS('Portfolio Weights Returns'!$B$9:$BJ$69))+1)</f>
        <v>-7.9596957922715365E-4</v>
      </c>
      <c r="B2342" cm="1">
        <f t="array" ref="B2342">INDEX('Portfolio Weights Std'!$B$9:$BJ$69,INT((ROW(A2341)-1)/COLUMNS('Portfolio Weights Std'!$B$9:$BJ$69))+1,MOD(ROW(A2341)-1,COLUMNS('Portfolio Weights Std'!$B$9:$BJ$69))+1)</f>
        <v>1.9557379744734513E-2</v>
      </c>
    </row>
    <row r="2343" spans="1:2" x14ac:dyDescent="0.25">
      <c r="A2343" cm="1">
        <f t="array" ref="A2343">INDEX('Portfolio Weights Returns'!$B$9:$BJ$69,
INT((ROW(A2342)-1)/COLUMNS('Portfolio Weights Returns'!$B$9:$BJ$69))+1,MOD(ROW(A2342)-1,COLUMNS('Portfolio Weights Returns'!$B$9:$BJ$69))+1)</f>
        <v>-7.8918840526047472E-4</v>
      </c>
      <c r="B2343" cm="1">
        <f t="array" ref="B2343">INDEX('Portfolio Weights Std'!$B$9:$BJ$69,INT((ROW(A2342)-1)/COLUMNS('Portfolio Weights Std'!$B$9:$BJ$69))+1,MOD(ROW(A2342)-1,COLUMNS('Portfolio Weights Std'!$B$9:$BJ$69))+1)</f>
        <v>1.9413032491947813E-2</v>
      </c>
    </row>
    <row r="2344" spans="1:2" x14ac:dyDescent="0.25">
      <c r="A2344" cm="1">
        <f t="array" ref="A2344">INDEX('Portfolio Weights Returns'!$B$9:$BJ$69,
INT((ROW(A2343)-1)/COLUMNS('Portfolio Weights Returns'!$B$9:$BJ$69))+1,MOD(ROW(A2343)-1,COLUMNS('Portfolio Weights Returns'!$B$9:$BJ$69))+1)</f>
        <v>-7.8240723129379558E-4</v>
      </c>
      <c r="B2344" cm="1">
        <f t="array" ref="B2344">INDEX('Portfolio Weights Std'!$B$9:$BJ$69,INT((ROW(A2343)-1)/COLUMNS('Portfolio Weights Std'!$B$9:$BJ$69))+1,MOD(ROW(A2343)-1,COLUMNS('Portfolio Weights Std'!$B$9:$BJ$69))+1)</f>
        <v>1.9270006861540474E-2</v>
      </c>
    </row>
    <row r="2345" spans="1:2" x14ac:dyDescent="0.25">
      <c r="A2345" cm="1">
        <f t="array" ref="A2345">INDEX('Portfolio Weights Returns'!$B$9:$BJ$69,
INT((ROW(A2344)-1)/COLUMNS('Portfolio Weights Returns'!$B$9:$BJ$69))+1,MOD(ROW(A2344)-1,COLUMNS('Portfolio Weights Returns'!$B$9:$BJ$69))+1)</f>
        <v>-7.7562605732711643E-4</v>
      </c>
      <c r="B2345" cm="1">
        <f t="array" ref="B2345">INDEX('Portfolio Weights Std'!$B$9:$BJ$69,INT((ROW(A2344)-1)/COLUMNS('Portfolio Weights Std'!$B$9:$BJ$69))+1,MOD(ROW(A2344)-1,COLUMNS('Portfolio Weights Std'!$B$9:$BJ$69))+1)</f>
        <v>1.9128332499487206E-2</v>
      </c>
    </row>
    <row r="2346" spans="1:2" x14ac:dyDescent="0.25">
      <c r="A2346" cm="1">
        <f t="array" ref="A2346">INDEX('Portfolio Weights Returns'!$B$9:$BJ$69,
INT((ROW(A2345)-1)/COLUMNS('Portfolio Weights Returns'!$B$9:$BJ$69))+1,MOD(ROW(A2345)-1,COLUMNS('Portfolio Weights Returns'!$B$9:$BJ$69))+1)</f>
        <v>-7.6884488336043729E-4</v>
      </c>
      <c r="B2346" cm="1">
        <f t="array" ref="B2346">INDEX('Portfolio Weights Std'!$B$9:$BJ$69,INT((ROW(A2345)-1)/COLUMNS('Portfolio Weights Std'!$B$9:$BJ$69))+1,MOD(ROW(A2345)-1,COLUMNS('Portfolio Weights Std'!$B$9:$BJ$69))+1)</f>
        <v>1.8988039652233342E-2</v>
      </c>
    </row>
    <row r="2347" spans="1:2" x14ac:dyDescent="0.25">
      <c r="A2347" cm="1">
        <f t="array" ref="A2347">INDEX('Portfolio Weights Returns'!$B$9:$BJ$69,
INT((ROW(A2346)-1)/COLUMNS('Portfolio Weights Returns'!$B$9:$BJ$69))+1,MOD(ROW(A2346)-1,COLUMNS('Portfolio Weights Returns'!$B$9:$BJ$69))+1)</f>
        <v>-7.6206370939375825E-4</v>
      </c>
      <c r="B2347" cm="1">
        <f t="array" ref="B2347">INDEX('Portfolio Weights Std'!$B$9:$BJ$69,INT((ROW(A2346)-1)/COLUMNS('Portfolio Weights Std'!$B$9:$BJ$69))+1,MOD(ROW(A2346)-1,COLUMNS('Portfolio Weights Std'!$B$9:$BJ$69))+1)</f>
        <v>1.884915916733049E-2</v>
      </c>
    </row>
    <row r="2348" spans="1:2" x14ac:dyDescent="0.25">
      <c r="A2348" cm="1">
        <f t="array" ref="A2348">INDEX('Portfolio Weights Returns'!$B$9:$BJ$69,
INT((ROW(A2347)-1)/COLUMNS('Portfolio Weights Returns'!$B$9:$BJ$69))+1,MOD(ROW(A2347)-1,COLUMNS('Portfolio Weights Returns'!$B$9:$BJ$69))+1)</f>
        <v>-7.5528253542707911E-4</v>
      </c>
      <c r="B2348" cm="1">
        <f t="array" ref="B2348">INDEX('Portfolio Weights Std'!$B$9:$BJ$69,INT((ROW(A2347)-1)/COLUMNS('Portfolio Weights Std'!$B$9:$BJ$69))+1,MOD(ROW(A2347)-1,COLUMNS('Portfolio Weights Std'!$B$9:$BJ$69))+1)</f>
        <v>1.8711722492936303E-2</v>
      </c>
    </row>
    <row r="2349" spans="1:2" x14ac:dyDescent="0.25">
      <c r="A2349" cm="1">
        <f t="array" ref="A2349">INDEX('Portfolio Weights Returns'!$B$9:$BJ$69,
INT((ROW(A2348)-1)/COLUMNS('Portfolio Weights Returns'!$B$9:$BJ$69))+1,MOD(ROW(A2348)-1,COLUMNS('Portfolio Weights Returns'!$B$9:$BJ$69))+1)</f>
        <v>-7.4850136146040007E-4</v>
      </c>
      <c r="B2349" cm="1">
        <f t="array" ref="B2349">INDEX('Portfolio Weights Std'!$B$9:$BJ$69,INT((ROW(A2348)-1)/COLUMNS('Portfolio Weights Std'!$B$9:$BJ$69))+1,MOD(ROW(A2348)-1,COLUMNS('Portfolio Weights Std'!$B$9:$BJ$69))+1)</f>
        <v>1.8575761676084334E-2</v>
      </c>
    </row>
    <row r="2350" spans="1:2" x14ac:dyDescent="0.25">
      <c r="A2350" cm="1">
        <f t="array" ref="A2350">INDEX('Portfolio Weights Returns'!$B$9:$BJ$69,
INT((ROW(A2349)-1)/COLUMNS('Portfolio Weights Returns'!$B$9:$BJ$69))+1,MOD(ROW(A2349)-1,COLUMNS('Portfolio Weights Returns'!$B$9:$BJ$69))+1)</f>
        <v>-7.4172018749372093E-4</v>
      </c>
      <c r="B2350" cm="1">
        <f t="array" ref="B2350">INDEX('Portfolio Weights Std'!$B$9:$BJ$69,INT((ROW(A2349)-1)/COLUMNS('Portfolio Weights Std'!$B$9:$BJ$69))+1,MOD(ROW(A2349)-1,COLUMNS('Portfolio Weights Std'!$B$9:$BJ$69))+1)</f>
        <v>1.8441309359626137E-2</v>
      </c>
    </row>
    <row r="2351" spans="1:2" x14ac:dyDescent="0.25">
      <c r="A2351" cm="1">
        <f t="array" ref="A2351">INDEX('Portfolio Weights Returns'!$B$9:$BJ$69,
INT((ROW(A2350)-1)/COLUMNS('Portfolio Weights Returns'!$B$9:$BJ$69))+1,MOD(ROW(A2350)-1,COLUMNS('Portfolio Weights Returns'!$B$9:$BJ$69))+1)</f>
        <v>-7.3493901352704178E-4</v>
      </c>
      <c r="B2351" cm="1">
        <f t="array" ref="B2351">INDEX('Portfolio Weights Std'!$B$9:$BJ$69,INT((ROW(A2350)-1)/COLUMNS('Portfolio Weights Std'!$B$9:$BJ$69))+1,MOD(ROW(A2350)-1,COLUMNS('Portfolio Weights Std'!$B$9:$BJ$69))+1)</f>
        <v>1.8308398777744372E-2</v>
      </c>
    </row>
    <row r="2352" spans="1:2" x14ac:dyDescent="0.25">
      <c r="A2352" cm="1">
        <f t="array" ref="A2352">INDEX('Portfolio Weights Returns'!$B$9:$BJ$69,
INT((ROW(A2351)-1)/COLUMNS('Portfolio Weights Returns'!$B$9:$BJ$69))+1,MOD(ROW(A2351)-1,COLUMNS('Portfolio Weights Returns'!$B$9:$BJ$69))+1)</f>
        <v>-7.2815783956036264E-4</v>
      </c>
      <c r="B2352" cm="1">
        <f t="array" ref="B2352">INDEX('Portfolio Weights Std'!$B$9:$BJ$69,INT((ROW(A2351)-1)/COLUMNS('Portfolio Weights Std'!$B$9:$BJ$69))+1,MOD(ROW(A2351)-1,COLUMNS('Portfolio Weights Std'!$B$9:$BJ$69))+1)</f>
        <v>1.8177063749932623E-2</v>
      </c>
    </row>
    <row r="2353" spans="1:2" x14ac:dyDescent="0.25">
      <c r="A2353" cm="1">
        <f t="array" ref="A2353">INDEX('Portfolio Weights Returns'!$B$9:$BJ$69,
INT((ROW(A2352)-1)/COLUMNS('Portfolio Weights Returns'!$B$9:$BJ$69))+1,MOD(ROW(A2352)-1,COLUMNS('Portfolio Weights Returns'!$B$9:$BJ$69))+1)</f>
        <v>-7.2137666559368349E-4</v>
      </c>
      <c r="B2353" cm="1">
        <f t="array" ref="B2353">INDEX('Portfolio Weights Std'!$B$9:$BJ$69,INT((ROW(A2352)-1)/COLUMNS('Portfolio Weights Std'!$B$9:$BJ$69))+1,MOD(ROW(A2352)-1,COLUMNS('Portfolio Weights Std'!$B$9:$BJ$69))+1)</f>
        <v>1.8047338673334735E-2</v>
      </c>
    </row>
    <row r="2354" spans="1:2" x14ac:dyDescent="0.25">
      <c r="A2354" cm="1">
        <f t="array" ref="A2354">INDEX('Portfolio Weights Returns'!$B$9:$BJ$69,
INT((ROW(A2353)-1)/COLUMNS('Portfolio Weights Returns'!$B$9:$BJ$69))+1,MOD(ROW(A2353)-1,COLUMNS('Portfolio Weights Returns'!$B$9:$BJ$69))+1)</f>
        <v>-7.1459549162700446E-4</v>
      </c>
      <c r="B2354" cm="1">
        <f t="array" ref="B2354">INDEX('Portfolio Weights Std'!$B$9:$BJ$69,INT((ROW(A2353)-1)/COLUMNS('Portfolio Weights Std'!$B$9:$BJ$69))+1,MOD(ROW(A2353)-1,COLUMNS('Portfolio Weights Std'!$B$9:$BJ$69))+1)</f>
        <v>1.7919258513334146E-2</v>
      </c>
    </row>
    <row r="2355" spans="1:2" x14ac:dyDescent="0.25">
      <c r="A2355" cm="1">
        <f t="array" ref="A2355">INDEX('Portfolio Weights Returns'!$B$9:$BJ$69,
INT((ROW(A2354)-1)/COLUMNS('Portfolio Weights Returns'!$B$9:$BJ$69))+1,MOD(ROW(A2354)-1,COLUMNS('Portfolio Weights Returns'!$B$9:$BJ$69))+1)</f>
        <v>-7.0781431766032531E-4</v>
      </c>
      <c r="B2355" cm="1">
        <f t="array" ref="B2355">INDEX('Portfolio Weights Std'!$B$9:$BJ$69,INT((ROW(A2354)-1)/COLUMNS('Portfolio Weights Std'!$B$9:$BJ$69))+1,MOD(ROW(A2354)-1,COLUMNS('Portfolio Weights Std'!$B$9:$BJ$69))+1)</f>
        <v>1.779285879228178E-2</v>
      </c>
    </row>
    <row r="2356" spans="1:2" x14ac:dyDescent="0.25">
      <c r="A2356" cm="1">
        <f t="array" ref="A2356">INDEX('Portfolio Weights Returns'!$B$9:$BJ$69,
INT((ROW(A2355)-1)/COLUMNS('Portfolio Weights Returns'!$B$9:$BJ$69))+1,MOD(ROW(A2355)-1,COLUMNS('Portfolio Weights Returns'!$B$9:$BJ$69))+1)</f>
        <v>-7.0103314369364628E-4</v>
      </c>
      <c r="B2356" cm="1">
        <f t="array" ref="B2356">INDEX('Portfolio Weights Std'!$B$9:$BJ$69,INT((ROW(A2355)-1)/COLUMNS('Portfolio Weights Std'!$B$9:$BJ$69))+1,MOD(ROW(A2355)-1,COLUMNS('Portfolio Weights Std'!$B$9:$BJ$69))+1)</f>
        <v>1.7668175576249681E-2</v>
      </c>
    </row>
    <row r="2357" spans="1:2" x14ac:dyDescent="0.25">
      <c r="A2357" cm="1">
        <f t="array" ref="A2357">INDEX('Portfolio Weights Returns'!$B$9:$BJ$69,
INT((ROW(A2356)-1)/COLUMNS('Portfolio Weights Returns'!$B$9:$BJ$69))+1,MOD(ROW(A2356)-1,COLUMNS('Portfolio Weights Returns'!$B$9:$BJ$69))+1)</f>
        <v>-6.9425196972696713E-4</v>
      </c>
      <c r="B2357" cm="1">
        <f t="array" ref="B2357">INDEX('Portfolio Weights Std'!$B$9:$BJ$69,INT((ROW(A2356)-1)/COLUMNS('Portfolio Weights Std'!$B$9:$BJ$69))+1,MOD(ROW(A2356)-1,COLUMNS('Portfolio Weights Std'!$B$9:$BJ$69))+1)</f>
        <v>1.7545245459697004E-2</v>
      </c>
    </row>
    <row r="2358" spans="1:2" x14ac:dyDescent="0.25">
      <c r="A2358" cm="1">
        <f t="array" ref="A2358">INDEX('Portfolio Weights Returns'!$B$9:$BJ$69,
INT((ROW(A2357)-1)/COLUMNS('Portfolio Weights Returns'!$B$9:$BJ$69))+1,MOD(ROW(A2357)-1,COLUMNS('Portfolio Weights Returns'!$B$9:$BJ$69))+1)</f>
        <v>-6.874707957602881E-4</v>
      </c>
      <c r="B2358" cm="1">
        <f t="array" ref="B2358">INDEX('Portfolio Weights Std'!$B$9:$BJ$69,INT((ROW(A2357)-1)/COLUMNS('Portfolio Weights Std'!$B$9:$BJ$69))+1,MOD(ROW(A2357)-1,COLUMNS('Portfolio Weights Std'!$B$9:$BJ$69))+1)</f>
        <v>1.7424105547934936E-2</v>
      </c>
    </row>
    <row r="2359" spans="1:2" x14ac:dyDescent="0.25">
      <c r="A2359" cm="1">
        <f t="array" ref="A2359">INDEX('Portfolio Weights Returns'!$B$9:$BJ$69,
INT((ROW(A2358)-1)/COLUMNS('Portfolio Weights Returns'!$B$9:$BJ$69))+1,MOD(ROW(A2358)-1,COLUMNS('Portfolio Weights Returns'!$B$9:$BJ$69))+1)</f>
        <v>-6.8068962179360895E-4</v>
      </c>
      <c r="B2359" cm="1">
        <f t="array" ref="B2359">INDEX('Portfolio Weights Std'!$B$9:$BJ$69,INT((ROW(A2358)-1)/COLUMNS('Portfolio Weights Std'!$B$9:$BJ$69))+1,MOD(ROW(A2358)-1,COLUMNS('Portfolio Weights Std'!$B$9:$BJ$69))+1)</f>
        <v>1.7304793437278049E-2</v>
      </c>
    </row>
    <row r="2360" spans="1:2" x14ac:dyDescent="0.25">
      <c r="A2360" cm="1">
        <f t="array" ref="A2360">INDEX('Portfolio Weights Returns'!$B$9:$BJ$69,
INT((ROW(A2359)-1)/COLUMNS('Portfolio Weights Returns'!$B$9:$BJ$69))+1,MOD(ROW(A2359)-1,COLUMNS('Portfolio Weights Returns'!$B$9:$BJ$69))+1)</f>
        <v>-6.7390844782692981E-4</v>
      </c>
      <c r="B2360" cm="1">
        <f t="array" ref="B2360">INDEX('Portfolio Weights Std'!$B$9:$BJ$69,INT((ROW(A2359)-1)/COLUMNS('Portfolio Weights Std'!$B$9:$BJ$69))+1,MOD(ROW(A2359)-1,COLUMNS('Portfolio Weights Std'!$B$9:$BJ$69))+1)</f>
        <v>1.7187347192771544E-2</v>
      </c>
    </row>
    <row r="2361" spans="1:2" x14ac:dyDescent="0.25">
      <c r="A2361" cm="1">
        <f t="array" ref="A2361">INDEX('Portfolio Weights Returns'!$B$9:$BJ$69,
INT((ROW(A2360)-1)/COLUMNS('Portfolio Weights Returns'!$B$9:$BJ$69))+1,MOD(ROW(A2360)-1,COLUMNS('Portfolio Weights Returns'!$B$9:$BJ$69))+1)</f>
        <v>-6.6712727386025077E-4</v>
      </c>
      <c r="B2361" cm="1">
        <f t="array" ref="B2361">INDEX('Portfolio Weights Std'!$B$9:$BJ$69,INT((ROW(A2360)-1)/COLUMNS('Portfolio Weights Std'!$B$9:$BJ$69))+1,MOD(ROW(A2360)-1,COLUMNS('Portfolio Weights Std'!$B$9:$BJ$69))+1)</f>
        <v>1.7071805323386518E-2</v>
      </c>
    </row>
    <row r="2362" spans="1:2" x14ac:dyDescent="0.25">
      <c r="A2362" cm="1">
        <f t="array" ref="A2362">INDEX('Portfolio Weights Returns'!$B$9:$BJ$69,
INT((ROW(A2361)-1)/COLUMNS('Portfolio Weights Returns'!$B$9:$BJ$69))+1,MOD(ROW(A2361)-1,COLUMNS('Portfolio Weights Returns'!$B$9:$BJ$69))+1)</f>
        <v>-6.6034609989357163E-4</v>
      </c>
      <c r="B2362" cm="1">
        <f t="array" ref="B2362">INDEX('Portfolio Weights Std'!$B$9:$BJ$69,INT((ROW(A2361)-1)/COLUMNS('Portfolio Weights Std'!$B$9:$BJ$69))+1,MOD(ROW(A2361)-1,COLUMNS('Portfolio Weights Std'!$B$9:$BJ$69))+1)</f>
        <v>1.6958206754579642E-2</v>
      </c>
    </row>
    <row r="2363" spans="1:2" x14ac:dyDescent="0.25">
      <c r="A2363" cm="1">
        <f t="array" ref="A2363">INDEX('Portfolio Weights Returns'!$B$9:$BJ$69,
INT((ROW(A2362)-1)/COLUMNS('Portfolio Weights Returns'!$B$9:$BJ$69))+1,MOD(ROW(A2362)-1,COLUMNS('Portfolio Weights Returns'!$B$9:$BJ$69))+1)</f>
        <v>-6.5356492592689259E-4</v>
      </c>
      <c r="B2363" cm="1">
        <f t="array" ref="B2363">INDEX('Portfolio Weights Std'!$B$9:$BJ$69,INT((ROW(A2362)-1)/COLUMNS('Portfolio Weights Std'!$B$9:$BJ$69))+1,MOD(ROW(A2362)-1,COLUMNS('Portfolio Weights Std'!$B$9:$BJ$69))+1)</f>
        <v>1.6846590798118732E-2</v>
      </c>
    </row>
    <row r="2364" spans="1:2" x14ac:dyDescent="0.25">
      <c r="A2364" cm="1">
        <f t="array" ref="A2364">INDEX('Portfolio Weights Returns'!$B$9:$BJ$69,
INT((ROW(A2363)-1)/COLUMNS('Portfolio Weights Returns'!$B$9:$BJ$69))+1,MOD(ROW(A2363)-1,COLUMNS('Portfolio Weights Returns'!$B$9:$BJ$69))+1)</f>
        <v>-6.4678375196021334E-4</v>
      </c>
      <c r="B2364" cm="1">
        <f t="array" ref="B2364">INDEX('Portfolio Weights Std'!$B$9:$BJ$69,INT((ROW(A2363)-1)/COLUMNS('Portfolio Weights Std'!$B$9:$BJ$69))+1,MOD(ROW(A2363)-1,COLUMNS('Portfolio Weights Std'!$B$9:$BJ$69))+1)</f>
        <v>1.6736997119082411E-2</v>
      </c>
    </row>
    <row r="2365" spans="1:2" x14ac:dyDescent="0.25">
      <c r="A2365" cm="1">
        <f t="array" ref="A2365">INDEX('Portfolio Weights Returns'!$B$9:$BJ$69,
INT((ROW(A2364)-1)/COLUMNS('Portfolio Weights Returns'!$B$9:$BJ$69))+1,MOD(ROW(A2364)-1,COLUMNS('Portfolio Weights Returns'!$B$9:$BJ$69))+1)</f>
        <v>-6.400025779935343E-4</v>
      </c>
      <c r="B2365" cm="1">
        <f t="array" ref="B2365">INDEX('Portfolio Weights Std'!$B$9:$BJ$69,INT((ROW(A2364)-1)/COLUMNS('Portfolio Weights Std'!$B$9:$BJ$69))+1,MOD(ROW(A2364)-1,COLUMNS('Portfolio Weights Std'!$B$9:$BJ$69))+1)</f>
        <v>1.6629465699949983E-2</v>
      </c>
    </row>
    <row r="2366" spans="1:2" x14ac:dyDescent="0.25">
      <c r="A2366" cm="1">
        <f t="array" ref="A2366">INDEX('Portfolio Weights Returns'!$B$9:$BJ$69,
INT((ROW(A2365)-1)/COLUMNS('Portfolio Weights Returns'!$B$9:$BJ$69))+1,MOD(ROW(A2365)-1,COLUMNS('Portfolio Weights Returns'!$B$9:$BJ$69))+1)</f>
        <v>-6.3322140402685516E-4</v>
      </c>
      <c r="B2366" cm="1">
        <f t="array" ref="B2366">INDEX('Portfolio Weights Std'!$B$9:$BJ$69,INT((ROW(A2365)-1)/COLUMNS('Portfolio Weights Std'!$B$9:$BJ$69))+1,MOD(ROW(A2365)-1,COLUMNS('Portfolio Weights Std'!$B$9:$BJ$69))+1)</f>
        <v>1.6524036801707352E-2</v>
      </c>
    </row>
    <row r="2367" spans="1:2" x14ac:dyDescent="0.25">
      <c r="A2367" cm="1">
        <f t="array" ref="A2367">INDEX('Portfolio Weights Returns'!$B$9:$BJ$69,
INT((ROW(A2366)-1)/COLUMNS('Portfolio Weights Returns'!$B$9:$BJ$69))+1,MOD(ROW(A2366)-1,COLUMNS('Portfolio Weights Returns'!$B$9:$BJ$69))+1)</f>
        <v>-6.2644023006017612E-4</v>
      </c>
      <c r="B2367" cm="1">
        <f t="array" ref="B2367">INDEX('Portfolio Weights Std'!$B$9:$BJ$69,INT((ROW(A2366)-1)/COLUMNS('Portfolio Weights Std'!$B$9:$BJ$69))+1,MOD(ROW(A2366)-1,COLUMNS('Portfolio Weights Std'!$B$9:$BJ$69))+1)</f>
        <v>1.6420750921905824E-2</v>
      </c>
    </row>
    <row r="2368" spans="1:2" x14ac:dyDescent="0.25">
      <c r="A2368" cm="1">
        <f t="array" ref="A2368">INDEX('Portfolio Weights Returns'!$B$9:$BJ$69,
INT((ROW(A2367)-1)/COLUMNS('Portfolio Weights Returns'!$B$9:$BJ$69))+1,MOD(ROW(A2367)-1,COLUMNS('Portfolio Weights Returns'!$B$9:$BJ$69))+1)</f>
        <v>-6.1965905609349709E-4</v>
      </c>
      <c r="B2368" cm="1">
        <f t="array" ref="B2368">INDEX('Portfolio Weights Std'!$B$9:$BJ$69,INT((ROW(A2367)-1)/COLUMNS('Portfolio Weights Std'!$B$9:$BJ$69))+1,MOD(ROW(A2367)-1,COLUMNS('Portfolio Weights Std'!$B$9:$BJ$69))+1)</f>
        <v>1.6319648749623532E-2</v>
      </c>
    </row>
    <row r="2369" spans="1:2" x14ac:dyDescent="0.25">
      <c r="A2369" cm="1">
        <f t="array" ref="A2369">INDEX('Portfolio Weights Returns'!$B$9:$BJ$69,
INT((ROW(A2368)-1)/COLUMNS('Portfolio Weights Returns'!$B$9:$BJ$69))+1,MOD(ROW(A2368)-1,COLUMNS('Portfolio Weights Returns'!$B$9:$BJ$69))+1)</f>
        <v>-6.1287788212681805E-4</v>
      </c>
      <c r="B2369" cm="1">
        <f t="array" ref="B2369">INDEX('Portfolio Weights Std'!$B$9:$BJ$69,INT((ROW(A2368)-1)/COLUMNS('Portfolio Weights Std'!$B$9:$BJ$69))+1,MOD(ROW(A2368)-1,COLUMNS('Portfolio Weights Std'!$B$9:$BJ$69))+1)</f>
        <v>1.6220771117293798E-2</v>
      </c>
    </row>
    <row r="2370" spans="1:2" x14ac:dyDescent="0.25">
      <c r="A2370" cm="1">
        <f t="array" ref="A2370">INDEX('Portfolio Weights Returns'!$B$9:$BJ$69,
INT((ROW(A2369)-1)/COLUMNS('Portfolio Weights Returns'!$B$9:$BJ$69))+1,MOD(ROW(A2369)-1,COLUMNS('Portfolio Weights Returns'!$B$9:$BJ$69))+1)</f>
        <v>-6.060967081601388E-4</v>
      </c>
      <c r="B2370" cm="1">
        <f t="array" ref="B2370">INDEX('Portfolio Weights Std'!$B$9:$BJ$69,INT((ROW(A2369)-1)/COLUMNS('Portfolio Weights Std'!$B$9:$BJ$69))+1,MOD(ROW(A2369)-1,COLUMNS('Portfolio Weights Std'!$B$9:$BJ$69))+1)</f>
        <v>1.6124158949380969E-2</v>
      </c>
    </row>
    <row r="2371" spans="1:2" x14ac:dyDescent="0.25">
      <c r="A2371" cm="1">
        <f t="array" ref="A2371">INDEX('Portfolio Weights Returns'!$B$9:$BJ$69,
INT((ROW(A2370)-1)/COLUMNS('Portfolio Weights Returns'!$B$9:$BJ$69))+1,MOD(ROW(A2370)-1,COLUMNS('Portfolio Weights Returns'!$B$9:$BJ$69))+1)</f>
        <v>-5.9931553419345965E-4</v>
      </c>
      <c r="B2371" cm="1">
        <f t="array" ref="B2371">INDEX('Portfolio Weights Std'!$B$9:$BJ$69,INT((ROW(A2370)-1)/COLUMNS('Portfolio Weights Std'!$B$9:$BJ$69))+1,MOD(ROW(A2370)-1,COLUMNS('Portfolio Weights Std'!$B$9:$BJ$69))+1)</f>
        <v>1.6029853207902376E-2</v>
      </c>
    </row>
    <row r="2372" spans="1:2" x14ac:dyDescent="0.25">
      <c r="A2372" cm="1">
        <f t="array" ref="A2372">INDEX('Portfolio Weights Returns'!$B$9:$BJ$69,
INT((ROW(A2371)-1)/COLUMNS('Portfolio Weights Returns'!$B$9:$BJ$69))+1,MOD(ROW(A2371)-1,COLUMNS('Portfolio Weights Returns'!$B$9:$BJ$69))+1)</f>
        <v>-5.9253436022678062E-4</v>
      </c>
      <c r="B2372" cm="1">
        <f t="array" ref="B2372">INDEX('Portfolio Weights Std'!$B$9:$BJ$69,INT((ROW(A2371)-1)/COLUMNS('Portfolio Weights Std'!$B$9:$BJ$69))+1,MOD(ROW(A2371)-1,COLUMNS('Portfolio Weights Std'!$B$9:$BJ$69))+1)</f>
        <v>1.5937894834814909E-2</v>
      </c>
    </row>
    <row r="2373" spans="1:2" x14ac:dyDescent="0.25">
      <c r="A2373" cm="1">
        <f t="array" ref="A2373">INDEX('Portfolio Weights Returns'!$B$9:$BJ$69,
INT((ROW(A2372)-1)/COLUMNS('Portfolio Weights Returns'!$B$9:$BJ$69))+1,MOD(ROW(A2372)-1,COLUMNS('Portfolio Weights Returns'!$B$9:$BJ$69))+1)</f>
        <v>-5.8575318626010147E-4</v>
      </c>
      <c r="B2373" cm="1">
        <f t="array" ref="B2373">INDEX('Portfolio Weights Std'!$B$9:$BJ$69,INT((ROW(A2372)-1)/COLUMNS('Portfolio Weights Std'!$B$9:$BJ$69))+1,MOD(ROW(A2372)-1,COLUMNS('Portfolio Weights Std'!$B$9:$BJ$69))+1)</f>
        <v>1.5848324691306249E-2</v>
      </c>
    </row>
    <row r="2374" spans="1:2" x14ac:dyDescent="0.25">
      <c r="A2374" cm="1">
        <f t="array" ref="A2374">INDEX('Portfolio Weights Returns'!$B$9:$BJ$69,
INT((ROW(A2373)-1)/COLUMNS('Portfolio Weights Returns'!$B$9:$BJ$69))+1,MOD(ROW(A2373)-1,COLUMNS('Portfolio Weights Returns'!$B$9:$BJ$69))+1)</f>
        <v>-5.7897201229342244E-4</v>
      </c>
      <c r="B2374" cm="1">
        <f t="array" ref="B2374">INDEX('Portfolio Weights Std'!$B$9:$BJ$69,INT((ROW(A2373)-1)/COLUMNS('Portfolio Weights Std'!$B$9:$BJ$69))+1,MOD(ROW(A2373)-1,COLUMNS('Portfolio Weights Std'!$B$9:$BJ$69))+1)</f>
        <v>1.5761183494054018E-2</v>
      </c>
    </row>
    <row r="2375" spans="1:2" x14ac:dyDescent="0.25">
      <c r="A2375" cm="1">
        <f t="array" ref="A2375">INDEX('Portfolio Weights Returns'!$B$9:$BJ$69,
INT((ROW(A2374)-1)/COLUMNS('Portfolio Weights Returns'!$B$9:$BJ$69))+1,MOD(ROW(A2374)-1,COLUMNS('Portfolio Weights Returns'!$B$9:$BJ$69))+1)</f>
        <v>-5.7219083832674329E-4</v>
      </c>
      <c r="B2375" cm="1">
        <f t="array" ref="B2375">INDEX('Portfolio Weights Std'!$B$9:$BJ$69,INT((ROW(A2374)-1)/COLUMNS('Portfolio Weights Std'!$B$9:$BJ$69))+1,MOD(ROW(A2374)-1,COLUMNS('Portfolio Weights Std'!$B$9:$BJ$69))+1)</f>
        <v>1.5676511748540879E-2</v>
      </c>
    </row>
    <row r="2376" spans="1:2" x14ac:dyDescent="0.25">
      <c r="A2376" cm="1">
        <f t="array" ref="A2376">INDEX('Portfolio Weights Returns'!$B$9:$BJ$69,
INT((ROW(A2375)-1)/COLUMNS('Portfolio Weights Returns'!$B$9:$BJ$69))+1,MOD(ROW(A2375)-1,COLUMNS('Portfolio Weights Returns'!$B$9:$BJ$69))+1)</f>
        <v>-5.6540966436006426E-4</v>
      </c>
      <c r="B2376" cm="1">
        <f t="array" ref="B2376">INDEX('Portfolio Weights Std'!$B$9:$BJ$69,INT((ROW(A2375)-1)/COLUMNS('Portfolio Weights Std'!$B$9:$BJ$69))+1,MOD(ROW(A2375)-1,COLUMNS('Portfolio Weights Std'!$B$9:$BJ$69))+1)</f>
        <v>1.5594349679539878E-2</v>
      </c>
    </row>
    <row r="2377" spans="1:2" x14ac:dyDescent="0.25">
      <c r="A2377" cm="1">
        <f t="array" ref="A2377">INDEX('Portfolio Weights Returns'!$B$9:$BJ$69,
INT((ROW(A2376)-1)/COLUMNS('Portfolio Weights Returns'!$B$9:$BJ$69))+1,MOD(ROW(A2376)-1,COLUMNS('Portfolio Weights Returns'!$B$9:$BJ$69))+1)</f>
        <v>-5.5862849039338435E-4</v>
      </c>
      <c r="B2377" cm="1">
        <f t="array" ref="B2377">INDEX('Portfolio Weights Std'!$B$9:$BJ$69,INT((ROW(A2376)-1)/COLUMNS('Portfolio Weights Std'!$B$9:$BJ$69))+1,MOD(ROW(A2376)-1,COLUMNS('Portfolio Weights Std'!$B$9:$BJ$69))+1)</f>
        <v>1.5514737158911733E-2</v>
      </c>
    </row>
    <row r="2378" spans="1:2" x14ac:dyDescent="0.25">
      <c r="A2378" cm="1">
        <f t="array" ref="A2378">INDEX('Portfolio Weights Returns'!$B$9:$BJ$69,
INT((ROW(A2377)-1)/COLUMNS('Portfolio Weights Returns'!$B$9:$BJ$69))+1,MOD(ROW(A2377)-1,COLUMNS('Portfolio Weights Returns'!$B$9:$BJ$69))+1)</f>
        <v>-5.5184731642670532E-4</v>
      </c>
      <c r="B2378" cm="1">
        <f t="array" ref="B2378">INDEX('Portfolio Weights Std'!$B$9:$BJ$69,INT((ROW(A2377)-1)/COLUMNS('Portfolio Weights Std'!$B$9:$BJ$69))+1,MOD(ROW(A2377)-1,COLUMNS('Portfolio Weights Std'!$B$9:$BJ$69))+1)</f>
        <v>1.5437713630884392E-2</v>
      </c>
    </row>
    <row r="2379" spans="1:2" x14ac:dyDescent="0.25">
      <c r="A2379" cm="1">
        <f t="array" ref="A2379">INDEX('Portfolio Weights Returns'!$B$9:$BJ$69,
INT((ROW(A2378)-1)/COLUMNS('Portfolio Weights Returns'!$B$9:$BJ$69))+1,MOD(ROW(A2378)-1,COLUMNS('Portfolio Weights Returns'!$B$9:$BJ$69))+1)</f>
        <v>-5.4506614246002628E-4</v>
      </c>
      <c r="B2379" cm="1">
        <f t="array" ref="B2379">INDEX('Portfolio Weights Std'!$B$9:$BJ$69,INT((ROW(A2378)-1)/COLUMNS('Portfolio Weights Std'!$B$9:$BJ$69))+1,MOD(ROW(A2378)-1,COLUMNS('Portfolio Weights Std'!$B$9:$BJ$69))+1)</f>
        <v>1.5363318035014341E-2</v>
      </c>
    </row>
    <row r="2380" spans="1:2" x14ac:dyDescent="0.25">
      <c r="A2380" cm="1">
        <f t="array" ref="A2380">INDEX('Portfolio Weights Returns'!$B$9:$BJ$69,
INT((ROW(A2379)-1)/COLUMNS('Portfolio Weights Returns'!$B$9:$BJ$69))+1,MOD(ROW(A2379)-1,COLUMNS('Portfolio Weights Returns'!$B$9:$BJ$69))+1)</f>
        <v>-5.3828496849334714E-4</v>
      </c>
      <c r="B2380" cm="1">
        <f t="array" ref="B2380">INDEX('Portfolio Weights Std'!$B$9:$BJ$69,INT((ROW(A2379)-1)/COLUMNS('Portfolio Weights Std'!$B$9:$BJ$69))+1,MOD(ROW(A2379)-1,COLUMNS('Portfolio Weights Std'!$B$9:$BJ$69))+1)</f>
        <v>1.5291588727059267E-2</v>
      </c>
    </row>
    <row r="2381" spans="1:2" x14ac:dyDescent="0.25">
      <c r="A2381" cm="1">
        <f t="array" ref="A2381">INDEX('Portfolio Weights Returns'!$B$9:$BJ$69,
INT((ROW(A2380)-1)/COLUMNS('Portfolio Weights Returns'!$B$9:$BJ$69))+1,MOD(ROW(A2380)-1,COLUMNS('Portfolio Weights Returns'!$B$9:$BJ$69))+1)</f>
        <v>-9.3858119864863873E-4</v>
      </c>
      <c r="B2381" cm="1">
        <f t="array" ref="B2381">INDEX('Portfolio Weights Std'!$B$9:$BJ$69,INT((ROW(A2380)-1)/COLUMNS('Portfolio Weights Std'!$B$9:$BJ$69))+1,MOD(ROW(A2380)-1,COLUMNS('Portfolio Weights Std'!$B$9:$BJ$69))+1)</f>
        <v>2.2921958956941199E-2</v>
      </c>
    </row>
    <row r="2382" spans="1:2" x14ac:dyDescent="0.25">
      <c r="A2382" cm="1">
        <f t="array" ref="A2382">INDEX('Portfolio Weights Returns'!$B$9:$BJ$69,
INT((ROW(A2381)-1)/COLUMNS('Portfolio Weights Returns'!$B$9:$BJ$69))+1,MOD(ROW(A2381)-1,COLUMNS('Portfolio Weights Returns'!$B$9:$BJ$69))+1)</f>
        <v>-9.3180002468195959E-4</v>
      </c>
      <c r="B2382" cm="1">
        <f t="array" ref="B2382">INDEX('Portfolio Weights Std'!$B$9:$BJ$69,INT((ROW(A2381)-1)/COLUMNS('Portfolio Weights Std'!$B$9:$BJ$69))+1,MOD(ROW(A2381)-1,COLUMNS('Portfolio Weights Std'!$B$9:$BJ$69))+1)</f>
        <v>2.2755873753739966E-2</v>
      </c>
    </row>
    <row r="2383" spans="1:2" x14ac:dyDescent="0.25">
      <c r="A2383" cm="1">
        <f t="array" ref="A2383">INDEX('Portfolio Weights Returns'!$B$9:$BJ$69,
INT((ROW(A2382)-1)/COLUMNS('Portfolio Weights Returns'!$B$9:$BJ$69))+1,MOD(ROW(A2382)-1,COLUMNS('Portfolio Weights Returns'!$B$9:$BJ$69))+1)</f>
        <v>-9.2501885071528055E-4</v>
      </c>
      <c r="B2383" cm="1">
        <f t="array" ref="B2383">INDEX('Portfolio Weights Std'!$B$9:$BJ$69,INT((ROW(A2382)-1)/COLUMNS('Portfolio Weights Std'!$B$9:$BJ$69))+1,MOD(ROW(A2382)-1,COLUMNS('Portfolio Weights Std'!$B$9:$BJ$69))+1)</f>
        <v>2.2590617167871519E-2</v>
      </c>
    </row>
    <row r="2384" spans="1:2" x14ac:dyDescent="0.25">
      <c r="A2384" cm="1">
        <f t="array" ref="A2384">INDEX('Portfolio Weights Returns'!$B$9:$BJ$69,
INT((ROW(A2383)-1)/COLUMNS('Portfolio Weights Returns'!$B$9:$BJ$69))+1,MOD(ROW(A2383)-1,COLUMNS('Portfolio Weights Returns'!$B$9:$BJ$69))+1)</f>
        <v>-9.1823767674860141E-4</v>
      </c>
      <c r="B2384" cm="1">
        <f t="array" ref="B2384">INDEX('Portfolio Weights Std'!$B$9:$BJ$69,INT((ROW(A2383)-1)/COLUMNS('Portfolio Weights Std'!$B$9:$BJ$69))+1,MOD(ROW(A2383)-1,COLUMNS('Portfolio Weights Std'!$B$9:$BJ$69))+1)</f>
        <v>2.2426207517349823E-2</v>
      </c>
    </row>
    <row r="2385" spans="1:2" x14ac:dyDescent="0.25">
      <c r="A2385" cm="1">
        <f t="array" ref="A2385">INDEX('Portfolio Weights Returns'!$B$9:$BJ$69,
INT((ROW(A2384)-1)/COLUMNS('Portfolio Weights Returns'!$B$9:$BJ$69))+1,MOD(ROW(A2384)-1,COLUMNS('Portfolio Weights Returns'!$B$9:$BJ$69))+1)</f>
        <v>-9.1145650278192237E-4</v>
      </c>
      <c r="B2385" cm="1">
        <f t="array" ref="B2385">INDEX('Portfolio Weights Std'!$B$9:$BJ$69,INT((ROW(A2384)-1)/COLUMNS('Portfolio Weights Std'!$B$9:$BJ$69))+1,MOD(ROW(A2384)-1,COLUMNS('Portfolio Weights Std'!$B$9:$BJ$69))+1)</f>
        <v>2.22626635660217E-2</v>
      </c>
    </row>
    <row r="2386" spans="1:2" x14ac:dyDescent="0.25">
      <c r="A2386" cm="1">
        <f t="array" ref="A2386">INDEX('Portfolio Weights Returns'!$B$9:$BJ$69,
INT((ROW(A2385)-1)/COLUMNS('Portfolio Weights Returns'!$B$9:$BJ$69))+1,MOD(ROW(A2385)-1,COLUMNS('Portfolio Weights Returns'!$B$9:$BJ$69))+1)</f>
        <v>-9.0467532881524323E-4</v>
      </c>
      <c r="B2386" cm="1">
        <f t="array" ref="B2386">INDEX('Portfolio Weights Std'!$B$9:$BJ$69,INT((ROW(A2385)-1)/COLUMNS('Portfolio Weights Std'!$B$9:$BJ$69))+1,MOD(ROW(A2385)-1,COLUMNS('Portfolio Weights Std'!$B$9:$BJ$69))+1)</f>
        <v>2.2100004532878002E-2</v>
      </c>
    </row>
    <row r="2387" spans="1:2" x14ac:dyDescent="0.25">
      <c r="A2387" cm="1">
        <f t="array" ref="A2387">INDEX('Portfolio Weights Returns'!$B$9:$BJ$69,
INT((ROW(A2386)-1)/COLUMNS('Portfolio Weights Returns'!$B$9:$BJ$69))+1,MOD(ROW(A2386)-1,COLUMNS('Portfolio Weights Returns'!$B$9:$BJ$69))+1)</f>
        <v>-8.9789415484856419E-4</v>
      </c>
      <c r="B2387" cm="1">
        <f t="array" ref="B2387">INDEX('Portfolio Weights Std'!$B$9:$BJ$69,INT((ROW(A2386)-1)/COLUMNS('Portfolio Weights Std'!$B$9:$BJ$69))+1,MOD(ROW(A2386)-1,COLUMNS('Portfolio Weights Std'!$B$9:$BJ$69))+1)</f>
        <v>2.1938250101348377E-2</v>
      </c>
    </row>
    <row r="2388" spans="1:2" x14ac:dyDescent="0.25">
      <c r="A2388" cm="1">
        <f t="array" ref="A2388">INDEX('Portfolio Weights Returns'!$B$9:$BJ$69,
INT((ROW(A2387)-1)/COLUMNS('Portfolio Weights Returns'!$B$9:$BJ$69))+1,MOD(ROW(A2387)-1,COLUMNS('Portfolio Weights Returns'!$B$9:$BJ$69))+1)</f>
        <v>-8.9111298088188494E-4</v>
      </c>
      <c r="B2388" cm="1">
        <f t="array" ref="B2388">INDEX('Portfolio Weights Std'!$B$9:$BJ$69,INT((ROW(A2387)-1)/COLUMNS('Portfolio Weights Std'!$B$9:$BJ$69))+1,MOD(ROW(A2387)-1,COLUMNS('Portfolio Weights Std'!$B$9:$BJ$69))+1)</f>
        <v>2.1777420428556779E-2</v>
      </c>
    </row>
    <row r="2389" spans="1:2" x14ac:dyDescent="0.25">
      <c r="A2389" cm="1">
        <f t="array" ref="A2389">INDEX('Portfolio Weights Returns'!$B$9:$BJ$69,
INT((ROW(A2388)-1)/COLUMNS('Portfolio Weights Returns'!$B$9:$BJ$69))+1,MOD(ROW(A2388)-1,COLUMNS('Portfolio Weights Returns'!$B$9:$BJ$69))+1)</f>
        <v>-8.843318069152059E-4</v>
      </c>
      <c r="B2389" cm="1">
        <f t="array" ref="B2389">INDEX('Portfolio Weights Std'!$B$9:$BJ$69,INT((ROW(A2388)-1)/COLUMNS('Portfolio Weights Std'!$B$9:$BJ$69))+1,MOD(ROW(A2388)-1,COLUMNS('Portfolio Weights Std'!$B$9:$BJ$69))+1)</f>
        <v>2.1617536154512566E-2</v>
      </c>
    </row>
    <row r="2390" spans="1:2" x14ac:dyDescent="0.25">
      <c r="A2390" cm="1">
        <f t="array" ref="A2390">INDEX('Portfolio Weights Returns'!$B$9:$BJ$69,
INT((ROW(A2389)-1)/COLUMNS('Portfolio Weights Returns'!$B$9:$BJ$69))+1,MOD(ROW(A2389)-1,COLUMNS('Portfolio Weights Returns'!$B$9:$BJ$69))+1)</f>
        <v>-8.7755063294852676E-4</v>
      </c>
      <c r="B2390" cm="1">
        <f t="array" ref="B2390">INDEX('Portfolio Weights Std'!$B$9:$BJ$69,INT((ROW(A2389)-1)/COLUMNS('Portfolio Weights Std'!$B$9:$BJ$69))+1,MOD(ROW(A2389)-1,COLUMNS('Portfolio Weights Std'!$B$9:$BJ$69))+1)</f>
        <v>2.1458618411209975E-2</v>
      </c>
    </row>
    <row r="2391" spans="1:2" x14ac:dyDescent="0.25">
      <c r="A2391" cm="1">
        <f t="array" ref="A2391">INDEX('Portfolio Weights Returns'!$B$9:$BJ$69,
INT((ROW(A2390)-1)/COLUMNS('Portfolio Weights Returns'!$B$9:$BJ$69))+1,MOD(ROW(A2390)-1,COLUMNS('Portfolio Weights Returns'!$B$9:$BJ$69))+1)</f>
        <v>-8.7076945898184762E-4</v>
      </c>
      <c r="B2391" cm="1">
        <f t="array" ref="B2391">INDEX('Portfolio Weights Std'!$B$9:$BJ$69,INT((ROW(A2390)-1)/COLUMNS('Portfolio Weights Std'!$B$9:$BJ$69))+1,MOD(ROW(A2390)-1,COLUMNS('Portfolio Weights Std'!$B$9:$BJ$69))+1)</f>
        <v>2.130068883160607E-2</v>
      </c>
    </row>
    <row r="2392" spans="1:2" x14ac:dyDescent="0.25">
      <c r="A2392" cm="1">
        <f t="array" ref="A2392">INDEX('Portfolio Weights Returns'!$B$9:$BJ$69,
INT((ROW(A2391)-1)/COLUMNS('Portfolio Weights Returns'!$B$9:$BJ$69))+1,MOD(ROW(A2391)-1,COLUMNS('Portfolio Weights Returns'!$B$9:$BJ$69))+1)</f>
        <v>-8.6398828501516858E-4</v>
      </c>
      <c r="B2392" cm="1">
        <f t="array" ref="B2392">INDEX('Portfolio Weights Std'!$B$9:$BJ$69,INT((ROW(A2391)-1)/COLUMNS('Portfolio Weights Std'!$B$9:$BJ$69))+1,MOD(ROW(A2391)-1,COLUMNS('Portfolio Weights Std'!$B$9:$BJ$69))+1)</f>
        <v>2.1143769558444898E-2</v>
      </c>
    </row>
    <row r="2393" spans="1:2" x14ac:dyDescent="0.25">
      <c r="A2393" cm="1">
        <f t="array" ref="A2393">INDEX('Portfolio Weights Returns'!$B$9:$BJ$69,
INT((ROW(A2392)-1)/COLUMNS('Portfolio Weights Returns'!$B$9:$BJ$69))+1,MOD(ROW(A2392)-1,COLUMNS('Portfolio Weights Returns'!$B$9:$BJ$69))+1)</f>
        <v>-8.5720711104848944E-4</v>
      </c>
      <c r="B2393" cm="1">
        <f t="array" ref="B2393">INDEX('Portfolio Weights Std'!$B$9:$BJ$69,INT((ROW(A2392)-1)/COLUMNS('Portfolio Weights Std'!$B$9:$BJ$69))+1,MOD(ROW(A2392)-1,COLUMNS('Portfolio Weights Std'!$B$9:$BJ$69))+1)</f>
        <v>2.0987883252892865E-2</v>
      </c>
    </row>
    <row r="2394" spans="1:2" x14ac:dyDescent="0.25">
      <c r="A2394" cm="1">
        <f t="array" ref="A2394">INDEX('Portfolio Weights Returns'!$B$9:$BJ$69,
INT((ROW(A2393)-1)/COLUMNS('Portfolio Weights Returns'!$B$9:$BJ$69))+1,MOD(ROW(A2393)-1,COLUMNS('Portfolio Weights Returns'!$B$9:$BJ$69))+1)</f>
        <v>-8.504259370818104E-4</v>
      </c>
      <c r="B2394" cm="1">
        <f t="array" ref="B2394">INDEX('Portfolio Weights Std'!$B$9:$BJ$69,INT((ROW(A2393)-1)/COLUMNS('Portfolio Weights Std'!$B$9:$BJ$69))+1,MOD(ROW(A2393)-1,COLUMNS('Portfolio Weights Std'!$B$9:$BJ$69))+1)</f>
        <v>2.0833053102947401E-2</v>
      </c>
    </row>
    <row r="2395" spans="1:2" x14ac:dyDescent="0.25">
      <c r="A2395" cm="1">
        <f t="array" ref="A2395">INDEX('Portfolio Weights Returns'!$B$9:$BJ$69,
INT((ROW(A2394)-1)/COLUMNS('Portfolio Weights Returns'!$B$9:$BJ$69))+1,MOD(ROW(A2394)-1,COLUMNS('Portfolio Weights Returns'!$B$9:$BJ$69))+1)</f>
        <v>-8.4364476311513115E-4</v>
      </c>
      <c r="B2395" cm="1">
        <f t="array" ref="B2395">INDEX('Portfolio Weights Std'!$B$9:$BJ$69,INT((ROW(A2394)-1)/COLUMNS('Portfolio Weights Std'!$B$9:$BJ$69))+1,MOD(ROW(A2394)-1,COLUMNS('Portfolio Weights Std'!$B$9:$BJ$69))+1)</f>
        <v>2.0679302831578192E-2</v>
      </c>
    </row>
    <row r="2396" spans="1:2" x14ac:dyDescent="0.25">
      <c r="A2396" cm="1">
        <f t="array" ref="A2396">INDEX('Portfolio Weights Returns'!$B$9:$BJ$69,
INT((ROW(A2395)-1)/COLUMNS('Portfolio Weights Returns'!$B$9:$BJ$69))+1,MOD(ROW(A2395)-1,COLUMNS('Portfolio Weights Returns'!$B$9:$BJ$69))+1)</f>
        <v>-8.3686358914845211E-4</v>
      </c>
      <c r="B2396" cm="1">
        <f t="array" ref="B2396">INDEX('Portfolio Weights Std'!$B$9:$BJ$69,INT((ROW(A2395)-1)/COLUMNS('Portfolio Weights Std'!$B$9:$BJ$69))+1,MOD(ROW(A2395)-1,COLUMNS('Portfolio Weights Std'!$B$9:$BJ$69))+1)</f>
        <v>2.0526656704557011E-2</v>
      </c>
    </row>
    <row r="2397" spans="1:2" x14ac:dyDescent="0.25">
      <c r="A2397" cm="1">
        <f t="array" ref="A2397">INDEX('Portfolio Weights Returns'!$B$9:$BJ$69,
INT((ROW(A2396)-1)/COLUMNS('Portfolio Weights Returns'!$B$9:$BJ$69))+1,MOD(ROW(A2396)-1,COLUMNS('Portfolio Weights Returns'!$B$9:$BJ$69))+1)</f>
        <v>-8.3008241518177318E-4</v>
      </c>
      <c r="B2397" cm="1">
        <f t="array" ref="B2397">INDEX('Portfolio Weights Std'!$B$9:$BJ$69,INT((ROW(A2396)-1)/COLUMNS('Portfolio Weights Std'!$B$9:$BJ$69))+1,MOD(ROW(A2396)-1,COLUMNS('Portfolio Weights Std'!$B$9:$BJ$69))+1)</f>
        <v>2.0375139537929032E-2</v>
      </c>
    </row>
    <row r="2398" spans="1:2" x14ac:dyDescent="0.25">
      <c r="A2398" cm="1">
        <f t="array" ref="A2398">INDEX('Portfolio Weights Returns'!$B$9:$BJ$69,
INT((ROW(A2397)-1)/COLUMNS('Portfolio Weights Returns'!$B$9:$BJ$69))+1,MOD(ROW(A2397)-1,COLUMNS('Portfolio Weights Returns'!$B$9:$BJ$69))+1)</f>
        <v>-8.2330124121509393E-4</v>
      </c>
      <c r="B2398" cm="1">
        <f t="array" ref="B2398">INDEX('Portfolio Weights Std'!$B$9:$BJ$69,INT((ROW(A2397)-1)/COLUMNS('Portfolio Weights Std'!$B$9:$BJ$69))+1,MOD(ROW(A2397)-1,COLUMNS('Portfolio Weights Std'!$B$9:$BJ$69))+1)</f>
        <v>2.0224776705075088E-2</v>
      </c>
    </row>
    <row r="2399" spans="1:2" x14ac:dyDescent="0.25">
      <c r="A2399" cm="1">
        <f t="array" ref="A2399">INDEX('Portfolio Weights Returns'!$B$9:$BJ$69,
INT((ROW(A2398)-1)/COLUMNS('Portfolio Weights Returns'!$B$9:$BJ$69))+1,MOD(ROW(A2398)-1,COLUMNS('Portfolio Weights Returns'!$B$9:$BJ$69))+1)</f>
        <v>-8.1652006724841489E-4</v>
      </c>
      <c r="B2399" cm="1">
        <f t="array" ref="B2399">INDEX('Portfolio Weights Std'!$B$9:$BJ$69,INT((ROW(A2398)-1)/COLUMNS('Portfolio Weights Std'!$B$9:$BJ$69))+1,MOD(ROW(A2398)-1,COLUMNS('Portfolio Weights Std'!$B$9:$BJ$69))+1)</f>
        <v>2.0075594143311008E-2</v>
      </c>
    </row>
    <row r="2400" spans="1:2" x14ac:dyDescent="0.25">
      <c r="A2400" cm="1">
        <f t="array" ref="A2400">INDEX('Portfolio Weights Returns'!$B$9:$BJ$69,
INT((ROW(A2399)-1)/COLUMNS('Portfolio Weights Returns'!$B$9:$BJ$69))+1,MOD(ROW(A2399)-1,COLUMNS('Portfolio Weights Returns'!$B$9:$BJ$69))+1)</f>
        <v>-8.0973889328173575E-4</v>
      </c>
      <c r="B2400" cm="1">
        <f t="array" ref="B2400">INDEX('Portfolio Weights Std'!$B$9:$BJ$69,INT((ROW(A2399)-1)/COLUMNS('Portfolio Weights Std'!$B$9:$BJ$69))+1,MOD(ROW(A2399)-1,COLUMNS('Portfolio Weights Std'!$B$9:$BJ$69))+1)</f>
        <v>1.9927618359966263E-2</v>
      </c>
    </row>
    <row r="2401" spans="1:2" x14ac:dyDescent="0.25">
      <c r="A2401" cm="1">
        <f t="array" ref="A2401">INDEX('Portfolio Weights Returns'!$B$9:$BJ$69,
INT((ROW(A2400)-1)/COLUMNS('Portfolio Weights Returns'!$B$9:$BJ$69))+1,MOD(ROW(A2400)-1,COLUMNS('Portfolio Weights Returns'!$B$9:$BJ$69))+1)</f>
        <v>-8.0295771931505671E-4</v>
      </c>
      <c r="B2401" cm="1">
        <f t="array" ref="B2401">INDEX('Portfolio Weights Std'!$B$9:$BJ$69,INT((ROW(A2400)-1)/COLUMNS('Portfolio Weights Std'!$B$9:$BJ$69))+1,MOD(ROW(A2400)-1,COLUMNS('Portfolio Weights Std'!$B$9:$BJ$69))+1)</f>
        <v>1.9780876437880894E-2</v>
      </c>
    </row>
    <row r="2402" spans="1:2" x14ac:dyDescent="0.25">
      <c r="A2402" cm="1">
        <f t="array" ref="A2402">INDEX('Portfolio Weights Returns'!$B$9:$BJ$69,
INT((ROW(A2401)-1)/COLUMNS('Portfolio Weights Returns'!$B$9:$BJ$69))+1,MOD(ROW(A2401)-1,COLUMNS('Portfolio Weights Returns'!$B$9:$BJ$69))+1)</f>
        <v>-7.9617654534837757E-4</v>
      </c>
      <c r="B2402" cm="1">
        <f t="array" ref="B2402">INDEX('Portfolio Weights Std'!$B$9:$BJ$69,INT((ROW(A2401)-1)/COLUMNS('Portfolio Weights Std'!$B$9:$BJ$69))+1,MOD(ROW(A2401)-1,COLUMNS('Portfolio Weights Std'!$B$9:$BJ$69))+1)</f>
        <v>1.963539604025558E-2</v>
      </c>
    </row>
    <row r="2403" spans="1:2" x14ac:dyDescent="0.25">
      <c r="A2403" cm="1">
        <f t="array" ref="A2403">INDEX('Portfolio Weights Returns'!$B$9:$BJ$69,
INT((ROW(A2402)-1)/COLUMNS('Portfolio Weights Returns'!$B$9:$BJ$69))+1,MOD(ROW(A2402)-1,COLUMNS('Portfolio Weights Returns'!$B$9:$BJ$69))+1)</f>
        <v>-7.8939537138169864E-4</v>
      </c>
      <c r="B2403" cm="1">
        <f t="array" ref="B2403">INDEX('Portfolio Weights Std'!$B$9:$BJ$69,INT((ROW(A2402)-1)/COLUMNS('Portfolio Weights Std'!$B$9:$BJ$69))+1,MOD(ROW(A2402)-1,COLUMNS('Portfolio Weights Std'!$B$9:$BJ$69))+1)</f>
        <v>1.9491205414786016E-2</v>
      </c>
    </row>
    <row r="2404" spans="1:2" x14ac:dyDescent="0.25">
      <c r="A2404" cm="1">
        <f t="array" ref="A2404">INDEX('Portfolio Weights Returns'!$B$9:$BJ$69,
INT((ROW(A2403)-1)/COLUMNS('Portfolio Weights Returns'!$B$9:$BJ$69))+1,MOD(ROW(A2403)-1,COLUMNS('Portfolio Weights Returns'!$B$9:$BJ$69))+1)</f>
        <v>-7.826141974150195E-4</v>
      </c>
      <c r="B2404" cm="1">
        <f t="array" ref="B2404">INDEX('Portfolio Weights Std'!$B$9:$BJ$69,INT((ROW(A2403)-1)/COLUMNS('Portfolio Weights Std'!$B$9:$BJ$69))+1,MOD(ROW(A2403)-1,COLUMNS('Portfolio Weights Std'!$B$9:$BJ$69))+1)</f>
        <v>1.9348333397008862E-2</v>
      </c>
    </row>
    <row r="2405" spans="1:2" x14ac:dyDescent="0.25">
      <c r="A2405" cm="1">
        <f t="array" ref="A2405">INDEX('Portfolio Weights Returns'!$B$9:$BJ$69,
INT((ROW(A2404)-1)/COLUMNS('Portfolio Weights Returns'!$B$9:$BJ$69))+1,MOD(ROW(A2404)-1,COLUMNS('Portfolio Weights Returns'!$B$9:$BJ$69))+1)</f>
        <v>-7.7583302344834035E-4</v>
      </c>
      <c r="B2405" cm="1">
        <f t="array" ref="B2405">INDEX('Portfolio Weights Std'!$B$9:$BJ$69,INT((ROW(A2404)-1)/COLUMNS('Portfolio Weights Std'!$B$9:$BJ$69))+1,MOD(ROW(A2404)-1,COLUMNS('Portfolio Weights Std'!$B$9:$BJ$69))+1)</f>
        <v>1.920680941278273E-2</v>
      </c>
    </row>
    <row r="2406" spans="1:2" x14ac:dyDescent="0.25">
      <c r="A2406" cm="1">
        <f t="array" ref="A2406">INDEX('Portfolio Weights Returns'!$B$9:$BJ$69,
INT((ROW(A2405)-1)/COLUMNS('Portfolio Weights Returns'!$B$9:$BJ$69))+1,MOD(ROW(A2405)-1,COLUMNS('Portfolio Weights Returns'!$B$9:$BJ$69))+1)</f>
        <v>-7.6905184948166121E-4</v>
      </c>
      <c r="B2406" cm="1">
        <f t="array" ref="B2406">INDEX('Portfolio Weights Std'!$B$9:$BJ$69,INT((ROW(A2405)-1)/COLUMNS('Portfolio Weights Std'!$B$9:$BJ$69))+1,MOD(ROW(A2405)-1,COLUMNS('Portfolio Weights Std'!$B$9:$BJ$69))+1)</f>
        <v>1.9066663479823522E-2</v>
      </c>
    </row>
    <row r="2407" spans="1:2" x14ac:dyDescent="0.25">
      <c r="A2407" cm="1">
        <f t="array" ref="A2407">INDEX('Portfolio Weights Returns'!$B$9:$BJ$69,
INT((ROW(A2406)-1)/COLUMNS('Portfolio Weights Returns'!$B$9:$BJ$69))+1,MOD(ROW(A2406)-1,COLUMNS('Portfolio Weights Returns'!$B$9:$BJ$69))+1)</f>
        <v>-7.6227067551498217E-4</v>
      </c>
      <c r="B2407" cm="1">
        <f t="array" ref="B2407">INDEX('Portfolio Weights Std'!$B$9:$BJ$69,INT((ROW(A2406)-1)/COLUMNS('Portfolio Weights Std'!$B$9:$BJ$69))+1,MOD(ROW(A2406)-1,COLUMNS('Portfolio Weights Std'!$B$9:$BJ$69))+1)</f>
        <v>1.8927926208209888E-2</v>
      </c>
    </row>
    <row r="2408" spans="1:2" x14ac:dyDescent="0.25">
      <c r="A2408" cm="1">
        <f t="array" ref="A2408">INDEX('Portfolio Weights Returns'!$B$9:$BJ$69,
INT((ROW(A2407)-1)/COLUMNS('Portfolio Weights Returns'!$B$9:$BJ$69))+1,MOD(ROW(A2407)-1,COLUMNS('Portfolio Weights Returns'!$B$9:$BJ$69))+1)</f>
        <v>-7.5548950154830303E-4</v>
      </c>
      <c r="B2408" cm="1">
        <f t="array" ref="B2408">INDEX('Portfolio Weights Std'!$B$9:$BJ$69,INT((ROW(A2407)-1)/COLUMNS('Portfolio Weights Std'!$B$9:$BJ$69))+1,MOD(ROW(A2407)-1,COLUMNS('Portfolio Weights Std'!$B$9:$BJ$69))+1)</f>
        <v>1.8790628799770576E-2</v>
      </c>
    </row>
    <row r="2409" spans="1:2" x14ac:dyDescent="0.25">
      <c r="A2409" cm="1">
        <f t="array" ref="A2409">INDEX('Portfolio Weights Returns'!$B$9:$BJ$69,
INT((ROW(A2408)-1)/COLUMNS('Portfolio Weights Returns'!$B$9:$BJ$69))+1,MOD(ROW(A2408)-1,COLUMNS('Portfolio Weights Returns'!$B$9:$BJ$69))+1)</f>
        <v>-7.4870832758162399E-4</v>
      </c>
      <c r="B2409" cm="1">
        <f t="array" ref="B2409">INDEX('Portfolio Weights Std'!$B$9:$BJ$69,INT((ROW(A2408)-1)/COLUMNS('Portfolio Weights Std'!$B$9:$BJ$69))+1,MOD(ROW(A2408)-1,COLUMNS('Portfolio Weights Std'!$B$9:$BJ$69))+1)</f>
        <v>1.8654803046261888E-2</v>
      </c>
    </row>
    <row r="2410" spans="1:2" x14ac:dyDescent="0.25">
      <c r="A2410" cm="1">
        <f t="array" ref="A2410">INDEX('Portfolio Weights Returns'!$B$9:$BJ$69,
INT((ROW(A2409)-1)/COLUMNS('Portfolio Weights Returns'!$B$9:$BJ$69))+1,MOD(ROW(A2409)-1,COLUMNS('Portfolio Weights Returns'!$B$9:$BJ$69))+1)</f>
        <v>-7.4192715361494485E-4</v>
      </c>
      <c r="B2410" cm="1">
        <f t="array" ref="B2410">INDEX('Portfolio Weights Std'!$B$9:$BJ$69,INT((ROW(A2409)-1)/COLUMNS('Portfolio Weights Std'!$B$9:$BJ$69))+1,MOD(ROW(A2409)-1,COLUMNS('Portfolio Weights Std'!$B$9:$BJ$69))+1)</f>
        <v>1.852048132623994E-2</v>
      </c>
    </row>
    <row r="2411" spans="1:2" x14ac:dyDescent="0.25">
      <c r="A2411" cm="1">
        <f t="array" ref="A2411">INDEX('Portfolio Weights Returns'!$B$9:$BJ$69,
INT((ROW(A2410)-1)/COLUMNS('Portfolio Weights Returns'!$B$9:$BJ$69))+1,MOD(ROW(A2410)-1,COLUMNS('Portfolio Weights Returns'!$B$9:$BJ$69))+1)</f>
        <v>-7.351459796482657E-4</v>
      </c>
      <c r="B2411" cm="1">
        <f t="array" ref="B2411">INDEX('Portfolio Weights Std'!$B$9:$BJ$69,INT((ROW(A2410)-1)/COLUMNS('Portfolio Weights Std'!$B$9:$BJ$69))+1,MOD(ROW(A2410)-1,COLUMNS('Portfolio Weights Std'!$B$9:$BJ$69))+1)</f>
        <v>1.8387696600529083E-2</v>
      </c>
    </row>
    <row r="2412" spans="1:2" x14ac:dyDescent="0.25">
      <c r="A2412" cm="1">
        <f t="array" ref="A2412">INDEX('Portfolio Weights Returns'!$B$9:$BJ$69,
INT((ROW(A2411)-1)/COLUMNS('Portfolio Weights Returns'!$B$9:$BJ$69))+1,MOD(ROW(A2411)-1,COLUMNS('Portfolio Weights Returns'!$B$9:$BJ$69))+1)</f>
        <v>-7.2836480568158656E-4</v>
      </c>
      <c r="B2412" cm="1">
        <f t="array" ref="B2412">INDEX('Portfolio Weights Std'!$B$9:$BJ$69,INT((ROW(A2411)-1)/COLUMNS('Portfolio Weights Std'!$B$9:$BJ$69))+1,MOD(ROW(A2411)-1,COLUMNS('Portfolio Weights Std'!$B$9:$BJ$69))+1)</f>
        <v>1.8256482406184962E-2</v>
      </c>
    </row>
    <row r="2413" spans="1:2" x14ac:dyDescent="0.25">
      <c r="A2413" cm="1">
        <f t="array" ref="A2413">INDEX('Portfolio Weights Returns'!$B$9:$BJ$69,
INT((ROW(A2412)-1)/COLUMNS('Portfolio Weights Returns'!$B$9:$BJ$69))+1,MOD(ROW(A2412)-1,COLUMNS('Portfolio Weights Returns'!$B$9:$BJ$69))+1)</f>
        <v>-7.2158363171490741E-4</v>
      </c>
      <c r="B2413" cm="1">
        <f t="array" ref="B2413">INDEX('Portfolio Weights Std'!$B$9:$BJ$69,INT((ROW(A2412)-1)/COLUMNS('Portfolio Weights Std'!$B$9:$BJ$69))+1,MOD(ROW(A2412)-1,COLUMNS('Portfolio Weights Std'!$B$9:$BJ$69))+1)</f>
        <v>1.8126872848847904E-2</v>
      </c>
    </row>
    <row r="2414" spans="1:2" x14ac:dyDescent="0.25">
      <c r="A2414" cm="1">
        <f t="array" ref="A2414">INDEX('Portfolio Weights Returns'!$B$9:$BJ$69,
INT((ROW(A2413)-1)/COLUMNS('Portfolio Weights Returns'!$B$9:$BJ$69))+1,MOD(ROW(A2413)-1,COLUMNS('Portfolio Weights Returns'!$B$9:$BJ$69))+1)</f>
        <v>-7.1480245774822838E-4</v>
      </c>
      <c r="B2414" cm="1">
        <f t="array" ref="B2414">INDEX('Portfolio Weights Std'!$B$9:$BJ$69,INT((ROW(A2413)-1)/COLUMNS('Portfolio Weights Std'!$B$9:$BJ$69))+1,MOD(ROW(A2413)-1,COLUMNS('Portfolio Weights Std'!$B$9:$BJ$69))+1)</f>
        <v>1.7998902593380061E-2</v>
      </c>
    </row>
    <row r="2415" spans="1:2" x14ac:dyDescent="0.25">
      <c r="A2415" cm="1">
        <f t="array" ref="A2415">INDEX('Portfolio Weights Returns'!$B$9:$BJ$69,
INT((ROW(A2414)-1)/COLUMNS('Portfolio Weights Returns'!$B$9:$BJ$69))+1,MOD(ROW(A2414)-1,COLUMNS('Portfolio Weights Returns'!$B$9:$BJ$69))+1)</f>
        <v>-7.0802128378154923E-4</v>
      </c>
      <c r="B2415" cm="1">
        <f t="array" ref="B2415">INDEX('Portfolio Weights Std'!$B$9:$BJ$69,INT((ROW(A2414)-1)/COLUMNS('Portfolio Weights Std'!$B$9:$BJ$69))+1,MOD(ROW(A2414)-1,COLUMNS('Portfolio Weights Std'!$B$9:$BJ$69))+1)</f>
        <v>1.7872606852678032E-2</v>
      </c>
    </row>
    <row r="2416" spans="1:2" x14ac:dyDescent="0.25">
      <c r="A2416" cm="1">
        <f t="array" ref="A2416">INDEX('Portfolio Weights Returns'!$B$9:$BJ$69,
INT((ROW(A2415)-1)/COLUMNS('Portfolio Weights Returns'!$B$9:$BJ$69))+1,MOD(ROW(A2415)-1,COLUMNS('Portfolio Weights Returns'!$B$9:$BJ$69))+1)</f>
        <v>-7.012401098148702E-4</v>
      </c>
      <c r="B2416" cm="1">
        <f t="array" ref="B2416">INDEX('Portfolio Weights Std'!$B$9:$BJ$69,INT((ROW(A2415)-1)/COLUMNS('Portfolio Weights Std'!$B$9:$BJ$69))+1,MOD(ROW(A2415)-1,COLUMNS('Portfolio Weights Std'!$B$9:$BJ$69))+1)</f>
        <v>1.7748021374551299E-2</v>
      </c>
    </row>
    <row r="2417" spans="1:2" x14ac:dyDescent="0.25">
      <c r="A2417" cm="1">
        <f t="array" ref="A2417">INDEX('Portfolio Weights Returns'!$B$9:$BJ$69,
INT((ROW(A2416)-1)/COLUMNS('Portfolio Weights Returns'!$B$9:$BJ$69))+1,MOD(ROW(A2416)-1,COLUMNS('Portfolio Weights Returns'!$B$9:$BJ$69))+1)</f>
        <v>-6.9445893584819105E-4</v>
      </c>
      <c r="B2417" cm="1">
        <f t="array" ref="B2417">INDEX('Portfolio Weights Std'!$B$9:$BJ$69,INT((ROW(A2416)-1)/COLUMNS('Portfolio Weights Std'!$B$9:$BJ$69))+1,MOD(ROW(A2416)-1,COLUMNS('Portfolio Weights Std'!$B$9:$BJ$69))+1)</f>
        <v>1.7625182426556377E-2</v>
      </c>
    </row>
    <row r="2418" spans="1:2" x14ac:dyDescent="0.25">
      <c r="A2418" cm="1">
        <f t="array" ref="A2418">INDEX('Portfolio Weights Returns'!$B$9:$BJ$69,
INT((ROW(A2417)-1)/COLUMNS('Portfolio Weights Returns'!$B$9:$BJ$69))+1,MOD(ROW(A2417)-1,COLUMNS('Portfolio Weights Returns'!$B$9:$BJ$69))+1)</f>
        <v>-6.8767776188151191E-4</v>
      </c>
      <c r="B2418" cm="1">
        <f t="array" ref="B2418">INDEX('Portfolio Weights Std'!$B$9:$BJ$69,INT((ROW(A2417)-1)/COLUMNS('Portfolio Weights Std'!$B$9:$BJ$69))+1,MOD(ROW(A2417)-1,COLUMNS('Portfolio Weights Std'!$B$9:$BJ$69))+1)</f>
        <v>1.7504126778676497E-2</v>
      </c>
    </row>
    <row r="2419" spans="1:2" x14ac:dyDescent="0.25">
      <c r="A2419" cm="1">
        <f t="array" ref="A2419">INDEX('Portfolio Weights Returns'!$B$9:$BJ$69,
INT((ROW(A2418)-1)/COLUMNS('Portfolio Weights Returns'!$B$9:$BJ$69))+1,MOD(ROW(A2418)-1,COLUMNS('Portfolio Weights Returns'!$B$9:$BJ$69))+1)</f>
        <v>-6.8089658791483287E-4</v>
      </c>
      <c r="B2419" cm="1">
        <f t="array" ref="B2419">INDEX('Portfolio Weights Std'!$B$9:$BJ$69,INT((ROW(A2418)-1)/COLUMNS('Portfolio Weights Std'!$B$9:$BJ$69))+1,MOD(ROW(A2418)-1,COLUMNS('Portfolio Weights Std'!$B$9:$BJ$69))+1)</f>
        <v>1.738489168373774E-2</v>
      </c>
    </row>
    <row r="2420" spans="1:2" x14ac:dyDescent="0.25">
      <c r="A2420" cm="1">
        <f t="array" ref="A2420">INDEX('Portfolio Weights Returns'!$B$9:$BJ$69,
INT((ROW(A2419)-1)/COLUMNS('Portfolio Weights Returns'!$B$9:$BJ$69))+1,MOD(ROW(A2419)-1,COLUMNS('Portfolio Weights Returns'!$B$9:$BJ$69))+1)</f>
        <v>-6.7411541394815373E-4</v>
      </c>
      <c r="B2420" cm="1">
        <f t="array" ref="B2420">INDEX('Portfolio Weights Std'!$B$9:$BJ$69,INT((ROW(A2419)-1)/COLUMNS('Portfolio Weights Std'!$B$9:$BJ$69))+1,MOD(ROW(A2419)-1,COLUMNS('Portfolio Weights Std'!$B$9:$BJ$69))+1)</f>
        <v>1.7267514855454257E-2</v>
      </c>
    </row>
    <row r="2421" spans="1:2" x14ac:dyDescent="0.25">
      <c r="A2421" cm="1">
        <f t="array" ref="A2421">INDEX('Portfolio Weights Returns'!$B$9:$BJ$69,
INT((ROW(A2420)-1)/COLUMNS('Portfolio Weights Returns'!$B$9:$BJ$69))+1,MOD(ROW(A2420)-1,COLUMNS('Portfolio Weights Returns'!$B$9:$BJ$69))+1)</f>
        <v>-6.6733423998147469E-4</v>
      </c>
      <c r="B2421" cm="1">
        <f t="array" ref="B2421">INDEX('Portfolio Weights Std'!$B$9:$BJ$69,INT((ROW(A2420)-1)/COLUMNS('Portfolio Weights Std'!$B$9:$BJ$69))+1,MOD(ROW(A2420)-1,COLUMNS('Portfolio Weights Std'!$B$9:$BJ$69))+1)</f>
        <v>1.7152034443998158E-2</v>
      </c>
    </row>
    <row r="2422" spans="1:2" x14ac:dyDescent="0.25">
      <c r="A2422" cm="1">
        <f t="array" ref="A2422">INDEX('Portfolio Weights Returns'!$B$9:$BJ$69,
INT((ROW(A2421)-1)/COLUMNS('Portfolio Weights Returns'!$B$9:$BJ$69))+1,MOD(ROW(A2421)-1,COLUMNS('Portfolio Weights Returns'!$B$9:$BJ$69))+1)</f>
        <v>-6.6055306601479555E-4</v>
      </c>
      <c r="B2422" cm="1">
        <f t="array" ref="B2422">INDEX('Portfolio Weights Std'!$B$9:$BJ$69,INT((ROW(A2421)-1)/COLUMNS('Portfolio Weights Std'!$B$9:$BJ$69))+1,MOD(ROW(A2421)-1,COLUMNS('Portfolio Weights Std'!$B$9:$BJ$69))+1)</f>
        <v>1.7038489008993456E-2</v>
      </c>
    </row>
    <row r="2423" spans="1:2" x14ac:dyDescent="0.25">
      <c r="A2423" cm="1">
        <f t="array" ref="A2423">INDEX('Portfolio Weights Returns'!$B$9:$BJ$69,
INT((ROW(A2422)-1)/COLUMNS('Portfolio Weights Returns'!$B$9:$BJ$69))+1,MOD(ROW(A2422)-1,COLUMNS('Portfolio Weights Returns'!$B$9:$BJ$69))+1)</f>
        <v>-6.5377189204811651E-4</v>
      </c>
      <c r="B2423" cm="1">
        <f t="array" ref="B2423">INDEX('Portfolio Weights Std'!$B$9:$BJ$69,INT((ROW(A2422)-1)/COLUMNS('Portfolio Weights Std'!$B$9:$BJ$69))+1,MOD(ROW(A2422)-1,COLUMNS('Portfolio Weights Std'!$B$9:$BJ$69))+1)</f>
        <v>1.6926917489838735E-2</v>
      </c>
    </row>
    <row r="2424" spans="1:2" x14ac:dyDescent="0.25">
      <c r="A2424" cm="1">
        <f t="array" ref="A2424">INDEX('Portfolio Weights Returns'!$B$9:$BJ$69,
INT((ROW(A2423)-1)/COLUMNS('Portfolio Weights Returns'!$B$9:$BJ$69))+1,MOD(ROW(A2423)-1,COLUMNS('Portfolio Weights Returns'!$B$9:$BJ$69))+1)</f>
        <v>-6.4699071808143726E-4</v>
      </c>
      <c r="B2424" cm="1">
        <f t="array" ref="B2424">INDEX('Portfolio Weights Std'!$B$9:$BJ$69,INT((ROW(A2423)-1)/COLUMNS('Portfolio Weights Std'!$B$9:$BJ$69))+1,MOD(ROW(A2423)-1,COLUMNS('Portfolio Weights Std'!$B$9:$BJ$69))+1)</f>
        <v>1.6817359173269503E-2</v>
      </c>
    </row>
    <row r="2425" spans="1:2" x14ac:dyDescent="0.25">
      <c r="A2425" cm="1">
        <f t="array" ref="A2425">INDEX('Portfolio Weights Returns'!$B$9:$BJ$69,
INT((ROW(A2424)-1)/COLUMNS('Portfolio Weights Returns'!$B$9:$BJ$69))+1,MOD(ROW(A2424)-1,COLUMNS('Portfolio Weights Returns'!$B$9:$BJ$69))+1)</f>
        <v>-6.4020954411475822E-4</v>
      </c>
      <c r="B2425" cm="1">
        <f t="array" ref="B2425">INDEX('Portfolio Weights Std'!$B$9:$BJ$69,INT((ROW(A2424)-1)/COLUMNS('Portfolio Weights Std'!$B$9:$BJ$69))+1,MOD(ROW(A2424)-1,COLUMNS('Portfolio Weights Std'!$B$9:$BJ$69))+1)</f>
        <v>1.6709853658079157E-2</v>
      </c>
    </row>
    <row r="2426" spans="1:2" x14ac:dyDescent="0.25">
      <c r="A2426" cm="1">
        <f t="array" ref="A2426">INDEX('Portfolio Weights Returns'!$B$9:$BJ$69,
INT((ROW(A2425)-1)/COLUMNS('Portfolio Weights Returns'!$B$9:$BJ$69))+1,MOD(ROW(A2425)-1,COLUMNS('Portfolio Weights Returns'!$B$9:$BJ$69))+1)</f>
        <v>-6.3342837014807908E-4</v>
      </c>
      <c r="B2426" cm="1">
        <f t="array" ref="B2426">INDEX('Portfolio Weights Std'!$B$9:$BJ$69,INT((ROW(A2425)-1)/COLUMNS('Portfolio Weights Std'!$B$9:$BJ$69))+1,MOD(ROW(A2425)-1,COLUMNS('Portfolio Weights Std'!$B$9:$BJ$69))+1)</f>
        <v>1.6604440816926559E-2</v>
      </c>
    </row>
    <row r="2427" spans="1:2" x14ac:dyDescent="0.25">
      <c r="A2427" cm="1">
        <f t="array" ref="A2427">INDEX('Portfolio Weights Returns'!$B$9:$BJ$69,
INT((ROW(A2426)-1)/COLUMNS('Portfolio Weights Returns'!$B$9:$BJ$69))+1,MOD(ROW(A2426)-1,COLUMNS('Portfolio Weights Returns'!$B$9:$BJ$69))+1)</f>
        <v>-6.2664719618140004E-4</v>
      </c>
      <c r="B2427" cm="1">
        <f t="array" ref="B2427">INDEX('Portfolio Weights Std'!$B$9:$BJ$69,INT((ROW(A2426)-1)/COLUMNS('Portfolio Weights Std'!$B$9:$BJ$69))+1,MOD(ROW(A2426)-1,COLUMNS('Portfolio Weights Std'!$B$9:$BJ$69))+1)</f>
        <v>1.6501160755169258E-2</v>
      </c>
    </row>
    <row r="2428" spans="1:2" x14ac:dyDescent="0.25">
      <c r="A2428" cm="1">
        <f t="array" ref="A2428">INDEX('Portfolio Weights Returns'!$B$9:$BJ$69,
INT((ROW(A2427)-1)/COLUMNS('Portfolio Weights Returns'!$B$9:$BJ$69))+1,MOD(ROW(A2427)-1,COLUMNS('Portfolio Weights Returns'!$B$9:$BJ$69))+1)</f>
        <v>-6.198660222147209E-4</v>
      </c>
      <c r="B2428" cm="1">
        <f t="array" ref="B2428">INDEX('Portfolio Weights Std'!$B$9:$BJ$69,INT((ROW(A2427)-1)/COLUMNS('Portfolio Weights Std'!$B$9:$BJ$69))+1,MOD(ROW(A2427)-1,COLUMNS('Portfolio Weights Std'!$B$9:$BJ$69))+1)</f>
        <v>1.6400053766673615E-2</v>
      </c>
    </row>
    <row r="2429" spans="1:2" x14ac:dyDescent="0.25">
      <c r="A2429" cm="1">
        <f t="array" ref="A2429">INDEX('Portfolio Weights Returns'!$B$9:$BJ$69,
INT((ROW(A2428)-1)/COLUMNS('Portfolio Weights Returns'!$B$9:$BJ$69))+1,MOD(ROW(A2428)-1,COLUMNS('Portfolio Weights Returns'!$B$9:$BJ$69))+1)</f>
        <v>-6.1308484824804186E-4</v>
      </c>
      <c r="B2429" cm="1">
        <f t="array" ref="B2429">INDEX('Portfolio Weights Std'!$B$9:$BJ$69,INT((ROW(A2428)-1)/COLUMNS('Portfolio Weights Std'!$B$9:$BJ$69))+1,MOD(ROW(A2428)-1,COLUMNS('Portfolio Weights Std'!$B$9:$BJ$69))+1)</f>
        <v>1.6301160286567293E-2</v>
      </c>
    </row>
    <row r="2430" spans="1:2" x14ac:dyDescent="0.25">
      <c r="A2430" cm="1">
        <f t="array" ref="A2430">INDEX('Portfolio Weights Returns'!$B$9:$BJ$69,
INT((ROW(A2429)-1)/COLUMNS('Portfolio Weights Returns'!$B$9:$BJ$69))+1,MOD(ROW(A2429)-1,COLUMNS('Portfolio Weights Returns'!$B$9:$BJ$69))+1)</f>
        <v>-6.0630367428136272E-4</v>
      </c>
      <c r="B2430" cm="1">
        <f t="array" ref="B2430">INDEX('Portfolio Weights Std'!$B$9:$BJ$69,INT((ROW(A2429)-1)/COLUMNS('Portfolio Weights Std'!$B$9:$BJ$69))+1,MOD(ROW(A2429)-1,COLUMNS('Portfolio Weights Std'!$B$9:$BJ$69))+1)</f>
        <v>1.6204520840915282E-2</v>
      </c>
    </row>
    <row r="2431" spans="1:2" x14ac:dyDescent="0.25">
      <c r="A2431" cm="1">
        <f t="array" ref="A2431">INDEX('Portfolio Weights Returns'!$B$9:$BJ$69,
INT((ROW(A2430)-1)/COLUMNS('Portfolio Weights Returns'!$B$9:$BJ$69))+1,MOD(ROW(A2430)-1,COLUMNS('Portfolio Weights Returns'!$B$9:$BJ$69))+1)</f>
        <v>-5.9952250031468357E-4</v>
      </c>
      <c r="B2431" cm="1">
        <f t="array" ref="B2431">INDEX('Portfolio Weights Std'!$B$9:$BJ$69,INT((ROW(A2430)-1)/COLUMNS('Portfolio Weights Std'!$B$9:$BJ$69))+1,MOD(ROW(A2430)-1,COLUMNS('Portfolio Weights Std'!$B$9:$BJ$69))+1)</f>
        <v>1.6110175993318099E-2</v>
      </c>
    </row>
    <row r="2432" spans="1:2" x14ac:dyDescent="0.25">
      <c r="A2432" cm="1">
        <f t="array" ref="A2432">INDEX('Portfolio Weights Returns'!$B$9:$BJ$69,
INT((ROW(A2431)-1)/COLUMNS('Portfolio Weights Returns'!$B$9:$BJ$69))+1,MOD(ROW(A2431)-1,COLUMNS('Portfolio Weights Returns'!$B$9:$BJ$69))+1)</f>
        <v>-5.9274132634800454E-4</v>
      </c>
      <c r="B2432" cm="1">
        <f t="array" ref="B2432">INDEX('Portfolio Weights Std'!$B$9:$BJ$69,INT((ROW(A2431)-1)/COLUMNS('Portfolio Weights Std'!$B$9:$BJ$69))+1,MOD(ROW(A2431)-1,COLUMNS('Portfolio Weights Std'!$B$9:$BJ$69))+1)</f>
        <v>1.6018166288449931E-2</v>
      </c>
    </row>
    <row r="2433" spans="1:2" x14ac:dyDescent="0.25">
      <c r="A2433" cm="1">
        <f t="array" ref="A2433">INDEX('Portfolio Weights Returns'!$B$9:$BJ$69,
INT((ROW(A2432)-1)/COLUMNS('Portfolio Weights Returns'!$B$9:$BJ$69))+1,MOD(ROW(A2432)-1,COLUMNS('Portfolio Weights Returns'!$B$9:$BJ$69))+1)</f>
        <v>-5.8596015238132539E-4</v>
      </c>
      <c r="B2433" cm="1">
        <f t="array" ref="B2433">INDEX('Portfolio Weights Std'!$B$9:$BJ$69,INT((ROW(A2432)-1)/COLUMNS('Portfolio Weights Std'!$B$9:$BJ$69))+1,MOD(ROW(A2432)-1,COLUMNS('Portfolio Weights Std'!$B$9:$BJ$69))+1)</f>
        <v>1.5928532192575395E-2</v>
      </c>
    </row>
    <row r="2434" spans="1:2" x14ac:dyDescent="0.25">
      <c r="A2434" cm="1">
        <f t="array" ref="A2434">INDEX('Portfolio Weights Returns'!$B$9:$BJ$69,
INT((ROW(A2433)-1)/COLUMNS('Portfolio Weights Returns'!$B$9:$BJ$69))+1,MOD(ROW(A2433)-1,COLUMNS('Portfolio Weights Returns'!$B$9:$BJ$69))+1)</f>
        <v>-5.7917897841464636E-4</v>
      </c>
      <c r="B2434" cm="1">
        <f t="array" ref="B2434">INDEX('Portfolio Weights Std'!$B$9:$BJ$69,INT((ROW(A2433)-1)/COLUMNS('Portfolio Weights Std'!$B$9:$BJ$69))+1,MOD(ROW(A2433)-1,COLUMNS('Portfolio Weights Std'!$B$9:$BJ$69))+1)</f>
        <v>1.5841314031105929E-2</v>
      </c>
    </row>
    <row r="2435" spans="1:2" x14ac:dyDescent="0.25">
      <c r="A2435" cm="1">
        <f t="array" ref="A2435">INDEX('Portfolio Weights Returns'!$B$9:$BJ$69,
INT((ROW(A2434)-1)/COLUMNS('Portfolio Weights Returns'!$B$9:$BJ$69))+1,MOD(ROW(A2434)-1,COLUMNS('Portfolio Weights Returns'!$B$9:$BJ$69))+1)</f>
        <v>-5.7239780444796721E-4</v>
      </c>
      <c r="B2435" cm="1">
        <f t="array" ref="B2435">INDEX('Portfolio Weights Std'!$B$9:$BJ$69,INT((ROW(A2434)-1)/COLUMNS('Portfolio Weights Std'!$B$9:$BJ$69))+1,MOD(ROW(A2434)-1,COLUMNS('Portfolio Weights Std'!$B$9:$BJ$69))+1)</f>
        <v>1.5756551923280751E-2</v>
      </c>
    </row>
    <row r="2436" spans="1:2" x14ac:dyDescent="0.25">
      <c r="A2436" cm="1">
        <f t="array" ref="A2436">INDEX('Portfolio Weights Returns'!$B$9:$BJ$69,
INT((ROW(A2435)-1)/COLUMNS('Portfolio Weights Returns'!$B$9:$BJ$69))+1,MOD(ROW(A2435)-1,COLUMNS('Portfolio Weights Returns'!$B$9:$BJ$69))+1)</f>
        <v>-5.6561663048128818E-4</v>
      </c>
      <c r="B2436" cm="1">
        <f t="array" ref="B2436">INDEX('Portfolio Weights Std'!$B$9:$BJ$69,INT((ROW(A2435)-1)/COLUMNS('Portfolio Weights Std'!$B$9:$BJ$69))+1,MOD(ROW(A2435)-1,COLUMNS('Portfolio Weights Std'!$B$9:$BJ$69))+1)</f>
        <v>1.5674285714082699E-2</v>
      </c>
    </row>
    <row r="2437" spans="1:2" x14ac:dyDescent="0.25">
      <c r="A2437" cm="1">
        <f t="array" ref="A2437">INDEX('Portfolio Weights Returns'!$B$9:$BJ$69,
INT((ROW(A2436)-1)/COLUMNS('Portfolio Weights Returns'!$B$9:$BJ$69))+1,MOD(ROW(A2436)-1,COLUMNS('Portfolio Weights Returns'!$B$9:$BJ$69))+1)</f>
        <v>-5.5883545651460892E-4</v>
      </c>
      <c r="B2437" cm="1">
        <f t="array" ref="B2437">INDEX('Portfolio Weights Std'!$B$9:$BJ$69,INT((ROW(A2436)-1)/COLUMNS('Portfolio Weights Std'!$B$9:$BJ$69))+1,MOD(ROW(A2436)-1,COLUMNS('Portfolio Weights Std'!$B$9:$BJ$69))+1)</f>
        <v>1.5594554903525707E-2</v>
      </c>
    </row>
    <row r="2438" spans="1:2" x14ac:dyDescent="0.25">
      <c r="A2438" cm="1">
        <f t="array" ref="A2438">INDEX('Portfolio Weights Returns'!$B$9:$BJ$69,
INT((ROW(A2437)-1)/COLUMNS('Portfolio Weights Returns'!$B$9:$BJ$69))+1,MOD(ROW(A2437)-1,COLUMNS('Portfolio Weights Returns'!$B$9:$BJ$69))+1)</f>
        <v>-5.5205428254792924E-4</v>
      </c>
      <c r="B2438" cm="1">
        <f t="array" ref="B2438">INDEX('Portfolio Weights Std'!$B$9:$BJ$69,INT((ROW(A2437)-1)/COLUMNS('Portfolio Weights Std'!$B$9:$BJ$69))+1,MOD(ROW(A2437)-1,COLUMNS('Portfolio Weights Std'!$B$9:$BJ$69))+1)</f>
        <v>1.5517398573478225E-2</v>
      </c>
    </row>
    <row r="2439" spans="1:2" x14ac:dyDescent="0.25">
      <c r="A2439" cm="1">
        <f t="array" ref="A2439">INDEX('Portfolio Weights Returns'!$B$9:$BJ$69,
INT((ROW(A2438)-1)/COLUMNS('Portfolio Weights Returns'!$B$9:$BJ$69))+1,MOD(ROW(A2438)-1,COLUMNS('Portfolio Weights Returns'!$B$9:$BJ$69))+1)</f>
        <v>-5.4527310858125009E-4</v>
      </c>
      <c r="B2439" cm="1">
        <f t="array" ref="B2439">INDEX('Portfolio Weights Std'!$B$9:$BJ$69,INT((ROW(A2438)-1)/COLUMNS('Portfolio Weights Std'!$B$9:$BJ$69))+1,MOD(ROW(A2438)-1,COLUMNS('Portfolio Weights Std'!$B$9:$BJ$69))+1)</f>
        <v>1.5442855312215308E-2</v>
      </c>
    </row>
    <row r="2440" spans="1:2" x14ac:dyDescent="0.25">
      <c r="A2440" cm="1">
        <f t="array" ref="A2440">INDEX('Portfolio Weights Returns'!$B$9:$BJ$69,
INT((ROW(A2439)-1)/COLUMNS('Portfolio Weights Returns'!$B$9:$BJ$69))+1,MOD(ROW(A2439)-1,COLUMNS('Portfolio Weights Returns'!$B$9:$BJ$69))+1)</f>
        <v>-5.3849193461457095E-4</v>
      </c>
      <c r="B2440" cm="1">
        <f t="array" ref="B2440">INDEX('Portfolio Weights Std'!$B$9:$BJ$69,INT((ROW(A2439)-1)/COLUMNS('Portfolio Weights Std'!$B$9:$BJ$69))+1,MOD(ROW(A2439)-1,COLUMNS('Portfolio Weights Std'!$B$9:$BJ$69))+1)</f>
        <v>1.53709631369207E-2</v>
      </c>
    </row>
    <row r="2441" spans="1:2" x14ac:dyDescent="0.25">
      <c r="A2441" cm="1">
        <f t="array" ref="A2441">INDEX('Portfolio Weights Returns'!$B$9:$BJ$69,
INT((ROW(A2440)-1)/COLUMNS('Portfolio Weights Returns'!$B$9:$BJ$69))+1,MOD(ROW(A2440)-1,COLUMNS('Portfolio Weights Returns'!$B$9:$BJ$69))+1)</f>
        <v>-5.3171076064789191E-4</v>
      </c>
      <c r="B2441" cm="1">
        <f t="array" ref="B2441">INDEX('Portfolio Weights Std'!$B$9:$BJ$69,INT((ROW(A2440)-1)/COLUMNS('Portfolio Weights Std'!$B$9:$BJ$69))+1,MOD(ROW(A2440)-1,COLUMNS('Portfolio Weights Std'!$B$9:$BJ$69))+1)</f>
        <v>1.5301759414389557E-2</v>
      </c>
    </row>
    <row r="2442" spans="1:2" x14ac:dyDescent="0.25">
      <c r="A2442" cm="1">
        <f t="array" ref="A2442">INDEX('Portfolio Weights Returns'!$B$9:$BJ$69,
INT((ROW(A2441)-1)/COLUMNS('Portfolio Weights Returns'!$B$9:$BJ$69))+1,MOD(ROW(A2441)-1,COLUMNS('Portfolio Weights Returns'!$B$9:$BJ$69))+1)</f>
        <v>-9.3200699080318351E-4</v>
      </c>
      <c r="B2442" cm="1">
        <f t="array" ref="B2442">INDEX('Portfolio Weights Std'!$B$9:$BJ$69,INT((ROW(A2441)-1)/COLUMNS('Portfolio Weights Std'!$B$9:$BJ$69))+1,MOD(ROW(A2441)-1,COLUMNS('Portfolio Weights Std'!$B$9:$BJ$69))+1)</f>
        <v>2.2835173464367118E-2</v>
      </c>
    </row>
    <row r="2443" spans="1:2" x14ac:dyDescent="0.25">
      <c r="A2443" cm="1">
        <f t="array" ref="A2443">INDEX('Portfolio Weights Returns'!$B$9:$BJ$69,
INT((ROW(A2442)-1)/COLUMNS('Portfolio Weights Returns'!$B$9:$BJ$69))+1,MOD(ROW(A2442)-1,COLUMNS('Portfolio Weights Returns'!$B$9:$BJ$69))+1)</f>
        <v>-9.2522581683650447E-4</v>
      </c>
      <c r="B2443" cm="1">
        <f t="array" ref="B2443">INDEX('Portfolio Weights Std'!$B$9:$BJ$69,INT((ROW(A2442)-1)/COLUMNS('Portfolio Weights Std'!$B$9:$BJ$69))+1,MOD(ROW(A2442)-1,COLUMNS('Portfolio Weights Std'!$B$9:$BJ$69))+1)</f>
        <v>2.2670132855520404E-2</v>
      </c>
    </row>
    <row r="2444" spans="1:2" x14ac:dyDescent="0.25">
      <c r="A2444" cm="1">
        <f t="array" ref="A2444">INDEX('Portfolio Weights Returns'!$B$9:$BJ$69,
INT((ROW(A2443)-1)/COLUMNS('Portfolio Weights Returns'!$B$9:$BJ$69))+1,MOD(ROW(A2443)-1,COLUMNS('Portfolio Weights Returns'!$B$9:$BJ$69))+1)</f>
        <v>-9.1844464286982533E-4</v>
      </c>
      <c r="B2444" cm="1">
        <f t="array" ref="B2444">INDEX('Portfolio Weights Std'!$B$9:$BJ$69,INT((ROW(A2443)-1)/COLUMNS('Portfolio Weights Std'!$B$9:$BJ$69))+1,MOD(ROW(A2443)-1,COLUMNS('Portfolio Weights Std'!$B$9:$BJ$69))+1)</f>
        <v>2.2505939351266397E-2</v>
      </c>
    </row>
    <row r="2445" spans="1:2" x14ac:dyDescent="0.25">
      <c r="A2445" cm="1">
        <f t="array" ref="A2445">INDEX('Portfolio Weights Returns'!$B$9:$BJ$69,
INT((ROW(A2444)-1)/COLUMNS('Portfolio Weights Returns'!$B$9:$BJ$69))+1,MOD(ROW(A2444)-1,COLUMNS('Portfolio Weights Returns'!$B$9:$BJ$69))+1)</f>
        <v>-9.1166346890314629E-4</v>
      </c>
      <c r="B2445" cm="1">
        <f t="array" ref="B2445">INDEX('Portfolio Weights Std'!$B$9:$BJ$69,INT((ROW(A2444)-1)/COLUMNS('Portfolio Weights Std'!$B$9:$BJ$69))+1,MOD(ROW(A2444)-1,COLUMNS('Portfolio Weights Std'!$B$9:$BJ$69))+1)</f>
        <v>2.2342611627460717E-2</v>
      </c>
    </row>
    <row r="2446" spans="1:2" x14ac:dyDescent="0.25">
      <c r="A2446" cm="1">
        <f t="array" ref="A2446">INDEX('Portfolio Weights Returns'!$B$9:$BJ$69,
INT((ROW(A2445)-1)/COLUMNS('Portfolio Weights Returns'!$B$9:$BJ$69))+1,MOD(ROW(A2445)-1,COLUMNS('Portfolio Weights Returns'!$B$9:$BJ$69))+1)</f>
        <v>-9.0488229493646715E-4</v>
      </c>
      <c r="B2446" cm="1">
        <f t="array" ref="B2446">INDEX('Portfolio Weights Std'!$B$9:$BJ$69,INT((ROW(A2445)-1)/COLUMNS('Portfolio Weights Std'!$B$9:$BJ$69))+1,MOD(ROW(A2445)-1,COLUMNS('Portfolio Weights Std'!$B$9:$BJ$69))+1)</f>
        <v>2.2180168810108959E-2</v>
      </c>
    </row>
    <row r="2447" spans="1:2" x14ac:dyDescent="0.25">
      <c r="A2447" cm="1">
        <f t="array" ref="A2447">INDEX('Portfolio Weights Returns'!$B$9:$BJ$69,
INT((ROW(A2446)-1)/COLUMNS('Portfolio Weights Returns'!$B$9:$BJ$69))+1,MOD(ROW(A2446)-1,COLUMNS('Portfolio Weights Returns'!$B$9:$BJ$69))+1)</f>
        <v>-8.9810112096978811E-4</v>
      </c>
      <c r="B2447" cm="1">
        <f t="array" ref="B2447">INDEX('Portfolio Weights Std'!$B$9:$BJ$69,INT((ROW(A2446)-1)/COLUMNS('Portfolio Weights Std'!$B$9:$BJ$69))+1,MOD(ROW(A2446)-1,COLUMNS('Portfolio Weights Std'!$B$9:$BJ$69))+1)</f>
        <v>2.2018630484456653E-2</v>
      </c>
    </row>
    <row r="2448" spans="1:2" x14ac:dyDescent="0.25">
      <c r="A2448" cm="1">
        <f t="array" ref="A2448">INDEX('Portfolio Weights Returns'!$B$9:$BJ$69,
INT((ROW(A2447)-1)/COLUMNS('Portfolio Weights Returns'!$B$9:$BJ$69))+1,MOD(ROW(A2447)-1,COLUMNS('Portfolio Weights Returns'!$B$9:$BJ$69))+1)</f>
        <v>-8.9131994700310886E-4</v>
      </c>
      <c r="B2448" cm="1">
        <f t="array" ref="B2448">INDEX('Portfolio Weights Std'!$B$9:$BJ$69,INT((ROW(A2447)-1)/COLUMNS('Portfolio Weights Std'!$B$9:$BJ$69))+1,MOD(ROW(A2447)-1,COLUMNS('Portfolio Weights Std'!$B$9:$BJ$69))+1)</f>
        <v>2.185801670403523E-2</v>
      </c>
    </row>
    <row r="2449" spans="1:2" x14ac:dyDescent="0.25">
      <c r="A2449" cm="1">
        <f t="array" ref="A2449">INDEX('Portfolio Weights Returns'!$B$9:$BJ$69,
INT((ROW(A2448)-1)/COLUMNS('Portfolio Weights Returns'!$B$9:$BJ$69))+1,MOD(ROW(A2448)-1,COLUMNS('Portfolio Weights Returns'!$B$9:$BJ$69))+1)</f>
        <v>-8.8453877303642972E-4</v>
      </c>
      <c r="B2449" cm="1">
        <f t="array" ref="B2449">INDEX('Portfolio Weights Std'!$B$9:$BJ$69,INT((ROW(A2448)-1)/COLUMNS('Portfolio Weights Std'!$B$9:$BJ$69))+1,MOD(ROW(A2448)-1,COLUMNS('Portfolio Weights Std'!$B$9:$BJ$69))+1)</f>
        <v>2.1698347999639243E-2</v>
      </c>
    </row>
    <row r="2450" spans="1:2" x14ac:dyDescent="0.25">
      <c r="A2450" cm="1">
        <f t="array" ref="A2450">INDEX('Portfolio Weights Returns'!$B$9:$BJ$69,
INT((ROW(A2449)-1)/COLUMNS('Portfolio Weights Returns'!$B$9:$BJ$69))+1,MOD(ROW(A2449)-1,COLUMNS('Portfolio Weights Returns'!$B$9:$BJ$69))+1)</f>
        <v>-8.7775759906975068E-4</v>
      </c>
      <c r="B2450" cm="1">
        <f t="array" ref="B2450">INDEX('Portfolio Weights Std'!$B$9:$BJ$69,INT((ROW(A2449)-1)/COLUMNS('Portfolio Weights Std'!$B$9:$BJ$69))+1,MOD(ROW(A2449)-1,COLUMNS('Portfolio Weights Std'!$B$9:$BJ$69))+1)</f>
        <v>2.1539645388207754E-2</v>
      </c>
    </row>
    <row r="2451" spans="1:2" x14ac:dyDescent="0.25">
      <c r="A2451" cm="1">
        <f t="array" ref="A2451">INDEX('Portfolio Weights Returns'!$B$9:$BJ$69,
INT((ROW(A2450)-1)/COLUMNS('Portfolio Weights Returns'!$B$9:$BJ$69))+1,MOD(ROW(A2450)-1,COLUMNS('Portfolio Weights Returns'!$B$9:$BJ$69))+1)</f>
        <v>-8.7097642510307154E-4</v>
      </c>
      <c r="B2451" cm="1">
        <f t="array" ref="B2451">INDEX('Portfolio Weights Std'!$B$9:$BJ$69,INT((ROW(A2450)-1)/COLUMNS('Portfolio Weights Std'!$B$9:$BJ$69))+1,MOD(ROW(A2450)-1,COLUMNS('Portfolio Weights Std'!$B$9:$BJ$69))+1)</f>
        <v>2.1381930381580535E-2</v>
      </c>
    </row>
    <row r="2452" spans="1:2" x14ac:dyDescent="0.25">
      <c r="A2452" cm="1">
        <f t="array" ref="A2452">INDEX('Portfolio Weights Returns'!$B$9:$BJ$69,
INT((ROW(A2451)-1)/COLUMNS('Portfolio Weights Returns'!$B$9:$BJ$69))+1,MOD(ROW(A2451)-1,COLUMNS('Portfolio Weights Returns'!$B$9:$BJ$69))+1)</f>
        <v>-8.641952511363925E-4</v>
      </c>
      <c r="B2452" cm="1">
        <f t="array" ref="B2452">INDEX('Portfolio Weights Std'!$B$9:$BJ$69,INT((ROW(A2451)-1)/COLUMNS('Portfolio Weights Std'!$B$9:$BJ$69))+1,MOD(ROW(A2451)-1,COLUMNS('Portfolio Weights Std'!$B$9:$BJ$69))+1)</f>
        <v>2.1225224995097217E-2</v>
      </c>
    </row>
    <row r="2453" spans="1:2" x14ac:dyDescent="0.25">
      <c r="A2453" cm="1">
        <f t="array" ref="A2453">INDEX('Portfolio Weights Returns'!$B$9:$BJ$69,
INT((ROW(A2452)-1)/COLUMNS('Portfolio Weights Returns'!$B$9:$BJ$69))+1,MOD(ROW(A2452)-1,COLUMNS('Portfolio Weights Returns'!$B$9:$BJ$69))+1)</f>
        <v>-8.5741407716971336E-4</v>
      </c>
      <c r="B2453" cm="1">
        <f t="array" ref="B2453">INDEX('Portfolio Weights Std'!$B$9:$BJ$69,INT((ROW(A2452)-1)/COLUMNS('Portfolio Weights Std'!$B$9:$BJ$69))+1,MOD(ROW(A2452)-1,COLUMNS('Portfolio Weights Std'!$B$9:$BJ$69))+1)</f>
        <v>2.1069551756004889E-2</v>
      </c>
    </row>
    <row r="2454" spans="1:2" x14ac:dyDescent="0.25">
      <c r="A2454" cm="1">
        <f t="array" ref="A2454">INDEX('Portfolio Weights Returns'!$B$9:$BJ$69,
INT((ROW(A2453)-1)/COLUMNS('Portfolio Weights Returns'!$B$9:$BJ$69))+1,MOD(ROW(A2453)-1,COLUMNS('Portfolio Weights Returns'!$B$9:$BJ$69))+1)</f>
        <v>-8.5063290320303432E-4</v>
      </c>
      <c r="B2454" cm="1">
        <f t="array" ref="B2454">INDEX('Portfolio Weights Std'!$B$9:$BJ$69,INT((ROW(A2453)-1)/COLUMNS('Portfolio Weights Std'!$B$9:$BJ$69))+1,MOD(ROW(A2453)-1,COLUMNS('Portfolio Weights Std'!$B$9:$BJ$69))+1)</f>
        <v>2.0914933711636854E-2</v>
      </c>
    </row>
    <row r="2455" spans="1:2" x14ac:dyDescent="0.25">
      <c r="A2455" cm="1">
        <f t="array" ref="A2455">INDEX('Portfolio Weights Returns'!$B$9:$BJ$69,
INT((ROW(A2454)-1)/COLUMNS('Portfolio Weights Returns'!$B$9:$BJ$69))+1,MOD(ROW(A2454)-1,COLUMNS('Portfolio Weights Returns'!$B$9:$BJ$69))+1)</f>
        <v>-8.4385172923635507E-4</v>
      </c>
      <c r="B2455" cm="1">
        <f t="array" ref="B2455">INDEX('Portfolio Weights Std'!$B$9:$BJ$69,INT((ROW(A2454)-1)/COLUMNS('Portfolio Weights Std'!$B$9:$BJ$69))+1,MOD(ROW(A2454)-1,COLUMNS('Portfolio Weights Std'!$B$9:$BJ$69))+1)</f>
        <v>2.0761394437322472E-2</v>
      </c>
    </row>
    <row r="2456" spans="1:2" x14ac:dyDescent="0.25">
      <c r="A2456" cm="1">
        <f t="array" ref="A2456">INDEX('Portfolio Weights Returns'!$B$9:$BJ$69,
INT((ROW(A2455)-1)/COLUMNS('Portfolio Weights Returns'!$B$9:$BJ$69))+1,MOD(ROW(A2455)-1,COLUMNS('Portfolio Weights Returns'!$B$9:$BJ$69))+1)</f>
        <v>-8.3707055526967603E-4</v>
      </c>
      <c r="B2456" cm="1">
        <f t="array" ref="B2456">INDEX('Portfolio Weights Std'!$B$9:$BJ$69,INT((ROW(A2455)-1)/COLUMNS('Portfolio Weights Std'!$B$9:$BJ$69))+1,MOD(ROW(A2455)-1,COLUMNS('Portfolio Weights Std'!$B$9:$BJ$69))+1)</f>
        <v>2.0608958043984934E-2</v>
      </c>
    </row>
    <row r="2457" spans="1:2" x14ac:dyDescent="0.25">
      <c r="A2457" cm="1">
        <f t="array" ref="A2457">INDEX('Portfolio Weights Returns'!$B$9:$BJ$69,
INT((ROW(A2456)-1)/COLUMNS('Portfolio Weights Returns'!$B$9:$BJ$69))+1,MOD(ROW(A2456)-1,COLUMNS('Portfolio Weights Returns'!$B$9:$BJ$69))+1)</f>
        <v>-8.3028938130299689E-4</v>
      </c>
      <c r="B2457" cm="1">
        <f t="array" ref="B2457">INDEX('Portfolio Weights Std'!$B$9:$BJ$69,INT((ROW(A2456)-1)/COLUMNS('Portfolio Weights Std'!$B$9:$BJ$69))+1,MOD(ROW(A2456)-1,COLUMNS('Portfolio Weights Std'!$B$9:$BJ$69))+1)</f>
        <v>2.0457649185380612E-2</v>
      </c>
    </row>
    <row r="2458" spans="1:2" x14ac:dyDescent="0.25">
      <c r="A2458" cm="1">
        <f t="array" ref="A2458">INDEX('Portfolio Weights Returns'!$B$9:$BJ$69,
INT((ROW(A2457)-1)/COLUMNS('Portfolio Weights Returns'!$B$9:$BJ$69))+1,MOD(ROW(A2457)-1,COLUMNS('Portfolio Weights Returns'!$B$9:$BJ$69))+1)</f>
        <v>-8.2350820733631796E-4</v>
      </c>
      <c r="B2458" cm="1">
        <f t="array" ref="B2458">INDEX('Portfolio Weights Std'!$B$9:$BJ$69,INT((ROW(A2457)-1)/COLUMNS('Portfolio Weights Std'!$B$9:$BJ$69))+1,MOD(ROW(A2457)-1,COLUMNS('Portfolio Weights Std'!$B$9:$BJ$69))+1)</f>
        <v>2.0307493064930564E-2</v>
      </c>
    </row>
    <row r="2459" spans="1:2" x14ac:dyDescent="0.25">
      <c r="A2459" cm="1">
        <f t="array" ref="A2459">INDEX('Portfolio Weights Returns'!$B$9:$BJ$69,
INT((ROW(A2458)-1)/COLUMNS('Portfolio Weights Returns'!$B$9:$BJ$69))+1,MOD(ROW(A2458)-1,COLUMNS('Portfolio Weights Returns'!$B$9:$BJ$69))+1)</f>
        <v>-8.1672703336963871E-4</v>
      </c>
      <c r="B2459" cm="1">
        <f t="array" ref="B2459">INDEX('Portfolio Weights Std'!$B$9:$BJ$69,INT((ROW(A2458)-1)/COLUMNS('Portfolio Weights Std'!$B$9:$BJ$69))+1,MOD(ROW(A2458)-1,COLUMNS('Portfolio Weights Std'!$B$9:$BJ$69))+1)</f>
        <v>2.0158515442091147E-2</v>
      </c>
    </row>
    <row r="2460" spans="1:2" x14ac:dyDescent="0.25">
      <c r="A2460" cm="1">
        <f t="array" ref="A2460">INDEX('Portfolio Weights Returns'!$B$9:$BJ$69,
INT((ROW(A2459)-1)/COLUMNS('Portfolio Weights Returns'!$B$9:$BJ$69))+1,MOD(ROW(A2459)-1,COLUMNS('Portfolio Weights Returns'!$B$9:$BJ$69))+1)</f>
        <v>-8.0994585940295967E-4</v>
      </c>
      <c r="B2460" cm="1">
        <f t="array" ref="B2460">INDEX('Portfolio Weights Std'!$B$9:$BJ$69,INT((ROW(A2459)-1)/COLUMNS('Portfolio Weights Std'!$B$9:$BJ$69))+1,MOD(ROW(A2459)-1,COLUMNS('Portfolio Weights Std'!$B$9:$BJ$69))+1)</f>
        <v>2.0010742638207558E-2</v>
      </c>
    </row>
    <row r="2461" spans="1:2" x14ac:dyDescent="0.25">
      <c r="A2461" cm="1">
        <f t="array" ref="A2461">INDEX('Portfolio Weights Returns'!$B$9:$BJ$69,
INT((ROW(A2460)-1)/COLUMNS('Portfolio Weights Returns'!$B$9:$BJ$69))+1,MOD(ROW(A2460)-1,COLUMNS('Portfolio Weights Returns'!$B$9:$BJ$69))+1)</f>
        <v>-8.0316468543628063E-4</v>
      </c>
      <c r="B2461" cm="1">
        <f t="array" ref="B2461">INDEX('Portfolio Weights Std'!$B$9:$BJ$69,INT((ROW(A2460)-1)/COLUMNS('Portfolio Weights Std'!$B$9:$BJ$69))+1,MOD(ROW(A2460)-1,COLUMNS('Portfolio Weights Std'!$B$9:$BJ$69))+1)</f>
        <v>1.9864201541790055E-2</v>
      </c>
    </row>
    <row r="2462" spans="1:2" x14ac:dyDescent="0.25">
      <c r="A2462" cm="1">
        <f t="array" ref="A2462">INDEX('Portfolio Weights Returns'!$B$9:$BJ$69,
INT((ROW(A2461)-1)/COLUMNS('Portfolio Weights Returns'!$B$9:$BJ$69))+1,MOD(ROW(A2461)-1,COLUMNS('Portfolio Weights Returns'!$B$9:$BJ$69))+1)</f>
        <v>-7.9638351146960149E-4</v>
      </c>
      <c r="B2462" cm="1">
        <f t="array" ref="B2462">INDEX('Portfolio Weights Std'!$B$9:$BJ$69,INT((ROW(A2461)-1)/COLUMNS('Portfolio Weights Std'!$B$9:$BJ$69))+1,MOD(ROW(A2461)-1,COLUMNS('Portfolio Weights Std'!$B$9:$BJ$69))+1)</f>
        <v>1.9718919613149626E-2</v>
      </c>
    </row>
    <row r="2463" spans="1:2" x14ac:dyDescent="0.25">
      <c r="A2463" cm="1">
        <f t="array" ref="A2463">INDEX('Portfolio Weights Returns'!$B$9:$BJ$69,
INT((ROW(A2462)-1)/COLUMNS('Portfolio Weights Returns'!$B$9:$BJ$69))+1,MOD(ROW(A2462)-1,COLUMNS('Portfolio Weights Returns'!$B$9:$BJ$69))+1)</f>
        <v>-7.8960233750292256E-4</v>
      </c>
      <c r="B2463" cm="1">
        <f t="array" ref="B2463">INDEX('Portfolio Weights Std'!$B$9:$BJ$69,INT((ROW(A2462)-1)/COLUMNS('Portfolio Weights Std'!$B$9:$BJ$69))+1,MOD(ROW(A2462)-1,COLUMNS('Portfolio Weights Std'!$B$9:$BJ$69))+1)</f>
        <v>1.9574924888325504E-2</v>
      </c>
    </row>
    <row r="2464" spans="1:2" x14ac:dyDescent="0.25">
      <c r="A2464" cm="1">
        <f t="array" ref="A2464">INDEX('Portfolio Weights Returns'!$B$9:$BJ$69,
INT((ROW(A2463)-1)/COLUMNS('Portfolio Weights Returns'!$B$9:$BJ$69))+1,MOD(ROW(A2463)-1,COLUMNS('Portfolio Weights Returns'!$B$9:$BJ$69))+1)</f>
        <v>-7.8282116353624342E-4</v>
      </c>
      <c r="B2464" cm="1">
        <f t="array" ref="B2464">INDEX('Portfolio Weights Std'!$B$9:$BJ$69,INT((ROW(A2463)-1)/COLUMNS('Portfolio Weights Std'!$B$9:$BJ$69))+1,MOD(ROW(A2463)-1,COLUMNS('Portfolio Weights Std'!$B$9:$BJ$69))+1)</f>
        <v>1.9432245982233743E-2</v>
      </c>
    </row>
    <row r="2465" spans="1:2" x14ac:dyDescent="0.25">
      <c r="A2465" cm="1">
        <f t="array" ref="A2465">INDEX('Portfolio Weights Returns'!$B$9:$BJ$69,
INT((ROW(A2464)-1)/COLUMNS('Portfolio Weights Returns'!$B$9:$BJ$69))+1,MOD(ROW(A2464)-1,COLUMNS('Portfolio Weights Returns'!$B$9:$BJ$69))+1)</f>
        <v>-7.7603998956956427E-4</v>
      </c>
      <c r="B2465" cm="1">
        <f t="array" ref="B2465">INDEX('Portfolio Weights Std'!$B$9:$BJ$69,INT((ROW(A2464)-1)/COLUMNS('Portfolio Weights Std'!$B$9:$BJ$69))+1,MOD(ROW(A2464)-1,COLUMNS('Portfolio Weights Std'!$B$9:$BJ$69))+1)</f>
        <v>1.9290912090961891E-2</v>
      </c>
    </row>
    <row r="2466" spans="1:2" x14ac:dyDescent="0.25">
      <c r="A2466" cm="1">
        <f t="array" ref="A2466">INDEX('Portfolio Weights Returns'!$B$9:$BJ$69,
INT((ROW(A2465)-1)/COLUMNS('Portfolio Weights Returns'!$B$9:$BJ$69))+1,MOD(ROW(A2465)-1,COLUMNS('Portfolio Weights Returns'!$B$9:$BJ$69))+1)</f>
        <v>-7.6925881560288513E-4</v>
      </c>
      <c r="B2466" cm="1">
        <f t="array" ref="B2466">INDEX('Portfolio Weights Std'!$B$9:$BJ$69,INT((ROW(A2465)-1)/COLUMNS('Portfolio Weights Std'!$B$9:$BJ$69))+1,MOD(ROW(A2465)-1,COLUMNS('Portfolio Weights Std'!$B$9:$BJ$69))+1)</f>
        <v>1.915095299313133E-2</v>
      </c>
    </row>
    <row r="2467" spans="1:2" x14ac:dyDescent="0.25">
      <c r="A2467" cm="1">
        <f t="array" ref="A2467">INDEX('Portfolio Weights Returns'!$B$9:$BJ$69,
INT((ROW(A2466)-1)/COLUMNS('Portfolio Weights Returns'!$B$9:$BJ$69))+1,MOD(ROW(A2466)-1,COLUMNS('Portfolio Weights Returns'!$B$9:$BJ$69))+1)</f>
        <v>-7.6247764163620609E-4</v>
      </c>
      <c r="B2467" cm="1">
        <f t="array" ref="B2467">INDEX('Portfolio Weights Std'!$B$9:$BJ$69,INT((ROW(A2466)-1)/COLUMNS('Portfolio Weights Std'!$B$9:$BJ$69))+1,MOD(ROW(A2466)-1,COLUMNS('Portfolio Weights Std'!$B$9:$BJ$69))+1)</f>
        <v>1.9012399050245023E-2</v>
      </c>
    </row>
    <row r="2468" spans="1:2" x14ac:dyDescent="0.25">
      <c r="A2468" cm="1">
        <f t="array" ref="A2468">INDEX('Portfolio Weights Returns'!$B$9:$BJ$69,
INT((ROW(A2467)-1)/COLUMNS('Portfolio Weights Returns'!$B$9:$BJ$69))+1,MOD(ROW(A2467)-1,COLUMNS('Portfolio Weights Returns'!$B$9:$BJ$69))+1)</f>
        <v>-7.5569646766952695E-4</v>
      </c>
      <c r="B2468" cm="1">
        <f t="array" ref="B2468">INDEX('Portfolio Weights Std'!$B$9:$BJ$69,INT((ROW(A2467)-1)/COLUMNS('Portfolio Weights Std'!$B$9:$BJ$69))+1,MOD(ROW(A2467)-1,COLUMNS('Portfolio Weights Std'!$B$9:$BJ$69))+1)</f>
        <v>1.8875281205934812E-2</v>
      </c>
    </row>
    <row r="2469" spans="1:2" x14ac:dyDescent="0.25">
      <c r="A2469" cm="1">
        <f t="array" ref="A2469">INDEX('Portfolio Weights Returns'!$B$9:$BJ$69,
INT((ROW(A2468)-1)/COLUMNS('Portfolio Weights Returns'!$B$9:$BJ$69))+1,MOD(ROW(A2468)-1,COLUMNS('Portfolio Weights Returns'!$B$9:$BJ$69))+1)</f>
        <v>-7.489152937028478E-4</v>
      </c>
      <c r="B2469" cm="1">
        <f t="array" ref="B2469">INDEX('Portfolio Weights Std'!$B$9:$BJ$69,INT((ROW(A2468)-1)/COLUMNS('Portfolio Weights Std'!$B$9:$BJ$69))+1,MOD(ROW(A2468)-1,COLUMNS('Portfolio Weights Std'!$B$9:$BJ$69))+1)</f>
        <v>1.8739630984018863E-2</v>
      </c>
    </row>
    <row r="2470" spans="1:2" x14ac:dyDescent="0.25">
      <c r="A2470" cm="1">
        <f t="array" ref="A2470">INDEX('Portfolio Weights Returns'!$B$9:$BJ$69,
INT((ROW(A2469)-1)/COLUMNS('Portfolio Weights Returns'!$B$9:$BJ$69))+1,MOD(ROW(A2469)-1,COLUMNS('Portfolio Weights Returns'!$B$9:$BJ$69))+1)</f>
        <v>-7.4213411973616877E-4</v>
      </c>
      <c r="B2470" cm="1">
        <f t="array" ref="B2470">INDEX('Portfolio Weights Std'!$B$9:$BJ$69,INT((ROW(A2469)-1)/COLUMNS('Portfolio Weights Std'!$B$9:$BJ$69))+1,MOD(ROW(A2469)-1,COLUMNS('Portfolio Weights Std'!$B$9:$BJ$69))+1)</f>
        <v>1.8605480485276632E-2</v>
      </c>
    </row>
    <row r="2471" spans="1:2" x14ac:dyDescent="0.25">
      <c r="A2471" cm="1">
        <f t="array" ref="A2471">INDEX('Portfolio Weights Returns'!$B$9:$BJ$69,
INT((ROW(A2470)-1)/COLUMNS('Portfolio Weights Returns'!$B$9:$BJ$69))+1,MOD(ROW(A2470)-1,COLUMNS('Portfolio Weights Returns'!$B$9:$BJ$69))+1)</f>
        <v>-7.3535294576948962E-4</v>
      </c>
      <c r="B2471" cm="1">
        <f t="array" ref="B2471">INDEX('Portfolio Weights Std'!$B$9:$BJ$69,INT((ROW(A2470)-1)/COLUMNS('Portfolio Weights Std'!$B$9:$BJ$69))+1,MOD(ROW(A2470)-1,COLUMNS('Portfolio Weights Std'!$B$9:$BJ$69))+1)</f>
        <v>1.8472862382845422E-2</v>
      </c>
    </row>
    <row r="2472" spans="1:2" x14ac:dyDescent="0.25">
      <c r="A2472" cm="1">
        <f t="array" ref="A2472">INDEX('Portfolio Weights Returns'!$B$9:$BJ$69,
INT((ROW(A2471)-1)/COLUMNS('Portfolio Weights Returns'!$B$9:$BJ$69))+1,MOD(ROW(A2471)-1,COLUMNS('Portfolio Weights Returns'!$B$9:$BJ$69))+1)</f>
        <v>-7.2857177180281048E-4</v>
      </c>
      <c r="B2472" cm="1">
        <f t="array" ref="B2472">INDEX('Portfolio Weights Std'!$B$9:$BJ$69,INT((ROW(A2471)-1)/COLUMNS('Portfolio Weights Std'!$B$9:$BJ$69))+1,MOD(ROW(A2471)-1,COLUMNS('Portfolio Weights Std'!$B$9:$BJ$69))+1)</f>
        <v>1.8341809916139876E-2</v>
      </c>
    </row>
    <row r="2473" spans="1:2" x14ac:dyDescent="0.25">
      <c r="A2473" cm="1">
        <f t="array" ref="A2473">INDEX('Portfolio Weights Returns'!$B$9:$BJ$69,
INT((ROW(A2472)-1)/COLUMNS('Portfolio Weights Returns'!$B$9:$BJ$69))+1,MOD(ROW(A2472)-1,COLUMNS('Portfolio Weights Returns'!$B$9:$BJ$69))+1)</f>
        <v>-7.2179059783613133E-4</v>
      </c>
      <c r="B2473" cm="1">
        <f t="array" ref="B2473">INDEX('Portfolio Weights Std'!$B$9:$BJ$69,INT((ROW(A2472)-1)/COLUMNS('Portfolio Weights Std'!$B$9:$BJ$69))+1,MOD(ROW(A2472)-1,COLUMNS('Portfolio Weights Std'!$B$9:$BJ$69))+1)</f>
        <v>1.8212356883193202E-2</v>
      </c>
    </row>
    <row r="2474" spans="1:2" x14ac:dyDescent="0.25">
      <c r="A2474" cm="1">
        <f t="array" ref="A2474">INDEX('Portfolio Weights Returns'!$B$9:$BJ$69,
INT((ROW(A2473)-1)/COLUMNS('Portfolio Weights Returns'!$B$9:$BJ$69))+1,MOD(ROW(A2473)-1,COLUMNS('Portfolio Weights Returns'!$B$9:$BJ$69))+1)</f>
        <v>-7.150094238694523E-4</v>
      </c>
      <c r="B2474" cm="1">
        <f t="array" ref="B2474">INDEX('Portfolio Weights Std'!$B$9:$BJ$69,INT((ROW(A2473)-1)/COLUMNS('Portfolio Weights Std'!$B$9:$BJ$69))+1,MOD(ROW(A2473)-1,COLUMNS('Portfolio Weights Std'!$B$9:$BJ$69))+1)</f>
        <v>1.808453763131666E-2</v>
      </c>
    </row>
    <row r="2475" spans="1:2" x14ac:dyDescent="0.25">
      <c r="A2475" cm="1">
        <f t="array" ref="A2475">INDEX('Portfolio Weights Returns'!$B$9:$BJ$69,
INT((ROW(A2474)-1)/COLUMNS('Portfolio Weights Returns'!$B$9:$BJ$69))+1,MOD(ROW(A2474)-1,COLUMNS('Portfolio Weights Returns'!$B$9:$BJ$69))+1)</f>
        <v>-7.0822824990277315E-4</v>
      </c>
      <c r="B2475" cm="1">
        <f t="array" ref="B2475">INDEX('Portfolio Weights Std'!$B$9:$BJ$69,INT((ROW(A2474)-1)/COLUMNS('Portfolio Weights Std'!$B$9:$BJ$69))+1,MOD(ROW(A2474)-1,COLUMNS('Portfolio Weights Std'!$B$9:$BJ$69))+1)</f>
        <v>1.7958387045972361E-2</v>
      </c>
    </row>
    <row r="2476" spans="1:2" x14ac:dyDescent="0.25">
      <c r="A2476" cm="1">
        <f t="array" ref="A2476">INDEX('Portfolio Weights Returns'!$B$9:$BJ$69,
INT((ROW(A2475)-1)/COLUMNS('Portfolio Weights Returns'!$B$9:$BJ$69))+1,MOD(ROW(A2475)-1,COLUMNS('Portfolio Weights Returns'!$B$9:$BJ$69))+1)</f>
        <v>-7.0144707593609412E-4</v>
      </c>
      <c r="B2476" cm="1">
        <f t="array" ref="B2476">INDEX('Portfolio Weights Std'!$B$9:$BJ$69,INT((ROW(A2475)-1)/COLUMNS('Portfolio Weights Std'!$B$9:$BJ$69))+1,MOD(ROW(A2475)-1,COLUMNS('Portfolio Weights Std'!$B$9:$BJ$69))+1)</f>
        <v>1.7833940537753099E-2</v>
      </c>
    </row>
    <row r="2477" spans="1:2" x14ac:dyDescent="0.25">
      <c r="A2477" cm="1">
        <f t="array" ref="A2477">INDEX('Portfolio Weights Returns'!$B$9:$BJ$69,
INT((ROW(A2476)-1)/COLUMNS('Portfolio Weights Returns'!$B$9:$BJ$69))+1,MOD(ROW(A2476)-1,COLUMNS('Portfolio Weights Returns'!$B$9:$BJ$69))+1)</f>
        <v>-6.9466590196941497E-4</v>
      </c>
      <c r="B2477" cm="1">
        <f t="array" ref="B2477">INDEX('Portfolio Weights Std'!$B$9:$BJ$69,INT((ROW(A2476)-1)/COLUMNS('Portfolio Weights Std'!$B$9:$BJ$69))+1,MOD(ROW(A2476)-1,COLUMNS('Portfolio Weights Std'!$B$9:$BJ$69))+1)</f>
        <v>1.7711234027362539E-2</v>
      </c>
    </row>
    <row r="2478" spans="1:2" x14ac:dyDescent="0.25">
      <c r="A2478" cm="1">
        <f t="array" ref="A2478">INDEX('Portfolio Weights Returns'!$B$9:$BJ$69,
INT((ROW(A2477)-1)/COLUMNS('Portfolio Weights Returns'!$B$9:$BJ$69))+1,MOD(ROW(A2477)-1,COLUMNS('Portfolio Weights Returns'!$B$9:$BJ$69))+1)</f>
        <v>-6.8788472800273572E-4</v>
      </c>
      <c r="B2478" cm="1">
        <f t="array" ref="B2478">INDEX('Portfolio Weights Std'!$B$9:$BJ$69,INT((ROW(A2477)-1)/COLUMNS('Portfolio Weights Std'!$B$9:$BJ$69))+1,MOD(ROW(A2477)-1,COLUMNS('Portfolio Weights Std'!$B$9:$BJ$69))+1)</f>
        <v>1.7590303928489179E-2</v>
      </c>
    </row>
    <row r="2479" spans="1:2" x14ac:dyDescent="0.25">
      <c r="A2479" cm="1">
        <f t="array" ref="A2479">INDEX('Portfolio Weights Returns'!$B$9:$BJ$69,
INT((ROW(A2478)-1)/COLUMNS('Portfolio Weights Returns'!$B$9:$BJ$69))+1,MOD(ROW(A2478)-1,COLUMNS('Portfolio Weights Returns'!$B$9:$BJ$69))+1)</f>
        <v>-6.8110355403605668E-4</v>
      </c>
      <c r="B2479" cm="1">
        <f t="array" ref="B2479">INDEX('Portfolio Weights Std'!$B$9:$BJ$69,INT((ROW(A2478)-1)/COLUMNS('Portfolio Weights Std'!$B$9:$BJ$69))+1,MOD(ROW(A2478)-1,COLUMNS('Portfolio Weights Std'!$B$9:$BJ$69))+1)</f>
        <v>1.7471187128468551E-2</v>
      </c>
    </row>
    <row r="2480" spans="1:2" x14ac:dyDescent="0.25">
      <c r="A2480" cm="1">
        <f t="array" ref="A2480">INDEX('Portfolio Weights Returns'!$B$9:$BJ$69,
INT((ROW(A2479)-1)/COLUMNS('Portfolio Weights Returns'!$B$9:$BJ$69))+1,MOD(ROW(A2479)-1,COLUMNS('Portfolio Weights Returns'!$B$9:$BJ$69))+1)</f>
        <v>-6.7432238006937765E-4</v>
      </c>
      <c r="B2480" cm="1">
        <f t="array" ref="B2480">INDEX('Portfolio Weights Std'!$B$9:$BJ$69,INT((ROW(A2479)-1)/COLUMNS('Portfolio Weights Std'!$B$9:$BJ$69))+1,MOD(ROW(A2479)-1,COLUMNS('Portfolio Weights Std'!$B$9:$BJ$69))+1)</f>
        <v>1.735392096662983E-2</v>
      </c>
    </row>
    <row r="2481" spans="1:2" x14ac:dyDescent="0.25">
      <c r="A2481" cm="1">
        <f t="array" ref="A2481">INDEX('Portfolio Weights Returns'!$B$9:$BJ$69,
INT((ROW(A2480)-1)/COLUMNS('Portfolio Weights Returns'!$B$9:$BJ$69))+1,MOD(ROW(A2480)-1,COLUMNS('Portfolio Weights Returns'!$B$9:$BJ$69))+1)</f>
        <v>-6.6754120610269861E-4</v>
      </c>
      <c r="B2481" cm="1">
        <f t="array" ref="B2481">INDEX('Portfolio Weights Std'!$B$9:$BJ$69,INT((ROW(A2480)-1)/COLUMNS('Portfolio Weights Std'!$B$9:$BJ$69))+1,MOD(ROW(A2480)-1,COLUMNS('Portfolio Weights Std'!$B$9:$BJ$69))+1)</f>
        <v>1.7238543210226019E-2</v>
      </c>
    </row>
    <row r="2482" spans="1:2" x14ac:dyDescent="0.25">
      <c r="A2482" cm="1">
        <f t="array" ref="A2482">INDEX('Portfolio Weights Returns'!$B$9:$BJ$69,
INT((ROW(A2481)-1)/COLUMNS('Portfolio Weights Returns'!$B$9:$BJ$69))+1,MOD(ROW(A2481)-1,COLUMNS('Portfolio Weights Returns'!$B$9:$BJ$69))+1)</f>
        <v>-6.6076003213601947E-4</v>
      </c>
      <c r="B2482" cm="1">
        <f t="array" ref="B2482">INDEX('Portfolio Weights Std'!$B$9:$BJ$69,INT((ROW(A2481)-1)/COLUMNS('Portfolio Weights Std'!$B$9:$BJ$69))+1,MOD(ROW(A2481)-1,COLUMNS('Portfolio Weights Std'!$B$9:$BJ$69))+1)</f>
        <v>1.7125092027850557E-2</v>
      </c>
    </row>
    <row r="2483" spans="1:2" x14ac:dyDescent="0.25">
      <c r="A2483" cm="1">
        <f t="array" ref="A2483">INDEX('Portfolio Weights Returns'!$B$9:$BJ$69,
INT((ROW(A2482)-1)/COLUMNS('Portfolio Weights Returns'!$B$9:$BJ$69))+1,MOD(ROW(A2482)-1,COLUMNS('Portfolio Weights Returns'!$B$9:$BJ$69))+1)</f>
        <v>-6.5397885816934043E-4</v>
      </c>
      <c r="B2483" cm="1">
        <f t="array" ref="B2483">INDEX('Portfolio Weights Std'!$B$9:$BJ$69,INT((ROW(A2482)-1)/COLUMNS('Portfolio Weights Std'!$B$9:$BJ$69))+1,MOD(ROW(A2482)-1,COLUMNS('Portfolio Weights Std'!$B$9:$BJ$69))+1)</f>
        <v>1.7013605960248333E-2</v>
      </c>
    </row>
    <row r="2484" spans="1:2" x14ac:dyDescent="0.25">
      <c r="A2484" cm="1">
        <f t="array" ref="A2484">INDEX('Portfolio Weights Returns'!$B$9:$BJ$69,
INT((ROW(A2483)-1)/COLUMNS('Portfolio Weights Returns'!$B$9:$BJ$69))+1,MOD(ROW(A2483)-1,COLUMNS('Portfolio Weights Returns'!$B$9:$BJ$69))+1)</f>
        <v>-6.4719768420266118E-4</v>
      </c>
      <c r="B2484" cm="1">
        <f t="array" ref="B2484">INDEX('Portfolio Weights Std'!$B$9:$BJ$69,INT((ROW(A2483)-1)/COLUMNS('Portfolio Weights Std'!$B$9:$BJ$69))+1,MOD(ROW(A2483)-1,COLUMNS('Portfolio Weights Std'!$B$9:$BJ$69))+1)</f>
        <v>1.6904123888435346E-2</v>
      </c>
    </row>
    <row r="2485" spans="1:2" x14ac:dyDescent="0.25">
      <c r="A2485" cm="1">
        <f t="array" ref="A2485">INDEX('Portfolio Weights Returns'!$B$9:$BJ$69,
INT((ROW(A2484)-1)/COLUMNS('Portfolio Weights Returns'!$B$9:$BJ$69))+1,MOD(ROW(A2484)-1,COLUMNS('Portfolio Weights Returns'!$B$9:$BJ$69))+1)</f>
        <v>-6.4041651023598214E-4</v>
      </c>
      <c r="B2485" cm="1">
        <f t="array" ref="B2485">INDEX('Portfolio Weights Std'!$B$9:$BJ$69,INT((ROW(A2484)-1)/COLUMNS('Portfolio Weights Std'!$B$9:$BJ$69))+1,MOD(ROW(A2484)-1,COLUMNS('Portfolio Weights Std'!$B$9:$BJ$69))+1)</f>
        <v>1.6796684999048749E-2</v>
      </c>
    </row>
    <row r="2486" spans="1:2" x14ac:dyDescent="0.25">
      <c r="A2486" cm="1">
        <f t="array" ref="A2486">INDEX('Portfolio Weights Returns'!$B$9:$BJ$69,
INT((ROW(A2485)-1)/COLUMNS('Portfolio Weights Returns'!$B$9:$BJ$69))+1,MOD(ROW(A2485)-1,COLUMNS('Portfolio Weights Returns'!$B$9:$BJ$69))+1)</f>
        <v>-6.33635336269303E-4</v>
      </c>
      <c r="B2486" cm="1">
        <f t="array" ref="B2486">INDEX('Portfolio Weights Std'!$B$9:$BJ$69,INT((ROW(A2485)-1)/COLUMNS('Portfolio Weights Std'!$B$9:$BJ$69))+1,MOD(ROW(A2485)-1,COLUMNS('Portfolio Weights Std'!$B$9:$BJ$69))+1)</f>
        <v>1.6691328746858174E-2</v>
      </c>
    </row>
    <row r="2487" spans="1:2" x14ac:dyDescent="0.25">
      <c r="A2487" cm="1">
        <f t="array" ref="A2487">INDEX('Portfolio Weights Returns'!$B$9:$BJ$69,
INT((ROW(A2486)-1)/COLUMNS('Portfolio Weights Returns'!$B$9:$BJ$69))+1,MOD(ROW(A2486)-1,COLUMNS('Portfolio Weights Returns'!$B$9:$BJ$69))+1)</f>
        <v>-6.2685416230262385E-4</v>
      </c>
      <c r="B2487" cm="1">
        <f t="array" ref="B2487">INDEX('Portfolio Weights Std'!$B$9:$BJ$69,INT((ROW(A2486)-1)/COLUMNS('Portfolio Weights Std'!$B$9:$BJ$69))+1,MOD(ROW(A2486)-1,COLUMNS('Portfolio Weights Std'!$B$9:$BJ$69))+1)</f>
        <v>1.658809481437952E-2</v>
      </c>
    </row>
    <row r="2488" spans="1:2" x14ac:dyDescent="0.25">
      <c r="A2488" cm="1">
        <f t="array" ref="A2488">INDEX('Portfolio Weights Returns'!$B$9:$BJ$69,
INT((ROW(A2487)-1)/COLUMNS('Portfolio Weights Returns'!$B$9:$BJ$69))+1,MOD(ROW(A2487)-1,COLUMNS('Portfolio Weights Returns'!$B$9:$BJ$69))+1)</f>
        <v>-6.2007298833594482E-4</v>
      </c>
      <c r="B2488" cm="1">
        <f t="array" ref="B2488">INDEX('Portfolio Weights Std'!$B$9:$BJ$69,INT((ROW(A2487)-1)/COLUMNS('Portfolio Weights Std'!$B$9:$BJ$69))+1,MOD(ROW(A2487)-1,COLUMNS('Portfolio Weights Std'!$B$9:$BJ$69))+1)</f>
        <v>1.648702306854459E-2</v>
      </c>
    </row>
    <row r="2489" spans="1:2" x14ac:dyDescent="0.25">
      <c r="A2489" cm="1">
        <f t="array" ref="A2489">INDEX('Portfolio Weights Returns'!$B$9:$BJ$69,
INT((ROW(A2488)-1)/COLUMNS('Portfolio Weights Returns'!$B$9:$BJ$69))+1,MOD(ROW(A2488)-1,COLUMNS('Portfolio Weights Returns'!$B$9:$BJ$69))+1)</f>
        <v>-6.1329181436926567E-4</v>
      </c>
      <c r="B2489" cm="1">
        <f t="array" ref="B2489">INDEX('Portfolio Weights Std'!$B$9:$BJ$69,INT((ROW(A2488)-1)/COLUMNS('Portfolio Weights Std'!$B$9:$BJ$69))+1,MOD(ROW(A2488)-1,COLUMNS('Portfolio Weights Std'!$B$9:$BJ$69))+1)</f>
        <v>1.6388153514393378E-2</v>
      </c>
    </row>
    <row r="2490" spans="1:2" x14ac:dyDescent="0.25">
      <c r="A2490" cm="1">
        <f t="array" ref="A2490">INDEX('Portfolio Weights Returns'!$B$9:$BJ$69,
INT((ROW(A2489)-1)/COLUMNS('Portfolio Weights Returns'!$B$9:$BJ$69))+1,MOD(ROW(A2489)-1,COLUMNS('Portfolio Weights Returns'!$B$9:$BJ$69))+1)</f>
        <v>-6.0651064040258664E-4</v>
      </c>
      <c r="B2490" cm="1">
        <f t="array" ref="B2490">INDEX('Portfolio Weights Std'!$B$9:$BJ$69,INT((ROW(A2489)-1)/COLUMNS('Portfolio Weights Std'!$B$9:$BJ$69))+1,MOD(ROW(A2489)-1,COLUMNS('Portfolio Weights Std'!$B$9:$BJ$69))+1)</f>
        <v>1.629152624577122E-2</v>
      </c>
    </row>
    <row r="2491" spans="1:2" x14ac:dyDescent="0.25">
      <c r="A2491" cm="1">
        <f t="array" ref="A2491">INDEX('Portfolio Weights Returns'!$B$9:$BJ$69,
INT((ROW(A2490)-1)/COLUMNS('Portfolio Weights Returns'!$B$9:$BJ$69))+1,MOD(ROW(A2490)-1,COLUMNS('Portfolio Weights Returns'!$B$9:$BJ$69))+1)</f>
        <v>-5.9972946643590749E-4</v>
      </c>
      <c r="B2491" cm="1">
        <f t="array" ref="B2491">INDEX('Portfolio Weights Std'!$B$9:$BJ$69,INT((ROW(A2490)-1)/COLUMNS('Portfolio Weights Std'!$B$9:$BJ$69))+1,MOD(ROW(A2490)-1,COLUMNS('Portfolio Weights Std'!$B$9:$BJ$69))+1)</f>
        <v>1.6197181393029683E-2</v>
      </c>
    </row>
    <row r="2492" spans="1:2" x14ac:dyDescent="0.25">
      <c r="A2492" cm="1">
        <f t="array" ref="A2492">INDEX('Portfolio Weights Returns'!$B$9:$BJ$69,
INT((ROW(A2491)-1)/COLUMNS('Portfolio Weights Returns'!$B$9:$BJ$69))+1,MOD(ROW(A2491)-1,COLUMNS('Portfolio Weights Returns'!$B$9:$BJ$69))+1)</f>
        <v>-5.9294829246922846E-4</v>
      </c>
      <c r="B2492" cm="1">
        <f t="array" ref="B2492">INDEX('Portfolio Weights Std'!$B$9:$BJ$69,INT((ROW(A2491)-1)/COLUMNS('Portfolio Weights Std'!$B$9:$BJ$69))+1,MOD(ROW(A2491)-1,COLUMNS('Portfolio Weights Std'!$B$9:$BJ$69))+1)</f>
        <v>1.6105159067748672E-2</v>
      </c>
    </row>
    <row r="2493" spans="1:2" x14ac:dyDescent="0.25">
      <c r="A2493" cm="1">
        <f t="array" ref="A2493">INDEX('Portfolio Weights Returns'!$B$9:$BJ$69,
INT((ROW(A2492)-1)/COLUMNS('Portfolio Weights Returns'!$B$9:$BJ$69))+1,MOD(ROW(A2492)-1,COLUMNS('Portfolio Weights Returns'!$B$9:$BJ$69))+1)</f>
        <v>-5.8616711850254931E-4</v>
      </c>
      <c r="B2493" cm="1">
        <f t="array" ref="B2493">INDEX('Portfolio Weights Std'!$B$9:$BJ$69,INT((ROW(A2492)-1)/COLUMNS('Portfolio Weights Std'!$B$9:$BJ$69))+1,MOD(ROW(A2492)-1,COLUMNS('Portfolio Weights Std'!$B$9:$BJ$69))+1)</f>
        <v>1.6015499304517285E-2</v>
      </c>
    </row>
    <row r="2494" spans="1:2" x14ac:dyDescent="0.25">
      <c r="A2494" cm="1">
        <f t="array" ref="A2494">INDEX('Portfolio Weights Returns'!$B$9:$BJ$69,
INT((ROW(A2493)-1)/COLUMNS('Portfolio Weights Returns'!$B$9:$BJ$69))+1,MOD(ROW(A2493)-1,COLUMNS('Portfolio Weights Returns'!$B$9:$BJ$69))+1)</f>
        <v>-5.7938594453587028E-4</v>
      </c>
      <c r="B2494" cm="1">
        <f t="array" ref="B2494">INDEX('Portfolio Weights Std'!$B$9:$BJ$69,INT((ROW(A2493)-1)/COLUMNS('Portfolio Weights Std'!$B$9:$BJ$69))+1,MOD(ROW(A2493)-1,COLUMNS('Portfolio Weights Std'!$B$9:$BJ$69))+1)</f>
        <v>1.5928241999832431E-2</v>
      </c>
    </row>
    <row r="2495" spans="1:2" x14ac:dyDescent="0.25">
      <c r="A2495" cm="1">
        <f t="array" ref="A2495">INDEX('Portfolio Weights Returns'!$B$9:$BJ$69,
INT((ROW(A2494)-1)/COLUMNS('Portfolio Weights Returns'!$B$9:$BJ$69))+1,MOD(ROW(A2494)-1,COLUMNS('Portfolio Weights Returns'!$B$9:$BJ$69))+1)</f>
        <v>-5.7260477056919113E-4</v>
      </c>
      <c r="B2495" cm="1">
        <f t="array" ref="B2495">INDEX('Portfolio Weights Std'!$B$9:$BJ$69,INT((ROW(A2494)-1)/COLUMNS('Portfolio Weights Std'!$B$9:$BJ$69))+1,MOD(ROW(A2494)-1,COLUMNS('Portfolio Weights Std'!$B$9:$BJ$69))+1)</f>
        <v>1.5843426848197457E-2</v>
      </c>
    </row>
    <row r="2496" spans="1:2" x14ac:dyDescent="0.25">
      <c r="A2496" cm="1">
        <f t="array" ref="A2496">INDEX('Portfolio Weights Returns'!$B$9:$BJ$69,
INT((ROW(A2495)-1)/COLUMNS('Portfolio Weights Returns'!$B$9:$BJ$69))+1,MOD(ROW(A2495)-1,COLUMNS('Portfolio Weights Returns'!$B$9:$BJ$69))+1)</f>
        <v>-5.6582359660251199E-4</v>
      </c>
      <c r="B2496" cm="1">
        <f t="array" ref="B2496">INDEX('Portfolio Weights Std'!$B$9:$BJ$69,INT((ROW(A2495)-1)/COLUMNS('Portfolio Weights Std'!$B$9:$BJ$69))+1,MOD(ROW(A2495)-1,COLUMNS('Portfolio Weights Std'!$B$9:$BJ$69))+1)</f>
        <v>1.5761093275527181E-2</v>
      </c>
    </row>
    <row r="2497" spans="1:2" x14ac:dyDescent="0.25">
      <c r="A2497" cm="1">
        <f t="array" ref="A2497">INDEX('Portfolio Weights Returns'!$B$9:$BJ$69,
INT((ROW(A2496)-1)/COLUMNS('Portfolio Weights Returns'!$B$9:$BJ$69))+1,MOD(ROW(A2496)-1,COLUMNS('Portfolio Weights Returns'!$B$9:$BJ$69))+1)</f>
        <v>-5.5904242263583284E-4</v>
      </c>
      <c r="B2497" cm="1">
        <f t="array" ref="B2497">INDEX('Portfolio Weights Std'!$B$9:$BJ$69,INT((ROW(A2496)-1)/COLUMNS('Portfolio Weights Std'!$B$9:$BJ$69))+1,MOD(ROW(A2496)-1,COLUMNS('Portfolio Weights Std'!$B$9:$BJ$69))+1)</f>
        <v>1.5681280369991415E-2</v>
      </c>
    </row>
    <row r="2498" spans="1:2" x14ac:dyDescent="0.25">
      <c r="A2498" cm="1">
        <f t="array" ref="A2498">INDEX('Portfolio Weights Returns'!$B$9:$BJ$69,
INT((ROW(A2497)-1)/COLUMNS('Portfolio Weights Returns'!$B$9:$BJ$69))+1,MOD(ROW(A2497)-1,COLUMNS('Portfolio Weights Returns'!$B$9:$BJ$69))+1)</f>
        <v>-5.522612486691537E-4</v>
      </c>
      <c r="B2498" cm="1">
        <f t="array" ref="B2498">INDEX('Portfolio Weights Std'!$B$9:$BJ$69,INT((ROW(A2497)-1)/COLUMNS('Portfolio Weights Std'!$B$9:$BJ$69))+1,MOD(ROW(A2497)-1,COLUMNS('Portfolio Weights Std'!$B$9:$BJ$69))+1)</f>
        <v>1.5604026810455501E-2</v>
      </c>
    </row>
    <row r="2499" spans="1:2" x14ac:dyDescent="0.25">
      <c r="A2499" cm="1">
        <f t="array" ref="A2499">INDEX('Portfolio Weights Returns'!$B$9:$BJ$69,
INT((ROW(A2498)-1)/COLUMNS('Portfolio Weights Returns'!$B$9:$BJ$69))+1,MOD(ROW(A2498)-1,COLUMNS('Portfolio Weights Returns'!$B$9:$BJ$69))+1)</f>
        <v>-5.4548007470247401E-4</v>
      </c>
      <c r="B2499" cm="1">
        <f t="array" ref="B2499">INDEX('Portfolio Weights Std'!$B$9:$BJ$69,INT((ROW(A2498)-1)/COLUMNS('Portfolio Weights Std'!$B$9:$BJ$69))+1,MOD(ROW(A2498)-1,COLUMNS('Portfolio Weights Std'!$B$9:$BJ$69))+1)</f>
        <v>1.5529370792703603E-2</v>
      </c>
    </row>
    <row r="2500" spans="1:2" x14ac:dyDescent="0.25">
      <c r="A2500" cm="1">
        <f t="array" ref="A2500">INDEX('Portfolio Weights Returns'!$B$9:$BJ$69,
INT((ROW(A2499)-1)/COLUMNS('Portfolio Weights Returns'!$B$9:$BJ$69))+1,MOD(ROW(A2499)-1,COLUMNS('Portfolio Weights Returns'!$B$9:$BJ$69))+1)</f>
        <v>-5.3869890073579498E-4</v>
      </c>
      <c r="B2500" cm="1">
        <f t="array" ref="B2500">INDEX('Portfolio Weights Std'!$B$9:$BJ$69,INT((ROW(A2499)-1)/COLUMNS('Portfolio Weights Std'!$B$9:$BJ$69))+1,MOD(ROW(A2499)-1,COLUMNS('Portfolio Weights Std'!$B$9:$BJ$69))+1)</f>
        <v>1.5457349953658408E-2</v>
      </c>
    </row>
    <row r="2501" spans="1:2" x14ac:dyDescent="0.25">
      <c r="A2501" cm="1">
        <f t="array" ref="A2501">INDEX('Portfolio Weights Returns'!$B$9:$BJ$69,
INT((ROW(A2500)-1)/COLUMNS('Portfolio Weights Returns'!$B$9:$BJ$69))+1,MOD(ROW(A2500)-1,COLUMNS('Portfolio Weights Returns'!$B$9:$BJ$69))+1)</f>
        <v>-5.3191772676911583E-4</v>
      </c>
      <c r="B2501" cm="1">
        <f t="array" ref="B2501">INDEX('Portfolio Weights Std'!$B$9:$BJ$69,INT((ROW(A2500)-1)/COLUMNS('Portfolio Weights Std'!$B$9:$BJ$69))+1,MOD(ROW(A2500)-1,COLUMNS('Portfolio Weights Std'!$B$9:$BJ$69))+1)</f>
        <v>1.5388001293838566E-2</v>
      </c>
    </row>
    <row r="2502" spans="1:2" x14ac:dyDescent="0.25">
      <c r="A2502" cm="1">
        <f t="array" ref="A2502">INDEX('Portfolio Weights Returns'!$B$9:$BJ$69,
INT((ROW(A2501)-1)/COLUMNS('Portfolio Weights Returns'!$B$9:$BJ$69))+1,MOD(ROW(A2501)-1,COLUMNS('Portfolio Weights Returns'!$B$9:$BJ$69))+1)</f>
        <v>-5.2513655280243669E-4</v>
      </c>
      <c r="B2502" cm="1">
        <f t="array" ref="B2502">INDEX('Portfolio Weights Std'!$B$9:$BJ$69,INT((ROW(A2501)-1)/COLUMNS('Portfolio Weights Std'!$B$9:$BJ$69))+1,MOD(ROW(A2501)-1,COLUMNS('Portfolio Weights Std'!$B$9:$BJ$69))+1)</f>
        <v>1.5321361098323383E-2</v>
      </c>
    </row>
    <row r="2503" spans="1:2" x14ac:dyDescent="0.25">
      <c r="A2503" cm="1">
        <f t="array" ref="A2503">INDEX('Portfolio Weights Returns'!$B$9:$BJ$69,
INT((ROW(A2502)-1)/COLUMNS('Portfolio Weights Returns'!$B$9:$BJ$69))+1,MOD(ROW(A2502)-1,COLUMNS('Portfolio Weights Returns'!$B$9:$BJ$69))+1)</f>
        <v>-9.2543278295772839E-4</v>
      </c>
      <c r="B2503" cm="1">
        <f t="array" ref="B2503">INDEX('Portfolio Weights Std'!$B$9:$BJ$69,INT((ROW(A2502)-1)/COLUMNS('Portfolio Weights Std'!$B$9:$BJ$69))+1,MOD(ROW(A2502)-1,COLUMNS('Portfolio Weights Std'!$B$9:$BJ$69))+1)</f>
        <v>2.2754410588340875E-2</v>
      </c>
    </row>
    <row r="2504" spans="1:2" x14ac:dyDescent="0.25">
      <c r="A2504" cm="1">
        <f t="array" ref="A2504">INDEX('Portfolio Weights Returns'!$B$9:$BJ$69,
INT((ROW(A2503)-1)/COLUMNS('Portfolio Weights Returns'!$B$9:$BJ$69))+1,MOD(ROW(A2503)-1,COLUMNS('Portfolio Weights Returns'!$B$9:$BJ$69))+1)</f>
        <v>-9.1865160899104925E-4</v>
      </c>
      <c r="B2504" cm="1">
        <f t="array" ref="B2504">INDEX('Portfolio Weights Std'!$B$9:$BJ$69,INT((ROW(A2503)-1)/COLUMNS('Portfolio Weights Std'!$B$9:$BJ$69))+1,MOD(ROW(A2503)-1,COLUMNS('Portfolio Weights Std'!$B$9:$BJ$69))+1)</f>
        <v>2.2590466272938332E-2</v>
      </c>
    </row>
    <row r="2505" spans="1:2" x14ac:dyDescent="0.25">
      <c r="A2505" cm="1">
        <f t="array" ref="A2505">INDEX('Portfolio Weights Returns'!$B$9:$BJ$69,
INT((ROW(A2504)-1)/COLUMNS('Portfolio Weights Returns'!$B$9:$BJ$69))+1,MOD(ROW(A2504)-1,COLUMNS('Portfolio Weights Returns'!$B$9:$BJ$69))+1)</f>
        <v>-9.1187043502437021E-4</v>
      </c>
      <c r="B2505" cm="1">
        <f t="array" ref="B2505">INDEX('Portfolio Weights Std'!$B$9:$BJ$69,INT((ROW(A2504)-1)/COLUMNS('Portfolio Weights Std'!$B$9:$BJ$69))+1,MOD(ROW(A2504)-1,COLUMNS('Portfolio Weights Std'!$B$9:$BJ$69))+1)</f>
        <v>2.2427388111223634E-2</v>
      </c>
    </row>
    <row r="2506" spans="1:2" x14ac:dyDescent="0.25">
      <c r="A2506" cm="1">
        <f t="array" ref="A2506">INDEX('Portfolio Weights Returns'!$B$9:$BJ$69,
INT((ROW(A2505)-1)/COLUMNS('Portfolio Weights Returns'!$B$9:$BJ$69))+1,MOD(ROW(A2505)-1,COLUMNS('Portfolio Weights Returns'!$B$9:$BJ$69))+1)</f>
        <v>-9.0508926105769107E-4</v>
      </c>
      <c r="B2506" cm="1">
        <f t="array" ref="B2506">INDEX('Portfolio Weights Std'!$B$9:$BJ$69,INT((ROW(A2505)-1)/COLUMNS('Portfolio Weights Std'!$B$9:$BJ$69))+1,MOD(ROW(A2505)-1,COLUMNS('Portfolio Weights Std'!$B$9:$BJ$69))+1)</f>
        <v>2.2265195135252509E-2</v>
      </c>
    </row>
    <row r="2507" spans="1:2" x14ac:dyDescent="0.25">
      <c r="A2507" cm="1">
        <f t="array" ref="A2507">INDEX('Portfolio Weights Returns'!$B$9:$BJ$69,
INT((ROW(A2506)-1)/COLUMNS('Portfolio Weights Returns'!$B$9:$BJ$69))+1,MOD(ROW(A2506)-1,COLUMNS('Portfolio Weights Returns'!$B$9:$BJ$69))+1)</f>
        <v>-8.9830808709101193E-4</v>
      </c>
      <c r="B2507" cm="1">
        <f t="array" ref="B2507">INDEX('Portfolio Weights Std'!$B$9:$BJ$69,INT((ROW(A2506)-1)/COLUMNS('Portfolio Weights Std'!$B$9:$BJ$69))+1,MOD(ROW(A2506)-1,COLUMNS('Portfolio Weights Std'!$B$9:$BJ$69))+1)</f>
        <v>2.2103906830852657E-2</v>
      </c>
    </row>
    <row r="2508" spans="1:2" x14ac:dyDescent="0.25">
      <c r="A2508" cm="1">
        <f t="array" ref="A2508">INDEX('Portfolio Weights Returns'!$B$9:$BJ$69,
INT((ROW(A2507)-1)/COLUMNS('Portfolio Weights Returns'!$B$9:$BJ$69))+1,MOD(ROW(A2507)-1,COLUMNS('Portfolio Weights Returns'!$B$9:$BJ$69))+1)</f>
        <v>-8.9152691312433278E-4</v>
      </c>
      <c r="B2508" cm="1">
        <f t="array" ref="B2508">INDEX('Portfolio Weights Std'!$B$9:$BJ$69,INT((ROW(A2507)-1)/COLUMNS('Portfolio Weights Std'!$B$9:$BJ$69))+1,MOD(ROW(A2507)-1,COLUMNS('Portfolio Weights Std'!$B$9:$BJ$69))+1)</f>
        <v>2.1943543146444779E-2</v>
      </c>
    </row>
    <row r="2509" spans="1:2" x14ac:dyDescent="0.25">
      <c r="A2509" cm="1">
        <f t="array" ref="A2509">INDEX('Portfolio Weights Returns'!$B$9:$BJ$69,
INT((ROW(A2508)-1)/COLUMNS('Portfolio Weights Returns'!$B$9:$BJ$69))+1,MOD(ROW(A2508)-1,COLUMNS('Portfolio Weights Returns'!$B$9:$BJ$69))+1)</f>
        <v>-8.8474573915765364E-4</v>
      </c>
      <c r="B2509" cm="1">
        <f t="array" ref="B2509">INDEX('Portfolio Weights Std'!$B$9:$BJ$69,INT((ROW(A2508)-1)/COLUMNS('Portfolio Weights Std'!$B$9:$BJ$69))+1,MOD(ROW(A2508)-1,COLUMNS('Portfolio Weights Std'!$B$9:$BJ$69))+1)</f>
        <v>2.1784124501789789E-2</v>
      </c>
    </row>
    <row r="2510" spans="1:2" x14ac:dyDescent="0.25">
      <c r="A2510" cm="1">
        <f t="array" ref="A2510">INDEX('Portfolio Weights Returns'!$B$9:$BJ$69,
INT((ROW(A2509)-1)/COLUMNS('Portfolio Weights Returns'!$B$9:$BJ$69))+1,MOD(ROW(A2509)-1,COLUMNS('Portfolio Weights Returns'!$B$9:$BJ$69))+1)</f>
        <v>-8.779645651909746E-4</v>
      </c>
      <c r="B2510" cm="1">
        <f t="array" ref="B2510">INDEX('Portfolio Weights Std'!$B$9:$BJ$69,INT((ROW(A2509)-1)/COLUMNS('Portfolio Weights Std'!$B$9:$BJ$69))+1,MOD(ROW(A2509)-1,COLUMNS('Portfolio Weights Std'!$B$9:$BJ$69))+1)</f>
        <v>2.1625671796635562E-2</v>
      </c>
    </row>
    <row r="2511" spans="1:2" x14ac:dyDescent="0.25">
      <c r="A2511" cm="1">
        <f t="array" ref="A2511">INDEX('Portfolio Weights Returns'!$B$9:$BJ$69,
INT((ROW(A2510)-1)/COLUMNS('Portfolio Weights Returns'!$B$9:$BJ$69))+1,MOD(ROW(A2510)-1,COLUMNS('Portfolio Weights Returns'!$B$9:$BJ$69))+1)</f>
        <v>-8.7118339122429546E-4</v>
      </c>
      <c r="B2511" cm="1">
        <f t="array" ref="B2511">INDEX('Portfolio Weights Std'!$B$9:$BJ$69,INT((ROW(A2510)-1)/COLUMNS('Portfolio Weights Std'!$B$9:$BJ$69))+1,MOD(ROW(A2510)-1,COLUMNS('Portfolio Weights Std'!$B$9:$BJ$69))+1)</f>
        <v>2.1468206419234127E-2</v>
      </c>
    </row>
    <row r="2512" spans="1:2" x14ac:dyDescent="0.25">
      <c r="A2512" cm="1">
        <f t="array" ref="A2512">INDEX('Portfolio Weights Returns'!$B$9:$BJ$69,
INT((ROW(A2511)-1)/COLUMNS('Portfolio Weights Returns'!$B$9:$BJ$69))+1,MOD(ROW(A2511)-1,COLUMNS('Portfolio Weights Returns'!$B$9:$BJ$69))+1)</f>
        <v>-8.6440221725761642E-4</v>
      </c>
      <c r="B2512" cm="1">
        <f t="array" ref="B2512">INDEX('Portfolio Weights Std'!$B$9:$BJ$69,INT((ROW(A2511)-1)/COLUMNS('Portfolio Weights Std'!$B$9:$BJ$69))+1,MOD(ROW(A2511)-1,COLUMNS('Portfolio Weights Std'!$B$9:$BJ$69))+1)</f>
        <v>2.1311750254697941E-2</v>
      </c>
    </row>
    <row r="2513" spans="1:2" x14ac:dyDescent="0.25">
      <c r="A2513" cm="1">
        <f t="array" ref="A2513">INDEX('Portfolio Weights Returns'!$B$9:$BJ$69,
INT((ROW(A2512)-1)/COLUMNS('Portfolio Weights Returns'!$B$9:$BJ$69))+1,MOD(ROW(A2512)-1,COLUMNS('Portfolio Weights Returns'!$B$9:$BJ$69))+1)</f>
        <v>-8.5762104329093728E-4</v>
      </c>
      <c r="B2513" cm="1">
        <f t="array" ref="B2513">INDEX('Portfolio Weights Std'!$B$9:$BJ$69,INT((ROW(A2512)-1)/COLUMNS('Portfolio Weights Std'!$B$9:$BJ$69))+1,MOD(ROW(A2512)-1,COLUMNS('Portfolio Weights Std'!$B$9:$BJ$69))+1)</f>
        <v>2.1156325693161282E-2</v>
      </c>
    </row>
    <row r="2514" spans="1:2" x14ac:dyDescent="0.25">
      <c r="A2514" cm="1">
        <f t="array" ref="A2514">INDEX('Portfolio Weights Returns'!$B$9:$BJ$69,
INT((ROW(A2513)-1)/COLUMNS('Portfolio Weights Returns'!$B$9:$BJ$69))+1,MOD(ROW(A2513)-1,COLUMNS('Portfolio Weights Returns'!$B$9:$BJ$69))+1)</f>
        <v>-8.5083986932425824E-4</v>
      </c>
      <c r="B2514" cm="1">
        <f t="array" ref="B2514">INDEX('Portfolio Weights Std'!$B$9:$BJ$69,INT((ROW(A2513)-1)/COLUMNS('Portfolio Weights Std'!$B$9:$BJ$69))+1,MOD(ROW(A2513)-1,COLUMNS('Portfolio Weights Std'!$B$9:$BJ$69))+1)</f>
        <v>2.100195563771004E-2</v>
      </c>
    </row>
    <row r="2515" spans="1:2" x14ac:dyDescent="0.25">
      <c r="A2515" cm="1">
        <f t="array" ref="A2515">INDEX('Portfolio Weights Returns'!$B$9:$BJ$69,
INT((ROW(A2514)-1)/COLUMNS('Portfolio Weights Returns'!$B$9:$BJ$69))+1,MOD(ROW(A2514)-1,COLUMNS('Portfolio Weights Returns'!$B$9:$BJ$69))+1)</f>
        <v>-8.4405869535757899E-4</v>
      </c>
      <c r="B2515" cm="1">
        <f t="array" ref="B2515">INDEX('Portfolio Weights Std'!$B$9:$BJ$69,INT((ROW(A2514)-1)/COLUMNS('Portfolio Weights Std'!$B$9:$BJ$69))+1,MOD(ROW(A2514)-1,COLUMNS('Portfolio Weights Std'!$B$9:$BJ$69))+1)</f>
        <v>2.0848663512040542E-2</v>
      </c>
    </row>
    <row r="2516" spans="1:2" x14ac:dyDescent="0.25">
      <c r="A2516" cm="1">
        <f t="array" ref="A2516">INDEX('Portfolio Weights Returns'!$B$9:$BJ$69,
INT((ROW(A2515)-1)/COLUMNS('Portfolio Weights Returns'!$B$9:$BJ$69))+1,MOD(ROW(A2515)-1,COLUMNS('Portfolio Weights Returns'!$B$9:$BJ$69))+1)</f>
        <v>-8.3727752139089984E-4</v>
      </c>
      <c r="B2516" cm="1">
        <f t="array" ref="B2516">INDEX('Portfolio Weights Std'!$B$9:$BJ$69,INT((ROW(A2515)-1)/COLUMNS('Portfolio Weights Std'!$B$9:$BJ$69))+1,MOD(ROW(A2515)-1,COLUMNS('Portfolio Weights Std'!$B$9:$BJ$69))+1)</f>
        <v>2.0696473267804997E-2</v>
      </c>
    </row>
    <row r="2517" spans="1:2" x14ac:dyDescent="0.25">
      <c r="A2517" cm="1">
        <f t="array" ref="A2517">INDEX('Portfolio Weights Returns'!$B$9:$BJ$69,
INT((ROW(A2516)-1)/COLUMNS('Portfolio Weights Returns'!$B$9:$BJ$69))+1,MOD(ROW(A2516)-1,COLUMNS('Portfolio Weights Returns'!$B$9:$BJ$69))+1)</f>
        <v>-8.3049634742422081E-4</v>
      </c>
      <c r="B2517" cm="1">
        <f t="array" ref="B2517">INDEX('Portfolio Weights Std'!$B$9:$BJ$69,INT((ROW(A2516)-1)/COLUMNS('Portfolio Weights Std'!$B$9:$BJ$69))+1,MOD(ROW(A2516)-1,COLUMNS('Portfolio Weights Std'!$B$9:$BJ$69))+1)</f>
        <v>2.054540939159814E-2</v>
      </c>
    </row>
    <row r="2518" spans="1:2" x14ac:dyDescent="0.25">
      <c r="A2518" cm="1">
        <f t="array" ref="A2518">INDEX('Portfolio Weights Returns'!$B$9:$BJ$69,
INT((ROW(A2517)-1)/COLUMNS('Portfolio Weights Returns'!$B$9:$BJ$69))+1,MOD(ROW(A2517)-1,COLUMNS('Portfolio Weights Returns'!$B$9:$BJ$69))+1)</f>
        <v>-8.2371517345754166E-4</v>
      </c>
      <c r="B2518" cm="1">
        <f t="array" ref="B2518">INDEX('Portfolio Weights Std'!$B$9:$BJ$69,INT((ROW(A2517)-1)/COLUMNS('Portfolio Weights Std'!$B$9:$BJ$69))+1,MOD(ROW(A2517)-1,COLUMNS('Portfolio Weights Std'!$B$9:$BJ$69))+1)</f>
        <v>2.039549691153655E-2</v>
      </c>
    </row>
    <row r="2519" spans="1:2" x14ac:dyDescent="0.25">
      <c r="A2519" cm="1">
        <f t="array" ref="A2519">INDEX('Portfolio Weights Returns'!$B$9:$BJ$69,
INT((ROW(A2518)-1)/COLUMNS('Portfolio Weights Returns'!$B$9:$BJ$69))+1,MOD(ROW(A2518)-1,COLUMNS('Portfolio Weights Returns'!$B$9:$BJ$69))+1)</f>
        <v>-8.1693399949086273E-4</v>
      </c>
      <c r="B2519" cm="1">
        <f t="array" ref="B2519">INDEX('Portfolio Weights Std'!$B$9:$BJ$69,INT((ROW(A2518)-1)/COLUMNS('Portfolio Weights Std'!$B$9:$BJ$69))+1,MOD(ROW(A2518)-1,COLUMNS('Portfolio Weights Std'!$B$9:$BJ$69))+1)</f>
        <v>2.0246761403378843E-2</v>
      </c>
    </row>
    <row r="2520" spans="1:2" x14ac:dyDescent="0.25">
      <c r="A2520" cm="1">
        <f t="array" ref="A2520">INDEX('Portfolio Weights Returns'!$B$9:$BJ$69,
INT((ROW(A2519)-1)/COLUMNS('Portfolio Weights Returns'!$B$9:$BJ$69))+1,MOD(ROW(A2519)-1,COLUMNS('Portfolio Weights Returns'!$B$9:$BJ$69))+1)</f>
        <v>-8.1015282552418348E-4</v>
      </c>
      <c r="B2520" cm="1">
        <f t="array" ref="B2520">INDEX('Portfolio Weights Std'!$B$9:$BJ$69,INT((ROW(A2519)-1)/COLUMNS('Portfolio Weights Std'!$B$9:$BJ$69))+1,MOD(ROW(A2519)-1,COLUMNS('Portfolio Weights Std'!$B$9:$BJ$69))+1)</f>
        <v>2.0099228996131438E-2</v>
      </c>
    </row>
    <row r="2521" spans="1:2" x14ac:dyDescent="0.25">
      <c r="A2521" cm="1">
        <f t="array" ref="A2521">INDEX('Portfolio Weights Returns'!$B$9:$BJ$69,
INT((ROW(A2520)-1)/COLUMNS('Portfolio Weights Returns'!$B$9:$BJ$69))+1,MOD(ROW(A2520)-1,COLUMNS('Portfolio Weights Returns'!$B$9:$BJ$69))+1)</f>
        <v>-8.0337165155750455E-4</v>
      </c>
      <c r="B2521" cm="1">
        <f t="array" ref="B2521">INDEX('Portfolio Weights Std'!$B$9:$BJ$69,INT((ROW(A2520)-1)/COLUMNS('Portfolio Weights Std'!$B$9:$BJ$69))+1,MOD(ROW(A2520)-1,COLUMNS('Portfolio Weights Std'!$B$9:$BJ$69))+1)</f>
        <v>1.9952926377081556E-2</v>
      </c>
    </row>
    <row r="2522" spans="1:2" x14ac:dyDescent="0.25">
      <c r="A2522" cm="1">
        <f t="array" ref="A2522">INDEX('Portfolio Weights Returns'!$B$9:$BJ$69,
INT((ROW(A2521)-1)/COLUMNS('Portfolio Weights Returns'!$B$9:$BJ$69))+1,MOD(ROW(A2521)-1,COLUMNS('Portfolio Weights Returns'!$B$9:$BJ$69))+1)</f>
        <v>-7.9659047759082541E-4</v>
      </c>
      <c r="B2522" cm="1">
        <f t="array" ref="B2522">INDEX('Portfolio Weights Std'!$B$9:$BJ$69,INT((ROW(A2521)-1)/COLUMNS('Portfolio Weights Std'!$B$9:$BJ$69))+1,MOD(ROW(A2521)-1,COLUMNS('Portfolio Weights Std'!$B$9:$BJ$69))+1)</f>
        <v>1.980788079619495E-2</v>
      </c>
    </row>
    <row r="2523" spans="1:2" x14ac:dyDescent="0.25">
      <c r="A2523" cm="1">
        <f t="array" ref="A2523">INDEX('Portfolio Weights Returns'!$B$9:$BJ$69,
INT((ROW(A2522)-1)/COLUMNS('Portfolio Weights Returns'!$B$9:$BJ$69))+1,MOD(ROW(A2522)-1,COLUMNS('Portfolio Weights Returns'!$B$9:$BJ$69))+1)</f>
        <v>-7.8980930362414648E-4</v>
      </c>
      <c r="B2523" cm="1">
        <f t="array" ref="B2523">INDEX('Portfolio Weights Std'!$B$9:$BJ$69,INT((ROW(A2522)-1)/COLUMNS('Portfolio Weights Std'!$B$9:$BJ$69))+1,MOD(ROW(A2522)-1,COLUMNS('Portfolio Weights Std'!$B$9:$BJ$69))+1)</f>
        <v>1.96641200698131E-2</v>
      </c>
    </row>
    <row r="2524" spans="1:2" x14ac:dyDescent="0.25">
      <c r="A2524" cm="1">
        <f t="array" ref="A2524">INDEX('Portfolio Weights Returns'!$B$9:$BJ$69,
INT((ROW(A2523)-1)/COLUMNS('Portfolio Weights Returns'!$B$9:$BJ$69))+1,MOD(ROW(A2523)-1,COLUMNS('Portfolio Weights Returns'!$B$9:$BJ$69))+1)</f>
        <v>-7.8302812965746734E-4</v>
      </c>
      <c r="B2524" cm="1">
        <f t="array" ref="B2524">INDEX('Portfolio Weights Std'!$B$9:$BJ$69,INT((ROW(A2523)-1)/COLUMNS('Portfolio Weights Std'!$B$9:$BJ$69))+1,MOD(ROW(A2523)-1,COLUMNS('Portfolio Weights Std'!$B$9:$BJ$69))+1)</f>
        <v>1.9521672583580282E-2</v>
      </c>
    </row>
    <row r="2525" spans="1:2" x14ac:dyDescent="0.25">
      <c r="A2525" cm="1">
        <f t="array" ref="A2525">INDEX('Portfolio Weights Returns'!$B$9:$BJ$69,
INT((ROW(A2524)-1)/COLUMNS('Portfolio Weights Returns'!$B$9:$BJ$69))+1,MOD(ROW(A2524)-1,COLUMNS('Portfolio Weights Returns'!$B$9:$BJ$69))+1)</f>
        <v>-7.7624695569078819E-4</v>
      </c>
      <c r="B2525" cm="1">
        <f t="array" ref="B2525">INDEX('Portfolio Weights Std'!$B$9:$BJ$69,INT((ROW(A2524)-1)/COLUMNS('Portfolio Weights Std'!$B$9:$BJ$69))+1,MOD(ROW(A2524)-1,COLUMNS('Portfolio Weights Std'!$B$9:$BJ$69))+1)</f>
        <v>1.9380567294527775E-2</v>
      </c>
    </row>
    <row r="2526" spans="1:2" x14ac:dyDescent="0.25">
      <c r="A2526" cm="1">
        <f t="array" ref="A2526">INDEX('Portfolio Weights Returns'!$B$9:$BJ$69,
INT((ROW(A2525)-1)/COLUMNS('Portfolio Weights Returns'!$B$9:$BJ$69))+1,MOD(ROW(A2525)-1,COLUMNS('Portfolio Weights Returns'!$B$9:$BJ$69))+1)</f>
        <v>-7.6946578172410905E-4</v>
      </c>
      <c r="B2526" cm="1">
        <f t="array" ref="B2526">INDEX('Portfolio Weights Std'!$B$9:$BJ$69,INT((ROW(A2525)-1)/COLUMNS('Portfolio Weights Std'!$B$9:$BJ$69))+1,MOD(ROW(A2525)-1,COLUMNS('Portfolio Weights Std'!$B$9:$BJ$69))+1)</f>
        <v>1.9240833732238713E-2</v>
      </c>
    </row>
    <row r="2527" spans="1:2" x14ac:dyDescent="0.25">
      <c r="A2527" cm="1">
        <f t="array" ref="A2527">INDEX('Portfolio Weights Returns'!$B$9:$BJ$69,
INT((ROW(A2526)-1)/COLUMNS('Portfolio Weights Returns'!$B$9:$BJ$69))+1,MOD(ROW(A2526)-1,COLUMNS('Portfolio Weights Returns'!$B$9:$BJ$69))+1)</f>
        <v>-7.626846077574299E-4</v>
      </c>
      <c r="B2527" cm="1">
        <f t="array" ref="B2527">INDEX('Portfolio Weights Std'!$B$9:$BJ$69,INT((ROW(A2526)-1)/COLUMNS('Portfolio Weights Std'!$B$9:$BJ$69))+1,MOD(ROW(A2526)-1,COLUMNS('Portfolio Weights Std'!$B$9:$BJ$69))+1)</f>
        <v>1.9102501999013546E-2</v>
      </c>
    </row>
    <row r="2528" spans="1:2" x14ac:dyDescent="0.25">
      <c r="A2528" cm="1">
        <f t="array" ref="A2528">INDEX('Portfolio Weights Returns'!$B$9:$BJ$69,
INT((ROW(A2527)-1)/COLUMNS('Portfolio Weights Returns'!$B$9:$BJ$69))+1,MOD(ROW(A2527)-1,COLUMNS('Portfolio Weights Returns'!$B$9:$BJ$69))+1)</f>
        <v>-7.5590343379075087E-4</v>
      </c>
      <c r="B2528" cm="1">
        <f t="array" ref="B2528">INDEX('Portfolio Weights Std'!$B$9:$BJ$69,INT((ROW(A2527)-1)/COLUMNS('Portfolio Weights Std'!$B$9:$BJ$69))+1,MOD(ROW(A2527)-1,COLUMNS('Portfolio Weights Std'!$B$9:$BJ$69))+1)</f>
        <v>1.8965602768952639E-2</v>
      </c>
    </row>
    <row r="2529" spans="1:2" x14ac:dyDescent="0.25">
      <c r="A2529" cm="1">
        <f t="array" ref="A2529">INDEX('Portfolio Weights Returns'!$B$9:$BJ$69,
INT((ROW(A2528)-1)/COLUMNS('Portfolio Weights Returns'!$B$9:$BJ$69))+1,MOD(ROW(A2528)-1,COLUMNS('Portfolio Weights Returns'!$B$9:$BJ$69))+1)</f>
        <v>-7.4912225982407172E-4</v>
      </c>
      <c r="B2529" cm="1">
        <f t="array" ref="B2529">INDEX('Portfolio Weights Std'!$B$9:$BJ$69,INT((ROW(A2528)-1)/COLUMNS('Portfolio Weights Std'!$B$9:$BJ$69))+1,MOD(ROW(A2528)-1,COLUMNS('Portfolio Weights Std'!$B$9:$BJ$69))+1)</f>
        <v>1.883016728586916E-2</v>
      </c>
    </row>
    <row r="2530" spans="1:2" x14ac:dyDescent="0.25">
      <c r="A2530" cm="1">
        <f t="array" ref="A2530">INDEX('Portfolio Weights Returns'!$B$9:$BJ$69,
INT((ROW(A2529)-1)/COLUMNS('Portfolio Weights Returns'!$B$9:$BJ$69))+1,MOD(ROW(A2529)-1,COLUMNS('Portfolio Weights Returns'!$B$9:$BJ$69))+1)</f>
        <v>-7.4234108585739269E-4</v>
      </c>
      <c r="B2530" cm="1">
        <f t="array" ref="B2530">INDEX('Portfolio Weights Std'!$B$9:$BJ$69,INT((ROW(A2529)-1)/COLUMNS('Portfolio Weights Std'!$B$9:$BJ$69))+1,MOD(ROW(A2529)-1,COLUMNS('Portfolio Weights Std'!$B$9:$BJ$69))+1)</f>
        <v>1.8696227359942339E-2</v>
      </c>
    </row>
    <row r="2531" spans="1:2" x14ac:dyDescent="0.25">
      <c r="A2531" cm="1">
        <f t="array" ref="A2531">INDEX('Portfolio Weights Returns'!$B$9:$BJ$69,
INT((ROW(A2530)-1)/COLUMNS('Portfolio Weights Returns'!$B$9:$BJ$69))+1,MOD(ROW(A2530)-1,COLUMNS('Portfolio Weights Returns'!$B$9:$BJ$69))+1)</f>
        <v>-7.3555991189071354E-4</v>
      </c>
      <c r="B2531" cm="1">
        <f t="array" ref="B2531">INDEX('Portfolio Weights Std'!$B$9:$BJ$69,INT((ROW(A2530)-1)/COLUMNS('Portfolio Weights Std'!$B$9:$BJ$69))+1,MOD(ROW(A2530)-1,COLUMNS('Portfolio Weights Std'!$B$9:$BJ$69))+1)</f>
        <v>1.8563815363017957E-2</v>
      </c>
    </row>
    <row r="2532" spans="1:2" x14ac:dyDescent="0.25">
      <c r="A2532" cm="1">
        <f t="array" ref="A2532">INDEX('Portfolio Weights Returns'!$B$9:$BJ$69,
INT((ROW(A2531)-1)/COLUMNS('Portfolio Weights Returns'!$B$9:$BJ$69))+1,MOD(ROW(A2531)-1,COLUMNS('Portfolio Weights Returns'!$B$9:$BJ$69))+1)</f>
        <v>-7.287787379240344E-4</v>
      </c>
      <c r="B2532" cm="1">
        <f t="array" ref="B2532">INDEX('Portfolio Weights Std'!$B$9:$BJ$69,INT((ROW(A2531)-1)/COLUMNS('Portfolio Weights Std'!$B$9:$BJ$69))+1,MOD(ROW(A2531)-1,COLUMNS('Portfolio Weights Std'!$B$9:$BJ$69))+1)</f>
        <v>1.8432964222460605E-2</v>
      </c>
    </row>
    <row r="2533" spans="1:2" x14ac:dyDescent="0.25">
      <c r="A2533" cm="1">
        <f t="array" ref="A2533">INDEX('Portfolio Weights Returns'!$B$9:$BJ$69,
INT((ROW(A2532)-1)/COLUMNS('Portfolio Weights Returns'!$B$9:$BJ$69))+1,MOD(ROW(A2532)-1,COLUMNS('Portfolio Weights Returns'!$B$9:$BJ$69))+1)</f>
        <v>-7.2199756395735525E-4</v>
      </c>
      <c r="B2533" cm="1">
        <f t="array" ref="B2533">INDEX('Portfolio Weights Std'!$B$9:$BJ$69,INT((ROW(A2532)-1)/COLUMNS('Portfolio Weights Std'!$B$9:$BJ$69))+1,MOD(ROW(A2532)-1,COLUMNS('Portfolio Weights Std'!$B$9:$BJ$69))+1)</f>
        <v>1.8303707413459432E-2</v>
      </c>
    </row>
    <row r="2534" spans="1:2" x14ac:dyDescent="0.25">
      <c r="A2534" cm="1">
        <f t="array" ref="A2534">INDEX('Portfolio Weights Returns'!$B$9:$BJ$69,
INT((ROW(A2533)-1)/COLUMNS('Portfolio Weights Returns'!$B$9:$BJ$69))+1,MOD(ROW(A2533)-1,COLUMNS('Portfolio Weights Returns'!$B$9:$BJ$69))+1)</f>
        <v>-7.1521638999067622E-4</v>
      </c>
      <c r="B2534" cm="1">
        <f t="array" ref="B2534">INDEX('Portfolio Weights Std'!$B$9:$BJ$69,INT((ROW(A2533)-1)/COLUMNS('Portfolio Weights Std'!$B$9:$BJ$69))+1,MOD(ROW(A2533)-1,COLUMNS('Portfolio Weights Std'!$B$9:$BJ$69))+1)</f>
        <v>1.8176078949687487E-2</v>
      </c>
    </row>
    <row r="2535" spans="1:2" x14ac:dyDescent="0.25">
      <c r="A2535" cm="1">
        <f t="array" ref="A2535">INDEX('Portfolio Weights Returns'!$B$9:$BJ$69,
INT((ROW(A2534)-1)/COLUMNS('Portfolio Weights Returns'!$B$9:$BJ$69))+1,MOD(ROW(A2534)-1,COLUMNS('Portfolio Weights Returns'!$B$9:$BJ$69))+1)</f>
        <v>-7.0843521602399707E-4</v>
      </c>
      <c r="B2535" cm="1">
        <f t="array" ref="B2535">INDEX('Portfolio Weights Std'!$B$9:$BJ$69,INT((ROW(A2534)-1)/COLUMNS('Portfolio Weights Std'!$B$9:$BJ$69))+1,MOD(ROW(A2534)-1,COLUMNS('Portfolio Weights Std'!$B$9:$BJ$69))+1)</f>
        <v>1.8050113372212972E-2</v>
      </c>
    </row>
    <row r="2536" spans="1:2" x14ac:dyDescent="0.25">
      <c r="A2536" cm="1">
        <f t="array" ref="A2536">INDEX('Portfolio Weights Returns'!$B$9:$BJ$69,
INT((ROW(A2535)-1)/COLUMNS('Portfolio Weights Returns'!$B$9:$BJ$69))+1,MOD(ROW(A2535)-1,COLUMNS('Portfolio Weights Returns'!$B$9:$BJ$69))+1)</f>
        <v>-7.0165404205731804E-4</v>
      </c>
      <c r="B2536" cm="1">
        <f t="array" ref="B2536">INDEX('Portfolio Weights Std'!$B$9:$BJ$69,INT((ROW(A2535)-1)/COLUMNS('Portfolio Weights Std'!$B$9:$BJ$69))+1,MOD(ROW(A2535)-1,COLUMNS('Portfolio Weights Std'!$B$9:$BJ$69))+1)</f>
        <v>1.7925845736559722E-2</v>
      </c>
    </row>
    <row r="2537" spans="1:2" x14ac:dyDescent="0.25">
      <c r="A2537" cm="1">
        <f t="array" ref="A2537">INDEX('Portfolio Weights Returns'!$B$9:$BJ$69,
INT((ROW(A2536)-1)/COLUMNS('Portfolio Weights Returns'!$B$9:$BJ$69))+1,MOD(ROW(A2536)-1,COLUMNS('Portfolio Weights Returns'!$B$9:$BJ$69))+1)</f>
        <v>-6.9487286809063889E-4</v>
      </c>
      <c r="B2537" cm="1">
        <f t="array" ref="B2537">INDEX('Portfolio Weights Std'!$B$9:$BJ$69,INT((ROW(A2536)-1)/COLUMNS('Portfolio Weights Std'!$B$9:$BJ$69))+1,MOD(ROW(A2536)-1,COLUMNS('Portfolio Weights Std'!$B$9:$BJ$69))+1)</f>
        <v>1.780331159781396E-2</v>
      </c>
    </row>
    <row r="2538" spans="1:2" x14ac:dyDescent="0.25">
      <c r="A2538" cm="1">
        <f t="array" ref="A2538">INDEX('Portfolio Weights Returns'!$B$9:$BJ$69,
INT((ROW(A2537)-1)/COLUMNS('Portfolio Weights Returns'!$B$9:$BJ$69))+1,MOD(ROW(A2537)-1,COLUMNS('Portfolio Weights Returns'!$B$9:$BJ$69))+1)</f>
        <v>-6.8809169412395964E-4</v>
      </c>
      <c r="B2538" cm="1">
        <f t="array" ref="B2538">INDEX('Portfolio Weights Std'!$B$9:$BJ$69,INT((ROW(A2537)-1)/COLUMNS('Portfolio Weights Std'!$B$9:$BJ$69))+1,MOD(ROW(A2537)-1,COLUMNS('Portfolio Weights Std'!$B$9:$BJ$69))+1)</f>
        <v>1.7682546993674404E-2</v>
      </c>
    </row>
    <row r="2539" spans="1:2" x14ac:dyDescent="0.25">
      <c r="A2539" cm="1">
        <f t="array" ref="A2539">INDEX('Portfolio Weights Returns'!$B$9:$BJ$69,
INT((ROW(A2538)-1)/COLUMNS('Portfolio Weights Returns'!$B$9:$BJ$69))+1,MOD(ROW(A2538)-1,COLUMNS('Portfolio Weights Returns'!$B$9:$BJ$69))+1)</f>
        <v>-6.813105201572806E-4</v>
      </c>
      <c r="B2539" cm="1">
        <f t="array" ref="B2539">INDEX('Portfolio Weights Std'!$B$9:$BJ$69,INT((ROW(A2538)-1)/COLUMNS('Portfolio Weights Std'!$B$9:$BJ$69))+1,MOD(ROW(A2538)-1,COLUMNS('Portfolio Weights Std'!$B$9:$BJ$69))+1)</f>
        <v>1.7563588425343963E-2</v>
      </c>
    </row>
    <row r="2540" spans="1:2" x14ac:dyDescent="0.25">
      <c r="A2540" cm="1">
        <f t="array" ref="A2540">INDEX('Portfolio Weights Returns'!$B$9:$BJ$69,
INT((ROW(A2539)-1)/COLUMNS('Portfolio Weights Returns'!$B$9:$BJ$69))+1,MOD(ROW(A2539)-1,COLUMNS('Portfolio Weights Returns'!$B$9:$BJ$69))+1)</f>
        <v>-6.7452934619060146E-4</v>
      </c>
      <c r="B2540" cm="1">
        <f t="array" ref="B2540">INDEX('Portfolio Weights Std'!$B$9:$BJ$69,INT((ROW(A2539)-1)/COLUMNS('Portfolio Weights Std'!$B$9:$BJ$69))+1,MOD(ROW(A2539)-1,COLUMNS('Portfolio Weights Std'!$B$9:$BJ$69))+1)</f>
        <v>1.7446472836163043E-2</v>
      </c>
    </row>
    <row r="2541" spans="1:2" x14ac:dyDescent="0.25">
      <c r="A2541" cm="1">
        <f t="array" ref="A2541">INDEX('Portfolio Weights Returns'!$B$9:$BJ$69,
INT((ROW(A2540)-1)/COLUMNS('Portfolio Weights Returns'!$B$9:$BJ$69))+1,MOD(ROW(A2540)-1,COLUMNS('Portfolio Weights Returns'!$B$9:$BJ$69))+1)</f>
        <v>-6.6774817222392253E-4</v>
      </c>
      <c r="B2541" cm="1">
        <f t="array" ref="B2541">INDEX('Portfolio Weights Std'!$B$9:$BJ$69,INT((ROW(A2540)-1)/COLUMNS('Portfolio Weights Std'!$B$9:$BJ$69))+1,MOD(ROW(A2540)-1,COLUMNS('Portfolio Weights Std'!$B$9:$BJ$69))+1)</f>
        <v>1.7331237587887356E-2</v>
      </c>
    </row>
    <row r="2542" spans="1:2" x14ac:dyDescent="0.25">
      <c r="A2542" cm="1">
        <f t="array" ref="A2542">INDEX('Portfolio Weights Returns'!$B$9:$BJ$69,
INT((ROW(A2541)-1)/COLUMNS('Portfolio Weights Returns'!$B$9:$BJ$69))+1,MOD(ROW(A2541)-1,COLUMNS('Portfolio Weights Returns'!$B$9:$BJ$69))+1)</f>
        <v>-6.6096699825724339E-4</v>
      </c>
      <c r="B2542" cm="1">
        <f t="array" ref="B2542">INDEX('Portfolio Weights Std'!$B$9:$BJ$69,INT((ROW(A2541)-1)/COLUMNS('Portfolio Weights Std'!$B$9:$BJ$69))+1,MOD(ROW(A2541)-1,COLUMNS('Portfolio Weights Std'!$B$9:$BJ$69))+1)</f>
        <v>1.7217920434516764E-2</v>
      </c>
    </row>
    <row r="2543" spans="1:2" x14ac:dyDescent="0.25">
      <c r="A2543" cm="1">
        <f t="array" ref="A2543">INDEX('Portfolio Weights Returns'!$B$9:$BJ$69,
INT((ROW(A2542)-1)/COLUMNS('Portfolio Weights Returns'!$B$9:$BJ$69))+1,MOD(ROW(A2542)-1,COLUMNS('Portfolio Weights Returns'!$B$9:$BJ$69))+1)</f>
        <v>-6.5418582429056435E-4</v>
      </c>
      <c r="B2543" cm="1">
        <f t="array" ref="B2543">INDEX('Portfolio Weights Std'!$B$9:$BJ$69,INT((ROW(A2542)-1)/COLUMNS('Portfolio Weights Std'!$B$9:$BJ$69))+1,MOD(ROW(A2542)-1,COLUMNS('Portfolio Weights Std'!$B$9:$BJ$69))+1)</f>
        <v>1.7106559493586849E-2</v>
      </c>
    </row>
    <row r="2544" spans="1:2" x14ac:dyDescent="0.25">
      <c r="A2544" cm="1">
        <f t="array" ref="A2544">INDEX('Portfolio Weights Returns'!$B$9:$BJ$69,
INT((ROW(A2543)-1)/COLUMNS('Portfolio Weights Returns'!$B$9:$BJ$69))+1,MOD(ROW(A2543)-1,COLUMNS('Portfolio Weights Returns'!$B$9:$BJ$69))+1)</f>
        <v>-6.474046503238851E-4</v>
      </c>
      <c r="B2544" cm="1">
        <f t="array" ref="B2544">INDEX('Portfolio Weights Std'!$B$9:$BJ$69,INT((ROW(A2543)-1)/COLUMNS('Portfolio Weights Std'!$B$9:$BJ$69))+1,MOD(ROW(A2543)-1,COLUMNS('Portfolio Weights Std'!$B$9:$BJ$69))+1)</f>
        <v>1.6997193214840754E-2</v>
      </c>
    </row>
    <row r="2545" spans="1:2" x14ac:dyDescent="0.25">
      <c r="A2545" cm="1">
        <f t="array" ref="A2545">INDEX('Portfolio Weights Returns'!$B$9:$BJ$69,
INT((ROW(A2544)-1)/COLUMNS('Portfolio Weights Returns'!$B$9:$BJ$69))+1,MOD(ROW(A2544)-1,COLUMNS('Portfolio Weights Returns'!$B$9:$BJ$69))+1)</f>
        <v>-6.4062347635720606E-4</v>
      </c>
      <c r="B2545" cm="1">
        <f t="array" ref="B2545">INDEX('Portfolio Weights Std'!$B$9:$BJ$69,INT((ROW(A2544)-1)/COLUMNS('Portfolio Weights Std'!$B$9:$BJ$69))+1,MOD(ROW(A2544)-1,COLUMNS('Portfolio Weights Std'!$B$9:$BJ$69))+1)</f>
        <v>1.6889860346206442E-2</v>
      </c>
    </row>
    <row r="2546" spans="1:2" x14ac:dyDescent="0.25">
      <c r="A2546" cm="1">
        <f t="array" ref="A2546">INDEX('Portfolio Weights Returns'!$B$9:$BJ$69,
INT((ROW(A2545)-1)/COLUMNS('Portfolio Weights Returns'!$B$9:$BJ$69))+1,MOD(ROW(A2545)-1,COLUMNS('Portfolio Weights Returns'!$B$9:$BJ$69))+1)</f>
        <v>-6.3384230239052692E-4</v>
      </c>
      <c r="B2546" cm="1">
        <f t="array" ref="B2546">INDEX('Portfolio Weights Std'!$B$9:$BJ$69,INT((ROW(A2545)-1)/COLUMNS('Portfolio Weights Std'!$B$9:$BJ$69))+1,MOD(ROW(A2545)-1,COLUMNS('Portfolio Weights Std'!$B$9:$BJ$69))+1)</f>
        <v>1.6784599897013062E-2</v>
      </c>
    </row>
    <row r="2547" spans="1:2" x14ac:dyDescent="0.25">
      <c r="A2547" cm="1">
        <f t="array" ref="A2547">INDEX('Portfolio Weights Returns'!$B$9:$BJ$69,
INT((ROW(A2546)-1)/COLUMNS('Portfolio Weights Returns'!$B$9:$BJ$69))+1,MOD(ROW(A2546)-1,COLUMNS('Portfolio Weights Returns'!$B$9:$BJ$69))+1)</f>
        <v>-6.2706112842384777E-4</v>
      </c>
      <c r="B2547" cm="1">
        <f t="array" ref="B2547">INDEX('Portfolio Weights Std'!$B$9:$BJ$69,INT((ROW(A2546)-1)/COLUMNS('Portfolio Weights Std'!$B$9:$BJ$69))+1,MOD(ROW(A2546)-1,COLUMNS('Portfolio Weights Std'!$B$9:$BJ$69))+1)</f>
        <v>1.6681451098390421E-2</v>
      </c>
    </row>
    <row r="2548" spans="1:2" x14ac:dyDescent="0.25">
      <c r="A2548" cm="1">
        <f t="array" ref="A2548">INDEX('Portfolio Weights Returns'!$B$9:$BJ$69,
INT((ROW(A2547)-1)/COLUMNS('Portfolio Weights Returns'!$B$9:$BJ$69))+1,MOD(ROW(A2547)-1,COLUMNS('Portfolio Weights Returns'!$B$9:$BJ$69))+1)</f>
        <v>-6.2027995445716874E-4</v>
      </c>
      <c r="B2548" cm="1">
        <f t="array" ref="B2548">INDEX('Portfolio Weights Std'!$B$9:$BJ$69,INT((ROW(A2547)-1)/COLUMNS('Portfolio Weights Std'!$B$9:$BJ$69))+1,MOD(ROW(A2547)-1,COLUMNS('Portfolio Weights Std'!$B$9:$BJ$69))+1)</f>
        <v>1.6580453360807025E-2</v>
      </c>
    </row>
    <row r="2549" spans="1:2" x14ac:dyDescent="0.25">
      <c r="A2549" cm="1">
        <f t="array" ref="A2549">INDEX('Portfolio Weights Returns'!$B$9:$BJ$69,
INT((ROW(A2548)-1)/COLUMNS('Portfolio Weights Returns'!$B$9:$BJ$69))+1,MOD(ROW(A2548)-1,COLUMNS('Portfolio Weights Returns'!$B$9:$BJ$69))+1)</f>
        <v>-6.1349878049048959E-4</v>
      </c>
      <c r="B2549" cm="1">
        <f t="array" ref="B2549">INDEX('Portfolio Weights Std'!$B$9:$BJ$69,INT((ROW(A2548)-1)/COLUMNS('Portfolio Weights Std'!$B$9:$BJ$69))+1,MOD(ROW(A2548)-1,COLUMNS('Portfolio Weights Std'!$B$9:$BJ$69))+1)</f>
        <v>1.648164622871541E-2</v>
      </c>
    </row>
    <row r="2550" spans="1:2" x14ac:dyDescent="0.25">
      <c r="A2550" cm="1">
        <f t="array" ref="A2550">INDEX('Portfolio Weights Returns'!$B$9:$BJ$69,
INT((ROW(A2549)-1)/COLUMNS('Portfolio Weights Returns'!$B$9:$BJ$69))+1,MOD(ROW(A2549)-1,COLUMNS('Portfolio Weights Returns'!$B$9:$BJ$69))+1)</f>
        <v>-6.0671760652381056E-4</v>
      </c>
      <c r="B2550" cm="1">
        <f t="array" ref="B2550">INDEX('Portfolio Weights Std'!$B$9:$BJ$69,INT((ROW(A2549)-1)/COLUMNS('Portfolio Weights Std'!$B$9:$BJ$69))+1,MOD(ROW(A2549)-1,COLUMNS('Portfolio Weights Std'!$B$9:$BJ$69))+1)</f>
        <v>1.6385069332288064E-2</v>
      </c>
    </row>
    <row r="2551" spans="1:2" x14ac:dyDescent="0.25">
      <c r="A2551" cm="1">
        <f t="array" ref="A2551">INDEX('Portfolio Weights Returns'!$B$9:$BJ$69,
INT((ROW(A2550)-1)/COLUMNS('Portfolio Weights Returns'!$B$9:$BJ$69))+1,MOD(ROW(A2550)-1,COLUMNS('Portfolio Weights Returns'!$B$9:$BJ$69))+1)</f>
        <v>-5.9993643255713141E-4</v>
      </c>
      <c r="B2551" cm="1">
        <f t="array" ref="B2551">INDEX('Portfolio Weights Std'!$B$9:$BJ$69,INT((ROW(A2550)-1)/COLUMNS('Portfolio Weights Std'!$B$9:$BJ$69))+1,MOD(ROW(A2550)-1,COLUMNS('Portfolio Weights Std'!$B$9:$BJ$69))+1)</f>
        <v>1.6290762336243526E-2</v>
      </c>
    </row>
    <row r="2552" spans="1:2" x14ac:dyDescent="0.25">
      <c r="A2552" cm="1">
        <f t="array" ref="A2552">INDEX('Portfolio Weights Returns'!$B$9:$BJ$69,
INT((ROW(A2551)-1)/COLUMNS('Portfolio Weights Returns'!$B$9:$BJ$69))+1,MOD(ROW(A2551)-1,COLUMNS('Portfolio Weights Returns'!$B$9:$BJ$69))+1)</f>
        <v>-5.9315525859045238E-4</v>
      </c>
      <c r="B2552" cm="1">
        <f t="array" ref="B2552">INDEX('Portfolio Weights Std'!$B$9:$BJ$69,INT((ROW(A2551)-1)/COLUMNS('Portfolio Weights Std'!$B$9:$BJ$69))+1,MOD(ROW(A2551)-1,COLUMNS('Portfolio Weights Std'!$B$9:$BJ$69))+1)</f>
        <v>1.6198764885780041E-2</v>
      </c>
    </row>
    <row r="2553" spans="1:2" x14ac:dyDescent="0.25">
      <c r="A2553" cm="1">
        <f t="array" ref="A2553">INDEX('Portfolio Weights Returns'!$B$9:$BJ$69,
INT((ROW(A2552)-1)/COLUMNS('Portfolio Weights Returns'!$B$9:$BJ$69))+1,MOD(ROW(A2552)-1,COLUMNS('Portfolio Weights Returns'!$B$9:$BJ$69))+1)</f>
        <v>-5.8637408462377323E-4</v>
      </c>
      <c r="B2553" cm="1">
        <f t="array" ref="B2553">INDEX('Portfolio Weights Std'!$B$9:$BJ$69,INT((ROW(A2552)-1)/COLUMNS('Portfolio Weights Std'!$B$9:$BJ$69))+1,MOD(ROW(A2552)-1,COLUMNS('Portfolio Weights Std'!$B$9:$BJ$69))+1)</f>
        <v>1.6109116549653371E-2</v>
      </c>
    </row>
    <row r="2554" spans="1:2" x14ac:dyDescent="0.25">
      <c r="A2554" cm="1">
        <f t="array" ref="A2554">INDEX('Portfolio Weights Returns'!$B$9:$BJ$69,
INT((ROW(A2553)-1)/COLUMNS('Portfolio Weights Returns'!$B$9:$BJ$69))+1,MOD(ROW(A2553)-1,COLUMNS('Portfolio Weights Returns'!$B$9:$BJ$69))+1)</f>
        <v>-5.795929106570942E-4</v>
      </c>
      <c r="B2554" cm="1">
        <f t="array" ref="B2554">INDEX('Portfolio Weights Std'!$B$9:$BJ$69,INT((ROW(A2553)-1)/COLUMNS('Portfolio Weights Std'!$B$9:$BJ$69))+1,MOD(ROW(A2553)-1,COLUMNS('Portfolio Weights Std'!$B$9:$BJ$69))+1)</f>
        <v>1.6021856760456251E-2</v>
      </c>
    </row>
    <row r="2555" spans="1:2" x14ac:dyDescent="0.25">
      <c r="A2555" cm="1">
        <f t="array" ref="A2555">INDEX('Portfolio Weights Returns'!$B$9:$BJ$69,
INT((ROW(A2554)-1)/COLUMNS('Portfolio Weights Returns'!$B$9:$BJ$69))+1,MOD(ROW(A2554)-1,COLUMNS('Portfolio Weights Returns'!$B$9:$BJ$69))+1)</f>
        <v>-5.7281173669041505E-4</v>
      </c>
      <c r="B2555" cm="1">
        <f t="array" ref="B2555">INDEX('Portfolio Weights Std'!$B$9:$BJ$69,INT((ROW(A2554)-1)/COLUMNS('Portfolio Weights Std'!$B$9:$BJ$69))+1,MOD(ROW(A2554)-1,COLUMNS('Portfolio Weights Std'!$B$9:$BJ$69))+1)</f>
        <v>1.5937024752178973E-2</v>
      </c>
    </row>
    <row r="2556" spans="1:2" x14ac:dyDescent="0.25">
      <c r="A2556" cm="1">
        <f t="array" ref="A2556">INDEX('Portfolio Weights Returns'!$B$9:$BJ$69,
INT((ROW(A2555)-1)/COLUMNS('Portfolio Weights Returns'!$B$9:$BJ$69))+1,MOD(ROW(A2555)-1,COLUMNS('Portfolio Weights Returns'!$B$9:$BJ$69))+1)</f>
        <v>-5.6603056272373602E-4</v>
      </c>
      <c r="B2556" cm="1">
        <f t="array" ref="B2556">INDEX('Portfolio Weights Std'!$B$9:$BJ$69,INT((ROW(A2555)-1)/COLUMNS('Portfolio Weights Std'!$B$9:$BJ$69))+1,MOD(ROW(A2555)-1,COLUMNS('Portfolio Weights Std'!$B$9:$BJ$69))+1)</f>
        <v>1.5854659495154057E-2</v>
      </c>
    </row>
    <row r="2557" spans="1:2" x14ac:dyDescent="0.25">
      <c r="A2557" cm="1">
        <f t="array" ref="A2557">INDEX('Portfolio Weights Returns'!$B$9:$BJ$69,
INT((ROW(A2556)-1)/COLUMNS('Portfolio Weights Returns'!$B$9:$BJ$69))+1,MOD(ROW(A2556)-1,COLUMNS('Portfolio Weights Returns'!$B$9:$BJ$69))+1)</f>
        <v>-5.5924938875705676E-4</v>
      </c>
      <c r="B2557" cm="1">
        <f t="array" ref="B2557">INDEX('Portfolio Weights Std'!$B$9:$BJ$69,INT((ROW(A2556)-1)/COLUMNS('Portfolio Weights Std'!$B$9:$BJ$69))+1,MOD(ROW(A2556)-1,COLUMNS('Portfolio Weights Std'!$B$9:$BJ$69))+1)</f>
        <v>1.5774799628512502E-2</v>
      </c>
    </row>
    <row r="2558" spans="1:2" x14ac:dyDescent="0.25">
      <c r="A2558" cm="1">
        <f t="array" ref="A2558">INDEX('Portfolio Weights Returns'!$B$9:$BJ$69,
INT((ROW(A2557)-1)/COLUMNS('Portfolio Weights Returns'!$B$9:$BJ$69))+1,MOD(ROW(A2557)-1,COLUMNS('Portfolio Weights Returns'!$B$9:$BJ$69))+1)</f>
        <v>-5.5246821479037762E-4</v>
      </c>
      <c r="B2558" cm="1">
        <f t="array" ref="B2558">INDEX('Portfolio Weights Std'!$B$9:$BJ$69,INT((ROW(A2557)-1)/COLUMNS('Portfolio Weights Std'!$B$9:$BJ$69))+1,MOD(ROW(A2557)-1,COLUMNS('Portfolio Weights Std'!$B$9:$BJ$69))+1)</f>
        <v>1.5697483390304426E-2</v>
      </c>
    </row>
    <row r="2559" spans="1:2" x14ac:dyDescent="0.25">
      <c r="A2559" cm="1">
        <f t="array" ref="A2559">INDEX('Portfolio Weights Returns'!$B$9:$BJ$69,
INT((ROW(A2558)-1)/COLUMNS('Portfolio Weights Returns'!$B$9:$BJ$69))+1,MOD(ROW(A2558)-1,COLUMNS('Portfolio Weights Returns'!$B$9:$BJ$69))+1)</f>
        <v>-5.4568704082369858E-4</v>
      </c>
      <c r="B2559" cm="1">
        <f t="array" ref="B2559">INDEX('Portfolio Weights Std'!$B$9:$BJ$69,INT((ROW(A2558)-1)/COLUMNS('Portfolio Weights Std'!$B$9:$BJ$69))+1,MOD(ROW(A2558)-1,COLUMNS('Portfolio Weights Std'!$B$9:$BJ$69))+1)</f>
        <v>1.5622748545463269E-2</v>
      </c>
    </row>
    <row r="2560" spans="1:2" x14ac:dyDescent="0.25">
      <c r="A2560" cm="1">
        <f t="array" ref="A2560">INDEX('Portfolio Weights Returns'!$B$9:$BJ$69,
INT((ROW(A2559)-1)/COLUMNS('Portfolio Weights Returns'!$B$9:$BJ$69))+1,MOD(ROW(A2559)-1,COLUMNS('Portfolio Weights Returns'!$B$9:$BJ$69))+1)</f>
        <v>-5.3890586685701879E-4</v>
      </c>
      <c r="B2560" cm="1">
        <f t="array" ref="B2560">INDEX('Portfolio Weights Std'!$B$9:$BJ$69,INT((ROW(A2559)-1)/COLUMNS('Portfolio Weights Std'!$B$9:$BJ$69))+1,MOD(ROW(A2559)-1,COLUMNS('Portfolio Weights Std'!$B$9:$BJ$69))+1)</f>
        <v>1.5550632311819081E-2</v>
      </c>
    </row>
    <row r="2561" spans="1:2" x14ac:dyDescent="0.25">
      <c r="A2561" cm="1">
        <f t="array" ref="A2561">INDEX('Portfolio Weights Returns'!$B$9:$BJ$69,
INT((ROW(A2560)-1)/COLUMNS('Portfolio Weights Returns'!$B$9:$BJ$69))+1,MOD(ROW(A2560)-1,COLUMNS('Portfolio Weights Returns'!$B$9:$BJ$69))+1)</f>
        <v>-5.3212469289033964E-4</v>
      </c>
      <c r="B2561" cm="1">
        <f t="array" ref="B2561">INDEX('Portfolio Weights Std'!$B$9:$BJ$69,INT((ROW(A2560)-1)/COLUMNS('Portfolio Weights Std'!$B$9:$BJ$69))+1,MOD(ROW(A2560)-1,COLUMNS('Portfolio Weights Std'!$B$9:$BJ$69))+1)</f>
        <v>1.5481171284393658E-2</v>
      </c>
    </row>
    <row r="2562" spans="1:2" x14ac:dyDescent="0.25">
      <c r="A2562" cm="1">
        <f t="array" ref="A2562">INDEX('Portfolio Weights Returns'!$B$9:$BJ$69,
INT((ROW(A2561)-1)/COLUMNS('Portfolio Weights Returns'!$B$9:$BJ$69))+1,MOD(ROW(A2561)-1,COLUMNS('Portfolio Weights Returns'!$B$9:$BJ$69))+1)</f>
        <v>-5.2534351892366061E-4</v>
      </c>
      <c r="B2562" cm="1">
        <f t="array" ref="B2562">INDEX('Portfolio Weights Std'!$B$9:$BJ$69,INT((ROW(A2561)-1)/COLUMNS('Portfolio Weights Std'!$B$9:$BJ$69))+1,MOD(ROW(A2561)-1,COLUMNS('Portfolio Weights Std'!$B$9:$BJ$69))+1)</f>
        <v>1.5414401358236521E-2</v>
      </c>
    </row>
    <row r="2563" spans="1:2" x14ac:dyDescent="0.25">
      <c r="A2563" cm="1">
        <f t="array" ref="A2563">INDEX('Portfolio Weights Returns'!$B$9:$BJ$69,
INT((ROW(A2562)-1)/COLUMNS('Portfolio Weights Returns'!$B$9:$BJ$69))+1,MOD(ROW(A2562)-1,COLUMNS('Portfolio Weights Returns'!$B$9:$BJ$69))+1)</f>
        <v>-5.1856234495698157E-4</v>
      </c>
      <c r="B2563" cm="1">
        <f t="array" ref="B2563">INDEX('Portfolio Weights Std'!$B$9:$BJ$69,INT((ROW(A2562)-1)/COLUMNS('Portfolio Weights Std'!$B$9:$BJ$69))+1,MOD(ROW(A2562)-1,COLUMNS('Portfolio Weights Std'!$B$9:$BJ$69))+1)</f>
        <v>1.535035765008747E-2</v>
      </c>
    </row>
    <row r="2564" spans="1:2" x14ac:dyDescent="0.25">
      <c r="A2564" cm="1">
        <f t="array" ref="A2564">INDEX('Portfolio Weights Returns'!$B$9:$BJ$69,
INT((ROW(A2563)-1)/COLUMNS('Portfolio Weights Returns'!$B$9:$BJ$69))+1,MOD(ROW(A2563)-1,COLUMNS('Portfolio Weights Returns'!$B$9:$BJ$69))+1)</f>
        <v>-9.1885857511227339E-4</v>
      </c>
      <c r="B2564" cm="1">
        <f t="array" ref="B2564">INDEX('Portfolio Weights Std'!$B$9:$BJ$69,INT((ROW(A2563)-1)/COLUMNS('Portfolio Weights Std'!$B$9:$BJ$69))+1,MOD(ROW(A2563)-1,COLUMNS('Portfolio Weights Std'!$B$9:$BJ$69))+1)</f>
        <v>2.2679734668837888E-2</v>
      </c>
    </row>
    <row r="2565" spans="1:2" x14ac:dyDescent="0.25">
      <c r="A2565" cm="1">
        <f t="array" ref="A2565">INDEX('Portfolio Weights Returns'!$B$9:$BJ$69,
INT((ROW(A2564)-1)/COLUMNS('Portfolio Weights Returns'!$B$9:$BJ$69))+1,MOD(ROW(A2564)-1,COLUMNS('Portfolio Weights Returns'!$B$9:$BJ$69))+1)</f>
        <v>-9.1207740114559413E-4</v>
      </c>
      <c r="B2565" cm="1">
        <f t="array" ref="B2565">INDEX('Portfolio Weights Std'!$B$9:$BJ$69,INT((ROW(A2564)-1)/COLUMNS('Portfolio Weights Std'!$B$9:$BJ$69))+1,MOD(ROW(A2564)-1,COLUMNS('Portfolio Weights Std'!$B$9:$BJ$69))+1)</f>
        <v>2.2516938480211007E-2</v>
      </c>
    </row>
    <row r="2566" spans="1:2" x14ac:dyDescent="0.25">
      <c r="A2566" cm="1">
        <f t="array" ref="A2566">INDEX('Portfolio Weights Returns'!$B$9:$BJ$69,
INT((ROW(A2565)-1)/COLUMNS('Portfolio Weights Returns'!$B$9:$BJ$69))+1,MOD(ROW(A2565)-1,COLUMNS('Portfolio Weights Returns'!$B$9:$BJ$69))+1)</f>
        <v>-9.052962271789151E-4</v>
      </c>
      <c r="B2566" cm="1">
        <f t="array" ref="B2566">INDEX('Portfolio Weights Std'!$B$9:$BJ$69,INT((ROW(A2565)-1)/COLUMNS('Portfolio Weights Std'!$B$9:$BJ$69))+1,MOD(ROW(A2565)-1,COLUMNS('Portfolio Weights Std'!$B$9:$BJ$69))+1)</f>
        <v>2.2355028030647903E-2</v>
      </c>
    </row>
    <row r="2567" spans="1:2" x14ac:dyDescent="0.25">
      <c r="A2567" cm="1">
        <f t="array" ref="A2567">INDEX('Portfolio Weights Returns'!$B$9:$BJ$69,
INT((ROW(A2566)-1)/COLUMNS('Portfolio Weights Returns'!$B$9:$BJ$69))+1,MOD(ROW(A2566)-1,COLUMNS('Portfolio Weights Returns'!$B$9:$BJ$69))+1)</f>
        <v>-8.9851505321223585E-4</v>
      </c>
      <c r="B2567" cm="1">
        <f t="array" ref="B2567">INDEX('Portfolio Weights Std'!$B$9:$BJ$69,INT((ROW(A2566)-1)/COLUMNS('Portfolio Weights Std'!$B$9:$BJ$69))+1,MOD(ROW(A2566)-1,COLUMNS('Portfolio Weights Std'!$B$9:$BJ$69))+1)</f>
        <v>2.2194022705161531E-2</v>
      </c>
    </row>
    <row r="2568" spans="1:2" x14ac:dyDescent="0.25">
      <c r="A2568" cm="1">
        <f t="array" ref="A2568">INDEX('Portfolio Weights Returns'!$B$9:$BJ$69,
INT((ROW(A2567)-1)/COLUMNS('Portfolio Weights Returns'!$B$9:$BJ$69))+1,MOD(ROW(A2567)-1,COLUMNS('Portfolio Weights Returns'!$B$9:$BJ$69))+1)</f>
        <v>-8.9173387924555692E-4</v>
      </c>
      <c r="B2568" cm="1">
        <f t="array" ref="B2568">INDEX('Portfolio Weights Std'!$B$9:$BJ$69,INT((ROW(A2567)-1)/COLUMNS('Portfolio Weights Std'!$B$9:$BJ$69))+1,MOD(ROW(A2567)-1,COLUMNS('Portfolio Weights Std'!$B$9:$BJ$69))+1)</f>
        <v>2.2033942345393479E-2</v>
      </c>
    </row>
    <row r="2569" spans="1:2" x14ac:dyDescent="0.25">
      <c r="A2569" cm="1">
        <f t="array" ref="A2569">INDEX('Portfolio Weights Returns'!$B$9:$BJ$69,
INT((ROW(A2568)-1)/COLUMNS('Portfolio Weights Returns'!$B$9:$BJ$69))+1,MOD(ROW(A2568)-1,COLUMNS('Portfolio Weights Returns'!$B$9:$BJ$69))+1)</f>
        <v>-8.8495270527887756E-4</v>
      </c>
      <c r="B2569" cm="1">
        <f t="array" ref="B2569">INDEX('Portfolio Weights Std'!$B$9:$BJ$69,INT((ROW(A2568)-1)/COLUMNS('Portfolio Weights Std'!$B$9:$BJ$69))+1,MOD(ROW(A2568)-1,COLUMNS('Portfolio Weights Std'!$B$9:$BJ$69))+1)</f>
        <v>2.1874807258116531E-2</v>
      </c>
    </row>
    <row r="2570" spans="1:2" x14ac:dyDescent="0.25">
      <c r="A2570" cm="1">
        <f t="array" ref="A2570">INDEX('Portfolio Weights Returns'!$B$9:$BJ$69,
INT((ROW(A2569)-1)/COLUMNS('Portfolio Weights Returns'!$B$9:$BJ$69))+1,MOD(ROW(A2569)-1,COLUMNS('Portfolio Weights Returns'!$B$9:$BJ$69))+1)</f>
        <v>-8.7817153131219874E-4</v>
      </c>
      <c r="B2570" cm="1">
        <f t="array" ref="B2570">INDEX('Portfolio Weights Std'!$B$9:$BJ$69,INT((ROW(A2569)-1)/COLUMNS('Portfolio Weights Std'!$B$9:$BJ$69))+1,MOD(ROW(A2569)-1,COLUMNS('Portfolio Weights Std'!$B$9:$BJ$69))+1)</f>
        <v>2.1716638223631617E-2</v>
      </c>
    </row>
    <row r="2571" spans="1:2" x14ac:dyDescent="0.25">
      <c r="A2571" cm="1">
        <f t="array" ref="A2571">INDEX('Portfolio Weights Returns'!$B$9:$BJ$69,
INT((ROW(A2570)-1)/COLUMNS('Portfolio Weights Returns'!$B$9:$BJ$69))+1,MOD(ROW(A2570)-1,COLUMNS('Portfolio Weights Returns'!$B$9:$BJ$69))+1)</f>
        <v>-8.7139035734551938E-4</v>
      </c>
      <c r="B2571" cm="1">
        <f t="array" ref="B2571">INDEX('Portfolio Weights Std'!$B$9:$BJ$69,INT((ROW(A2570)-1)/COLUMNS('Portfolio Weights Std'!$B$9:$BJ$69))+1,MOD(ROW(A2570)-1,COLUMNS('Portfolio Weights Std'!$B$9:$BJ$69))+1)</f>
        <v>2.1559456504030277E-2</v>
      </c>
    </row>
    <row r="2572" spans="1:2" x14ac:dyDescent="0.25">
      <c r="A2572" cm="1">
        <f t="array" ref="A2572">INDEX('Portfolio Weights Returns'!$B$9:$BJ$69,
INT((ROW(A2571)-1)/COLUMNS('Portfolio Weights Returns'!$B$9:$BJ$69))+1,MOD(ROW(A2571)-1,COLUMNS('Portfolio Weights Returns'!$B$9:$BJ$69))+1)</f>
        <v>-8.6460918337884045E-4</v>
      </c>
      <c r="B2572" cm="1">
        <f t="array" ref="B2572">INDEX('Portfolio Weights Std'!$B$9:$BJ$69,INT((ROW(A2571)-1)/COLUMNS('Portfolio Weights Std'!$B$9:$BJ$69))+1,MOD(ROW(A2571)-1,COLUMNS('Portfolio Weights Std'!$B$9:$BJ$69))+1)</f>
        <v>2.1403283851291966E-2</v>
      </c>
    </row>
    <row r="2573" spans="1:2" x14ac:dyDescent="0.25">
      <c r="A2573" cm="1">
        <f t="array" ref="A2573">INDEX('Portfolio Weights Returns'!$B$9:$BJ$69,
INT((ROW(A2572)-1)/COLUMNS('Portfolio Weights Returns'!$B$9:$BJ$69))+1,MOD(ROW(A2572)-1,COLUMNS('Portfolio Weights Returns'!$B$9:$BJ$69))+1)</f>
        <v>-8.578280094121612E-4</v>
      </c>
      <c r="B2573" cm="1">
        <f t="array" ref="B2573">INDEX('Portfolio Weights Std'!$B$9:$BJ$69,INT((ROW(A2572)-1)/COLUMNS('Portfolio Weights Std'!$B$9:$BJ$69))+1,MOD(ROW(A2572)-1,COLUMNS('Portfolio Weights Std'!$B$9:$BJ$69))+1)</f>
        <v>2.1248142515182429E-2</v>
      </c>
    </row>
    <row r="2574" spans="1:2" x14ac:dyDescent="0.25">
      <c r="A2574" cm="1">
        <f t="array" ref="A2574">INDEX('Portfolio Weights Returns'!$B$9:$BJ$69,
INT((ROW(A2573)-1)/COLUMNS('Portfolio Weights Returns'!$B$9:$BJ$69))+1,MOD(ROW(A2573)-1,COLUMNS('Portfolio Weights Returns'!$B$9:$BJ$69))+1)</f>
        <v>-8.5104683544548227E-4</v>
      </c>
      <c r="B2574" cm="1">
        <f t="array" ref="B2574">INDEX('Portfolio Weights Std'!$B$9:$BJ$69,INT((ROW(A2573)-1)/COLUMNS('Portfolio Weights Std'!$B$9:$BJ$69))+1,MOD(ROW(A2573)-1,COLUMNS('Portfolio Weights Std'!$B$9:$BJ$69))+1)</f>
        <v>2.1094055250917426E-2</v>
      </c>
    </row>
    <row r="2575" spans="1:2" x14ac:dyDescent="0.25">
      <c r="A2575" cm="1">
        <f t="array" ref="A2575">INDEX('Portfolio Weights Returns'!$B$9:$BJ$69,
INT((ROW(A2574)-1)/COLUMNS('Portfolio Weights Returns'!$B$9:$BJ$69))+1,MOD(ROW(A2574)-1,COLUMNS('Portfolio Weights Returns'!$B$9:$BJ$69))+1)</f>
        <v>-8.4426566147880291E-4</v>
      </c>
      <c r="B2575" cm="1">
        <f t="array" ref="B2575">INDEX('Portfolio Weights Std'!$B$9:$BJ$69,INT((ROW(A2574)-1)/COLUMNS('Portfolio Weights Std'!$B$9:$BJ$69))+1,MOD(ROW(A2574)-1,COLUMNS('Portfolio Weights Std'!$B$9:$BJ$69))+1)</f>
        <v>2.0941045326552738E-2</v>
      </c>
    </row>
    <row r="2576" spans="1:2" x14ac:dyDescent="0.25">
      <c r="A2576" cm="1">
        <f t="array" ref="A2576">INDEX('Portfolio Weights Returns'!$B$9:$BJ$69,
INT((ROW(A2575)-1)/COLUMNS('Portfolio Weights Returns'!$B$9:$BJ$69))+1,MOD(ROW(A2575)-1,COLUMNS('Portfolio Weights Returns'!$B$9:$BJ$69))+1)</f>
        <v>-8.3748448751212398E-4</v>
      </c>
      <c r="B2576" cm="1">
        <f t="array" ref="B2576">INDEX('Portfolio Weights Std'!$B$9:$BJ$69,INT((ROW(A2575)-1)/COLUMNS('Portfolio Weights Std'!$B$9:$BJ$69))+1,MOD(ROW(A2575)-1,COLUMNS('Portfolio Weights Std'!$B$9:$BJ$69))+1)</f>
        <v>2.0789136530059205E-2</v>
      </c>
    </row>
    <row r="2577" spans="1:2" x14ac:dyDescent="0.25">
      <c r="A2577" cm="1">
        <f t="array" ref="A2577">INDEX('Portfolio Weights Returns'!$B$9:$BJ$69,
INT((ROW(A2576)-1)/COLUMNS('Portfolio Weights Returns'!$B$9:$BJ$69))+1,MOD(ROW(A2576)-1,COLUMNS('Portfolio Weights Returns'!$B$9:$BJ$69))+1)</f>
        <v>-8.3070331354544473E-4</v>
      </c>
      <c r="B2577" cm="1">
        <f t="array" ref="B2577">INDEX('Portfolio Weights Std'!$B$9:$BJ$69,INT((ROW(A2576)-1)/COLUMNS('Portfolio Weights Std'!$B$9:$BJ$69))+1,MOD(ROW(A2576)-1,COLUMNS('Portfolio Weights Std'!$B$9:$BJ$69))+1)</f>
        <v>2.0638353176037894E-2</v>
      </c>
    </row>
    <row r="2578" spans="1:2" x14ac:dyDescent="0.25">
      <c r="A2578" cm="1">
        <f t="array" ref="A2578">INDEX('Portfolio Weights Returns'!$B$9:$BJ$69,
INT((ROW(A2577)-1)/COLUMNS('Portfolio Weights Returns'!$B$9:$BJ$69))+1,MOD(ROW(A2577)-1,COLUMNS('Portfolio Weights Returns'!$B$9:$BJ$69))+1)</f>
        <v>-8.239221395787658E-4</v>
      </c>
      <c r="B2578" cm="1">
        <f t="array" ref="B2578">INDEX('Portfolio Weights Std'!$B$9:$BJ$69,INT((ROW(A2577)-1)/COLUMNS('Portfolio Weights Std'!$B$9:$BJ$69))+1,MOD(ROW(A2577)-1,COLUMNS('Portfolio Weights Std'!$B$9:$BJ$69))+1)</f>
        <v>2.0488720112028253E-2</v>
      </c>
    </row>
    <row r="2579" spans="1:2" x14ac:dyDescent="0.25">
      <c r="A2579" cm="1">
        <f t="array" ref="A2579">INDEX('Portfolio Weights Returns'!$B$9:$BJ$69,
INT((ROW(A2578)-1)/COLUMNS('Portfolio Weights Returns'!$B$9:$BJ$69))+1,MOD(ROW(A2578)-1,COLUMNS('Portfolio Weights Returns'!$B$9:$BJ$69))+1)</f>
        <v>-8.1714096561208655E-4</v>
      </c>
      <c r="B2579" cm="1">
        <f t="array" ref="B2579">INDEX('Portfolio Weights Std'!$B$9:$BJ$69,INT((ROW(A2578)-1)/COLUMNS('Portfolio Weights Std'!$B$9:$BJ$69))+1,MOD(ROW(A2578)-1,COLUMNS('Portfolio Weights Std'!$B$9:$BJ$69))+1)</f>
        <v>2.0340262724358162E-2</v>
      </c>
    </row>
    <row r="2580" spans="1:2" x14ac:dyDescent="0.25">
      <c r="A2580" cm="1">
        <f t="array" ref="A2580">INDEX('Portfolio Weights Returns'!$B$9:$BJ$69,
INT((ROW(A2579)-1)/COLUMNS('Portfolio Weights Returns'!$B$9:$BJ$69))+1,MOD(ROW(A2579)-1,COLUMNS('Portfolio Weights Returns'!$B$9:$BJ$69))+1)</f>
        <v>-8.1035979164540751E-4</v>
      </c>
      <c r="B2580" cm="1">
        <f t="array" ref="B2580">INDEX('Portfolio Weights Std'!$B$9:$BJ$69,INT((ROW(A2579)-1)/COLUMNS('Portfolio Weights Std'!$B$9:$BJ$69))+1,MOD(ROW(A2579)-1,COLUMNS('Portfolio Weights Std'!$B$9:$BJ$69))+1)</f>
        <v>2.0193006943482278E-2</v>
      </c>
    </row>
    <row r="2581" spans="1:2" x14ac:dyDescent="0.25">
      <c r="A2581" cm="1">
        <f t="array" ref="A2581">INDEX('Portfolio Weights Returns'!$B$9:$BJ$69,
INT((ROW(A2580)-1)/COLUMNS('Portfolio Weights Returns'!$B$9:$BJ$69))+1,MOD(ROW(A2580)-1,COLUMNS('Portfolio Weights Returns'!$B$9:$BJ$69))+1)</f>
        <v>-8.0357861767872837E-4</v>
      </c>
      <c r="B2581" cm="1">
        <f t="array" ref="B2581">INDEX('Portfolio Weights Std'!$B$9:$BJ$69,INT((ROW(A2580)-1)/COLUMNS('Portfolio Weights Std'!$B$9:$BJ$69))+1,MOD(ROW(A2580)-1,COLUMNS('Portfolio Weights Std'!$B$9:$BJ$69))+1)</f>
        <v>2.0046979248751134E-2</v>
      </c>
    </row>
    <row r="2582" spans="1:2" x14ac:dyDescent="0.25">
      <c r="A2582" cm="1">
        <f t="array" ref="A2582">INDEX('Portfolio Weights Returns'!$B$9:$BJ$69,
INT((ROW(A2581)-1)/COLUMNS('Portfolio Weights Returns'!$B$9:$BJ$69))+1,MOD(ROW(A2581)-1,COLUMNS('Portfolio Weights Returns'!$B$9:$BJ$69))+1)</f>
        <v>-7.9679744371204933E-4</v>
      </c>
      <c r="B2582" cm="1">
        <f t="array" ref="B2582">INDEX('Portfolio Weights Std'!$B$9:$BJ$69,INT((ROW(A2581)-1)/COLUMNS('Portfolio Weights Std'!$B$9:$BJ$69))+1,MOD(ROW(A2581)-1,COLUMNS('Portfolio Weights Std'!$B$9:$BJ$69))+1)</f>
        <v>1.990220667255066E-2</v>
      </c>
    </row>
    <row r="2583" spans="1:2" x14ac:dyDescent="0.25">
      <c r="A2583" cm="1">
        <f t="array" ref="A2583">INDEX('Portfolio Weights Returns'!$B$9:$BJ$69,
INT((ROW(A2582)-1)/COLUMNS('Portfolio Weights Returns'!$B$9:$BJ$69))+1,MOD(ROW(A2582)-1,COLUMNS('Portfolio Weights Returns'!$B$9:$BJ$69))+1)</f>
        <v>-7.900162697453704E-4</v>
      </c>
      <c r="B2583" cm="1">
        <f t="array" ref="B2583">INDEX('Portfolio Weights Std'!$B$9:$BJ$69,INT((ROW(A2582)-1)/COLUMNS('Portfolio Weights Std'!$B$9:$BJ$69))+1,MOD(ROW(A2582)-1,COLUMNS('Portfolio Weights Std'!$B$9:$BJ$69))+1)</f>
        <v>1.9758716803747835E-2</v>
      </c>
    </row>
    <row r="2584" spans="1:2" x14ac:dyDescent="0.25">
      <c r="A2584" cm="1">
        <f t="array" ref="A2584">INDEX('Portfolio Weights Returns'!$B$9:$BJ$69,
INT((ROW(A2583)-1)/COLUMNS('Portfolio Weights Returns'!$B$9:$BJ$69))+1,MOD(ROW(A2583)-1,COLUMNS('Portfolio Weights Returns'!$B$9:$BJ$69))+1)</f>
        <v>-7.8323509577869126E-4</v>
      </c>
      <c r="B2584" cm="1">
        <f t="array" ref="B2584">INDEX('Portfolio Weights Std'!$B$9:$BJ$69,INT((ROW(A2583)-1)/COLUMNS('Portfolio Weights Std'!$B$9:$BJ$69))+1,MOD(ROW(A2583)-1,COLUMNS('Portfolio Weights Std'!$B$9:$BJ$69))+1)</f>
        <v>1.9616537790375248E-2</v>
      </c>
    </row>
    <row r="2585" spans="1:2" x14ac:dyDescent="0.25">
      <c r="A2585" cm="1">
        <f t="array" ref="A2585">INDEX('Portfolio Weights Returns'!$B$9:$BJ$69,
INT((ROW(A2584)-1)/COLUMNS('Portfolio Weights Returns'!$B$9:$BJ$69))+1,MOD(ROW(A2584)-1,COLUMNS('Portfolio Weights Returns'!$B$9:$BJ$69))+1)</f>
        <v>-7.76453921812012E-4</v>
      </c>
      <c r="B2585" cm="1">
        <f t="array" ref="B2585">INDEX('Portfolio Weights Std'!$B$9:$BJ$69,INT((ROW(A2584)-1)/COLUMNS('Portfolio Weights Std'!$B$9:$BJ$69))+1,MOD(ROW(A2584)-1,COLUMNS('Portfolio Weights Std'!$B$9:$BJ$69))+1)</f>
        <v>1.9475698341483397E-2</v>
      </c>
    </row>
    <row r="2586" spans="1:2" x14ac:dyDescent="0.25">
      <c r="A2586" cm="1">
        <f t="array" ref="A2586">INDEX('Portfolio Weights Returns'!$B$9:$BJ$69,
INT((ROW(A2585)-1)/COLUMNS('Portfolio Weights Returns'!$B$9:$BJ$69))+1,MOD(ROW(A2585)-1,COLUMNS('Portfolio Weights Returns'!$B$9:$BJ$69))+1)</f>
        <v>-7.6967274784533297E-4</v>
      </c>
      <c r="B2586" cm="1">
        <f t="array" ref="B2586">INDEX('Portfolio Weights Std'!$B$9:$BJ$69,INT((ROW(A2585)-1)/COLUMNS('Portfolio Weights Std'!$B$9:$BJ$69))+1,MOD(ROW(A2585)-1,COLUMNS('Portfolio Weights Std'!$B$9:$BJ$69))+1)</f>
        <v>1.9336227728086571E-2</v>
      </c>
    </row>
    <row r="2587" spans="1:2" x14ac:dyDescent="0.25">
      <c r="A2587" cm="1">
        <f t="array" ref="A2587">INDEX('Portfolio Weights Returns'!$B$9:$BJ$69,
INT((ROW(A2586)-1)/COLUMNS('Portfolio Weights Returns'!$B$9:$BJ$69))+1,MOD(ROW(A2586)-1,COLUMNS('Portfolio Weights Returns'!$B$9:$BJ$69))+1)</f>
        <v>-7.6289157387865382E-4</v>
      </c>
      <c r="B2587" cm="1">
        <f t="array" ref="B2587">INDEX('Portfolio Weights Std'!$B$9:$BJ$69,INT((ROW(A2586)-1)/COLUMNS('Portfolio Weights Std'!$B$9:$BJ$69))+1,MOD(ROW(A2586)-1,COLUMNS('Portfolio Weights Std'!$B$9:$BJ$69))+1)</f>
        <v>1.9198155783124452E-2</v>
      </c>
    </row>
    <row r="2588" spans="1:2" x14ac:dyDescent="0.25">
      <c r="A2588" cm="1">
        <f t="array" ref="A2588">INDEX('Portfolio Weights Returns'!$B$9:$BJ$69,
INT((ROW(A2587)-1)/COLUMNS('Portfolio Weights Returns'!$B$9:$BJ$69))+1,MOD(ROW(A2587)-1,COLUMNS('Portfolio Weights Returns'!$B$9:$BJ$69))+1)</f>
        <v>-7.5611039991197479E-4</v>
      </c>
      <c r="B2588" cm="1">
        <f t="array" ref="B2588">INDEX('Portfolio Weights Std'!$B$9:$BJ$69,INT((ROW(A2587)-1)/COLUMNS('Portfolio Weights Std'!$B$9:$BJ$69))+1,MOD(ROW(A2587)-1,COLUMNS('Portfolio Weights Std'!$B$9:$BJ$69))+1)</f>
        <v>1.906151290035845E-2</v>
      </c>
    </row>
    <row r="2589" spans="1:2" x14ac:dyDescent="0.25">
      <c r="A2589" cm="1">
        <f t="array" ref="A2589">INDEX('Portfolio Weights Returns'!$B$9:$BJ$69,
INT((ROW(A2588)-1)/COLUMNS('Portfolio Weights Returns'!$B$9:$BJ$69))+1,MOD(ROW(A2588)-1,COLUMNS('Portfolio Weights Returns'!$B$9:$BJ$69))+1)</f>
        <v>-7.4932922594529564E-4</v>
      </c>
      <c r="B2589" cm="1">
        <f t="array" ref="B2589">INDEX('Portfolio Weights Std'!$B$9:$BJ$69,INT((ROW(A2588)-1)/COLUMNS('Portfolio Weights Std'!$B$9:$BJ$69))+1,MOD(ROW(A2588)-1,COLUMNS('Portfolio Weights Std'!$B$9:$BJ$69))+1)</f>
        <v>1.8926330032118591E-2</v>
      </c>
    </row>
    <row r="2590" spans="1:2" x14ac:dyDescent="0.25">
      <c r="A2590" cm="1">
        <f t="array" ref="A2590">INDEX('Portfolio Weights Returns'!$B$9:$BJ$69,
INT((ROW(A2589)-1)/COLUMNS('Portfolio Weights Returns'!$B$9:$BJ$69))+1,MOD(ROW(A2589)-1,COLUMNS('Portfolio Weights Returns'!$B$9:$BJ$69))+1)</f>
        <v>-7.4254805197861661E-4</v>
      </c>
      <c r="B2590" cm="1">
        <f t="array" ref="B2590">INDEX('Portfolio Weights Std'!$B$9:$BJ$69,INT((ROW(A2589)-1)/COLUMNS('Portfolio Weights Std'!$B$9:$BJ$69))+1,MOD(ROW(A2589)-1,COLUMNS('Portfolio Weights Std'!$B$9:$BJ$69))+1)</f>
        <v>1.8792638685813729E-2</v>
      </c>
    </row>
    <row r="2591" spans="1:2" x14ac:dyDescent="0.25">
      <c r="A2591" cm="1">
        <f t="array" ref="A2591">INDEX('Portfolio Weights Returns'!$B$9:$BJ$69,
INT((ROW(A2590)-1)/COLUMNS('Portfolio Weights Returns'!$B$9:$BJ$69))+1,MOD(ROW(A2590)-1,COLUMNS('Portfolio Weights Returns'!$B$9:$BJ$69))+1)</f>
        <v>-7.3576687801193746E-4</v>
      </c>
      <c r="B2591" cm="1">
        <f t="array" ref="B2591">INDEX('Portfolio Weights Std'!$B$9:$BJ$69,INT((ROW(A2590)-1)/COLUMNS('Portfolio Weights Std'!$B$9:$BJ$69))+1,MOD(ROW(A2590)-1,COLUMNS('Portfolio Weights Std'!$B$9:$BJ$69))+1)</f>
        <v>1.8660470919115019E-2</v>
      </c>
    </row>
    <row r="2592" spans="1:2" x14ac:dyDescent="0.25">
      <c r="A2592" cm="1">
        <f t="array" ref="A2592">INDEX('Portfolio Weights Returns'!$B$9:$BJ$69,
INT((ROW(A2591)-1)/COLUMNS('Portfolio Weights Returns'!$B$9:$BJ$69))+1,MOD(ROW(A2591)-1,COLUMNS('Portfolio Weights Returns'!$B$9:$BJ$69))+1)</f>
        <v>-7.2898570404525832E-4</v>
      </c>
      <c r="B2592" cm="1">
        <f t="array" ref="B2592">INDEX('Portfolio Weights Std'!$B$9:$BJ$69,INT((ROW(A2591)-1)/COLUMNS('Portfolio Weights Std'!$B$9:$BJ$69))+1,MOD(ROW(A2591)-1,COLUMNS('Portfolio Weights Std'!$B$9:$BJ$69))+1)</f>
        <v>1.8529859333720203E-2</v>
      </c>
    </row>
    <row r="2593" spans="1:2" x14ac:dyDescent="0.25">
      <c r="A2593" cm="1">
        <f t="array" ref="A2593">INDEX('Portfolio Weights Returns'!$B$9:$BJ$69,
INT((ROW(A2592)-1)/COLUMNS('Portfolio Weights Returns'!$B$9:$BJ$69))+1,MOD(ROW(A2592)-1,COLUMNS('Portfolio Weights Returns'!$B$9:$BJ$69))+1)</f>
        <v>-7.2220453007857917E-4</v>
      </c>
      <c r="B2593" cm="1">
        <f t="array" ref="B2593">INDEX('Portfolio Weights Std'!$B$9:$BJ$69,INT((ROW(A2592)-1)/COLUMNS('Portfolio Weights Std'!$B$9:$BJ$69))+1,MOD(ROW(A2592)-1,COLUMNS('Portfolio Weights Std'!$B$9:$BJ$69))+1)</f>
        <v>1.840083706760386E-2</v>
      </c>
    </row>
    <row r="2594" spans="1:2" x14ac:dyDescent="0.25">
      <c r="A2594" cm="1">
        <f t="array" ref="A2594">INDEX('Portfolio Weights Returns'!$B$9:$BJ$69,
INT((ROW(A2593)-1)/COLUMNS('Portfolio Weights Returns'!$B$9:$BJ$69))+1,MOD(ROW(A2593)-1,COLUMNS('Portfolio Weights Returns'!$B$9:$BJ$69))+1)</f>
        <v>-7.1542335611190014E-4</v>
      </c>
      <c r="B2594" cm="1">
        <f t="array" ref="B2594">INDEX('Portfolio Weights Std'!$B$9:$BJ$69,INT((ROW(A2593)-1)/COLUMNS('Portfolio Weights Std'!$B$9:$BJ$69))+1,MOD(ROW(A2593)-1,COLUMNS('Portfolio Weights Std'!$B$9:$BJ$69))+1)</f>
        <v>1.8273437785656987E-2</v>
      </c>
    </row>
    <row r="2595" spans="1:2" x14ac:dyDescent="0.25">
      <c r="A2595" cm="1">
        <f t="array" ref="A2595">INDEX('Portfolio Weights Returns'!$B$9:$BJ$69,
INT((ROW(A2594)-1)/COLUMNS('Portfolio Weights Returns'!$B$9:$BJ$69))+1,MOD(ROW(A2594)-1,COLUMNS('Portfolio Weights Returns'!$B$9:$BJ$69))+1)</f>
        <v>-7.0864218214522099E-4</v>
      </c>
      <c r="B2595" cm="1">
        <f t="array" ref="B2595">INDEX('Portfolio Weights Std'!$B$9:$BJ$69,INT((ROW(A2594)-1)/COLUMNS('Portfolio Weights Std'!$B$9:$BJ$69))+1,MOD(ROW(A2594)-1,COLUMNS('Portfolio Weights Std'!$B$9:$BJ$69))+1)</f>
        <v>1.8147695668617951E-2</v>
      </c>
    </row>
    <row r="2596" spans="1:2" x14ac:dyDescent="0.25">
      <c r="A2596" cm="1">
        <f t="array" ref="A2596">INDEX('Portfolio Weights Returns'!$B$9:$BJ$69,
INT((ROW(A2595)-1)/COLUMNS('Portfolio Weights Returns'!$B$9:$BJ$69))+1,MOD(ROW(A2595)-1,COLUMNS('Portfolio Weights Returns'!$B$9:$BJ$69))+1)</f>
        <v>-7.0186100817854185E-4</v>
      </c>
      <c r="B2596" cm="1">
        <f t="array" ref="B2596">INDEX('Portfolio Weights Std'!$B$9:$BJ$69,INT((ROW(A2595)-1)/COLUMNS('Portfolio Weights Std'!$B$9:$BJ$69))+1,MOD(ROW(A2595)-1,COLUMNS('Portfolio Weights Std'!$B$9:$BJ$69))+1)</f>
        <v>1.8023645400195795E-2</v>
      </c>
    </row>
    <row r="2597" spans="1:2" x14ac:dyDescent="0.25">
      <c r="A2597" cm="1">
        <f t="array" ref="A2597">INDEX('Portfolio Weights Returns'!$B$9:$BJ$69,
INT((ROW(A2596)-1)/COLUMNS('Portfolio Weights Returns'!$B$9:$BJ$69))+1,MOD(ROW(A2596)-1,COLUMNS('Portfolio Weights Returns'!$B$9:$BJ$69))+1)</f>
        <v>-6.9507983421186281E-4</v>
      </c>
      <c r="B2597" cm="1">
        <f t="array" ref="B2597">INDEX('Portfolio Weights Std'!$B$9:$BJ$69,INT((ROW(A2596)-1)/COLUMNS('Portfolio Weights Std'!$B$9:$BJ$69))+1,MOD(ROW(A2596)-1,COLUMNS('Portfolio Weights Std'!$B$9:$BJ$69))+1)</f>
        <v>1.790132215228666E-2</v>
      </c>
    </row>
    <row r="2598" spans="1:2" x14ac:dyDescent="0.25">
      <c r="A2598" cm="1">
        <f t="array" ref="A2598">INDEX('Portfolio Weights Returns'!$B$9:$BJ$69,
INT((ROW(A2597)-1)/COLUMNS('Portfolio Weights Returns'!$B$9:$BJ$69))+1,MOD(ROW(A2597)-1,COLUMNS('Portfolio Weights Returns'!$B$9:$BJ$69))+1)</f>
        <v>-6.8829866024518356E-4</v>
      </c>
      <c r="B2598" cm="1">
        <f t="array" ref="B2598">INDEX('Portfolio Weights Std'!$B$9:$BJ$69,INT((ROW(A2597)-1)/COLUMNS('Portfolio Weights Std'!$B$9:$BJ$69))+1,MOD(ROW(A2597)-1,COLUMNS('Portfolio Weights Std'!$B$9:$BJ$69))+1)</f>
        <v>1.778076156818445E-2</v>
      </c>
    </row>
    <row r="2599" spans="1:2" x14ac:dyDescent="0.25">
      <c r="A2599" cm="1">
        <f t="array" ref="A2599">INDEX('Portfolio Weights Returns'!$B$9:$BJ$69,
INT((ROW(A2598)-1)/COLUMNS('Portfolio Weights Returns'!$B$9:$BJ$69))+1,MOD(ROW(A2598)-1,COLUMNS('Portfolio Weights Returns'!$B$9:$BJ$69))+1)</f>
        <v>-6.8151748627850452E-4</v>
      </c>
      <c r="B2599" cm="1">
        <f t="array" ref="B2599">INDEX('Portfolio Weights Std'!$B$9:$BJ$69,INT((ROW(A2598)-1)/COLUMNS('Portfolio Weights Std'!$B$9:$BJ$69))+1,MOD(ROW(A2598)-1,COLUMNS('Portfolio Weights Std'!$B$9:$BJ$69))+1)</f>
        <v>1.7661999743687779E-2</v>
      </c>
    </row>
    <row r="2600" spans="1:2" x14ac:dyDescent="0.25">
      <c r="A2600" cm="1">
        <f t="array" ref="A2600">INDEX('Portfolio Weights Returns'!$B$9:$BJ$69,
INT((ROW(A2599)-1)/COLUMNS('Portfolio Weights Returns'!$B$9:$BJ$69))+1,MOD(ROW(A2599)-1,COLUMNS('Portfolio Weights Returns'!$B$9:$BJ$69))+1)</f>
        <v>-6.7473631231182538E-4</v>
      </c>
      <c r="B2600" cm="1">
        <f t="array" ref="B2600">INDEX('Portfolio Weights Std'!$B$9:$BJ$69,INT((ROW(A2599)-1)/COLUMNS('Portfolio Weights Std'!$B$9:$BJ$69))+1,MOD(ROW(A2599)-1,COLUMNS('Portfolio Weights Std'!$B$9:$BJ$69))+1)</f>
        <v>1.7545073206007292E-2</v>
      </c>
    </row>
    <row r="2601" spans="1:2" x14ac:dyDescent="0.25">
      <c r="A2601" cm="1">
        <f t="array" ref="A2601">INDEX('Portfolio Weights Returns'!$B$9:$BJ$69,
INT((ROW(A2600)-1)/COLUMNS('Portfolio Weights Returns'!$B$9:$BJ$69))+1,MOD(ROW(A2600)-1,COLUMNS('Portfolio Weights Returns'!$B$9:$BJ$69))+1)</f>
        <v>-6.6795513834514634E-4</v>
      </c>
      <c r="B2601" cm="1">
        <f t="array" ref="B2601">INDEX('Portfolio Weights Std'!$B$9:$BJ$69,INT((ROW(A2600)-1)/COLUMNS('Portfolio Weights Std'!$B$9:$BJ$69))+1,MOD(ROW(A2600)-1,COLUMNS('Portfolio Weights Std'!$B$9:$BJ$69))+1)</f>
        <v>1.743001889038015E-2</v>
      </c>
    </row>
    <row r="2602" spans="1:2" x14ac:dyDescent="0.25">
      <c r="A2602" cm="1">
        <f t="array" ref="A2602">INDEX('Portfolio Weights Returns'!$B$9:$BJ$69,
INT((ROW(A2601)-1)/COLUMNS('Portfolio Weights Returns'!$B$9:$BJ$69))+1,MOD(ROW(A2601)-1,COLUMNS('Portfolio Weights Returns'!$B$9:$BJ$69))+1)</f>
        <v>-6.6117396437846731E-4</v>
      </c>
      <c r="B2602" cm="1">
        <f t="array" ref="B2602">INDEX('Portfolio Weights Std'!$B$9:$BJ$69,INT((ROW(A2601)-1)/COLUMNS('Portfolio Weights Std'!$B$9:$BJ$69))+1,MOD(ROW(A2601)-1,COLUMNS('Portfolio Weights Std'!$B$9:$BJ$69))+1)</f>
        <v>1.7316874114302178E-2</v>
      </c>
    </row>
    <row r="2603" spans="1:2" x14ac:dyDescent="0.25">
      <c r="A2603" cm="1">
        <f t="array" ref="A2603">INDEX('Portfolio Weights Returns'!$B$9:$BJ$69,
INT((ROW(A2602)-1)/COLUMNS('Portfolio Weights Returns'!$B$9:$BJ$69))+1,MOD(ROW(A2602)-1,COLUMNS('Portfolio Weights Returns'!$B$9:$BJ$69))+1)</f>
        <v>-6.5439279041178827E-4</v>
      </c>
      <c r="B2603" cm="1">
        <f t="array" ref="B2603">INDEX('Portfolio Weights Std'!$B$9:$BJ$69,INT((ROW(A2602)-1)/COLUMNS('Portfolio Weights Std'!$B$9:$BJ$69))+1,MOD(ROW(A2602)-1,COLUMNS('Portfolio Weights Std'!$B$9:$BJ$69))+1)</f>
        <v>1.72056765492931E-2</v>
      </c>
    </row>
    <row r="2604" spans="1:2" x14ac:dyDescent="0.25">
      <c r="A2604" cm="1">
        <f t="array" ref="A2604">INDEX('Portfolio Weights Returns'!$B$9:$BJ$69,
INT((ROW(A2603)-1)/COLUMNS('Portfolio Weights Returns'!$B$9:$BJ$69))+1,MOD(ROW(A2603)-1,COLUMNS('Portfolio Weights Returns'!$B$9:$BJ$69))+1)</f>
        <v>-6.4761161644510902E-4</v>
      </c>
      <c r="B2604" cm="1">
        <f t="array" ref="B2604">INDEX('Portfolio Weights Std'!$B$9:$BJ$69,INT((ROW(A2603)-1)/COLUMNS('Portfolio Weights Std'!$B$9:$BJ$69))+1,MOD(ROW(A2603)-1,COLUMNS('Portfolio Weights Std'!$B$9:$BJ$69))+1)</f>
        <v>1.7096464190116217E-2</v>
      </c>
    </row>
    <row r="2605" spans="1:2" x14ac:dyDescent="0.25">
      <c r="A2605" cm="1">
        <f t="array" ref="A2605">INDEX('Portfolio Weights Returns'!$B$9:$BJ$69,
INT((ROW(A2604)-1)/COLUMNS('Portfolio Weights Returns'!$B$9:$BJ$69))+1,MOD(ROW(A2604)-1,COLUMNS('Portfolio Weights Returns'!$B$9:$BJ$69))+1)</f>
        <v>-6.4083044247842987E-4</v>
      </c>
      <c r="B2605" cm="1">
        <f t="array" ref="B2605">INDEX('Portfolio Weights Std'!$B$9:$BJ$69,INT((ROW(A2604)-1)/COLUMNS('Portfolio Weights Std'!$B$9:$BJ$69))+1,MOD(ROW(A2604)-1,COLUMNS('Portfolio Weights Std'!$B$9:$BJ$69))+1)</f>
        <v>1.6989275321380948E-2</v>
      </c>
    </row>
    <row r="2606" spans="1:2" x14ac:dyDescent="0.25">
      <c r="A2606" cm="1">
        <f t="array" ref="A2606">INDEX('Portfolio Weights Returns'!$B$9:$BJ$69,
INT((ROW(A2605)-1)/COLUMNS('Portfolio Weights Returns'!$B$9:$BJ$69))+1,MOD(ROW(A2605)-1,COLUMNS('Portfolio Weights Returns'!$B$9:$BJ$69))+1)</f>
        <v>-6.3404926851175084E-4</v>
      </c>
      <c r="B2606" cm="1">
        <f t="array" ref="B2606">INDEX('Portfolio Weights Std'!$B$9:$BJ$69,INT((ROW(A2605)-1)/COLUMNS('Portfolio Weights Std'!$B$9:$BJ$69))+1,MOD(ROW(A2605)-1,COLUMNS('Portfolio Weights Std'!$B$9:$BJ$69))+1)</f>
        <v>1.6884148481465307E-2</v>
      </c>
    </row>
    <row r="2607" spans="1:2" x14ac:dyDescent="0.25">
      <c r="A2607" cm="1">
        <f t="array" ref="A2607">INDEX('Portfolio Weights Returns'!$B$9:$BJ$69,
INT((ROW(A2606)-1)/COLUMNS('Portfolio Weights Returns'!$B$9:$BJ$69))+1,MOD(ROW(A2606)-1,COLUMNS('Portfolio Weights Returns'!$B$9:$BJ$69))+1)</f>
        <v>-6.2726809454507169E-4</v>
      </c>
      <c r="B2607" cm="1">
        <f t="array" ref="B2607">INDEX('Portfolio Weights Std'!$B$9:$BJ$69,INT((ROW(A2606)-1)/COLUMNS('Portfolio Weights Std'!$B$9:$BJ$69))+1,MOD(ROW(A2606)-1,COLUMNS('Portfolio Weights Std'!$B$9:$BJ$69))+1)</f>
        <v>1.678112242370506E-2</v>
      </c>
    </row>
    <row r="2608" spans="1:2" x14ac:dyDescent="0.25">
      <c r="A2608" cm="1">
        <f t="array" ref="A2608">INDEX('Portfolio Weights Returns'!$B$9:$BJ$69,
INT((ROW(A2607)-1)/COLUMNS('Portfolio Weights Returns'!$B$9:$BJ$69))+1,MOD(ROW(A2607)-1,COLUMNS('Portfolio Weights Returns'!$B$9:$BJ$69))+1)</f>
        <v>-6.2048692057839266E-4</v>
      </c>
      <c r="B2608" cm="1">
        <f t="array" ref="B2608">INDEX('Portfolio Weights Std'!$B$9:$BJ$69,INT((ROW(A2607)-1)/COLUMNS('Portfolio Weights Std'!$B$9:$BJ$69))+1,MOD(ROW(A2607)-1,COLUMNS('Portfolio Weights Std'!$B$9:$BJ$69))+1)</f>
        <v>1.6680236074807578E-2</v>
      </c>
    </row>
    <row r="2609" spans="1:2" x14ac:dyDescent="0.25">
      <c r="A2609" cm="1">
        <f t="array" ref="A2609">INDEX('Portfolio Weights Returns'!$B$9:$BJ$69,
INT((ROW(A2608)-1)/COLUMNS('Portfolio Weights Returns'!$B$9:$BJ$69))+1,MOD(ROW(A2608)-1,COLUMNS('Portfolio Weights Returns'!$B$9:$BJ$69))+1)</f>
        <v>-6.1370574661171351E-4</v>
      </c>
      <c r="B2609" cm="1">
        <f t="array" ref="B2609">INDEX('Portfolio Weights Std'!$B$9:$BJ$69,INT((ROW(A2608)-1)/COLUMNS('Portfolio Weights Std'!$B$9:$BJ$69))+1,MOD(ROW(A2608)-1,COLUMNS('Portfolio Weights Std'!$B$9:$BJ$69))+1)</f>
        <v>1.6581528490461107E-2</v>
      </c>
    </row>
    <row r="2610" spans="1:2" x14ac:dyDescent="0.25">
      <c r="A2610" cm="1">
        <f t="array" ref="A2610">INDEX('Portfolio Weights Returns'!$B$9:$BJ$69,
INT((ROW(A2609)-1)/COLUMNS('Portfolio Weights Returns'!$B$9:$BJ$69))+1,MOD(ROW(A2609)-1,COLUMNS('Portfolio Weights Returns'!$B$9:$BJ$69))+1)</f>
        <v>-6.0692457264503448E-4</v>
      </c>
      <c r="B2610" cm="1">
        <f t="array" ref="B2610">INDEX('Portfolio Weights Std'!$B$9:$BJ$69,INT((ROW(A2609)-1)/COLUMNS('Portfolio Weights Std'!$B$9:$BJ$69))+1,MOD(ROW(A2609)-1,COLUMNS('Portfolio Weights Std'!$B$9:$BJ$69))+1)</f>
        <v>1.6485038808124193E-2</v>
      </c>
    </row>
    <row r="2611" spans="1:2" x14ac:dyDescent="0.25">
      <c r="A2611" cm="1">
        <f t="array" ref="A2611">INDEX('Portfolio Weights Returns'!$B$9:$BJ$69,
INT((ROW(A2610)-1)/COLUMNS('Portfolio Weights Returns'!$B$9:$BJ$69))+1,MOD(ROW(A2610)-1,COLUMNS('Portfolio Weights Returns'!$B$9:$BJ$69))+1)</f>
        <v>-6.0014339867835523E-4</v>
      </c>
      <c r="B2611" cm="1">
        <f t="array" ref="B2611">INDEX('Portfolio Weights Std'!$B$9:$BJ$69,INT((ROW(A2610)-1)/COLUMNS('Portfolio Weights Std'!$B$9:$BJ$69))+1,MOD(ROW(A2610)-1,COLUMNS('Portfolio Weights Std'!$B$9:$BJ$69))+1)</f>
        <v>1.6390806196995737E-2</v>
      </c>
    </row>
    <row r="2612" spans="1:2" x14ac:dyDescent="0.25">
      <c r="A2612" cm="1">
        <f t="array" ref="A2612">INDEX('Portfolio Weights Returns'!$B$9:$BJ$69,
INT((ROW(A2611)-1)/COLUMNS('Portfolio Weights Returns'!$B$9:$BJ$69))+1,MOD(ROW(A2611)-1,COLUMNS('Portfolio Weights Returns'!$B$9:$BJ$69))+1)</f>
        <v>-5.933622247116763E-4</v>
      </c>
      <c r="B2612" cm="1">
        <f t="array" ref="B2612">INDEX('Portfolio Weights Std'!$B$9:$BJ$69,INT((ROW(A2611)-1)/COLUMNS('Portfolio Weights Std'!$B$9:$BJ$69))+1,MOD(ROW(A2611)-1,COLUMNS('Portfolio Weights Std'!$B$9:$BJ$69))+1)</f>
        <v>1.6298869805183212E-2</v>
      </c>
    </row>
    <row r="2613" spans="1:2" x14ac:dyDescent="0.25">
      <c r="A2613" cm="1">
        <f t="array" ref="A2613">INDEX('Portfolio Weights Returns'!$B$9:$BJ$69,
INT((ROW(A2612)-1)/COLUMNS('Portfolio Weights Returns'!$B$9:$BJ$69))+1,MOD(ROW(A2612)-1,COLUMNS('Portfolio Weights Returns'!$B$9:$BJ$69))+1)</f>
        <v>-5.8658105074499715E-4</v>
      </c>
      <c r="B2613" cm="1">
        <f t="array" ref="B2613">INDEX('Portfolio Weights Std'!$B$9:$BJ$69,INT((ROW(A2612)-1)/COLUMNS('Portfolio Weights Std'!$B$9:$BJ$69))+1,MOD(ROW(A2612)-1,COLUMNS('Portfolio Weights Std'!$B$9:$BJ$69))+1)</f>
        <v>1.6209268704105009E-2</v>
      </c>
    </row>
    <row r="2614" spans="1:2" x14ac:dyDescent="0.25">
      <c r="A2614" cm="1">
        <f t="array" ref="A2614">INDEX('Portfolio Weights Returns'!$B$9:$BJ$69,
INT((ROW(A2613)-1)/COLUMNS('Portfolio Weights Returns'!$B$9:$BJ$69))+1,MOD(ROW(A2613)-1,COLUMNS('Portfolio Weights Returns'!$B$9:$BJ$69))+1)</f>
        <v>-5.7979987677831812E-4</v>
      </c>
      <c r="B2614" cm="1">
        <f t="array" ref="B2614">INDEX('Portfolio Weights Std'!$B$9:$BJ$69,INT((ROW(A2613)-1)/COLUMNS('Portfolio Weights Std'!$B$9:$BJ$69))+1,MOD(ROW(A2613)-1,COLUMNS('Portfolio Weights Std'!$B$9:$BJ$69))+1)</f>
        <v>1.6122041830182957E-2</v>
      </c>
    </row>
    <row r="2615" spans="1:2" x14ac:dyDescent="0.25">
      <c r="A2615" cm="1">
        <f t="array" ref="A2615">INDEX('Portfolio Weights Returns'!$B$9:$BJ$69,
INT((ROW(A2614)-1)/COLUMNS('Portfolio Weights Returns'!$B$9:$BJ$69))+1,MOD(ROW(A2614)-1,COLUMNS('Portfolio Weights Returns'!$B$9:$BJ$69))+1)</f>
        <v>-5.7301870281163897E-4</v>
      </c>
      <c r="B2615" cm="1">
        <f t="array" ref="B2615">INDEX('Portfolio Weights Std'!$B$9:$BJ$69,INT((ROW(A2614)-1)/COLUMNS('Portfolio Weights Std'!$B$9:$BJ$69))+1,MOD(ROW(A2614)-1,COLUMNS('Portfolio Weights Std'!$B$9:$BJ$69))+1)</f>
        <v>1.6037227923902119E-2</v>
      </c>
    </row>
    <row r="2616" spans="1:2" x14ac:dyDescent="0.25">
      <c r="A2616" cm="1">
        <f t="array" ref="A2616">INDEX('Portfolio Weights Returns'!$B$9:$BJ$69,
INT((ROW(A2615)-1)/COLUMNS('Portfolio Weights Returns'!$B$9:$BJ$69))+1,MOD(ROW(A2615)-1,COLUMNS('Portfolio Weights Returns'!$B$9:$BJ$69))+1)</f>
        <v>-5.6623752884495983E-4</v>
      </c>
      <c r="B2616" cm="1">
        <f t="array" ref="B2616">INDEX('Portfolio Weights Std'!$B$9:$BJ$69,INT((ROW(A2615)-1)/COLUMNS('Portfolio Weights Std'!$B$9:$BJ$69))+1,MOD(ROW(A2615)-1,COLUMNS('Portfolio Weights Std'!$B$9:$BJ$69))+1)</f>
        <v>1.5954865466337495E-2</v>
      </c>
    </row>
    <row r="2617" spans="1:2" x14ac:dyDescent="0.25">
      <c r="A2617" cm="1">
        <f t="array" ref="A2617">INDEX('Portfolio Weights Returns'!$B$9:$BJ$69,
INT((ROW(A2616)-1)/COLUMNS('Portfolio Weights Returns'!$B$9:$BJ$69))+1,MOD(ROW(A2616)-1,COLUMNS('Portfolio Weights Returns'!$B$9:$BJ$69))+1)</f>
        <v>-5.5945635487828068E-4</v>
      </c>
      <c r="B2617" cm="1">
        <f t="array" ref="B2617">INDEX('Portfolio Weights Std'!$B$9:$BJ$69,INT((ROW(A2616)-1)/COLUMNS('Portfolio Weights Std'!$B$9:$BJ$69))+1,MOD(ROW(A2616)-1,COLUMNS('Portfolio Weights Std'!$B$9:$BJ$69))+1)</f>
        <v>1.5874992613270647E-2</v>
      </c>
    </row>
    <row r="2618" spans="1:2" x14ac:dyDescent="0.25">
      <c r="A2618" cm="1">
        <f t="array" ref="A2618">INDEX('Portfolio Weights Returns'!$B$9:$BJ$69,
INT((ROW(A2617)-1)/COLUMNS('Portfolio Weights Returns'!$B$9:$BJ$69))+1,MOD(ROW(A2617)-1,COLUMNS('Portfolio Weights Returns'!$B$9:$BJ$69))+1)</f>
        <v>-5.5267518091160154E-4</v>
      </c>
      <c r="B2618" cm="1">
        <f t="array" ref="B2618">INDEX('Portfolio Weights Std'!$B$9:$BJ$69,INT((ROW(A2617)-1)/COLUMNS('Portfolio Weights Std'!$B$9:$BJ$69))+1,MOD(ROW(A2617)-1,COLUMNS('Portfolio Weights Std'!$B$9:$BJ$69))+1)</f>
        <v>1.5797647127043707E-2</v>
      </c>
    </row>
    <row r="2619" spans="1:2" x14ac:dyDescent="0.25">
      <c r="A2619" cm="1">
        <f t="array" ref="A2619">INDEX('Portfolio Weights Returns'!$B$9:$BJ$69,
INT((ROW(A2618)-1)/COLUMNS('Portfolio Weights Returns'!$B$9:$BJ$69))+1,MOD(ROW(A2618)-1,COLUMNS('Portfolio Weights Returns'!$B$9:$BJ$69))+1)</f>
        <v>-5.458940069449225E-4</v>
      </c>
      <c r="B2619" cm="1">
        <f t="array" ref="B2619">INDEX('Portfolio Weights Std'!$B$9:$BJ$69,INT((ROW(A2618)-1)/COLUMNS('Portfolio Weights Std'!$B$9:$BJ$69))+1,MOD(ROW(A2618)-1,COLUMNS('Portfolio Weights Std'!$B$9:$BJ$69))+1)</f>
        <v>1.5722866306323188E-2</v>
      </c>
    </row>
    <row r="2620" spans="1:2" x14ac:dyDescent="0.25">
      <c r="A2620" cm="1">
        <f t="array" ref="A2620">INDEX('Portfolio Weights Returns'!$B$9:$BJ$69,
INT((ROW(A2619)-1)/COLUMNS('Portfolio Weights Returns'!$B$9:$BJ$69))+1,MOD(ROW(A2619)-1,COLUMNS('Portfolio Weights Returns'!$B$9:$BJ$69))+1)</f>
        <v>-5.3911283297824336E-4</v>
      </c>
      <c r="B2620" cm="1">
        <f t="array" ref="B2620">INDEX('Portfolio Weights Std'!$B$9:$BJ$69,INT((ROW(A2619)-1)/COLUMNS('Portfolio Weights Std'!$B$9:$BJ$69))+1,MOD(ROW(A2619)-1,COLUMNS('Portfolio Weights Std'!$B$9:$BJ$69))+1)</f>
        <v>1.5650686913971524E-2</v>
      </c>
    </row>
    <row r="2621" spans="1:2" x14ac:dyDescent="0.25">
      <c r="A2621" cm="1">
        <f t="array" ref="A2621">INDEX('Portfolio Weights Returns'!$B$9:$BJ$69,
INT((ROW(A2620)-1)/COLUMNS('Portfolio Weights Returns'!$B$9:$BJ$69))+1,MOD(ROW(A2620)-1,COLUMNS('Portfolio Weights Returns'!$B$9:$BJ$69))+1)</f>
        <v>-5.3233165901156356E-4</v>
      </c>
      <c r="B2621" cm="1">
        <f t="array" ref="B2621">INDEX('Portfolio Weights Std'!$B$9:$BJ$69,INT((ROW(A2620)-1)/COLUMNS('Portfolio Weights Std'!$B$9:$BJ$69))+1,MOD(ROW(A2620)-1,COLUMNS('Portfolio Weights Std'!$B$9:$BJ$69))+1)</f>
        <v>1.558114510325001E-2</v>
      </c>
    </row>
    <row r="2622" spans="1:2" x14ac:dyDescent="0.25">
      <c r="A2622" cm="1">
        <f t="array" ref="A2622">INDEX('Portfolio Weights Returns'!$B$9:$BJ$69,
INT((ROW(A2621)-1)/COLUMNS('Portfolio Weights Returns'!$B$9:$BJ$69))+1,MOD(ROW(A2621)-1,COLUMNS('Portfolio Weights Returns'!$B$9:$BJ$69))+1)</f>
        <v>-5.2555048504488453E-4</v>
      </c>
      <c r="B2622" cm="1">
        <f t="array" ref="B2622">INDEX('Portfolio Weights Std'!$B$9:$BJ$69,INT((ROW(A2621)-1)/COLUMNS('Portfolio Weights Std'!$B$9:$BJ$69))+1,MOD(ROW(A2621)-1,COLUMNS('Portfolio Weights Std'!$B$9:$BJ$69))+1)</f>
        <v>1.5514276342602327E-2</v>
      </c>
    </row>
    <row r="2623" spans="1:2" x14ac:dyDescent="0.25">
      <c r="A2623" cm="1">
        <f t="array" ref="A2623">INDEX('Portfolio Weights Returns'!$B$9:$BJ$69,
INT((ROW(A2622)-1)/COLUMNS('Portfolio Weights Returns'!$B$9:$BJ$69))+1,MOD(ROW(A2622)-1,COLUMNS('Portfolio Weights Returns'!$B$9:$BJ$69))+1)</f>
        <v>-5.1876931107820549E-4</v>
      </c>
      <c r="B2623" cm="1">
        <f t="array" ref="B2623">INDEX('Portfolio Weights Std'!$B$9:$BJ$69,INT((ROW(A2622)-1)/COLUMNS('Portfolio Weights Std'!$B$9:$BJ$69))+1,MOD(ROW(A2622)-1,COLUMNS('Portfolio Weights Std'!$B$9:$BJ$69))+1)</f>
        <v>1.5450115339292929E-2</v>
      </c>
    </row>
    <row r="2624" spans="1:2" x14ac:dyDescent="0.25">
      <c r="A2624" cm="1">
        <f t="array" ref="A2624">INDEX('Portfolio Weights Returns'!$B$9:$BJ$69,
INT((ROW(A2623)-1)/COLUMNS('Portfolio Weights Returns'!$B$9:$BJ$69))+1,MOD(ROW(A2623)-1,COLUMNS('Portfolio Weights Returns'!$B$9:$BJ$69))+1)</f>
        <v>-5.1198813711152635E-4</v>
      </c>
      <c r="B2624" cm="1">
        <f t="array" ref="B2624">INDEX('Portfolio Weights Std'!$B$9:$BJ$69,INT((ROW(A2623)-1)/COLUMNS('Portfolio Weights Std'!$B$9:$BJ$69))+1,MOD(ROW(A2623)-1,COLUMNS('Portfolio Weights Std'!$B$9:$BJ$69))+1)</f>
        <v>1.5388695962199168E-2</v>
      </c>
    </row>
    <row r="2625" spans="1:2" x14ac:dyDescent="0.25">
      <c r="A2625" cm="1">
        <f t="array" ref="A2625">INDEX('Portfolio Weights Returns'!$B$9:$BJ$69,
INT((ROW(A2624)-1)/COLUMNS('Portfolio Weights Returns'!$B$9:$BJ$69))+1,MOD(ROW(A2624)-1,COLUMNS('Portfolio Weights Returns'!$B$9:$BJ$69))+1)</f>
        <v>-9.1228436726681795E-4</v>
      </c>
      <c r="B2625" cm="1">
        <f t="array" ref="B2625">INDEX('Portfolio Weights Std'!$B$9:$BJ$69,INT((ROW(A2624)-1)/COLUMNS('Portfolio Weights Std'!$B$9:$BJ$69))+1,MOD(ROW(A2624)-1,COLUMNS('Portfolio Weights Std'!$B$9:$BJ$69))+1)</f>
        <v>2.2611206014407959E-2</v>
      </c>
    </row>
    <row r="2626" spans="1:2" x14ac:dyDescent="0.25">
      <c r="A2626" cm="1">
        <f t="array" ref="A2626">INDEX('Portfolio Weights Returns'!$B$9:$BJ$69,
INT((ROW(A2625)-1)/COLUMNS('Portfolio Weights Returns'!$B$9:$BJ$69))+1,MOD(ROW(A2625)-1,COLUMNS('Portfolio Weights Returns'!$B$9:$BJ$69))+1)</f>
        <v>-9.0550319330013902E-4</v>
      </c>
      <c r="B2626" cm="1">
        <f t="array" ref="B2626">INDEX('Portfolio Weights Std'!$B$9:$BJ$69,INT((ROW(A2625)-1)/COLUMNS('Portfolio Weights Std'!$B$9:$BJ$69))+1,MOD(ROW(A2625)-1,COLUMNS('Portfolio Weights Std'!$B$9:$BJ$69))+1)</f>
        <v>2.2449609795394537E-2</v>
      </c>
    </row>
    <row r="2627" spans="1:2" x14ac:dyDescent="0.25">
      <c r="A2627" cm="1">
        <f t="array" ref="A2627">INDEX('Portfolio Weights Returns'!$B$9:$BJ$69,
INT((ROW(A2626)-1)/COLUMNS('Portfolio Weights Returns'!$B$9:$BJ$69))+1,MOD(ROW(A2626)-1,COLUMNS('Portfolio Weights Returns'!$B$9:$BJ$69))+1)</f>
        <v>-8.9872201933345977E-4</v>
      </c>
      <c r="B2627" cm="1">
        <f t="array" ref="B2627">INDEX('Portfolio Weights Std'!$B$9:$BJ$69,INT((ROW(A2626)-1)/COLUMNS('Portfolio Weights Std'!$B$9:$BJ$69))+1,MOD(ROW(A2626)-1,COLUMNS('Portfolio Weights Std'!$B$9:$BJ$69))+1)</f>
        <v>2.2288919407671512E-2</v>
      </c>
    </row>
    <row r="2628" spans="1:2" x14ac:dyDescent="0.25">
      <c r="A2628" cm="1">
        <f t="array" ref="A2628">INDEX('Portfolio Weights Returns'!$B$9:$BJ$69,
INT((ROW(A2627)-1)/COLUMNS('Portfolio Weights Returns'!$B$9:$BJ$69))+1,MOD(ROW(A2627)-1,COLUMNS('Portfolio Weights Returns'!$B$9:$BJ$69))+1)</f>
        <v>-8.9194084536678084E-4</v>
      </c>
      <c r="B2628" cm="1">
        <f t="array" ref="B2628">INDEX('Portfolio Weights Std'!$B$9:$BJ$69,INT((ROW(A2627)-1)/COLUMNS('Portfolio Weights Std'!$B$9:$BJ$69))+1,MOD(ROW(A2627)-1,COLUMNS('Portfolio Weights Std'!$B$9:$BJ$69))+1)</f>
        <v>2.2129154584271931E-2</v>
      </c>
    </row>
    <row r="2629" spans="1:2" x14ac:dyDescent="0.25">
      <c r="A2629" cm="1">
        <f t="array" ref="A2629">INDEX('Portfolio Weights Returns'!$B$9:$BJ$69,
INT((ROW(A2628)-1)/COLUMNS('Portfolio Weights Returns'!$B$9:$BJ$69))+1,MOD(ROW(A2628)-1,COLUMNS('Portfolio Weights Returns'!$B$9:$BJ$69))+1)</f>
        <v>-8.8515967140010148E-4</v>
      </c>
      <c r="B2629" cm="1">
        <f t="array" ref="B2629">INDEX('Portfolio Weights Std'!$B$9:$BJ$69,INT((ROW(A2628)-1)/COLUMNS('Portfolio Weights Std'!$B$9:$BJ$69))+1,MOD(ROW(A2628)-1,COLUMNS('Portfolio Weights Std'!$B$9:$BJ$69))+1)</f>
        <v>2.1970335516879498E-2</v>
      </c>
    </row>
    <row r="2630" spans="1:2" x14ac:dyDescent="0.25">
      <c r="A2630" cm="1">
        <f t="array" ref="A2630">INDEX('Portfolio Weights Returns'!$B$9:$BJ$69,
INT((ROW(A2629)-1)/COLUMNS('Portfolio Weights Returns'!$B$9:$BJ$69))+1,MOD(ROW(A2629)-1,COLUMNS('Portfolio Weights Returns'!$B$9:$BJ$69))+1)</f>
        <v>-8.7837849743342266E-4</v>
      </c>
      <c r="B2630" cm="1">
        <f t="array" ref="B2630">INDEX('Portfolio Weights Std'!$B$9:$BJ$69,INT((ROW(A2629)-1)/COLUMNS('Portfolio Weights Std'!$B$9:$BJ$69))+1,MOD(ROW(A2629)-1,COLUMNS('Portfolio Weights Std'!$B$9:$BJ$69))+1)</f>
        <v>2.1812482863962007E-2</v>
      </c>
    </row>
    <row r="2631" spans="1:2" x14ac:dyDescent="0.25">
      <c r="A2631" cm="1">
        <f t="array" ref="A2631">INDEX('Portfolio Weights Returns'!$B$9:$BJ$69,
INT((ROW(A2630)-1)/COLUMNS('Portfolio Weights Returns'!$B$9:$BJ$69))+1,MOD(ROW(A2630)-1,COLUMNS('Portfolio Weights Returns'!$B$9:$BJ$69))+1)</f>
        <v>-8.715973234667433E-4</v>
      </c>
      <c r="B2631" cm="1">
        <f t="array" ref="B2631">INDEX('Portfolio Weights Std'!$B$9:$BJ$69,INT((ROW(A2630)-1)/COLUMNS('Portfolio Weights Std'!$B$9:$BJ$69))+1,MOD(ROW(A2630)-1,COLUMNS('Portfolio Weights Std'!$B$9:$BJ$69))+1)</f>
        <v>2.1655617758765074E-2</v>
      </c>
    </row>
    <row r="2632" spans="1:2" x14ac:dyDescent="0.25">
      <c r="A2632" cm="1">
        <f t="array" ref="A2632">INDEX('Portfolio Weights Returns'!$B$9:$BJ$69,
INT((ROW(A2631)-1)/COLUMNS('Portfolio Weights Returns'!$B$9:$BJ$69))+1,MOD(ROW(A2631)-1,COLUMNS('Portfolio Weights Returns'!$B$9:$BJ$69))+1)</f>
        <v>-8.6481614950006437E-4</v>
      </c>
      <c r="B2632" cm="1">
        <f t="array" ref="B2632">INDEX('Portfolio Weights Std'!$B$9:$BJ$69,INT((ROW(A2631)-1)/COLUMNS('Portfolio Weights Std'!$B$9:$BJ$69))+1,MOD(ROW(A2631)-1,COLUMNS('Portfolio Weights Std'!$B$9:$BJ$69))+1)</f>
        <v>2.1499761817135851E-2</v>
      </c>
    </row>
    <row r="2633" spans="1:2" x14ac:dyDescent="0.25">
      <c r="A2633" cm="1">
        <f t="array" ref="A2633">INDEX('Portfolio Weights Returns'!$B$9:$BJ$69,
INT((ROW(A2632)-1)/COLUMNS('Portfolio Weights Returns'!$B$9:$BJ$69))+1,MOD(ROW(A2632)-1,COLUMNS('Portfolio Weights Returns'!$B$9:$BJ$69))+1)</f>
        <v>-8.5803497553338512E-4</v>
      </c>
      <c r="B2633" cm="1">
        <f t="array" ref="B2633">INDEX('Portfolio Weights Std'!$B$9:$BJ$69,INT((ROW(A2632)-1)/COLUMNS('Portfolio Weights Std'!$B$9:$BJ$69))+1,MOD(ROW(A2632)-1,COLUMNS('Portfolio Weights Std'!$B$9:$BJ$69))+1)</f>
        <v>2.1344937145143565E-2</v>
      </c>
    </row>
    <row r="2634" spans="1:2" x14ac:dyDescent="0.25">
      <c r="A2634" cm="1">
        <f t="array" ref="A2634">INDEX('Portfolio Weights Returns'!$B$9:$BJ$69,
INT((ROW(A2633)-1)/COLUMNS('Portfolio Weights Returns'!$B$9:$BJ$69))+1,MOD(ROW(A2633)-1,COLUMNS('Portfolio Weights Returns'!$B$9:$BJ$69))+1)</f>
        <v>-8.5125380156670619E-4</v>
      </c>
      <c r="B2634" cm="1">
        <f t="array" ref="B2634">INDEX('Portfolio Weights Std'!$B$9:$BJ$69,INT((ROW(A2633)-1)/COLUMNS('Portfolio Weights Std'!$B$9:$BJ$69))+1,MOD(ROW(A2633)-1,COLUMNS('Portfolio Weights Std'!$B$9:$BJ$69))+1)</f>
        <v>2.1191166346461746E-2</v>
      </c>
    </row>
    <row r="2635" spans="1:2" x14ac:dyDescent="0.25">
      <c r="A2635" cm="1">
        <f t="array" ref="A2635">INDEX('Portfolio Weights Returns'!$B$9:$BJ$69,
INT((ROW(A2634)-1)/COLUMNS('Portfolio Weights Returns'!$B$9:$BJ$69))+1,MOD(ROW(A2634)-1,COLUMNS('Portfolio Weights Returns'!$B$9:$BJ$69))+1)</f>
        <v>-8.4447262760002683E-4</v>
      </c>
      <c r="B2635" cm="1">
        <f t="array" ref="B2635">INDEX('Portfolio Weights Std'!$B$9:$BJ$69,INT((ROW(A2634)-1)/COLUMNS('Portfolio Weights Std'!$B$9:$BJ$69))+1,MOD(ROW(A2634)-1,COLUMNS('Portfolio Weights Std'!$B$9:$BJ$69))+1)</f>
        <v>2.1038472529473749E-2</v>
      </c>
    </row>
    <row r="2636" spans="1:2" x14ac:dyDescent="0.25">
      <c r="A2636" cm="1">
        <f t="array" ref="A2636">INDEX('Portfolio Weights Returns'!$B$9:$BJ$69,
INT((ROW(A2635)-1)/COLUMNS('Portfolio Weights Returns'!$B$9:$BJ$69))+1,MOD(ROW(A2635)-1,COLUMNS('Portfolio Weights Returns'!$B$9:$BJ$69))+1)</f>
        <v>-8.376914536333479E-4</v>
      </c>
      <c r="B2636" cm="1">
        <f t="array" ref="B2636">INDEX('Portfolio Weights Std'!$B$9:$BJ$69,INT((ROW(A2635)-1)/COLUMNS('Portfolio Weights Std'!$B$9:$BJ$69))+1,MOD(ROW(A2635)-1,COLUMNS('Portfolio Weights Std'!$B$9:$BJ$69))+1)</f>
        <v>2.0886879314061177E-2</v>
      </c>
    </row>
    <row r="2637" spans="1:2" x14ac:dyDescent="0.25">
      <c r="A2637" cm="1">
        <f t="array" ref="A2637">INDEX('Portfolio Weights Returns'!$B$9:$BJ$69,
INT((ROW(A2636)-1)/COLUMNS('Portfolio Weights Returns'!$B$9:$BJ$69))+1,MOD(ROW(A2636)-1,COLUMNS('Portfolio Weights Returns'!$B$9:$BJ$69))+1)</f>
        <v>-8.3091027966666865E-4</v>
      </c>
      <c r="B2637" cm="1">
        <f t="array" ref="B2637">INDEX('Portfolio Weights Std'!$B$9:$BJ$69,INT((ROW(A2636)-1)/COLUMNS('Portfolio Weights Std'!$B$9:$BJ$69))+1,MOD(ROW(A2636)-1,COLUMNS('Portfolio Weights Std'!$B$9:$BJ$69))+1)</f>
        <v>2.073641083803119E-2</v>
      </c>
    </row>
    <row r="2638" spans="1:2" x14ac:dyDescent="0.25">
      <c r="A2638" cm="1">
        <f t="array" ref="A2638">INDEX('Portfolio Weights Returns'!$B$9:$BJ$69,
INT((ROW(A2637)-1)/COLUMNS('Portfolio Weights Returns'!$B$9:$BJ$69))+1,MOD(ROW(A2637)-1,COLUMNS('Portfolio Weights Returns'!$B$9:$BJ$69))+1)</f>
        <v>-8.2412910569998972E-4</v>
      </c>
      <c r="B2638" cm="1">
        <f t="array" ref="B2638">INDEX('Portfolio Weights Std'!$B$9:$BJ$69,INT((ROW(A2637)-1)/COLUMNS('Portfolio Weights Std'!$B$9:$BJ$69))+1,MOD(ROW(A2637)-1,COLUMNS('Portfolio Weights Std'!$B$9:$BJ$69))+1)</f>
        <v>2.0587091763136538E-2</v>
      </c>
    </row>
    <row r="2639" spans="1:2" x14ac:dyDescent="0.25">
      <c r="A2639" cm="1">
        <f t="array" ref="A2639">INDEX('Portfolio Weights Returns'!$B$9:$BJ$69,
INT((ROW(A2638)-1)/COLUMNS('Portfolio Weights Returns'!$B$9:$BJ$69))+1,MOD(ROW(A2638)-1,COLUMNS('Portfolio Weights Returns'!$B$9:$BJ$69))+1)</f>
        <v>-8.1734793173331047E-4</v>
      </c>
      <c r="B2639" cm="1">
        <f t="array" ref="B2639">INDEX('Portfolio Weights Std'!$B$9:$BJ$69,INT((ROW(A2638)-1)/COLUMNS('Portfolio Weights Std'!$B$9:$BJ$69))+1,MOD(ROW(A2638)-1,COLUMNS('Portfolio Weights Std'!$B$9:$BJ$69))+1)</f>
        <v>2.0438947280638425E-2</v>
      </c>
    </row>
    <row r="2640" spans="1:2" x14ac:dyDescent="0.25">
      <c r="A2640" cm="1">
        <f t="array" ref="A2640">INDEX('Portfolio Weights Returns'!$B$9:$BJ$69,
INT((ROW(A2639)-1)/COLUMNS('Portfolio Weights Returns'!$B$9:$BJ$69))+1,MOD(ROW(A2639)-1,COLUMNS('Portfolio Weights Returns'!$B$9:$BJ$69))+1)</f>
        <v>-8.1056675776663143E-4</v>
      </c>
      <c r="B2640" cm="1">
        <f t="array" ref="B2640">INDEX('Portfolio Weights Std'!$B$9:$BJ$69,INT((ROW(A2639)-1)/COLUMNS('Portfolio Weights Std'!$B$9:$BJ$69))+1,MOD(ROW(A2639)-1,COLUMNS('Portfolio Weights Std'!$B$9:$BJ$69))+1)</f>
        <v>2.0292003116359796E-2</v>
      </c>
    </row>
    <row r="2641" spans="1:2" x14ac:dyDescent="0.25">
      <c r="A2641" cm="1">
        <f t="array" ref="A2641">INDEX('Portfolio Weights Returns'!$B$9:$BJ$69,
INT((ROW(A2640)-1)/COLUMNS('Portfolio Weights Returns'!$B$9:$BJ$69))+1,MOD(ROW(A2640)-1,COLUMNS('Portfolio Weights Returns'!$B$9:$BJ$69))+1)</f>
        <v>-8.0378558379995261E-4</v>
      </c>
      <c r="B2641" cm="1">
        <f t="array" ref="B2641">INDEX('Portfolio Weights Std'!$B$9:$BJ$69,INT((ROW(A2640)-1)/COLUMNS('Portfolio Weights Std'!$B$9:$BJ$69))+1,MOD(ROW(A2640)-1,COLUMNS('Portfolio Weights Std'!$B$9:$BJ$69))+1)</f>
        <v>2.0146285535172993E-2</v>
      </c>
    </row>
    <row r="2642" spans="1:2" x14ac:dyDescent="0.25">
      <c r="A2642" cm="1">
        <f t="array" ref="A2642">INDEX('Portfolio Weights Returns'!$B$9:$BJ$69,
INT((ROW(A2641)-1)/COLUMNS('Portfolio Weights Returns'!$B$9:$BJ$69))+1,MOD(ROW(A2641)-1,COLUMNS('Portfolio Weights Returns'!$B$9:$BJ$69))+1)</f>
        <v>-7.9700440983327314E-4</v>
      </c>
      <c r="B2642" cm="1">
        <f t="array" ref="B2642">INDEX('Portfolio Weights Std'!$B$9:$BJ$69,INT((ROW(A2641)-1)/COLUMNS('Portfolio Weights Std'!$B$9:$BJ$69))+1,MOD(ROW(A2641)-1,COLUMNS('Portfolio Weights Std'!$B$9:$BJ$69))+1)</f>
        <v>2.0001821344862839E-2</v>
      </c>
    </row>
    <row r="2643" spans="1:2" x14ac:dyDescent="0.25">
      <c r="A2643" cm="1">
        <f t="array" ref="A2643">INDEX('Portfolio Weights Returns'!$B$9:$BJ$69,
INT((ROW(A2642)-1)/COLUMNS('Portfolio Weights Returns'!$B$9:$BJ$69))+1,MOD(ROW(A2642)-1,COLUMNS('Portfolio Weights Returns'!$B$9:$BJ$69))+1)</f>
        <v>-7.9022323586659432E-4</v>
      </c>
      <c r="B2643" cm="1">
        <f t="array" ref="B2643">INDEX('Portfolio Weights Std'!$B$9:$BJ$69,INT((ROW(A2642)-1)/COLUMNS('Portfolio Weights Std'!$B$9:$BJ$69))+1,MOD(ROW(A2642)-1,COLUMNS('Portfolio Weights Std'!$B$9:$BJ$69))+1)</f>
        <v>1.9858637899302849E-2</v>
      </c>
    </row>
    <row r="2644" spans="1:2" x14ac:dyDescent="0.25">
      <c r="A2644" cm="1">
        <f t="array" ref="A2644">INDEX('Portfolio Weights Returns'!$B$9:$BJ$69,
INT((ROW(A2643)-1)/COLUMNS('Portfolio Weights Returns'!$B$9:$BJ$69))+1,MOD(ROW(A2643)-1,COLUMNS('Portfolio Weights Returns'!$B$9:$BJ$69))+1)</f>
        <v>-7.8344206189991518E-4</v>
      </c>
      <c r="B2644" cm="1">
        <f t="array" ref="B2644">INDEX('Portfolio Weights Std'!$B$9:$BJ$69,INT((ROW(A2643)-1)/COLUMNS('Portfolio Weights Std'!$B$9:$BJ$69))+1,MOD(ROW(A2643)-1,COLUMNS('Portfolio Weights Std'!$B$9:$BJ$69))+1)</f>
        <v>1.9716763100878647E-2</v>
      </c>
    </row>
    <row r="2645" spans="1:2" x14ac:dyDescent="0.25">
      <c r="A2645" cm="1">
        <f t="array" ref="A2645">INDEX('Portfolio Weights Returns'!$B$9:$BJ$69,
INT((ROW(A2644)-1)/COLUMNS('Portfolio Weights Returns'!$B$9:$BJ$69))+1,MOD(ROW(A2644)-1,COLUMNS('Portfolio Weights Returns'!$B$9:$BJ$69))+1)</f>
        <v>-7.7666088793323592E-4</v>
      </c>
      <c r="B2645" cm="1">
        <f t="array" ref="B2645">INDEX('Portfolio Weights Std'!$B$9:$BJ$69,INT((ROW(A2644)-1)/COLUMNS('Portfolio Weights Std'!$B$9:$BJ$69))+1,MOD(ROW(A2644)-1,COLUMNS('Portfolio Weights Std'!$B$9:$BJ$69))+1)</f>
        <v>1.957622540209011E-2</v>
      </c>
    </row>
    <row r="2646" spans="1:2" x14ac:dyDescent="0.25">
      <c r="A2646" cm="1">
        <f t="array" ref="A2646">INDEX('Portfolio Weights Returns'!$B$9:$BJ$69,
INT((ROW(A2645)-1)/COLUMNS('Portfolio Weights Returns'!$B$9:$BJ$69))+1,MOD(ROW(A2645)-1,COLUMNS('Portfolio Weights Returns'!$B$9:$BJ$69))+1)</f>
        <v>-7.6987971396655689E-4</v>
      </c>
      <c r="B2646" cm="1">
        <f t="array" ref="B2646">INDEX('Portfolio Weights Std'!$B$9:$BJ$69,INT((ROW(A2645)-1)/COLUMNS('Portfolio Weights Std'!$B$9:$BJ$69))+1,MOD(ROW(A2645)-1,COLUMNS('Portfolio Weights Std'!$B$9:$BJ$69))+1)</f>
        <v>1.9437053806259642E-2</v>
      </c>
    </row>
    <row r="2647" spans="1:2" x14ac:dyDescent="0.25">
      <c r="A2647" cm="1">
        <f t="array" ref="A2647">INDEX('Portfolio Weights Returns'!$B$9:$BJ$69,
INT((ROW(A2646)-1)/COLUMNS('Portfolio Weights Returns'!$B$9:$BJ$69))+1,MOD(ROW(A2646)-1,COLUMNS('Portfolio Weights Returns'!$B$9:$BJ$69))+1)</f>
        <v>-7.6309853999987774E-4</v>
      </c>
      <c r="B2647" cm="1">
        <f t="array" ref="B2647">INDEX('Portfolio Weights Std'!$B$9:$BJ$69,INT((ROW(A2646)-1)/COLUMNS('Portfolio Weights Std'!$B$9:$BJ$69))+1,MOD(ROW(A2646)-1,COLUMNS('Portfolio Weights Std'!$B$9:$BJ$69))+1)</f>
        <v>1.9299277867271421E-2</v>
      </c>
    </row>
    <row r="2648" spans="1:2" x14ac:dyDescent="0.25">
      <c r="A2648" cm="1">
        <f t="array" ref="A2648">INDEX('Portfolio Weights Returns'!$B$9:$BJ$69,
INT((ROW(A2647)-1)/COLUMNS('Portfolio Weights Returns'!$B$9:$BJ$69))+1,MOD(ROW(A2647)-1,COLUMNS('Portfolio Weights Returns'!$B$9:$BJ$69))+1)</f>
        <v>-7.5631736603319871E-4</v>
      </c>
      <c r="B2648" cm="1">
        <f t="array" ref="B2648">INDEX('Portfolio Weights Std'!$B$9:$BJ$69,INT((ROW(A2647)-1)/COLUMNS('Portfolio Weights Std'!$B$9:$BJ$69))+1,MOD(ROW(A2647)-1,COLUMNS('Portfolio Weights Std'!$B$9:$BJ$69))+1)</f>
        <v>1.916292768826305E-2</v>
      </c>
    </row>
    <row r="2649" spans="1:2" x14ac:dyDescent="0.25">
      <c r="A2649" cm="1">
        <f t="array" ref="A2649">INDEX('Portfolio Weights Returns'!$B$9:$BJ$69,
INT((ROW(A2648)-1)/COLUMNS('Portfolio Weights Returns'!$B$9:$BJ$69))+1,MOD(ROW(A2648)-1,COLUMNS('Portfolio Weights Returns'!$B$9:$BJ$69))+1)</f>
        <v>-7.4953619206651956E-4</v>
      </c>
      <c r="B2649" cm="1">
        <f t="array" ref="B2649">INDEX('Portfolio Weights Std'!$B$9:$BJ$69,INT((ROW(A2648)-1)/COLUMNS('Portfolio Weights Std'!$B$9:$BJ$69))+1,MOD(ROW(A2648)-1,COLUMNS('Portfolio Weights Std'!$B$9:$BJ$69))+1)</f>
        <v>1.9028033919188041E-2</v>
      </c>
    </row>
    <row r="2650" spans="1:2" x14ac:dyDescent="0.25">
      <c r="A2650" cm="1">
        <f t="array" ref="A2650">INDEX('Portfolio Weights Returns'!$B$9:$BJ$69,
INT((ROW(A2649)-1)/COLUMNS('Portfolio Weights Returns'!$B$9:$BJ$69))+1,MOD(ROW(A2649)-1,COLUMNS('Portfolio Weights Returns'!$B$9:$BJ$69))+1)</f>
        <v>-7.4275501809984053E-4</v>
      </c>
      <c r="B2650" cm="1">
        <f t="array" ref="B2650">INDEX('Portfolio Weights Std'!$B$9:$BJ$69,INT((ROW(A2649)-1)/COLUMNS('Portfolio Weights Std'!$B$9:$BJ$69))+1,MOD(ROW(A2649)-1,COLUMNS('Portfolio Weights Std'!$B$9:$BJ$69))+1)</f>
        <v>1.8894627753164882E-2</v>
      </c>
    </row>
    <row r="2651" spans="1:2" x14ac:dyDescent="0.25">
      <c r="A2651" cm="1">
        <f t="array" ref="A2651">INDEX('Portfolio Weights Returns'!$B$9:$BJ$69,
INT((ROW(A2650)-1)/COLUMNS('Portfolio Weights Returns'!$B$9:$BJ$69))+1,MOD(ROW(A2650)-1,COLUMNS('Portfolio Weights Returns'!$B$9:$BJ$69))+1)</f>
        <v>-7.3597384413316138E-4</v>
      </c>
      <c r="B2651" cm="1">
        <f t="array" ref="B2651">INDEX('Portfolio Weights Std'!$B$9:$BJ$69,INT((ROW(A2650)-1)/COLUMNS('Portfolio Weights Std'!$B$9:$BJ$69))+1,MOD(ROW(A2650)-1,COLUMNS('Portfolio Weights Std'!$B$9:$BJ$69))+1)</f>
        <v>1.8762740921525634E-2</v>
      </c>
    </row>
    <row r="2652" spans="1:2" x14ac:dyDescent="0.25">
      <c r="A2652" cm="1">
        <f t="array" ref="A2652">INDEX('Portfolio Weights Returns'!$B$9:$BJ$69,
INT((ROW(A2651)-1)/COLUMNS('Portfolio Weights Returns'!$B$9:$BJ$69))+1,MOD(ROW(A2651)-1,COLUMNS('Portfolio Weights Returns'!$B$9:$BJ$69))+1)</f>
        <v>-7.2919267016648224E-4</v>
      </c>
      <c r="B2652" cm="1">
        <f t="array" ref="B2652">INDEX('Portfolio Weights Std'!$B$9:$BJ$69,INT((ROW(A2651)-1)/COLUMNS('Portfolio Weights Std'!$B$9:$BJ$69))+1,MOD(ROW(A2651)-1,COLUMNS('Portfolio Weights Std'!$B$9:$BJ$69))+1)</f>
        <v>1.8632405687474776E-2</v>
      </c>
    </row>
    <row r="2653" spans="1:2" x14ac:dyDescent="0.25">
      <c r="A2653" cm="1">
        <f t="array" ref="A2653">INDEX('Portfolio Weights Returns'!$B$9:$BJ$69,
INT((ROW(A2652)-1)/COLUMNS('Portfolio Weights Returns'!$B$9:$BJ$69))+1,MOD(ROW(A2652)-1,COLUMNS('Portfolio Weights Returns'!$B$9:$BJ$69))+1)</f>
        <v>-7.2241149619980309E-4</v>
      </c>
      <c r="B2653" cm="1">
        <f t="array" ref="B2653">INDEX('Portfolio Weights Std'!$B$9:$BJ$69,INT((ROW(A2652)-1)/COLUMNS('Portfolio Weights Std'!$B$9:$BJ$69))+1,MOD(ROW(A2652)-1,COLUMNS('Portfolio Weights Std'!$B$9:$BJ$69))+1)</f>
        <v>1.8503654838266905E-2</v>
      </c>
    </row>
    <row r="2654" spans="1:2" x14ac:dyDescent="0.25">
      <c r="A2654" cm="1">
        <f t="array" ref="A2654">INDEX('Portfolio Weights Returns'!$B$9:$BJ$69,
INT((ROW(A2653)-1)/COLUMNS('Portfolio Weights Returns'!$B$9:$BJ$69))+1,MOD(ROW(A2653)-1,COLUMNS('Portfolio Weights Returns'!$B$9:$BJ$69))+1)</f>
        <v>-7.1563032223312395E-4</v>
      </c>
      <c r="B2654" cm="1">
        <f t="array" ref="B2654">INDEX('Portfolio Weights Std'!$B$9:$BJ$69,INT((ROW(A2653)-1)/COLUMNS('Portfolio Weights Std'!$B$9:$BJ$69))+1,MOD(ROW(A2653)-1,COLUMNS('Portfolio Weights Std'!$B$9:$BJ$69))+1)</f>
        <v>1.837652167581014E-2</v>
      </c>
    </row>
    <row r="2655" spans="1:2" x14ac:dyDescent="0.25">
      <c r="A2655" cm="1">
        <f t="array" ref="A2655">INDEX('Portfolio Weights Returns'!$B$9:$BJ$69,
INT((ROW(A2654)-1)/COLUMNS('Portfolio Weights Returns'!$B$9:$BJ$69))+1,MOD(ROW(A2654)-1,COLUMNS('Portfolio Weights Returns'!$B$9:$BJ$69))+1)</f>
        <v>-7.0884914826644491E-4</v>
      </c>
      <c r="B2655" cm="1">
        <f t="array" ref="B2655">INDEX('Portfolio Weights Std'!$B$9:$BJ$69,INT((ROW(A2654)-1)/COLUMNS('Portfolio Weights Std'!$B$9:$BJ$69))+1,MOD(ROW(A2654)-1,COLUMNS('Portfolio Weights Std'!$B$9:$BJ$69))+1)</f>
        <v>1.8251040005600981E-2</v>
      </c>
    </row>
    <row r="2656" spans="1:2" x14ac:dyDescent="0.25">
      <c r="A2656" cm="1">
        <f t="array" ref="A2656">INDEX('Portfolio Weights Returns'!$B$9:$BJ$69,
INT((ROW(A2655)-1)/COLUMNS('Portfolio Weights Returns'!$B$9:$BJ$69))+1,MOD(ROW(A2655)-1,COLUMNS('Portfolio Weights Returns'!$B$9:$BJ$69))+1)</f>
        <v>-7.0206797429976577E-4</v>
      </c>
      <c r="B2656" cm="1">
        <f t="array" ref="B2656">INDEX('Portfolio Weights Std'!$B$9:$BJ$69,INT((ROW(A2655)-1)/COLUMNS('Portfolio Weights Std'!$B$9:$BJ$69))+1,MOD(ROW(A2655)-1,COLUMNS('Portfolio Weights Std'!$B$9:$BJ$69))+1)</f>
        <v>1.8127244123895422E-2</v>
      </c>
    </row>
    <row r="2657" spans="1:2" x14ac:dyDescent="0.25">
      <c r="A2657" cm="1">
        <f t="array" ref="A2657">INDEX('Portfolio Weights Returns'!$B$9:$BJ$69,
INT((ROW(A2656)-1)/COLUMNS('Portfolio Weights Returns'!$B$9:$BJ$69))+1,MOD(ROW(A2656)-1,COLUMNS('Portfolio Weights Returns'!$B$9:$BJ$69))+1)</f>
        <v>-6.9528680033308673E-4</v>
      </c>
      <c r="B2657" cm="1">
        <f t="array" ref="B2657">INDEX('Portfolio Weights Std'!$B$9:$BJ$69,INT((ROW(A2656)-1)/COLUMNS('Portfolio Weights Std'!$B$9:$BJ$69))+1,MOD(ROW(A2656)-1,COLUMNS('Portfolio Weights Std'!$B$9:$BJ$69))+1)</f>
        <v>1.8005168803020999E-2</v>
      </c>
    </row>
    <row r="2658" spans="1:2" x14ac:dyDescent="0.25">
      <c r="A2658" cm="1">
        <f t="array" ref="A2658">INDEX('Portfolio Weights Returns'!$B$9:$BJ$69,
INT((ROW(A2657)-1)/COLUMNS('Portfolio Weights Returns'!$B$9:$BJ$69))+1,MOD(ROW(A2657)-1,COLUMNS('Portfolio Weights Returns'!$B$9:$BJ$69))+1)</f>
        <v>-6.8850562636640748E-4</v>
      </c>
      <c r="B2658" cm="1">
        <f t="array" ref="B2658">INDEX('Portfolio Weights Std'!$B$9:$BJ$69,INT((ROW(A2657)-1)/COLUMNS('Portfolio Weights Std'!$B$9:$BJ$69))+1,MOD(ROW(A2657)-1,COLUMNS('Portfolio Weights Std'!$B$9:$BJ$69))+1)</f>
        <v>1.7884849274734913E-2</v>
      </c>
    </row>
    <row r="2659" spans="1:2" x14ac:dyDescent="0.25">
      <c r="A2659" cm="1">
        <f t="array" ref="A2659">INDEX('Portfolio Weights Returns'!$B$9:$BJ$69,
INT((ROW(A2658)-1)/COLUMNS('Portfolio Weights Returns'!$B$9:$BJ$69))+1,MOD(ROW(A2658)-1,COLUMNS('Portfolio Weights Returns'!$B$9:$BJ$69))+1)</f>
        <v>-6.8172445239972844E-4</v>
      </c>
      <c r="B2659" cm="1">
        <f t="array" ref="B2659">INDEX('Portfolio Weights Std'!$B$9:$BJ$69,INT((ROW(A2658)-1)/COLUMNS('Portfolio Weights Std'!$B$9:$BJ$69))+1,MOD(ROW(A2658)-1,COLUMNS('Portfolio Weights Std'!$B$9:$BJ$69))+1)</f>
        <v>1.776632121153441E-2</v>
      </c>
    </row>
    <row r="2660" spans="1:2" x14ac:dyDescent="0.25">
      <c r="A2660" cm="1">
        <f t="array" ref="A2660">INDEX('Portfolio Weights Returns'!$B$9:$BJ$69,
INT((ROW(A2659)-1)/COLUMNS('Portfolio Weights Returns'!$B$9:$BJ$69))+1,MOD(ROW(A2659)-1,COLUMNS('Portfolio Weights Returns'!$B$9:$BJ$69))+1)</f>
        <v>-6.749432784330493E-4</v>
      </c>
      <c r="B2660" cm="1">
        <f t="array" ref="B2660">INDEX('Portfolio Weights Std'!$B$9:$BJ$69,INT((ROW(A2659)-1)/COLUMNS('Portfolio Weights Std'!$B$9:$BJ$69))+1,MOD(ROW(A2659)-1,COLUMNS('Portfolio Weights Std'!$B$9:$BJ$69))+1)</f>
        <v>1.7649620705827495E-2</v>
      </c>
    </row>
    <row r="2661" spans="1:2" x14ac:dyDescent="0.25">
      <c r="A2661" cm="1">
        <f t="array" ref="A2661">INDEX('Portfolio Weights Returns'!$B$9:$BJ$69,
INT((ROW(A2660)-1)/COLUMNS('Portfolio Weights Returns'!$B$9:$BJ$69))+1,MOD(ROW(A2660)-1,COLUMNS('Portfolio Weights Returns'!$B$9:$BJ$69))+1)</f>
        <v>-6.6816210446637026E-4</v>
      </c>
      <c r="B2661" cm="1">
        <f t="array" ref="B2661">INDEX('Portfolio Weights Std'!$B$9:$BJ$69,INT((ROW(A2660)-1)/COLUMNS('Portfolio Weights Std'!$B$9:$BJ$69))+1,MOD(ROW(A2660)-1,COLUMNS('Portfolio Weights Std'!$B$9:$BJ$69))+1)</f>
        <v>1.7534784246875063E-2</v>
      </c>
    </row>
    <row r="2662" spans="1:2" x14ac:dyDescent="0.25">
      <c r="A2662" cm="1">
        <f t="array" ref="A2662">INDEX('Portfolio Weights Returns'!$B$9:$BJ$69,
INT((ROW(A2661)-1)/COLUMNS('Portfolio Weights Returns'!$B$9:$BJ$69))+1,MOD(ROW(A2661)-1,COLUMNS('Portfolio Weights Returns'!$B$9:$BJ$69))+1)</f>
        <v>-6.6138093049969112E-4</v>
      </c>
      <c r="B2662" cm="1">
        <f t="array" ref="B2662">INDEX('Portfolio Weights Std'!$B$9:$BJ$69,INT((ROW(A2661)-1)/COLUMNS('Portfolio Weights Std'!$B$9:$BJ$69))+1,MOD(ROW(A2661)-1,COLUMNS('Portfolio Weights Std'!$B$9:$BJ$69))+1)</f>
        <v>1.7421848695418837E-2</v>
      </c>
    </row>
    <row r="2663" spans="1:2" x14ac:dyDescent="0.25">
      <c r="A2663" cm="1">
        <f t="array" ref="A2663">INDEX('Portfolio Weights Returns'!$B$9:$BJ$69,
INT((ROW(A2662)-1)/COLUMNS('Portfolio Weights Returns'!$B$9:$BJ$69))+1,MOD(ROW(A2662)-1,COLUMNS('Portfolio Weights Returns'!$B$9:$BJ$69))+1)</f>
        <v>-6.5459975653301208E-4</v>
      </c>
      <c r="B2663" cm="1">
        <f t="array" ref="B2663">INDEX('Portfolio Weights Std'!$B$9:$BJ$69,INT((ROW(A2662)-1)/COLUMNS('Portfolio Weights Std'!$B$9:$BJ$69))+1,MOD(ROW(A2662)-1,COLUMNS('Portfolio Weights Std'!$B$9:$BJ$69))+1)</f>
        <v>1.7310851255914663E-2</v>
      </c>
    </row>
    <row r="2664" spans="1:2" x14ac:dyDescent="0.25">
      <c r="A2664" cm="1">
        <f t="array" ref="A2664">INDEX('Portfolio Weights Returns'!$B$9:$BJ$69,
INT((ROW(A2663)-1)/COLUMNS('Portfolio Weights Returns'!$B$9:$BJ$69))+1,MOD(ROW(A2663)-1,COLUMNS('Portfolio Weights Returns'!$B$9:$BJ$69))+1)</f>
        <v>-6.4781858256633294E-4</v>
      </c>
      <c r="B2664" cm="1">
        <f t="array" ref="B2664">INDEX('Portfolio Weights Std'!$B$9:$BJ$69,INT((ROW(A2663)-1)/COLUMNS('Portfolio Weights Std'!$B$9:$BJ$69))+1,MOD(ROW(A2663)-1,COLUMNS('Portfolio Weights Std'!$B$9:$BJ$69))+1)</f>
        <v>1.720182944629621E-2</v>
      </c>
    </row>
    <row r="2665" spans="1:2" x14ac:dyDescent="0.25">
      <c r="A2665" cm="1">
        <f t="array" ref="A2665">INDEX('Portfolio Weights Returns'!$B$9:$BJ$69,
INT((ROW(A2664)-1)/COLUMNS('Portfolio Weights Returns'!$B$9:$BJ$69))+1,MOD(ROW(A2664)-1,COLUMNS('Portfolio Weights Returns'!$B$9:$BJ$69))+1)</f>
        <v>-6.4103740859965379E-4</v>
      </c>
      <c r="B2665" cm="1">
        <f t="array" ref="B2665">INDEX('Portfolio Weights Std'!$B$9:$BJ$69,INT((ROW(A2664)-1)/COLUMNS('Portfolio Weights Std'!$B$9:$BJ$69))+1,MOD(ROW(A2664)-1,COLUMNS('Portfolio Weights Std'!$B$9:$BJ$69))+1)</f>
        <v>1.7094821065201306E-2</v>
      </c>
    </row>
    <row r="2666" spans="1:2" x14ac:dyDescent="0.25">
      <c r="A2666" cm="1">
        <f t="array" ref="A2666">INDEX('Portfolio Weights Returns'!$B$9:$BJ$69,
INT((ROW(A2665)-1)/COLUMNS('Portfolio Weights Returns'!$B$9:$BJ$69))+1,MOD(ROW(A2665)-1,COLUMNS('Portfolio Weights Returns'!$B$9:$BJ$69))+1)</f>
        <v>-6.3425623463297476E-4</v>
      </c>
      <c r="B2666" cm="1">
        <f t="array" ref="B2666">INDEX('Portfolio Weights Std'!$B$9:$BJ$69,INT((ROW(A2665)-1)/COLUMNS('Portfolio Weights Std'!$B$9:$BJ$69))+1,MOD(ROW(A2665)-1,COLUMNS('Portfolio Weights Std'!$B$9:$BJ$69))+1)</f>
        <v>1.6989864156601229E-2</v>
      </c>
    </row>
    <row r="2667" spans="1:2" x14ac:dyDescent="0.25">
      <c r="A2667" cm="1">
        <f t="array" ref="A2667">INDEX('Portfolio Weights Returns'!$B$9:$BJ$69,
INT((ROW(A2666)-1)/COLUMNS('Portfolio Weights Returns'!$B$9:$BJ$69))+1,MOD(ROW(A2666)-1,COLUMNS('Portfolio Weights Returns'!$B$9:$BJ$69))+1)</f>
        <v>-6.2747506066629561E-4</v>
      </c>
      <c r="B2667" cm="1">
        <f t="array" ref="B2667">INDEX('Portfolio Weights Std'!$B$9:$BJ$69,INT((ROW(A2666)-1)/COLUMNS('Portfolio Weights Std'!$B$9:$BJ$69))+1,MOD(ROW(A2666)-1,COLUMNS('Portfolio Weights Std'!$B$9:$BJ$69))+1)</f>
        <v>1.6886996971782815E-2</v>
      </c>
    </row>
    <row r="2668" spans="1:2" x14ac:dyDescent="0.25">
      <c r="A2668" cm="1">
        <f t="array" ref="A2668">INDEX('Portfolio Weights Returns'!$B$9:$BJ$69,
INT((ROW(A2667)-1)/COLUMNS('Portfolio Weights Returns'!$B$9:$BJ$69))+1,MOD(ROW(A2667)-1,COLUMNS('Portfolio Weights Returns'!$B$9:$BJ$69))+1)</f>
        <v>-6.2069388669961658E-4</v>
      </c>
      <c r="B2668" cm="1">
        <f t="array" ref="B2668">INDEX('Portfolio Weights Std'!$B$9:$BJ$69,INT((ROW(A2667)-1)/COLUMNS('Portfolio Weights Std'!$B$9:$BJ$69))+1,MOD(ROW(A2667)-1,COLUMNS('Portfolio Weights Std'!$B$9:$BJ$69))+1)</f>
        <v>1.6786257928644095E-2</v>
      </c>
    </row>
    <row r="2669" spans="1:2" x14ac:dyDescent="0.25">
      <c r="A2669" cm="1">
        <f t="array" ref="A2669">INDEX('Portfolio Weights Returns'!$B$9:$BJ$69,
INT((ROW(A2668)-1)/COLUMNS('Portfolio Weights Returns'!$B$9:$BJ$69))+1,MOD(ROW(A2668)-1,COLUMNS('Portfolio Weights Returns'!$B$9:$BJ$69))+1)</f>
        <v>-6.1391271273293743E-4</v>
      </c>
      <c r="B2669" cm="1">
        <f t="array" ref="B2669">INDEX('Portfolio Weights Std'!$B$9:$BJ$69,INT((ROW(A2668)-1)/COLUMNS('Portfolio Weights Std'!$B$9:$BJ$69))+1,MOD(ROW(A2668)-1,COLUMNS('Portfolio Weights Std'!$B$9:$BJ$69))+1)</f>
        <v>1.6687685568276312E-2</v>
      </c>
    </row>
    <row r="2670" spans="1:2" x14ac:dyDescent="0.25">
      <c r="A2670" cm="1">
        <f t="array" ref="A2670">INDEX('Portfolio Weights Returns'!$B$9:$BJ$69,
INT((ROW(A2669)-1)/COLUMNS('Portfolio Weights Returns'!$B$9:$BJ$69))+1,MOD(ROW(A2669)-1,COLUMNS('Portfolio Weights Returns'!$B$9:$BJ$69))+1)</f>
        <v>-6.071315387662584E-4</v>
      </c>
      <c r="B2670" cm="1">
        <f t="array" ref="B2670">INDEX('Portfolio Weights Std'!$B$9:$BJ$69,INT((ROW(A2669)-1)/COLUMNS('Portfolio Weights Std'!$B$9:$BJ$69))+1,MOD(ROW(A2669)-1,COLUMNS('Portfolio Weights Std'!$B$9:$BJ$69))+1)</f>
        <v>1.6591318508818825E-2</v>
      </c>
    </row>
    <row r="2671" spans="1:2" x14ac:dyDescent="0.25">
      <c r="A2671" cm="1">
        <f t="array" ref="A2671">INDEX('Portfolio Weights Returns'!$B$9:$BJ$69,
INT((ROW(A2670)-1)/COLUMNS('Portfolio Weights Returns'!$B$9:$BJ$69))+1,MOD(ROW(A2670)-1,COLUMNS('Portfolio Weights Returns'!$B$9:$BJ$69))+1)</f>
        <v>-6.0035036479957915E-4</v>
      </c>
      <c r="B2671" cm="1">
        <f t="array" ref="B2671">INDEX('Portfolio Weights Std'!$B$9:$BJ$69,INT((ROW(A2670)-1)/COLUMNS('Portfolio Weights Std'!$B$9:$BJ$69))+1,MOD(ROW(A2670)-1,COLUMNS('Portfolio Weights Std'!$B$9:$BJ$69))+1)</f>
        <v>1.6497195396588376E-2</v>
      </c>
    </row>
    <row r="2672" spans="1:2" x14ac:dyDescent="0.25">
      <c r="A2672" cm="1">
        <f t="array" ref="A2672">INDEX('Portfolio Weights Returns'!$B$9:$BJ$69,
INT((ROW(A2671)-1)/COLUMNS('Portfolio Weights Returns'!$B$9:$BJ$69))+1,MOD(ROW(A2671)-1,COLUMNS('Portfolio Weights Returns'!$B$9:$BJ$69))+1)</f>
        <v>-5.9356919083290011E-4</v>
      </c>
      <c r="B2672" cm="1">
        <f t="array" ref="B2672">INDEX('Portfolio Weights Std'!$B$9:$BJ$69,INT((ROW(A2671)-1)/COLUMNS('Portfolio Weights Std'!$B$9:$BJ$69))+1,MOD(ROW(A2671)-1,COLUMNS('Portfolio Weights Std'!$B$9:$BJ$69))+1)</f>
        <v>1.6405354854500561E-2</v>
      </c>
    </row>
    <row r="2673" spans="1:2" x14ac:dyDescent="0.25">
      <c r="A2673" cm="1">
        <f t="array" ref="A2673">INDEX('Portfolio Weights Returns'!$B$9:$BJ$69,
INT((ROW(A2672)-1)/COLUMNS('Portfolio Weights Returns'!$B$9:$BJ$69))+1,MOD(ROW(A2672)-1,COLUMNS('Portfolio Weights Returns'!$B$9:$BJ$69))+1)</f>
        <v>-5.8678801686622107E-4</v>
      </c>
      <c r="B2673" cm="1">
        <f t="array" ref="B2673">INDEX('Portfolio Weights Std'!$B$9:$BJ$69,INT((ROW(A2672)-1)/COLUMNS('Portfolio Weights Std'!$B$9:$BJ$69))+1,MOD(ROW(A2672)-1,COLUMNS('Portfolio Weights Std'!$B$9:$BJ$69))+1)</f>
        <v>1.6315835427819184E-2</v>
      </c>
    </row>
    <row r="2674" spans="1:2" x14ac:dyDescent="0.25">
      <c r="A2674" cm="1">
        <f t="array" ref="A2674">INDEX('Portfolio Weights Returns'!$B$9:$BJ$69,
INT((ROW(A2673)-1)/COLUMNS('Portfolio Weights Returns'!$B$9:$BJ$69))+1,MOD(ROW(A2673)-1,COLUMNS('Portfolio Weights Returns'!$B$9:$BJ$69))+1)</f>
        <v>-5.8000684289954193E-4</v>
      </c>
      <c r="B2674" cm="1">
        <f t="array" ref="B2674">INDEX('Portfolio Weights Std'!$B$9:$BJ$69,INT((ROW(A2673)-1)/COLUMNS('Portfolio Weights Std'!$B$9:$BJ$69))+1,MOD(ROW(A2673)-1,COLUMNS('Portfolio Weights Std'!$B$9:$BJ$69))+1)</f>
        <v>1.622867552728811E-2</v>
      </c>
    </row>
    <row r="2675" spans="1:2" x14ac:dyDescent="0.25">
      <c r="A2675" cm="1">
        <f t="array" ref="A2675">INDEX('Portfolio Weights Returns'!$B$9:$BJ$69,
INT((ROW(A2674)-1)/COLUMNS('Portfolio Weights Returns'!$B$9:$BJ$69))+1,MOD(ROW(A2674)-1,COLUMNS('Portfolio Weights Returns'!$B$9:$BJ$69))+1)</f>
        <v>-5.7322566893286289E-4</v>
      </c>
      <c r="B2675" cm="1">
        <f t="array" ref="B2675">INDEX('Portfolio Weights Std'!$B$9:$BJ$69,INT((ROW(A2674)-1)/COLUMNS('Portfolio Weights Std'!$B$9:$BJ$69))+1,MOD(ROW(A2674)-1,COLUMNS('Portfolio Weights Std'!$B$9:$BJ$69))+1)</f>
        <v>1.6143913369720684E-2</v>
      </c>
    </row>
    <row r="2676" spans="1:2" x14ac:dyDescent="0.25">
      <c r="A2676" cm="1">
        <f t="array" ref="A2676">INDEX('Portfolio Weights Returns'!$B$9:$BJ$69,
INT((ROW(A2675)-1)/COLUMNS('Portfolio Weights Returns'!$B$9:$BJ$69))+1,MOD(ROW(A2675)-1,COLUMNS('Portfolio Weights Returns'!$B$9:$BJ$69))+1)</f>
        <v>-5.6644449496618375E-4</v>
      </c>
      <c r="B2676" cm="1">
        <f t="array" ref="B2676">INDEX('Portfolio Weights Std'!$B$9:$BJ$69,INT((ROW(A2675)-1)/COLUMNS('Portfolio Weights Std'!$B$9:$BJ$69))+1,MOD(ROW(A2675)-1,COLUMNS('Portfolio Weights Std'!$B$9:$BJ$69))+1)</f>
        <v>1.6061586916143077E-2</v>
      </c>
    </row>
    <row r="2677" spans="1:2" x14ac:dyDescent="0.25">
      <c r="A2677" cm="1">
        <f t="array" ref="A2677">INDEX('Portfolio Weights Returns'!$B$9:$BJ$69,
INT((ROW(A2676)-1)/COLUMNS('Portfolio Weights Returns'!$B$9:$BJ$69))+1,MOD(ROW(A2676)-1,COLUMNS('Portfolio Weights Returns'!$B$9:$BJ$69))+1)</f>
        <v>-5.596633209995046E-4</v>
      </c>
      <c r="B2677" cm="1">
        <f t="array" ref="B2677">INDEX('Portfolio Weights Std'!$B$9:$BJ$69,INT((ROW(A2676)-1)/COLUMNS('Portfolio Weights Std'!$B$9:$BJ$69))+1,MOD(ROW(A2676)-1,COLUMNS('Portfolio Weights Std'!$B$9:$BJ$69))+1)</f>
        <v>1.5981733807610379E-2</v>
      </c>
    </row>
    <row r="2678" spans="1:2" x14ac:dyDescent="0.25">
      <c r="A2678" cm="1">
        <f t="array" ref="A2678">INDEX('Portfolio Weights Returns'!$B$9:$BJ$69,
INT((ROW(A2677)-1)/COLUMNS('Portfolio Weights Returns'!$B$9:$BJ$69))+1,MOD(ROW(A2677)-1,COLUMNS('Portfolio Weights Returns'!$B$9:$BJ$69))+1)</f>
        <v>-5.5288214703282546E-4</v>
      </c>
      <c r="B2678" cm="1">
        <f t="array" ref="B2678">INDEX('Portfolio Weights Std'!$B$9:$BJ$69,INT((ROW(A2677)-1)/COLUMNS('Portfolio Weights Std'!$B$9:$BJ$69))+1,MOD(ROW(A2677)-1,COLUMNS('Portfolio Weights Std'!$B$9:$BJ$69))+1)</f>
        <v>1.5904391298837587E-2</v>
      </c>
    </row>
    <row r="2679" spans="1:2" x14ac:dyDescent="0.25">
      <c r="A2679" cm="1">
        <f t="array" ref="A2679">INDEX('Portfolio Weights Returns'!$B$9:$BJ$69,
INT((ROW(A2678)-1)/COLUMNS('Portfolio Weights Returns'!$B$9:$BJ$69))+1,MOD(ROW(A2678)-1,COLUMNS('Portfolio Weights Returns'!$B$9:$BJ$69))+1)</f>
        <v>-5.4610097306614642E-4</v>
      </c>
      <c r="B2679" cm="1">
        <f t="array" ref="B2679">INDEX('Portfolio Weights Std'!$B$9:$BJ$69,INT((ROW(A2678)-1)/COLUMNS('Portfolio Weights Std'!$B$9:$BJ$69))+1,MOD(ROW(A2678)-1,COLUMNS('Portfolio Weights Std'!$B$9:$BJ$69))+1)</f>
        <v>1.5829596189811373E-2</v>
      </c>
    </row>
    <row r="2680" spans="1:2" x14ac:dyDescent="0.25">
      <c r="A2680" cm="1">
        <f t="array" ref="A2680">INDEX('Portfolio Weights Returns'!$B$9:$BJ$69,
INT((ROW(A2679)-1)/COLUMNS('Portfolio Weights Returns'!$B$9:$BJ$69))+1,MOD(ROW(A2679)-1,COLUMNS('Portfolio Weights Returns'!$B$9:$BJ$69))+1)</f>
        <v>-5.3931979909946728E-4</v>
      </c>
      <c r="B2680" cm="1">
        <f t="array" ref="B2680">INDEX('Portfolio Weights Std'!$B$9:$BJ$69,INT((ROW(A2679)-1)/COLUMNS('Portfolio Weights Std'!$B$9:$BJ$69))+1,MOD(ROW(A2679)-1,COLUMNS('Portfolio Weights Std'!$B$9:$BJ$69))+1)</f>
        <v>1.5757384755573072E-2</v>
      </c>
    </row>
    <row r="2681" spans="1:2" x14ac:dyDescent="0.25">
      <c r="A2681" cm="1">
        <f t="array" ref="A2681">INDEX('Portfolio Weights Returns'!$B$9:$BJ$69,
INT((ROW(A2680)-1)/COLUMNS('Portfolio Weights Returns'!$B$9:$BJ$69))+1,MOD(ROW(A2680)-1,COLUMNS('Portfolio Weights Returns'!$B$9:$BJ$69))+1)</f>
        <v>-5.3253862513278824E-4</v>
      </c>
      <c r="B2681" cm="1">
        <f t="array" ref="B2681">INDEX('Portfolio Weights Std'!$B$9:$BJ$69,INT((ROW(A2680)-1)/COLUMNS('Portfolio Weights Std'!$B$9:$BJ$69))+1,MOD(ROW(A2680)-1,COLUMNS('Portfolio Weights Std'!$B$9:$BJ$69))+1)</f>
        <v>1.5687792674387576E-2</v>
      </c>
    </row>
    <row r="2682" spans="1:2" x14ac:dyDescent="0.25">
      <c r="A2682" cm="1">
        <f t="array" ref="A2682">INDEX('Portfolio Weights Returns'!$B$9:$BJ$69,
INT((ROW(A2681)-1)/COLUMNS('Portfolio Weights Returns'!$B$9:$BJ$69))+1,MOD(ROW(A2681)-1,COLUMNS('Portfolio Weights Returns'!$B$9:$BJ$69))+1)</f>
        <v>-5.2575745116610845E-4</v>
      </c>
      <c r="B2682" cm="1">
        <f t="array" ref="B2682">INDEX('Portfolio Weights Std'!$B$9:$BJ$69,INT((ROW(A2681)-1)/COLUMNS('Portfolio Weights Std'!$B$9:$BJ$69))+1,MOD(ROW(A2681)-1,COLUMNS('Portfolio Weights Std'!$B$9:$BJ$69))+1)</f>
        <v>1.5620854954537416E-2</v>
      </c>
    </row>
    <row r="2683" spans="1:2" x14ac:dyDescent="0.25">
      <c r="A2683" cm="1">
        <f t="array" ref="A2683">INDEX('Portfolio Weights Returns'!$B$9:$BJ$69,
INT((ROW(A2682)-1)/COLUMNS('Portfolio Weights Returns'!$B$9:$BJ$69))+1,MOD(ROW(A2682)-1,COLUMNS('Portfolio Weights Returns'!$B$9:$BJ$69))+1)</f>
        <v>-5.189762771994293E-4</v>
      </c>
      <c r="B2683" cm="1">
        <f t="array" ref="B2683">INDEX('Portfolio Weights Std'!$B$9:$BJ$69,INT((ROW(A2682)-1)/COLUMNS('Portfolio Weights Std'!$B$9:$BJ$69))+1,MOD(ROW(A2682)-1,COLUMNS('Portfolio Weights Std'!$B$9:$BJ$69))+1)</f>
        <v>1.5556605860005257E-2</v>
      </c>
    </row>
    <row r="2684" spans="1:2" x14ac:dyDescent="0.25">
      <c r="A2684" cm="1">
        <f t="array" ref="A2684">INDEX('Portfolio Weights Returns'!$B$9:$BJ$69,
INT((ROW(A2683)-1)/COLUMNS('Portfolio Weights Returns'!$B$9:$BJ$69))+1,MOD(ROW(A2683)-1,COLUMNS('Portfolio Weights Returns'!$B$9:$BJ$69))+1)</f>
        <v>-5.1219510323275027E-4</v>
      </c>
      <c r="B2684" cm="1">
        <f t="array" ref="B2684">INDEX('Portfolio Weights Std'!$B$9:$BJ$69,INT((ROW(A2683)-1)/COLUMNS('Portfolio Weights Std'!$B$9:$BJ$69))+1,MOD(ROW(A2683)-1,COLUMNS('Portfolio Weights Std'!$B$9:$BJ$69))+1)</f>
        <v>1.5495078835331225E-2</v>
      </c>
    </row>
    <row r="2685" spans="1:2" x14ac:dyDescent="0.25">
      <c r="A2685" cm="1">
        <f t="array" ref="A2685">INDEX('Portfolio Weights Returns'!$B$9:$BJ$69,
INT((ROW(A2684)-1)/COLUMNS('Portfolio Weights Returns'!$B$9:$BJ$69))+1,MOD(ROW(A2684)-1,COLUMNS('Portfolio Weights Returns'!$B$9:$BJ$69))+1)</f>
        <v>-5.0541392926607112E-4</v>
      </c>
      <c r="B2685" cm="1">
        <f t="array" ref="B2685">INDEX('Portfolio Weights Std'!$B$9:$BJ$69,INT((ROW(A2684)-1)/COLUMNS('Portfolio Weights Std'!$B$9:$BJ$69))+1,MOD(ROW(A2684)-1,COLUMNS('Portfolio Weights Std'!$B$9:$BJ$69))+1)</f>
        <v>1.5436306429953873E-2</v>
      </c>
    </row>
    <row r="2686" spans="1:2" x14ac:dyDescent="0.25">
      <c r="A2686" cm="1">
        <f t="array" ref="A2686">INDEX('Portfolio Weights Returns'!$B$9:$BJ$69,
INT((ROW(A2685)-1)/COLUMNS('Portfolio Weights Returns'!$B$9:$BJ$69))+1,MOD(ROW(A2685)-1,COLUMNS('Portfolio Weights Returns'!$B$9:$BJ$69))+1)</f>
        <v>-9.0571015942136294E-4</v>
      </c>
      <c r="B2686" cm="1">
        <f t="array" ref="B2686">INDEX('Portfolio Weights Std'!$B$9:$BJ$69,INT((ROW(A2685)-1)/COLUMNS('Portfolio Weights Std'!$B$9:$BJ$69))+1,MOD(ROW(A2685)-1,COLUMNS('Portfolio Weights Std'!$B$9:$BJ$69))+1)</f>
        <v>2.2548880671867836E-2</v>
      </c>
    </row>
    <row r="2687" spans="1:2" x14ac:dyDescent="0.25">
      <c r="A2687" cm="1">
        <f t="array" ref="A2687">INDEX('Portfolio Weights Returns'!$B$9:$BJ$69,
INT((ROW(A2686)-1)/COLUMNS('Portfolio Weights Returns'!$B$9:$BJ$69))+1,MOD(ROW(A2686)-1,COLUMNS('Portfolio Weights Returns'!$B$9:$BJ$69))+1)</f>
        <v>-8.9892898545468369E-4</v>
      </c>
      <c r="B2687" cm="1">
        <f t="array" ref="B2687">INDEX('Portfolio Weights Std'!$B$9:$BJ$69,INT((ROW(A2686)-1)/COLUMNS('Portfolio Weights Std'!$B$9:$BJ$69))+1,MOD(ROW(A2686)-1,COLUMNS('Portfolio Weights Std'!$B$9:$BJ$69))+1)</f>
        <v>2.2388536145991449E-2</v>
      </c>
    </row>
    <row r="2688" spans="1:2" x14ac:dyDescent="0.25">
      <c r="A2688" cm="1">
        <f t="array" ref="A2688">INDEX('Portfolio Weights Returns'!$B$9:$BJ$69,
INT((ROW(A2687)-1)/COLUMNS('Portfolio Weights Returns'!$B$9:$BJ$69))+1,MOD(ROW(A2687)-1,COLUMNS('Portfolio Weights Returns'!$B$9:$BJ$69))+1)</f>
        <v>-8.9214781148800476E-4</v>
      </c>
      <c r="B2688" cm="1">
        <f t="array" ref="B2688">INDEX('Portfolio Weights Std'!$B$9:$BJ$69,INT((ROW(A2687)-1)/COLUMNS('Portfolio Weights Std'!$B$9:$BJ$69))+1,MOD(ROW(A2687)-1,COLUMNS('Portfolio Weights Std'!$B$9:$BJ$69))+1)</f>
        <v>2.2229118017216127E-2</v>
      </c>
    </row>
    <row r="2689" spans="1:2" x14ac:dyDescent="0.25">
      <c r="A2689" cm="1">
        <f t="array" ref="A2689">INDEX('Portfolio Weights Returns'!$B$9:$BJ$69,
INT((ROW(A2688)-1)/COLUMNS('Portfolio Weights Returns'!$B$9:$BJ$69))+1,MOD(ROW(A2688)-1,COLUMNS('Portfolio Weights Returns'!$B$9:$BJ$69))+1)</f>
        <v>-8.853666375213254E-4</v>
      </c>
      <c r="B2689" cm="1">
        <f t="array" ref="B2689">INDEX('Portfolio Weights Std'!$B$9:$BJ$69,INT((ROW(A2688)-1)/COLUMNS('Portfolio Weights Std'!$B$9:$BJ$69))+1,MOD(ROW(A2688)-1,COLUMNS('Portfolio Weights Std'!$B$9:$BJ$69))+1)</f>
        <v>2.2070646359882738E-2</v>
      </c>
    </row>
    <row r="2690" spans="1:2" x14ac:dyDescent="0.25">
      <c r="A2690" cm="1">
        <f t="array" ref="A2690">INDEX('Portfolio Weights Returns'!$B$9:$BJ$69,
INT((ROW(A2689)-1)/COLUMNS('Portfolio Weights Returns'!$B$9:$BJ$69))+1,MOD(ROW(A2689)-1,COLUMNS('Portfolio Weights Returns'!$B$9:$BJ$69))+1)</f>
        <v>-8.7858546355464658E-4</v>
      </c>
      <c r="B2690" cm="1">
        <f t="array" ref="B2690">INDEX('Portfolio Weights Std'!$B$9:$BJ$69,INT((ROW(A2689)-1)/COLUMNS('Portfolio Weights Std'!$B$9:$BJ$69))+1,MOD(ROW(A2689)-1,COLUMNS('Portfolio Weights Std'!$B$9:$BJ$69))+1)</f>
        <v>2.1913141708103243E-2</v>
      </c>
    </row>
    <row r="2691" spans="1:2" x14ac:dyDescent="0.25">
      <c r="A2691" cm="1">
        <f t="array" ref="A2691">INDEX('Portfolio Weights Returns'!$B$9:$BJ$69,
INT((ROW(A2690)-1)/COLUMNS('Portfolio Weights Returns'!$B$9:$BJ$69))+1,MOD(ROW(A2690)-1,COLUMNS('Portfolio Weights Returns'!$B$9:$BJ$69))+1)</f>
        <v>-8.7180428958796722E-4</v>
      </c>
      <c r="B2691" cm="1">
        <f t="array" ref="B2691">INDEX('Portfolio Weights Std'!$B$9:$BJ$69,INT((ROW(A2690)-1)/COLUMNS('Portfolio Weights Std'!$B$9:$BJ$69))+1,MOD(ROW(A2690)-1,COLUMNS('Portfolio Weights Std'!$B$9:$BJ$69))+1)</f>
        <v>2.1756625063473162E-2</v>
      </c>
    </row>
    <row r="2692" spans="1:2" x14ac:dyDescent="0.25">
      <c r="A2692" cm="1">
        <f t="array" ref="A2692">INDEX('Portfolio Weights Returns'!$B$9:$BJ$69,
INT((ROW(A2691)-1)/COLUMNS('Portfolio Weights Returns'!$B$9:$BJ$69))+1,MOD(ROW(A2691)-1,COLUMNS('Portfolio Weights Returns'!$B$9:$BJ$69))+1)</f>
        <v>-8.6502311562128829E-4</v>
      </c>
      <c r="B2692" cm="1">
        <f t="array" ref="B2692">INDEX('Portfolio Weights Std'!$B$9:$BJ$69,INT((ROW(A2691)-1)/COLUMNS('Portfolio Weights Std'!$B$9:$BJ$69))+1,MOD(ROW(A2691)-1,COLUMNS('Portfolio Weights Std'!$B$9:$BJ$69))+1)</f>
        <v>2.1601117902608866E-2</v>
      </c>
    </row>
    <row r="2693" spans="1:2" x14ac:dyDescent="0.25">
      <c r="A2693" cm="1">
        <f t="array" ref="A2693">INDEX('Portfolio Weights Returns'!$B$9:$BJ$69,
INT((ROW(A2692)-1)/COLUMNS('Portfolio Weights Returns'!$B$9:$BJ$69))+1,MOD(ROW(A2692)-1,COLUMNS('Portfolio Weights Returns'!$B$9:$BJ$69))+1)</f>
        <v>-8.5824194165460904E-4</v>
      </c>
      <c r="B2693" cm="1">
        <f t="array" ref="B2693">INDEX('Portfolio Weights Std'!$B$9:$BJ$69,INT((ROW(A2692)-1)/COLUMNS('Portfolio Weights Std'!$B$9:$BJ$69))+1,MOD(ROW(A2692)-1,COLUMNS('Portfolio Weights Std'!$B$9:$BJ$69))+1)</f>
        <v>2.1446642184477172E-2</v>
      </c>
    </row>
    <row r="2694" spans="1:2" x14ac:dyDescent="0.25">
      <c r="A2694" cm="1">
        <f t="array" ref="A2694">INDEX('Portfolio Weights Returns'!$B$9:$BJ$69,
INT((ROW(A2693)-1)/COLUMNS('Portfolio Weights Returns'!$B$9:$BJ$69))+1,MOD(ROW(A2693)-1,COLUMNS('Portfolio Weights Returns'!$B$9:$BJ$69))+1)</f>
        <v>-8.5146076768793E-4</v>
      </c>
      <c r="B2694" cm="1">
        <f t="array" ref="B2694">INDEX('Portfolio Weights Std'!$B$9:$BJ$69,INT((ROW(A2693)-1)/COLUMNS('Portfolio Weights Std'!$B$9:$BJ$69))+1,MOD(ROW(A2693)-1,COLUMNS('Portfolio Weights Std'!$B$9:$BJ$69))+1)</f>
        <v>2.1293220357482524E-2</v>
      </c>
    </row>
    <row r="2695" spans="1:2" x14ac:dyDescent="0.25">
      <c r="A2695" cm="1">
        <f t="array" ref="A2695">INDEX('Portfolio Weights Returns'!$B$9:$BJ$69,
INT((ROW(A2694)-1)/COLUMNS('Portfolio Weights Returns'!$B$9:$BJ$69))+1,MOD(ROW(A2694)-1,COLUMNS('Portfolio Weights Returns'!$B$9:$BJ$69))+1)</f>
        <v>-8.4467959372125075E-4</v>
      </c>
      <c r="B2695" cm="1">
        <f t="array" ref="B2695">INDEX('Portfolio Weights Std'!$B$9:$BJ$69,INT((ROW(A2694)-1)/COLUMNS('Portfolio Weights Std'!$B$9:$BJ$69))+1,MOD(ROW(A2694)-1,COLUMNS('Portfolio Weights Std'!$B$9:$BJ$69))+1)</f>
        <v>2.1140875366274365E-2</v>
      </c>
    </row>
    <row r="2696" spans="1:2" x14ac:dyDescent="0.25">
      <c r="A2696" cm="1">
        <f t="array" ref="A2696">INDEX('Portfolio Weights Returns'!$B$9:$BJ$69,
INT((ROW(A2695)-1)/COLUMNS('Portfolio Weights Returns'!$B$9:$BJ$69))+1,MOD(ROW(A2695)-1,COLUMNS('Portfolio Weights Returns'!$B$9:$BJ$69))+1)</f>
        <v>-8.3789841975457182E-4</v>
      </c>
      <c r="B2696" cm="1">
        <f t="array" ref="B2696">INDEX('Portfolio Weights Std'!$B$9:$BJ$69,INT((ROW(A2695)-1)/COLUMNS('Portfolio Weights Std'!$B$9:$BJ$69))+1,MOD(ROW(A2695)-1,COLUMNS('Portfolio Weights Std'!$B$9:$BJ$69))+1)</f>
        <v>2.0989630658234813E-2</v>
      </c>
    </row>
    <row r="2697" spans="1:2" x14ac:dyDescent="0.25">
      <c r="A2697" cm="1">
        <f t="array" ref="A2697">INDEX('Portfolio Weights Returns'!$B$9:$BJ$69,
INT((ROW(A2696)-1)/COLUMNS('Portfolio Weights Returns'!$B$9:$BJ$69))+1,MOD(ROW(A2696)-1,COLUMNS('Portfolio Weights Returns'!$B$9:$BJ$69))+1)</f>
        <v>-8.3111724578789257E-4</v>
      </c>
      <c r="B2697" cm="1">
        <f t="array" ref="B2697">INDEX('Portfolio Weights Std'!$B$9:$BJ$69,INT((ROW(A2696)-1)/COLUMNS('Portfolio Weights Std'!$B$9:$BJ$69))+1,MOD(ROW(A2696)-1,COLUMNS('Portfolio Weights Std'!$B$9:$BJ$69))+1)</f>
        <v>2.0839510189603807E-2</v>
      </c>
    </row>
    <row r="2698" spans="1:2" x14ac:dyDescent="0.25">
      <c r="A2698" cm="1">
        <f t="array" ref="A2698">INDEX('Portfolio Weights Returns'!$B$9:$BJ$69,
INT((ROW(A2697)-1)/COLUMNS('Portfolio Weights Returns'!$B$9:$BJ$69))+1,MOD(ROW(A2697)-1,COLUMNS('Portfolio Weights Returns'!$B$9:$BJ$69))+1)</f>
        <v>-8.2433607182121364E-4</v>
      </c>
      <c r="B2698" cm="1">
        <f t="array" ref="B2698">INDEX('Portfolio Weights Std'!$B$9:$BJ$69,INT((ROW(A2697)-1)/COLUMNS('Portfolio Weights Std'!$B$9:$BJ$69))+1,MOD(ROW(A2697)-1,COLUMNS('Portfolio Weights Std'!$B$9:$BJ$69))+1)</f>
        <v>2.0690538431196451E-2</v>
      </c>
    </row>
    <row r="2699" spans="1:2" x14ac:dyDescent="0.25">
      <c r="A2699" cm="1">
        <f t="array" ref="A2699">INDEX('Portfolio Weights Returns'!$B$9:$BJ$69,
INT((ROW(A2698)-1)/COLUMNS('Portfolio Weights Returns'!$B$9:$BJ$69))+1,MOD(ROW(A2698)-1,COLUMNS('Portfolio Weights Returns'!$B$9:$BJ$69))+1)</f>
        <v>-8.1755489785453439E-4</v>
      </c>
      <c r="B2699" cm="1">
        <f t="array" ref="B2699">INDEX('Portfolio Weights Std'!$B$9:$BJ$69,INT((ROW(A2698)-1)/COLUMNS('Portfolio Weights Std'!$B$9:$BJ$69))+1,MOD(ROW(A2698)-1,COLUMNS('Portfolio Weights Std'!$B$9:$BJ$69))+1)</f>
        <v>2.0542740373663861E-2</v>
      </c>
    </row>
    <row r="2700" spans="1:2" x14ac:dyDescent="0.25">
      <c r="A2700" cm="1">
        <f t="array" ref="A2700">INDEX('Portfolio Weights Returns'!$B$9:$BJ$69,
INT((ROW(A2699)-1)/COLUMNS('Portfolio Weights Returns'!$B$9:$BJ$69))+1,MOD(ROW(A2699)-1,COLUMNS('Portfolio Weights Returns'!$B$9:$BJ$69))+1)</f>
        <v>-8.1077372388785535E-4</v>
      </c>
      <c r="B2700" cm="1">
        <f t="array" ref="B2700">INDEX('Portfolio Weights Std'!$B$9:$BJ$69,INT((ROW(A2699)-1)/COLUMNS('Portfolio Weights Std'!$B$9:$BJ$69))+1,MOD(ROW(A2699)-1,COLUMNS('Portfolio Weights Std'!$B$9:$BJ$69))+1)</f>
        <v>2.039614153224642E-2</v>
      </c>
    </row>
    <row r="2701" spans="1:2" x14ac:dyDescent="0.25">
      <c r="A2701" cm="1">
        <f t="array" ref="A2701">INDEX('Portfolio Weights Returns'!$B$9:$BJ$69,
INT((ROW(A2700)-1)/COLUMNS('Portfolio Weights Returns'!$B$9:$BJ$69))+1,MOD(ROW(A2700)-1,COLUMNS('Portfolio Weights Returns'!$B$9:$BJ$69))+1)</f>
        <v>-8.0399254992117621E-4</v>
      </c>
      <c r="B2701" cm="1">
        <f t="array" ref="B2701">INDEX('Portfolio Weights Std'!$B$9:$BJ$69,INT((ROW(A2700)-1)/COLUMNS('Portfolio Weights Std'!$B$9:$BJ$69))+1,MOD(ROW(A2700)-1,COLUMNS('Portfolio Weights Std'!$B$9:$BJ$69))+1)</f>
        <v>2.0250767950964754E-2</v>
      </c>
    </row>
    <row r="2702" spans="1:2" x14ac:dyDescent="0.25">
      <c r="A2702" cm="1">
        <f t="array" ref="A2702">INDEX('Portfolio Weights Returns'!$B$9:$BJ$69,
INT((ROW(A2701)-1)/COLUMNS('Portfolio Weights Returns'!$B$9:$BJ$69))+1,MOD(ROW(A2701)-1,COLUMNS('Portfolio Weights Returns'!$B$9:$BJ$69))+1)</f>
        <v>-7.9721137595449717E-4</v>
      </c>
      <c r="B2702" cm="1">
        <f t="array" ref="B2702">INDEX('Portfolio Weights Std'!$B$9:$BJ$69,INT((ROW(A2701)-1)/COLUMNS('Portfolio Weights Std'!$B$9:$BJ$69))+1,MOD(ROW(A2701)-1,COLUMNS('Portfolio Weights Std'!$B$9:$BJ$69))+1)</f>
        <v>2.010664620619116E-2</v>
      </c>
    </row>
    <row r="2703" spans="1:2" x14ac:dyDescent="0.25">
      <c r="A2703" cm="1">
        <f t="array" ref="A2703">INDEX('Portfolio Weights Returns'!$B$9:$BJ$69,
INT((ROW(A2702)-1)/COLUMNS('Portfolio Weights Returns'!$B$9:$BJ$69))+1,MOD(ROW(A2702)-1,COLUMNS('Portfolio Weights Returns'!$B$9:$BJ$69))+1)</f>
        <v>-7.9043020198781792E-4</v>
      </c>
      <c r="B2703" cm="1">
        <f t="array" ref="B2703">INDEX('Portfolio Weights Std'!$B$9:$BJ$69,INT((ROW(A2702)-1)/COLUMNS('Portfolio Weights Std'!$B$9:$BJ$69))+1,MOD(ROW(A2702)-1,COLUMNS('Portfolio Weights Std'!$B$9:$BJ$69))+1)</f>
        <v>1.9963803409540654E-2</v>
      </c>
    </row>
    <row r="2704" spans="1:2" x14ac:dyDescent="0.25">
      <c r="A2704" cm="1">
        <f t="array" ref="A2704">INDEX('Portfolio Weights Returns'!$B$9:$BJ$69,
INT((ROW(A2703)-1)/COLUMNS('Portfolio Weights Returns'!$B$9:$BJ$69))+1,MOD(ROW(A2703)-1,COLUMNS('Portfolio Weights Returns'!$B$9:$BJ$69))+1)</f>
        <v>-7.836490280211391E-4</v>
      </c>
      <c r="B2704" cm="1">
        <f t="array" ref="B2704">INDEX('Portfolio Weights Std'!$B$9:$BJ$69,INT((ROW(A2703)-1)/COLUMNS('Portfolio Weights Std'!$B$9:$BJ$69))+1,MOD(ROW(A2703)-1,COLUMNS('Portfolio Weights Std'!$B$9:$BJ$69))+1)</f>
        <v>1.9822267210018105E-2</v>
      </c>
    </row>
    <row r="2705" spans="1:2" x14ac:dyDescent="0.25">
      <c r="A2705" cm="1">
        <f t="array" ref="A2705">INDEX('Portfolio Weights Returns'!$B$9:$BJ$69,
INT((ROW(A2704)-1)/COLUMNS('Portfolio Weights Returns'!$B$9:$BJ$69))+1,MOD(ROW(A2704)-1,COLUMNS('Portfolio Weights Returns'!$B$9:$BJ$69))+1)</f>
        <v>-7.7686785405445984E-4</v>
      </c>
      <c r="B2705" cm="1">
        <f t="array" ref="B2705">INDEX('Portfolio Weights Std'!$B$9:$BJ$69,INT((ROW(A2704)-1)/COLUMNS('Portfolio Weights Std'!$B$9:$BJ$69))+1,MOD(ROW(A2704)-1,COLUMNS('Portfolio Weights Std'!$B$9:$BJ$69))+1)</f>
        <v>1.9682065795354323E-2</v>
      </c>
    </row>
    <row r="2706" spans="1:2" x14ac:dyDescent="0.25">
      <c r="A2706" cm="1">
        <f t="array" ref="A2706">INDEX('Portfolio Weights Returns'!$B$9:$BJ$69,
INT((ROW(A2705)-1)/COLUMNS('Portfolio Weights Returns'!$B$9:$BJ$69))+1,MOD(ROW(A2705)-1,COLUMNS('Portfolio Weights Returns'!$B$9:$BJ$69))+1)</f>
        <v>-7.7008668008778081E-4</v>
      </c>
      <c r="B2706" cm="1">
        <f t="array" ref="B2706">INDEX('Portfolio Weights Std'!$B$9:$BJ$69,INT((ROW(A2705)-1)/COLUMNS('Portfolio Weights Std'!$B$9:$BJ$69))+1,MOD(ROW(A2705)-1,COLUMNS('Portfolio Weights Std'!$B$9:$BJ$69))+1)</f>
        <v>1.9543227892461372E-2</v>
      </c>
    </row>
    <row r="2707" spans="1:2" x14ac:dyDescent="0.25">
      <c r="A2707" cm="1">
        <f t="array" ref="A2707">INDEX('Portfolio Weights Returns'!$B$9:$BJ$69,
INT((ROW(A2706)-1)/COLUMNS('Portfolio Weights Returns'!$B$9:$BJ$69))+1,MOD(ROW(A2706)-1,COLUMNS('Portfolio Weights Returns'!$B$9:$BJ$69))+1)</f>
        <v>-7.6330550612110166E-4</v>
      </c>
      <c r="B2707" cm="1">
        <f t="array" ref="B2707">INDEX('Portfolio Weights Std'!$B$9:$BJ$69,INT((ROW(A2706)-1)/COLUMNS('Portfolio Weights Std'!$B$9:$BJ$69))+1,MOD(ROW(A2706)-1,COLUMNS('Portfolio Weights Std'!$B$9:$BJ$69))+1)</f>
        <v>1.9405782766933929E-2</v>
      </c>
    </row>
    <row r="2708" spans="1:2" x14ac:dyDescent="0.25">
      <c r="A2708" cm="1">
        <f t="array" ref="A2708">INDEX('Portfolio Weights Returns'!$B$9:$BJ$69,
INT((ROW(A2707)-1)/COLUMNS('Portfolio Weights Returns'!$B$9:$BJ$69))+1,MOD(ROW(A2707)-1,COLUMNS('Portfolio Weights Returns'!$B$9:$BJ$69))+1)</f>
        <v>-7.5652433215442263E-4</v>
      </c>
      <c r="B2708" cm="1">
        <f t="array" ref="B2708">INDEX('Portfolio Weights Std'!$B$9:$BJ$69,INT((ROW(A2707)-1)/COLUMNS('Portfolio Weights Std'!$B$9:$BJ$69))+1,MOD(ROW(A2707)-1,COLUMNS('Portfolio Weights Std'!$B$9:$BJ$69))+1)</f>
        <v>1.9269760221520799E-2</v>
      </c>
    </row>
    <row r="2709" spans="1:2" x14ac:dyDescent="0.25">
      <c r="A2709" cm="1">
        <f t="array" ref="A2709">INDEX('Portfolio Weights Returns'!$B$9:$BJ$69,
INT((ROW(A2708)-1)/COLUMNS('Portfolio Weights Returns'!$B$9:$BJ$69))+1,MOD(ROW(A2708)-1,COLUMNS('Portfolio Weights Returns'!$B$9:$BJ$69))+1)</f>
        <v>-7.4974315818774348E-4</v>
      </c>
      <c r="B2709" cm="1">
        <f t="array" ref="B2709">INDEX('Portfolio Weights Std'!$B$9:$BJ$69,INT((ROW(A2708)-1)/COLUMNS('Portfolio Weights Std'!$B$9:$BJ$69))+1,MOD(ROW(A2708)-1,COLUMNS('Portfolio Weights Std'!$B$9:$BJ$69))+1)</f>
        <v>1.913519059348787E-2</v>
      </c>
    </row>
    <row r="2710" spans="1:2" x14ac:dyDescent="0.25">
      <c r="A2710" cm="1">
        <f t="array" ref="A2710">INDEX('Portfolio Weights Returns'!$B$9:$BJ$69,
INT((ROW(A2709)-1)/COLUMNS('Portfolio Weights Returns'!$B$9:$BJ$69))+1,MOD(ROW(A2709)-1,COLUMNS('Portfolio Weights Returns'!$B$9:$BJ$69))+1)</f>
        <v>-7.4296198422106445E-4</v>
      </c>
      <c r="B2710" cm="1">
        <f t="array" ref="B2710">INDEX('Portfolio Weights Std'!$B$9:$BJ$69,INT((ROW(A2709)-1)/COLUMNS('Portfolio Weights Std'!$B$9:$BJ$69))+1,MOD(ROW(A2709)-1,COLUMNS('Portfolio Weights Std'!$B$9:$BJ$69))+1)</f>
        <v>1.9002104750791005E-2</v>
      </c>
    </row>
    <row r="2711" spans="1:2" x14ac:dyDescent="0.25">
      <c r="A2711" cm="1">
        <f t="array" ref="A2711">INDEX('Portfolio Weights Returns'!$B$9:$BJ$69,
INT((ROW(A2710)-1)/COLUMNS('Portfolio Weights Returns'!$B$9:$BJ$69))+1,MOD(ROW(A2710)-1,COLUMNS('Portfolio Weights Returns'!$B$9:$BJ$69))+1)</f>
        <v>-7.361808102543853E-4</v>
      </c>
      <c r="B2711" cm="1">
        <f t="array" ref="B2711">INDEX('Portfolio Weights Std'!$B$9:$BJ$69,INT((ROW(A2710)-1)/COLUMNS('Portfolio Weights Std'!$B$9:$BJ$69))+1,MOD(ROW(A2710)-1,COLUMNS('Portfolio Weights Std'!$B$9:$BJ$69))+1)</f>
        <v>1.8870534086975053E-2</v>
      </c>
    </row>
    <row r="2712" spans="1:2" x14ac:dyDescent="0.25">
      <c r="A2712" cm="1">
        <f t="array" ref="A2712">INDEX('Portfolio Weights Returns'!$B$9:$BJ$69,
INT((ROW(A2711)-1)/COLUMNS('Portfolio Weights Returns'!$B$9:$BJ$69))+1,MOD(ROW(A2711)-1,COLUMNS('Portfolio Weights Returns'!$B$9:$BJ$69))+1)</f>
        <v>-7.2939963628770616E-4</v>
      </c>
      <c r="B2712" cm="1">
        <f t="array" ref="B2712">INDEX('Portfolio Weights Std'!$B$9:$BJ$69,INT((ROW(A2711)-1)/COLUMNS('Portfolio Weights Std'!$B$9:$BJ$69))+1,MOD(ROW(A2711)-1,COLUMNS('Portfolio Weights Std'!$B$9:$BJ$69))+1)</f>
        <v>1.8740510514712951E-2</v>
      </c>
    </row>
    <row r="2713" spans="1:2" x14ac:dyDescent="0.25">
      <c r="A2713" cm="1">
        <f t="array" ref="A2713">INDEX('Portfolio Weights Returns'!$B$9:$BJ$69,
INT((ROW(A2712)-1)/COLUMNS('Portfolio Weights Returns'!$B$9:$BJ$69))+1,MOD(ROW(A2712)-1,COLUMNS('Portfolio Weights Returns'!$B$9:$BJ$69))+1)</f>
        <v>-7.2261846232102701E-4</v>
      </c>
      <c r="B2713" cm="1">
        <f t="array" ref="B2713">INDEX('Portfolio Weights Std'!$B$9:$BJ$69,INT((ROW(A2712)-1)/COLUMNS('Portfolio Weights Std'!$B$9:$BJ$69))+1,MOD(ROW(A2712)-1,COLUMNS('Portfolio Weights Std'!$B$9:$BJ$69))+1)</f>
        <v>1.8612066457896925E-2</v>
      </c>
    </row>
    <row r="2714" spans="1:2" x14ac:dyDescent="0.25">
      <c r="A2714" cm="1">
        <f t="array" ref="A2714">INDEX('Portfolio Weights Returns'!$B$9:$BJ$69,
INT((ROW(A2713)-1)/COLUMNS('Portfolio Weights Returns'!$B$9:$BJ$69))+1,MOD(ROW(A2713)-1,COLUMNS('Portfolio Weights Returns'!$B$9:$BJ$69))+1)</f>
        <v>-7.1583728835434787E-4</v>
      </c>
      <c r="B2714" cm="1">
        <f t="array" ref="B2714">INDEX('Portfolio Weights Std'!$B$9:$BJ$69,INT((ROW(A2713)-1)/COLUMNS('Portfolio Weights Std'!$B$9:$BJ$69))+1,MOD(ROW(A2713)-1,COLUMNS('Portfolio Weights Std'!$B$9:$BJ$69))+1)</f>
        <v>1.8485234842192371E-2</v>
      </c>
    </row>
    <row r="2715" spans="1:2" x14ac:dyDescent="0.25">
      <c r="A2715" cm="1">
        <f t="array" ref="A2715">INDEX('Portfolio Weights Returns'!$B$9:$BJ$69,
INT((ROW(A2714)-1)/COLUMNS('Portfolio Weights Returns'!$B$9:$BJ$69))+1,MOD(ROW(A2714)-1,COLUMNS('Portfolio Weights Returns'!$B$9:$BJ$69))+1)</f>
        <v>-7.0905611438766883E-4</v>
      </c>
      <c r="B2715" cm="1">
        <f t="array" ref="B2715">INDEX('Portfolio Weights Std'!$B$9:$BJ$69,INT((ROW(A2714)-1)/COLUMNS('Portfolio Weights Std'!$B$9:$BJ$69))+1,MOD(ROW(A2714)-1,COLUMNS('Portfolio Weights Std'!$B$9:$BJ$69))+1)</f>
        <v>1.8360049083963794E-2</v>
      </c>
    </row>
    <row r="2716" spans="1:2" x14ac:dyDescent="0.25">
      <c r="A2716" cm="1">
        <f t="array" ref="A2716">INDEX('Portfolio Weights Returns'!$B$9:$BJ$69,
INT((ROW(A2715)-1)/COLUMNS('Portfolio Weights Returns'!$B$9:$BJ$69))+1,MOD(ROW(A2715)-1,COLUMNS('Portfolio Weights Returns'!$B$9:$BJ$69))+1)</f>
        <v>-7.0227494042098969E-4</v>
      </c>
      <c r="B2716" cm="1">
        <f t="array" ref="B2716">INDEX('Portfolio Weights Std'!$B$9:$BJ$69,INT((ROW(A2715)-1)/COLUMNS('Portfolio Weights Std'!$B$9:$BJ$69))+1,MOD(ROW(A2715)-1,COLUMNS('Portfolio Weights Std'!$B$9:$BJ$69))+1)</f>
        <v>1.8236543077481619E-2</v>
      </c>
    </row>
    <row r="2717" spans="1:2" x14ac:dyDescent="0.25">
      <c r="A2717" cm="1">
        <f t="array" ref="A2717">INDEX('Portfolio Weights Returns'!$B$9:$BJ$69,
INT((ROW(A2716)-1)/COLUMNS('Portfolio Weights Returns'!$B$9:$BJ$69))+1,MOD(ROW(A2716)-1,COLUMNS('Portfolio Weights Returns'!$B$9:$BJ$69))+1)</f>
        <v>-6.9549376645431065E-4</v>
      </c>
      <c r="B2717" cm="1">
        <f t="array" ref="B2717">INDEX('Portfolio Weights Std'!$B$9:$BJ$69,INT((ROW(A2716)-1)/COLUMNS('Portfolio Weights Std'!$B$9:$BJ$69))+1,MOD(ROW(A2716)-1,COLUMNS('Portfolio Weights Std'!$B$9:$BJ$69))+1)</f>
        <v>1.8114751180318529E-2</v>
      </c>
    </row>
    <row r="2718" spans="1:2" x14ac:dyDescent="0.25">
      <c r="A2718" cm="1">
        <f t="array" ref="A2718">INDEX('Portfolio Weights Returns'!$B$9:$BJ$69,
INT((ROW(A2717)-1)/COLUMNS('Portfolio Weights Returns'!$B$9:$BJ$69))+1,MOD(ROW(A2717)-1,COLUMNS('Portfolio Weights Returns'!$B$9:$BJ$69))+1)</f>
        <v>-6.887125924876314E-4</v>
      </c>
      <c r="B2718" cm="1">
        <f t="array" ref="B2718">INDEX('Portfolio Weights Std'!$B$9:$BJ$69,INT((ROW(A2717)-1)/COLUMNS('Portfolio Weights Std'!$B$9:$BJ$69))+1,MOD(ROW(A2717)-1,COLUMNS('Portfolio Weights Std'!$B$9:$BJ$69))+1)</f>
        <v>1.7994708196844605E-2</v>
      </c>
    </row>
    <row r="2719" spans="1:2" x14ac:dyDescent="0.25">
      <c r="A2719" cm="1">
        <f t="array" ref="A2719">INDEX('Portfolio Weights Returns'!$B$9:$BJ$69,
INT((ROW(A2718)-1)/COLUMNS('Portfolio Weights Returns'!$B$9:$BJ$69))+1,MOD(ROW(A2718)-1,COLUMNS('Portfolio Weights Returns'!$B$9:$BJ$69))+1)</f>
        <v>-6.8193141852095236E-4</v>
      </c>
      <c r="B2719" cm="1">
        <f t="array" ref="B2719">INDEX('Portfolio Weights Std'!$B$9:$BJ$69,INT((ROW(A2718)-1)/COLUMNS('Portfolio Weights Std'!$B$9:$BJ$69))+1,MOD(ROW(A2718)-1,COLUMNS('Portfolio Weights Std'!$B$9:$BJ$69))+1)</f>
        <v>1.7876449359731567E-2</v>
      </c>
    </row>
    <row r="2720" spans="1:2" x14ac:dyDescent="0.25">
      <c r="A2720" cm="1">
        <f t="array" ref="A2720">INDEX('Portfolio Weights Returns'!$B$9:$BJ$69,
INT((ROW(A2719)-1)/COLUMNS('Portfolio Weights Returns'!$B$9:$BJ$69))+1,MOD(ROW(A2719)-1,COLUMNS('Portfolio Weights Returns'!$B$9:$BJ$69))+1)</f>
        <v>-6.7515024455427322E-4</v>
      </c>
      <c r="B2720" cm="1">
        <f t="array" ref="B2720">INDEX('Portfolio Weights Std'!$B$9:$BJ$69,INT((ROW(A2719)-1)/COLUMNS('Portfolio Weights Std'!$B$9:$BJ$69))+1,MOD(ROW(A2719)-1,COLUMNS('Portfolio Weights Std'!$B$9:$BJ$69))+1)</f>
        <v>1.7760010309378592E-2</v>
      </c>
    </row>
    <row r="2721" spans="1:2" x14ac:dyDescent="0.25">
      <c r="A2721" cm="1">
        <f t="array" ref="A2721">INDEX('Portfolio Weights Returns'!$B$9:$BJ$69,
INT((ROW(A2720)-1)/COLUMNS('Portfolio Weights Returns'!$B$9:$BJ$69))+1,MOD(ROW(A2720)-1,COLUMNS('Portfolio Weights Returns'!$B$9:$BJ$69))+1)</f>
        <v>-6.6836907058759418E-4</v>
      </c>
      <c r="B2721" cm="1">
        <f t="array" ref="B2721">INDEX('Portfolio Weights Std'!$B$9:$BJ$69,INT((ROW(A2720)-1)/COLUMNS('Portfolio Weights Std'!$B$9:$BJ$69))+1,MOD(ROW(A2720)-1,COLUMNS('Portfolio Weights Std'!$B$9:$BJ$69))+1)</f>
        <v>1.7645427071174745E-2</v>
      </c>
    </row>
    <row r="2722" spans="1:2" x14ac:dyDescent="0.25">
      <c r="A2722" cm="1">
        <f t="array" ref="A2722">INDEX('Portfolio Weights Returns'!$B$9:$BJ$69,
INT((ROW(A2721)-1)/COLUMNS('Portfolio Weights Returns'!$B$9:$BJ$69))+1,MOD(ROW(A2721)-1,COLUMNS('Portfolio Weights Returns'!$B$9:$BJ$69))+1)</f>
        <v>-6.6158789662091504E-4</v>
      </c>
      <c r="B2722" cm="1">
        <f t="array" ref="B2722">INDEX('Portfolio Weights Std'!$B$9:$BJ$69,INT((ROW(A2721)-1)/COLUMNS('Portfolio Weights Std'!$B$9:$BJ$69))+1,MOD(ROW(A2721)-1,COLUMNS('Portfolio Weights Std'!$B$9:$BJ$69))+1)</f>
        <v>1.7532736030516888E-2</v>
      </c>
    </row>
    <row r="2723" spans="1:2" x14ac:dyDescent="0.25">
      <c r="A2723" cm="1">
        <f t="array" ref="A2723">INDEX('Portfolio Weights Returns'!$B$9:$BJ$69,
INT((ROW(A2722)-1)/COLUMNS('Portfolio Weights Returns'!$B$9:$BJ$69))+1,MOD(ROW(A2722)-1,COLUMNS('Portfolio Weights Returns'!$B$9:$BJ$69))+1)</f>
        <v>-6.548067226542359E-4</v>
      </c>
      <c r="B2723" cm="1">
        <f t="array" ref="B2723">INDEX('Portfolio Weights Std'!$B$9:$BJ$69,INT((ROW(A2722)-1)/COLUMNS('Portfolio Weights Std'!$B$9:$BJ$69))+1,MOD(ROW(A2722)-1,COLUMNS('Portfolio Weights Std'!$B$9:$BJ$69))+1)</f>
        <v>1.7421973905506503E-2</v>
      </c>
    </row>
    <row r="2724" spans="1:2" x14ac:dyDescent="0.25">
      <c r="A2724" cm="1">
        <f t="array" ref="A2724">INDEX('Portfolio Weights Returns'!$B$9:$BJ$69,
INT((ROW(A2723)-1)/COLUMNS('Portfolio Weights Returns'!$B$9:$BJ$69))+1,MOD(ROW(A2723)-1,COLUMNS('Portfolio Weights Returns'!$B$9:$BJ$69))+1)</f>
        <v>-6.4802554868755686E-4</v>
      </c>
      <c r="B2724" cm="1">
        <f t="array" ref="B2724">INDEX('Portfolio Weights Std'!$B$9:$BJ$69,INT((ROW(A2723)-1)/COLUMNS('Portfolio Weights Std'!$B$9:$BJ$69))+1,MOD(ROW(A2723)-1,COLUMNS('Portfolio Weights Std'!$B$9:$BJ$69))+1)</f>
        <v>1.7313177717254564E-2</v>
      </c>
    </row>
    <row r="2725" spans="1:2" x14ac:dyDescent="0.25">
      <c r="A2725" cm="1">
        <f t="array" ref="A2725">INDEX('Portfolio Weights Returns'!$B$9:$BJ$69,
INT((ROW(A2724)-1)/COLUMNS('Portfolio Weights Returns'!$B$9:$BJ$69))+1,MOD(ROW(A2724)-1,COLUMNS('Portfolio Weights Returns'!$B$9:$BJ$69))+1)</f>
        <v>-6.4124437472087771E-4</v>
      </c>
      <c r="B2725" cm="1">
        <f t="array" ref="B2725">INDEX('Portfolio Weights Std'!$B$9:$BJ$69,INT((ROW(A2724)-1)/COLUMNS('Portfolio Weights Std'!$B$9:$BJ$69))+1,MOD(ROW(A2724)-1,COLUMNS('Portfolio Weights Std'!$B$9:$BJ$69))+1)</f>
        <v>1.7206384757730377E-2</v>
      </c>
    </row>
    <row r="2726" spans="1:2" x14ac:dyDescent="0.25">
      <c r="A2726" cm="1">
        <f t="array" ref="A2726">INDEX('Portfolio Weights Returns'!$B$9:$BJ$69,
INT((ROW(A2725)-1)/COLUMNS('Portfolio Weights Returns'!$B$9:$BJ$69))+1,MOD(ROW(A2725)-1,COLUMNS('Portfolio Weights Returns'!$B$9:$BJ$69))+1)</f>
        <v>-6.3446320075419868E-4</v>
      </c>
      <c r="B2726" cm="1">
        <f t="array" ref="B2726">INDEX('Portfolio Weights Std'!$B$9:$BJ$69,INT((ROW(A2725)-1)/COLUMNS('Portfolio Weights Std'!$B$9:$BJ$69))+1,MOD(ROW(A2725)-1,COLUMNS('Portfolio Weights Std'!$B$9:$BJ$69))+1)</f>
        <v>1.7101632555098317E-2</v>
      </c>
    </row>
    <row r="2727" spans="1:2" x14ac:dyDescent="0.25">
      <c r="A2727" cm="1">
        <f t="array" ref="A2727">INDEX('Portfolio Weights Returns'!$B$9:$BJ$69,
INT((ROW(A2726)-1)/COLUMNS('Portfolio Weights Returns'!$B$9:$BJ$69))+1,MOD(ROW(A2726)-1,COLUMNS('Portfolio Weights Returns'!$B$9:$BJ$69))+1)</f>
        <v>-6.2768202678751953E-4</v>
      </c>
      <c r="B2727" cm="1">
        <f t="array" ref="B2727">INDEX('Portfolio Weights Std'!$B$9:$BJ$69,INT((ROW(A2726)-1)/COLUMNS('Portfolio Weights Std'!$B$9:$BJ$69))+1,MOD(ROW(A2726)-1,COLUMNS('Portfolio Weights Std'!$B$9:$BJ$69))+1)</f>
        <v>1.6998958836495451E-2</v>
      </c>
    </row>
    <row r="2728" spans="1:2" x14ac:dyDescent="0.25">
      <c r="A2728" cm="1">
        <f t="array" ref="A2728">INDEX('Portfolio Weights Returns'!$B$9:$BJ$69,
INT((ROW(A2727)-1)/COLUMNS('Portfolio Weights Returns'!$B$9:$BJ$69))+1,MOD(ROW(A2727)-1,COLUMNS('Portfolio Weights Returns'!$B$9:$BJ$69))+1)</f>
        <v>-6.209008528208405E-4</v>
      </c>
      <c r="B2728" cm="1">
        <f t="array" ref="B2728">INDEX('Portfolio Weights Std'!$B$9:$BJ$69,INT((ROW(A2727)-1)/COLUMNS('Portfolio Weights Std'!$B$9:$BJ$69))+1,MOD(ROW(A2727)-1,COLUMNS('Portfolio Weights Std'!$B$9:$BJ$69))+1)</f>
        <v>1.689840148821364E-2</v>
      </c>
    </row>
    <row r="2729" spans="1:2" x14ac:dyDescent="0.25">
      <c r="A2729" cm="1">
        <f t="array" ref="A2729">INDEX('Portfolio Weights Returns'!$B$9:$BJ$69,
INT((ROW(A2728)-1)/COLUMNS('Portfolio Weights Returns'!$B$9:$BJ$69))+1,MOD(ROW(A2728)-1,COLUMNS('Portfolio Weights Returns'!$B$9:$BJ$69))+1)</f>
        <v>-6.1411967885416135E-4</v>
      </c>
      <c r="B2729" cm="1">
        <f t="array" ref="B2729">INDEX('Portfolio Weights Std'!$B$9:$BJ$69,INT((ROW(A2728)-1)/COLUMNS('Portfolio Weights Std'!$B$9:$BJ$69))+1,MOD(ROW(A2728)-1,COLUMNS('Portfolio Weights Std'!$B$9:$BJ$69))+1)</f>
        <v>1.6799998513261274E-2</v>
      </c>
    </row>
    <row r="2730" spans="1:2" x14ac:dyDescent="0.25">
      <c r="A2730" cm="1">
        <f t="array" ref="A2730">INDEX('Portfolio Weights Returns'!$B$9:$BJ$69,
INT((ROW(A2729)-1)/COLUMNS('Portfolio Weights Returns'!$B$9:$BJ$69))+1,MOD(ROW(A2729)-1,COLUMNS('Portfolio Weights Returns'!$B$9:$BJ$69))+1)</f>
        <v>-6.0733850488748232E-4</v>
      </c>
      <c r="B2730" cm="1">
        <f t="array" ref="B2730">INDEX('Portfolio Weights Std'!$B$9:$BJ$69,INT((ROW(A2729)-1)/COLUMNS('Portfolio Weights Std'!$B$9:$BJ$69))+1,MOD(ROW(A2729)-1,COLUMNS('Portfolio Weights Std'!$B$9:$BJ$69))+1)</f>
        <v>1.6703787986293021E-2</v>
      </c>
    </row>
    <row r="2731" spans="1:2" x14ac:dyDescent="0.25">
      <c r="A2731" cm="1">
        <f t="array" ref="A2731">INDEX('Portfolio Weights Returns'!$B$9:$BJ$69,
INT((ROW(A2730)-1)/COLUMNS('Portfolio Weights Returns'!$B$9:$BJ$69))+1,MOD(ROW(A2730)-1,COLUMNS('Portfolio Weights Returns'!$B$9:$BJ$69))+1)</f>
        <v>-6.0055733092080307E-4</v>
      </c>
      <c r="B2731" cm="1">
        <f t="array" ref="B2731">INDEX('Portfolio Weights Std'!$B$9:$BJ$69,INT((ROW(A2730)-1)/COLUMNS('Portfolio Weights Std'!$B$9:$BJ$69))+1,MOD(ROW(A2730)-1,COLUMNS('Portfolio Weights Std'!$B$9:$BJ$69))+1)</f>
        <v>1.6609808005910214E-2</v>
      </c>
    </row>
    <row r="2732" spans="1:2" x14ac:dyDescent="0.25">
      <c r="A2732" cm="1">
        <f t="array" ref="A2732">INDEX('Portfolio Weights Returns'!$B$9:$BJ$69,
INT((ROW(A2731)-1)/COLUMNS('Portfolio Weights Returns'!$B$9:$BJ$69))+1,MOD(ROW(A2731)-1,COLUMNS('Portfolio Weights Returns'!$B$9:$BJ$69))+1)</f>
        <v>-5.9377615695412403E-4</v>
      </c>
      <c r="B2732" cm="1">
        <f t="array" ref="B2732">INDEX('Portfolio Weights Std'!$B$9:$BJ$69,INT((ROW(A2731)-1)/COLUMNS('Portfolio Weights Std'!$B$9:$BJ$69))+1,MOD(ROW(A2731)-1,COLUMNS('Portfolio Weights Std'!$B$9:$BJ$69))+1)</f>
        <v>1.6518096644350305E-2</v>
      </c>
    </row>
    <row r="2733" spans="1:2" x14ac:dyDescent="0.25">
      <c r="A2733" cm="1">
        <f t="array" ref="A2733">INDEX('Portfolio Weights Returns'!$B$9:$BJ$69,
INT((ROW(A2732)-1)/COLUMNS('Portfolio Weights Returns'!$B$9:$BJ$69))+1,MOD(ROW(A2732)-1,COLUMNS('Portfolio Weights Returns'!$B$9:$BJ$69))+1)</f>
        <v>-5.8699498298744488E-4</v>
      </c>
      <c r="B2733" cm="1">
        <f t="array" ref="B2733">INDEX('Portfolio Weights Std'!$B$9:$BJ$69,INT((ROW(A2732)-1)/COLUMNS('Portfolio Weights Std'!$B$9:$BJ$69))+1,MOD(ROW(A2732)-1,COLUMNS('Portfolio Weights Std'!$B$9:$BJ$69))+1)</f>
        <v>1.6428691894600757E-2</v>
      </c>
    </row>
    <row r="2734" spans="1:2" x14ac:dyDescent="0.25">
      <c r="A2734" cm="1">
        <f t="array" ref="A2734">INDEX('Portfolio Weights Returns'!$B$9:$BJ$69,
INT((ROW(A2733)-1)/COLUMNS('Portfolio Weights Returns'!$B$9:$BJ$69))+1,MOD(ROW(A2733)-1,COLUMNS('Portfolio Weights Returns'!$B$9:$BJ$69))+1)</f>
        <v>-5.8021380902076585E-4</v>
      </c>
      <c r="B2734" cm="1">
        <f t="array" ref="B2734">INDEX('Portfolio Weights Std'!$B$9:$BJ$69,INT((ROW(A2733)-1)/COLUMNS('Portfolio Weights Std'!$B$9:$BJ$69))+1,MOD(ROW(A2733)-1,COLUMNS('Portfolio Weights Std'!$B$9:$BJ$69))+1)</f>
        <v>1.6341631614990908E-2</v>
      </c>
    </row>
    <row r="2735" spans="1:2" x14ac:dyDescent="0.25">
      <c r="A2735" cm="1">
        <f t="array" ref="A2735">INDEX('Portfolio Weights Returns'!$B$9:$BJ$69,
INT((ROW(A2734)-1)/COLUMNS('Portfolio Weights Returns'!$B$9:$BJ$69))+1,MOD(ROW(A2734)-1,COLUMNS('Portfolio Weights Returns'!$B$9:$BJ$69))+1)</f>
        <v>-5.7343263505408681E-4</v>
      </c>
      <c r="B2735" cm="1">
        <f t="array" ref="B2735">INDEX('Portfolio Weights Std'!$B$9:$BJ$69,INT((ROW(A2734)-1)/COLUMNS('Portfolio Weights Std'!$B$9:$BJ$69))+1,MOD(ROW(A2734)-1,COLUMNS('Portfolio Weights Std'!$B$9:$BJ$69))+1)</f>
        <v>1.6256953471334844E-2</v>
      </c>
    </row>
    <row r="2736" spans="1:2" x14ac:dyDescent="0.25">
      <c r="A2736" cm="1">
        <f t="array" ref="A2736">INDEX('Portfolio Weights Returns'!$B$9:$BJ$69,
INT((ROW(A2735)-1)/COLUMNS('Portfolio Weights Returns'!$B$9:$BJ$69))+1,MOD(ROW(A2735)-1,COLUMNS('Portfolio Weights Returns'!$B$9:$BJ$69))+1)</f>
        <v>-5.6665146108740767E-4</v>
      </c>
      <c r="B2736" cm="1">
        <f t="array" ref="B2736">INDEX('Portfolio Weights Std'!$B$9:$BJ$69,INT((ROW(A2735)-1)/COLUMNS('Portfolio Weights Std'!$B$9:$BJ$69))+1,MOD(ROW(A2735)-1,COLUMNS('Portfolio Weights Std'!$B$9:$BJ$69))+1)</f>
        <v>1.6174694876718621E-2</v>
      </c>
    </row>
    <row r="2737" spans="1:2" x14ac:dyDescent="0.25">
      <c r="A2737" cm="1">
        <f t="array" ref="A2737">INDEX('Portfolio Weights Returns'!$B$9:$BJ$69,
INT((ROW(A2736)-1)/COLUMNS('Portfolio Weights Returns'!$B$9:$BJ$69))+1,MOD(ROW(A2736)-1,COLUMNS('Portfolio Weights Returns'!$B$9:$BJ$69))+1)</f>
        <v>-5.5987028712072852E-4</v>
      </c>
      <c r="B2737" cm="1">
        <f t="array" ref="B2737">INDEX('Portfolio Weights Std'!$B$9:$BJ$69,INT((ROW(A2736)-1)/COLUMNS('Portfolio Weights Std'!$B$9:$BJ$69))+1,MOD(ROW(A2736)-1,COLUMNS('Portfolio Weights Std'!$B$9:$BJ$69))+1)</f>
        <v>1.6094892929046627E-2</v>
      </c>
    </row>
    <row r="2738" spans="1:2" x14ac:dyDescent="0.25">
      <c r="A2738" cm="1">
        <f t="array" ref="A2738">INDEX('Portfolio Weights Returns'!$B$9:$BJ$69,
INT((ROW(A2737)-1)/COLUMNS('Portfolio Weights Returns'!$B$9:$BJ$69))+1,MOD(ROW(A2737)-1,COLUMNS('Portfolio Weights Returns'!$B$9:$BJ$69))+1)</f>
        <v>-5.5308911315404938E-4</v>
      </c>
      <c r="B2738" cm="1">
        <f t="array" ref="B2738">INDEX('Portfolio Weights Std'!$B$9:$BJ$69,INT((ROW(A2737)-1)/COLUMNS('Portfolio Weights Std'!$B$9:$BJ$69))+1,MOD(ROW(A2737)-1,COLUMNS('Portfolio Weights Std'!$B$9:$BJ$69))+1)</f>
        <v>1.6017584346483982E-2</v>
      </c>
    </row>
    <row r="2739" spans="1:2" x14ac:dyDescent="0.25">
      <c r="A2739" cm="1">
        <f t="array" ref="A2739">INDEX('Portfolio Weights Returns'!$B$9:$BJ$69,
INT((ROW(A2738)-1)/COLUMNS('Portfolio Weights Returns'!$B$9:$BJ$69))+1,MOD(ROW(A2738)-1,COLUMNS('Portfolio Weights Returns'!$B$9:$BJ$69))+1)</f>
        <v>-5.4630793918737034E-4</v>
      </c>
      <c r="B2739" cm="1">
        <f t="array" ref="B2739">INDEX('Portfolio Weights Std'!$B$9:$BJ$69,INT((ROW(A2738)-1)/COLUMNS('Portfolio Weights Std'!$B$9:$BJ$69))+1,MOD(ROW(A2738)-1,COLUMNS('Portfolio Weights Std'!$B$9:$BJ$69))+1)</f>
        <v>1.5942805400954628E-2</v>
      </c>
    </row>
    <row r="2740" spans="1:2" x14ac:dyDescent="0.25">
      <c r="A2740" cm="1">
        <f t="array" ref="A2740">INDEX('Portfolio Weights Returns'!$B$9:$BJ$69,
INT((ROW(A2739)-1)/COLUMNS('Portfolio Weights Returns'!$B$9:$BJ$69))+1,MOD(ROW(A2739)-1,COLUMNS('Portfolio Weights Returns'!$B$9:$BJ$69))+1)</f>
        <v>-5.395267652206912E-4</v>
      </c>
      <c r="B2740" cm="1">
        <f t="array" ref="B2740">INDEX('Portfolio Weights Std'!$B$9:$BJ$69,INT((ROW(A2739)-1)/COLUMNS('Portfolio Weights Std'!$B$9:$BJ$69))+1,MOD(ROW(A2739)-1,COLUMNS('Portfolio Weights Std'!$B$9:$BJ$69))+1)</f>
        <v>1.587059184987798E-2</v>
      </c>
    </row>
    <row r="2741" spans="1:2" x14ac:dyDescent="0.25">
      <c r="A2741" cm="1">
        <f t="array" ref="A2741">INDEX('Portfolio Weights Returns'!$B$9:$BJ$69,
INT((ROW(A2740)-1)/COLUMNS('Portfolio Weights Returns'!$B$9:$BJ$69))+1,MOD(ROW(A2740)-1,COLUMNS('Portfolio Weights Returns'!$B$9:$BJ$69))+1)</f>
        <v>-5.3274559125401216E-4</v>
      </c>
      <c r="B2741" cm="1">
        <f t="array" ref="B2741">INDEX('Portfolio Weights Std'!$B$9:$BJ$69,INT((ROW(A2740)-1)/COLUMNS('Portfolio Weights Std'!$B$9:$BJ$69))+1,MOD(ROW(A2740)-1,COLUMNS('Portfolio Weights Std'!$B$9:$BJ$69))+1)</f>
        <v>1.5800978866350169E-2</v>
      </c>
    </row>
    <row r="2742" spans="1:2" x14ac:dyDescent="0.25">
      <c r="A2742" cm="1">
        <f t="array" ref="A2742">INDEX('Portfolio Weights Returns'!$B$9:$BJ$69,
INT((ROW(A2741)-1)/COLUMNS('Portfolio Weights Returns'!$B$9:$BJ$69))+1,MOD(ROW(A2741)-1,COLUMNS('Portfolio Weights Returns'!$B$9:$BJ$69))+1)</f>
        <v>-5.2596441728733302E-4</v>
      </c>
      <c r="B2742" cm="1">
        <f t="array" ref="B2742">INDEX('Portfolio Weights Std'!$B$9:$BJ$69,INT((ROW(A2741)-1)/COLUMNS('Portfolio Weights Std'!$B$9:$BJ$69))+1,MOD(ROW(A2741)-1,COLUMNS('Portfolio Weights Std'!$B$9:$BJ$69))+1)</f>
        <v>1.5734000967999266E-2</v>
      </c>
    </row>
    <row r="2743" spans="1:2" x14ac:dyDescent="0.25">
      <c r="A2743" cm="1">
        <f t="array" ref="A2743">INDEX('Portfolio Weights Returns'!$B$9:$BJ$69,
INT((ROW(A2742)-1)/COLUMNS('Portfolio Weights Returns'!$B$9:$BJ$69))+1,MOD(ROW(A2742)-1,COLUMNS('Portfolio Weights Returns'!$B$9:$BJ$69))+1)</f>
        <v>-5.1918324332065322E-4</v>
      </c>
      <c r="B2743" cm="1">
        <f t="array" ref="B2743">INDEX('Portfolio Weights Std'!$B$9:$BJ$69,INT((ROW(A2742)-1)/COLUMNS('Portfolio Weights Std'!$B$9:$BJ$69))+1,MOD(ROW(A2742)-1,COLUMNS('Portfolio Weights Std'!$B$9:$BJ$69))+1)</f>
        <v>1.5669691944766646E-2</v>
      </c>
    </row>
    <row r="2744" spans="1:2" x14ac:dyDescent="0.25">
      <c r="A2744" cm="1">
        <f t="array" ref="A2744">INDEX('Portfolio Weights Returns'!$B$9:$BJ$69,
INT((ROW(A2743)-1)/COLUMNS('Portfolio Weights Returns'!$B$9:$BJ$69))+1,MOD(ROW(A2743)-1,COLUMNS('Portfolio Weights Returns'!$B$9:$BJ$69))+1)</f>
        <v>-5.1240206935397408E-4</v>
      </c>
      <c r="B2744" cm="1">
        <f t="array" ref="B2744">INDEX('Portfolio Weights Std'!$B$9:$BJ$69,INT((ROW(A2743)-1)/COLUMNS('Portfolio Weights Std'!$B$9:$BJ$69))+1,MOD(ROW(A2743)-1,COLUMNS('Portfolio Weights Std'!$B$9:$BJ$69))+1)</f>
        <v>1.5608084785888814E-2</v>
      </c>
    </row>
    <row r="2745" spans="1:2" x14ac:dyDescent="0.25">
      <c r="A2745" cm="1">
        <f t="array" ref="A2745">INDEX('Portfolio Weights Returns'!$B$9:$BJ$69,
INT((ROW(A2744)-1)/COLUMNS('Portfolio Weights Returns'!$B$9:$BJ$69))+1,MOD(ROW(A2744)-1,COLUMNS('Portfolio Weights Returns'!$B$9:$BJ$69))+1)</f>
        <v>-5.0562089538729504E-4</v>
      </c>
      <c r="B2745" cm="1">
        <f t="array" ref="B2745">INDEX('Portfolio Weights Std'!$B$9:$BJ$69,INT((ROW(A2744)-1)/COLUMNS('Portfolio Weights Std'!$B$9:$BJ$69))+1,MOD(ROW(A2744)-1,COLUMNS('Portfolio Weights Std'!$B$9:$BJ$69))+1)</f>
        <v>1.5549211606375058E-2</v>
      </c>
    </row>
    <row r="2746" spans="1:2" x14ac:dyDescent="0.25">
      <c r="A2746" cm="1">
        <f t="array" ref="A2746">INDEX('Portfolio Weights Returns'!$B$9:$BJ$69,
INT((ROW(A2745)-1)/COLUMNS('Portfolio Weights Returns'!$B$9:$BJ$69))+1,MOD(ROW(A2745)-1,COLUMNS('Portfolio Weights Returns'!$B$9:$BJ$69))+1)</f>
        <v>-4.988397214206159E-4</v>
      </c>
      <c r="B2746" cm="1">
        <f t="array" ref="B2746">INDEX('Portfolio Weights Std'!$B$9:$BJ$69,INT((ROW(A2745)-1)/COLUMNS('Portfolio Weights Std'!$B$9:$BJ$69))+1,MOD(ROW(A2745)-1,COLUMNS('Portfolio Weights Std'!$B$9:$BJ$69))+1)</f>
        <v>1.5493103573296403E-2</v>
      </c>
    </row>
    <row r="2747" spans="1:2" x14ac:dyDescent="0.25">
      <c r="A2747" cm="1">
        <f t="array" ref="A2747">INDEX('Portfolio Weights Returns'!$B$9:$BJ$69,
INT((ROW(A2746)-1)/COLUMNS('Portfolio Weights Returns'!$B$9:$BJ$69))+1,MOD(ROW(A2746)-1,COLUMNS('Portfolio Weights Returns'!$B$9:$BJ$69))+1)</f>
        <v>-8.9913595157590771E-4</v>
      </c>
      <c r="B2747" cm="1">
        <f t="array" ref="B2747">INDEX('Portfolio Weights Std'!$B$9:$BJ$69,INT((ROW(A2746)-1)/COLUMNS('Portfolio Weights Std'!$B$9:$BJ$69))+1,MOD(ROW(A2746)-1,COLUMNS('Portfolio Weights Std'!$B$9:$BJ$69))+1)</f>
        <v>2.2492810207559548E-2</v>
      </c>
    </row>
    <row r="2748" spans="1:2" x14ac:dyDescent="0.25">
      <c r="A2748" cm="1">
        <f t="array" ref="A2748">INDEX('Portfolio Weights Returns'!$B$9:$BJ$69,
INT((ROW(A2747)-1)/COLUMNS('Portfolio Weights Returns'!$B$9:$BJ$69))+1,MOD(ROW(A2747)-1,COLUMNS('Portfolio Weights Returns'!$B$9:$BJ$69))+1)</f>
        <v>-8.9235477760922868E-4</v>
      </c>
      <c r="B2748" cm="1">
        <f t="array" ref="B2748">INDEX('Portfolio Weights Std'!$B$9:$BJ$69,INT((ROW(A2747)-1)/COLUMNS('Portfolio Weights Std'!$B$9:$BJ$69))+1,MOD(ROW(A2747)-1,COLUMNS('Portfolio Weights Std'!$B$9:$BJ$69))+1)</f>
        <v>2.233376884688926E-2</v>
      </c>
    </row>
    <row r="2749" spans="1:2" x14ac:dyDescent="0.25">
      <c r="A2749" cm="1">
        <f t="array" ref="A2749">INDEX('Portfolio Weights Returns'!$B$9:$BJ$69,
INT((ROW(A2748)-1)/COLUMNS('Portfolio Weights Returns'!$B$9:$BJ$69))+1,MOD(ROW(A2748)-1,COLUMNS('Portfolio Weights Returns'!$B$9:$BJ$69))+1)</f>
        <v>-8.8557360364254953E-4</v>
      </c>
      <c r="B2749" cm="1">
        <f t="array" ref="B2749">INDEX('Portfolio Weights Std'!$B$9:$BJ$69,INT((ROW(A2748)-1)/COLUMNS('Portfolio Weights Std'!$B$9:$BJ$69))+1,MOD(ROW(A2748)-1,COLUMNS('Portfolio Weights Std'!$B$9:$BJ$69))+1)</f>
        <v>2.2175674885693861E-2</v>
      </c>
    </row>
    <row r="2750" spans="1:2" x14ac:dyDescent="0.25">
      <c r="A2750" cm="1">
        <f t="array" ref="A2750">INDEX('Portfolio Weights Returns'!$B$9:$BJ$69,
INT((ROW(A2749)-1)/COLUMNS('Portfolio Weights Returns'!$B$9:$BJ$69))+1,MOD(ROW(A2749)-1,COLUMNS('Portfolio Weights Returns'!$B$9:$BJ$69))+1)</f>
        <v>-8.787924296758705E-4</v>
      </c>
      <c r="B2750" cm="1">
        <f t="array" ref="B2750">INDEX('Portfolio Weights Std'!$B$9:$BJ$69,INT((ROW(A2749)-1)/COLUMNS('Portfolio Weights Std'!$B$9:$BJ$69))+1,MOD(ROW(A2749)-1,COLUMNS('Portfolio Weights Std'!$B$9:$BJ$69))+1)</f>
        <v>2.2018548731068347E-2</v>
      </c>
    </row>
    <row r="2751" spans="1:2" x14ac:dyDescent="0.25">
      <c r="A2751" cm="1">
        <f t="array" ref="A2751">INDEX('Portfolio Weights Returns'!$B$9:$BJ$69,
INT((ROW(A2750)-1)/COLUMNS('Portfolio Weights Returns'!$B$9:$BJ$69))+1,MOD(ROW(A2750)-1,COLUMNS('Portfolio Weights Returns'!$B$9:$BJ$69))+1)</f>
        <v>-8.7201125570919135E-4</v>
      </c>
      <c r="B2751" cm="1">
        <f t="array" ref="B2751">INDEX('Portfolio Weights Std'!$B$9:$BJ$69,INT((ROW(A2750)-1)/COLUMNS('Portfolio Weights Std'!$B$9:$BJ$69))+1,MOD(ROW(A2750)-1,COLUMNS('Portfolio Weights Std'!$B$9:$BJ$69))+1)</f>
        <v>2.1862411250033593E-2</v>
      </c>
    </row>
    <row r="2752" spans="1:2" x14ac:dyDescent="0.25">
      <c r="A2752" cm="1">
        <f t="array" ref="A2752">INDEX('Portfolio Weights Returns'!$B$9:$BJ$69,
INT((ROW(A2751)-1)/COLUMNS('Portfolio Weights Returns'!$B$9:$BJ$69))+1,MOD(ROW(A2751)-1,COLUMNS('Portfolio Weights Returns'!$B$9:$BJ$69))+1)</f>
        <v>-8.652300817425121E-4</v>
      </c>
      <c r="B2752" cm="1">
        <f t="array" ref="B2752">INDEX('Portfolio Weights Std'!$B$9:$BJ$69,INT((ROW(A2751)-1)/COLUMNS('Portfolio Weights Std'!$B$9:$BJ$69))+1,MOD(ROW(A2751)-1,COLUMNS('Portfolio Weights Std'!$B$9:$BJ$69))+1)</f>
        <v>2.1707283776776068E-2</v>
      </c>
    </row>
    <row r="2753" spans="1:2" x14ac:dyDescent="0.25">
      <c r="A2753" cm="1">
        <f t="array" ref="A2753">INDEX('Portfolio Weights Returns'!$B$9:$BJ$69,
INT((ROW(A2752)-1)/COLUMNS('Portfolio Weights Returns'!$B$9:$BJ$69))+1,MOD(ROW(A2752)-1,COLUMNS('Portfolio Weights Returns'!$B$9:$BJ$69))+1)</f>
        <v>-8.5844890777583306E-4</v>
      </c>
      <c r="B2753" cm="1">
        <f t="array" ref="B2753">INDEX('Portfolio Weights Std'!$B$9:$BJ$69,INT((ROW(A2752)-1)/COLUMNS('Portfolio Weights Std'!$B$9:$BJ$69))+1,MOD(ROW(A2752)-1,COLUMNS('Portfolio Weights Std'!$B$9:$BJ$69))+1)</f>
        <v>2.1553188119675042E-2</v>
      </c>
    </row>
    <row r="2754" spans="1:2" x14ac:dyDescent="0.25">
      <c r="A2754" cm="1">
        <f t="array" ref="A2754">INDEX('Portfolio Weights Returns'!$B$9:$BJ$69,
INT((ROW(A2753)-1)/COLUMNS('Portfolio Weights Returns'!$B$9:$BJ$69))+1,MOD(ROW(A2753)-1,COLUMNS('Portfolio Weights Returns'!$B$9:$BJ$69))+1)</f>
        <v>-8.5166773380915392E-4</v>
      </c>
      <c r="B2754" cm="1">
        <f t="array" ref="B2754">INDEX('Portfolio Weights Std'!$B$9:$BJ$69,INT((ROW(A2753)-1)/COLUMNS('Portfolio Weights Std'!$B$9:$BJ$69))+1,MOD(ROW(A2753)-1,COLUMNS('Portfolio Weights Std'!$B$9:$BJ$69))+1)</f>
        <v>2.14001465680832E-2</v>
      </c>
    </row>
    <row r="2755" spans="1:2" x14ac:dyDescent="0.25">
      <c r="A2755" cm="1">
        <f t="array" ref="A2755">INDEX('Portfolio Weights Returns'!$B$9:$BJ$69,
INT((ROW(A2754)-1)/COLUMNS('Portfolio Weights Returns'!$B$9:$BJ$69))+1,MOD(ROW(A2754)-1,COLUMNS('Portfolio Weights Returns'!$B$9:$BJ$69))+1)</f>
        <v>-8.4488655984247488E-4</v>
      </c>
      <c r="B2755" cm="1">
        <f t="array" ref="B2755">INDEX('Portfolio Weights Std'!$B$9:$BJ$69,INT((ROW(A2754)-1)/COLUMNS('Portfolio Weights Std'!$B$9:$BJ$69))+1,MOD(ROW(A2754)-1,COLUMNS('Portfolio Weights Std'!$B$9:$BJ$69))+1)</f>
        <v>2.1248181898823975E-2</v>
      </c>
    </row>
    <row r="2756" spans="1:2" x14ac:dyDescent="0.25">
      <c r="A2756" cm="1">
        <f t="array" ref="A2756">INDEX('Portfolio Weights Returns'!$B$9:$BJ$69,
INT((ROW(A2755)-1)/COLUMNS('Portfolio Weights Returns'!$B$9:$BJ$69))+1,MOD(ROW(A2755)-1,COLUMNS('Portfolio Weights Returns'!$B$9:$BJ$69))+1)</f>
        <v>-8.3810538587579574E-4</v>
      </c>
      <c r="B2756" cm="1">
        <f t="array" ref="B2756">INDEX('Portfolio Weights Std'!$B$9:$BJ$69,INT((ROW(A2755)-1)/COLUMNS('Portfolio Weights Std'!$B$9:$BJ$69))+1,MOD(ROW(A2755)-1,COLUMNS('Portfolio Weights Std'!$B$9:$BJ$69))+1)</f>
        <v>2.1097317382366521E-2</v>
      </c>
    </row>
    <row r="2757" spans="1:2" x14ac:dyDescent="0.25">
      <c r="A2757" cm="1">
        <f t="array" ref="A2757">INDEX('Portfolio Weights Returns'!$B$9:$BJ$69,
INT((ROW(A2756)-1)/COLUMNS('Portfolio Weights Returns'!$B$9:$BJ$69))+1,MOD(ROW(A2756)-1,COLUMNS('Portfolio Weights Returns'!$B$9:$BJ$69))+1)</f>
        <v>-8.313242119091167E-4</v>
      </c>
      <c r="B2757" cm="1">
        <f t="array" ref="B2757">INDEX('Portfolio Weights Std'!$B$9:$BJ$69,INT((ROW(A2756)-1)/COLUMNS('Portfolio Weights Std'!$B$9:$BJ$69))+1,MOD(ROW(A2756)-1,COLUMNS('Portfolio Weights Std'!$B$9:$BJ$69))+1)</f>
        <v>2.0947576788636537E-2</v>
      </c>
    </row>
    <row r="2758" spans="1:2" x14ac:dyDescent="0.25">
      <c r="A2758" cm="1">
        <f t="array" ref="A2758">INDEX('Portfolio Weights Returns'!$B$9:$BJ$69,
INT((ROW(A2757)-1)/COLUMNS('Portfolio Weights Returns'!$B$9:$BJ$69))+1,MOD(ROW(A2757)-1,COLUMNS('Portfolio Weights Returns'!$B$9:$BJ$69))+1)</f>
        <v>-8.2454303794243756E-4</v>
      </c>
      <c r="B2758" cm="1">
        <f t="array" ref="B2758">INDEX('Portfolio Weights Std'!$B$9:$BJ$69,INT((ROW(A2757)-1)/COLUMNS('Portfolio Weights Std'!$B$9:$BJ$69))+1,MOD(ROW(A2757)-1,COLUMNS('Portfolio Weights Std'!$B$9:$BJ$69))+1)</f>
        <v>2.0798984392418531E-2</v>
      </c>
    </row>
    <row r="2759" spans="1:2" x14ac:dyDescent="0.25">
      <c r="A2759" cm="1">
        <f t="array" ref="A2759">INDEX('Portfolio Weights Returns'!$B$9:$BJ$69,
INT((ROW(A2758)-1)/COLUMNS('Portfolio Weights Returns'!$B$9:$BJ$69))+1,MOD(ROW(A2758)-1,COLUMNS('Portfolio Weights Returns'!$B$9:$BJ$69))+1)</f>
        <v>-8.1776186397575841E-4</v>
      </c>
      <c r="B2759" cm="1">
        <f t="array" ref="B2759">INDEX('Portfolio Weights Std'!$B$9:$BJ$69,INT((ROW(A2758)-1)/COLUMNS('Portfolio Weights Std'!$B$9:$BJ$69))+1,MOD(ROW(A2758)-1,COLUMNS('Portfolio Weights Std'!$B$9:$BJ$69))+1)</f>
        <v>2.0651564978302277E-2</v>
      </c>
    </row>
    <row r="2760" spans="1:2" x14ac:dyDescent="0.25">
      <c r="A2760" cm="1">
        <f t="array" ref="A2760">INDEX('Portfolio Weights Returns'!$B$9:$BJ$69,
INT((ROW(A2759)-1)/COLUMNS('Portfolio Weights Returns'!$B$9:$BJ$69))+1,MOD(ROW(A2759)-1,COLUMNS('Portfolio Weights Returns'!$B$9:$BJ$69))+1)</f>
        <v>-8.1098069000907927E-4</v>
      </c>
      <c r="B2760" cm="1">
        <f t="array" ref="B2760">INDEX('Portfolio Weights Std'!$B$9:$BJ$69,INT((ROW(A2759)-1)/COLUMNS('Portfolio Weights Std'!$B$9:$BJ$69))+1,MOD(ROW(A2759)-1,COLUMNS('Portfolio Weights Std'!$B$9:$BJ$69))+1)</f>
        <v>2.0505343845123362E-2</v>
      </c>
    </row>
    <row r="2761" spans="1:2" x14ac:dyDescent="0.25">
      <c r="A2761" cm="1">
        <f t="array" ref="A2761">INDEX('Portfolio Weights Returns'!$B$9:$BJ$69,
INT((ROW(A2760)-1)/COLUMNS('Portfolio Weights Returns'!$B$9:$BJ$69))+1,MOD(ROW(A2760)-1,COLUMNS('Portfolio Weights Returns'!$B$9:$BJ$69))+1)</f>
        <v>-8.0419951604240013E-4</v>
      </c>
      <c r="B2761" cm="1">
        <f t="array" ref="B2761">INDEX('Portfolio Weights Std'!$B$9:$BJ$69,INT((ROW(A2760)-1)/COLUMNS('Portfolio Weights Std'!$B$9:$BJ$69))+1,MOD(ROW(A2760)-1,COLUMNS('Portfolio Weights Std'!$B$9:$BJ$69))+1)</f>
        <v>2.0360346809844911E-2</v>
      </c>
    </row>
    <row r="2762" spans="1:2" x14ac:dyDescent="0.25">
      <c r="A2762" cm="1">
        <f t="array" ref="A2762">INDEX('Portfolio Weights Returns'!$B$9:$BJ$69,
INT((ROW(A2761)-1)/COLUMNS('Portfolio Weights Returns'!$B$9:$BJ$69))+1,MOD(ROW(A2761)-1,COLUMNS('Portfolio Weights Returns'!$B$9:$BJ$69))+1)</f>
        <v>-7.9741834207572098E-4</v>
      </c>
      <c r="B2762" cm="1">
        <f t="array" ref="B2762">INDEX('Portfolio Weights Std'!$B$9:$BJ$69,INT((ROW(A2761)-1)/COLUMNS('Portfolio Weights Std'!$B$9:$BJ$69))+1,MOD(ROW(A2761)-1,COLUMNS('Portfolio Weights Std'!$B$9:$BJ$69))+1)</f>
        <v>2.0216600210824547E-2</v>
      </c>
    </row>
    <row r="2763" spans="1:2" x14ac:dyDescent="0.25">
      <c r="A2763" cm="1">
        <f t="array" ref="A2763">INDEX('Portfolio Weights Returns'!$B$9:$BJ$69,
INT((ROW(A2762)-1)/COLUMNS('Portfolio Weights Returns'!$B$9:$BJ$69))+1,MOD(ROW(A2762)-1,COLUMNS('Portfolio Weights Returns'!$B$9:$BJ$69))+1)</f>
        <v>-7.9063716810904205E-4</v>
      </c>
      <c r="B2763" cm="1">
        <f t="array" ref="B2763">INDEX('Portfolio Weights Std'!$B$9:$BJ$69,INT((ROW(A2762)-1)/COLUMNS('Portfolio Weights Std'!$B$9:$BJ$69))+1,MOD(ROW(A2762)-1,COLUMNS('Portfolio Weights Std'!$B$9:$BJ$69))+1)</f>
        <v>2.0074130910407714E-2</v>
      </c>
    </row>
    <row r="2764" spans="1:2" x14ac:dyDescent="0.25">
      <c r="A2764" cm="1">
        <f t="array" ref="A2764">INDEX('Portfolio Weights Returns'!$B$9:$BJ$69,
INT((ROW(A2763)-1)/COLUMNS('Portfolio Weights Returns'!$B$9:$BJ$69))+1,MOD(ROW(A2763)-1,COLUMNS('Portfolio Weights Returns'!$B$9:$BJ$69))+1)</f>
        <v>-7.838559941423628E-4</v>
      </c>
      <c r="B2764" cm="1">
        <f t="array" ref="B2764">INDEX('Portfolio Weights Std'!$B$9:$BJ$69,INT((ROW(A2763)-1)/COLUMNS('Portfolio Weights Std'!$B$9:$BJ$69))+1,MOD(ROW(A2763)-1,COLUMNS('Portfolio Weights Std'!$B$9:$BJ$69))+1)</f>
        <v>1.993296629678552E-2</v>
      </c>
    </row>
    <row r="2765" spans="1:2" x14ac:dyDescent="0.25">
      <c r="A2765" cm="1">
        <f t="array" ref="A2765">INDEX('Portfolio Weights Returns'!$B$9:$BJ$69,
INT((ROW(A2764)-1)/COLUMNS('Portfolio Weights Returns'!$B$9:$BJ$69))+1,MOD(ROW(A2764)-1,COLUMNS('Portfolio Weights Returns'!$B$9:$BJ$69))+1)</f>
        <v>-7.7707482017568376E-4</v>
      </c>
      <c r="B2765" cm="1">
        <f t="array" ref="B2765">INDEX('Portfolio Weights Std'!$B$9:$BJ$69,INT((ROW(A2764)-1)/COLUMNS('Portfolio Weights Std'!$B$9:$BJ$69))+1,MOD(ROW(A2764)-1,COLUMNS('Portfolio Weights Std'!$B$9:$BJ$69))+1)</f>
        <v>1.9793134285052347E-2</v>
      </c>
    </row>
    <row r="2766" spans="1:2" x14ac:dyDescent="0.25">
      <c r="A2766" cm="1">
        <f t="array" ref="A2766">INDEX('Portfolio Weights Returns'!$B$9:$BJ$69,
INT((ROW(A2765)-1)/COLUMNS('Portfolio Weights Returns'!$B$9:$BJ$69))+1,MOD(ROW(A2765)-1,COLUMNS('Portfolio Weights Returns'!$B$9:$BJ$69))+1)</f>
        <v>-7.7029364620900473E-4</v>
      </c>
      <c r="B2766" cm="1">
        <f t="array" ref="B2766">INDEX('Portfolio Weights Std'!$B$9:$BJ$69,INT((ROW(A2765)-1)/COLUMNS('Portfolio Weights Std'!$B$9:$BJ$69))+1,MOD(ROW(A2765)-1,COLUMNS('Portfolio Weights Std'!$B$9:$BJ$69))+1)</f>
        <v>1.9654663317395384E-2</v>
      </c>
    </row>
    <row r="2767" spans="1:2" x14ac:dyDescent="0.25">
      <c r="A2767" cm="1">
        <f t="array" ref="A2767">INDEX('Portfolio Weights Returns'!$B$9:$BJ$69,
INT((ROW(A2766)-1)/COLUMNS('Portfolio Weights Returns'!$B$9:$BJ$69))+1,MOD(ROW(A2766)-1,COLUMNS('Portfolio Weights Returns'!$B$9:$BJ$69))+1)</f>
        <v>-7.6351247224232558E-4</v>
      </c>
      <c r="B2767" cm="1">
        <f t="array" ref="B2767">INDEX('Portfolio Weights Std'!$B$9:$BJ$69,INT((ROW(A2766)-1)/COLUMNS('Portfolio Weights Std'!$B$9:$BJ$69))+1,MOD(ROW(A2766)-1,COLUMNS('Portfolio Weights Std'!$B$9:$BJ$69))+1)</f>
        <v>1.9517582362345666E-2</v>
      </c>
    </row>
    <row r="2768" spans="1:2" x14ac:dyDescent="0.25">
      <c r="A2768" cm="1">
        <f t="array" ref="A2768">INDEX('Portfolio Weights Returns'!$B$9:$BJ$69,
INT((ROW(A2767)-1)/COLUMNS('Portfolio Weights Returns'!$B$9:$BJ$69))+1,MOD(ROW(A2767)-1,COLUMNS('Portfolio Weights Returns'!$B$9:$BJ$69))+1)</f>
        <v>-7.5673129827564655E-4</v>
      </c>
      <c r="B2768" cm="1">
        <f t="array" ref="B2768">INDEX('Portfolio Weights Std'!$B$9:$BJ$69,INT((ROW(A2767)-1)/COLUMNS('Portfolio Weights Std'!$B$9:$BJ$69))+1,MOD(ROW(A2767)-1,COLUMNS('Portfolio Weights Std'!$B$9:$BJ$69))+1)</f>
        <v>1.9381920913017148E-2</v>
      </c>
    </row>
    <row r="2769" spans="1:2" x14ac:dyDescent="0.25">
      <c r="A2769" cm="1">
        <f t="array" ref="A2769">INDEX('Portfolio Weights Returns'!$B$9:$BJ$69,
INT((ROW(A2768)-1)/COLUMNS('Portfolio Weights Returns'!$B$9:$BJ$69))+1,MOD(ROW(A2768)-1,COLUMNS('Portfolio Weights Returns'!$B$9:$BJ$69))+1)</f>
        <v>-7.499501243089674E-4</v>
      </c>
      <c r="B2769" cm="1">
        <f t="array" ref="B2769">INDEX('Portfolio Weights Std'!$B$9:$BJ$69,INT((ROW(A2768)-1)/COLUMNS('Portfolio Weights Std'!$B$9:$BJ$69))+1,MOD(ROW(A2768)-1,COLUMNS('Portfolio Weights Std'!$B$9:$BJ$69))+1)</f>
        <v>1.92477089842579E-2</v>
      </c>
    </row>
    <row r="2770" spans="1:2" x14ac:dyDescent="0.25">
      <c r="A2770" cm="1">
        <f t="array" ref="A2770">INDEX('Portfolio Weights Returns'!$B$9:$BJ$69,
INT((ROW(A2769)-1)/COLUMNS('Portfolio Weights Returns'!$B$9:$BJ$69))+1,MOD(ROW(A2769)-1,COLUMNS('Portfolio Weights Returns'!$B$9:$BJ$69))+1)</f>
        <v>-7.4316895034228837E-4</v>
      </c>
      <c r="B2770" cm="1">
        <f t="array" ref="B2770">INDEX('Portfolio Weights Std'!$B$9:$BJ$69,INT((ROW(A2769)-1)/COLUMNS('Portfolio Weights Std'!$B$9:$BJ$69))+1,MOD(ROW(A2769)-1,COLUMNS('Portfolio Weights Std'!$B$9:$BJ$69))+1)</f>
        <v>1.9114977108634971E-2</v>
      </c>
    </row>
    <row r="2771" spans="1:2" x14ac:dyDescent="0.25">
      <c r="A2771" cm="1">
        <f t="array" ref="A2771">INDEX('Portfolio Weights Returns'!$B$9:$BJ$69,
INT((ROW(A2770)-1)/COLUMNS('Portfolio Weights Returns'!$B$9:$BJ$69))+1,MOD(ROW(A2770)-1,COLUMNS('Portfolio Weights Returns'!$B$9:$BJ$69))+1)</f>
        <v>-7.3638777637560922E-4</v>
      </c>
      <c r="B2771" cm="1">
        <f t="array" ref="B2771">INDEX('Portfolio Weights Std'!$B$9:$BJ$69,INT((ROW(A2770)-1)/COLUMNS('Portfolio Weights Std'!$B$9:$BJ$69))+1,MOD(ROW(A2770)-1,COLUMNS('Portfolio Weights Std'!$B$9:$BJ$69))+1)</f>
        <v>1.8983756331172229E-2</v>
      </c>
    </row>
    <row r="2772" spans="1:2" x14ac:dyDescent="0.25">
      <c r="A2772" cm="1">
        <f t="array" ref="A2772">INDEX('Portfolio Weights Returns'!$B$9:$BJ$69,
INT((ROW(A2771)-1)/COLUMNS('Portfolio Weights Returns'!$B$9:$BJ$69))+1,MOD(ROW(A2771)-1,COLUMNS('Portfolio Weights Returns'!$B$9:$BJ$69))+1)</f>
        <v>-7.2960660240892997E-4</v>
      </c>
      <c r="B2772" cm="1">
        <f t="array" ref="B2772">INDEX('Portfolio Weights Std'!$B$9:$BJ$69,INT((ROW(A2771)-1)/COLUMNS('Portfolio Weights Std'!$B$9:$BJ$69))+1,MOD(ROW(A2771)-1,COLUMNS('Portfolio Weights Std'!$B$9:$BJ$69))+1)</f>
        <v>1.8854078202758421E-2</v>
      </c>
    </row>
    <row r="2773" spans="1:2" x14ac:dyDescent="0.25">
      <c r="A2773" cm="1">
        <f t="array" ref="A2773">INDEX('Portfolio Weights Returns'!$B$9:$BJ$69,
INT((ROW(A2772)-1)/COLUMNS('Portfolio Weights Returns'!$B$9:$BJ$69))+1,MOD(ROW(A2772)-1,COLUMNS('Portfolio Weights Returns'!$B$9:$BJ$69))+1)</f>
        <v>-7.2282542844225093E-4</v>
      </c>
      <c r="B2773" cm="1">
        <f t="array" ref="B2773">INDEX('Portfolio Weights Std'!$B$9:$BJ$69,INT((ROW(A2772)-1)/COLUMNS('Portfolio Weights Std'!$B$9:$BJ$69))+1,MOD(ROW(A2772)-1,COLUMNS('Portfolio Weights Std'!$B$9:$BJ$69))+1)</f>
        <v>1.8725974772141097E-2</v>
      </c>
    </row>
    <row r="2774" spans="1:2" x14ac:dyDescent="0.25">
      <c r="A2774" cm="1">
        <f t="array" ref="A2774">INDEX('Portfolio Weights Returns'!$B$9:$BJ$69,
INT((ROW(A2773)-1)/COLUMNS('Portfolio Weights Returns'!$B$9:$BJ$69))+1,MOD(ROW(A2773)-1,COLUMNS('Portfolio Weights Returns'!$B$9:$BJ$69))+1)</f>
        <v>-7.1604425447557179E-4</v>
      </c>
      <c r="B2774" cm="1">
        <f t="array" ref="B2774">INDEX('Portfolio Weights Std'!$B$9:$BJ$69,INT((ROW(A2773)-1)/COLUMNS('Portfolio Weights Std'!$B$9:$BJ$69))+1,MOD(ROW(A2773)-1,COLUMNS('Portfolio Weights Std'!$B$9:$BJ$69))+1)</f>
        <v>1.8599478576420501E-2</v>
      </c>
    </row>
    <row r="2775" spans="1:2" x14ac:dyDescent="0.25">
      <c r="A2775" cm="1">
        <f t="array" ref="A2775">INDEX('Portfolio Weights Returns'!$B$9:$BJ$69,
INT((ROW(A2774)-1)/COLUMNS('Portfolio Weights Returns'!$B$9:$BJ$69))+1,MOD(ROW(A2774)-1,COLUMNS('Portfolio Weights Returns'!$B$9:$BJ$69))+1)</f>
        <v>-7.0926308050889275E-4</v>
      </c>
      <c r="B2775" cm="1">
        <f t="array" ref="B2775">INDEX('Portfolio Weights Std'!$B$9:$BJ$69,INT((ROW(A2774)-1)/COLUMNS('Portfolio Weights Std'!$B$9:$BJ$69))+1,MOD(ROW(A2774)-1,COLUMNS('Portfolio Weights Std'!$B$9:$BJ$69))+1)</f>
        <v>1.8474622629956791E-2</v>
      </c>
    </row>
    <row r="2776" spans="1:2" x14ac:dyDescent="0.25">
      <c r="A2776" cm="1">
        <f t="array" ref="A2776">INDEX('Portfolio Weights Returns'!$B$9:$BJ$69,
INT((ROW(A2775)-1)/COLUMNS('Portfolio Weights Returns'!$B$9:$BJ$69))+1,MOD(ROW(A2775)-1,COLUMNS('Portfolio Weights Returns'!$B$9:$BJ$69))+1)</f>
        <v>-7.0248190654221361E-4</v>
      </c>
      <c r="B2776" cm="1">
        <f t="array" ref="B2776">INDEX('Portfolio Weights Std'!$B$9:$BJ$69,INT((ROW(A2775)-1)/COLUMNS('Portfolio Weights Std'!$B$9:$BJ$69))+1,MOD(ROW(A2775)-1,COLUMNS('Portfolio Weights Std'!$B$9:$BJ$69))+1)</f>
        <v>1.8351440411603224E-2</v>
      </c>
    </row>
    <row r="2777" spans="1:2" x14ac:dyDescent="0.25">
      <c r="A2777" cm="1">
        <f t="array" ref="A2777">INDEX('Portfolio Weights Returns'!$B$9:$BJ$69,
INT((ROW(A2776)-1)/COLUMNS('Portfolio Weights Returns'!$B$9:$BJ$69))+1,MOD(ROW(A2776)-1,COLUMNS('Portfolio Weights Returns'!$B$9:$BJ$69))+1)</f>
        <v>-6.9570073257553457E-4</v>
      </c>
      <c r="B2777" cm="1">
        <f t="array" ref="B2777">INDEX('Portfolio Weights Std'!$B$9:$BJ$69,INT((ROW(A2776)-1)/COLUMNS('Portfolio Weights Std'!$B$9:$BJ$69))+1,MOD(ROW(A2776)-1,COLUMNS('Portfolio Weights Std'!$B$9:$BJ$69))+1)</f>
        <v>1.8229965850178168E-2</v>
      </c>
    </row>
    <row r="2778" spans="1:2" x14ac:dyDescent="0.25">
      <c r="A2778" cm="1">
        <f t="array" ref="A2778">INDEX('Portfolio Weights Returns'!$B$9:$BJ$69,
INT((ROW(A2777)-1)/COLUMNS('Portfolio Weights Returns'!$B$9:$BJ$69))+1,MOD(ROW(A2777)-1,COLUMNS('Portfolio Weights Returns'!$B$9:$BJ$69))+1)</f>
        <v>-6.8891955860885532E-4</v>
      </c>
      <c r="B2778" cm="1">
        <f t="array" ref="B2778">INDEX('Portfolio Weights Std'!$B$9:$BJ$69,INT((ROW(A2777)-1)/COLUMNS('Portfolio Weights Std'!$B$9:$BJ$69))+1,MOD(ROW(A2777)-1,COLUMNS('Portfolio Weights Std'!$B$9:$BJ$69))+1)</f>
        <v>1.811023330808928E-2</v>
      </c>
    </row>
    <row r="2779" spans="1:2" x14ac:dyDescent="0.25">
      <c r="A2779" cm="1">
        <f t="array" ref="A2779">INDEX('Portfolio Weights Returns'!$B$9:$BJ$69,
INT((ROW(A2778)-1)/COLUMNS('Portfolio Weights Returns'!$B$9:$BJ$69))+1,MOD(ROW(A2778)-1,COLUMNS('Portfolio Weights Returns'!$B$9:$BJ$69))+1)</f>
        <v>-6.8213838464217628E-4</v>
      </c>
      <c r="B2779" cm="1">
        <f t="array" ref="B2779">INDEX('Portfolio Weights Std'!$B$9:$BJ$69,INT((ROW(A2778)-1)/COLUMNS('Portfolio Weights Std'!$B$9:$BJ$69))+1,MOD(ROW(A2778)-1,COLUMNS('Portfolio Weights Std'!$B$9:$BJ$69))+1)</f>
        <v>1.7992277563024548E-2</v>
      </c>
    </row>
    <row r="2780" spans="1:2" x14ac:dyDescent="0.25">
      <c r="A2780" cm="1">
        <f t="array" ref="A2780">INDEX('Portfolio Weights Returns'!$B$9:$BJ$69,
INT((ROW(A2779)-1)/COLUMNS('Portfolio Weights Returns'!$B$9:$BJ$69))+1,MOD(ROW(A2779)-1,COLUMNS('Portfolio Weights Returns'!$B$9:$BJ$69))+1)</f>
        <v>-6.7535721067549714E-4</v>
      </c>
      <c r="B2780" cm="1">
        <f t="array" ref="B2780">INDEX('Portfolio Weights Std'!$B$9:$BJ$69,INT((ROW(A2779)-1)/COLUMNS('Portfolio Weights Std'!$B$9:$BJ$69))+1,MOD(ROW(A2779)-1,COLUMNS('Portfolio Weights Std'!$B$9:$BJ$69))+1)</f>
        <v>1.7876133787626803E-2</v>
      </c>
    </row>
    <row r="2781" spans="1:2" x14ac:dyDescent="0.25">
      <c r="A2781" cm="1">
        <f t="array" ref="A2781">INDEX('Portfolio Weights Returns'!$B$9:$BJ$69,
INT((ROW(A2780)-1)/COLUMNS('Portfolio Weights Returns'!$B$9:$BJ$69))+1,MOD(ROW(A2780)-1,COLUMNS('Portfolio Weights Returns'!$B$9:$BJ$69))+1)</f>
        <v>-6.68576036708818E-4</v>
      </c>
      <c r="B2781" cm="1">
        <f t="array" ref="B2781">INDEX('Portfolio Weights Std'!$B$9:$BJ$69,INT((ROW(A2780)-1)/COLUMNS('Portfolio Weights Std'!$B$9:$BJ$69))+1,MOD(ROW(A2780)-1,COLUMNS('Portfolio Weights Std'!$B$9:$BJ$69))+1)</f>
        <v>1.7761837527071195E-2</v>
      </c>
    </row>
    <row r="2782" spans="1:2" x14ac:dyDescent="0.25">
      <c r="A2782" cm="1">
        <f t="array" ref="A2782">INDEX('Portfolio Weights Returns'!$B$9:$BJ$69,
INT((ROW(A2781)-1)/COLUMNS('Portfolio Weights Returns'!$B$9:$BJ$69))+1,MOD(ROW(A2781)-1,COLUMNS('Portfolio Weights Returns'!$B$9:$BJ$69))+1)</f>
        <v>-6.6179486274213896E-4</v>
      </c>
      <c r="B2782" cm="1">
        <f t="array" ref="B2782">INDEX('Portfolio Weights Std'!$B$9:$BJ$69,INT((ROW(A2781)-1)/COLUMNS('Portfolio Weights Std'!$B$9:$BJ$69))+1,MOD(ROW(A2781)-1,COLUMNS('Portfolio Weights Std'!$B$9:$BJ$69))+1)</f>
        <v>1.7649424674468641E-2</v>
      </c>
    </row>
    <row r="2783" spans="1:2" x14ac:dyDescent="0.25">
      <c r="A2783" cm="1">
        <f t="array" ref="A2783">INDEX('Portfolio Weights Returns'!$B$9:$BJ$69,
INT((ROW(A2782)-1)/COLUMNS('Portfolio Weights Returns'!$B$9:$BJ$69))+1,MOD(ROW(A2782)-1,COLUMNS('Portfolio Weights Returns'!$B$9:$BJ$69))+1)</f>
        <v>-6.5501368877545982E-4</v>
      </c>
      <c r="B2783" cm="1">
        <f t="array" ref="B2783">INDEX('Portfolio Weights Std'!$B$9:$BJ$69,INT((ROW(A2782)-1)/COLUMNS('Portfolio Weights Std'!$B$9:$BJ$69))+1,MOD(ROW(A2782)-1,COLUMNS('Portfolio Weights Std'!$B$9:$BJ$69))+1)</f>
        <v>1.753893144402293E-2</v>
      </c>
    </row>
    <row r="2784" spans="1:2" x14ac:dyDescent="0.25">
      <c r="A2784" cm="1">
        <f t="array" ref="A2784">INDEX('Portfolio Weights Returns'!$B$9:$BJ$69,
INT((ROW(A2783)-1)/COLUMNS('Portfolio Weights Returns'!$B$9:$BJ$69))+1,MOD(ROW(A2783)-1,COLUMNS('Portfolio Weights Returns'!$B$9:$BJ$69))+1)</f>
        <v>-6.4823251480878078E-4</v>
      </c>
      <c r="B2784" cm="1">
        <f t="array" ref="B2784">INDEX('Portfolio Weights Std'!$B$9:$BJ$69,INT((ROW(A2783)-1)/COLUMNS('Portfolio Weights Std'!$B$9:$BJ$69))+1,MOD(ROW(A2783)-1,COLUMNS('Portfolio Weights Std'!$B$9:$BJ$69))+1)</f>
        <v>1.7430394341874659E-2</v>
      </c>
    </row>
    <row r="2785" spans="1:2" x14ac:dyDescent="0.25">
      <c r="A2785" cm="1">
        <f t="array" ref="A2785">INDEX('Portfolio Weights Returns'!$B$9:$BJ$69,
INT((ROW(A2784)-1)/COLUMNS('Portfolio Weights Returns'!$B$9:$BJ$69))+1,MOD(ROW(A2784)-1,COLUMNS('Portfolio Weights Returns'!$B$9:$BJ$69))+1)</f>
        <v>-6.4145134084210164E-4</v>
      </c>
      <c r="B2785" cm="1">
        <f t="array" ref="B2785">INDEX('Portfolio Weights Std'!$B$9:$BJ$69,INT((ROW(A2784)-1)/COLUMNS('Portfolio Weights Std'!$B$9:$BJ$69))+1,MOD(ROW(A2784)-1,COLUMNS('Portfolio Weights Std'!$B$9:$BJ$69))+1)</f>
        <v>1.7323850134571758E-2</v>
      </c>
    </row>
    <row r="2786" spans="1:2" x14ac:dyDescent="0.25">
      <c r="A2786" cm="1">
        <f t="array" ref="A2786">INDEX('Portfolio Weights Returns'!$B$9:$BJ$69,
INT((ROW(A2785)-1)/COLUMNS('Portfolio Weights Returns'!$B$9:$BJ$69))+1,MOD(ROW(A2785)-1,COLUMNS('Portfolio Weights Returns'!$B$9:$BJ$69))+1)</f>
        <v>-6.346701668754226E-4</v>
      </c>
      <c r="B2786" cm="1">
        <f t="array" ref="B2786">INDEX('Portfolio Weights Std'!$B$9:$BJ$69,INT((ROW(A2785)-1)/COLUMNS('Portfolio Weights Std'!$B$9:$BJ$69))+1,MOD(ROW(A2785)-1,COLUMNS('Portfolio Weights Std'!$B$9:$BJ$69))+1)</f>
        <v>1.7219335815114169E-2</v>
      </c>
    </row>
    <row r="2787" spans="1:2" x14ac:dyDescent="0.25">
      <c r="A2787" cm="1">
        <f t="array" ref="A2787">INDEX('Portfolio Weights Returns'!$B$9:$BJ$69,
INT((ROW(A2786)-1)/COLUMNS('Portfolio Weights Returns'!$B$9:$BJ$69))+1,MOD(ROW(A2786)-1,COLUMNS('Portfolio Weights Returns'!$B$9:$BJ$69))+1)</f>
        <v>-6.2788899290874345E-4</v>
      </c>
      <c r="B2787" cm="1">
        <f t="array" ref="B2787">INDEX('Portfolio Weights Std'!$B$9:$BJ$69,INT((ROW(A2786)-1)/COLUMNS('Portfolio Weights Std'!$B$9:$BJ$69))+1,MOD(ROW(A2786)-1,COLUMNS('Portfolio Weights Std'!$B$9:$BJ$69))+1)</f>
        <v>1.7116888566528994E-2</v>
      </c>
    </row>
    <row r="2788" spans="1:2" x14ac:dyDescent="0.25">
      <c r="A2788" cm="1">
        <f t="array" ref="A2788">INDEX('Portfolio Weights Returns'!$B$9:$BJ$69,
INT((ROW(A2787)-1)/COLUMNS('Portfolio Weights Returns'!$B$9:$BJ$69))+1,MOD(ROW(A2787)-1,COLUMNS('Portfolio Weights Returns'!$B$9:$BJ$69))+1)</f>
        <v>-6.2110781894206442E-4</v>
      </c>
      <c r="B2788" cm="1">
        <f t="array" ref="B2788">INDEX('Portfolio Weights Std'!$B$9:$BJ$69,INT((ROW(A2787)-1)/COLUMNS('Portfolio Weights Std'!$B$9:$BJ$69))+1,MOD(ROW(A2787)-1,COLUMNS('Portfolio Weights Std'!$B$9:$BJ$69))+1)</f>
        <v>1.7016545722942557E-2</v>
      </c>
    </row>
    <row r="2789" spans="1:2" x14ac:dyDescent="0.25">
      <c r="A2789" cm="1">
        <f t="array" ref="A2789">INDEX('Portfolio Weights Returns'!$B$9:$BJ$69,
INT((ROW(A2788)-1)/COLUMNS('Portfolio Weights Returns'!$B$9:$BJ$69))+1,MOD(ROW(A2788)-1,COLUMNS('Portfolio Weights Returns'!$B$9:$BJ$69))+1)</f>
        <v>-6.1432664497538527E-4</v>
      </c>
      <c r="B2789" cm="1">
        <f t="array" ref="B2789">INDEX('Portfolio Weights Std'!$B$9:$BJ$69,INT((ROW(A2788)-1)/COLUMNS('Portfolio Weights Std'!$B$9:$BJ$69))+1,MOD(ROW(A2788)-1,COLUMNS('Portfolio Weights Std'!$B$9:$BJ$69))+1)</f>
        <v>1.6918344728127043E-2</v>
      </c>
    </row>
    <row r="2790" spans="1:2" x14ac:dyDescent="0.25">
      <c r="A2790" cm="1">
        <f t="array" ref="A2790">INDEX('Portfolio Weights Returns'!$B$9:$BJ$69,
INT((ROW(A2789)-1)/COLUMNS('Portfolio Weights Returns'!$B$9:$BJ$69))+1,MOD(ROW(A2789)-1,COLUMNS('Portfolio Weights Returns'!$B$9:$BJ$69))+1)</f>
        <v>-6.0754547100870613E-4</v>
      </c>
      <c r="B2790" cm="1">
        <f t="array" ref="B2790">INDEX('Portfolio Weights Std'!$B$9:$BJ$69,INT((ROW(A2789)-1)/COLUMNS('Portfolio Weights Std'!$B$9:$BJ$69))+1,MOD(ROW(A2789)-1,COLUMNS('Portfolio Weights Std'!$B$9:$BJ$69))+1)</f>
        <v>1.6822323091512048E-2</v>
      </c>
    </row>
    <row r="2791" spans="1:2" x14ac:dyDescent="0.25">
      <c r="A2791" cm="1">
        <f t="array" ref="A2791">INDEX('Portfolio Weights Returns'!$B$9:$BJ$69,
INT((ROW(A2790)-1)/COLUMNS('Portfolio Weights Returns'!$B$9:$BJ$69))+1,MOD(ROW(A2790)-1,COLUMNS('Portfolio Weights Returns'!$B$9:$BJ$69))+1)</f>
        <v>-6.0076429704202699E-4</v>
      </c>
      <c r="B2791" cm="1">
        <f t="array" ref="B2791">INDEX('Portfolio Weights Std'!$B$9:$BJ$69,INT((ROW(A2790)-1)/COLUMNS('Portfolio Weights Std'!$B$9:$BJ$69))+1,MOD(ROW(A2790)-1,COLUMNS('Portfolio Weights Std'!$B$9:$BJ$69))+1)</f>
        <v>1.6728518341664955E-2</v>
      </c>
    </row>
    <row r="2792" spans="1:2" x14ac:dyDescent="0.25">
      <c r="A2792" cm="1">
        <f t="array" ref="A2792">INDEX('Portfolio Weights Returns'!$B$9:$BJ$69,
INT((ROW(A2791)-1)/COLUMNS('Portfolio Weights Returns'!$B$9:$BJ$69))+1,MOD(ROW(A2791)-1,COLUMNS('Portfolio Weights Returns'!$B$9:$BJ$69))+1)</f>
        <v>-5.9398312307534784E-4</v>
      </c>
      <c r="B2792" cm="1">
        <f t="array" ref="B2792">INDEX('Portfolio Weights Std'!$B$9:$BJ$69,INT((ROW(A2791)-1)/COLUMNS('Portfolio Weights Std'!$B$9:$BJ$69))+1,MOD(ROW(A2791)-1,COLUMNS('Portfolio Weights Std'!$B$9:$BJ$69))+1)</f>
        <v>1.66369679772592E-2</v>
      </c>
    </row>
    <row r="2793" spans="1:2" x14ac:dyDescent="0.25">
      <c r="A2793" cm="1">
        <f t="array" ref="A2793">INDEX('Portfolio Weights Returns'!$B$9:$BJ$69,
INT((ROW(A2792)-1)/COLUMNS('Portfolio Weights Returns'!$B$9:$BJ$69))+1,MOD(ROW(A2792)-1,COLUMNS('Portfolio Weights Returns'!$B$9:$BJ$69))+1)</f>
        <v>-5.872019491086688E-4</v>
      </c>
      <c r="B2793" cm="1">
        <f t="array" ref="B2793">INDEX('Portfolio Weights Std'!$B$9:$BJ$69,INT((ROW(A2792)-1)/COLUMNS('Portfolio Weights Std'!$B$9:$BJ$69))+1,MOD(ROW(A2792)-1,COLUMNS('Portfolio Weights Std'!$B$9:$BJ$69))+1)</f>
        <v>1.6547709415565687E-2</v>
      </c>
    </row>
    <row r="2794" spans="1:2" x14ac:dyDescent="0.25">
      <c r="A2794" cm="1">
        <f t="array" ref="A2794">INDEX('Portfolio Weights Returns'!$B$9:$BJ$69,
INT((ROW(A2793)-1)/COLUMNS('Portfolio Weights Returns'!$B$9:$BJ$69))+1,MOD(ROW(A2793)-1,COLUMNS('Portfolio Weights Returns'!$B$9:$BJ$69))+1)</f>
        <v>-5.8042077514198966E-4</v>
      </c>
      <c r="B2794" cm="1">
        <f t="array" ref="B2794">INDEX('Portfolio Weights Std'!$B$9:$BJ$69,INT((ROW(A2793)-1)/COLUMNS('Portfolio Weights Std'!$B$9:$BJ$69))+1,MOD(ROW(A2793)-1,COLUMNS('Portfolio Weights Std'!$B$9:$BJ$69))+1)</f>
        <v>1.6460779938519934E-2</v>
      </c>
    </row>
    <row r="2795" spans="1:2" x14ac:dyDescent="0.25">
      <c r="A2795" cm="1">
        <f t="array" ref="A2795">INDEX('Portfolio Weights Returns'!$B$9:$BJ$69,
INT((ROW(A2794)-1)/COLUMNS('Portfolio Weights Returns'!$B$9:$BJ$69))+1,MOD(ROW(A2794)-1,COLUMNS('Portfolio Weights Returns'!$B$9:$BJ$69))+1)</f>
        <v>-5.7363960117531073E-4</v>
      </c>
      <c r="B2795" cm="1">
        <f t="array" ref="B2795">INDEX('Portfolio Weights Std'!$B$9:$BJ$69,INT((ROW(A2794)-1)/COLUMNS('Portfolio Weights Std'!$B$9:$BJ$69))+1,MOD(ROW(A2794)-1,COLUMNS('Portfolio Weights Std'!$B$9:$BJ$69))+1)</f>
        <v>1.6376216636436066E-2</v>
      </c>
    </row>
    <row r="2796" spans="1:2" x14ac:dyDescent="0.25">
      <c r="A2796" cm="1">
        <f t="array" ref="A2796">INDEX('Portfolio Weights Returns'!$B$9:$BJ$69,
INT((ROW(A2795)-1)/COLUMNS('Portfolio Weights Returns'!$B$9:$BJ$69))+1,MOD(ROW(A2795)-1,COLUMNS('Portfolio Weights Returns'!$B$9:$BJ$69))+1)</f>
        <v>-5.6685842720863159E-4</v>
      </c>
      <c r="B2796" cm="1">
        <f t="array" ref="B2796">INDEX('Portfolio Weights Std'!$B$9:$BJ$69,INT((ROW(A2795)-1)/COLUMNS('Portfolio Weights Std'!$B$9:$BJ$69))+1,MOD(ROW(A2795)-1,COLUMNS('Portfolio Weights Std'!$B$9:$BJ$69))+1)</f>
        <v>1.6294056349458116E-2</v>
      </c>
    </row>
    <row r="2797" spans="1:2" x14ac:dyDescent="0.25">
      <c r="A2797" cm="1">
        <f t="array" ref="A2797">INDEX('Portfolio Weights Returns'!$B$9:$BJ$69,
INT((ROW(A2796)-1)/COLUMNS('Portfolio Weights Returns'!$B$9:$BJ$69))+1,MOD(ROW(A2796)-1,COLUMNS('Portfolio Weights Returns'!$B$9:$BJ$69))+1)</f>
        <v>-5.6007725324195244E-4</v>
      </c>
      <c r="B2797" cm="1">
        <f t="array" ref="B2797">INDEX('Portfolio Weights Std'!$B$9:$BJ$69,INT((ROW(A2796)-1)/COLUMNS('Portfolio Weights Std'!$B$9:$BJ$69))+1,MOD(ROW(A2796)-1,COLUMNS('Portfolio Weights Std'!$B$9:$BJ$69))+1)</f>
        <v>1.6214335606859545E-2</v>
      </c>
    </row>
    <row r="2798" spans="1:2" x14ac:dyDescent="0.25">
      <c r="A2798" cm="1">
        <f t="array" ref="A2798">INDEX('Portfolio Weights Returns'!$B$9:$BJ$69,
INT((ROW(A2797)-1)/COLUMNS('Portfolio Weights Returns'!$B$9:$BJ$69))+1,MOD(ROW(A2797)-1,COLUMNS('Portfolio Weights Returns'!$B$9:$BJ$69))+1)</f>
        <v>-5.532960792752733E-4</v>
      </c>
      <c r="B2798" cm="1">
        <f t="array" ref="B2798">INDEX('Portfolio Weights Std'!$B$9:$BJ$69,INT((ROW(A2797)-1)/COLUMNS('Portfolio Weights Std'!$B$9:$BJ$69))+1,MOD(ROW(A2797)-1,COLUMNS('Portfolio Weights Std'!$B$9:$BJ$69))+1)</f>
        <v>1.6137090564322804E-2</v>
      </c>
    </row>
    <row r="2799" spans="1:2" x14ac:dyDescent="0.25">
      <c r="A2799" cm="1">
        <f t="array" ref="A2799">INDEX('Portfolio Weights Returns'!$B$9:$BJ$69,
INT((ROW(A2798)-1)/COLUMNS('Portfolio Weights Returns'!$B$9:$BJ$69))+1,MOD(ROW(A2798)-1,COLUMNS('Portfolio Weights Returns'!$B$9:$BJ$69))+1)</f>
        <v>-5.4651490530859426E-4</v>
      </c>
      <c r="B2799" cm="1">
        <f t="array" ref="B2799">INDEX('Portfolio Weights Std'!$B$9:$BJ$69,INT((ROW(A2798)-1)/COLUMNS('Portfolio Weights Std'!$B$9:$BJ$69))+1,MOD(ROW(A2798)-1,COLUMNS('Portfolio Weights Std'!$B$9:$BJ$69))+1)</f>
        <v>1.6062356939352485E-2</v>
      </c>
    </row>
    <row r="2800" spans="1:2" x14ac:dyDescent="0.25">
      <c r="A2800" cm="1">
        <f t="array" ref="A2800">INDEX('Portfolio Weights Returns'!$B$9:$BJ$69,
INT((ROW(A2799)-1)/COLUMNS('Portfolio Weights Returns'!$B$9:$BJ$69))+1,MOD(ROW(A2799)-1,COLUMNS('Portfolio Weights Returns'!$B$9:$BJ$69))+1)</f>
        <v>-5.3973373134191512E-4</v>
      </c>
      <c r="B2800" cm="1">
        <f t="array" ref="B2800">INDEX('Portfolio Weights Std'!$B$9:$BJ$69,INT((ROW(A2799)-1)/COLUMNS('Portfolio Weights Std'!$B$9:$BJ$69))+1,MOD(ROW(A2799)-1,COLUMNS('Portfolio Weights Std'!$B$9:$BJ$69))+1)</f>
        <v>1.5990169944997447E-2</v>
      </c>
    </row>
    <row r="2801" spans="1:2" x14ac:dyDescent="0.25">
      <c r="A2801" cm="1">
        <f t="array" ref="A2801">INDEX('Portfolio Weights Returns'!$B$9:$BJ$69,
INT((ROW(A2800)-1)/COLUMNS('Portfolio Weights Returns'!$B$9:$BJ$69))+1,MOD(ROW(A2800)-1,COLUMNS('Portfolio Weights Returns'!$B$9:$BJ$69))+1)</f>
        <v>-5.3295255737523597E-4</v>
      </c>
      <c r="B2801" cm="1">
        <f t="array" ref="B2801">INDEX('Portfolio Weights Std'!$B$9:$BJ$69,INT((ROW(A2800)-1)/COLUMNS('Portfolio Weights Std'!$B$9:$BJ$69))+1,MOD(ROW(A2800)-1,COLUMNS('Portfolio Weights Std'!$B$9:$BJ$69))+1)</f>
        <v>1.5920564222079575E-2</v>
      </c>
    </row>
    <row r="2802" spans="1:2" x14ac:dyDescent="0.25">
      <c r="A2802" cm="1">
        <f t="array" ref="A2802">INDEX('Portfolio Weights Returns'!$B$9:$BJ$69,
INT((ROW(A2801)-1)/COLUMNS('Portfolio Weights Returns'!$B$9:$BJ$69))+1,MOD(ROW(A2801)-1,COLUMNS('Portfolio Weights Returns'!$B$9:$BJ$69))+1)</f>
        <v>-5.2617138340855683E-4</v>
      </c>
      <c r="B2802" cm="1">
        <f t="array" ref="B2802">INDEX('Portfolio Weights Std'!$B$9:$BJ$69,INT((ROW(A2801)-1)/COLUMNS('Portfolio Weights Std'!$B$9:$BJ$69))+1,MOD(ROW(A2801)-1,COLUMNS('Portfolio Weights Std'!$B$9:$BJ$69))+1)</f>
        <v>1.5853573770148698E-2</v>
      </c>
    </row>
    <row r="2803" spans="1:2" x14ac:dyDescent="0.25">
      <c r="A2803" cm="1">
        <f t="array" ref="A2803">INDEX('Portfolio Weights Returns'!$B$9:$BJ$69,
INT((ROW(A2802)-1)/COLUMNS('Portfolio Weights Returns'!$B$9:$BJ$69))+1,MOD(ROW(A2802)-1,COLUMNS('Portfolio Weights Returns'!$B$9:$BJ$69))+1)</f>
        <v>-5.1939020944187779E-4</v>
      </c>
      <c r="B2803" cm="1">
        <f t="array" ref="B2803">INDEX('Portfolio Weights Std'!$B$9:$BJ$69,INT((ROW(A2802)-1)/COLUMNS('Portfolio Weights Std'!$B$9:$BJ$69))+1,MOD(ROW(A2802)-1,COLUMNS('Portfolio Weights Std'!$B$9:$BJ$69))+1)</f>
        <v>1.5789231877404906E-2</v>
      </c>
    </row>
    <row r="2804" spans="1:2" x14ac:dyDescent="0.25">
      <c r="A2804" cm="1">
        <f t="array" ref="A2804">INDEX('Portfolio Weights Returns'!$B$9:$BJ$69,
INT((ROW(A2803)-1)/COLUMNS('Portfolio Weights Returns'!$B$9:$BJ$69))+1,MOD(ROW(A2803)-1,COLUMNS('Portfolio Weights Returns'!$B$9:$BJ$69))+1)</f>
        <v>-5.12609035475198E-4</v>
      </c>
      <c r="B2804" cm="1">
        <f t="array" ref="B2804">INDEX('Portfolio Weights Std'!$B$9:$BJ$69,INT((ROW(A2803)-1)/COLUMNS('Portfolio Weights Std'!$B$9:$BJ$69))+1,MOD(ROW(A2803)-1,COLUMNS('Portfolio Weights Std'!$B$9:$BJ$69))+1)</f>
        <v>1.572757104985056E-2</v>
      </c>
    </row>
    <row r="2805" spans="1:2" x14ac:dyDescent="0.25">
      <c r="A2805" cm="1">
        <f t="array" ref="A2805">INDEX('Portfolio Weights Returns'!$B$9:$BJ$69,
INT((ROW(A2804)-1)/COLUMNS('Portfolio Weights Returns'!$B$9:$BJ$69))+1,MOD(ROW(A2804)-1,COLUMNS('Portfolio Weights Returns'!$B$9:$BJ$69))+1)</f>
        <v>-5.0582786150851885E-4</v>
      </c>
      <c r="B2805" cm="1">
        <f t="array" ref="B2805">INDEX('Portfolio Weights Std'!$B$9:$BJ$69,INT((ROW(A2804)-1)/COLUMNS('Portfolio Weights Std'!$B$9:$BJ$69))+1,MOD(ROW(A2804)-1,COLUMNS('Portfolio Weights Std'!$B$9:$BJ$69))+1)</f>
        <v>1.5668622939954295E-2</v>
      </c>
    </row>
    <row r="2806" spans="1:2" x14ac:dyDescent="0.25">
      <c r="A2806" cm="1">
        <f t="array" ref="A2806">INDEX('Portfolio Weights Returns'!$B$9:$BJ$69,
INT((ROW(A2805)-1)/COLUMNS('Portfolio Weights Returns'!$B$9:$BJ$69))+1,MOD(ROW(A2805)-1,COLUMNS('Portfolio Weights Returns'!$B$9:$BJ$69))+1)</f>
        <v>-4.9904668754183982E-4</v>
      </c>
      <c r="B2806" cm="1">
        <f t="array" ref="B2806">INDEX('Portfolio Weights Std'!$B$9:$BJ$69,INT((ROW(A2805)-1)/COLUMNS('Portfolio Weights Std'!$B$9:$BJ$69))+1,MOD(ROW(A2805)-1,COLUMNS('Portfolio Weights Std'!$B$9:$BJ$69))+1)</f>
        <v>1.5612418275128048E-2</v>
      </c>
    </row>
    <row r="2807" spans="1:2" x14ac:dyDescent="0.25">
      <c r="A2807" cm="1">
        <f t="array" ref="A2807">INDEX('Portfolio Weights Returns'!$B$9:$BJ$69,
INT((ROW(A2806)-1)/COLUMNS('Portfolio Weights Returns'!$B$9:$BJ$69))+1,MOD(ROW(A2806)-1,COLUMNS('Portfolio Weights Returns'!$B$9:$BJ$69))+1)</f>
        <v>-4.9226551357516078E-4</v>
      </c>
      <c r="B2807" cm="1">
        <f t="array" ref="B2807">INDEX('Portfolio Weights Std'!$B$9:$BJ$69,INT((ROW(A2806)-1)/COLUMNS('Portfolio Weights Std'!$B$9:$BJ$69))+1,MOD(ROW(A2806)-1,COLUMNS('Portfolio Weights Std'!$B$9:$BJ$69))+1)</f>
        <v>1.5558986786335686E-2</v>
      </c>
    </row>
    <row r="2808" spans="1:2" x14ac:dyDescent="0.25">
      <c r="A2808" cm="1">
        <f t="array" ref="A2808">INDEX('Portfolio Weights Returns'!$B$9:$BJ$69,
INT((ROW(A2807)-1)/COLUMNS('Portfolio Weights Returns'!$B$9:$BJ$69))+1,MOD(ROW(A2807)-1,COLUMNS('Portfolio Weights Returns'!$B$9:$BJ$69))+1)</f>
        <v>-8.925617437304526E-4</v>
      </c>
      <c r="B2808" cm="1">
        <f t="array" ref="B2808">INDEX('Portfolio Weights Std'!$B$9:$BJ$69,INT((ROW(A2807)-1)/COLUMNS('Portfolio Weights Std'!$B$9:$BJ$69))+1,MOD(ROW(A2807)-1,COLUMNS('Portfolio Weights Std'!$B$9:$BJ$69))+1)</f>
        <v>2.2443041502066503E-2</v>
      </c>
    </row>
    <row r="2809" spans="1:2" x14ac:dyDescent="0.25">
      <c r="A2809" cm="1">
        <f t="array" ref="A2809">INDEX('Portfolio Weights Returns'!$B$9:$BJ$69,
INT((ROW(A2808)-1)/COLUMNS('Portfolio Weights Returns'!$B$9:$BJ$69))+1,MOD(ROW(A2808)-1,COLUMNS('Portfolio Weights Returns'!$B$9:$BJ$69))+1)</f>
        <v>-8.8578056976377345E-4</v>
      </c>
      <c r="B2809" cm="1">
        <f t="array" ref="B2809">INDEX('Portfolio Weights Std'!$B$9:$BJ$69,INT((ROW(A2808)-1)/COLUMNS('Portfolio Weights Std'!$B$9:$BJ$69))+1,MOD(ROW(A2808)-1,COLUMNS('Portfolio Weights Std'!$B$9:$BJ$69))+1)</f>
        <v>2.2285354392587546E-2</v>
      </c>
    </row>
    <row r="2810" spans="1:2" x14ac:dyDescent="0.25">
      <c r="A2810" cm="1">
        <f t="array" ref="A2810">INDEX('Portfolio Weights Returns'!$B$9:$BJ$69,
INT((ROW(A2809)-1)/COLUMNS('Portfolio Weights Returns'!$B$9:$BJ$69))+1,MOD(ROW(A2809)-1,COLUMNS('Portfolio Weights Returns'!$B$9:$BJ$69))+1)</f>
        <v>-8.7899939579709431E-4</v>
      </c>
      <c r="B2810" cm="1">
        <f t="array" ref="B2810">INDEX('Portfolio Weights Std'!$B$9:$BJ$69,INT((ROW(A2809)-1)/COLUMNS('Portfolio Weights Std'!$B$9:$BJ$69))+1,MOD(ROW(A2809)-1,COLUMNS('Portfolio Weights Std'!$B$9:$BJ$69))+1)</f>
        <v>2.2128636080872413E-2</v>
      </c>
    </row>
    <row r="2811" spans="1:2" x14ac:dyDescent="0.25">
      <c r="A2811" cm="1">
        <f t="array" ref="A2811">INDEX('Portfolio Weights Returns'!$B$9:$BJ$69,
INT((ROW(A2810)-1)/COLUMNS('Portfolio Weights Returns'!$B$9:$BJ$69))+1,MOD(ROW(A2810)-1,COLUMNS('Portfolio Weights Returns'!$B$9:$BJ$69))+1)</f>
        <v>-8.7221822183041527E-4</v>
      </c>
      <c r="B2811" cm="1">
        <f t="array" ref="B2811">INDEX('Portfolio Weights Std'!$B$9:$BJ$69,INT((ROW(A2810)-1)/COLUMNS('Portfolio Weights Std'!$B$9:$BJ$69))+1,MOD(ROW(A2810)-1,COLUMNS('Portfolio Weights Std'!$B$9:$BJ$69))+1)</f>
        <v>2.1972907296324756E-2</v>
      </c>
    </row>
    <row r="2812" spans="1:2" x14ac:dyDescent="0.25">
      <c r="A2812" cm="1">
        <f t="array" ref="A2812">INDEX('Portfolio Weights Returns'!$B$9:$BJ$69,
INT((ROW(A2811)-1)/COLUMNS('Portfolio Weights Returns'!$B$9:$BJ$69))+1,MOD(ROW(A2811)-1,COLUMNS('Portfolio Weights Returns'!$B$9:$BJ$69))+1)</f>
        <v>-8.6543704786373602E-4</v>
      </c>
      <c r="B2812" cm="1">
        <f t="array" ref="B2812">INDEX('Portfolio Weights Std'!$B$9:$BJ$69,INT((ROW(A2811)-1)/COLUMNS('Portfolio Weights Std'!$B$9:$BJ$69))+1,MOD(ROW(A2811)-1,COLUMNS('Portfolio Weights Std'!$B$9:$BJ$69))+1)</f>
        <v>2.1818189227403847E-2</v>
      </c>
    </row>
    <row r="2813" spans="1:2" x14ac:dyDescent="0.25">
      <c r="A2813" cm="1">
        <f t="array" ref="A2813">INDEX('Portfolio Weights Returns'!$B$9:$BJ$69,
INT((ROW(A2812)-1)/COLUMNS('Portfolio Weights Returns'!$B$9:$BJ$69))+1,MOD(ROW(A2812)-1,COLUMNS('Portfolio Weights Returns'!$B$9:$BJ$69))+1)</f>
        <v>-8.5865587389705698E-4</v>
      </c>
      <c r="B2813" cm="1">
        <f t="array" ref="B2813">INDEX('Portfolio Weights Std'!$B$9:$BJ$69,INT((ROW(A2812)-1)/COLUMNS('Portfolio Weights Std'!$B$9:$BJ$69))+1,MOD(ROW(A2812)-1,COLUMNS('Portfolio Weights Std'!$B$9:$BJ$69))+1)</f>
        <v>2.1664503528339769E-2</v>
      </c>
    </row>
    <row r="2814" spans="1:2" x14ac:dyDescent="0.25">
      <c r="A2814" cm="1">
        <f t="array" ref="A2814">INDEX('Portfolio Weights Returns'!$B$9:$BJ$69,
INT((ROW(A2813)-1)/COLUMNS('Portfolio Weights Returns'!$B$9:$BJ$69))+1,MOD(ROW(A2813)-1,COLUMNS('Portfolio Weights Returns'!$B$9:$BJ$69))+1)</f>
        <v>-8.5187469993037784E-4</v>
      </c>
      <c r="B2814" cm="1">
        <f t="array" ref="B2814">INDEX('Portfolio Weights Std'!$B$9:$BJ$69,INT((ROW(A2813)-1)/COLUMNS('Portfolio Weights Std'!$B$9:$BJ$69))+1,MOD(ROW(A2813)-1,COLUMNS('Portfolio Weights Std'!$B$9:$BJ$69))+1)</f>
        <v>2.1511872325597734E-2</v>
      </c>
    </row>
    <row r="2815" spans="1:2" x14ac:dyDescent="0.25">
      <c r="A2815" cm="1">
        <f t="array" ref="A2815">INDEX('Portfolio Weights Returns'!$B$9:$BJ$69,
INT((ROW(A2814)-1)/COLUMNS('Portfolio Weights Returns'!$B$9:$BJ$69))+1,MOD(ROW(A2814)-1,COLUMNS('Portfolio Weights Returns'!$B$9:$BJ$69))+1)</f>
        <v>-8.450935259636988E-4</v>
      </c>
      <c r="B2815" cm="1">
        <f t="array" ref="B2815">INDEX('Portfolio Weights Std'!$B$9:$BJ$69,INT((ROW(A2814)-1)/COLUMNS('Portfolio Weights Std'!$B$9:$BJ$69))+1,MOD(ROW(A2814)-1,COLUMNS('Portfolio Weights Std'!$B$9:$BJ$69))+1)</f>
        <v>2.1360318224055434E-2</v>
      </c>
    </row>
    <row r="2816" spans="1:2" x14ac:dyDescent="0.25">
      <c r="A2816" cm="1">
        <f t="array" ref="A2816">INDEX('Portfolio Weights Returns'!$B$9:$BJ$69,
INT((ROW(A2815)-1)/COLUMNS('Portfolio Weights Returns'!$B$9:$BJ$69))+1,MOD(ROW(A2815)-1,COLUMNS('Portfolio Weights Returns'!$B$9:$BJ$69))+1)</f>
        <v>-8.3831235199701966E-4</v>
      </c>
      <c r="B2816" cm="1">
        <f t="array" ref="B2816">INDEX('Portfolio Weights Std'!$B$9:$BJ$69,INT((ROW(A2815)-1)/COLUMNS('Portfolio Weights Std'!$B$9:$BJ$69))+1,MOD(ROW(A2815)-1,COLUMNS('Portfolio Weights Std'!$B$9:$BJ$69))+1)</f>
        <v>2.1209864312855417E-2</v>
      </c>
    </row>
    <row r="2817" spans="1:2" x14ac:dyDescent="0.25">
      <c r="A2817" cm="1">
        <f t="array" ref="A2817">INDEX('Portfolio Weights Returns'!$B$9:$BJ$69,
INT((ROW(A2816)-1)/COLUMNS('Portfolio Weights Returns'!$B$9:$BJ$69))+1,MOD(ROW(A2816)-1,COLUMNS('Portfolio Weights Returns'!$B$9:$BJ$69))+1)</f>
        <v>-8.3153117803034062E-4</v>
      </c>
      <c r="B2817" cm="1">
        <f t="array" ref="B2817">INDEX('Portfolio Weights Std'!$B$9:$BJ$69,INT((ROW(A2816)-1)/COLUMNS('Portfolio Weights Std'!$B$9:$BJ$69))+1,MOD(ROW(A2816)-1,COLUMNS('Portfolio Weights Std'!$B$9:$BJ$69))+1)</f>
        <v>2.1060534170891456E-2</v>
      </c>
    </row>
    <row r="2818" spans="1:2" x14ac:dyDescent="0.25">
      <c r="A2818" cm="1">
        <f t="array" ref="A2818">INDEX('Portfolio Weights Returns'!$B$9:$BJ$69,
INT((ROW(A2817)-1)/COLUMNS('Portfolio Weights Returns'!$B$9:$BJ$69))+1,MOD(ROW(A2817)-1,COLUMNS('Portfolio Weights Returns'!$B$9:$BJ$69))+1)</f>
        <v>-8.2475000406366148E-4</v>
      </c>
      <c r="B2818" cm="1">
        <f t="array" ref="B2818">INDEX('Portfolio Weights Std'!$B$9:$BJ$69,INT((ROW(A2817)-1)/COLUMNS('Portfolio Weights Std'!$B$9:$BJ$69))+1,MOD(ROW(A2817)-1,COLUMNS('Portfolio Weights Std'!$B$9:$BJ$69))+1)</f>
        <v>2.0912351871885709E-2</v>
      </c>
    </row>
    <row r="2819" spans="1:2" x14ac:dyDescent="0.25">
      <c r="A2819" cm="1">
        <f t="array" ref="A2819">INDEX('Portfolio Weights Returns'!$B$9:$BJ$69,
INT((ROW(A2818)-1)/COLUMNS('Portfolio Weights Returns'!$B$9:$BJ$69))+1,MOD(ROW(A2818)-1,COLUMNS('Portfolio Weights Returns'!$B$9:$BJ$69))+1)</f>
        <v>-8.1796883009698233E-4</v>
      </c>
      <c r="B2819" cm="1">
        <f t="array" ref="B2819">INDEX('Portfolio Weights Std'!$B$9:$BJ$69,INT((ROW(A2818)-1)/COLUMNS('Portfolio Weights Std'!$B$9:$BJ$69))+1,MOD(ROW(A2818)-1,COLUMNS('Portfolio Weights Std'!$B$9:$BJ$69))+1)</f>
        <v>2.0765341989010498E-2</v>
      </c>
    </row>
    <row r="2820" spans="1:2" x14ac:dyDescent="0.25">
      <c r="A2820" cm="1">
        <f t="array" ref="A2820">INDEX('Portfolio Weights Returns'!$B$9:$BJ$69,
INT((ROW(A2819)-1)/COLUMNS('Portfolio Weights Returns'!$B$9:$BJ$69))+1,MOD(ROW(A2819)-1,COLUMNS('Portfolio Weights Returns'!$B$9:$BJ$69))+1)</f>
        <v>-8.1118765613030319E-4</v>
      </c>
      <c r="B2820" cm="1">
        <f t="array" ref="B2820">INDEX('Portfolio Weights Std'!$B$9:$BJ$69,INT((ROW(A2819)-1)/COLUMNS('Portfolio Weights Std'!$B$9:$BJ$69))+1,MOD(ROW(A2819)-1,COLUMNS('Portfolio Weights Std'!$B$9:$BJ$69))+1)</f>
        <v>2.0619529599006113E-2</v>
      </c>
    </row>
    <row r="2821" spans="1:2" x14ac:dyDescent="0.25">
      <c r="A2821" cm="1">
        <f t="array" ref="A2821">INDEX('Portfolio Weights Returns'!$B$9:$BJ$69,
INT((ROW(A2820)-1)/COLUMNS('Portfolio Weights Returns'!$B$9:$BJ$69))+1,MOD(ROW(A2820)-1,COLUMNS('Portfolio Weights Returns'!$B$9:$BJ$69))+1)</f>
        <v>-8.0440648216362405E-4</v>
      </c>
      <c r="B2821" cm="1">
        <f t="array" ref="B2821">INDEX('Portfolio Weights Std'!$B$9:$BJ$69,INT((ROW(A2820)-1)/COLUMNS('Portfolio Weights Std'!$B$9:$BJ$69))+1,MOD(ROW(A2820)-1,COLUMNS('Portfolio Weights Std'!$B$9:$BJ$69))+1)</f>
        <v>2.047494028574301E-2</v>
      </c>
    </row>
    <row r="2822" spans="1:2" x14ac:dyDescent="0.25">
      <c r="A2822" cm="1">
        <f t="array" ref="A2822">INDEX('Portfolio Weights Returns'!$B$9:$BJ$69,
INT((ROW(A2821)-1)/COLUMNS('Portfolio Weights Returns'!$B$9:$BJ$69))+1,MOD(ROW(A2821)-1,COLUMNS('Portfolio Weights Returns'!$B$9:$BJ$69))+1)</f>
        <v>-7.976253081969449E-4</v>
      </c>
      <c r="B2822" cm="1">
        <f t="array" ref="B2822">INDEX('Portfolio Weights Std'!$B$9:$BJ$69,INT((ROW(A2821)-1)/COLUMNS('Portfolio Weights Std'!$B$9:$BJ$69))+1,MOD(ROW(A2821)-1,COLUMNS('Portfolio Weights Std'!$B$9:$BJ$69))+1)</f>
        <v>2.0331600143174186E-2</v>
      </c>
    </row>
    <row r="2823" spans="1:2" x14ac:dyDescent="0.25">
      <c r="A2823" cm="1">
        <f t="array" ref="A2823">INDEX('Portfolio Weights Returns'!$B$9:$BJ$69,
INT((ROW(A2822)-1)/COLUMNS('Portfolio Weights Returns'!$B$9:$BJ$69))+1,MOD(ROW(A2822)-1,COLUMNS('Portfolio Weights Returns'!$B$9:$BJ$69))+1)</f>
        <v>-7.9084413423026576E-4</v>
      </c>
      <c r="B2823" cm="1">
        <f t="array" ref="B2823">INDEX('Portfolio Weights Std'!$B$9:$BJ$69,INT((ROW(A2822)-1)/COLUMNS('Portfolio Weights Std'!$B$9:$BJ$69))+1,MOD(ROW(A2822)-1,COLUMNS('Portfolio Weights Std'!$B$9:$BJ$69))+1)</f>
        <v>2.0189535777620674E-2</v>
      </c>
    </row>
    <row r="2824" spans="1:2" x14ac:dyDescent="0.25">
      <c r="A2824" cm="1">
        <f t="array" ref="A2824">INDEX('Portfolio Weights Returns'!$B$9:$BJ$69,
INT((ROW(A2823)-1)/COLUMNS('Portfolio Weights Returns'!$B$9:$BJ$69))+1,MOD(ROW(A2823)-1,COLUMNS('Portfolio Weights Returns'!$B$9:$BJ$69))+1)</f>
        <v>-7.8406296026358694E-4</v>
      </c>
      <c r="B2824" cm="1">
        <f t="array" ref="B2824">INDEX('Portfolio Weights Std'!$B$9:$BJ$69,INT((ROW(A2823)-1)/COLUMNS('Portfolio Weights Std'!$B$9:$BJ$69))+1,MOD(ROW(A2823)-1,COLUMNS('Portfolio Weights Std'!$B$9:$BJ$69))+1)</f>
        <v>2.0048774309330129E-2</v>
      </c>
    </row>
    <row r="2825" spans="1:2" x14ac:dyDescent="0.25">
      <c r="A2825" cm="1">
        <f t="array" ref="A2825">INDEX('Portfolio Weights Returns'!$B$9:$BJ$69,
INT((ROW(A2824)-1)/COLUMNS('Portfolio Weights Returns'!$B$9:$BJ$69))+1,MOD(ROW(A2824)-1,COLUMNS('Portfolio Weights Returns'!$B$9:$BJ$69))+1)</f>
        <v>-7.7728178629690758E-4</v>
      </c>
      <c r="B2825" cm="1">
        <f t="array" ref="B2825">INDEX('Portfolio Weights Std'!$B$9:$BJ$69,INT((ROW(A2824)-1)/COLUMNS('Portfolio Weights Std'!$B$9:$BJ$69))+1,MOD(ROW(A2824)-1,COLUMNS('Portfolio Weights Std'!$B$9:$BJ$69))+1)</f>
        <v>1.9909343373245941E-2</v>
      </c>
    </row>
    <row r="2826" spans="1:2" x14ac:dyDescent="0.25">
      <c r="A2826" cm="1">
        <f t="array" ref="A2826">INDEX('Portfolio Weights Returns'!$B$9:$BJ$69,
INT((ROW(A2825)-1)/COLUMNS('Portfolio Weights Returns'!$B$9:$BJ$69))+1,MOD(ROW(A2825)-1,COLUMNS('Portfolio Weights Returns'!$B$9:$BJ$69))+1)</f>
        <v>-7.7050061233022865E-4</v>
      </c>
      <c r="B2826" cm="1">
        <f t="array" ref="B2826">INDEX('Portfolio Weights Std'!$B$9:$BJ$69,INT((ROW(A2825)-1)/COLUMNS('Portfolio Weights Std'!$B$9:$BJ$69))+1,MOD(ROW(A2825)-1,COLUMNS('Portfolio Weights Std'!$B$9:$BJ$69))+1)</f>
        <v>1.977127111892138E-2</v>
      </c>
    </row>
    <row r="2827" spans="1:2" x14ac:dyDescent="0.25">
      <c r="A2827" cm="1">
        <f t="array" ref="A2827">INDEX('Portfolio Weights Returns'!$B$9:$BJ$69,
INT((ROW(A2826)-1)/COLUMNS('Portfolio Weights Returns'!$B$9:$BJ$69))+1,MOD(ROW(A2826)-1,COLUMNS('Portfolio Weights Returns'!$B$9:$BJ$69))+1)</f>
        <v>-7.637194383635495E-4</v>
      </c>
      <c r="B2827" cm="1">
        <f t="array" ref="B2827">INDEX('Portfolio Weights Std'!$B$9:$BJ$69,INT((ROW(A2826)-1)/COLUMNS('Portfolio Weights Std'!$B$9:$BJ$69))+1,MOD(ROW(A2826)-1,COLUMNS('Portfolio Weights Std'!$B$9:$BJ$69))+1)</f>
        <v>1.9634586209510578E-2</v>
      </c>
    </row>
    <row r="2828" spans="1:2" x14ac:dyDescent="0.25">
      <c r="A2828" cm="1">
        <f t="array" ref="A2828">INDEX('Portfolio Weights Returns'!$B$9:$BJ$69,
INT((ROW(A2827)-1)/COLUMNS('Portfolio Weights Returns'!$B$9:$BJ$69))+1,MOD(ROW(A2827)-1,COLUMNS('Portfolio Weights Returns'!$B$9:$BJ$69))+1)</f>
        <v>-7.5693826439687047E-4</v>
      </c>
      <c r="B2828" cm="1">
        <f t="array" ref="B2828">INDEX('Portfolio Weights Std'!$B$9:$BJ$69,INT((ROW(A2827)-1)/COLUMNS('Portfolio Weights Std'!$B$9:$BJ$69))+1,MOD(ROW(A2827)-1,COLUMNS('Portfolio Weights Std'!$B$9:$BJ$69))+1)</f>
        <v>1.949931781976583E-2</v>
      </c>
    </row>
    <row r="2829" spans="1:2" x14ac:dyDescent="0.25">
      <c r="A2829" cm="1">
        <f t="array" ref="A2829">INDEX('Portfolio Weights Returns'!$B$9:$BJ$69,
INT((ROW(A2828)-1)/COLUMNS('Portfolio Weights Returns'!$B$9:$BJ$69))+1,MOD(ROW(A2828)-1,COLUMNS('Portfolio Weights Returns'!$B$9:$BJ$69))+1)</f>
        <v>-7.5015709043019132E-4</v>
      </c>
      <c r="B2829" cm="1">
        <f t="array" ref="B2829">INDEX('Portfolio Weights Std'!$B$9:$BJ$69,INT((ROW(A2828)-1)/COLUMNS('Portfolio Weights Std'!$B$9:$BJ$69))+1,MOD(ROW(A2828)-1,COLUMNS('Portfolio Weights Std'!$B$9:$BJ$69))+1)</f>
        <v>1.9365495632967862E-2</v>
      </c>
    </row>
    <row r="2830" spans="1:2" x14ac:dyDescent="0.25">
      <c r="A2830" cm="1">
        <f t="array" ref="A2830">INDEX('Portfolio Weights Returns'!$B$9:$BJ$69,
INT((ROW(A2829)-1)/COLUMNS('Portfolio Weights Returns'!$B$9:$BJ$69))+1,MOD(ROW(A2829)-1,COLUMNS('Portfolio Weights Returns'!$B$9:$BJ$69))+1)</f>
        <v>-7.4337591646351218E-4</v>
      </c>
      <c r="B2830" cm="1">
        <f t="array" ref="B2830">INDEX('Portfolio Weights Std'!$B$9:$BJ$69,INT((ROW(A2829)-1)/COLUMNS('Portfolio Weights Std'!$B$9:$BJ$69))+1,MOD(ROW(A2829)-1,COLUMNS('Portfolio Weights Std'!$B$9:$BJ$69))+1)</f>
        <v>1.9233149836713783E-2</v>
      </c>
    </row>
    <row r="2831" spans="1:2" x14ac:dyDescent="0.25">
      <c r="A2831" cm="1">
        <f t="array" ref="A2831">INDEX('Portfolio Weights Returns'!$B$9:$BJ$69,
INT((ROW(A2830)-1)/COLUMNS('Portfolio Weights Returns'!$B$9:$BJ$69))+1,MOD(ROW(A2830)-1,COLUMNS('Portfolio Weights Returns'!$B$9:$BJ$69))+1)</f>
        <v>-7.3659474249683314E-4</v>
      </c>
      <c r="B2831" cm="1">
        <f t="array" ref="B2831">INDEX('Portfolio Weights Std'!$B$9:$BJ$69,INT((ROW(A2830)-1)/COLUMNS('Portfolio Weights Std'!$B$9:$BJ$69))+1,MOD(ROW(A2830)-1,COLUMNS('Portfolio Weights Std'!$B$9:$BJ$69))+1)</f>
        <v>1.9102311117485119E-2</v>
      </c>
    </row>
    <row r="2832" spans="1:2" x14ac:dyDescent="0.25">
      <c r="A2832" cm="1">
        <f t="array" ref="A2832">INDEX('Portfolio Weights Returns'!$B$9:$BJ$69,
INT((ROW(A2831)-1)/COLUMNS('Portfolio Weights Returns'!$B$9:$BJ$69))+1,MOD(ROW(A2831)-1,COLUMNS('Portfolio Weights Returns'!$B$9:$BJ$69))+1)</f>
        <v>-7.2981356853015389E-4</v>
      </c>
      <c r="B2832" cm="1">
        <f t="array" ref="B2832">INDEX('Portfolio Weights Std'!$B$9:$BJ$69,INT((ROW(A2831)-1)/COLUMNS('Portfolio Weights Std'!$B$9:$BJ$69))+1,MOD(ROW(A2831)-1,COLUMNS('Portfolio Weights Std'!$B$9:$BJ$69))+1)</f>
        <v>1.8973010653916617E-2</v>
      </c>
    </row>
    <row r="2833" spans="1:2" x14ac:dyDescent="0.25">
      <c r="A2833" cm="1">
        <f t="array" ref="A2833">INDEX('Portfolio Weights Returns'!$B$9:$BJ$69,
INT((ROW(A2832)-1)/COLUMNS('Portfolio Weights Returns'!$B$9:$BJ$69))+1,MOD(ROW(A2832)-1,COLUMNS('Portfolio Weights Returns'!$B$9:$BJ$69))+1)</f>
        <v>-7.2303239456347485E-4</v>
      </c>
      <c r="B2833" cm="1">
        <f t="array" ref="B2833">INDEX('Portfolio Weights Std'!$B$9:$BJ$69,INT((ROW(A2832)-1)/COLUMNS('Portfolio Weights Std'!$B$9:$BJ$69))+1,MOD(ROW(A2832)-1,COLUMNS('Portfolio Weights Std'!$B$9:$BJ$69))+1)</f>
        <v>1.884528010868497E-2</v>
      </c>
    </row>
    <row r="2834" spans="1:2" x14ac:dyDescent="0.25">
      <c r="A2834" cm="1">
        <f t="array" ref="A2834">INDEX('Portfolio Weights Returns'!$B$9:$BJ$69,
INT((ROW(A2833)-1)/COLUMNS('Portfolio Weights Returns'!$B$9:$BJ$69))+1,MOD(ROW(A2833)-1,COLUMNS('Portfolio Weights Returns'!$B$9:$BJ$69))+1)</f>
        <v>-7.1625122059679571E-4</v>
      </c>
      <c r="B2834" cm="1">
        <f t="array" ref="B2834">INDEX('Portfolio Weights Std'!$B$9:$BJ$69,INT((ROW(A2833)-1)/COLUMNS('Portfolio Weights Std'!$B$9:$BJ$69))+1,MOD(ROW(A2833)-1,COLUMNS('Portfolio Weights Std'!$B$9:$BJ$69))+1)</f>
        <v>1.8719151618935278E-2</v>
      </c>
    </row>
    <row r="2835" spans="1:2" x14ac:dyDescent="0.25">
      <c r="A2835" cm="1">
        <f t="array" ref="A2835">INDEX('Portfolio Weights Returns'!$B$9:$BJ$69,
INT((ROW(A2834)-1)/COLUMNS('Portfolio Weights Returns'!$B$9:$BJ$69))+1,MOD(ROW(A2834)-1,COLUMNS('Portfolio Weights Returns'!$B$9:$BJ$69))+1)</f>
        <v>-7.0947004663011667E-4</v>
      </c>
      <c r="B2835" cm="1">
        <f t="array" ref="B2835">INDEX('Portfolio Weights Std'!$B$9:$BJ$69,INT((ROW(A2834)-1)/COLUMNS('Portfolio Weights Std'!$B$9:$BJ$69))+1,MOD(ROW(A2834)-1,COLUMNS('Portfolio Weights Std'!$B$9:$BJ$69))+1)</f>
        <v>1.8594657785162463E-2</v>
      </c>
    </row>
    <row r="2836" spans="1:2" x14ac:dyDescent="0.25">
      <c r="A2836" cm="1">
        <f t="array" ref="A2836">INDEX('Portfolio Weights Returns'!$B$9:$BJ$69,
INT((ROW(A2835)-1)/COLUMNS('Portfolio Weights Returns'!$B$9:$BJ$69))+1,MOD(ROW(A2835)-1,COLUMNS('Portfolio Weights Returns'!$B$9:$BJ$69))+1)</f>
        <v>-7.0268887266343753E-4</v>
      </c>
      <c r="B2836" cm="1">
        <f t="array" ref="B2836">INDEX('Portfolio Weights Std'!$B$9:$BJ$69,INT((ROW(A2835)-1)/COLUMNS('Portfolio Weights Std'!$B$9:$BJ$69))+1,MOD(ROW(A2835)-1,COLUMNS('Portfolio Weights Std'!$B$9:$BJ$69))+1)</f>
        <v>1.8471831658464319E-2</v>
      </c>
    </row>
    <row r="2837" spans="1:2" x14ac:dyDescent="0.25">
      <c r="A2837" cm="1">
        <f t="array" ref="A2837">INDEX('Portfolio Weights Returns'!$B$9:$BJ$69,
INT((ROW(A2836)-1)/COLUMNS('Portfolio Weights Returns'!$B$9:$BJ$69))+1,MOD(ROW(A2836)-1,COLUMNS('Portfolio Weights Returns'!$B$9:$BJ$69))+1)</f>
        <v>-6.9590769869675849E-4</v>
      </c>
      <c r="B2837" cm="1">
        <f t="array" ref="B2837">INDEX('Portfolio Weights Std'!$B$9:$BJ$69,INT((ROW(A2836)-1)/COLUMNS('Portfolio Weights Std'!$B$9:$BJ$69))+1,MOD(ROW(A2836)-1,COLUMNS('Portfolio Weights Std'!$B$9:$BJ$69))+1)</f>
        <v>1.8350706726083122E-2</v>
      </c>
    </row>
    <row r="2838" spans="1:2" x14ac:dyDescent="0.25">
      <c r="A2838" cm="1">
        <f t="array" ref="A2838">INDEX('Portfolio Weights Returns'!$B$9:$BJ$69,
INT((ROW(A2837)-1)/COLUMNS('Portfolio Weights Returns'!$B$9:$BJ$69))+1,MOD(ROW(A2837)-1,COLUMNS('Portfolio Weights Returns'!$B$9:$BJ$69))+1)</f>
        <v>-6.8912652473007924E-4</v>
      </c>
      <c r="B2838" cm="1">
        <f t="array" ref="B2838">INDEX('Portfolio Weights Std'!$B$9:$BJ$69,INT((ROW(A2837)-1)/COLUMNS('Portfolio Weights Std'!$B$9:$BJ$69))+1,MOD(ROW(A2837)-1,COLUMNS('Portfolio Weights Std'!$B$9:$BJ$69))+1)</f>
        <v>1.82313168951534E-2</v>
      </c>
    </row>
    <row r="2839" spans="1:2" x14ac:dyDescent="0.25">
      <c r="A2839" cm="1">
        <f t="array" ref="A2839">INDEX('Portfolio Weights Returns'!$B$9:$BJ$69,
INT((ROW(A2838)-1)/COLUMNS('Portfolio Weights Returns'!$B$9:$BJ$69))+1,MOD(ROW(A2838)-1,COLUMNS('Portfolio Weights Returns'!$B$9:$BJ$69))+1)</f>
        <v>-6.823453507634001E-4</v>
      </c>
      <c r="B2839" cm="1">
        <f t="array" ref="B2839">INDEX('Portfolio Weights Std'!$B$9:$BJ$69,INT((ROW(A2838)-1)/COLUMNS('Portfolio Weights Std'!$B$9:$BJ$69))+1,MOD(ROW(A2838)-1,COLUMNS('Portfolio Weights Std'!$B$9:$BJ$69))+1)</f>
        <v>1.8113696474574854E-2</v>
      </c>
    </row>
    <row r="2840" spans="1:2" x14ac:dyDescent="0.25">
      <c r="A2840" cm="1">
        <f t="array" ref="A2840">INDEX('Portfolio Weights Returns'!$B$9:$BJ$69,
INT((ROW(A2839)-1)/COLUMNS('Portfolio Weights Returns'!$B$9:$BJ$69))+1,MOD(ROW(A2839)-1,COLUMNS('Portfolio Weights Returns'!$B$9:$BJ$69))+1)</f>
        <v>-6.7556417679672106E-4</v>
      </c>
      <c r="B2840" cm="1">
        <f t="array" ref="B2840">INDEX('Portfolio Weights Std'!$B$9:$BJ$69,INT((ROW(A2839)-1)/COLUMNS('Portfolio Weights Std'!$B$9:$BJ$69))+1,MOD(ROW(A2839)-1,COLUMNS('Portfolio Weights Std'!$B$9:$BJ$69))+1)</f>
        <v>1.7997880154931322E-2</v>
      </c>
    </row>
    <row r="2841" spans="1:2" x14ac:dyDescent="0.25">
      <c r="A2841" cm="1">
        <f t="array" ref="A2841">INDEX('Portfolio Weights Returns'!$B$9:$BJ$69,
INT((ROW(A2840)-1)/COLUMNS('Portfolio Weights Returns'!$B$9:$BJ$69))+1,MOD(ROW(A2840)-1,COLUMNS('Portfolio Weights Returns'!$B$9:$BJ$69))+1)</f>
        <v>-6.6878300283004192E-4</v>
      </c>
      <c r="B2841" cm="1">
        <f t="array" ref="B2841">INDEX('Portfolio Weights Std'!$B$9:$BJ$69,INT((ROW(A2840)-1)/COLUMNS('Portfolio Weights Std'!$B$9:$BJ$69))+1,MOD(ROW(A2840)-1,COLUMNS('Portfolio Weights Std'!$B$9:$BJ$69))+1)</f>
        <v>1.7883902986379742E-2</v>
      </c>
    </row>
    <row r="2842" spans="1:2" x14ac:dyDescent="0.25">
      <c r="A2842" cm="1">
        <f t="array" ref="A2842">INDEX('Portfolio Weights Returns'!$B$9:$BJ$69,
INT((ROW(A2841)-1)/COLUMNS('Portfolio Weights Returns'!$B$9:$BJ$69))+1,MOD(ROW(A2841)-1,COLUMNS('Portfolio Weights Returns'!$B$9:$BJ$69))+1)</f>
        <v>-6.6200182886336288E-4</v>
      </c>
      <c r="B2842" cm="1">
        <f t="array" ref="B2842">INDEX('Portfolio Weights Std'!$B$9:$BJ$69,INT((ROW(A2841)-1)/COLUMNS('Portfolio Weights Std'!$B$9:$BJ$69))+1,MOD(ROW(A2841)-1,COLUMNS('Portfolio Weights Std'!$B$9:$BJ$69))+1)</f>
        <v>1.7771800354436224E-2</v>
      </c>
    </row>
    <row r="2843" spans="1:2" x14ac:dyDescent="0.25">
      <c r="A2843" cm="1">
        <f t="array" ref="A2843">INDEX('Portfolio Weights Returns'!$B$9:$BJ$69,
INT((ROW(A2842)-1)/COLUMNS('Portfolio Weights Returns'!$B$9:$BJ$69))+1,MOD(ROW(A2842)-1,COLUMNS('Portfolio Weights Returns'!$B$9:$BJ$69))+1)</f>
        <v>-6.5522065489668374E-4</v>
      </c>
      <c r="B2843" cm="1">
        <f t="array" ref="B2843">INDEX('Portfolio Weights Std'!$B$9:$BJ$69,INT((ROW(A2842)-1)/COLUMNS('Portfolio Weights Std'!$B$9:$BJ$69))+1,MOD(ROW(A2842)-1,COLUMNS('Portfolio Weights Std'!$B$9:$BJ$69))+1)</f>
        <v>1.7661607953591393E-2</v>
      </c>
    </row>
    <row r="2844" spans="1:2" x14ac:dyDescent="0.25">
      <c r="A2844" cm="1">
        <f t="array" ref="A2844">INDEX('Portfolio Weights Returns'!$B$9:$BJ$69,
INT((ROW(A2843)-1)/COLUMNS('Portfolio Weights Returns'!$B$9:$BJ$69))+1,MOD(ROW(A2843)-1,COLUMNS('Portfolio Weights Returns'!$B$9:$BJ$69))+1)</f>
        <v>-6.484394809300047E-4</v>
      </c>
      <c r="B2844" cm="1">
        <f t="array" ref="B2844">INDEX('Portfolio Weights Std'!$B$9:$BJ$69,INT((ROW(A2843)-1)/COLUMNS('Portfolio Weights Std'!$B$9:$BJ$69))+1,MOD(ROW(A2843)-1,COLUMNS('Portfolio Weights Std'!$B$9:$BJ$69))+1)</f>
        <v>1.7553361758692033E-2</v>
      </c>
    </row>
    <row r="2845" spans="1:2" x14ac:dyDescent="0.25">
      <c r="A2845" cm="1">
        <f t="array" ref="A2845">INDEX('Portfolio Weights Returns'!$B$9:$BJ$69,
INT((ROW(A2844)-1)/COLUMNS('Portfolio Weights Returns'!$B$9:$BJ$69))+1,MOD(ROW(A2844)-1,COLUMNS('Portfolio Weights Returns'!$B$9:$BJ$69))+1)</f>
        <v>-6.4165830696332545E-4</v>
      </c>
      <c r="B2845" cm="1">
        <f t="array" ref="B2845">INDEX('Portfolio Weights Std'!$B$9:$BJ$69,INT((ROW(A2844)-1)/COLUMNS('Portfolio Weights Std'!$B$9:$BJ$69))+1,MOD(ROW(A2844)-1,COLUMNS('Portfolio Weights Std'!$B$9:$BJ$69))+1)</f>
        <v>1.7447097994032903E-2</v>
      </c>
    </row>
    <row r="2846" spans="1:2" x14ac:dyDescent="0.25">
      <c r="A2846" cm="1">
        <f t="array" ref="A2846">INDEX('Portfolio Weights Returns'!$B$9:$BJ$69,
INT((ROW(A2845)-1)/COLUMNS('Portfolio Weights Returns'!$B$9:$BJ$69))+1,MOD(ROW(A2845)-1,COLUMNS('Portfolio Weights Returns'!$B$9:$BJ$69))+1)</f>
        <v>-6.3487713299664652E-4</v>
      </c>
      <c r="B2846" cm="1">
        <f t="array" ref="B2846">INDEX('Portfolio Weights Std'!$B$9:$BJ$69,INT((ROW(A2845)-1)/COLUMNS('Portfolio Weights Std'!$B$9:$BJ$69))+1,MOD(ROW(A2845)-1,COLUMNS('Portfolio Weights Std'!$B$9:$BJ$69))+1)</f>
        <v>1.7342853100109797E-2</v>
      </c>
    </row>
    <row r="2847" spans="1:2" x14ac:dyDescent="0.25">
      <c r="A2847" cm="1">
        <f t="array" ref="A2847">INDEX('Portfolio Weights Returns'!$B$9:$BJ$69,
INT((ROW(A2846)-1)/COLUMNS('Portfolio Weights Returns'!$B$9:$BJ$69))+1,MOD(ROW(A2846)-1,COLUMNS('Portfolio Weights Returns'!$B$9:$BJ$69))+1)</f>
        <v>-6.2809595902996737E-4</v>
      </c>
      <c r="B2847" cm="1">
        <f t="array" ref="B2847">INDEX('Portfolio Weights Std'!$B$9:$BJ$69,INT((ROW(A2846)-1)/COLUMNS('Portfolio Weights Std'!$B$9:$BJ$69))+1,MOD(ROW(A2846)-1,COLUMNS('Portfolio Weights Std'!$B$9:$BJ$69))+1)</f>
        <v>1.7240663697993621E-2</v>
      </c>
    </row>
    <row r="2848" spans="1:2" x14ac:dyDescent="0.25">
      <c r="A2848" cm="1">
        <f t="array" ref="A2848">INDEX('Portfolio Weights Returns'!$B$9:$BJ$69,
INT((ROW(A2847)-1)/COLUMNS('Portfolio Weights Returns'!$B$9:$BJ$69))+1,MOD(ROW(A2847)-1,COLUMNS('Portfolio Weights Returns'!$B$9:$BJ$69))+1)</f>
        <v>-6.2131478506328823E-4</v>
      </c>
      <c r="B2848" cm="1">
        <f t="array" ref="B2848">INDEX('Portfolio Weights Std'!$B$9:$BJ$69,INT((ROW(A2847)-1)/COLUMNS('Portfolio Weights Std'!$B$9:$BJ$69))+1,MOD(ROW(A2847)-1,COLUMNS('Portfolio Weights Std'!$B$9:$BJ$69))+1)</f>
        <v>1.7140566551294853E-2</v>
      </c>
    </row>
    <row r="2849" spans="1:2" x14ac:dyDescent="0.25">
      <c r="A2849" cm="1">
        <f t="array" ref="A2849">INDEX('Portfolio Weights Returns'!$B$9:$BJ$69,
INT((ROW(A2848)-1)/COLUMNS('Portfolio Weights Returns'!$B$9:$BJ$69))+1,MOD(ROW(A2848)-1,COLUMNS('Portfolio Weights Returns'!$B$9:$BJ$69))+1)</f>
        <v>-6.1453361109660919E-4</v>
      </c>
      <c r="B2849" cm="1">
        <f t="array" ref="B2849">INDEX('Portfolio Weights Std'!$B$9:$BJ$69,INT((ROW(A2848)-1)/COLUMNS('Portfolio Weights Std'!$B$9:$BJ$69))+1,MOD(ROW(A2848)-1,COLUMNS('Portfolio Weights Std'!$B$9:$BJ$69))+1)</f>
        <v>1.7042598525698675E-2</v>
      </c>
    </row>
    <row r="2850" spans="1:2" x14ac:dyDescent="0.25">
      <c r="A2850" cm="1">
        <f t="array" ref="A2850">INDEX('Portfolio Weights Returns'!$B$9:$BJ$69,
INT((ROW(A2849)-1)/COLUMNS('Portfolio Weights Returns'!$B$9:$BJ$69))+1,MOD(ROW(A2849)-1,COLUMNS('Portfolio Weights Returns'!$B$9:$BJ$69))+1)</f>
        <v>-6.0775243712993005E-4</v>
      </c>
      <c r="B2850" cm="1">
        <f t="array" ref="B2850">INDEX('Portfolio Weights Std'!$B$9:$BJ$69,INT((ROW(A2849)-1)/COLUMNS('Portfolio Weights Std'!$B$9:$BJ$69))+1,MOD(ROW(A2849)-1,COLUMNS('Portfolio Weights Std'!$B$9:$BJ$69))+1)</f>
        <v>1.6946796546062959E-2</v>
      </c>
    </row>
    <row r="2851" spans="1:2" x14ac:dyDescent="0.25">
      <c r="A2851" cm="1">
        <f t="array" ref="A2851">INDEX('Portfolio Weights Returns'!$B$9:$BJ$69,
INT((ROW(A2850)-1)/COLUMNS('Portfolio Weights Returns'!$B$9:$BJ$69))+1,MOD(ROW(A2850)-1,COLUMNS('Portfolio Weights Returns'!$B$9:$BJ$69))+1)</f>
        <v>-6.0097126316325091E-4</v>
      </c>
      <c r="B2851" cm="1">
        <f t="array" ref="B2851">INDEX('Portfolio Weights Std'!$B$9:$BJ$69,INT((ROW(A2850)-1)/COLUMNS('Portfolio Weights Std'!$B$9:$BJ$69))+1,MOD(ROW(A2850)-1,COLUMNS('Portfolio Weights Std'!$B$9:$BJ$69))+1)</f>
        <v>1.6853197551084546E-2</v>
      </c>
    </row>
    <row r="2852" spans="1:2" x14ac:dyDescent="0.25">
      <c r="A2852" cm="1">
        <f t="array" ref="A2852">INDEX('Portfolio Weights Returns'!$B$9:$BJ$69,
INT((ROW(A2851)-1)/COLUMNS('Portfolio Weights Returns'!$B$9:$BJ$69))+1,MOD(ROW(A2851)-1,COLUMNS('Portfolio Weights Returns'!$B$9:$BJ$69))+1)</f>
        <v>-5.9419008919657176E-4</v>
      </c>
      <c r="B2852" cm="1">
        <f t="array" ref="B2852">INDEX('Portfolio Weights Std'!$B$9:$BJ$69,INT((ROW(A2851)-1)/COLUMNS('Portfolio Weights Std'!$B$9:$BJ$69))+1,MOD(ROW(A2851)-1,COLUMNS('Portfolio Weights Std'!$B$9:$BJ$69))+1)</f>
        <v>1.6761838445553602E-2</v>
      </c>
    </row>
    <row r="2853" spans="1:2" x14ac:dyDescent="0.25">
      <c r="A2853" cm="1">
        <f t="array" ref="A2853">INDEX('Portfolio Weights Returns'!$B$9:$BJ$69,
INT((ROW(A2852)-1)/COLUMNS('Portfolio Weights Returns'!$B$9:$BJ$69))+1,MOD(ROW(A2852)-1,COLUMNS('Portfolio Weights Returns'!$B$9:$BJ$69))+1)</f>
        <v>-5.8740891522989272E-4</v>
      </c>
      <c r="B2853" cm="1">
        <f t="array" ref="B2853">INDEX('Portfolio Weights Std'!$B$9:$BJ$69,INT((ROW(A2852)-1)/COLUMNS('Portfolio Weights Std'!$B$9:$BJ$69))+1,MOD(ROW(A2852)-1,COLUMNS('Portfolio Weights Std'!$B$9:$BJ$69))+1)</f>
        <v>1.6672756050231208E-2</v>
      </c>
    </row>
    <row r="2854" spans="1:2" x14ac:dyDescent="0.25">
      <c r="A2854" cm="1">
        <f t="array" ref="A2854">INDEX('Portfolio Weights Returns'!$B$9:$BJ$69,
INT((ROW(A2853)-1)/COLUMNS('Portfolio Weights Returns'!$B$9:$BJ$69))+1,MOD(ROW(A2853)-1,COLUMNS('Portfolio Weights Returns'!$B$9:$BJ$69))+1)</f>
        <v>-5.8062774126321358E-4</v>
      </c>
      <c r="B2854" cm="1">
        <f t="array" ref="B2854">INDEX('Portfolio Weights Std'!$B$9:$BJ$69,INT((ROW(A2853)-1)/COLUMNS('Portfolio Weights Std'!$B$9:$BJ$69))+1,MOD(ROW(A2853)-1,COLUMNS('Portfolio Weights Std'!$B$9:$BJ$69))+1)</f>
        <v>1.6585987049401969E-2</v>
      </c>
    </row>
    <row r="2855" spans="1:2" x14ac:dyDescent="0.25">
      <c r="A2855" cm="1">
        <f t="array" ref="A2855">INDEX('Portfolio Weights Returns'!$B$9:$BJ$69,
INT((ROW(A2854)-1)/COLUMNS('Portfolio Weights Returns'!$B$9:$BJ$69))+1,MOD(ROW(A2854)-1,COLUMNS('Portfolio Weights Returns'!$B$9:$BJ$69))+1)</f>
        <v>-5.7384656729653454E-4</v>
      </c>
      <c r="B2855" cm="1">
        <f t="array" ref="B2855">INDEX('Portfolio Weights Std'!$B$9:$BJ$69,INT((ROW(A2854)-1)/COLUMNS('Portfolio Weights Std'!$B$9:$BJ$69))+1,MOD(ROW(A2854)-1,COLUMNS('Portfolio Weights Std'!$B$9:$BJ$69))+1)</f>
        <v>1.650156793617092E-2</v>
      </c>
    </row>
    <row r="2856" spans="1:2" x14ac:dyDescent="0.25">
      <c r="A2856" cm="1">
        <f t="array" ref="A2856">INDEX('Portfolio Weights Returns'!$B$9:$BJ$69,
INT((ROW(A2855)-1)/COLUMNS('Portfolio Weights Returns'!$B$9:$BJ$69))+1,MOD(ROW(A2855)-1,COLUMNS('Portfolio Weights Returns'!$B$9:$BJ$69))+1)</f>
        <v>-5.6706539332985551E-4</v>
      </c>
      <c r="B2856" cm="1">
        <f t="array" ref="B2856">INDEX('Portfolio Weights Std'!$B$9:$BJ$69,INT((ROW(A2855)-1)/COLUMNS('Portfolio Weights Std'!$B$9:$BJ$69))+1,MOD(ROW(A2855)-1,COLUMNS('Portfolio Weights Std'!$B$9:$BJ$69))+1)</f>
        <v>1.6419534955592518E-2</v>
      </c>
    </row>
    <row r="2857" spans="1:2" x14ac:dyDescent="0.25">
      <c r="A2857" cm="1">
        <f t="array" ref="A2857">INDEX('Portfolio Weights Returns'!$B$9:$BJ$69,
INT((ROW(A2856)-1)/COLUMNS('Portfolio Weights Returns'!$B$9:$BJ$69))+1,MOD(ROW(A2856)-1,COLUMNS('Portfolio Weights Returns'!$B$9:$BJ$69))+1)</f>
        <v>-5.6028421936317636E-4</v>
      </c>
      <c r="B2857" cm="1">
        <f t="array" ref="B2857">INDEX('Portfolio Weights Std'!$B$9:$BJ$69,INT((ROW(A2856)-1)/COLUMNS('Portfolio Weights Std'!$B$9:$BJ$69))+1,MOD(ROW(A2856)-1,COLUMNS('Portfolio Weights Std'!$B$9:$BJ$69))+1)</f>
        <v>1.6339924045738734E-2</v>
      </c>
    </row>
    <row r="2858" spans="1:2" x14ac:dyDescent="0.25">
      <c r="A2858" cm="1">
        <f t="array" ref="A2858">INDEX('Portfolio Weights Returns'!$B$9:$BJ$69,
INT((ROW(A2857)-1)/COLUMNS('Portfolio Weights Returns'!$B$9:$BJ$69))+1,MOD(ROW(A2857)-1,COLUMNS('Portfolio Weights Returns'!$B$9:$BJ$69))+1)</f>
        <v>-5.5350304539649722E-4</v>
      </c>
      <c r="B2858" cm="1">
        <f t="array" ref="B2858">INDEX('Portfolio Weights Std'!$B$9:$BJ$69,INT((ROW(A2857)-1)/COLUMNS('Portfolio Weights Std'!$B$9:$BJ$69))+1,MOD(ROW(A2857)-1,COLUMNS('Portfolio Weights Std'!$B$9:$BJ$69))+1)</f>
        <v>1.6262770776833298E-2</v>
      </c>
    </row>
    <row r="2859" spans="1:2" x14ac:dyDescent="0.25">
      <c r="A2859" cm="1">
        <f t="array" ref="A2859">INDEX('Portfolio Weights Returns'!$B$9:$BJ$69,
INT((ROW(A2858)-1)/COLUMNS('Portfolio Weights Returns'!$B$9:$BJ$69))+1,MOD(ROW(A2858)-1,COLUMNS('Portfolio Weights Returns'!$B$9:$BJ$69))+1)</f>
        <v>-5.4672187142981808E-4</v>
      </c>
      <c r="B2859" cm="1">
        <f t="array" ref="B2859">INDEX('Portfolio Weights Std'!$B$9:$BJ$69,INT((ROW(A2858)-1)/COLUMNS('Portfolio Weights Std'!$B$9:$BJ$69))+1,MOD(ROW(A2858)-1,COLUMNS('Portfolio Weights Std'!$B$9:$BJ$69))+1)</f>
        <v>1.6188110288599507E-2</v>
      </c>
    </row>
    <row r="2860" spans="1:2" x14ac:dyDescent="0.25">
      <c r="A2860" cm="1">
        <f t="array" ref="A2860">INDEX('Portfolio Weights Returns'!$B$9:$BJ$69,
INT((ROW(A2859)-1)/COLUMNS('Portfolio Weights Returns'!$B$9:$BJ$69))+1,MOD(ROW(A2859)-1,COLUMNS('Portfolio Weights Returns'!$B$9:$BJ$69))+1)</f>
        <v>-5.3994069746313904E-4</v>
      </c>
      <c r="B2860" cm="1">
        <f t="array" ref="B2860">INDEX('Portfolio Weights Std'!$B$9:$BJ$69,INT((ROW(A2859)-1)/COLUMNS('Portfolio Weights Std'!$B$9:$BJ$69))+1,MOD(ROW(A2859)-1,COLUMNS('Portfolio Weights Std'!$B$9:$BJ$69))+1)</f>
        <v>1.6115977225989907E-2</v>
      </c>
    </row>
    <row r="2861" spans="1:2" x14ac:dyDescent="0.25">
      <c r="A2861" cm="1">
        <f t="array" ref="A2861">INDEX('Portfolio Weights Returns'!$B$9:$BJ$69,
INT((ROW(A2860)-1)/COLUMNS('Portfolio Weights Returns'!$B$9:$BJ$69))+1,MOD(ROW(A2860)-1,COLUMNS('Portfolio Weights Returns'!$B$9:$BJ$69))+1)</f>
        <v>-5.3315952349645989E-4</v>
      </c>
      <c r="B2861" cm="1">
        <f t="array" ref="B2861">INDEX('Portfolio Weights Std'!$B$9:$BJ$69,INT((ROW(A2860)-1)/COLUMNS('Portfolio Weights Std'!$B$9:$BJ$69))+1,MOD(ROW(A2860)-1,COLUMNS('Portfolio Weights Std'!$B$9:$BJ$69))+1)</f>
        <v>1.6046405673486988E-2</v>
      </c>
    </row>
    <row r="2862" spans="1:2" x14ac:dyDescent="0.25">
      <c r="A2862" cm="1">
        <f t="array" ref="A2862">INDEX('Portfolio Weights Returns'!$B$9:$BJ$69,
INT((ROW(A2861)-1)/COLUMNS('Portfolio Weights Returns'!$B$9:$BJ$69))+1,MOD(ROW(A2861)-1,COLUMNS('Portfolio Weights Returns'!$B$9:$BJ$69))+1)</f>
        <v>-5.2637834952978075E-4</v>
      </c>
      <c r="B2862" cm="1">
        <f t="array" ref="B2862">INDEX('Portfolio Weights Std'!$B$9:$BJ$69,INT((ROW(A2861)-1)/COLUMNS('Portfolio Weights Std'!$B$9:$BJ$69))+1,MOD(ROW(A2861)-1,COLUMNS('Portfolio Weights Std'!$B$9:$BJ$69))+1)</f>
        <v>1.5979429088184949E-2</v>
      </c>
    </row>
    <row r="2863" spans="1:2" x14ac:dyDescent="0.25">
      <c r="A2863" cm="1">
        <f t="array" ref="A2863">INDEX('Portfolio Weights Returns'!$B$9:$BJ$69,
INT((ROW(A2862)-1)/COLUMNS('Portfolio Weights Returns'!$B$9:$BJ$69))+1,MOD(ROW(A2862)-1,COLUMNS('Portfolio Weights Returns'!$B$9:$BJ$69))+1)</f>
        <v>-5.1959717556310171E-4</v>
      </c>
      <c r="B2863" cm="1">
        <f t="array" ref="B2863">INDEX('Portfolio Weights Std'!$B$9:$BJ$69,INT((ROW(A2862)-1)/COLUMNS('Portfolio Weights Std'!$B$9:$BJ$69))+1,MOD(ROW(A2862)-1,COLUMNS('Portfolio Weights Std'!$B$9:$BJ$69))+1)</f>
        <v>1.5915080231883004E-2</v>
      </c>
    </row>
    <row r="2864" spans="1:2" x14ac:dyDescent="0.25">
      <c r="A2864" cm="1">
        <f t="array" ref="A2864">INDEX('Portfolio Weights Returns'!$B$9:$BJ$69,
INT((ROW(A2863)-1)/COLUMNS('Portfolio Weights Returns'!$B$9:$BJ$69))+1,MOD(ROW(A2863)-1,COLUMNS('Portfolio Weights Returns'!$B$9:$BJ$69))+1)</f>
        <v>-5.1281600159642257E-4</v>
      </c>
      <c r="B2864" cm="1">
        <f t="array" ref="B2864">INDEX('Portfolio Weights Std'!$B$9:$BJ$69,INT((ROW(A2863)-1)/COLUMNS('Portfolio Weights Std'!$B$9:$BJ$69))+1,MOD(ROW(A2863)-1,COLUMNS('Portfolio Weights Std'!$B$9:$BJ$69))+1)</f>
        <v>1.5853391102440544E-2</v>
      </c>
    </row>
    <row r="2865" spans="1:2" x14ac:dyDescent="0.25">
      <c r="A2865" cm="1">
        <f t="array" ref="A2865">INDEX('Portfolio Weights Returns'!$B$9:$BJ$69,
INT((ROW(A2864)-1)/COLUMNS('Portfolio Weights Returns'!$B$9:$BJ$69))+1,MOD(ROW(A2864)-1,COLUMNS('Portfolio Weights Returns'!$B$9:$BJ$69))+1)</f>
        <v>-5.0603482762974277E-4</v>
      </c>
      <c r="B2865" cm="1">
        <f t="array" ref="B2865">INDEX('Portfolio Weights Std'!$B$9:$BJ$69,INT((ROW(A2864)-1)/COLUMNS('Portfolio Weights Std'!$B$9:$BJ$69))+1,MOD(ROW(A2864)-1,COLUMNS('Portfolio Weights Std'!$B$9:$BJ$69))+1)</f>
        <v>1.579439286466354E-2</v>
      </c>
    </row>
    <row r="2866" spans="1:2" x14ac:dyDescent="0.25">
      <c r="A2866" cm="1">
        <f t="array" ref="A2866">INDEX('Portfolio Weights Returns'!$B$9:$BJ$69,
INT((ROW(A2865)-1)/COLUMNS('Portfolio Weights Returns'!$B$9:$BJ$69))+1,MOD(ROW(A2865)-1,COLUMNS('Portfolio Weights Returns'!$B$9:$BJ$69))+1)</f>
        <v>-4.9925365366306363E-4</v>
      </c>
      <c r="B2866" cm="1">
        <f t="array" ref="B2866">INDEX('Portfolio Weights Std'!$B$9:$BJ$69,INT((ROW(A2865)-1)/COLUMNS('Portfolio Weights Std'!$B$9:$BJ$69))+1,MOD(ROW(A2865)-1,COLUMNS('Portfolio Weights Std'!$B$9:$BJ$69))+1)</f>
        <v>1.573811578100931E-2</v>
      </c>
    </row>
    <row r="2867" spans="1:2" x14ac:dyDescent="0.25">
      <c r="A2867" cm="1">
        <f t="array" ref="A2867">INDEX('Portfolio Weights Returns'!$B$9:$BJ$69,
INT((ROW(A2866)-1)/COLUMNS('Portfolio Weights Returns'!$B$9:$BJ$69))+1,MOD(ROW(A2866)-1,COLUMNS('Portfolio Weights Returns'!$B$9:$BJ$69))+1)</f>
        <v>-4.924724796963847E-4</v>
      </c>
      <c r="B2867" cm="1">
        <f t="array" ref="B2867">INDEX('Portfolio Weights Std'!$B$9:$BJ$69,INT((ROW(A2866)-1)/COLUMNS('Portfolio Weights Std'!$B$9:$BJ$69))+1,MOD(ROW(A2866)-1,COLUMNS('Portfolio Weights Std'!$B$9:$BJ$69))+1)</f>
        <v>1.5684589142413004E-2</v>
      </c>
    </row>
    <row r="2868" spans="1:2" x14ac:dyDescent="0.25">
      <c r="A2868" cm="1">
        <f t="array" ref="A2868">INDEX('Portfolio Weights Returns'!$B$9:$BJ$69,
INT((ROW(A2867)-1)/COLUMNS('Portfolio Weights Returns'!$B$9:$BJ$69))+1,MOD(ROW(A2867)-1,COLUMNS('Portfolio Weights Returns'!$B$9:$BJ$69))+1)</f>
        <v>-4.8569130572970556E-4</v>
      </c>
      <c r="B2868" cm="1">
        <f t="array" ref="B2868">INDEX('Portfolio Weights Std'!$B$9:$BJ$69,INT((ROW(A2867)-1)/COLUMNS('Portfolio Weights Std'!$B$9:$BJ$69))+1,MOD(ROW(A2867)-1,COLUMNS('Portfolio Weights Std'!$B$9:$BJ$69))+1)</f>
        <v>1.563384119955398E-2</v>
      </c>
    </row>
    <row r="2869" spans="1:2" x14ac:dyDescent="0.25">
      <c r="A2869" cm="1">
        <f t="array" ref="A2869">INDEX('Portfolio Weights Returns'!$B$9:$BJ$69,
INT((ROW(A2868)-1)/COLUMNS('Portfolio Weights Returns'!$B$9:$BJ$69))+1,MOD(ROW(A2868)-1,COLUMNS('Portfolio Weights Returns'!$B$9:$BJ$69))+1)</f>
        <v>-8.8598753588499737E-4</v>
      </c>
      <c r="B2869" cm="1">
        <f t="array" ref="B2869">INDEX('Portfolio Weights Std'!$B$9:$BJ$69,INT((ROW(A2868)-1)/COLUMNS('Portfolio Weights Std'!$B$9:$BJ$69))+1,MOD(ROW(A2868)-1,COLUMNS('Portfolio Weights Std'!$B$9:$BJ$69))+1)</f>
        <v>2.239961656021567E-2</v>
      </c>
    </row>
    <row r="2870" spans="1:2" x14ac:dyDescent="0.25">
      <c r="A2870" cm="1">
        <f t="array" ref="A2870">INDEX('Portfolio Weights Returns'!$B$9:$BJ$69,
INT((ROW(A2869)-1)/COLUMNS('Portfolio Weights Returns'!$B$9:$BJ$69))+1,MOD(ROW(A2869)-1,COLUMNS('Portfolio Weights Returns'!$B$9:$BJ$69))+1)</f>
        <v>-8.7920636191831823E-4</v>
      </c>
      <c r="B2870" cm="1">
        <f t="array" ref="B2870">INDEX('Portfolio Weights Std'!$B$9:$BJ$69,INT((ROW(A2869)-1)/COLUMNS('Portfolio Weights Std'!$B$9:$BJ$69))+1,MOD(ROW(A2869)-1,COLUMNS('Portfolio Weights Std'!$B$9:$BJ$69))+1)</f>
        <v>2.224333426559932E-2</v>
      </c>
    </row>
    <row r="2871" spans="1:2" x14ac:dyDescent="0.25">
      <c r="A2871" cm="1">
        <f t="array" ref="A2871">INDEX('Portfolio Weights Returns'!$B$9:$BJ$69,
INT((ROW(A2870)-1)/COLUMNS('Portfolio Weights Returns'!$B$9:$BJ$69))+1,MOD(ROW(A2870)-1,COLUMNS('Portfolio Weights Returns'!$B$9:$BJ$69))+1)</f>
        <v>-8.7242518795163919E-4</v>
      </c>
      <c r="B2871" cm="1">
        <f t="array" ref="B2871">INDEX('Portfolio Weights Std'!$B$9:$BJ$69,INT((ROW(A2870)-1)/COLUMNS('Portfolio Weights Std'!$B$9:$BJ$69))+1,MOD(ROW(A2870)-1,COLUMNS('Portfolio Weights Std'!$B$9:$BJ$69))+1)</f>
        <v>2.2088042518847335E-2</v>
      </c>
    </row>
    <row r="2872" spans="1:2" x14ac:dyDescent="0.25">
      <c r="A2872" cm="1">
        <f t="array" ref="A2872">INDEX('Portfolio Weights Returns'!$B$9:$BJ$69,
INT((ROW(A2871)-1)/COLUMNS('Portfolio Weights Returns'!$B$9:$BJ$69))+1,MOD(ROW(A2871)-1,COLUMNS('Portfolio Weights Returns'!$B$9:$BJ$69))+1)</f>
        <v>-8.6564401398495994E-4</v>
      </c>
      <c r="B2872" cm="1">
        <f t="array" ref="B2872">INDEX('Portfolio Weights Std'!$B$9:$BJ$69,INT((ROW(A2871)-1)/COLUMNS('Portfolio Weights Std'!$B$9:$BJ$69))+1,MOD(ROW(A2871)-1,COLUMNS('Portfolio Weights Std'!$B$9:$BJ$69))+1)</f>
        <v>2.1933762359302528E-2</v>
      </c>
    </row>
    <row r="2873" spans="1:2" x14ac:dyDescent="0.25">
      <c r="A2873" cm="1">
        <f t="array" ref="A2873">INDEX('Portfolio Weights Returns'!$B$9:$BJ$69,
INT((ROW(A2872)-1)/COLUMNS('Portfolio Weights Returns'!$B$9:$BJ$69))+1,MOD(ROW(A2872)-1,COLUMNS('Portfolio Weights Returns'!$B$9:$BJ$69))+1)</f>
        <v>-8.588628400182809E-4</v>
      </c>
      <c r="B2873" cm="1">
        <f t="array" ref="B2873">INDEX('Portfolio Weights Std'!$B$9:$BJ$69,INT((ROW(A2872)-1)/COLUMNS('Portfolio Weights Std'!$B$9:$BJ$69))+1,MOD(ROW(A2872)-1,COLUMNS('Portfolio Weights Std'!$B$9:$BJ$69))+1)</f>
        <v>2.1780515283414004E-2</v>
      </c>
    </row>
    <row r="2874" spans="1:2" x14ac:dyDescent="0.25">
      <c r="A2874" cm="1">
        <f t="array" ref="A2874">INDEX('Portfolio Weights Returns'!$B$9:$BJ$69,
INT((ROW(A2873)-1)/COLUMNS('Portfolio Weights Returns'!$B$9:$BJ$69))+1,MOD(ROW(A2873)-1,COLUMNS('Portfolio Weights Returns'!$B$9:$BJ$69))+1)</f>
        <v>-8.5208166605160176E-4</v>
      </c>
      <c r="B2874" cm="1">
        <f t="array" ref="B2874">INDEX('Portfolio Weights Std'!$B$9:$BJ$69,INT((ROW(A2873)-1)/COLUMNS('Portfolio Weights Std'!$B$9:$BJ$69))+1,MOD(ROW(A2873)-1,COLUMNS('Portfolio Weights Std'!$B$9:$BJ$69))+1)</f>
        <v>2.1628323250877112E-2</v>
      </c>
    </row>
    <row r="2875" spans="1:2" x14ac:dyDescent="0.25">
      <c r="A2875" cm="1">
        <f t="array" ref="A2875">INDEX('Portfolio Weights Returns'!$B$9:$BJ$69,
INT((ROW(A2874)-1)/COLUMNS('Portfolio Weights Returns'!$B$9:$BJ$69))+1,MOD(ROW(A2874)-1,COLUMNS('Portfolio Weights Returns'!$B$9:$BJ$69))+1)</f>
        <v>-8.4530049208492272E-4</v>
      </c>
      <c r="B2875" cm="1">
        <f t="array" ref="B2875">INDEX('Portfolio Weights Std'!$B$9:$BJ$69,INT((ROW(A2874)-1)/COLUMNS('Portfolio Weights Std'!$B$9:$BJ$69))+1,MOD(ROW(A2874)-1,COLUMNS('Portfolio Weights Std'!$B$9:$BJ$69))+1)</f>
        <v>2.1477208690482988E-2</v>
      </c>
    </row>
    <row r="2876" spans="1:2" x14ac:dyDescent="0.25">
      <c r="A2876" cm="1">
        <f t="array" ref="A2876">INDEX('Portfolio Weights Returns'!$B$9:$BJ$69,
INT((ROW(A2875)-1)/COLUMNS('Portfolio Weights Returns'!$B$9:$BJ$69))+1,MOD(ROW(A2875)-1,COLUMNS('Portfolio Weights Returns'!$B$9:$BJ$69))+1)</f>
        <v>-8.3851931811824358E-4</v>
      </c>
      <c r="B2876" cm="1">
        <f t="array" ref="B2876">INDEX('Portfolio Weights Std'!$B$9:$BJ$69,INT((ROW(A2875)-1)/COLUMNS('Portfolio Weights Std'!$B$9:$BJ$69))+1,MOD(ROW(A2875)-1,COLUMNS('Portfolio Weights Std'!$B$9:$BJ$69))+1)</f>
        <v>2.1327194505640221E-2</v>
      </c>
    </row>
    <row r="2877" spans="1:2" x14ac:dyDescent="0.25">
      <c r="A2877" cm="1">
        <f t="array" ref="A2877">INDEX('Portfolio Weights Returns'!$B$9:$BJ$69,
INT((ROW(A2876)-1)/COLUMNS('Portfolio Weights Returns'!$B$9:$BJ$69))+1,MOD(ROW(A2876)-1,COLUMNS('Portfolio Weights Returns'!$B$9:$BJ$69))+1)</f>
        <v>-8.3173814415156454E-4</v>
      </c>
      <c r="B2877" cm="1">
        <f t="array" ref="B2877">INDEX('Portfolio Weights Std'!$B$9:$BJ$69,INT((ROW(A2876)-1)/COLUMNS('Portfolio Weights Std'!$B$9:$BJ$69))+1,MOD(ROW(A2876)-1,COLUMNS('Portfolio Weights Std'!$B$9:$BJ$69))+1)</f>
        <v>2.1178304079528861E-2</v>
      </c>
    </row>
    <row r="2878" spans="1:2" x14ac:dyDescent="0.25">
      <c r="A2878" cm="1">
        <f t="array" ref="A2878">INDEX('Portfolio Weights Returns'!$B$9:$BJ$69,
INT((ROW(A2877)-1)/COLUMNS('Portfolio Weights Returns'!$B$9:$BJ$69))+1,MOD(ROW(A2877)-1,COLUMNS('Portfolio Weights Returns'!$B$9:$BJ$69))+1)</f>
        <v>-8.249569701848854E-4</v>
      </c>
      <c r="B2878" cm="1">
        <f t="array" ref="B2878">INDEX('Portfolio Weights Std'!$B$9:$BJ$69,INT((ROW(A2877)-1)/COLUMNS('Portfolio Weights Std'!$B$9:$BJ$69))+1,MOD(ROW(A2877)-1,COLUMNS('Portfolio Weights Std'!$B$9:$BJ$69))+1)</f>
        <v>2.1030561279844463E-2</v>
      </c>
    </row>
    <row r="2879" spans="1:2" x14ac:dyDescent="0.25">
      <c r="A2879" cm="1">
        <f t="array" ref="A2879">INDEX('Portfolio Weights Returns'!$B$9:$BJ$69,
INT((ROW(A2878)-1)/COLUMNS('Portfolio Weights Returns'!$B$9:$BJ$69))+1,MOD(ROW(A2878)-1,COLUMNS('Portfolio Weights Returns'!$B$9:$BJ$69))+1)</f>
        <v>-8.1817579621820615E-4</v>
      </c>
      <c r="B2879" cm="1">
        <f t="array" ref="B2879">INDEX('Portfolio Weights Std'!$B$9:$BJ$69,INT((ROW(A2878)-1)/COLUMNS('Portfolio Weights Std'!$B$9:$BJ$69))+1,MOD(ROW(A2878)-1,COLUMNS('Portfolio Weights Std'!$B$9:$BJ$69))+1)</f>
        <v>2.0883990463087348E-2</v>
      </c>
    </row>
    <row r="2880" spans="1:2" x14ac:dyDescent="0.25">
      <c r="A2880" cm="1">
        <f t="array" ref="A2880">INDEX('Portfolio Weights Returns'!$B$9:$BJ$69,
INT((ROW(A2879)-1)/COLUMNS('Portfolio Weights Returns'!$B$9:$BJ$69))+1,MOD(ROW(A2879)-1,COLUMNS('Portfolio Weights Returns'!$B$9:$BJ$69))+1)</f>
        <v>-8.1139462225152711E-4</v>
      </c>
      <c r="B2880" cm="1">
        <f t="array" ref="B2880">INDEX('Portfolio Weights Std'!$B$9:$BJ$69,INT((ROW(A2879)-1)/COLUMNS('Portfolio Weights Std'!$B$9:$BJ$69))+1,MOD(ROW(A2879)-1,COLUMNS('Portfolio Weights Std'!$B$9:$BJ$69))+1)</f>
        <v>2.0738616478349743E-2</v>
      </c>
    </row>
    <row r="2881" spans="1:2" x14ac:dyDescent="0.25">
      <c r="A2881" cm="1">
        <f t="array" ref="A2881">INDEX('Portfolio Weights Returns'!$B$9:$BJ$69,
INT((ROW(A2880)-1)/COLUMNS('Portfolio Weights Returns'!$B$9:$BJ$69))+1,MOD(ROW(A2880)-1,COLUMNS('Portfolio Weights Returns'!$B$9:$BJ$69))+1)</f>
        <v>-8.0461344828484797E-4</v>
      </c>
      <c r="B2881" cm="1">
        <f t="array" ref="B2881">INDEX('Portfolio Weights Std'!$B$9:$BJ$69,INT((ROW(A2880)-1)/COLUMNS('Portfolio Weights Std'!$B$9:$BJ$69))+1,MOD(ROW(A2880)-1,COLUMNS('Portfolio Weights Std'!$B$9:$BJ$69))+1)</f>
        <v>2.0594464670550715E-2</v>
      </c>
    </row>
    <row r="2882" spans="1:2" x14ac:dyDescent="0.25">
      <c r="A2882" cm="1">
        <f t="array" ref="A2882">INDEX('Portfolio Weights Returns'!$B$9:$BJ$69,
INT((ROW(A2881)-1)/COLUMNS('Portfolio Weights Returns'!$B$9:$BJ$69))+1,MOD(ROW(A2881)-1,COLUMNS('Portfolio Weights Returns'!$B$9:$BJ$69))+1)</f>
        <v>-7.9783227431816882E-4</v>
      </c>
      <c r="B2882" cm="1">
        <f t="array" ref="B2882">INDEX('Portfolio Weights Std'!$B$9:$BJ$69,INT((ROW(A2881)-1)/COLUMNS('Portfolio Weights Std'!$B$9:$BJ$69))+1,MOD(ROW(A2881)-1,COLUMNS('Portfolio Weights Std'!$B$9:$BJ$69))+1)</f>
        <v>2.045156088306635E-2</v>
      </c>
    </row>
    <row r="2883" spans="1:2" x14ac:dyDescent="0.25">
      <c r="A2883" cm="1">
        <f t="array" ref="A2883">INDEX('Portfolio Weights Returns'!$B$9:$BJ$69,
INT((ROW(A2882)-1)/COLUMNS('Portfolio Weights Returns'!$B$9:$BJ$69))+1,MOD(ROW(A2882)-1,COLUMNS('Portfolio Weights Returns'!$B$9:$BJ$69))+1)</f>
        <v>-7.9105110035148968E-4</v>
      </c>
      <c r="B2883" cm="1">
        <f t="array" ref="B2883">INDEX('Portfolio Weights Std'!$B$9:$BJ$69,INT((ROW(A2882)-1)/COLUMNS('Portfolio Weights Std'!$B$9:$BJ$69))+1,MOD(ROW(A2882)-1,COLUMNS('Portfolio Weights Std'!$B$9:$BJ$69))+1)</f>
        <v>2.0309931459699799E-2</v>
      </c>
    </row>
    <row r="2884" spans="1:2" x14ac:dyDescent="0.25">
      <c r="A2884" cm="1">
        <f t="array" ref="A2884">INDEX('Portfolio Weights Returns'!$B$9:$BJ$69,
INT((ROW(A2883)-1)/COLUMNS('Portfolio Weights Returns'!$B$9:$BJ$69))+1,MOD(ROW(A2883)-1,COLUMNS('Portfolio Weights Returns'!$B$9:$BJ$69))+1)</f>
        <v>-7.8426992638481064E-4</v>
      </c>
      <c r="B2884" cm="1">
        <f t="array" ref="B2884">INDEX('Portfolio Weights Std'!$B$9:$BJ$69,INT((ROW(A2883)-1)/COLUMNS('Portfolio Weights Std'!$B$9:$BJ$69))+1,MOD(ROW(A2883)-1,COLUMNS('Portfolio Weights Std'!$B$9:$BJ$69))+1)</f>
        <v>2.0169603245933306E-2</v>
      </c>
    </row>
    <row r="2885" spans="1:2" x14ac:dyDescent="0.25">
      <c r="A2885" cm="1">
        <f t="array" ref="A2885">INDEX('Portfolio Weights Returns'!$B$9:$BJ$69,
INT((ROW(A2884)-1)/COLUMNS('Portfolio Weights Returns'!$B$9:$BJ$69))+1,MOD(ROW(A2884)-1,COLUMNS('Portfolio Weights Returns'!$B$9:$BJ$69))+1)</f>
        <v>-7.774887524181316E-4</v>
      </c>
      <c r="B2885" cm="1">
        <f t="array" ref="B2885">INDEX('Portfolio Weights Std'!$B$9:$BJ$69,INT((ROW(A2884)-1)/COLUMNS('Portfolio Weights Std'!$B$9:$BJ$69))+1,MOD(ROW(A2884)-1,COLUMNS('Portfolio Weights Std'!$B$9:$BJ$69))+1)</f>
        <v>2.0030603589401629E-2</v>
      </c>
    </row>
    <row r="2886" spans="1:2" x14ac:dyDescent="0.25">
      <c r="A2886" cm="1">
        <f t="array" ref="A2886">INDEX('Portfolio Weights Returns'!$B$9:$BJ$69,
INT((ROW(A2885)-1)/COLUMNS('Portfolio Weights Returns'!$B$9:$BJ$69))+1,MOD(ROW(A2885)-1,COLUMNS('Portfolio Weights Returns'!$B$9:$BJ$69))+1)</f>
        <v>-7.7070757845145246E-4</v>
      </c>
      <c r="B2886" cm="1">
        <f t="array" ref="B2886">INDEX('Portfolio Weights Std'!$B$9:$BJ$69,INT((ROW(A2885)-1)/COLUMNS('Portfolio Weights Std'!$B$9:$BJ$69))+1,MOD(ROW(A2885)-1,COLUMNS('Portfolio Weights Std'!$B$9:$BJ$69))+1)</f>
        <v>1.989296033952365E-2</v>
      </c>
    </row>
    <row r="2887" spans="1:2" x14ac:dyDescent="0.25">
      <c r="A2887" cm="1">
        <f t="array" ref="A2887">INDEX('Portfolio Weights Returns'!$B$9:$BJ$69,
INT((ROW(A2886)-1)/COLUMNS('Portfolio Weights Returns'!$B$9:$BJ$69))+1,MOD(ROW(A2886)-1,COLUMNS('Portfolio Weights Returns'!$B$9:$BJ$69))+1)</f>
        <v>-7.6392640448477342E-4</v>
      </c>
      <c r="B2887" cm="1">
        <f t="array" ref="B2887">INDEX('Portfolio Weights Std'!$B$9:$BJ$69,INT((ROW(A2886)-1)/COLUMNS('Portfolio Weights Std'!$B$9:$BJ$69))+1,MOD(ROW(A2886)-1,COLUMNS('Portfolio Weights Std'!$B$9:$BJ$69))+1)</f>
        <v>1.9756701846226733E-2</v>
      </c>
    </row>
    <row r="2888" spans="1:2" x14ac:dyDescent="0.25">
      <c r="A2888" cm="1">
        <f t="array" ref="A2888">INDEX('Portfolio Weights Returns'!$B$9:$BJ$69,
INT((ROW(A2887)-1)/COLUMNS('Portfolio Weights Returns'!$B$9:$BJ$69))+1,MOD(ROW(A2887)-1,COLUMNS('Portfolio Weights Returns'!$B$9:$BJ$69))+1)</f>
        <v>-7.5714523051809428E-4</v>
      </c>
      <c r="B2888" cm="1">
        <f t="array" ref="B2888">INDEX('Portfolio Weights Std'!$B$9:$BJ$69,INT((ROW(A2887)-1)/COLUMNS('Portfolio Weights Std'!$B$9:$BJ$69))+1,MOD(ROW(A2887)-1,COLUMNS('Portfolio Weights Std'!$B$9:$BJ$69))+1)</f>
        <v>1.9621856957695482E-2</v>
      </c>
    </row>
    <row r="2889" spans="1:2" x14ac:dyDescent="0.25">
      <c r="A2889" cm="1">
        <f t="array" ref="A2889">INDEX('Portfolio Weights Returns'!$B$9:$BJ$69,
INT((ROW(A2888)-1)/COLUMNS('Portfolio Weights Returns'!$B$9:$BJ$69))+1,MOD(ROW(A2888)-1,COLUMNS('Portfolio Weights Returns'!$B$9:$BJ$69))+1)</f>
        <v>-7.5036405655141524E-4</v>
      </c>
      <c r="B2889" cm="1">
        <f t="array" ref="B2889">INDEX('Portfolio Weights Std'!$B$9:$BJ$69,INT((ROW(A2888)-1)/COLUMNS('Portfolio Weights Std'!$B$9:$BJ$69))+1,MOD(ROW(A2888)-1,COLUMNS('Portfolio Weights Std'!$B$9:$BJ$69))+1)</f>
        <v>1.9488455017074906E-2</v>
      </c>
    </row>
    <row r="2890" spans="1:2" x14ac:dyDescent="0.25">
      <c r="A2890" cm="1">
        <f t="array" ref="A2890">INDEX('Portfolio Weights Returns'!$B$9:$BJ$69,
INT((ROW(A2889)-1)/COLUMNS('Portfolio Weights Returns'!$B$9:$BJ$69))+1,MOD(ROW(A2889)-1,COLUMNS('Portfolio Weights Returns'!$B$9:$BJ$69))+1)</f>
        <v>-7.435828825847361E-4</v>
      </c>
      <c r="B2890" cm="1">
        <f t="array" ref="B2890">INDEX('Portfolio Weights Std'!$B$9:$BJ$69,INT((ROW(A2889)-1)/COLUMNS('Portfolio Weights Std'!$B$9:$BJ$69))+1,MOD(ROW(A2889)-1,COLUMNS('Portfolio Weights Std'!$B$9:$BJ$69))+1)</f>
        <v>1.9356525858055404E-2</v>
      </c>
    </row>
    <row r="2891" spans="1:2" x14ac:dyDescent="0.25">
      <c r="A2891" cm="1">
        <f t="array" ref="A2891">INDEX('Portfolio Weights Returns'!$B$9:$BJ$69,
INT((ROW(A2890)-1)/COLUMNS('Portfolio Weights Returns'!$B$9:$BJ$69))+1,MOD(ROW(A2890)-1,COLUMNS('Portfolio Weights Returns'!$B$9:$BJ$69))+1)</f>
        <v>-7.3680170861805706E-4</v>
      </c>
      <c r="B2891" cm="1">
        <f t="array" ref="B2891">INDEX('Portfolio Weights Std'!$B$9:$BJ$69,INT((ROW(A2890)-1)/COLUMNS('Portfolio Weights Std'!$B$9:$BJ$69))+1,MOD(ROW(A2890)-1,COLUMNS('Portfolio Weights Std'!$B$9:$BJ$69))+1)</f>
        <v>1.9226099799265289E-2</v>
      </c>
    </row>
    <row r="2892" spans="1:2" x14ac:dyDescent="0.25">
      <c r="A2892" cm="1">
        <f t="array" ref="A2892">INDEX('Portfolio Weights Returns'!$B$9:$BJ$69,
INT((ROW(A2891)-1)/COLUMNS('Portfolio Weights Returns'!$B$9:$BJ$69))+1,MOD(ROW(A2891)-1,COLUMNS('Portfolio Weights Returns'!$B$9:$BJ$69))+1)</f>
        <v>-7.3002053465137781E-4</v>
      </c>
      <c r="B2892" cm="1">
        <f t="array" ref="B2892">INDEX('Portfolio Weights Std'!$B$9:$BJ$69,INT((ROW(A2891)-1)/COLUMNS('Portfolio Weights Std'!$B$9:$BJ$69))+1,MOD(ROW(A2891)-1,COLUMNS('Portfolio Weights Std'!$B$9:$BJ$69))+1)</f>
        <v>1.9097207637394954E-2</v>
      </c>
    </row>
    <row r="2893" spans="1:2" x14ac:dyDescent="0.25">
      <c r="A2893" cm="1">
        <f t="array" ref="A2893">INDEX('Portfolio Weights Returns'!$B$9:$BJ$69,
INT((ROW(A2892)-1)/COLUMNS('Portfolio Weights Returns'!$B$9:$BJ$69))+1,MOD(ROW(A2892)-1,COLUMNS('Portfolio Weights Returns'!$B$9:$BJ$69))+1)</f>
        <v>-7.2323936068469877E-4</v>
      </c>
      <c r="B2893" cm="1">
        <f t="array" ref="B2893">INDEX('Portfolio Weights Std'!$B$9:$BJ$69,INT((ROW(A2892)-1)/COLUMNS('Portfolio Weights Std'!$B$9:$BJ$69))+1,MOD(ROW(A2892)-1,COLUMNS('Portfolio Weights Std'!$B$9:$BJ$69))+1)</f>
        <v>1.8969880638975291E-2</v>
      </c>
    </row>
    <row r="2894" spans="1:2" x14ac:dyDescent="0.25">
      <c r="A2894" cm="1">
        <f t="array" ref="A2894">INDEX('Portfolio Weights Returns'!$B$9:$BJ$69,
INT((ROW(A2893)-1)/COLUMNS('Portfolio Weights Returns'!$B$9:$BJ$69))+1,MOD(ROW(A2893)-1,COLUMNS('Portfolio Weights Returns'!$B$9:$BJ$69))+1)</f>
        <v>-7.1645818671801963E-4</v>
      </c>
      <c r="B2894" cm="1">
        <f t="array" ref="B2894">INDEX('Portfolio Weights Std'!$B$9:$BJ$69,INT((ROW(A2893)-1)/COLUMNS('Portfolio Weights Std'!$B$9:$BJ$69))+1,MOD(ROW(A2893)-1,COLUMNS('Portfolio Weights Std'!$B$9:$BJ$69))+1)</f>
        <v>1.8844150530732042E-2</v>
      </c>
    </row>
    <row r="2895" spans="1:2" x14ac:dyDescent="0.25">
      <c r="A2895" cm="1">
        <f t="array" ref="A2895">INDEX('Portfolio Weights Returns'!$B$9:$BJ$69,
INT((ROW(A2894)-1)/COLUMNS('Portfolio Weights Returns'!$B$9:$BJ$69))+1,MOD(ROW(A2894)-1,COLUMNS('Portfolio Weights Returns'!$B$9:$BJ$69))+1)</f>
        <v>-7.0967701275134059E-4</v>
      </c>
      <c r="B2895" cm="1">
        <f t="array" ref="B2895">INDEX('Portfolio Weights Std'!$B$9:$BJ$69,INT((ROW(A2894)-1)/COLUMNS('Portfolio Weights Std'!$B$9:$BJ$69))+1,MOD(ROW(A2894)-1,COLUMNS('Portfolio Weights Std'!$B$9:$BJ$69))+1)</f>
        <v>1.8720049488437092E-2</v>
      </c>
    </row>
    <row r="2896" spans="1:2" x14ac:dyDescent="0.25">
      <c r="A2896" cm="1">
        <f t="array" ref="A2896">INDEX('Portfolio Weights Returns'!$B$9:$BJ$69,
INT((ROW(A2895)-1)/COLUMNS('Portfolio Weights Returns'!$B$9:$BJ$69))+1,MOD(ROW(A2895)-1,COLUMNS('Portfolio Weights Returns'!$B$9:$BJ$69))+1)</f>
        <v>-7.0289583878466145E-4</v>
      </c>
      <c r="B2896" cm="1">
        <f t="array" ref="B2896">INDEX('Portfolio Weights Std'!$B$9:$BJ$69,INT((ROW(A2895)-1)/COLUMNS('Portfolio Weights Std'!$B$9:$BJ$69))+1,MOD(ROW(A2895)-1,COLUMNS('Portfolio Weights Std'!$B$9:$BJ$69))+1)</f>
        <v>1.8597610124177381E-2</v>
      </c>
    </row>
    <row r="2897" spans="1:2" x14ac:dyDescent="0.25">
      <c r="A2897" cm="1">
        <f t="array" ref="A2897">INDEX('Portfolio Weights Returns'!$B$9:$BJ$69,
INT((ROW(A2896)-1)/COLUMNS('Portfolio Weights Returns'!$B$9:$BJ$69))+1,MOD(ROW(A2896)-1,COLUMNS('Portfolio Weights Returns'!$B$9:$BJ$69))+1)</f>
        <v>-6.9611466481798241E-4</v>
      </c>
      <c r="B2897" cm="1">
        <f t="array" ref="B2897">INDEX('Portfolio Weights Std'!$B$9:$BJ$69,INT((ROW(A2896)-1)/COLUMNS('Portfolio Weights Std'!$B$9:$BJ$69))+1,MOD(ROW(A2896)-1,COLUMNS('Portfolio Weights Std'!$B$9:$BJ$69))+1)</f>
        <v>1.8476865471962551E-2</v>
      </c>
    </row>
    <row r="2898" spans="1:2" x14ac:dyDescent="0.25">
      <c r="A2898" cm="1">
        <f t="array" ref="A2898">INDEX('Portfolio Weights Returns'!$B$9:$BJ$69,
INT((ROW(A2897)-1)/COLUMNS('Portfolio Weights Returns'!$B$9:$BJ$69))+1,MOD(ROW(A2897)-1,COLUMNS('Portfolio Weights Returns'!$B$9:$BJ$69))+1)</f>
        <v>-6.8933349085130316E-4</v>
      </c>
      <c r="B2898" cm="1">
        <f t="array" ref="B2898">INDEX('Portfolio Weights Std'!$B$9:$BJ$69,INT((ROW(A2897)-1)/COLUMNS('Portfolio Weights Std'!$B$9:$BJ$69))+1,MOD(ROW(A2897)-1,COLUMNS('Portfolio Weights Std'!$B$9:$BJ$69))+1)</f>
        <v>1.8357848971593184E-2</v>
      </c>
    </row>
    <row r="2899" spans="1:2" x14ac:dyDescent="0.25">
      <c r="A2899" cm="1">
        <f t="array" ref="A2899">INDEX('Portfolio Weights Returns'!$B$9:$BJ$69,
INT((ROW(A2898)-1)/COLUMNS('Portfolio Weights Returns'!$B$9:$BJ$69))+1,MOD(ROW(A2898)-1,COLUMNS('Portfolio Weights Returns'!$B$9:$BJ$69))+1)</f>
        <v>-6.8255231688462402E-4</v>
      </c>
      <c r="B2899" cm="1">
        <f t="array" ref="B2899">INDEX('Portfolio Weights Std'!$B$9:$BJ$69,INT((ROW(A2898)-1)/COLUMNS('Portfolio Weights Std'!$B$9:$BJ$69))+1,MOD(ROW(A2898)-1,COLUMNS('Portfolio Weights Std'!$B$9:$BJ$69))+1)</f>
        <v>1.8240594450712778E-2</v>
      </c>
    </row>
    <row r="2900" spans="1:2" x14ac:dyDescent="0.25">
      <c r="A2900" cm="1">
        <f t="array" ref="A2900">INDEX('Portfolio Weights Returns'!$B$9:$BJ$69,
INT((ROW(A2899)-1)/COLUMNS('Portfolio Weights Returns'!$B$9:$BJ$69))+1,MOD(ROW(A2899)-1,COLUMNS('Portfolio Weights Returns'!$B$9:$BJ$69))+1)</f>
        <v>-6.7577114291794498E-4</v>
      </c>
      <c r="B2900" cm="1">
        <f t="array" ref="B2900">INDEX('Portfolio Weights Std'!$B$9:$BJ$69,INT((ROW(A2899)-1)/COLUMNS('Portfolio Weights Std'!$B$9:$BJ$69))+1,MOD(ROW(A2899)-1,COLUMNS('Portfolio Weights Std'!$B$9:$BJ$69))+1)</f>
        <v>1.812513610496894E-2</v>
      </c>
    </row>
    <row r="2901" spans="1:2" x14ac:dyDescent="0.25">
      <c r="A2901" cm="1">
        <f t="array" ref="A2901">INDEX('Portfolio Weights Returns'!$B$9:$BJ$69,
INT((ROW(A2900)-1)/COLUMNS('Portfolio Weights Returns'!$B$9:$BJ$69))+1,MOD(ROW(A2900)-1,COLUMNS('Portfolio Weights Returns'!$B$9:$BJ$69))+1)</f>
        <v>-6.6898996895126584E-4</v>
      </c>
      <c r="B2901" cm="1">
        <f t="array" ref="B2901">INDEX('Portfolio Weights Std'!$B$9:$BJ$69,INT((ROW(A2900)-1)/COLUMNS('Portfolio Weights Std'!$B$9:$BJ$69))+1,MOD(ROW(A2900)-1,COLUMNS('Portfolio Weights Std'!$B$9:$BJ$69))+1)</f>
        <v>1.8011508476211795E-2</v>
      </c>
    </row>
    <row r="2902" spans="1:2" x14ac:dyDescent="0.25">
      <c r="A2902" cm="1">
        <f t="array" ref="A2902">INDEX('Portfolio Weights Returns'!$B$9:$BJ$69,
INT((ROW(A2901)-1)/COLUMNS('Portfolio Weights Returns'!$B$9:$BJ$69))+1,MOD(ROW(A2901)-1,COLUMNS('Portfolio Weights Returns'!$B$9:$BJ$69))+1)</f>
        <v>-6.622087949845868E-4</v>
      </c>
      <c r="B2902" cm="1">
        <f t="array" ref="B2902">INDEX('Portfolio Weights Std'!$B$9:$BJ$69,INT((ROW(A2901)-1)/COLUMNS('Portfolio Weights Std'!$B$9:$BJ$69))+1,MOD(ROW(A2901)-1,COLUMNS('Portfolio Weights Std'!$B$9:$BJ$69))+1)</f>
        <v>1.7899746428661385E-2</v>
      </c>
    </row>
    <row r="2903" spans="1:2" x14ac:dyDescent="0.25">
      <c r="A2903" cm="1">
        <f t="array" ref="A2903">INDEX('Portfolio Weights Returns'!$B$9:$BJ$69,
INT((ROW(A2902)-1)/COLUMNS('Portfolio Weights Returns'!$B$9:$BJ$69))+1,MOD(ROW(A2902)-1,COLUMNS('Portfolio Weights Returns'!$B$9:$BJ$69))+1)</f>
        <v>-6.5542762101790766E-4</v>
      </c>
      <c r="B2903" cm="1">
        <f t="array" ref="B2903">INDEX('Portfolio Weights Std'!$B$9:$BJ$69,INT((ROW(A2902)-1)/COLUMNS('Portfolio Weights Std'!$B$9:$BJ$69))+1,MOD(ROW(A2902)-1,COLUMNS('Portfolio Weights Std'!$B$9:$BJ$69))+1)</f>
        <v>1.7789885122980097E-2</v>
      </c>
    </row>
    <row r="2904" spans="1:2" x14ac:dyDescent="0.25">
      <c r="A2904" cm="1">
        <f t="array" ref="A2904">INDEX('Portfolio Weights Returns'!$B$9:$BJ$69,
INT((ROW(A2903)-1)/COLUMNS('Portfolio Weights Returns'!$B$9:$BJ$69))+1,MOD(ROW(A2903)-1,COLUMNS('Portfolio Weights Returns'!$B$9:$BJ$69))+1)</f>
        <v>-6.4864644705122862E-4</v>
      </c>
      <c r="B2904" cm="1">
        <f t="array" ref="B2904">INDEX('Portfolio Weights Std'!$B$9:$BJ$69,INT((ROW(A2903)-1)/COLUMNS('Portfolio Weights Std'!$B$9:$BJ$69))+1,MOD(ROW(A2903)-1,COLUMNS('Portfolio Weights Std'!$B$9:$BJ$69))+1)</f>
        <v>1.7681959988191557E-2</v>
      </c>
    </row>
    <row r="2905" spans="1:2" x14ac:dyDescent="0.25">
      <c r="A2905" cm="1">
        <f t="array" ref="A2905">INDEX('Portfolio Weights Returns'!$B$9:$BJ$69,
INT((ROW(A2904)-1)/COLUMNS('Portfolio Weights Returns'!$B$9:$BJ$69))+1,MOD(ROW(A2904)-1,COLUMNS('Portfolio Weights Returns'!$B$9:$BJ$69))+1)</f>
        <v>-6.4186527308454937E-4</v>
      </c>
      <c r="B2905" cm="1">
        <f t="array" ref="B2905">INDEX('Portfolio Weights Std'!$B$9:$BJ$69,INT((ROW(A2904)-1)/COLUMNS('Portfolio Weights Std'!$B$9:$BJ$69))+1,MOD(ROW(A2904)-1,COLUMNS('Portfolio Weights Std'!$B$9:$BJ$69))+1)</f>
        <v>1.7576006691393573E-2</v>
      </c>
    </row>
    <row r="2906" spans="1:2" x14ac:dyDescent="0.25">
      <c r="A2906" cm="1">
        <f t="array" ref="A2906">INDEX('Portfolio Weights Returns'!$B$9:$BJ$69,
INT((ROW(A2905)-1)/COLUMNS('Portfolio Weights Returns'!$B$9:$BJ$69))+1,MOD(ROW(A2905)-1,COLUMNS('Portfolio Weights Returns'!$B$9:$BJ$69))+1)</f>
        <v>-6.3508409911787033E-4</v>
      </c>
      <c r="B2906" cm="1">
        <f t="array" ref="B2906">INDEX('Portfolio Weights Std'!$B$9:$BJ$69,INT((ROW(A2905)-1)/COLUMNS('Portfolio Weights Std'!$B$9:$BJ$69))+1,MOD(ROW(A2905)-1,COLUMNS('Portfolio Weights Std'!$B$9:$BJ$69))+1)</f>
        <v>1.7472061105220017E-2</v>
      </c>
    </row>
    <row r="2907" spans="1:2" x14ac:dyDescent="0.25">
      <c r="A2907" cm="1">
        <f t="array" ref="A2907">INDEX('Portfolio Weights Returns'!$B$9:$BJ$69,
INT((ROW(A2906)-1)/COLUMNS('Portfolio Weights Returns'!$B$9:$BJ$69))+1,MOD(ROW(A2906)-1,COLUMNS('Portfolio Weights Returns'!$B$9:$BJ$69))+1)</f>
        <v>-6.2830292515119129E-4</v>
      </c>
      <c r="B2907" cm="1">
        <f t="array" ref="B2907">INDEX('Portfolio Weights Std'!$B$9:$BJ$69,INT((ROW(A2906)-1)/COLUMNS('Portfolio Weights Std'!$B$9:$BJ$69))+1,MOD(ROW(A2906)-1,COLUMNS('Portfolio Weights Std'!$B$9:$BJ$69))+1)</f>
        <v>1.7370159273014697E-2</v>
      </c>
    </row>
    <row r="2908" spans="1:2" x14ac:dyDescent="0.25">
      <c r="A2908" cm="1">
        <f t="array" ref="A2908">INDEX('Portfolio Weights Returns'!$B$9:$BJ$69,
INT((ROW(A2907)-1)/COLUMNS('Portfolio Weights Returns'!$B$9:$BJ$69))+1,MOD(ROW(A2907)-1,COLUMNS('Portfolio Weights Returns'!$B$9:$BJ$69))+1)</f>
        <v>-6.2152175118451226E-4</v>
      </c>
      <c r="B2908" cm="1">
        <f t="array" ref="B2908">INDEX('Portfolio Weights Std'!$B$9:$BJ$69,INT((ROW(A2907)-1)/COLUMNS('Portfolio Weights Std'!$B$9:$BJ$69))+1,MOD(ROW(A2907)-1,COLUMNS('Portfolio Weights Std'!$B$9:$BJ$69))+1)</f>
        <v>1.7270337371689662E-2</v>
      </c>
    </row>
    <row r="2909" spans="1:2" x14ac:dyDescent="0.25">
      <c r="A2909" cm="1">
        <f t="array" ref="A2909">INDEX('Portfolio Weights Returns'!$B$9:$BJ$69,
INT((ROW(A2908)-1)/COLUMNS('Portfolio Weights Returns'!$B$9:$BJ$69))+1,MOD(ROW(A2908)-1,COLUMNS('Portfolio Weights Returns'!$B$9:$BJ$69))+1)</f>
        <v>-6.1474057721783311E-4</v>
      </c>
      <c r="B2909" cm="1">
        <f t="array" ref="B2909">INDEX('Portfolio Weights Std'!$B$9:$BJ$69,INT((ROW(A2908)-1)/COLUMNS('Portfolio Weights Std'!$B$9:$BJ$69))+1,MOD(ROW(A2908)-1,COLUMNS('Portfolio Weights Std'!$B$9:$BJ$69))+1)</f>
        <v>1.7172631672250728E-2</v>
      </c>
    </row>
    <row r="2910" spans="1:2" x14ac:dyDescent="0.25">
      <c r="A2910" cm="1">
        <f t="array" ref="A2910">INDEX('Portfolio Weights Returns'!$B$9:$BJ$69,
INT((ROW(A2909)-1)/COLUMNS('Portfolio Weights Returns'!$B$9:$BJ$69))+1,MOD(ROW(A2909)-1,COLUMNS('Portfolio Weights Returns'!$B$9:$BJ$69))+1)</f>
        <v>-6.0795940325115397E-4</v>
      </c>
      <c r="B2910" cm="1">
        <f t="array" ref="B2910">INDEX('Portfolio Weights Std'!$B$9:$BJ$69,INT((ROW(A2909)-1)/COLUMNS('Portfolio Weights Std'!$B$9:$BJ$69))+1,MOD(ROW(A2909)-1,COLUMNS('Portfolio Weights Std'!$B$9:$BJ$69))+1)</f>
        <v>1.7077078497984455E-2</v>
      </c>
    </row>
    <row r="2911" spans="1:2" x14ac:dyDescent="0.25">
      <c r="A2911" cm="1">
        <f t="array" ref="A2911">INDEX('Portfolio Weights Returns'!$B$9:$BJ$69,
INT((ROW(A2910)-1)/COLUMNS('Portfolio Weights Returns'!$B$9:$BJ$69))+1,MOD(ROW(A2910)-1,COLUMNS('Portfolio Weights Returns'!$B$9:$BJ$69))+1)</f>
        <v>-6.0117822928447483E-4</v>
      </c>
      <c r="B2911" cm="1">
        <f t="array" ref="B2911">INDEX('Portfolio Weights Std'!$B$9:$BJ$69,INT((ROW(A2910)-1)/COLUMNS('Portfolio Weights Std'!$B$9:$BJ$69))+1,MOD(ROW(A2910)-1,COLUMNS('Portfolio Weights Std'!$B$9:$BJ$69))+1)</f>
        <v>1.6983714180313535E-2</v>
      </c>
    </row>
    <row r="2912" spans="1:2" x14ac:dyDescent="0.25">
      <c r="A2912" cm="1">
        <f t="array" ref="A2912">INDEX('Portfolio Weights Returns'!$B$9:$BJ$69,
INT((ROW(A2911)-1)/COLUMNS('Portfolio Weights Returns'!$B$9:$BJ$69))+1,MOD(ROW(A2911)-1,COLUMNS('Portfolio Weights Returns'!$B$9:$BJ$69))+1)</f>
        <v>-5.9439705531779568E-4</v>
      </c>
      <c r="B2912" cm="1">
        <f t="array" ref="B2912">INDEX('Portfolio Weights Std'!$B$9:$BJ$69,INT((ROW(A2911)-1)/COLUMNS('Portfolio Weights Std'!$B$9:$BJ$69))+1,MOD(ROW(A2911)-1,COLUMNS('Portfolio Weights Std'!$B$9:$BJ$69))+1)</f>
        <v>1.6892575012341045E-2</v>
      </c>
    </row>
    <row r="2913" spans="1:2" x14ac:dyDescent="0.25">
      <c r="A2913" cm="1">
        <f t="array" ref="A2913">INDEX('Portfolio Weights Returns'!$B$9:$BJ$69,
INT((ROW(A2912)-1)/COLUMNS('Portfolio Weights Returns'!$B$9:$BJ$69))+1,MOD(ROW(A2912)-1,COLUMNS('Portfolio Weights Returns'!$B$9:$BJ$69))+1)</f>
        <v>-5.8761588135111664E-4</v>
      </c>
      <c r="B2913" cm="1">
        <f t="array" ref="B2913">INDEX('Portfolio Weights Std'!$B$9:$BJ$69,INT((ROW(A2912)-1)/COLUMNS('Portfolio Weights Std'!$B$9:$BJ$69))+1,MOD(ROW(A2912)-1,COLUMNS('Portfolio Weights Std'!$B$9:$BJ$69))+1)</f>
        <v>1.6803697200118817E-2</v>
      </c>
    </row>
    <row r="2914" spans="1:2" x14ac:dyDescent="0.25">
      <c r="A2914" cm="1">
        <f t="array" ref="A2914">INDEX('Portfolio Weights Returns'!$B$9:$BJ$69,
INT((ROW(A2913)-1)/COLUMNS('Portfolio Weights Returns'!$B$9:$BJ$69))+1,MOD(ROW(A2913)-1,COLUMNS('Portfolio Weights Returns'!$B$9:$BJ$69))+1)</f>
        <v>-5.808347073844375E-4</v>
      </c>
      <c r="B2914" cm="1">
        <f t="array" ref="B2914">INDEX('Portfolio Weights Std'!$B$9:$BJ$69,INT((ROW(A2913)-1)/COLUMNS('Portfolio Weights Std'!$B$9:$BJ$69))+1,MOD(ROW(A2913)-1,COLUMNS('Portfolio Weights Std'!$B$9:$BJ$69))+1)</f>
        <v>1.671711681169091E-2</v>
      </c>
    </row>
    <row r="2915" spans="1:2" x14ac:dyDescent="0.25">
      <c r="A2915" cm="1">
        <f t="array" ref="A2915">INDEX('Portfolio Weights Returns'!$B$9:$BJ$69,
INT((ROW(A2914)-1)/COLUMNS('Portfolio Weights Returns'!$B$9:$BJ$69))+1,MOD(ROW(A2914)-1,COLUMNS('Portfolio Weights Returns'!$B$9:$BJ$69))+1)</f>
        <v>-5.7405353341775846E-4</v>
      </c>
      <c r="B2915" cm="1">
        <f t="array" ref="B2915">INDEX('Portfolio Weights Std'!$B$9:$BJ$69,INT((ROW(A2914)-1)/COLUMNS('Portfolio Weights Std'!$B$9:$BJ$69))+1,MOD(ROW(A2914)-1,COLUMNS('Portfolio Weights Std'!$B$9:$BJ$69))+1)</f>
        <v>1.6632869723979763E-2</v>
      </c>
    </row>
    <row r="2916" spans="1:2" x14ac:dyDescent="0.25">
      <c r="A2916" cm="1">
        <f t="array" ref="A2916">INDEX('Portfolio Weights Returns'!$B$9:$BJ$69,
INT((ROW(A2915)-1)/COLUMNS('Portfolio Weights Returns'!$B$9:$BJ$69))+1,MOD(ROW(A2915)-1,COLUMNS('Portfolio Weights Returns'!$B$9:$BJ$69))+1)</f>
        <v>-5.6727235945107932E-4</v>
      </c>
      <c r="B2916" cm="1">
        <f t="array" ref="B2916">INDEX('Portfolio Weights Std'!$B$9:$BJ$69,INT((ROW(A2915)-1)/COLUMNS('Portfolio Weights Std'!$B$9:$BJ$69))+1,MOD(ROW(A2915)-1,COLUMNS('Portfolio Weights Std'!$B$9:$BJ$69))+1)</f>
        <v>1.6550991567600183E-2</v>
      </c>
    </row>
    <row r="2917" spans="1:2" x14ac:dyDescent="0.25">
      <c r="A2917" cm="1">
        <f t="array" ref="A2917">INDEX('Portfolio Weights Returns'!$B$9:$BJ$69,
INT((ROW(A2916)-1)/COLUMNS('Portfolio Weights Returns'!$B$9:$BJ$69))+1,MOD(ROW(A2916)-1,COLUMNS('Portfolio Weights Returns'!$B$9:$BJ$69))+1)</f>
        <v>-5.6049118548440018E-4</v>
      </c>
      <c r="B2917" cm="1">
        <f t="array" ref="B2917">INDEX('Portfolio Weights Std'!$B$9:$BJ$69,INT((ROW(A2916)-1)/COLUMNS('Portfolio Weights Std'!$B$9:$BJ$69))+1,MOD(ROW(A2916)-1,COLUMNS('Portfolio Weights Std'!$B$9:$BJ$69))+1)</f>
        <v>1.6471517669704516E-2</v>
      </c>
    </row>
    <row r="2918" spans="1:2" x14ac:dyDescent="0.25">
      <c r="A2918" cm="1">
        <f t="array" ref="A2918">INDEX('Portfolio Weights Returns'!$B$9:$BJ$69,
INT((ROW(A2917)-1)/COLUMNS('Portfolio Weights Returns'!$B$9:$BJ$69))+1,MOD(ROW(A2917)-1,COLUMNS('Portfolio Weights Returns'!$B$9:$BJ$69))+1)</f>
        <v>-5.5371001151772114E-4</v>
      </c>
      <c r="B2918" cm="1">
        <f t="array" ref="B2918">INDEX('Portfolio Weights Std'!$B$9:$BJ$69,INT((ROW(A2917)-1)/COLUMNS('Portfolio Weights Std'!$B$9:$BJ$69))+1,MOD(ROW(A2917)-1,COLUMNS('Portfolio Weights Std'!$B$9:$BJ$69))+1)</f>
        <v>1.6394482994981259E-2</v>
      </c>
    </row>
    <row r="2919" spans="1:2" x14ac:dyDescent="0.25">
      <c r="A2919" cm="1">
        <f t="array" ref="A2919">INDEX('Portfolio Weights Returns'!$B$9:$BJ$69,
INT((ROW(A2918)-1)/COLUMNS('Portfolio Weights Returns'!$B$9:$BJ$69))+1,MOD(ROW(A2918)-1,COLUMNS('Portfolio Weights Returns'!$B$9:$BJ$69))+1)</f>
        <v>-5.46928837551042E-4</v>
      </c>
      <c r="B2919" cm="1">
        <f t="array" ref="B2919">INDEX('Portfolio Weights Std'!$B$9:$BJ$69,INT((ROW(A2918)-1)/COLUMNS('Portfolio Weights Std'!$B$9:$BJ$69))+1,MOD(ROW(A2918)-1,COLUMNS('Portfolio Weights Std'!$B$9:$BJ$69))+1)</f>
        <v>1.6319922084948726E-2</v>
      </c>
    </row>
    <row r="2920" spans="1:2" x14ac:dyDescent="0.25">
      <c r="A2920" cm="1">
        <f t="array" ref="A2920">INDEX('Portfolio Weights Returns'!$B$9:$BJ$69,
INT((ROW(A2919)-1)/COLUMNS('Portfolio Weights Returns'!$B$9:$BJ$69))+1,MOD(ROW(A2919)-1,COLUMNS('Portfolio Weights Returns'!$B$9:$BJ$69))+1)</f>
        <v>-5.4014766358436296E-4</v>
      </c>
      <c r="B2920" cm="1">
        <f t="array" ref="B2920">INDEX('Portfolio Weights Std'!$B$9:$BJ$69,INT((ROW(A2919)-1)/COLUMNS('Portfolio Weights Std'!$B$9:$BJ$69))+1,MOD(ROW(A2919)-1,COLUMNS('Portfolio Weights Std'!$B$9:$BJ$69))+1)</f>
        <v>1.6247868995704965E-2</v>
      </c>
    </row>
    <row r="2921" spans="1:2" x14ac:dyDescent="0.25">
      <c r="A2921" cm="1">
        <f t="array" ref="A2921">INDEX('Portfolio Weights Returns'!$B$9:$BJ$69,
INT((ROW(A2920)-1)/COLUMNS('Portfolio Weights Returns'!$B$9:$BJ$69))+1,MOD(ROW(A2920)-1,COLUMNS('Portfolio Weights Returns'!$B$9:$BJ$69))+1)</f>
        <v>-5.3336648961768381E-4</v>
      </c>
      <c r="B2921" cm="1">
        <f t="array" ref="B2921">INDEX('Portfolio Weights Std'!$B$9:$BJ$69,INT((ROW(A2920)-1)/COLUMNS('Portfolio Weights Std'!$B$9:$BJ$69))+1,MOD(ROW(A2920)-1,COLUMNS('Portfolio Weights Std'!$B$9:$BJ$69))+1)</f>
        <v>1.6178357234314922E-2</v>
      </c>
    </row>
    <row r="2922" spans="1:2" x14ac:dyDescent="0.25">
      <c r="A2922" cm="1">
        <f t="array" ref="A2922">INDEX('Portfolio Weights Returns'!$B$9:$BJ$69,
INT((ROW(A2921)-1)/COLUMNS('Portfolio Weights Returns'!$B$9:$BJ$69))+1,MOD(ROW(A2921)-1,COLUMNS('Portfolio Weights Returns'!$B$9:$BJ$69))+1)</f>
        <v>-5.2658531565100467E-4</v>
      </c>
      <c r="B2922" cm="1">
        <f t="array" ref="B2922">INDEX('Portfolio Weights Std'!$B$9:$BJ$69,INT((ROW(A2921)-1)/COLUMNS('Portfolio Weights Std'!$B$9:$BJ$69))+1,MOD(ROW(A2921)-1,COLUMNS('Portfolio Weights Std'!$B$9:$BJ$69))+1)</f>
        <v>1.6111419694035511E-2</v>
      </c>
    </row>
    <row r="2923" spans="1:2" x14ac:dyDescent="0.25">
      <c r="A2923" cm="1">
        <f t="array" ref="A2923">INDEX('Portfolio Weights Returns'!$B$9:$BJ$69,
INT((ROW(A2922)-1)/COLUMNS('Portfolio Weights Returns'!$B$9:$BJ$69))+1,MOD(ROW(A2922)-1,COLUMNS('Portfolio Weights Returns'!$B$9:$BJ$69))+1)</f>
        <v>-5.1980414168432563E-4</v>
      </c>
      <c r="B2923" cm="1">
        <f t="array" ref="B2923">INDEX('Portfolio Weights Std'!$B$9:$BJ$69,INT((ROW(A2922)-1)/COLUMNS('Portfolio Weights Std'!$B$9:$BJ$69))+1,MOD(ROW(A2922)-1,COLUMNS('Portfolio Weights Std'!$B$9:$BJ$69))+1)</f>
        <v>1.6047088588598449E-2</v>
      </c>
    </row>
    <row r="2924" spans="1:2" x14ac:dyDescent="0.25">
      <c r="A2924" cm="1">
        <f t="array" ref="A2924">INDEX('Portfolio Weights Returns'!$B$9:$BJ$69,
INT((ROW(A2923)-1)/COLUMNS('Portfolio Weights Returns'!$B$9:$BJ$69))+1,MOD(ROW(A2923)-1,COLUMNS('Portfolio Weights Returns'!$B$9:$BJ$69))+1)</f>
        <v>-5.1302296771764649E-4</v>
      </c>
      <c r="B2924" cm="1">
        <f t="array" ref="B2924">INDEX('Portfolio Weights Std'!$B$9:$BJ$69,INT((ROW(A2923)-1)/COLUMNS('Portfolio Weights Std'!$B$9:$BJ$69))+1,MOD(ROW(A2923)-1,COLUMNS('Portfolio Weights Std'!$B$9:$BJ$69))+1)</f>
        <v>1.5985395385789612E-2</v>
      </c>
    </row>
    <row r="2925" spans="1:2" x14ac:dyDescent="0.25">
      <c r="A2925" cm="1">
        <f t="array" ref="A2925">INDEX('Portfolio Weights Returns'!$B$9:$BJ$69,
INT((ROW(A2924)-1)/COLUMNS('Portfolio Weights Returns'!$B$9:$BJ$69))+1,MOD(ROW(A2924)-1,COLUMNS('Portfolio Weights Returns'!$B$9:$BJ$69))+1)</f>
        <v>-5.0624179375096735E-4</v>
      </c>
      <c r="B2925" cm="1">
        <f t="array" ref="B2925">INDEX('Portfolio Weights Std'!$B$9:$BJ$69,INT((ROW(A2924)-1)/COLUMNS('Portfolio Weights Std'!$B$9:$BJ$69))+1,MOD(ROW(A2924)-1,COLUMNS('Portfolio Weights Std'!$B$9:$BJ$69))+1)</f>
        <v>1.5926370740581387E-2</v>
      </c>
    </row>
    <row r="2926" spans="1:2" x14ac:dyDescent="0.25">
      <c r="A2926" cm="1">
        <f t="array" ref="A2926">INDEX('Portfolio Weights Returns'!$B$9:$BJ$69,
INT((ROW(A2925)-1)/COLUMNS('Portfolio Weights Returns'!$B$9:$BJ$69))+1,MOD(ROW(A2925)-1,COLUMNS('Portfolio Weights Returns'!$B$9:$BJ$69))+1)</f>
        <v>-4.9946061978428755E-4</v>
      </c>
      <c r="B2926" cm="1">
        <f t="array" ref="B2926">INDEX('Portfolio Weights Std'!$B$9:$BJ$69,INT((ROW(A2925)-1)/COLUMNS('Portfolio Weights Std'!$B$9:$BJ$69))+1,MOD(ROW(A2925)-1,COLUMNS('Portfolio Weights Std'!$B$9:$BJ$69))+1)</f>
        <v>1.5870044428091427E-2</v>
      </c>
    </row>
    <row r="2927" spans="1:2" x14ac:dyDescent="0.25">
      <c r="A2927" cm="1">
        <f t="array" ref="A2927">INDEX('Portfolio Weights Returns'!$B$9:$BJ$69,
INT((ROW(A2926)-1)/COLUMNS('Portfolio Weights Returns'!$B$9:$BJ$69))+1,MOD(ROW(A2926)-1,COLUMNS('Portfolio Weights Returns'!$B$9:$BJ$69))+1)</f>
        <v>-4.9267944581760851E-4</v>
      </c>
      <c r="B2927" cm="1">
        <f t="array" ref="B2927">INDEX('Portfolio Weights Std'!$B$9:$BJ$69,INT((ROW(A2926)-1)/COLUMNS('Portfolio Weights Std'!$B$9:$BJ$69))+1,MOD(ROW(A2926)-1,COLUMNS('Portfolio Weights Std'!$B$9:$BJ$69))+1)</f>
        <v>1.5816445276656533E-2</v>
      </c>
    </row>
    <row r="2928" spans="1:2" x14ac:dyDescent="0.25">
      <c r="A2928" cm="1">
        <f t="array" ref="A2928">INDEX('Portfolio Weights Returns'!$B$9:$BJ$69,
INT((ROW(A2927)-1)/COLUMNS('Portfolio Weights Returns'!$B$9:$BJ$69))+1,MOD(ROW(A2927)-1,COLUMNS('Portfolio Weights Returns'!$B$9:$BJ$69))+1)</f>
        <v>-4.8589827185092948E-4</v>
      </c>
      <c r="B2928" cm="1">
        <f t="array" ref="B2928">INDEX('Portfolio Weights Std'!$B$9:$BJ$69,INT((ROW(A2927)-1)/COLUMNS('Portfolio Weights Std'!$B$9:$BJ$69))+1,MOD(ROW(A2927)-1,COLUMNS('Portfolio Weights Std'!$B$9:$BJ$69))+1)</f>
        <v>1.5765601101324103E-2</v>
      </c>
    </row>
    <row r="2929" spans="1:2" x14ac:dyDescent="0.25">
      <c r="A2929" cm="1">
        <f t="array" ref="A2929">INDEX('Portfolio Weights Returns'!$B$9:$BJ$69,
INT((ROW(A2928)-1)/COLUMNS('Portfolio Weights Returns'!$B$9:$BJ$69))+1,MOD(ROW(A2928)-1,COLUMNS('Portfolio Weights Returns'!$B$9:$BJ$69))+1)</f>
        <v>-4.7911709788425033E-4</v>
      </c>
      <c r="B2929" cm="1">
        <f t="array" ref="B2929">INDEX('Portfolio Weights Std'!$B$9:$BJ$69,INT((ROW(A2928)-1)/COLUMNS('Portfolio Weights Std'!$B$9:$BJ$69))+1,MOD(ROW(A2928)-1,COLUMNS('Portfolio Weights Std'!$B$9:$BJ$69))+1)</f>
        <v>1.5717538638075575E-2</v>
      </c>
    </row>
    <row r="2930" spans="1:2" x14ac:dyDescent="0.25">
      <c r="A2930" cm="1">
        <f t="array" ref="A2930">INDEX('Portfolio Weights Returns'!$B$9:$BJ$69,
INT((ROW(A2929)-1)/COLUMNS('Portfolio Weights Returns'!$B$9:$BJ$69))+1,MOD(ROW(A2929)-1,COLUMNS('Portfolio Weights Returns'!$B$9:$BJ$69))+1)</f>
        <v>-8.7941332803954215E-4</v>
      </c>
      <c r="B2930" cm="1">
        <f t="array" ref="B2930">INDEX('Portfolio Weights Std'!$B$9:$BJ$69,INT((ROW(A2929)-1)/COLUMNS('Portfolio Weights Std'!$B$9:$BJ$69))+1,MOD(ROW(A2929)-1,COLUMNS('Portfolio Weights Std'!$B$9:$BJ$69))+1)</f>
        <v>2.2362572338103702E-2</v>
      </c>
    </row>
    <row r="2931" spans="1:2" x14ac:dyDescent="0.25">
      <c r="A2931" cm="1">
        <f t="array" ref="A2931">INDEX('Portfolio Weights Returns'!$B$9:$BJ$69,
INT((ROW(A2930)-1)/COLUMNS('Portfolio Weights Returns'!$B$9:$BJ$69))+1,MOD(ROW(A2930)-1,COLUMNS('Portfolio Weights Returns'!$B$9:$BJ$69))+1)</f>
        <v>-8.7263215407286311E-4</v>
      </c>
      <c r="B2931" cm="1">
        <f t="array" ref="B2931">INDEX('Portfolio Weights Std'!$B$9:$BJ$69,INT((ROW(A2930)-1)/COLUMNS('Portfolio Weights Std'!$B$9:$BJ$69))+1,MOD(ROW(A2930)-1,COLUMNS('Portfolio Weights Std'!$B$9:$BJ$69))+1)</f>
        <v>2.2207744762811309E-2</v>
      </c>
    </row>
    <row r="2932" spans="1:2" x14ac:dyDescent="0.25">
      <c r="A2932" cm="1">
        <f t="array" ref="A2932">INDEX('Portfolio Weights Returns'!$B$9:$BJ$69,
INT((ROW(A2931)-1)/COLUMNS('Portfolio Weights Returns'!$B$9:$BJ$69))+1,MOD(ROW(A2931)-1,COLUMNS('Portfolio Weights Returns'!$B$9:$BJ$69))+1)</f>
        <v>-8.6585098010618386E-4</v>
      </c>
      <c r="B2932" cm="1">
        <f t="array" ref="B2932">INDEX('Portfolio Weights Std'!$B$9:$BJ$69,INT((ROW(A2931)-1)/COLUMNS('Portfolio Weights Std'!$B$9:$BJ$69))+1,MOD(ROW(A2931)-1,COLUMNS('Portfolio Weights Std'!$B$9:$BJ$69))+1)</f>
        <v>2.2053929789952426E-2</v>
      </c>
    </row>
    <row r="2933" spans="1:2" x14ac:dyDescent="0.25">
      <c r="A2933" cm="1">
        <f t="array" ref="A2933">INDEX('Portfolio Weights Returns'!$B$9:$BJ$69,
INT((ROW(A2932)-1)/COLUMNS('Portfolio Weights Returns'!$B$9:$BJ$69))+1,MOD(ROW(A2932)-1,COLUMNS('Portfolio Weights Returns'!$B$9:$BJ$69))+1)</f>
        <v>-8.5906980613950482E-4</v>
      </c>
      <c r="B2933" cm="1">
        <f t="array" ref="B2933">INDEX('Portfolio Weights Std'!$B$9:$BJ$69,INT((ROW(A2932)-1)/COLUMNS('Portfolio Weights Std'!$B$9:$BJ$69))+1,MOD(ROW(A2932)-1,COLUMNS('Portfolio Weights Std'!$B$9:$BJ$69))+1)</f>
        <v>2.1901148754502699E-2</v>
      </c>
    </row>
    <row r="2934" spans="1:2" x14ac:dyDescent="0.25">
      <c r="A2934" cm="1">
        <f t="array" ref="A2934">INDEX('Portfolio Weights Returns'!$B$9:$BJ$69,
INT((ROW(A2933)-1)/COLUMNS('Portfolio Weights Returns'!$B$9:$BJ$69))+1,MOD(ROW(A2933)-1,COLUMNS('Portfolio Weights Returns'!$B$9:$BJ$69))+1)</f>
        <v>-8.5228863217282568E-4</v>
      </c>
      <c r="B2934" cm="1">
        <f t="array" ref="B2934">INDEX('Portfolio Weights Std'!$B$9:$BJ$69,INT((ROW(A2933)-1)/COLUMNS('Portfolio Weights Std'!$B$9:$BJ$69))+1,MOD(ROW(A2933)-1,COLUMNS('Portfolio Weights Std'!$B$9:$BJ$69))+1)</f>
        <v>2.1749423445468274E-2</v>
      </c>
    </row>
    <row r="2935" spans="1:2" x14ac:dyDescent="0.25">
      <c r="A2935" cm="1">
        <f t="array" ref="A2935">INDEX('Portfolio Weights Returns'!$B$9:$BJ$69,
INT((ROW(A2934)-1)/COLUMNS('Portfolio Weights Returns'!$B$9:$BJ$69))+1,MOD(ROW(A2934)-1,COLUMNS('Portfolio Weights Returns'!$B$9:$BJ$69))+1)</f>
        <v>-8.4550745820614664E-4</v>
      </c>
      <c r="B2935" cm="1">
        <f t="array" ref="B2935">INDEX('Portfolio Weights Std'!$B$9:$BJ$69,INT((ROW(A2934)-1)/COLUMNS('Portfolio Weights Std'!$B$9:$BJ$69))+1,MOD(ROW(A2934)-1,COLUMNS('Portfolio Weights Std'!$B$9:$BJ$69))+1)</f>
        <v>2.1598776111401333E-2</v>
      </c>
    </row>
    <row r="2936" spans="1:2" x14ac:dyDescent="0.25">
      <c r="A2936" cm="1">
        <f t="array" ref="A2936">INDEX('Portfolio Weights Returns'!$B$9:$BJ$69,
INT((ROW(A2935)-1)/COLUMNS('Portfolio Weights Returns'!$B$9:$BJ$69))+1,MOD(ROW(A2935)-1,COLUMNS('Portfolio Weights Returns'!$B$9:$BJ$69))+1)</f>
        <v>-8.387262842394675E-4</v>
      </c>
      <c r="B2936" cm="1">
        <f t="array" ref="B2936">INDEX('Portfolio Weights Std'!$B$9:$BJ$69,INT((ROW(A2935)-1)/COLUMNS('Portfolio Weights Std'!$B$9:$BJ$69))+1,MOD(ROW(A2935)-1,COLUMNS('Portfolio Weights Std'!$B$9:$BJ$69))+1)</f>
        <v>2.1449229465585071E-2</v>
      </c>
    </row>
    <row r="2937" spans="1:2" x14ac:dyDescent="0.25">
      <c r="A2937" cm="1">
        <f t="array" ref="A2937">INDEX('Portfolio Weights Returns'!$B$9:$BJ$69,
INT((ROW(A2936)-1)/COLUMNS('Portfolio Weights Returns'!$B$9:$BJ$69))+1,MOD(ROW(A2936)-1,COLUMNS('Portfolio Weights Returns'!$B$9:$BJ$69))+1)</f>
        <v>-8.3194511027278836E-4</v>
      </c>
      <c r="B2937" cm="1">
        <f t="array" ref="B2937">INDEX('Portfolio Weights Std'!$B$9:$BJ$69,INT((ROW(A2936)-1)/COLUMNS('Portfolio Weights Std'!$B$9:$BJ$69))+1,MOD(ROW(A2936)-1,COLUMNS('Portfolio Weights Std'!$B$9:$BJ$69))+1)</f>
        <v>2.1300806690849307E-2</v>
      </c>
    </row>
    <row r="2938" spans="1:2" x14ac:dyDescent="0.25">
      <c r="A2938" cm="1">
        <f t="array" ref="A2938">INDEX('Portfolio Weights Returns'!$B$9:$BJ$69,
INT((ROW(A2937)-1)/COLUMNS('Portfolio Weights Returns'!$B$9:$BJ$69))+1,MOD(ROW(A2937)-1,COLUMNS('Portfolio Weights Returns'!$B$9:$BJ$69))+1)</f>
        <v>-8.2516393630610932E-4</v>
      </c>
      <c r="B2938" cm="1">
        <f t="array" ref="B2938">INDEX('Portfolio Weights Std'!$B$9:$BJ$69,INT((ROW(A2937)-1)/COLUMNS('Portfolio Weights Std'!$B$9:$BJ$69))+1,MOD(ROW(A2937)-1,COLUMNS('Portfolio Weights Std'!$B$9:$BJ$69))+1)</f>
        <v>2.1153531443975596E-2</v>
      </c>
    </row>
    <row r="2939" spans="1:2" x14ac:dyDescent="0.25">
      <c r="A2939" cm="1">
        <f t="array" ref="A2939">INDEX('Portfolio Weights Returns'!$B$9:$BJ$69,
INT((ROW(A2938)-1)/COLUMNS('Portfolio Weights Returns'!$B$9:$BJ$69))+1,MOD(ROW(A2938)-1,COLUMNS('Portfolio Weights Returns'!$B$9:$BJ$69))+1)</f>
        <v>-8.1838276233943007E-4</v>
      </c>
      <c r="B2939" cm="1">
        <f t="array" ref="B2939">INDEX('Portfolio Weights Std'!$B$9:$BJ$69,INT((ROW(A2938)-1)/COLUMNS('Portfolio Weights Std'!$B$9:$BJ$69))+1,MOD(ROW(A2938)-1,COLUMNS('Portfolio Weights Std'!$B$9:$BJ$69))+1)</f>
        <v>2.1007427859648209E-2</v>
      </c>
    </row>
    <row r="2940" spans="1:2" x14ac:dyDescent="0.25">
      <c r="A2940" cm="1">
        <f t="array" ref="A2940">INDEX('Portfolio Weights Returns'!$B$9:$BJ$69,
INT((ROW(A2939)-1)/COLUMNS('Portfolio Weights Returns'!$B$9:$BJ$69))+1,MOD(ROW(A2939)-1,COLUMNS('Portfolio Weights Returns'!$B$9:$BJ$69))+1)</f>
        <v>-8.1160158837275103E-4</v>
      </c>
      <c r="B2940" cm="1">
        <f t="array" ref="B2940">INDEX('Portfolio Weights Std'!$B$9:$BJ$69,INT((ROW(A2939)-1)/COLUMNS('Portfolio Weights Std'!$B$9:$BJ$69))+1,MOD(ROW(A2939)-1,COLUMNS('Portfolio Weights Std'!$B$9:$BJ$69))+1)</f>
        <v>2.0862520553905018E-2</v>
      </c>
    </row>
    <row r="2941" spans="1:2" x14ac:dyDescent="0.25">
      <c r="A2941" cm="1">
        <f t="array" ref="A2941">INDEX('Portfolio Weights Returns'!$B$9:$BJ$69,
INT((ROW(A2940)-1)/COLUMNS('Portfolio Weights Returns'!$B$9:$BJ$69))+1,MOD(ROW(A2940)-1,COLUMNS('Portfolio Weights Returns'!$B$9:$BJ$69))+1)</f>
        <v>-8.0482041440607189E-4</v>
      </c>
      <c r="B2941" cm="1">
        <f t="array" ref="B2941">INDEX('Portfolio Weights Std'!$B$9:$BJ$69,INT((ROW(A2940)-1)/COLUMNS('Portfolio Weights Std'!$B$9:$BJ$69))+1,MOD(ROW(A2940)-1,COLUMNS('Portfolio Weights Std'!$B$9:$BJ$69))+1)</f>
        <v>2.0718834627039735E-2</v>
      </c>
    </row>
    <row r="2942" spans="1:2" x14ac:dyDescent="0.25">
      <c r="A2942" cm="1">
        <f t="array" ref="A2942">INDEX('Portfolio Weights Returns'!$B$9:$BJ$69,
INT((ROW(A2941)-1)/COLUMNS('Portfolio Weights Returns'!$B$9:$BJ$69))+1,MOD(ROW(A2941)-1,COLUMNS('Portfolio Weights Returns'!$B$9:$BJ$69))+1)</f>
        <v>-7.9803924043939285E-4</v>
      </c>
      <c r="B2942" cm="1">
        <f t="array" ref="B2942">INDEX('Portfolio Weights Std'!$B$9:$BJ$69,INT((ROW(A2941)-1)/COLUMNS('Portfolio Weights Std'!$B$9:$BJ$69))+1,MOD(ROW(A2941)-1,COLUMNS('Portfolio Weights Std'!$B$9:$BJ$69))+1)</f>
        <v>2.0576395665904613E-2</v>
      </c>
    </row>
    <row r="2943" spans="1:2" x14ac:dyDescent="0.25">
      <c r="A2943" cm="1">
        <f t="array" ref="A2943">INDEX('Portfolio Weights Returns'!$B$9:$BJ$69,
INT((ROW(A2942)-1)/COLUMNS('Portfolio Weights Returns'!$B$9:$BJ$69))+1,MOD(ROW(A2942)-1,COLUMNS('Portfolio Weights Returns'!$B$9:$BJ$69))+1)</f>
        <v>-7.9125806647271371E-4</v>
      </c>
      <c r="B2943" cm="1">
        <f t="array" ref="B2943">INDEX('Portfolio Weights Std'!$B$9:$BJ$69,INT((ROW(A2942)-1)/COLUMNS('Portfolio Weights Std'!$B$9:$BJ$69))+1,MOD(ROW(A2942)-1,COLUMNS('Portfolio Weights Std'!$B$9:$BJ$69))+1)</f>
        <v>2.0435229745560033E-2</v>
      </c>
    </row>
    <row r="2944" spans="1:2" x14ac:dyDescent="0.25">
      <c r="A2944" cm="1">
        <f t="array" ref="A2944">INDEX('Portfolio Weights Returns'!$B$9:$BJ$69,
INT((ROW(A2943)-1)/COLUMNS('Portfolio Weights Returns'!$B$9:$BJ$69))+1,MOD(ROW(A2943)-1,COLUMNS('Portfolio Weights Returns'!$B$9:$BJ$69))+1)</f>
        <v>-7.8447689250603467E-4</v>
      </c>
      <c r="B2944" cm="1">
        <f t="array" ref="B2944">INDEX('Portfolio Weights Std'!$B$9:$BJ$69,INT((ROW(A2943)-1)/COLUMNS('Portfolio Weights Std'!$B$9:$BJ$69))+1,MOD(ROW(A2943)-1,COLUMNS('Portfolio Weights Std'!$B$9:$BJ$69))+1)</f>
        <v>2.0295363430215058E-2</v>
      </c>
    </row>
    <row r="2945" spans="1:2" x14ac:dyDescent="0.25">
      <c r="A2945" cm="1">
        <f t="array" ref="A2945">INDEX('Portfolio Weights Returns'!$B$9:$BJ$69,
INT((ROW(A2944)-1)/COLUMNS('Portfolio Weights Returns'!$B$9:$BJ$69))+1,MOD(ROW(A2944)-1,COLUMNS('Portfolio Weights Returns'!$B$9:$BJ$69))+1)</f>
        <v>-7.7769571853935552E-4</v>
      </c>
      <c r="B2945" cm="1">
        <f t="array" ref="B2945">INDEX('Portfolio Weights Std'!$B$9:$BJ$69,INT((ROW(A2944)-1)/COLUMNS('Portfolio Weights Std'!$B$9:$BJ$69))+1,MOD(ROW(A2944)-1,COLUMNS('Portfolio Weights Std'!$B$9:$BJ$69))+1)</f>
        <v>2.015682377340056E-2</v>
      </c>
    </row>
    <row r="2946" spans="1:2" x14ac:dyDescent="0.25">
      <c r="A2946" cm="1">
        <f t="array" ref="A2946">INDEX('Portfolio Weights Returns'!$B$9:$BJ$69,
INT((ROW(A2945)-1)/COLUMNS('Portfolio Weights Returns'!$B$9:$BJ$69))+1,MOD(ROW(A2945)-1,COLUMNS('Portfolio Weights Returns'!$B$9:$BJ$69))+1)</f>
        <v>-7.709145445726766E-4</v>
      </c>
      <c r="B2946" cm="1">
        <f t="array" ref="B2946">INDEX('Portfolio Weights Std'!$B$9:$BJ$69,INT((ROW(A2945)-1)/COLUMNS('Portfolio Weights Std'!$B$9:$BJ$69))+1,MOD(ROW(A2945)-1,COLUMNS('Portfolio Weights Std'!$B$9:$BJ$69))+1)</f>
        <v>2.0019638317314008E-2</v>
      </c>
    </row>
    <row r="2947" spans="1:2" x14ac:dyDescent="0.25">
      <c r="A2947" cm="1">
        <f t="array" ref="A2947">INDEX('Portfolio Weights Returns'!$B$9:$BJ$69,
INT((ROW(A2946)-1)/COLUMNS('Portfolio Weights Returns'!$B$9:$BJ$69))+1,MOD(ROW(A2946)-1,COLUMNS('Portfolio Weights Returns'!$B$9:$BJ$69))+1)</f>
        <v>-7.6413337060599724E-4</v>
      </c>
      <c r="B2947" cm="1">
        <f t="array" ref="B2947">INDEX('Portfolio Weights Std'!$B$9:$BJ$69,INT((ROW(A2946)-1)/COLUMNS('Portfolio Weights Std'!$B$9:$BJ$69))+1,MOD(ROW(A2946)-1,COLUMNS('Portfolio Weights Std'!$B$9:$BJ$69))+1)</f>
        <v>1.9883835091272867E-2</v>
      </c>
    </row>
    <row r="2948" spans="1:2" x14ac:dyDescent="0.25">
      <c r="A2948" cm="1">
        <f t="array" ref="A2948">INDEX('Portfolio Weights Returns'!$B$9:$BJ$69,
INT((ROW(A2947)-1)/COLUMNS('Portfolio Weights Returns'!$B$9:$BJ$69))+1,MOD(ROW(A2947)-1,COLUMNS('Portfolio Weights Returns'!$B$9:$BJ$69))+1)</f>
        <v>-7.5735219663931831E-4</v>
      </c>
      <c r="B2948" cm="1">
        <f t="array" ref="B2948">INDEX('Portfolio Weights Std'!$B$9:$BJ$69,INT((ROW(A2947)-1)/COLUMNS('Portfolio Weights Std'!$B$9:$BJ$69))+1,MOD(ROW(A2947)-1,COLUMNS('Portfolio Weights Std'!$B$9:$BJ$69))+1)</f>
        <v>1.9749442609211212E-2</v>
      </c>
    </row>
    <row r="2949" spans="1:2" x14ac:dyDescent="0.25">
      <c r="A2949" cm="1">
        <f t="array" ref="A2949">INDEX('Portfolio Weights Returns'!$B$9:$BJ$69,
INT((ROW(A2948)-1)/COLUMNS('Portfolio Weights Returns'!$B$9:$BJ$69))+1,MOD(ROW(A2948)-1,COLUMNS('Portfolio Weights Returns'!$B$9:$BJ$69))+1)</f>
        <v>-7.5057102267263927E-4</v>
      </c>
      <c r="B2949" cm="1">
        <f t="array" ref="B2949">INDEX('Portfolio Weights Std'!$B$9:$BJ$69,INT((ROW(A2948)-1)/COLUMNS('Portfolio Weights Std'!$B$9:$BJ$69))+1,MOD(ROW(A2948)-1,COLUMNS('Portfolio Weights Std'!$B$9:$BJ$69))+1)</f>
        <v>1.9616489866152054E-2</v>
      </c>
    </row>
    <row r="2950" spans="1:2" x14ac:dyDescent="0.25">
      <c r="A2950" cm="1">
        <f t="array" ref="A2950">INDEX('Portfolio Weights Returns'!$B$9:$BJ$69,
INT((ROW(A2949)-1)/COLUMNS('Portfolio Weights Returns'!$B$9:$BJ$69))+1,MOD(ROW(A2949)-1,COLUMNS('Portfolio Weights Returns'!$B$9:$BJ$69))+1)</f>
        <v>-7.4378984870596002E-4</v>
      </c>
      <c r="B2950" cm="1">
        <f t="array" ref="B2950">INDEX('Portfolio Weights Std'!$B$9:$BJ$69,INT((ROW(A2949)-1)/COLUMNS('Portfolio Weights Std'!$B$9:$BJ$69))+1,MOD(ROW(A2949)-1,COLUMNS('Portfolio Weights Std'!$B$9:$BJ$69))+1)</f>
        <v>1.9485006333586116E-2</v>
      </c>
    </row>
    <row r="2951" spans="1:2" x14ac:dyDescent="0.25">
      <c r="A2951" cm="1">
        <f t="array" ref="A2951">INDEX('Portfolio Weights Returns'!$B$9:$BJ$69,
INT((ROW(A2950)-1)/COLUMNS('Portfolio Weights Returns'!$B$9:$BJ$69))+1,MOD(ROW(A2950)-1,COLUMNS('Portfolio Weights Returns'!$B$9:$BJ$69))+1)</f>
        <v>-7.3700867473928098E-4</v>
      </c>
      <c r="B2951" cm="1">
        <f t="array" ref="B2951">INDEX('Portfolio Weights Std'!$B$9:$BJ$69,INT((ROW(A2950)-1)/COLUMNS('Portfolio Weights Std'!$B$9:$BJ$69))+1,MOD(ROW(A2950)-1,COLUMNS('Portfolio Weights Std'!$B$9:$BJ$69))+1)</f>
        <v>1.9355021953685866E-2</v>
      </c>
    </row>
    <row r="2952" spans="1:2" x14ac:dyDescent="0.25">
      <c r="A2952" cm="1">
        <f t="array" ref="A2952">INDEX('Portfolio Weights Returns'!$B$9:$BJ$69,
INT((ROW(A2951)-1)/COLUMNS('Portfolio Weights Returns'!$B$9:$BJ$69))+1,MOD(ROW(A2951)-1,COLUMNS('Portfolio Weights Returns'!$B$9:$BJ$69))+1)</f>
        <v>-7.3022750077260184E-4</v>
      </c>
      <c r="B2952" cm="1">
        <f t="array" ref="B2952">INDEX('Portfolio Weights Std'!$B$9:$BJ$69,INT((ROW(A2951)-1)/COLUMNS('Portfolio Weights Std'!$B$9:$BJ$69))+1,MOD(ROW(A2951)-1,COLUMNS('Portfolio Weights Std'!$B$9:$BJ$69))+1)</f>
        <v>1.9226567132282317E-2</v>
      </c>
    </row>
    <row r="2953" spans="1:2" x14ac:dyDescent="0.25">
      <c r="A2953" cm="1">
        <f t="array" ref="A2953">INDEX('Portfolio Weights Returns'!$B$9:$BJ$69,
INT((ROW(A2952)-1)/COLUMNS('Portfolio Weights Returns'!$B$9:$BJ$69))+1,MOD(ROW(A2952)-1,COLUMNS('Portfolio Weights Returns'!$B$9:$BJ$69))+1)</f>
        <v>-7.234463268059228E-4</v>
      </c>
      <c r="B2953" cm="1">
        <f t="array" ref="B2953">INDEX('Portfolio Weights Std'!$B$9:$BJ$69,INT((ROW(A2952)-1)/COLUMNS('Portfolio Weights Std'!$B$9:$BJ$69))+1,MOD(ROW(A2952)-1,COLUMNS('Portfolio Weights Std'!$B$9:$BJ$69))+1)</f>
        <v>1.9099672730530787E-2</v>
      </c>
    </row>
    <row r="2954" spans="1:2" x14ac:dyDescent="0.25">
      <c r="A2954" cm="1">
        <f t="array" ref="A2954">INDEX('Portfolio Weights Returns'!$B$9:$BJ$69,
INT((ROW(A2953)-1)/COLUMNS('Portfolio Weights Returns'!$B$9:$BJ$69))+1,MOD(ROW(A2953)-1,COLUMNS('Portfolio Weights Returns'!$B$9:$BJ$69))+1)</f>
        <v>-7.1666515283924366E-4</v>
      </c>
      <c r="B2954" cm="1">
        <f t="array" ref="B2954">INDEX('Portfolio Weights Std'!$B$9:$BJ$69,INT((ROW(A2953)-1)/COLUMNS('Portfolio Weights Std'!$B$9:$BJ$69))+1,MOD(ROW(A2953)-1,COLUMNS('Portfolio Weights Std'!$B$9:$BJ$69))+1)</f>
        <v>1.8974370055191026E-2</v>
      </c>
    </row>
    <row r="2955" spans="1:2" x14ac:dyDescent="0.25">
      <c r="A2955" cm="1">
        <f t="array" ref="A2955">INDEX('Portfolio Weights Returns'!$B$9:$BJ$69,
INT((ROW(A2954)-1)/COLUMNS('Portfolio Weights Returns'!$B$9:$BJ$69))+1,MOD(ROW(A2954)-1,COLUMNS('Portfolio Weights Returns'!$B$9:$BJ$69))+1)</f>
        <v>-7.0988397887256462E-4</v>
      </c>
      <c r="B2955" cm="1">
        <f t="array" ref="B2955">INDEX('Portfolio Weights Std'!$B$9:$BJ$69,INT((ROW(A2954)-1)/COLUMNS('Portfolio Weights Std'!$B$9:$BJ$69))+1,MOD(ROW(A2954)-1,COLUMNS('Portfolio Weights Std'!$B$9:$BJ$69))+1)</f>
        <v>1.8850690847446529E-2</v>
      </c>
    </row>
    <row r="2956" spans="1:2" x14ac:dyDescent="0.25">
      <c r="A2956" cm="1">
        <f t="array" ref="A2956">INDEX('Portfolio Weights Returns'!$B$9:$BJ$69,
INT((ROW(A2955)-1)/COLUMNS('Portfolio Weights Returns'!$B$9:$BJ$69))+1,MOD(ROW(A2955)-1,COLUMNS('Portfolio Weights Returns'!$B$9:$BJ$69))+1)</f>
        <v>-7.0310280490588548E-4</v>
      </c>
      <c r="B2956" cm="1">
        <f t="array" ref="B2956">INDEX('Portfolio Weights Std'!$B$9:$BJ$69,INT((ROW(A2955)-1)/COLUMNS('Portfolio Weights Std'!$B$9:$BJ$69))+1,MOD(ROW(A2955)-1,COLUMNS('Portfolio Weights Std'!$B$9:$BJ$69))+1)</f>
        <v>1.8728667270187828E-2</v>
      </c>
    </row>
    <row r="2957" spans="1:2" x14ac:dyDescent="0.25">
      <c r="A2957" cm="1">
        <f t="array" ref="A2957">INDEX('Portfolio Weights Returns'!$B$9:$BJ$69,
INT((ROW(A2956)-1)/COLUMNS('Portfolio Weights Returns'!$B$9:$BJ$69))+1,MOD(ROW(A2956)-1,COLUMNS('Portfolio Weights Returns'!$B$9:$BJ$69))+1)</f>
        <v>-6.9632163093920623E-4</v>
      </c>
      <c r="B2957" cm="1">
        <f t="array" ref="B2957">INDEX('Portfolio Weights Std'!$B$9:$BJ$69,INT((ROW(A2956)-1)/COLUMNS('Portfolio Weights Std'!$B$9:$BJ$69))+1,MOD(ROW(A2956)-1,COLUMNS('Portfolio Weights Std'!$B$9:$BJ$69))+1)</f>
        <v>1.8608331893684913E-2</v>
      </c>
    </row>
    <row r="2958" spans="1:2" x14ac:dyDescent="0.25">
      <c r="A2958" cm="1">
        <f t="array" ref="A2958">INDEX('Portfolio Weights Returns'!$B$9:$BJ$69,
INT((ROW(A2957)-1)/COLUMNS('Portfolio Weights Returns'!$B$9:$BJ$69))+1,MOD(ROW(A2957)-1,COLUMNS('Portfolio Weights Returns'!$B$9:$BJ$69))+1)</f>
        <v>-6.8954045697252719E-4</v>
      </c>
      <c r="B2958" cm="1">
        <f t="array" ref="B2958">INDEX('Portfolio Weights Std'!$B$9:$BJ$69,INT((ROW(A2957)-1)/COLUMNS('Portfolio Weights Std'!$B$9:$BJ$69))+1,MOD(ROW(A2957)-1,COLUMNS('Portfolio Weights Std'!$B$9:$BJ$69))+1)</f>
        <v>1.8489717679574871E-2</v>
      </c>
    </row>
    <row r="2959" spans="1:2" x14ac:dyDescent="0.25">
      <c r="A2959" cm="1">
        <f t="array" ref="A2959">INDEX('Portfolio Weights Returns'!$B$9:$BJ$69,
INT((ROW(A2958)-1)/COLUMNS('Portfolio Weights Returns'!$B$9:$BJ$69))+1,MOD(ROW(A2958)-1,COLUMNS('Portfolio Weights Returns'!$B$9:$BJ$69))+1)</f>
        <v>-6.8275928300584804E-4</v>
      </c>
      <c r="B2959" cm="1">
        <f t="array" ref="B2959">INDEX('Portfolio Weights Std'!$B$9:$BJ$69,INT((ROW(A2958)-1)/COLUMNS('Portfolio Weights Std'!$B$9:$BJ$69))+1,MOD(ROW(A2958)-1,COLUMNS('Portfolio Weights Std'!$B$9:$BJ$69))+1)</f>
        <v>1.8372857963092234E-2</v>
      </c>
    </row>
    <row r="2960" spans="1:2" x14ac:dyDescent="0.25">
      <c r="A2960" cm="1">
        <f t="array" ref="A2960">INDEX('Portfolio Weights Returns'!$B$9:$BJ$69,
INT((ROW(A2959)-1)/COLUMNS('Portfolio Weights Returns'!$B$9:$BJ$69))+1,MOD(ROW(A2959)-1,COLUMNS('Portfolio Weights Returns'!$B$9:$BJ$69))+1)</f>
        <v>-6.7597810903916901E-4</v>
      </c>
      <c r="B2960" cm="1">
        <f t="array" ref="B2960">INDEX('Portfolio Weights Std'!$B$9:$BJ$69,INT((ROW(A2959)-1)/COLUMNS('Portfolio Weights Std'!$B$9:$BJ$69))+1,MOD(ROW(A2959)-1,COLUMNS('Portfolio Weights Std'!$B$9:$BJ$69))+1)</f>
        <v>1.8257786433471774E-2</v>
      </c>
    </row>
    <row r="2961" spans="1:2" x14ac:dyDescent="0.25">
      <c r="A2961" cm="1">
        <f t="array" ref="A2961">INDEX('Portfolio Weights Returns'!$B$9:$BJ$69,
INT((ROW(A2960)-1)/COLUMNS('Portfolio Weights Returns'!$B$9:$BJ$69))+1,MOD(ROW(A2960)-1,COLUMNS('Portfolio Weights Returns'!$B$9:$BJ$69))+1)</f>
        <v>-6.6919693507248986E-4</v>
      </c>
      <c r="B2961" cm="1">
        <f t="array" ref="B2961">INDEX('Portfolio Weights Std'!$B$9:$BJ$69,INT((ROW(A2960)-1)/COLUMNS('Portfolio Weights Std'!$B$9:$BJ$69))+1,MOD(ROW(A2960)-1,COLUMNS('Portfolio Weights Std'!$B$9:$BJ$69))+1)</f>
        <v>1.8144537112456085E-2</v>
      </c>
    </row>
    <row r="2962" spans="1:2" x14ac:dyDescent="0.25">
      <c r="A2962" cm="1">
        <f t="array" ref="A2962">INDEX('Portfolio Weights Returns'!$B$9:$BJ$69,
INT((ROW(A2961)-1)/COLUMNS('Portfolio Weights Returns'!$B$9:$BJ$69))+1,MOD(ROW(A2961)-1,COLUMNS('Portfolio Weights Returns'!$B$9:$BJ$69))+1)</f>
        <v>-6.6241576110581083E-4</v>
      </c>
      <c r="B2962" cm="1">
        <f t="array" ref="B2962">INDEX('Portfolio Weights Std'!$B$9:$BJ$69,INT((ROW(A2961)-1)/COLUMNS('Portfolio Weights Std'!$B$9:$BJ$69))+1,MOD(ROW(A2961)-1,COLUMNS('Portfolio Weights Std'!$B$9:$BJ$69))+1)</f>
        <v>1.8033144330844027E-2</v>
      </c>
    </row>
    <row r="2963" spans="1:2" x14ac:dyDescent="0.25">
      <c r="A2963" cm="1">
        <f t="array" ref="A2963">INDEX('Portfolio Weights Returns'!$B$9:$BJ$69,
INT((ROW(A2962)-1)/COLUMNS('Portfolio Weights Returns'!$B$9:$BJ$69))+1,MOD(ROW(A2962)-1,COLUMNS('Portfolio Weights Returns'!$B$9:$BJ$69))+1)</f>
        <v>-6.5563458713913168E-4</v>
      </c>
      <c r="B2963" cm="1">
        <f t="array" ref="B2963">INDEX('Portfolio Weights Std'!$B$9:$BJ$69,INT((ROW(A2962)-1)/COLUMNS('Portfolio Weights Std'!$B$9:$BJ$69))+1,MOD(ROW(A2962)-1,COLUMNS('Portfolio Weights Std'!$B$9:$BJ$69))+1)</f>
        <v>1.7923642703020336E-2</v>
      </c>
    </row>
    <row r="2964" spans="1:2" x14ac:dyDescent="0.25">
      <c r="A2964" cm="1">
        <f t="array" ref="A2964">INDEX('Portfolio Weights Returns'!$B$9:$BJ$69,
INT((ROW(A2963)-1)/COLUMNS('Portfolio Weights Returns'!$B$9:$BJ$69))+1,MOD(ROW(A2963)-1,COLUMNS('Portfolio Weights Returns'!$B$9:$BJ$69))+1)</f>
        <v>-6.4885341317245254E-4</v>
      </c>
      <c r="B2964" cm="1">
        <f t="array" ref="B2964">INDEX('Portfolio Weights Std'!$B$9:$BJ$69,INT((ROW(A2963)-1)/COLUMNS('Portfolio Weights Std'!$B$9:$BJ$69))+1,MOD(ROW(A2963)-1,COLUMNS('Portfolio Weights Std'!$B$9:$BJ$69))+1)</f>
        <v>1.7816067099411755E-2</v>
      </c>
    </row>
    <row r="2965" spans="1:2" x14ac:dyDescent="0.25">
      <c r="A2965" cm="1">
        <f t="array" ref="A2965">INDEX('Portfolio Weights Returns'!$B$9:$BJ$69,
INT((ROW(A2964)-1)/COLUMNS('Portfolio Weights Returns'!$B$9:$BJ$69))+1,MOD(ROW(A2964)-1,COLUMNS('Portfolio Weights Returns'!$B$9:$BJ$69))+1)</f>
        <v>-6.420722392057734E-4</v>
      </c>
      <c r="B2965" cm="1">
        <f t="array" ref="B2965">INDEX('Portfolio Weights Std'!$B$9:$BJ$69,INT((ROW(A2964)-1)/COLUMNS('Portfolio Weights Std'!$B$9:$BJ$69))+1,MOD(ROW(A2964)-1,COLUMNS('Portfolio Weights Std'!$B$9:$BJ$69))+1)</f>
        <v>1.7710452616821394E-2</v>
      </c>
    </row>
    <row r="2966" spans="1:2" x14ac:dyDescent="0.25">
      <c r="A2966" cm="1">
        <f t="array" ref="A2966">INDEX('Portfolio Weights Returns'!$B$9:$BJ$69,
INT((ROW(A2965)-1)/COLUMNS('Portfolio Weights Returns'!$B$9:$BJ$69))+1,MOD(ROW(A2965)-1,COLUMNS('Portfolio Weights Returns'!$B$9:$BJ$69))+1)</f>
        <v>-6.3529106523909436E-4</v>
      </c>
      <c r="B2966" cm="1">
        <f t="array" ref="B2966">INDEX('Portfolio Weights Std'!$B$9:$BJ$69,INT((ROW(A2965)-1)/COLUMNS('Portfolio Weights Std'!$B$9:$BJ$69))+1,MOD(ROW(A2965)-1,COLUMNS('Portfolio Weights Std'!$B$9:$BJ$69))+1)</f>
        <v>1.760683454659967E-2</v>
      </c>
    </row>
    <row r="2967" spans="1:2" x14ac:dyDescent="0.25">
      <c r="A2967" cm="1">
        <f t="array" ref="A2967">INDEX('Portfolio Weights Returns'!$B$9:$BJ$69,
INT((ROW(A2966)-1)/COLUMNS('Portfolio Weights Returns'!$B$9:$BJ$69))+1,MOD(ROW(A2966)-1,COLUMNS('Portfolio Weights Returns'!$B$9:$BJ$69))+1)</f>
        <v>-6.2850989127241521E-4</v>
      </c>
      <c r="B2967" cm="1">
        <f t="array" ref="B2967">INDEX('Portfolio Weights Std'!$B$9:$BJ$69,INT((ROW(A2966)-1)/COLUMNS('Portfolio Weights Std'!$B$9:$BJ$69))+1,MOD(ROW(A2966)-1,COLUMNS('Portfolio Weights Std'!$B$9:$BJ$69))+1)</f>
        <v>1.7505248340618344E-2</v>
      </c>
    </row>
    <row r="2968" spans="1:2" x14ac:dyDescent="0.25">
      <c r="A2968" cm="1">
        <f t="array" ref="A2968">INDEX('Portfolio Weights Returns'!$B$9:$BJ$69,
INT((ROW(A2967)-1)/COLUMNS('Portfolio Weights Returns'!$B$9:$BJ$69))+1,MOD(ROW(A2967)-1,COLUMNS('Portfolio Weights Returns'!$B$9:$BJ$69))+1)</f>
        <v>-6.2172871730573607E-4</v>
      </c>
      <c r="B2968" cm="1">
        <f t="array" ref="B2968">INDEX('Portfolio Weights Std'!$B$9:$BJ$69,INT((ROW(A2967)-1)/COLUMNS('Portfolio Weights Std'!$B$9:$BJ$69))+1,MOD(ROW(A2967)-1,COLUMNS('Portfolio Weights Std'!$B$9:$BJ$69))+1)</f>
        <v>1.7405729575023076E-2</v>
      </c>
    </row>
    <row r="2969" spans="1:2" x14ac:dyDescent="0.25">
      <c r="A2969" cm="1">
        <f t="array" ref="A2969">INDEX('Portfolio Weights Returns'!$B$9:$BJ$69,
INT((ROW(A2968)-1)/COLUMNS('Portfolio Weights Returns'!$B$9:$BJ$69))+1,MOD(ROW(A2968)-1,COLUMNS('Portfolio Weights Returns'!$B$9:$BJ$69))+1)</f>
        <v>-6.1494754333905703E-4</v>
      </c>
      <c r="B2969" cm="1">
        <f t="array" ref="B2969">INDEX('Portfolio Weights Std'!$B$9:$BJ$69,INT((ROW(A2968)-1)/COLUMNS('Portfolio Weights Std'!$B$9:$BJ$69))+1,MOD(ROW(A2968)-1,COLUMNS('Portfolio Weights Std'!$B$9:$BJ$69))+1)</f>
        <v>1.7308313911749768E-2</v>
      </c>
    </row>
    <row r="2970" spans="1:2" x14ac:dyDescent="0.25">
      <c r="A2970" cm="1">
        <f t="array" ref="A2970">INDEX('Portfolio Weights Returns'!$B$9:$BJ$69,
INT((ROW(A2969)-1)/COLUMNS('Portfolio Weights Returns'!$B$9:$BJ$69))+1,MOD(ROW(A2969)-1,COLUMNS('Portfolio Weights Returns'!$B$9:$BJ$69))+1)</f>
        <v>-6.0816636937237789E-4</v>
      </c>
      <c r="B2970" cm="1">
        <f t="array" ref="B2970">INDEX('Portfolio Weights Std'!$B$9:$BJ$69,INT((ROW(A2969)-1)/COLUMNS('Portfolio Weights Std'!$B$9:$BJ$69))+1,MOD(ROW(A2969)-1,COLUMNS('Portfolio Weights Std'!$B$9:$BJ$69))+1)</f>
        <v>1.7213037057801101E-2</v>
      </c>
    </row>
    <row r="2971" spans="1:2" x14ac:dyDescent="0.25">
      <c r="A2971" cm="1">
        <f t="array" ref="A2971">INDEX('Portfolio Weights Returns'!$B$9:$BJ$69,
INT((ROW(A2970)-1)/COLUMNS('Portfolio Weights Returns'!$B$9:$BJ$69))+1,MOD(ROW(A2970)-1,COLUMNS('Portfolio Weights Returns'!$B$9:$BJ$69))+1)</f>
        <v>-6.0138519540569875E-4</v>
      </c>
      <c r="B2971" cm="1">
        <f t="array" ref="B2971">INDEX('Portfolio Weights Std'!$B$9:$BJ$69,INT((ROW(A2970)-1)/COLUMNS('Portfolio Weights Std'!$B$9:$BJ$69))+1,MOD(ROW(A2970)-1,COLUMNS('Portfolio Weights Std'!$B$9:$BJ$69))+1)</f>
        <v>1.7119934722291539E-2</v>
      </c>
    </row>
    <row r="2972" spans="1:2" x14ac:dyDescent="0.25">
      <c r="A2972" cm="1">
        <f t="array" ref="A2972">INDEX('Portfolio Weights Returns'!$B$9:$BJ$69,
INT((ROW(A2971)-1)/COLUMNS('Portfolio Weights Returns'!$B$9:$BJ$69))+1,MOD(ROW(A2971)-1,COLUMNS('Portfolio Weights Returns'!$B$9:$BJ$69))+1)</f>
        <v>-5.946040214390196E-4</v>
      </c>
      <c r="B2972" cm="1">
        <f t="array" ref="B2972">INDEX('Portfolio Weights Std'!$B$9:$BJ$69,INT((ROW(A2971)-1)/COLUMNS('Portfolio Weights Std'!$B$9:$BJ$69))+1,MOD(ROW(A2971)-1,COLUMNS('Portfolio Weights Std'!$B$9:$BJ$69))+1)</f>
        <v>1.7029042571282123E-2</v>
      </c>
    </row>
    <row r="2973" spans="1:2" x14ac:dyDescent="0.25">
      <c r="A2973" cm="1">
        <f t="array" ref="A2973">INDEX('Portfolio Weights Returns'!$B$9:$BJ$69,
INT((ROW(A2972)-1)/COLUMNS('Portfolio Weights Returns'!$B$9:$BJ$69))+1,MOD(ROW(A2972)-1,COLUMNS('Portfolio Weights Returns'!$B$9:$BJ$69))+1)</f>
        <v>-5.8782284747234056E-4</v>
      </c>
      <c r="B2973" cm="1">
        <f t="array" ref="B2973">INDEX('Portfolio Weights Std'!$B$9:$BJ$69,INT((ROW(A2972)-1)/COLUMNS('Portfolio Weights Std'!$B$9:$BJ$69))+1,MOD(ROW(A2972)-1,COLUMNS('Portfolio Weights Std'!$B$9:$BJ$69))+1)</f>
        <v>1.6940396180440413E-2</v>
      </c>
    </row>
    <row r="2974" spans="1:2" x14ac:dyDescent="0.25">
      <c r="A2974" cm="1">
        <f t="array" ref="A2974">INDEX('Portfolio Weights Returns'!$B$9:$BJ$69,
INT((ROW(A2973)-1)/COLUMNS('Portfolio Weights Returns'!$B$9:$BJ$69))+1,MOD(ROW(A2973)-1,COLUMNS('Portfolio Weights Returns'!$B$9:$BJ$69))+1)</f>
        <v>-5.8104167350566142E-4</v>
      </c>
      <c r="B2974" cm="1">
        <f t="array" ref="B2974">INDEX('Portfolio Weights Std'!$B$9:$BJ$69,INT((ROW(A2973)-1)/COLUMNS('Portfolio Weights Std'!$B$9:$BJ$69))+1,MOD(ROW(A2973)-1,COLUMNS('Portfolio Weights Std'!$B$9:$BJ$69))+1)</f>
        <v>1.6854030985575745E-2</v>
      </c>
    </row>
    <row r="2975" spans="1:2" x14ac:dyDescent="0.25">
      <c r="A2975" cm="1">
        <f t="array" ref="A2975">INDEX('Portfolio Weights Returns'!$B$9:$BJ$69,
INT((ROW(A2974)-1)/COLUMNS('Portfolio Weights Returns'!$B$9:$BJ$69))+1,MOD(ROW(A2974)-1,COLUMNS('Portfolio Weights Returns'!$B$9:$BJ$69))+1)</f>
        <v>-5.7426049953898228E-4</v>
      </c>
      <c r="B2975" cm="1">
        <f t="array" ref="B2975">INDEX('Portfolio Weights Std'!$B$9:$BJ$69,INT((ROW(A2974)-1)/COLUMNS('Portfolio Weights Std'!$B$9:$BJ$69))+1,MOD(ROW(A2974)-1,COLUMNS('Portfolio Weights Std'!$B$9:$BJ$69))+1)</f>
        <v>1.6769982231115827E-2</v>
      </c>
    </row>
    <row r="2976" spans="1:2" x14ac:dyDescent="0.25">
      <c r="A2976" cm="1">
        <f t="array" ref="A2976">INDEX('Portfolio Weights Returns'!$B$9:$BJ$69,
INT((ROW(A2975)-1)/COLUMNS('Portfolio Weights Returns'!$B$9:$BJ$69))+1,MOD(ROW(A2975)-1,COLUMNS('Portfolio Weights Returns'!$B$9:$BJ$69))+1)</f>
        <v>-5.6747932557230324E-4</v>
      </c>
      <c r="B2976" cm="1">
        <f t="array" ref="B2976">INDEX('Portfolio Weights Std'!$B$9:$BJ$69,INT((ROW(A2975)-1)/COLUMNS('Portfolio Weights Std'!$B$9:$BJ$69))+1,MOD(ROW(A2975)-1,COLUMNS('Portfolio Weights Std'!$B$9:$BJ$69))+1)</f>
        <v>1.6688284916607208E-2</v>
      </c>
    </row>
    <row r="2977" spans="1:2" x14ac:dyDescent="0.25">
      <c r="A2977" cm="1">
        <f t="array" ref="A2977">INDEX('Portfolio Weights Returns'!$B$9:$BJ$69,
INT((ROW(A2976)-1)/COLUMNS('Portfolio Weights Returns'!$B$9:$BJ$69))+1,MOD(ROW(A2976)-1,COLUMNS('Portfolio Weights Returns'!$B$9:$BJ$69))+1)</f>
        <v>-5.606981516056241E-4</v>
      </c>
      <c r="B2977" cm="1">
        <f t="array" ref="B2977">INDEX('Portfolio Weights Std'!$B$9:$BJ$69,INT((ROW(A2976)-1)/COLUMNS('Portfolio Weights Std'!$B$9:$BJ$69))+1,MOD(ROW(A2976)-1,COLUMNS('Portfolio Weights Std'!$B$9:$BJ$69))+1)</f>
        <v>1.6608973741339489E-2</v>
      </c>
    </row>
    <row r="2978" spans="1:2" x14ac:dyDescent="0.25">
      <c r="A2978" cm="1">
        <f t="array" ref="A2978">INDEX('Portfolio Weights Returns'!$B$9:$BJ$69,
INT((ROW(A2977)-1)/COLUMNS('Portfolio Weights Returns'!$B$9:$BJ$69))+1,MOD(ROW(A2977)-1,COLUMNS('Portfolio Weights Returns'!$B$9:$BJ$69))+1)</f>
        <v>-5.5391697763894517E-4</v>
      </c>
      <c r="B2978" cm="1">
        <f t="array" ref="B2978">INDEX('Portfolio Weights Std'!$B$9:$BJ$69,INT((ROW(A2977)-1)/COLUMNS('Portfolio Weights Std'!$B$9:$BJ$69))+1,MOD(ROW(A2977)-1,COLUMNS('Portfolio Weights Std'!$B$9:$BJ$69))+1)</f>
        <v>1.6532083047210832E-2</v>
      </c>
    </row>
    <row r="2979" spans="1:2" x14ac:dyDescent="0.25">
      <c r="A2979" cm="1">
        <f t="array" ref="A2979">INDEX('Portfolio Weights Returns'!$B$9:$BJ$69,
INT((ROW(A2978)-1)/COLUMNS('Portfolio Weights Returns'!$B$9:$BJ$69))+1,MOD(ROW(A2978)-1,COLUMNS('Portfolio Weights Returns'!$B$9:$BJ$69))+1)</f>
        <v>-5.4713580367226602E-4</v>
      </c>
      <c r="B2979" cm="1">
        <f t="array" ref="B2979">INDEX('Portfolio Weights Std'!$B$9:$BJ$69,INT((ROW(A2978)-1)/COLUMNS('Portfolio Weights Std'!$B$9:$BJ$69))+1,MOD(ROW(A2978)-1,COLUMNS('Portfolio Weights Std'!$B$9:$BJ$69))+1)</f>
        <v>1.6457646759970655E-2</v>
      </c>
    </row>
    <row r="2980" spans="1:2" x14ac:dyDescent="0.25">
      <c r="A2980" cm="1">
        <f t="array" ref="A2980">INDEX('Portfolio Weights Returns'!$B$9:$BJ$69,
INT((ROW(A2979)-1)/COLUMNS('Portfolio Weights Returns'!$B$9:$BJ$69))+1,MOD(ROW(A2979)-1,COLUMNS('Portfolio Weights Returns'!$B$9:$BJ$69))+1)</f>
        <v>-5.4035462970558699E-4</v>
      </c>
      <c r="B2980" cm="1">
        <f t="array" ref="B2980">INDEX('Portfolio Weights Std'!$B$9:$BJ$69,INT((ROW(A2979)-1)/COLUMNS('Portfolio Weights Std'!$B$9:$BJ$69))+1,MOD(ROW(A2979)-1,COLUMNS('Portfolio Weights Std'!$B$9:$BJ$69))+1)</f>
        <v>1.6385698328993961E-2</v>
      </c>
    </row>
    <row r="2981" spans="1:2" x14ac:dyDescent="0.25">
      <c r="A2981" cm="1">
        <f t="array" ref="A2981">INDEX('Portfolio Weights Returns'!$B$9:$BJ$69,
INT((ROW(A2980)-1)/COLUMNS('Portfolio Weights Returns'!$B$9:$BJ$69))+1,MOD(ROW(A2980)-1,COLUMNS('Portfolio Weights Returns'!$B$9:$BJ$69))+1)</f>
        <v>-5.3357345573890784E-4</v>
      </c>
      <c r="B2981" cm="1">
        <f t="array" ref="B2981">INDEX('Portfolio Weights Std'!$B$9:$BJ$69,INT((ROW(A2980)-1)/COLUMNS('Portfolio Weights Std'!$B$9:$BJ$69))+1,MOD(ROW(A2980)-1,COLUMNS('Portfolio Weights Std'!$B$9:$BJ$69))+1)</f>
        <v>1.6316270665760121E-2</v>
      </c>
    </row>
    <row r="2982" spans="1:2" x14ac:dyDescent="0.25">
      <c r="A2982" cm="1">
        <f t="array" ref="A2982">INDEX('Portfolio Weights Returns'!$B$9:$BJ$69,
INT((ROW(A2981)-1)/COLUMNS('Portfolio Weights Returns'!$B$9:$BJ$69))+1,MOD(ROW(A2981)-1,COLUMNS('Portfolio Weights Returns'!$B$9:$BJ$69))+1)</f>
        <v>-5.267922817722287E-4</v>
      </c>
      <c r="B2982" cm="1">
        <f t="array" ref="B2982">INDEX('Portfolio Weights Std'!$B$9:$BJ$69,INT((ROW(A2981)-1)/COLUMNS('Portfolio Weights Std'!$B$9:$BJ$69))+1,MOD(ROW(A2981)-1,COLUMNS('Portfolio Weights Std'!$B$9:$BJ$69))+1)</f>
        <v>1.6249396081227725E-2</v>
      </c>
    </row>
    <row r="2983" spans="1:2" x14ac:dyDescent="0.25">
      <c r="A2983" cm="1">
        <f t="array" ref="A2983">INDEX('Portfolio Weights Returns'!$B$9:$BJ$69,
INT((ROW(A2982)-1)/COLUMNS('Portfolio Weights Returns'!$B$9:$BJ$69))+1,MOD(ROW(A2982)-1,COLUMNS('Portfolio Weights Returns'!$B$9:$BJ$69))+1)</f>
        <v>-5.2001110780554966E-4</v>
      </c>
      <c r="B2983" cm="1">
        <f t="array" ref="B2983">INDEX('Portfolio Weights Std'!$B$9:$BJ$69,INT((ROW(A2982)-1)/COLUMNS('Portfolio Weights Std'!$B$9:$BJ$69))+1,MOD(ROW(A2982)-1,COLUMNS('Portfolio Weights Std'!$B$9:$BJ$69))+1)</f>
        <v>1.6185106222314994E-2</v>
      </c>
    </row>
    <row r="2984" spans="1:2" x14ac:dyDescent="0.25">
      <c r="A2984" cm="1">
        <f t="array" ref="A2984">INDEX('Portfolio Weights Returns'!$B$9:$BJ$69,
INT((ROW(A2983)-1)/COLUMNS('Portfolio Weights Returns'!$B$9:$BJ$69))+1,MOD(ROW(A2983)-1,COLUMNS('Portfolio Weights Returns'!$B$9:$BJ$69))+1)</f>
        <v>-5.1322993383887041E-4</v>
      </c>
      <c r="B2984" cm="1">
        <f t="array" ref="B2984">INDEX('Portfolio Weights Std'!$B$9:$BJ$69,INT((ROW(A2983)-1)/COLUMNS('Portfolio Weights Std'!$B$9:$BJ$69))+1,MOD(ROW(A2983)-1,COLUMNS('Portfolio Weights Std'!$B$9:$BJ$69))+1)</f>
        <v>1.6123432007713063E-2</v>
      </c>
    </row>
    <row r="2985" spans="1:2" x14ac:dyDescent="0.25">
      <c r="A2985" cm="1">
        <f t="array" ref="A2985">INDEX('Portfolio Weights Returns'!$B$9:$BJ$69,
INT((ROW(A2984)-1)/COLUMNS('Portfolio Weights Returns'!$B$9:$BJ$69))+1,MOD(ROW(A2984)-1,COLUMNS('Portfolio Weights Returns'!$B$9:$BJ$69))+1)</f>
        <v>-5.0644875987219137E-4</v>
      </c>
      <c r="B2985" cm="1">
        <f t="array" ref="B2985">INDEX('Portfolio Weights Std'!$B$9:$BJ$69,INT((ROW(A2984)-1)/COLUMNS('Portfolio Weights Std'!$B$9:$BJ$69))+1,MOD(ROW(A2984)-1,COLUMNS('Portfolio Weights Std'!$B$9:$BJ$69))+1)</f>
        <v>1.6064403563276125E-2</v>
      </c>
    </row>
    <row r="2986" spans="1:2" x14ac:dyDescent="0.25">
      <c r="A2986" cm="1">
        <f t="array" ref="A2986">INDEX('Portfolio Weights Returns'!$B$9:$BJ$69,
INT((ROW(A2985)-1)/COLUMNS('Portfolio Weights Returns'!$B$9:$BJ$69))+1,MOD(ROW(A2985)-1,COLUMNS('Portfolio Weights Returns'!$B$9:$BJ$69))+1)</f>
        <v>-4.9966758590551234E-4</v>
      </c>
      <c r="B2986" cm="1">
        <f t="array" ref="B2986">INDEX('Portfolio Weights Std'!$B$9:$BJ$69,INT((ROW(A2985)-1)/COLUMNS('Portfolio Weights Std'!$B$9:$BJ$69))+1,MOD(ROW(A2985)-1,COLUMNS('Portfolio Weights Std'!$B$9:$BJ$69))+1)</f>
        <v>1.600805015724829E-2</v>
      </c>
    </row>
    <row r="2987" spans="1:2" x14ac:dyDescent="0.25">
      <c r="A2987" cm="1">
        <f t="array" ref="A2987">INDEX('Portfolio Weights Returns'!$B$9:$BJ$69,
INT((ROW(A2986)-1)/COLUMNS('Portfolio Weights Returns'!$B$9:$BJ$69))+1,MOD(ROW(A2986)-1,COLUMNS('Portfolio Weights Returns'!$B$9:$BJ$69))+1)</f>
        <v>-4.9288641193883233E-4</v>
      </c>
      <c r="B2987" cm="1">
        <f t="array" ref="B2987">INDEX('Portfolio Weights Std'!$B$9:$BJ$69,INT((ROW(A2986)-1)/COLUMNS('Portfolio Weights Std'!$B$9:$BJ$69))+1,MOD(ROW(A2986)-1,COLUMNS('Portfolio Weights Std'!$B$9:$BJ$69))+1)</f>
        <v>1.5954400135601499E-2</v>
      </c>
    </row>
    <row r="2988" spans="1:2" x14ac:dyDescent="0.25">
      <c r="A2988" cm="1">
        <f t="array" ref="A2988">INDEX('Portfolio Weights Returns'!$B$9:$BJ$69,
INT((ROW(A2987)-1)/COLUMNS('Portfolio Weights Returns'!$B$9:$BJ$69))+1,MOD(ROW(A2987)-1,COLUMNS('Portfolio Weights Returns'!$B$9:$BJ$69))+1)</f>
        <v>-4.8610523797215329E-4</v>
      </c>
      <c r="B2988" cm="1">
        <f t="array" ref="B2988">INDEX('Portfolio Weights Std'!$B$9:$BJ$69,INT((ROW(A2987)-1)/COLUMNS('Portfolio Weights Std'!$B$9:$BJ$69))+1,MOD(ROW(A2987)-1,COLUMNS('Portfolio Weights Std'!$B$9:$BJ$69))+1)</f>
        <v>1.5903480857771719E-2</v>
      </c>
    </row>
    <row r="2989" spans="1:2" x14ac:dyDescent="0.25">
      <c r="A2989" cm="1">
        <f t="array" ref="A2989">INDEX('Portfolio Weights Returns'!$B$9:$BJ$69,
INT((ROW(A2988)-1)/COLUMNS('Portfolio Weights Returns'!$B$9:$BJ$69))+1,MOD(ROW(A2988)-1,COLUMNS('Portfolio Weights Returns'!$B$9:$BJ$69))+1)</f>
        <v>-4.7932406400547436E-4</v>
      </c>
      <c r="B2989" cm="1">
        <f t="array" ref="B2989">INDEX('Portfolio Weights Std'!$B$9:$BJ$69,INT((ROW(A2988)-1)/COLUMNS('Portfolio Weights Std'!$B$9:$BJ$69))+1,MOD(ROW(A2988)-1,COLUMNS('Portfolio Weights Std'!$B$9:$BJ$69))+1)</f>
        <v>1.5855318633091794E-2</v>
      </c>
    </row>
    <row r="2990" spans="1:2" x14ac:dyDescent="0.25">
      <c r="A2990" cm="1">
        <f t="array" ref="A2990">INDEX('Portfolio Weights Returns'!$B$9:$BJ$69,
INT((ROW(A2989)-1)/COLUMNS('Portfolio Weights Returns'!$B$9:$BJ$69))+1,MOD(ROW(A2989)-1,COLUMNS('Portfolio Weights Returns'!$B$9:$BJ$69))+1)</f>
        <v>-4.7254289003879522E-4</v>
      </c>
      <c r="B2990" cm="1">
        <f t="array" ref="B2990">INDEX('Portfolio Weights Std'!$B$9:$BJ$69,INT((ROW(A2989)-1)/COLUMNS('Portfolio Weights Std'!$B$9:$BJ$69))+1,MOD(ROW(A2989)-1,COLUMNS('Portfolio Weights Std'!$B$9:$BJ$69))+1)</f>
        <v>1.5809938658228564E-2</v>
      </c>
    </row>
    <row r="2991" spans="1:2" x14ac:dyDescent="0.25">
      <c r="A2991" cm="1">
        <f t="array" ref="A2991">INDEX('Portfolio Weights Returns'!$B$9:$BJ$69,
INT((ROW(A2990)-1)/COLUMNS('Portfolio Weights Returns'!$B$9:$BJ$69))+1,MOD(ROW(A2990)-1,COLUMNS('Portfolio Weights Returns'!$B$9:$BJ$69))+1)</f>
        <v>-8.7283912019408703E-4</v>
      </c>
      <c r="B2991" cm="1">
        <f t="array" ref="B2991">INDEX('Portfolio Weights Std'!$B$9:$BJ$69,INT((ROW(A2990)-1)/COLUMNS('Portfolio Weights Std'!$B$9:$BJ$69))+1,MOD(ROW(A2990)-1,COLUMNS('Portfolio Weights Std'!$B$9:$BJ$69))+1)</f>
        <v>2.2331940588766083E-2</v>
      </c>
    </row>
    <row r="2992" spans="1:2" x14ac:dyDescent="0.25">
      <c r="A2992" cm="1">
        <f t="array" ref="A2992">INDEX('Portfolio Weights Returns'!$B$9:$BJ$69,
INT((ROW(A2991)-1)/COLUMNS('Portfolio Weights Returns'!$B$9:$BJ$69))+1,MOD(ROW(A2991)-1,COLUMNS('Portfolio Weights Returns'!$B$9:$BJ$69))+1)</f>
        <v>-8.6605794622740778E-4</v>
      </c>
      <c r="B2992" cm="1">
        <f t="array" ref="B2992">INDEX('Portfolio Weights Std'!$B$9:$BJ$69,INT((ROW(A2991)-1)/COLUMNS('Portfolio Weights Std'!$B$9:$BJ$69))+1,MOD(ROW(A2991)-1,COLUMNS('Portfolio Weights Std'!$B$9:$BJ$69))+1)</f>
        <v>2.2178616841457572E-2</v>
      </c>
    </row>
    <row r="2993" spans="1:2" x14ac:dyDescent="0.25">
      <c r="A2993" cm="1">
        <f t="array" ref="A2993">INDEX('Portfolio Weights Returns'!$B$9:$BJ$69,
INT((ROW(A2992)-1)/COLUMNS('Portfolio Weights Returns'!$B$9:$BJ$69))+1,MOD(ROW(A2992)-1,COLUMNS('Portfolio Weights Returns'!$B$9:$BJ$69))+1)</f>
        <v>-8.5927677226072874E-4</v>
      </c>
      <c r="B2993" cm="1">
        <f t="array" ref="B2993">INDEX('Portfolio Weights Std'!$B$9:$BJ$69,INT((ROW(A2992)-1)/COLUMNS('Portfolio Weights Std'!$B$9:$BJ$69))+1,MOD(ROW(A2992)-1,COLUMNS('Portfolio Weights Std'!$B$9:$BJ$69))+1)</f>
        <v>2.2026328005296726E-2</v>
      </c>
    </row>
    <row r="2994" spans="1:2" x14ac:dyDescent="0.25">
      <c r="A2994" cm="1">
        <f t="array" ref="A2994">INDEX('Portfolio Weights Returns'!$B$9:$BJ$69,
INT((ROW(A2993)-1)/COLUMNS('Portfolio Weights Returns'!$B$9:$BJ$69))+1,MOD(ROW(A2993)-1,COLUMNS('Portfolio Weights Returns'!$B$9:$BJ$69))+1)</f>
        <v>-8.524955982940496E-4</v>
      </c>
      <c r="B2994" cm="1">
        <f t="array" ref="B2994">INDEX('Portfolio Weights Std'!$B$9:$BJ$69,INT((ROW(A2993)-1)/COLUMNS('Portfolio Weights Std'!$B$9:$BJ$69))+1,MOD(ROW(A2993)-1,COLUMNS('Portfolio Weights Std'!$B$9:$BJ$69))+1)</f>
        <v>2.1875095694656475E-2</v>
      </c>
    </row>
    <row r="2995" spans="1:2" x14ac:dyDescent="0.25">
      <c r="A2995" cm="1">
        <f t="array" ref="A2995">INDEX('Portfolio Weights Returns'!$B$9:$BJ$69,
INT((ROW(A2994)-1)/COLUMNS('Portfolio Weights Returns'!$B$9:$BJ$69))+1,MOD(ROW(A2994)-1,COLUMNS('Portfolio Weights Returns'!$B$9:$BJ$69))+1)</f>
        <v>-8.4571442432737056E-4</v>
      </c>
      <c r="B2995" cm="1">
        <f t="array" ref="B2995">INDEX('Portfolio Weights Std'!$B$9:$BJ$69,INT((ROW(A2994)-1)/COLUMNS('Portfolio Weights Std'!$B$9:$BJ$69))+1,MOD(ROW(A2994)-1,COLUMNS('Portfolio Weights Std'!$B$9:$BJ$69))+1)</f>
        <v>2.1724941973698418E-2</v>
      </c>
    </row>
    <row r="2996" spans="1:2" x14ac:dyDescent="0.25">
      <c r="A2996" cm="1">
        <f t="array" ref="A2996">INDEX('Portfolio Weights Returns'!$B$9:$BJ$69,
INT((ROW(A2995)-1)/COLUMNS('Portfolio Weights Returns'!$B$9:$BJ$69))+1,MOD(ROW(A2995)-1,COLUMNS('Portfolio Weights Returns'!$B$9:$BJ$69))+1)</f>
        <v>-8.3893325036069142E-4</v>
      </c>
      <c r="B2996" cm="1">
        <f t="array" ref="B2996">INDEX('Portfolio Weights Std'!$B$9:$BJ$69,INT((ROW(A2995)-1)/COLUMNS('Portfolio Weights Std'!$B$9:$BJ$69))+1,MOD(ROW(A2995)-1,COLUMNS('Portfolio Weights Std'!$B$9:$BJ$69))+1)</f>
        <v>2.1575889361216946E-2</v>
      </c>
    </row>
    <row r="2997" spans="1:2" x14ac:dyDescent="0.25">
      <c r="A2997" cm="1">
        <f t="array" ref="A2997">INDEX('Portfolio Weights Returns'!$B$9:$BJ$69,
INT((ROW(A2996)-1)/COLUMNS('Portfolio Weights Returns'!$B$9:$BJ$69))+1,MOD(ROW(A2996)-1,COLUMNS('Portfolio Weights Returns'!$B$9:$BJ$69))+1)</f>
        <v>-8.3215207639401228E-4</v>
      </c>
      <c r="B2997" cm="1">
        <f t="array" ref="B2997">INDEX('Portfolio Weights Std'!$B$9:$BJ$69,INT((ROW(A2996)-1)/COLUMNS('Portfolio Weights Std'!$B$9:$BJ$69))+1,MOD(ROW(A2996)-1,COLUMNS('Portfolio Weights Std'!$B$9:$BJ$69))+1)</f>
        <v>2.142796083511242E-2</v>
      </c>
    </row>
    <row r="2998" spans="1:2" x14ac:dyDescent="0.25">
      <c r="A2998" cm="1">
        <f t="array" ref="A2998">INDEX('Portfolio Weights Returns'!$B$9:$BJ$69,
INT((ROW(A2997)-1)/COLUMNS('Portfolio Weights Returns'!$B$9:$BJ$69))+1,MOD(ROW(A2997)-1,COLUMNS('Portfolio Weights Returns'!$B$9:$BJ$69))+1)</f>
        <v>-8.2537090242733324E-4</v>
      </c>
      <c r="B2998" cm="1">
        <f t="array" ref="B2998">INDEX('Portfolio Weights Std'!$B$9:$BJ$69,INT((ROW(A2997)-1)/COLUMNS('Portfolio Weights Std'!$B$9:$BJ$69))+1,MOD(ROW(A2997)-1,COLUMNS('Portfolio Weights Std'!$B$9:$BJ$69))+1)</f>
        <v>2.1281179836453494E-2</v>
      </c>
    </row>
    <row r="2999" spans="1:2" x14ac:dyDescent="0.25">
      <c r="A2999" cm="1">
        <f t="array" ref="A2999">INDEX('Portfolio Weights Returns'!$B$9:$BJ$69,
INT((ROW(A2998)-1)/COLUMNS('Portfolio Weights Returns'!$B$9:$BJ$69))+1,MOD(ROW(A2998)-1,COLUMNS('Portfolio Weights Returns'!$B$9:$BJ$69))+1)</f>
        <v>-8.1858972846065399E-4</v>
      </c>
      <c r="B2999" cm="1">
        <f t="array" ref="B2999">INDEX('Portfolio Weights Std'!$B$9:$BJ$69,INT((ROW(A2998)-1)/COLUMNS('Portfolio Weights Std'!$B$9:$BJ$69))+1,MOD(ROW(A2998)-1,COLUMNS('Portfolio Weights Std'!$B$9:$BJ$69))+1)</f>
        <v>2.1135570273086168E-2</v>
      </c>
    </row>
    <row r="3000" spans="1:2" x14ac:dyDescent="0.25">
      <c r="A3000" cm="1">
        <f t="array" ref="A3000">INDEX('Portfolio Weights Returns'!$B$9:$BJ$69,
INT((ROW(A2999)-1)/COLUMNS('Portfolio Weights Returns'!$B$9:$BJ$69))+1,MOD(ROW(A2999)-1,COLUMNS('Portfolio Weights Returns'!$B$9:$BJ$69))+1)</f>
        <v>-8.1180855449397495E-4</v>
      </c>
      <c r="B3000" cm="1">
        <f t="array" ref="B3000">INDEX('Portfolio Weights Std'!$B$9:$BJ$69,INT((ROW(A2999)-1)/COLUMNS('Portfolio Weights Std'!$B$9:$BJ$69))+1,MOD(ROW(A2999)-1,COLUMNS('Portfolio Weights Std'!$B$9:$BJ$69))+1)</f>
        <v>2.0991156522744969E-2</v>
      </c>
    </row>
    <row r="3001" spans="1:2" x14ac:dyDescent="0.25">
      <c r="A3001" cm="1">
        <f t="array" ref="A3001">INDEX('Portfolio Weights Returns'!$B$9:$BJ$69,
INT((ROW(A3000)-1)/COLUMNS('Portfolio Weights Returns'!$B$9:$BJ$69))+1,MOD(ROW(A3000)-1,COLUMNS('Portfolio Weights Returns'!$B$9:$BJ$69))+1)</f>
        <v>-8.0502738052729581E-4</v>
      </c>
      <c r="B3001" cm="1">
        <f t="array" ref="B3001">INDEX('Portfolio Weights Std'!$B$9:$BJ$69,INT((ROW(A3000)-1)/COLUMNS('Portfolio Weights Std'!$B$9:$BJ$69))+1,MOD(ROW(A3000)-1,COLUMNS('Portfolio Weights Std'!$B$9:$BJ$69))+1)</f>
        <v>2.0847963435619305E-2</v>
      </c>
    </row>
    <row r="3002" spans="1:2" x14ac:dyDescent="0.25">
      <c r="A3002" cm="1">
        <f t="array" ref="A3002">INDEX('Portfolio Weights Returns'!$B$9:$BJ$69,
INT((ROW(A3001)-1)/COLUMNS('Portfolio Weights Returns'!$B$9:$BJ$69))+1,MOD(ROW(A3001)-1,COLUMNS('Portfolio Weights Returns'!$B$9:$BJ$69))+1)</f>
        <v>-7.9824620656061677E-4</v>
      </c>
      <c r="B3002" cm="1">
        <f t="array" ref="B3002">INDEX('Portfolio Weights Std'!$B$9:$BJ$69,INT((ROW(A3001)-1)/COLUMNS('Portfolio Weights Std'!$B$9:$BJ$69))+1,MOD(ROW(A3001)-1,COLUMNS('Portfolio Weights Std'!$B$9:$BJ$69))+1)</f>
        <v>2.070601633632569E-2</v>
      </c>
    </row>
    <row r="3003" spans="1:2" x14ac:dyDescent="0.25">
      <c r="A3003" cm="1">
        <f t="array" ref="A3003">INDEX('Portfolio Weights Returns'!$B$9:$BJ$69,
INT((ROW(A3002)-1)/COLUMNS('Portfolio Weights Returns'!$B$9:$BJ$69))+1,MOD(ROW(A3002)-1,COLUMNS('Portfolio Weights Returns'!$B$9:$BJ$69))+1)</f>
        <v>-7.9146503259393763E-4</v>
      </c>
      <c r="B3003" cm="1">
        <f t="array" ref="B3003">INDEX('Portfolio Weights Std'!$B$9:$BJ$69,INT((ROW(A3002)-1)/COLUMNS('Portfolio Weights Std'!$B$9:$BJ$69))+1,MOD(ROW(A3002)-1,COLUMNS('Portfolio Weights Std'!$B$9:$BJ$69))+1)</f>
        <v>2.0565341025234156E-2</v>
      </c>
    </row>
    <row r="3004" spans="1:2" x14ac:dyDescent="0.25">
      <c r="A3004" cm="1">
        <f t="array" ref="A3004">INDEX('Portfolio Weights Returns'!$B$9:$BJ$69,
INT((ROW(A3003)-1)/COLUMNS('Portfolio Weights Returns'!$B$9:$BJ$69))+1,MOD(ROW(A3003)-1,COLUMNS('Portfolio Weights Returns'!$B$9:$BJ$69))+1)</f>
        <v>-7.8468385862725859E-4</v>
      </c>
      <c r="B3004" cm="1">
        <f t="array" ref="B3004">INDEX('Portfolio Weights Std'!$B$9:$BJ$69,INT((ROW(A3003)-1)/COLUMNS('Portfolio Weights Std'!$B$9:$BJ$69))+1,MOD(ROW(A3003)-1,COLUMNS('Portfolio Weights Std'!$B$9:$BJ$69))+1)</f>
        <v>2.0425963779094919E-2</v>
      </c>
    </row>
    <row r="3005" spans="1:2" x14ac:dyDescent="0.25">
      <c r="A3005" cm="1">
        <f t="array" ref="A3005">INDEX('Portfolio Weights Returns'!$B$9:$BJ$69,
INT((ROW(A3004)-1)/COLUMNS('Portfolio Weights Returns'!$B$9:$BJ$69))+1,MOD(ROW(A3004)-1,COLUMNS('Portfolio Weights Returns'!$B$9:$BJ$69))+1)</f>
        <v>-7.7790268466057944E-4</v>
      </c>
      <c r="B3005" cm="1">
        <f t="array" ref="B3005">INDEX('Portfolio Weights Std'!$B$9:$BJ$69,INT((ROW(A3004)-1)/COLUMNS('Portfolio Weights Std'!$B$9:$BJ$69))+1,MOD(ROW(A3004)-1,COLUMNS('Portfolio Weights Std'!$B$9:$BJ$69))+1)</f>
        <v>2.0287911350908999E-2</v>
      </c>
    </row>
    <row r="3006" spans="1:2" x14ac:dyDescent="0.25">
      <c r="A3006" cm="1">
        <f t="array" ref="A3006">INDEX('Portfolio Weights Returns'!$B$9:$BJ$69,
INT((ROW(A3005)-1)/COLUMNS('Portfolio Weights Returns'!$B$9:$BJ$69))+1,MOD(ROW(A3005)-1,COLUMNS('Portfolio Weights Returns'!$B$9:$BJ$69))+1)</f>
        <v>-7.7112151069390019E-4</v>
      </c>
      <c r="B3006" cm="1">
        <f t="array" ref="B3006">INDEX('Portfolio Weights Std'!$B$9:$BJ$69,INT((ROW(A3005)-1)/COLUMNS('Portfolio Weights Std'!$B$9:$BJ$69))+1,MOD(ROW(A3005)-1,COLUMNS('Portfolio Weights Std'!$B$9:$BJ$69))+1)</f>
        <v>2.0151210968984288E-2</v>
      </c>
    </row>
    <row r="3007" spans="1:2" x14ac:dyDescent="0.25">
      <c r="A3007" cm="1">
        <f t="array" ref="A3007">INDEX('Portfolio Weights Returns'!$B$9:$BJ$69,
INT((ROW(A3006)-1)/COLUMNS('Portfolio Weights Returns'!$B$9:$BJ$69))+1,MOD(ROW(A3006)-1,COLUMNS('Portfolio Weights Returns'!$B$9:$BJ$69))+1)</f>
        <v>-7.6434033672722137E-4</v>
      </c>
      <c r="B3007" cm="1">
        <f t="array" ref="B3007">INDEX('Portfolio Weights Std'!$B$9:$BJ$69,INT((ROW(A3006)-1)/COLUMNS('Portfolio Weights Std'!$B$9:$BJ$69))+1,MOD(ROW(A3006)-1,COLUMNS('Portfolio Weights Std'!$B$9:$BJ$69))+1)</f>
        <v>2.0015890335116481E-2</v>
      </c>
    </row>
    <row r="3008" spans="1:2" x14ac:dyDescent="0.25">
      <c r="A3008" cm="1">
        <f t="array" ref="A3008">INDEX('Portfolio Weights Returns'!$B$9:$BJ$69,
INT((ROW(A3007)-1)/COLUMNS('Portfolio Weights Returns'!$B$9:$BJ$69))+1,MOD(ROW(A3007)-1,COLUMNS('Portfolio Weights Returns'!$B$9:$BJ$69))+1)</f>
        <v>-7.5755916276054201E-4</v>
      </c>
      <c r="B3008" cm="1">
        <f t="array" ref="B3008">INDEX('Portfolio Weights Std'!$B$9:$BJ$69,INT((ROW(A3007)-1)/COLUMNS('Portfolio Weights Std'!$B$9:$BJ$69))+1,MOD(ROW(A3007)-1,COLUMNS('Portfolio Weights Std'!$B$9:$BJ$69))+1)</f>
        <v>1.9881977621832077E-2</v>
      </c>
    </row>
    <row r="3009" spans="1:2" x14ac:dyDescent="0.25">
      <c r="A3009" cm="1">
        <f t="array" ref="A3009">INDEX('Portfolio Weights Returns'!$B$9:$BJ$69,
INT((ROW(A3008)-1)/COLUMNS('Portfolio Weights Returns'!$B$9:$BJ$69))+1,MOD(ROW(A3008)-1,COLUMNS('Portfolio Weights Returns'!$B$9:$BJ$69))+1)</f>
        <v>-7.5077798879386319E-4</v>
      </c>
      <c r="B3009" cm="1">
        <f t="array" ref="B3009">INDEX('Portfolio Weights Std'!$B$9:$BJ$69,INT((ROW(A3008)-1)/COLUMNS('Portfolio Weights Std'!$B$9:$BJ$69))+1,MOD(ROW(A3008)-1,COLUMNS('Portfolio Weights Std'!$B$9:$BJ$69))+1)</f>
        <v>1.9749501468629024E-2</v>
      </c>
    </row>
    <row r="3010" spans="1:2" x14ac:dyDescent="0.25">
      <c r="A3010" cm="1">
        <f t="array" ref="A3010">INDEX('Portfolio Weights Returns'!$B$9:$BJ$69,
INT((ROW(A3009)-1)/COLUMNS('Portfolio Weights Returns'!$B$9:$BJ$69))+1,MOD(ROW(A3009)-1,COLUMNS('Portfolio Weights Returns'!$B$9:$BJ$69))+1)</f>
        <v>-7.4399681482718394E-4</v>
      </c>
      <c r="B3010" cm="1">
        <f t="array" ref="B3010">INDEX('Portfolio Weights Std'!$B$9:$BJ$69,INT((ROW(A3009)-1)/COLUMNS('Portfolio Weights Std'!$B$9:$BJ$69))+1,MOD(ROW(A3009)-1,COLUMNS('Portfolio Weights Std'!$B$9:$BJ$69))+1)</f>
        <v>1.9618490977148424E-2</v>
      </c>
    </row>
    <row r="3011" spans="1:2" x14ac:dyDescent="0.25">
      <c r="A3011" cm="1">
        <f t="array" ref="A3011">INDEX('Portfolio Weights Returns'!$B$9:$BJ$69,
INT((ROW(A3010)-1)/COLUMNS('Portfolio Weights Returns'!$B$9:$BJ$69))+1,MOD(ROW(A3010)-1,COLUMNS('Portfolio Weights Returns'!$B$9:$BJ$69))+1)</f>
        <v>-7.372156408605049E-4</v>
      </c>
      <c r="B3011" cm="1">
        <f t="array" ref="B3011">INDEX('Portfolio Weights Std'!$B$9:$BJ$69,INT((ROW(A3010)-1)/COLUMNS('Portfolio Weights Std'!$B$9:$BJ$69))+1,MOD(ROW(A3010)-1,COLUMNS('Portfolio Weights Std'!$B$9:$BJ$69))+1)</f>
        <v>1.9488975705209709E-2</v>
      </c>
    </row>
    <row r="3012" spans="1:2" x14ac:dyDescent="0.25">
      <c r="A3012" cm="1">
        <f t="array" ref="A3012">INDEX('Portfolio Weights Returns'!$B$9:$BJ$69,
INT((ROW(A3011)-1)/COLUMNS('Portfolio Weights Returns'!$B$9:$BJ$69))+1,MOD(ROW(A3011)-1,COLUMNS('Portfolio Weights Returns'!$B$9:$BJ$69))+1)</f>
        <v>-7.3043446689382576E-4</v>
      </c>
      <c r="B3012" cm="1">
        <f t="array" ref="B3012">INDEX('Portfolio Weights Std'!$B$9:$BJ$69,INT((ROW(A3011)-1)/COLUMNS('Portfolio Weights Std'!$B$9:$BJ$69))+1,MOD(ROW(A3011)-1,COLUMNS('Portfolio Weights Std'!$B$9:$BJ$69))+1)</f>
        <v>1.9360985659639864E-2</v>
      </c>
    </row>
    <row r="3013" spans="1:2" x14ac:dyDescent="0.25">
      <c r="A3013" cm="1">
        <f t="array" ref="A3013">INDEX('Portfolio Weights Returns'!$B$9:$BJ$69,
INT((ROW(A3012)-1)/COLUMNS('Portfolio Weights Returns'!$B$9:$BJ$69))+1,MOD(ROW(A3012)-1,COLUMNS('Portfolio Weights Returns'!$B$9:$BJ$69))+1)</f>
        <v>-7.2365329292714672E-4</v>
      </c>
      <c r="B3013" cm="1">
        <f t="array" ref="B3013">INDEX('Portfolio Weights Std'!$B$9:$BJ$69,INT((ROW(A3012)-1)/COLUMNS('Portfolio Weights Std'!$B$9:$BJ$69))+1,MOD(ROW(A3012)-1,COLUMNS('Portfolio Weights Std'!$B$9:$BJ$69))+1)</f>
        <v>1.9234551287826616E-2</v>
      </c>
    </row>
    <row r="3014" spans="1:2" x14ac:dyDescent="0.25">
      <c r="A3014" cm="1">
        <f t="array" ref="A3014">INDEX('Portfolio Weights Returns'!$B$9:$BJ$69,
INT((ROW(A3013)-1)/COLUMNS('Portfolio Weights Returns'!$B$9:$BJ$69))+1,MOD(ROW(A3013)-1,COLUMNS('Portfolio Weights Returns'!$B$9:$BJ$69))+1)</f>
        <v>-7.1687211896046758E-4</v>
      </c>
      <c r="B3014" cm="1">
        <f t="array" ref="B3014">INDEX('Portfolio Weights Std'!$B$9:$BJ$69,INT((ROW(A3013)-1)/COLUMNS('Portfolio Weights Std'!$B$9:$BJ$69))+1,MOD(ROW(A3013)-1,COLUMNS('Portfolio Weights Std'!$B$9:$BJ$69))+1)</f>
        <v>1.9109703467924621E-2</v>
      </c>
    </row>
    <row r="3015" spans="1:2" x14ac:dyDescent="0.25">
      <c r="A3015" cm="1">
        <f t="array" ref="A3015">INDEX('Portfolio Weights Returns'!$B$9:$BJ$69,
INT((ROW(A3014)-1)/COLUMNS('Portfolio Weights Returns'!$B$9:$BJ$69))+1,MOD(ROW(A3014)-1,COLUMNS('Portfolio Weights Returns'!$B$9:$BJ$69))+1)</f>
        <v>-7.1009094499378854E-4</v>
      </c>
      <c r="B3015" cm="1">
        <f t="array" ref="B3015">INDEX('Portfolio Weights Std'!$B$9:$BJ$69,INT((ROW(A3014)-1)/COLUMNS('Portfolio Weights Std'!$B$9:$BJ$69))+1,MOD(ROW(A3014)-1,COLUMNS('Portfolio Weights Std'!$B$9:$BJ$69))+1)</f>
        <v>1.8986473497643378E-2</v>
      </c>
    </row>
    <row r="3016" spans="1:2" x14ac:dyDescent="0.25">
      <c r="A3016" cm="1">
        <f t="array" ref="A3016">INDEX('Portfolio Weights Returns'!$B$9:$BJ$69,
INT((ROW(A3015)-1)/COLUMNS('Portfolio Weights Returns'!$B$9:$BJ$69))+1,MOD(ROW(A3015)-1,COLUMNS('Portfolio Weights Returns'!$B$9:$BJ$69))+1)</f>
        <v>-7.033097710271094E-4</v>
      </c>
      <c r="B3016" cm="1">
        <f t="array" ref="B3016">INDEX('Portfolio Weights Std'!$B$9:$BJ$69,INT((ROW(A3015)-1)/COLUMNS('Portfolio Weights Std'!$B$9:$BJ$69))+1,MOD(ROW(A3015)-1,COLUMNS('Portfolio Weights Std'!$B$9:$BJ$69))+1)</f>
        <v>1.8864893081545521E-2</v>
      </c>
    </row>
    <row r="3017" spans="1:2" x14ac:dyDescent="0.25">
      <c r="A3017" cm="1">
        <f t="array" ref="A3017">INDEX('Portfolio Weights Returns'!$B$9:$BJ$69,
INT((ROW(A3016)-1)/COLUMNS('Portfolio Weights Returns'!$B$9:$BJ$69))+1,MOD(ROW(A3016)-1,COLUMNS('Portfolio Weights Returns'!$B$9:$BJ$69))+1)</f>
        <v>-6.9652859706043015E-4</v>
      </c>
      <c r="B3017" cm="1">
        <f t="array" ref="B3017">INDEX('Portfolio Weights Std'!$B$9:$BJ$69,INT((ROW(A3016)-1)/COLUMNS('Portfolio Weights Std'!$B$9:$BJ$69))+1,MOD(ROW(A3016)-1,COLUMNS('Portfolio Weights Std'!$B$9:$BJ$69))+1)</f>
        <v>1.8744994316784946E-2</v>
      </c>
    </row>
    <row r="3018" spans="1:2" x14ac:dyDescent="0.25">
      <c r="A3018" cm="1">
        <f t="array" ref="A3018">INDEX('Portfolio Weights Returns'!$B$9:$BJ$69,
INT((ROW(A3017)-1)/COLUMNS('Portfolio Weights Returns'!$B$9:$BJ$69))+1,MOD(ROW(A3017)-1,COLUMNS('Portfolio Weights Returns'!$B$9:$BJ$69))+1)</f>
        <v>-6.8974742309375111E-4</v>
      </c>
      <c r="B3018" cm="1">
        <f t="array" ref="B3018">INDEX('Portfolio Weights Std'!$B$9:$BJ$69,INT((ROW(A3017)-1)/COLUMNS('Portfolio Weights Std'!$B$9:$BJ$69))+1,MOD(ROW(A3017)-1,COLUMNS('Portfolio Weights Std'!$B$9:$BJ$69))+1)</f>
        <v>1.8626809677214765E-2</v>
      </c>
    </row>
    <row r="3019" spans="1:2" x14ac:dyDescent="0.25">
      <c r="A3019" cm="1">
        <f t="array" ref="A3019">INDEX('Portfolio Weights Returns'!$B$9:$BJ$69,
INT((ROW(A3018)-1)/COLUMNS('Portfolio Weights Returns'!$B$9:$BJ$69))+1,MOD(ROW(A3018)-1,COLUMNS('Portfolio Weights Returns'!$B$9:$BJ$69))+1)</f>
        <v>-6.8296624912707197E-4</v>
      </c>
      <c r="B3019" cm="1">
        <f t="array" ref="B3019">INDEX('Portfolio Weights Std'!$B$9:$BJ$69,INT((ROW(A3018)-1)/COLUMNS('Portfolio Weights Std'!$B$9:$BJ$69))+1,MOD(ROW(A3018)-1,COLUMNS('Portfolio Weights Std'!$B$9:$BJ$69))+1)</f>
        <v>1.8510371995797092E-2</v>
      </c>
    </row>
    <row r="3020" spans="1:2" x14ac:dyDescent="0.25">
      <c r="A3020" cm="1">
        <f t="array" ref="A3020">INDEX('Portfolio Weights Returns'!$B$9:$BJ$69,
INT((ROW(A3019)-1)/COLUMNS('Portfolio Weights Returns'!$B$9:$BJ$69))+1,MOD(ROW(A3019)-1,COLUMNS('Portfolio Weights Returns'!$B$9:$BJ$69))+1)</f>
        <v>-6.7618507516039293E-4</v>
      </c>
      <c r="B3020" cm="1">
        <f t="array" ref="B3020">INDEX('Portfolio Weights Std'!$B$9:$BJ$69,INT((ROW(A3019)-1)/COLUMNS('Portfolio Weights Std'!$B$9:$BJ$69))+1,MOD(ROW(A3019)-1,COLUMNS('Portfolio Weights Std'!$B$9:$BJ$69))+1)</f>
        <v>1.8395714445248457E-2</v>
      </c>
    </row>
    <row r="3021" spans="1:2" x14ac:dyDescent="0.25">
      <c r="A3021" cm="1">
        <f t="array" ref="A3021">INDEX('Portfolio Weights Returns'!$B$9:$BJ$69,
INT((ROW(A3020)-1)/COLUMNS('Portfolio Weights Returns'!$B$9:$BJ$69))+1,MOD(ROW(A3020)-1,COLUMNS('Portfolio Weights Returns'!$B$9:$BJ$69))+1)</f>
        <v>-6.6940390119371378E-4</v>
      </c>
      <c r="B3021" cm="1">
        <f t="array" ref="B3021">INDEX('Portfolio Weights Std'!$B$9:$BJ$69,INT((ROW(A3020)-1)/COLUMNS('Portfolio Weights Std'!$B$9:$BJ$69))+1,MOD(ROW(A3020)-1,COLUMNS('Portfolio Weights Std'!$B$9:$BJ$69))+1)</f>
        <v>1.828287051685764E-2</v>
      </c>
    </row>
    <row r="3022" spans="1:2" x14ac:dyDescent="0.25">
      <c r="A3022" cm="1">
        <f t="array" ref="A3022">INDEX('Portfolio Weights Returns'!$B$9:$BJ$69,
INT((ROW(A3021)-1)/COLUMNS('Portfolio Weights Returns'!$B$9:$BJ$69))+1,MOD(ROW(A3021)-1,COLUMNS('Portfolio Weights Returns'!$B$9:$BJ$69))+1)</f>
        <v>-6.6262272722703475E-4</v>
      </c>
      <c r="B3022" cm="1">
        <f t="array" ref="B3022">INDEX('Portfolio Weights Std'!$B$9:$BJ$69,INT((ROW(A3021)-1)/COLUMNS('Portfolio Weights Std'!$B$9:$BJ$69))+1,MOD(ROW(A3021)-1,COLUMNS('Portfolio Weights Std'!$B$9:$BJ$69))+1)</f>
        <v>1.817187399741611E-2</v>
      </c>
    </row>
    <row r="3023" spans="1:2" x14ac:dyDescent="0.25">
      <c r="A3023" cm="1">
        <f t="array" ref="A3023">INDEX('Portfolio Weights Returns'!$B$9:$BJ$69,
INT((ROW(A3022)-1)/COLUMNS('Portfolio Weights Returns'!$B$9:$BJ$69))+1,MOD(ROW(A3022)-1,COLUMNS('Portfolio Weights Returns'!$B$9:$BJ$69))+1)</f>
        <v>-6.558415532603556E-4</v>
      </c>
      <c r="B3023" cm="1">
        <f t="array" ref="B3023">INDEX('Portfolio Weights Std'!$B$9:$BJ$69,INT((ROW(A3022)-1)/COLUMNS('Portfolio Weights Std'!$B$9:$BJ$69))+1,MOD(ROW(A3022)-1,COLUMNS('Portfolio Weights Std'!$B$9:$BJ$69))+1)</f>
        <v>1.806275894420559E-2</v>
      </c>
    </row>
    <row r="3024" spans="1:2" x14ac:dyDescent="0.25">
      <c r="A3024" cm="1">
        <f t="array" ref="A3024">INDEX('Portfolio Weights Returns'!$B$9:$BJ$69,
INT((ROW(A3023)-1)/COLUMNS('Portfolio Weights Returns'!$B$9:$BJ$69))+1,MOD(ROW(A3023)-1,COLUMNS('Portfolio Weights Returns'!$B$9:$BJ$69))+1)</f>
        <v>-6.4906037929367646E-4</v>
      </c>
      <c r="B3024" cm="1">
        <f t="array" ref="B3024">INDEX('Portfolio Weights Std'!$B$9:$BJ$69,INT((ROW(A3023)-1)/COLUMNS('Portfolio Weights Std'!$B$9:$BJ$69))+1,MOD(ROW(A3023)-1,COLUMNS('Portfolio Weights Std'!$B$9:$BJ$69))+1)</f>
        <v>1.7955559657992181E-2</v>
      </c>
    </row>
    <row r="3025" spans="1:2" x14ac:dyDescent="0.25">
      <c r="A3025" cm="1">
        <f t="array" ref="A3025">INDEX('Portfolio Weights Returns'!$B$9:$BJ$69,
INT((ROW(A3024)-1)/COLUMNS('Portfolio Weights Returns'!$B$9:$BJ$69))+1,MOD(ROW(A3024)-1,COLUMNS('Portfolio Weights Returns'!$B$9:$BJ$69))+1)</f>
        <v>-6.4227920532699732E-4</v>
      </c>
      <c r="B3025" cm="1">
        <f t="array" ref="B3025">INDEX('Portfolio Weights Std'!$B$9:$BJ$69,INT((ROW(A3024)-1)/COLUMNS('Portfolio Weights Std'!$B$9:$BJ$69))+1,MOD(ROW(A3024)-1,COLUMNS('Portfolio Weights Std'!$B$9:$BJ$69))+1)</f>
        <v>1.7850310653982456E-2</v>
      </c>
    </row>
    <row r="3026" spans="1:2" x14ac:dyDescent="0.25">
      <c r="A3026" cm="1">
        <f t="array" ref="A3026">INDEX('Portfolio Weights Returns'!$B$9:$BJ$69,
INT((ROW(A3025)-1)/COLUMNS('Portfolio Weights Returns'!$B$9:$BJ$69))+1,MOD(ROW(A3025)-1,COLUMNS('Portfolio Weights Returns'!$B$9:$BJ$69))+1)</f>
        <v>-6.3549803136031817E-4</v>
      </c>
      <c r="B3026" cm="1">
        <f t="array" ref="B3026">INDEX('Portfolio Weights Std'!$B$9:$BJ$69,INT((ROW(A3025)-1)/COLUMNS('Portfolio Weights Std'!$B$9:$BJ$69))+1,MOD(ROW(A3025)-1,COLUMNS('Portfolio Weights Std'!$B$9:$BJ$69))+1)</f>
        <v>1.774704663070362E-2</v>
      </c>
    </row>
    <row r="3027" spans="1:2" x14ac:dyDescent="0.25">
      <c r="A3027" cm="1">
        <f t="array" ref="A3027">INDEX('Portfolio Weights Returns'!$B$9:$BJ$69,
INT((ROW(A3026)-1)/COLUMNS('Portfolio Weights Returns'!$B$9:$BJ$69))+1,MOD(ROW(A3026)-1,COLUMNS('Portfolio Weights Returns'!$B$9:$BJ$69))+1)</f>
        <v>-6.2871685739363913E-4</v>
      </c>
      <c r="B3027" cm="1">
        <f t="array" ref="B3027">INDEX('Portfolio Weights Std'!$B$9:$BJ$69,INT((ROW(A3026)-1)/COLUMNS('Portfolio Weights Std'!$B$9:$BJ$69))+1,MOD(ROW(A3026)-1,COLUMNS('Portfolio Weights Std'!$B$9:$BJ$69))+1)</f>
        <v>1.7645802436777529E-2</v>
      </c>
    </row>
    <row r="3028" spans="1:2" x14ac:dyDescent="0.25">
      <c r="A3028" cm="1">
        <f t="array" ref="A3028">INDEX('Portfolio Weights Returns'!$B$9:$BJ$69,
INT((ROW(A3027)-1)/COLUMNS('Portfolio Weights Returns'!$B$9:$BJ$69))+1,MOD(ROW(A3027)-1,COLUMNS('Portfolio Weights Returns'!$B$9:$BJ$69))+1)</f>
        <v>-6.2193568342695999E-4</v>
      </c>
      <c r="B3028" cm="1">
        <f t="array" ref="B3028">INDEX('Portfolio Weights Std'!$B$9:$BJ$69,INT((ROW(A3027)-1)/COLUMNS('Portfolio Weights Std'!$B$9:$BJ$69))+1,MOD(ROW(A3027)-1,COLUMNS('Portfolio Weights Std'!$B$9:$BJ$69))+1)</f>
        <v>1.7546613035566861E-2</v>
      </c>
    </row>
    <row r="3029" spans="1:2" x14ac:dyDescent="0.25">
      <c r="A3029" cm="1">
        <f t="array" ref="A3029">INDEX('Portfolio Weights Returns'!$B$9:$BJ$69,
INT((ROW(A3028)-1)/COLUMNS('Portfolio Weights Returns'!$B$9:$BJ$69))+1,MOD(ROW(A3028)-1,COLUMNS('Portfolio Weights Returns'!$B$9:$BJ$69))+1)</f>
        <v>-6.1515450946028095E-4</v>
      </c>
      <c r="B3029" cm="1">
        <f t="array" ref="B3029">INDEX('Portfolio Weights Std'!$B$9:$BJ$69,INT((ROW(A3028)-1)/COLUMNS('Portfolio Weights Std'!$B$9:$BJ$69))+1,MOD(ROW(A3028)-1,COLUMNS('Portfolio Weights Std'!$B$9:$BJ$69))+1)</f>
        <v>1.7449513467681321E-2</v>
      </c>
    </row>
    <row r="3030" spans="1:2" x14ac:dyDescent="0.25">
      <c r="A3030" cm="1">
        <f t="array" ref="A3030">INDEX('Portfolio Weights Returns'!$B$9:$BJ$69,
INT((ROW(A3029)-1)/COLUMNS('Portfolio Weights Returns'!$B$9:$BJ$69))+1,MOD(ROW(A3029)-1,COLUMNS('Portfolio Weights Returns'!$B$9:$BJ$69))+1)</f>
        <v>-6.0837333549360181E-4</v>
      </c>
      <c r="B3030" cm="1">
        <f t="array" ref="B3030">INDEX('Portfolio Weights Std'!$B$9:$BJ$69,INT((ROW(A3029)-1)/COLUMNS('Portfolio Weights Std'!$B$9:$BJ$69))+1,MOD(ROW(A3029)-1,COLUMNS('Portfolio Weights Std'!$B$9:$BJ$69))+1)</f>
        <v>1.7354538811342256E-2</v>
      </c>
    </row>
    <row r="3031" spans="1:2" x14ac:dyDescent="0.25">
      <c r="A3031" cm="1">
        <f t="array" ref="A3031">INDEX('Portfolio Weights Returns'!$B$9:$BJ$69,
INT((ROW(A3030)-1)/COLUMNS('Portfolio Weights Returns'!$B$9:$BJ$69))+1,MOD(ROW(A3030)-1,COLUMNS('Portfolio Weights Returns'!$B$9:$BJ$69))+1)</f>
        <v>-6.0159216152692267E-4</v>
      </c>
      <c r="B3031" cm="1">
        <f t="array" ref="B3031">INDEX('Portfolio Weights Std'!$B$9:$BJ$69,INT((ROW(A3030)-1)/COLUMNS('Portfolio Weights Std'!$B$9:$BJ$69))+1,MOD(ROW(A3030)-1,COLUMNS('Portfolio Weights Std'!$B$9:$BJ$69))+1)</f>
        <v>1.7261724140615373E-2</v>
      </c>
    </row>
    <row r="3032" spans="1:2" x14ac:dyDescent="0.25">
      <c r="A3032" cm="1">
        <f t="array" ref="A3032">INDEX('Portfolio Weights Returns'!$B$9:$BJ$69,
INT((ROW(A3031)-1)/COLUMNS('Portfolio Weights Returns'!$B$9:$BJ$69))+1,MOD(ROW(A3031)-1,COLUMNS('Portfolio Weights Returns'!$B$9:$BJ$69))+1)</f>
        <v>-5.9481098756024352E-4</v>
      </c>
      <c r="B3032" cm="1">
        <f t="array" ref="B3032">INDEX('Portfolio Weights Std'!$B$9:$BJ$69,INT((ROW(A3031)-1)/COLUMNS('Portfolio Weights Std'!$B$9:$BJ$69))+1,MOD(ROW(A3031)-1,COLUMNS('Portfolio Weights Std'!$B$9:$BJ$69))+1)</f>
        <v>1.7171104481533743E-2</v>
      </c>
    </row>
    <row r="3033" spans="1:2" x14ac:dyDescent="0.25">
      <c r="A3033" cm="1">
        <f t="array" ref="A3033">INDEX('Portfolio Weights Returns'!$B$9:$BJ$69,
INT((ROW(A3032)-1)/COLUMNS('Portfolio Weights Returns'!$B$9:$BJ$69))+1,MOD(ROW(A3032)-1,COLUMNS('Portfolio Weights Returns'!$B$9:$BJ$69))+1)</f>
        <v>-5.8802981359356449E-4</v>
      </c>
      <c r="B3033" cm="1">
        <f t="array" ref="B3033">INDEX('Portfolio Weights Std'!$B$9:$BJ$69,INT((ROW(A3032)-1)/COLUMNS('Portfolio Weights Std'!$B$9:$BJ$69))+1,MOD(ROW(A3032)-1,COLUMNS('Portfolio Weights Std'!$B$9:$BJ$69))+1)</f>
        <v>1.7082714766146478E-2</v>
      </c>
    </row>
    <row r="3034" spans="1:2" x14ac:dyDescent="0.25">
      <c r="A3034" cm="1">
        <f t="array" ref="A3034">INDEX('Portfolio Weights Returns'!$B$9:$BJ$69,
INT((ROW(A3033)-1)/COLUMNS('Portfolio Weights Returns'!$B$9:$BJ$69))+1,MOD(ROW(A3033)-1,COLUMNS('Portfolio Weights Returns'!$B$9:$BJ$69))+1)</f>
        <v>-5.8124863962688534E-4</v>
      </c>
      <c r="B3034" cm="1">
        <f t="array" ref="B3034">INDEX('Portfolio Weights Std'!$B$9:$BJ$69,INT((ROW(A3033)-1)/COLUMNS('Portfolio Weights Std'!$B$9:$BJ$69))+1,MOD(ROW(A3033)-1,COLUMNS('Portfolio Weights Std'!$B$9:$BJ$69))+1)</f>
        <v>1.6996589784542531E-2</v>
      </c>
    </row>
    <row r="3035" spans="1:2" x14ac:dyDescent="0.25">
      <c r="A3035" cm="1">
        <f t="array" ref="A3035">INDEX('Portfolio Weights Returns'!$B$9:$BJ$69,
INT((ROW(A3034)-1)/COLUMNS('Portfolio Weights Returns'!$B$9:$BJ$69))+1,MOD(ROW(A3034)-1,COLUMNS('Portfolio Weights Returns'!$B$9:$BJ$69))+1)</f>
        <v>-5.744674656602063E-4</v>
      </c>
      <c r="B3035" cm="1">
        <f t="array" ref="B3035">INDEX('Portfolio Weights Std'!$B$9:$BJ$69,INT((ROW(A3034)-1)/COLUMNS('Portfolio Weights Std'!$B$9:$BJ$69))+1,MOD(ROW(A3034)-1,COLUMNS('Portfolio Weights Std'!$B$9:$BJ$69))+1)</f>
        <v>1.6912764134914139E-2</v>
      </c>
    </row>
    <row r="3036" spans="1:2" x14ac:dyDescent="0.25">
      <c r="A3036" cm="1">
        <f t="array" ref="A3036">INDEX('Portfolio Weights Returns'!$B$9:$BJ$69,
INT((ROW(A3035)-1)/COLUMNS('Portfolio Weights Returns'!$B$9:$BJ$69))+1,MOD(ROW(A3035)-1,COLUMNS('Portfolio Weights Returns'!$B$9:$BJ$69))+1)</f>
        <v>-5.6768629169352716E-4</v>
      </c>
      <c r="B3036" cm="1">
        <f t="array" ref="B3036">INDEX('Portfolio Weights Std'!$B$9:$BJ$69,INT((ROW(A3035)-1)/COLUMNS('Portfolio Weights Std'!$B$9:$BJ$69))+1,MOD(ROW(A3035)-1,COLUMNS('Portfolio Weights Std'!$B$9:$BJ$69))+1)</f>
        <v>1.6831272171739915E-2</v>
      </c>
    </row>
    <row r="3037" spans="1:2" x14ac:dyDescent="0.25">
      <c r="A3037" cm="1">
        <f t="array" ref="A3037">INDEX('Portfolio Weights Returns'!$B$9:$BJ$69,
INT((ROW(A3036)-1)/COLUMNS('Portfolio Weights Returns'!$B$9:$BJ$69))+1,MOD(ROW(A3036)-1,COLUMNS('Portfolio Weights Returns'!$B$9:$BJ$69))+1)</f>
        <v>-5.6090511772684802E-4</v>
      </c>
      <c r="B3037" cm="1">
        <f t="array" ref="B3037">INDEX('Portfolio Weights Std'!$B$9:$BJ$69,INT((ROW(A3036)-1)/COLUMNS('Portfolio Weights Std'!$B$9:$BJ$69))+1,MOD(ROW(A3036)-1,COLUMNS('Portfolio Weights Std'!$B$9:$BJ$69))+1)</f>
        <v>1.6752147952183952E-2</v>
      </c>
    </row>
    <row r="3038" spans="1:2" x14ac:dyDescent="0.25">
      <c r="A3038" cm="1">
        <f t="array" ref="A3038">INDEX('Portfolio Weights Returns'!$B$9:$BJ$69,
INT((ROW(A3037)-1)/COLUMNS('Portfolio Weights Returns'!$B$9:$BJ$69))+1,MOD(ROW(A3037)-1,COLUMNS('Portfolio Weights Returns'!$B$9:$BJ$69))+1)</f>
        <v>-5.5412394376016887E-4</v>
      </c>
      <c r="B3038" cm="1">
        <f t="array" ref="B3038">INDEX('Portfolio Weights Std'!$B$9:$BJ$69,INT((ROW(A3037)-1)/COLUMNS('Portfolio Weights Std'!$B$9:$BJ$69))+1,MOD(ROW(A3037)-1,COLUMNS('Portfolio Weights Std'!$B$9:$BJ$69))+1)</f>
        <v>1.6675425180824065E-2</v>
      </c>
    </row>
    <row r="3039" spans="1:2" x14ac:dyDescent="0.25">
      <c r="A3039" cm="1">
        <f t="array" ref="A3039">INDEX('Portfolio Weights Returns'!$B$9:$BJ$69,
INT((ROW(A3038)-1)/COLUMNS('Portfolio Weights Returns'!$B$9:$BJ$69))+1,MOD(ROW(A3038)-1,COLUMNS('Portfolio Weights Returns'!$B$9:$BJ$69))+1)</f>
        <v>-5.4734276979348994E-4</v>
      </c>
      <c r="B3039" cm="1">
        <f t="array" ref="B3039">INDEX('Portfolio Weights Std'!$B$9:$BJ$69,INT((ROW(A3038)-1)/COLUMNS('Portfolio Weights Std'!$B$9:$BJ$69))+1,MOD(ROW(A3038)-1,COLUMNS('Portfolio Weights Std'!$B$9:$BJ$69))+1)</f>
        <v>1.660113715283949E-2</v>
      </c>
    </row>
    <row r="3040" spans="1:2" x14ac:dyDescent="0.25">
      <c r="A3040" cm="1">
        <f t="array" ref="A3040">INDEX('Portfolio Weights Returns'!$B$9:$BJ$69,
INT((ROW(A3039)-1)/COLUMNS('Portfolio Weights Returns'!$B$9:$BJ$69))+1,MOD(ROW(A3039)-1,COLUMNS('Portfolio Weights Returns'!$B$9:$BJ$69))+1)</f>
        <v>-5.4056159582681091E-4</v>
      </c>
      <c r="B3040" cm="1">
        <f t="array" ref="B3040">INDEX('Portfolio Weights Std'!$B$9:$BJ$69,INT((ROW(A3039)-1)/COLUMNS('Portfolio Weights Std'!$B$9:$BJ$69))+1,MOD(ROW(A3039)-1,COLUMNS('Portfolio Weights Std'!$B$9:$BJ$69))+1)</f>
        <v>1.6529316695805665E-2</v>
      </c>
    </row>
    <row r="3041" spans="1:2" x14ac:dyDescent="0.25">
      <c r="A3041" cm="1">
        <f t="array" ref="A3041">INDEX('Portfolio Weights Returns'!$B$9:$BJ$69,
INT((ROW(A3040)-1)/COLUMNS('Portfolio Weights Returns'!$B$9:$BJ$69))+1,MOD(ROW(A3040)-1,COLUMNS('Portfolio Weights Returns'!$B$9:$BJ$69))+1)</f>
        <v>-5.3378042186013176E-4</v>
      </c>
      <c r="B3041" cm="1">
        <f t="array" ref="B3041">INDEX('Portfolio Weights Std'!$B$9:$BJ$69,INT((ROW(A3040)-1)/COLUMNS('Portfolio Weights Std'!$B$9:$BJ$69))+1,MOD(ROW(A3040)-1,COLUMNS('Portfolio Weights Std'!$B$9:$BJ$69))+1)</f>
        <v>1.6459996110261325E-2</v>
      </c>
    </row>
    <row r="3042" spans="1:2" x14ac:dyDescent="0.25">
      <c r="A3042" cm="1">
        <f t="array" ref="A3042">INDEX('Portfolio Weights Returns'!$B$9:$BJ$69,
INT((ROW(A3041)-1)/COLUMNS('Portfolio Weights Returns'!$B$9:$BJ$69))+1,MOD(ROW(A3041)-1,COLUMNS('Portfolio Weights Returns'!$B$9:$BJ$69))+1)</f>
        <v>-5.2699924789345262E-4</v>
      </c>
      <c r="B3042" cm="1">
        <f t="array" ref="B3042">INDEX('Portfolio Weights Std'!$B$9:$BJ$69,INT((ROW(A3041)-1)/COLUMNS('Portfolio Weights Std'!$B$9:$BJ$69))+1,MOD(ROW(A3041)-1,COLUMNS('Portfolio Weights Std'!$B$9:$BJ$69))+1)</f>
        <v>1.6393207109230395E-2</v>
      </c>
    </row>
    <row r="3043" spans="1:2" x14ac:dyDescent="0.25">
      <c r="A3043" cm="1">
        <f t="array" ref="A3043">INDEX('Portfolio Weights Returns'!$B$9:$BJ$69,
INT((ROW(A3042)-1)/COLUMNS('Portfolio Weights Returns'!$B$9:$BJ$69))+1,MOD(ROW(A3042)-1,COLUMNS('Portfolio Weights Returns'!$B$9:$BJ$69))+1)</f>
        <v>-5.2021807392677358E-4</v>
      </c>
      <c r="B3043" cm="1">
        <f t="array" ref="B3043">INDEX('Portfolio Weights Std'!$B$9:$BJ$69,INT((ROW(A3042)-1)/COLUMNS('Portfolio Weights Std'!$B$9:$BJ$69))+1,MOD(ROW(A3042)-1,COLUMNS('Portfolio Weights Std'!$B$9:$BJ$69))+1)</f>
        <v>1.6328980756898211E-2</v>
      </c>
    </row>
    <row r="3044" spans="1:2" x14ac:dyDescent="0.25">
      <c r="A3044" cm="1">
        <f t="array" ref="A3044">INDEX('Portfolio Weights Returns'!$B$9:$BJ$69,
INT((ROW(A3043)-1)/COLUMNS('Portfolio Weights Returns'!$B$9:$BJ$69))+1,MOD(ROW(A3043)-1,COLUMNS('Portfolio Weights Returns'!$B$9:$BJ$69))+1)</f>
        <v>-5.1343689996009444E-4</v>
      </c>
      <c r="B3044" cm="1">
        <f t="array" ref="B3044">INDEX('Portfolio Weights Std'!$B$9:$BJ$69,INT((ROW(A3043)-1)/COLUMNS('Portfolio Weights Std'!$B$9:$BJ$69))+1,MOD(ROW(A3043)-1,COLUMNS('Portfolio Weights Std'!$B$9:$BJ$69))+1)</f>
        <v>1.6267347406658163E-2</v>
      </c>
    </row>
    <row r="3045" spans="1:2" x14ac:dyDescent="0.25">
      <c r="A3045" cm="1">
        <f t="array" ref="A3045">INDEX('Portfolio Weights Returns'!$B$9:$BJ$69,
INT((ROW(A3044)-1)/COLUMNS('Portfolio Weights Returns'!$B$9:$BJ$69))+1,MOD(ROW(A3044)-1,COLUMNS('Portfolio Weights Returns'!$B$9:$BJ$69))+1)</f>
        <v>-5.0665572599341529E-4</v>
      </c>
      <c r="B3045" cm="1">
        <f t="array" ref="B3045">INDEX('Portfolio Weights Std'!$B$9:$BJ$69,INT((ROW(A3044)-1)/COLUMNS('Portfolio Weights Std'!$B$9:$BJ$69))+1,MOD(ROW(A3044)-1,COLUMNS('Portfolio Weights Std'!$B$9:$BJ$69))+1)</f>
        <v>1.6208336638760618E-2</v>
      </c>
    </row>
    <row r="3046" spans="1:2" x14ac:dyDescent="0.25">
      <c r="A3046" cm="1">
        <f t="array" ref="A3046">INDEX('Portfolio Weights Returns'!$B$9:$BJ$69,
INT((ROW(A3045)-1)/COLUMNS('Portfolio Weights Returns'!$B$9:$BJ$69))+1,MOD(ROW(A3045)-1,COLUMNS('Portfolio Weights Returns'!$B$9:$BJ$69))+1)</f>
        <v>-4.9987455202673615E-4</v>
      </c>
      <c r="B3046" cm="1">
        <f t="array" ref="B3046">INDEX('Portfolio Weights Std'!$B$9:$BJ$69,INT((ROW(A3045)-1)/COLUMNS('Portfolio Weights Std'!$B$9:$BJ$69))+1,MOD(ROW(A3045)-1,COLUMNS('Portfolio Weights Std'!$B$9:$BJ$69))+1)</f>
        <v>1.6151977197810728E-2</v>
      </c>
    </row>
    <row r="3047" spans="1:2" x14ac:dyDescent="0.25">
      <c r="A3047" cm="1">
        <f t="array" ref="A3047">INDEX('Portfolio Weights Returns'!$B$9:$BJ$69,
INT((ROW(A3046)-1)/COLUMNS('Portfolio Weights Returns'!$B$9:$BJ$69))+1,MOD(ROW(A3046)-1,COLUMNS('Portfolio Weights Returns'!$B$9:$BJ$69))+1)</f>
        <v>-4.9309337806005701E-4</v>
      </c>
      <c r="B3047" cm="1">
        <f t="array" ref="B3047">INDEX('Portfolio Weights Std'!$B$9:$BJ$69,INT((ROW(A3046)-1)/COLUMNS('Portfolio Weights Std'!$B$9:$BJ$69))+1,MOD(ROW(A3046)-1,COLUMNS('Portfolio Weights Std'!$B$9:$BJ$69))+1)</f>
        <v>1.6098296930375317E-2</v>
      </c>
    </row>
    <row r="3048" spans="1:2" x14ac:dyDescent="0.25">
      <c r="A3048" cm="1">
        <f t="array" ref="A3048">INDEX('Portfolio Weights Returns'!$B$9:$BJ$69,
INT((ROW(A3047)-1)/COLUMNS('Portfolio Weights Returns'!$B$9:$BJ$69))+1,MOD(ROW(A3047)-1,COLUMNS('Portfolio Weights Returns'!$B$9:$BJ$69))+1)</f>
        <v>-4.8631220409337721E-4</v>
      </c>
      <c r="B3048" cm="1">
        <f t="array" ref="B3048">INDEX('Portfolio Weights Std'!$B$9:$BJ$69,INT((ROW(A3047)-1)/COLUMNS('Portfolio Weights Std'!$B$9:$BJ$69))+1,MOD(ROW(A3047)-1,COLUMNS('Portfolio Weights Std'!$B$9:$BJ$69))+1)</f>
        <v>1.6047322722971293E-2</v>
      </c>
    </row>
    <row r="3049" spans="1:2" x14ac:dyDescent="0.25">
      <c r="A3049" cm="1">
        <f t="array" ref="A3049">INDEX('Portfolio Weights Returns'!$B$9:$BJ$69,
INT((ROW(A3048)-1)/COLUMNS('Portfolio Weights Returns'!$B$9:$BJ$69))+1,MOD(ROW(A3048)-1,COLUMNS('Portfolio Weights Returns'!$B$9:$BJ$69))+1)</f>
        <v>-4.7953103012669812E-4</v>
      </c>
      <c r="B3049" cm="1">
        <f t="array" ref="B3049">INDEX('Portfolio Weights Std'!$B$9:$BJ$69,INT((ROW(A3048)-1)/COLUMNS('Portfolio Weights Std'!$B$9:$BJ$69))+1,MOD(ROW(A3048)-1,COLUMNS('Portfolio Weights Std'!$B$9:$BJ$69))+1)</f>
        <v>1.599908044071835E-2</v>
      </c>
    </row>
    <row r="3050" spans="1:2" x14ac:dyDescent="0.25">
      <c r="A3050" cm="1">
        <f t="array" ref="A3050">INDEX('Portfolio Weights Returns'!$B$9:$BJ$69,
INT((ROW(A3049)-1)/COLUMNS('Portfolio Weights Returns'!$B$9:$BJ$69))+1,MOD(ROW(A3049)-1,COLUMNS('Portfolio Weights Returns'!$B$9:$BJ$69))+1)</f>
        <v>-4.7274985616001914E-4</v>
      </c>
      <c r="B3050" cm="1">
        <f t="array" ref="B3050">INDEX('Portfolio Weights Std'!$B$9:$BJ$69,INT((ROW(A3049)-1)/COLUMNS('Portfolio Weights Std'!$B$9:$BJ$69))+1,MOD(ROW(A3049)-1,COLUMNS('Portfolio Weights Std'!$B$9:$BJ$69))+1)</f>
        <v>1.5953594866947324E-2</v>
      </c>
    </row>
    <row r="3051" spans="1:2" x14ac:dyDescent="0.25">
      <c r="A3051" cm="1">
        <f t="array" ref="A3051">INDEX('Portfolio Weights Returns'!$B$9:$BJ$69,
INT((ROW(A3050)-1)/COLUMNS('Portfolio Weights Returns'!$B$9:$BJ$69))+1,MOD(ROW(A3050)-1,COLUMNS('Portfolio Weights Returns'!$B$9:$BJ$69))+1)</f>
        <v>-4.6596868219333999E-4</v>
      </c>
      <c r="B3051" cm="1">
        <f t="array" ref="B3051">INDEX('Portfolio Weights Std'!$B$9:$BJ$69,INT((ROW(A3050)-1)/COLUMNS('Portfolio Weights Std'!$B$9:$BJ$69))+1,MOD(ROW(A3050)-1,COLUMNS('Portfolio Weights Std'!$B$9:$BJ$69))+1)</f>
        <v>1.5910889644062193E-2</v>
      </c>
    </row>
    <row r="3052" spans="1:2" x14ac:dyDescent="0.25">
      <c r="A3052" cm="1">
        <f t="array" ref="A3052">INDEX('Portfolio Weights Returns'!$B$9:$BJ$69,
INT((ROW(A3051)-1)/COLUMNS('Portfolio Weights Returns'!$B$9:$BJ$69))+1,MOD(ROW(A3051)-1,COLUMNS('Portfolio Weights Returns'!$B$9:$BJ$69))+1)</f>
        <v>-8.662649123486317E-4</v>
      </c>
      <c r="B3052" cm="1">
        <f t="array" ref="B3052">INDEX('Portfolio Weights Std'!$B$9:$BJ$69,INT((ROW(A3051)-1)/COLUMNS('Portfolio Weights Std'!$B$9:$BJ$69))+1,MOD(ROW(A3051)-1,COLUMNS('Portfolio Weights Std'!$B$9:$BJ$69))+1)</f>
        <v>2.230774772796347E-2</v>
      </c>
    </row>
    <row r="3053" spans="1:2" x14ac:dyDescent="0.25">
      <c r="A3053" cm="1">
        <f t="array" ref="A3053">INDEX('Portfolio Weights Returns'!$B$9:$BJ$69,
INT((ROW(A3052)-1)/COLUMNS('Portfolio Weights Returns'!$B$9:$BJ$69))+1,MOD(ROW(A3052)-1,COLUMNS('Portfolio Weights Returns'!$B$9:$BJ$69))+1)</f>
        <v>-8.5948373838195266E-4</v>
      </c>
      <c r="B3053" cm="1">
        <f t="array" ref="B3053">INDEX('Portfolio Weights Std'!$B$9:$BJ$69,INT((ROW(A3052)-1)/COLUMNS('Portfolio Weights Std'!$B$9:$BJ$69))+1,MOD(ROW(A3052)-1,COLUMNS('Portfolio Weights Std'!$B$9:$BJ$69))+1)</f>
        <v>2.2155975986203408E-2</v>
      </c>
    </row>
    <row r="3054" spans="1:2" x14ac:dyDescent="0.25">
      <c r="A3054" cm="1">
        <f t="array" ref="A3054">INDEX('Portfolio Weights Returns'!$B$9:$BJ$69,
INT((ROW(A3053)-1)/COLUMNS('Portfolio Weights Returns'!$B$9:$BJ$69))+1,MOD(ROW(A3053)-1,COLUMNS('Portfolio Weights Returns'!$B$9:$BJ$69))+1)</f>
        <v>-8.5270256441527352E-4</v>
      </c>
      <c r="B3054" cm="1">
        <f t="array" ref="B3054">INDEX('Portfolio Weights Std'!$B$9:$BJ$69,INT((ROW(A3053)-1)/COLUMNS('Portfolio Weights Std'!$B$9:$BJ$69))+1,MOD(ROW(A3053)-1,COLUMNS('Portfolio Weights Std'!$B$9:$BJ$69))+1)</f>
        <v>2.2005261665445173E-2</v>
      </c>
    </row>
    <row r="3055" spans="1:2" x14ac:dyDescent="0.25">
      <c r="A3055" cm="1">
        <f t="array" ref="A3055">INDEX('Portfolio Weights Returns'!$B$9:$BJ$69,
INT((ROW(A3054)-1)/COLUMNS('Portfolio Weights Returns'!$B$9:$BJ$69))+1,MOD(ROW(A3054)-1,COLUMNS('Portfolio Weights Returns'!$B$9:$BJ$69))+1)</f>
        <v>-8.4592139044859438E-4</v>
      </c>
      <c r="B3055" cm="1">
        <f t="array" ref="B3055">INDEX('Portfolio Weights Std'!$B$9:$BJ$69,INT((ROW(A3054)-1)/COLUMNS('Portfolio Weights Std'!$B$9:$BJ$69))+1,MOD(ROW(A3054)-1,COLUMNS('Portfolio Weights Std'!$B$9:$BJ$69))+1)</f>
        <v>2.1855626641323404E-2</v>
      </c>
    </row>
    <row r="3056" spans="1:2" x14ac:dyDescent="0.25">
      <c r="A3056" cm="1">
        <f t="array" ref="A3056">INDEX('Portfolio Weights Returns'!$B$9:$BJ$69,
INT((ROW(A3055)-1)/COLUMNS('Portfolio Weights Returns'!$B$9:$BJ$69))+1,MOD(ROW(A3055)-1,COLUMNS('Portfolio Weights Returns'!$B$9:$BJ$69))+1)</f>
        <v>-8.3914021648191534E-4</v>
      </c>
      <c r="B3056" cm="1">
        <f t="array" ref="B3056">INDEX('Portfolio Weights Std'!$B$9:$BJ$69,INT((ROW(A3055)-1)/COLUMNS('Portfolio Weights Std'!$B$9:$BJ$69))+1,MOD(ROW(A3055)-1,COLUMNS('Portfolio Weights Std'!$B$9:$BJ$69))+1)</f>
        <v>2.1707093233822576E-2</v>
      </c>
    </row>
    <row r="3057" spans="1:2" x14ac:dyDescent="0.25">
      <c r="A3057" cm="1">
        <f t="array" ref="A3057">INDEX('Portfolio Weights Returns'!$B$9:$BJ$69,
INT((ROW(A3056)-1)/COLUMNS('Portfolio Weights Returns'!$B$9:$BJ$69))+1,MOD(ROW(A3056)-1,COLUMNS('Portfolio Weights Returns'!$B$9:$BJ$69))+1)</f>
        <v>-8.323590425152362E-4</v>
      </c>
      <c r="B3057" cm="1">
        <f t="array" ref="B3057">INDEX('Portfolio Weights Std'!$B$9:$BJ$69,INT((ROW(A3056)-1)/COLUMNS('Portfolio Weights Std'!$B$9:$BJ$69))+1,MOD(ROW(A3056)-1,COLUMNS('Portfolio Weights Std'!$B$9:$BJ$69))+1)</f>
        <v>2.1559684211405611E-2</v>
      </c>
    </row>
    <row r="3058" spans="1:2" x14ac:dyDescent="0.25">
      <c r="A3058" cm="1">
        <f t="array" ref="A3058">INDEX('Portfolio Weights Returns'!$B$9:$BJ$69,
INT((ROW(A3057)-1)/COLUMNS('Portfolio Weights Returns'!$B$9:$BJ$69))+1,MOD(ROW(A3057)-1,COLUMNS('Portfolio Weights Returns'!$B$9:$BJ$69))+1)</f>
        <v>-8.2557786854855716E-4</v>
      </c>
      <c r="B3058" cm="1">
        <f t="array" ref="B3058">INDEX('Portfolio Weights Std'!$B$9:$BJ$69,INT((ROW(A3057)-1)/COLUMNS('Portfolio Weights Std'!$B$9:$BJ$69))+1,MOD(ROW(A3057)-1,COLUMNS('Portfolio Weights Std'!$B$9:$BJ$69))+1)</f>
        <v>2.1413422794731459E-2</v>
      </c>
    </row>
    <row r="3059" spans="1:2" x14ac:dyDescent="0.25">
      <c r="A3059" cm="1">
        <f t="array" ref="A3059">INDEX('Portfolio Weights Returns'!$B$9:$BJ$69,
INT((ROW(A3058)-1)/COLUMNS('Portfolio Weights Returns'!$B$9:$BJ$69))+1,MOD(ROW(A3058)-1,COLUMNS('Portfolio Weights Returns'!$B$9:$BJ$69))+1)</f>
        <v>-8.1879669458187791E-4</v>
      </c>
      <c r="B3059" cm="1">
        <f t="array" ref="B3059">INDEX('Portfolio Weights Std'!$B$9:$BJ$69,INT((ROW(A3058)-1)/COLUMNS('Portfolio Weights Std'!$B$9:$BJ$69))+1,MOD(ROW(A3058)-1,COLUMNS('Portfolio Weights Std'!$B$9:$BJ$69))+1)</f>
        <v>2.126833265992055E-2</v>
      </c>
    </row>
    <row r="3060" spans="1:2" x14ac:dyDescent="0.25">
      <c r="A3060" cm="1">
        <f t="array" ref="A3060">INDEX('Portfolio Weights Returns'!$B$9:$BJ$69,
INT((ROW(A3059)-1)/COLUMNS('Portfolio Weights Returns'!$B$9:$BJ$69))+1,MOD(ROW(A3059)-1,COLUMNS('Portfolio Weights Returns'!$B$9:$BJ$69))+1)</f>
        <v>-8.1201552061519887E-4</v>
      </c>
      <c r="B3060" cm="1">
        <f t="array" ref="B3060">INDEX('Portfolio Weights Std'!$B$9:$BJ$69,INT((ROW(A3059)-1)/COLUMNS('Portfolio Weights Std'!$B$9:$BJ$69))+1,MOD(ROW(A3059)-1,COLUMNS('Portfolio Weights Std'!$B$9:$BJ$69))+1)</f>
        <v>2.1124437941324913E-2</v>
      </c>
    </row>
    <row r="3061" spans="1:2" x14ac:dyDescent="0.25">
      <c r="A3061" cm="1">
        <f t="array" ref="A3061">INDEX('Portfolio Weights Returns'!$B$9:$BJ$69,
INT((ROW(A3060)-1)/COLUMNS('Portfolio Weights Returns'!$B$9:$BJ$69))+1,MOD(ROW(A3060)-1,COLUMNS('Portfolio Weights Returns'!$B$9:$BJ$69))+1)</f>
        <v>-8.0523434664851973E-4</v>
      </c>
      <c r="B3061" cm="1">
        <f t="array" ref="B3061">INDEX('Portfolio Weights Std'!$B$9:$BJ$69,INT((ROW(A3060)-1)/COLUMNS('Portfolio Weights Std'!$B$9:$BJ$69))+1,MOD(ROW(A3060)-1,COLUMNS('Portfolio Weights Std'!$B$9:$BJ$69))+1)</f>
        <v>2.0981763233757493E-2</v>
      </c>
    </row>
    <row r="3062" spans="1:2" x14ac:dyDescent="0.25">
      <c r="A3062" cm="1">
        <f t="array" ref="A3062">INDEX('Portfolio Weights Returns'!$B$9:$BJ$69,
INT((ROW(A3061)-1)/COLUMNS('Portfolio Weights Returns'!$B$9:$BJ$69))+1,MOD(ROW(A3061)-1,COLUMNS('Portfolio Weights Returns'!$B$9:$BJ$69))+1)</f>
        <v>-7.9845317268184069E-4</v>
      </c>
      <c r="B3062" cm="1">
        <f t="array" ref="B3062">INDEX('Portfolio Weights Std'!$B$9:$BJ$69,INT((ROW(A3061)-1)/COLUMNS('Portfolio Weights Std'!$B$9:$BJ$69))+1,MOD(ROW(A3061)-1,COLUMNS('Portfolio Weights Std'!$B$9:$BJ$69))+1)</f>
        <v>2.0840333594133131E-2</v>
      </c>
    </row>
    <row r="3063" spans="1:2" x14ac:dyDescent="0.25">
      <c r="A3063" cm="1">
        <f t="array" ref="A3063">INDEX('Portfolio Weights Returns'!$B$9:$BJ$69,
INT((ROW(A3062)-1)/COLUMNS('Portfolio Weights Returns'!$B$9:$BJ$69))+1,MOD(ROW(A3062)-1,COLUMNS('Portfolio Weights Returns'!$B$9:$BJ$69))+1)</f>
        <v>-7.9167199871516155E-4</v>
      </c>
      <c r="B3063" cm="1">
        <f t="array" ref="B3063">INDEX('Portfolio Weights Std'!$B$9:$BJ$69,INT((ROW(A3062)-1)/COLUMNS('Portfolio Weights Std'!$B$9:$BJ$69))+1,MOD(ROW(A3062)-1,COLUMNS('Portfolio Weights Std'!$B$9:$BJ$69))+1)</f>
        <v>2.0700174542471278E-2</v>
      </c>
    </row>
    <row r="3064" spans="1:2" x14ac:dyDescent="0.25">
      <c r="A3064" cm="1">
        <f t="array" ref="A3064">INDEX('Portfolio Weights Returns'!$B$9:$BJ$69,
INT((ROW(A3063)-1)/COLUMNS('Portfolio Weights Returns'!$B$9:$BJ$69))+1,MOD(ROW(A3063)-1,COLUMNS('Portfolio Weights Returns'!$B$9:$BJ$69))+1)</f>
        <v>-7.8489082474848251E-4</v>
      </c>
      <c r="B3064" cm="1">
        <f t="array" ref="B3064">INDEX('Portfolio Weights Std'!$B$9:$BJ$69,INT((ROW(A3063)-1)/COLUMNS('Portfolio Weights Std'!$B$9:$BJ$69))+1,MOD(ROW(A3063)-1,COLUMNS('Portfolio Weights Std'!$B$9:$BJ$69))+1)</f>
        <v>2.0561312062208577E-2</v>
      </c>
    </row>
    <row r="3065" spans="1:2" x14ac:dyDescent="0.25">
      <c r="A3065" cm="1">
        <f t="array" ref="A3065">INDEX('Portfolio Weights Returns'!$B$9:$BJ$69,
INT((ROW(A3064)-1)/COLUMNS('Portfolio Weights Returns'!$B$9:$BJ$69))+1,MOD(ROW(A3064)-1,COLUMNS('Portfolio Weights Returns'!$B$9:$BJ$69))+1)</f>
        <v>-7.7810965078180337E-4</v>
      </c>
      <c r="B3065" cm="1">
        <f t="array" ref="B3065">INDEX('Portfolio Weights Std'!$B$9:$BJ$69,INT((ROW(A3064)-1)/COLUMNS('Portfolio Weights Std'!$B$9:$BJ$69))+1,MOD(ROW(A3064)-1,COLUMNS('Portfolio Weights Std'!$B$9:$BJ$69))+1)</f>
        <v>2.0423772599767111E-2</v>
      </c>
    </row>
    <row r="3066" spans="1:2" x14ac:dyDescent="0.25">
      <c r="A3066" cm="1">
        <f t="array" ref="A3066">INDEX('Portfolio Weights Returns'!$B$9:$BJ$69,
INT((ROW(A3065)-1)/COLUMNS('Portfolio Weights Returns'!$B$9:$BJ$69))+1,MOD(ROW(A3065)-1,COLUMNS('Portfolio Weights Returns'!$B$9:$BJ$69))+1)</f>
        <v>-7.7132847681512411E-4</v>
      </c>
      <c r="B3066" cm="1">
        <f t="array" ref="B3066">INDEX('Portfolio Weights Std'!$B$9:$BJ$69,INT((ROW(A3065)-1)/COLUMNS('Portfolio Weights Std'!$B$9:$BJ$69))+1,MOD(ROW(A3065)-1,COLUMNS('Portfolio Weights Std'!$B$9:$BJ$69))+1)</f>
        <v>2.0287583063322203E-2</v>
      </c>
    </row>
    <row r="3067" spans="1:2" x14ac:dyDescent="0.25">
      <c r="A3067" cm="1">
        <f t="array" ref="A3067">INDEX('Portfolio Weights Returns'!$B$9:$BJ$69,
INT((ROW(A3066)-1)/COLUMNS('Portfolio Weights Returns'!$B$9:$BJ$69))+1,MOD(ROW(A3066)-1,COLUMNS('Portfolio Weights Returns'!$B$9:$BJ$69))+1)</f>
        <v>-7.6454730284844508E-4</v>
      </c>
      <c r="B3067" cm="1">
        <f t="array" ref="B3067">INDEX('Portfolio Weights Std'!$B$9:$BJ$69,INT((ROW(A3066)-1)/COLUMNS('Portfolio Weights Std'!$B$9:$BJ$69))+1,MOD(ROW(A3066)-1,COLUMNS('Portfolio Weights Std'!$B$9:$BJ$69))+1)</f>
        <v>2.0152770820711569E-2</v>
      </c>
    </row>
    <row r="3068" spans="1:2" x14ac:dyDescent="0.25">
      <c r="A3068" cm="1">
        <f t="array" ref="A3068">INDEX('Portfolio Weights Returns'!$B$9:$BJ$69,
INT((ROW(A3067)-1)/COLUMNS('Portfolio Weights Returns'!$B$9:$BJ$69))+1,MOD(ROW(A3067)-1,COLUMNS('Portfolio Weights Returns'!$B$9:$BJ$69))+1)</f>
        <v>-7.5776612888176615E-4</v>
      </c>
      <c r="B3068" cm="1">
        <f t="array" ref="B3068">INDEX('Portfolio Weights Std'!$B$9:$BJ$69,INT((ROW(A3067)-1)/COLUMNS('Portfolio Weights Std'!$B$9:$BJ$69))+1,MOD(ROW(A3067)-1,COLUMNS('Portfolio Weights Std'!$B$9:$BJ$69))+1)</f>
        <v>2.0019363696425905E-2</v>
      </c>
    </row>
    <row r="3069" spans="1:2" x14ac:dyDescent="0.25">
      <c r="A3069" cm="1">
        <f t="array" ref="A3069">INDEX('Portfolio Weights Returns'!$B$9:$BJ$69,
INT((ROW(A3068)-1)/COLUMNS('Portfolio Weights Returns'!$B$9:$BJ$69))+1,MOD(ROW(A3068)-1,COLUMNS('Portfolio Weights Returns'!$B$9:$BJ$69))+1)</f>
        <v>-7.509849549150869E-4</v>
      </c>
      <c r="B3069" cm="1">
        <f t="array" ref="B3069">INDEX('Portfolio Weights Std'!$B$9:$BJ$69,INT((ROW(A3068)-1)/COLUMNS('Portfolio Weights Std'!$B$9:$BJ$69))+1,MOD(ROW(A3068)-1,COLUMNS('Portfolio Weights Std'!$B$9:$BJ$69))+1)</f>
        <v>1.9887389967619004E-2</v>
      </c>
    </row>
    <row r="3070" spans="1:2" x14ac:dyDescent="0.25">
      <c r="A3070" cm="1">
        <f t="array" ref="A3070">INDEX('Portfolio Weights Returns'!$B$9:$BJ$69,
INT((ROW(A3069)-1)/COLUMNS('Portfolio Weights Returns'!$B$9:$BJ$69))+1,MOD(ROW(A3069)-1,COLUMNS('Portfolio Weights Returns'!$B$9:$BJ$69))+1)</f>
        <v>-7.4420378094840786E-4</v>
      </c>
      <c r="B3070" cm="1">
        <f t="array" ref="B3070">INDEX('Portfolio Weights Std'!$B$9:$BJ$69,INT((ROW(A3069)-1)/COLUMNS('Portfolio Weights Std'!$B$9:$BJ$69))+1,MOD(ROW(A3069)-1,COLUMNS('Portfolio Weights Std'!$B$9:$BJ$69))+1)</f>
        <v>1.9756878359074258E-2</v>
      </c>
    </row>
    <row r="3071" spans="1:2" x14ac:dyDescent="0.25">
      <c r="A3071" cm="1">
        <f t="array" ref="A3071">INDEX('Portfolio Weights Returns'!$B$9:$BJ$69,
INT((ROW(A3070)-1)/COLUMNS('Portfolio Weights Returns'!$B$9:$BJ$69))+1,MOD(ROW(A3070)-1,COLUMNS('Portfolio Weights Returns'!$B$9:$BJ$69))+1)</f>
        <v>-7.3742260698172882E-4</v>
      </c>
      <c r="B3071" cm="1">
        <f t="array" ref="B3071">INDEX('Portfolio Weights Std'!$B$9:$BJ$69,INT((ROW(A3070)-1)/COLUMNS('Portfolio Weights Std'!$B$9:$BJ$69))+1,MOD(ROW(A3070)-1,COLUMNS('Portfolio Weights Std'!$B$9:$BJ$69))+1)</f>
        <v>1.9627858037062688E-2</v>
      </c>
    </row>
    <row r="3072" spans="1:2" x14ac:dyDescent="0.25">
      <c r="A3072" cm="1">
        <f t="array" ref="A3072">INDEX('Portfolio Weights Returns'!$B$9:$BJ$69,
INT((ROW(A3071)-1)/COLUMNS('Portfolio Weights Returns'!$B$9:$BJ$69))+1,MOD(ROW(A3071)-1,COLUMNS('Portfolio Weights Returns'!$B$9:$BJ$69))+1)</f>
        <v>-7.3064143301504968E-4</v>
      </c>
      <c r="B3072" cm="1">
        <f t="array" ref="B3072">INDEX('Portfolio Weights Std'!$B$9:$BJ$69,INT((ROW(A3071)-1)/COLUMNS('Portfolio Weights Std'!$B$9:$BJ$69))+1,MOD(ROW(A3071)-1,COLUMNS('Portfolio Weights Std'!$B$9:$BJ$69))+1)</f>
        <v>1.9500358602026834E-2</v>
      </c>
    </row>
    <row r="3073" spans="1:2" x14ac:dyDescent="0.25">
      <c r="A3073" cm="1">
        <f t="array" ref="A3073">INDEX('Portfolio Weights Returns'!$B$9:$BJ$69,
INT((ROW(A3072)-1)/COLUMNS('Portfolio Weights Returns'!$B$9:$BJ$69))+1,MOD(ROW(A3072)-1,COLUMNS('Portfolio Weights Returns'!$B$9:$BJ$69))+1)</f>
        <v>-7.2386025904837064E-4</v>
      </c>
      <c r="B3073" cm="1">
        <f t="array" ref="B3073">INDEX('Portfolio Weights Std'!$B$9:$BJ$69,INT((ROW(A3072)-1)/COLUMNS('Portfolio Weights Std'!$B$9:$BJ$69))+1,MOD(ROW(A3072)-1,COLUMNS('Portfolio Weights Std'!$B$9:$BJ$69))+1)</f>
        <v>1.937441008002368E-2</v>
      </c>
    </row>
    <row r="3074" spans="1:2" x14ac:dyDescent="0.25">
      <c r="A3074" cm="1">
        <f t="array" ref="A3074">INDEX('Portfolio Weights Returns'!$B$9:$BJ$69,
INT((ROW(A3073)-1)/COLUMNS('Portfolio Weights Returns'!$B$9:$BJ$69))+1,MOD(ROW(A3073)-1,COLUMNS('Portfolio Weights Returns'!$B$9:$BJ$69))+1)</f>
        <v>-7.170790850816915E-4</v>
      </c>
      <c r="B3074" cm="1">
        <f t="array" ref="B3074">INDEX('Portfolio Weights Std'!$B$9:$BJ$69,INT((ROW(A3073)-1)/COLUMNS('Portfolio Weights Std'!$B$9:$BJ$69))+1,MOD(ROW(A3073)-1,COLUMNS('Portfolio Weights Std'!$B$9:$BJ$69))+1)</f>
        <v>1.9250042912859457E-2</v>
      </c>
    </row>
    <row r="3075" spans="1:2" x14ac:dyDescent="0.25">
      <c r="A3075" cm="1">
        <f t="array" ref="A3075">INDEX('Portfolio Weights Returns'!$B$9:$BJ$69,
INT((ROW(A3074)-1)/COLUMNS('Portfolio Weights Returns'!$B$9:$BJ$69))+1,MOD(ROW(A3074)-1,COLUMNS('Portfolio Weights Returns'!$B$9:$BJ$69))+1)</f>
        <v>-7.1029791111501235E-4</v>
      </c>
      <c r="B3075" cm="1">
        <f t="array" ref="B3075">INDEX('Portfolio Weights Std'!$B$9:$BJ$69,INT((ROW(A3074)-1)/COLUMNS('Portfolio Weights Std'!$B$9:$BJ$69))+1,MOD(ROW(A3074)-1,COLUMNS('Portfolio Weights Std'!$B$9:$BJ$69))+1)</f>
        <v>1.9127287946848707E-2</v>
      </c>
    </row>
    <row r="3076" spans="1:2" x14ac:dyDescent="0.25">
      <c r="A3076" cm="1">
        <f t="array" ref="A3076">INDEX('Portfolio Weights Returns'!$B$9:$BJ$69,
INT((ROW(A3075)-1)/COLUMNS('Portfolio Weights Returns'!$B$9:$BJ$69))+1,MOD(ROW(A3075)-1,COLUMNS('Portfolio Weights Returns'!$B$9:$BJ$69))+1)</f>
        <v>-7.0351673714833332E-4</v>
      </c>
      <c r="B3076" cm="1">
        <f t="array" ref="B3076">INDEX('Portfolio Weights Std'!$B$9:$BJ$69,INT((ROW(A3075)-1)/COLUMNS('Portfolio Weights Std'!$B$9:$BJ$69))+1,MOD(ROW(A3075)-1,COLUMNS('Portfolio Weights Std'!$B$9:$BJ$69))+1)</f>
        <v>1.9006176420130458E-2</v>
      </c>
    </row>
    <row r="3077" spans="1:2" x14ac:dyDescent="0.25">
      <c r="A3077" cm="1">
        <f t="array" ref="A3077">INDEX('Portfolio Weights Returns'!$B$9:$BJ$69,
INT((ROW(A3076)-1)/COLUMNS('Portfolio Weights Returns'!$B$9:$BJ$69))+1,MOD(ROW(A3076)-1,COLUMNS('Portfolio Weights Returns'!$B$9:$BJ$69))+1)</f>
        <v>-6.9673556318165407E-4</v>
      </c>
      <c r="B3077" cm="1">
        <f t="array" ref="B3077">INDEX('Portfolio Weights Std'!$B$9:$BJ$69,INT((ROW(A3076)-1)/COLUMNS('Portfolio Weights Std'!$B$9:$BJ$69))+1,MOD(ROW(A3076)-1,COLUMNS('Portfolio Weights Std'!$B$9:$BJ$69))+1)</f>
        <v>1.8886739948474649E-2</v>
      </c>
    </row>
    <row r="3078" spans="1:2" x14ac:dyDescent="0.25">
      <c r="A3078" cm="1">
        <f t="array" ref="A3078">INDEX('Portfolio Weights Returns'!$B$9:$BJ$69,
INT((ROW(A3077)-1)/COLUMNS('Portfolio Weights Returns'!$B$9:$BJ$69))+1,MOD(ROW(A3077)-1,COLUMNS('Portfolio Weights Returns'!$B$9:$BJ$69))+1)</f>
        <v>-6.8995438921497503E-4</v>
      </c>
      <c r="B3078" cm="1">
        <f t="array" ref="B3078">INDEX('Portfolio Weights Std'!$B$9:$BJ$69,INT((ROW(A3077)-1)/COLUMNS('Portfolio Weights Std'!$B$9:$BJ$69))+1,MOD(ROW(A3077)-1,COLUMNS('Portfolio Weights Std'!$B$9:$BJ$69))+1)</f>
        <v>1.8769010509513261E-2</v>
      </c>
    </row>
    <row r="3079" spans="1:2" x14ac:dyDescent="0.25">
      <c r="A3079" cm="1">
        <f t="array" ref="A3079">INDEX('Portfolio Weights Returns'!$B$9:$BJ$69,
INT((ROW(A3078)-1)/COLUMNS('Portfolio Weights Returns'!$B$9:$BJ$69))+1,MOD(ROW(A3078)-1,COLUMNS('Portfolio Weights Returns'!$B$9:$BJ$69))+1)</f>
        <v>-6.8317321524829589E-4</v>
      </c>
      <c r="B3079" cm="1">
        <f t="array" ref="B3079">INDEX('Portfolio Weights Std'!$B$9:$BJ$69,INT((ROW(A3078)-1)/COLUMNS('Portfolio Weights Std'!$B$9:$BJ$69))+1,MOD(ROW(A3078)-1,COLUMNS('Portfolio Weights Std'!$B$9:$BJ$69))+1)</f>
        <v>1.8653020425332092E-2</v>
      </c>
    </row>
    <row r="3080" spans="1:2" x14ac:dyDescent="0.25">
      <c r="A3080" cm="1">
        <f t="array" ref="A3080">INDEX('Portfolio Weights Returns'!$B$9:$BJ$69,
INT((ROW(A3079)-1)/COLUMNS('Portfolio Weights Returns'!$B$9:$BJ$69))+1,MOD(ROW(A3079)-1,COLUMNS('Portfolio Weights Returns'!$B$9:$BJ$69))+1)</f>
        <v>-6.7639204128161685E-4</v>
      </c>
      <c r="B3080" cm="1">
        <f t="array" ref="B3080">INDEX('Portfolio Weights Std'!$B$9:$BJ$69,INT((ROW(A3079)-1)/COLUMNS('Portfolio Weights Std'!$B$9:$BJ$69))+1,MOD(ROW(A3079)-1,COLUMNS('Portfolio Weights Std'!$B$9:$BJ$69))+1)</f>
        <v>1.8538802343361322E-2</v>
      </c>
    </row>
    <row r="3081" spans="1:2" x14ac:dyDescent="0.25">
      <c r="A3081" cm="1">
        <f t="array" ref="A3081">INDEX('Portfolio Weights Returns'!$B$9:$BJ$69,
INT((ROW(A3080)-1)/COLUMNS('Portfolio Weights Returns'!$B$9:$BJ$69))+1,MOD(ROW(A3080)-1,COLUMNS('Portfolio Weights Returns'!$B$9:$BJ$69))+1)</f>
        <v>-6.696108673149377E-4</v>
      </c>
      <c r="B3081" cm="1">
        <f t="array" ref="B3081">INDEX('Portfolio Weights Std'!$B$9:$BJ$69,INT((ROW(A3080)-1)/COLUMNS('Portfolio Weights Std'!$B$9:$BJ$69))+1,MOD(ROW(A3080)-1,COLUMNS('Portfolio Weights Std'!$B$9:$BJ$69))+1)</f>
        <v>1.8426389215505788E-2</v>
      </c>
    </row>
    <row r="3082" spans="1:2" x14ac:dyDescent="0.25">
      <c r="A3082" cm="1">
        <f t="array" ref="A3082">INDEX('Portfolio Weights Returns'!$B$9:$BJ$69,
INT((ROW(A3081)-1)/COLUMNS('Portfolio Weights Returns'!$B$9:$BJ$69))+1,MOD(ROW(A3081)-1,COLUMNS('Portfolio Weights Returns'!$B$9:$BJ$69))+1)</f>
        <v>-6.6282969334825867E-4</v>
      </c>
      <c r="B3082" cm="1">
        <f t="array" ref="B3082">INDEX('Portfolio Weights Std'!$B$9:$BJ$69,INT((ROW(A3081)-1)/COLUMNS('Portfolio Weights Std'!$B$9:$BJ$69))+1,MOD(ROW(A3081)-1,COLUMNS('Portfolio Weights Std'!$B$9:$BJ$69))+1)</f>
        <v>1.8315814275459415E-2</v>
      </c>
    </row>
    <row r="3083" spans="1:2" x14ac:dyDescent="0.25">
      <c r="A3083" cm="1">
        <f t="array" ref="A3083">INDEX('Portfolio Weights Returns'!$B$9:$BJ$69,
INT((ROW(A3082)-1)/COLUMNS('Portfolio Weights Returns'!$B$9:$BJ$69))+1,MOD(ROW(A3082)-1,COLUMNS('Portfolio Weights Returns'!$B$9:$BJ$69))+1)</f>
        <v>-6.5604851938157952E-4</v>
      </c>
      <c r="B3083" cm="1">
        <f t="array" ref="B3083">INDEX('Portfolio Weights Std'!$B$9:$BJ$69,INT((ROW(A3082)-1)/COLUMNS('Portfolio Weights Std'!$B$9:$BJ$69))+1,MOD(ROW(A3082)-1,COLUMNS('Portfolio Weights Std'!$B$9:$BJ$69))+1)</f>
        <v>1.8207111014152233E-2</v>
      </c>
    </row>
    <row r="3084" spans="1:2" x14ac:dyDescent="0.25">
      <c r="A3084" cm="1">
        <f t="array" ref="A3084">INDEX('Portfolio Weights Returns'!$B$9:$BJ$69,
INT((ROW(A3083)-1)/COLUMNS('Portfolio Weights Returns'!$B$9:$BJ$69))+1,MOD(ROW(A3083)-1,COLUMNS('Portfolio Weights Returns'!$B$9:$BJ$69))+1)</f>
        <v>-6.4926734541490027E-4</v>
      </c>
      <c r="B3084" cm="1">
        <f t="array" ref="B3084">INDEX('Portfolio Weights Std'!$B$9:$BJ$69,INT((ROW(A3083)-1)/COLUMNS('Portfolio Weights Std'!$B$9:$BJ$69))+1,MOD(ROW(A3083)-1,COLUMNS('Portfolio Weights Std'!$B$9:$BJ$69))+1)</f>
        <v>1.810031315328357E-2</v>
      </c>
    </row>
    <row r="3085" spans="1:2" x14ac:dyDescent="0.25">
      <c r="A3085" cm="1">
        <f t="array" ref="A3085">INDEX('Portfolio Weights Returns'!$B$9:$BJ$69,
INT((ROW(A3084)-1)/COLUMNS('Portfolio Weights Returns'!$B$9:$BJ$69))+1,MOD(ROW(A3084)-1,COLUMNS('Portfolio Weights Returns'!$B$9:$BJ$69))+1)</f>
        <v>-6.4248617144822124E-4</v>
      </c>
      <c r="B3085" cm="1">
        <f t="array" ref="B3085">INDEX('Portfolio Weights Std'!$B$9:$BJ$69,INT((ROW(A3084)-1)/COLUMNS('Portfolio Weights Std'!$B$9:$BJ$69))+1,MOD(ROW(A3084)-1,COLUMNS('Portfolio Weights Std'!$B$9:$BJ$69))+1)</f>
        <v>1.7995454616900424E-2</v>
      </c>
    </row>
    <row r="3086" spans="1:2" x14ac:dyDescent="0.25">
      <c r="A3086" cm="1">
        <f t="array" ref="A3086">INDEX('Portfolio Weights Returns'!$B$9:$BJ$69,
INT((ROW(A3085)-1)/COLUMNS('Portfolio Weights Returns'!$B$9:$BJ$69))+1,MOD(ROW(A3085)-1,COLUMNS('Portfolio Weights Returns'!$B$9:$BJ$69))+1)</f>
        <v>-6.3570499748154209E-4</v>
      </c>
      <c r="B3086" cm="1">
        <f t="array" ref="B3086">INDEX('Portfolio Weights Std'!$B$9:$BJ$69,INT((ROW(A3085)-1)/COLUMNS('Portfolio Weights Std'!$B$9:$BJ$69))+1,MOD(ROW(A3085)-1,COLUMNS('Portfolio Weights Std'!$B$9:$BJ$69))+1)</f>
        <v>1.7892569500986753E-2</v>
      </c>
    </row>
    <row r="3087" spans="1:2" x14ac:dyDescent="0.25">
      <c r="A3087" cm="1">
        <f t="array" ref="A3087">INDEX('Portfolio Weights Returns'!$B$9:$BJ$69,
INT((ROW(A3086)-1)/COLUMNS('Portfolio Weights Returns'!$B$9:$BJ$69))+1,MOD(ROW(A3086)-1,COLUMNS('Portfolio Weights Returns'!$B$9:$BJ$69))+1)</f>
        <v>-6.2892382351486305E-4</v>
      </c>
      <c r="B3087" cm="1">
        <f t="array" ref="B3087">INDEX('Portfolio Weights Std'!$B$9:$BJ$69,INT((ROW(A3086)-1)/COLUMNS('Portfolio Weights Std'!$B$9:$BJ$69))+1,MOD(ROW(A3086)-1,COLUMNS('Portfolio Weights Std'!$B$9:$BJ$69))+1)</f>
        <v>1.779169204103662E-2</v>
      </c>
    </row>
    <row r="3088" spans="1:2" x14ac:dyDescent="0.25">
      <c r="A3088" cm="1">
        <f t="array" ref="A3088">INDEX('Portfolio Weights Returns'!$B$9:$BJ$69,
INT((ROW(A3087)-1)/COLUMNS('Portfolio Weights Returns'!$B$9:$BJ$69))+1,MOD(ROW(A3087)-1,COLUMNS('Portfolio Weights Returns'!$B$9:$BJ$69))+1)</f>
        <v>-6.2214264954818391E-4</v>
      </c>
      <c r="B3088" cm="1">
        <f t="array" ref="B3088">INDEX('Portfolio Weights Std'!$B$9:$BJ$69,INT((ROW(A3087)-1)/COLUMNS('Portfolio Weights Std'!$B$9:$BJ$69))+1,MOD(ROW(A3087)-1,COLUMNS('Portfolio Weights Std'!$B$9:$BJ$69))+1)</f>
        <v>1.7692856577592442E-2</v>
      </c>
    </row>
    <row r="3089" spans="1:2" x14ac:dyDescent="0.25">
      <c r="A3089" cm="1">
        <f t="array" ref="A3089">INDEX('Portfolio Weights Returns'!$B$9:$BJ$69,
INT((ROW(A3088)-1)/COLUMNS('Portfolio Weights Returns'!$B$9:$BJ$69))+1,MOD(ROW(A3088)-1,COLUMNS('Portfolio Weights Returns'!$B$9:$BJ$69))+1)</f>
        <v>-6.1536147558150487E-4</v>
      </c>
      <c r="B3089" cm="1">
        <f t="array" ref="B3089">INDEX('Portfolio Weights Std'!$B$9:$BJ$69,INT((ROW(A3088)-1)/COLUMNS('Portfolio Weights Std'!$B$9:$BJ$69))+1,MOD(ROW(A3088)-1,COLUMNS('Portfolio Weights Std'!$B$9:$BJ$69))+1)</f>
        <v>1.7596097519738646E-2</v>
      </c>
    </row>
    <row r="3090" spans="1:2" x14ac:dyDescent="0.25">
      <c r="A3090" cm="1">
        <f t="array" ref="A3090">INDEX('Portfolio Weights Returns'!$B$9:$BJ$69,
INT((ROW(A3089)-1)/COLUMNS('Portfolio Weights Returns'!$B$9:$BJ$69))+1,MOD(ROW(A3089)-1,COLUMNS('Portfolio Weights Returns'!$B$9:$BJ$69))+1)</f>
        <v>-6.0858030161482573E-4</v>
      </c>
      <c r="B3090" cm="1">
        <f t="array" ref="B3090">INDEX('Portfolio Weights Std'!$B$9:$BJ$69,INT((ROW(A3089)-1)/COLUMNS('Portfolio Weights Std'!$B$9:$BJ$69))+1,MOD(ROW(A3089)-1,COLUMNS('Portfolio Weights Std'!$B$9:$BJ$69))+1)</f>
        <v>1.7501449306551009E-2</v>
      </c>
    </row>
    <row r="3091" spans="1:2" x14ac:dyDescent="0.25">
      <c r="A3091" cm="1">
        <f t="array" ref="A3091">INDEX('Portfolio Weights Returns'!$B$9:$BJ$69,
INT((ROW(A3090)-1)/COLUMNS('Portfolio Weights Returns'!$B$9:$BJ$69))+1,MOD(ROW(A3090)-1,COLUMNS('Portfolio Weights Returns'!$B$9:$BJ$69))+1)</f>
        <v>-6.0179912764814659E-4</v>
      </c>
      <c r="B3091" cm="1">
        <f t="array" ref="B3091">INDEX('Portfolio Weights Std'!$B$9:$BJ$69,INT((ROW(A3090)-1)/COLUMNS('Portfolio Weights Std'!$B$9:$BJ$69))+1,MOD(ROW(A3090)-1,COLUMNS('Portfolio Weights Std'!$B$9:$BJ$69))+1)</f>
        <v>1.7408946366512908E-2</v>
      </c>
    </row>
    <row r="3092" spans="1:2" x14ac:dyDescent="0.25">
      <c r="A3092" cm="1">
        <f t="array" ref="A3092">INDEX('Portfolio Weights Returns'!$B$9:$BJ$69,
INT((ROW(A3091)-1)/COLUMNS('Portfolio Weights Returns'!$B$9:$BJ$69))+1,MOD(ROW(A3091)-1,COLUMNS('Portfolio Weights Returns'!$B$9:$BJ$69))+1)</f>
        <v>-5.9501795368146744E-4</v>
      </c>
      <c r="B3092" cm="1">
        <f t="array" ref="B3092">INDEX('Portfolio Weights Std'!$B$9:$BJ$69,INT((ROW(A3091)-1)/COLUMNS('Portfolio Weights Std'!$B$9:$BJ$69))+1,MOD(ROW(A3091)-1,COLUMNS('Portfolio Weights Std'!$B$9:$BJ$69))+1)</f>
        <v>1.7318623074921317E-2</v>
      </c>
    </row>
    <row r="3093" spans="1:2" x14ac:dyDescent="0.25">
      <c r="A3093" cm="1">
        <f t="array" ref="A3093">INDEX('Portfolio Weights Returns'!$B$9:$BJ$69,
INT((ROW(A3092)-1)/COLUMNS('Portfolio Weights Returns'!$B$9:$BJ$69))+1,MOD(ROW(A3092)-1,COLUMNS('Portfolio Weights Returns'!$B$9:$BJ$69))+1)</f>
        <v>-5.8823677971478841E-4</v>
      </c>
      <c r="B3093" cm="1">
        <f t="array" ref="B3093">INDEX('Portfolio Weights Std'!$B$9:$BJ$69,INT((ROW(A3092)-1)/COLUMNS('Portfolio Weights Std'!$B$9:$BJ$69))+1,MOD(ROW(A3092)-1,COLUMNS('Portfolio Weights Std'!$B$9:$BJ$69))+1)</f>
        <v>1.7230513709318048E-2</v>
      </c>
    </row>
    <row r="3094" spans="1:2" x14ac:dyDescent="0.25">
      <c r="A3094" cm="1">
        <f t="array" ref="A3094">INDEX('Portfolio Weights Returns'!$B$9:$BJ$69,
INT((ROW(A3093)-1)/COLUMNS('Portfolio Weights Returns'!$B$9:$BJ$69))+1,MOD(ROW(A3093)-1,COLUMNS('Portfolio Weights Returns'!$B$9:$BJ$69))+1)</f>
        <v>-5.8145560574810926E-4</v>
      </c>
      <c r="B3094" cm="1">
        <f t="array" ref="B3094">INDEX('Portfolio Weights Std'!$B$9:$BJ$69,INT((ROW(A3093)-1)/COLUMNS('Portfolio Weights Std'!$B$9:$BJ$69))+1,MOD(ROW(A3093)-1,COLUMNS('Portfolio Weights Std'!$B$9:$BJ$69))+1)</f>
        <v>1.7144652402995026E-2</v>
      </c>
    </row>
    <row r="3095" spans="1:2" x14ac:dyDescent="0.25">
      <c r="A3095" cm="1">
        <f t="array" ref="A3095">INDEX('Portfolio Weights Returns'!$B$9:$BJ$69,
INT((ROW(A3094)-1)/COLUMNS('Portfolio Weights Returns'!$B$9:$BJ$69))+1,MOD(ROW(A3094)-1,COLUMNS('Portfolio Weights Returns'!$B$9:$BJ$69))+1)</f>
        <v>-5.7467443178143012E-4</v>
      </c>
      <c r="B3095" cm="1">
        <f t="array" ref="B3095">INDEX('Portfolio Weights Std'!$B$9:$BJ$69,INT((ROW(A3094)-1)/COLUMNS('Portfolio Weights Std'!$B$9:$BJ$69))+1,MOD(ROW(A3094)-1,COLUMNS('Portfolio Weights Std'!$B$9:$BJ$69))+1)</f>
        <v>1.7061073096636539E-2</v>
      </c>
    </row>
    <row r="3096" spans="1:2" x14ac:dyDescent="0.25">
      <c r="A3096" cm="1">
        <f t="array" ref="A3096">INDEX('Portfolio Weights Returns'!$B$9:$BJ$69,
INT((ROW(A3095)-1)/COLUMNS('Portfolio Weights Returns'!$B$9:$BJ$69))+1,MOD(ROW(A3095)-1,COLUMNS('Portfolio Weights Returns'!$B$9:$BJ$69))+1)</f>
        <v>-5.6789325781475108E-4</v>
      </c>
      <c r="B3096" cm="1">
        <f t="array" ref="B3096">INDEX('Portfolio Weights Std'!$B$9:$BJ$69,INT((ROW(A3095)-1)/COLUMNS('Portfolio Weights Std'!$B$9:$BJ$69))+1,MOD(ROW(A3095)-1,COLUMNS('Portfolio Weights Std'!$B$9:$BJ$69))+1)</f>
        <v>1.6979809488176036E-2</v>
      </c>
    </row>
    <row r="3097" spans="1:2" x14ac:dyDescent="0.25">
      <c r="A3097" cm="1">
        <f t="array" ref="A3097">INDEX('Portfolio Weights Returns'!$B$9:$BJ$69,
INT((ROW(A3096)-1)/COLUMNS('Portfolio Weights Returns'!$B$9:$BJ$69))+1,MOD(ROW(A3096)-1,COLUMNS('Portfolio Weights Returns'!$B$9:$BJ$69))+1)</f>
        <v>-5.6111208384807194E-4</v>
      </c>
      <c r="B3097" cm="1">
        <f t="array" ref="B3097">INDEX('Portfolio Weights Std'!$B$9:$BJ$69,INT((ROW(A3096)-1)/COLUMNS('Portfolio Weights Std'!$B$9:$BJ$69))+1,MOD(ROW(A3096)-1,COLUMNS('Portfolio Weights Std'!$B$9:$BJ$69))+1)</f>
        <v>1.6900894980960528E-2</v>
      </c>
    </row>
    <row r="3098" spans="1:2" x14ac:dyDescent="0.25">
      <c r="A3098" cm="1">
        <f t="array" ref="A3098">INDEX('Portfolio Weights Returns'!$B$9:$BJ$69,
INT((ROW(A3097)-1)/COLUMNS('Portfolio Weights Returns'!$B$9:$BJ$69))+1,MOD(ROW(A3097)-1,COLUMNS('Portfolio Weights Returns'!$B$9:$BJ$69))+1)</f>
        <v>-5.5433090988139279E-4</v>
      </c>
      <c r="B3098" cm="1">
        <f t="array" ref="B3098">INDEX('Portfolio Weights Std'!$B$9:$BJ$69,INT((ROW(A3097)-1)/COLUMNS('Portfolio Weights Std'!$B$9:$BJ$69))+1,MOD(ROW(A3097)-1,COLUMNS('Portfolio Weights Std'!$B$9:$BJ$69))+1)</f>
        <v>1.6824362630331241E-2</v>
      </c>
    </row>
    <row r="3099" spans="1:2" x14ac:dyDescent="0.25">
      <c r="A3099" cm="1">
        <f t="array" ref="A3099">INDEX('Portfolio Weights Returns'!$B$9:$BJ$69,
INT((ROW(A3098)-1)/COLUMNS('Portfolio Weights Returns'!$B$9:$BJ$69))+1,MOD(ROW(A3098)-1,COLUMNS('Portfolio Weights Returns'!$B$9:$BJ$69))+1)</f>
        <v>-5.4754973591471365E-4</v>
      </c>
      <c r="B3099" cm="1">
        <f t="array" ref="B3099">INDEX('Portfolio Weights Std'!$B$9:$BJ$69,INT((ROW(A3098)-1)/COLUMNS('Portfolio Weights Std'!$B$9:$BJ$69))+1,MOD(ROW(A3098)-1,COLUMNS('Portfolio Weights Std'!$B$9:$BJ$69))+1)</f>
        <v>1.675024508874548E-2</v>
      </c>
    </row>
    <row r="3100" spans="1:2" x14ac:dyDescent="0.25">
      <c r="A3100" cm="1">
        <f t="array" ref="A3100">INDEX('Portfolio Weights Returns'!$B$9:$BJ$69,
INT((ROW(A3099)-1)/COLUMNS('Portfolio Weights Returns'!$B$9:$BJ$69))+1,MOD(ROW(A3099)-1,COLUMNS('Portfolio Weights Returns'!$B$9:$BJ$69))+1)</f>
        <v>-5.4076856194803483E-4</v>
      </c>
      <c r="B3100" cm="1">
        <f t="array" ref="B3100">INDEX('Portfolio Weights Std'!$B$9:$BJ$69,INT((ROW(A3099)-1)/COLUMNS('Portfolio Weights Std'!$B$9:$BJ$69))+1,MOD(ROW(A3099)-1,COLUMNS('Portfolio Weights Std'!$B$9:$BJ$69))+1)</f>
        <v>1.6678574549580782E-2</v>
      </c>
    </row>
    <row r="3101" spans="1:2" x14ac:dyDescent="0.25">
      <c r="A3101" cm="1">
        <f t="array" ref="A3101">INDEX('Portfolio Weights Returns'!$B$9:$BJ$69,
INT((ROW(A3100)-1)/COLUMNS('Portfolio Weights Returns'!$B$9:$BJ$69))+1,MOD(ROW(A3100)-1,COLUMNS('Portfolio Weights Returns'!$B$9:$BJ$69))+1)</f>
        <v>-5.3398738798135568E-4</v>
      </c>
      <c r="B3101" cm="1">
        <f t="array" ref="B3101">INDEX('Portfolio Weights Std'!$B$9:$BJ$69,INT((ROW(A3100)-1)/COLUMNS('Portfolio Weights Std'!$B$9:$BJ$69))+1,MOD(ROW(A3100)-1,COLUMNS('Portfolio Weights Std'!$B$9:$BJ$69))+1)</f>
        <v>1.6609382689779031E-2</v>
      </c>
    </row>
    <row r="3102" spans="1:2" x14ac:dyDescent="0.25">
      <c r="A3102" cm="1">
        <f t="array" ref="A3102">INDEX('Portfolio Weights Returns'!$B$9:$BJ$69,
INT((ROW(A3101)-1)/COLUMNS('Portfolio Weights Returns'!$B$9:$BJ$69))+1,MOD(ROW(A3101)-1,COLUMNS('Portfolio Weights Returns'!$B$9:$BJ$69))+1)</f>
        <v>-5.2720621401467654E-4</v>
      </c>
      <c r="B3102" cm="1">
        <f t="array" ref="B3102">INDEX('Portfolio Weights Std'!$B$9:$BJ$69,INT((ROW(A3101)-1)/COLUMNS('Portfolio Weights Std'!$B$9:$BJ$69))+1,MOD(ROW(A3101)-1,COLUMNS('Portfolio Weights Std'!$B$9:$BJ$69))+1)</f>
        <v>1.6542700611504299E-2</v>
      </c>
    </row>
    <row r="3103" spans="1:2" x14ac:dyDescent="0.25">
      <c r="A3103" cm="1">
        <f t="array" ref="A3103">INDEX('Portfolio Weights Returns'!$B$9:$BJ$69,
INT((ROW(A3102)-1)/COLUMNS('Portfolio Weights Returns'!$B$9:$BJ$69))+1,MOD(ROW(A3102)-1,COLUMNS('Portfolio Weights Returns'!$B$9:$BJ$69))+1)</f>
        <v>-5.2042504004799739E-4</v>
      </c>
      <c r="B3103" cm="1">
        <f t="array" ref="B3103">INDEX('Portfolio Weights Std'!$B$9:$BJ$69,INT((ROW(A3102)-1)/COLUMNS('Portfolio Weights Std'!$B$9:$BJ$69))+1,MOD(ROW(A3102)-1,COLUMNS('Portfolio Weights Std'!$B$9:$BJ$69))+1)</f>
        <v>1.6478558783004176E-2</v>
      </c>
    </row>
    <row r="3104" spans="1:2" x14ac:dyDescent="0.25">
      <c r="A3104" cm="1">
        <f t="array" ref="A3104">INDEX('Portfolio Weights Returns'!$B$9:$BJ$69,
INT((ROW(A3103)-1)/COLUMNS('Portfolio Weights Returns'!$B$9:$BJ$69))+1,MOD(ROW(A3103)-1,COLUMNS('Portfolio Weights Returns'!$B$9:$BJ$69))+1)</f>
        <v>-5.1364386608131825E-4</v>
      </c>
      <c r="B3104" cm="1">
        <f t="array" ref="B3104">INDEX('Portfolio Weights Std'!$B$9:$BJ$69,INT((ROW(A3103)-1)/COLUMNS('Portfolio Weights Std'!$B$9:$BJ$69))+1,MOD(ROW(A3103)-1,COLUMNS('Portfolio Weights Std'!$B$9:$BJ$69))+1)</f>
        <v>1.6416986978879815E-2</v>
      </c>
    </row>
    <row r="3105" spans="1:2" x14ac:dyDescent="0.25">
      <c r="A3105" cm="1">
        <f t="array" ref="A3105">INDEX('Portfolio Weights Returns'!$B$9:$BJ$69,
INT((ROW(A3104)-1)/COLUMNS('Portfolio Weights Returns'!$B$9:$BJ$69))+1,MOD(ROW(A3104)-1,COLUMNS('Portfolio Weights Returns'!$B$9:$BJ$69))+1)</f>
        <v>-5.0686269211463921E-4</v>
      </c>
      <c r="B3105" cm="1">
        <f t="array" ref="B3105">INDEX('Portfolio Weights Std'!$B$9:$BJ$69,INT((ROW(A3104)-1)/COLUMNS('Portfolio Weights Std'!$B$9:$BJ$69))+1,MOD(ROW(A3104)-1,COLUMNS('Portfolio Weights Std'!$B$9:$BJ$69))+1)</f>
        <v>1.635801421998467E-2</v>
      </c>
    </row>
    <row r="3106" spans="1:2" x14ac:dyDescent="0.25">
      <c r="A3106" cm="1">
        <f t="array" ref="A3106">INDEX('Portfolio Weights Returns'!$B$9:$BJ$69,
INT((ROW(A3105)-1)/COLUMNS('Portfolio Weights Returns'!$B$9:$BJ$69))+1,MOD(ROW(A3105)-1,COLUMNS('Portfolio Weights Returns'!$B$9:$BJ$69))+1)</f>
        <v>-5.0008151814796007E-4</v>
      </c>
      <c r="B3106" cm="1">
        <f t="array" ref="B3106">INDEX('Portfolio Weights Std'!$B$9:$BJ$69,INT((ROW(A3105)-1)/COLUMNS('Portfolio Weights Std'!$B$9:$BJ$69))+1,MOD(ROW(A3105)-1,COLUMNS('Portfolio Weights Std'!$B$9:$BJ$69))+1)</f>
        <v>1.6301668713185707E-2</v>
      </c>
    </row>
    <row r="3107" spans="1:2" x14ac:dyDescent="0.25">
      <c r="A3107" cm="1">
        <f t="array" ref="A3107">INDEX('Portfolio Weights Returns'!$B$9:$BJ$69,
INT((ROW(A3106)-1)/COLUMNS('Portfolio Weights Returns'!$B$9:$BJ$69))+1,MOD(ROW(A3106)-1,COLUMNS('Portfolio Weights Returns'!$B$9:$BJ$69))+1)</f>
        <v>-4.9330034418128093E-4</v>
      </c>
      <c r="B3107" cm="1">
        <f t="array" ref="B3107">INDEX('Portfolio Weights Std'!$B$9:$BJ$69,INT((ROW(A3106)-1)/COLUMNS('Portfolio Weights Std'!$B$9:$BJ$69))+1,MOD(ROW(A3106)-1,COLUMNS('Portfolio Weights Std'!$B$9:$BJ$69))+1)</f>
        <v>1.6247977791233621E-2</v>
      </c>
    </row>
    <row r="3108" spans="1:2" x14ac:dyDescent="0.25">
      <c r="A3108" cm="1">
        <f t="array" ref="A3108">INDEX('Portfolio Weights Returns'!$B$9:$BJ$69,
INT((ROW(A3107)-1)/COLUMNS('Portfolio Weights Returns'!$B$9:$BJ$69))+1,MOD(ROW(A3107)-1,COLUMNS('Portfolio Weights Returns'!$B$9:$BJ$69))+1)</f>
        <v>-4.8651917021460189E-4</v>
      </c>
      <c r="B3108" cm="1">
        <f t="array" ref="B3108">INDEX('Portfolio Weights Std'!$B$9:$BJ$69,INT((ROW(A3107)-1)/COLUMNS('Portfolio Weights Std'!$B$9:$BJ$69))+1,MOD(ROW(A3107)-1,COLUMNS('Portfolio Weights Std'!$B$9:$BJ$69))+1)</f>
        <v>1.619696785299983E-2</v>
      </c>
    </row>
    <row r="3109" spans="1:2" x14ac:dyDescent="0.25">
      <c r="A3109" cm="1">
        <f t="array" ref="A3109">INDEX('Portfolio Weights Returns'!$B$9:$BJ$69,
INT((ROW(A3108)-1)/COLUMNS('Portfolio Weights Returns'!$B$9:$BJ$69))+1,MOD(ROW(A3108)-1,COLUMNS('Portfolio Weights Returns'!$B$9:$BJ$69))+1)</f>
        <v>-4.7973799624792199E-4</v>
      </c>
      <c r="B3109" cm="1">
        <f t="array" ref="B3109">INDEX('Portfolio Weights Std'!$B$9:$BJ$69,INT((ROW(A3108)-1)/COLUMNS('Portfolio Weights Std'!$B$9:$BJ$69))+1,MOD(ROW(A3108)-1,COLUMNS('Portfolio Weights Std'!$B$9:$BJ$69))+1)</f>
        <v>1.6148664304348047E-2</v>
      </c>
    </row>
    <row r="3110" spans="1:2" x14ac:dyDescent="0.25">
      <c r="A3110" cm="1">
        <f t="array" ref="A3110">INDEX('Portfolio Weights Returns'!$B$9:$BJ$69,
INT((ROW(A3109)-1)/COLUMNS('Portfolio Weights Returns'!$B$9:$BJ$69))+1,MOD(ROW(A3109)-1,COLUMNS('Portfolio Weights Returns'!$B$9:$BJ$69))+1)</f>
        <v>-4.7295682228124284E-4</v>
      </c>
      <c r="B3110" cm="1">
        <f t="array" ref="B3110">INDEX('Portfolio Weights Std'!$B$9:$BJ$69,INT((ROW(A3109)-1)/COLUMNS('Portfolio Weights Std'!$B$9:$BJ$69))+1,MOD(ROW(A3109)-1,COLUMNS('Portfolio Weights Std'!$B$9:$BJ$69))+1)</f>
        <v>1.6103091499915963E-2</v>
      </c>
    </row>
    <row r="3111" spans="1:2" x14ac:dyDescent="0.25">
      <c r="A3111" cm="1">
        <f t="array" ref="A3111">INDEX('Portfolio Weights Returns'!$B$9:$BJ$69,
INT((ROW(A3110)-1)/COLUMNS('Portfolio Weights Returns'!$B$9:$BJ$69))+1,MOD(ROW(A3110)-1,COLUMNS('Portfolio Weights Returns'!$B$9:$BJ$69))+1)</f>
        <v>-4.6617564831456391E-4</v>
      </c>
      <c r="B3111" cm="1">
        <f t="array" ref="B3111">INDEX('Portfolio Weights Std'!$B$9:$BJ$69,INT((ROW(A3110)-1)/COLUMNS('Portfolio Weights Std'!$B$9:$BJ$69))+1,MOD(ROW(A3110)-1,COLUMNS('Portfolio Weights Std'!$B$9:$BJ$69))+1)</f>
        <v>1.6060272686088881E-2</v>
      </c>
    </row>
    <row r="3112" spans="1:2" x14ac:dyDescent="0.25">
      <c r="A3112" cm="1">
        <f t="array" ref="A3112">INDEX('Portfolio Weights Returns'!$B$9:$BJ$69,
INT((ROW(A3111)-1)/COLUMNS('Portfolio Weights Returns'!$B$9:$BJ$69))+1,MOD(ROW(A3111)-1,COLUMNS('Portfolio Weights Returns'!$B$9:$BJ$69))+1)</f>
        <v>-4.5939447434788477E-4</v>
      </c>
      <c r="B3112" cm="1">
        <f t="array" ref="B3112">INDEX('Portfolio Weights Std'!$B$9:$BJ$69,INT((ROW(A3111)-1)/COLUMNS('Portfolio Weights Std'!$B$9:$BJ$69))+1,MOD(ROW(A3111)-1,COLUMNS('Portfolio Weights Std'!$B$9:$BJ$69))+1)</f>
        <v>1.6020229945451013E-2</v>
      </c>
    </row>
    <row r="3113" spans="1:2" x14ac:dyDescent="0.25">
      <c r="A3113" cm="1">
        <f t="array" ref="A3113">INDEX('Portfolio Weights Returns'!$B$9:$BJ$69,
INT((ROW(A3112)-1)/COLUMNS('Portfolio Weights Returns'!$B$9:$BJ$69))+1,MOD(ROW(A3112)-1,COLUMNS('Portfolio Weights Returns'!$B$9:$BJ$69))+1)</f>
        <v>-8.5969070450317648E-4</v>
      </c>
      <c r="B3113" cm="1">
        <f t="array" ref="B3113">INDEX('Portfolio Weights Std'!$B$9:$BJ$69,INT((ROW(A3112)-1)/COLUMNS('Portfolio Weights Std'!$B$9:$BJ$69))+1,MOD(ROW(A3112)-1,COLUMNS('Portfolio Weights Std'!$B$9:$BJ$69))+1)</f>
        <v>2.2290014721389594E-2</v>
      </c>
    </row>
    <row r="3114" spans="1:2" x14ac:dyDescent="0.25">
      <c r="A3114" cm="1">
        <f t="array" ref="A3114">INDEX('Portfolio Weights Returns'!$B$9:$BJ$69,
INT((ROW(A3113)-1)/COLUMNS('Portfolio Weights Returns'!$B$9:$BJ$69))+1,MOD(ROW(A3113)-1,COLUMNS('Portfolio Weights Returns'!$B$9:$BJ$69))+1)</f>
        <v>-8.5290953053649744E-4</v>
      </c>
      <c r="B3114" cm="1">
        <f t="array" ref="B3114">INDEX('Portfolio Weights Std'!$B$9:$BJ$69,INT((ROW(A3113)-1)/COLUMNS('Portfolio Weights Std'!$B$9:$BJ$69))+1,MOD(ROW(A3113)-1,COLUMNS('Portfolio Weights Std'!$B$9:$BJ$69))+1)</f>
        <v>2.2139842098652891E-2</v>
      </c>
    </row>
    <row r="3115" spans="1:2" x14ac:dyDescent="0.25">
      <c r="A3115" cm="1">
        <f t="array" ref="A3115">INDEX('Portfolio Weights Returns'!$B$9:$BJ$69,
INT((ROW(A3114)-1)/COLUMNS('Portfolio Weights Returns'!$B$9:$BJ$69))+1,MOD(ROW(A3114)-1,COLUMNS('Portfolio Weights Returns'!$B$9:$BJ$69))+1)</f>
        <v>-8.461283565698183E-4</v>
      </c>
      <c r="B3115" cm="1">
        <f t="array" ref="B3115">INDEX('Portfolio Weights Std'!$B$9:$BJ$69,INT((ROW(A3114)-1)/COLUMNS('Portfolio Weights Std'!$B$9:$BJ$69))+1,MOD(ROW(A3114)-1,COLUMNS('Portfolio Weights Std'!$B$9:$BJ$69))+1)</f>
        <v>2.1990749552562479E-2</v>
      </c>
    </row>
    <row r="3116" spans="1:2" x14ac:dyDescent="0.25">
      <c r="A3116" cm="1">
        <f t="array" ref="A3116">INDEX('Portfolio Weights Returns'!$B$9:$BJ$69,
INT((ROW(A3115)-1)/COLUMNS('Portfolio Weights Returns'!$B$9:$BJ$69))+1,MOD(ROW(A3115)-1,COLUMNS('Portfolio Weights Returns'!$B$9:$BJ$69))+1)</f>
        <v>-8.3934718260313926E-4</v>
      </c>
      <c r="B3116" cm="1">
        <f t="array" ref="B3116">INDEX('Portfolio Weights Std'!$B$9:$BJ$69,INT((ROW(A3115)-1)/COLUMNS('Portfolio Weights Std'!$B$9:$BJ$69))+1,MOD(ROW(A3115)-1,COLUMNS('Portfolio Weights Std'!$B$9:$BJ$69))+1)</f>
        <v>2.1842759200030037E-2</v>
      </c>
    </row>
    <row r="3117" spans="1:2" x14ac:dyDescent="0.25">
      <c r="A3117" cm="1">
        <f t="array" ref="A3117">INDEX('Portfolio Weights Returns'!$B$9:$BJ$69,
INT((ROW(A3116)-1)/COLUMNS('Portfolio Weights Returns'!$B$9:$BJ$69))+1,MOD(ROW(A3116)-1,COLUMNS('Portfolio Weights Returns'!$B$9:$BJ$69))+1)</f>
        <v>-8.3256600863646012E-4</v>
      </c>
      <c r="B3117" cm="1">
        <f t="array" ref="B3117">INDEX('Portfolio Weights Std'!$B$9:$BJ$69,INT((ROW(A3116)-1)/COLUMNS('Portfolio Weights Std'!$B$9:$BJ$69))+1,MOD(ROW(A3116)-1,COLUMNS('Portfolio Weights Std'!$B$9:$BJ$69))+1)</f>
        <v>2.1695893595659817E-2</v>
      </c>
    </row>
    <row r="3118" spans="1:2" x14ac:dyDescent="0.25">
      <c r="A3118" cm="1">
        <f t="array" ref="A3118">INDEX('Portfolio Weights Returns'!$B$9:$BJ$69,
INT((ROW(A3117)-1)/COLUMNS('Portfolio Weights Returns'!$B$9:$BJ$69))+1,MOD(ROW(A3117)-1,COLUMNS('Portfolio Weights Returns'!$B$9:$BJ$69))+1)</f>
        <v>-8.2578483466978108E-4</v>
      </c>
      <c r="B3118" cm="1">
        <f t="array" ref="B3118">INDEX('Portfolio Weights Std'!$B$9:$BJ$69,INT((ROW(A3117)-1)/COLUMNS('Portfolio Weights Std'!$B$9:$BJ$69))+1,MOD(ROW(A3117)-1,COLUMNS('Portfolio Weights Std'!$B$9:$BJ$69))+1)</f>
        <v>2.1550175735121382E-2</v>
      </c>
    </row>
    <row r="3119" spans="1:2" x14ac:dyDescent="0.25">
      <c r="A3119" cm="1">
        <f t="array" ref="A3119">INDEX('Portfolio Weights Returns'!$B$9:$BJ$69,
INT((ROW(A3118)-1)/COLUMNS('Portfolio Weights Returns'!$B$9:$BJ$69))+1,MOD(ROW(A3118)-1,COLUMNS('Portfolio Weights Returns'!$B$9:$BJ$69))+1)</f>
        <v>-8.1900366070310183E-4</v>
      </c>
      <c r="B3119" cm="1">
        <f t="array" ref="B3119">INDEX('Portfolio Weights Std'!$B$9:$BJ$69,INT((ROW(A3118)-1)/COLUMNS('Portfolio Weights Std'!$B$9:$BJ$69))+1,MOD(ROW(A3118)-1,COLUMNS('Portfolio Weights Std'!$B$9:$BJ$69))+1)</f>
        <v>2.1405629058071668E-2</v>
      </c>
    </row>
    <row r="3120" spans="1:2" x14ac:dyDescent="0.25">
      <c r="A3120" cm="1">
        <f t="array" ref="A3120">INDEX('Portfolio Weights Returns'!$B$9:$BJ$69,
INT((ROW(A3119)-1)/COLUMNS('Portfolio Weights Returns'!$B$9:$BJ$69))+1,MOD(ROW(A3119)-1,COLUMNS('Portfolio Weights Returns'!$B$9:$BJ$69))+1)</f>
        <v>-8.1222248673642279E-4</v>
      </c>
      <c r="B3120" cm="1">
        <f t="array" ref="B3120">INDEX('Portfolio Weights Std'!$B$9:$BJ$69,INT((ROW(A3119)-1)/COLUMNS('Portfolio Weights Std'!$B$9:$BJ$69))+1,MOD(ROW(A3119)-1,COLUMNS('Portfolio Weights Std'!$B$9:$BJ$69))+1)</f>
        <v>2.1262277450584541E-2</v>
      </c>
    </row>
    <row r="3121" spans="1:2" x14ac:dyDescent="0.25">
      <c r="A3121" cm="1">
        <f t="array" ref="A3121">INDEX('Portfolio Weights Returns'!$B$9:$BJ$69,
INT((ROW(A3120)-1)/COLUMNS('Portfolio Weights Returns'!$B$9:$BJ$69))+1,MOD(ROW(A3120)-1,COLUMNS('Portfolio Weights Returns'!$B$9:$BJ$69))+1)</f>
        <v>-8.0544131276974365E-4</v>
      </c>
      <c r="B3121" cm="1">
        <f t="array" ref="B3121">INDEX('Portfolio Weights Std'!$B$9:$BJ$69,INT((ROW(A3120)-1)/COLUMNS('Portfolio Weights Std'!$B$9:$BJ$69))+1,MOD(ROW(A3120)-1,COLUMNS('Portfolio Weights Std'!$B$9:$BJ$69))+1)</f>
        <v>2.1120145247044003E-2</v>
      </c>
    </row>
    <row r="3122" spans="1:2" x14ac:dyDescent="0.25">
      <c r="A3122" cm="1">
        <f t="array" ref="A3122">INDEX('Portfolio Weights Returns'!$B$9:$BJ$69,
INT((ROW(A3121)-1)/COLUMNS('Portfolio Weights Returns'!$B$9:$BJ$69))+1,MOD(ROW(A3121)-1,COLUMNS('Portfolio Weights Returns'!$B$9:$BJ$69))+1)</f>
        <v>-7.9866013880306461E-4</v>
      </c>
      <c r="B3122" cm="1">
        <f t="array" ref="B3122">INDEX('Portfolio Weights Std'!$B$9:$BJ$69,INT((ROW(A3121)-1)/COLUMNS('Portfolio Weights Std'!$B$9:$BJ$69))+1,MOD(ROW(A3121)-1,COLUMNS('Portfolio Weights Std'!$B$9:$BJ$69))+1)</f>
        <v>2.0979257231455099E-2</v>
      </c>
    </row>
    <row r="3123" spans="1:2" x14ac:dyDescent="0.25">
      <c r="A3123" cm="1">
        <f t="array" ref="A3123">INDEX('Portfolio Weights Returns'!$B$9:$BJ$69,
INT((ROW(A3122)-1)/COLUMNS('Portfolio Weights Returns'!$B$9:$BJ$69))+1,MOD(ROW(A3122)-1,COLUMNS('Portfolio Weights Returns'!$B$9:$BJ$69))+1)</f>
        <v>-7.9187896483638547E-4</v>
      </c>
      <c r="B3123" cm="1">
        <f t="array" ref="B3123">INDEX('Portfolio Weights Std'!$B$9:$BJ$69,INT((ROW(A3122)-1)/COLUMNS('Portfolio Weights Std'!$B$9:$BJ$69))+1,MOD(ROW(A3122)-1,COLUMNS('Portfolio Weights Std'!$B$9:$BJ$69))+1)</f>
        <v>2.0839638638124519E-2</v>
      </c>
    </row>
    <row r="3124" spans="1:2" x14ac:dyDescent="0.25">
      <c r="A3124" cm="1">
        <f t="array" ref="A3124">INDEX('Portfolio Weights Returns'!$B$9:$BJ$69,
INT((ROW(A3123)-1)/COLUMNS('Portfolio Weights Returns'!$B$9:$BJ$69))+1,MOD(ROW(A3123)-1,COLUMNS('Portfolio Weights Returns'!$B$9:$BJ$69))+1)</f>
        <v>-7.8509779086970632E-4</v>
      </c>
      <c r="B3124" cm="1">
        <f t="array" ref="B3124">INDEX('Portfolio Weights Std'!$B$9:$BJ$69,INT((ROW(A3123)-1)/COLUMNS('Portfolio Weights Std'!$B$9:$BJ$69))+1,MOD(ROW(A3123)-1,COLUMNS('Portfolio Weights Std'!$B$9:$BJ$69))+1)</f>
        <v>2.0701315151661012E-2</v>
      </c>
    </row>
    <row r="3125" spans="1:2" x14ac:dyDescent="0.25">
      <c r="A3125" cm="1">
        <f t="array" ref="A3125">INDEX('Portfolio Weights Returns'!$B$9:$BJ$69,
INT((ROW(A3124)-1)/COLUMNS('Portfolio Weights Returns'!$B$9:$BJ$69))+1,MOD(ROW(A3124)-1,COLUMNS('Portfolio Weights Returns'!$B$9:$BJ$69))+1)</f>
        <v>-7.7831661690302729E-4</v>
      </c>
      <c r="B3125" cm="1">
        <f t="array" ref="B3125">INDEX('Portfolio Weights Std'!$B$9:$BJ$69,INT((ROW(A3124)-1)/COLUMNS('Portfolio Weights Std'!$B$9:$BJ$69))+1,MOD(ROW(A3124)-1,COLUMNS('Portfolio Weights Std'!$B$9:$BJ$69))+1)</f>
        <v>2.0564312906243505E-2</v>
      </c>
    </row>
    <row r="3126" spans="1:2" x14ac:dyDescent="0.25">
      <c r="A3126" cm="1">
        <f t="array" ref="A3126">INDEX('Portfolio Weights Returns'!$B$9:$BJ$69,
INT((ROW(A3125)-1)/COLUMNS('Portfolio Weights Returns'!$B$9:$BJ$69))+1,MOD(ROW(A3125)-1,COLUMNS('Portfolio Weights Returns'!$B$9:$BJ$69))+1)</f>
        <v>-7.7153544293634803E-4</v>
      </c>
      <c r="B3126" cm="1">
        <f t="array" ref="B3126">INDEX('Portfolio Weights Std'!$B$9:$BJ$69,INT((ROW(A3125)-1)/COLUMNS('Portfolio Weights Std'!$B$9:$BJ$69))+1,MOD(ROW(A3125)-1,COLUMNS('Portfolio Weights Std'!$B$9:$BJ$69))+1)</f>
        <v>2.0428658484103218E-2</v>
      </c>
    </row>
    <row r="3127" spans="1:2" x14ac:dyDescent="0.25">
      <c r="A3127" cm="1">
        <f t="array" ref="A3127">INDEX('Portfolio Weights Returns'!$B$9:$BJ$69,
INT((ROW(A3126)-1)/COLUMNS('Portfolio Weights Returns'!$B$9:$BJ$69))+1,MOD(ROW(A3126)-1,COLUMNS('Portfolio Weights Returns'!$B$9:$BJ$69))+1)</f>
        <v>-7.64754268969669E-4</v>
      </c>
      <c r="B3127" cm="1">
        <f t="array" ref="B3127">INDEX('Portfolio Weights Std'!$B$9:$BJ$69,INT((ROW(A3126)-1)/COLUMNS('Portfolio Weights Std'!$B$9:$BJ$69))+1,MOD(ROW(A3126)-1,COLUMNS('Portfolio Weights Std'!$B$9:$BJ$69))+1)</f>
        <v>2.029437891316405E-2</v>
      </c>
    </row>
    <row r="3128" spans="1:2" x14ac:dyDescent="0.25">
      <c r="A3128" cm="1">
        <f t="array" ref="A3128">INDEX('Portfolio Weights Returns'!$B$9:$BJ$69,
INT((ROW(A3127)-1)/COLUMNS('Portfolio Weights Returns'!$B$9:$BJ$69))+1,MOD(ROW(A3127)-1,COLUMNS('Portfolio Weights Returns'!$B$9:$BJ$69))+1)</f>
        <v>-7.5797309500298985E-4</v>
      </c>
      <c r="B3128" cm="1">
        <f t="array" ref="B3128">INDEX('Portfolio Weights Std'!$B$9:$BJ$69,INT((ROW(A3127)-1)/COLUMNS('Portfolio Weights Std'!$B$9:$BJ$69))+1,MOD(ROW(A3127)-1,COLUMNS('Portfolio Weights Std'!$B$9:$BJ$69))+1)</f>
        <v>2.0161501663783842E-2</v>
      </c>
    </row>
    <row r="3129" spans="1:2" x14ac:dyDescent="0.25">
      <c r="A3129" cm="1">
        <f t="array" ref="A3129">INDEX('Portfolio Weights Returns'!$B$9:$BJ$69,
INT((ROW(A3128)-1)/COLUMNS('Portfolio Weights Returns'!$B$9:$BJ$69))+1,MOD(ROW(A3128)-1,COLUMNS('Portfolio Weights Returns'!$B$9:$BJ$69))+1)</f>
        <v>-7.5119192103631103E-4</v>
      </c>
      <c r="B3129" cm="1">
        <f t="array" ref="B3129">INDEX('Portfolio Weights Std'!$B$9:$BJ$69,INT((ROW(A3128)-1)/COLUMNS('Portfolio Weights Std'!$B$9:$BJ$69))+1,MOD(ROW(A3128)-1,COLUMNS('Portfolio Weights Std'!$B$9:$BJ$69))+1)</f>
        <v>2.0030054644537693E-2</v>
      </c>
    </row>
    <row r="3130" spans="1:2" x14ac:dyDescent="0.25">
      <c r="A3130" cm="1">
        <f t="array" ref="A3130">INDEX('Portfolio Weights Returns'!$B$9:$BJ$69,
INT((ROW(A3129)-1)/COLUMNS('Portfolio Weights Returns'!$B$9:$BJ$69))+1,MOD(ROW(A3129)-1,COLUMNS('Portfolio Weights Returns'!$B$9:$BJ$69))+1)</f>
        <v>-7.4441074706963167E-4</v>
      </c>
      <c r="B3130" cm="1">
        <f t="array" ref="B3130">INDEX('Portfolio Weights Std'!$B$9:$BJ$69,INT((ROW(A3129)-1)/COLUMNS('Portfolio Weights Std'!$B$9:$BJ$69))+1,MOD(ROW(A3129)-1,COLUMNS('Portfolio Weights Std'!$B$9:$BJ$69))+1)</f>
        <v>1.9900066196982834E-2</v>
      </c>
    </row>
    <row r="3131" spans="1:2" x14ac:dyDescent="0.25">
      <c r="A3131" cm="1">
        <f t="array" ref="A3131">INDEX('Portfolio Weights Returns'!$B$9:$BJ$69,
INT((ROW(A3130)-1)/COLUMNS('Portfolio Weights Returns'!$B$9:$BJ$69))+1,MOD(ROW(A3130)-1,COLUMNS('Portfolio Weights Returns'!$B$9:$BJ$69))+1)</f>
        <v>-7.3762957310295274E-4</v>
      </c>
      <c r="B3131" cm="1">
        <f t="array" ref="B3131">INDEX('Portfolio Weights Std'!$B$9:$BJ$69,INT((ROW(A3130)-1)/COLUMNS('Portfolio Weights Std'!$B$9:$BJ$69))+1,MOD(ROW(A3130)-1,COLUMNS('Portfolio Weights Std'!$B$9:$BJ$69))+1)</f>
        <v>1.977156508934378E-2</v>
      </c>
    </row>
    <row r="3132" spans="1:2" x14ac:dyDescent="0.25">
      <c r="A3132" cm="1">
        <f t="array" ref="A3132">INDEX('Portfolio Weights Returns'!$B$9:$BJ$69,
INT((ROW(A3131)-1)/COLUMNS('Portfolio Weights Returns'!$B$9:$BJ$69))+1,MOD(ROW(A3131)-1,COLUMNS('Portfolio Weights Returns'!$B$9:$BJ$69))+1)</f>
        <v>-7.308483991362736E-4</v>
      </c>
      <c r="B3132" cm="1">
        <f t="array" ref="B3132">INDEX('Portfolio Weights Std'!$B$9:$BJ$69,INT((ROW(A3131)-1)/COLUMNS('Portfolio Weights Std'!$B$9:$BJ$69))+1,MOD(ROW(A3131)-1,COLUMNS('Portfolio Weights Std'!$B$9:$BJ$69))+1)</f>
        <v>1.9644580509054977E-2</v>
      </c>
    </row>
    <row r="3133" spans="1:2" x14ac:dyDescent="0.25">
      <c r="A3133" cm="1">
        <f t="array" ref="A3133">INDEX('Portfolio Weights Returns'!$B$9:$BJ$69,
INT((ROW(A3132)-1)/COLUMNS('Portfolio Weights Returns'!$B$9:$BJ$69))+1,MOD(ROW(A3132)-1,COLUMNS('Portfolio Weights Returns'!$B$9:$BJ$69))+1)</f>
        <v>-7.2406722516959445E-4</v>
      </c>
      <c r="B3133" cm="1">
        <f t="array" ref="B3133">INDEX('Portfolio Weights Std'!$B$9:$BJ$69,INT((ROW(A3132)-1)/COLUMNS('Portfolio Weights Std'!$B$9:$BJ$69))+1,MOD(ROW(A3132)-1,COLUMNS('Portfolio Weights Std'!$B$9:$BJ$69))+1)</f>
        <v>1.9519142054097906E-2</v>
      </c>
    </row>
    <row r="3134" spans="1:2" x14ac:dyDescent="0.25">
      <c r="A3134" cm="1">
        <f t="array" ref="A3134">INDEX('Portfolio Weights Returns'!$B$9:$BJ$69,
INT((ROW(A3133)-1)/COLUMNS('Portfolio Weights Returns'!$B$9:$BJ$69))+1,MOD(ROW(A3133)-1,COLUMNS('Portfolio Weights Returns'!$B$9:$BJ$69))+1)</f>
        <v>-7.1728605120291542E-4</v>
      </c>
      <c r="B3134" cm="1">
        <f t="array" ref="B3134">INDEX('Portfolio Weights Std'!$B$9:$BJ$69,INT((ROW(A3133)-1)/COLUMNS('Portfolio Weights Std'!$B$9:$BJ$69))+1,MOD(ROW(A3133)-1,COLUMNS('Portfolio Weights Std'!$B$9:$BJ$69))+1)</f>
        <v>1.9395279723068967E-2</v>
      </c>
    </row>
    <row r="3135" spans="1:2" x14ac:dyDescent="0.25">
      <c r="A3135" cm="1">
        <f t="array" ref="A3135">INDEX('Portfolio Weights Returns'!$B$9:$BJ$69,
INT((ROW(A3134)-1)/COLUMNS('Portfolio Weights Returns'!$B$9:$BJ$69))+1,MOD(ROW(A3134)-1,COLUMNS('Portfolio Weights Returns'!$B$9:$BJ$69))+1)</f>
        <v>-7.1050487723623627E-4</v>
      </c>
      <c r="B3135" cm="1">
        <f t="array" ref="B3135">INDEX('Portfolio Weights Std'!$B$9:$BJ$69,INT((ROW(A3134)-1)/COLUMNS('Portfolio Weights Std'!$B$9:$BJ$69))+1,MOD(ROW(A3134)-1,COLUMNS('Portfolio Weights Std'!$B$9:$BJ$69))+1)</f>
        <v>1.9273023903914322E-2</v>
      </c>
    </row>
    <row r="3136" spans="1:2" x14ac:dyDescent="0.25">
      <c r="A3136" cm="1">
        <f t="array" ref="A3136">INDEX('Portfolio Weights Returns'!$B$9:$BJ$69,
INT((ROW(A3135)-1)/COLUMNS('Portfolio Weights Returns'!$B$9:$BJ$69))+1,MOD(ROW(A3135)-1,COLUMNS('Portfolio Weights Returns'!$B$9:$BJ$69))+1)</f>
        <v>-7.0372370326955724E-4</v>
      </c>
      <c r="B3136" cm="1">
        <f t="array" ref="B3136">INDEX('Portfolio Weights Std'!$B$9:$BJ$69,INT((ROW(A3135)-1)/COLUMNS('Portfolio Weights Std'!$B$9:$BJ$69))+1,MOD(ROW(A3135)-1,COLUMNS('Portfolio Weights Std'!$B$9:$BJ$69))+1)</f>
        <v>1.915240536126837E-2</v>
      </c>
    </row>
    <row r="3137" spans="1:2" x14ac:dyDescent="0.25">
      <c r="A3137" cm="1">
        <f t="array" ref="A3137">INDEX('Portfolio Weights Returns'!$B$9:$BJ$69,
INT((ROW(A3136)-1)/COLUMNS('Portfolio Weights Returns'!$B$9:$BJ$69))+1,MOD(ROW(A3136)-1,COLUMNS('Portfolio Weights Returns'!$B$9:$BJ$69))+1)</f>
        <v>-6.9694252930287799E-4</v>
      </c>
      <c r="B3137" cm="1">
        <f t="array" ref="B3137">INDEX('Portfolio Weights Std'!$B$9:$BJ$69,INT((ROW(A3136)-1)/COLUMNS('Portfolio Weights Std'!$B$9:$BJ$69))+1,MOD(ROW(A3136)-1,COLUMNS('Portfolio Weights Std'!$B$9:$BJ$69))+1)</f>
        <v>1.9033455222333014E-2</v>
      </c>
    </row>
    <row r="3138" spans="1:2" x14ac:dyDescent="0.25">
      <c r="A3138" cm="1">
        <f t="array" ref="A3138">INDEX('Portfolio Weights Returns'!$B$9:$BJ$69,
INT((ROW(A3137)-1)/COLUMNS('Portfolio Weights Returns'!$B$9:$BJ$69))+1,MOD(ROW(A3137)-1,COLUMNS('Portfolio Weights Returns'!$B$9:$BJ$69))+1)</f>
        <v>-6.9016135533619895E-4</v>
      </c>
      <c r="B3138" cm="1">
        <f t="array" ref="B3138">INDEX('Portfolio Weights Std'!$B$9:$BJ$69,INT((ROW(A3137)-1)/COLUMNS('Portfolio Weights Std'!$B$9:$BJ$69))+1,MOD(ROW(A3137)-1,COLUMNS('Portfolio Weights Std'!$B$9:$BJ$69))+1)</f>
        <v>1.891620496123618E-2</v>
      </c>
    </row>
    <row r="3139" spans="1:2" x14ac:dyDescent="0.25">
      <c r="A3139" cm="1">
        <f t="array" ref="A3139">INDEX('Portfolio Weights Returns'!$B$9:$BJ$69,
INT((ROW(A3138)-1)/COLUMNS('Portfolio Weights Returns'!$B$9:$BJ$69))+1,MOD(ROW(A3138)-1,COLUMNS('Portfolio Weights Returns'!$B$9:$BJ$69))+1)</f>
        <v>-6.8338018136951981E-4</v>
      </c>
      <c r="B3139" cm="1">
        <f t="array" ref="B3139">INDEX('Portfolio Weights Std'!$B$9:$BJ$69,INT((ROW(A3138)-1)/COLUMNS('Portfolio Weights Std'!$B$9:$BJ$69))+1,MOD(ROW(A3138)-1,COLUMNS('Portfolio Weights Std'!$B$9:$BJ$69))+1)</f>
        <v>1.8800686381809647E-2</v>
      </c>
    </row>
    <row r="3140" spans="1:2" x14ac:dyDescent="0.25">
      <c r="A3140" cm="1">
        <f t="array" ref="A3140">INDEX('Portfolio Weights Returns'!$B$9:$BJ$69,
INT((ROW(A3139)-1)/COLUMNS('Portfolio Weights Returns'!$B$9:$BJ$69))+1,MOD(ROW(A3139)-1,COLUMNS('Portfolio Weights Returns'!$B$9:$BJ$69))+1)</f>
        <v>-6.7659900740284077E-4</v>
      </c>
      <c r="B3140" cm="1">
        <f t="array" ref="B3140">INDEX('Portfolio Weights Std'!$B$9:$BJ$69,INT((ROW(A3139)-1)/COLUMNS('Portfolio Weights Std'!$B$9:$BJ$69))+1,MOD(ROW(A3139)-1,COLUMNS('Portfolio Weights Std'!$B$9:$BJ$69))+1)</f>
        <v>1.8686931598728428E-2</v>
      </c>
    </row>
    <row r="3141" spans="1:2" x14ac:dyDescent="0.25">
      <c r="A3141" cm="1">
        <f t="array" ref="A3141">INDEX('Portfolio Weights Returns'!$B$9:$BJ$69,
INT((ROW(A3140)-1)/COLUMNS('Portfolio Weights Returns'!$B$9:$BJ$69))+1,MOD(ROW(A3140)-1,COLUMNS('Portfolio Weights Returns'!$B$9:$BJ$69))+1)</f>
        <v>-6.6981783343616162E-4</v>
      </c>
      <c r="B3141" cm="1">
        <f t="array" ref="B3141">INDEX('Portfolio Weights Std'!$B$9:$BJ$69,INT((ROW(A3140)-1)/COLUMNS('Portfolio Weights Std'!$B$9:$BJ$69))+1,MOD(ROW(A3140)-1,COLUMNS('Portfolio Weights Std'!$B$9:$BJ$69))+1)</f>
        <v>1.8574973016956802E-2</v>
      </c>
    </row>
    <row r="3142" spans="1:2" x14ac:dyDescent="0.25">
      <c r="A3142" cm="1">
        <f t="array" ref="A3142">INDEX('Portfolio Weights Returns'!$B$9:$BJ$69,
INT((ROW(A3141)-1)/COLUMNS('Portfolio Weights Returns'!$B$9:$BJ$69))+1,MOD(ROW(A3141)-1,COLUMNS('Portfolio Weights Returns'!$B$9:$BJ$69))+1)</f>
        <v>-6.6303665946948248E-4</v>
      </c>
      <c r="B3142" cm="1">
        <f t="array" ref="B3142">INDEX('Portfolio Weights Std'!$B$9:$BJ$69,INT((ROW(A3141)-1)/COLUMNS('Portfolio Weights Std'!$B$9:$BJ$69))+1,MOD(ROW(A3141)-1,COLUMNS('Portfolio Weights Std'!$B$9:$BJ$69))+1)</f>
        <v>1.8464843309449377E-2</v>
      </c>
    </row>
    <row r="3143" spans="1:2" x14ac:dyDescent="0.25">
      <c r="A3143" cm="1">
        <f t="array" ref="A3143">INDEX('Portfolio Weights Returns'!$B$9:$BJ$69,
INT((ROW(A3142)-1)/COLUMNS('Portfolio Weights Returns'!$B$9:$BJ$69))+1,MOD(ROW(A3142)-1,COLUMNS('Portfolio Weights Returns'!$B$9:$BJ$69))+1)</f>
        <v>-6.5625548550280344E-4</v>
      </c>
      <c r="B3143" cm="1">
        <f t="array" ref="B3143">INDEX('Portfolio Weights Std'!$B$9:$BJ$69,INT((ROW(A3142)-1)/COLUMNS('Portfolio Weights Std'!$B$9:$BJ$69))+1,MOD(ROW(A3142)-1,COLUMNS('Portfolio Weights Std'!$B$9:$BJ$69))+1)</f>
        <v>1.8356575393059776E-2</v>
      </c>
    </row>
    <row r="3144" spans="1:2" x14ac:dyDescent="0.25">
      <c r="A3144" cm="1">
        <f t="array" ref="A3144">INDEX('Portfolio Weights Returns'!$B$9:$BJ$69,
INT((ROW(A3143)-1)/COLUMNS('Portfolio Weights Returns'!$B$9:$BJ$69))+1,MOD(ROW(A3143)-1,COLUMNS('Portfolio Weights Returns'!$B$9:$BJ$69))+1)</f>
        <v>-6.4947431153612419E-4</v>
      </c>
      <c r="B3144" cm="1">
        <f t="array" ref="B3144">INDEX('Portfolio Weights Std'!$B$9:$BJ$69,INT((ROW(A3143)-1)/COLUMNS('Portfolio Weights Std'!$B$9:$BJ$69))+1,MOD(ROW(A3143)-1,COLUMNS('Portfolio Weights Std'!$B$9:$BJ$69))+1)</f>
        <v>1.8250202402614161E-2</v>
      </c>
    </row>
    <row r="3145" spans="1:2" x14ac:dyDescent="0.25">
      <c r="A3145" cm="1">
        <f t="array" ref="A3145">INDEX('Portfolio Weights Returns'!$B$9:$BJ$69,
INT((ROW(A3144)-1)/COLUMNS('Portfolio Weights Returns'!$B$9:$BJ$69))+1,MOD(ROW(A3144)-1,COLUMNS('Portfolio Weights Returns'!$B$9:$BJ$69))+1)</f>
        <v>-6.4269313756944516E-4</v>
      </c>
      <c r="B3145" cm="1">
        <f t="array" ref="B3145">INDEX('Portfolio Weights Std'!$B$9:$BJ$69,INT((ROW(A3144)-1)/COLUMNS('Portfolio Weights Std'!$B$9:$BJ$69))+1,MOD(ROW(A3144)-1,COLUMNS('Portfolio Weights Std'!$B$9:$BJ$69))+1)</f>
        <v>1.8145757663112487E-2</v>
      </c>
    </row>
    <row r="3146" spans="1:2" x14ac:dyDescent="0.25">
      <c r="A3146" cm="1">
        <f t="array" ref="A3146">INDEX('Portfolio Weights Returns'!$B$9:$BJ$69,
INT((ROW(A3145)-1)/COLUMNS('Portfolio Weights Returns'!$B$9:$BJ$69))+1,MOD(ROW(A3145)-1,COLUMNS('Portfolio Weights Returns'!$B$9:$BJ$69))+1)</f>
        <v>-6.3591196360276601E-4</v>
      </c>
      <c r="B3146" cm="1">
        <f t="array" ref="B3146">INDEX('Portfolio Weights Std'!$B$9:$BJ$69,INT((ROW(A3145)-1)/COLUMNS('Portfolio Weights Std'!$B$9:$BJ$69))+1,MOD(ROW(A3145)-1,COLUMNS('Portfolio Weights Std'!$B$9:$BJ$69))+1)</f>
        <v>1.8043274660026472E-2</v>
      </c>
    </row>
    <row r="3147" spans="1:2" x14ac:dyDescent="0.25">
      <c r="A3147" cm="1">
        <f t="array" ref="A3147">INDEX('Portfolio Weights Returns'!$B$9:$BJ$69,
INT((ROW(A3146)-1)/COLUMNS('Portfolio Weights Returns'!$B$9:$BJ$69))+1,MOD(ROW(A3146)-1,COLUMNS('Portfolio Weights Returns'!$B$9:$BJ$69))+1)</f>
        <v>-6.2913078963608697E-4</v>
      </c>
      <c r="B3147" cm="1">
        <f t="array" ref="B3147">INDEX('Portfolio Weights Std'!$B$9:$BJ$69,INT((ROW(A3146)-1)/COLUMNS('Portfolio Weights Std'!$B$9:$BJ$69))+1,MOD(ROW(A3146)-1,COLUMNS('Portfolio Weights Std'!$B$9:$BJ$69))+1)</f>
        <v>1.7942787007670442E-2</v>
      </c>
    </row>
    <row r="3148" spans="1:2" x14ac:dyDescent="0.25">
      <c r="A3148" cm="1">
        <f t="array" ref="A3148">INDEX('Portfolio Weights Returns'!$B$9:$BJ$69,
INT((ROW(A3147)-1)/COLUMNS('Portfolio Weights Returns'!$B$9:$BJ$69))+1,MOD(ROW(A3147)-1,COLUMNS('Portfolio Weights Returns'!$B$9:$BJ$69))+1)</f>
        <v>-6.2234961566940783E-4</v>
      </c>
      <c r="B3148" cm="1">
        <f t="array" ref="B3148">INDEX('Portfolio Weights Std'!$B$9:$BJ$69,INT((ROW(A3147)-1)/COLUMNS('Portfolio Weights Std'!$B$9:$BJ$69))+1,MOD(ROW(A3147)-1,COLUMNS('Portfolio Weights Std'!$B$9:$BJ$69))+1)</f>
        <v>1.7844328415629069E-2</v>
      </c>
    </row>
    <row r="3149" spans="1:2" x14ac:dyDescent="0.25">
      <c r="A3149" cm="1">
        <f t="array" ref="A3149">INDEX('Portfolio Weights Returns'!$B$9:$BJ$69,
INT((ROW(A3148)-1)/COLUMNS('Portfolio Weights Returns'!$B$9:$BJ$69))+1,MOD(ROW(A3148)-1,COLUMNS('Portfolio Weights Returns'!$B$9:$BJ$69))+1)</f>
        <v>-6.1556844170272879E-4</v>
      </c>
      <c r="B3149" cm="1">
        <f t="array" ref="B3149">INDEX('Portfolio Weights Std'!$B$9:$BJ$69,INT((ROW(A3148)-1)/COLUMNS('Portfolio Weights Std'!$B$9:$BJ$69))+1,MOD(ROW(A3148)-1,COLUMNS('Portfolio Weights Std'!$B$9:$BJ$69))+1)</f>
        <v>1.7747932653234651E-2</v>
      </c>
    </row>
    <row r="3150" spans="1:2" x14ac:dyDescent="0.25">
      <c r="A3150" cm="1">
        <f t="array" ref="A3150">INDEX('Portfolio Weights Returns'!$B$9:$BJ$69,
INT((ROW(A3149)-1)/COLUMNS('Portfolio Weights Returns'!$B$9:$BJ$69))+1,MOD(ROW(A3149)-1,COLUMNS('Portfolio Weights Returns'!$B$9:$BJ$69))+1)</f>
        <v>-6.0878726773604965E-4</v>
      </c>
      <c r="B3150" cm="1">
        <f t="array" ref="B3150">INDEX('Portfolio Weights Std'!$B$9:$BJ$69,INT((ROW(A3149)-1)/COLUMNS('Portfolio Weights Std'!$B$9:$BJ$69))+1,MOD(ROW(A3149)-1,COLUMNS('Portfolio Weights Std'!$B$9:$BJ$69))+1)</f>
        <v>1.7653633512096156E-2</v>
      </c>
    </row>
    <row r="3151" spans="1:2" x14ac:dyDescent="0.25">
      <c r="A3151" cm="1">
        <f t="array" ref="A3151">INDEX('Portfolio Weights Returns'!$B$9:$BJ$69,
INT((ROW(A3150)-1)/COLUMNS('Portfolio Weights Returns'!$B$9:$BJ$69))+1,MOD(ROW(A3150)-1,COLUMNS('Portfolio Weights Returns'!$B$9:$BJ$69))+1)</f>
        <v>-6.0200609376937051E-4</v>
      </c>
      <c r="B3151" cm="1">
        <f t="array" ref="B3151">INDEX('Portfolio Weights Std'!$B$9:$BJ$69,INT((ROW(A3150)-1)/COLUMNS('Portfolio Weights Std'!$B$9:$BJ$69))+1,MOD(ROW(A3150)-1,COLUMNS('Portfolio Weights Std'!$B$9:$BJ$69))+1)</f>
        <v>1.75614647666925E-2</v>
      </c>
    </row>
    <row r="3152" spans="1:2" x14ac:dyDescent="0.25">
      <c r="A3152" cm="1">
        <f t="array" ref="A3152">INDEX('Portfolio Weights Returns'!$B$9:$BJ$69,
INT((ROW(A3151)-1)/COLUMNS('Portfolio Weights Returns'!$B$9:$BJ$69))+1,MOD(ROW(A3151)-1,COLUMNS('Portfolio Weights Returns'!$B$9:$BJ$69))+1)</f>
        <v>-5.9522491980269147E-4</v>
      </c>
      <c r="B3152" cm="1">
        <f t="array" ref="B3152">INDEX('Portfolio Weights Std'!$B$9:$BJ$69,INT((ROW(A3151)-1)/COLUMNS('Portfolio Weights Std'!$B$9:$BJ$69))+1,MOD(ROW(A3151)-1,COLUMNS('Portfolio Weights Std'!$B$9:$BJ$69))+1)</f>
        <v>1.7471460133053722E-2</v>
      </c>
    </row>
    <row r="3153" spans="1:2" x14ac:dyDescent="0.25">
      <c r="A3153" cm="1">
        <f t="array" ref="A3153">INDEX('Portfolio Weights Returns'!$B$9:$BJ$69,
INT((ROW(A3152)-1)/COLUMNS('Portfolio Weights Returns'!$B$9:$BJ$69))+1,MOD(ROW(A3152)-1,COLUMNS('Portfolio Weights Returns'!$B$9:$BJ$69))+1)</f>
        <v>-5.8844374583601233E-4</v>
      </c>
      <c r="B3153" cm="1">
        <f t="array" ref="B3153">INDEX('Portfolio Weights Std'!$B$9:$BJ$69,INT((ROW(A3152)-1)/COLUMNS('Portfolio Weights Std'!$B$9:$BJ$69))+1,MOD(ROW(A3152)-1,COLUMNS('Portfolio Weights Std'!$B$9:$BJ$69))+1)</f>
        <v>1.7383653225565534E-2</v>
      </c>
    </row>
    <row r="3154" spans="1:2" x14ac:dyDescent="0.25">
      <c r="A3154" cm="1">
        <f t="array" ref="A3154">INDEX('Portfolio Weights Returns'!$B$9:$BJ$69,
INT((ROW(A3153)-1)/COLUMNS('Portfolio Weights Returns'!$B$9:$BJ$69))+1,MOD(ROW(A3153)-1,COLUMNS('Portfolio Weights Returns'!$B$9:$BJ$69))+1)</f>
        <v>-5.8166257186933329E-4</v>
      </c>
      <c r="B3154" cm="1">
        <f t="array" ref="B3154">INDEX('Portfolio Weights Std'!$B$9:$BJ$69,INT((ROW(A3153)-1)/COLUMNS('Portfolio Weights Std'!$B$9:$BJ$69))+1,MOD(ROW(A3153)-1,COLUMNS('Portfolio Weights Std'!$B$9:$BJ$69))+1)</f>
        <v>1.7298077511945377E-2</v>
      </c>
    </row>
    <row r="3155" spans="1:2" x14ac:dyDescent="0.25">
      <c r="A3155" cm="1">
        <f t="array" ref="A3155">INDEX('Portfolio Weights Returns'!$B$9:$BJ$69,
INT((ROW(A3154)-1)/COLUMNS('Portfolio Weights Returns'!$B$9:$BJ$69))+1,MOD(ROW(A3154)-1,COLUMNS('Portfolio Weights Returns'!$B$9:$BJ$69))+1)</f>
        <v>-5.7488139790265414E-4</v>
      </c>
      <c r="B3155" cm="1">
        <f t="array" ref="B3155">INDEX('Portfolio Weights Std'!$B$9:$BJ$69,INT((ROW(A3154)-1)/COLUMNS('Portfolio Weights Std'!$B$9:$BJ$69))+1,MOD(ROW(A3154)-1,COLUMNS('Portfolio Weights Std'!$B$9:$BJ$69))+1)</f>
        <v>1.7214766266451357E-2</v>
      </c>
    </row>
    <row r="3156" spans="1:2" x14ac:dyDescent="0.25">
      <c r="A3156" cm="1">
        <f t="array" ref="A3156">INDEX('Portfolio Weights Returns'!$B$9:$BJ$69,
INT((ROW(A3155)-1)/COLUMNS('Portfolio Weights Returns'!$B$9:$BJ$69))+1,MOD(ROW(A3155)-1,COLUMNS('Portfolio Weights Returns'!$B$9:$BJ$69))+1)</f>
        <v>-5.6810022393597511E-4</v>
      </c>
      <c r="B3156" cm="1">
        <f t="array" ref="B3156">INDEX('Portfolio Weights Std'!$B$9:$BJ$69,INT((ROW(A3155)-1)/COLUMNS('Portfolio Weights Std'!$B$9:$BJ$69))+1,MOD(ROW(A3155)-1,COLUMNS('Portfolio Weights Std'!$B$9:$BJ$69))+1)</f>
        <v>1.713375252139936E-2</v>
      </c>
    </row>
    <row r="3157" spans="1:2" x14ac:dyDescent="0.25">
      <c r="A3157" cm="1">
        <f t="array" ref="A3157">INDEX('Portfolio Weights Returns'!$B$9:$BJ$69,
INT((ROW(A3156)-1)/COLUMNS('Portfolio Weights Returns'!$B$9:$BJ$69))+1,MOD(ROW(A3156)-1,COLUMNS('Portfolio Weights Returns'!$B$9:$BJ$69))+1)</f>
        <v>-5.6131904996929586E-4</v>
      </c>
      <c r="B3157" cm="1">
        <f t="array" ref="B3157">INDEX('Portfolio Weights Std'!$B$9:$BJ$69,INT((ROW(A3156)-1)/COLUMNS('Portfolio Weights Std'!$B$9:$BJ$69))+1,MOD(ROW(A3156)-1,COLUMNS('Portfolio Weights Std'!$B$9:$BJ$69))+1)</f>
        <v>1.7055069017077946E-2</v>
      </c>
    </row>
    <row r="3158" spans="1:2" x14ac:dyDescent="0.25">
      <c r="A3158" cm="1">
        <f t="array" ref="A3158">INDEX('Portfolio Weights Returns'!$B$9:$BJ$69,
INT((ROW(A3157)-1)/COLUMNS('Portfolio Weights Returns'!$B$9:$BJ$69))+1,MOD(ROW(A3157)-1,COLUMNS('Portfolio Weights Returns'!$B$9:$BJ$69))+1)</f>
        <v>-5.5453787600261682E-4</v>
      </c>
      <c r="B3158" cm="1">
        <f t="array" ref="B3158">INDEX('Portfolio Weights Std'!$B$9:$BJ$69,INT((ROW(A3157)-1)/COLUMNS('Portfolio Weights Std'!$B$9:$BJ$69))+1,MOD(ROW(A3157)-1,COLUMNS('Portfolio Weights Std'!$B$9:$BJ$69))+1)</f>
        <v>1.697874815016558E-2</v>
      </c>
    </row>
    <row r="3159" spans="1:2" x14ac:dyDescent="0.25">
      <c r="A3159" cm="1">
        <f t="array" ref="A3159">INDEX('Portfolio Weights Returns'!$B$9:$BJ$69,
INT((ROW(A3158)-1)/COLUMNS('Portfolio Weights Returns'!$B$9:$BJ$69))+1,MOD(ROW(A3158)-1,COLUMNS('Portfolio Weights Returns'!$B$9:$BJ$69))+1)</f>
        <v>-5.4775670203593768E-4</v>
      </c>
      <c r="B3159" cm="1">
        <f t="array" ref="B3159">INDEX('Portfolio Weights Std'!$B$9:$BJ$69,INT((ROW(A3158)-1)/COLUMNS('Portfolio Weights Std'!$B$9:$BJ$69))+1,MOD(ROW(A3158)-1,COLUMNS('Portfolio Weights Std'!$B$9:$BJ$69))+1)</f>
        <v>1.6904821920769714E-2</v>
      </c>
    </row>
    <row r="3160" spans="1:2" x14ac:dyDescent="0.25">
      <c r="A3160" cm="1">
        <f t="array" ref="A3160">INDEX('Portfolio Weights Returns'!$B$9:$BJ$69,
INT((ROW(A3159)-1)/COLUMNS('Portfolio Weights Returns'!$B$9:$BJ$69))+1,MOD(ROW(A3159)-1,COLUMNS('Portfolio Weights Returns'!$B$9:$BJ$69))+1)</f>
        <v>-5.4097552806925864E-4</v>
      </c>
      <c r="B3160" cm="1">
        <f t="array" ref="B3160">INDEX('Portfolio Weights Std'!$B$9:$BJ$69,INT((ROW(A3159)-1)/COLUMNS('Portfolio Weights Std'!$B$9:$BJ$69))+1,MOD(ROW(A3159)-1,COLUMNS('Portfolio Weights Std'!$B$9:$BJ$69))+1)</f>
        <v>1.6833321878222583E-2</v>
      </c>
    </row>
    <row r="3161" spans="1:2" x14ac:dyDescent="0.25">
      <c r="A3161" cm="1">
        <f t="array" ref="A3161">INDEX('Portfolio Weights Returns'!$B$9:$BJ$69,
INT((ROW(A3160)-1)/COLUMNS('Portfolio Weights Returns'!$B$9:$BJ$69))+1,MOD(ROW(A3160)-1,COLUMNS('Portfolio Weights Returns'!$B$9:$BJ$69))+1)</f>
        <v>-5.3419435410257949E-4</v>
      </c>
      <c r="B3161" cm="1">
        <f t="array" ref="B3161">INDEX('Portfolio Weights Std'!$B$9:$BJ$69,INT((ROW(A3160)-1)/COLUMNS('Portfolio Weights Std'!$B$9:$BJ$69))+1,MOD(ROW(A3160)-1,COLUMNS('Portfolio Weights Std'!$B$9:$BJ$69))+1)</f>
        <v>1.676427906578401E-2</v>
      </c>
    </row>
    <row r="3162" spans="1:2" x14ac:dyDescent="0.25">
      <c r="A3162" cm="1">
        <f t="array" ref="A3162">INDEX('Portfolio Weights Returns'!$B$9:$BJ$69,
INT((ROW(A3161)-1)/COLUMNS('Portfolio Weights Returns'!$B$9:$BJ$69))+1,MOD(ROW(A3161)-1,COLUMNS('Portfolio Weights Returns'!$B$9:$BJ$69))+1)</f>
        <v>-5.2741318013590046E-4</v>
      </c>
      <c r="B3162" cm="1">
        <f t="array" ref="B3162">INDEX('Portfolio Weights Std'!$B$9:$BJ$69,INT((ROW(A3161)-1)/COLUMNS('Portfolio Weights Std'!$B$9:$BJ$69))+1,MOD(ROW(A3161)-1,COLUMNS('Portfolio Weights Std'!$B$9:$BJ$69))+1)</f>
        <v>1.6697723964416433E-2</v>
      </c>
    </row>
    <row r="3163" spans="1:2" x14ac:dyDescent="0.25">
      <c r="A3163" cm="1">
        <f t="array" ref="A3163">INDEX('Portfolio Weights Returns'!$B$9:$BJ$69,
INT((ROW(A3162)-1)/COLUMNS('Portfolio Weights Returns'!$B$9:$BJ$69))+1,MOD(ROW(A3162)-1,COLUMNS('Portfolio Weights Returns'!$B$9:$BJ$69))+1)</f>
        <v>-5.2063200616922131E-4</v>
      </c>
      <c r="B3163" cm="1">
        <f t="array" ref="B3163">INDEX('Portfolio Weights Std'!$B$9:$BJ$69,INT((ROW(A3162)-1)/COLUMNS('Portfolio Weights Std'!$B$9:$BJ$69))+1,MOD(ROW(A3162)-1,COLUMNS('Portfolio Weights Std'!$B$9:$BJ$69))+1)</f>
        <v>1.6633686435812586E-2</v>
      </c>
    </row>
    <row r="3164" spans="1:2" x14ac:dyDescent="0.25">
      <c r="A3164" cm="1">
        <f t="array" ref="A3164">INDEX('Portfolio Weights Returns'!$B$9:$BJ$69,
INT((ROW(A3163)-1)/COLUMNS('Portfolio Weights Returns'!$B$9:$BJ$69))+1,MOD(ROW(A3163)-1,COLUMNS('Portfolio Weights Returns'!$B$9:$BJ$69))+1)</f>
        <v>-5.1385083220254217E-4</v>
      </c>
      <c r="B3164" cm="1">
        <f t="array" ref="B3164">INDEX('Portfolio Weights Std'!$B$9:$BJ$69,INT((ROW(A3163)-1)/COLUMNS('Portfolio Weights Std'!$B$9:$BJ$69))+1,MOD(ROW(A3163)-1,COLUMNS('Portfolio Weights Std'!$B$9:$BJ$69))+1)</f>
        <v>1.6572195664870431E-2</v>
      </c>
    </row>
    <row r="3165" spans="1:2" x14ac:dyDescent="0.25">
      <c r="A3165" cm="1">
        <f t="array" ref="A3165">INDEX('Portfolio Weights Returns'!$B$9:$BJ$69,
INT((ROW(A3164)-1)/COLUMNS('Portfolio Weights Returns'!$B$9:$BJ$69))+1,MOD(ROW(A3164)-1,COLUMNS('Portfolio Weights Returns'!$B$9:$BJ$69))+1)</f>
        <v>-5.0706965823586313E-4</v>
      </c>
      <c r="B3165" cm="1">
        <f t="array" ref="B3165">INDEX('Portfolio Weights Std'!$B$9:$BJ$69,INT((ROW(A3164)-1)/COLUMNS('Portfolio Weights Std'!$B$9:$BJ$69))+1,MOD(ROW(A3164)-1,COLUMNS('Portfolio Weights Std'!$B$9:$BJ$69))+1)</f>
        <v>1.6513280101823832E-2</v>
      </c>
    </row>
    <row r="3166" spans="1:2" x14ac:dyDescent="0.25">
      <c r="A3166" cm="1">
        <f t="array" ref="A3166">INDEX('Portfolio Weights Returns'!$B$9:$BJ$69,
INT((ROW(A3165)-1)/COLUMNS('Portfolio Weights Returns'!$B$9:$BJ$69))+1,MOD(ROW(A3165)-1,COLUMNS('Portfolio Weights Returns'!$B$9:$BJ$69))+1)</f>
        <v>-5.0028848426918399E-4</v>
      </c>
      <c r="B3166" cm="1">
        <f t="array" ref="B3166">INDEX('Portfolio Weights Std'!$B$9:$BJ$69,INT((ROW(A3165)-1)/COLUMNS('Portfolio Weights Std'!$B$9:$BJ$69))+1,MOD(ROW(A3165)-1,COLUMNS('Portfolio Weights Std'!$B$9:$BJ$69))+1)</f>
        <v>1.645696740425032E-2</v>
      </c>
    </row>
    <row r="3167" spans="1:2" x14ac:dyDescent="0.25">
      <c r="A3167" cm="1">
        <f t="array" ref="A3167">INDEX('Portfolio Weights Returns'!$B$9:$BJ$69,
INT((ROW(A3166)-1)/COLUMNS('Portfolio Weights Returns'!$B$9:$BJ$69))+1,MOD(ROW(A3166)-1,COLUMNS('Portfolio Weights Returns'!$B$9:$BJ$69))+1)</f>
        <v>-4.9350731030250485E-4</v>
      </c>
      <c r="B3167" cm="1">
        <f t="array" ref="B3167">INDEX('Portfolio Weights Std'!$B$9:$BJ$69,INT((ROW(A3166)-1)/COLUMNS('Portfolio Weights Std'!$B$9:$BJ$69))+1,MOD(ROW(A3166)-1,COLUMNS('Portfolio Weights Std'!$B$9:$BJ$69))+1)</f>
        <v>1.6403284379189125E-2</v>
      </c>
    </row>
    <row r="3168" spans="1:2" x14ac:dyDescent="0.25">
      <c r="A3168" cm="1">
        <f t="array" ref="A3168">INDEX('Portfolio Weights Returns'!$B$9:$BJ$69,
INT((ROW(A3167)-1)/COLUMNS('Portfolio Weights Returns'!$B$9:$BJ$69))+1,MOD(ROW(A3167)-1,COLUMNS('Portfolio Weights Returns'!$B$9:$BJ$69))+1)</f>
        <v>-4.8672613633582575E-4</v>
      </c>
      <c r="B3168" cm="1">
        <f t="array" ref="B3168">INDEX('Portfolio Weights Std'!$B$9:$BJ$69,INT((ROW(A3167)-1)/COLUMNS('Portfolio Weights Std'!$B$9:$BJ$69))+1,MOD(ROW(A3167)-1,COLUMNS('Portfolio Weights Std'!$B$9:$BJ$69))+1)</f>
        <v>1.6352256925613307E-2</v>
      </c>
    </row>
    <row r="3169" spans="1:2" x14ac:dyDescent="0.25">
      <c r="A3169" cm="1">
        <f t="array" ref="A3169">INDEX('Portfolio Weights Returns'!$B$9:$BJ$69,
INT((ROW(A3168)-1)/COLUMNS('Portfolio Weights Returns'!$B$9:$BJ$69))+1,MOD(ROW(A3168)-1,COLUMNS('Portfolio Weights Returns'!$B$9:$BJ$69))+1)</f>
        <v>-4.7994496236914666E-4</v>
      </c>
      <c r="B3169" cm="1">
        <f t="array" ref="B3169">INDEX('Portfolio Weights Std'!$B$9:$BJ$69,INT((ROW(A3168)-1)/COLUMNS('Portfolio Weights Std'!$B$9:$BJ$69))+1,MOD(ROW(A3168)-1,COLUMNS('Portfolio Weights Std'!$B$9:$BJ$69))+1)</f>
        <v>1.6303909977508853E-2</v>
      </c>
    </row>
    <row r="3170" spans="1:2" x14ac:dyDescent="0.25">
      <c r="A3170" cm="1">
        <f t="array" ref="A3170">INDEX('Portfolio Weights Returns'!$B$9:$BJ$69,
INT((ROW(A3169)-1)/COLUMNS('Portfolio Weights Returns'!$B$9:$BJ$69))+1,MOD(ROW(A3169)-1,COLUMNS('Portfolio Weights Returns'!$B$9:$BJ$69))+1)</f>
        <v>-4.7316378840246687E-4</v>
      </c>
      <c r="B3170" cm="1">
        <f t="array" ref="B3170">INDEX('Portfolio Weights Std'!$B$9:$BJ$69,INT((ROW(A3169)-1)/COLUMNS('Portfolio Weights Std'!$B$9:$BJ$69))+1,MOD(ROW(A3169)-1,COLUMNS('Portfolio Weights Std'!$B$9:$BJ$69))+1)</f>
        <v>1.6258267447821211E-2</v>
      </c>
    </row>
    <row r="3171" spans="1:2" x14ac:dyDescent="0.25">
      <c r="A3171" cm="1">
        <f t="array" ref="A3171">INDEX('Portfolio Weights Returns'!$B$9:$BJ$69,
INT((ROW(A3170)-1)/COLUMNS('Portfolio Weights Returns'!$B$9:$BJ$69))+1,MOD(ROW(A3170)-1,COLUMNS('Portfolio Weights Returns'!$B$9:$BJ$69))+1)</f>
        <v>-4.6638261443578778E-4</v>
      </c>
      <c r="B3171" cm="1">
        <f t="array" ref="B3171">INDEX('Portfolio Weights Std'!$B$9:$BJ$69,INT((ROW(A3170)-1)/COLUMNS('Portfolio Weights Std'!$B$9:$BJ$69))+1,MOD(ROW(A3170)-1,COLUMNS('Portfolio Weights Std'!$B$9:$BJ$69))+1)</f>
        <v>1.6215352173535397E-2</v>
      </c>
    </row>
    <row r="3172" spans="1:2" x14ac:dyDescent="0.25">
      <c r="A3172" cm="1">
        <f t="array" ref="A3172">INDEX('Portfolio Weights Returns'!$B$9:$BJ$69,
INT((ROW(A3171)-1)/COLUMNS('Portfolio Weights Returns'!$B$9:$BJ$69))+1,MOD(ROW(A3171)-1,COLUMNS('Portfolio Weights Returns'!$B$9:$BJ$69))+1)</f>
        <v>-4.5960144046910874E-4</v>
      </c>
      <c r="B3172" cm="1">
        <f t="array" ref="B3172">INDEX('Portfolio Weights Std'!$B$9:$BJ$69,INT((ROW(A3171)-1)/COLUMNS('Portfolio Weights Std'!$B$9:$BJ$69))+1,MOD(ROW(A3171)-1,COLUMNS('Portfolio Weights Std'!$B$9:$BJ$69))+1)</f>
        <v>1.6175185862159398E-2</v>
      </c>
    </row>
    <row r="3173" spans="1:2" x14ac:dyDescent="0.25">
      <c r="A3173" cm="1">
        <f t="array" ref="A3173">INDEX('Portfolio Weights Returns'!$B$9:$BJ$69,
INT((ROW(A3172)-1)/COLUMNS('Portfolio Weights Returns'!$B$9:$BJ$69))+1,MOD(ROW(A3172)-1,COLUMNS('Portfolio Weights Returns'!$B$9:$BJ$69))+1)</f>
        <v>-4.5282026650242965E-4</v>
      </c>
      <c r="B3173" cm="1">
        <f t="array" ref="B3173">INDEX('Portfolio Weights Std'!$B$9:$BJ$69,INT((ROW(A3172)-1)/COLUMNS('Portfolio Weights Std'!$B$9:$BJ$69))+1,MOD(ROW(A3172)-1,COLUMNS('Portfolio Weights Std'!$B$9:$BJ$69))+1)</f>
        <v>1.6137789039882427E-2</v>
      </c>
    </row>
    <row r="3174" spans="1:2" x14ac:dyDescent="0.25">
      <c r="A3174" cm="1">
        <f t="array" ref="A3174">INDEX('Portfolio Weights Returns'!$B$9:$BJ$69,
INT((ROW(A3173)-1)/COLUMNS('Portfolio Weights Returns'!$B$9:$BJ$69))+1,MOD(ROW(A3173)-1,COLUMNS('Portfolio Weights Returns'!$B$9:$BJ$69))+1)</f>
        <v>-8.5311649665772136E-4</v>
      </c>
      <c r="B3174" cm="1">
        <f t="array" ref="B3174">INDEX('Portfolio Weights Std'!$B$9:$BJ$69,INT((ROW(A3173)-1)/COLUMNS('Portfolio Weights Std'!$B$9:$BJ$69))+1,MOD(ROW(A3173)-1,COLUMNS('Portfolio Weights Std'!$B$9:$BJ$69))+1)</f>
        <v>2.2278756994412736E-2</v>
      </c>
    </row>
    <row r="3175" spans="1:2" x14ac:dyDescent="0.25">
      <c r="A3175" cm="1">
        <f t="array" ref="A3175">INDEX('Portfolio Weights Returns'!$B$9:$BJ$69,
INT((ROW(A3174)-1)/COLUMNS('Portfolio Weights Returns'!$B$9:$BJ$69))+1,MOD(ROW(A3174)-1,COLUMNS('Portfolio Weights Returns'!$B$9:$BJ$69))+1)</f>
        <v>-8.4633532269104222E-4</v>
      </c>
      <c r="B3175" cm="1">
        <f t="array" ref="B3175">INDEX('Portfolio Weights Std'!$B$9:$BJ$69,INT((ROW(A3174)-1)/COLUMNS('Portfolio Weights Std'!$B$9:$BJ$69))+1,MOD(ROW(A3174)-1,COLUMNS('Portfolio Weights Std'!$B$9:$BJ$69))+1)</f>
        <v>2.2130229410387229E-2</v>
      </c>
    </row>
    <row r="3176" spans="1:2" x14ac:dyDescent="0.25">
      <c r="A3176" cm="1">
        <f t="array" ref="A3176">INDEX('Portfolio Weights Returns'!$B$9:$BJ$69,
INT((ROW(A3175)-1)/COLUMNS('Portfolio Weights Returns'!$B$9:$BJ$69))+1,MOD(ROW(A3175)-1,COLUMNS('Portfolio Weights Returns'!$B$9:$BJ$69))+1)</f>
        <v>-8.3955414872436318E-4</v>
      </c>
      <c r="B3176" cm="1">
        <f t="array" ref="B3176">INDEX('Portfolio Weights Std'!$B$9:$BJ$69,INT((ROW(A3175)-1)/COLUMNS('Portfolio Weights Std'!$B$9:$BJ$69))+1,MOD(ROW(A3175)-1,COLUMNS('Portfolio Weights Std'!$B$9:$BJ$69))+1)</f>
        <v>2.1982804647118329E-2</v>
      </c>
    </row>
    <row r="3177" spans="1:2" x14ac:dyDescent="0.25">
      <c r="A3177" cm="1">
        <f t="array" ref="A3177">INDEX('Portfolio Weights Returns'!$B$9:$BJ$69,
INT((ROW(A3176)-1)/COLUMNS('Portfolio Weights Returns'!$B$9:$BJ$69))+1,MOD(ROW(A3176)-1,COLUMNS('Portfolio Weights Returns'!$B$9:$BJ$69))+1)</f>
        <v>-8.3277297475768404E-4</v>
      </c>
      <c r="B3177" cm="1">
        <f t="array" ref="B3177">INDEX('Portfolio Weights Std'!$B$9:$BJ$69,INT((ROW(A3176)-1)/COLUMNS('Portfolio Weights Std'!$B$9:$BJ$69))+1,MOD(ROW(A3176)-1,COLUMNS('Portfolio Weights Std'!$B$9:$BJ$69))+1)</f>
        <v>2.1836505041033755E-2</v>
      </c>
    </row>
    <row r="3178" spans="1:2" x14ac:dyDescent="0.25">
      <c r="A3178" cm="1">
        <f t="array" ref="A3178">INDEX('Portfolio Weights Returns'!$B$9:$BJ$69,
INT((ROW(A3177)-1)/COLUMNS('Portfolio Weights Returns'!$B$9:$BJ$69))+1,MOD(ROW(A3177)-1,COLUMNS('Portfolio Weights Returns'!$B$9:$BJ$69))+1)</f>
        <v>-8.25991800791005E-4</v>
      </c>
      <c r="B3178" cm="1">
        <f t="array" ref="B3178">INDEX('Portfolio Weights Std'!$B$9:$BJ$69,INT((ROW(A3177)-1)/COLUMNS('Portfolio Weights Std'!$B$9:$BJ$69))+1,MOD(ROW(A3177)-1,COLUMNS('Portfolio Weights Std'!$B$9:$BJ$69))+1)</f>
        <v>2.16913533583671E-2</v>
      </c>
    </row>
    <row r="3179" spans="1:2" x14ac:dyDescent="0.25">
      <c r="A3179" cm="1">
        <f t="array" ref="A3179">INDEX('Portfolio Weights Returns'!$B$9:$BJ$69,
INT((ROW(A3178)-1)/COLUMNS('Portfolio Weights Returns'!$B$9:$BJ$69))+1,MOD(ROW(A3178)-1,COLUMNS('Portfolio Weights Returns'!$B$9:$BJ$69))+1)</f>
        <v>-8.1921062682432575E-4</v>
      </c>
      <c r="B3179" cm="1">
        <f t="array" ref="B3179">INDEX('Portfolio Weights Std'!$B$9:$BJ$69,INT((ROW(A3178)-1)/COLUMNS('Portfolio Weights Std'!$B$9:$BJ$69))+1,MOD(ROW(A3178)-1,COLUMNS('Portfolio Weights Std'!$B$9:$BJ$69))+1)</f>
        <v>2.1547372797738489E-2</v>
      </c>
    </row>
    <row r="3180" spans="1:2" x14ac:dyDescent="0.25">
      <c r="A3180" cm="1">
        <f t="array" ref="A3180">INDEX('Portfolio Weights Returns'!$B$9:$BJ$69,
INT((ROW(A3179)-1)/COLUMNS('Portfolio Weights Returns'!$B$9:$BJ$69))+1,MOD(ROW(A3179)-1,COLUMNS('Portfolio Weights Returns'!$B$9:$BJ$69))+1)</f>
        <v>-8.1242945285764671E-4</v>
      </c>
      <c r="B3180" cm="1">
        <f t="array" ref="B3180">INDEX('Portfolio Weights Std'!$B$9:$BJ$69,INT((ROW(A3179)-1)/COLUMNS('Portfolio Weights Std'!$B$9:$BJ$69))+1,MOD(ROW(A3179)-1,COLUMNS('Portfolio Weights Std'!$B$9:$BJ$69))+1)</f>
        <v>2.1404586992245931E-2</v>
      </c>
    </row>
    <row r="3181" spans="1:2" x14ac:dyDescent="0.25">
      <c r="A3181" cm="1">
        <f t="array" ref="A3181">INDEX('Portfolio Weights Returns'!$B$9:$BJ$69,
INT((ROW(A3180)-1)/COLUMNS('Portfolio Weights Returns'!$B$9:$BJ$69))+1,MOD(ROW(A3180)-1,COLUMNS('Portfolio Weights Returns'!$B$9:$BJ$69))+1)</f>
        <v>-8.0564827889096757E-4</v>
      </c>
      <c r="B3181" cm="1">
        <f t="array" ref="B3181">INDEX('Portfolio Weights Std'!$B$9:$BJ$69,INT((ROW(A3180)-1)/COLUMNS('Portfolio Weights Std'!$B$9:$BJ$69))+1,MOD(ROW(A3180)-1,COLUMNS('Portfolio Weights Std'!$B$9:$BJ$69))+1)</f>
        <v>2.1263020011025074E-2</v>
      </c>
    </row>
    <row r="3182" spans="1:2" x14ac:dyDescent="0.25">
      <c r="A3182" cm="1">
        <f t="array" ref="A3182">INDEX('Portfolio Weights Returns'!$B$9:$BJ$69,
INT((ROW(A3181)-1)/COLUMNS('Portfolio Weights Returns'!$B$9:$BJ$69))+1,MOD(ROW(A3181)-1,COLUMNS('Portfolio Weights Returns'!$B$9:$BJ$69))+1)</f>
        <v>-7.9886710492428842E-4</v>
      </c>
      <c r="B3182" cm="1">
        <f t="array" ref="B3182">INDEX('Portfolio Weights Std'!$B$9:$BJ$69,INT((ROW(A3181)-1)/COLUMNS('Portfolio Weights Std'!$B$9:$BJ$69))+1,MOD(ROW(A3181)-1,COLUMNS('Portfolio Weights Std'!$B$9:$BJ$69))+1)</f>
        <v>2.112269636023317E-2</v>
      </c>
    </row>
    <row r="3183" spans="1:2" x14ac:dyDescent="0.25">
      <c r="A3183" cm="1">
        <f t="array" ref="A3183">INDEX('Portfolio Weights Returns'!$B$9:$BJ$69,
INT((ROW(A3182)-1)/COLUMNS('Portfolio Weights Returns'!$B$9:$BJ$69))+1,MOD(ROW(A3182)-1,COLUMNS('Portfolio Weights Returns'!$B$9:$BJ$69))+1)</f>
        <v>-7.9208593095760939E-4</v>
      </c>
      <c r="B3183" cm="1">
        <f t="array" ref="B3183">INDEX('Portfolio Weights Std'!$B$9:$BJ$69,INT((ROW(A3182)-1)/COLUMNS('Portfolio Weights Std'!$B$9:$BJ$69))+1,MOD(ROW(A3182)-1,COLUMNS('Portfolio Weights Std'!$B$9:$BJ$69))+1)</f>
        <v>2.0983640983411066E-2</v>
      </c>
    </row>
    <row r="3184" spans="1:2" x14ac:dyDescent="0.25">
      <c r="A3184" cm="1">
        <f t="array" ref="A3184">INDEX('Portfolio Weights Returns'!$B$9:$BJ$69,
INT((ROW(A3183)-1)/COLUMNS('Portfolio Weights Returns'!$B$9:$BJ$69))+1,MOD(ROW(A3183)-1,COLUMNS('Portfolio Weights Returns'!$B$9:$BJ$69))+1)</f>
        <v>-7.8530475699093024E-4</v>
      </c>
      <c r="B3184" cm="1">
        <f t="array" ref="B3184">INDEX('Portfolio Weights Std'!$B$9:$BJ$69,INT((ROW(A3183)-1)/COLUMNS('Portfolio Weights Std'!$B$9:$BJ$69))+1,MOD(ROW(A3183)-1,COLUMNS('Portfolio Weights Std'!$B$9:$BJ$69))+1)</f>
        <v>2.0845879261175222E-2</v>
      </c>
    </row>
    <row r="3185" spans="1:2" x14ac:dyDescent="0.25">
      <c r="A3185" cm="1">
        <f t="array" ref="A3185">INDEX('Portfolio Weights Returns'!$B$9:$BJ$69,
INT((ROW(A3184)-1)/COLUMNS('Portfolio Weights Returns'!$B$9:$BJ$69))+1,MOD(ROW(A3184)-1,COLUMNS('Portfolio Weights Returns'!$B$9:$BJ$69))+1)</f>
        <v>-7.7852358302425121E-4</v>
      </c>
      <c r="B3185" cm="1">
        <f t="array" ref="B3185">INDEX('Portfolio Weights Std'!$B$9:$BJ$69,INT((ROW(A3184)-1)/COLUMNS('Portfolio Weights Std'!$B$9:$BJ$69))+1,MOD(ROW(A3184)-1,COLUMNS('Portfolio Weights Std'!$B$9:$BJ$69))+1)</f>
        <v>2.0709437010190016E-2</v>
      </c>
    </row>
    <row r="3186" spans="1:2" x14ac:dyDescent="0.25">
      <c r="A3186" cm="1">
        <f t="array" ref="A3186">INDEX('Portfolio Weights Returns'!$B$9:$BJ$69,
INT((ROW(A3185)-1)/COLUMNS('Portfolio Weights Returns'!$B$9:$BJ$69))+1,MOD(ROW(A3185)-1,COLUMNS('Portfolio Weights Returns'!$B$9:$BJ$69))+1)</f>
        <v>-7.7174240905757195E-4</v>
      </c>
      <c r="B3186" cm="1">
        <f t="array" ref="B3186">INDEX('Portfolio Weights Std'!$B$9:$BJ$69,INT((ROW(A3185)-1)/COLUMNS('Portfolio Weights Std'!$B$9:$BJ$69))+1,MOD(ROW(A3185)-1,COLUMNS('Portfolio Weights Std'!$B$9:$BJ$69))+1)</f>
        <v>2.0574340481368695E-2</v>
      </c>
    </row>
    <row r="3187" spans="1:2" x14ac:dyDescent="0.25">
      <c r="A3187" cm="1">
        <f t="array" ref="A3187">INDEX('Portfolio Weights Returns'!$B$9:$BJ$69,
INT((ROW(A3186)-1)/COLUMNS('Portfolio Weights Returns'!$B$9:$BJ$69))+1,MOD(ROW(A3186)-1,COLUMNS('Portfolio Weights Returns'!$B$9:$BJ$69))+1)</f>
        <v>-7.6496123509089292E-4</v>
      </c>
      <c r="B3187" cm="1">
        <f t="array" ref="B3187">INDEX('Portfolio Weights Std'!$B$9:$BJ$69,INT((ROW(A3186)-1)/COLUMNS('Portfolio Weights Std'!$B$9:$BJ$69))+1,MOD(ROW(A3186)-1,COLUMNS('Portfolio Weights Std'!$B$9:$BJ$69))+1)</f>
        <v>2.0440616357249874E-2</v>
      </c>
    </row>
    <row r="3188" spans="1:2" x14ac:dyDescent="0.25">
      <c r="A3188" cm="1">
        <f t="array" ref="A3188">INDEX('Portfolio Weights Returns'!$B$9:$BJ$69,
INT((ROW(A3187)-1)/COLUMNS('Portfolio Weights Returns'!$B$9:$BJ$69))+1,MOD(ROW(A3187)-1,COLUMNS('Portfolio Weights Returns'!$B$9:$BJ$69))+1)</f>
        <v>-7.5818006112421377E-4</v>
      </c>
      <c r="B3188" cm="1">
        <f t="array" ref="B3188">INDEX('Portfolio Weights Std'!$B$9:$BJ$69,INT((ROW(A3187)-1)/COLUMNS('Portfolio Weights Std'!$B$9:$BJ$69))+1,MOD(ROW(A3187)-1,COLUMNS('Portfolio Weights Std'!$B$9:$BJ$69))+1)</f>
        <v>2.030829174849479E-2</v>
      </c>
    </row>
    <row r="3189" spans="1:2" x14ac:dyDescent="0.25">
      <c r="A3189" cm="1">
        <f t="array" ref="A3189">INDEX('Portfolio Weights Returns'!$B$9:$BJ$69,
INT((ROW(A3188)-1)/COLUMNS('Portfolio Weights Returns'!$B$9:$BJ$69))+1,MOD(ROW(A3188)-1,COLUMNS('Portfolio Weights Returns'!$B$9:$BJ$69))+1)</f>
        <v>-7.5139888715753474E-4</v>
      </c>
      <c r="B3189" cm="1">
        <f t="array" ref="B3189">INDEX('Portfolio Weights Std'!$B$9:$BJ$69,INT((ROW(A3188)-1)/COLUMNS('Portfolio Weights Std'!$B$9:$BJ$69))+1,MOD(ROW(A3188)-1,COLUMNS('Portfolio Weights Std'!$B$9:$BJ$69))+1)</f>
        <v>2.0177394189449197E-2</v>
      </c>
    </row>
    <row r="3190" spans="1:2" x14ac:dyDescent="0.25">
      <c r="A3190" cm="1">
        <f t="array" ref="A3190">INDEX('Portfolio Weights Returns'!$B$9:$BJ$69,
INT((ROW(A3189)-1)/COLUMNS('Portfolio Weights Returns'!$B$9:$BJ$69))+1,MOD(ROW(A3189)-1,COLUMNS('Portfolio Weights Returns'!$B$9:$BJ$69))+1)</f>
        <v>-7.446177131908557E-4</v>
      </c>
      <c r="B3190" cm="1">
        <f t="array" ref="B3190">INDEX('Portfolio Weights Std'!$B$9:$BJ$69,INT((ROW(A3189)-1)/COLUMNS('Portfolio Weights Std'!$B$9:$BJ$69))+1,MOD(ROW(A3189)-1,COLUMNS('Portfolio Weights Std'!$B$9:$BJ$69))+1)</f>
        <v>2.0047951632712519E-2</v>
      </c>
    </row>
    <row r="3191" spans="1:2" x14ac:dyDescent="0.25">
      <c r="A3191" cm="1">
        <f t="array" ref="A3191">INDEX('Portfolio Weights Returns'!$B$9:$BJ$69,
INT((ROW(A3190)-1)/COLUMNS('Portfolio Weights Returns'!$B$9:$BJ$69))+1,MOD(ROW(A3190)-1,COLUMNS('Portfolio Weights Returns'!$B$9:$BJ$69))+1)</f>
        <v>-7.3783653922417645E-4</v>
      </c>
      <c r="B3191" cm="1">
        <f t="array" ref="B3191">INDEX('Portfolio Weights Std'!$B$9:$BJ$69,INT((ROW(A3190)-1)/COLUMNS('Portfolio Weights Std'!$B$9:$BJ$69))+1,MOD(ROW(A3190)-1,COLUMNS('Portfolio Weights Std'!$B$9:$BJ$69))+1)</f>
        <v>1.9919992442655913E-2</v>
      </c>
    </row>
    <row r="3192" spans="1:2" x14ac:dyDescent="0.25">
      <c r="A3192" cm="1">
        <f t="array" ref="A3192">INDEX('Portfolio Weights Returns'!$B$9:$BJ$69,
INT((ROW(A3191)-1)/COLUMNS('Portfolio Weights Returns'!$B$9:$BJ$69))+1,MOD(ROW(A3191)-1,COLUMNS('Portfolio Weights Returns'!$B$9:$BJ$69))+1)</f>
        <v>-7.3105536525749752E-4</v>
      </c>
      <c r="B3192" cm="1">
        <f t="array" ref="B3192">INDEX('Portfolio Weights Std'!$B$9:$BJ$69,INT((ROW(A3191)-1)/COLUMNS('Portfolio Weights Std'!$B$9:$BJ$69))+1,MOD(ROW(A3191)-1,COLUMNS('Portfolio Weights Std'!$B$9:$BJ$69))+1)</f>
        <v>1.979354538782992E-2</v>
      </c>
    </row>
    <row r="3193" spans="1:2" x14ac:dyDescent="0.25">
      <c r="A3193" cm="1">
        <f t="array" ref="A3193">INDEX('Portfolio Weights Returns'!$B$9:$BJ$69,
INT((ROW(A3192)-1)/COLUMNS('Portfolio Weights Returns'!$B$9:$BJ$69))+1,MOD(ROW(A3192)-1,COLUMNS('Portfolio Weights Returns'!$B$9:$BJ$69))+1)</f>
        <v>-7.2427419129081837E-4</v>
      </c>
      <c r="B3193" cm="1">
        <f t="array" ref="B3193">INDEX('Portfolio Weights Std'!$B$9:$BJ$69,INT((ROW(A3192)-1)/COLUMNS('Portfolio Weights Std'!$B$9:$BJ$69))+1,MOD(ROW(A3192)-1,COLUMNS('Portfolio Weights Std'!$B$9:$BJ$69))+1)</f>
        <v>1.96686396322019E-2</v>
      </c>
    </row>
    <row r="3194" spans="1:2" x14ac:dyDescent="0.25">
      <c r="A3194" cm="1">
        <f t="array" ref="A3194">INDEX('Portfolio Weights Returns'!$B$9:$BJ$69,
INT((ROW(A3193)-1)/COLUMNS('Portfolio Weights Returns'!$B$9:$BJ$69))+1,MOD(ROW(A3193)-1,COLUMNS('Portfolio Weights Returns'!$B$9:$BJ$69))+1)</f>
        <v>-7.1749301732413934E-4</v>
      </c>
      <c r="B3194" cm="1">
        <f t="array" ref="B3194">INDEX('Portfolio Weights Std'!$B$9:$BJ$69,INT((ROW(A3193)-1)/COLUMNS('Portfolio Weights Std'!$B$9:$BJ$69))+1,MOD(ROW(A3193)-1,COLUMNS('Portfolio Weights Std'!$B$9:$BJ$69))+1)</f>
        <v>1.9545304725163262E-2</v>
      </c>
    </row>
    <row r="3195" spans="1:2" x14ac:dyDescent="0.25">
      <c r="A3195" cm="1">
        <f t="array" ref="A3195">INDEX('Portfolio Weights Returns'!$B$9:$BJ$69,
INT((ROW(A3194)-1)/COLUMNS('Portfolio Weights Returns'!$B$9:$BJ$69))+1,MOD(ROW(A3194)-1,COLUMNS('Portfolio Weights Returns'!$B$9:$BJ$69))+1)</f>
        <v>-7.1071184335746019E-4</v>
      </c>
      <c r="B3195" cm="1">
        <f t="array" ref="B3195">INDEX('Portfolio Weights Std'!$B$9:$BJ$69,INT((ROW(A3194)-1)/COLUMNS('Portfolio Weights Std'!$B$9:$BJ$69))+1,MOD(ROW(A3194)-1,COLUMNS('Portfolio Weights Std'!$B$9:$BJ$69))+1)</f>
        <v>1.9423570590246311E-2</v>
      </c>
    </row>
    <row r="3196" spans="1:2" x14ac:dyDescent="0.25">
      <c r="A3196" cm="1">
        <f t="array" ref="A3196">INDEX('Portfolio Weights Returns'!$B$9:$BJ$69,
INT((ROW(A3195)-1)/COLUMNS('Portfolio Weights Returns'!$B$9:$BJ$69))+1,MOD(ROW(A3195)-1,COLUMNS('Portfolio Weights Returns'!$B$9:$BJ$69))+1)</f>
        <v>-7.0393066939078116E-4</v>
      </c>
      <c r="B3196" cm="1">
        <f t="array" ref="B3196">INDEX('Portfolio Weights Std'!$B$9:$BJ$69,INT((ROW(A3195)-1)/COLUMNS('Portfolio Weights Std'!$B$9:$BJ$69))+1,MOD(ROW(A3195)-1,COLUMNS('Portfolio Weights Std'!$B$9:$BJ$69))+1)</f>
        <v>1.9303467512491099E-2</v>
      </c>
    </row>
    <row r="3197" spans="1:2" x14ac:dyDescent="0.25">
      <c r="A3197" cm="1">
        <f t="array" ref="A3197">INDEX('Portfolio Weights Returns'!$B$9:$BJ$69,
INT((ROW(A3196)-1)/COLUMNS('Portfolio Weights Returns'!$B$9:$BJ$69))+1,MOD(ROW(A3196)-1,COLUMNS('Portfolio Weights Returns'!$B$9:$BJ$69))+1)</f>
        <v>-6.9714949542410191E-4</v>
      </c>
      <c r="B3197" cm="1">
        <f t="array" ref="B3197">INDEX('Portfolio Weights Std'!$B$9:$BJ$69,INT((ROW(A3196)-1)/COLUMNS('Portfolio Weights Std'!$B$9:$BJ$69))+1,MOD(ROW(A3196)-1,COLUMNS('Portfolio Weights Std'!$B$9:$BJ$69))+1)</f>
        <v>1.9185026124403461E-2</v>
      </c>
    </row>
    <row r="3198" spans="1:2" x14ac:dyDescent="0.25">
      <c r="A3198" cm="1">
        <f t="array" ref="A3198">INDEX('Portfolio Weights Returns'!$B$9:$BJ$69,
INT((ROW(A3197)-1)/COLUMNS('Portfolio Weights Returns'!$B$9:$BJ$69))+1,MOD(ROW(A3197)-1,COLUMNS('Portfolio Weights Returns'!$B$9:$BJ$69))+1)</f>
        <v>-6.9036832145742287E-4</v>
      </c>
      <c r="B3198" cm="1">
        <f t="array" ref="B3198">INDEX('Portfolio Weights Std'!$B$9:$BJ$69,INT((ROW(A3197)-1)/COLUMNS('Portfolio Weights Std'!$B$9:$BJ$69))+1,MOD(ROW(A3197)-1,COLUMNS('Portfolio Weights Std'!$B$9:$BJ$69))+1)</f>
        <v>1.9068277390446496E-2</v>
      </c>
    </row>
    <row r="3199" spans="1:2" x14ac:dyDescent="0.25">
      <c r="A3199" cm="1">
        <f t="array" ref="A3199">INDEX('Portfolio Weights Returns'!$B$9:$BJ$69,
INT((ROW(A3198)-1)/COLUMNS('Portfolio Weights Returns'!$B$9:$BJ$69))+1,MOD(ROW(A3198)-1,COLUMNS('Portfolio Weights Returns'!$B$9:$BJ$69))+1)</f>
        <v>-6.8358714749074373E-4</v>
      </c>
      <c r="B3199" cm="1">
        <f t="array" ref="B3199">INDEX('Portfolio Weights Std'!$B$9:$BJ$69,INT((ROW(A3198)-1)/COLUMNS('Portfolio Weights Std'!$B$9:$BJ$69))+1,MOD(ROW(A3198)-1,COLUMNS('Portfolio Weights Std'!$B$9:$BJ$69))+1)</f>
        <v>1.8953252590009684E-2</v>
      </c>
    </row>
    <row r="3200" spans="1:2" x14ac:dyDescent="0.25">
      <c r="A3200" cm="1">
        <f t="array" ref="A3200">INDEX('Portfolio Weights Returns'!$B$9:$BJ$69,
INT((ROW(A3199)-1)/COLUMNS('Portfolio Weights Returns'!$B$9:$BJ$69))+1,MOD(ROW(A3199)-1,COLUMNS('Portfolio Weights Returns'!$B$9:$BJ$69))+1)</f>
        <v>-6.7680597352406469E-4</v>
      </c>
      <c r="B3200" cm="1">
        <f t="array" ref="B3200">INDEX('Portfolio Weights Std'!$B$9:$BJ$69,INT((ROW(A3199)-1)/COLUMNS('Portfolio Weights Std'!$B$9:$BJ$69))+1,MOD(ROW(A3199)-1,COLUMNS('Portfolio Weights Std'!$B$9:$BJ$69))+1)</f>
        <v>1.8839983298801793E-2</v>
      </c>
    </row>
    <row r="3201" spans="1:2" x14ac:dyDescent="0.25">
      <c r="A3201" cm="1">
        <f t="array" ref="A3201">INDEX('Portfolio Weights Returns'!$B$9:$BJ$69,
INT((ROW(A3200)-1)/COLUMNS('Portfolio Weights Returns'!$B$9:$BJ$69))+1,MOD(ROW(A3200)-1,COLUMNS('Portfolio Weights Returns'!$B$9:$BJ$69))+1)</f>
        <v>-6.7002479955738554E-4</v>
      </c>
      <c r="B3201" cm="1">
        <f t="array" ref="B3201">INDEX('Portfolio Weights Std'!$B$9:$BJ$69,INT((ROW(A3200)-1)/COLUMNS('Portfolio Weights Std'!$B$9:$BJ$69))+1,MOD(ROW(A3200)-1,COLUMNS('Portfolio Weights Std'!$B$9:$BJ$69))+1)</f>
        <v>1.8728501368616715E-2</v>
      </c>
    </row>
    <row r="3202" spans="1:2" x14ac:dyDescent="0.25">
      <c r="A3202" cm="1">
        <f t="array" ref="A3202">INDEX('Portfolio Weights Returns'!$B$9:$BJ$69,
INT((ROW(A3201)-1)/COLUMNS('Portfolio Weights Returns'!$B$9:$BJ$69))+1,MOD(ROW(A3201)-1,COLUMNS('Portfolio Weights Returns'!$B$9:$BJ$69))+1)</f>
        <v>-6.632436255907064E-4</v>
      </c>
      <c r="B3202" cm="1">
        <f t="array" ref="B3202">INDEX('Portfolio Weights Std'!$B$9:$BJ$69,INT((ROW(A3201)-1)/COLUMNS('Portfolio Weights Std'!$B$9:$BJ$69))+1,MOD(ROW(A3201)-1,COLUMNS('Portfolio Weights Std'!$B$9:$BJ$69))+1)</f>
        <v>1.8618838905424574E-2</v>
      </c>
    </row>
    <row r="3203" spans="1:2" x14ac:dyDescent="0.25">
      <c r="A3203" cm="1">
        <f t="array" ref="A3203">INDEX('Portfolio Weights Returns'!$B$9:$BJ$69,
INT((ROW(A3202)-1)/COLUMNS('Portfolio Weights Returns'!$B$9:$BJ$69))+1,MOD(ROW(A3202)-1,COLUMNS('Portfolio Weights Returns'!$B$9:$BJ$69))+1)</f>
        <v>-6.5646245162402736E-4</v>
      </c>
      <c r="B3203" cm="1">
        <f t="array" ref="B3203">INDEX('Portfolio Weights Std'!$B$9:$BJ$69,INT((ROW(A3202)-1)/COLUMNS('Portfolio Weights Std'!$B$9:$BJ$69))+1,MOD(ROW(A3202)-1,COLUMNS('Portfolio Weights Std'!$B$9:$BJ$69))+1)</f>
        <v>1.8511028245744514E-2</v>
      </c>
    </row>
    <row r="3204" spans="1:2" x14ac:dyDescent="0.25">
      <c r="A3204" cm="1">
        <f t="array" ref="A3204">INDEX('Portfolio Weights Returns'!$B$9:$BJ$69,
INT((ROW(A3203)-1)/COLUMNS('Portfolio Weights Returns'!$B$9:$BJ$69))+1,MOD(ROW(A3203)-1,COLUMNS('Portfolio Weights Returns'!$B$9:$BJ$69))+1)</f>
        <v>-6.4968127765734811E-4</v>
      </c>
      <c r="B3204" cm="1">
        <f t="array" ref="B3204">INDEX('Portfolio Weights Std'!$B$9:$BJ$69,INT((ROW(A3203)-1)/COLUMNS('Portfolio Weights Std'!$B$9:$BJ$69))+1,MOD(ROW(A3203)-1,COLUMNS('Portfolio Weights Std'!$B$9:$BJ$69))+1)</f>
        <v>1.8405101931260163E-2</v>
      </c>
    </row>
    <row r="3205" spans="1:2" x14ac:dyDescent="0.25">
      <c r="A3205" cm="1">
        <f t="array" ref="A3205">INDEX('Portfolio Weights Returns'!$B$9:$BJ$69,
INT((ROW(A3204)-1)/COLUMNS('Portfolio Weights Returns'!$B$9:$BJ$69))+1,MOD(ROW(A3204)-1,COLUMNS('Portfolio Weights Returns'!$B$9:$BJ$69))+1)</f>
        <v>-6.4290010369066908E-4</v>
      </c>
      <c r="B3205" cm="1">
        <f t="array" ref="B3205">INDEX('Portfolio Weights Std'!$B$9:$BJ$69,INT((ROW(A3204)-1)/COLUMNS('Portfolio Weights Std'!$B$9:$BJ$69))+1,MOD(ROW(A3204)-1,COLUMNS('Portfolio Weights Std'!$B$9:$BJ$69))+1)</f>
        <v>1.8301092681644118E-2</v>
      </c>
    </row>
    <row r="3206" spans="1:2" x14ac:dyDescent="0.25">
      <c r="A3206" cm="1">
        <f t="array" ref="A3206">INDEX('Portfolio Weights Returns'!$B$9:$BJ$69,
INT((ROW(A3205)-1)/COLUMNS('Portfolio Weights Returns'!$B$9:$BJ$69))+1,MOD(ROW(A3205)-1,COLUMNS('Portfolio Weights Returns'!$B$9:$BJ$69))+1)</f>
        <v>-6.3611892972398993E-4</v>
      </c>
      <c r="B3206" cm="1">
        <f t="array" ref="B3206">INDEX('Portfolio Weights Std'!$B$9:$BJ$69,INT((ROW(A3205)-1)/COLUMNS('Portfolio Weights Std'!$B$9:$BJ$69))+1,MOD(ROW(A3205)-1,COLUMNS('Portfolio Weights Std'!$B$9:$BJ$69))+1)</f>
        <v>1.8199033365563819E-2</v>
      </c>
    </row>
    <row r="3207" spans="1:2" x14ac:dyDescent="0.25">
      <c r="A3207" cm="1">
        <f t="array" ref="A3207">INDEX('Portfolio Weights Returns'!$B$9:$BJ$69,
INT((ROW(A3206)-1)/COLUMNS('Portfolio Weights Returns'!$B$9:$BJ$69))+1,MOD(ROW(A3206)-1,COLUMNS('Portfolio Weights Returns'!$B$9:$BJ$69))+1)</f>
        <v>-6.2933775575731089E-4</v>
      </c>
      <c r="B3207" cm="1">
        <f t="array" ref="B3207">INDEX('Portfolio Weights Std'!$B$9:$BJ$69,INT((ROW(A3206)-1)/COLUMNS('Portfolio Weights Std'!$B$9:$BJ$69))+1,MOD(ROW(A3206)-1,COLUMNS('Portfolio Weights Std'!$B$9:$BJ$69))+1)</f>
        <v>1.8098956969847969E-2</v>
      </c>
    </row>
    <row r="3208" spans="1:2" x14ac:dyDescent="0.25">
      <c r="A3208" cm="1">
        <f t="array" ref="A3208">INDEX('Portfolio Weights Returns'!$B$9:$BJ$69,
INT((ROW(A3207)-1)/COLUMNS('Portfolio Weights Returns'!$B$9:$BJ$69))+1,MOD(ROW(A3207)-1,COLUMNS('Portfolio Weights Returns'!$B$9:$BJ$69))+1)</f>
        <v>-6.2255658179063175E-4</v>
      </c>
      <c r="B3208" cm="1">
        <f t="array" ref="B3208">INDEX('Portfolio Weights Std'!$B$9:$BJ$69,INT((ROW(A3207)-1)/COLUMNS('Portfolio Weights Std'!$B$9:$BJ$69))+1,MOD(ROW(A3207)-1,COLUMNS('Portfolio Weights Std'!$B$9:$BJ$69))+1)</f>
        <v>1.8000896566800154E-2</v>
      </c>
    </row>
    <row r="3209" spans="1:2" x14ac:dyDescent="0.25">
      <c r="A3209" cm="1">
        <f t="array" ref="A3209">INDEX('Portfolio Weights Returns'!$B$9:$BJ$69,
INT((ROW(A3208)-1)/COLUMNS('Portfolio Weights Returns'!$B$9:$BJ$69))+1,MOD(ROW(A3208)-1,COLUMNS('Portfolio Weights Returns'!$B$9:$BJ$69))+1)</f>
        <v>-6.1577540782395271E-4</v>
      </c>
      <c r="B3209" cm="1">
        <f t="array" ref="B3209">INDEX('Portfolio Weights Std'!$B$9:$BJ$69,INT((ROW(A3208)-1)/COLUMNS('Portfolio Weights Std'!$B$9:$BJ$69))+1,MOD(ROW(A3208)-1,COLUMNS('Portfolio Weights Std'!$B$9:$BJ$69))+1)</f>
        <v>1.7904885279654618E-2</v>
      </c>
    </row>
    <row r="3210" spans="1:2" x14ac:dyDescent="0.25">
      <c r="A3210" cm="1">
        <f t="array" ref="A3210">INDEX('Portfolio Weights Returns'!$B$9:$BJ$69,
INT((ROW(A3209)-1)/COLUMNS('Portfolio Weights Returns'!$B$9:$BJ$69))+1,MOD(ROW(A3209)-1,COLUMNS('Portfolio Weights Returns'!$B$9:$BJ$69))+1)</f>
        <v>-6.0899423385727357E-4</v>
      </c>
      <c r="B3210" cm="1">
        <f t="array" ref="B3210">INDEX('Portfolio Weights Std'!$B$9:$BJ$69,INT((ROW(A3209)-1)/COLUMNS('Portfolio Weights Std'!$B$9:$BJ$69))+1,MOD(ROW(A3209)-1,COLUMNS('Portfolio Weights Std'!$B$9:$BJ$69))+1)</f>
        <v>1.7810956246178185E-2</v>
      </c>
    </row>
    <row r="3211" spans="1:2" x14ac:dyDescent="0.25">
      <c r="A3211" cm="1">
        <f t="array" ref="A3211">INDEX('Portfolio Weights Returns'!$B$9:$BJ$69,
INT((ROW(A3210)-1)/COLUMNS('Portfolio Weights Returns'!$B$9:$BJ$69))+1,MOD(ROW(A3210)-1,COLUMNS('Portfolio Weights Returns'!$B$9:$BJ$69))+1)</f>
        <v>-6.0221305989059432E-4</v>
      </c>
      <c r="B3211" cm="1">
        <f t="array" ref="B3211">INDEX('Portfolio Weights Std'!$B$9:$BJ$69,INT((ROW(A3210)-1)/COLUMNS('Portfolio Weights Std'!$B$9:$BJ$69))+1,MOD(ROW(A3210)-1,COLUMNS('Portfolio Weights Std'!$B$9:$BJ$69))+1)</f>
        <v>1.7719142580432064E-2</v>
      </c>
    </row>
    <row r="3212" spans="1:2" x14ac:dyDescent="0.25">
      <c r="A3212" cm="1">
        <f t="array" ref="A3212">INDEX('Portfolio Weights Returns'!$B$9:$BJ$69,
INT((ROW(A3211)-1)/COLUMNS('Portfolio Weights Returns'!$B$9:$BJ$69))+1,MOD(ROW(A3211)-1,COLUMNS('Portfolio Weights Returns'!$B$9:$BJ$69))+1)</f>
        <v>-5.9543188592391539E-4</v>
      </c>
      <c r="B3212" cm="1">
        <f t="array" ref="B3212">INDEX('Portfolio Weights Std'!$B$9:$BJ$69,INT((ROW(A3211)-1)/COLUMNS('Portfolio Weights Std'!$B$9:$BJ$69))+1,MOD(ROW(A3211)-1,COLUMNS('Portfolio Weights Std'!$B$9:$BJ$69))+1)</f>
        <v>1.7629477332717879E-2</v>
      </c>
    </row>
    <row r="3213" spans="1:2" x14ac:dyDescent="0.25">
      <c r="A3213" cm="1">
        <f t="array" ref="A3213">INDEX('Portfolio Weights Returns'!$B$9:$BJ$69,
INT((ROW(A3212)-1)/COLUMNS('Portfolio Weights Returns'!$B$9:$BJ$69))+1,MOD(ROW(A3212)-1,COLUMNS('Portfolio Weights Returns'!$B$9:$BJ$69))+1)</f>
        <v>-5.8865071195723625E-4</v>
      </c>
      <c r="B3213" cm="1">
        <f t="array" ref="B3213">INDEX('Portfolio Weights Std'!$B$9:$BJ$69,INT((ROW(A3212)-1)/COLUMNS('Portfolio Weights Std'!$B$9:$BJ$69))+1,MOD(ROW(A3212)-1,COLUMNS('Portfolio Weights Std'!$B$9:$BJ$69))+1)</f>
        <v>1.75419934477434E-2</v>
      </c>
    </row>
    <row r="3214" spans="1:2" x14ac:dyDescent="0.25">
      <c r="A3214" cm="1">
        <f t="array" ref="A3214">INDEX('Portfolio Weights Returns'!$B$9:$BJ$69,
INT((ROW(A3213)-1)/COLUMNS('Portfolio Weights Returns'!$B$9:$BJ$69))+1,MOD(ROW(A3213)-1,COLUMNS('Portfolio Weights Returns'!$B$9:$BJ$69))+1)</f>
        <v>-5.8186953799055721E-4</v>
      </c>
      <c r="B3214" cm="1">
        <f t="array" ref="B3214">INDEX('Portfolio Weights Std'!$B$9:$BJ$69,INT((ROW(A3213)-1)/COLUMNS('Portfolio Weights Std'!$B$9:$BJ$69))+1,MOD(ROW(A3213)-1,COLUMNS('Portfolio Weights Std'!$B$9:$BJ$69))+1)</f>
        <v>1.7456723721055365E-2</v>
      </c>
    </row>
    <row r="3215" spans="1:2" x14ac:dyDescent="0.25">
      <c r="A3215" cm="1">
        <f t="array" ref="A3215">INDEX('Portfolio Weights Returns'!$B$9:$BJ$69,
INT((ROW(A3214)-1)/COLUMNS('Portfolio Weights Returns'!$B$9:$BJ$69))+1,MOD(ROW(A3214)-1,COLUMNS('Portfolio Weights Returns'!$B$9:$BJ$69))+1)</f>
        <v>-5.7508836402387806E-4</v>
      </c>
      <c r="B3215" cm="1">
        <f t="array" ref="B3215">INDEX('Portfolio Weights Std'!$B$9:$BJ$69,INT((ROW(A3214)-1)/COLUMNS('Portfolio Weights Std'!$B$9:$BJ$69))+1,MOD(ROW(A3214)-1,COLUMNS('Portfolio Weights Std'!$B$9:$BJ$69))+1)</f>
        <v>1.7373700753799338E-2</v>
      </c>
    </row>
    <row r="3216" spans="1:2" x14ac:dyDescent="0.25">
      <c r="A3216" cm="1">
        <f t="array" ref="A3216">INDEX('Portfolio Weights Returns'!$B$9:$BJ$69,
INT((ROW(A3215)-1)/COLUMNS('Portfolio Weights Returns'!$B$9:$BJ$69))+1,MOD(ROW(A3215)-1,COLUMNS('Portfolio Weights Returns'!$B$9:$BJ$69))+1)</f>
        <v>-5.6830719005719903E-4</v>
      </c>
      <c r="B3216" cm="1">
        <f t="array" ref="B3216">INDEX('Portfolio Weights Std'!$B$9:$BJ$69,INT((ROW(A3215)-1)/COLUMNS('Portfolio Weights Std'!$B$9:$BJ$69))+1,MOD(ROW(A3215)-1,COLUMNS('Portfolio Weights Std'!$B$9:$BJ$69))+1)</f>
        <v>1.7292956905879467E-2</v>
      </c>
    </row>
    <row r="3217" spans="1:2" x14ac:dyDescent="0.25">
      <c r="A3217" cm="1">
        <f t="array" ref="A3217">INDEX('Portfolio Weights Returns'!$B$9:$BJ$69,
INT((ROW(A3216)-1)/COLUMNS('Portfolio Weights Returns'!$B$9:$BJ$69))+1,MOD(ROW(A3216)-1,COLUMNS('Portfolio Weights Returns'!$B$9:$BJ$69))+1)</f>
        <v>-5.6152601609051978E-4</v>
      </c>
      <c r="B3217" cm="1">
        <f t="array" ref="B3217">INDEX('Portfolio Weights Std'!$B$9:$BJ$69,INT((ROW(A3216)-1)/COLUMNS('Portfolio Weights Std'!$B$9:$BJ$69))+1,MOD(ROW(A3216)-1,COLUMNS('Portfolio Weights Std'!$B$9:$BJ$69))+1)</f>
        <v>1.7214524247604605E-2</v>
      </c>
    </row>
    <row r="3218" spans="1:2" x14ac:dyDescent="0.25">
      <c r="A3218" cm="1">
        <f t="array" ref="A3218">INDEX('Portfolio Weights Returns'!$B$9:$BJ$69,
INT((ROW(A3217)-1)/COLUMNS('Portfolio Weights Returns'!$B$9:$BJ$69))+1,MOD(ROW(A3217)-1,COLUMNS('Portfolio Weights Returns'!$B$9:$BJ$69))+1)</f>
        <v>-5.5474484212384074E-4</v>
      </c>
      <c r="B3218" cm="1">
        <f t="array" ref="B3218">INDEX('Portfolio Weights Std'!$B$9:$BJ$69,INT((ROW(A3217)-1)/COLUMNS('Portfolio Weights Std'!$B$9:$BJ$69))+1,MOD(ROW(A3217)-1,COLUMNS('Portfolio Weights Std'!$B$9:$BJ$69))+1)</f>
        <v>1.7138434509921124E-2</v>
      </c>
    </row>
    <row r="3219" spans="1:2" x14ac:dyDescent="0.25">
      <c r="A3219" cm="1">
        <f t="array" ref="A3219">INDEX('Portfolio Weights Returns'!$B$9:$BJ$69,
INT((ROW(A3218)-1)/COLUMNS('Portfolio Weights Returns'!$B$9:$BJ$69))+1,MOD(ROW(A3218)-1,COLUMNS('Portfolio Weights Returns'!$B$9:$BJ$69))+1)</f>
        <v>-5.479636681571616E-4</v>
      </c>
      <c r="B3219" cm="1">
        <f t="array" ref="B3219">INDEX('Portfolio Weights Std'!$B$9:$BJ$69,INT((ROW(A3218)-1)/COLUMNS('Portfolio Weights Std'!$B$9:$BJ$69))+1,MOD(ROW(A3218)-1,COLUMNS('Portfolio Weights Std'!$B$9:$BJ$69))+1)</f>
        <v>1.7064719033346835E-2</v>
      </c>
    </row>
    <row r="3220" spans="1:2" x14ac:dyDescent="0.25">
      <c r="A3220" cm="1">
        <f t="array" ref="A3220">INDEX('Portfolio Weights Returns'!$B$9:$BJ$69,
INT((ROW(A3219)-1)/COLUMNS('Portfolio Weights Returns'!$B$9:$BJ$69))+1,MOD(ROW(A3219)-1,COLUMNS('Portfolio Weights Returns'!$B$9:$BJ$69))+1)</f>
        <v>-5.4118249419048245E-4</v>
      </c>
      <c r="B3220" cm="1">
        <f t="array" ref="B3220">INDEX('Portfolio Weights Std'!$B$9:$BJ$69,INT((ROW(A3219)-1)/COLUMNS('Portfolio Weights Std'!$B$9:$BJ$69))+1,MOD(ROW(A3219)-1,COLUMNS('Portfolio Weights Std'!$B$9:$BJ$69))+1)</f>
        <v>1.6993408715734758E-2</v>
      </c>
    </row>
    <row r="3221" spans="1:2" x14ac:dyDescent="0.25">
      <c r="A3221" cm="1">
        <f t="array" ref="A3221">INDEX('Portfolio Weights Returns'!$B$9:$BJ$69,
INT((ROW(A3220)-1)/COLUMNS('Portfolio Weights Returns'!$B$9:$BJ$69))+1,MOD(ROW(A3220)-1,COLUMNS('Portfolio Weights Returns'!$B$9:$BJ$69))+1)</f>
        <v>-5.3440132022380342E-4</v>
      </c>
      <c r="B3221" cm="1">
        <f t="array" ref="B3221">INDEX('Portfolio Weights Std'!$B$9:$BJ$69,INT((ROW(A3220)-1)/COLUMNS('Portfolio Weights Std'!$B$9:$BJ$69))+1,MOD(ROW(A3220)-1,COLUMNS('Portfolio Weights Std'!$B$9:$BJ$69))+1)</f>
        <v>1.6924533959009811E-2</v>
      </c>
    </row>
    <row r="3222" spans="1:2" x14ac:dyDescent="0.25">
      <c r="A3222" cm="1">
        <f t="array" ref="A3222">INDEX('Portfolio Weights Returns'!$B$9:$BJ$69,
INT((ROW(A3221)-1)/COLUMNS('Portfolio Weights Returns'!$B$9:$BJ$69))+1,MOD(ROW(A3221)-1,COLUMNS('Portfolio Weights Returns'!$B$9:$BJ$69))+1)</f>
        <v>-5.2762014625712438E-4</v>
      </c>
      <c r="B3222" cm="1">
        <f t="array" ref="B3222">INDEX('Portfolio Weights Std'!$B$9:$BJ$69,INT((ROW(A3221)-1)/COLUMNS('Portfolio Weights Std'!$B$9:$BJ$69))+1,MOD(ROW(A3221)-1,COLUMNS('Portfolio Weights Std'!$B$9:$BJ$69))+1)</f>
        <v>1.685812461503558E-2</v>
      </c>
    </row>
    <row r="3223" spans="1:2" x14ac:dyDescent="0.25">
      <c r="A3223" cm="1">
        <f t="array" ref="A3223">INDEX('Portfolio Weights Returns'!$B$9:$BJ$69,
INT((ROW(A3222)-1)/COLUMNS('Portfolio Weights Returns'!$B$9:$BJ$69))+1,MOD(ROW(A3222)-1,COLUMNS('Portfolio Weights Returns'!$B$9:$BJ$69))+1)</f>
        <v>-5.2083897229044523E-4</v>
      </c>
      <c r="B3223" cm="1">
        <f t="array" ref="B3223">INDEX('Portfolio Weights Std'!$B$9:$BJ$69,INT((ROW(A3222)-1)/COLUMNS('Portfolio Weights Std'!$B$9:$BJ$69))+1,MOD(ROW(A3222)-1,COLUMNS('Portfolio Weights Std'!$B$9:$BJ$69))+1)</f>
        <v>1.6794209930782296E-2</v>
      </c>
    </row>
    <row r="3224" spans="1:2" x14ac:dyDescent="0.25">
      <c r="A3224" cm="1">
        <f t="array" ref="A3224">INDEX('Portfolio Weights Returns'!$B$9:$BJ$69,
INT((ROW(A3223)-1)/COLUMNS('Portfolio Weights Returns'!$B$9:$BJ$69))+1,MOD(ROW(A3223)-1,COLUMNS('Portfolio Weights Returns'!$B$9:$BJ$69))+1)</f>
        <v>-5.1405779832376609E-4</v>
      </c>
      <c r="B3224" cm="1">
        <f t="array" ref="B3224">INDEX('Portfolio Weights Std'!$B$9:$BJ$69,INT((ROW(A3223)-1)/COLUMNS('Portfolio Weights Std'!$B$9:$BJ$69))+1,MOD(ROW(A3223)-1,COLUMNS('Portfolio Weights Std'!$B$9:$BJ$69))+1)</f>
        <v>1.6732818492980518E-2</v>
      </c>
    </row>
    <row r="3225" spans="1:2" x14ac:dyDescent="0.25">
      <c r="A3225" cm="1">
        <f t="array" ref="A3225">INDEX('Portfolio Weights Returns'!$B$9:$BJ$69,
INT((ROW(A3224)-1)/COLUMNS('Portfolio Weights Returns'!$B$9:$BJ$69))+1,MOD(ROW(A3224)-1,COLUMNS('Portfolio Weights Returns'!$B$9:$BJ$69))+1)</f>
        <v>-5.0727662435708705E-4</v>
      </c>
      <c r="B3225" cm="1">
        <f t="array" ref="B3225">INDEX('Portfolio Weights Std'!$B$9:$BJ$69,INT((ROW(A3224)-1)/COLUMNS('Portfolio Weights Std'!$B$9:$BJ$69))+1,MOD(ROW(A3224)-1,COLUMNS('Portfolio Weights Std'!$B$9:$BJ$69))+1)</f>
        <v>1.6673978172457849E-2</v>
      </c>
    </row>
    <row r="3226" spans="1:2" x14ac:dyDescent="0.25">
      <c r="A3226" cm="1">
        <f t="array" ref="A3226">INDEX('Portfolio Weights Returns'!$B$9:$BJ$69,
INT((ROW(A3225)-1)/COLUMNS('Portfolio Weights Returns'!$B$9:$BJ$69))+1,MOD(ROW(A3225)-1,COLUMNS('Portfolio Weights Returns'!$B$9:$BJ$69))+1)</f>
        <v>-5.0049545039040791E-4</v>
      </c>
      <c r="B3226" cm="1">
        <f t="array" ref="B3226">INDEX('Portfolio Weights Std'!$B$9:$BJ$69,INT((ROW(A3225)-1)/COLUMNS('Portfolio Weights Std'!$B$9:$BJ$69))+1,MOD(ROW(A3225)-1,COLUMNS('Portfolio Weights Std'!$B$9:$BJ$69))+1)</f>
        <v>1.6617716068368021E-2</v>
      </c>
    </row>
    <row r="3227" spans="1:2" x14ac:dyDescent="0.25">
      <c r="A3227" cm="1">
        <f t="array" ref="A3227">INDEX('Portfolio Weights Returns'!$B$9:$BJ$69,
INT((ROW(A3226)-1)/COLUMNS('Portfolio Weights Returns'!$B$9:$BJ$69))+1,MOD(ROW(A3226)-1,COLUMNS('Portfolio Weights Returns'!$B$9:$BJ$69))+1)</f>
        <v>-4.9371427642372877E-4</v>
      </c>
      <c r="B3227" cm="1">
        <f t="array" ref="B3227">INDEX('Portfolio Weights Std'!$B$9:$BJ$69,INT((ROW(A3226)-1)/COLUMNS('Portfolio Weights Std'!$B$9:$BJ$69))+1,MOD(ROW(A3226)-1,COLUMNS('Portfolio Weights Std'!$B$9:$BJ$69))+1)</f>
        <v>1.6564058452532657E-2</v>
      </c>
    </row>
    <row r="3228" spans="1:2" x14ac:dyDescent="0.25">
      <c r="A3228" cm="1">
        <f t="array" ref="A3228">INDEX('Portfolio Weights Returns'!$B$9:$BJ$69,
INT((ROW(A3227)-1)/COLUMNS('Portfolio Weights Returns'!$B$9:$BJ$69))+1,MOD(ROW(A3227)-1,COLUMNS('Portfolio Weights Returns'!$B$9:$BJ$69))+1)</f>
        <v>-4.8693310245704968E-4</v>
      </c>
      <c r="B3228" cm="1">
        <f t="array" ref="B3228">INDEX('Portfolio Weights Std'!$B$9:$BJ$69,INT((ROW(A3227)-1)/COLUMNS('Portfolio Weights Std'!$B$9:$BJ$69))+1,MOD(ROW(A3227)-1,COLUMNS('Portfolio Weights Std'!$B$9:$BJ$69))+1)</f>
        <v>1.651303071412593E-2</v>
      </c>
    </row>
    <row r="3229" spans="1:2" x14ac:dyDescent="0.25">
      <c r="A3229" cm="1">
        <f t="array" ref="A3229">INDEX('Portfolio Weights Returns'!$B$9:$BJ$69,
INT((ROW(A3228)-1)/COLUMNS('Portfolio Weights Returns'!$B$9:$BJ$69))+1,MOD(ROW(A3228)-1,COLUMNS('Portfolio Weights Returns'!$B$9:$BJ$69))+1)</f>
        <v>-4.8015192849037058E-4</v>
      </c>
      <c r="B3229" cm="1">
        <f t="array" ref="B3229">INDEX('Portfolio Weights Std'!$B$9:$BJ$69,INT((ROW(A3228)-1)/COLUMNS('Portfolio Weights Std'!$B$9:$BJ$69))+1,MOD(ROW(A3228)-1,COLUMNS('Portfolio Weights Std'!$B$9:$BJ$69))+1)</f>
        <v>1.6464657304940792E-2</v>
      </c>
    </row>
    <row r="3230" spans="1:2" x14ac:dyDescent="0.25">
      <c r="A3230" cm="1">
        <f t="array" ref="A3230">INDEX('Portfolio Weights Returns'!$B$9:$BJ$69,
INT((ROW(A3229)-1)/COLUMNS('Portfolio Weights Returns'!$B$9:$BJ$69))+1,MOD(ROW(A3229)-1,COLUMNS('Portfolio Weights Returns'!$B$9:$BJ$69))+1)</f>
        <v>-4.7337075452369149E-4</v>
      </c>
      <c r="B3230" cm="1">
        <f t="array" ref="B3230">INDEX('Portfolio Weights Std'!$B$9:$BJ$69,INT((ROW(A3229)-1)/COLUMNS('Portfolio Weights Std'!$B$9:$BJ$69))+1,MOD(ROW(A3229)-1,COLUMNS('Portfolio Weights Std'!$B$9:$BJ$69))+1)</f>
        <v>1.641896168548242E-2</v>
      </c>
    </row>
    <row r="3231" spans="1:2" x14ac:dyDescent="0.25">
      <c r="A3231" cm="1">
        <f t="array" ref="A3231">INDEX('Portfolio Weights Returns'!$B$9:$BJ$69,
INT((ROW(A3230)-1)/COLUMNS('Portfolio Weights Returns'!$B$9:$BJ$69))+1,MOD(ROW(A3230)-1,COLUMNS('Portfolio Weights Returns'!$B$9:$BJ$69))+1)</f>
        <v>-4.665895805570117E-4</v>
      </c>
      <c r="B3231" cm="1">
        <f t="array" ref="B3231">INDEX('Portfolio Weights Std'!$B$9:$BJ$69,INT((ROW(A3230)-1)/COLUMNS('Portfolio Weights Std'!$B$9:$BJ$69))+1,MOD(ROW(A3230)-1,COLUMNS('Portfolio Weights Std'!$B$9:$BJ$69))+1)</f>
        <v>1.6375966272139948E-2</v>
      </c>
    </row>
    <row r="3232" spans="1:2" x14ac:dyDescent="0.25">
      <c r="A3232" cm="1">
        <f t="array" ref="A3232">INDEX('Portfolio Weights Returns'!$B$9:$BJ$69,
INT((ROW(A3231)-1)/COLUMNS('Portfolio Weights Returns'!$B$9:$BJ$69))+1,MOD(ROW(A3231)-1,COLUMNS('Portfolio Weights Returns'!$B$9:$BJ$69))+1)</f>
        <v>-4.5980840659033256E-4</v>
      </c>
      <c r="B3232" cm="1">
        <f t="array" ref="B3232">INDEX('Portfolio Weights Std'!$B$9:$BJ$69,INT((ROW(A3231)-1)/COLUMNS('Portfolio Weights Std'!$B$9:$BJ$69))+1,MOD(ROW(A3231)-1,COLUMNS('Portfolio Weights Std'!$B$9:$BJ$69))+1)</f>
        <v>1.6335692385690812E-2</v>
      </c>
    </row>
    <row r="3233" spans="1:2" x14ac:dyDescent="0.25">
      <c r="A3233" cm="1">
        <f t="array" ref="A3233">INDEX('Portfolio Weights Returns'!$B$9:$BJ$69,
INT((ROW(A3232)-1)/COLUMNS('Portfolio Weights Returns'!$B$9:$BJ$69))+1,MOD(ROW(A3232)-1,COLUMNS('Portfolio Weights Returns'!$B$9:$BJ$69))+1)</f>
        <v>-4.5302723262365357E-4</v>
      </c>
      <c r="B3233" cm="1">
        <f t="array" ref="B3233">INDEX('Portfolio Weights Std'!$B$9:$BJ$69,INT((ROW(A3232)-1)/COLUMNS('Portfolio Weights Std'!$B$9:$BJ$69))+1,MOD(ROW(A3232)-1,COLUMNS('Portfolio Weights Std'!$B$9:$BJ$69))+1)</f>
        <v>1.6298160201393724E-2</v>
      </c>
    </row>
    <row r="3234" spans="1:2" x14ac:dyDescent="0.25">
      <c r="A3234" cm="1">
        <f t="array" ref="A3234">INDEX('Portfolio Weights Returns'!$B$9:$BJ$69,
INT((ROW(A3233)-1)/COLUMNS('Portfolio Weights Returns'!$B$9:$BJ$69))+1,MOD(ROW(A3233)-1,COLUMNS('Portfolio Weights Returns'!$B$9:$BJ$69))+1)</f>
        <v>-4.4624605865697443E-4</v>
      </c>
      <c r="B3234" cm="1">
        <f t="array" ref="B3234">INDEX('Portfolio Weights Std'!$B$9:$BJ$69,INT((ROW(A3233)-1)/COLUMNS('Portfolio Weights Std'!$B$9:$BJ$69))+1,MOD(ROW(A3233)-1,COLUMNS('Portfolio Weights Std'!$B$9:$BJ$69))+1)</f>
        <v>1.6263388700925696E-2</v>
      </c>
    </row>
    <row r="3235" spans="1:2" x14ac:dyDescent="0.25">
      <c r="A3235" cm="1">
        <f t="array" ref="A3235">INDEX('Portfolio Weights Returns'!$B$9:$BJ$69,
INT((ROW(A3234)-1)/COLUMNS('Portfolio Weights Returns'!$B$9:$BJ$69))+1,MOD(ROW(A3234)-1,COLUMNS('Portfolio Weights Returns'!$B$9:$BJ$69))+1)</f>
        <v>-8.4654228881226614E-4</v>
      </c>
      <c r="B3235" cm="1">
        <f t="array" ref="B3235">INDEX('Portfolio Weights Std'!$B$9:$BJ$69,INT((ROW(A3234)-1)/COLUMNS('Portfolio Weights Std'!$B$9:$BJ$69))+1,MOD(ROW(A3234)-1,COLUMNS('Portfolio Weights Std'!$B$9:$BJ$69))+1)</f>
        <v>2.2273984365251055E-2</v>
      </c>
    </row>
    <row r="3236" spans="1:2" x14ac:dyDescent="0.25">
      <c r="A3236" cm="1">
        <f t="array" ref="A3236">INDEX('Portfolio Weights Returns'!$B$9:$BJ$69,
INT((ROW(A3235)-1)/COLUMNS('Portfolio Weights Returns'!$B$9:$BJ$69))+1,MOD(ROW(A3235)-1,COLUMNS('Portfolio Weights Returns'!$B$9:$BJ$69))+1)</f>
        <v>-8.397611148455871E-4</v>
      </c>
      <c r="B3236" cm="1">
        <f t="array" ref="B3236">INDEX('Portfolio Weights Std'!$B$9:$BJ$69,INT((ROW(A3235)-1)/COLUMNS('Portfolio Weights Std'!$B$9:$BJ$69))+1,MOD(ROW(A3235)-1,COLUMNS('Portfolio Weights Std'!$B$9:$BJ$69))+1)</f>
        <v>2.2127146420414835E-2</v>
      </c>
    </row>
    <row r="3237" spans="1:2" x14ac:dyDescent="0.25">
      <c r="A3237" cm="1">
        <f t="array" ref="A3237">INDEX('Portfolio Weights Returns'!$B$9:$BJ$69,
INT((ROW(A3236)-1)/COLUMNS('Portfolio Weights Returns'!$B$9:$BJ$69))+1,MOD(ROW(A3236)-1,COLUMNS('Portfolio Weights Returns'!$B$9:$BJ$69))+1)</f>
        <v>-8.3297994087890796E-4</v>
      </c>
      <c r="B3237" cm="1">
        <f t="array" ref="B3237">INDEX('Portfolio Weights Std'!$B$9:$BJ$69,INT((ROW(A3236)-1)/COLUMNS('Portfolio Weights Std'!$B$9:$BJ$69))+1,MOD(ROW(A3236)-1,COLUMNS('Portfolio Weights Std'!$B$9:$BJ$69))+1)</f>
        <v>2.1981434070010804E-2</v>
      </c>
    </row>
    <row r="3238" spans="1:2" x14ac:dyDescent="0.25">
      <c r="A3238" cm="1">
        <f t="array" ref="A3238">INDEX('Portfolio Weights Returns'!$B$9:$BJ$69,
INT((ROW(A3237)-1)/COLUMNS('Portfolio Weights Returns'!$B$9:$BJ$69))+1,MOD(ROW(A3237)-1,COLUMNS('Portfolio Weights Returns'!$B$9:$BJ$69))+1)</f>
        <v>-8.2619876691222892E-4</v>
      </c>
      <c r="B3238" cm="1">
        <f t="array" ref="B3238">INDEX('Portfolio Weights Std'!$B$9:$BJ$69,INT((ROW(A3237)-1)/COLUMNS('Portfolio Weights Std'!$B$9:$BJ$69))+1,MOD(ROW(A3237)-1,COLUMNS('Portfolio Weights Std'!$B$9:$BJ$69))+1)</f>
        <v>2.1836869846539646E-2</v>
      </c>
    </row>
    <row r="3239" spans="1:2" x14ac:dyDescent="0.25">
      <c r="A3239" cm="1">
        <f t="array" ref="A3239">INDEX('Portfolio Weights Returns'!$B$9:$BJ$69,
INT((ROW(A3238)-1)/COLUMNS('Portfolio Weights Returns'!$B$9:$BJ$69))+1,MOD(ROW(A3238)-1,COLUMNS('Portfolio Weights Returns'!$B$9:$BJ$69))+1)</f>
        <v>-8.1941759294554967E-4</v>
      </c>
      <c r="B3239" cm="1">
        <f t="array" ref="B3239">INDEX('Portfolio Weights Std'!$B$9:$BJ$69,INT((ROW(A3238)-1)/COLUMNS('Portfolio Weights Std'!$B$9:$BJ$69))+1,MOD(ROW(A3238)-1,COLUMNS('Portfolio Weights Std'!$B$9:$BJ$69))+1)</f>
        <v>2.1693476703191647E-2</v>
      </c>
    </row>
    <row r="3240" spans="1:2" x14ac:dyDescent="0.25">
      <c r="A3240" cm="1">
        <f t="array" ref="A3240">INDEX('Portfolio Weights Returns'!$B$9:$BJ$69,
INT((ROW(A3239)-1)/COLUMNS('Portfolio Weights Returns'!$B$9:$BJ$69))+1,MOD(ROW(A3239)-1,COLUMNS('Portfolio Weights Returns'!$B$9:$BJ$69))+1)</f>
        <v>-8.1263641897887052E-4</v>
      </c>
      <c r="B3240" cm="1">
        <f t="array" ref="B3240">INDEX('Portfolio Weights Std'!$B$9:$BJ$69,INT((ROW(A3239)-1)/COLUMNS('Portfolio Weights Std'!$B$9:$BJ$69))+1,MOD(ROW(A3239)-1,COLUMNS('Portfolio Weights Std'!$B$9:$BJ$69))+1)</f>
        <v>2.1551278015603883E-2</v>
      </c>
    </row>
    <row r="3241" spans="1:2" x14ac:dyDescent="0.25">
      <c r="A3241" cm="1">
        <f t="array" ref="A3241">INDEX('Portfolio Weights Returns'!$B$9:$BJ$69,
INT((ROW(A3240)-1)/COLUMNS('Portfolio Weights Returns'!$B$9:$BJ$69))+1,MOD(ROW(A3240)-1,COLUMNS('Portfolio Weights Returns'!$B$9:$BJ$69))+1)</f>
        <v>-8.0585524501219149E-4</v>
      </c>
      <c r="B3241" cm="1">
        <f t="array" ref="B3241">INDEX('Portfolio Weights Std'!$B$9:$BJ$69,INT((ROW(A3240)-1)/COLUMNS('Portfolio Weights Std'!$B$9:$BJ$69))+1,MOD(ROW(A3240)-1,COLUMNS('Portfolio Weights Std'!$B$9:$BJ$69))+1)</f>
        <v>2.1410297583090935E-2</v>
      </c>
    </row>
    <row r="3242" spans="1:2" x14ac:dyDescent="0.25">
      <c r="A3242" cm="1">
        <f t="array" ref="A3242">INDEX('Portfolio Weights Returns'!$B$9:$BJ$69,
INT((ROW(A3241)-1)/COLUMNS('Portfolio Weights Returns'!$B$9:$BJ$69))+1,MOD(ROW(A3241)-1,COLUMNS('Portfolio Weights Returns'!$B$9:$BJ$69))+1)</f>
        <v>-7.9907407104551234E-4</v>
      </c>
      <c r="B3242" cm="1">
        <f t="array" ref="B3242">INDEX('Portfolio Weights Std'!$B$9:$BJ$69,INT((ROW(A3241)-1)/COLUMNS('Portfolio Weights Std'!$B$9:$BJ$69))+1,MOD(ROW(A3241)-1,COLUMNS('Portfolio Weights Std'!$B$9:$BJ$69))+1)</f>
        <v>2.1270559629306744E-2</v>
      </c>
    </row>
    <row r="3243" spans="1:2" x14ac:dyDescent="0.25">
      <c r="A3243" cm="1">
        <f t="array" ref="A3243">INDEX('Portfolio Weights Returns'!$B$9:$BJ$69,
INT((ROW(A3242)-1)/COLUMNS('Portfolio Weights Returns'!$B$9:$BJ$69))+1,MOD(ROW(A3242)-1,COLUMNS('Portfolio Weights Returns'!$B$9:$BJ$69))+1)</f>
        <v>-7.9229289707883331E-4</v>
      </c>
      <c r="B3243" cm="1">
        <f t="array" ref="B3243">INDEX('Portfolio Weights Std'!$B$9:$BJ$69,INT((ROW(A3242)-1)/COLUMNS('Portfolio Weights Std'!$B$9:$BJ$69))+1,MOD(ROW(A3242)-1,COLUMNS('Portfolio Weights Std'!$B$9:$BJ$69))+1)</f>
        <v>2.1132088802293163E-2</v>
      </c>
    </row>
    <row r="3244" spans="1:2" x14ac:dyDescent="0.25">
      <c r="A3244" cm="1">
        <f t="array" ref="A3244">INDEX('Portfolio Weights Returns'!$B$9:$BJ$69,
INT((ROW(A3243)-1)/COLUMNS('Portfolio Weights Returns'!$B$9:$BJ$69))+1,MOD(ROW(A3243)-1,COLUMNS('Portfolio Weights Returns'!$B$9:$BJ$69))+1)</f>
        <v>-7.8551172311215416E-4</v>
      </c>
      <c r="B3244" cm="1">
        <f t="array" ref="B3244">INDEX('Portfolio Weights Std'!$B$9:$BJ$69,INT((ROW(A3243)-1)/COLUMNS('Portfolio Weights Std'!$B$9:$BJ$69))+1,MOD(ROW(A3243)-1,COLUMNS('Portfolio Weights Std'!$B$9:$BJ$69))+1)</f>
        <v>2.0994910173869289E-2</v>
      </c>
    </row>
    <row r="3245" spans="1:2" x14ac:dyDescent="0.25">
      <c r="A3245" cm="1">
        <f t="array" ref="A3245">INDEX('Portfolio Weights Returns'!$B$9:$BJ$69,
INT((ROW(A3244)-1)/COLUMNS('Portfolio Weights Returns'!$B$9:$BJ$69))+1,MOD(ROW(A3244)-1,COLUMNS('Portfolio Weights Returns'!$B$9:$BJ$69))+1)</f>
        <v>-7.7873054914547513E-4</v>
      </c>
      <c r="B3245" cm="1">
        <f t="array" ref="B3245">INDEX('Portfolio Weights Std'!$B$9:$BJ$69,INT((ROW(A3244)-1)/COLUMNS('Portfolio Weights Std'!$B$9:$BJ$69))+1,MOD(ROW(A3244)-1,COLUMNS('Portfolio Weights Std'!$B$9:$BJ$69))+1)</f>
        <v>2.0859049238313866E-2</v>
      </c>
    </row>
    <row r="3246" spans="1:2" x14ac:dyDescent="0.25">
      <c r="A3246" cm="1">
        <f t="array" ref="A3246">INDEX('Portfolio Weights Returns'!$B$9:$BJ$69,
INT((ROW(A3245)-1)/COLUMNS('Portfolio Weights Returns'!$B$9:$BJ$69))+1,MOD(ROW(A3245)-1,COLUMNS('Portfolio Weights Returns'!$B$9:$BJ$69))+1)</f>
        <v>-7.7194937517879587E-4</v>
      </c>
      <c r="B3246" cm="1">
        <f t="array" ref="B3246">INDEX('Portfolio Weights Std'!$B$9:$BJ$69,INT((ROW(A3245)-1)/COLUMNS('Portfolio Weights Std'!$B$9:$BJ$69))+1,MOD(ROW(A3245)-1,COLUMNS('Portfolio Weights Std'!$B$9:$BJ$69))+1)</f>
        <v>2.0724531910291492E-2</v>
      </c>
    </row>
    <row r="3247" spans="1:2" x14ac:dyDescent="0.25">
      <c r="A3247" cm="1">
        <f t="array" ref="A3247">INDEX('Portfolio Weights Returns'!$B$9:$BJ$69,
INT((ROW(A3246)-1)/COLUMNS('Portfolio Weights Returns'!$B$9:$BJ$69))+1,MOD(ROW(A3246)-1,COLUMNS('Portfolio Weights Returns'!$B$9:$BJ$69))+1)</f>
        <v>-7.6516820121211684E-4</v>
      </c>
      <c r="B3247" cm="1">
        <f t="array" ref="B3247">INDEX('Portfolio Weights Std'!$B$9:$BJ$69,INT((ROW(A3246)-1)/COLUMNS('Portfolio Weights Std'!$B$9:$BJ$69))+1,MOD(ROW(A3246)-1,COLUMNS('Portfolio Weights Std'!$B$9:$BJ$69))+1)</f>
        <v>2.0591384521971907E-2</v>
      </c>
    </row>
    <row r="3248" spans="1:2" x14ac:dyDescent="0.25">
      <c r="A3248" cm="1">
        <f t="array" ref="A3248">INDEX('Portfolio Weights Returns'!$B$9:$BJ$69,
INT((ROW(A3247)-1)/COLUMNS('Portfolio Weights Returns'!$B$9:$BJ$69))+1,MOD(ROW(A3247)-1,COLUMNS('Portfolio Weights Returns'!$B$9:$BJ$69))+1)</f>
        <v>-7.5838702724543769E-4</v>
      </c>
      <c r="B3248" cm="1">
        <f t="array" ref="B3248">INDEX('Portfolio Weights Std'!$B$9:$BJ$69,INT((ROW(A3247)-1)/COLUMNS('Portfolio Weights Std'!$B$9:$BJ$69))+1,MOD(ROW(A3247)-1,COLUMNS('Portfolio Weights Std'!$B$9:$BJ$69))+1)</f>
        <v>2.0459633819290217E-2</v>
      </c>
    </row>
    <row r="3249" spans="1:2" x14ac:dyDescent="0.25">
      <c r="A3249" cm="1">
        <f t="array" ref="A3249">INDEX('Portfolio Weights Returns'!$B$9:$BJ$69,
INT((ROW(A3248)-1)/COLUMNS('Portfolio Weights Returns'!$B$9:$BJ$69))+1,MOD(ROW(A3248)-1,COLUMNS('Portfolio Weights Returns'!$B$9:$BJ$69))+1)</f>
        <v>-7.5160585327875866E-4</v>
      </c>
      <c r="B3249" cm="1">
        <f t="array" ref="B3249">INDEX('Portfolio Weights Std'!$B$9:$BJ$69,INT((ROW(A3248)-1)/COLUMNS('Portfolio Weights Std'!$B$9:$BJ$69))+1,MOD(ROW(A3248)-1,COLUMNS('Portfolio Weights Std'!$B$9:$BJ$69))+1)</f>
        <v>2.0329306957294683E-2</v>
      </c>
    </row>
    <row r="3250" spans="1:2" x14ac:dyDescent="0.25">
      <c r="A3250" cm="1">
        <f t="array" ref="A3250">INDEX('Portfolio Weights Returns'!$B$9:$BJ$69,
INT((ROW(A3249)-1)/COLUMNS('Portfolio Weights Returns'!$B$9:$BJ$69))+1,MOD(ROW(A3249)-1,COLUMNS('Portfolio Weights Returns'!$B$9:$BJ$69))+1)</f>
        <v>-7.4482467931207951E-4</v>
      </c>
      <c r="B3250" cm="1">
        <f t="array" ref="B3250">INDEX('Portfolio Weights Std'!$B$9:$BJ$69,INT((ROW(A3249)-1)/COLUMNS('Portfolio Weights Std'!$B$9:$BJ$69))+1,MOD(ROW(A3249)-1,COLUMNS('Portfolio Weights Std'!$B$9:$BJ$69))+1)</f>
        <v>2.0200431494527576E-2</v>
      </c>
    </row>
    <row r="3251" spans="1:2" x14ac:dyDescent="0.25">
      <c r="A3251" cm="1">
        <f t="array" ref="A3251">INDEX('Portfolio Weights Returns'!$B$9:$BJ$69,
INT((ROW(A3250)-1)/COLUMNS('Portfolio Weights Returns'!$B$9:$BJ$69))+1,MOD(ROW(A3250)-1,COLUMNS('Portfolio Weights Returns'!$B$9:$BJ$69))+1)</f>
        <v>-7.3804350534540048E-4</v>
      </c>
      <c r="B3251" cm="1">
        <f t="array" ref="B3251">INDEX('Portfolio Weights Std'!$B$9:$BJ$69,INT((ROW(A3250)-1)/COLUMNS('Portfolio Weights Std'!$B$9:$BJ$69))+1,MOD(ROW(A3250)-1,COLUMNS('Portfolio Weights Std'!$B$9:$BJ$69))+1)</f>
        <v>2.0073035386383883E-2</v>
      </c>
    </row>
    <row r="3252" spans="1:2" x14ac:dyDescent="0.25">
      <c r="A3252" cm="1">
        <f t="array" ref="A3252">INDEX('Portfolio Weights Returns'!$B$9:$BJ$69,
INT((ROW(A3251)-1)/COLUMNS('Portfolio Weights Returns'!$B$9:$BJ$69))+1,MOD(ROW(A3251)-1,COLUMNS('Portfolio Weights Returns'!$B$9:$BJ$69))+1)</f>
        <v>-7.3126233137872133E-4</v>
      </c>
      <c r="B3252" cm="1">
        <f t="array" ref="B3252">INDEX('Portfolio Weights Std'!$B$9:$BJ$69,INT((ROW(A3251)-1)/COLUMNS('Portfolio Weights Std'!$B$9:$BJ$69))+1,MOD(ROW(A3251)-1,COLUMNS('Portfolio Weights Std'!$B$9:$BJ$69))+1)</f>
        <v>1.9947146977391604E-2</v>
      </c>
    </row>
    <row r="3253" spans="1:2" x14ac:dyDescent="0.25">
      <c r="A3253" cm="1">
        <f t="array" ref="A3253">INDEX('Portfolio Weights Returns'!$B$9:$BJ$69,
INT((ROW(A3252)-1)/COLUMNS('Portfolio Weights Returns'!$B$9:$BJ$69))+1,MOD(ROW(A3252)-1,COLUMNS('Portfolio Weights Returns'!$B$9:$BJ$69))+1)</f>
        <v>-7.2448115741204229E-4</v>
      </c>
      <c r="B3253" cm="1">
        <f t="array" ref="B3253">INDEX('Portfolio Weights Std'!$B$9:$BJ$69,INT((ROW(A3252)-1)/COLUMNS('Portfolio Weights Std'!$B$9:$BJ$69))+1,MOD(ROW(A3252)-1,COLUMNS('Portfolio Weights Std'!$B$9:$BJ$69))+1)</f>
        <v>1.9822794992357475E-2</v>
      </c>
    </row>
    <row r="3254" spans="1:2" x14ac:dyDescent="0.25">
      <c r="A3254" cm="1">
        <f t="array" ref="A3254">INDEX('Portfolio Weights Returns'!$B$9:$BJ$69,
INT((ROW(A3253)-1)/COLUMNS('Portfolio Weights Returns'!$B$9:$BJ$69))+1,MOD(ROW(A3253)-1,COLUMNS('Portfolio Weights Returns'!$B$9:$BJ$69))+1)</f>
        <v>-7.1769998344536326E-4</v>
      </c>
      <c r="B3254" cm="1">
        <f t="array" ref="B3254">INDEX('Portfolio Weights Std'!$B$9:$BJ$69,INT((ROW(A3253)-1)/COLUMNS('Portfolio Weights Std'!$B$9:$BJ$69))+1,MOD(ROW(A3253)-1,COLUMNS('Portfolio Weights Std'!$B$9:$BJ$69))+1)</f>
        <v>1.9700008526321203E-2</v>
      </c>
    </row>
    <row r="3255" spans="1:2" x14ac:dyDescent="0.25">
      <c r="A3255" cm="1">
        <f t="array" ref="A3255">INDEX('Portfolio Weights Returns'!$B$9:$BJ$69,
INT((ROW(A3254)-1)/COLUMNS('Portfolio Weights Returns'!$B$9:$BJ$69))+1,MOD(ROW(A3254)-1,COLUMNS('Portfolio Weights Returns'!$B$9:$BJ$69))+1)</f>
        <v>-7.1091880947868411E-4</v>
      </c>
      <c r="B3255" cm="1">
        <f t="array" ref="B3255">INDEX('Portfolio Weights Std'!$B$9:$BJ$69,INT((ROW(A3254)-1)/COLUMNS('Portfolio Weights Std'!$B$9:$BJ$69))+1,MOD(ROW(A3254)-1,COLUMNS('Portfolio Weights Std'!$B$9:$BJ$69))+1)</f>
        <v>1.9578817033261982E-2</v>
      </c>
    </row>
    <row r="3256" spans="1:2" x14ac:dyDescent="0.25">
      <c r="A3256" cm="1">
        <f t="array" ref="A3256">INDEX('Portfolio Weights Returns'!$B$9:$BJ$69,
INT((ROW(A3255)-1)/COLUMNS('Portfolio Weights Returns'!$B$9:$BJ$69))+1,MOD(ROW(A3255)-1,COLUMNS('Portfolio Weights Returns'!$B$9:$BJ$69))+1)</f>
        <v>-7.0413763551200508E-4</v>
      </c>
      <c r="B3256" cm="1">
        <f t="array" ref="B3256">INDEX('Portfolio Weights Std'!$B$9:$BJ$69,INT((ROW(A3255)-1)/COLUMNS('Portfolio Weights Std'!$B$9:$BJ$69))+1,MOD(ROW(A3255)-1,COLUMNS('Portfolio Weights Std'!$B$9:$BJ$69))+1)</f>
        <v>1.9459250313501205E-2</v>
      </c>
    </row>
    <row r="3257" spans="1:2" x14ac:dyDescent="0.25">
      <c r="A3257" cm="1">
        <f t="array" ref="A3257">INDEX('Portfolio Weights Returns'!$B$9:$BJ$69,
INT((ROW(A3256)-1)/COLUMNS('Portfolio Weights Returns'!$B$9:$BJ$69))+1,MOD(ROW(A3256)-1,COLUMNS('Portfolio Weights Returns'!$B$9:$BJ$69))+1)</f>
        <v>-6.9735646154532583E-4</v>
      </c>
      <c r="B3257" cm="1">
        <f t="array" ref="B3257">INDEX('Portfolio Weights Std'!$B$9:$BJ$69,INT((ROW(A3256)-1)/COLUMNS('Portfolio Weights Std'!$B$9:$BJ$69))+1,MOD(ROW(A3256)-1,COLUMNS('Portfolio Weights Std'!$B$9:$BJ$69))+1)</f>
        <v>1.9341338499746341E-2</v>
      </c>
    </row>
    <row r="3258" spans="1:2" x14ac:dyDescent="0.25">
      <c r="A3258" cm="1">
        <f t="array" ref="A3258">INDEX('Portfolio Weights Returns'!$B$9:$BJ$69,
INT((ROW(A3257)-1)/COLUMNS('Portfolio Weights Returns'!$B$9:$BJ$69))+1,MOD(ROW(A3257)-1,COLUMNS('Portfolio Weights Returns'!$B$9:$BJ$69))+1)</f>
        <v>-6.9057528757864679E-4</v>
      </c>
      <c r="B3258" cm="1">
        <f t="array" ref="B3258">INDEX('Portfolio Weights Std'!$B$9:$BJ$69,INT((ROW(A3257)-1)/COLUMNS('Portfolio Weights Std'!$B$9:$BJ$69))+1,MOD(ROW(A3257)-1,COLUMNS('Portfolio Weights Std'!$B$9:$BJ$69))+1)</f>
        <v>1.9225112041722132E-2</v>
      </c>
    </row>
    <row r="3259" spans="1:2" x14ac:dyDescent="0.25">
      <c r="A3259" cm="1">
        <f t="array" ref="A3259">INDEX('Portfolio Weights Returns'!$B$9:$BJ$69,
INT((ROW(A3258)-1)/COLUMNS('Portfolio Weights Returns'!$B$9:$BJ$69))+1,MOD(ROW(A3258)-1,COLUMNS('Portfolio Weights Returns'!$B$9:$BJ$69))+1)</f>
        <v>-6.8379411361196765E-4</v>
      </c>
      <c r="B3259" cm="1">
        <f t="array" ref="B3259">INDEX('Portfolio Weights Std'!$B$9:$BJ$69,INT((ROW(A3258)-1)/COLUMNS('Portfolio Weights Std'!$B$9:$BJ$69))+1,MOD(ROW(A3258)-1,COLUMNS('Portfolio Weights Std'!$B$9:$BJ$69))+1)</f>
        <v>1.9110601689337106E-2</v>
      </c>
    </row>
    <row r="3260" spans="1:2" x14ac:dyDescent="0.25">
      <c r="A3260" cm="1">
        <f t="array" ref="A3260">INDEX('Portfolio Weights Returns'!$B$9:$BJ$69,
INT((ROW(A3259)-1)/COLUMNS('Portfolio Weights Returns'!$B$9:$BJ$69))+1,MOD(ROW(A3259)-1,COLUMNS('Portfolio Weights Returns'!$B$9:$BJ$69))+1)</f>
        <v>-6.770129396452885E-4</v>
      </c>
      <c r="B3260" cm="1">
        <f t="array" ref="B3260">INDEX('Portfolio Weights Std'!$B$9:$BJ$69,INT((ROW(A3259)-1)/COLUMNS('Portfolio Weights Std'!$B$9:$BJ$69))+1,MOD(ROW(A3259)-1,COLUMNS('Portfolio Weights Std'!$B$9:$BJ$69))+1)</f>
        <v>1.8997838474335588E-2</v>
      </c>
    </row>
    <row r="3261" spans="1:2" x14ac:dyDescent="0.25">
      <c r="A3261" cm="1">
        <f t="array" ref="A3261">INDEX('Portfolio Weights Returns'!$B$9:$BJ$69,
INT((ROW(A3260)-1)/COLUMNS('Portfolio Weights Returns'!$B$9:$BJ$69))+1,MOD(ROW(A3260)-1,COLUMNS('Portfolio Weights Returns'!$B$9:$BJ$69))+1)</f>
        <v>-6.7023176567860946E-4</v>
      </c>
      <c r="B3261" cm="1">
        <f t="array" ref="B3261">INDEX('Portfolio Weights Std'!$B$9:$BJ$69,INT((ROW(A3260)-1)/COLUMNS('Portfolio Weights Std'!$B$9:$BJ$69))+1,MOD(ROW(A3260)-1,COLUMNS('Portfolio Weights Std'!$B$9:$BJ$69))+1)</f>
        <v>1.8886853690387992E-2</v>
      </c>
    </row>
    <row r="3262" spans="1:2" x14ac:dyDescent="0.25">
      <c r="A3262" cm="1">
        <f t="array" ref="A3262">INDEX('Portfolio Weights Returns'!$B$9:$BJ$69,
INT((ROW(A3261)-1)/COLUMNS('Portfolio Weights Returns'!$B$9:$BJ$69))+1,MOD(ROW(A3261)-1,COLUMNS('Portfolio Weights Returns'!$B$9:$BJ$69))+1)</f>
        <v>-6.6345059171193032E-4</v>
      </c>
      <c r="B3262" cm="1">
        <f t="array" ref="B3262">INDEX('Portfolio Weights Std'!$B$9:$BJ$69,INT((ROW(A3261)-1)/COLUMNS('Portfolio Weights Std'!$B$9:$BJ$69))+1,MOD(ROW(A3261)-1,COLUMNS('Portfolio Weights Std'!$B$9:$BJ$69))+1)</f>
        <v>1.8777678871575835E-2</v>
      </c>
    </row>
    <row r="3263" spans="1:2" x14ac:dyDescent="0.25">
      <c r="A3263" cm="1">
        <f t="array" ref="A3263">INDEX('Portfolio Weights Returns'!$B$9:$BJ$69,
INT((ROW(A3262)-1)/COLUMNS('Portfolio Weights Returns'!$B$9:$BJ$69))+1,MOD(ROW(A3262)-1,COLUMNS('Portfolio Weights Returns'!$B$9:$BJ$69))+1)</f>
        <v>-6.5666941774525128E-4</v>
      </c>
      <c r="B3263" cm="1">
        <f t="array" ref="B3263">INDEX('Portfolio Weights Std'!$B$9:$BJ$69,INT((ROW(A3262)-1)/COLUMNS('Portfolio Weights Std'!$B$9:$BJ$69))+1,MOD(ROW(A3262)-1,COLUMNS('Portfolio Weights Std'!$B$9:$BJ$69))+1)</f>
        <v>1.8670345769231329E-2</v>
      </c>
    </row>
    <row r="3264" spans="1:2" x14ac:dyDescent="0.25">
      <c r="A3264" cm="1">
        <f t="array" ref="A3264">INDEX('Portfolio Weights Returns'!$B$9:$BJ$69,
INT((ROW(A3263)-1)/COLUMNS('Portfolio Weights Returns'!$B$9:$BJ$69))+1,MOD(ROW(A3263)-1,COLUMNS('Portfolio Weights Returns'!$B$9:$BJ$69))+1)</f>
        <v>-6.4988824377857203E-4</v>
      </c>
      <c r="B3264" cm="1">
        <f t="array" ref="B3264">INDEX('Portfolio Weights Std'!$B$9:$BJ$69,INT((ROW(A3263)-1)/COLUMNS('Portfolio Weights Std'!$B$9:$BJ$69))+1,MOD(ROW(A3263)-1,COLUMNS('Portfolio Weights Std'!$B$9:$BJ$69))+1)</f>
        <v>1.8564886327096349E-2</v>
      </c>
    </row>
    <row r="3265" spans="1:2" x14ac:dyDescent="0.25">
      <c r="A3265" cm="1">
        <f t="array" ref="A3265">INDEX('Portfolio Weights Returns'!$B$9:$BJ$69,
INT((ROW(A3264)-1)/COLUMNS('Portfolio Weights Returns'!$B$9:$BJ$69))+1,MOD(ROW(A3264)-1,COLUMNS('Portfolio Weights Returns'!$B$9:$BJ$69))+1)</f>
        <v>-6.43107069811893E-4</v>
      </c>
      <c r="B3265" cm="1">
        <f t="array" ref="B3265">INDEX('Portfolio Weights Std'!$B$9:$BJ$69,INT((ROW(A3264)-1)/COLUMNS('Portfolio Weights Std'!$B$9:$BJ$69))+1,MOD(ROW(A3264)-1,COLUMNS('Portfolio Weights Std'!$B$9:$BJ$69))+1)</f>
        <v>1.8461332654770343E-2</v>
      </c>
    </row>
    <row r="3266" spans="1:2" x14ac:dyDescent="0.25">
      <c r="A3266" cm="1">
        <f t="array" ref="A3266">INDEX('Portfolio Weights Returns'!$B$9:$BJ$69,
INT((ROW(A3265)-1)/COLUMNS('Portfolio Weights Returns'!$B$9:$BJ$69))+1,MOD(ROW(A3265)-1,COLUMNS('Portfolio Weights Returns'!$B$9:$BJ$69))+1)</f>
        <v>-6.3632589584521385E-4</v>
      </c>
      <c r="B3266" cm="1">
        <f t="array" ref="B3266">INDEX('Portfolio Weights Std'!$B$9:$BJ$69,INT((ROW(A3265)-1)/COLUMNS('Portfolio Weights Std'!$B$9:$BJ$69))+1,MOD(ROW(A3265)-1,COLUMNS('Portfolio Weights Std'!$B$9:$BJ$69))+1)</f>
        <v>1.8359716999422852E-2</v>
      </c>
    </row>
    <row r="3267" spans="1:2" x14ac:dyDescent="0.25">
      <c r="A3267" cm="1">
        <f t="array" ref="A3267">INDEX('Portfolio Weights Returns'!$B$9:$BJ$69,
INT((ROW(A3266)-1)/COLUMNS('Portfolio Weights Returns'!$B$9:$BJ$69))+1,MOD(ROW(A3266)-1,COLUMNS('Portfolio Weights Returns'!$B$9:$BJ$69))+1)</f>
        <v>-6.2954472187853482E-4</v>
      </c>
      <c r="B3267" cm="1">
        <f t="array" ref="B3267">INDEX('Portfolio Weights Std'!$B$9:$BJ$69,INT((ROW(A3266)-1)/COLUMNS('Portfolio Weights Std'!$B$9:$BJ$69))+1,MOD(ROW(A3266)-1,COLUMNS('Portfolio Weights Std'!$B$9:$BJ$69))+1)</f>
        <v>1.8260071715752627E-2</v>
      </c>
    </row>
    <row r="3268" spans="1:2" x14ac:dyDescent="0.25">
      <c r="A3268" cm="1">
        <f t="array" ref="A3268">INDEX('Portfolio Weights Returns'!$B$9:$BJ$69,
INT((ROW(A3267)-1)/COLUMNS('Portfolio Weights Returns'!$B$9:$BJ$69))+1,MOD(ROW(A3267)-1,COLUMNS('Portfolio Weights Returns'!$B$9:$BJ$69))+1)</f>
        <v>-6.2276354791185567E-4</v>
      </c>
      <c r="B3268" cm="1">
        <f t="array" ref="B3268">INDEX('Portfolio Weights Std'!$B$9:$BJ$69,INT((ROW(A3267)-1)/COLUMNS('Portfolio Weights Std'!$B$9:$BJ$69))+1,MOD(ROW(A3267)-1,COLUMNS('Portfolio Weights Std'!$B$9:$BJ$69))+1)</f>
        <v>1.8162429234182511E-2</v>
      </c>
    </row>
    <row r="3269" spans="1:2" x14ac:dyDescent="0.25">
      <c r="A3269" cm="1">
        <f t="array" ref="A3269">INDEX('Portfolio Weights Returns'!$B$9:$BJ$69,
INT((ROW(A3268)-1)/COLUMNS('Portfolio Weights Returns'!$B$9:$BJ$69))+1,MOD(ROW(A3268)-1,COLUMNS('Portfolio Weights Returns'!$B$9:$BJ$69))+1)</f>
        <v>-6.1598237394517663E-4</v>
      </c>
      <c r="B3269" cm="1">
        <f t="array" ref="B3269">INDEX('Portfolio Weights Std'!$B$9:$BJ$69,INT((ROW(A3268)-1)/COLUMNS('Portfolio Weights Std'!$B$9:$BJ$69))+1,MOD(ROW(A3268)-1,COLUMNS('Portfolio Weights Std'!$B$9:$BJ$69))+1)</f>
        <v>1.8066822027287256E-2</v>
      </c>
    </row>
    <row r="3270" spans="1:2" x14ac:dyDescent="0.25">
      <c r="A3270" cm="1">
        <f t="array" ref="A3270">INDEX('Portfolio Weights Returns'!$B$9:$BJ$69,
INT((ROW(A3269)-1)/COLUMNS('Portfolio Weights Returns'!$B$9:$BJ$69))+1,MOD(ROW(A3269)-1,COLUMNS('Portfolio Weights Returns'!$B$9:$BJ$69))+1)</f>
        <v>-6.0920119997849749E-4</v>
      </c>
      <c r="B3270" cm="1">
        <f t="array" ref="B3270">INDEX('Portfolio Weights Std'!$B$9:$BJ$69,INT((ROW(A3269)-1)/COLUMNS('Portfolio Weights Std'!$B$9:$BJ$69))+1,MOD(ROW(A3269)-1,COLUMNS('Portfolio Weights Std'!$B$9:$BJ$69))+1)</f>
        <v>1.7973282574459858E-2</v>
      </c>
    </row>
    <row r="3271" spans="1:2" x14ac:dyDescent="0.25">
      <c r="A3271" cm="1">
        <f t="array" ref="A3271">INDEX('Portfolio Weights Returns'!$B$9:$BJ$69,
INT((ROW(A3270)-1)/COLUMNS('Portfolio Weights Returns'!$B$9:$BJ$69))+1,MOD(ROW(A3270)-1,COLUMNS('Portfolio Weights Returns'!$B$9:$BJ$69))+1)</f>
        <v>-6.0242002601181824E-4</v>
      </c>
      <c r="B3271" cm="1">
        <f t="array" ref="B3271">INDEX('Portfolio Weights Std'!$B$9:$BJ$69,INT((ROW(A3270)-1)/COLUMNS('Portfolio Weights Std'!$B$9:$BJ$69))+1,MOD(ROW(A3270)-1,COLUMNS('Portfolio Weights Std'!$B$9:$BJ$69))+1)</f>
        <v>1.7881843324831441E-2</v>
      </c>
    </row>
    <row r="3272" spans="1:2" x14ac:dyDescent="0.25">
      <c r="A3272" cm="1">
        <f t="array" ref="A3272">INDEX('Portfolio Weights Returns'!$B$9:$BJ$69,
INT((ROW(A3271)-1)/COLUMNS('Portfolio Weights Returns'!$B$9:$BJ$69))+1,MOD(ROW(A3271)-1,COLUMNS('Portfolio Weights Returns'!$B$9:$BJ$69))+1)</f>
        <v>-5.956388520451392E-4</v>
      </c>
      <c r="B3272" cm="1">
        <f t="array" ref="B3272">INDEX('Portfolio Weights Std'!$B$9:$BJ$69,INT((ROW(A3271)-1)/COLUMNS('Portfolio Weights Std'!$B$9:$BJ$69))+1,MOD(ROW(A3271)-1,COLUMNS('Portfolio Weights Std'!$B$9:$BJ$69))+1)</f>
        <v>1.7792536658469499E-2</v>
      </c>
    </row>
    <row r="3273" spans="1:2" x14ac:dyDescent="0.25">
      <c r="A3273" cm="1">
        <f t="array" ref="A3273">INDEX('Portfolio Weights Returns'!$B$9:$BJ$69,
INT((ROW(A3272)-1)/COLUMNS('Portfolio Weights Returns'!$B$9:$BJ$69))+1,MOD(ROW(A3272)-1,COLUMNS('Portfolio Weights Returns'!$B$9:$BJ$69))+1)</f>
        <v>-5.8885767807846017E-4</v>
      </c>
      <c r="B3273" cm="1">
        <f t="array" ref="B3273">INDEX('Portfolio Weights Std'!$B$9:$BJ$69,INT((ROW(A3272)-1)/COLUMNS('Portfolio Weights Std'!$B$9:$BJ$69))+1,MOD(ROW(A3272)-1,COLUMNS('Portfolio Weights Std'!$B$9:$BJ$69))+1)</f>
        <v>1.7705394845890027E-2</v>
      </c>
    </row>
    <row r="3274" spans="1:2" x14ac:dyDescent="0.25">
      <c r="A3274" cm="1">
        <f t="array" ref="A3274">INDEX('Portfolio Weights Returns'!$B$9:$BJ$69,
INT((ROW(A3273)-1)/COLUMNS('Portfolio Weights Returns'!$B$9:$BJ$69))+1,MOD(ROW(A3273)-1,COLUMNS('Portfolio Weights Returns'!$B$9:$BJ$69))+1)</f>
        <v>-5.8207650411178113E-4</v>
      </c>
      <c r="B3274" cm="1">
        <f t="array" ref="B3274">INDEX('Portfolio Weights Std'!$B$9:$BJ$69,INT((ROW(A3273)-1)/COLUMNS('Portfolio Weights Std'!$B$9:$BJ$69))+1,MOD(ROW(A3273)-1,COLUMNS('Portfolio Weights Std'!$B$9:$BJ$69))+1)</f>
        <v>1.7620450005930134E-2</v>
      </c>
    </row>
    <row r="3275" spans="1:2" x14ac:dyDescent="0.25">
      <c r="A3275" cm="1">
        <f t="array" ref="A3275">INDEX('Portfolio Weights Returns'!$B$9:$BJ$69,
INT((ROW(A3274)-1)/COLUMNS('Portfolio Weights Returns'!$B$9:$BJ$69))+1,MOD(ROW(A3274)-1,COLUMNS('Portfolio Weights Returns'!$B$9:$BJ$69))+1)</f>
        <v>-5.7529533014510198E-4</v>
      </c>
      <c r="B3275" cm="1">
        <f t="array" ref="B3275">INDEX('Portfolio Weights Std'!$B$9:$BJ$69,INT((ROW(A3274)-1)/COLUMNS('Portfolio Weights Std'!$B$9:$BJ$69))+1,MOD(ROW(A3274)-1,COLUMNS('Portfolio Weights Std'!$B$9:$BJ$69))+1)</f>
        <v>1.7537734062039581E-2</v>
      </c>
    </row>
    <row r="3276" spans="1:2" x14ac:dyDescent="0.25">
      <c r="A3276" cm="1">
        <f t="array" ref="A3276">INDEX('Portfolio Weights Returns'!$B$9:$BJ$69,
INT((ROW(A3275)-1)/COLUMNS('Portfolio Weights Returns'!$B$9:$BJ$69))+1,MOD(ROW(A3275)-1,COLUMNS('Portfolio Weights Returns'!$B$9:$BJ$69))+1)</f>
        <v>-5.6851415617842295E-4</v>
      </c>
      <c r="B3276" cm="1">
        <f t="array" ref="B3276">INDEX('Portfolio Weights Std'!$B$9:$BJ$69,INT((ROW(A3275)-1)/COLUMNS('Portfolio Weights Std'!$B$9:$BJ$69))+1,MOD(ROW(A3275)-1,COLUMNS('Portfolio Weights Std'!$B$9:$BJ$69))+1)</f>
        <v>1.7457278697061845E-2</v>
      </c>
    </row>
    <row r="3277" spans="1:2" x14ac:dyDescent="0.25">
      <c r="A3277" cm="1">
        <f t="array" ref="A3277">INDEX('Portfolio Weights Returns'!$B$9:$BJ$69,
INT((ROW(A3276)-1)/COLUMNS('Portfolio Weights Returns'!$B$9:$BJ$69))+1,MOD(ROW(A3276)-1,COLUMNS('Portfolio Weights Returns'!$B$9:$BJ$69))+1)</f>
        <v>-5.617329822117437E-4</v>
      </c>
      <c r="B3277" cm="1">
        <f t="array" ref="B3277">INDEX('Portfolio Weights Std'!$B$9:$BJ$69,INT((ROW(A3276)-1)/COLUMNS('Portfolio Weights Std'!$B$9:$BJ$69))+1,MOD(ROW(A3276)-1,COLUMNS('Portfolio Weights Std'!$B$9:$BJ$69))+1)</f>
        <v>1.7379115306587999E-2</v>
      </c>
    </row>
    <row r="3278" spans="1:2" x14ac:dyDescent="0.25">
      <c r="A3278" cm="1">
        <f t="array" ref="A3278">INDEX('Portfolio Weights Returns'!$B$9:$BJ$69,
INT((ROW(A3277)-1)/COLUMNS('Portfolio Weights Returns'!$B$9:$BJ$69))+1,MOD(ROW(A3277)-1,COLUMNS('Portfolio Weights Returns'!$B$9:$BJ$69))+1)</f>
        <v>-5.5495180824506455E-4</v>
      </c>
      <c r="B3278" cm="1">
        <f t="array" ref="B3278">INDEX('Portfolio Weights Std'!$B$9:$BJ$69,INT((ROW(A3277)-1)/COLUMNS('Portfolio Weights Std'!$B$9:$BJ$69))+1,MOD(ROW(A3277)-1,COLUMNS('Portfolio Weights Std'!$B$9:$BJ$69))+1)</f>
        <v>1.7303274950979629E-2</v>
      </c>
    </row>
    <row r="3279" spans="1:2" x14ac:dyDescent="0.25">
      <c r="A3279" cm="1">
        <f t="array" ref="A3279">INDEX('Portfolio Weights Returns'!$B$9:$BJ$69,
INT((ROW(A3278)-1)/COLUMNS('Portfolio Weights Returns'!$B$9:$BJ$69))+1,MOD(ROW(A3278)-1,COLUMNS('Portfolio Weights Returns'!$B$9:$BJ$69))+1)</f>
        <v>-5.4817063427838552E-4</v>
      </c>
      <c r="B3279" cm="1">
        <f t="array" ref="B3279">INDEX('Portfolio Weights Std'!$B$9:$BJ$69,INT((ROW(A3278)-1)/COLUMNS('Portfolio Weights Std'!$B$9:$BJ$69))+1,MOD(ROW(A3278)-1,COLUMNS('Portfolio Weights Std'!$B$9:$BJ$69))+1)</f>
        <v>1.72297883061703E-2</v>
      </c>
    </row>
    <row r="3280" spans="1:2" x14ac:dyDescent="0.25">
      <c r="A3280" cm="1">
        <f t="array" ref="A3280">INDEX('Portfolio Weights Returns'!$B$9:$BJ$69,
INT((ROW(A3279)-1)/COLUMNS('Portfolio Weights Returns'!$B$9:$BJ$69))+1,MOD(ROW(A3279)-1,COLUMNS('Portfolio Weights Returns'!$B$9:$BJ$69))+1)</f>
        <v>-5.4138946031170637E-4</v>
      </c>
      <c r="B3280" cm="1">
        <f t="array" ref="B3280">INDEX('Portfolio Weights Std'!$B$9:$BJ$69,INT((ROW(A3279)-1)/COLUMNS('Portfolio Weights Std'!$B$9:$BJ$69))+1,MOD(ROW(A3279)-1,COLUMNS('Portfolio Weights Std'!$B$9:$BJ$69))+1)</f>
        <v>1.7158685613368307E-2</v>
      </c>
    </row>
    <row r="3281" spans="1:2" x14ac:dyDescent="0.25">
      <c r="A3281" cm="1">
        <f t="array" ref="A3281">INDEX('Portfolio Weights Returns'!$B$9:$BJ$69,
INT((ROW(A3280)-1)/COLUMNS('Portfolio Weights Returns'!$B$9:$BJ$69))+1,MOD(ROW(A3280)-1,COLUMNS('Portfolio Weights Returns'!$B$9:$BJ$69))+1)</f>
        <v>-5.3460828634502734E-4</v>
      </c>
      <c r="B3281" cm="1">
        <f t="array" ref="B3281">INDEX('Portfolio Weights Std'!$B$9:$BJ$69,INT((ROW(A3280)-1)/COLUMNS('Portfolio Weights Std'!$B$9:$BJ$69))+1,MOD(ROW(A3280)-1,COLUMNS('Portfolio Weights Std'!$B$9:$BJ$69))+1)</f>
        <v>1.7089996627796866E-2</v>
      </c>
    </row>
    <row r="3282" spans="1:2" x14ac:dyDescent="0.25">
      <c r="A3282" cm="1">
        <f t="array" ref="A3282">INDEX('Portfolio Weights Returns'!$B$9:$BJ$69,
INT((ROW(A3281)-1)/COLUMNS('Portfolio Weights Returns'!$B$9:$BJ$69))+1,MOD(ROW(A3281)-1,COLUMNS('Portfolio Weights Returns'!$B$9:$BJ$69))+1)</f>
        <v>-5.2782711237834819E-4</v>
      </c>
      <c r="B3282" cm="1">
        <f t="array" ref="B3282">INDEX('Portfolio Weights Std'!$B$9:$BJ$69,INT((ROW(A3281)-1)/COLUMNS('Portfolio Weights Std'!$B$9:$BJ$69))+1,MOD(ROW(A3281)-1,COLUMNS('Portfolio Weights Std'!$B$9:$BJ$69))+1)</f>
        <v>1.7023750566621029E-2</v>
      </c>
    </row>
    <row r="3283" spans="1:2" x14ac:dyDescent="0.25">
      <c r="A3283" cm="1">
        <f t="array" ref="A3283">INDEX('Portfolio Weights Returns'!$B$9:$BJ$69,
INT((ROW(A3282)-1)/COLUMNS('Portfolio Weights Returns'!$B$9:$BJ$69))+1,MOD(ROW(A3282)-1,COLUMNS('Portfolio Weights Returns'!$B$9:$BJ$69))+1)</f>
        <v>-5.2104593841166915E-4</v>
      </c>
      <c r="B3283" cm="1">
        <f t="array" ref="B3283">INDEX('Portfolio Weights Std'!$B$9:$BJ$69,INT((ROW(A3282)-1)/COLUMNS('Portfolio Weights Std'!$B$9:$BJ$69))+1,MOD(ROW(A3282)-1,COLUMNS('Portfolio Weights Std'!$B$9:$BJ$69))+1)</f>
        <v>1.6959976056223586E-2</v>
      </c>
    </row>
    <row r="3284" spans="1:2" x14ac:dyDescent="0.25">
      <c r="A3284" cm="1">
        <f t="array" ref="A3284">INDEX('Portfolio Weights Returns'!$B$9:$BJ$69,
INT((ROW(A3283)-1)/COLUMNS('Portfolio Weights Returns'!$B$9:$BJ$69))+1,MOD(ROW(A3283)-1,COLUMNS('Portfolio Weights Returns'!$B$9:$BJ$69))+1)</f>
        <v>-5.1426476444499001E-4</v>
      </c>
      <c r="B3284" cm="1">
        <f t="array" ref="B3284">INDEX('Portfolio Weights Std'!$B$9:$BJ$69,INT((ROW(A3283)-1)/COLUMNS('Portfolio Weights Std'!$B$9:$BJ$69))+1,MOD(ROW(A3283)-1,COLUMNS('Portfolio Weights Std'!$B$9:$BJ$69))+1)</f>
        <v>1.6898701079004586E-2</v>
      </c>
    </row>
    <row r="3285" spans="1:2" x14ac:dyDescent="0.25">
      <c r="A3285" cm="1">
        <f t="array" ref="A3285">INDEX('Portfolio Weights Returns'!$B$9:$BJ$69,
INT((ROW(A3284)-1)/COLUMNS('Portfolio Weights Returns'!$B$9:$BJ$69))+1,MOD(ROW(A3284)-1,COLUMNS('Portfolio Weights Returns'!$B$9:$BJ$69))+1)</f>
        <v>-5.0748359047831097E-4</v>
      </c>
      <c r="B3285" cm="1">
        <f t="array" ref="B3285">INDEX('Portfolio Weights Std'!$B$9:$BJ$69,INT((ROW(A3284)-1)/COLUMNS('Portfolio Weights Std'!$B$9:$BJ$69))+1,MOD(ROW(A3284)-1,COLUMNS('Portfolio Weights Std'!$B$9:$BJ$69))+1)</f>
        <v>1.6839952919891141E-2</v>
      </c>
    </row>
    <row r="3286" spans="1:2" x14ac:dyDescent="0.25">
      <c r="A3286" cm="1">
        <f t="array" ref="A3286">INDEX('Portfolio Weights Returns'!$B$9:$BJ$69,
INT((ROW(A3285)-1)/COLUMNS('Portfolio Weights Returns'!$B$9:$BJ$69))+1,MOD(ROW(A3285)-1,COLUMNS('Portfolio Weights Returns'!$B$9:$BJ$69))+1)</f>
        <v>-5.0070241651163183E-4</v>
      </c>
      <c r="B3286" cm="1">
        <f t="array" ref="B3286">INDEX('Portfolio Weights Std'!$B$9:$BJ$69,INT((ROW(A3285)-1)/COLUMNS('Portfolio Weights Std'!$B$9:$BJ$69))+1,MOD(ROW(A3285)-1,COLUMNS('Portfolio Weights Std'!$B$9:$BJ$69))+1)</f>
        <v>1.6783758112755183E-2</v>
      </c>
    </row>
    <row r="3287" spans="1:2" x14ac:dyDescent="0.25">
      <c r="A3287" cm="1">
        <f t="array" ref="A3287">INDEX('Portfolio Weights Returns'!$B$9:$BJ$69,
INT((ROW(A3286)-1)/COLUMNS('Portfolio Weights Returns'!$B$9:$BJ$69))+1,MOD(ROW(A3286)-1,COLUMNS('Portfolio Weights Returns'!$B$9:$BJ$69))+1)</f>
        <v>-4.9392124254495269E-4</v>
      </c>
      <c r="B3287" cm="1">
        <f t="array" ref="B3287">INDEX('Portfolio Weights Std'!$B$9:$BJ$69,INT((ROW(A3286)-1)/COLUMNS('Portfolio Weights Std'!$B$9:$BJ$69))+1,MOD(ROW(A3286)-1,COLUMNS('Portfolio Weights Std'!$B$9:$BJ$69))+1)</f>
        <v>1.6730142386947179E-2</v>
      </c>
    </row>
    <row r="3288" spans="1:2" x14ac:dyDescent="0.25">
      <c r="A3288" cm="1">
        <f t="array" ref="A3288">INDEX('Portfolio Weights Returns'!$B$9:$BJ$69,
INT((ROW(A3287)-1)/COLUMNS('Portfolio Weights Returns'!$B$9:$BJ$69))+1,MOD(ROW(A3287)-1,COLUMNS('Portfolio Weights Returns'!$B$9:$BJ$69))+1)</f>
        <v>-4.871400685782736E-4</v>
      </c>
      <c r="B3288" cm="1">
        <f t="array" ref="B3288">INDEX('Portfolio Weights Std'!$B$9:$BJ$69,INT((ROW(A3287)-1)/COLUMNS('Portfolio Weights Std'!$B$9:$BJ$69))+1,MOD(ROW(A3287)-1,COLUMNS('Portfolio Weights Std'!$B$9:$BJ$69))+1)</f>
        <v>1.6679130614162832E-2</v>
      </c>
    </row>
    <row r="3289" spans="1:2" x14ac:dyDescent="0.25">
      <c r="A3289" cm="1">
        <f t="array" ref="A3289">INDEX('Portfolio Weights Returns'!$B$9:$BJ$69,
INT((ROW(A3288)-1)/COLUMNS('Portfolio Weights Returns'!$B$9:$BJ$69))+1,MOD(ROW(A3288)-1,COLUMNS('Portfolio Weights Returns'!$B$9:$BJ$69))+1)</f>
        <v>-4.803588946115945E-4</v>
      </c>
      <c r="B3289" cm="1">
        <f t="array" ref="B3289">INDEX('Portfolio Weights Std'!$B$9:$BJ$69,INT((ROW(A3288)-1)/COLUMNS('Portfolio Weights Std'!$B$9:$BJ$69))+1,MOD(ROW(A3288)-1,COLUMNS('Portfolio Weights Std'!$B$9:$BJ$69))+1)</f>
        <v>1.6630746755867787E-2</v>
      </c>
    </row>
    <row r="3290" spans="1:2" x14ac:dyDescent="0.25">
      <c r="A3290" cm="1">
        <f t="array" ref="A3290">INDEX('Portfolio Weights Returns'!$B$9:$BJ$69,
INT((ROW(A3289)-1)/COLUMNS('Portfolio Weights Returns'!$B$9:$BJ$69))+1,MOD(ROW(A3289)-1,COLUMNS('Portfolio Weights Returns'!$B$9:$BJ$69))+1)</f>
        <v>-4.7357772064491541E-4</v>
      </c>
      <c r="B3290" cm="1">
        <f t="array" ref="B3290">INDEX('Portfolio Weights Std'!$B$9:$BJ$69,INT((ROW(A3289)-1)/COLUMNS('Portfolio Weights Std'!$B$9:$BJ$69))+1,MOD(ROW(A3289)-1,COLUMNS('Portfolio Weights Std'!$B$9:$BJ$69))+1)</f>
        <v>1.6585013811511763E-2</v>
      </c>
    </row>
    <row r="3291" spans="1:2" x14ac:dyDescent="0.25">
      <c r="A3291" cm="1">
        <f t="array" ref="A3291">INDEX('Portfolio Weights Returns'!$B$9:$BJ$69,
INT((ROW(A3290)-1)/COLUMNS('Portfolio Weights Returns'!$B$9:$BJ$69))+1,MOD(ROW(A3290)-1,COLUMNS('Portfolio Weights Returns'!$B$9:$BJ$69))+1)</f>
        <v>-4.6679654667823627E-4</v>
      </c>
      <c r="B3291" cm="1">
        <f t="array" ref="B3291">INDEX('Portfolio Weights Std'!$B$9:$BJ$69,INT((ROW(A3290)-1)/COLUMNS('Portfolio Weights Std'!$B$9:$BJ$69))+1,MOD(ROW(A3290)-1,COLUMNS('Portfolio Weights Std'!$B$9:$BJ$69))+1)</f>
        <v>1.6541953767768514E-2</v>
      </c>
    </row>
    <row r="3292" spans="1:2" x14ac:dyDescent="0.25">
      <c r="A3292" cm="1">
        <f t="array" ref="A3292">INDEX('Portfolio Weights Returns'!$B$9:$BJ$69,
INT((ROW(A3291)-1)/COLUMNS('Portfolio Weights Returns'!$B$9:$BJ$69))+1,MOD(ROW(A3291)-1,COLUMNS('Portfolio Weights Returns'!$B$9:$BJ$69))+1)</f>
        <v>-4.6001537271155648E-4</v>
      </c>
      <c r="B3292" cm="1">
        <f t="array" ref="B3292">INDEX('Portfolio Weights Std'!$B$9:$BJ$69,INT((ROW(A3291)-1)/COLUMNS('Portfolio Weights Std'!$B$9:$BJ$69))+1,MOD(ROW(A3291)-1,COLUMNS('Portfolio Weights Std'!$B$9:$BJ$69))+1)</f>
        <v>1.6501587549041203E-2</v>
      </c>
    </row>
    <row r="3293" spans="1:2" x14ac:dyDescent="0.25">
      <c r="A3293" cm="1">
        <f t="array" ref="A3293">INDEX('Portfolio Weights Returns'!$B$9:$BJ$69,
INT((ROW(A3292)-1)/COLUMNS('Portfolio Weights Returns'!$B$9:$BJ$69))+1,MOD(ROW(A3292)-1,COLUMNS('Portfolio Weights Returns'!$B$9:$BJ$69))+1)</f>
        <v>-4.5323419874487739E-4</v>
      </c>
      <c r="B3293" cm="1">
        <f t="array" ref="B3293">INDEX('Portfolio Weights Std'!$B$9:$BJ$69,INT((ROW(A3292)-1)/COLUMNS('Portfolio Weights Std'!$B$9:$BJ$69))+1,MOD(ROW(A3292)-1,COLUMNS('Portfolio Weights Std'!$B$9:$BJ$69))+1)</f>
        <v>1.6463934969474295E-2</v>
      </c>
    </row>
    <row r="3294" spans="1:2" x14ac:dyDescent="0.25">
      <c r="A3294" cm="1">
        <f t="array" ref="A3294">INDEX('Portfolio Weights Returns'!$B$9:$BJ$69,
INT((ROW(A3293)-1)/COLUMNS('Portfolio Weights Returns'!$B$9:$BJ$69))+1,MOD(ROW(A3293)-1,COLUMNS('Portfolio Weights Returns'!$B$9:$BJ$69))+1)</f>
        <v>-4.4645302477819835E-4</v>
      </c>
      <c r="B3294" cm="1">
        <f t="array" ref="B3294">INDEX('Portfolio Weights Std'!$B$9:$BJ$69,INT((ROW(A3293)-1)/COLUMNS('Portfolio Weights Std'!$B$9:$BJ$69))+1,MOD(ROW(A3293)-1,COLUMNS('Portfolio Weights Std'!$B$9:$BJ$69))+1)</f>
        <v>1.6429014686712391E-2</v>
      </c>
    </row>
    <row r="3295" spans="1:2" x14ac:dyDescent="0.25">
      <c r="A3295" cm="1">
        <f t="array" ref="A3295">INDEX('Portfolio Weights Returns'!$B$9:$BJ$69,
INT((ROW(A3294)-1)/COLUMNS('Portfolio Weights Returns'!$B$9:$BJ$69))+1,MOD(ROW(A3294)-1,COLUMNS('Portfolio Weights Returns'!$B$9:$BJ$69))+1)</f>
        <v>-4.396718508115192E-4</v>
      </c>
      <c r="B3295" cm="1">
        <f t="array" ref="B3295">INDEX('Portfolio Weights Std'!$B$9:$BJ$69,INT((ROW(A3294)-1)/COLUMNS('Portfolio Weights Std'!$B$9:$BJ$69))+1,MOD(ROW(A3294)-1,COLUMNS('Portfolio Weights Std'!$B$9:$BJ$69))+1)</f>
        <v>1.639684415764418E-2</v>
      </c>
    </row>
    <row r="3296" spans="1:2" x14ac:dyDescent="0.25">
      <c r="A3296" cm="1">
        <f t="array" ref="A3296">INDEX('Portfolio Weights Returns'!$B$9:$BJ$69,
INT((ROW(A3295)-1)/COLUMNS('Portfolio Weights Returns'!$B$9:$BJ$69))+1,MOD(ROW(A3295)-1,COLUMNS('Portfolio Weights Returns'!$B$9:$BJ$69))+1)</f>
        <v>-8.3996808096681102E-4</v>
      </c>
      <c r="B3296" cm="1">
        <f t="array" ref="B3296">INDEX('Portfolio Weights Std'!$B$9:$BJ$69,INT((ROW(A3295)-1)/COLUMNS('Portfolio Weights Std'!$B$9:$BJ$69))+1,MOD(ROW(A3295)-1,COLUMNS('Portfolio Weights Std'!$B$9:$BJ$69))+1)</f>
        <v>2.227570100225415E-2</v>
      </c>
    </row>
    <row r="3297" spans="1:2" x14ac:dyDescent="0.25">
      <c r="A3297" cm="1">
        <f t="array" ref="A3297">INDEX('Portfolio Weights Returns'!$B$9:$BJ$69,
INT((ROW(A3296)-1)/COLUMNS('Portfolio Weights Returns'!$B$9:$BJ$69))+1,MOD(ROW(A3296)-1,COLUMNS('Portfolio Weights Returns'!$B$9:$BJ$69))+1)</f>
        <v>-8.3318690700013188E-4</v>
      </c>
      <c r="B3297" cm="1">
        <f t="array" ref="B3297">INDEX('Portfolio Weights Std'!$B$9:$BJ$69,INT((ROW(A3296)-1)/COLUMNS('Portfolio Weights Std'!$B$9:$BJ$69))+1,MOD(ROW(A3296)-1,COLUMNS('Portfolio Weights Std'!$B$9:$BJ$69))+1)</f>
        <v>2.2130595857672034E-2</v>
      </c>
    </row>
    <row r="3298" spans="1:2" x14ac:dyDescent="0.25">
      <c r="A3298" cm="1">
        <f t="array" ref="A3298">INDEX('Portfolio Weights Returns'!$B$9:$BJ$69,
INT((ROW(A3297)-1)/COLUMNS('Portfolio Weights Returns'!$B$9:$BJ$69))+1,MOD(ROW(A3297)-1,COLUMNS('Portfolio Weights Returns'!$B$9:$BJ$69))+1)</f>
        <v>-8.2640573303345284E-4</v>
      </c>
      <c r="B3298" cm="1">
        <f t="array" ref="B3298">INDEX('Portfolio Weights Std'!$B$9:$BJ$69,INT((ROW(A3297)-1)/COLUMNS('Portfolio Weights Std'!$B$9:$BJ$69))+1,MOD(ROW(A3297)-1,COLUMNS('Portfolio Weights Std'!$B$9:$BJ$69))+1)</f>
        <v>2.1986639050708058E-2</v>
      </c>
    </row>
    <row r="3299" spans="1:2" x14ac:dyDescent="0.25">
      <c r="A3299" cm="1">
        <f t="array" ref="A3299">INDEX('Portfolio Weights Returns'!$B$9:$BJ$69,
INT((ROW(A3298)-1)/COLUMNS('Portfolio Weights Returns'!$B$9:$BJ$69))+1,MOD(ROW(A3298)-1,COLUMNS('Portfolio Weights Returns'!$B$9:$BJ$69))+1)</f>
        <v>-8.1962455906677359E-4</v>
      </c>
      <c r="B3299" cm="1">
        <f t="array" ref="B3299">INDEX('Portfolio Weights Std'!$B$9:$BJ$69,INT((ROW(A3298)-1)/COLUMNS('Portfolio Weights Std'!$B$9:$BJ$69))+1,MOD(ROW(A3298)-1,COLUMNS('Portfolio Weights Std'!$B$9:$BJ$69))+1)</f>
        <v>2.1843853284925632E-2</v>
      </c>
    </row>
    <row r="3300" spans="1:2" x14ac:dyDescent="0.25">
      <c r="A3300" cm="1">
        <f t="array" ref="A3300">INDEX('Portfolio Weights Returns'!$B$9:$BJ$69,
INT((ROW(A3299)-1)/COLUMNS('Portfolio Weights Returns'!$B$9:$BJ$69))+1,MOD(ROW(A3299)-1,COLUMNS('Portfolio Weights Returns'!$B$9:$BJ$69))+1)</f>
        <v>-8.1284338510009444E-4</v>
      </c>
      <c r="B3300" cm="1">
        <f t="array" ref="B3300">INDEX('Portfolio Weights Std'!$B$9:$BJ$69,INT((ROW(A3299)-1)/COLUMNS('Portfolio Weights Std'!$B$9:$BJ$69))+1,MOD(ROW(A3299)-1,COLUMNS('Portfolio Weights Std'!$B$9:$BJ$69))+1)</f>
        <v>2.1702261674243037E-2</v>
      </c>
    </row>
    <row r="3301" spans="1:2" x14ac:dyDescent="0.25">
      <c r="A3301" cm="1">
        <f t="array" ref="A3301">INDEX('Portfolio Weights Returns'!$B$9:$BJ$69,
INT((ROW(A3300)-1)/COLUMNS('Portfolio Weights Returns'!$B$9:$BJ$69))+1,MOD(ROW(A3300)-1,COLUMNS('Portfolio Weights Returns'!$B$9:$BJ$69))+1)</f>
        <v>-8.0606221113341541E-4</v>
      </c>
      <c r="B3301" cm="1">
        <f t="array" ref="B3301">INDEX('Portfolio Weights Std'!$B$9:$BJ$69,INT((ROW(A3300)-1)/COLUMNS('Portfolio Weights Std'!$B$9:$BJ$69))+1,MOD(ROW(A3300)-1,COLUMNS('Portfolio Weights Std'!$B$9:$BJ$69))+1)</f>
        <v>2.1561887743841119E-2</v>
      </c>
    </row>
    <row r="3302" spans="1:2" x14ac:dyDescent="0.25">
      <c r="A3302" cm="1">
        <f t="array" ref="A3302">INDEX('Portfolio Weights Returns'!$B$9:$BJ$69,
INT((ROW(A3301)-1)/COLUMNS('Portfolio Weights Returns'!$B$9:$BJ$69))+1,MOD(ROW(A3301)-1,COLUMNS('Portfolio Weights Returns'!$B$9:$BJ$69))+1)</f>
        <v>-7.9928103716673626E-4</v>
      </c>
      <c r="B3302" cm="1">
        <f t="array" ref="B3302">INDEX('Portfolio Weights Std'!$B$9:$BJ$69,INT((ROW(A3301)-1)/COLUMNS('Portfolio Weights Std'!$B$9:$BJ$69))+1,MOD(ROW(A3301)-1,COLUMNS('Portfolio Weights Std'!$B$9:$BJ$69))+1)</f>
        <v>2.142275543050939E-2</v>
      </c>
    </row>
    <row r="3303" spans="1:2" x14ac:dyDescent="0.25">
      <c r="A3303" cm="1">
        <f t="array" ref="A3303">INDEX('Portfolio Weights Returns'!$B$9:$BJ$69,
INT((ROW(A3302)-1)/COLUMNS('Portfolio Weights Returns'!$B$9:$BJ$69))+1,MOD(ROW(A3302)-1,COLUMNS('Portfolio Weights Returns'!$B$9:$BJ$69))+1)</f>
        <v>-7.9249986320005723E-4</v>
      </c>
      <c r="B3303" cm="1">
        <f t="array" ref="B3303">INDEX('Portfolio Weights Std'!$B$9:$BJ$69,INT((ROW(A3302)-1)/COLUMNS('Portfolio Weights Std'!$B$9:$BJ$69))+1,MOD(ROW(A3302)-1,COLUMNS('Portfolio Weights Std'!$B$9:$BJ$69))+1)</f>
        <v>2.1284889082387983E-2</v>
      </c>
    </row>
    <row r="3304" spans="1:2" x14ac:dyDescent="0.25">
      <c r="A3304" cm="1">
        <f t="array" ref="A3304">INDEX('Portfolio Weights Returns'!$B$9:$BJ$69,
INT((ROW(A3303)-1)/COLUMNS('Portfolio Weights Returns'!$B$9:$BJ$69))+1,MOD(ROW(A3303)-1,COLUMNS('Portfolio Weights Returns'!$B$9:$BJ$69))+1)</f>
        <v>-7.8571868923337808E-4</v>
      </c>
      <c r="B3304" cm="1">
        <f t="array" ref="B3304">INDEX('Portfolio Weights Std'!$B$9:$BJ$69,INT((ROW(A3303)-1)/COLUMNS('Portfolio Weights Std'!$B$9:$BJ$69))+1,MOD(ROW(A3303)-1,COLUMNS('Portfolio Weights Std'!$B$9:$BJ$69))+1)</f>
        <v>2.1148313458061486E-2</v>
      </c>
    </row>
    <row r="3305" spans="1:2" x14ac:dyDescent="0.25">
      <c r="A3305" cm="1">
        <f t="array" ref="A3305">INDEX('Portfolio Weights Returns'!$B$9:$BJ$69,
INT((ROW(A3304)-1)/COLUMNS('Portfolio Weights Returns'!$B$9:$BJ$69))+1,MOD(ROW(A3304)-1,COLUMNS('Portfolio Weights Returns'!$B$9:$BJ$69))+1)</f>
        <v>-7.7893751526669905E-4</v>
      </c>
      <c r="B3305" cm="1">
        <f t="array" ref="B3305">INDEX('Portfolio Weights Std'!$B$9:$BJ$69,INT((ROW(A3304)-1)/COLUMNS('Portfolio Weights Std'!$B$9:$BJ$69))+1,MOD(ROW(A3304)-1,COLUMNS('Portfolio Weights Std'!$B$9:$BJ$69))+1)</f>
        <v>2.1013053724959069E-2</v>
      </c>
    </row>
    <row r="3306" spans="1:2" x14ac:dyDescent="0.25">
      <c r="A3306" cm="1">
        <f t="array" ref="A3306">INDEX('Portfolio Weights Returns'!$B$9:$BJ$69,
INT((ROW(A3305)-1)/COLUMNS('Portfolio Weights Returns'!$B$9:$BJ$69))+1,MOD(ROW(A3305)-1,COLUMNS('Portfolio Weights Returns'!$B$9:$BJ$69))+1)</f>
        <v>-7.7215634130001979E-4</v>
      </c>
      <c r="B3306" cm="1">
        <f t="array" ref="B3306">INDEX('Portfolio Weights Std'!$B$9:$BJ$69,INT((ROW(A3305)-1)/COLUMNS('Portfolio Weights Std'!$B$9:$BJ$69))+1,MOD(ROW(A3305)-1,COLUMNS('Portfolio Weights Std'!$B$9:$BJ$69))+1)</f>
        <v>2.0879135457013864E-2</v>
      </c>
    </row>
    <row r="3307" spans="1:2" x14ac:dyDescent="0.25">
      <c r="A3307" cm="1">
        <f t="array" ref="A3307">INDEX('Portfolio Weights Returns'!$B$9:$BJ$69,
INT((ROW(A3306)-1)/COLUMNS('Portfolio Weights Returns'!$B$9:$BJ$69))+1,MOD(ROW(A3306)-1,COLUMNS('Portfolio Weights Returns'!$B$9:$BJ$69))+1)</f>
        <v>-7.6537516733334076E-4</v>
      </c>
      <c r="B3307" cm="1">
        <f t="array" ref="B3307">INDEX('Portfolio Weights Std'!$B$9:$BJ$69,INT((ROW(A3306)-1)/COLUMNS('Portfolio Weights Std'!$B$9:$BJ$69))+1,MOD(ROW(A3306)-1,COLUMNS('Portfolio Weights Std'!$B$9:$BJ$69))+1)</f>
        <v>2.0746584631533376E-2</v>
      </c>
    </row>
    <row r="3308" spans="1:2" x14ac:dyDescent="0.25">
      <c r="A3308" cm="1">
        <f t="array" ref="A3308">INDEX('Portfolio Weights Returns'!$B$9:$BJ$69,
INT((ROW(A3307)-1)/COLUMNS('Portfolio Weights Returns'!$B$9:$BJ$69))+1,MOD(ROW(A3307)-1,COLUMNS('Portfolio Weights Returns'!$B$9:$BJ$69))+1)</f>
        <v>-7.5859399336666161E-4</v>
      </c>
      <c r="B3308" cm="1">
        <f t="array" ref="B3308">INDEX('Portfolio Weights Std'!$B$9:$BJ$69,INT((ROW(A3307)-1)/COLUMNS('Portfolio Weights Std'!$B$9:$BJ$69))+1,MOD(ROW(A3307)-1,COLUMNS('Portfolio Weights Std'!$B$9:$BJ$69))+1)</f>
        <v>2.0615427625231209E-2</v>
      </c>
    </row>
    <row r="3309" spans="1:2" x14ac:dyDescent="0.25">
      <c r="A3309" cm="1">
        <f t="array" ref="A3309">INDEX('Portfolio Weights Returns'!$B$9:$BJ$69,
INT((ROW(A3308)-1)/COLUMNS('Portfolio Weights Returns'!$B$9:$BJ$69))+1,MOD(ROW(A3308)-1,COLUMNS('Portfolio Weights Returns'!$B$9:$BJ$69))+1)</f>
        <v>-7.5181281939998247E-4</v>
      </c>
      <c r="B3309" cm="1">
        <f t="array" ref="B3309">INDEX('Portfolio Weights Std'!$B$9:$BJ$69,INT((ROW(A3308)-1)/COLUMNS('Portfolio Weights Std'!$B$9:$BJ$69))+1,MOD(ROW(A3308)-1,COLUMNS('Portfolio Weights Std'!$B$9:$BJ$69))+1)</f>
        <v>2.048569120936956E-2</v>
      </c>
    </row>
    <row r="3310" spans="1:2" x14ac:dyDescent="0.25">
      <c r="A3310" cm="1">
        <f t="array" ref="A3310">INDEX('Portfolio Weights Returns'!$B$9:$BJ$69,
INT((ROW(A3309)-1)/COLUMNS('Portfolio Weights Returns'!$B$9:$BJ$69))+1,MOD(ROW(A3309)-1,COLUMNS('Portfolio Weights Returns'!$B$9:$BJ$69))+1)</f>
        <v>-7.4503164543330343E-4</v>
      </c>
      <c r="B3310" cm="1">
        <f t="array" ref="B3310">INDEX('Portfolio Weights Std'!$B$9:$BJ$69,INT((ROW(A3309)-1)/COLUMNS('Portfolio Weights Std'!$B$9:$BJ$69))+1,MOD(ROW(A3309)-1,COLUMNS('Portfolio Weights Std'!$B$9:$BJ$69))+1)</f>
        <v>2.0357402543960817E-2</v>
      </c>
    </row>
    <row r="3311" spans="1:2" x14ac:dyDescent="0.25">
      <c r="A3311" cm="1">
        <f t="array" ref="A3311">INDEX('Portfolio Weights Returns'!$B$9:$BJ$69,
INT((ROW(A3310)-1)/COLUMNS('Portfolio Weights Returns'!$B$9:$BJ$69))+1,MOD(ROW(A3310)-1,COLUMNS('Portfolio Weights Returns'!$B$9:$BJ$69))+1)</f>
        <v>-7.3825047146662429E-4</v>
      </c>
      <c r="B3311" cm="1">
        <f t="array" ref="B3311">INDEX('Portfolio Weights Std'!$B$9:$BJ$69,INT((ROW(A3310)-1)/COLUMNS('Portfolio Weights Std'!$B$9:$BJ$69))+1,MOD(ROW(A3310)-1,COLUMNS('Portfolio Weights Std'!$B$9:$BJ$69))+1)</f>
        <v>2.0230589170975952E-2</v>
      </c>
    </row>
    <row r="3312" spans="1:2" x14ac:dyDescent="0.25">
      <c r="A3312" cm="1">
        <f t="array" ref="A3312">INDEX('Portfolio Weights Returns'!$B$9:$BJ$69,
INT((ROW(A3311)-1)/COLUMNS('Portfolio Weights Returns'!$B$9:$BJ$69))+1,MOD(ROW(A3311)-1,COLUMNS('Portfolio Weights Returns'!$B$9:$BJ$69))+1)</f>
        <v>-7.3146929749994536E-4</v>
      </c>
      <c r="B3312" cm="1">
        <f t="array" ref="B3312">INDEX('Portfolio Weights Std'!$B$9:$BJ$69,INT((ROW(A3311)-1)/COLUMNS('Portfolio Weights Std'!$B$9:$BJ$69))+1,MOD(ROW(A3311)-1,COLUMNS('Portfolio Weights Std'!$B$9:$BJ$69))+1)</f>
        <v>2.0105279006506788E-2</v>
      </c>
    </row>
    <row r="3313" spans="1:2" x14ac:dyDescent="0.25">
      <c r="A3313" cm="1">
        <f t="array" ref="A3313">INDEX('Portfolio Weights Returns'!$B$9:$BJ$69,
INT((ROW(A3312)-1)/COLUMNS('Portfolio Weights Returns'!$B$9:$BJ$69))+1,MOD(ROW(A3312)-1,COLUMNS('Portfolio Weights Returns'!$B$9:$BJ$69))+1)</f>
        <v>-7.24688123533266E-4</v>
      </c>
      <c r="B3313" cm="1">
        <f t="array" ref="B3313">INDEX('Portfolio Weights Std'!$B$9:$BJ$69,INT((ROW(A3312)-1)/COLUMNS('Portfolio Weights Std'!$B$9:$BJ$69))+1,MOD(ROW(A3312)-1,COLUMNS('Portfolio Weights Std'!$B$9:$BJ$69))+1)</f>
        <v>1.998150033182897E-2</v>
      </c>
    </row>
    <row r="3314" spans="1:2" x14ac:dyDescent="0.25">
      <c r="A3314" cm="1">
        <f t="array" ref="A3314">INDEX('Portfolio Weights Returns'!$B$9:$BJ$69,
INT((ROW(A3313)-1)/COLUMNS('Portfolio Weights Returns'!$B$9:$BJ$69))+1,MOD(ROW(A3313)-1,COLUMNS('Portfolio Weights Returns'!$B$9:$BJ$69))+1)</f>
        <v>-7.1790694956658718E-4</v>
      </c>
      <c r="B3314" cm="1">
        <f t="array" ref="B3314">INDEX('Portfolio Weights Std'!$B$9:$BJ$69,INT((ROW(A3313)-1)/COLUMNS('Portfolio Weights Std'!$B$9:$BJ$69))+1,MOD(ROW(A3313)-1,COLUMNS('Portfolio Weights Std'!$B$9:$BJ$69))+1)</f>
        <v>1.9859281783312466E-2</v>
      </c>
    </row>
    <row r="3315" spans="1:2" x14ac:dyDescent="0.25">
      <c r="A3315" cm="1">
        <f t="array" ref="A3315">INDEX('Portfolio Weights Returns'!$B$9:$BJ$69,
INT((ROW(A3314)-1)/COLUMNS('Portfolio Weights Returns'!$B$9:$BJ$69))+1,MOD(ROW(A3314)-1,COLUMNS('Portfolio Weights Returns'!$B$9:$BJ$69))+1)</f>
        <v>-7.1112577559990803E-4</v>
      </c>
      <c r="B3315" cm="1">
        <f t="array" ref="B3315">INDEX('Portfolio Weights Std'!$B$9:$BJ$69,INT((ROW(A3314)-1)/COLUMNS('Portfolio Weights Std'!$B$9:$BJ$69))+1,MOD(ROW(A3314)-1,COLUMNS('Portfolio Weights Std'!$B$9:$BJ$69))+1)</f>
        <v>1.9738652341126459E-2</v>
      </c>
    </row>
    <row r="3316" spans="1:2" x14ac:dyDescent="0.25">
      <c r="A3316" cm="1">
        <f t="array" ref="A3316">INDEX('Portfolio Weights Returns'!$B$9:$BJ$69,
INT((ROW(A3315)-1)/COLUMNS('Portfolio Weights Returns'!$B$9:$BJ$69))+1,MOD(ROW(A3315)-1,COLUMNS('Portfolio Weights Returns'!$B$9:$BJ$69))+1)</f>
        <v>-7.04344601633229E-4</v>
      </c>
      <c r="B3316" cm="1">
        <f t="array" ref="B3316">INDEX('Portfolio Weights Std'!$B$9:$BJ$69,INT((ROW(A3315)-1)/COLUMNS('Portfolio Weights Std'!$B$9:$BJ$69))+1,MOD(ROW(A3315)-1,COLUMNS('Portfolio Weights Std'!$B$9:$BJ$69))+1)</f>
        <v>1.9619641316686545E-2</v>
      </c>
    </row>
    <row r="3317" spans="1:2" x14ac:dyDescent="0.25">
      <c r="A3317" cm="1">
        <f t="array" ref="A3317">INDEX('Portfolio Weights Returns'!$B$9:$BJ$69,
INT((ROW(A3316)-1)/COLUMNS('Portfolio Weights Returns'!$B$9:$BJ$69))+1,MOD(ROW(A3316)-1,COLUMNS('Portfolio Weights Returns'!$B$9:$BJ$69))+1)</f>
        <v>-6.9756342766654975E-4</v>
      </c>
      <c r="B3317" cm="1">
        <f t="array" ref="B3317">INDEX('Portfolio Weights Std'!$B$9:$BJ$69,INT((ROW(A3316)-1)/COLUMNS('Portfolio Weights Std'!$B$9:$BJ$69))+1,MOD(ROW(A3316)-1,COLUMNS('Portfolio Weights Std'!$B$9:$BJ$69))+1)</f>
        <v>1.9502278338792534E-2</v>
      </c>
    </row>
    <row r="3318" spans="1:2" x14ac:dyDescent="0.25">
      <c r="A3318" cm="1">
        <f t="array" ref="A3318">INDEX('Portfolio Weights Returns'!$B$9:$BJ$69,
INT((ROW(A3317)-1)/COLUMNS('Portfolio Weights Returns'!$B$9:$BJ$69))+1,MOD(ROW(A3317)-1,COLUMNS('Portfolio Weights Returns'!$B$9:$BJ$69))+1)</f>
        <v>-6.907822536998706E-4</v>
      </c>
      <c r="B3318" cm="1">
        <f t="array" ref="B3318">INDEX('Portfolio Weights Std'!$B$9:$BJ$69,INT((ROW(A3317)-1)/COLUMNS('Portfolio Weights Std'!$B$9:$BJ$69))+1,MOD(ROW(A3317)-1,COLUMNS('Portfolio Weights Std'!$B$9:$BJ$69))+1)</f>
        <v>1.9386593338406956E-2</v>
      </c>
    </row>
    <row r="3319" spans="1:2" x14ac:dyDescent="0.25">
      <c r="A3319" cm="1">
        <f t="array" ref="A3319">INDEX('Portfolio Weights Returns'!$B$9:$BJ$69,
INT((ROW(A3318)-1)/COLUMNS('Portfolio Weights Returns'!$B$9:$BJ$69))+1,MOD(ROW(A3318)-1,COLUMNS('Portfolio Weights Returns'!$B$9:$BJ$69))+1)</f>
        <v>-6.8400107973319157E-4</v>
      </c>
      <c r="B3319" cm="1">
        <f t="array" ref="B3319">INDEX('Portfolio Weights Std'!$B$9:$BJ$69,INT((ROW(A3318)-1)/COLUMNS('Portfolio Weights Std'!$B$9:$BJ$69))+1,MOD(ROW(A3318)-1,COLUMNS('Portfolio Weights Std'!$B$9:$BJ$69))+1)</f>
        <v>1.927261653202594E-2</v>
      </c>
    </row>
    <row r="3320" spans="1:2" x14ac:dyDescent="0.25">
      <c r="A3320" cm="1">
        <f t="array" ref="A3320">INDEX('Portfolio Weights Returns'!$B$9:$BJ$69,
INT((ROW(A3319)-1)/COLUMNS('Portfolio Weights Returns'!$B$9:$BJ$69))+1,MOD(ROW(A3319)-1,COLUMNS('Portfolio Weights Returns'!$B$9:$BJ$69))+1)</f>
        <v>-6.7721990576651242E-4</v>
      </c>
      <c r="B3320" cm="1">
        <f t="array" ref="B3320">INDEX('Portfolio Weights Std'!$B$9:$BJ$69,INT((ROW(A3319)-1)/COLUMNS('Portfolio Weights Std'!$B$9:$BJ$69))+1,MOD(ROW(A3319)-1,COLUMNS('Portfolio Weights Std'!$B$9:$BJ$69))+1)</f>
        <v>1.9160378403596311E-2</v>
      </c>
    </row>
    <row r="3321" spans="1:2" x14ac:dyDescent="0.25">
      <c r="A3321" cm="1">
        <f t="array" ref="A3321">INDEX('Portfolio Weights Returns'!$B$9:$BJ$69,
INT((ROW(A3320)-1)/COLUMNS('Portfolio Weights Returns'!$B$9:$BJ$69))+1,MOD(ROW(A3320)-1,COLUMNS('Portfolio Weights Returns'!$B$9:$BJ$69))+1)</f>
        <v>-6.7043873179983338E-4</v>
      </c>
      <c r="B3321" cm="1">
        <f t="array" ref="B3321">INDEX('Portfolio Weights Std'!$B$9:$BJ$69,INT((ROW(A3320)-1)/COLUMNS('Portfolio Weights Std'!$B$9:$BJ$69))+1,MOD(ROW(A3320)-1,COLUMNS('Portfolio Weights Std'!$B$9:$BJ$69))+1)</f>
        <v>1.9049909684935681E-2</v>
      </c>
    </row>
    <row r="3322" spans="1:2" x14ac:dyDescent="0.25">
      <c r="A3322" cm="1">
        <f t="array" ref="A3322">INDEX('Portfolio Weights Returns'!$B$9:$BJ$69,
INT((ROW(A3321)-1)/COLUMNS('Portfolio Weights Returns'!$B$9:$BJ$69))+1,MOD(ROW(A3321)-1,COLUMNS('Portfolio Weights Returns'!$B$9:$BJ$69))+1)</f>
        <v>-6.6365755783315424E-4</v>
      </c>
      <c r="B3322" cm="1">
        <f t="array" ref="B3322">INDEX('Portfolio Weights Std'!$B$9:$BJ$69,INT((ROW(A3321)-1)/COLUMNS('Portfolio Weights Std'!$B$9:$BJ$69))+1,MOD(ROW(A3321)-1,COLUMNS('Portfolio Weights Std'!$B$9:$BJ$69))+1)</f>
        <v>1.8941241334615288E-2</v>
      </c>
    </row>
    <row r="3323" spans="1:2" x14ac:dyDescent="0.25">
      <c r="A3323" cm="1">
        <f t="array" ref="A3323">INDEX('Portfolio Weights Returns'!$B$9:$BJ$69,
INT((ROW(A3322)-1)/COLUMNS('Portfolio Weights Returns'!$B$9:$BJ$69))+1,MOD(ROW(A3322)-1,COLUMNS('Portfolio Weights Returns'!$B$9:$BJ$69))+1)</f>
        <v>-6.568763838664752E-4</v>
      </c>
      <c r="B3323" cm="1">
        <f t="array" ref="B3323">INDEX('Portfolio Weights Std'!$B$9:$BJ$69,INT((ROW(A3322)-1)/COLUMNS('Portfolio Weights Std'!$B$9:$BJ$69))+1,MOD(ROW(A3322)-1,COLUMNS('Portfolio Weights Std'!$B$9:$BJ$69))+1)</f>
        <v>1.8834404515269309E-2</v>
      </c>
    </row>
    <row r="3324" spans="1:2" x14ac:dyDescent="0.25">
      <c r="A3324" cm="1">
        <f t="array" ref="A3324">INDEX('Portfolio Weights Returns'!$B$9:$BJ$69,
INT((ROW(A3323)-1)/COLUMNS('Portfolio Weights Returns'!$B$9:$BJ$69))+1,MOD(ROW(A3323)-1,COLUMNS('Portfolio Weights Returns'!$B$9:$BJ$69))+1)</f>
        <v>-6.5009520989979595E-4</v>
      </c>
      <c r="B3324" cm="1">
        <f t="array" ref="B3324">INDEX('Portfolio Weights Std'!$B$9:$BJ$69,INT((ROW(A3323)-1)/COLUMNS('Portfolio Weights Std'!$B$9:$BJ$69))+1,MOD(ROW(A3323)-1,COLUMNS('Portfolio Weights Std'!$B$9:$BJ$69))+1)</f>
        <v>1.8729430569298711E-2</v>
      </c>
    </row>
    <row r="3325" spans="1:2" x14ac:dyDescent="0.25">
      <c r="A3325" cm="1">
        <f t="array" ref="A3325">INDEX('Portfolio Weights Returns'!$B$9:$BJ$69,
INT((ROW(A3324)-1)/COLUMNS('Portfolio Weights Returns'!$B$9:$BJ$69))+1,MOD(ROW(A3324)-1,COLUMNS('Portfolio Weights Returns'!$B$9:$BJ$69))+1)</f>
        <v>-6.4331403593311692E-4</v>
      </c>
      <c r="B3325" cm="1">
        <f t="array" ref="B3325">INDEX('Portfolio Weights Std'!$B$9:$BJ$69,INT((ROW(A3324)-1)/COLUMNS('Portfolio Weights Std'!$B$9:$BJ$69))+1,MOD(ROW(A3324)-1,COLUMNS('Portfolio Weights Std'!$B$9:$BJ$69))+1)</f>
        <v>1.8626350992942527E-2</v>
      </c>
    </row>
    <row r="3326" spans="1:2" x14ac:dyDescent="0.25">
      <c r="A3326" cm="1">
        <f t="array" ref="A3326">INDEX('Portfolio Weights Returns'!$B$9:$BJ$69,
INT((ROW(A3325)-1)/COLUMNS('Portfolio Weights Returns'!$B$9:$BJ$69))+1,MOD(ROW(A3325)-1,COLUMNS('Portfolio Weights Returns'!$B$9:$BJ$69))+1)</f>
        <v>-6.3653286196643777E-4</v>
      </c>
      <c r="B3326" cm="1">
        <f t="array" ref="B3326">INDEX('Portfolio Weights Std'!$B$9:$BJ$69,INT((ROW(A3325)-1)/COLUMNS('Portfolio Weights Std'!$B$9:$BJ$69))+1,MOD(ROW(A3325)-1,COLUMNS('Portfolio Weights Std'!$B$9:$BJ$69))+1)</f>
        <v>1.8525197408695196E-2</v>
      </c>
    </row>
    <row r="3327" spans="1:2" x14ac:dyDescent="0.25">
      <c r="A3327" cm="1">
        <f t="array" ref="A3327">INDEX('Portfolio Weights Returns'!$B$9:$BJ$69,
INT((ROW(A3326)-1)/COLUMNS('Portfolio Weights Returns'!$B$9:$BJ$69))+1,MOD(ROW(A3326)-1,COLUMNS('Portfolio Weights Returns'!$B$9:$BJ$69))+1)</f>
        <v>-6.2975168799975874E-4</v>
      </c>
      <c r="B3327" cm="1">
        <f t="array" ref="B3327">INDEX('Portfolio Weights Std'!$B$9:$BJ$69,INT((ROW(A3326)-1)/COLUMNS('Portfolio Weights Std'!$B$9:$BJ$69))+1,MOD(ROW(A3326)-1,COLUMNS('Portfolio Weights Std'!$B$9:$BJ$69))+1)</f>
        <v>1.842600153605467E-2</v>
      </c>
    </row>
    <row r="3328" spans="1:2" x14ac:dyDescent="0.25">
      <c r="A3328" cm="1">
        <f t="array" ref="A3328">INDEX('Portfolio Weights Returns'!$B$9:$BJ$69,
INT((ROW(A3327)-1)/COLUMNS('Portfolio Weights Returns'!$B$9:$BJ$69))+1,MOD(ROW(A3327)-1,COLUMNS('Portfolio Weights Returns'!$B$9:$BJ$69))+1)</f>
        <v>-6.2297051403307959E-4</v>
      </c>
      <c r="B3328" cm="1">
        <f t="array" ref="B3328">INDEX('Portfolio Weights Std'!$B$9:$BJ$69,INT((ROW(A3327)-1)/COLUMNS('Portfolio Weights Std'!$B$9:$BJ$69))+1,MOD(ROW(A3327)-1,COLUMNS('Portfolio Weights Std'!$B$9:$BJ$69))+1)</f>
        <v>1.8328795160592989E-2</v>
      </c>
    </row>
    <row r="3329" spans="1:2" x14ac:dyDescent="0.25">
      <c r="A3329" cm="1">
        <f t="array" ref="A3329">INDEX('Portfolio Weights Returns'!$B$9:$BJ$69,
INT((ROW(A3328)-1)/COLUMNS('Portfolio Weights Returns'!$B$9:$BJ$69))+1,MOD(ROW(A3328)-1,COLUMNS('Portfolio Weights Returns'!$B$9:$BJ$69))+1)</f>
        <v>-6.1618934006640045E-4</v>
      </c>
      <c r="B3329" cm="1">
        <f t="array" ref="B3329">INDEX('Portfolio Weights Std'!$B$9:$BJ$69,INT((ROW(A3328)-1)/COLUMNS('Portfolio Weights Std'!$B$9:$BJ$69))+1,MOD(ROW(A3328)-1,COLUMNS('Portfolio Weights Std'!$B$9:$BJ$69))+1)</f>
        <v>1.8233610101348299E-2</v>
      </c>
    </row>
    <row r="3330" spans="1:2" x14ac:dyDescent="0.25">
      <c r="A3330" cm="1">
        <f t="array" ref="A3330">INDEX('Portfolio Weights Returns'!$B$9:$BJ$69,
INT((ROW(A3329)-1)/COLUMNS('Portfolio Weights Returns'!$B$9:$BJ$69))+1,MOD(ROW(A3329)-1,COLUMNS('Portfolio Weights Returns'!$B$9:$BJ$69))+1)</f>
        <v>-6.0940816609972141E-4</v>
      </c>
      <c r="B3330" cm="1">
        <f t="array" ref="B3330">INDEX('Portfolio Weights Std'!$B$9:$BJ$69,INT((ROW(A3329)-1)/COLUMNS('Portfolio Weights Std'!$B$9:$BJ$69))+1,MOD(ROW(A3329)-1,COLUMNS('Portfolio Weights Std'!$B$9:$BJ$69))+1)</f>
        <v>1.8140478176545693E-2</v>
      </c>
    </row>
    <row r="3331" spans="1:2" x14ac:dyDescent="0.25">
      <c r="A3331" cm="1">
        <f t="array" ref="A3331">INDEX('Portfolio Weights Returns'!$B$9:$BJ$69,
INT((ROW(A3330)-1)/COLUMNS('Portfolio Weights Returns'!$B$9:$BJ$69))+1,MOD(ROW(A3330)-1,COLUMNS('Portfolio Weights Returns'!$B$9:$BJ$69))+1)</f>
        <v>-6.0262699213304216E-4</v>
      </c>
      <c r="B3331" cm="1">
        <f t="array" ref="B3331">INDEX('Portfolio Weights Std'!$B$9:$BJ$69,INT((ROW(A3330)-1)/COLUMNS('Portfolio Weights Std'!$B$9:$BJ$69))+1,MOD(ROW(A3330)-1,COLUMNS('Portfolio Weights Std'!$B$9:$BJ$69))+1)</f>
        <v>1.8049431167662774E-2</v>
      </c>
    </row>
    <row r="3332" spans="1:2" x14ac:dyDescent="0.25">
      <c r="A3332" cm="1">
        <f t="array" ref="A3332">INDEX('Portfolio Weights Returns'!$B$9:$BJ$69,
INT((ROW(A3331)-1)/COLUMNS('Portfolio Weights Returns'!$B$9:$BJ$69))+1,MOD(ROW(A3331)-1,COLUMNS('Portfolio Weights Returns'!$B$9:$BJ$69))+1)</f>
        <v>-5.9584581816636312E-4</v>
      </c>
      <c r="B3332" cm="1">
        <f t="array" ref="B3332">INDEX('Portfolio Weights Std'!$B$9:$BJ$69,INT((ROW(A3331)-1)/COLUMNS('Portfolio Weights Std'!$B$9:$BJ$69))+1,MOD(ROW(A3331)-1,COLUMNS('Portfolio Weights Std'!$B$9:$BJ$69))+1)</f>
        <v>1.7960500781865407E-2</v>
      </c>
    </row>
    <row r="3333" spans="1:2" x14ac:dyDescent="0.25">
      <c r="A3333" cm="1">
        <f t="array" ref="A3333">INDEX('Portfolio Weights Returns'!$B$9:$BJ$69,
INT((ROW(A3332)-1)/COLUMNS('Portfolio Weights Returns'!$B$9:$BJ$69))+1,MOD(ROW(A3332)-1,COLUMNS('Portfolio Weights Returns'!$B$9:$BJ$69))+1)</f>
        <v>-5.8906464419968398E-4</v>
      </c>
      <c r="B3333" cm="1">
        <f t="array" ref="B3333">INDEX('Portfolio Weights Std'!$B$9:$BJ$69,INT((ROW(A3332)-1)/COLUMNS('Portfolio Weights Std'!$B$9:$BJ$69))+1,MOD(ROW(A3332)-1,COLUMNS('Portfolio Weights Std'!$B$9:$BJ$69))+1)</f>
        <v>1.7873718612849018E-2</v>
      </c>
    </row>
    <row r="3334" spans="1:2" x14ac:dyDescent="0.25">
      <c r="A3334" cm="1">
        <f t="array" ref="A3334">INDEX('Portfolio Weights Returns'!$B$9:$BJ$69,
INT((ROW(A3333)-1)/COLUMNS('Portfolio Weights Returns'!$B$9:$BJ$69))+1,MOD(ROW(A3333)-1,COLUMNS('Portfolio Weights Returns'!$B$9:$BJ$69))+1)</f>
        <v>-5.8228347023300505E-4</v>
      </c>
      <c r="B3334" cm="1">
        <f t="array" ref="B3334">INDEX('Portfolio Weights Std'!$B$9:$BJ$69,INT((ROW(A3333)-1)/COLUMNS('Portfolio Weights Std'!$B$9:$BJ$69))+1,MOD(ROW(A3333)-1,COLUMNS('Portfolio Weights Std'!$B$9:$BJ$69))+1)</f>
        <v>1.7789116100131258E-2</v>
      </c>
    </row>
    <row r="3335" spans="1:2" x14ac:dyDescent="0.25">
      <c r="A3335" cm="1">
        <f t="array" ref="A3335">INDEX('Portfolio Weights Returns'!$B$9:$BJ$69,
INT((ROW(A3334)-1)/COLUMNS('Portfolio Weights Returns'!$B$9:$BJ$69))+1,MOD(ROW(A3334)-1,COLUMNS('Portfolio Weights Returns'!$B$9:$BJ$69))+1)</f>
        <v>-5.755022962663259E-4</v>
      </c>
      <c r="B3335" cm="1">
        <f t="array" ref="B3335">INDEX('Portfolio Weights Std'!$B$9:$BJ$69,INT((ROW(A3334)-1)/COLUMNS('Portfolio Weights Std'!$B$9:$BJ$69))+1,MOD(ROW(A3334)-1,COLUMNS('Portfolio Weights Std'!$B$9:$BJ$69))+1)</f>
        <v>1.7706724486852968E-2</v>
      </c>
    </row>
    <row r="3336" spans="1:2" x14ac:dyDescent="0.25">
      <c r="A3336" cm="1">
        <f t="array" ref="A3336">INDEX('Portfolio Weights Returns'!$B$9:$BJ$69,
INT((ROW(A3335)-1)/COLUMNS('Portfolio Weights Returns'!$B$9:$BJ$69))+1,MOD(ROW(A3335)-1,COLUMNS('Portfolio Weights Returns'!$B$9:$BJ$69))+1)</f>
        <v>-5.6872112229964687E-4</v>
      </c>
      <c r="B3336" cm="1">
        <f t="array" ref="B3336">INDEX('Portfolio Weights Std'!$B$9:$BJ$69,INT((ROW(A3335)-1)/COLUMNS('Portfolio Weights Std'!$B$9:$BJ$69))+1,MOD(ROW(A3335)-1,COLUMNS('Portfolio Weights Std'!$B$9:$BJ$69))+1)</f>
        <v>1.7626574776155854E-2</v>
      </c>
    </row>
    <row r="3337" spans="1:2" x14ac:dyDescent="0.25">
      <c r="A3337" cm="1">
        <f t="array" ref="A3337">INDEX('Portfolio Weights Returns'!$B$9:$BJ$69,
INT((ROW(A3336)-1)/COLUMNS('Portfolio Weights Returns'!$B$9:$BJ$69))+1,MOD(ROW(A3336)-1,COLUMNS('Portfolio Weights Returns'!$B$9:$BJ$69))+1)</f>
        <v>-5.6193994833296762E-4</v>
      </c>
      <c r="B3337" cm="1">
        <f t="array" ref="B3337">INDEX('Portfolio Weights Std'!$B$9:$BJ$69,INT((ROW(A3336)-1)/COLUMNS('Portfolio Weights Std'!$B$9:$BJ$69))+1,MOD(ROW(A3336)-1,COLUMNS('Portfolio Weights Std'!$B$9:$BJ$69))+1)</f>
        <v>1.7548697686216922E-2</v>
      </c>
    </row>
    <row r="3338" spans="1:2" x14ac:dyDescent="0.25">
      <c r="A3338" cm="1">
        <f t="array" ref="A3338">INDEX('Portfolio Weights Returns'!$B$9:$BJ$69,
INT((ROW(A3337)-1)/COLUMNS('Portfolio Weights Returns'!$B$9:$BJ$69))+1,MOD(ROW(A3337)-1,COLUMNS('Portfolio Weights Returns'!$B$9:$BJ$69))+1)</f>
        <v>-5.5515877436628847E-4</v>
      </c>
      <c r="B3338" cm="1">
        <f t="array" ref="B3338">INDEX('Portfolio Weights Std'!$B$9:$BJ$69,INT((ROW(A3337)-1)/COLUMNS('Portfolio Weights Std'!$B$9:$BJ$69))+1,MOD(ROW(A3337)-1,COLUMNS('Portfolio Weights Std'!$B$9:$BJ$69))+1)</f>
        <v>1.7473123604032061E-2</v>
      </c>
    </row>
    <row r="3339" spans="1:2" x14ac:dyDescent="0.25">
      <c r="A3339" cm="1">
        <f t="array" ref="A3339">INDEX('Portfolio Weights Returns'!$B$9:$BJ$69,
INT((ROW(A3338)-1)/COLUMNS('Portfolio Weights Returns'!$B$9:$BJ$69))+1,MOD(ROW(A3338)-1,COLUMNS('Portfolio Weights Returns'!$B$9:$BJ$69))+1)</f>
        <v>-5.4837760039960944E-4</v>
      </c>
      <c r="B3339" cm="1">
        <f t="array" ref="B3339">INDEX('Portfolio Weights Std'!$B$9:$BJ$69,INT((ROW(A3338)-1)/COLUMNS('Portfolio Weights Std'!$B$9:$BJ$69))+1,MOD(ROW(A3338)-1,COLUMNS('Portfolio Weights Std'!$B$9:$BJ$69))+1)</f>
        <v>1.7399882538053395E-2</v>
      </c>
    </row>
    <row r="3340" spans="1:2" x14ac:dyDescent="0.25">
      <c r="A3340" cm="1">
        <f t="array" ref="A3340">INDEX('Portfolio Weights Returns'!$B$9:$BJ$69,
INT((ROW(A3339)-1)/COLUMNS('Portfolio Weights Returns'!$B$9:$BJ$69))+1,MOD(ROW(A3339)-1,COLUMNS('Portfolio Weights Returns'!$B$9:$BJ$69))+1)</f>
        <v>-5.4159642643293029E-4</v>
      </c>
      <c r="B3340" cm="1">
        <f t="array" ref="B3340">INDEX('Portfolio Weights Std'!$B$9:$BJ$69,INT((ROW(A3339)-1)/COLUMNS('Portfolio Weights Std'!$B$9:$BJ$69))+1,MOD(ROW(A3339)-1,COLUMNS('Portfolio Weights Std'!$B$9:$BJ$69))+1)</f>
        <v>1.7329004069797392E-2</v>
      </c>
    </row>
    <row r="3341" spans="1:2" x14ac:dyDescent="0.25">
      <c r="A3341" cm="1">
        <f t="array" ref="A3341">INDEX('Portfolio Weights Returns'!$B$9:$BJ$69,
INT((ROW(A3340)-1)/COLUMNS('Portfolio Weights Returns'!$B$9:$BJ$69))+1,MOD(ROW(A3340)-1,COLUMNS('Portfolio Weights Returns'!$B$9:$BJ$69))+1)</f>
        <v>-5.3481525246625126E-4</v>
      </c>
      <c r="B3341" cm="1">
        <f t="array" ref="B3341">INDEX('Portfolio Weights Std'!$B$9:$BJ$69,INT((ROW(A3340)-1)/COLUMNS('Portfolio Weights Std'!$B$9:$BJ$69))+1,MOD(ROW(A3340)-1,COLUMNS('Portfolio Weights Std'!$B$9:$BJ$69))+1)</f>
        <v>1.7260517304553174E-2</v>
      </c>
    </row>
    <row r="3342" spans="1:2" x14ac:dyDescent="0.25">
      <c r="A3342" cm="1">
        <f t="array" ref="A3342">INDEX('Portfolio Weights Returns'!$B$9:$BJ$69,
INT((ROW(A3341)-1)/COLUMNS('Portfolio Weights Returns'!$B$9:$BJ$69))+1,MOD(ROW(A3341)-1,COLUMNS('Portfolio Weights Returns'!$B$9:$BJ$69))+1)</f>
        <v>-5.2803407849957211E-4</v>
      </c>
      <c r="B3342" cm="1">
        <f t="array" ref="B3342">INDEX('Portfolio Weights Std'!$B$9:$BJ$69,INT((ROW(A3341)-1)/COLUMNS('Portfolio Weights Std'!$B$9:$BJ$69))+1,MOD(ROW(A3341)-1,COLUMNS('Portfolio Weights Std'!$B$9:$BJ$69))+1)</f>
        <v>1.7194450821332752E-2</v>
      </c>
    </row>
    <row r="3343" spans="1:2" x14ac:dyDescent="0.25">
      <c r="A3343" cm="1">
        <f t="array" ref="A3343">INDEX('Portfolio Weights Returns'!$B$9:$BJ$69,
INT((ROW(A3342)-1)/COLUMNS('Portfolio Weights Returns'!$B$9:$BJ$69))+1,MOD(ROW(A3342)-1,COLUMNS('Portfolio Weights Returns'!$B$9:$BJ$69))+1)</f>
        <v>-5.2125290453289297E-4</v>
      </c>
      <c r="B3343" cm="1">
        <f t="array" ref="B3343">INDEX('Portfolio Weights Std'!$B$9:$BJ$69,INT((ROW(A3342)-1)/COLUMNS('Portfolio Weights Std'!$B$9:$BJ$69))+1,MOD(ROW(A3342)-1,COLUMNS('Portfolio Weights Std'!$B$9:$BJ$69))+1)</f>
        <v>1.7130832622216801E-2</v>
      </c>
    </row>
    <row r="3344" spans="1:2" x14ac:dyDescent="0.25">
      <c r="A3344" cm="1">
        <f t="array" ref="A3344">INDEX('Portfolio Weights Returns'!$B$9:$BJ$69,
INT((ROW(A3343)-1)/COLUMNS('Portfolio Weights Returns'!$B$9:$BJ$69))+1,MOD(ROW(A3343)-1,COLUMNS('Portfolio Weights Returns'!$B$9:$BJ$69))+1)</f>
        <v>-5.1447173056621393E-4</v>
      </c>
      <c r="B3344" cm="1">
        <f t="array" ref="B3344">INDEX('Portfolio Weights Std'!$B$9:$BJ$69,INT((ROW(A3343)-1)/COLUMNS('Portfolio Weights Std'!$B$9:$BJ$69))+1,MOD(ROW(A3343)-1,COLUMNS('Portfolio Weights Std'!$B$9:$BJ$69))+1)</f>
        <v>1.7069690081261298E-2</v>
      </c>
    </row>
    <row r="3345" spans="1:2" x14ac:dyDescent="0.25">
      <c r="A3345" cm="1">
        <f t="array" ref="A3345">INDEX('Portfolio Weights Returns'!$B$9:$BJ$69,
INT((ROW(A3344)-1)/COLUMNS('Portfolio Weights Returns'!$B$9:$BJ$69))+1,MOD(ROW(A3344)-1,COLUMNS('Portfolio Weights Returns'!$B$9:$BJ$69))+1)</f>
        <v>-5.0769055659953489E-4</v>
      </c>
      <c r="B3345" cm="1">
        <f t="array" ref="B3345">INDEX('Portfolio Weights Std'!$B$9:$BJ$69,INT((ROW(A3344)-1)/COLUMNS('Portfolio Weights Std'!$B$9:$BJ$69))+1,MOD(ROW(A3344)-1,COLUMNS('Portfolio Weights Std'!$B$9:$BJ$69))+1)</f>
        <v>1.7011049893141193E-2</v>
      </c>
    </row>
    <row r="3346" spans="1:2" x14ac:dyDescent="0.25">
      <c r="A3346" cm="1">
        <f t="array" ref="A3346">INDEX('Portfolio Weights Returns'!$B$9:$BJ$69,
INT((ROW(A3345)-1)/COLUMNS('Portfolio Weights Returns'!$B$9:$BJ$69))+1,MOD(ROW(A3345)-1,COLUMNS('Portfolio Weights Returns'!$B$9:$BJ$69))+1)</f>
        <v>-5.0090938263285575E-4</v>
      </c>
      <c r="B3346" cm="1">
        <f t="array" ref="B3346">INDEX('Portfolio Weights Std'!$B$9:$BJ$69,INT((ROW(A3345)-1)/COLUMNS('Portfolio Weights Std'!$B$9:$BJ$69))+1,MOD(ROW(A3345)-1,COLUMNS('Portfolio Weights Std'!$B$9:$BJ$69))+1)</f>
        <v>1.6954938021717852E-2</v>
      </c>
    </row>
    <row r="3347" spans="1:2" x14ac:dyDescent="0.25">
      <c r="A3347" cm="1">
        <f t="array" ref="A3347">INDEX('Portfolio Weights Returns'!$B$9:$BJ$69,
INT((ROW(A3346)-1)/COLUMNS('Portfolio Weights Returns'!$B$9:$BJ$69))+1,MOD(ROW(A3346)-1,COLUMNS('Portfolio Weights Returns'!$B$9:$BJ$69))+1)</f>
        <v>-4.9412820866617661E-4</v>
      </c>
      <c r="B3347" cm="1">
        <f t="array" ref="B3347">INDEX('Portfolio Weights Std'!$B$9:$BJ$69,INT((ROW(A3346)-1)/COLUMNS('Portfolio Weights Std'!$B$9:$BJ$69))+1,MOD(ROW(A3346)-1,COLUMNS('Portfolio Weights Std'!$B$9:$BJ$69))+1)</f>
        <v>1.6901379648726143E-2</v>
      </c>
    </row>
    <row r="3348" spans="1:2" x14ac:dyDescent="0.25">
      <c r="A3348" cm="1">
        <f t="array" ref="A3348">INDEX('Portfolio Weights Returns'!$B$9:$BJ$69,
INT((ROW(A3347)-1)/COLUMNS('Portfolio Weights Returns'!$B$9:$BJ$69))+1,MOD(ROW(A3347)-1,COLUMNS('Portfolio Weights Returns'!$B$9:$BJ$69))+1)</f>
        <v>-4.8734703469949752E-4</v>
      </c>
      <c r="B3348" cm="1">
        <f t="array" ref="B3348">INDEX('Portfolio Weights Std'!$B$9:$BJ$69,INT((ROW(A3347)-1)/COLUMNS('Portfolio Weights Std'!$B$9:$BJ$69))+1,MOD(ROW(A3347)-1,COLUMNS('Portfolio Weights Std'!$B$9:$BJ$69))+1)</f>
        <v>1.6850399122785811E-2</v>
      </c>
    </row>
    <row r="3349" spans="1:2" x14ac:dyDescent="0.25">
      <c r="A3349" cm="1">
        <f t="array" ref="A3349">INDEX('Portfolio Weights Returns'!$B$9:$BJ$69,
INT((ROW(A3348)-1)/COLUMNS('Portfolio Weights Returns'!$B$9:$BJ$69))+1,MOD(ROW(A3348)-1,COLUMNS('Portfolio Weights Returns'!$B$9:$BJ$69))+1)</f>
        <v>-4.8056586073281842E-4</v>
      </c>
      <c r="B3349" cm="1">
        <f t="array" ref="B3349">INDEX('Portfolio Weights Std'!$B$9:$BJ$69,INT((ROW(A3348)-1)/COLUMNS('Portfolio Weights Std'!$B$9:$BJ$69))+1,MOD(ROW(A3348)-1,COLUMNS('Portfolio Weights Std'!$B$9:$BJ$69))+1)</f>
        <v>1.6802019908948845E-2</v>
      </c>
    </row>
    <row r="3350" spans="1:2" x14ac:dyDescent="0.25">
      <c r="A3350" cm="1">
        <f t="array" ref="A3350">INDEX('Portfolio Weights Returns'!$B$9:$BJ$69,
INT((ROW(A3349)-1)/COLUMNS('Portfolio Weights Returns'!$B$9:$BJ$69))+1,MOD(ROW(A3349)-1,COLUMNS('Portfolio Weights Returns'!$B$9:$BJ$69))+1)</f>
        <v>-4.7378468676613933E-4</v>
      </c>
      <c r="B3350" cm="1">
        <f t="array" ref="B3350">INDEX('Portfolio Weights Std'!$B$9:$BJ$69,INT((ROW(A3349)-1)/COLUMNS('Portfolio Weights Std'!$B$9:$BJ$69))+1,MOD(ROW(A3349)-1,COLUMNS('Portfolio Weights Std'!$B$9:$BJ$69))+1)</f>
        <v>1.6756264539000684E-2</v>
      </c>
    </row>
    <row r="3351" spans="1:2" x14ac:dyDescent="0.25">
      <c r="A3351" cm="1">
        <f t="array" ref="A3351">INDEX('Portfolio Weights Returns'!$B$9:$BJ$69,
INT((ROW(A3350)-1)/COLUMNS('Portfolio Weights Returns'!$B$9:$BJ$69))+1,MOD(ROW(A3350)-1,COLUMNS('Portfolio Weights Returns'!$B$9:$BJ$69))+1)</f>
        <v>-4.6700351279946014E-4</v>
      </c>
      <c r="B3351" cm="1">
        <f t="array" ref="B3351">INDEX('Portfolio Weights Std'!$B$9:$BJ$69,INT((ROW(A3350)-1)/COLUMNS('Portfolio Weights Std'!$B$9:$BJ$69))+1,MOD(ROW(A3350)-1,COLUMNS('Portfolio Weights Std'!$B$9:$BJ$69))+1)</f>
        <v>1.6713154562737583E-2</v>
      </c>
    </row>
    <row r="3352" spans="1:2" x14ac:dyDescent="0.25">
      <c r="A3352" cm="1">
        <f t="array" ref="A3352">INDEX('Portfolio Weights Returns'!$B$9:$BJ$69,
INT((ROW(A3351)-1)/COLUMNS('Portfolio Weights Returns'!$B$9:$BJ$69))+1,MOD(ROW(A3351)-1,COLUMNS('Portfolio Weights Returns'!$B$9:$BJ$69))+1)</f>
        <v>-4.602223388327811E-4</v>
      </c>
      <c r="B3352" cm="1">
        <f t="array" ref="B3352">INDEX('Portfolio Weights Std'!$B$9:$BJ$69,INT((ROW(A3351)-1)/COLUMNS('Portfolio Weights Std'!$B$9:$BJ$69))+1,MOD(ROW(A3351)-1,COLUMNS('Portfolio Weights Std'!$B$9:$BJ$69))+1)</f>
        <v>1.6672710500445522E-2</v>
      </c>
    </row>
    <row r="3353" spans="1:2" x14ac:dyDescent="0.25">
      <c r="A3353" cm="1">
        <f t="array" ref="A3353">INDEX('Portfolio Weights Returns'!$B$9:$BJ$69,
INT((ROW(A3352)-1)/COLUMNS('Portfolio Weights Returns'!$B$9:$BJ$69))+1,MOD(ROW(A3352)-1,COLUMNS('Portfolio Weights Returns'!$B$9:$BJ$69))+1)</f>
        <v>-4.5344116486610131E-4</v>
      </c>
      <c r="B3353" cm="1">
        <f t="array" ref="B3353">INDEX('Portfolio Weights Std'!$B$9:$BJ$69,INT((ROW(A3352)-1)/COLUMNS('Portfolio Weights Std'!$B$9:$BJ$69))+1,MOD(ROW(A3352)-1,COLUMNS('Portfolio Weights Std'!$B$9:$BJ$69))+1)</f>
        <v>1.6634951796807303E-2</v>
      </c>
    </row>
    <row r="3354" spans="1:2" x14ac:dyDescent="0.25">
      <c r="A3354" cm="1">
        <f t="array" ref="A3354">INDEX('Portfolio Weights Returns'!$B$9:$BJ$69,
INT((ROW(A3353)-1)/COLUMNS('Portfolio Weights Returns'!$B$9:$BJ$69))+1,MOD(ROW(A3353)-1,COLUMNS('Portfolio Weights Returns'!$B$9:$BJ$69))+1)</f>
        <v>-4.4665999089942216E-4</v>
      </c>
      <c r="B3354" cm="1">
        <f t="array" ref="B3354">INDEX('Portfolio Weights Std'!$B$9:$BJ$69,INT((ROW(A3353)-1)/COLUMNS('Portfolio Weights Std'!$B$9:$BJ$69))+1,MOD(ROW(A3353)-1,COLUMNS('Portfolio Weights Std'!$B$9:$BJ$69))+1)</f>
        <v>1.6599896776464142E-2</v>
      </c>
    </row>
    <row r="3355" spans="1:2" x14ac:dyDescent="0.25">
      <c r="A3355" cm="1">
        <f t="array" ref="A3355">INDEX('Portfolio Weights Returns'!$B$9:$BJ$69,
INT((ROW(A3354)-1)/COLUMNS('Portfolio Weights Returns'!$B$9:$BJ$69))+1,MOD(ROW(A3354)-1,COLUMNS('Portfolio Weights Returns'!$B$9:$BJ$69))+1)</f>
        <v>-4.3987881693274312E-4</v>
      </c>
      <c r="B3355" cm="1">
        <f t="array" ref="B3355">INDEX('Portfolio Weights Std'!$B$9:$BJ$69,INT((ROW(A3354)-1)/COLUMNS('Portfolio Weights Std'!$B$9:$BJ$69))+1,MOD(ROW(A3354)-1,COLUMNS('Portfolio Weights Std'!$B$9:$BJ$69))+1)</f>
        <v>1.6567562601455674E-2</v>
      </c>
    </row>
    <row r="3356" spans="1:2" x14ac:dyDescent="0.25">
      <c r="A3356" cm="1">
        <f t="array" ref="A3356">INDEX('Portfolio Weights Returns'!$B$9:$BJ$69,
INT((ROW(A3355)-1)/COLUMNS('Portfolio Weights Returns'!$B$9:$BJ$69))+1,MOD(ROW(A3355)-1,COLUMNS('Portfolio Weights Returns'!$B$9:$BJ$69))+1)</f>
        <v>-4.3309764296606403E-4</v>
      </c>
      <c r="B3356" cm="1">
        <f t="array" ref="B3356">INDEX('Portfolio Weights Std'!$B$9:$BJ$69,INT((ROW(A3355)-1)/COLUMNS('Portfolio Weights Std'!$B$9:$BJ$69))+1,MOD(ROW(A3355)-1,COLUMNS('Portfolio Weights Std'!$B$9:$BJ$69))+1)</f>
        <v>1.6537965230758189E-2</v>
      </c>
    </row>
    <row r="3357" spans="1:2" x14ac:dyDescent="0.25">
      <c r="A3357" cm="1">
        <f t="array" ref="A3357">INDEX('Portfolio Weights Returns'!$B$9:$BJ$69,
INT((ROW(A3356)-1)/COLUMNS('Portfolio Weights Returns'!$B$9:$BJ$69))+1,MOD(ROW(A3356)-1,COLUMNS('Portfolio Weights Returns'!$B$9:$BJ$69))+1)</f>
        <v>-8.333938731213558E-4</v>
      </c>
      <c r="B3357" cm="1">
        <f t="array" ref="B3357">INDEX('Portfolio Weights Std'!$B$9:$BJ$69,INT((ROW(A3356)-1)/COLUMNS('Portfolio Weights Std'!$B$9:$BJ$69))+1,MOD(ROW(A3356)-1,COLUMNS('Portfolio Weights Std'!$B$9:$BJ$69))+1)</f>
        <v>2.2283905405723409E-2</v>
      </c>
    </row>
    <row r="3358" spans="1:2" x14ac:dyDescent="0.25">
      <c r="A3358" cm="1">
        <f t="array" ref="A3358">INDEX('Portfolio Weights Returns'!$B$9:$BJ$69,
INT((ROW(A3357)-1)/COLUMNS('Portfolio Weights Returns'!$B$9:$BJ$69))+1,MOD(ROW(A3357)-1,COLUMNS('Portfolio Weights Returns'!$B$9:$BJ$69))+1)</f>
        <v>-8.2661269915467665E-4</v>
      </c>
      <c r="B3358" cm="1">
        <f t="array" ref="B3358">INDEX('Portfolio Weights Std'!$B$9:$BJ$69,INT((ROW(A3357)-1)/COLUMNS('Portfolio Weights Std'!$B$9:$BJ$69))+1,MOD(ROW(A3357)-1,COLUMNS('Portfolio Weights Std'!$B$9:$BJ$69))+1)</f>
        <v>2.2140574668959436E-2</v>
      </c>
    </row>
    <row r="3359" spans="1:2" x14ac:dyDescent="0.25">
      <c r="A3359" cm="1">
        <f t="array" ref="A3359">INDEX('Portfolio Weights Returns'!$B$9:$BJ$69,
INT((ROW(A3358)-1)/COLUMNS('Portfolio Weights Returns'!$B$9:$BJ$69))+1,MOD(ROW(A3358)-1,COLUMNS('Portfolio Weights Returns'!$B$9:$BJ$69))+1)</f>
        <v>-8.1983152518799751E-4</v>
      </c>
      <c r="B3359" cm="1">
        <f t="array" ref="B3359">INDEX('Portfolio Weights Std'!$B$9:$BJ$69,INT((ROW(A3358)-1)/COLUMNS('Portfolio Weights Std'!$B$9:$BJ$69))+1,MOD(ROW(A3358)-1,COLUMNS('Portfolio Weights Std'!$B$9:$BJ$69))+1)</f>
        <v>2.1998414921740008E-2</v>
      </c>
    </row>
    <row r="3360" spans="1:2" x14ac:dyDescent="0.25">
      <c r="A3360" cm="1">
        <f t="array" ref="A3360">INDEX('Portfolio Weights Returns'!$B$9:$BJ$69,
INT((ROW(A3359)-1)/COLUMNS('Portfolio Weights Returns'!$B$9:$BJ$69))+1,MOD(ROW(A3359)-1,COLUMNS('Portfolio Weights Returns'!$B$9:$BJ$69))+1)</f>
        <v>-8.1305035122131836E-4</v>
      </c>
      <c r="B3360" cm="1">
        <f t="array" ref="B3360">INDEX('Portfolio Weights Std'!$B$9:$BJ$69,INT((ROW(A3359)-1)/COLUMNS('Portfolio Weights Std'!$B$9:$BJ$69))+1,MOD(ROW(A3359)-1,COLUMNS('Portfolio Weights Std'!$B$9:$BJ$69))+1)</f>
        <v>2.1857449012248082E-2</v>
      </c>
    </row>
    <row r="3361" spans="1:2" x14ac:dyDescent="0.25">
      <c r="A3361" cm="1">
        <f t="array" ref="A3361">INDEX('Portfolio Weights Returns'!$B$9:$BJ$69,
INT((ROW(A3360)-1)/COLUMNS('Portfolio Weights Returns'!$B$9:$BJ$69))+1,MOD(ROW(A3360)-1,COLUMNS('Portfolio Weights Returns'!$B$9:$BJ$69))+1)</f>
        <v>-8.0626917725463933E-4</v>
      </c>
      <c r="B3361" cm="1">
        <f t="array" ref="B3361">INDEX('Portfolio Weights Std'!$B$9:$BJ$69,INT((ROW(A3360)-1)/COLUMNS('Portfolio Weights Std'!$B$9:$BJ$69))+1,MOD(ROW(A3360)-1,COLUMNS('Portfolio Weights Std'!$B$9:$BJ$69))+1)</f>
        <v>2.171770018749089E-2</v>
      </c>
    </row>
    <row r="3362" spans="1:2" x14ac:dyDescent="0.25">
      <c r="A3362" cm="1">
        <f t="array" ref="A3362">INDEX('Portfolio Weights Returns'!$B$9:$BJ$69,
INT((ROW(A3361)-1)/COLUMNS('Portfolio Weights Returns'!$B$9:$BJ$69))+1,MOD(ROW(A3361)-1,COLUMNS('Portfolio Weights Returns'!$B$9:$BJ$69))+1)</f>
        <v>-7.9948800328796018E-4</v>
      </c>
      <c r="B3362" cm="1">
        <f t="array" ref="B3362">INDEX('Portfolio Weights Std'!$B$9:$BJ$69,INT((ROW(A3361)-1)/COLUMNS('Portfolio Weights Std'!$B$9:$BJ$69))+1,MOD(ROW(A3361)-1,COLUMNS('Portfolio Weights Std'!$B$9:$BJ$69))+1)</f>
        <v>2.1579192093338084E-2</v>
      </c>
    </row>
    <row r="3363" spans="1:2" x14ac:dyDescent="0.25">
      <c r="A3363" cm="1">
        <f t="array" ref="A3363">INDEX('Portfolio Weights Returns'!$B$9:$BJ$69,
INT((ROW(A3362)-1)/COLUMNS('Portfolio Weights Returns'!$B$9:$BJ$69))+1,MOD(ROW(A3362)-1,COLUMNS('Portfolio Weights Returns'!$B$9:$BJ$69))+1)</f>
        <v>-7.9270682932128115E-4</v>
      </c>
      <c r="B3363" cm="1">
        <f t="array" ref="B3363">INDEX('Portfolio Weights Std'!$B$9:$BJ$69,INT((ROW(A3362)-1)/COLUMNS('Portfolio Weights Std'!$B$9:$BJ$69))+1,MOD(ROW(A3362)-1,COLUMNS('Portfolio Weights Std'!$B$9:$BJ$69))+1)</f>
        <v>2.1441948773965342E-2</v>
      </c>
    </row>
    <row r="3364" spans="1:2" x14ac:dyDescent="0.25">
      <c r="A3364" cm="1">
        <f t="array" ref="A3364">INDEX('Portfolio Weights Returns'!$B$9:$BJ$69,
INT((ROW(A3363)-1)/COLUMNS('Portfolio Weights Returns'!$B$9:$BJ$69))+1,MOD(ROW(A3363)-1,COLUMNS('Portfolio Weights Returns'!$B$9:$BJ$69))+1)</f>
        <v>-7.85925655354602E-4</v>
      </c>
      <c r="B3364" cm="1">
        <f t="array" ref="B3364">INDEX('Portfolio Weights Std'!$B$9:$BJ$69,INT((ROW(A3363)-1)/COLUMNS('Portfolio Weights Std'!$B$9:$BJ$69))+1,MOD(ROW(A3363)-1,COLUMNS('Portfolio Weights Std'!$B$9:$BJ$69))+1)</f>
        <v>2.1305994670661323E-2</v>
      </c>
    </row>
    <row r="3365" spans="1:2" x14ac:dyDescent="0.25">
      <c r="A3365" cm="1">
        <f t="array" ref="A3365">INDEX('Portfolio Weights Returns'!$B$9:$BJ$69,
INT((ROW(A3364)-1)/COLUMNS('Portfolio Weights Returns'!$B$9:$BJ$69))+1,MOD(ROW(A3364)-1,COLUMNS('Portfolio Weights Returns'!$B$9:$BJ$69))+1)</f>
        <v>-7.7914448138792297E-4</v>
      </c>
      <c r="B3365" cm="1">
        <f t="array" ref="B3365">INDEX('Portfolio Weights Std'!$B$9:$BJ$69,INT((ROW(A3364)-1)/COLUMNS('Portfolio Weights Std'!$B$9:$BJ$69))+1,MOD(ROW(A3364)-1,COLUMNS('Portfolio Weights Std'!$B$9:$BJ$69))+1)</f>
        <v>2.1171354619954518E-2</v>
      </c>
    </row>
    <row r="3366" spans="1:2" x14ac:dyDescent="0.25">
      <c r="A3366" cm="1">
        <f t="array" ref="A3366">INDEX('Portfolio Weights Returns'!$B$9:$BJ$69,
INT((ROW(A3365)-1)/COLUMNS('Portfolio Weights Returns'!$B$9:$BJ$69))+1,MOD(ROW(A3365)-1,COLUMNS('Portfolio Weights Returns'!$B$9:$BJ$69))+1)</f>
        <v>-7.7236330742124371E-4</v>
      </c>
      <c r="B3366" cm="1">
        <f t="array" ref="B3366">INDEX('Portfolio Weights Std'!$B$9:$BJ$69,INT((ROW(A3365)-1)/COLUMNS('Portfolio Weights Std'!$B$9:$BJ$69))+1,MOD(ROW(A3365)-1,COLUMNS('Portfolio Weights Std'!$B$9:$BJ$69))+1)</f>
        <v>2.1038053851015221E-2</v>
      </c>
    </row>
    <row r="3367" spans="1:2" x14ac:dyDescent="0.25">
      <c r="A3367" cm="1">
        <f t="array" ref="A3367">INDEX('Portfolio Weights Returns'!$B$9:$BJ$69,
INT((ROW(A3366)-1)/COLUMNS('Portfolio Weights Returns'!$B$9:$BJ$69))+1,MOD(ROW(A3366)-1,COLUMNS('Portfolio Weights Returns'!$B$9:$BJ$69))+1)</f>
        <v>-7.6558213345456457E-4</v>
      </c>
      <c r="B3367" cm="1">
        <f t="array" ref="B3367">INDEX('Portfolio Weights Std'!$B$9:$BJ$69,INT((ROW(A3366)-1)/COLUMNS('Portfolio Weights Std'!$B$9:$BJ$69))+1,MOD(ROW(A3366)-1,COLUMNS('Portfolio Weights Std'!$B$9:$BJ$69))+1)</f>
        <v>2.0906117982286643E-2</v>
      </c>
    </row>
    <row r="3368" spans="1:2" x14ac:dyDescent="0.25">
      <c r="A3368" cm="1">
        <f t="array" ref="A3368">INDEX('Portfolio Weights Returns'!$B$9:$BJ$69,
INT((ROW(A3367)-1)/COLUMNS('Portfolio Weights Returns'!$B$9:$BJ$69))+1,MOD(ROW(A3367)-1,COLUMNS('Portfolio Weights Returns'!$B$9:$BJ$69))+1)</f>
        <v>-7.5880095948788553E-4</v>
      </c>
      <c r="B3368" cm="1">
        <f t="array" ref="B3368">INDEX('Portfolio Weights Std'!$B$9:$BJ$69,INT((ROW(A3367)-1)/COLUMNS('Portfolio Weights Std'!$B$9:$BJ$69))+1,MOD(ROW(A3367)-1,COLUMNS('Portfolio Weights Std'!$B$9:$BJ$69))+1)</f>
        <v>2.0775573017298165E-2</v>
      </c>
    </row>
    <row r="3369" spans="1:2" x14ac:dyDescent="0.25">
      <c r="A3369" cm="1">
        <f t="array" ref="A3369">INDEX('Portfolio Weights Returns'!$B$9:$BJ$69,
INT((ROW(A3368)-1)/COLUMNS('Portfolio Weights Returns'!$B$9:$BJ$69))+1,MOD(ROW(A3368)-1,COLUMNS('Portfolio Weights Returns'!$B$9:$BJ$69))+1)</f>
        <v>-7.5201978552120639E-4</v>
      </c>
      <c r="B3369" cm="1">
        <f t="array" ref="B3369">INDEX('Portfolio Weights Std'!$B$9:$BJ$69,INT((ROW(A3368)-1)/COLUMNS('Portfolio Weights Std'!$B$9:$BJ$69))+1,MOD(ROW(A3368)-1,COLUMNS('Portfolio Weights Std'!$B$9:$BJ$69))+1)</f>
        <v>2.0646445339612633E-2</v>
      </c>
    </row>
    <row r="3370" spans="1:2" x14ac:dyDescent="0.25">
      <c r="A3370" cm="1">
        <f t="array" ref="A3370">INDEX('Portfolio Weights Returns'!$B$9:$BJ$69,
INT((ROW(A3369)-1)/COLUMNS('Portfolio Weights Returns'!$B$9:$BJ$69))+1,MOD(ROW(A3369)-1,COLUMNS('Portfolio Weights Returns'!$B$9:$BJ$69))+1)</f>
        <v>-7.4523861155452735E-4</v>
      </c>
      <c r="B3370" cm="1">
        <f t="array" ref="B3370">INDEX('Portfolio Weights Std'!$B$9:$BJ$69,INT((ROW(A3369)-1)/COLUMNS('Portfolio Weights Std'!$B$9:$BJ$69))+1,MOD(ROW(A3369)-1,COLUMNS('Portfolio Weights Std'!$B$9:$BJ$69))+1)</f>
        <v>2.0518761706858981E-2</v>
      </c>
    </row>
    <row r="3371" spans="1:2" x14ac:dyDescent="0.25">
      <c r="A3371" cm="1">
        <f t="array" ref="A3371">INDEX('Portfolio Weights Returns'!$B$9:$BJ$69,
INT((ROW(A3370)-1)/COLUMNS('Portfolio Weights Returns'!$B$9:$BJ$69))+1,MOD(ROW(A3370)-1,COLUMNS('Portfolio Weights Returns'!$B$9:$BJ$69))+1)</f>
        <v>-7.3845743758784821E-4</v>
      </c>
      <c r="B3371" cm="1">
        <f t="array" ref="B3371">INDEX('Portfolio Weights Std'!$B$9:$BJ$69,INT((ROW(A3370)-1)/COLUMNS('Portfolio Weights Std'!$B$9:$BJ$69))+1,MOD(ROW(A3370)-1,COLUMNS('Portfolio Weights Std'!$B$9:$BJ$69))+1)</f>
        <v>2.039254924380076E-2</v>
      </c>
    </row>
    <row r="3372" spans="1:2" x14ac:dyDescent="0.25">
      <c r="A3372" cm="1">
        <f t="array" ref="A3372">INDEX('Portfolio Weights Returns'!$B$9:$BJ$69,
INT((ROW(A3371)-1)/COLUMNS('Portfolio Weights Returns'!$B$9:$BJ$69))+1,MOD(ROW(A3371)-1,COLUMNS('Portfolio Weights Returns'!$B$9:$BJ$69))+1)</f>
        <v>-7.3167626362116917E-4</v>
      </c>
      <c r="B3372" cm="1">
        <f t="array" ref="B3372">INDEX('Portfolio Weights Std'!$B$9:$BJ$69,INT((ROW(A3371)-1)/COLUMNS('Portfolio Weights Std'!$B$9:$BJ$69))+1,MOD(ROW(A3371)-1,COLUMNS('Portfolio Weights Std'!$B$9:$BJ$69))+1)</f>
        <v>2.0267835434390657E-2</v>
      </c>
    </row>
    <row r="3373" spans="1:2" x14ac:dyDescent="0.25">
      <c r="A3373" cm="1">
        <f t="array" ref="A3373">INDEX('Portfolio Weights Returns'!$B$9:$BJ$69,
INT((ROW(A3372)-1)/COLUMNS('Portfolio Weights Returns'!$B$9:$BJ$69))+1,MOD(ROW(A3372)-1,COLUMNS('Portfolio Weights Returns'!$B$9:$BJ$69))+1)</f>
        <v>-7.2489508965449014E-4</v>
      </c>
      <c r="B3373" cm="1">
        <f t="array" ref="B3373">INDEX('Portfolio Weights Std'!$B$9:$BJ$69,INT((ROW(A3372)-1)/COLUMNS('Portfolio Weights Std'!$B$9:$BJ$69))+1,MOD(ROW(A3372)-1,COLUMNS('Portfolio Weights Std'!$B$9:$BJ$69))+1)</f>
        <v>2.0144648112761114E-2</v>
      </c>
    </row>
    <row r="3374" spans="1:2" x14ac:dyDescent="0.25">
      <c r="A3374" cm="1">
        <f t="array" ref="A3374">INDEX('Portfolio Weights Returns'!$B$9:$BJ$69,
INT((ROW(A3373)-1)/COLUMNS('Portfolio Weights Returns'!$B$9:$BJ$69))+1,MOD(ROW(A3373)-1,COLUMNS('Portfolio Weights Returns'!$B$9:$BJ$69))+1)</f>
        <v>-7.1811391568781088E-4</v>
      </c>
      <c r="B3374" cm="1">
        <f t="array" ref="B3374">INDEX('Portfolio Weights Std'!$B$9:$BJ$69,INT((ROW(A3373)-1)/COLUMNS('Portfolio Weights Std'!$B$9:$BJ$69))+1,MOD(ROW(A3373)-1,COLUMNS('Portfolio Weights Std'!$B$9:$BJ$69))+1)</f>
        <v>2.0023015453101062E-2</v>
      </c>
    </row>
    <row r="3375" spans="1:2" x14ac:dyDescent="0.25">
      <c r="A3375" cm="1">
        <f t="array" ref="A3375">INDEX('Portfolio Weights Returns'!$B$9:$BJ$69,
INT((ROW(A3374)-1)/COLUMNS('Portfolio Weights Returns'!$B$9:$BJ$69))+1,MOD(ROW(A3374)-1,COLUMNS('Portfolio Weights Returns'!$B$9:$BJ$69))+1)</f>
        <v>-7.1133274172113195E-4</v>
      </c>
      <c r="B3375" cm="1">
        <f t="array" ref="B3375">INDEX('Portfolio Weights Std'!$B$9:$BJ$69,INT((ROW(A3374)-1)/COLUMNS('Portfolio Weights Std'!$B$9:$BJ$69))+1,MOD(ROW(A3374)-1,COLUMNS('Portfolio Weights Std'!$B$9:$BJ$69))+1)</f>
        <v>1.9902965958369226E-2</v>
      </c>
    </row>
    <row r="3376" spans="1:2" x14ac:dyDescent="0.25">
      <c r="A3376" cm="1">
        <f t="array" ref="A3376">INDEX('Portfolio Weights Returns'!$B$9:$BJ$69,
INT((ROW(A3375)-1)/COLUMNS('Portfolio Weights Returns'!$B$9:$BJ$69))+1,MOD(ROW(A3375)-1,COLUMNS('Portfolio Weights Returns'!$B$9:$BJ$69))+1)</f>
        <v>-7.0455156775445292E-4</v>
      </c>
      <c r="B3376" cm="1">
        <f t="array" ref="B3376">INDEX('Portfolio Weights Std'!$B$9:$BJ$69,INT((ROW(A3375)-1)/COLUMNS('Portfolio Weights Std'!$B$9:$BJ$69))+1,MOD(ROW(A3375)-1,COLUMNS('Portfolio Weights Std'!$B$9:$BJ$69))+1)</f>
        <v>1.9784528447795019E-2</v>
      </c>
    </row>
    <row r="3377" spans="1:2" x14ac:dyDescent="0.25">
      <c r="A3377" cm="1">
        <f t="array" ref="A3377">INDEX('Portfolio Weights Returns'!$B$9:$BJ$69,
INT((ROW(A3376)-1)/COLUMNS('Portfolio Weights Returns'!$B$9:$BJ$69))+1,MOD(ROW(A3376)-1,COLUMNS('Portfolio Weights Returns'!$B$9:$BJ$69))+1)</f>
        <v>-6.9777039378777367E-4</v>
      </c>
      <c r="B3377" cm="1">
        <f t="array" ref="B3377">INDEX('Portfolio Weights Std'!$B$9:$BJ$69,INT((ROW(A3376)-1)/COLUMNS('Portfolio Weights Std'!$B$9:$BJ$69))+1,MOD(ROW(A3376)-1,COLUMNS('Portfolio Weights Std'!$B$9:$BJ$69))+1)</f>
        <v>1.9667732043119317E-2</v>
      </c>
    </row>
    <row r="3378" spans="1:2" x14ac:dyDescent="0.25">
      <c r="A3378" cm="1">
        <f t="array" ref="A3378">INDEX('Portfolio Weights Returns'!$B$9:$BJ$69,
INT((ROW(A3377)-1)/COLUMNS('Portfolio Weights Returns'!$B$9:$BJ$69))+1,MOD(ROW(A3377)-1,COLUMNS('Portfolio Weights Returns'!$B$9:$BJ$69))+1)</f>
        <v>-6.9098921982109452E-4</v>
      </c>
      <c r="B3378" cm="1">
        <f t="array" ref="B3378">INDEX('Portfolio Weights Std'!$B$9:$BJ$69,INT((ROW(A3377)-1)/COLUMNS('Portfolio Weights Std'!$B$9:$BJ$69))+1,MOD(ROW(A3377)-1,COLUMNS('Portfolio Weights Std'!$B$9:$BJ$69))+1)</f>
        <v>1.9552606153528492E-2</v>
      </c>
    </row>
    <row r="3379" spans="1:2" x14ac:dyDescent="0.25">
      <c r="A3379" cm="1">
        <f t="array" ref="A3379">INDEX('Portfolio Weights Returns'!$B$9:$BJ$69,
INT((ROW(A3378)-1)/COLUMNS('Portfolio Weights Returns'!$B$9:$BJ$69))+1,MOD(ROW(A3378)-1,COLUMNS('Portfolio Weights Returns'!$B$9:$BJ$69))+1)</f>
        <v>-6.8420804585441549E-4</v>
      </c>
      <c r="B3379" cm="1">
        <f t="array" ref="B3379">INDEX('Portfolio Weights Std'!$B$9:$BJ$69,INT((ROW(A3378)-1)/COLUMNS('Portfolio Weights Std'!$B$9:$BJ$69))+1,MOD(ROW(A3378)-1,COLUMNS('Portfolio Weights Std'!$B$9:$BJ$69))+1)</f>
        <v>1.9439180459237065E-2</v>
      </c>
    </row>
    <row r="3380" spans="1:2" x14ac:dyDescent="0.25">
      <c r="A3380" cm="1">
        <f t="array" ref="A3380">INDEX('Portfolio Weights Returns'!$B$9:$BJ$69,
INT((ROW(A3379)-1)/COLUMNS('Portfolio Weights Returns'!$B$9:$BJ$69))+1,MOD(ROW(A3379)-1,COLUMNS('Portfolio Weights Returns'!$B$9:$BJ$69))+1)</f>
        <v>-6.7742687188773634E-4</v>
      </c>
      <c r="B3380" cm="1">
        <f t="array" ref="B3380">INDEX('Portfolio Weights Std'!$B$9:$BJ$69,INT((ROW(A3379)-1)/COLUMNS('Portfolio Weights Std'!$B$9:$BJ$69))+1,MOD(ROW(A3379)-1,COLUMNS('Portfolio Weights Std'!$B$9:$BJ$69))+1)</f>
        <v>1.9327484893676517E-2</v>
      </c>
    </row>
    <row r="3381" spans="1:2" x14ac:dyDescent="0.25">
      <c r="A3381" cm="1">
        <f t="array" ref="A3381">INDEX('Portfolio Weights Returns'!$B$9:$BJ$69,
INT((ROW(A3380)-1)/COLUMNS('Portfolio Weights Returns'!$B$9:$BJ$69))+1,MOD(ROW(A3380)-1,COLUMNS('Portfolio Weights Returns'!$B$9:$BJ$69))+1)</f>
        <v>-6.706456979210573E-4</v>
      </c>
      <c r="B3381" cm="1">
        <f t="array" ref="B3381">INDEX('Portfolio Weights Std'!$B$9:$BJ$69,INT((ROW(A3380)-1)/COLUMNS('Portfolio Weights Std'!$B$9:$BJ$69))+1,MOD(ROW(A3380)-1,COLUMNS('Portfolio Weights Std'!$B$9:$BJ$69))+1)</f>
        <v>1.9217549624250478E-2</v>
      </c>
    </row>
    <row r="3382" spans="1:2" x14ac:dyDescent="0.25">
      <c r="A3382" cm="1">
        <f t="array" ref="A3382">INDEX('Portfolio Weights Returns'!$B$9:$BJ$69,
INT((ROW(A3381)-1)/COLUMNS('Portfolio Weights Returns'!$B$9:$BJ$69))+1,MOD(ROW(A3381)-1,COLUMNS('Portfolio Weights Returns'!$B$9:$BJ$69))+1)</f>
        <v>-6.6386452395437816E-4</v>
      </c>
      <c r="B3382" cm="1">
        <f t="array" ref="B3382">INDEX('Portfolio Weights Std'!$B$9:$BJ$69,INT((ROW(A3381)-1)/COLUMNS('Portfolio Weights Std'!$B$9:$BJ$69))+1,MOD(ROW(A3381)-1,COLUMNS('Portfolio Weights Std'!$B$9:$BJ$69))+1)</f>
        <v>1.9109405031619679E-2</v>
      </c>
    </row>
    <row r="3383" spans="1:2" x14ac:dyDescent="0.25">
      <c r="A3383" cm="1">
        <f t="array" ref="A3383">INDEX('Portfolio Weights Returns'!$B$9:$BJ$69,
INT((ROW(A3382)-1)/COLUMNS('Portfolio Weights Returns'!$B$9:$BJ$69))+1,MOD(ROW(A3382)-1,COLUMNS('Portfolio Weights Returns'!$B$9:$BJ$69))+1)</f>
        <v>-6.5708334998769912E-4</v>
      </c>
      <c r="B3383" cm="1">
        <f t="array" ref="B3383">INDEX('Portfolio Weights Std'!$B$9:$BJ$69,INT((ROW(A3382)-1)/COLUMNS('Portfolio Weights Std'!$B$9:$BJ$69))+1,MOD(ROW(A3382)-1,COLUMNS('Portfolio Weights Std'!$B$9:$BJ$69))+1)</f>
        <v>1.9003081687483717E-2</v>
      </c>
    </row>
    <row r="3384" spans="1:2" x14ac:dyDescent="0.25">
      <c r="A3384" cm="1">
        <f t="array" ref="A3384">INDEX('Portfolio Weights Returns'!$B$9:$BJ$69,
INT((ROW(A3383)-1)/COLUMNS('Portfolio Weights Returns'!$B$9:$BJ$69))+1,MOD(ROW(A3383)-1,COLUMNS('Portfolio Weights Returns'!$B$9:$BJ$69))+1)</f>
        <v>-6.5030217602101987E-4</v>
      </c>
      <c r="B3384" cm="1">
        <f t="array" ref="B3384">INDEX('Portfolio Weights Std'!$B$9:$BJ$69,INT((ROW(A3383)-1)/COLUMNS('Portfolio Weights Std'!$B$9:$BJ$69))+1,MOD(ROW(A3383)-1,COLUMNS('Portfolio Weights Std'!$B$9:$BJ$69))+1)</f>
        <v>1.8898610330831008E-2</v>
      </c>
    </row>
    <row r="3385" spans="1:2" x14ac:dyDescent="0.25">
      <c r="A3385" cm="1">
        <f t="array" ref="A3385">INDEX('Portfolio Weights Returns'!$B$9:$BJ$69,
INT((ROW(A3384)-1)/COLUMNS('Portfolio Weights Returns'!$B$9:$BJ$69))+1,MOD(ROW(A3384)-1,COLUMNS('Portfolio Weights Returns'!$B$9:$BJ$69))+1)</f>
        <v>-6.4352100205434084E-4</v>
      </c>
      <c r="B3385" cm="1">
        <f t="array" ref="B3385">INDEX('Portfolio Weights Std'!$B$9:$BJ$69,INT((ROW(A3384)-1)/COLUMNS('Portfolio Weights Std'!$B$9:$BJ$69))+1,MOD(ROW(A3384)-1,COLUMNS('Portfolio Weights Std'!$B$9:$BJ$69))+1)</f>
        <v>1.8796021842632869E-2</v>
      </c>
    </row>
    <row r="3386" spans="1:2" x14ac:dyDescent="0.25">
      <c r="A3386" cm="1">
        <f t="array" ref="A3386">INDEX('Portfolio Weights Returns'!$B$9:$BJ$69,
INT((ROW(A3385)-1)/COLUMNS('Portfolio Weights Returns'!$B$9:$BJ$69))+1,MOD(ROW(A3385)-1,COLUMNS('Portfolio Weights Returns'!$B$9:$BJ$69))+1)</f>
        <v>-6.3673982808766169E-4</v>
      </c>
      <c r="B3386" cm="1">
        <f t="array" ref="B3386">INDEX('Portfolio Weights Std'!$B$9:$BJ$69,INT((ROW(A3385)-1)/COLUMNS('Portfolio Weights Std'!$B$9:$BJ$69))+1,MOD(ROW(A3385)-1,COLUMNS('Portfolio Weights Std'!$B$9:$BJ$69))+1)</f>
        <v>1.8695347218963265E-2</v>
      </c>
    </row>
    <row r="3387" spans="1:2" x14ac:dyDescent="0.25">
      <c r="A3387" cm="1">
        <f t="array" ref="A3387">INDEX('Portfolio Weights Returns'!$B$9:$BJ$69,
INT((ROW(A3386)-1)/COLUMNS('Portfolio Weights Returns'!$B$9:$BJ$69))+1,MOD(ROW(A3386)-1,COLUMNS('Portfolio Weights Returns'!$B$9:$BJ$69))+1)</f>
        <v>-6.2995865412098255E-4</v>
      </c>
      <c r="B3387" cm="1">
        <f t="array" ref="B3387">INDEX('Portfolio Weights Std'!$B$9:$BJ$69,INT((ROW(A3386)-1)/COLUMNS('Portfolio Weights Std'!$B$9:$BJ$69))+1,MOD(ROW(A3386)-1,COLUMNS('Portfolio Weights Std'!$B$9:$BJ$69))+1)</f>
        <v>1.8596617542531457E-2</v>
      </c>
    </row>
    <row r="3388" spans="1:2" x14ac:dyDescent="0.25">
      <c r="A3388" cm="1">
        <f t="array" ref="A3388">INDEX('Portfolio Weights Returns'!$B$9:$BJ$69,
INT((ROW(A3387)-1)/COLUMNS('Portfolio Weights Returns'!$B$9:$BJ$69))+1,MOD(ROW(A3387)-1,COLUMNS('Portfolio Weights Returns'!$B$9:$BJ$69))+1)</f>
        <v>-6.2317748015430351E-4</v>
      </c>
      <c r="B3388" cm="1">
        <f t="array" ref="B3388">INDEX('Portfolio Weights Std'!$B$9:$BJ$69,INT((ROW(A3387)-1)/COLUMNS('Portfolio Weights Std'!$B$9:$BJ$69))+1,MOD(ROW(A3387)-1,COLUMNS('Portfolio Weights Std'!$B$9:$BJ$69))+1)</f>
        <v>1.8499863952621546E-2</v>
      </c>
    </row>
    <row r="3389" spans="1:2" x14ac:dyDescent="0.25">
      <c r="A3389" cm="1">
        <f t="array" ref="A3389">INDEX('Portfolio Weights Returns'!$B$9:$BJ$69,
INT((ROW(A3388)-1)/COLUMNS('Portfolio Weights Returns'!$B$9:$BJ$69))+1,MOD(ROW(A3388)-1,COLUMNS('Portfolio Weights Returns'!$B$9:$BJ$69))+1)</f>
        <v>-6.1639630618762437E-4</v>
      </c>
      <c r="B3389" cm="1">
        <f t="array" ref="B3389">INDEX('Portfolio Weights Std'!$B$9:$BJ$69,INT((ROW(A3388)-1)/COLUMNS('Portfolio Weights Std'!$B$9:$BJ$69))+1,MOD(ROW(A3388)-1,COLUMNS('Portfolio Weights Std'!$B$9:$BJ$69))+1)</f>
        <v>1.8405117613439728E-2</v>
      </c>
    </row>
    <row r="3390" spans="1:2" x14ac:dyDescent="0.25">
      <c r="A3390" cm="1">
        <f t="array" ref="A3390">INDEX('Portfolio Weights Returns'!$B$9:$BJ$69,
INT((ROW(A3389)-1)/COLUMNS('Portfolio Weights Returns'!$B$9:$BJ$69))+1,MOD(ROW(A3389)-1,COLUMNS('Portfolio Weights Returns'!$B$9:$BJ$69))+1)</f>
        <v>-6.0961513222094533E-4</v>
      </c>
      <c r="B3390" cm="1">
        <f t="array" ref="B3390">INDEX('Portfolio Weights Std'!$B$9:$BJ$69,INT((ROW(A3389)-1)/COLUMNS('Portfolio Weights Std'!$B$9:$BJ$69))+1,MOD(ROW(A3389)-1,COLUMNS('Portfolio Weights Std'!$B$9:$BJ$69))+1)</f>
        <v>1.8312409680878113E-2</v>
      </c>
    </row>
    <row r="3391" spans="1:2" x14ac:dyDescent="0.25">
      <c r="A3391" cm="1">
        <f t="array" ref="A3391">INDEX('Portfolio Weights Returns'!$B$9:$BJ$69,
INT((ROW(A3390)-1)/COLUMNS('Portfolio Weights Returns'!$B$9:$BJ$69))+1,MOD(ROW(A3390)-1,COLUMNS('Portfolio Weights Returns'!$B$9:$BJ$69))+1)</f>
        <v>-6.0283395825426608E-4</v>
      </c>
      <c r="B3391" cm="1">
        <f t="array" ref="B3391">INDEX('Portfolio Weights Std'!$B$9:$BJ$69,INT((ROW(A3390)-1)/COLUMNS('Portfolio Weights Std'!$B$9:$BJ$69))+1,MOD(ROW(A3390)-1,COLUMNS('Portfolio Weights Std'!$B$9:$BJ$69))+1)</f>
        <v>1.8221771267711968E-2</v>
      </c>
    </row>
    <row r="3392" spans="1:2" x14ac:dyDescent="0.25">
      <c r="A3392" cm="1">
        <f t="array" ref="A3392">INDEX('Portfolio Weights Returns'!$B$9:$BJ$69,
INT((ROW(A3391)-1)/COLUMNS('Portfolio Weights Returns'!$B$9:$BJ$69))+1,MOD(ROW(A3391)-1,COLUMNS('Portfolio Weights Returns'!$B$9:$BJ$69))+1)</f>
        <v>-5.9605278428758704E-4</v>
      </c>
      <c r="B3392" cm="1">
        <f t="array" ref="B3392">INDEX('Portfolio Weights Std'!$B$9:$BJ$69,INT((ROW(A3391)-1)/COLUMNS('Portfolio Weights Std'!$B$9:$BJ$69))+1,MOD(ROW(A3391)-1,COLUMNS('Portfolio Weights Std'!$B$9:$BJ$69))+1)</f>
        <v>1.8133233407256259E-2</v>
      </c>
    </row>
    <row r="3393" spans="1:2" x14ac:dyDescent="0.25">
      <c r="A3393" cm="1">
        <f t="array" ref="A3393">INDEX('Portfolio Weights Returns'!$B$9:$BJ$69,
INT((ROW(A3392)-1)/COLUMNS('Portfolio Weights Returns'!$B$9:$BJ$69))+1,MOD(ROW(A3392)-1,COLUMNS('Portfolio Weights Returns'!$B$9:$BJ$69))+1)</f>
        <v>-5.892716103209079E-4</v>
      </c>
      <c r="B3393" cm="1">
        <f t="array" ref="B3393">INDEX('Portfolio Weights Std'!$B$9:$BJ$69,INT((ROW(A3392)-1)/COLUMNS('Portfolio Weights Std'!$B$9:$BJ$69))+1,MOD(ROW(A3392)-1,COLUMNS('Portfolio Weights Std'!$B$9:$BJ$69))+1)</f>
        <v>1.8046827015516645E-2</v>
      </c>
    </row>
    <row r="3394" spans="1:2" x14ac:dyDescent="0.25">
      <c r="A3394" cm="1">
        <f t="array" ref="A3394">INDEX('Portfolio Weights Returns'!$B$9:$BJ$69,
INT((ROW(A3393)-1)/COLUMNS('Portfolio Weights Returns'!$B$9:$BJ$69))+1,MOD(ROW(A3393)-1,COLUMNS('Portfolio Weights Returns'!$B$9:$BJ$69))+1)</f>
        <v>-5.8249043635422886E-4</v>
      </c>
      <c r="B3394" cm="1">
        <f t="array" ref="B3394">INDEX('Portfolio Weights Std'!$B$9:$BJ$69,INT((ROW(A3393)-1)/COLUMNS('Portfolio Weights Std'!$B$9:$BJ$69))+1,MOD(ROW(A3393)-1,COLUMNS('Portfolio Weights Std'!$B$9:$BJ$69))+1)</f>
        <v>1.7962582851880026E-2</v>
      </c>
    </row>
    <row r="3395" spans="1:2" x14ac:dyDescent="0.25">
      <c r="A3395" cm="1">
        <f t="array" ref="A3395">INDEX('Portfolio Weights Returns'!$B$9:$BJ$69,
INT((ROW(A3394)-1)/COLUMNS('Portfolio Weights Returns'!$B$9:$BJ$69))+1,MOD(ROW(A3394)-1,COLUMNS('Portfolio Weights Returns'!$B$9:$BJ$69))+1)</f>
        <v>-5.7570926238754982E-4</v>
      </c>
      <c r="B3395" cm="1">
        <f t="array" ref="B3395">INDEX('Portfolio Weights Std'!$B$9:$BJ$69,INT((ROW(A3394)-1)/COLUMNS('Portfolio Weights Std'!$B$9:$BJ$69))+1,MOD(ROW(A3394)-1,COLUMNS('Portfolio Weights Std'!$B$9:$BJ$69))+1)</f>
        <v>1.7880531478399998E-2</v>
      </c>
    </row>
    <row r="3396" spans="1:2" x14ac:dyDescent="0.25">
      <c r="A3396" cm="1">
        <f t="array" ref="A3396">INDEX('Portfolio Weights Returns'!$B$9:$BJ$69,
INT((ROW(A3395)-1)/COLUMNS('Portfolio Weights Returns'!$B$9:$BJ$69))+1,MOD(ROW(A3395)-1,COLUMNS('Portfolio Weights Returns'!$B$9:$BJ$69))+1)</f>
        <v>-5.6892808842087068E-4</v>
      </c>
      <c r="B3396" cm="1">
        <f t="array" ref="B3396">INDEX('Portfolio Weights Std'!$B$9:$BJ$69,INT((ROW(A3395)-1)/COLUMNS('Portfolio Weights Std'!$B$9:$BJ$69))+1,MOD(ROW(A3395)-1,COLUMNS('Portfolio Weights Std'!$B$9:$BJ$69))+1)</f>
        <v>1.7800703217743335E-2</v>
      </c>
    </row>
    <row r="3397" spans="1:2" x14ac:dyDescent="0.25">
      <c r="A3397" cm="1">
        <f t="array" ref="A3397">INDEX('Portfolio Weights Returns'!$B$9:$BJ$69,
INT((ROW(A3396)-1)/COLUMNS('Portfolio Weights Returns'!$B$9:$BJ$69))+1,MOD(ROW(A3396)-1,COLUMNS('Portfolio Weights Returns'!$B$9:$BJ$69))+1)</f>
        <v>-5.6214691445419154E-4</v>
      </c>
      <c r="B3397" cm="1">
        <f t="array" ref="B3397">INDEX('Portfolio Weights Std'!$B$9:$BJ$69,INT((ROW(A3396)-1)/COLUMNS('Portfolio Weights Std'!$B$9:$BJ$69))+1,MOD(ROW(A3396)-1,COLUMNS('Portfolio Weights Std'!$B$9:$BJ$69))+1)</f>
        <v>1.7723128109874638E-2</v>
      </c>
    </row>
    <row r="3398" spans="1:2" x14ac:dyDescent="0.25">
      <c r="A3398" cm="1">
        <f t="array" ref="A3398">INDEX('Portfolio Weights Returns'!$B$9:$BJ$69,
INT((ROW(A3397)-1)/COLUMNS('Portfolio Weights Returns'!$B$9:$BJ$69))+1,MOD(ROW(A3397)-1,COLUMNS('Portfolio Weights Returns'!$B$9:$BJ$69))+1)</f>
        <v>-5.5536574048751239E-4</v>
      </c>
      <c r="B3398" cm="1">
        <f t="array" ref="B3398">INDEX('Portfolio Weights Std'!$B$9:$BJ$69,INT((ROW(A3397)-1)/COLUMNS('Portfolio Weights Std'!$B$9:$BJ$69))+1,MOD(ROW(A3397)-1,COLUMNS('Portfolio Weights Std'!$B$9:$BJ$69))+1)</f>
        <v>1.7647835867567588E-2</v>
      </c>
    </row>
    <row r="3399" spans="1:2" x14ac:dyDescent="0.25">
      <c r="A3399" cm="1">
        <f t="array" ref="A3399">INDEX('Portfolio Weights Returns'!$B$9:$BJ$69,
INT((ROW(A3398)-1)/COLUMNS('Portfolio Weights Returns'!$B$9:$BJ$69))+1,MOD(ROW(A3398)-1,COLUMNS('Portfolio Weights Returns'!$B$9:$BJ$69))+1)</f>
        <v>-5.4858456652083336E-4</v>
      </c>
      <c r="B3399" cm="1">
        <f t="array" ref="B3399">INDEX('Portfolio Weights Std'!$B$9:$BJ$69,INT((ROW(A3398)-1)/COLUMNS('Portfolio Weights Std'!$B$9:$BJ$69))+1,MOD(ROW(A3398)-1,COLUMNS('Portfolio Weights Std'!$B$9:$BJ$69))+1)</f>
        <v>1.7574855830842756E-2</v>
      </c>
    </row>
    <row r="3400" spans="1:2" x14ac:dyDescent="0.25">
      <c r="A3400" cm="1">
        <f t="array" ref="A3400">INDEX('Portfolio Weights Returns'!$B$9:$BJ$69,
INT((ROW(A3399)-1)/COLUMNS('Portfolio Weights Returns'!$B$9:$BJ$69))+1,MOD(ROW(A3399)-1,COLUMNS('Portfolio Weights Returns'!$B$9:$BJ$69))+1)</f>
        <v>-5.4180339255415421E-4</v>
      </c>
      <c r="B3400" cm="1">
        <f t="array" ref="B3400">INDEX('Portfolio Weights Std'!$B$9:$BJ$69,INT((ROW(A3399)-1)/COLUMNS('Portfolio Weights Std'!$B$9:$BJ$69))+1,MOD(ROW(A3399)-1,COLUMNS('Portfolio Weights Std'!$B$9:$BJ$69))+1)</f>
        <v>1.7504216920443374E-2</v>
      </c>
    </row>
    <row r="3401" spans="1:2" x14ac:dyDescent="0.25">
      <c r="A3401" cm="1">
        <f t="array" ref="A3401">INDEX('Portfolio Weights Returns'!$B$9:$BJ$69,
INT((ROW(A3400)-1)/COLUMNS('Portfolio Weights Returns'!$B$9:$BJ$69))+1,MOD(ROW(A3400)-1,COLUMNS('Portfolio Weights Returns'!$B$9:$BJ$69))+1)</f>
        <v>-5.3502221858747518E-4</v>
      </c>
      <c r="B3401" cm="1">
        <f t="array" ref="B3401">INDEX('Portfolio Weights Std'!$B$9:$BJ$69,INT((ROW(A3400)-1)/COLUMNS('Portfolio Weights Std'!$B$9:$BJ$69))+1,MOD(ROW(A3400)-1,COLUMNS('Portfolio Weights Std'!$B$9:$BJ$69))+1)</f>
        <v>1.7435947590472119E-2</v>
      </c>
    </row>
    <row r="3402" spans="1:2" x14ac:dyDescent="0.25">
      <c r="A3402" cm="1">
        <f t="array" ref="A3402">INDEX('Portfolio Weights Returns'!$B$9:$BJ$69,
INT((ROW(A3401)-1)/COLUMNS('Portfolio Weights Returns'!$B$9:$BJ$69))+1,MOD(ROW(A3401)-1,COLUMNS('Portfolio Weights Returns'!$B$9:$BJ$69))+1)</f>
        <v>-5.2824104462079603E-4</v>
      </c>
      <c r="B3402" cm="1">
        <f t="array" ref="B3402">INDEX('Portfolio Weights Std'!$B$9:$BJ$69,INT((ROW(A3401)-1)/COLUMNS('Portfolio Weights Std'!$B$9:$BJ$69))+1,MOD(ROW(A3401)-1,COLUMNS('Portfolio Weights Std'!$B$9:$BJ$69))+1)</f>
        <v>1.7370075780323208E-2</v>
      </c>
    </row>
    <row r="3403" spans="1:2" x14ac:dyDescent="0.25">
      <c r="A3403" cm="1">
        <f t="array" ref="A3403">INDEX('Portfolio Weights Returns'!$B$9:$BJ$69,
INT((ROW(A3402)-1)/COLUMNS('Portfolio Weights Returns'!$B$9:$BJ$69))+1,MOD(ROW(A3402)-1,COLUMNS('Portfolio Weights Returns'!$B$9:$BJ$69))+1)</f>
        <v>-5.2145987065411689E-4</v>
      </c>
      <c r="B3403" cm="1">
        <f t="array" ref="B3403">INDEX('Portfolio Weights Std'!$B$9:$BJ$69,INT((ROW(A3402)-1)/COLUMNS('Portfolio Weights Std'!$B$9:$BJ$69))+1,MOD(ROW(A3402)-1,COLUMNS('Portfolio Weights Std'!$B$9:$BJ$69))+1)</f>
        <v>1.730662886605526E-2</v>
      </c>
    </row>
    <row r="3404" spans="1:2" x14ac:dyDescent="0.25">
      <c r="A3404" cm="1">
        <f t="array" ref="A3404">INDEX('Portfolio Weights Returns'!$B$9:$BJ$69,
INT((ROW(A3403)-1)/COLUMNS('Portfolio Weights Returns'!$B$9:$BJ$69))+1,MOD(ROW(A3403)-1,COLUMNS('Portfolio Weights Returns'!$B$9:$BJ$69))+1)</f>
        <v>-5.1467869668743785E-4</v>
      </c>
      <c r="B3404" cm="1">
        <f t="array" ref="B3404">INDEX('Portfolio Weights Std'!$B$9:$BJ$69,INT((ROW(A3403)-1)/COLUMNS('Portfolio Weights Std'!$B$9:$BJ$69))+1,MOD(ROW(A3403)-1,COLUMNS('Portfolio Weights Std'!$B$9:$BJ$69))+1)</f>
        <v>1.7245633611361146E-2</v>
      </c>
    </row>
    <row r="3405" spans="1:2" x14ac:dyDescent="0.25">
      <c r="A3405" cm="1">
        <f t="array" ref="A3405">INDEX('Portfolio Weights Returns'!$B$9:$BJ$69,
INT((ROW(A3404)-1)/COLUMNS('Portfolio Weights Returns'!$B$9:$BJ$69))+1,MOD(ROW(A3404)-1,COLUMNS('Portfolio Weights Returns'!$B$9:$BJ$69))+1)</f>
        <v>-5.0789752272075881E-4</v>
      </c>
      <c r="B3405" cm="1">
        <f t="array" ref="B3405">INDEX('Portfolio Weights Std'!$B$9:$BJ$69,INT((ROW(A3404)-1)/COLUMNS('Portfolio Weights Std'!$B$9:$BJ$69))+1,MOD(ROW(A3404)-1,COLUMNS('Portfolio Weights Std'!$B$9:$BJ$69))+1)</f>
        <v>1.7187116118301159E-2</v>
      </c>
    </row>
    <row r="3406" spans="1:2" x14ac:dyDescent="0.25">
      <c r="A3406" cm="1">
        <f t="array" ref="A3406">INDEX('Portfolio Weights Returns'!$B$9:$BJ$69,
INT((ROW(A3405)-1)/COLUMNS('Portfolio Weights Returns'!$B$9:$BJ$69))+1,MOD(ROW(A3405)-1,COLUMNS('Portfolio Weights Returns'!$B$9:$BJ$69))+1)</f>
        <v>-5.0111634875407967E-4</v>
      </c>
      <c r="B3406" cm="1">
        <f t="array" ref="B3406">INDEX('Portfolio Weights Std'!$B$9:$BJ$69,INT((ROW(A3405)-1)/COLUMNS('Portfolio Weights Std'!$B$9:$BJ$69))+1,MOD(ROW(A3405)-1,COLUMNS('Portfolio Weights Std'!$B$9:$BJ$69))+1)</f>
        <v>1.7131101777975388E-2</v>
      </c>
    </row>
    <row r="3407" spans="1:2" x14ac:dyDescent="0.25">
      <c r="A3407" cm="1">
        <f t="array" ref="A3407">INDEX('Portfolio Weights Returns'!$B$9:$BJ$69,
INT((ROW(A3406)-1)/COLUMNS('Portfolio Weights Returns'!$B$9:$BJ$69))+1,MOD(ROW(A3406)-1,COLUMNS('Portfolio Weights Returns'!$B$9:$BJ$69))+1)</f>
        <v>-4.9433517478740053E-4</v>
      </c>
      <c r="B3407" cm="1">
        <f t="array" ref="B3407">INDEX('Portfolio Weights Std'!$B$9:$BJ$69,INT((ROW(A3406)-1)/COLUMNS('Portfolio Weights Std'!$B$9:$BJ$69))+1,MOD(ROW(A3406)-1,COLUMNS('Portfolio Weights Std'!$B$9:$BJ$69))+1)</f>
        <v>1.7077615221320029E-2</v>
      </c>
    </row>
    <row r="3408" spans="1:2" x14ac:dyDescent="0.25">
      <c r="A3408" cm="1">
        <f t="array" ref="A3408">INDEX('Portfolio Weights Returns'!$B$9:$BJ$69,
INT((ROW(A3407)-1)/COLUMNS('Portfolio Weights Returns'!$B$9:$BJ$69))+1,MOD(ROW(A3407)-1,COLUMNS('Portfolio Weights Returns'!$B$9:$BJ$69))+1)</f>
        <v>-4.8755400082072144E-4</v>
      </c>
      <c r="B3408" cm="1">
        <f t="array" ref="B3408">INDEX('Portfolio Weights Std'!$B$9:$BJ$69,INT((ROW(A3407)-1)/COLUMNS('Portfolio Weights Std'!$B$9:$BJ$69))+1,MOD(ROW(A3407)-1,COLUMNS('Portfolio Weights Std'!$B$9:$BJ$69))+1)</f>
        <v>1.7026680270219953E-2</v>
      </c>
    </row>
    <row r="3409" spans="1:2" x14ac:dyDescent="0.25">
      <c r="A3409" cm="1">
        <f t="array" ref="A3409">INDEX('Portfolio Weights Returns'!$B$9:$BJ$69,
INT((ROW(A3408)-1)/COLUMNS('Portfolio Weights Returns'!$B$9:$BJ$69))+1,MOD(ROW(A3408)-1,COLUMNS('Portfolio Weights Returns'!$B$9:$BJ$69))+1)</f>
        <v>-4.8077282685404235E-4</v>
      </c>
      <c r="B3409" cm="1">
        <f t="array" ref="B3409">INDEX('Portfolio Weights Std'!$B$9:$BJ$69,INT((ROW(A3408)-1)/COLUMNS('Portfolio Weights Std'!$B$9:$BJ$69))+1,MOD(ROW(A3408)-1,COLUMNS('Portfolio Weights Std'!$B$9:$BJ$69))+1)</f>
        <v>1.6978319889136829E-2</v>
      </c>
    </row>
    <row r="3410" spans="1:2" x14ac:dyDescent="0.25">
      <c r="A3410" cm="1">
        <f t="array" ref="A3410">INDEX('Portfolio Weights Returns'!$B$9:$BJ$69,
INT((ROW(A3409)-1)/COLUMNS('Portfolio Weights Returns'!$B$9:$BJ$69))+1,MOD(ROW(A3409)-1,COLUMNS('Portfolio Weights Returns'!$B$9:$BJ$69))+1)</f>
        <v>-4.739916528873632E-4</v>
      </c>
      <c r="B3410" cm="1">
        <f t="array" ref="B3410">INDEX('Portfolio Weights Std'!$B$9:$BJ$69,INT((ROW(A3409)-1)/COLUMNS('Portfolio Weights Std'!$B$9:$BJ$69))+1,MOD(ROW(A3409)-1,COLUMNS('Portfolio Weights Std'!$B$9:$BJ$69))+1)</f>
        <v>1.6932556137457425E-2</v>
      </c>
    </row>
    <row r="3411" spans="1:2" x14ac:dyDescent="0.25">
      <c r="A3411" cm="1">
        <f t="array" ref="A3411">INDEX('Portfolio Weights Returns'!$B$9:$BJ$69,
INT((ROW(A3410)-1)/COLUMNS('Portfolio Weights Returns'!$B$9:$BJ$69))+1,MOD(ROW(A3410)-1,COLUMNS('Portfolio Weights Returns'!$B$9:$BJ$69))+1)</f>
        <v>-4.6721047892068406E-4</v>
      </c>
      <c r="B3411" cm="1">
        <f t="array" ref="B3411">INDEX('Portfolio Weights Std'!$B$9:$BJ$69,INT((ROW(A3410)-1)/COLUMNS('Portfolio Weights Std'!$B$9:$BJ$69))+1,MOD(ROW(A3410)-1,COLUMNS('Portfolio Weights Std'!$B$9:$BJ$69))+1)</f>
        <v>1.6889410122771037E-2</v>
      </c>
    </row>
    <row r="3412" spans="1:2" x14ac:dyDescent="0.25">
      <c r="A3412" cm="1">
        <f t="array" ref="A3412">INDEX('Portfolio Weights Returns'!$B$9:$BJ$69,
INT((ROW(A3411)-1)/COLUMNS('Portfolio Weights Returns'!$B$9:$BJ$69))+1,MOD(ROW(A3411)-1,COLUMNS('Portfolio Weights Returns'!$B$9:$BJ$69))+1)</f>
        <v>-4.6042930495400497E-4</v>
      </c>
      <c r="B3412" cm="1">
        <f t="array" ref="B3412">INDEX('Portfolio Weights Std'!$B$9:$BJ$69,INT((ROW(A3411)-1)/COLUMNS('Portfolio Weights Std'!$B$9:$BJ$69))+1,MOD(ROW(A3411)-1,COLUMNS('Portfolio Weights Std'!$B$9:$BJ$69))+1)</f>
        <v>1.6848901955287779E-2</v>
      </c>
    </row>
    <row r="3413" spans="1:2" x14ac:dyDescent="0.25">
      <c r="A3413" cm="1">
        <f t="array" ref="A3413">INDEX('Portfolio Weights Returns'!$B$9:$BJ$69,
INT((ROW(A3412)-1)/COLUMNS('Portfolio Weights Returns'!$B$9:$BJ$69))+1,MOD(ROW(A3412)-1,COLUMNS('Portfolio Weights Returns'!$B$9:$BJ$69))+1)</f>
        <v>-4.5364813098732588E-4</v>
      </c>
      <c r="B3413" cm="1">
        <f t="array" ref="B3413">INDEX('Portfolio Weights Std'!$B$9:$BJ$69,INT((ROW(A3412)-1)/COLUMNS('Portfolio Weights Std'!$B$9:$BJ$69))+1,MOD(ROW(A3412)-1,COLUMNS('Portfolio Weights Std'!$B$9:$BJ$69))+1)</f>
        <v>1.6811050703610587E-2</v>
      </c>
    </row>
    <row r="3414" spans="1:2" x14ac:dyDescent="0.25">
      <c r="A3414" cm="1">
        <f t="array" ref="A3414">INDEX('Portfolio Weights Returns'!$B$9:$BJ$69,
INT((ROW(A3413)-1)/COLUMNS('Portfolio Weights Returns'!$B$9:$BJ$69))+1,MOD(ROW(A3413)-1,COLUMNS('Portfolio Weights Returns'!$B$9:$BJ$69))+1)</f>
        <v>-4.4686695702064608E-4</v>
      </c>
      <c r="B3414" cm="1">
        <f t="array" ref="B3414">INDEX('Portfolio Weights Std'!$B$9:$BJ$69,INT((ROW(A3413)-1)/COLUMNS('Portfolio Weights Std'!$B$9:$BJ$69))+1,MOD(ROW(A3413)-1,COLUMNS('Portfolio Weights Std'!$B$9:$BJ$69))+1)</f>
        <v>1.6775874352073498E-2</v>
      </c>
    </row>
    <row r="3415" spans="1:2" x14ac:dyDescent="0.25">
      <c r="A3415" cm="1">
        <f t="array" ref="A3415">INDEX('Portfolio Weights Returns'!$B$9:$BJ$69,
INT((ROW(A3414)-1)/COLUMNS('Portfolio Weights Returns'!$B$9:$BJ$69))+1,MOD(ROW(A3414)-1,COLUMNS('Portfolio Weights Returns'!$B$9:$BJ$69))+1)</f>
        <v>-4.4008578305396694E-4</v>
      </c>
      <c r="B3415" cm="1">
        <f t="array" ref="B3415">INDEX('Portfolio Weights Std'!$B$9:$BJ$69,INT((ROW(A3414)-1)/COLUMNS('Portfolio Weights Std'!$B$9:$BJ$69))+1,MOD(ROW(A3414)-1,COLUMNS('Portfolio Weights Std'!$B$9:$BJ$69))+1)</f>
        <v>1.674338975985672E-2</v>
      </c>
    </row>
    <row r="3416" spans="1:2" x14ac:dyDescent="0.25">
      <c r="A3416" cm="1">
        <f t="array" ref="A3416">INDEX('Portfolio Weights Returns'!$B$9:$BJ$69,
INT((ROW(A3415)-1)/COLUMNS('Portfolio Weights Returns'!$B$9:$BJ$69))+1,MOD(ROW(A3415)-1,COLUMNS('Portfolio Weights Returns'!$B$9:$BJ$69))+1)</f>
        <v>-4.3330460908728795E-4</v>
      </c>
      <c r="B3416" cm="1">
        <f t="array" ref="B3416">INDEX('Portfolio Weights Std'!$B$9:$BJ$69,INT((ROW(A3415)-1)/COLUMNS('Portfolio Weights Std'!$B$9:$BJ$69))+1,MOD(ROW(A3415)-1,COLUMNS('Portfolio Weights Std'!$B$9:$BJ$69))+1)</f>
        <v>1.6713612622084977E-2</v>
      </c>
    </row>
    <row r="3417" spans="1:2" x14ac:dyDescent="0.25">
      <c r="A3417" cm="1">
        <f t="array" ref="A3417">INDEX('Portfolio Weights Returns'!$B$9:$BJ$69,
INT((ROW(A3416)-1)/COLUMNS('Portfolio Weights Returns'!$B$9:$BJ$69))+1,MOD(ROW(A3416)-1,COLUMNS('Portfolio Weights Returns'!$B$9:$BJ$69))+1)</f>
        <v>-4.2652343512060886E-4</v>
      </c>
      <c r="B3417" cm="1">
        <f t="array" ref="B3417">INDEX('Portfolio Weights Std'!$B$9:$BJ$69,INT((ROW(A3416)-1)/COLUMNS('Portfolio Weights Std'!$B$9:$BJ$69))+1,MOD(ROW(A3416)-1,COLUMNS('Portfolio Weights Std'!$B$9:$BJ$69))+1)</f>
        <v>1.6686557433110271E-2</v>
      </c>
    </row>
    <row r="3418" spans="1:2" x14ac:dyDescent="0.25">
      <c r="A3418" cm="1">
        <f t="array" ref="A3418">INDEX('Portfolio Weights Returns'!$B$9:$BJ$69,
INT((ROW(A3417)-1)/COLUMNS('Portfolio Weights Returns'!$B$9:$BJ$69))+1,MOD(ROW(A3417)-1,COLUMNS('Portfolio Weights Returns'!$B$9:$BJ$69))+1)</f>
        <v>-8.2681966527590057E-4</v>
      </c>
      <c r="B3418" cm="1">
        <f t="array" ref="B3418">INDEX('Portfolio Weights Std'!$B$9:$BJ$69,INT((ROW(A3417)-1)/COLUMNS('Portfolio Weights Std'!$B$9:$BJ$69))+1,MOD(ROW(A3417)-1,COLUMNS('Portfolio Weights Std'!$B$9:$BJ$69))+1)</f>
        <v>2.2298590414455699E-2</v>
      </c>
    </row>
    <row r="3419" spans="1:2" x14ac:dyDescent="0.25">
      <c r="A3419" cm="1">
        <f t="array" ref="A3419">INDEX('Portfolio Weights Returns'!$B$9:$BJ$69,
INT((ROW(A3418)-1)/COLUMNS('Portfolio Weights Returns'!$B$9:$BJ$69))+1,MOD(ROW(A3418)-1,COLUMNS('Portfolio Weights Returns'!$B$9:$BJ$69))+1)</f>
        <v>-8.2003849130922143E-4</v>
      </c>
      <c r="B3419" cm="1">
        <f t="array" ref="B3419">INDEX('Portfolio Weights Std'!$B$9:$BJ$69,INT((ROW(A3418)-1)/COLUMNS('Portfolio Weights Std'!$B$9:$BJ$69))+1,MOD(ROW(A3418)-1,COLUMNS('Portfolio Weights Std'!$B$9:$BJ$69))+1)</f>
        <v>2.215707403243827E-2</v>
      </c>
    </row>
    <row r="3420" spans="1:2" x14ac:dyDescent="0.25">
      <c r="A3420" cm="1">
        <f t="array" ref="A3420">INDEX('Portfolio Weights Returns'!$B$9:$BJ$69,
INT((ROW(A3419)-1)/COLUMNS('Portfolio Weights Returns'!$B$9:$BJ$69))+1,MOD(ROW(A3419)-1,COLUMNS('Portfolio Weights Returns'!$B$9:$BJ$69))+1)</f>
        <v>-8.1325731734254228E-4</v>
      </c>
      <c r="B3420" cm="1">
        <f t="array" ref="B3420">INDEX('Portfolio Weights Std'!$B$9:$BJ$69,INT((ROW(A3419)-1)/COLUMNS('Portfolio Weights Std'!$B$9:$BJ$69))+1,MOD(ROW(A3419)-1,COLUMNS('Portfolio Weights Std'!$B$9:$BJ$69))+1)</f>
        <v>2.2016751139597567E-2</v>
      </c>
    </row>
    <row r="3421" spans="1:2" x14ac:dyDescent="0.25">
      <c r="A3421" cm="1">
        <f t="array" ref="A3421">INDEX('Portfolio Weights Returns'!$B$9:$BJ$69,
INT((ROW(A3420)-1)/COLUMNS('Portfolio Weights Returns'!$B$9:$BJ$69))+1,MOD(ROW(A3420)-1,COLUMNS('Portfolio Weights Returns'!$B$9:$BJ$69))+1)</f>
        <v>-8.0647614337586325E-4</v>
      </c>
      <c r="B3421" cm="1">
        <f t="array" ref="B3421">INDEX('Portfolio Weights Std'!$B$9:$BJ$69,INT((ROW(A3420)-1)/COLUMNS('Portfolio Weights Std'!$B$9:$BJ$69))+1,MOD(ROW(A3420)-1,COLUMNS('Portfolio Weights Std'!$B$9:$BJ$69))+1)</f>
        <v>2.1877644701011972E-2</v>
      </c>
    </row>
    <row r="3422" spans="1:2" x14ac:dyDescent="0.25">
      <c r="A3422" cm="1">
        <f t="array" ref="A3422">INDEX('Portfolio Weights Returns'!$B$9:$BJ$69,
INT((ROW(A3421)-1)/COLUMNS('Portfolio Weights Returns'!$B$9:$BJ$69))+1,MOD(ROW(A3421)-1,COLUMNS('Portfolio Weights Returns'!$B$9:$BJ$69))+1)</f>
        <v>-7.996949694091841E-4</v>
      </c>
      <c r="B3422" cm="1">
        <f t="array" ref="B3422">INDEX('Portfolio Weights Std'!$B$9:$BJ$69,INT((ROW(A3421)-1)/COLUMNS('Portfolio Weights Std'!$B$9:$BJ$69))+1,MOD(ROW(A3421)-1,COLUMNS('Portfolio Weights Std'!$B$9:$BJ$69))+1)</f>
        <v>2.1739778067891808E-2</v>
      </c>
    </row>
    <row r="3423" spans="1:2" x14ac:dyDescent="0.25">
      <c r="A3423" cm="1">
        <f t="array" ref="A3423">INDEX('Portfolio Weights Returns'!$B$9:$BJ$69,
INT((ROW(A3422)-1)/COLUMNS('Portfolio Weights Returns'!$B$9:$BJ$69))+1,MOD(ROW(A3422)-1,COLUMNS('Portfolio Weights Returns'!$B$9:$BJ$69))+1)</f>
        <v>-7.9291379544250507E-4</v>
      </c>
      <c r="B3423" cm="1">
        <f t="array" ref="B3423">INDEX('Portfolio Weights Std'!$B$9:$BJ$69,INT((ROW(A3422)-1)/COLUMNS('Portfolio Weights Std'!$B$9:$BJ$69))+1,MOD(ROW(A3422)-1,COLUMNS('Portfolio Weights Std'!$B$9:$BJ$69))+1)</f>
        <v>2.1603174976734044E-2</v>
      </c>
    </row>
    <row r="3424" spans="1:2" x14ac:dyDescent="0.25">
      <c r="A3424" cm="1">
        <f t="array" ref="A3424">INDEX('Portfolio Weights Returns'!$B$9:$BJ$69,
INT((ROW(A3423)-1)/COLUMNS('Portfolio Weights Returns'!$B$9:$BJ$69))+1,MOD(ROW(A3423)-1,COLUMNS('Portfolio Weights Returns'!$B$9:$BJ$69))+1)</f>
        <v>-7.8613262147582592E-4</v>
      </c>
      <c r="B3424" cm="1">
        <f t="array" ref="B3424">INDEX('Portfolio Weights Std'!$B$9:$BJ$69,INT((ROW(A3423)-1)/COLUMNS('Portfolio Weights Std'!$B$9:$BJ$69))+1,MOD(ROW(A3423)-1,COLUMNS('Portfolio Weights Std'!$B$9:$BJ$69))+1)</f>
        <v>2.1467859547852276E-2</v>
      </c>
    </row>
    <row r="3425" spans="1:2" x14ac:dyDescent="0.25">
      <c r="A3425" cm="1">
        <f t="array" ref="A3425">INDEX('Portfolio Weights Returns'!$B$9:$BJ$69,
INT((ROW(A3424)-1)/COLUMNS('Portfolio Weights Returns'!$B$9:$BJ$69))+1,MOD(ROW(A3424)-1,COLUMNS('Portfolio Weights Returns'!$B$9:$BJ$69))+1)</f>
        <v>-7.7935144750914678E-4</v>
      </c>
      <c r="B3425" cm="1">
        <f t="array" ref="B3425">INDEX('Portfolio Weights Std'!$B$9:$BJ$69,INT((ROW(A3424)-1)/COLUMNS('Portfolio Weights Std'!$B$9:$BJ$69))+1,MOD(ROW(A3424)-1,COLUMNS('Portfolio Weights Std'!$B$9:$BJ$69))+1)</f>
        <v>2.1333856283240554E-2</v>
      </c>
    </row>
    <row r="3426" spans="1:2" x14ac:dyDescent="0.25">
      <c r="A3426" cm="1">
        <f t="array" ref="A3426">INDEX('Portfolio Weights Returns'!$B$9:$BJ$69,
INT((ROW(A3425)-1)/COLUMNS('Portfolio Weights Returns'!$B$9:$BJ$69))+1,MOD(ROW(A3425)-1,COLUMNS('Portfolio Weights Returns'!$B$9:$BJ$69))+1)</f>
        <v>-7.7257027354246763E-4</v>
      </c>
      <c r="B3426" cm="1">
        <f t="array" ref="B3426">INDEX('Portfolio Weights Std'!$B$9:$BJ$69,INT((ROW(A3425)-1)/COLUMNS('Portfolio Weights Std'!$B$9:$BJ$69))+1,MOD(ROW(A3425)-1,COLUMNS('Portfolio Weights Std'!$B$9:$BJ$69))+1)</f>
        <v>2.1201190063728465E-2</v>
      </c>
    </row>
    <row r="3427" spans="1:2" x14ac:dyDescent="0.25">
      <c r="A3427" cm="1">
        <f t="array" ref="A3427">INDEX('Portfolio Weights Returns'!$B$9:$BJ$69,
INT((ROW(A3426)-1)/COLUMNS('Portfolio Weights Returns'!$B$9:$BJ$69))+1,MOD(ROW(A3426)-1,COLUMNS('Portfolio Weights Returns'!$B$9:$BJ$69))+1)</f>
        <v>-7.6578909957578849E-4</v>
      </c>
      <c r="B3427" cm="1">
        <f t="array" ref="B3427">INDEX('Portfolio Weights Std'!$B$9:$BJ$69,INT((ROW(A3426)-1)/COLUMNS('Portfolio Weights Std'!$B$9:$BJ$69))+1,MOD(ROW(A3426)-1,COLUMNS('Portfolio Weights Std'!$B$9:$BJ$69))+1)</f>
        <v>2.1069886145383906E-2</v>
      </c>
    </row>
    <row r="3428" spans="1:2" x14ac:dyDescent="0.25">
      <c r="A3428" cm="1">
        <f t="array" ref="A3428">INDEX('Portfolio Weights Returns'!$B$9:$BJ$69,
INT((ROW(A3427)-1)/COLUMNS('Portfolio Weights Returns'!$B$9:$BJ$69))+1,MOD(ROW(A3427)-1,COLUMNS('Portfolio Weights Returns'!$B$9:$BJ$69))+1)</f>
        <v>-7.5900792560910945E-4</v>
      </c>
      <c r="B3428" cm="1">
        <f t="array" ref="B3428">INDEX('Portfolio Weights Std'!$B$9:$BJ$69,INT((ROW(A3427)-1)/COLUMNS('Portfolio Weights Std'!$B$9:$BJ$69))+1,MOD(ROW(A3427)-1,COLUMNS('Portfolio Weights Std'!$B$9:$BJ$69))+1)</f>
        <v>2.0939970155118864E-2</v>
      </c>
    </row>
    <row r="3429" spans="1:2" x14ac:dyDescent="0.25">
      <c r="A3429" cm="1">
        <f t="array" ref="A3429">INDEX('Portfolio Weights Returns'!$B$9:$BJ$69,
INT((ROW(A3428)-1)/COLUMNS('Portfolio Weights Returns'!$B$9:$BJ$69))+1,MOD(ROW(A3428)-1,COLUMNS('Portfolio Weights Returns'!$B$9:$BJ$69))+1)</f>
        <v>-7.5222675164243031E-4</v>
      </c>
      <c r="B3429" cm="1">
        <f t="array" ref="B3429">INDEX('Portfolio Weights Std'!$B$9:$BJ$69,INT((ROW(A3428)-1)/COLUMNS('Portfolio Weights Std'!$B$9:$BJ$69))+1,MOD(ROW(A3428)-1,COLUMNS('Portfolio Weights Std'!$B$9:$BJ$69))+1)</f>
        <v>2.0811468085452853E-2</v>
      </c>
    </row>
    <row r="3430" spans="1:2" x14ac:dyDescent="0.25">
      <c r="A3430" cm="1">
        <f t="array" ref="A3430">INDEX('Portfolio Weights Returns'!$B$9:$BJ$69,
INT((ROW(A3429)-1)/COLUMNS('Portfolio Weights Returns'!$B$9:$BJ$69))+1,MOD(ROW(A3429)-1,COLUMNS('Portfolio Weights Returns'!$B$9:$BJ$69))+1)</f>
        <v>-7.4544557767575127E-4</v>
      </c>
      <c r="B3430" cm="1">
        <f t="array" ref="B3430">INDEX('Portfolio Weights Std'!$B$9:$BJ$69,INT((ROW(A3429)-1)/COLUMNS('Portfolio Weights Std'!$B$9:$BJ$69))+1,MOD(ROW(A3429)-1,COLUMNS('Portfolio Weights Std'!$B$9:$BJ$69))+1)</f>
        <v>2.0684406288387937E-2</v>
      </c>
    </row>
    <row r="3431" spans="1:2" x14ac:dyDescent="0.25">
      <c r="A3431" cm="1">
        <f t="array" ref="A3431">INDEX('Portfolio Weights Returns'!$B$9:$BJ$69,
INT((ROW(A3430)-1)/COLUMNS('Portfolio Weights Returns'!$B$9:$BJ$69))+1,MOD(ROW(A3430)-1,COLUMNS('Portfolio Weights Returns'!$B$9:$BJ$69))+1)</f>
        <v>-7.3866440370907213E-4</v>
      </c>
      <c r="B3431" cm="1">
        <f t="array" ref="B3431">INDEX('Portfolio Weights Std'!$B$9:$BJ$69,INT((ROW(A3430)-1)/COLUMNS('Portfolio Weights Std'!$B$9:$BJ$69))+1,MOD(ROW(A3430)-1,COLUMNS('Portfolio Weights Std'!$B$9:$BJ$69))+1)</f>
        <v>2.0558811468348752E-2</v>
      </c>
    </row>
    <row r="3432" spans="1:2" x14ac:dyDescent="0.25">
      <c r="A3432" cm="1">
        <f t="array" ref="A3432">INDEX('Portfolio Weights Returns'!$B$9:$BJ$69,
INT((ROW(A3431)-1)/COLUMNS('Portfolio Weights Returns'!$B$9:$BJ$69))+1,MOD(ROW(A3431)-1,COLUMNS('Portfolio Weights Returns'!$B$9:$BJ$69))+1)</f>
        <v>-7.3188322974239309E-4</v>
      </c>
      <c r="B3432" cm="1">
        <f t="array" ref="B3432">INDEX('Portfolio Weights Std'!$B$9:$BJ$69,INT((ROW(A3431)-1)/COLUMNS('Portfolio Weights Std'!$B$9:$BJ$69))+1,MOD(ROW(A3431)-1,COLUMNS('Portfolio Weights Std'!$B$9:$BJ$69))+1)</f>
        <v>2.0434710674140703E-2</v>
      </c>
    </row>
    <row r="3433" spans="1:2" x14ac:dyDescent="0.25">
      <c r="A3433" cm="1">
        <f t="array" ref="A3433">INDEX('Portfolio Weights Returns'!$B$9:$BJ$69,
INT((ROW(A3432)-1)/COLUMNS('Portfolio Weights Returns'!$B$9:$BJ$69))+1,MOD(ROW(A3432)-1,COLUMNS('Portfolio Weights Returns'!$B$9:$BJ$69))+1)</f>
        <v>-7.2510205577571384E-4</v>
      </c>
      <c r="B3433" cm="1">
        <f t="array" ref="B3433">INDEX('Portfolio Weights Std'!$B$9:$BJ$69,INT((ROW(A3432)-1)/COLUMNS('Portfolio Weights Std'!$B$9:$BJ$69))+1,MOD(ROW(A3432)-1,COLUMNS('Portfolio Weights Std'!$B$9:$BJ$69))+1)</f>
        <v>2.0312131289879399E-2</v>
      </c>
    </row>
    <row r="3434" spans="1:2" x14ac:dyDescent="0.25">
      <c r="A3434" cm="1">
        <f t="array" ref="A3434">INDEX('Portfolio Weights Returns'!$B$9:$BJ$69,
INT((ROW(A3433)-1)/COLUMNS('Portfolio Weights Returns'!$B$9:$BJ$69))+1,MOD(ROW(A3433)-1,COLUMNS('Portfolio Weights Returns'!$B$9:$BJ$69))+1)</f>
        <v>-7.1832088180903502E-4</v>
      </c>
      <c r="B3434" cm="1">
        <f t="array" ref="B3434">INDEX('Portfolio Weights Std'!$B$9:$BJ$69,INT((ROW(A3433)-1)/COLUMNS('Portfolio Weights Std'!$B$9:$BJ$69))+1,MOD(ROW(A3433)-1,COLUMNS('Portfolio Weights Std'!$B$9:$BJ$69))+1)</f>
        <v>2.0191101024844619E-2</v>
      </c>
    </row>
    <row r="3435" spans="1:2" x14ac:dyDescent="0.25">
      <c r="A3435" cm="1">
        <f t="array" ref="A3435">INDEX('Portfolio Weights Returns'!$B$9:$BJ$69,
INT((ROW(A3434)-1)/COLUMNS('Portfolio Weights Returns'!$B$9:$BJ$69))+1,MOD(ROW(A3434)-1,COLUMNS('Portfolio Weights Returns'!$B$9:$BJ$69))+1)</f>
        <v>-7.1153970784235566E-4</v>
      </c>
      <c r="B3435" cm="1">
        <f t="array" ref="B3435">INDEX('Portfolio Weights Std'!$B$9:$BJ$69,INT((ROW(A3434)-1)/COLUMNS('Portfolio Weights Std'!$B$9:$BJ$69))+1,MOD(ROW(A3434)-1,COLUMNS('Portfolio Weights Std'!$B$9:$BJ$69))+1)</f>
        <v>2.0071647902212483E-2</v>
      </c>
    </row>
    <row r="3436" spans="1:2" x14ac:dyDescent="0.25">
      <c r="A3436" cm="1">
        <f t="array" ref="A3436">INDEX('Portfolio Weights Returns'!$B$9:$BJ$69,
INT((ROW(A3435)-1)/COLUMNS('Portfolio Weights Returns'!$B$9:$BJ$69))+1,MOD(ROW(A3435)-1,COLUMNS('Portfolio Weights Returns'!$B$9:$BJ$69))+1)</f>
        <v>-7.0475853387567673E-4</v>
      </c>
      <c r="B3436" cm="1">
        <f t="array" ref="B3436">INDEX('Portfolio Weights Std'!$B$9:$BJ$69,INT((ROW(A3435)-1)/COLUMNS('Portfolio Weights Std'!$B$9:$BJ$69))+1,MOD(ROW(A3435)-1,COLUMNS('Portfolio Weights Std'!$B$9:$BJ$69))+1)</f>
        <v>1.995380024662035E-2</v>
      </c>
    </row>
    <row r="3437" spans="1:2" x14ac:dyDescent="0.25">
      <c r="A3437" cm="1">
        <f t="array" ref="A3437">INDEX('Portfolio Weights Returns'!$B$9:$BJ$69,
INT((ROW(A3436)-1)/COLUMNS('Portfolio Weights Returns'!$B$9:$BJ$69))+1,MOD(ROW(A3436)-1,COLUMNS('Portfolio Weights Returns'!$B$9:$BJ$69))+1)</f>
        <v>-6.9797735990899759E-4</v>
      </c>
      <c r="B3437" cm="1">
        <f t="array" ref="B3437">INDEX('Portfolio Weights Std'!$B$9:$BJ$69,INT((ROW(A3436)-1)/COLUMNS('Portfolio Weights Std'!$B$9:$BJ$69))+1,MOD(ROW(A3436)-1,COLUMNS('Portfolio Weights Std'!$B$9:$BJ$69))+1)</f>
        <v>1.9837586670519873E-2</v>
      </c>
    </row>
    <row r="3438" spans="1:2" x14ac:dyDescent="0.25">
      <c r="A3438" cm="1">
        <f t="array" ref="A3438">INDEX('Portfolio Weights Returns'!$B$9:$BJ$69,
INT((ROW(A3437)-1)/COLUMNS('Portfolio Weights Returns'!$B$9:$BJ$69))+1,MOD(ROW(A3437)-1,COLUMNS('Portfolio Weights Returns'!$B$9:$BJ$69))+1)</f>
        <v>-6.9119618594231844E-4</v>
      </c>
      <c r="B3438" cm="1">
        <f t="array" ref="B3438">INDEX('Portfolio Weights Std'!$B$9:$BJ$69,INT((ROW(A3437)-1)/COLUMNS('Portfolio Weights Std'!$B$9:$BJ$69))+1,MOD(ROW(A3437)-1,COLUMNS('Portfolio Weights Std'!$B$9:$BJ$69))+1)</f>
        <v>1.9723036059275334E-2</v>
      </c>
    </row>
    <row r="3439" spans="1:2" x14ac:dyDescent="0.25">
      <c r="A3439" cm="1">
        <f t="array" ref="A3439">INDEX('Portfolio Weights Returns'!$B$9:$BJ$69,
INT((ROW(A3438)-1)/COLUMNS('Portfolio Weights Returns'!$B$9:$BJ$69))+1,MOD(ROW(A3438)-1,COLUMNS('Portfolio Weights Returns'!$B$9:$BJ$69))+1)</f>
        <v>-6.8441501197563941E-4</v>
      </c>
      <c r="B3439" cm="1">
        <f t="array" ref="B3439">INDEX('Portfolio Weights Std'!$B$9:$BJ$69,INT((ROW(A3438)-1)/COLUMNS('Portfolio Weights Std'!$B$9:$BJ$69))+1,MOD(ROW(A3438)-1,COLUMNS('Portfolio Weights Std'!$B$9:$BJ$69))+1)</f>
        <v>1.9610177554965899E-2</v>
      </c>
    </row>
    <row r="3440" spans="1:2" x14ac:dyDescent="0.25">
      <c r="A3440" cm="1">
        <f t="array" ref="A3440">INDEX('Portfolio Weights Returns'!$B$9:$BJ$69,
INT((ROW(A3439)-1)/COLUMNS('Portfolio Weights Returns'!$B$9:$BJ$69))+1,MOD(ROW(A3439)-1,COLUMNS('Portfolio Weights Returns'!$B$9:$BJ$69))+1)</f>
        <v>-6.7763383800896026E-4</v>
      </c>
      <c r="B3440" cm="1">
        <f t="array" ref="B3440">INDEX('Portfolio Weights Std'!$B$9:$BJ$69,INT((ROW(A3439)-1)/COLUMNS('Portfolio Weights Std'!$B$9:$BJ$69))+1,MOD(ROW(A3439)-1,COLUMNS('Portfolio Weights Std'!$B$9:$BJ$69))+1)</f>
        <v>1.9499040538852867E-2</v>
      </c>
    </row>
    <row r="3441" spans="1:2" x14ac:dyDescent="0.25">
      <c r="A3441" cm="1">
        <f t="array" ref="A3441">INDEX('Portfolio Weights Returns'!$B$9:$BJ$69,
INT((ROW(A3440)-1)/COLUMNS('Portfolio Weights Returns'!$B$9:$BJ$69))+1,MOD(ROW(A3440)-1,COLUMNS('Portfolio Weights Returns'!$B$9:$BJ$69))+1)</f>
        <v>-6.7085266404228122E-4</v>
      </c>
      <c r="B3441" cm="1">
        <f t="array" ref="B3441">INDEX('Portfolio Weights Std'!$B$9:$BJ$69,INT((ROW(A3440)-1)/COLUMNS('Portfolio Weights Std'!$B$9:$BJ$69))+1,MOD(ROW(A3440)-1,COLUMNS('Portfolio Weights Std'!$B$9:$BJ$69))+1)</f>
        <v>1.9389654612475507E-2</v>
      </c>
    </row>
    <row r="3442" spans="1:2" x14ac:dyDescent="0.25">
      <c r="A3442" cm="1">
        <f t="array" ref="A3442">INDEX('Portfolio Weights Returns'!$B$9:$BJ$69,
INT((ROW(A3441)-1)/COLUMNS('Portfolio Weights Returns'!$B$9:$BJ$69))+1,MOD(ROW(A3441)-1,COLUMNS('Portfolio Weights Returns'!$B$9:$BJ$69))+1)</f>
        <v>-6.6407149007560208E-4</v>
      </c>
      <c r="B3442" cm="1">
        <f t="array" ref="B3442">INDEX('Portfolio Weights Std'!$B$9:$BJ$69,INT((ROW(A3441)-1)/COLUMNS('Portfolio Weights Std'!$B$9:$BJ$69))+1,MOD(ROW(A3441)-1,COLUMNS('Portfolio Weights Std'!$B$9:$BJ$69))+1)</f>
        <v>1.9282049577342232E-2</v>
      </c>
    </row>
    <row r="3443" spans="1:2" x14ac:dyDescent="0.25">
      <c r="A3443" cm="1">
        <f t="array" ref="A3443">INDEX('Portfolio Weights Returns'!$B$9:$BJ$69,
INT((ROW(A3442)-1)/COLUMNS('Portfolio Weights Returns'!$B$9:$BJ$69))+1,MOD(ROW(A3442)-1,COLUMNS('Portfolio Weights Returns'!$B$9:$BJ$69))+1)</f>
        <v>-6.5729031610892304E-4</v>
      </c>
      <c r="B3443" cm="1">
        <f t="array" ref="B3443">INDEX('Portfolio Weights Std'!$B$9:$BJ$69,INT((ROW(A3442)-1)/COLUMNS('Portfolio Weights Std'!$B$9:$BJ$69))+1,MOD(ROW(A3442)-1,COLUMNS('Portfolio Weights Std'!$B$9:$BJ$69))+1)</f>
        <v>1.9176255413187446E-2</v>
      </c>
    </row>
    <row r="3444" spans="1:2" x14ac:dyDescent="0.25">
      <c r="A3444" cm="1">
        <f t="array" ref="A3444">INDEX('Portfolio Weights Returns'!$B$9:$BJ$69,
INT((ROW(A3443)-1)/COLUMNS('Portfolio Weights Returns'!$B$9:$BJ$69))+1,MOD(ROW(A3443)-1,COLUMNS('Portfolio Weights Returns'!$B$9:$BJ$69))+1)</f>
        <v>-6.5050914214224379E-4</v>
      </c>
      <c r="B3444" cm="1">
        <f t="array" ref="B3444">INDEX('Portfolio Weights Std'!$B$9:$BJ$69,INT((ROW(A3443)-1)/COLUMNS('Portfolio Weights Std'!$B$9:$BJ$69))+1,MOD(ROW(A3443)-1,COLUMNS('Portfolio Weights Std'!$B$9:$BJ$69))+1)</f>
        <v>1.9072302254768393E-2</v>
      </c>
    </row>
    <row r="3445" spans="1:2" x14ac:dyDescent="0.25">
      <c r="A3445" cm="1">
        <f t="array" ref="A3445">INDEX('Portfolio Weights Returns'!$B$9:$BJ$69,
INT((ROW(A3444)-1)/COLUMNS('Portfolio Weights Returns'!$B$9:$BJ$69))+1,MOD(ROW(A3444)-1,COLUMNS('Portfolio Weights Returns'!$B$9:$BJ$69))+1)</f>
        <v>-6.4372796817556465E-4</v>
      </c>
      <c r="B3445" cm="1">
        <f t="array" ref="B3445">INDEX('Portfolio Weights Std'!$B$9:$BJ$69,INT((ROW(A3444)-1)/COLUMNS('Portfolio Weights Std'!$B$9:$BJ$69))+1,MOD(ROW(A3444)-1,COLUMNS('Portfolio Weights Std'!$B$9:$BJ$69))+1)</f>
        <v>1.8970220367181094E-2</v>
      </c>
    </row>
    <row r="3446" spans="1:2" x14ac:dyDescent="0.25">
      <c r="A3446" cm="1">
        <f t="array" ref="A3446">INDEX('Portfolio Weights Returns'!$B$9:$BJ$69,
INT((ROW(A3445)-1)/COLUMNS('Portfolio Weights Returns'!$B$9:$BJ$69))+1,MOD(ROW(A3445)-1,COLUMNS('Portfolio Weights Returns'!$B$9:$BJ$69))+1)</f>
        <v>-6.3694679420888561E-4</v>
      </c>
      <c r="B3446" cm="1">
        <f t="array" ref="B3446">INDEX('Portfolio Weights Std'!$B$9:$BJ$69,INT((ROW(A3445)-1)/COLUMNS('Portfolio Weights Std'!$B$9:$BJ$69))+1,MOD(ROW(A3445)-1,COLUMNS('Portfolio Weights Std'!$B$9:$BJ$69))+1)</f>
        <v>1.8870040119679323E-2</v>
      </c>
    </row>
    <row r="3447" spans="1:2" x14ac:dyDescent="0.25">
      <c r="A3447" cm="1">
        <f t="array" ref="A3447">INDEX('Portfolio Weights Returns'!$B$9:$BJ$69,
INT((ROW(A3446)-1)/COLUMNS('Portfolio Weights Returns'!$B$9:$BJ$69))+1,MOD(ROW(A3446)-1,COLUMNS('Portfolio Weights Returns'!$B$9:$BJ$69))+1)</f>
        <v>-6.3016562024220647E-4</v>
      </c>
      <c r="B3447" cm="1">
        <f t="array" ref="B3447">INDEX('Portfolio Weights Std'!$B$9:$BJ$69,INT((ROW(A3446)-1)/COLUMNS('Portfolio Weights Std'!$B$9:$BJ$69))+1,MOD(ROW(A3446)-1,COLUMNS('Portfolio Weights Std'!$B$9:$BJ$69))+1)</f>
        <v>1.8771791957986537E-2</v>
      </c>
    </row>
    <row r="3448" spans="1:2" x14ac:dyDescent="0.25">
      <c r="A3448" cm="1">
        <f t="array" ref="A3448">INDEX('Portfolio Weights Returns'!$B$9:$BJ$69,
INT((ROW(A3447)-1)/COLUMNS('Portfolio Weights Returns'!$B$9:$BJ$69))+1,MOD(ROW(A3447)-1,COLUMNS('Portfolio Weights Returns'!$B$9:$BJ$69))+1)</f>
        <v>-6.2338444627552743E-4</v>
      </c>
      <c r="B3448" cm="1">
        <f t="array" ref="B3448">INDEX('Portfolio Weights Std'!$B$9:$BJ$69,INT((ROW(A3447)-1)/COLUMNS('Portfolio Weights Std'!$B$9:$BJ$69))+1,MOD(ROW(A3447)-1,COLUMNS('Portfolio Weights Std'!$B$9:$BJ$69))+1)</f>
        <v>1.8675506375096622E-2</v>
      </c>
    </row>
    <row r="3449" spans="1:2" x14ac:dyDescent="0.25">
      <c r="A3449" cm="1">
        <f t="array" ref="A3449">INDEX('Portfolio Weights Returns'!$B$9:$BJ$69,
INT((ROW(A3448)-1)/COLUMNS('Portfolio Weights Returns'!$B$9:$BJ$69))+1,MOD(ROW(A3448)-1,COLUMNS('Portfolio Weights Returns'!$B$9:$BJ$69))+1)</f>
        <v>-6.1660327230884829E-4</v>
      </c>
      <c r="B3449" cm="1">
        <f t="array" ref="B3449">INDEX('Portfolio Weights Std'!$B$9:$BJ$69,INT((ROW(A3448)-1)/COLUMNS('Portfolio Weights Std'!$B$9:$BJ$69))+1,MOD(ROW(A3448)-1,COLUMNS('Portfolio Weights Std'!$B$9:$BJ$69))+1)</f>
        <v>1.8581213880566234E-2</v>
      </c>
    </row>
    <row r="3450" spans="1:2" x14ac:dyDescent="0.25">
      <c r="A3450" cm="1">
        <f t="array" ref="A3450">INDEX('Portfolio Weights Returns'!$B$9:$BJ$69,
INT((ROW(A3449)-1)/COLUMNS('Portfolio Weights Returns'!$B$9:$BJ$69))+1,MOD(ROW(A3449)-1,COLUMNS('Portfolio Weights Returns'!$B$9:$BJ$69))+1)</f>
        <v>-6.0982209834216925E-4</v>
      </c>
      <c r="B3450" cm="1">
        <f t="array" ref="B3450">INDEX('Portfolio Weights Std'!$B$9:$BJ$69,INT((ROW(A3449)-1)/COLUMNS('Portfolio Weights Std'!$B$9:$BJ$69))+1,MOD(ROW(A3449)-1,COLUMNS('Portfolio Weights Std'!$B$9:$BJ$69))+1)</f>
        <v>1.8488944968308649E-2</v>
      </c>
    </row>
    <row r="3451" spans="1:2" x14ac:dyDescent="0.25">
      <c r="A3451" cm="1">
        <f t="array" ref="A3451">INDEX('Portfolio Weights Returns'!$B$9:$BJ$69,
INT((ROW(A3450)-1)/COLUMNS('Portfolio Weights Returns'!$B$9:$BJ$69))+1,MOD(ROW(A3450)-1,COLUMNS('Portfolio Weights Returns'!$B$9:$BJ$69))+1)</f>
        <v>-6.0304092437549E-4</v>
      </c>
      <c r="B3451" cm="1">
        <f t="array" ref="B3451">INDEX('Portfolio Weights Std'!$B$9:$BJ$69,INT((ROW(A3450)-1)/COLUMNS('Portfolio Weights Std'!$B$9:$BJ$69))+1,MOD(ROW(A3450)-1,COLUMNS('Portfolio Weights Std'!$B$9:$BJ$69))+1)</f>
        <v>1.8398730082907086E-2</v>
      </c>
    </row>
    <row r="3452" spans="1:2" x14ac:dyDescent="0.25">
      <c r="A3452" cm="1">
        <f t="array" ref="A3452">INDEX('Portfolio Weights Returns'!$B$9:$BJ$69,
INT((ROW(A3451)-1)/COLUMNS('Portfolio Weights Returns'!$B$9:$BJ$69))+1,MOD(ROW(A3451)-1,COLUMNS('Portfolio Weights Returns'!$B$9:$BJ$69))+1)</f>
        <v>-5.9625975040881096E-4</v>
      </c>
      <c r="B3452" cm="1">
        <f t="array" ref="B3452">INDEX('Portfolio Weights Std'!$B$9:$BJ$69,INT((ROW(A3451)-1)/COLUMNS('Portfolio Weights Std'!$B$9:$BJ$69))+1,MOD(ROW(A3451)-1,COLUMNS('Portfolio Weights Std'!$B$9:$BJ$69))+1)</f>
        <v>1.8310599584473484E-2</v>
      </c>
    </row>
    <row r="3453" spans="1:2" x14ac:dyDescent="0.25">
      <c r="A3453" cm="1">
        <f t="array" ref="A3453">INDEX('Portfolio Weights Returns'!$B$9:$BJ$69,
INT((ROW(A3452)-1)/COLUMNS('Portfolio Weights Returns'!$B$9:$BJ$69))+1,MOD(ROW(A3452)-1,COLUMNS('Portfolio Weights Returns'!$B$9:$BJ$69))+1)</f>
        <v>-5.8947857644213182E-4</v>
      </c>
      <c r="B3453" cm="1">
        <f t="array" ref="B3453">INDEX('Portfolio Weights Std'!$B$9:$BJ$69,INT((ROW(A3452)-1)/COLUMNS('Portfolio Weights Std'!$B$9:$BJ$69))+1,MOD(ROW(A3452)-1,COLUMNS('Portfolio Weights Std'!$B$9:$BJ$69))+1)</f>
        <v>1.8224583712087825E-2</v>
      </c>
    </row>
    <row r="3454" spans="1:2" x14ac:dyDescent="0.25">
      <c r="A3454" cm="1">
        <f t="array" ref="A3454">INDEX('Portfolio Weights Returns'!$B$9:$BJ$69,
INT((ROW(A3453)-1)/COLUMNS('Portfolio Weights Returns'!$B$9:$BJ$69))+1,MOD(ROW(A3453)-1,COLUMNS('Portfolio Weights Returns'!$B$9:$BJ$69))+1)</f>
        <v>-5.8269740247545278E-4</v>
      </c>
      <c r="B3454" cm="1">
        <f t="array" ref="B3454">INDEX('Portfolio Weights Std'!$B$9:$BJ$69,INT((ROW(A3453)-1)/COLUMNS('Portfolio Weights Std'!$B$9:$BJ$69))+1,MOD(ROW(A3453)-1,COLUMNS('Portfolio Weights Std'!$B$9:$BJ$69))+1)</f>
        <v>1.8140712545862116E-2</v>
      </c>
    </row>
    <row r="3455" spans="1:2" x14ac:dyDescent="0.25">
      <c r="A3455" cm="1">
        <f t="array" ref="A3455">INDEX('Portfolio Weights Returns'!$B$9:$BJ$69,
INT((ROW(A3454)-1)/COLUMNS('Portfolio Weights Returns'!$B$9:$BJ$69))+1,MOD(ROW(A3454)-1,COLUMNS('Portfolio Weights Returns'!$B$9:$BJ$69))+1)</f>
        <v>-5.7591622850877364E-4</v>
      </c>
      <c r="B3455" cm="1">
        <f t="array" ref="B3455">INDEX('Portfolio Weights Std'!$B$9:$BJ$69,INT((ROW(A3454)-1)/COLUMNS('Portfolio Weights Std'!$B$9:$BJ$69))+1,MOD(ROW(A3454)-1,COLUMNS('Portfolio Weights Std'!$B$9:$BJ$69))+1)</f>
        <v>1.8059015967682938E-2</v>
      </c>
    </row>
    <row r="3456" spans="1:2" x14ac:dyDescent="0.25">
      <c r="A3456" cm="1">
        <f t="array" ref="A3456">INDEX('Portfolio Weights Returns'!$B$9:$BJ$69,
INT((ROW(A3455)-1)/COLUMNS('Portfolio Weights Returns'!$B$9:$BJ$69))+1,MOD(ROW(A3455)-1,COLUMNS('Portfolio Weights Returns'!$B$9:$BJ$69))+1)</f>
        <v>-5.691350545420946E-4</v>
      </c>
      <c r="B3456" cm="1">
        <f t="array" ref="B3456">INDEX('Portfolio Weights Std'!$B$9:$BJ$69,INT((ROW(A3455)-1)/COLUMNS('Portfolio Weights Std'!$B$9:$BJ$69))+1,MOD(ROW(A3455)-1,COLUMNS('Portfolio Weights Std'!$B$9:$BJ$69))+1)</f>
        <v>1.7979523620696446E-2</v>
      </c>
    </row>
    <row r="3457" spans="1:2" x14ac:dyDescent="0.25">
      <c r="A3457" cm="1">
        <f t="array" ref="A3457">INDEX('Portfolio Weights Returns'!$B$9:$BJ$69,
INT((ROW(A3456)-1)/COLUMNS('Portfolio Weights Returns'!$B$9:$BJ$69))+1,MOD(ROW(A3456)-1,COLUMNS('Portfolio Weights Returns'!$B$9:$BJ$69))+1)</f>
        <v>-5.6235388057541546E-4</v>
      </c>
      <c r="B3457" cm="1">
        <f t="array" ref="B3457">INDEX('Portfolio Weights Std'!$B$9:$BJ$69,INT((ROW(A3456)-1)/COLUMNS('Portfolio Weights Std'!$B$9:$BJ$69))+1,MOD(ROW(A3456)-1,COLUMNS('Portfolio Weights Std'!$B$9:$BJ$69))+1)</f>
        <v>1.790226486760995E-2</v>
      </c>
    </row>
    <row r="3458" spans="1:2" x14ac:dyDescent="0.25">
      <c r="A3458" cm="1">
        <f t="array" ref="A3458">INDEX('Portfolio Weights Returns'!$B$9:$BJ$69,
INT((ROW(A3457)-1)/COLUMNS('Portfolio Weights Returns'!$B$9:$BJ$69))+1,MOD(ROW(A3457)-1,COLUMNS('Portfolio Weights Returns'!$B$9:$BJ$69))+1)</f>
        <v>-5.5557270660873631E-4</v>
      </c>
      <c r="B3458" cm="1">
        <f t="array" ref="B3458">INDEX('Portfolio Weights Std'!$B$9:$BJ$69,INT((ROW(A3457)-1)/COLUMNS('Portfolio Weights Std'!$B$9:$BJ$69))+1,MOD(ROW(A3457)-1,COLUMNS('Portfolio Weights Std'!$B$9:$BJ$69))+1)</f>
        <v>1.7827268747894823E-2</v>
      </c>
    </row>
    <row r="3459" spans="1:2" x14ac:dyDescent="0.25">
      <c r="A3459" cm="1">
        <f t="array" ref="A3459">INDEX('Portfolio Weights Returns'!$B$9:$BJ$69,
INT((ROW(A3458)-1)/COLUMNS('Portfolio Weights Returns'!$B$9:$BJ$69))+1,MOD(ROW(A3458)-1,COLUMNS('Portfolio Weights Returns'!$B$9:$BJ$69))+1)</f>
        <v>-5.4879153264205728E-4</v>
      </c>
      <c r="B3459" cm="1">
        <f t="array" ref="B3459">INDEX('Portfolio Weights Std'!$B$9:$BJ$69,INT((ROW(A3458)-1)/COLUMNS('Portfolio Weights Std'!$B$9:$BJ$69))+1,MOD(ROW(A3458)-1,COLUMNS('Portfolio Weights Std'!$B$9:$BJ$69))+1)</f>
        <v>1.7754563933986084E-2</v>
      </c>
    </row>
    <row r="3460" spans="1:2" x14ac:dyDescent="0.25">
      <c r="A3460" cm="1">
        <f t="array" ref="A3460">INDEX('Portfolio Weights Returns'!$B$9:$BJ$69,
INT((ROW(A3459)-1)/COLUMNS('Portfolio Weights Returns'!$B$9:$BJ$69))+1,MOD(ROW(A3459)-1,COLUMNS('Portfolio Weights Returns'!$B$9:$BJ$69))+1)</f>
        <v>-5.4201035867537813E-4</v>
      </c>
      <c r="B3460" cm="1">
        <f t="array" ref="B3460">INDEX('Portfolio Weights Std'!$B$9:$BJ$69,INT((ROW(A3459)-1)/COLUMNS('Portfolio Weights Std'!$B$9:$BJ$69))+1,MOD(ROW(A3459)-1,COLUMNS('Portfolio Weights Std'!$B$9:$BJ$69))+1)</f>
        <v>1.7684178686584718E-2</v>
      </c>
    </row>
    <row r="3461" spans="1:2" x14ac:dyDescent="0.25">
      <c r="A3461" cm="1">
        <f t="array" ref="A3461">INDEX('Portfolio Weights Returns'!$B$9:$BJ$69,
INT((ROW(A3460)-1)/COLUMNS('Portfolio Weights Returns'!$B$9:$BJ$69))+1,MOD(ROW(A3460)-1,COLUMNS('Portfolio Weights Returns'!$B$9:$BJ$69))+1)</f>
        <v>-5.352291847086991E-4</v>
      </c>
      <c r="B3461" cm="1">
        <f t="array" ref="B3461">INDEX('Portfolio Weights Std'!$B$9:$BJ$69,INT((ROW(A3460)-1)/COLUMNS('Portfolio Weights Std'!$B$9:$BJ$69))+1,MOD(ROW(A3460)-1,COLUMNS('Portfolio Weights Std'!$B$9:$BJ$69))+1)</f>
        <v>1.7616140809179545E-2</v>
      </c>
    </row>
    <row r="3462" spans="1:2" x14ac:dyDescent="0.25">
      <c r="A3462" cm="1">
        <f t="array" ref="A3462">INDEX('Portfolio Weights Returns'!$B$9:$BJ$69,
INT((ROW(A3461)-1)/COLUMNS('Portfolio Weights Returns'!$B$9:$BJ$69))+1,MOD(ROW(A3461)-1,COLUMNS('Portfolio Weights Returns'!$B$9:$BJ$69))+1)</f>
        <v>-5.2844801074201995E-4</v>
      </c>
      <c r="B3462" cm="1">
        <f t="array" ref="B3462">INDEX('Portfolio Weights Std'!$B$9:$BJ$69,INT((ROW(A3461)-1)/COLUMNS('Portfolio Weights Std'!$B$9:$BJ$69))+1,MOD(ROW(A3461)-1,COLUMNS('Portfolio Weights Std'!$B$9:$BJ$69))+1)</f>
        <v>1.7550477601915873E-2</v>
      </c>
    </row>
    <row r="3463" spans="1:2" x14ac:dyDescent="0.25">
      <c r="A3463" cm="1">
        <f t="array" ref="A3463">INDEX('Portfolio Weights Returns'!$B$9:$BJ$69,
INT((ROW(A3462)-1)/COLUMNS('Portfolio Weights Returns'!$B$9:$BJ$69))+1,MOD(ROW(A3462)-1,COLUMNS('Portfolio Weights Returns'!$B$9:$BJ$69))+1)</f>
        <v>-5.2166683677534081E-4</v>
      </c>
      <c r="B3463" cm="1">
        <f t="array" ref="B3463">INDEX('Portfolio Weights Std'!$B$9:$BJ$69,INT((ROW(A3462)-1)/COLUMNS('Portfolio Weights Std'!$B$9:$BJ$69))+1,MOD(ROW(A3462)-1,COLUMNS('Portfolio Weights Std'!$B$9:$BJ$69))+1)</f>
        <v>1.748721581494854E-2</v>
      </c>
    </row>
    <row r="3464" spans="1:2" x14ac:dyDescent="0.25">
      <c r="A3464" cm="1">
        <f t="array" ref="A3464">INDEX('Portfolio Weights Returns'!$B$9:$BJ$69,
INT((ROW(A3463)-1)/COLUMNS('Portfolio Weights Returns'!$B$9:$BJ$69))+1,MOD(ROW(A3463)-1,COLUMNS('Portfolio Weights Returns'!$B$9:$BJ$69))+1)</f>
        <v>-5.1488566280866177E-4</v>
      </c>
      <c r="B3464" cm="1">
        <f t="array" ref="B3464">INDEX('Portfolio Weights Std'!$B$9:$BJ$69,INT((ROW(A3463)-1)/COLUMNS('Portfolio Weights Std'!$B$9:$BJ$69))+1,MOD(ROW(A3463)-1,COLUMNS('Portfolio Weights Std'!$B$9:$BJ$69))+1)</f>
        <v>1.742638160142684E-2</v>
      </c>
    </row>
    <row r="3465" spans="1:2" x14ac:dyDescent="0.25">
      <c r="A3465" cm="1">
        <f t="array" ref="A3465">INDEX('Portfolio Weights Returns'!$B$9:$BJ$69,
INT((ROW(A3464)-1)/COLUMNS('Portfolio Weights Returns'!$B$9:$BJ$69))+1,MOD(ROW(A3464)-1,COLUMNS('Portfolio Weights Returns'!$B$9:$BJ$69))+1)</f>
        <v>-5.0810448884198263E-4</v>
      </c>
      <c r="B3465" cm="1">
        <f t="array" ref="B3465">INDEX('Portfolio Weights Std'!$B$9:$BJ$69,INT((ROW(A3464)-1)/COLUMNS('Portfolio Weights Std'!$B$9:$BJ$69))+1,MOD(ROW(A3464)-1,COLUMNS('Portfolio Weights Std'!$B$9:$BJ$69))+1)</f>
        <v>1.736800047026817E-2</v>
      </c>
    </row>
    <row r="3466" spans="1:2" x14ac:dyDescent="0.25">
      <c r="A3466" cm="1">
        <f t="array" ref="A3466">INDEX('Portfolio Weights Returns'!$B$9:$BJ$69,
INT((ROW(A3465)-1)/COLUMNS('Portfolio Weights Returns'!$B$9:$BJ$69))+1,MOD(ROW(A3465)-1,COLUMNS('Portfolio Weights Returns'!$B$9:$BJ$69))+1)</f>
        <v>-5.0132331487530359E-4</v>
      </c>
      <c r="B3466" cm="1">
        <f t="array" ref="B3466">INDEX('Portfolio Weights Std'!$B$9:$BJ$69,INT((ROW(A3465)-1)/COLUMNS('Portfolio Weights Std'!$B$9:$BJ$69))+1,MOD(ROW(A3465)-1,COLUMNS('Portfolio Weights Std'!$B$9:$BJ$69))+1)</f>
        <v>1.7312097238886135E-2</v>
      </c>
    </row>
    <row r="3467" spans="1:2" x14ac:dyDescent="0.25">
      <c r="A3467" cm="1">
        <f t="array" ref="A3467">INDEX('Portfolio Weights Returns'!$B$9:$BJ$69,
INT((ROW(A3466)-1)/COLUMNS('Portfolio Weights Returns'!$B$9:$BJ$69))+1,MOD(ROW(A3466)-1,COLUMNS('Portfolio Weights Returns'!$B$9:$BJ$69))+1)</f>
        <v>-4.9454214090862445E-4</v>
      </c>
      <c r="B3467" cm="1">
        <f t="array" ref="B3467">INDEX('Portfolio Weights Std'!$B$9:$BJ$69,INT((ROW(A3466)-1)/COLUMNS('Portfolio Weights Std'!$B$9:$BJ$69))+1,MOD(ROW(A3466)-1,COLUMNS('Portfolio Weights Std'!$B$9:$BJ$69))+1)</f>
        <v>1.7258695986046808E-2</v>
      </c>
    </row>
    <row r="3468" spans="1:2" x14ac:dyDescent="0.25">
      <c r="A3468" cm="1">
        <f t="array" ref="A3468">INDEX('Portfolio Weights Returns'!$B$9:$BJ$69,
INT((ROW(A3467)-1)/COLUMNS('Portfolio Weights Returns'!$B$9:$BJ$69))+1,MOD(ROW(A3467)-1,COLUMNS('Portfolio Weights Returns'!$B$9:$BJ$69))+1)</f>
        <v>-4.8776096694194536E-4</v>
      </c>
      <c r="B3468" cm="1">
        <f t="array" ref="B3468">INDEX('Portfolio Weights Std'!$B$9:$BJ$69,INT((ROW(A3467)-1)/COLUMNS('Portfolio Weights Std'!$B$9:$BJ$69))+1,MOD(ROW(A3467)-1,COLUMNS('Portfolio Weights Std'!$B$9:$BJ$69))+1)</f>
        <v>1.7207820005034152E-2</v>
      </c>
    </row>
    <row r="3469" spans="1:2" x14ac:dyDescent="0.25">
      <c r="A3469" cm="1">
        <f t="array" ref="A3469">INDEX('Portfolio Weights Returns'!$B$9:$BJ$69,
INT((ROW(A3468)-1)/COLUMNS('Portfolio Weights Returns'!$B$9:$BJ$69))+1,MOD(ROW(A3468)-1,COLUMNS('Portfolio Weights Returns'!$B$9:$BJ$69))+1)</f>
        <v>-4.8097979297526627E-4</v>
      </c>
      <c r="B3469" cm="1">
        <f t="array" ref="B3469">INDEX('Portfolio Weights Std'!$B$9:$BJ$69,INT((ROW(A3468)-1)/COLUMNS('Portfolio Weights Std'!$B$9:$BJ$69))+1,MOD(ROW(A3468)-1,COLUMNS('Portfolio Weights Std'!$B$9:$BJ$69))+1)</f>
        <v>1.7159491757311601E-2</v>
      </c>
    </row>
    <row r="3470" spans="1:2" x14ac:dyDescent="0.25">
      <c r="A3470" cm="1">
        <f t="array" ref="A3470">INDEX('Portfolio Weights Returns'!$B$9:$BJ$69,
INT((ROW(A3469)-1)/COLUMNS('Portfolio Weights Returns'!$B$9:$BJ$69))+1,MOD(ROW(A3469)-1,COLUMNS('Portfolio Weights Returns'!$B$9:$BJ$69))+1)</f>
        <v>-4.7419861900858712E-4</v>
      </c>
      <c r="B3470" cm="1">
        <f t="array" ref="B3470">INDEX('Portfolio Weights Std'!$B$9:$BJ$69,INT((ROW(A3469)-1)/COLUMNS('Portfolio Weights Std'!$B$9:$BJ$69))+1,MOD(ROW(A3469)-1,COLUMNS('Portfolio Weights Std'!$B$9:$BJ$69))+1)</f>
        <v>1.7113732826872164E-2</v>
      </c>
    </row>
    <row r="3471" spans="1:2" x14ac:dyDescent="0.25">
      <c r="A3471" cm="1">
        <f t="array" ref="A3471">INDEX('Portfolio Weights Returns'!$B$9:$BJ$69,
INT((ROW(A3470)-1)/COLUMNS('Portfolio Weights Returns'!$B$9:$BJ$69))+1,MOD(ROW(A3470)-1,COLUMNS('Portfolio Weights Returns'!$B$9:$BJ$69))+1)</f>
        <v>-4.6741744504190798E-4</v>
      </c>
      <c r="B3471" cm="1">
        <f t="array" ref="B3471">INDEX('Portfolio Weights Std'!$B$9:$BJ$69,INT((ROW(A3470)-1)/COLUMNS('Portfolio Weights Std'!$B$9:$BJ$69))+1,MOD(ROW(A3470)-1,COLUMNS('Portfolio Weights Std'!$B$9:$BJ$69))+1)</f>
        <v>1.7070563875473035E-2</v>
      </c>
    </row>
    <row r="3472" spans="1:2" x14ac:dyDescent="0.25">
      <c r="A3472" cm="1">
        <f t="array" ref="A3472">INDEX('Portfolio Weights Returns'!$B$9:$BJ$69,
INT((ROW(A3471)-1)/COLUMNS('Portfolio Weights Returns'!$B$9:$BJ$69))+1,MOD(ROW(A3471)-1,COLUMNS('Portfolio Weights Returns'!$B$9:$BJ$69))+1)</f>
        <v>-4.6063627107522889E-4</v>
      </c>
      <c r="B3472" cm="1">
        <f t="array" ref="B3472">INDEX('Portfolio Weights Std'!$B$9:$BJ$69,INT((ROW(A3471)-1)/COLUMNS('Portfolio Weights Std'!$B$9:$BJ$69))+1,MOD(ROW(A3471)-1,COLUMNS('Portfolio Weights Std'!$B$9:$BJ$69))+1)</f>
        <v>1.7030004598953402E-2</v>
      </c>
    </row>
    <row r="3473" spans="1:2" x14ac:dyDescent="0.25">
      <c r="A3473" cm="1">
        <f t="array" ref="A3473">INDEX('Portfolio Weights Returns'!$B$9:$BJ$69,
INT((ROW(A3472)-1)/COLUMNS('Portfolio Weights Returns'!$B$9:$BJ$69))+1,MOD(ROW(A3472)-1,COLUMNS('Portfolio Weights Returns'!$B$9:$BJ$69))+1)</f>
        <v>-4.538550971085498E-4</v>
      </c>
      <c r="B3473" cm="1">
        <f t="array" ref="B3473">INDEX('Portfolio Weights Std'!$B$9:$BJ$69,INT((ROW(A3472)-1)/COLUMNS('Portfolio Weights Std'!$B$9:$BJ$69))+1,MOD(ROW(A3472)-1,COLUMNS('Portfolio Weights Std'!$B$9:$BJ$69))+1)</f>
        <v>1.6992073684835202E-2</v>
      </c>
    </row>
    <row r="3474" spans="1:2" x14ac:dyDescent="0.25">
      <c r="A3474" cm="1">
        <f t="array" ref="A3474">INDEX('Portfolio Weights Returns'!$B$9:$BJ$69,
INT((ROW(A3473)-1)/COLUMNS('Portfolio Weights Returns'!$B$9:$BJ$69))+1,MOD(ROW(A3473)-1,COLUMNS('Portfolio Weights Returns'!$B$9:$BJ$69))+1)</f>
        <v>-4.4707392314187065E-4</v>
      </c>
      <c r="B3474" cm="1">
        <f t="array" ref="B3474">INDEX('Portfolio Weights Std'!$B$9:$BJ$69,INT((ROW(A3473)-1)/COLUMNS('Portfolio Weights Std'!$B$9:$BJ$69))+1,MOD(ROW(A3473)-1,COLUMNS('Portfolio Weights Std'!$B$9:$BJ$69))+1)</f>
        <v>1.6956788771406273E-2</v>
      </c>
    </row>
    <row r="3475" spans="1:2" x14ac:dyDescent="0.25">
      <c r="A3475" cm="1">
        <f t="array" ref="A3475">INDEX('Portfolio Weights Returns'!$B$9:$BJ$69,
INT((ROW(A3474)-1)/COLUMNS('Portfolio Weights Returns'!$B$9:$BJ$69))+1,MOD(ROW(A3474)-1,COLUMNS('Portfolio Weights Returns'!$B$9:$BJ$69))+1)</f>
        <v>-4.4029274917519086E-4</v>
      </c>
      <c r="B3475" cm="1">
        <f t="array" ref="B3475">INDEX('Portfolio Weights Std'!$B$9:$BJ$69,INT((ROW(A3474)-1)/COLUMNS('Portfolio Weights Std'!$B$9:$BJ$69))+1,MOD(ROW(A3474)-1,COLUMNS('Portfolio Weights Std'!$B$9:$BJ$69))+1)</f>
        <v>1.6924166408483363E-2</v>
      </c>
    </row>
    <row r="3476" spans="1:2" x14ac:dyDescent="0.25">
      <c r="A3476" cm="1">
        <f t="array" ref="A3476">INDEX('Portfolio Weights Returns'!$B$9:$BJ$69,
INT((ROW(A3475)-1)/COLUMNS('Portfolio Weights Returns'!$B$9:$BJ$69))+1,MOD(ROW(A3475)-1,COLUMNS('Portfolio Weights Returns'!$B$9:$BJ$69))+1)</f>
        <v>-4.3351157520851177E-4</v>
      </c>
      <c r="B3476" cm="1">
        <f t="array" ref="B3476">INDEX('Portfolio Weights Std'!$B$9:$BJ$69,INT((ROW(A3475)-1)/COLUMNS('Portfolio Weights Std'!$B$9:$BJ$69))+1,MOD(ROW(A3475)-1,COLUMNS('Portfolio Weights Std'!$B$9:$BJ$69))+1)</f>
        <v>1.6894222020049025E-2</v>
      </c>
    </row>
    <row r="3477" spans="1:2" x14ac:dyDescent="0.25">
      <c r="A3477" cm="1">
        <f t="array" ref="A3477">INDEX('Portfolio Weights Returns'!$B$9:$BJ$69,
INT((ROW(A3476)-1)/COLUMNS('Portfolio Weights Returns'!$B$9:$BJ$69))+1,MOD(ROW(A3476)-1,COLUMNS('Portfolio Weights Returns'!$B$9:$BJ$69))+1)</f>
        <v>-4.2673040124183278E-4</v>
      </c>
      <c r="B3477" cm="1">
        <f t="array" ref="B3477">INDEX('Portfolio Weights Std'!$B$9:$BJ$69,INT((ROW(A3476)-1)/COLUMNS('Portfolio Weights Std'!$B$9:$BJ$69))+1,MOD(ROW(A3476)-1,COLUMNS('Portfolio Weights Std'!$B$9:$BJ$69))+1)</f>
        <v>1.6866969868951216E-2</v>
      </c>
    </row>
    <row r="3478" spans="1:2" x14ac:dyDescent="0.25">
      <c r="A3478" cm="1">
        <f t="array" ref="A3478">INDEX('Portfolio Weights Returns'!$B$9:$BJ$69,
INT((ROW(A3477)-1)/COLUMNS('Portfolio Weights Returns'!$B$9:$BJ$69))+1,MOD(ROW(A3477)-1,COLUMNS('Portfolio Weights Returns'!$B$9:$BJ$69))+1)</f>
        <v>-4.1994922727515364E-4</v>
      </c>
      <c r="B3478" cm="1">
        <f t="array" ref="B3478">INDEX('Portfolio Weights Std'!$B$9:$BJ$69,INT((ROW(A3477)-1)/COLUMNS('Portfolio Weights Std'!$B$9:$BJ$69))+1,MOD(ROW(A3477)-1,COLUMNS('Portfolio Weights Std'!$B$9:$BJ$69))+1)</f>
        <v>1.6842423023847631E-2</v>
      </c>
    </row>
    <row r="3479" spans="1:2" x14ac:dyDescent="0.25">
      <c r="A3479" cm="1">
        <f t="array" ref="A3479">INDEX('Portfolio Weights Returns'!$B$9:$BJ$69,
INT((ROW(A3478)-1)/COLUMNS('Portfolio Weights Returns'!$B$9:$BJ$69))+1,MOD(ROW(A3478)-1,COLUMNS('Portfolio Weights Returns'!$B$9:$BJ$69))+1)</f>
        <v>-8.2024545743044459E-4</v>
      </c>
      <c r="B3479" cm="1">
        <f t="array" ref="B3479">INDEX('Portfolio Weights Std'!$B$9:$BJ$69,INT((ROW(A3478)-1)/COLUMNS('Portfolio Weights Std'!$B$9:$BJ$69))+1,MOD(ROW(A3478)-1,COLUMNS('Portfolio Weights Std'!$B$9:$BJ$69))+1)</f>
        <v>2.2319743236943978E-2</v>
      </c>
    </row>
    <row r="3480" spans="1:2" x14ac:dyDescent="0.25">
      <c r="A3480" cm="1">
        <f t="array" ref="A3480">INDEX('Portfolio Weights Returns'!$B$9:$BJ$69,
INT((ROW(A3479)-1)/COLUMNS('Portfolio Weights Returns'!$B$9:$BJ$69))+1,MOD(ROW(A3479)-1,COLUMNS('Portfolio Weights Returns'!$B$9:$BJ$69))+1)</f>
        <v>-8.1346428346376577E-4</v>
      </c>
      <c r="B3480" cm="1">
        <f t="array" ref="B3480">INDEX('Portfolio Weights Std'!$B$9:$BJ$69,INT((ROW(A3479)-1)/COLUMNS('Portfolio Weights Std'!$B$9:$BJ$69))+1,MOD(ROW(A3479)-1,COLUMNS('Portfolio Weights Std'!$B$9:$BJ$69))+1)</f>
        <v>2.2180079396547626E-2</v>
      </c>
    </row>
    <row r="3481" spans="1:2" x14ac:dyDescent="0.25">
      <c r="A3481" cm="1">
        <f t="array" ref="A3481">INDEX('Portfolio Weights Returns'!$B$9:$BJ$69,
INT((ROW(A3480)-1)/COLUMNS('Portfolio Weights Returns'!$B$9:$BJ$69))+1,MOD(ROW(A3480)-1,COLUMNS('Portfolio Weights Returns'!$B$9:$BJ$69))+1)</f>
        <v>-8.0668310949708641E-4</v>
      </c>
      <c r="B3481" cm="1">
        <f t="array" ref="B3481">INDEX('Portfolio Weights Std'!$B$9:$BJ$69,INT((ROW(A3480)-1)/COLUMNS('Portfolio Weights Std'!$B$9:$BJ$69))+1,MOD(ROW(A3480)-1,COLUMNS('Portfolio Weights Std'!$B$9:$BJ$69))+1)</f>
        <v>2.204163133182143E-2</v>
      </c>
    </row>
    <row r="3482" spans="1:2" x14ac:dyDescent="0.25">
      <c r="A3482" cm="1">
        <f t="array" ref="A3482">INDEX('Portfolio Weights Returns'!$B$9:$BJ$69,
INT((ROW(A3481)-1)/COLUMNS('Portfolio Weights Returns'!$B$9:$BJ$69))+1,MOD(ROW(A3481)-1,COLUMNS('Portfolio Weights Returns'!$B$9:$BJ$69))+1)</f>
        <v>-7.9990193553040737E-4</v>
      </c>
      <c r="B3482" cm="1">
        <f t="array" ref="B3482">INDEX('Portfolio Weights Std'!$B$9:$BJ$69,INT((ROW(A3481)-1)/COLUMNS('Portfolio Weights Std'!$B$9:$BJ$69))+1,MOD(ROW(A3481)-1,COLUMNS('Portfolio Weights Std'!$B$9:$BJ$69))+1)</f>
        <v>2.190442209590187E-2</v>
      </c>
    </row>
    <row r="3483" spans="1:2" x14ac:dyDescent="0.25">
      <c r="A3483" cm="1">
        <f t="array" ref="A3483">INDEX('Portfolio Weights Returns'!$B$9:$BJ$69,
INT((ROW(A3482)-1)/COLUMNS('Portfolio Weights Returns'!$B$9:$BJ$69))+1,MOD(ROW(A3482)-1,COLUMNS('Portfolio Weights Returns'!$B$9:$BJ$69))+1)</f>
        <v>-7.9312076156372834E-4</v>
      </c>
      <c r="B3483" cm="1">
        <f t="array" ref="B3483">INDEX('Portfolio Weights Std'!$B$9:$BJ$69,INT((ROW(A3482)-1)/COLUMNS('Portfolio Weights Std'!$B$9:$BJ$69))+1,MOD(ROW(A3482)-1,COLUMNS('Portfolio Weights Std'!$B$9:$BJ$69))+1)</f>
        <v>2.1768475114248627E-2</v>
      </c>
    </row>
    <row r="3484" spans="1:2" x14ac:dyDescent="0.25">
      <c r="A3484" cm="1">
        <f t="array" ref="A3484">INDEX('Portfolio Weights Returns'!$B$9:$BJ$69,
INT((ROW(A3483)-1)/COLUMNS('Portfolio Weights Returns'!$B$9:$BJ$69))+1,MOD(ROW(A3483)-1,COLUMNS('Portfolio Weights Returns'!$B$9:$BJ$69))+1)</f>
        <v>-7.8633958759704908E-4</v>
      </c>
      <c r="B3484" cm="1">
        <f t="array" ref="B3484">INDEX('Portfolio Weights Std'!$B$9:$BJ$69,INT((ROW(A3483)-1)/COLUMNS('Portfolio Weights Std'!$B$9:$BJ$69))+1,MOD(ROW(A3483)-1,COLUMNS('Portfolio Weights Std'!$B$9:$BJ$69))+1)</f>
        <v>2.1633814182908558E-2</v>
      </c>
    </row>
    <row r="3485" spans="1:2" x14ac:dyDescent="0.25">
      <c r="A3485" cm="1">
        <f t="array" ref="A3485">INDEX('Portfolio Weights Returns'!$B$9:$BJ$69,
INT((ROW(A3484)-1)/COLUMNS('Portfolio Weights Returns'!$B$9:$BJ$69))+1,MOD(ROW(A3484)-1,COLUMNS('Portfolio Weights Returns'!$B$9:$BJ$69))+1)</f>
        <v>-7.7955841363037005E-4</v>
      </c>
      <c r="B3485" cm="1">
        <f t="array" ref="B3485">INDEX('Portfolio Weights Std'!$B$9:$BJ$69,INT((ROW(A3484)-1)/COLUMNS('Portfolio Weights Std'!$B$9:$BJ$69))+1,MOD(ROW(A3484)-1,COLUMNS('Portfolio Weights Std'!$B$9:$BJ$69))+1)</f>
        <v>2.1500463466127773E-2</v>
      </c>
    </row>
    <row r="3486" spans="1:2" x14ac:dyDescent="0.25">
      <c r="A3486" cm="1">
        <f t="array" ref="A3486">INDEX('Portfolio Weights Returns'!$B$9:$BJ$69,
INT((ROW(A3485)-1)/COLUMNS('Portfolio Weights Returns'!$B$9:$BJ$69))+1,MOD(ROW(A3485)-1,COLUMNS('Portfolio Weights Returns'!$B$9:$BJ$69))+1)</f>
        <v>-7.727772396636909E-4</v>
      </c>
      <c r="B3486" cm="1">
        <f t="array" ref="B3486">INDEX('Portfolio Weights Std'!$B$9:$BJ$69,INT((ROW(A3485)-1)/COLUMNS('Portfolio Weights Std'!$B$9:$BJ$69))+1,MOD(ROW(A3485)-1,COLUMNS('Portfolio Weights Std'!$B$9:$BJ$69))+1)</f>
        <v>2.1368447493271488E-2</v>
      </c>
    </row>
    <row r="3487" spans="1:2" x14ac:dyDescent="0.25">
      <c r="A3487" cm="1">
        <f t="array" ref="A3487">INDEX('Portfolio Weights Returns'!$B$9:$BJ$69,
INT((ROW(A3486)-1)/COLUMNS('Portfolio Weights Returns'!$B$9:$BJ$69))+1,MOD(ROW(A3486)-1,COLUMNS('Portfolio Weights Returns'!$B$9:$BJ$69))+1)</f>
        <v>-7.6599606569701187E-4</v>
      </c>
      <c r="B3487" cm="1">
        <f t="array" ref="B3487">INDEX('Portfolio Weights Std'!$B$9:$BJ$69,INT((ROW(A3486)-1)/COLUMNS('Portfolio Weights Std'!$B$9:$BJ$69))+1,MOD(ROW(A3486)-1,COLUMNS('Portfolio Weights Std'!$B$9:$BJ$69))+1)</f>
        <v>2.1237791155010257E-2</v>
      </c>
    </row>
    <row r="3488" spans="1:2" x14ac:dyDescent="0.25">
      <c r="A3488" cm="1">
        <f t="array" ref="A3488">INDEX('Portfolio Weights Returns'!$B$9:$BJ$69,
INT((ROW(A3487)-1)/COLUMNS('Portfolio Weights Returns'!$B$9:$BJ$69))+1,MOD(ROW(A3487)-1,COLUMNS('Portfolio Weights Returns'!$B$9:$BJ$69))+1)</f>
        <v>-7.5921489173033272E-4</v>
      </c>
      <c r="B3488" cm="1">
        <f t="array" ref="B3488">INDEX('Portfolio Weights Std'!$B$9:$BJ$69,INT((ROW(A3487)-1)/COLUMNS('Portfolio Weights Std'!$B$9:$BJ$69))+1,MOD(ROW(A3487)-1,COLUMNS('Portfolio Weights Std'!$B$9:$BJ$69))+1)</f>
        <v>2.1108519698730403E-2</v>
      </c>
    </row>
    <row r="3489" spans="1:2" x14ac:dyDescent="0.25">
      <c r="A3489" cm="1">
        <f t="array" ref="A3489">INDEX('Portfolio Weights Returns'!$B$9:$BJ$69,
INT((ROW(A3488)-1)/COLUMNS('Portfolio Weights Returns'!$B$9:$BJ$69))+1,MOD(ROW(A3488)-1,COLUMNS('Portfolio Weights Returns'!$B$9:$BJ$69))+1)</f>
        <v>-7.5243371776365369E-4</v>
      </c>
      <c r="B3489" cm="1">
        <f t="array" ref="B3489">INDEX('Portfolio Weights Std'!$B$9:$BJ$69,INT((ROW(A3488)-1)/COLUMNS('Portfolio Weights Std'!$B$9:$BJ$69))+1,MOD(ROW(A3488)-1,COLUMNS('Portfolio Weights Std'!$B$9:$BJ$69))+1)</f>
        <v>2.0980658723125753E-2</v>
      </c>
    </row>
    <row r="3490" spans="1:2" x14ac:dyDescent="0.25">
      <c r="A3490" cm="1">
        <f t="array" ref="A3490">INDEX('Portfolio Weights Returns'!$B$9:$BJ$69,
INT((ROW(A3489)-1)/COLUMNS('Portfolio Weights Returns'!$B$9:$BJ$69))+1,MOD(ROW(A3489)-1,COLUMNS('Portfolio Weights Returns'!$B$9:$BJ$69))+1)</f>
        <v>-7.4565254379697454E-4</v>
      </c>
      <c r="B3490" cm="1">
        <f t="array" ref="B3490">INDEX('Portfolio Weights Std'!$B$9:$BJ$69,INT((ROW(A3489)-1)/COLUMNS('Portfolio Weights Std'!$B$9:$BJ$69))+1,MOD(ROW(A3489)-1,COLUMNS('Portfolio Weights Std'!$B$9:$BJ$69))+1)</f>
        <v>2.085423417192734E-2</v>
      </c>
    </row>
    <row r="3491" spans="1:2" x14ac:dyDescent="0.25">
      <c r="A3491" cm="1">
        <f t="array" ref="A3491">INDEX('Portfolio Weights Returns'!$B$9:$BJ$69,
INT((ROW(A3490)-1)/COLUMNS('Portfolio Weights Returns'!$B$9:$BJ$69))+1,MOD(ROW(A3490)-1,COLUMNS('Portfolio Weights Returns'!$B$9:$BJ$69))+1)</f>
        <v>-7.3887136983029529E-4</v>
      </c>
      <c r="B3491" cm="1">
        <f t="array" ref="B3491">INDEX('Portfolio Weights Std'!$B$9:$BJ$69,INT((ROW(A3490)-1)/COLUMNS('Portfolio Weights Std'!$B$9:$BJ$69))+1,MOD(ROW(A3490)-1,COLUMNS('Portfolio Weights Std'!$B$9:$BJ$69))+1)</f>
        <v>2.0729272326727177E-2</v>
      </c>
    </row>
    <row r="3492" spans="1:2" x14ac:dyDescent="0.25">
      <c r="A3492" cm="1">
        <f t="array" ref="A3492">INDEX('Portfolio Weights Returns'!$B$9:$BJ$69,
INT((ROW(A3491)-1)/COLUMNS('Portfolio Weights Returns'!$B$9:$BJ$69))+1,MOD(ROW(A3491)-1,COLUMNS('Portfolio Weights Returns'!$B$9:$BJ$69))+1)</f>
        <v>-7.3209019586361625E-4</v>
      </c>
      <c r="B3492" cm="1">
        <f t="array" ref="B3492">INDEX('Portfolio Weights Std'!$B$9:$BJ$69,INT((ROW(A3491)-1)/COLUMNS('Portfolio Weights Std'!$B$9:$BJ$69))+1,MOD(ROW(A3491)-1,COLUMNS('Portfolio Weights Std'!$B$9:$BJ$69))+1)</f>
        <v>2.0605799798852222E-2</v>
      </c>
    </row>
    <row r="3493" spans="1:2" x14ac:dyDescent="0.25">
      <c r="A3493" cm="1">
        <f t="array" ref="A3493">INDEX('Portfolio Weights Returns'!$B$9:$BJ$69,
INT((ROW(A3492)-1)/COLUMNS('Portfolio Weights Returns'!$B$9:$BJ$69))+1,MOD(ROW(A3492)-1,COLUMNS('Portfolio Weights Returns'!$B$9:$BJ$69))+1)</f>
        <v>-7.2530902189693711E-4</v>
      </c>
      <c r="B3493" cm="1">
        <f t="array" ref="B3493">INDEX('Portfolio Weights Std'!$B$9:$BJ$69,INT((ROW(A3492)-1)/COLUMNS('Portfolio Weights Std'!$B$9:$BJ$69))+1,MOD(ROW(A3492)-1,COLUMNS('Portfolio Weights Std'!$B$9:$BJ$69))+1)</f>
        <v>2.0483843520244568E-2</v>
      </c>
    </row>
    <row r="3494" spans="1:2" x14ac:dyDescent="0.25">
      <c r="A3494" cm="1">
        <f t="array" ref="A3494">INDEX('Portfolio Weights Returns'!$B$9:$BJ$69,
INT((ROW(A3493)-1)/COLUMNS('Portfolio Weights Returns'!$B$9:$BJ$69))+1,MOD(ROW(A3493)-1,COLUMNS('Portfolio Weights Returns'!$B$9:$BJ$69))+1)</f>
        <v>-7.1852784793025807E-4</v>
      </c>
      <c r="B3494" cm="1">
        <f t="array" ref="B3494">INDEX('Portfolio Weights Std'!$B$9:$BJ$69,INT((ROW(A3493)-1)/COLUMNS('Portfolio Weights Std'!$B$9:$BJ$69))+1,MOD(ROW(A3493)-1,COLUMNS('Portfolio Weights Std'!$B$9:$BJ$69))+1)</f>
        <v>2.0363430733304207E-2</v>
      </c>
    </row>
    <row r="3495" spans="1:2" x14ac:dyDescent="0.25">
      <c r="A3495" cm="1">
        <f t="array" ref="A3495">INDEX('Portfolio Weights Returns'!$B$9:$BJ$69,
INT((ROW(A3494)-1)/COLUMNS('Portfolio Weights Returns'!$B$9:$BJ$69))+1,MOD(ROW(A3494)-1,COLUMNS('Portfolio Weights Returns'!$B$9:$BJ$69))+1)</f>
        <v>-7.1174667396357904E-4</v>
      </c>
      <c r="B3495" cm="1">
        <f t="array" ref="B3495">INDEX('Portfolio Weights Std'!$B$9:$BJ$69,INT((ROW(A3494)-1)/COLUMNS('Portfolio Weights Std'!$B$9:$BJ$69))+1,MOD(ROW(A3494)-1,COLUMNS('Portfolio Weights Std'!$B$9:$BJ$69))+1)</f>
        <v>2.0244588979651264E-2</v>
      </c>
    </row>
    <row r="3496" spans="1:2" x14ac:dyDescent="0.25">
      <c r="A3496" cm="1">
        <f t="array" ref="A3496">INDEX('Portfolio Weights Returns'!$B$9:$BJ$69,
INT((ROW(A3495)-1)/COLUMNS('Portfolio Weights Returns'!$B$9:$BJ$69))+1,MOD(ROW(A3495)-1,COLUMNS('Portfolio Weights Returns'!$B$9:$BJ$69))+1)</f>
        <v>-7.0496549999689989E-4</v>
      </c>
      <c r="B3496" cm="1">
        <f t="array" ref="B3496">INDEX('Portfolio Weights Std'!$B$9:$BJ$69,INT((ROW(A3495)-1)/COLUMNS('Portfolio Weights Std'!$B$9:$BJ$69))+1,MOD(ROW(A3495)-1,COLUMNS('Portfolio Weights Std'!$B$9:$BJ$69))+1)</f>
        <v>2.0127346087765324E-2</v>
      </c>
    </row>
    <row r="3497" spans="1:2" x14ac:dyDescent="0.25">
      <c r="A3497" cm="1">
        <f t="array" ref="A3497">INDEX('Portfolio Weights Returns'!$B$9:$BJ$69,
INT((ROW(A3496)-1)/COLUMNS('Portfolio Weights Returns'!$B$9:$BJ$69))+1,MOD(ROW(A3496)-1,COLUMNS('Portfolio Weights Returns'!$B$9:$BJ$69))+1)</f>
        <v>-6.9818432603022086E-4</v>
      </c>
      <c r="B3497" cm="1">
        <f t="array" ref="B3497">INDEX('Portfolio Weights Std'!$B$9:$BJ$69,INT((ROW(A3496)-1)/COLUMNS('Portfolio Weights Std'!$B$9:$BJ$69))+1,MOD(ROW(A3496)-1,COLUMNS('Portfolio Weights Std'!$B$9:$BJ$69))+1)</f>
        <v>2.0011730159460801E-2</v>
      </c>
    </row>
    <row r="3498" spans="1:2" x14ac:dyDescent="0.25">
      <c r="A3498" cm="1">
        <f t="array" ref="A3498">INDEX('Portfolio Weights Returns'!$B$9:$BJ$69,
INT((ROW(A3497)-1)/COLUMNS('Portfolio Weights Returns'!$B$9:$BJ$69))+1,MOD(ROW(A3497)-1,COLUMNS('Portfolio Weights Returns'!$B$9:$BJ$69))+1)</f>
        <v>-6.9140315206354182E-4</v>
      </c>
      <c r="B3498" cm="1">
        <f t="array" ref="B3498">INDEX('Portfolio Weights Std'!$B$9:$BJ$69,INT((ROW(A3497)-1)/COLUMNS('Portfolio Weights Std'!$B$9:$BJ$69))+1,MOD(ROW(A3497)-1,COLUMNS('Portfolio Weights Std'!$B$9:$BJ$69))+1)</f>
        <v>1.9897769555158429E-2</v>
      </c>
    </row>
    <row r="3499" spans="1:2" x14ac:dyDescent="0.25">
      <c r="A3499" cm="1">
        <f t="array" ref="A3499">INDEX('Portfolio Weights Returns'!$B$9:$BJ$69,
INT((ROW(A3498)-1)/COLUMNS('Portfolio Weights Returns'!$B$9:$BJ$69))+1,MOD(ROW(A3498)-1,COLUMNS('Portfolio Weights Returns'!$B$9:$BJ$69))+1)</f>
        <v>-6.8462197809686267E-4</v>
      </c>
      <c r="B3499" cm="1">
        <f t="array" ref="B3499">INDEX('Portfolio Weights Std'!$B$9:$BJ$69,INT((ROW(A3498)-1)/COLUMNS('Portfolio Weights Std'!$B$9:$BJ$69))+1,MOD(ROW(A3498)-1,COLUMNS('Portfolio Weights Std'!$B$9:$BJ$69))+1)</f>
        <v>1.978549287791518E-2</v>
      </c>
    </row>
    <row r="3500" spans="1:2" x14ac:dyDescent="0.25">
      <c r="A3500" cm="1">
        <f t="array" ref="A3500">INDEX('Portfolio Weights Returns'!$B$9:$BJ$69,
INT((ROW(A3499)-1)/COLUMNS('Portfolio Weights Returns'!$B$9:$BJ$69))+1,MOD(ROW(A3499)-1,COLUMNS('Portfolio Weights Returns'!$B$9:$BJ$69))+1)</f>
        <v>-6.7784080413018353E-4</v>
      </c>
      <c r="B3500" cm="1">
        <f t="array" ref="B3500">INDEX('Portfolio Weights Std'!$B$9:$BJ$69,INT((ROW(A3499)-1)/COLUMNS('Portfolio Weights Std'!$B$9:$BJ$69))+1,MOD(ROW(A3499)-1,COLUMNS('Portfolio Weights Std'!$B$9:$BJ$69))+1)</f>
        <v>1.9674928956176715E-2</v>
      </c>
    </row>
    <row r="3501" spans="1:2" x14ac:dyDescent="0.25">
      <c r="A3501" cm="1">
        <f t="array" ref="A3501">INDEX('Portfolio Weights Returns'!$B$9:$BJ$69,
INT((ROW(A3500)-1)/COLUMNS('Portfolio Weights Returns'!$B$9:$BJ$69))+1,MOD(ROW(A3500)-1,COLUMNS('Portfolio Weights Returns'!$B$9:$BJ$69))+1)</f>
        <v>-6.7105963016350449E-4</v>
      </c>
      <c r="B3501" cm="1">
        <f t="array" ref="B3501">INDEX('Portfolio Weights Std'!$B$9:$BJ$69,INT((ROW(A3500)-1)/COLUMNS('Portfolio Weights Std'!$B$9:$BJ$69))+1,MOD(ROW(A3500)-1,COLUMNS('Portfolio Weights Std'!$B$9:$BJ$69))+1)</f>
        <v>1.9566106825219354E-2</v>
      </c>
    </row>
    <row r="3502" spans="1:2" x14ac:dyDescent="0.25">
      <c r="A3502" cm="1">
        <f t="array" ref="A3502">INDEX('Portfolio Weights Returns'!$B$9:$BJ$69,
INT((ROW(A3501)-1)/COLUMNS('Portfolio Weights Returns'!$B$9:$BJ$69))+1,MOD(ROW(A3501)-1,COLUMNS('Portfolio Weights Returns'!$B$9:$BJ$69))+1)</f>
        <v>-6.6427845619682524E-4</v>
      </c>
      <c r="B3502" cm="1">
        <f t="array" ref="B3502">INDEX('Portfolio Weights Std'!$B$9:$BJ$69,INT((ROW(A3501)-1)/COLUMNS('Portfolio Weights Std'!$B$9:$BJ$69))+1,MOD(ROW(A3501)-1,COLUMNS('Portfolio Weights Std'!$B$9:$BJ$69))+1)</f>
        <v>1.9459055707251465E-2</v>
      </c>
    </row>
    <row r="3503" spans="1:2" x14ac:dyDescent="0.25">
      <c r="A3503" cm="1">
        <f t="array" ref="A3503">INDEX('Portfolio Weights Returns'!$B$9:$BJ$69,
INT((ROW(A3502)-1)/COLUMNS('Portfolio Weights Returns'!$B$9:$BJ$69))+1,MOD(ROW(A3502)-1,COLUMNS('Portfolio Weights Returns'!$B$9:$BJ$69))+1)</f>
        <v>-6.5749728223014621E-4</v>
      </c>
      <c r="B3503" cm="1">
        <f t="array" ref="B3503">INDEX('Portfolio Weights Std'!$B$9:$BJ$69,INT((ROW(A3502)-1)/COLUMNS('Portfolio Weights Std'!$B$9:$BJ$69))+1,MOD(ROW(A3502)-1,COLUMNS('Portfolio Weights Std'!$B$9:$BJ$69))+1)</f>
        <v>1.9353804990147602E-2</v>
      </c>
    </row>
    <row r="3504" spans="1:2" x14ac:dyDescent="0.25">
      <c r="A3504" cm="1">
        <f t="array" ref="A3504">INDEX('Portfolio Weights Returns'!$B$9:$BJ$69,
INT((ROW(A3503)-1)/COLUMNS('Portfolio Weights Returns'!$B$9:$BJ$69))+1,MOD(ROW(A3503)-1,COLUMNS('Portfolio Weights Returns'!$B$9:$BJ$69))+1)</f>
        <v>-6.5071610826346706E-4</v>
      </c>
      <c r="B3504" cm="1">
        <f t="array" ref="B3504">INDEX('Portfolio Weights Std'!$B$9:$BJ$69,INT((ROW(A3503)-1)/COLUMNS('Portfolio Weights Std'!$B$9:$BJ$69))+1,MOD(ROW(A3503)-1,COLUMNS('Portfolio Weights Std'!$B$9:$BJ$69))+1)</f>
        <v>1.9250384204792758E-2</v>
      </c>
    </row>
    <row r="3505" spans="1:2" x14ac:dyDescent="0.25">
      <c r="A3505" cm="1">
        <f t="array" ref="A3505">INDEX('Portfolio Weights Returns'!$B$9:$BJ$69,
INT((ROW(A3504)-1)/COLUMNS('Portfolio Weights Returns'!$B$9:$BJ$69))+1,MOD(ROW(A3504)-1,COLUMNS('Portfolio Weights Returns'!$B$9:$BJ$69))+1)</f>
        <v>-6.4393493429678803E-4</v>
      </c>
      <c r="B3505" cm="1">
        <f t="array" ref="B3505">INDEX('Portfolio Weights Std'!$B$9:$BJ$69,INT((ROW(A3504)-1)/COLUMNS('Portfolio Weights Std'!$B$9:$BJ$69))+1,MOD(ROW(A3504)-1,COLUMNS('Portfolio Weights Std'!$B$9:$BJ$69))+1)</f>
        <v>1.9148823001018438E-2</v>
      </c>
    </row>
    <row r="3506" spans="1:2" x14ac:dyDescent="0.25">
      <c r="A3506" cm="1">
        <f t="array" ref="A3506">INDEX('Portfolio Weights Returns'!$B$9:$BJ$69,
INT((ROW(A3505)-1)/COLUMNS('Portfolio Weights Returns'!$B$9:$BJ$69))+1,MOD(ROW(A3505)-1,COLUMNS('Portfolio Weights Returns'!$B$9:$BJ$69))+1)</f>
        <v>-6.3715376033010888E-4</v>
      </c>
      <c r="B3506" cm="1">
        <f t="array" ref="B3506">INDEX('Portfolio Weights Std'!$B$9:$BJ$69,INT((ROW(A3505)-1)/COLUMNS('Portfolio Weights Std'!$B$9:$BJ$69))+1,MOD(ROW(A3505)-1,COLUMNS('Portfolio Weights Std'!$B$9:$BJ$69))+1)</f>
        <v>1.9049151122117143E-2</v>
      </c>
    </row>
    <row r="3507" spans="1:2" x14ac:dyDescent="0.25">
      <c r="A3507" cm="1">
        <f t="array" ref="A3507">INDEX('Portfolio Weights Returns'!$B$9:$BJ$69,
INT((ROW(A3506)-1)/COLUMNS('Portfolio Weights Returns'!$B$9:$BJ$69))+1,MOD(ROW(A3506)-1,COLUMNS('Portfolio Weights Returns'!$B$9:$BJ$69))+1)</f>
        <v>-6.3037258636342984E-4</v>
      </c>
      <c r="B3507" cm="1">
        <f t="array" ref="B3507">INDEX('Portfolio Weights Std'!$B$9:$BJ$69,INT((ROW(A3506)-1)/COLUMNS('Portfolio Weights Std'!$B$9:$BJ$69))+1,MOD(ROW(A3506)-1,COLUMNS('Portfolio Weights Std'!$B$9:$BJ$69))+1)</f>
        <v>1.895139837792734E-2</v>
      </c>
    </row>
    <row r="3508" spans="1:2" x14ac:dyDescent="0.25">
      <c r="A3508" cm="1">
        <f t="array" ref="A3508">INDEX('Portfolio Weights Returns'!$B$9:$BJ$69,
INT((ROW(A3507)-1)/COLUMNS('Portfolio Weights Returns'!$B$9:$BJ$69))+1,MOD(ROW(A3507)-1,COLUMNS('Portfolio Weights Returns'!$B$9:$BJ$69))+1)</f>
        <v>-6.235914123967507E-4</v>
      </c>
      <c r="B3508" cm="1">
        <f t="array" ref="B3508">INDEX('Portfolio Weights Std'!$B$9:$BJ$69,INT((ROW(A3507)-1)/COLUMNS('Portfolio Weights Std'!$B$9:$BJ$69))+1,MOD(ROW(A3507)-1,COLUMNS('Portfolio Weights Std'!$B$9:$BJ$69))+1)</f>
        <v>1.8855594616486723E-2</v>
      </c>
    </row>
    <row r="3509" spans="1:2" x14ac:dyDescent="0.25">
      <c r="A3509" cm="1">
        <f t="array" ref="A3509">INDEX('Portfolio Weights Returns'!$B$9:$BJ$69,
INT((ROW(A3508)-1)/COLUMNS('Portfolio Weights Returns'!$B$9:$BJ$69))+1,MOD(ROW(A3508)-1,COLUMNS('Portfolio Weights Returns'!$B$9:$BJ$69))+1)</f>
        <v>-6.1681023843007145E-4</v>
      </c>
      <c r="B3509" cm="1">
        <f t="array" ref="B3509">INDEX('Portfolio Weights Std'!$B$9:$BJ$69,INT((ROW(A3508)-1)/COLUMNS('Portfolio Weights Std'!$B$9:$BJ$69))+1,MOD(ROW(A3508)-1,COLUMNS('Portfolio Weights Std'!$B$9:$BJ$69))+1)</f>
        <v>1.876176969425819E-2</v>
      </c>
    </row>
    <row r="3510" spans="1:2" x14ac:dyDescent="0.25">
      <c r="A3510" cm="1">
        <f t="array" ref="A3510">INDEX('Portfolio Weights Returns'!$B$9:$BJ$69,
INT((ROW(A3509)-1)/COLUMNS('Portfolio Weights Returns'!$B$9:$BJ$69))+1,MOD(ROW(A3509)-1,COLUMNS('Portfolio Weights Returns'!$B$9:$BJ$69))+1)</f>
        <v>-6.1002906446339241E-4</v>
      </c>
      <c r="B3510" cm="1">
        <f t="array" ref="B3510">INDEX('Portfolio Weights Std'!$B$9:$BJ$69,INT((ROW(A3509)-1)/COLUMNS('Portfolio Weights Std'!$B$9:$BJ$69))+1,MOD(ROW(A3509)-1,COLUMNS('Portfolio Weights Std'!$B$9:$BJ$69))+1)</f>
        <v>1.8669953444939623E-2</v>
      </c>
    </row>
    <row r="3511" spans="1:2" x14ac:dyDescent="0.25">
      <c r="A3511" cm="1">
        <f t="array" ref="A3511">INDEX('Portfolio Weights Returns'!$B$9:$BJ$69,
INT((ROW(A3510)-1)/COLUMNS('Portfolio Weights Returns'!$B$9:$BJ$69))+1,MOD(ROW(A3510)-1,COLUMNS('Portfolio Weights Returns'!$B$9:$BJ$69))+1)</f>
        <v>-6.0324789049671327E-4</v>
      </c>
      <c r="B3511" cm="1">
        <f t="array" ref="B3511">INDEX('Portfolio Weights Std'!$B$9:$BJ$69,INT((ROW(A3510)-1)/COLUMNS('Portfolio Weights Std'!$B$9:$BJ$69))+1,MOD(ROW(A3510)-1,COLUMNS('Portfolio Weights Std'!$B$9:$BJ$69))+1)</f>
        <v>1.8580175646876074E-2</v>
      </c>
    </row>
    <row r="3512" spans="1:2" x14ac:dyDescent="0.25">
      <c r="A3512" cm="1">
        <f t="array" ref="A3512">INDEX('Portfolio Weights Returns'!$B$9:$BJ$69,
INT((ROW(A3511)-1)/COLUMNS('Portfolio Weights Returns'!$B$9:$BJ$69))+1,MOD(ROW(A3511)-1,COLUMNS('Portfolio Weights Returns'!$B$9:$BJ$69))+1)</f>
        <v>-5.9646671653003423E-4</v>
      </c>
      <c r="B3512" cm="1">
        <f t="array" ref="B3512">INDEX('Portfolio Weights Std'!$B$9:$BJ$69,INT((ROW(A3511)-1)/COLUMNS('Portfolio Weights Std'!$B$9:$BJ$69))+1,MOD(ROW(A3511)-1,COLUMNS('Portfolio Weights Std'!$B$9:$BJ$69))+1)</f>
        <v>1.8492465989100711E-2</v>
      </c>
    </row>
    <row r="3513" spans="1:2" x14ac:dyDescent="0.25">
      <c r="A3513" cm="1">
        <f t="array" ref="A3513">INDEX('Portfolio Weights Returns'!$B$9:$BJ$69,
INT((ROW(A3512)-1)/COLUMNS('Portfolio Weights Returns'!$B$9:$BJ$69))+1,MOD(ROW(A3512)-1,COLUMNS('Portfolio Weights Returns'!$B$9:$BJ$69))+1)</f>
        <v>-5.8968554256335509E-4</v>
      </c>
      <c r="B3513" cm="1">
        <f t="array" ref="B3513">INDEX('Portfolio Weights Std'!$B$9:$BJ$69,INT((ROW(A3512)-1)/COLUMNS('Portfolio Weights Std'!$B$9:$BJ$69))+1,MOD(ROW(A3512)-1,COLUMNS('Portfolio Weights Std'!$B$9:$BJ$69))+1)</f>
        <v>1.8406854036039193E-2</v>
      </c>
    </row>
    <row r="3514" spans="1:2" x14ac:dyDescent="0.25">
      <c r="A3514" cm="1">
        <f t="array" ref="A3514">INDEX('Portfolio Weights Returns'!$B$9:$BJ$69,
INT((ROW(A3513)-1)/COLUMNS('Portfolio Weights Returns'!$B$9:$BJ$69))+1,MOD(ROW(A3513)-1,COLUMNS('Portfolio Weights Returns'!$B$9:$BJ$69))+1)</f>
        <v>-5.8290436859667605E-4</v>
      </c>
      <c r="B3514" cm="1">
        <f t="array" ref="B3514">INDEX('Portfolio Weights Std'!$B$9:$BJ$69,INT((ROW(A3513)-1)/COLUMNS('Portfolio Weights Std'!$B$9:$BJ$69))+1,MOD(ROW(A3513)-1,COLUMNS('Portfolio Weights Std'!$B$9:$BJ$69))+1)</f>
        <v>1.8323369190920751E-2</v>
      </c>
    </row>
    <row r="3515" spans="1:2" x14ac:dyDescent="0.25">
      <c r="A3515" cm="1">
        <f t="array" ref="A3515">INDEX('Portfolio Weights Returns'!$B$9:$BJ$69,
INT((ROW(A3514)-1)/COLUMNS('Portfolio Weights Returns'!$B$9:$BJ$69))+1,MOD(ROW(A3514)-1,COLUMNS('Portfolio Weights Returns'!$B$9:$BJ$69))+1)</f>
        <v>-5.7612319462999691E-4</v>
      </c>
      <c r="B3515" cm="1">
        <f t="array" ref="B3515">INDEX('Portfolio Weights Std'!$B$9:$BJ$69,INT((ROW(A3514)-1)/COLUMNS('Portfolio Weights Std'!$B$9:$BJ$69))+1,MOD(ROW(A3514)-1,COLUMNS('Portfolio Weights Std'!$B$9:$BJ$69))+1)</f>
        <v>1.824204065794837E-2</v>
      </c>
    </row>
    <row r="3516" spans="1:2" x14ac:dyDescent="0.25">
      <c r="A3516" cm="1">
        <f t="array" ref="A3516">INDEX('Portfolio Weights Returns'!$B$9:$BJ$69,
INT((ROW(A3515)-1)/COLUMNS('Portfolio Weights Returns'!$B$9:$BJ$69))+1,MOD(ROW(A3515)-1,COLUMNS('Portfolio Weights Returns'!$B$9:$BJ$69))+1)</f>
        <v>-5.6934202066331776E-4</v>
      </c>
      <c r="B3516" cm="1">
        <f t="array" ref="B3516">INDEX('Portfolio Weights Std'!$B$9:$BJ$69,INT((ROW(A3515)-1)/COLUMNS('Portfolio Weights Std'!$B$9:$BJ$69))+1,MOD(ROW(A3515)-1,COLUMNS('Portfolio Weights Std'!$B$9:$BJ$69))+1)</f>
        <v>1.8162897403289621E-2</v>
      </c>
    </row>
    <row r="3517" spans="1:2" x14ac:dyDescent="0.25">
      <c r="A3517" cm="1">
        <f t="array" ref="A3517">INDEX('Portfolio Weights Returns'!$B$9:$BJ$69,
INT((ROW(A3516)-1)/COLUMNS('Portfolio Weights Returns'!$B$9:$BJ$69))+1,MOD(ROW(A3516)-1,COLUMNS('Portfolio Weights Returns'!$B$9:$BJ$69))+1)</f>
        <v>-5.6256084669663873E-4</v>
      </c>
      <c r="B3517" cm="1">
        <f t="array" ref="B3517">INDEX('Portfolio Weights Std'!$B$9:$BJ$69,INT((ROW(A3516)-1)/COLUMNS('Portfolio Weights Std'!$B$9:$BJ$69))+1,MOD(ROW(A3516)-1,COLUMNS('Portfolio Weights Std'!$B$9:$BJ$69))+1)</f>
        <v>1.8085968114959574E-2</v>
      </c>
    </row>
    <row r="3518" spans="1:2" x14ac:dyDescent="0.25">
      <c r="A3518" cm="1">
        <f t="array" ref="A3518">INDEX('Portfolio Weights Returns'!$B$9:$BJ$69,
INT((ROW(A3517)-1)/COLUMNS('Portfolio Weights Returns'!$B$9:$BJ$69))+1,MOD(ROW(A3517)-1,COLUMNS('Portfolio Weights Returns'!$B$9:$BJ$69))+1)</f>
        <v>-5.5577967272995958E-4</v>
      </c>
      <c r="B3518" cm="1">
        <f t="array" ref="B3518">INDEX('Portfolio Weights Std'!$B$9:$BJ$69,INT((ROW(A3517)-1)/COLUMNS('Portfolio Weights Std'!$B$9:$BJ$69))+1,MOD(ROW(A3517)-1,COLUMNS('Portfolio Weights Std'!$B$9:$BJ$69))+1)</f>
        <v>1.8011281161676693E-2</v>
      </c>
    </row>
    <row r="3519" spans="1:2" x14ac:dyDescent="0.25">
      <c r="A3519" cm="1">
        <f t="array" ref="A3519">INDEX('Portfolio Weights Returns'!$B$9:$BJ$69,
INT((ROW(A3518)-1)/COLUMNS('Portfolio Weights Returns'!$B$9:$BJ$69))+1,MOD(ROW(A3518)-1,COLUMNS('Portfolio Weights Returns'!$B$9:$BJ$69))+1)</f>
        <v>-5.4899849876328055E-4</v>
      </c>
      <c r="B3519" cm="1">
        <f t="array" ref="B3519">INDEX('Portfolio Weights Std'!$B$9:$BJ$69,INT((ROW(A3518)-1)/COLUMNS('Portfolio Weights Std'!$B$9:$BJ$69))+1,MOD(ROW(A3518)-1,COLUMNS('Portfolio Weights Std'!$B$9:$BJ$69))+1)</f>
        <v>1.7938864550782776E-2</v>
      </c>
    </row>
    <row r="3520" spans="1:2" x14ac:dyDescent="0.25">
      <c r="A3520" cm="1">
        <f t="array" ref="A3520">INDEX('Portfolio Weights Returns'!$B$9:$BJ$69,
INT((ROW(A3519)-1)/COLUMNS('Portfolio Weights Returns'!$B$9:$BJ$69))+1,MOD(ROW(A3519)-1,COLUMNS('Portfolio Weights Returns'!$B$9:$BJ$69))+1)</f>
        <v>-5.422173247966014E-4</v>
      </c>
      <c r="B3520" cm="1">
        <f t="array" ref="B3520">INDEX('Portfolio Weights Std'!$B$9:$BJ$69,INT((ROW(A3519)-1)/COLUMNS('Portfolio Weights Std'!$B$9:$BJ$69))+1,MOD(ROW(A3519)-1,COLUMNS('Portfolio Weights Std'!$B$9:$BJ$69))+1)</f>
        <v>1.7868745885327775E-2</v>
      </c>
    </row>
    <row r="3521" spans="1:2" x14ac:dyDescent="0.25">
      <c r="A3521" cm="1">
        <f t="array" ref="A3521">INDEX('Portfolio Weights Returns'!$B$9:$BJ$69,
INT((ROW(A3520)-1)/COLUMNS('Portfolio Weights Returns'!$B$9:$BJ$69))+1,MOD(ROW(A3520)-1,COLUMNS('Portfolio Weights Returns'!$B$9:$BJ$69))+1)</f>
        <v>-5.3543615082992226E-4</v>
      </c>
      <c r="B3521" cm="1">
        <f t="array" ref="B3521">INDEX('Portfolio Weights Std'!$B$9:$BJ$69,INT((ROW(A3520)-1)/COLUMNS('Portfolio Weights Std'!$B$9:$BJ$69))+1,MOD(ROW(A3520)-1,COLUMNS('Portfolio Weights Std'!$B$9:$BJ$69))+1)</f>
        <v>1.7800952320430257E-2</v>
      </c>
    </row>
    <row r="3522" spans="1:2" x14ac:dyDescent="0.25">
      <c r="A3522" cm="1">
        <f t="array" ref="A3522">INDEX('Portfolio Weights Returns'!$B$9:$BJ$69,
INT((ROW(A3521)-1)/COLUMNS('Portfolio Weights Returns'!$B$9:$BJ$69))+1,MOD(ROW(A3521)-1,COLUMNS('Portfolio Weights Returns'!$B$9:$BJ$69))+1)</f>
        <v>-5.2865497686324322E-4</v>
      </c>
      <c r="B3522" cm="1">
        <f t="array" ref="B3522">INDEX('Portfolio Weights Std'!$B$9:$BJ$69,INT((ROW(A3521)-1)/COLUMNS('Portfolio Weights Std'!$B$9:$BJ$69))+1,MOD(ROW(A3521)-1,COLUMNS('Portfolio Weights Std'!$B$9:$BJ$69))+1)</f>
        <v>1.7735510519034135E-2</v>
      </c>
    </row>
    <row r="3523" spans="1:2" x14ac:dyDescent="0.25">
      <c r="A3523" cm="1">
        <f t="array" ref="A3523">INDEX('Portfolio Weights Returns'!$B$9:$BJ$69,
INT((ROW(A3522)-1)/COLUMNS('Portfolio Weights Returns'!$B$9:$BJ$69))+1,MOD(ROW(A3522)-1,COLUMNS('Portfolio Weights Returns'!$B$9:$BJ$69))+1)</f>
        <v>-5.2187380289656408E-4</v>
      </c>
      <c r="B3523" cm="1">
        <f t="array" ref="B3523">INDEX('Portfolio Weights Std'!$B$9:$BJ$69,INT((ROW(A3522)-1)/COLUMNS('Portfolio Weights Std'!$B$9:$BJ$69))+1,MOD(ROW(A3522)-1,COLUMNS('Portfolio Weights Std'!$B$9:$BJ$69))+1)</f>
        <v>1.7672446607191531E-2</v>
      </c>
    </row>
    <row r="3524" spans="1:2" x14ac:dyDescent="0.25">
      <c r="A3524" cm="1">
        <f t="array" ref="A3524">INDEX('Portfolio Weights Returns'!$B$9:$BJ$69,
INT((ROW(A3523)-1)/COLUMNS('Portfolio Weights Returns'!$B$9:$BJ$69))+1,MOD(ROW(A3523)-1,COLUMNS('Portfolio Weights Returns'!$B$9:$BJ$69))+1)</f>
        <v>-5.1509262892988493E-4</v>
      </c>
      <c r="B3524" cm="1">
        <f t="array" ref="B3524">INDEX('Portfolio Weights Std'!$B$9:$BJ$69,INT((ROW(A3523)-1)/COLUMNS('Portfolio Weights Std'!$B$9:$BJ$69))+1,MOD(ROW(A3523)-1,COLUMNS('Portfolio Weights Std'!$B$9:$BJ$69))+1)</f>
        <v>1.7611786129011063E-2</v>
      </c>
    </row>
    <row r="3525" spans="1:2" x14ac:dyDescent="0.25">
      <c r="A3525" cm="1">
        <f t="array" ref="A3525">INDEX('Portfolio Weights Returns'!$B$9:$BJ$69,
INT((ROW(A3524)-1)/COLUMNS('Portfolio Weights Returns'!$B$9:$BJ$69))+1,MOD(ROW(A3524)-1,COLUMNS('Portfolio Weights Returns'!$B$9:$BJ$69))+1)</f>
        <v>-5.083114549632059E-4</v>
      </c>
      <c r="B3525" cm="1">
        <f t="array" ref="B3525">INDEX('Portfolio Weights Std'!$B$9:$BJ$69,INT((ROW(A3524)-1)/COLUMNS('Portfolio Weights Std'!$B$9:$BJ$69))+1,MOD(ROW(A3524)-1,COLUMNS('Portfolio Weights Std'!$B$9:$BJ$69))+1)</f>
        <v>1.7553554001419294E-2</v>
      </c>
    </row>
    <row r="3526" spans="1:2" x14ac:dyDescent="0.25">
      <c r="A3526" cm="1">
        <f t="array" ref="A3526">INDEX('Portfolio Weights Returns'!$B$9:$BJ$69,
INT((ROW(A3525)-1)/COLUMNS('Portfolio Weights Returns'!$B$9:$BJ$69))+1,MOD(ROW(A3525)-1,COLUMNS('Portfolio Weights Returns'!$B$9:$BJ$69))+1)</f>
        <v>-5.0153028099652675E-4</v>
      </c>
      <c r="B3526" cm="1">
        <f t="array" ref="B3526">INDEX('Portfolio Weights Std'!$B$9:$BJ$69,INT((ROW(A3525)-1)/COLUMNS('Portfolio Weights Std'!$B$9:$BJ$69))+1,MOD(ROW(A3525)-1,COLUMNS('Portfolio Weights Std'!$B$9:$BJ$69))+1)</f>
        <v>1.7497774468891353E-2</v>
      </c>
    </row>
    <row r="3527" spans="1:2" x14ac:dyDescent="0.25">
      <c r="A3527" cm="1">
        <f t="array" ref="A3527">INDEX('Portfolio Weights Returns'!$B$9:$BJ$69,
INT((ROW(A3526)-1)/COLUMNS('Portfolio Weights Returns'!$B$9:$BJ$69))+1,MOD(ROW(A3526)-1,COLUMNS('Portfolio Weights Returns'!$B$9:$BJ$69))+1)</f>
        <v>-4.9474910702984772E-4</v>
      </c>
      <c r="B3527" cm="1">
        <f t="array" ref="B3527">INDEX('Portfolio Weights Std'!$B$9:$BJ$69,INT((ROW(A3526)-1)/COLUMNS('Portfolio Weights Std'!$B$9:$BJ$69))+1,MOD(ROW(A3526)-1,COLUMNS('Portfolio Weights Std'!$B$9:$BJ$69))+1)</f>
        <v>1.7444471058314006E-2</v>
      </c>
    </row>
    <row r="3528" spans="1:2" x14ac:dyDescent="0.25">
      <c r="A3528" cm="1">
        <f t="array" ref="A3528">INDEX('Portfolio Weights Returns'!$B$9:$BJ$69,
INT((ROW(A3527)-1)/COLUMNS('Portfolio Weights Returns'!$B$9:$BJ$69))+1,MOD(ROW(A3527)-1,COLUMNS('Portfolio Weights Returns'!$B$9:$BJ$69))+1)</f>
        <v>-4.8796793306316862E-4</v>
      </c>
      <c r="B3528" cm="1">
        <f t="array" ref="B3528">INDEX('Portfolio Weights Std'!$B$9:$BJ$69,INT((ROW(A3527)-1)/COLUMNS('Portfolio Weights Std'!$B$9:$BJ$69))+1,MOD(ROW(A3527)-1,COLUMNS('Portfolio Weights Std'!$B$9:$BJ$69))+1)</f>
        <v>1.7393666534151149E-2</v>
      </c>
    </row>
    <row r="3529" spans="1:2" x14ac:dyDescent="0.25">
      <c r="A3529" cm="1">
        <f t="array" ref="A3529">INDEX('Portfolio Weights Returns'!$B$9:$BJ$69,
INT((ROW(A3528)-1)/COLUMNS('Portfolio Weights Returns'!$B$9:$BJ$69))+1,MOD(ROW(A3528)-1,COLUMNS('Portfolio Weights Returns'!$B$9:$BJ$69))+1)</f>
        <v>-4.8118675909648948E-4</v>
      </c>
      <c r="B3529" cm="1">
        <f t="array" ref="B3529">INDEX('Portfolio Weights Std'!$B$9:$BJ$69,INT((ROW(A3528)-1)/COLUMNS('Portfolio Weights Std'!$B$9:$BJ$69))+1,MOD(ROW(A3528)-1,COLUMNS('Portfolio Weights Std'!$B$9:$BJ$69))+1)</f>
        <v>1.7345382854087432E-2</v>
      </c>
    </row>
    <row r="3530" spans="1:2" x14ac:dyDescent="0.25">
      <c r="A3530" cm="1">
        <f t="array" ref="A3530">INDEX('Portfolio Weights Returns'!$B$9:$BJ$69,
INT((ROW(A3529)-1)/COLUMNS('Portfolio Weights Returns'!$B$9:$BJ$69))+1,MOD(ROW(A3529)-1,COLUMNS('Portfolio Weights Returns'!$B$9:$BJ$69))+1)</f>
        <v>-4.7440558512981039E-4</v>
      </c>
      <c r="B3530" cm="1">
        <f t="array" ref="B3530">INDEX('Portfolio Weights Std'!$B$9:$BJ$69,INT((ROW(A3529)-1)/COLUMNS('Portfolio Weights Std'!$B$9:$BJ$69))+1,MOD(ROW(A3529)-1,COLUMNS('Portfolio Weights Std'!$B$9:$BJ$69))+1)</f>
        <v>1.7299641125330226E-2</v>
      </c>
    </row>
    <row r="3531" spans="1:2" x14ac:dyDescent="0.25">
      <c r="A3531" cm="1">
        <f t="array" ref="A3531">INDEX('Portfolio Weights Returns'!$B$9:$BJ$69,
INT((ROW(A3530)-1)/COLUMNS('Portfolio Weights Returns'!$B$9:$BJ$69))+1,MOD(ROW(A3530)-1,COLUMNS('Portfolio Weights Returns'!$B$9:$BJ$69))+1)</f>
        <v>-4.676244111631313E-4</v>
      </c>
      <c r="B3531" cm="1">
        <f t="array" ref="B3531">INDEX('Portfolio Weights Std'!$B$9:$BJ$69,INT((ROW(A3530)-1)/COLUMNS('Portfolio Weights Std'!$B$9:$BJ$69))+1,MOD(ROW(A3530)-1,COLUMNS('Portfolio Weights Std'!$B$9:$BJ$69))+1)</f>
        <v>1.7256461561753884E-2</v>
      </c>
    </row>
    <row r="3532" spans="1:2" x14ac:dyDescent="0.25">
      <c r="A3532" cm="1">
        <f t="array" ref="A3532">INDEX('Portfolio Weights Returns'!$B$9:$BJ$69,
INT((ROW(A3531)-1)/COLUMNS('Portfolio Weights Returns'!$B$9:$BJ$69))+1,MOD(ROW(A3531)-1,COLUMNS('Portfolio Weights Returns'!$B$9:$BJ$69))+1)</f>
        <v>-4.6084323719645216E-4</v>
      </c>
      <c r="B3532" cm="1">
        <f t="array" ref="B3532">INDEX('Portfolio Weights Std'!$B$9:$BJ$69,INT((ROW(A3531)-1)/COLUMNS('Portfolio Weights Std'!$B$9:$BJ$69))+1,MOD(ROW(A3531)-1,COLUMNS('Portfolio Weights Std'!$B$9:$BJ$69))+1)</f>
        <v>1.7215863442072481E-2</v>
      </c>
    </row>
    <row r="3533" spans="1:2" x14ac:dyDescent="0.25">
      <c r="A3533" cm="1">
        <f t="array" ref="A3533">INDEX('Portfolio Weights Returns'!$B$9:$BJ$69,
INT((ROW(A3532)-1)/COLUMNS('Portfolio Weights Returns'!$B$9:$BJ$69))+1,MOD(ROW(A3532)-1,COLUMNS('Portfolio Weights Returns'!$B$9:$BJ$69))+1)</f>
        <v>-4.5406206322977307E-4</v>
      </c>
      <c r="B3533" cm="1">
        <f t="array" ref="B3533">INDEX('Portfolio Weights Std'!$B$9:$BJ$69,INT((ROW(A3532)-1)/COLUMNS('Portfolio Weights Std'!$B$9:$BJ$69))+1,MOD(ROW(A3532)-1,COLUMNS('Portfolio Weights Std'!$B$9:$BJ$69))+1)</f>
        <v>1.7177865069228249E-2</v>
      </c>
    </row>
    <row r="3534" spans="1:2" x14ac:dyDescent="0.25">
      <c r="A3534" cm="1">
        <f t="array" ref="A3534">INDEX('Portfolio Weights Returns'!$B$9:$BJ$69,
INT((ROW(A3533)-1)/COLUMNS('Portfolio Weights Returns'!$B$9:$BJ$69))+1,MOD(ROW(A3533)-1,COLUMNS('Portfolio Weights Returns'!$B$9:$BJ$69))+1)</f>
        <v>-4.4728088926309392E-4</v>
      </c>
      <c r="B3534" cm="1">
        <f t="array" ref="B3534">INDEX('Portfolio Weights Std'!$B$9:$BJ$69,INT((ROW(A3533)-1)/COLUMNS('Portfolio Weights Std'!$B$9:$BJ$69))+1,MOD(ROW(A3533)-1,COLUMNS('Portfolio Weights Std'!$B$9:$BJ$69))+1)</f>
        <v>1.7142483731182663E-2</v>
      </c>
    </row>
    <row r="3535" spans="1:2" x14ac:dyDescent="0.25">
      <c r="A3535" cm="1">
        <f t="array" ref="A3535">INDEX('Portfolio Weights Returns'!$B$9:$BJ$69,
INT((ROW(A3534)-1)/COLUMNS('Portfolio Weights Returns'!$B$9:$BJ$69))+1,MOD(ROW(A3534)-1,COLUMNS('Portfolio Weights Returns'!$B$9:$BJ$69))+1)</f>
        <v>-4.4049971529641478E-4</v>
      </c>
      <c r="B3535" cm="1">
        <f t="array" ref="B3535">INDEX('Portfolio Weights Std'!$B$9:$BJ$69,INT((ROW(A3534)-1)/COLUMNS('Portfolio Weights Std'!$B$9:$BJ$69))+1,MOD(ROW(A3534)-1,COLUMNS('Portfolio Weights Std'!$B$9:$BJ$69))+1)</f>
        <v>1.7109735663295284E-2</v>
      </c>
    </row>
    <row r="3536" spans="1:2" x14ac:dyDescent="0.25">
      <c r="A3536" cm="1">
        <f t="array" ref="A3536">INDEX('Portfolio Weights Returns'!$B$9:$BJ$69,
INT((ROW(A3535)-1)/COLUMNS('Portfolio Weights Returns'!$B$9:$BJ$69))+1,MOD(ROW(A3535)-1,COLUMNS('Portfolio Weights Returns'!$B$9:$BJ$69))+1)</f>
        <v>-4.3371854132973509E-4</v>
      </c>
      <c r="B3536" cm="1">
        <f t="array" ref="B3536">INDEX('Portfolio Weights Std'!$B$9:$BJ$69,INT((ROW(A3535)-1)/COLUMNS('Portfolio Weights Std'!$B$9:$BJ$69))+1,MOD(ROW(A3535)-1,COLUMNS('Portfolio Weights Std'!$B$9:$BJ$69))+1)</f>
        <v>1.7079636012472296E-2</v>
      </c>
    </row>
    <row r="3537" spans="1:2" x14ac:dyDescent="0.25">
      <c r="A3537" cm="1">
        <f t="array" ref="A3537">INDEX('Portfolio Weights Returns'!$B$9:$BJ$69,
INT((ROW(A3536)-1)/COLUMNS('Portfolio Weights Returns'!$B$9:$BJ$69))+1,MOD(ROW(A3536)-1,COLUMNS('Portfolio Weights Returns'!$B$9:$BJ$69))+1)</f>
        <v>-4.2693736736305595E-4</v>
      </c>
      <c r="B3537" cm="1">
        <f t="array" ref="B3537">INDEX('Portfolio Weights Std'!$B$9:$BJ$69,INT((ROW(A3536)-1)/COLUMNS('Portfolio Weights Std'!$B$9:$BJ$69))+1,MOD(ROW(A3536)-1,COLUMNS('Portfolio Weights Std'!$B$9:$BJ$69))+1)</f>
        <v>1.7052198803261958E-2</v>
      </c>
    </row>
    <row r="3538" spans="1:2" x14ac:dyDescent="0.25">
      <c r="A3538" cm="1">
        <f t="array" ref="A3538">INDEX('Portfolio Weights Returns'!$B$9:$BJ$69,
INT((ROW(A3537)-1)/COLUMNS('Portfolio Weights Returns'!$B$9:$BJ$69))+1,MOD(ROW(A3537)-1,COLUMNS('Portfolio Weights Returns'!$B$9:$BJ$69))+1)</f>
        <v>-4.2015619339637691E-4</v>
      </c>
      <c r="B3538" cm="1">
        <f t="array" ref="B3538">INDEX('Portfolio Weights Std'!$B$9:$BJ$69,INT((ROW(A3537)-1)/COLUMNS('Portfolio Weights Std'!$B$9:$BJ$69))+1,MOD(ROW(A3537)-1,COLUMNS('Portfolio Weights Std'!$B$9:$BJ$69))+1)</f>
        <v>1.7027436906067884E-2</v>
      </c>
    </row>
    <row r="3539" spans="1:2" x14ac:dyDescent="0.25">
      <c r="A3539" cm="1">
        <f t="array" ref="A3539">INDEX('Portfolio Weights Returns'!$B$9:$BJ$69,
INT((ROW(A3538)-1)/COLUMNS('Portfolio Weights Returns'!$B$9:$BJ$69))+1,MOD(ROW(A3538)-1,COLUMNS('Portfolio Weights Returns'!$B$9:$BJ$69))+1)</f>
        <v>-4.1337501942969777E-4</v>
      </c>
      <c r="B3539" cm="1">
        <f t="array" ref="B3539">INDEX('Portfolio Weights Std'!$B$9:$BJ$69,INT((ROW(A3538)-1)/COLUMNS('Portfolio Weights Std'!$B$9:$BJ$69))+1,MOD(ROW(A3538)-1,COLUMNS('Portfolio Weights Std'!$B$9:$BJ$69))+1)</f>
        <v>1.7005362007643434E-2</v>
      </c>
    </row>
    <row r="3540" spans="1:2" x14ac:dyDescent="0.25">
      <c r="A3540" cm="1">
        <f t="array" ref="A3540">INDEX('Portfolio Weights Returns'!$B$9:$BJ$69,
INT((ROW(A3539)-1)/COLUMNS('Portfolio Weights Returns'!$B$9:$BJ$69))+1,MOD(ROW(A3539)-1,COLUMNS('Portfolio Weights Returns'!$B$9:$BJ$69))+1)</f>
        <v>-8.1367124958498958E-4</v>
      </c>
      <c r="B3540" cm="1">
        <f t="array" ref="B3540">INDEX('Portfolio Weights Std'!$B$9:$BJ$69,INT((ROW(A3539)-1)/COLUMNS('Portfolio Weights Std'!$B$9:$BJ$69))+1,MOD(ROW(A3539)-1,COLUMNS('Portfolio Weights Std'!$B$9:$BJ$69))+1)</f>
        <v>2.2347345506918304E-2</v>
      </c>
    </row>
    <row r="3541" spans="1:2" x14ac:dyDescent="0.25">
      <c r="A3541" cm="1">
        <f t="array" ref="A3541">INDEX('Portfolio Weights Returns'!$B$9:$BJ$69,
INT((ROW(A3540)-1)/COLUMNS('Portfolio Weights Returns'!$B$9:$BJ$69))+1,MOD(ROW(A3540)-1,COLUMNS('Portfolio Weights Returns'!$B$9:$BJ$69))+1)</f>
        <v>-8.0689007561831033E-4</v>
      </c>
      <c r="B3541" cm="1">
        <f t="array" ref="B3541">INDEX('Portfolio Weights Std'!$B$9:$BJ$69,INT((ROW(A3540)-1)/COLUMNS('Portfolio Weights Std'!$B$9:$BJ$69))+1,MOD(ROW(A3540)-1,COLUMNS('Portfolio Weights Std'!$B$9:$BJ$69))+1)</f>
        <v>2.2209570543943138E-2</v>
      </c>
    </row>
    <row r="3542" spans="1:2" x14ac:dyDescent="0.25">
      <c r="A3542" cm="1">
        <f t="array" ref="A3542">INDEX('Portfolio Weights Returns'!$B$9:$BJ$69,
INT((ROW(A3541)-1)/COLUMNS('Portfolio Weights Returns'!$B$9:$BJ$69))+1,MOD(ROW(A3541)-1,COLUMNS('Portfolio Weights Returns'!$B$9:$BJ$69))+1)</f>
        <v>-8.0010890165163129E-4</v>
      </c>
      <c r="B3542" cm="1">
        <f t="array" ref="B3542">INDEX('Portfolio Weights Std'!$B$9:$BJ$69,INT((ROW(A3541)-1)/COLUMNS('Portfolio Weights Std'!$B$9:$BJ$69))+1,MOD(ROW(A3541)-1,COLUMNS('Portfolio Weights Std'!$B$9:$BJ$69))+1)</f>
        <v>2.2073033369791249E-2</v>
      </c>
    </row>
    <row r="3543" spans="1:2" x14ac:dyDescent="0.25">
      <c r="A3543" cm="1">
        <f t="array" ref="A3543">INDEX('Portfolio Weights Returns'!$B$9:$BJ$69,
INT((ROW(A3542)-1)/COLUMNS('Portfolio Weights Returns'!$B$9:$BJ$69))+1,MOD(ROW(A3542)-1,COLUMNS('Portfolio Weights Returns'!$B$9:$BJ$69))+1)</f>
        <v>-7.9332772768495226E-4</v>
      </c>
      <c r="B3543" cm="1">
        <f t="array" ref="B3543">INDEX('Portfolio Weights Std'!$B$9:$BJ$69,INT((ROW(A3542)-1)/COLUMNS('Portfolio Weights Std'!$B$9:$BJ$69))+1,MOD(ROW(A3542)-1,COLUMNS('Portfolio Weights Std'!$B$9:$BJ$69))+1)</f>
        <v>2.1937757095887789E-2</v>
      </c>
    </row>
    <row r="3544" spans="1:2" x14ac:dyDescent="0.25">
      <c r="A3544" cm="1">
        <f t="array" ref="A3544">INDEX('Portfolio Weights Returns'!$B$9:$BJ$69,
INT((ROW(A3543)-1)/COLUMNS('Portfolio Weights Returns'!$B$9:$BJ$69))+1,MOD(ROW(A3543)-1,COLUMNS('Portfolio Weights Returns'!$B$9:$BJ$69))+1)</f>
        <v>-7.86546553718273E-4</v>
      </c>
      <c r="B3544" cm="1">
        <f t="array" ref="B3544">INDEX('Portfolio Weights Std'!$B$9:$BJ$69,INT((ROW(A3543)-1)/COLUMNS('Portfolio Weights Std'!$B$9:$BJ$69))+1,MOD(ROW(A3543)-1,COLUMNS('Portfolio Weights Std'!$B$9:$BJ$69))+1)</f>
        <v>2.1803765191112247E-2</v>
      </c>
    </row>
    <row r="3545" spans="1:2" x14ac:dyDescent="0.25">
      <c r="A3545" cm="1">
        <f t="array" ref="A3545">INDEX('Portfolio Weights Returns'!$B$9:$BJ$69,
INT((ROW(A3544)-1)/COLUMNS('Portfolio Weights Returns'!$B$9:$BJ$69))+1,MOD(ROW(A3544)-1,COLUMNS('Portfolio Weights Returns'!$B$9:$BJ$69))+1)</f>
        <v>-7.7976537975159397E-4</v>
      </c>
      <c r="B3545" cm="1">
        <f t="array" ref="B3545">INDEX('Portfolio Weights Std'!$B$9:$BJ$69,INT((ROW(A3544)-1)/COLUMNS('Portfolio Weights Std'!$B$9:$BJ$69))+1,MOD(ROW(A3544)-1,COLUMNS('Portfolio Weights Std'!$B$9:$BJ$69))+1)</f>
        <v>2.1671081479170972E-2</v>
      </c>
    </row>
    <row r="3546" spans="1:2" x14ac:dyDescent="0.25">
      <c r="A3546" cm="1">
        <f t="array" ref="A3546">INDEX('Portfolio Weights Returns'!$B$9:$BJ$69,
INT((ROW(A3545)-1)/COLUMNS('Portfolio Weights Returns'!$B$9:$BJ$69))+1,MOD(ROW(A3545)-1,COLUMNS('Portfolio Weights Returns'!$B$9:$BJ$69))+1)</f>
        <v>-7.7298420578491482E-4</v>
      </c>
      <c r="B3546" cm="1">
        <f t="array" ref="B3546">INDEX('Portfolio Weights Std'!$B$9:$BJ$69,INT((ROW(A3545)-1)/COLUMNS('Portfolio Weights Std'!$B$9:$BJ$69))+1,MOD(ROW(A3545)-1,COLUMNS('Portfolio Weights Std'!$B$9:$BJ$69))+1)</f>
        <v>2.153973013529422E-2</v>
      </c>
    </row>
    <row r="3547" spans="1:2" x14ac:dyDescent="0.25">
      <c r="A3547" cm="1">
        <f t="array" ref="A3547">INDEX('Portfolio Weights Returns'!$B$9:$BJ$69,
INT((ROW(A3546)-1)/COLUMNS('Portfolio Weights Returns'!$B$9:$BJ$69))+1,MOD(ROW(A3546)-1,COLUMNS('Portfolio Weights Returns'!$B$9:$BJ$69))+1)</f>
        <v>-7.6620303181823579E-4</v>
      </c>
      <c r="B3547" cm="1">
        <f t="array" ref="B3547">INDEX('Portfolio Weights Std'!$B$9:$BJ$69,INT((ROW(A3546)-1)/COLUMNS('Portfolio Weights Std'!$B$9:$BJ$69))+1,MOD(ROW(A3546)-1,COLUMNS('Portfolio Weights Std'!$B$9:$BJ$69))+1)</f>
        <v>2.1409735682218562E-2</v>
      </c>
    </row>
    <row r="3548" spans="1:2" x14ac:dyDescent="0.25">
      <c r="A3548" cm="1">
        <f t="array" ref="A3548">INDEX('Portfolio Weights Returns'!$B$9:$BJ$69,
INT((ROW(A3547)-1)/COLUMNS('Portfolio Weights Returns'!$B$9:$BJ$69))+1,MOD(ROW(A3547)-1,COLUMNS('Portfolio Weights Returns'!$B$9:$BJ$69))+1)</f>
        <v>-7.5942185785155664E-4</v>
      </c>
      <c r="B3548" cm="1">
        <f t="array" ref="B3548">INDEX('Portfolio Weights Std'!$B$9:$BJ$69,INT((ROW(A3547)-1)/COLUMNS('Portfolio Weights Std'!$B$9:$BJ$69))+1,MOD(ROW(A3547)-1,COLUMNS('Portfolio Weights Std'!$B$9:$BJ$69))+1)</f>
        <v>2.1281122985414788E-2</v>
      </c>
    </row>
    <row r="3549" spans="1:2" x14ac:dyDescent="0.25">
      <c r="A3549" cm="1">
        <f t="array" ref="A3549">INDEX('Portfolio Weights Returns'!$B$9:$BJ$69,
INT((ROW(A3548)-1)/COLUMNS('Portfolio Weights Returns'!$B$9:$BJ$69))+1,MOD(ROW(A3548)-1,COLUMNS('Portfolio Weights Returns'!$B$9:$BJ$69))+1)</f>
        <v>-7.526406838848775E-4</v>
      </c>
      <c r="B3549" cm="1">
        <f t="array" ref="B3549">INDEX('Portfolio Weights Std'!$B$9:$BJ$69,INT((ROW(A3548)-1)/COLUMNS('Portfolio Weights Std'!$B$9:$BJ$69))+1,MOD(ROW(A3548)-1,COLUMNS('Portfolio Weights Std'!$B$9:$BJ$69))+1)</f>
        <v>2.1153917247520901E-2</v>
      </c>
    </row>
    <row r="3550" spans="1:2" x14ac:dyDescent="0.25">
      <c r="A3550" cm="1">
        <f t="array" ref="A3550">INDEX('Portfolio Weights Returns'!$B$9:$BJ$69,
INT((ROW(A3549)-1)/COLUMNS('Portfolio Weights Returns'!$B$9:$BJ$69))+1,MOD(ROW(A3549)-1,COLUMNS('Portfolio Weights Returns'!$B$9:$BJ$69))+1)</f>
        <v>-7.4585950991819846E-4</v>
      </c>
      <c r="B3550" cm="1">
        <f t="array" ref="B3550">INDEX('Portfolio Weights Std'!$B$9:$BJ$69,INT((ROW(A3549)-1)/COLUMNS('Portfolio Weights Std'!$B$9:$BJ$69))+1,MOD(ROW(A3549)-1,COLUMNS('Portfolio Weights Std'!$B$9:$BJ$69))+1)</f>
        <v>2.1028144001939419E-2</v>
      </c>
    </row>
    <row r="3551" spans="1:2" x14ac:dyDescent="0.25">
      <c r="A3551" cm="1">
        <f t="array" ref="A3551">INDEX('Portfolio Weights Returns'!$B$9:$BJ$69,
INT((ROW(A3550)-1)/COLUMNS('Portfolio Weights Returns'!$B$9:$BJ$69))+1,MOD(ROW(A3550)-1,COLUMNS('Portfolio Weights Returns'!$B$9:$BJ$69))+1)</f>
        <v>-7.3907833595151921E-4</v>
      </c>
      <c r="B3551" cm="1">
        <f t="array" ref="B3551">INDEX('Portfolio Weights Std'!$B$9:$BJ$69,INT((ROW(A3550)-1)/COLUMNS('Portfolio Weights Std'!$B$9:$BJ$69))+1,MOD(ROW(A3550)-1,COLUMNS('Portfolio Weights Std'!$B$9:$BJ$69))+1)</f>
        <v>2.0903829105557801E-2</v>
      </c>
    </row>
    <row r="3552" spans="1:2" x14ac:dyDescent="0.25">
      <c r="A3552" cm="1">
        <f t="array" ref="A3552">INDEX('Portfolio Weights Returns'!$B$9:$BJ$69,
INT((ROW(A3551)-1)/COLUMNS('Portfolio Weights Returns'!$B$9:$BJ$69))+1,MOD(ROW(A3551)-1,COLUMNS('Portfolio Weights Returns'!$B$9:$BJ$69))+1)</f>
        <v>-7.3229716198484017E-4</v>
      </c>
      <c r="B3552" cm="1">
        <f t="array" ref="B3552">INDEX('Portfolio Weights Std'!$B$9:$BJ$69,INT((ROW(A3551)-1)/COLUMNS('Portfolio Weights Std'!$B$9:$BJ$69))+1,MOD(ROW(A3551)-1,COLUMNS('Portfolio Weights Std'!$B$9:$BJ$69))+1)</f>
        <v>2.0780998730550847E-2</v>
      </c>
    </row>
    <row r="3553" spans="1:2" x14ac:dyDescent="0.25">
      <c r="A3553" cm="1">
        <f t="array" ref="A3553">INDEX('Portfolio Weights Returns'!$B$9:$BJ$69,
INT((ROW(A3552)-1)/COLUMNS('Portfolio Weights Returns'!$B$9:$BJ$69))+1,MOD(ROW(A3552)-1,COLUMNS('Portfolio Weights Returns'!$B$9:$BJ$69))+1)</f>
        <v>-7.2551598801816103E-4</v>
      </c>
      <c r="B3553" cm="1">
        <f t="array" ref="B3553">INDEX('Portfolio Weights Std'!$B$9:$BJ$69,INT((ROW(A3552)-1)/COLUMNS('Portfolio Weights Std'!$B$9:$BJ$69))+1,MOD(ROW(A3552)-1,COLUMNS('Portfolio Weights Std'!$B$9:$BJ$69))+1)</f>
        <v>2.0659679355224086E-2</v>
      </c>
    </row>
    <row r="3554" spans="1:2" x14ac:dyDescent="0.25">
      <c r="A3554" cm="1">
        <f t="array" ref="A3554">INDEX('Portfolio Weights Returns'!$B$9:$BJ$69,
INT((ROW(A3553)-1)/COLUMNS('Portfolio Weights Returns'!$B$9:$BJ$69))+1,MOD(ROW(A3553)-1,COLUMNS('Portfolio Weights Returns'!$B$9:$BJ$69))+1)</f>
        <v>-7.1873481405148199E-4</v>
      </c>
      <c r="B3554" cm="1">
        <f t="array" ref="B3554">INDEX('Portfolio Weights Std'!$B$9:$BJ$69,INT((ROW(A3553)-1)/COLUMNS('Portfolio Weights Std'!$B$9:$BJ$69))+1,MOD(ROW(A3553)-1,COLUMNS('Portfolio Weights Std'!$B$9:$BJ$69))+1)</f>
        <v>2.0539897753857363E-2</v>
      </c>
    </row>
    <row r="3555" spans="1:2" x14ac:dyDescent="0.25">
      <c r="A3555" cm="1">
        <f t="array" ref="A3555">INDEX('Portfolio Weights Returns'!$B$9:$BJ$69,
INT((ROW(A3554)-1)/COLUMNS('Portfolio Weights Returns'!$B$9:$BJ$69))+1,MOD(ROW(A3554)-1,COLUMNS('Portfolio Weights Returns'!$B$9:$BJ$69))+1)</f>
        <v>-7.1195364008480285E-4</v>
      </c>
      <c r="B3555" cm="1">
        <f t="array" ref="B3555">INDEX('Portfolio Weights Std'!$B$9:$BJ$69,INT((ROW(A3554)-1)/COLUMNS('Portfolio Weights Std'!$B$9:$BJ$69))+1,MOD(ROW(A3554)-1,COLUMNS('Portfolio Weights Std'!$B$9:$BJ$69))+1)</f>
        <v>2.0421680985508589E-2</v>
      </c>
    </row>
    <row r="3556" spans="1:2" x14ac:dyDescent="0.25">
      <c r="A3556" cm="1">
        <f t="array" ref="A3556">INDEX('Portfolio Weights Returns'!$B$9:$BJ$69,
INT((ROW(A3555)-1)/COLUMNS('Portfolio Weights Returns'!$B$9:$BJ$69))+1,MOD(ROW(A3555)-1,COLUMNS('Portfolio Weights Returns'!$B$9:$BJ$69))+1)</f>
        <v>-7.0517246611812392E-4</v>
      </c>
      <c r="B3556" cm="1">
        <f t="array" ref="B3556">INDEX('Portfolio Weights Std'!$B$9:$BJ$69,INT((ROW(A3555)-1)/COLUMNS('Portfolio Weights Std'!$B$9:$BJ$69))+1,MOD(ROW(A3555)-1,COLUMNS('Portfolio Weights Std'!$B$9:$BJ$69))+1)</f>
        <v>2.0305056381738452E-2</v>
      </c>
    </row>
    <row r="3557" spans="1:2" x14ac:dyDescent="0.25">
      <c r="A3557" cm="1">
        <f t="array" ref="A3557">INDEX('Portfolio Weights Returns'!$B$9:$BJ$69,
INT((ROW(A3556)-1)/COLUMNS('Portfolio Weights Returns'!$B$9:$BJ$69))+1,MOD(ROW(A3556)-1,COLUMNS('Portfolio Weights Returns'!$B$9:$BJ$69))+1)</f>
        <v>-6.9839129215144467E-4</v>
      </c>
      <c r="B3557" cm="1">
        <f t="array" ref="B3557">INDEX('Portfolio Weights Std'!$B$9:$BJ$69,INT((ROW(A3556)-1)/COLUMNS('Portfolio Weights Std'!$B$9:$BJ$69))+1,MOD(ROW(A3556)-1,COLUMNS('Portfolio Weights Std'!$B$9:$BJ$69))+1)</f>
        <v>2.0190051533217974E-2</v>
      </c>
    </row>
    <row r="3558" spans="1:2" x14ac:dyDescent="0.25">
      <c r="A3558" cm="1">
        <f t="array" ref="A3558">INDEX('Portfolio Weights Returns'!$B$9:$BJ$69,
INT((ROW(A3557)-1)/COLUMNS('Portfolio Weights Returns'!$B$9:$BJ$69))+1,MOD(ROW(A3557)-1,COLUMNS('Portfolio Weights Returns'!$B$9:$BJ$69))+1)</f>
        <v>-6.9161011818476563E-4</v>
      </c>
      <c r="B3558" cm="1">
        <f t="array" ref="B3558">INDEX('Portfolio Weights Std'!$B$9:$BJ$69,INT((ROW(A3557)-1)/COLUMNS('Portfolio Weights Std'!$B$9:$BJ$69))+1,MOD(ROW(A3557)-1,COLUMNS('Portfolio Weights Std'!$B$9:$BJ$69))+1)</f>
        <v>2.0076694275182445E-2</v>
      </c>
    </row>
    <row r="3559" spans="1:2" x14ac:dyDescent="0.25">
      <c r="A3559" cm="1">
        <f t="array" ref="A3559">INDEX('Portfolio Weights Returns'!$B$9:$BJ$69,
INT((ROW(A3558)-1)/COLUMNS('Portfolio Weights Returns'!$B$9:$BJ$69))+1,MOD(ROW(A3558)-1,COLUMNS('Portfolio Weights Returns'!$B$9:$BJ$69))+1)</f>
        <v>-6.848289442180866E-4</v>
      </c>
      <c r="B3559" cm="1">
        <f t="array" ref="B3559">INDEX('Portfolio Weights Std'!$B$9:$BJ$69,INT((ROW(A3558)-1)/COLUMNS('Portfolio Weights Std'!$B$9:$BJ$69))+1,MOD(ROW(A3558)-1,COLUMNS('Portfolio Weights Std'!$B$9:$BJ$69))+1)</f>
        <v>1.9965012671696845E-2</v>
      </c>
    </row>
    <row r="3560" spans="1:2" x14ac:dyDescent="0.25">
      <c r="A3560" cm="1">
        <f t="array" ref="A3560">INDEX('Portfolio Weights Returns'!$B$9:$BJ$69,
INT((ROW(A3559)-1)/COLUMNS('Portfolio Weights Returns'!$B$9:$BJ$69))+1,MOD(ROW(A3559)-1,COLUMNS('Portfolio Weights Returns'!$B$9:$BJ$69))+1)</f>
        <v>-6.7804777025140745E-4</v>
      </c>
      <c r="B3560" cm="1">
        <f t="array" ref="B3560">INDEX('Portfolio Weights Std'!$B$9:$BJ$69,INT((ROW(A3559)-1)/COLUMNS('Portfolio Weights Std'!$B$9:$BJ$69))+1,MOD(ROW(A3559)-1,COLUMNS('Portfolio Weights Std'!$B$9:$BJ$69))+1)</f>
        <v>1.9855034998700293E-2</v>
      </c>
    </row>
    <row r="3561" spans="1:2" x14ac:dyDescent="0.25">
      <c r="A3561" cm="1">
        <f t="array" ref="A3561">INDEX('Portfolio Weights Returns'!$B$9:$BJ$69,
INT((ROW(A3560)-1)/COLUMNS('Portfolio Weights Returns'!$B$9:$BJ$69))+1,MOD(ROW(A3560)-1,COLUMNS('Portfolio Weights Returns'!$B$9:$BJ$69))+1)</f>
        <v>-6.7126659628472841E-4</v>
      </c>
      <c r="B3561" cm="1">
        <f t="array" ref="B3561">INDEX('Portfolio Weights Std'!$B$9:$BJ$69,INT((ROW(A3560)-1)/COLUMNS('Portfolio Weights Std'!$B$9:$BJ$69))+1,MOD(ROW(A3560)-1,COLUMNS('Portfolio Weights Std'!$B$9:$BJ$69))+1)</f>
        <v>1.9746789725799418E-2</v>
      </c>
    </row>
    <row r="3562" spans="1:2" x14ac:dyDescent="0.25">
      <c r="A3562" cm="1">
        <f t="array" ref="A3562">INDEX('Portfolio Weights Returns'!$B$9:$BJ$69,
INT((ROW(A3561)-1)/COLUMNS('Portfolio Weights Returns'!$B$9:$BJ$69))+1,MOD(ROW(A3561)-1,COLUMNS('Portfolio Weights Returns'!$B$9:$BJ$69))+1)</f>
        <v>-6.6448542231804916E-4</v>
      </c>
      <c r="B3562" cm="1">
        <f t="array" ref="B3562">INDEX('Portfolio Weights Std'!$B$9:$BJ$69,INT((ROW(A3561)-1)/COLUMNS('Portfolio Weights Std'!$B$9:$BJ$69))+1,MOD(ROW(A3561)-1,COLUMNS('Portfolio Weights Std'!$B$9:$BJ$69))+1)</f>
        <v>1.964030549678358E-2</v>
      </c>
    </row>
    <row r="3563" spans="1:2" x14ac:dyDescent="0.25">
      <c r="A3563" cm="1">
        <f t="array" ref="A3563">INDEX('Portfolio Weights Returns'!$B$9:$BJ$69,
INT((ROW(A3562)-1)/COLUMNS('Portfolio Weights Returns'!$B$9:$BJ$69))+1,MOD(ROW(A3562)-1,COLUMNS('Portfolio Weights Returns'!$B$9:$BJ$69))+1)</f>
        <v>-6.5770424835137013E-4</v>
      </c>
      <c r="B3563" cm="1">
        <f t="array" ref="B3563">INDEX('Portfolio Weights Std'!$B$9:$BJ$69,INT((ROW(A3562)-1)/COLUMNS('Portfolio Weights Std'!$B$9:$BJ$69))+1,MOD(ROW(A3562)-1,COLUMNS('Portfolio Weights Std'!$B$9:$BJ$69))+1)</f>
        <v>1.9535611108838214E-2</v>
      </c>
    </row>
    <row r="3564" spans="1:2" x14ac:dyDescent="0.25">
      <c r="A3564" cm="1">
        <f t="array" ref="A3564">INDEX('Portfolio Weights Returns'!$B$9:$BJ$69,
INT((ROW(A3563)-1)/COLUMNS('Portfolio Weights Returns'!$B$9:$BJ$69))+1,MOD(ROW(A3563)-1,COLUMNS('Portfolio Weights Returns'!$B$9:$BJ$69))+1)</f>
        <v>-6.5092307438469098E-4</v>
      </c>
      <c r="B3564" cm="1">
        <f t="array" ref="B3564">INDEX('Portfolio Weights Std'!$B$9:$BJ$69,INT((ROW(A3563)-1)/COLUMNS('Portfolio Weights Std'!$B$9:$BJ$69))+1,MOD(ROW(A3563)-1,COLUMNS('Portfolio Weights Std'!$B$9:$BJ$69))+1)</f>
        <v>1.9432735490436354E-2</v>
      </c>
    </row>
    <row r="3565" spans="1:2" x14ac:dyDescent="0.25">
      <c r="A3565" cm="1">
        <f t="array" ref="A3565">INDEX('Portfolio Weights Returns'!$B$9:$BJ$69,
INT((ROW(A3564)-1)/COLUMNS('Portfolio Weights Returns'!$B$9:$BJ$69))+1,MOD(ROW(A3564)-1,COLUMNS('Portfolio Weights Returns'!$B$9:$BJ$69))+1)</f>
        <v>-6.4414190041801195E-4</v>
      </c>
      <c r="B3565" cm="1">
        <f t="array" ref="B3565">INDEX('Portfolio Weights Std'!$B$9:$BJ$69,INT((ROW(A3564)-1)/COLUMNS('Portfolio Weights Std'!$B$9:$BJ$69))+1,MOD(ROW(A3564)-1,COLUMNS('Portfolio Weights Std'!$B$9:$BJ$69))+1)</f>
        <v>1.9331707677892617E-2</v>
      </c>
    </row>
    <row r="3566" spans="1:2" x14ac:dyDescent="0.25">
      <c r="A3566" cm="1">
        <f t="array" ref="A3566">INDEX('Portfolio Weights Returns'!$B$9:$BJ$69,
INT((ROW(A3565)-1)/COLUMNS('Portfolio Weights Returns'!$B$9:$BJ$69))+1,MOD(ROW(A3565)-1,COLUMNS('Portfolio Weights Returns'!$B$9:$BJ$69))+1)</f>
        <v>-6.373607264513328E-4</v>
      </c>
      <c r="B3566" cm="1">
        <f t="array" ref="B3566">INDEX('Portfolio Weights Std'!$B$9:$BJ$69,INT((ROW(A3565)-1)/COLUMNS('Portfolio Weights Std'!$B$9:$BJ$69))+1,MOD(ROW(A3565)-1,COLUMNS('Portfolio Weights Std'!$B$9:$BJ$69))+1)</f>
        <v>1.9232556790568588E-2</v>
      </c>
    </row>
    <row r="3567" spans="1:2" x14ac:dyDescent="0.25">
      <c r="A3567" cm="1">
        <f t="array" ref="A3567">INDEX('Portfolio Weights Returns'!$B$9:$BJ$69,
INT((ROW(A3566)-1)/COLUMNS('Portfolio Weights Returns'!$B$9:$BJ$69))+1,MOD(ROW(A3566)-1,COLUMNS('Portfolio Weights Returns'!$B$9:$BJ$69))+1)</f>
        <v>-6.3057955248465376E-4</v>
      </c>
      <c r="B3567" cm="1">
        <f t="array" ref="B3567">INDEX('Portfolio Weights Std'!$B$9:$BJ$69,INT((ROW(A3566)-1)/COLUMNS('Portfolio Weights Std'!$B$9:$BJ$69))+1,MOD(ROW(A3566)-1,COLUMNS('Portfolio Weights Std'!$B$9:$BJ$69))+1)</f>
        <v>1.9135312004723761E-2</v>
      </c>
    </row>
    <row r="3568" spans="1:2" x14ac:dyDescent="0.25">
      <c r="A3568" cm="1">
        <f t="array" ref="A3568">INDEX('Portfolio Weights Returns'!$B$9:$BJ$69,
INT((ROW(A3567)-1)/COLUMNS('Portfolio Weights Returns'!$B$9:$BJ$69))+1,MOD(ROW(A3567)-1,COLUMNS('Portfolio Weights Returns'!$B$9:$BJ$69))+1)</f>
        <v>-6.2379837851797462E-4</v>
      </c>
      <c r="B3568" cm="1">
        <f t="array" ref="B3568">INDEX('Portfolio Weights Std'!$B$9:$BJ$69,INT((ROW(A3567)-1)/COLUMNS('Portfolio Weights Std'!$B$9:$BJ$69))+1,MOD(ROW(A3567)-1,COLUMNS('Portfolio Weights Std'!$B$9:$BJ$69))+1)</f>
        <v>1.9040002526011669E-2</v>
      </c>
    </row>
    <row r="3569" spans="1:2" x14ac:dyDescent="0.25">
      <c r="A3569" cm="1">
        <f t="array" ref="A3569">INDEX('Portfolio Weights Returns'!$B$9:$BJ$69,
INT((ROW(A3568)-1)/COLUMNS('Portfolio Weights Returns'!$B$9:$BJ$69))+1,MOD(ROW(A3568)-1,COLUMNS('Portfolio Weights Returns'!$B$9:$BJ$69))+1)</f>
        <v>-6.1701720455129537E-4</v>
      </c>
      <c r="B3569" cm="1">
        <f t="array" ref="B3569">INDEX('Portfolio Weights Std'!$B$9:$BJ$69,INT((ROW(A3568)-1)/COLUMNS('Portfolio Weights Std'!$B$9:$BJ$69))+1,MOD(ROW(A3568)-1,COLUMNS('Portfolio Weights Std'!$B$9:$BJ$69))+1)</f>
        <v>1.8946657560626943E-2</v>
      </c>
    </row>
    <row r="3570" spans="1:2" x14ac:dyDescent="0.25">
      <c r="A3570" cm="1">
        <f t="array" ref="A3570">INDEX('Portfolio Weights Returns'!$B$9:$BJ$69,
INT((ROW(A3569)-1)/COLUMNS('Portfolio Weights Returns'!$B$9:$BJ$69))+1,MOD(ROW(A3569)-1,COLUMNS('Portfolio Weights Returns'!$B$9:$BJ$69))+1)</f>
        <v>-6.1023603058461633E-4</v>
      </c>
      <c r="B3570" cm="1">
        <f t="array" ref="B3570">INDEX('Portfolio Weights Std'!$B$9:$BJ$69,INT((ROW(A3569)-1)/COLUMNS('Portfolio Weights Std'!$B$9:$BJ$69))+1,MOD(ROW(A3569)-1,COLUMNS('Portfolio Weights Std'!$B$9:$BJ$69))+1)</f>
        <v>1.8855306285115586E-2</v>
      </c>
    </row>
    <row r="3571" spans="1:2" x14ac:dyDescent="0.25">
      <c r="A3571" cm="1">
        <f t="array" ref="A3571">INDEX('Portfolio Weights Returns'!$B$9:$BJ$69,
INT((ROW(A3570)-1)/COLUMNS('Portfolio Weights Returns'!$B$9:$BJ$69))+1,MOD(ROW(A3570)-1,COLUMNS('Portfolio Weights Returns'!$B$9:$BJ$69))+1)</f>
        <v>-6.0345485661793719E-4</v>
      </c>
      <c r="B3571" cm="1">
        <f t="array" ref="B3571">INDEX('Portfolio Weights Std'!$B$9:$BJ$69,INT((ROW(A3570)-1)/COLUMNS('Portfolio Weights Std'!$B$9:$BJ$69))+1,MOD(ROW(A3570)-1,COLUMNS('Portfolio Weights Std'!$B$9:$BJ$69))+1)</f>
        <v>1.876597781486759E-2</v>
      </c>
    </row>
    <row r="3572" spans="1:2" x14ac:dyDescent="0.25">
      <c r="A3572" cm="1">
        <f t="array" ref="A3572">INDEX('Portfolio Weights Returns'!$B$9:$BJ$69,
INT((ROW(A3571)-1)/COLUMNS('Portfolio Weights Returns'!$B$9:$BJ$69))+1,MOD(ROW(A3571)-1,COLUMNS('Portfolio Weights Returns'!$B$9:$BJ$69))+1)</f>
        <v>-5.9667368265125815E-4</v>
      </c>
      <c r="B3572" cm="1">
        <f t="array" ref="B3572">INDEX('Portfolio Weights Std'!$B$9:$BJ$69,INT((ROW(A3571)-1)/COLUMNS('Portfolio Weights Std'!$B$9:$BJ$69))+1,MOD(ROW(A3571)-1,COLUMNS('Portfolio Weights Std'!$B$9:$BJ$69))+1)</f>
        <v>1.867870117131841E-2</v>
      </c>
    </row>
    <row r="3573" spans="1:2" x14ac:dyDescent="0.25">
      <c r="A3573" cm="1">
        <f t="array" ref="A3573">INDEX('Portfolio Weights Returns'!$B$9:$BJ$69,
INT((ROW(A3572)-1)/COLUMNS('Portfolio Weights Returns'!$B$9:$BJ$69))+1,MOD(ROW(A3572)-1,COLUMNS('Portfolio Weights Returns'!$B$9:$BJ$69))+1)</f>
        <v>-5.8989250868457901E-4</v>
      </c>
      <c r="B3573" cm="1">
        <f t="array" ref="B3573">INDEX('Portfolio Weights Std'!$B$9:$BJ$69,INT((ROW(A3572)-1)/COLUMNS('Portfolio Weights Std'!$B$9:$BJ$69))+1,MOD(ROW(A3572)-1,COLUMNS('Portfolio Weights Std'!$B$9:$BJ$69))+1)</f>
        <v>1.8593505247893598E-2</v>
      </c>
    </row>
    <row r="3574" spans="1:2" x14ac:dyDescent="0.25">
      <c r="A3574" cm="1">
        <f t="array" ref="A3574">INDEX('Portfolio Weights Returns'!$B$9:$BJ$69,
INT((ROW(A3573)-1)/COLUMNS('Portfolio Weights Returns'!$B$9:$BJ$69))+1,MOD(ROW(A3573)-1,COLUMNS('Portfolio Weights Returns'!$B$9:$BJ$69))+1)</f>
        <v>-5.8311133471789997E-4</v>
      </c>
      <c r="B3574" cm="1">
        <f t="array" ref="B3574">INDEX('Portfolio Weights Std'!$B$9:$BJ$69,INT((ROW(A3573)-1)/COLUMNS('Portfolio Weights Std'!$B$9:$BJ$69))+1,MOD(ROW(A3573)-1,COLUMNS('Portfolio Weights Std'!$B$9:$BJ$69))+1)</f>
        <v>1.8510418774738937E-2</v>
      </c>
    </row>
    <row r="3575" spans="1:2" x14ac:dyDescent="0.25">
      <c r="A3575" cm="1">
        <f t="array" ref="A3575">INDEX('Portfolio Weights Returns'!$B$9:$BJ$69,
INT((ROW(A3574)-1)/COLUMNS('Portfolio Weights Returns'!$B$9:$BJ$69))+1,MOD(ROW(A3574)-1,COLUMNS('Portfolio Weights Returns'!$B$9:$BJ$69))+1)</f>
        <v>-5.7633016075122083E-4</v>
      </c>
      <c r="B3575" cm="1">
        <f t="array" ref="B3575">INDEX('Portfolio Weights Std'!$B$9:$BJ$69,INT((ROW(A3574)-1)/COLUMNS('Portfolio Weights Std'!$B$9:$BJ$69))+1,MOD(ROW(A3574)-1,COLUMNS('Portfolio Weights Std'!$B$9:$BJ$69))+1)</f>
        <v>1.8429470282286864E-2</v>
      </c>
    </row>
    <row r="3576" spans="1:2" x14ac:dyDescent="0.25">
      <c r="A3576" cm="1">
        <f t="array" ref="A3576">INDEX('Portfolio Weights Returns'!$B$9:$BJ$69,
INT((ROW(A3575)-1)/COLUMNS('Portfolio Weights Returns'!$B$9:$BJ$69))+1,MOD(ROW(A3575)-1,COLUMNS('Portfolio Weights Returns'!$B$9:$BJ$69))+1)</f>
        <v>-5.6954898678454168E-4</v>
      </c>
      <c r="B3576" cm="1">
        <f t="array" ref="B3576">INDEX('Portfolio Weights Std'!$B$9:$BJ$69,INT((ROW(A3575)-1)/COLUMNS('Portfolio Weights Std'!$B$9:$BJ$69))+1,MOD(ROW(A3575)-1,COLUMNS('Portfolio Weights Std'!$B$9:$BJ$69))+1)</f>
        <v>1.835068806371869E-2</v>
      </c>
    </row>
    <row r="3577" spans="1:2" x14ac:dyDescent="0.25">
      <c r="A3577" cm="1">
        <f t="array" ref="A3577">INDEX('Portfolio Weights Returns'!$B$9:$BJ$69,
INT((ROW(A3576)-1)/COLUMNS('Portfolio Weights Returns'!$B$9:$BJ$69))+1,MOD(ROW(A3576)-1,COLUMNS('Portfolio Weights Returns'!$B$9:$BJ$69))+1)</f>
        <v>-5.6276781281786254E-4</v>
      </c>
      <c r="B3577" cm="1">
        <f t="array" ref="B3577">INDEX('Portfolio Weights Std'!$B$9:$BJ$69,INT((ROW(A3576)-1)/COLUMNS('Portfolio Weights Std'!$B$9:$BJ$69))+1,MOD(ROW(A3576)-1,COLUMNS('Portfolio Weights Std'!$B$9:$BJ$69))+1)</f>
        <v>1.8274100136391025E-2</v>
      </c>
    </row>
    <row r="3578" spans="1:2" x14ac:dyDescent="0.25">
      <c r="A3578" cm="1">
        <f t="array" ref="A3578">INDEX('Portfolio Weights Returns'!$B$9:$BJ$69,
INT((ROW(A3577)-1)/COLUMNS('Portfolio Weights Returns'!$B$9:$BJ$69))+1,MOD(ROW(A3577)-1,COLUMNS('Portfolio Weights Returns'!$B$9:$BJ$69))+1)</f>
        <v>-5.5598663885118361E-4</v>
      </c>
      <c r="B3578" cm="1">
        <f t="array" ref="B3578">INDEX('Portfolio Weights Std'!$B$9:$BJ$69,INT((ROW(A3577)-1)/COLUMNS('Portfolio Weights Std'!$B$9:$BJ$69))+1,MOD(ROW(A3577)-1,COLUMNS('Portfolio Weights Std'!$B$9:$BJ$69))+1)</f>
        <v>1.8199734202303922E-2</v>
      </c>
    </row>
    <row r="3579" spans="1:2" x14ac:dyDescent="0.25">
      <c r="A3579" cm="1">
        <f t="array" ref="A3579">INDEX('Portfolio Weights Returns'!$B$9:$BJ$69,
INT((ROW(A3578)-1)/COLUMNS('Portfolio Weights Returns'!$B$9:$BJ$69))+1,MOD(ROW(A3578)-1,COLUMNS('Portfolio Weights Returns'!$B$9:$BJ$69))+1)</f>
        <v>-5.4920546488450447E-4</v>
      </c>
      <c r="B3579" cm="1">
        <f t="array" ref="B3579">INDEX('Portfolio Weights Std'!$B$9:$BJ$69,INT((ROW(A3578)-1)/COLUMNS('Portfolio Weights Std'!$B$9:$BJ$69))+1,MOD(ROW(A3578)-1,COLUMNS('Portfolio Weights Std'!$B$9:$BJ$69))+1)</f>
        <v>1.8127617607697426E-2</v>
      </c>
    </row>
    <row r="3580" spans="1:2" x14ac:dyDescent="0.25">
      <c r="A3580" cm="1">
        <f t="array" ref="A3580">INDEX('Portfolio Weights Returns'!$B$9:$BJ$69,
INT((ROW(A3579)-1)/COLUMNS('Portfolio Weights Returns'!$B$9:$BJ$69))+1,MOD(ROW(A3579)-1,COLUMNS('Portfolio Weights Returns'!$B$9:$BJ$69))+1)</f>
        <v>-5.4242429091782532E-4</v>
      </c>
      <c r="B3580" cm="1">
        <f t="array" ref="B3580">INDEX('Portfolio Weights Std'!$B$9:$BJ$69,INT((ROW(A3579)-1)/COLUMNS('Portfolio Weights Std'!$B$9:$BJ$69))+1,MOD(ROW(A3579)-1,COLUMNS('Portfolio Weights Std'!$B$9:$BJ$69))+1)</f>
        <v>1.8057777301872413E-2</v>
      </c>
    </row>
    <row r="3581" spans="1:2" x14ac:dyDescent="0.25">
      <c r="A3581" cm="1">
        <f t="array" ref="A3581">INDEX('Portfolio Weights Returns'!$B$9:$BJ$69,
INT((ROW(A3580)-1)/COLUMNS('Portfolio Weights Returns'!$B$9:$BJ$69))+1,MOD(ROW(A3580)-1,COLUMNS('Portfolio Weights Returns'!$B$9:$BJ$69))+1)</f>
        <v>-5.3564311695114618E-4</v>
      </c>
      <c r="B3581" cm="1">
        <f t="array" ref="B3581">INDEX('Portfolio Weights Std'!$B$9:$BJ$69,INT((ROW(A3580)-1)/COLUMNS('Portfolio Weights Std'!$B$9:$BJ$69))+1,MOD(ROW(A3580)-1,COLUMNS('Portfolio Weights Std'!$B$9:$BJ$69))+1)</f>
        <v>1.7990239795340722E-2</v>
      </c>
    </row>
    <row r="3582" spans="1:2" x14ac:dyDescent="0.25">
      <c r="A3582" cm="1">
        <f t="array" ref="A3582">INDEX('Portfolio Weights Returns'!$B$9:$BJ$69,
INT((ROW(A3581)-1)/COLUMNS('Portfolio Weights Returns'!$B$9:$BJ$69))+1,MOD(ROW(A3581)-1,COLUMNS('Portfolio Weights Returns'!$B$9:$BJ$69))+1)</f>
        <v>-5.2886194298446714E-4</v>
      </c>
      <c r="B3582" cm="1">
        <f t="array" ref="B3582">INDEX('Portfolio Weights Std'!$B$9:$BJ$69,INT((ROW(A3581)-1)/COLUMNS('Portfolio Weights Std'!$B$9:$BJ$69))+1,MOD(ROW(A3581)-1,COLUMNS('Portfolio Weights Std'!$B$9:$BJ$69))+1)</f>
        <v>1.7925031117418722E-2</v>
      </c>
    </row>
    <row r="3583" spans="1:2" x14ac:dyDescent="0.25">
      <c r="A3583" cm="1">
        <f t="array" ref="A3583">INDEX('Portfolio Weights Returns'!$B$9:$BJ$69,
INT((ROW(A3582)-1)/COLUMNS('Portfolio Weights Returns'!$B$9:$BJ$69))+1,MOD(ROW(A3582)-1,COLUMNS('Portfolio Weights Returns'!$B$9:$BJ$69))+1)</f>
        <v>-5.22080769017788E-4</v>
      </c>
      <c r="B3583" cm="1">
        <f t="array" ref="B3583">INDEX('Portfolio Weights Std'!$B$9:$BJ$69,INT((ROW(A3582)-1)/COLUMNS('Portfolio Weights Std'!$B$9:$BJ$69))+1,MOD(ROW(A3582)-1,COLUMNS('Portfolio Weights Std'!$B$9:$BJ$69))+1)</f>
        <v>1.7862176773386942E-2</v>
      </c>
    </row>
    <row r="3584" spans="1:2" x14ac:dyDescent="0.25">
      <c r="A3584" cm="1">
        <f t="array" ref="A3584">INDEX('Portfolio Weights Returns'!$B$9:$BJ$69,
INT((ROW(A3583)-1)/COLUMNS('Portfolio Weights Returns'!$B$9:$BJ$69))+1,MOD(ROW(A3583)-1,COLUMNS('Portfolio Weights Returns'!$B$9:$BJ$69))+1)</f>
        <v>-5.1529959505110885E-4</v>
      </c>
      <c r="B3584" cm="1">
        <f t="array" ref="B3584">INDEX('Portfolio Weights Std'!$B$9:$BJ$69,INT((ROW(A3583)-1)/COLUMNS('Portfolio Weights Std'!$B$9:$BJ$69))+1,MOD(ROW(A3583)-1,COLUMNS('Portfolio Weights Std'!$B$9:$BJ$69))+1)</f>
        <v>1.7801701701347098E-2</v>
      </c>
    </row>
    <row r="3585" spans="1:2" x14ac:dyDescent="0.25">
      <c r="A3585" cm="1">
        <f t="array" ref="A3585">INDEX('Portfolio Weights Returns'!$B$9:$BJ$69,
INT((ROW(A3584)-1)/COLUMNS('Portfolio Weights Returns'!$B$9:$BJ$69))+1,MOD(ROW(A3584)-1,COLUMNS('Portfolio Weights Returns'!$B$9:$BJ$69))+1)</f>
        <v>-5.0851842108442982E-4</v>
      </c>
      <c r="B3585" cm="1">
        <f t="array" ref="B3585">INDEX('Portfolio Weights Std'!$B$9:$BJ$69,INT((ROW(A3584)-1)/COLUMNS('Portfolio Weights Std'!$B$9:$BJ$69))+1,MOD(ROW(A3584)-1,COLUMNS('Portfolio Weights Std'!$B$9:$BJ$69))+1)</f>
        <v>1.7743630228915681E-2</v>
      </c>
    </row>
    <row r="3586" spans="1:2" x14ac:dyDescent="0.25">
      <c r="A3586" cm="1">
        <f t="array" ref="A3586">INDEX('Portfolio Weights Returns'!$B$9:$BJ$69,
INT((ROW(A3585)-1)/COLUMNS('Portfolio Weights Returns'!$B$9:$BJ$69))+1,MOD(ROW(A3585)-1,COLUMNS('Portfolio Weights Returns'!$B$9:$BJ$69))+1)</f>
        <v>-5.0173724711775067E-4</v>
      </c>
      <c r="B3586" cm="1">
        <f t="array" ref="B3586">INDEX('Portfolio Weights Std'!$B$9:$BJ$69,INT((ROW(A3585)-1)/COLUMNS('Portfolio Weights Std'!$B$9:$BJ$69))+1,MOD(ROW(A3585)-1,COLUMNS('Portfolio Weights Std'!$B$9:$BJ$69))+1)</f>
        <v>1.7687986029900706E-2</v>
      </c>
    </row>
    <row r="3587" spans="1:2" x14ac:dyDescent="0.25">
      <c r="A3587" cm="1">
        <f t="array" ref="A3587">INDEX('Portfolio Weights Returns'!$B$9:$BJ$69,
INT((ROW(A3586)-1)/COLUMNS('Portfolio Weights Returns'!$B$9:$BJ$69))+1,MOD(ROW(A3586)-1,COLUMNS('Portfolio Weights Returns'!$B$9:$BJ$69))+1)</f>
        <v>-4.9495607315107153E-4</v>
      </c>
      <c r="B3587" cm="1">
        <f t="array" ref="B3587">INDEX('Portfolio Weights Std'!$B$9:$BJ$69,INT((ROW(A3586)-1)/COLUMNS('Portfolio Weights Std'!$B$9:$BJ$69))+1,MOD(ROW(A3586)-1,COLUMNS('Portfolio Weights Std'!$B$9:$BJ$69))+1)</f>
        <v>1.7634792081115125E-2</v>
      </c>
    </row>
    <row r="3588" spans="1:2" x14ac:dyDescent="0.25">
      <c r="A3588" cm="1">
        <f t="array" ref="A3588">INDEX('Portfolio Weights Returns'!$B$9:$BJ$69,
INT((ROW(A3587)-1)/COLUMNS('Portfolio Weights Returns'!$B$9:$BJ$69))+1,MOD(ROW(A3587)-1,COLUMNS('Portfolio Weights Returns'!$B$9:$BJ$69))+1)</f>
        <v>-4.8817489918439254E-4</v>
      </c>
      <c r="B3588" cm="1">
        <f t="array" ref="B3588">INDEX('Portfolio Weights Std'!$B$9:$BJ$69,INT((ROW(A3587)-1)/COLUMNS('Portfolio Weights Std'!$B$9:$BJ$69))+1,MOD(ROW(A3587)-1,COLUMNS('Portfolio Weights Std'!$B$9:$BJ$69))+1)</f>
        <v>1.75840706194864E-2</v>
      </c>
    </row>
    <row r="3589" spans="1:2" x14ac:dyDescent="0.25">
      <c r="A3589" cm="1">
        <f t="array" ref="A3589">INDEX('Portfolio Weights Returns'!$B$9:$BJ$69,
INT((ROW(A3588)-1)/COLUMNS('Portfolio Weights Returns'!$B$9:$BJ$69))+1,MOD(ROW(A3588)-1,COLUMNS('Portfolio Weights Returns'!$B$9:$BJ$69))+1)</f>
        <v>-4.813937252177134E-4</v>
      </c>
      <c r="B3589" cm="1">
        <f t="array" ref="B3589">INDEX('Portfolio Weights Std'!$B$9:$BJ$69,INT((ROW(A3588)-1)/COLUMNS('Portfolio Weights Std'!$B$9:$BJ$69))+1,MOD(ROW(A3588)-1,COLUMNS('Portfolio Weights Std'!$B$9:$BJ$69))+1)</f>
        <v>1.7535843099626972E-2</v>
      </c>
    </row>
    <row r="3590" spans="1:2" x14ac:dyDescent="0.25">
      <c r="A3590" cm="1">
        <f t="array" ref="A3590">INDEX('Portfolio Weights Returns'!$B$9:$BJ$69,
INT((ROW(A3589)-1)/COLUMNS('Portfolio Weights Returns'!$B$9:$BJ$69))+1,MOD(ROW(A3589)-1,COLUMNS('Portfolio Weights Returns'!$B$9:$BJ$69))+1)</f>
        <v>-4.7461255125103431E-4</v>
      </c>
      <c r="B3590" cm="1">
        <f t="array" ref="B3590">INDEX('Portfolio Weights Std'!$B$9:$BJ$69,INT((ROW(A3589)-1)/COLUMNS('Portfolio Weights Std'!$B$9:$BJ$69))+1,MOD(ROW(A3589)-1,COLUMNS('Portfolio Weights Std'!$B$9:$BJ$69))+1)</f>
        <v>1.7490130152034624E-2</v>
      </c>
    </row>
    <row r="3591" spans="1:2" x14ac:dyDescent="0.25">
      <c r="A3591" cm="1">
        <f t="array" ref="A3591">INDEX('Portfolio Weights Returns'!$B$9:$BJ$69,
INT((ROW(A3590)-1)/COLUMNS('Portfolio Weights Returns'!$B$9:$BJ$69))+1,MOD(ROW(A3590)-1,COLUMNS('Portfolio Weights Returns'!$B$9:$BJ$69))+1)</f>
        <v>-4.6783137728435517E-4</v>
      </c>
      <c r="B3591" cm="1">
        <f t="array" ref="B3591">INDEX('Portfolio Weights Std'!$B$9:$BJ$69,INT((ROW(A3590)-1)/COLUMNS('Portfolio Weights Std'!$B$9:$BJ$69))+1,MOD(ROW(A3590)-1,COLUMNS('Portfolio Weights Std'!$B$9:$BJ$69))+1)</f>
        <v>1.7446951542095041E-2</v>
      </c>
    </row>
    <row r="3592" spans="1:2" x14ac:dyDescent="0.25">
      <c r="A3592" cm="1">
        <f t="array" ref="A3592">INDEX('Portfolio Weights Returns'!$B$9:$BJ$69,
INT((ROW(A3591)-1)/COLUMNS('Portfolio Weights Returns'!$B$9:$BJ$69))+1,MOD(ROW(A3591)-1,COLUMNS('Portfolio Weights Returns'!$B$9:$BJ$69))+1)</f>
        <v>-4.6105020331767602E-4</v>
      </c>
      <c r="B3592" cm="1">
        <f t="array" ref="B3592">INDEX('Portfolio Weights Std'!$B$9:$BJ$69,INT((ROW(A3591)-1)/COLUMNS('Portfolio Weights Std'!$B$9:$BJ$69))+1,MOD(ROW(A3591)-1,COLUMNS('Portfolio Weights Std'!$B$9:$BJ$69))+1)</f>
        <v>1.7406326130060885E-2</v>
      </c>
    </row>
    <row r="3593" spans="1:2" x14ac:dyDescent="0.25">
      <c r="A3593" cm="1">
        <f t="array" ref="A3593">INDEX('Portfolio Weights Returns'!$B$9:$BJ$69,
INT((ROW(A3592)-1)/COLUMNS('Portfolio Weights Returns'!$B$9:$BJ$69))+1,MOD(ROW(A3592)-1,COLUMNS('Portfolio Weights Returns'!$B$9:$BJ$69))+1)</f>
        <v>-4.5426902935099699E-4</v>
      </c>
      <c r="B3593" cm="1">
        <f t="array" ref="B3593">INDEX('Portfolio Weights Std'!$B$9:$BJ$69,INT((ROW(A3592)-1)/COLUMNS('Portfolio Weights Std'!$B$9:$BJ$69))+1,MOD(ROW(A3592)-1,COLUMNS('Portfolio Weights Std'!$B$9:$BJ$69))+1)</f>
        <v>1.7368271832182789E-2</v>
      </c>
    </row>
    <row r="3594" spans="1:2" x14ac:dyDescent="0.25">
      <c r="A3594" cm="1">
        <f t="array" ref="A3594">INDEX('Portfolio Weights Returns'!$B$9:$BJ$69,
INT((ROW(A3593)-1)/COLUMNS('Portfolio Weights Returns'!$B$9:$BJ$69))+1,MOD(ROW(A3593)-1,COLUMNS('Portfolio Weights Returns'!$B$9:$BJ$69))+1)</f>
        <v>-4.4748785538431784E-4</v>
      </c>
      <c r="B3594" cm="1">
        <f t="array" ref="B3594">INDEX('Portfolio Weights Std'!$B$9:$BJ$69,INT((ROW(A3593)-1)/COLUMNS('Portfolio Weights Std'!$B$9:$BJ$69))+1,MOD(ROW(A3593)-1,COLUMNS('Portfolio Weights Std'!$B$9:$BJ$69))+1)</f>
        <v>1.7332805583167247E-2</v>
      </c>
    </row>
    <row r="3595" spans="1:2" x14ac:dyDescent="0.25">
      <c r="A3595" cm="1">
        <f t="array" ref="A3595">INDEX('Portfolio Weights Returns'!$B$9:$BJ$69,
INT((ROW(A3594)-1)/COLUMNS('Portfolio Weights Returns'!$B$9:$BJ$69))+1,MOD(ROW(A3594)-1,COLUMNS('Portfolio Weights Returns'!$B$9:$BJ$69))+1)</f>
        <v>-4.407066814176387E-4</v>
      </c>
      <c r="B3595" cm="1">
        <f t="array" ref="B3595">INDEX('Portfolio Weights Std'!$B$9:$BJ$69,INT((ROW(A3594)-1)/COLUMNS('Portfolio Weights Std'!$B$9:$BJ$69))+1,MOD(ROW(A3594)-1,COLUMNS('Portfolio Weights Std'!$B$9:$BJ$69))+1)</f>
        <v>1.7299943300134811E-2</v>
      </c>
    </row>
    <row r="3596" spans="1:2" x14ac:dyDescent="0.25">
      <c r="A3596" cm="1">
        <f t="array" ref="A3596">INDEX('Portfolio Weights Returns'!$B$9:$BJ$69,
INT((ROW(A3595)-1)/COLUMNS('Portfolio Weights Returns'!$B$9:$BJ$69))+1,MOD(ROW(A3595)-1,COLUMNS('Portfolio Weights Returns'!$B$9:$BJ$69))+1)</f>
        <v>-4.3392550745095961E-4</v>
      </c>
      <c r="B3596" cm="1">
        <f t="array" ref="B3596">INDEX('Portfolio Weights Std'!$B$9:$BJ$69,INT((ROW(A3595)-1)/COLUMNS('Portfolio Weights Std'!$B$9:$BJ$69))+1,MOD(ROW(A3595)-1,COLUMNS('Portfolio Weights Std'!$B$9:$BJ$69))+1)</f>
        <v>1.7269699848248981E-2</v>
      </c>
    </row>
    <row r="3597" spans="1:2" x14ac:dyDescent="0.25">
      <c r="A3597" cm="1">
        <f t="array" ref="A3597">INDEX('Portfolio Weights Returns'!$B$9:$BJ$69,
INT((ROW(A3596)-1)/COLUMNS('Portfolio Weights Returns'!$B$9:$BJ$69))+1,MOD(ROW(A3596)-1,COLUMNS('Portfolio Weights Returns'!$B$9:$BJ$69))+1)</f>
        <v>-4.2714433348427981E-4</v>
      </c>
      <c r="B3597" cm="1">
        <f t="array" ref="B3597">INDEX('Portfolio Weights Std'!$B$9:$BJ$69,INT((ROW(A3596)-1)/COLUMNS('Portfolio Weights Std'!$B$9:$BJ$69))+1,MOD(ROW(A3596)-1,COLUMNS('Portfolio Weights Std'!$B$9:$BJ$69))+1)</f>
        <v>1.7242089008181933E-2</v>
      </c>
    </row>
    <row r="3598" spans="1:2" x14ac:dyDescent="0.25">
      <c r="A3598" cm="1">
        <f t="array" ref="A3598">INDEX('Portfolio Weights Returns'!$B$9:$BJ$69,
INT((ROW(A3597)-1)/COLUMNS('Portfolio Weights Returns'!$B$9:$BJ$69))+1,MOD(ROW(A3597)-1,COLUMNS('Portfolio Weights Returns'!$B$9:$BJ$69))+1)</f>
        <v>-4.2036315951760072E-4</v>
      </c>
      <c r="B3598" cm="1">
        <f t="array" ref="B3598">INDEX('Portfolio Weights Std'!$B$9:$BJ$69,INT((ROW(A3597)-1)/COLUMNS('Portfolio Weights Std'!$B$9:$BJ$69))+1,MOD(ROW(A3597)-1,COLUMNS('Portfolio Weights Std'!$B$9:$BJ$69))+1)</f>
        <v>1.7217123445577416E-2</v>
      </c>
    </row>
    <row r="3599" spans="1:2" x14ac:dyDescent="0.25">
      <c r="A3599" cm="1">
        <f t="array" ref="A3599">INDEX('Portfolio Weights Returns'!$B$9:$BJ$69,
INT((ROW(A3598)-1)/COLUMNS('Portfolio Weights Returns'!$B$9:$BJ$69))+1,MOD(ROW(A3598)-1,COLUMNS('Portfolio Weights Returns'!$B$9:$BJ$69))+1)</f>
        <v>-4.1358198555092169E-4</v>
      </c>
      <c r="B3599" cm="1">
        <f t="array" ref="B3599">INDEX('Portfolio Weights Std'!$B$9:$BJ$69,INT((ROW(A3598)-1)/COLUMNS('Portfolio Weights Std'!$B$9:$BJ$69))+1,MOD(ROW(A3598)-1,COLUMNS('Portfolio Weights Std'!$B$9:$BJ$69))+1)</f>
        <v>1.7194814682664102E-2</v>
      </c>
    </row>
    <row r="3600" spans="1:2" x14ac:dyDescent="0.25">
      <c r="A3600" cm="1">
        <f t="array" ref="A3600">INDEX('Portfolio Weights Returns'!$B$9:$BJ$69,
INT((ROW(A3599)-1)/COLUMNS('Portfolio Weights Returns'!$B$9:$BJ$69))+1,MOD(ROW(A3599)-1,COLUMNS('Portfolio Weights Returns'!$B$9:$BJ$69))+1)</f>
        <v>-4.0680081158424259E-4</v>
      </c>
      <c r="B3600" cm="1">
        <f t="array" ref="B3600">INDEX('Portfolio Weights Std'!$B$9:$BJ$69,INT((ROW(A3599)-1)/COLUMNS('Portfolio Weights Std'!$B$9:$BJ$69))+1,MOD(ROW(A3599)-1,COLUMNS('Portfolio Weights Std'!$B$9:$BJ$69))+1)</f>
        <v>1.7175173072164259E-2</v>
      </c>
    </row>
    <row r="3601" spans="1:2" x14ac:dyDescent="0.25">
      <c r="A3601" cm="1">
        <f t="array" ref="A3601">INDEX('Portfolio Weights Returns'!$B$9:$BJ$69,
INT((ROW(A3600)-1)/COLUMNS('Portfolio Weights Returns'!$B$9:$BJ$69))+1,MOD(ROW(A3600)-1,COLUMNS('Portfolio Weights Returns'!$B$9:$BJ$69))+1)</f>
        <v>-8.0709704173953446E-4</v>
      </c>
      <c r="B3601" cm="1">
        <f t="array" ref="B3601">INDEX('Portfolio Weights Std'!$B$9:$BJ$69,INT((ROW(A3600)-1)/COLUMNS('Portfolio Weights Std'!$B$9:$BJ$69))+1,MOD(ROW(A3600)-1,COLUMNS('Portfolio Weights Std'!$B$9:$BJ$69))+1)</f>
        <v>2.2381373362666577E-2</v>
      </c>
    </row>
    <row r="3602" spans="1:2" x14ac:dyDescent="0.25">
      <c r="A3602" cm="1">
        <f t="array" ref="A3602">INDEX('Portfolio Weights Returns'!$B$9:$BJ$69,
INT((ROW(A3601)-1)/COLUMNS('Portfolio Weights Returns'!$B$9:$BJ$69))+1,MOD(ROW(A3601)-1,COLUMNS('Portfolio Weights Returns'!$B$9:$BJ$69))+1)</f>
        <v>-8.0031586777285521E-4</v>
      </c>
      <c r="B3602" cm="1">
        <f t="array" ref="B3602">INDEX('Portfolio Weights Std'!$B$9:$BJ$69,INT((ROW(A3601)-1)/COLUMNS('Portfolio Weights Std'!$B$9:$BJ$69))+1,MOD(ROW(A3601)-1,COLUMNS('Portfolio Weights Std'!$B$9:$BJ$69))+1)</f>
        <v>2.2245521679804262E-2</v>
      </c>
    </row>
    <row r="3603" spans="1:2" x14ac:dyDescent="0.25">
      <c r="A3603" cm="1">
        <f t="array" ref="A3603">INDEX('Portfolio Weights Returns'!$B$9:$BJ$69,
INT((ROW(A3602)-1)/COLUMNS('Portfolio Weights Returns'!$B$9:$BJ$69))+1,MOD(ROW(A3602)-1,COLUMNS('Portfolio Weights Returns'!$B$9:$BJ$69))+1)</f>
        <v>-7.9353469380617618E-4</v>
      </c>
      <c r="B3603" cm="1">
        <f t="array" ref="B3603">INDEX('Portfolio Weights Std'!$B$9:$BJ$69,INT((ROW(A3602)-1)/COLUMNS('Portfolio Weights Std'!$B$9:$BJ$69))+1,MOD(ROW(A3602)-1,COLUMNS('Portfolio Weights Std'!$B$9:$BJ$69))+1)</f>
        <v>2.2110929466463591E-2</v>
      </c>
    </row>
    <row r="3604" spans="1:2" x14ac:dyDescent="0.25">
      <c r="A3604" cm="1">
        <f t="array" ref="A3604">INDEX('Portfolio Weights Returns'!$B$9:$BJ$69,
INT((ROW(A3603)-1)/COLUMNS('Portfolio Weights Returns'!$B$9:$BJ$69))+1,MOD(ROW(A3603)-1,COLUMNS('Portfolio Weights Returns'!$B$9:$BJ$69))+1)</f>
        <v>-7.8675351983949703E-4</v>
      </c>
      <c r="B3604" cm="1">
        <f t="array" ref="B3604">INDEX('Portfolio Weights Std'!$B$9:$BJ$69,INT((ROW(A3603)-1)/COLUMNS('Portfolio Weights Std'!$B$9:$BJ$69))+1,MOD(ROW(A3603)-1,COLUMNS('Portfolio Weights Std'!$B$9:$BJ$69))+1)</f>
        <v>2.1977619861849016E-2</v>
      </c>
    </row>
    <row r="3605" spans="1:2" x14ac:dyDescent="0.25">
      <c r="A3605" cm="1">
        <f t="array" ref="A3605">INDEX('Portfolio Weights Returns'!$B$9:$BJ$69,
INT((ROW(A3604)-1)/COLUMNS('Portfolio Weights Returns'!$B$9:$BJ$69))+1,MOD(ROW(A3604)-1,COLUMNS('Portfolio Weights Returns'!$B$9:$BJ$69))+1)</f>
        <v>-7.7997234587281789E-4</v>
      </c>
      <c r="B3605" cm="1">
        <f t="array" ref="B3605">INDEX('Portfolio Weights Std'!$B$9:$BJ$69,INT((ROW(A3604)-1)/COLUMNS('Portfolio Weights Std'!$B$9:$BJ$69))+1,MOD(ROW(A3604)-1,COLUMNS('Portfolio Weights Std'!$B$9:$BJ$69))+1)</f>
        <v>2.1845616346756587E-2</v>
      </c>
    </row>
    <row r="3606" spans="1:2" x14ac:dyDescent="0.25">
      <c r="A3606" cm="1">
        <f t="array" ref="A3606">INDEX('Portfolio Weights Returns'!$B$9:$BJ$69,
INT((ROW(A3605)-1)/COLUMNS('Portfolio Weights Returns'!$B$9:$BJ$69))+1,MOD(ROW(A3605)-1,COLUMNS('Portfolio Weights Returns'!$B$9:$BJ$69))+1)</f>
        <v>-7.7319117190613885E-4</v>
      </c>
      <c r="B3606" cm="1">
        <f t="array" ref="B3606">INDEX('Portfolio Weights Std'!$B$9:$BJ$69,INT((ROW(A3605)-1)/COLUMNS('Portfolio Weights Std'!$B$9:$BJ$69))+1,MOD(ROW(A3605)-1,COLUMNS('Portfolio Weights Std'!$B$9:$BJ$69))+1)</f>
        <v>2.1714942740061347E-2</v>
      </c>
    </row>
    <row r="3607" spans="1:2" x14ac:dyDescent="0.25">
      <c r="A3607" cm="1">
        <f t="array" ref="A3607">INDEX('Portfolio Weights Returns'!$B$9:$BJ$69,
INT((ROW(A3606)-1)/COLUMNS('Portfolio Weights Returns'!$B$9:$BJ$69))+1,MOD(ROW(A3606)-1,COLUMNS('Portfolio Weights Returns'!$B$9:$BJ$69))+1)</f>
        <v>-7.6640999793945971E-4</v>
      </c>
      <c r="B3607" cm="1">
        <f t="array" ref="B3607">INDEX('Portfolio Weights Std'!$B$9:$BJ$69,INT((ROW(A3606)-1)/COLUMNS('Portfolio Weights Std'!$B$9:$BJ$69))+1,MOD(ROW(A3606)-1,COLUMNS('Portfolio Weights Std'!$B$9:$BJ$69))+1)</f>
        <v>2.1585623194509188E-2</v>
      </c>
    </row>
    <row r="3608" spans="1:2" x14ac:dyDescent="0.25">
      <c r="A3608" cm="1">
        <f t="array" ref="A3608">INDEX('Portfolio Weights Returns'!$B$9:$BJ$69,
INT((ROW(A3607)-1)/COLUMNS('Portfolio Weights Returns'!$B$9:$BJ$69))+1,MOD(ROW(A3607)-1,COLUMNS('Portfolio Weights Returns'!$B$9:$BJ$69))+1)</f>
        <v>-7.5962882397278067E-4</v>
      </c>
      <c r="B3608" cm="1">
        <f t="array" ref="B3608">INDEX('Portfolio Weights Std'!$B$9:$BJ$69,INT((ROW(A3607)-1)/COLUMNS('Portfolio Weights Std'!$B$9:$BJ$69))+1,MOD(ROW(A3607)-1,COLUMNS('Portfolio Weights Std'!$B$9:$BJ$69))+1)</f>
        <v>2.1457682191775729E-2</v>
      </c>
    </row>
    <row r="3609" spans="1:2" x14ac:dyDescent="0.25">
      <c r="A3609" cm="1">
        <f t="array" ref="A3609">INDEX('Portfolio Weights Returns'!$B$9:$BJ$69,
INT((ROW(A3608)-1)/COLUMNS('Portfolio Weights Returns'!$B$9:$BJ$69))+1,MOD(ROW(A3608)-1,COLUMNS('Portfolio Weights Returns'!$B$9:$BJ$69))+1)</f>
        <v>-7.5284765000610142E-4</v>
      </c>
      <c r="B3609" cm="1">
        <f t="array" ref="B3609">INDEX('Portfolio Weights Std'!$B$9:$BJ$69,INT((ROW(A3608)-1)/COLUMNS('Portfolio Weights Std'!$B$9:$BJ$69))+1,MOD(ROW(A3608)-1,COLUMNS('Portfolio Weights Std'!$B$9:$BJ$69))+1)</f>
        <v>2.133114453675403E-2</v>
      </c>
    </row>
    <row r="3610" spans="1:2" x14ac:dyDescent="0.25">
      <c r="A3610" cm="1">
        <f t="array" ref="A3610">INDEX('Portfolio Weights Returns'!$B$9:$BJ$69,
INT((ROW(A3609)-1)/COLUMNS('Portfolio Weights Returns'!$B$9:$BJ$69))+1,MOD(ROW(A3609)-1,COLUMNS('Portfolio Weights Returns'!$B$9:$BJ$69))+1)</f>
        <v>-7.4606647603942238E-4</v>
      </c>
      <c r="B3610" cm="1">
        <f t="array" ref="B3610">INDEX('Portfolio Weights Std'!$B$9:$BJ$69,INT((ROW(A3609)-1)/COLUMNS('Portfolio Weights Std'!$B$9:$BJ$69))+1,MOD(ROW(A3609)-1,COLUMNS('Portfolio Weights Std'!$B$9:$BJ$69))+1)</f>
        <v>2.1206035351032954E-2</v>
      </c>
    </row>
    <row r="3611" spans="1:2" x14ac:dyDescent="0.25">
      <c r="A3611" cm="1">
        <f t="array" ref="A3611">INDEX('Portfolio Weights Returns'!$B$9:$BJ$69,
INT((ROW(A3610)-1)/COLUMNS('Portfolio Weights Returns'!$B$9:$BJ$69))+1,MOD(ROW(A3610)-1,COLUMNS('Portfolio Weights Returns'!$B$9:$BJ$69))+1)</f>
        <v>-7.3928530207274324E-4</v>
      </c>
      <c r="B3611" cm="1">
        <f t="array" ref="B3611">INDEX('Portfolio Weights Std'!$B$9:$BJ$69,INT((ROW(A3610)-1)/COLUMNS('Portfolio Weights Std'!$B$9:$BJ$69))+1,MOD(ROW(A3610)-1,COLUMNS('Portfolio Weights Std'!$B$9:$BJ$69))+1)</f>
        <v>2.1082380065527546E-2</v>
      </c>
    </row>
    <row r="3612" spans="1:2" x14ac:dyDescent="0.25">
      <c r="A3612" cm="1">
        <f t="array" ref="A3612">INDEX('Portfolio Weights Returns'!$B$9:$BJ$69,
INT((ROW(A3611)-1)/COLUMNS('Portfolio Weights Returns'!$B$9:$BJ$69))+1,MOD(ROW(A3611)-1,COLUMNS('Portfolio Weights Returns'!$B$9:$BJ$69))+1)</f>
        <v>-7.325041281060642E-4</v>
      </c>
      <c r="B3612" cm="1">
        <f t="array" ref="B3612">INDEX('Portfolio Weights Std'!$B$9:$BJ$69,INT((ROW(A3611)-1)/COLUMNS('Portfolio Weights Std'!$B$9:$BJ$69))+1,MOD(ROW(A3611)-1,COLUMNS('Portfolio Weights Std'!$B$9:$BJ$69))+1)</f>
        <v>2.0960204412223012E-2</v>
      </c>
    </row>
    <row r="3613" spans="1:2" x14ac:dyDescent="0.25">
      <c r="A3613" cm="1">
        <f t="array" ref="A3613">INDEX('Portfolio Weights Returns'!$B$9:$BJ$69,
INT((ROW(A3612)-1)/COLUMNS('Portfolio Weights Returns'!$B$9:$BJ$69))+1,MOD(ROW(A3612)-1,COLUMNS('Portfolio Weights Returns'!$B$9:$BJ$69))+1)</f>
        <v>-7.2572295413938506E-4</v>
      </c>
      <c r="B3613" cm="1">
        <f t="array" ref="B3613">INDEX('Portfolio Weights Std'!$B$9:$BJ$69,INT((ROW(A3612)-1)/COLUMNS('Portfolio Weights Std'!$B$9:$BJ$69))+1,MOD(ROW(A3612)-1,COLUMNS('Portfolio Weights Std'!$B$9:$BJ$69))+1)</f>
        <v>2.083953441499399E-2</v>
      </c>
    </row>
    <row r="3614" spans="1:2" x14ac:dyDescent="0.25">
      <c r="A3614" cm="1">
        <f t="array" ref="A3614">INDEX('Portfolio Weights Returns'!$B$9:$BJ$69,
INT((ROW(A3613)-1)/COLUMNS('Portfolio Weights Returns'!$B$9:$BJ$69))+1,MOD(ROW(A3613)-1,COLUMNS('Portfolio Weights Returns'!$B$9:$BJ$69))+1)</f>
        <v>-7.1894178017270602E-4</v>
      </c>
      <c r="B3614" cm="1">
        <f t="array" ref="B3614">INDEX('Portfolio Weights Std'!$B$9:$BJ$69,INT((ROW(A3613)-1)/COLUMNS('Portfolio Weights Std'!$B$9:$BJ$69))+1,MOD(ROW(A3613)-1,COLUMNS('Portfolio Weights Std'!$B$9:$BJ$69))+1)</f>
        <v>2.0720396379461242E-2</v>
      </c>
    </row>
    <row r="3615" spans="1:2" x14ac:dyDescent="0.25">
      <c r="A3615" cm="1">
        <f t="array" ref="A3615">INDEX('Portfolio Weights Returns'!$B$9:$BJ$69,
INT((ROW(A3614)-1)/COLUMNS('Portfolio Weights Returns'!$B$9:$BJ$69))+1,MOD(ROW(A3614)-1,COLUMNS('Portfolio Weights Returns'!$B$9:$BJ$69))+1)</f>
        <v>-7.1216060620602688E-4</v>
      </c>
      <c r="B3615" cm="1">
        <f t="array" ref="B3615">INDEX('Portfolio Weights Std'!$B$9:$BJ$69,INT((ROW(A3614)-1)/COLUMNS('Portfolio Weights Std'!$B$9:$BJ$69))+1,MOD(ROW(A3614)-1,COLUMNS('Portfolio Weights Std'!$B$9:$BJ$69))+1)</f>
        <v>2.0602816881848663E-2</v>
      </c>
    </row>
    <row r="3616" spans="1:2" x14ac:dyDescent="0.25">
      <c r="A3616" cm="1">
        <f t="array" ref="A3616">INDEX('Portfolio Weights Returns'!$B$9:$BJ$69,
INT((ROW(A3615)-1)/COLUMNS('Portfolio Weights Returns'!$B$9:$BJ$69))+1,MOD(ROW(A3615)-1,COLUMNS('Portfolio Weights Returns'!$B$9:$BJ$69))+1)</f>
        <v>-7.0537943223934762E-4</v>
      </c>
      <c r="B3616" cm="1">
        <f t="array" ref="B3616">INDEX('Portfolio Weights Std'!$B$9:$BJ$69,INT((ROW(A3615)-1)/COLUMNS('Portfolio Weights Std'!$B$9:$BJ$69))+1,MOD(ROW(A3615)-1,COLUMNS('Portfolio Weights Std'!$B$9:$BJ$69))+1)</f>
        <v>2.0486822756804236E-2</v>
      </c>
    </row>
    <row r="3617" spans="1:2" x14ac:dyDescent="0.25">
      <c r="A3617" cm="1">
        <f t="array" ref="A3617">INDEX('Portfolio Weights Returns'!$B$9:$BJ$69,
INT((ROW(A3616)-1)/COLUMNS('Portfolio Weights Returns'!$B$9:$BJ$69))+1,MOD(ROW(A3616)-1,COLUMNS('Portfolio Weights Returns'!$B$9:$BJ$69))+1)</f>
        <v>-6.985982582726688E-4</v>
      </c>
      <c r="B3617" cm="1">
        <f t="array" ref="B3617">INDEX('Portfolio Weights Std'!$B$9:$BJ$69,INT((ROW(A3616)-1)/COLUMNS('Portfolio Weights Std'!$B$9:$BJ$69))+1,MOD(ROW(A3616)-1,COLUMNS('Portfolio Weights Std'!$B$9:$BJ$69))+1)</f>
        <v>2.037244108414997E-2</v>
      </c>
    </row>
    <row r="3618" spans="1:2" x14ac:dyDescent="0.25">
      <c r="A3618" cm="1">
        <f t="array" ref="A3618">INDEX('Portfolio Weights Returns'!$B$9:$BJ$69,
INT((ROW(A3617)-1)/COLUMNS('Portfolio Weights Returns'!$B$9:$BJ$69))+1,MOD(ROW(A3617)-1,COLUMNS('Portfolio Weights Returns'!$B$9:$BJ$69))+1)</f>
        <v>-6.9181708430598944E-4</v>
      </c>
      <c r="B3618" cm="1">
        <f t="array" ref="B3618">INDEX('Portfolio Weights Std'!$B$9:$BJ$69,INT((ROW(A3617)-1)/COLUMNS('Portfolio Weights Std'!$B$9:$BJ$69))+1,MOD(ROW(A3617)-1,COLUMNS('Portfolio Weights Std'!$B$9:$BJ$69))+1)</f>
        <v>2.025969917452717E-2</v>
      </c>
    </row>
    <row r="3619" spans="1:2" x14ac:dyDescent="0.25">
      <c r="A3619" cm="1">
        <f t="array" ref="A3619">INDEX('Portfolio Weights Returns'!$B$9:$BJ$69,
INT((ROW(A3618)-1)/COLUMNS('Portfolio Weights Returns'!$B$9:$BJ$69))+1,MOD(ROW(A3618)-1,COLUMNS('Portfolio Weights Returns'!$B$9:$BJ$69))+1)</f>
        <v>-6.8503591033931062E-4</v>
      </c>
      <c r="B3619" cm="1">
        <f t="array" ref="B3619">INDEX('Portfolio Weights Std'!$B$9:$BJ$69,INT((ROW(A3618)-1)/COLUMNS('Portfolio Weights Std'!$B$9:$BJ$69))+1,MOD(ROW(A3618)-1,COLUMNS('Portfolio Weights Std'!$B$9:$BJ$69))+1)</f>
        <v>2.014862455390537E-2</v>
      </c>
    </row>
    <row r="3620" spans="1:2" x14ac:dyDescent="0.25">
      <c r="A3620" cm="1">
        <f t="array" ref="A3620">INDEX('Portfolio Weights Returns'!$B$9:$BJ$69,
INT((ROW(A3619)-1)/COLUMNS('Portfolio Weights Returns'!$B$9:$BJ$69))+1,MOD(ROW(A3619)-1,COLUMNS('Portfolio Weights Returns'!$B$9:$BJ$69))+1)</f>
        <v>-6.7825473637263148E-4</v>
      </c>
      <c r="B3620" cm="1">
        <f t="array" ref="B3620">INDEX('Portfolio Weights Std'!$B$9:$BJ$69,INT((ROW(A3619)-1)/COLUMNS('Portfolio Weights Std'!$B$9:$BJ$69))+1,MOD(ROW(A3619)-1,COLUMNS('Portfolio Weights Std'!$B$9:$BJ$69))+1)</f>
        <v>2.0039244946925164E-2</v>
      </c>
    </row>
    <row r="3621" spans="1:2" x14ac:dyDescent="0.25">
      <c r="A3621" cm="1">
        <f t="array" ref="A3621">INDEX('Portfolio Weights Returns'!$B$9:$BJ$69,
INT((ROW(A3620)-1)/COLUMNS('Portfolio Weights Returns'!$B$9:$BJ$69))+1,MOD(ROW(A3620)-1,COLUMNS('Portfolio Weights Returns'!$B$9:$BJ$69))+1)</f>
        <v>-6.7147356240595233E-4</v>
      </c>
      <c r="B3621" cm="1">
        <f t="array" ref="B3621">INDEX('Portfolio Weights Std'!$B$9:$BJ$69,INT((ROW(A3620)-1)/COLUMNS('Portfolio Weights Std'!$B$9:$BJ$69))+1,MOD(ROW(A3620)-1,COLUMNS('Portfolio Weights Std'!$B$9:$BJ$69))+1)</f>
        <v>1.9931588259047974E-2</v>
      </c>
    </row>
    <row r="3622" spans="1:2" x14ac:dyDescent="0.25">
      <c r="A3622" cm="1">
        <f t="array" ref="A3622">INDEX('Portfolio Weights Returns'!$B$9:$BJ$69,
INT((ROW(A3621)-1)/COLUMNS('Portfolio Weights Returns'!$B$9:$BJ$69))+1,MOD(ROW(A3621)-1,COLUMNS('Portfolio Weights Returns'!$B$9:$BJ$69))+1)</f>
        <v>-6.6469238843927319E-4</v>
      </c>
      <c r="B3622" cm="1">
        <f t="array" ref="B3622">INDEX('Portfolio Weights Std'!$B$9:$BJ$69,INT((ROW(A3621)-1)/COLUMNS('Portfolio Weights Std'!$B$9:$BJ$69))+1,MOD(ROW(A3621)-1,COLUMNS('Portfolio Weights Std'!$B$9:$BJ$69))+1)</f>
        <v>1.9825682557488362E-2</v>
      </c>
    </row>
    <row r="3623" spans="1:2" x14ac:dyDescent="0.25">
      <c r="A3623" cm="1">
        <f t="array" ref="A3623">INDEX('Portfolio Weights Returns'!$B$9:$BJ$69,
INT((ROW(A3622)-1)/COLUMNS('Portfolio Weights Returns'!$B$9:$BJ$69))+1,MOD(ROW(A3622)-1,COLUMNS('Portfolio Weights Returns'!$B$9:$BJ$69))+1)</f>
        <v>-6.5791121447259415E-4</v>
      </c>
      <c r="B3623" cm="1">
        <f t="array" ref="B3623">INDEX('Portfolio Weights Std'!$B$9:$BJ$69,INT((ROW(A3622)-1)/COLUMNS('Portfolio Weights Std'!$B$9:$BJ$69))+1,MOD(ROW(A3622)-1,COLUMNS('Portfolio Weights Std'!$B$9:$BJ$69))+1)</f>
        <v>1.9721556050907932E-2</v>
      </c>
    </row>
    <row r="3624" spans="1:2" x14ac:dyDescent="0.25">
      <c r="A3624" cm="1">
        <f t="array" ref="A3624">INDEX('Portfolio Weights Returns'!$B$9:$BJ$69,
INT((ROW(A3623)-1)/COLUMNS('Portfolio Weights Returns'!$B$9:$BJ$69))+1,MOD(ROW(A3623)-1,COLUMNS('Portfolio Weights Returns'!$B$9:$BJ$69))+1)</f>
        <v>-6.5113004050591501E-4</v>
      </c>
      <c r="B3624" cm="1">
        <f t="array" ref="B3624">INDEX('Portfolio Weights Std'!$B$9:$BJ$69,INT((ROW(A3623)-1)/COLUMNS('Portfolio Weights Std'!$B$9:$BJ$69))+1,MOD(ROW(A3623)-1,COLUMNS('Portfolio Weights Std'!$B$9:$BJ$69))+1)</f>
        <v>1.9619237067853436E-2</v>
      </c>
    </row>
    <row r="3625" spans="1:2" x14ac:dyDescent="0.25">
      <c r="A3625" cm="1">
        <f t="array" ref="A3625">INDEX('Portfolio Weights Returns'!$B$9:$BJ$69,
INT((ROW(A3624)-1)/COLUMNS('Portfolio Weights Returns'!$B$9:$BJ$69))+1,MOD(ROW(A3624)-1,COLUMNS('Portfolio Weights Returns'!$B$9:$BJ$69))+1)</f>
        <v>-6.4434886653923587E-4</v>
      </c>
      <c r="B3625" cm="1">
        <f t="array" ref="B3625">INDEX('Portfolio Weights Std'!$B$9:$BJ$69,INT((ROW(A3624)-1)/COLUMNS('Portfolio Weights Std'!$B$9:$BJ$69))+1,MOD(ROW(A3624)-1,COLUMNS('Portfolio Weights Std'!$B$9:$BJ$69))+1)</f>
        <v>1.9518754033925716E-2</v>
      </c>
    </row>
    <row r="3626" spans="1:2" x14ac:dyDescent="0.25">
      <c r="A3626" cm="1">
        <f t="array" ref="A3626">INDEX('Portfolio Weights Returns'!$B$9:$BJ$69,
INT((ROW(A3625)-1)/COLUMNS('Portfolio Weights Returns'!$B$9:$BJ$69))+1,MOD(ROW(A3625)-1,COLUMNS('Portfolio Weights Returns'!$B$9:$BJ$69))+1)</f>
        <v>-6.3756769257255683E-4</v>
      </c>
      <c r="B3626" cm="1">
        <f t="array" ref="B3626">INDEX('Portfolio Weights Std'!$B$9:$BJ$69,INT((ROW(A3625)-1)/COLUMNS('Portfolio Weights Std'!$B$9:$BJ$69))+1,MOD(ROW(A3625)-1,COLUMNS('Portfolio Weights Std'!$B$9:$BJ$69))+1)</f>
        <v>1.9420135447670656E-2</v>
      </c>
    </row>
    <row r="3627" spans="1:2" x14ac:dyDescent="0.25">
      <c r="A3627" cm="1">
        <f t="array" ref="A3627">INDEX('Portfolio Weights Returns'!$B$9:$BJ$69,
INT((ROW(A3626)-1)/COLUMNS('Portfolio Weights Returns'!$B$9:$BJ$69))+1,MOD(ROW(A3626)-1,COLUMNS('Portfolio Weights Returns'!$B$9:$BJ$69))+1)</f>
        <v>-6.3078651860587758E-4</v>
      </c>
      <c r="B3627" cm="1">
        <f t="array" ref="B3627">INDEX('Portfolio Weights Std'!$B$9:$BJ$69,INT((ROW(A3626)-1)/COLUMNS('Portfolio Weights Std'!$B$9:$BJ$69))+1,MOD(ROW(A3626)-1,COLUMNS('Portfolio Weights Std'!$B$9:$BJ$69))+1)</f>
        <v>1.9323409855188167E-2</v>
      </c>
    </row>
    <row r="3628" spans="1:2" x14ac:dyDescent="0.25">
      <c r="A3628" cm="1">
        <f t="array" ref="A3628">INDEX('Portfolio Weights Returns'!$B$9:$BJ$69,
INT((ROW(A3627)-1)/COLUMNS('Portfolio Weights Returns'!$B$9:$BJ$69))+1,MOD(ROW(A3627)-1,COLUMNS('Portfolio Weights Returns'!$B$9:$BJ$69))+1)</f>
        <v>-6.2400534463919854E-4</v>
      </c>
      <c r="B3628" cm="1">
        <f t="array" ref="B3628">INDEX('Portfolio Weights Std'!$B$9:$BJ$69,INT((ROW(A3627)-1)/COLUMNS('Portfolio Weights Std'!$B$9:$BJ$69))+1,MOD(ROW(A3627)-1,COLUMNS('Portfolio Weights Std'!$B$9:$BJ$69))+1)</f>
        <v>1.9228605823460469E-2</v>
      </c>
    </row>
    <row r="3629" spans="1:2" x14ac:dyDescent="0.25">
      <c r="A3629" cm="1">
        <f t="array" ref="A3629">INDEX('Portfolio Weights Returns'!$B$9:$BJ$69,
INT((ROW(A3628)-1)/COLUMNS('Portfolio Weights Returns'!$B$9:$BJ$69))+1,MOD(ROW(A3628)-1,COLUMNS('Portfolio Weights Returns'!$B$9:$BJ$69))+1)</f>
        <v>-6.172241706725194E-4</v>
      </c>
      <c r="B3629" cm="1">
        <f t="array" ref="B3629">INDEX('Portfolio Weights Std'!$B$9:$BJ$69,INT((ROW(A3628)-1)/COLUMNS('Portfolio Weights Std'!$B$9:$BJ$69))+1,MOD(ROW(A3628)-1,COLUMNS('Portfolio Weights Std'!$B$9:$BJ$69))+1)</f>
        <v>1.913575191240675E-2</v>
      </c>
    </row>
    <row r="3630" spans="1:2" x14ac:dyDescent="0.25">
      <c r="A3630" cm="1">
        <f t="array" ref="A3630">INDEX('Portfolio Weights Returns'!$B$9:$BJ$69,
INT((ROW(A3629)-1)/COLUMNS('Portfolio Weights Returns'!$B$9:$BJ$69))+1,MOD(ROW(A3629)-1,COLUMNS('Portfolio Weights Returns'!$B$9:$BJ$69))+1)</f>
        <v>-6.1044299670584036E-4</v>
      </c>
      <c r="B3630" cm="1">
        <f t="array" ref="B3630">INDEX('Portfolio Weights Std'!$B$9:$BJ$69,INT((ROW(A3629)-1)/COLUMNS('Portfolio Weights Std'!$B$9:$BJ$69))+1,MOD(ROW(A3629)-1,COLUMNS('Portfolio Weights Std'!$B$9:$BJ$69))+1)</f>
        <v>1.9044876645677316E-2</v>
      </c>
    </row>
    <row r="3631" spans="1:2" x14ac:dyDescent="0.25">
      <c r="A3631" cm="1">
        <f t="array" ref="A3631">INDEX('Portfolio Weights Returns'!$B$9:$BJ$69,
INT((ROW(A3630)-1)/COLUMNS('Portfolio Weights Returns'!$B$9:$BJ$69))+1,MOD(ROW(A3630)-1,COLUMNS('Portfolio Weights Returns'!$B$9:$BJ$69))+1)</f>
        <v>-6.0366182273916122E-4</v>
      </c>
      <c r="B3631" cm="1">
        <f t="array" ref="B3631">INDEX('Portfolio Weights Std'!$B$9:$BJ$69,INT((ROW(A3630)-1)/COLUMNS('Portfolio Weights Std'!$B$9:$BJ$69))+1,MOD(ROW(A3630)-1,COLUMNS('Portfolio Weights Std'!$B$9:$BJ$69))+1)</f>
        <v>1.8956008480206954E-2</v>
      </c>
    </row>
    <row r="3632" spans="1:2" x14ac:dyDescent="0.25">
      <c r="A3632" cm="1">
        <f t="array" ref="A3632">INDEX('Portfolio Weights Returns'!$B$9:$BJ$69,
INT((ROW(A3631)-1)/COLUMNS('Portfolio Weights Returns'!$B$9:$BJ$69))+1,MOD(ROW(A3631)-1,COLUMNS('Portfolio Weights Returns'!$B$9:$BJ$69))+1)</f>
        <v>-5.9688064877248218E-4</v>
      </c>
      <c r="B3632" cm="1">
        <f t="array" ref="B3632">INDEX('Portfolio Weights Std'!$B$9:$BJ$69,INT((ROW(A3631)-1)/COLUMNS('Portfolio Weights Std'!$B$9:$BJ$69))+1,MOD(ROW(A3631)-1,COLUMNS('Portfolio Weights Std'!$B$9:$BJ$69))+1)</f>
        <v>1.886917577455402E-2</v>
      </c>
    </row>
    <row r="3633" spans="1:2" x14ac:dyDescent="0.25">
      <c r="A3633" cm="1">
        <f t="array" ref="A3633">INDEX('Portfolio Weights Returns'!$B$9:$BJ$69,
INT((ROW(A3632)-1)/COLUMNS('Portfolio Weights Returns'!$B$9:$BJ$69))+1,MOD(ROW(A3632)-1,COLUMNS('Portfolio Weights Returns'!$B$9:$BJ$69))+1)</f>
        <v>-5.9009947480580304E-4</v>
      </c>
      <c r="B3633" cm="1">
        <f t="array" ref="B3633">INDEX('Portfolio Weights Std'!$B$9:$BJ$69,INT((ROW(A3632)-1)/COLUMNS('Portfolio Weights Std'!$B$9:$BJ$69))+1,MOD(ROW(A3632)-1,COLUMNS('Portfolio Weights Std'!$B$9:$BJ$69))+1)</f>
        <v>1.8784406756059156E-2</v>
      </c>
    </row>
    <row r="3634" spans="1:2" x14ac:dyDescent="0.25">
      <c r="A3634" cm="1">
        <f t="array" ref="A3634">INDEX('Portfolio Weights Returns'!$B$9:$BJ$69,
INT((ROW(A3633)-1)/COLUMNS('Portfolio Weights Returns'!$B$9:$BJ$69))+1,MOD(ROW(A3633)-1,COLUMNS('Portfolio Weights Returns'!$B$9:$BJ$69))+1)</f>
        <v>-5.8331830083912378E-4</v>
      </c>
      <c r="B3634" cm="1">
        <f t="array" ref="B3634">INDEX('Portfolio Weights Std'!$B$9:$BJ$69,INT((ROW(A3633)-1)/COLUMNS('Portfolio Weights Std'!$B$9:$BJ$69))+1,MOD(ROW(A3633)-1,COLUMNS('Portfolio Weights Std'!$B$9:$BJ$69))+1)</f>
        <v>1.8701729486864879E-2</v>
      </c>
    </row>
    <row r="3635" spans="1:2" x14ac:dyDescent="0.25">
      <c r="A3635" cm="1">
        <f t="array" ref="A3635">INDEX('Portfolio Weights Returns'!$B$9:$BJ$69,
INT((ROW(A3634)-1)/COLUMNS('Portfolio Weights Returns'!$B$9:$BJ$69))+1,MOD(ROW(A3634)-1,COLUMNS('Portfolio Weights Returns'!$B$9:$BJ$69))+1)</f>
        <v>-5.7653712687244475E-4</v>
      </c>
      <c r="B3635" cm="1">
        <f t="array" ref="B3635">INDEX('Portfolio Weights Std'!$B$9:$BJ$69,INT((ROW(A3634)-1)/COLUMNS('Portfolio Weights Std'!$B$9:$BJ$69))+1,MOD(ROW(A3634)-1,COLUMNS('Portfolio Weights Std'!$B$9:$BJ$69))+1)</f>
        <v>1.8621171828845453E-2</v>
      </c>
    </row>
    <row r="3636" spans="1:2" x14ac:dyDescent="0.25">
      <c r="A3636" cm="1">
        <f t="array" ref="A3636">INDEX('Portfolio Weights Returns'!$B$9:$BJ$69,
INT((ROW(A3635)-1)/COLUMNS('Portfolio Weights Returns'!$B$9:$BJ$69))+1,MOD(ROW(A3635)-1,COLUMNS('Portfolio Weights Returns'!$B$9:$BJ$69))+1)</f>
        <v>-5.697559529057656E-4</v>
      </c>
      <c r="B3636" cm="1">
        <f t="array" ref="B3636">INDEX('Portfolio Weights Std'!$B$9:$BJ$69,INT((ROW(A3635)-1)/COLUMNS('Portfolio Weights Std'!$B$9:$BJ$69))+1,MOD(ROW(A3635)-1,COLUMNS('Portfolio Weights Std'!$B$9:$BJ$69))+1)</f>
        <v>1.8542761407504271E-2</v>
      </c>
    </row>
    <row r="3637" spans="1:2" x14ac:dyDescent="0.25">
      <c r="A3637" cm="1">
        <f t="array" ref="A3637">INDEX('Portfolio Weights Returns'!$B$9:$BJ$69,
INT((ROW(A3636)-1)/COLUMNS('Portfolio Weights Returns'!$B$9:$BJ$69))+1,MOD(ROW(A3636)-1,COLUMNS('Portfolio Weights Returns'!$B$9:$BJ$69))+1)</f>
        <v>-5.6297477893908657E-4</v>
      </c>
      <c r="B3637" cm="1">
        <f t="array" ref="B3637">INDEX('Portfolio Weights Std'!$B$9:$BJ$69,INT((ROW(A3636)-1)/COLUMNS('Portfolio Weights Std'!$B$9:$BJ$69))+1,MOD(ROW(A3636)-1,COLUMNS('Portfolio Weights Std'!$B$9:$BJ$69))+1)</f>
        <v>1.8466525574904392E-2</v>
      </c>
    </row>
    <row r="3638" spans="1:2" x14ac:dyDescent="0.25">
      <c r="A3638" cm="1">
        <f t="array" ref="A3638">INDEX('Portfolio Weights Returns'!$B$9:$BJ$69,
INT((ROW(A3637)-1)/COLUMNS('Portfolio Weights Returns'!$B$9:$BJ$69))+1,MOD(ROW(A3637)-1,COLUMNS('Portfolio Weights Returns'!$B$9:$BJ$69))+1)</f>
        <v>-5.5619360497240742E-4</v>
      </c>
      <c r="B3638" cm="1">
        <f t="array" ref="B3638">INDEX('Portfolio Weights Std'!$B$9:$BJ$69,INT((ROW(A3637)-1)/COLUMNS('Portfolio Weights Std'!$B$9:$BJ$69))+1,MOD(ROW(A3637)-1,COLUMNS('Portfolio Weights Std'!$B$9:$BJ$69))+1)</f>
        <v>1.8392491371706336E-2</v>
      </c>
    </row>
    <row r="3639" spans="1:2" x14ac:dyDescent="0.25">
      <c r="A3639" cm="1">
        <f t="array" ref="A3639">INDEX('Portfolio Weights Returns'!$B$9:$BJ$69,
INT((ROW(A3638)-1)/COLUMNS('Portfolio Weights Returns'!$B$9:$BJ$69))+1,MOD(ROW(A3638)-1,COLUMNS('Portfolio Weights Returns'!$B$9:$BJ$69))+1)</f>
        <v>-5.4941243100572839E-4</v>
      </c>
      <c r="B3639" cm="1">
        <f t="array" ref="B3639">INDEX('Portfolio Weights Std'!$B$9:$BJ$69,INT((ROW(A3638)-1)/COLUMNS('Portfolio Weights Std'!$B$9:$BJ$69))+1,MOD(ROW(A3638)-1,COLUMNS('Portfolio Weights Std'!$B$9:$BJ$69))+1)</f>
        <v>1.8320685488395681E-2</v>
      </c>
    </row>
    <row r="3640" spans="1:2" x14ac:dyDescent="0.25">
      <c r="A3640" cm="1">
        <f t="array" ref="A3640">INDEX('Portfolio Weights Returns'!$B$9:$BJ$69,
INT((ROW(A3639)-1)/COLUMNS('Portfolio Weights Returns'!$B$9:$BJ$69))+1,MOD(ROW(A3639)-1,COLUMNS('Portfolio Weights Returns'!$B$9:$BJ$69))+1)</f>
        <v>-5.4263125703904924E-4</v>
      </c>
      <c r="B3640" cm="1">
        <f t="array" ref="B3640">INDEX('Portfolio Weights Std'!$B$9:$BJ$69,INT((ROW(A3639)-1)/COLUMNS('Portfolio Weights Std'!$B$9:$BJ$69))+1,MOD(ROW(A3639)-1,COLUMNS('Portfolio Weights Std'!$B$9:$BJ$69))+1)</f>
        <v>1.8251134225791506E-2</v>
      </c>
    </row>
    <row r="3641" spans="1:2" x14ac:dyDescent="0.25">
      <c r="A3641" cm="1">
        <f t="array" ref="A3641">INDEX('Portfolio Weights Returns'!$B$9:$BJ$69,
INT((ROW(A3640)-1)/COLUMNS('Portfolio Weights Returns'!$B$9:$BJ$69))+1,MOD(ROW(A3640)-1,COLUMNS('Portfolio Weights Returns'!$B$9:$BJ$69))+1)</f>
        <v>-5.358500830723701E-4</v>
      </c>
      <c r="B3641" cm="1">
        <f t="array" ref="B3641">INDEX('Portfolio Weights Std'!$B$9:$BJ$69,INT((ROW(A3640)-1)/COLUMNS('Portfolio Weights Std'!$B$9:$BJ$69))+1,MOD(ROW(A3640)-1,COLUMNS('Portfolio Weights Std'!$B$9:$BJ$69))+1)</f>
        <v>1.8183863454935258E-2</v>
      </c>
    </row>
    <row r="3642" spans="1:2" x14ac:dyDescent="0.25">
      <c r="A3642" cm="1">
        <f t="array" ref="A3642">INDEX('Portfolio Weights Returns'!$B$9:$BJ$69,
INT((ROW(A3641)-1)/COLUMNS('Portfolio Weights Returns'!$B$9:$BJ$69))+1,MOD(ROW(A3641)-1,COLUMNS('Portfolio Weights Returns'!$B$9:$BJ$69))+1)</f>
        <v>-5.2906890910569106E-4</v>
      </c>
      <c r="B3642" cm="1">
        <f t="array" ref="B3642">INDEX('Portfolio Weights Std'!$B$9:$BJ$69,INT((ROW(A3641)-1)/COLUMNS('Portfolio Weights Std'!$B$9:$BJ$69))+1,MOD(ROW(A3641)-1,COLUMNS('Portfolio Weights Std'!$B$9:$BJ$69))+1)</f>
        <v>1.8118898576467826E-2</v>
      </c>
    </row>
    <row r="3643" spans="1:2" x14ac:dyDescent="0.25">
      <c r="A3643" cm="1">
        <f t="array" ref="A3643">INDEX('Portfolio Weights Returns'!$B$9:$BJ$69,
INT((ROW(A3642)-1)/COLUMNS('Portfolio Weights Returns'!$B$9:$BJ$69))+1,MOD(ROW(A3642)-1,COLUMNS('Portfolio Weights Returns'!$B$9:$BJ$69))+1)</f>
        <v>-5.2228773513901192E-4</v>
      </c>
      <c r="B3643" cm="1">
        <f t="array" ref="B3643">INDEX('Portfolio Weights Std'!$B$9:$BJ$69,INT((ROW(A3642)-1)/COLUMNS('Portfolio Weights Std'!$B$9:$BJ$69))+1,MOD(ROW(A3642)-1,COLUMNS('Portfolio Weights Std'!$B$9:$BJ$69))+1)</f>
        <v>1.8056264479610715E-2</v>
      </c>
    </row>
    <row r="3644" spans="1:2" x14ac:dyDescent="0.25">
      <c r="A3644" cm="1">
        <f t="array" ref="A3644">INDEX('Portfolio Weights Returns'!$B$9:$BJ$69,
INT((ROW(A3643)-1)/COLUMNS('Portfolio Weights Returns'!$B$9:$BJ$69))+1,MOD(ROW(A3643)-1,COLUMNS('Portfolio Weights Returns'!$B$9:$BJ$69))+1)</f>
        <v>-5.1550656117233277E-4</v>
      </c>
      <c r="B3644" cm="1">
        <f t="array" ref="B3644">INDEX('Portfolio Weights Std'!$B$9:$BJ$69,INT((ROW(A3643)-1)/COLUMNS('Portfolio Weights Std'!$B$9:$BJ$69))+1,MOD(ROW(A3643)-1,COLUMNS('Portfolio Weights Std'!$B$9:$BJ$69))+1)</f>
        <v>1.7995985500874945E-2</v>
      </c>
    </row>
    <row r="3645" spans="1:2" x14ac:dyDescent="0.25">
      <c r="A3645" cm="1">
        <f t="array" ref="A3645">INDEX('Portfolio Weights Returns'!$B$9:$BJ$69,
INT((ROW(A3644)-1)/COLUMNS('Portfolio Weights Returns'!$B$9:$BJ$69))+1,MOD(ROW(A3644)-1,COLUMNS('Portfolio Weights Returns'!$B$9:$BJ$69))+1)</f>
        <v>-5.0872538720565363E-4</v>
      </c>
      <c r="B3645" cm="1">
        <f t="array" ref="B3645">INDEX('Portfolio Weights Std'!$B$9:$BJ$69,INT((ROW(A3644)-1)/COLUMNS('Portfolio Weights Std'!$B$9:$BJ$69))+1,MOD(ROW(A3644)-1,COLUMNS('Portfolio Weights Std'!$B$9:$BJ$69))+1)</f>
        <v>1.7938085382628689E-2</v>
      </c>
    </row>
    <row r="3646" spans="1:2" x14ac:dyDescent="0.25">
      <c r="A3646" cm="1">
        <f t="array" ref="A3646">INDEX('Portfolio Weights Returns'!$B$9:$BJ$69,
INT((ROW(A3645)-1)/COLUMNS('Portfolio Weights Returns'!$B$9:$BJ$69))+1,MOD(ROW(A3645)-1,COLUMNS('Portfolio Weights Returns'!$B$9:$BJ$69))+1)</f>
        <v>-5.0194421323897448E-4</v>
      </c>
      <c r="B3646" cm="1">
        <f t="array" ref="B3646">INDEX('Portfolio Weights Std'!$B$9:$BJ$69,INT((ROW(A3645)-1)/COLUMNS('Portfolio Weights Std'!$B$9:$BJ$69))+1,MOD(ROW(A3645)-1,COLUMNS('Portfolio Weights Std'!$B$9:$BJ$69))+1)</f>
        <v>1.7882587231661379E-2</v>
      </c>
    </row>
    <row r="3647" spans="1:2" x14ac:dyDescent="0.25">
      <c r="A3647" cm="1">
        <f t="array" ref="A3647">INDEX('Portfolio Weights Returns'!$B$9:$BJ$69,
INT((ROW(A3646)-1)/COLUMNS('Portfolio Weights Returns'!$B$9:$BJ$69))+1,MOD(ROW(A3646)-1,COLUMNS('Portfolio Weights Returns'!$B$9:$BJ$69))+1)</f>
        <v>-4.9516303927229545E-4</v>
      </c>
      <c r="B3647" cm="1">
        <f t="array" ref="B3647">INDEX('Portfolio Weights Std'!$B$9:$BJ$69,INT((ROW(A3646)-1)/COLUMNS('Portfolio Weights Std'!$B$9:$BJ$69))+1,MOD(ROW(A3646)-1,COLUMNS('Portfolio Weights Std'!$B$9:$BJ$69))+1)</f>
        <v>1.7829513477888453E-2</v>
      </c>
    </row>
    <row r="3648" spans="1:2" x14ac:dyDescent="0.25">
      <c r="A3648" cm="1">
        <f t="array" ref="A3648">INDEX('Portfolio Weights Returns'!$B$9:$BJ$69,
INT((ROW(A3647)-1)/COLUMNS('Portfolio Weights Returns'!$B$9:$BJ$69))+1,MOD(ROW(A3647)-1,COLUMNS('Portfolio Weights Returns'!$B$9:$BJ$69))+1)</f>
        <v>-4.883818653056163E-4</v>
      </c>
      <c r="B3648" cm="1">
        <f t="array" ref="B3648">INDEX('Portfolio Weights Std'!$B$9:$BJ$69,INT((ROW(A3647)-1)/COLUMNS('Portfolio Weights Std'!$B$9:$BJ$69))+1,MOD(ROW(A3647)-1,COLUMNS('Portfolio Weights Std'!$B$9:$BJ$69))+1)</f>
        <v>1.7778885833346234E-2</v>
      </c>
    </row>
    <row r="3649" spans="1:2" x14ac:dyDescent="0.25">
      <c r="A3649" cm="1">
        <f t="array" ref="A3649">INDEX('Portfolio Weights Returns'!$B$9:$BJ$69,
INT((ROW(A3648)-1)/COLUMNS('Portfolio Weights Returns'!$B$9:$BJ$69))+1,MOD(ROW(A3648)-1,COLUMNS('Portfolio Weights Returns'!$B$9:$BJ$69))+1)</f>
        <v>-4.8160069133893737E-4</v>
      </c>
      <c r="B3649" cm="1">
        <f t="array" ref="B3649">INDEX('Portfolio Weights Std'!$B$9:$BJ$69,INT((ROW(A3648)-1)/COLUMNS('Portfolio Weights Std'!$B$9:$BJ$69))+1,MOD(ROW(A3648)-1,COLUMNS('Portfolio Weights Std'!$B$9:$BJ$69))+1)</f>
        <v>1.7730725251631389E-2</v>
      </c>
    </row>
    <row r="3650" spans="1:2" x14ac:dyDescent="0.25">
      <c r="A3650" cm="1">
        <f t="array" ref="A3650">INDEX('Portfolio Weights Returns'!$B$9:$BJ$69,
INT((ROW(A3649)-1)/COLUMNS('Portfolio Weights Returns'!$B$9:$BJ$69))+1,MOD(ROW(A3649)-1,COLUMNS('Portfolio Weights Returns'!$B$9:$BJ$69))+1)</f>
        <v>-4.7481951737225834E-4</v>
      </c>
      <c r="B3650" cm="1">
        <f t="array" ref="B3650">INDEX('Portfolio Weights Std'!$B$9:$BJ$69,INT((ROW(A3649)-1)/COLUMNS('Portfolio Weights Std'!$B$9:$BJ$69))+1,MOD(ROW(A3649)-1,COLUMNS('Portfolio Weights Std'!$B$9:$BJ$69))+1)</f>
        <v>1.7685051887943226E-2</v>
      </c>
    </row>
    <row r="3651" spans="1:2" x14ac:dyDescent="0.25">
      <c r="A3651" cm="1">
        <f t="array" ref="A3651">INDEX('Portfolio Weights Returns'!$B$9:$BJ$69,
INT((ROW(A3650)-1)/COLUMNS('Portfolio Weights Returns'!$B$9:$BJ$69))+1,MOD(ROW(A3650)-1,COLUMNS('Portfolio Weights Returns'!$B$9:$BJ$69))+1)</f>
        <v>-4.6803834340557919E-4</v>
      </c>
      <c r="B3651" cm="1">
        <f t="array" ref="B3651">INDEX('Portfolio Weights Std'!$B$9:$BJ$69,INT((ROW(A3650)-1)/COLUMNS('Portfolio Weights Std'!$B$9:$BJ$69))+1,MOD(ROW(A3650)-1,COLUMNS('Portfolio Weights Std'!$B$9:$BJ$69))+1)</f>
        <v>1.7641885059890155E-2</v>
      </c>
    </row>
    <row r="3652" spans="1:2" x14ac:dyDescent="0.25">
      <c r="A3652" cm="1">
        <f t="array" ref="A3652">INDEX('Portfolio Weights Returns'!$B$9:$BJ$69,
INT((ROW(A3651)-1)/COLUMNS('Portfolio Weights Returns'!$B$9:$BJ$69))+1,MOD(ROW(A3651)-1,COLUMNS('Portfolio Weights Returns'!$B$9:$BJ$69))+1)</f>
        <v>-4.612571694389E-4</v>
      </c>
      <c r="B3652" cm="1">
        <f t="array" ref="B3652">INDEX('Portfolio Weights Std'!$B$9:$BJ$69,INT((ROW(A3651)-1)/COLUMNS('Portfolio Weights Std'!$B$9:$BJ$69))+1,MOD(ROW(A3651)-1,COLUMNS('Portfolio Weights Std'!$B$9:$BJ$69))+1)</f>
        <v>1.7601243209223391E-2</v>
      </c>
    </row>
    <row r="3653" spans="1:2" x14ac:dyDescent="0.25">
      <c r="A3653" cm="1">
        <f t="array" ref="A3653">INDEX('Portfolio Weights Returns'!$B$9:$BJ$69,
INT((ROW(A3652)-1)/COLUMNS('Portfolio Weights Returns'!$B$9:$BJ$69))+1,MOD(ROW(A3652)-1,COLUMNS('Portfolio Weights Returns'!$B$9:$BJ$69))+1)</f>
        <v>-4.5447599547222091E-4</v>
      </c>
      <c r="B3653" cm="1">
        <f t="array" ref="B3653">INDEX('Portfolio Weights Std'!$B$9:$BJ$69,INT((ROW(A3652)-1)/COLUMNS('Portfolio Weights Std'!$B$9:$BJ$69))+1,MOD(ROW(A3652)-1,COLUMNS('Portfolio Weights Std'!$B$9:$BJ$69))+1)</f>
        <v>1.7563143864662033E-2</v>
      </c>
    </row>
    <row r="3654" spans="1:2" x14ac:dyDescent="0.25">
      <c r="A3654" cm="1">
        <f t="array" ref="A3654">INDEX('Portfolio Weights Returns'!$B$9:$BJ$69,
INT((ROW(A3653)-1)/COLUMNS('Portfolio Weights Returns'!$B$9:$BJ$69))+1,MOD(ROW(A3653)-1,COLUMNS('Portfolio Weights Returns'!$B$9:$BJ$69))+1)</f>
        <v>-4.4769482150554182E-4</v>
      </c>
      <c r="B3654" cm="1">
        <f t="array" ref="B3654">INDEX('Portfolio Weights Std'!$B$9:$BJ$69,INT((ROW(A3653)-1)/COLUMNS('Portfolio Weights Std'!$B$9:$BJ$69))+1,MOD(ROW(A3653)-1,COLUMNS('Portfolio Weights Std'!$B$9:$BJ$69))+1)</f>
        <v>1.7527603605973198E-2</v>
      </c>
    </row>
    <row r="3655" spans="1:2" x14ac:dyDescent="0.25">
      <c r="A3655" cm="1">
        <f t="array" ref="A3655">INDEX('Portfolio Weights Returns'!$B$9:$BJ$69,
INT((ROW(A3654)-1)/COLUMNS('Portfolio Weights Returns'!$B$9:$BJ$69))+1,MOD(ROW(A3654)-1,COLUMNS('Portfolio Weights Returns'!$B$9:$BJ$69))+1)</f>
        <v>-4.4091364753886267E-4</v>
      </c>
      <c r="B3655" cm="1">
        <f t="array" ref="B3655">INDEX('Portfolio Weights Std'!$B$9:$BJ$69,INT((ROW(A3654)-1)/COLUMNS('Portfolio Weights Std'!$B$9:$BJ$69))+1,MOD(ROW(A3654)-1,COLUMNS('Portfolio Weights Std'!$B$9:$BJ$69))+1)</f>
        <v>1.7494638029469475E-2</v>
      </c>
    </row>
    <row r="3656" spans="1:2" x14ac:dyDescent="0.25">
      <c r="A3656" cm="1">
        <f t="array" ref="A3656">INDEX('Portfolio Weights Returns'!$B$9:$BJ$69,
INT((ROW(A3655)-1)/COLUMNS('Portfolio Weights Returns'!$B$9:$BJ$69))+1,MOD(ROW(A3655)-1,COLUMNS('Portfolio Weights Returns'!$B$9:$BJ$69))+1)</f>
        <v>-4.3413247357218358E-4</v>
      </c>
      <c r="B3656" cm="1">
        <f t="array" ref="B3656">INDEX('Portfolio Weights Std'!$B$9:$BJ$69,INT((ROW(A3655)-1)/COLUMNS('Portfolio Weights Std'!$B$9:$BJ$69))+1,MOD(ROW(A3655)-1,COLUMNS('Portfolio Weights Std'!$B$9:$BJ$69))+1)</f>
        <v>1.7464261715083192E-2</v>
      </c>
    </row>
    <row r="3657" spans="1:2" x14ac:dyDescent="0.25">
      <c r="A3657" cm="1">
        <f t="array" ref="A3657">INDEX('Portfolio Weights Returns'!$B$9:$BJ$69,
INT((ROW(A3656)-1)/COLUMNS('Portfolio Weights Returns'!$B$9:$BJ$69))+1,MOD(ROW(A3656)-1,COLUMNS('Portfolio Weights Returns'!$B$9:$BJ$69))+1)</f>
        <v>-4.2735129960550449E-4</v>
      </c>
      <c r="B3657" cm="1">
        <f t="array" ref="B3657">INDEX('Portfolio Weights Std'!$B$9:$BJ$69,INT((ROW(A3656)-1)/COLUMNS('Portfolio Weights Std'!$B$9:$BJ$69))+1,MOD(ROW(A3656)-1,COLUMNS('Portfolio Weights Std'!$B$9:$BJ$69))+1)</f>
        <v>1.7436488195172999E-2</v>
      </c>
    </row>
    <row r="3658" spans="1:2" x14ac:dyDescent="0.25">
      <c r="A3658" cm="1">
        <f t="array" ref="A3658">INDEX('Portfolio Weights Returns'!$B$9:$BJ$69,
INT((ROW(A3657)-1)/COLUMNS('Portfolio Weights Returns'!$B$9:$BJ$69))+1,MOD(ROW(A3657)-1,COLUMNS('Portfolio Weights Returns'!$B$9:$BJ$69))+1)</f>
        <v>-4.205701256388247E-4</v>
      </c>
      <c r="B3658" cm="1">
        <f t="array" ref="B3658">INDEX('Portfolio Weights Std'!$B$9:$BJ$69,INT((ROW(A3657)-1)/COLUMNS('Portfolio Weights Std'!$B$9:$BJ$69))+1,MOD(ROW(A3657)-1,COLUMNS('Portfolio Weights Std'!$B$9:$BJ$69))+1)</f>
        <v>1.7411329925213066E-2</v>
      </c>
    </row>
    <row r="3659" spans="1:2" x14ac:dyDescent="0.25">
      <c r="A3659" cm="1">
        <f t="array" ref="A3659">INDEX('Portfolio Weights Returns'!$B$9:$BJ$69,
INT((ROW(A3658)-1)/COLUMNS('Portfolio Weights Returns'!$B$9:$BJ$69))+1,MOD(ROW(A3658)-1,COLUMNS('Portfolio Weights Returns'!$B$9:$BJ$69))+1)</f>
        <v>-4.1378895167214561E-4</v>
      </c>
      <c r="B3659" cm="1">
        <f t="array" ref="B3659">INDEX('Portfolio Weights Std'!$B$9:$BJ$69,INT((ROW(A3658)-1)/COLUMNS('Portfolio Weights Std'!$B$9:$BJ$69))+1,MOD(ROW(A3658)-1,COLUMNS('Portfolio Weights Std'!$B$9:$BJ$69))+1)</f>
        <v>1.7388798256508662E-2</v>
      </c>
    </row>
    <row r="3660" spans="1:2" x14ac:dyDescent="0.25">
      <c r="A3660" cm="1">
        <f t="array" ref="A3660">INDEX('Portfolio Weights Returns'!$B$9:$BJ$69,
INT((ROW(A3659)-1)/COLUMNS('Portfolio Weights Returns'!$B$9:$BJ$69))+1,MOD(ROW(A3659)-1,COLUMNS('Portfolio Weights Returns'!$B$9:$BJ$69))+1)</f>
        <v>-4.0700777770546657E-4</v>
      </c>
      <c r="B3660" cm="1">
        <f t="array" ref="B3660">INDEX('Portfolio Weights Std'!$B$9:$BJ$69,INT((ROW(A3659)-1)/COLUMNS('Portfolio Weights Std'!$B$9:$BJ$69))+1,MOD(ROW(A3659)-1,COLUMNS('Portfolio Weights Std'!$B$9:$BJ$69))+1)</f>
        <v>1.7368903411074155E-2</v>
      </c>
    </row>
    <row r="3661" spans="1:2" x14ac:dyDescent="0.25">
      <c r="A3661" cm="1">
        <f t="array" ref="A3661">INDEX('Portfolio Weights Returns'!$B$9:$BJ$69,
INT((ROW(A3660)-1)/COLUMNS('Portfolio Weights Returns'!$B$9:$BJ$69))+1,MOD(ROW(A3660)-1,COLUMNS('Portfolio Weights Returns'!$B$9:$BJ$69))+1)</f>
        <v>-4.0022660373878742E-4</v>
      </c>
      <c r="B3661" cm="1">
        <f t="array" ref="B3661">INDEX('Portfolio Weights Std'!$B$9:$BJ$69,INT((ROW(A3660)-1)/COLUMNS('Portfolio Weights Std'!$B$9:$BJ$69))+1,MOD(ROW(A3660)-1,COLUMNS('Portfolio Weights Std'!$B$9:$BJ$69))+1)</f>
        <v>1.7351654458800578E-2</v>
      </c>
    </row>
    <row r="3662" spans="1:2" x14ac:dyDescent="0.25">
      <c r="A3662" cm="1">
        <f t="array" ref="A3662">INDEX('Portfolio Weights Returns'!$B$9:$BJ$69,
INT((ROW(A3661)-1)/COLUMNS('Portfolio Weights Returns'!$B$9:$BJ$69))+1,MOD(ROW(A3661)-1,COLUMNS('Portfolio Weights Returns'!$B$9:$BJ$69))+1)</f>
        <v>-8.0052283389407913E-4</v>
      </c>
      <c r="B3662" cm="1">
        <f t="array" ref="B3662">INDEX('Portfolio Weights Std'!$B$9:$BJ$69,INT((ROW(A3661)-1)/COLUMNS('Portfolio Weights Std'!$B$9:$BJ$69))+1,MOD(ROW(A3661)-1,COLUMNS('Portfolio Weights Std'!$B$9:$BJ$69))+1)</f>
        <v>2.2421797549340337E-2</v>
      </c>
    </row>
    <row r="3663" spans="1:2" x14ac:dyDescent="0.25">
      <c r="A3663" cm="1">
        <f t="array" ref="A3663">INDEX('Portfolio Weights Returns'!$B$9:$BJ$69,
INT((ROW(A3662)-1)/COLUMNS('Portfolio Weights Returns'!$B$9:$BJ$69))+1,MOD(ROW(A3662)-1,COLUMNS('Portfolio Weights Returns'!$B$9:$BJ$69))+1)</f>
        <v>-7.937416599274001E-4</v>
      </c>
      <c r="B3663" cm="1">
        <f t="array" ref="B3663">INDEX('Portfolio Weights Std'!$B$9:$BJ$69,INT((ROW(A3662)-1)/COLUMNS('Portfolio Weights Std'!$B$9:$BJ$69))+1,MOD(ROW(A3662)-1,COLUMNS('Portfolio Weights Std'!$B$9:$BJ$69))+1)</f>
        <v>2.2287901543615995E-2</v>
      </c>
    </row>
    <row r="3664" spans="1:2" x14ac:dyDescent="0.25">
      <c r="A3664" cm="1">
        <f t="array" ref="A3664">INDEX('Portfolio Weights Returns'!$B$9:$BJ$69,
INT((ROW(A3663)-1)/COLUMNS('Portfolio Weights Returns'!$B$9:$BJ$69))+1,MOD(ROW(A3663)-1,COLUMNS('Portfolio Weights Returns'!$B$9:$BJ$69))+1)</f>
        <v>-7.8696048596072095E-4</v>
      </c>
      <c r="B3664" cm="1">
        <f t="array" ref="B3664">INDEX('Portfolio Weights Std'!$B$9:$BJ$69,INT((ROW(A3663)-1)/COLUMNS('Portfolio Weights Std'!$B$9:$BJ$69))+1,MOD(ROW(A3663)-1,COLUMNS('Portfolio Weights Std'!$B$9:$BJ$69))+1)</f>
        <v>2.2155286298059025E-2</v>
      </c>
    </row>
    <row r="3665" spans="1:2" x14ac:dyDescent="0.25">
      <c r="A3665" cm="1">
        <f t="array" ref="A3665">INDEX('Portfolio Weights Returns'!$B$9:$BJ$69,
INT((ROW(A3664)-1)/COLUMNS('Portfolio Weights Returns'!$B$9:$BJ$69))+1,MOD(ROW(A3664)-1,COLUMNS('Portfolio Weights Returns'!$B$9:$BJ$69))+1)</f>
        <v>-7.8017931199404181E-4</v>
      </c>
      <c r="B3665" cm="1">
        <f t="array" ref="B3665">INDEX('Portfolio Weights Std'!$B$9:$BJ$69,INT((ROW(A3664)-1)/COLUMNS('Portfolio Weights Std'!$B$9:$BJ$69))+1,MOD(ROW(A3664)-1,COLUMNS('Portfolio Weights Std'!$B$9:$BJ$69))+1)</f>
        <v>2.2023974948603843E-2</v>
      </c>
    </row>
    <row r="3666" spans="1:2" x14ac:dyDescent="0.25">
      <c r="A3666" cm="1">
        <f t="array" ref="A3666">INDEX('Portfolio Weights Returns'!$B$9:$BJ$69,
INT((ROW(A3665)-1)/COLUMNS('Portfolio Weights Returns'!$B$9:$BJ$69))+1,MOD(ROW(A3665)-1,COLUMNS('Portfolio Weights Returns'!$B$9:$BJ$69))+1)</f>
        <v>-7.7339813802736277E-4</v>
      </c>
      <c r="B3666" cm="1">
        <f t="array" ref="B3666">INDEX('Portfolio Weights Std'!$B$9:$BJ$69,INT((ROW(A3665)-1)/COLUMNS('Portfolio Weights Std'!$B$9:$BJ$69))+1,MOD(ROW(A3665)-1,COLUMNS('Portfolio Weights Std'!$B$9:$BJ$69))+1)</f>
        <v>2.1893990955995743E-2</v>
      </c>
    </row>
    <row r="3667" spans="1:2" x14ac:dyDescent="0.25">
      <c r="A3667" cm="1">
        <f t="array" ref="A3667">INDEX('Portfolio Weights Returns'!$B$9:$BJ$69,
INT((ROW(A3666)-1)/COLUMNS('Portfolio Weights Returns'!$B$9:$BJ$69))+1,MOD(ROW(A3666)-1,COLUMNS('Portfolio Weights Returns'!$B$9:$BJ$69))+1)</f>
        <v>-7.6661696406068363E-4</v>
      </c>
      <c r="B3667" cm="1">
        <f t="array" ref="B3667">INDEX('Portfolio Weights Std'!$B$9:$BJ$69,INT((ROW(A3666)-1)/COLUMNS('Portfolio Weights Std'!$B$9:$BJ$69))+1,MOD(ROW(A3666)-1,COLUMNS('Portfolio Weights Std'!$B$9:$BJ$69))+1)</f>
        <v>2.1765358101406073E-2</v>
      </c>
    </row>
    <row r="3668" spans="1:2" x14ac:dyDescent="0.25">
      <c r="A3668" cm="1">
        <f t="array" ref="A3668">INDEX('Portfolio Weights Returns'!$B$9:$BJ$69,
INT((ROW(A3667)-1)/COLUMNS('Portfolio Weights Returns'!$B$9:$BJ$69))+1,MOD(ROW(A3667)-1,COLUMNS('Portfolio Weights Returns'!$B$9:$BJ$69))+1)</f>
        <v>-7.5983579009400459E-4</v>
      </c>
      <c r="B3668" cm="1">
        <f t="array" ref="B3668">INDEX('Portfolio Weights Std'!$B$9:$BJ$69,INT((ROW(A3667)-1)/COLUMNS('Portfolio Weights Std'!$B$9:$BJ$69))+1,MOD(ROW(A3667)-1,COLUMNS('Portfolio Weights Std'!$B$9:$BJ$69))+1)</f>
        <v>2.1638100481335888E-2</v>
      </c>
    </row>
    <row r="3669" spans="1:2" x14ac:dyDescent="0.25">
      <c r="A3669" cm="1">
        <f t="array" ref="A3669">INDEX('Portfolio Weights Returns'!$B$9:$BJ$69,
INT((ROW(A3668)-1)/COLUMNS('Portfolio Weights Returns'!$B$9:$BJ$69))+1,MOD(ROW(A3668)-1,COLUMNS('Portfolio Weights Returns'!$B$9:$BJ$69))+1)</f>
        <v>-7.5305461612732534E-4</v>
      </c>
      <c r="B3669" cm="1">
        <f t="array" ref="B3669">INDEX('Portfolio Weights Std'!$B$9:$BJ$69,INT((ROW(A3668)-1)/COLUMNS('Portfolio Weights Std'!$B$9:$BJ$69))+1,MOD(ROW(A3668)-1,COLUMNS('Portfolio Weights Std'!$B$9:$BJ$69))+1)</f>
        <v>2.1512242501772333E-2</v>
      </c>
    </row>
    <row r="3670" spans="1:2" x14ac:dyDescent="0.25">
      <c r="A3670" cm="1">
        <f t="array" ref="A3670">INDEX('Portfolio Weights Returns'!$B$9:$BJ$69,
INT((ROW(A3669)-1)/COLUMNS('Portfolio Weights Returns'!$B$9:$BJ$69))+1,MOD(ROW(A3669)-1,COLUMNS('Portfolio Weights Returns'!$B$9:$BJ$69))+1)</f>
        <v>-7.462734421606463E-4</v>
      </c>
      <c r="B3670" cm="1">
        <f t="array" ref="B3670">INDEX('Portfolio Weights Std'!$B$9:$BJ$69,INT((ROW(A3669)-1)/COLUMNS('Portfolio Weights Std'!$B$9:$BJ$69))+1,MOD(ROW(A3669)-1,COLUMNS('Portfolio Weights Std'!$B$9:$BJ$69))+1)</f>
        <v>2.1387808871561793E-2</v>
      </c>
    </row>
    <row r="3671" spans="1:2" x14ac:dyDescent="0.25">
      <c r="A3671" cm="1">
        <f t="array" ref="A3671">INDEX('Portfolio Weights Returns'!$B$9:$BJ$69,
INT((ROW(A3670)-1)/COLUMNS('Portfolio Weights Returns'!$B$9:$BJ$69))+1,MOD(ROW(A3670)-1,COLUMNS('Portfolio Weights Returns'!$B$9:$BJ$69))+1)</f>
        <v>-7.3949226819396716E-4</v>
      </c>
      <c r="B3671" cm="1">
        <f t="array" ref="B3671">INDEX('Portfolio Weights Std'!$B$9:$BJ$69,INT((ROW(A3670)-1)/COLUMNS('Portfolio Weights Std'!$B$9:$BJ$69))+1,MOD(ROW(A3670)-1,COLUMNS('Portfolio Weights Std'!$B$9:$BJ$69))+1)</f>
        <v>2.1264824594963878E-2</v>
      </c>
    </row>
    <row r="3672" spans="1:2" x14ac:dyDescent="0.25">
      <c r="A3672" cm="1">
        <f t="array" ref="A3672">INDEX('Portfolio Weights Returns'!$B$9:$BJ$69,
INT((ROW(A3671)-1)/COLUMNS('Portfolio Weights Returns'!$B$9:$BJ$69))+1,MOD(ROW(A3671)-1,COLUMNS('Portfolio Weights Returns'!$B$9:$BJ$69))+1)</f>
        <v>-7.3271109422728812E-4</v>
      </c>
      <c r="B3672" cm="1">
        <f t="array" ref="B3672">INDEX('Portfolio Weights Std'!$B$9:$BJ$69,INT((ROW(A3671)-1)/COLUMNS('Portfolio Weights Std'!$B$9:$BJ$69))+1,MOD(ROW(A3671)-1,COLUMNS('Portfolio Weights Std'!$B$9:$BJ$69))+1)</f>
        <v>2.1143314963350233E-2</v>
      </c>
    </row>
    <row r="3673" spans="1:2" x14ac:dyDescent="0.25">
      <c r="A3673" cm="1">
        <f t="array" ref="A3673">INDEX('Portfolio Weights Returns'!$B$9:$BJ$69,
INT((ROW(A3672)-1)/COLUMNS('Portfolio Weights Returns'!$B$9:$BJ$69))+1,MOD(ROW(A3672)-1,COLUMNS('Portfolio Weights Returns'!$B$9:$BJ$69))+1)</f>
        <v>-7.2592992026060898E-4</v>
      </c>
      <c r="B3673" cm="1">
        <f t="array" ref="B3673">INDEX('Portfolio Weights Std'!$B$9:$BJ$69,INT((ROW(A3672)-1)/COLUMNS('Portfolio Weights Std'!$B$9:$BJ$69))+1,MOD(ROW(A3672)-1,COLUMNS('Portfolio Weights Std'!$B$9:$BJ$69))+1)</f>
        <v>2.1023305546012623E-2</v>
      </c>
    </row>
    <row r="3674" spans="1:2" x14ac:dyDescent="0.25">
      <c r="A3674" cm="1">
        <f t="array" ref="A3674">INDEX('Portfolio Weights Returns'!$B$9:$BJ$69,
INT((ROW(A3673)-1)/COLUMNS('Portfolio Weights Returns'!$B$9:$BJ$69))+1,MOD(ROW(A3673)-1,COLUMNS('Portfolio Weights Returns'!$B$9:$BJ$69))+1)</f>
        <v>-7.1914874629392983E-4</v>
      </c>
      <c r="B3674" cm="1">
        <f t="array" ref="B3674">INDEX('Portfolio Weights Std'!$B$9:$BJ$69,INT((ROW(A3673)-1)/COLUMNS('Portfolio Weights Std'!$B$9:$BJ$69))+1,MOD(ROW(A3673)-1,COLUMNS('Portfolio Weights Std'!$B$9:$BJ$69))+1)</f>
        <v>2.0904822180045114E-2</v>
      </c>
    </row>
    <row r="3675" spans="1:2" x14ac:dyDescent="0.25">
      <c r="A3675" cm="1">
        <f t="array" ref="A3675">INDEX('Portfolio Weights Returns'!$B$9:$BJ$69,
INT((ROW(A3674)-1)/COLUMNS('Portfolio Weights Returns'!$B$9:$BJ$69))+1,MOD(ROW(A3674)-1,COLUMNS('Portfolio Weights Returns'!$B$9:$BJ$69))+1)</f>
        <v>-7.123675723272508E-4</v>
      </c>
      <c r="B3675" cm="1">
        <f t="array" ref="B3675">INDEX('Portfolio Weights Std'!$B$9:$BJ$69,INT((ROW(A3674)-1)/COLUMNS('Portfolio Weights Std'!$B$9:$BJ$69))+1,MOD(ROW(A3674)-1,COLUMNS('Portfolio Weights Std'!$B$9:$BJ$69))+1)</f>
        <v>2.0787890959266E-2</v>
      </c>
    </row>
    <row r="3676" spans="1:2" x14ac:dyDescent="0.25">
      <c r="A3676" cm="1">
        <f t="array" ref="A3676">INDEX('Portfolio Weights Returns'!$B$9:$BJ$69,
INT((ROW(A3675)-1)/COLUMNS('Portfolio Weights Returns'!$B$9:$BJ$69))+1,MOD(ROW(A3675)-1,COLUMNS('Portfolio Weights Returns'!$B$9:$BJ$69))+1)</f>
        <v>-7.0558639836057154E-4</v>
      </c>
      <c r="B3676" cm="1">
        <f t="array" ref="B3676">INDEX('Portfolio Weights Std'!$B$9:$BJ$69,INT((ROW(A3675)-1)/COLUMNS('Portfolio Weights Std'!$B$9:$BJ$69))+1,MOD(ROW(A3675)-1,COLUMNS('Portfolio Weights Std'!$B$9:$BJ$69))+1)</f>
        <v>2.0672538222145972E-2</v>
      </c>
    </row>
    <row r="3677" spans="1:2" x14ac:dyDescent="0.25">
      <c r="A3677" cm="1">
        <f t="array" ref="A3677">INDEX('Portfolio Weights Returns'!$B$9:$BJ$69,
INT((ROW(A3676)-1)/COLUMNS('Portfolio Weights Returns'!$B$9:$BJ$69))+1,MOD(ROW(A3676)-1,COLUMNS('Portfolio Weights Returns'!$B$9:$BJ$69))+1)</f>
        <v>-6.9880522439389251E-4</v>
      </c>
      <c r="B3677" cm="1">
        <f t="array" ref="B3677">INDEX('Portfolio Weights Std'!$B$9:$BJ$69,INT((ROW(A3676)-1)/COLUMNS('Portfolio Weights Std'!$B$9:$BJ$69))+1,MOD(ROW(A3676)-1,COLUMNS('Portfolio Weights Std'!$B$9:$BJ$69))+1)</f>
        <v>2.055879053871032E-2</v>
      </c>
    </row>
    <row r="3678" spans="1:2" x14ac:dyDescent="0.25">
      <c r="A3678" cm="1">
        <f t="array" ref="A3678">INDEX('Portfolio Weights Returns'!$B$9:$BJ$69,
INT((ROW(A3677)-1)/COLUMNS('Portfolio Weights Returns'!$B$9:$BJ$69))+1,MOD(ROW(A3677)-1,COLUMNS('Portfolio Weights Returns'!$B$9:$BJ$69))+1)</f>
        <v>-6.9202405042721358E-4</v>
      </c>
      <c r="B3678" cm="1">
        <f t="array" ref="B3678">INDEX('Portfolio Weights Std'!$B$9:$BJ$69,INT((ROW(A3677)-1)/COLUMNS('Portfolio Weights Std'!$B$9:$BJ$69))+1,MOD(ROW(A3677)-1,COLUMNS('Portfolio Weights Std'!$B$9:$BJ$69))+1)</f>
        <v>2.0446674696384497E-2</v>
      </c>
    </row>
    <row r="3679" spans="1:2" x14ac:dyDescent="0.25">
      <c r="A3679" cm="1">
        <f t="array" ref="A3679">INDEX('Portfolio Weights Returns'!$B$9:$BJ$69,
INT((ROW(A3678)-1)/COLUMNS('Portfolio Weights Returns'!$B$9:$BJ$69))+1,MOD(ROW(A3678)-1,COLUMNS('Portfolio Weights Returns'!$B$9:$BJ$69))+1)</f>
        <v>-6.8524287646053433E-4</v>
      </c>
      <c r="B3679" cm="1">
        <f t="array" ref="B3679">INDEX('Portfolio Weights Std'!$B$9:$BJ$69,INT((ROW(A3678)-1)/COLUMNS('Portfolio Weights Std'!$B$9:$BJ$69))+1,MOD(ROW(A3678)-1,COLUMNS('Portfolio Weights Std'!$B$9:$BJ$69))+1)</f>
        <v>2.0336217684753983E-2</v>
      </c>
    </row>
    <row r="3680" spans="1:2" x14ac:dyDescent="0.25">
      <c r="A3680" cm="1">
        <f t="array" ref="A3680">INDEX('Portfolio Weights Returns'!$B$9:$BJ$69,
INT((ROW(A3679)-1)/COLUMNS('Portfolio Weights Returns'!$B$9:$BJ$69))+1,MOD(ROW(A3679)-1,COLUMNS('Portfolio Weights Returns'!$B$9:$BJ$69))+1)</f>
        <v>-6.784617024938554E-4</v>
      </c>
      <c r="B3680" cm="1">
        <f t="array" ref="B3680">INDEX('Portfolio Weights Std'!$B$9:$BJ$69,INT((ROW(A3679)-1)/COLUMNS('Portfolio Weights Std'!$B$9:$BJ$69))+1,MOD(ROW(A3679)-1,COLUMNS('Portfolio Weights Std'!$B$9:$BJ$69))+1)</f>
        <v>2.0227446679211825E-2</v>
      </c>
    </row>
    <row r="3681" spans="1:2" x14ac:dyDescent="0.25">
      <c r="A3681" cm="1">
        <f t="array" ref="A3681">INDEX('Portfolio Weights Returns'!$B$9:$BJ$69,
INT((ROW(A3680)-1)/COLUMNS('Portfolio Weights Returns'!$B$9:$BJ$69))+1,MOD(ROW(A3680)-1,COLUMNS('Portfolio Weights Returns'!$B$9:$BJ$69))+1)</f>
        <v>-6.7168052852717625E-4</v>
      </c>
      <c r="B3681" cm="1">
        <f t="array" ref="B3681">INDEX('Portfolio Weights Std'!$B$9:$BJ$69,INT((ROW(A3680)-1)/COLUMNS('Portfolio Weights Std'!$B$9:$BJ$69))+1,MOD(ROW(A3680)-1,COLUMNS('Portfolio Weights Std'!$B$9:$BJ$69))+1)</f>
        <v>2.0120389023469208E-2</v>
      </c>
    </row>
    <row r="3682" spans="1:2" x14ac:dyDescent="0.25">
      <c r="A3682" cm="1">
        <f t="array" ref="A3682">INDEX('Portfolio Weights Returns'!$B$9:$BJ$69,
INT((ROW(A3681)-1)/COLUMNS('Portfolio Weights Returns'!$B$9:$BJ$69))+1,MOD(ROW(A3681)-1,COLUMNS('Portfolio Weights Returns'!$B$9:$BJ$69))+1)</f>
        <v>-6.6489935456049711E-4</v>
      </c>
      <c r="B3682" cm="1">
        <f t="array" ref="B3682">INDEX('Portfolio Weights Std'!$B$9:$BJ$69,INT((ROW(A3681)-1)/COLUMNS('Portfolio Weights Std'!$B$9:$BJ$69))+1,MOD(ROW(A3681)-1,COLUMNS('Portfolio Weights Std'!$B$9:$BJ$69))+1)</f>
        <v>2.0015072210907679E-2</v>
      </c>
    </row>
    <row r="3683" spans="1:2" x14ac:dyDescent="0.25">
      <c r="A3683" cm="1">
        <f t="array" ref="A3683">INDEX('Portfolio Weights Returns'!$B$9:$BJ$69,
INT((ROW(A3682)-1)/COLUMNS('Portfolio Weights Returns'!$B$9:$BJ$69))+1,MOD(ROW(A3682)-1,COLUMNS('Portfolio Weights Returns'!$B$9:$BJ$69))+1)</f>
        <v>-6.5811818059381797E-4</v>
      </c>
      <c r="B3683" cm="1">
        <f t="array" ref="B3683">INDEX('Portfolio Weights Std'!$B$9:$BJ$69,INT((ROW(A3682)-1)/COLUMNS('Portfolio Weights Std'!$B$9:$BJ$69))+1,MOD(ROW(A3682)-1,COLUMNS('Portfolio Weights Std'!$B$9:$BJ$69))+1)</f>
        <v>1.991152386475438E-2</v>
      </c>
    </row>
    <row r="3684" spans="1:2" x14ac:dyDescent="0.25">
      <c r="A3684" cm="1">
        <f t="array" ref="A3684">INDEX('Portfolio Weights Returns'!$B$9:$BJ$69,
INT((ROW(A3683)-1)/COLUMNS('Portfolio Weights Returns'!$B$9:$BJ$69))+1,MOD(ROW(A3683)-1,COLUMNS('Portfolio Weights Returns'!$B$9:$BJ$69))+1)</f>
        <v>-6.5133700662713893E-4</v>
      </c>
      <c r="B3684" cm="1">
        <f t="array" ref="B3684">INDEX('Portfolio Weights Std'!$B$9:$BJ$69,INT((ROW(A3683)-1)/COLUMNS('Portfolio Weights Std'!$B$9:$BJ$69))+1,MOD(ROW(A3683)-1,COLUMNS('Portfolio Weights Std'!$B$9:$BJ$69))+1)</f>
        <v>1.9809771717065383E-2</v>
      </c>
    </row>
    <row r="3685" spans="1:2" x14ac:dyDescent="0.25">
      <c r="A3685" cm="1">
        <f t="array" ref="A3685">INDEX('Portfolio Weights Returns'!$B$9:$BJ$69,
INT((ROW(A3684)-1)/COLUMNS('Portfolio Weights Returns'!$B$9:$BJ$69))+1,MOD(ROW(A3684)-1,COLUMNS('Portfolio Weights Returns'!$B$9:$BJ$69))+1)</f>
        <v>-6.4455583266045979E-4</v>
      </c>
      <c r="B3685" cm="1">
        <f t="array" ref="B3685">INDEX('Portfolio Weights Std'!$B$9:$BJ$69,INT((ROW(A3684)-1)/COLUMNS('Portfolio Weights Std'!$B$9:$BJ$69))+1,MOD(ROW(A3684)-1,COLUMNS('Portfolio Weights Std'!$B$9:$BJ$69))+1)</f>
        <v>1.9709843586505956E-2</v>
      </c>
    </row>
    <row r="3686" spans="1:2" x14ac:dyDescent="0.25">
      <c r="A3686" cm="1">
        <f t="array" ref="A3686">INDEX('Portfolio Weights Returns'!$B$9:$BJ$69,
INT((ROW(A3685)-1)/COLUMNS('Portfolio Weights Returns'!$B$9:$BJ$69))+1,MOD(ROW(A3685)-1,COLUMNS('Portfolio Weights Returns'!$B$9:$BJ$69))+1)</f>
        <v>-6.3777465869378075E-4</v>
      </c>
      <c r="B3686" cm="1">
        <f t="array" ref="B3686">INDEX('Portfolio Weights Std'!$B$9:$BJ$69,INT((ROW(A3685)-1)/COLUMNS('Portfolio Weights Std'!$B$9:$BJ$69))+1,MOD(ROW(A3685)-1,COLUMNS('Portfolio Weights Std'!$B$9:$BJ$69))+1)</f>
        <v>1.9611767354920932E-2</v>
      </c>
    </row>
    <row r="3687" spans="1:2" x14ac:dyDescent="0.25">
      <c r="A3687" cm="1">
        <f t="array" ref="A3687">INDEX('Portfolio Weights Returns'!$B$9:$BJ$69,
INT((ROW(A3686)-1)/COLUMNS('Portfolio Weights Returns'!$B$9:$BJ$69))+1,MOD(ROW(A3686)-1,COLUMNS('Portfolio Weights Returns'!$B$9:$BJ$69))+1)</f>
        <v>-6.309934847271015E-4</v>
      </c>
      <c r="B3687" cm="1">
        <f t="array" ref="B3687">INDEX('Portfolio Weights Std'!$B$9:$BJ$69,INT((ROW(A3686)-1)/COLUMNS('Portfolio Weights Std'!$B$9:$BJ$69))+1,MOD(ROW(A3686)-1,COLUMNS('Portfolio Weights Std'!$B$9:$BJ$69))+1)</f>
        <v>1.9515570942692927E-2</v>
      </c>
    </row>
    <row r="3688" spans="1:2" x14ac:dyDescent="0.25">
      <c r="A3688" cm="1">
        <f t="array" ref="A3688">INDEX('Portfolio Weights Returns'!$B$9:$BJ$69,
INT((ROW(A3687)-1)/COLUMNS('Portfolio Weights Returns'!$B$9:$BJ$69))+1,MOD(ROW(A3687)-1,COLUMNS('Portfolio Weights Returns'!$B$9:$BJ$69))+1)</f>
        <v>-6.2421231076042246E-4</v>
      </c>
      <c r="B3688" cm="1">
        <f t="array" ref="B3688">INDEX('Portfolio Weights Std'!$B$9:$BJ$69,INT((ROW(A3687)-1)/COLUMNS('Portfolio Weights Std'!$B$9:$BJ$69))+1,MOD(ROW(A3687)-1,COLUMNS('Portfolio Weights Std'!$B$9:$BJ$69))+1)</f>
        <v>1.9421282282891226E-2</v>
      </c>
    </row>
    <row r="3689" spans="1:2" x14ac:dyDescent="0.25">
      <c r="A3689" cm="1">
        <f t="array" ref="A3689">INDEX('Portfolio Weights Returns'!$B$9:$BJ$69,
INT((ROW(A3688)-1)/COLUMNS('Portfolio Weights Returns'!$B$9:$BJ$69))+1,MOD(ROW(A3688)-1,COLUMNS('Portfolio Weights Returns'!$B$9:$BJ$69))+1)</f>
        <v>-6.1743113679374332E-4</v>
      </c>
      <c r="B3689" cm="1">
        <f t="array" ref="B3689">INDEX('Portfolio Weights Std'!$B$9:$BJ$69,INT((ROW(A3688)-1)/COLUMNS('Portfolio Weights Std'!$B$9:$BJ$69))+1,MOD(ROW(A3688)-1,COLUMNS('Portfolio Weights Std'!$B$9:$BJ$69))+1)</f>
        <v>1.9328929294219449E-2</v>
      </c>
    </row>
    <row r="3690" spans="1:2" x14ac:dyDescent="0.25">
      <c r="A3690" cm="1">
        <f t="array" ref="A3690">INDEX('Portfolio Weights Returns'!$B$9:$BJ$69,
INT((ROW(A3689)-1)/COLUMNS('Portfolio Weights Returns'!$B$9:$BJ$69))+1,MOD(ROW(A3689)-1,COLUMNS('Portfolio Weights Returns'!$B$9:$BJ$69))+1)</f>
        <v>-6.1064996282706428E-4</v>
      </c>
      <c r="B3690" cm="1">
        <f t="array" ref="B3690">INDEX('Portfolio Weights Std'!$B$9:$BJ$69,INT((ROW(A3689)-1)/COLUMNS('Portfolio Weights Std'!$B$9:$BJ$69))+1,MOD(ROW(A3689)-1,COLUMNS('Portfolio Weights Std'!$B$9:$BJ$69))+1)</f>
        <v>1.9238539852776012E-2</v>
      </c>
    </row>
    <row r="3691" spans="1:2" x14ac:dyDescent="0.25">
      <c r="A3691" cm="1">
        <f t="array" ref="A3691">INDEX('Portfolio Weights Returns'!$B$9:$BJ$69,
INT((ROW(A3690)-1)/COLUMNS('Portfolio Weights Returns'!$B$9:$BJ$69))+1,MOD(ROW(A3690)-1,COLUMNS('Portfolio Weights Returns'!$B$9:$BJ$69))+1)</f>
        <v>-6.0386878886038514E-4</v>
      </c>
      <c r="B3691" cm="1">
        <f t="array" ref="B3691">INDEX('Portfolio Weights Std'!$B$9:$BJ$69,INT((ROW(A3690)-1)/COLUMNS('Portfolio Weights Std'!$B$9:$BJ$69))+1,MOD(ROW(A3690)-1,COLUMNS('Portfolio Weights Std'!$B$9:$BJ$69))+1)</f>
        <v>1.9150141762647416E-2</v>
      </c>
    </row>
    <row r="3692" spans="1:2" x14ac:dyDescent="0.25">
      <c r="A3692" cm="1">
        <f t="array" ref="A3692">INDEX('Portfolio Weights Returns'!$B$9:$BJ$69,
INT((ROW(A3691)-1)/COLUMNS('Portfolio Weights Returns'!$B$9:$BJ$69))+1,MOD(ROW(A3691)-1,COLUMNS('Portfolio Weights Returns'!$B$9:$BJ$69))+1)</f>
        <v>-5.970876148937061E-4</v>
      </c>
      <c r="B3692" cm="1">
        <f t="array" ref="B3692">INDEX('Portfolio Weights Std'!$B$9:$BJ$69,INT((ROW(A3691)-1)/COLUMNS('Portfolio Weights Std'!$B$9:$BJ$69))+1,MOD(ROW(A3691)-1,COLUMNS('Portfolio Weights Std'!$B$9:$BJ$69))+1)</f>
        <v>1.9063762725360926E-2</v>
      </c>
    </row>
    <row r="3693" spans="1:2" x14ac:dyDescent="0.25">
      <c r="A3693" cm="1">
        <f t="array" ref="A3693">INDEX('Portfolio Weights Returns'!$B$9:$BJ$69,
INT((ROW(A3692)-1)/COLUMNS('Portfolio Weights Returns'!$B$9:$BJ$69))+1,MOD(ROW(A3692)-1,COLUMNS('Portfolio Weights Returns'!$B$9:$BJ$69))+1)</f>
        <v>-5.9030644092702696E-4</v>
      </c>
      <c r="B3693" cm="1">
        <f t="array" ref="B3693">INDEX('Portfolio Weights Std'!$B$9:$BJ$69,INT((ROW(A3692)-1)/COLUMNS('Portfolio Weights Std'!$B$9:$BJ$69))+1,MOD(ROW(A3692)-1,COLUMNS('Portfolio Weights Std'!$B$9:$BJ$69))+1)</f>
        <v>1.8979430308229867E-2</v>
      </c>
    </row>
    <row r="3694" spans="1:2" x14ac:dyDescent="0.25">
      <c r="A3694" cm="1">
        <f t="array" ref="A3694">INDEX('Portfolio Weights Returns'!$B$9:$BJ$69,
INT((ROW(A3693)-1)/COLUMNS('Portfolio Weights Returns'!$B$9:$BJ$69))+1,MOD(ROW(A3693)-1,COLUMNS('Portfolio Weights Returns'!$B$9:$BJ$69))+1)</f>
        <v>-5.835252669603477E-4</v>
      </c>
      <c r="B3694" cm="1">
        <f t="array" ref="B3694">INDEX('Portfolio Weights Std'!$B$9:$BJ$69,INT((ROW(A3693)-1)/COLUMNS('Portfolio Weights Std'!$B$9:$BJ$69))+1,MOD(ROW(A3693)-1,COLUMNS('Portfolio Weights Std'!$B$9:$BJ$69))+1)</f>
        <v>1.8897171911632021E-2</v>
      </c>
    </row>
    <row r="3695" spans="1:2" x14ac:dyDescent="0.25">
      <c r="A3695" cm="1">
        <f t="array" ref="A3695">INDEX('Portfolio Weights Returns'!$B$9:$BJ$69,
INT((ROW(A3694)-1)/COLUMNS('Portfolio Weights Returns'!$B$9:$BJ$69))+1,MOD(ROW(A3694)-1,COLUMNS('Portfolio Weights Returns'!$B$9:$BJ$69))+1)</f>
        <v>-5.7674409299366867E-4</v>
      </c>
      <c r="B3695" cm="1">
        <f t="array" ref="B3695">INDEX('Portfolio Weights Std'!$B$9:$BJ$69,INT((ROW(A3694)-1)/COLUMNS('Portfolio Weights Std'!$B$9:$BJ$69))+1,MOD(ROW(A3694)-1,COLUMNS('Portfolio Weights Std'!$B$9:$BJ$69))+1)</f>
        <v>1.8817014735268714E-2</v>
      </c>
    </row>
    <row r="3696" spans="1:2" x14ac:dyDescent="0.25">
      <c r="A3696" cm="1">
        <f t="array" ref="A3696">INDEX('Portfolio Weights Returns'!$B$9:$BJ$69,
INT((ROW(A3695)-1)/COLUMNS('Portfolio Weights Returns'!$B$9:$BJ$69))+1,MOD(ROW(A3695)-1,COLUMNS('Portfolio Weights Returns'!$B$9:$BJ$69))+1)</f>
        <v>-5.6996291902698952E-4</v>
      </c>
      <c r="B3696" cm="1">
        <f t="array" ref="B3696">INDEX('Portfolio Weights Std'!$B$9:$BJ$69,INT((ROW(A3695)-1)/COLUMNS('Portfolio Weights Std'!$B$9:$BJ$69))+1,MOD(ROW(A3695)-1,COLUMNS('Portfolio Weights Std'!$B$9:$BJ$69))+1)</f>
        <v>1.8738985743459849E-2</v>
      </c>
    </row>
    <row r="3697" spans="1:2" x14ac:dyDescent="0.25">
      <c r="A3697" cm="1">
        <f t="array" ref="A3697">INDEX('Portfolio Weights Returns'!$B$9:$BJ$69,
INT((ROW(A3696)-1)/COLUMNS('Portfolio Weights Returns'!$B$9:$BJ$69))+1,MOD(ROW(A3696)-1,COLUMNS('Portfolio Weights Returns'!$B$9:$BJ$69))+1)</f>
        <v>-5.6318174506031049E-4</v>
      </c>
      <c r="B3697" cm="1">
        <f t="array" ref="B3697">INDEX('Portfolio Weights Std'!$B$9:$BJ$69,INT((ROW(A3696)-1)/COLUMNS('Portfolio Weights Std'!$B$9:$BJ$69))+1,MOD(ROW(A3696)-1,COLUMNS('Portfolio Weights Std'!$B$9:$BJ$69))+1)</f>
        <v>1.86631116295378E-2</v>
      </c>
    </row>
    <row r="3698" spans="1:2" x14ac:dyDescent="0.25">
      <c r="A3698" cm="1">
        <f t="array" ref="A3698">INDEX('Portfolio Weights Returns'!$B$9:$BJ$69,
INT((ROW(A3697)-1)/COLUMNS('Portfolio Weights Returns'!$B$9:$BJ$69))+1,MOD(ROW(A3697)-1,COLUMNS('Portfolio Weights Returns'!$B$9:$BJ$69))+1)</f>
        <v>-5.5640057109363134E-4</v>
      </c>
      <c r="B3698" cm="1">
        <f t="array" ref="B3698">INDEX('Portfolio Weights Std'!$B$9:$BJ$69,INT((ROW(A3697)-1)/COLUMNS('Portfolio Weights Std'!$B$9:$BJ$69))+1,MOD(ROW(A3697)-1,COLUMNS('Portfolio Weights Std'!$B$9:$BJ$69))+1)</f>
        <v>1.8589418779410845E-2</v>
      </c>
    </row>
    <row r="3699" spans="1:2" x14ac:dyDescent="0.25">
      <c r="A3699" cm="1">
        <f t="array" ref="A3699">INDEX('Portfolio Weights Returns'!$B$9:$BJ$69,
INT((ROW(A3698)-1)/COLUMNS('Portfolio Weights Returns'!$B$9:$BJ$69))+1,MOD(ROW(A3698)-1,COLUMNS('Portfolio Weights Returns'!$B$9:$BJ$69))+1)</f>
        <v>-5.4961939712695231E-4</v>
      </c>
      <c r="B3699" cm="1">
        <f t="array" ref="B3699">INDEX('Portfolio Weights Std'!$B$9:$BJ$69,INT((ROW(A3698)-1)/COLUMNS('Portfolio Weights Std'!$B$9:$BJ$69))+1,MOD(ROW(A3698)-1,COLUMNS('Portfolio Weights Std'!$B$9:$BJ$69))+1)</f>
        <v>1.8517933234374777E-2</v>
      </c>
    </row>
    <row r="3700" spans="1:2" x14ac:dyDescent="0.25">
      <c r="A3700" cm="1">
        <f t="array" ref="A3700">INDEX('Portfolio Weights Returns'!$B$9:$BJ$69,
INT((ROW(A3699)-1)/COLUMNS('Portfolio Weights Returns'!$B$9:$BJ$69))+1,MOD(ROW(A3699)-1,COLUMNS('Portfolio Weights Returns'!$B$9:$BJ$69))+1)</f>
        <v>-5.4283822316027316E-4</v>
      </c>
      <c r="B3700" cm="1">
        <f t="array" ref="B3700">INDEX('Portfolio Weights Std'!$B$9:$BJ$69,INT((ROW(A3699)-1)/COLUMNS('Portfolio Weights Std'!$B$9:$BJ$69))+1,MOD(ROW(A3699)-1,COLUMNS('Portfolio Weights Std'!$B$9:$BJ$69))+1)</f>
        <v>1.8448680653259119E-2</v>
      </c>
    </row>
    <row r="3701" spans="1:2" x14ac:dyDescent="0.25">
      <c r="A3701" cm="1">
        <f t="array" ref="A3701">INDEX('Portfolio Weights Returns'!$B$9:$BJ$69,
INT((ROW(A3700)-1)/COLUMNS('Portfolio Weights Returns'!$B$9:$BJ$69))+1,MOD(ROW(A3700)-1,COLUMNS('Portfolio Weights Returns'!$B$9:$BJ$69))+1)</f>
        <v>-5.3605704919359402E-4</v>
      </c>
      <c r="B3701" cm="1">
        <f t="array" ref="B3701">INDEX('Portfolio Weights Std'!$B$9:$BJ$69,INT((ROW(A3700)-1)/COLUMNS('Portfolio Weights Std'!$B$9:$BJ$69))+1,MOD(ROW(A3700)-1,COLUMNS('Portfolio Weights Std'!$B$9:$BJ$69))+1)</f>
        <v>1.8381686274002135E-2</v>
      </c>
    </row>
    <row r="3702" spans="1:2" x14ac:dyDescent="0.25">
      <c r="A3702" cm="1">
        <f t="array" ref="A3702">INDEX('Portfolio Weights Returns'!$B$9:$BJ$69,
INT((ROW(A3701)-1)/COLUMNS('Portfolio Weights Returns'!$B$9:$BJ$69))+1,MOD(ROW(A3701)-1,COLUMNS('Portfolio Weights Returns'!$B$9:$BJ$69))+1)</f>
        <v>-5.2927587522691498E-4</v>
      </c>
      <c r="B3702" cm="1">
        <f t="array" ref="B3702">INDEX('Portfolio Weights Std'!$B$9:$BJ$69,INT((ROW(A3701)-1)/COLUMNS('Portfolio Weights Std'!$B$9:$BJ$69))+1,MOD(ROW(A3701)-1,COLUMNS('Portfolio Weights Std'!$B$9:$BJ$69))+1)</f>
        <v>1.8316974874756635E-2</v>
      </c>
    </row>
    <row r="3703" spans="1:2" x14ac:dyDescent="0.25">
      <c r="A3703" cm="1">
        <f t="array" ref="A3703">INDEX('Portfolio Weights Returns'!$B$9:$BJ$69,
INT((ROW(A3702)-1)/COLUMNS('Portfolio Weights Returns'!$B$9:$BJ$69))+1,MOD(ROW(A3702)-1,COLUMNS('Portfolio Weights Returns'!$B$9:$BJ$69))+1)</f>
        <v>-5.2249470126023573E-4</v>
      </c>
      <c r="B3703" cm="1">
        <f t="array" ref="B3703">INDEX('Portfolio Weights Std'!$B$9:$BJ$69,INT((ROW(A3702)-1)/COLUMNS('Portfolio Weights Std'!$B$9:$BJ$69))+1,MOD(ROW(A3702)-1,COLUMNS('Portfolio Weights Std'!$B$9:$BJ$69))+1)</f>
        <v>1.8254570734635722E-2</v>
      </c>
    </row>
    <row r="3704" spans="1:2" x14ac:dyDescent="0.25">
      <c r="A3704" cm="1">
        <f t="array" ref="A3704">INDEX('Portfolio Weights Returns'!$B$9:$BJ$69,
INT((ROW(A3703)-1)/COLUMNS('Portfolio Weights Returns'!$B$9:$BJ$69))+1,MOD(ROW(A3703)-1,COLUMNS('Portfolio Weights Returns'!$B$9:$BJ$69))+1)</f>
        <v>-5.1571352729355669E-4</v>
      </c>
      <c r="B3704" cm="1">
        <f t="array" ref="B3704">INDEX('Portfolio Weights Std'!$B$9:$BJ$69,INT((ROW(A3703)-1)/COLUMNS('Portfolio Weights Std'!$B$9:$BJ$69))+1,MOD(ROW(A3703)-1,COLUMNS('Portfolio Weights Std'!$B$9:$BJ$69))+1)</f>
        <v>1.8194497594215073E-2</v>
      </c>
    </row>
    <row r="3705" spans="1:2" x14ac:dyDescent="0.25">
      <c r="A3705" cm="1">
        <f t="array" ref="A3705">INDEX('Portfolio Weights Returns'!$B$9:$BJ$69,
INT((ROW(A3704)-1)/COLUMNS('Portfolio Weights Returns'!$B$9:$BJ$69))+1,MOD(ROW(A3704)-1,COLUMNS('Portfolio Weights Returns'!$B$9:$BJ$69))+1)</f>
        <v>-5.0893235332687755E-4</v>
      </c>
      <c r="B3705" cm="1">
        <f t="array" ref="B3705">INDEX('Portfolio Weights Std'!$B$9:$BJ$69,INT((ROW(A3704)-1)/COLUMNS('Portfolio Weights Std'!$B$9:$BJ$69))+1,MOD(ROW(A3704)-1,COLUMNS('Portfolio Weights Std'!$B$9:$BJ$69))+1)</f>
        <v>1.8136778615914763E-2</v>
      </c>
    </row>
    <row r="3706" spans="1:2" x14ac:dyDescent="0.25">
      <c r="A3706" cm="1">
        <f t="array" ref="A3706">INDEX('Portfolio Weights Returns'!$B$9:$BJ$69,
INT((ROW(A3705)-1)/COLUMNS('Portfolio Weights Returns'!$B$9:$BJ$69))+1,MOD(ROW(A3705)-1,COLUMNS('Portfolio Weights Returns'!$B$9:$BJ$69))+1)</f>
        <v>-5.021511793601984E-4</v>
      </c>
      <c r="B3706" cm="1">
        <f t="array" ref="B3706">INDEX('Portfolio Weights Std'!$B$9:$BJ$69,INT((ROW(A3705)-1)/COLUMNS('Portfolio Weights Std'!$B$9:$BJ$69))+1,MOD(ROW(A3705)-1,COLUMNS('Portfolio Weights Std'!$B$9:$BJ$69))+1)</f>
        <v>1.8081436344390179E-2</v>
      </c>
    </row>
    <row r="3707" spans="1:2" x14ac:dyDescent="0.25">
      <c r="A3707" cm="1">
        <f t="array" ref="A3707">INDEX('Portfolio Weights Returns'!$B$9:$BJ$69,
INT((ROW(A3706)-1)/COLUMNS('Portfolio Weights Returns'!$B$9:$BJ$69))+1,MOD(ROW(A3706)-1,COLUMNS('Portfolio Weights Returns'!$B$9:$BJ$69))+1)</f>
        <v>-4.9537000539351937E-4</v>
      </c>
      <c r="B3707" cm="1">
        <f t="array" ref="B3707">INDEX('Portfolio Weights Std'!$B$9:$BJ$69,INT((ROW(A3706)-1)/COLUMNS('Portfolio Weights Std'!$B$9:$BJ$69))+1,MOD(ROW(A3706)-1,COLUMNS('Portfolio Weights Std'!$B$9:$BJ$69))+1)</f>
        <v>1.8028492667067061E-2</v>
      </c>
    </row>
    <row r="3708" spans="1:2" x14ac:dyDescent="0.25">
      <c r="A3708" cm="1">
        <f t="array" ref="A3708">INDEX('Portfolio Weights Returns'!$B$9:$BJ$69,
INT((ROW(A3707)-1)/COLUMNS('Portfolio Weights Returns'!$B$9:$BJ$69))+1,MOD(ROW(A3707)-1,COLUMNS('Portfolio Weights Returns'!$B$9:$BJ$69))+1)</f>
        <v>-4.8858883142684022E-4</v>
      </c>
      <c r="B3708" cm="1">
        <f t="array" ref="B3708">INDEX('Portfolio Weights Std'!$B$9:$BJ$69,INT((ROW(A3707)-1)/COLUMNS('Portfolio Weights Std'!$B$9:$BJ$69))+1,MOD(ROW(A3707)-1,COLUMNS('Portfolio Weights Std'!$B$9:$BJ$69))+1)</f>
        <v>1.7977968774961026E-2</v>
      </c>
    </row>
    <row r="3709" spans="1:2" x14ac:dyDescent="0.25">
      <c r="A3709" cm="1">
        <f t="array" ref="A3709">INDEX('Portfolio Weights Returns'!$B$9:$BJ$69,
INT((ROW(A3708)-1)/COLUMNS('Portfolio Weights Returns'!$B$9:$BJ$69))+1,MOD(ROW(A3708)-1,COLUMNS('Portfolio Weights Returns'!$B$9:$BJ$69))+1)</f>
        <v>-4.8180765746016119E-4</v>
      </c>
      <c r="B3709" cm="1">
        <f t="array" ref="B3709">INDEX('Portfolio Weights Std'!$B$9:$BJ$69,INT((ROW(A3708)-1)/COLUMNS('Portfolio Weights Std'!$B$9:$BJ$69))+1,MOD(ROW(A3708)-1,COLUMNS('Portfolio Weights Std'!$B$9:$BJ$69))+1)</f>
        <v>1.7929885123925987E-2</v>
      </c>
    </row>
    <row r="3710" spans="1:2" x14ac:dyDescent="0.25">
      <c r="A3710" cm="1">
        <f t="array" ref="A3710">INDEX('Portfolio Weights Returns'!$B$9:$BJ$69,
INT((ROW(A3709)-1)/COLUMNS('Portfolio Weights Returns'!$B$9:$BJ$69))+1,MOD(ROW(A3709)-1,COLUMNS('Portfolio Weights Returns'!$B$9:$BJ$69))+1)</f>
        <v>-4.750264834934822E-4</v>
      </c>
      <c r="B3710" cm="1">
        <f t="array" ref="B3710">INDEX('Portfolio Weights Std'!$B$9:$BJ$69,INT((ROW(A3709)-1)/COLUMNS('Portfolio Weights Std'!$B$9:$BJ$69))+1,MOD(ROW(A3709)-1,COLUMNS('Portfolio Weights Std'!$B$9:$BJ$69))+1)</f>
        <v>1.7884261396479788E-2</v>
      </c>
    </row>
    <row r="3711" spans="1:2" x14ac:dyDescent="0.25">
      <c r="A3711" cm="1">
        <f t="array" ref="A3711">INDEX('Portfolio Weights Returns'!$B$9:$BJ$69,
INT((ROW(A3710)-1)/COLUMNS('Portfolio Weights Returns'!$B$9:$BJ$69))+1,MOD(ROW(A3710)-1,COLUMNS('Portfolio Weights Returns'!$B$9:$BJ$69))+1)</f>
        <v>-4.6824530952680306E-4</v>
      </c>
      <c r="B3711" cm="1">
        <f t="array" ref="B3711">INDEX('Portfolio Weights Std'!$B$9:$BJ$69,INT((ROW(A3710)-1)/COLUMNS('Portfolio Weights Std'!$B$9:$BJ$69))+1,MOD(ROW(A3710)-1,COLUMNS('Portfolio Weights Std'!$B$9:$BJ$69))+1)</f>
        <v>1.7841116464357768E-2</v>
      </c>
    </row>
    <row r="3712" spans="1:2" x14ac:dyDescent="0.25">
      <c r="A3712" cm="1">
        <f t="array" ref="A3712">INDEX('Portfolio Weights Returns'!$B$9:$BJ$69,
INT((ROW(A3711)-1)/COLUMNS('Portfolio Weights Returns'!$B$9:$BJ$69))+1,MOD(ROW(A3711)-1,COLUMNS('Portfolio Weights Returns'!$B$9:$BJ$69))+1)</f>
        <v>-4.6146413556012392E-4</v>
      </c>
      <c r="B3712" cm="1">
        <f t="array" ref="B3712">INDEX('Portfolio Weights Std'!$B$9:$BJ$69,INT((ROW(A3711)-1)/COLUMNS('Portfolio Weights Std'!$B$9:$BJ$69))+1,MOD(ROW(A3711)-1,COLUMNS('Portfolio Weights Std'!$B$9:$BJ$69))+1)</f>
        <v>1.780046835194693E-2</v>
      </c>
    </row>
    <row r="3713" spans="1:2" x14ac:dyDescent="0.25">
      <c r="A3713" cm="1">
        <f t="array" ref="A3713">INDEX('Portfolio Weights Returns'!$B$9:$BJ$69,
INT((ROW(A3712)-1)/COLUMNS('Portfolio Weights Returns'!$B$9:$BJ$69))+1,MOD(ROW(A3712)-1,COLUMNS('Portfolio Weights Returns'!$B$9:$BJ$69))+1)</f>
        <v>-4.5468296159344483E-4</v>
      </c>
      <c r="B3713" cm="1">
        <f t="array" ref="B3713">INDEX('Portfolio Weights Std'!$B$9:$BJ$69,INT((ROW(A3712)-1)/COLUMNS('Portfolio Weights Std'!$B$9:$BJ$69))+1,MOD(ROW(A3712)-1,COLUMNS('Portfolio Weights Std'!$B$9:$BJ$69))+1)</f>
        <v>1.7762334200754043E-2</v>
      </c>
    </row>
    <row r="3714" spans="1:2" x14ac:dyDescent="0.25">
      <c r="A3714" cm="1">
        <f t="array" ref="A3714">INDEX('Portfolio Weights Returns'!$B$9:$BJ$69,
INT((ROW(A3713)-1)/COLUMNS('Portfolio Weights Returns'!$B$9:$BJ$69))+1,MOD(ROW(A3713)-1,COLUMNS('Portfolio Weights Returns'!$B$9:$BJ$69))+1)</f>
        <v>-4.4790178762676574E-4</v>
      </c>
      <c r="B3714" cm="1">
        <f t="array" ref="B3714">INDEX('Portfolio Weights Std'!$B$9:$BJ$69,INT((ROW(A3713)-1)/COLUMNS('Portfolio Weights Std'!$B$9:$BJ$69))+1,MOD(ROW(A3713)-1,COLUMNS('Portfolio Weights Std'!$B$9:$BJ$69))+1)</f>
        <v>1.77267302350607E-2</v>
      </c>
    </row>
    <row r="3715" spans="1:2" x14ac:dyDescent="0.25">
      <c r="A3715" cm="1">
        <f t="array" ref="A3715">INDEX('Portfolio Weights Returns'!$B$9:$BJ$69,
INT((ROW(A3714)-1)/COLUMNS('Portfolio Weights Returns'!$B$9:$BJ$69))+1,MOD(ROW(A3714)-1,COLUMNS('Portfolio Weights Returns'!$B$9:$BJ$69))+1)</f>
        <v>-4.4112061366008659E-4</v>
      </c>
      <c r="B3715" cm="1">
        <f t="array" ref="B3715">INDEX('Portfolio Weights Std'!$B$9:$BJ$69,INT((ROW(A3714)-1)/COLUMNS('Portfolio Weights Std'!$B$9:$BJ$69))+1,MOD(ROW(A3714)-1,COLUMNS('Portfolio Weights Std'!$B$9:$BJ$69))+1)</f>
        <v>1.7693671728917081E-2</v>
      </c>
    </row>
    <row r="3716" spans="1:2" x14ac:dyDescent="0.25">
      <c r="A3716" cm="1">
        <f t="array" ref="A3716">INDEX('Portfolio Weights Returns'!$B$9:$BJ$69,
INT((ROW(A3715)-1)/COLUMNS('Portfolio Weights Returns'!$B$9:$BJ$69))+1,MOD(ROW(A3715)-1,COLUMNS('Portfolio Weights Returns'!$B$9:$BJ$69))+1)</f>
        <v>-4.343394396934075E-4</v>
      </c>
      <c r="B3716" cm="1">
        <f t="array" ref="B3716">INDEX('Portfolio Weights Std'!$B$9:$BJ$69,INT((ROW(A3715)-1)/COLUMNS('Portfolio Weights Std'!$B$9:$BJ$69))+1,MOD(ROW(A3715)-1,COLUMNS('Portfolio Weights Std'!$B$9:$BJ$69))+1)</f>
        <v>1.7663172974623494E-2</v>
      </c>
    </row>
    <row r="3717" spans="1:2" x14ac:dyDescent="0.25">
      <c r="A3717" cm="1">
        <f t="array" ref="A3717">INDEX('Portfolio Weights Returns'!$B$9:$BJ$69,
INT((ROW(A3716)-1)/COLUMNS('Portfolio Weights Returns'!$B$9:$BJ$69))+1,MOD(ROW(A3716)-1,COLUMNS('Portfolio Weights Returns'!$B$9:$BJ$69))+1)</f>
        <v>-4.2755826572672836E-4</v>
      </c>
      <c r="B3717" cm="1">
        <f t="array" ref="B3717">INDEX('Portfolio Weights Std'!$B$9:$BJ$69,INT((ROW(A3716)-1)/COLUMNS('Portfolio Weights Std'!$B$9:$BJ$69))+1,MOD(ROW(A3716)-1,COLUMNS('Portfolio Weights Std'!$B$9:$BJ$69))+1)</f>
        <v>1.7635247252845251E-2</v>
      </c>
    </row>
    <row r="3718" spans="1:2" x14ac:dyDescent="0.25">
      <c r="A3718" cm="1">
        <f t="array" ref="A3718">INDEX('Portfolio Weights Returns'!$B$9:$BJ$69,
INT((ROW(A3717)-1)/COLUMNS('Portfolio Weights Returns'!$B$9:$BJ$69))+1,MOD(ROW(A3717)-1,COLUMNS('Portfolio Weights Returns'!$B$9:$BJ$69))+1)</f>
        <v>-4.2077709176004921E-4</v>
      </c>
      <c r="B3718" cm="1">
        <f t="array" ref="B3718">INDEX('Portfolio Weights Std'!$B$9:$BJ$69,INT((ROW(A3717)-1)/COLUMNS('Portfolio Weights Std'!$B$9:$BJ$69))+1,MOD(ROW(A3717)-1,COLUMNS('Portfolio Weights Std'!$B$9:$BJ$69))+1)</f>
        <v>1.7609906804501498E-2</v>
      </c>
    </row>
    <row r="3719" spans="1:2" x14ac:dyDescent="0.25">
      <c r="A3719" cm="1">
        <f t="array" ref="A3719">INDEX('Portfolio Weights Returns'!$B$9:$BJ$69,
INT((ROW(A3718)-1)/COLUMNS('Portfolio Weights Returns'!$B$9:$BJ$69))+1,MOD(ROW(A3718)-1,COLUMNS('Portfolio Weights Returns'!$B$9:$BJ$69))+1)</f>
        <v>-4.1399591779336953E-4</v>
      </c>
      <c r="B3719" cm="1">
        <f t="array" ref="B3719">INDEX('Portfolio Weights Std'!$B$9:$BJ$69,INT((ROW(A3718)-1)/COLUMNS('Portfolio Weights Std'!$B$9:$BJ$69))+1,MOD(ROW(A3718)-1,COLUMNS('Portfolio Weights Std'!$B$9:$BJ$69))+1)</f>
        <v>1.7587162804562767E-2</v>
      </c>
    </row>
    <row r="3720" spans="1:2" x14ac:dyDescent="0.25">
      <c r="A3720" cm="1">
        <f t="array" ref="A3720">INDEX('Portfolio Weights Returns'!$B$9:$BJ$69,
INT((ROW(A3719)-1)/COLUMNS('Portfolio Weights Returns'!$B$9:$BJ$69))+1,MOD(ROW(A3719)-1,COLUMNS('Portfolio Weights Returns'!$B$9:$BJ$69))+1)</f>
        <v>-4.0721474382669038E-4</v>
      </c>
      <c r="B3720" cm="1">
        <f t="array" ref="B3720">INDEX('Portfolio Weights Std'!$B$9:$BJ$69,INT((ROW(A3719)-1)/COLUMNS('Portfolio Weights Std'!$B$9:$BJ$69))+1,MOD(ROW(A3719)-1,COLUMNS('Portfolio Weights Std'!$B$9:$BJ$69))+1)</f>
        <v>1.7567025337884901E-2</v>
      </c>
    </row>
    <row r="3721" spans="1:2" x14ac:dyDescent="0.25">
      <c r="A3721" cm="1">
        <f t="array" ref="A3721">INDEX('Portfolio Weights Returns'!$B$9:$BJ$69,
INT((ROW(A3720)-1)/COLUMNS('Portfolio Weights Returns'!$B$9:$BJ$69))+1,MOD(ROW(A3720)-1,COLUMNS('Portfolio Weights Returns'!$B$9:$BJ$69))+1)</f>
        <v>-4.0043356986001134E-4</v>
      </c>
      <c r="B3721" cm="1">
        <f t="array" ref="B3721">INDEX('Portfolio Weights Std'!$B$9:$BJ$69,INT((ROW(A3720)-1)/COLUMNS('Portfolio Weights Std'!$B$9:$BJ$69))+1,MOD(ROW(A3720)-1,COLUMNS('Portfolio Weights Std'!$B$9:$BJ$69))+1)</f>
        <v>1.7549503377198742E-2</v>
      </c>
    </row>
    <row r="3722" spans="1:2" x14ac:dyDescent="0.25">
      <c r="A3722" cm="1">
        <f t="array" ref="A3722">INDEX('Portfolio Weights Returns'!$B$9:$BJ$69,
INT((ROW(A3721)-1)/COLUMNS('Portfolio Weights Returns'!$B$9:$BJ$69))+1,MOD(ROW(A3721)-1,COLUMNS('Portfolio Weights Returns'!$B$9:$BJ$69))+1)</f>
        <v>-3.936523958933322E-4</v>
      </c>
      <c r="B3722" cm="1">
        <f t="array" ref="B3722">INDEX('Portfolio Weights Std'!$B$9:$BJ$69,INT((ROW(A3721)-1)/COLUMNS('Portfolio Weights Std'!$B$9:$BJ$69))+1,MOD(ROW(A3721)-1,COLUMNS('Portfolio Weights Std'!$B$9:$BJ$69))+1)</f>
        <v>1.7534604763365953E-2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BC25-D810-4FE2-97BA-35E44BA67636}">
  <dimension ref="A1:L3722"/>
  <sheetViews>
    <sheetView workbookViewId="0">
      <selection activeCell="J22" sqref="J22"/>
    </sheetView>
  </sheetViews>
  <sheetFormatPr defaultRowHeight="15" x14ac:dyDescent="0.25"/>
  <cols>
    <col min="1" max="1" width="18" customWidth="1"/>
    <col min="2" max="2" width="19.5703125" customWidth="1"/>
    <col min="3" max="3" width="9.7109375" customWidth="1"/>
    <col min="4" max="4" width="11.5703125" customWidth="1"/>
    <col min="6" max="6" width="9.5703125" customWidth="1"/>
    <col min="7" max="7" width="14" customWidth="1"/>
    <col min="8" max="8" width="16.85546875" customWidth="1"/>
    <col min="9" max="9" width="18.42578125" customWidth="1"/>
    <col min="10" max="10" width="17.85546875" customWidth="1"/>
  </cols>
  <sheetData>
    <row r="1" spans="1:12" x14ac:dyDescent="0.25">
      <c r="A1" t="s">
        <v>25</v>
      </c>
      <c r="B1" t="s">
        <v>27</v>
      </c>
      <c r="C1" t="s">
        <v>19</v>
      </c>
      <c r="D1" t="s">
        <v>21</v>
      </c>
      <c r="E1" t="s">
        <v>22</v>
      </c>
      <c r="F1" t="s">
        <v>28</v>
      </c>
    </row>
    <row r="2" spans="1:12" x14ac:dyDescent="0.25">
      <c r="A2" cm="1">
        <f t="array" ref="A2">INDEX('Portfolio Weights Returns'!$B$9:$BJ$69,
INT((ROW(A1)-1)/COLUMNS('Portfolio Weights Returns'!$B$9:$BJ$69))+1,MOD(ROW(A1)-1,COLUMNS('Portfolio Weights Returns'!$B$9:$BJ$69))+1)</f>
        <v>-1.1949753046213915E-3</v>
      </c>
      <c r="B2">
        <v>1.5299999999999999E-2</v>
      </c>
      <c r="C2" s="59">
        <v>0.3</v>
      </c>
      <c r="D2" s="59">
        <v>0.04</v>
      </c>
      <c r="E2" s="60">
        <f t="shared" ref="E2:E65" si="0">1-D2-C2</f>
        <v>0.65999999999999992</v>
      </c>
      <c r="F2" t="str" cm="1">
        <f t="array" ref="F2">IF(A2=MAX(IF(ROUND($B$2:$B$3722,4)=ROUND(B2,4),$A$2:$A$3722)),"Efficient","Inefficient")</f>
        <v>Inefficient</v>
      </c>
      <c r="I2" s="76" t="s">
        <v>29</v>
      </c>
      <c r="J2" s="76"/>
    </row>
    <row r="3" spans="1:12" x14ac:dyDescent="0.25">
      <c r="A3" cm="1">
        <f t="array" ref="A3">INDEX('Portfolio Weights Returns'!$B$9:$BJ$69,
INT((ROW(A2)-1)/COLUMNS('Portfolio Weights Returns'!$B$9:$BJ$69))+1,MOD(ROW(A2)-1,COLUMNS('Portfolio Weights Returns'!$B$9:$BJ$69))+1)</f>
        <v>-1.1881941306547124E-3</v>
      </c>
      <c r="B3">
        <v>1.5299999999999999E-2</v>
      </c>
      <c r="C3" s="59">
        <v>0.3</v>
      </c>
      <c r="D3" s="59">
        <v>0.05</v>
      </c>
      <c r="E3" s="60">
        <f t="shared" si="0"/>
        <v>0.64999999999999991</v>
      </c>
      <c r="F3" t="str" cm="1">
        <f t="array" ref="F3">IF(A3=MAX(IF(ROUND($B$2:$B$3722,4)=ROUND(B3,4),$A$2:$A$3722)),"Efficient","Inefficient")</f>
        <v>Inefficient</v>
      </c>
      <c r="I3" t="s">
        <v>30</v>
      </c>
      <c r="J3">
        <f>INDEX(A2:A3722, MATCH(MIN(B2:B3722), B2:B3722, 0))</f>
        <v>-1.1949753046213915E-3</v>
      </c>
    </row>
    <row r="4" spans="1:12" x14ac:dyDescent="0.25">
      <c r="A4" cm="1">
        <f t="array" ref="A4">INDEX('Portfolio Weights Returns'!$B$9:$BJ$69,
INT((ROW(A3)-1)/COLUMNS('Portfolio Weights Returns'!$B$9:$BJ$69))+1,MOD(ROW(A3)-1,COLUMNS('Portfolio Weights Returns'!$B$9:$BJ$69))+1)</f>
        <v>-1.1814129566880332E-3</v>
      </c>
      <c r="B4">
        <v>1.5299999999999999E-2</v>
      </c>
      <c r="C4" s="59">
        <v>0.3</v>
      </c>
      <c r="D4" s="59">
        <v>0.06</v>
      </c>
      <c r="E4" s="60">
        <f t="shared" si="0"/>
        <v>0.6399999999999999</v>
      </c>
      <c r="F4" t="str" cm="1">
        <f t="array" ref="F4">IF(A4=MAX(IF(ROUND($B$2:$B$3722,4)=ROUND(B4,4),$A$2:$A$3722)),"Efficient","Inefficient")</f>
        <v>Inefficient</v>
      </c>
      <c r="I4" s="61" t="s">
        <v>31</v>
      </c>
      <c r="J4" s="61">
        <f>MIN(B2:B3722)</f>
        <v>1.5299999999999999E-2</v>
      </c>
    </row>
    <row r="5" spans="1:12" x14ac:dyDescent="0.25">
      <c r="A5" cm="1">
        <f t="array" ref="A5">INDEX('Portfolio Weights Returns'!$B$9:$BJ$69,
INT((ROW(A4)-1)/COLUMNS('Portfolio Weights Returns'!$B$9:$BJ$69))+1,MOD(ROW(A4)-1,COLUMNS('Portfolio Weights Returns'!$B$9:$BJ$69))+1)</f>
        <v>-1.1746317827213541E-3</v>
      </c>
      <c r="B5">
        <v>1.5299999999999999E-2</v>
      </c>
      <c r="C5" s="59">
        <v>0.3</v>
      </c>
      <c r="D5" s="59">
        <v>7.0000000000000007E-2</v>
      </c>
      <c r="E5" s="60">
        <f t="shared" si="0"/>
        <v>0.62999999999999989</v>
      </c>
      <c r="F5" t="str" cm="1">
        <f t="array" ref="F5">IF(A5=MAX(IF(ROUND($B$2:$B$3722,4)=ROUND(B5,4),$A$2:$A$3722)),"Efficient","Inefficient")</f>
        <v>Inefficient</v>
      </c>
      <c r="I5" t="s">
        <v>32</v>
      </c>
      <c r="J5">
        <f>J4^2</f>
        <v>2.3408999999999998E-4</v>
      </c>
    </row>
    <row r="6" spans="1:12" x14ac:dyDescent="0.25">
      <c r="A6" cm="1">
        <f t="array" ref="A6">INDEX('Portfolio Weights Returns'!$B$9:$BJ$69,
INT((ROW(A5)-1)/COLUMNS('Portfolio Weights Returns'!$B$9:$BJ$69))+1,MOD(ROW(A5)-1,COLUMNS('Portfolio Weights Returns'!$B$9:$BJ$69))+1)</f>
        <v>-1.1678506087546749E-3</v>
      </c>
      <c r="B6">
        <v>1.5299999999999999E-2</v>
      </c>
      <c r="C6" s="59">
        <v>0.3</v>
      </c>
      <c r="D6" s="59">
        <v>0.08</v>
      </c>
      <c r="E6" s="60">
        <f t="shared" si="0"/>
        <v>0.62000000000000011</v>
      </c>
      <c r="F6" t="str" cm="1">
        <f t="array" ref="F6">IF(A6=MAX(IF(ROUND($B$2:$B$3722,4)=ROUND(B6,4),$A$2:$A$3722)),"Efficient","Inefficient")</f>
        <v>Inefficient</v>
      </c>
      <c r="I6" s="61"/>
      <c r="J6" s="61"/>
    </row>
    <row r="7" spans="1:12" x14ac:dyDescent="0.25">
      <c r="A7" cm="1">
        <f t="array" ref="A7">INDEX('Portfolio Weights Returns'!$B$9:$BJ$69,
INT((ROW(A6)-1)/COLUMNS('Portfolio Weights Returns'!$B$9:$BJ$69))+1,MOD(ROW(A6)-1,COLUMNS('Portfolio Weights Returns'!$B$9:$BJ$69))+1)</f>
        <v>-1.1610694347879958E-3</v>
      </c>
      <c r="B7">
        <v>1.5299999999999999E-2</v>
      </c>
      <c r="C7" s="59">
        <v>0.3</v>
      </c>
      <c r="D7" s="59">
        <v>0.09</v>
      </c>
      <c r="E7" s="60">
        <f t="shared" si="0"/>
        <v>0.6100000000000001</v>
      </c>
      <c r="F7" t="str" cm="1">
        <f t="array" ref="F7">IF(A7=MAX(IF(ROUND($B$2:$B$3722,4)=ROUND(B7,4),$A$2:$A$3722)),"Efficient","Inefficient")</f>
        <v>Inefficient</v>
      </c>
      <c r="I7" t="s">
        <v>33</v>
      </c>
    </row>
    <row r="8" spans="1:12" x14ac:dyDescent="0.25">
      <c r="A8" cm="1">
        <f t="array" ref="A8">INDEX('Portfolio Weights Returns'!$B$9:$BJ$69,
INT((ROW(A7)-1)/COLUMNS('Portfolio Weights Returns'!$B$9:$BJ$69))+1,MOD(ROW(A7)-1,COLUMNS('Portfolio Weights Returns'!$B$9:$BJ$69))+1)</f>
        <v>-1.1542882608213166E-3</v>
      </c>
      <c r="B8">
        <v>1.5299999999999999E-2</v>
      </c>
      <c r="C8" s="59">
        <v>0.3</v>
      </c>
      <c r="D8" s="59">
        <v>0.1</v>
      </c>
      <c r="E8" s="60">
        <f t="shared" si="0"/>
        <v>0.60000000000000009</v>
      </c>
      <c r="F8" t="str" cm="1">
        <f t="array" ref="F8">IF(A8=MAX(IF(ROUND($B$2:$B$3722,4)=ROUND(B8,4),$A$2:$A$3722)),"Efficient","Inefficient")</f>
        <v>Efficient</v>
      </c>
      <c r="I8" s="61" t="s">
        <v>34</v>
      </c>
      <c r="J8" s="61">
        <f>INDEX(C2:C3722, MATCH(MIN(B2:B3722), B2:B3722, 0))</f>
        <v>0.3</v>
      </c>
      <c r="L8" t="s">
        <v>35</v>
      </c>
    </row>
    <row r="9" spans="1:12" x14ac:dyDescent="0.25">
      <c r="A9" cm="1">
        <f t="array" ref="A9">INDEX('Portfolio Weights Returns'!$B$9:$BJ$69,
INT((ROW(A8)-1)/COLUMNS('Portfolio Weights Returns'!$B$9:$BJ$69))+1,MOD(ROW(A8)-1,COLUMNS('Portfolio Weights Returns'!$B$9:$BJ$69))+1)</f>
        <v>-1.1475070868546375E-3</v>
      </c>
      <c r="B9">
        <v>1.54E-2</v>
      </c>
      <c r="C9" s="59">
        <v>0.3</v>
      </c>
      <c r="D9" s="59">
        <v>0.02</v>
      </c>
      <c r="E9" s="60">
        <f t="shared" si="0"/>
        <v>0.67999999999999994</v>
      </c>
      <c r="F9" t="str" cm="1">
        <f t="array" ref="F9">IF(A9=MAX(IF(ROUND($B$2:$B$3722,4)=ROUND(B9,4),$A$2:$A$3722)),"Efficient","Inefficient")</f>
        <v>Inefficient</v>
      </c>
      <c r="I9" t="s">
        <v>36</v>
      </c>
      <c r="J9">
        <f>INDEX(D2:D3722, MATCH(MIN(B2:B3722), B2:B3722, 0))</f>
        <v>0.04</v>
      </c>
    </row>
    <row r="10" spans="1:12" x14ac:dyDescent="0.25">
      <c r="A10" cm="1">
        <f t="array" ref="A10">INDEX('Portfolio Weights Returns'!$B$9:$BJ$69,
INT((ROW(A9)-1)/COLUMNS('Portfolio Weights Returns'!$B$9:$BJ$69))+1,MOD(ROW(A9)-1,COLUMNS('Portfolio Weights Returns'!$B$9:$BJ$69))+1)</f>
        <v>-1.1407259128879584E-3</v>
      </c>
      <c r="B10">
        <v>1.54E-2</v>
      </c>
      <c r="C10" s="59">
        <v>0.3</v>
      </c>
      <c r="D10" s="59">
        <v>0.03</v>
      </c>
      <c r="E10" s="60">
        <f t="shared" si="0"/>
        <v>0.66999999999999993</v>
      </c>
      <c r="F10" t="str" cm="1">
        <f t="array" ref="F10">IF(A10=MAX(IF(ROUND($B$2:$B$3722,4)=ROUND(B10,4),$A$2:$A$3722)),"Efficient","Inefficient")</f>
        <v>Inefficient</v>
      </c>
      <c r="I10" s="61" t="s">
        <v>37</v>
      </c>
      <c r="J10" s="61">
        <f>INDEX(E2:E3722, MATCH(MIN(B2:B3722), B2:B3722, 0))</f>
        <v>0.65999999999999992</v>
      </c>
    </row>
    <row r="11" spans="1:12" x14ac:dyDescent="0.25">
      <c r="A11" cm="1">
        <f t="array" ref="A11">INDEX('Portfolio Weights Returns'!$B$9:$BJ$69,
INT((ROW(A10)-1)/COLUMNS('Portfolio Weights Returns'!$B$9:$BJ$69))+1,MOD(ROW(A10)-1,COLUMNS('Portfolio Weights Returns'!$B$9:$BJ$69))+1)</f>
        <v>-1.1339447389212794E-3</v>
      </c>
      <c r="B11">
        <v>1.54E-2</v>
      </c>
      <c r="C11" s="59">
        <v>0.28999999999999998</v>
      </c>
      <c r="D11" s="59">
        <v>0.04</v>
      </c>
      <c r="E11" s="60">
        <f t="shared" si="0"/>
        <v>0.66999999999999993</v>
      </c>
      <c r="F11" t="str" cm="1">
        <f t="array" ref="F11">IF(A11=MAX(IF(ROUND($B$2:$B$3722,4)=ROUND(B11,4),$A$2:$A$3722)),"Efficient","Inefficient")</f>
        <v>Inefficient</v>
      </c>
      <c r="I11" t="s">
        <v>38</v>
      </c>
      <c r="J11">
        <f>SUM(J8:J10)</f>
        <v>0.99999999999999989</v>
      </c>
    </row>
    <row r="12" spans="1:12" x14ac:dyDescent="0.25">
      <c r="A12" cm="1">
        <f t="array" ref="A12">INDEX('Portfolio Weights Returns'!$B$9:$BJ$69,
INT((ROW(A11)-1)/COLUMNS('Portfolio Weights Returns'!$B$9:$BJ$69))+1,MOD(ROW(A11)-1,COLUMNS('Portfolio Weights Returns'!$B$9:$BJ$69))+1)</f>
        <v>-1.1271635649546003E-3</v>
      </c>
      <c r="B12">
        <v>1.54E-2</v>
      </c>
      <c r="C12" s="59">
        <v>0.28999999999999998</v>
      </c>
      <c r="D12" s="59">
        <v>0.05</v>
      </c>
      <c r="E12" s="60">
        <f t="shared" si="0"/>
        <v>0.65999999999999992</v>
      </c>
      <c r="F12" t="str" cm="1">
        <f t="array" ref="F12">IF(A12=MAX(IF(ROUND($B$2:$B$3722,4)=ROUND(B12,4),$A$2:$A$3722)),"Efficient","Inefficient")</f>
        <v>Inefficient</v>
      </c>
    </row>
    <row r="13" spans="1:12" x14ac:dyDescent="0.25">
      <c r="A13" cm="1">
        <f t="array" ref="A13">INDEX('Portfolio Weights Returns'!$B$9:$BJ$69,
INT((ROW(A12)-1)/COLUMNS('Portfolio Weights Returns'!$B$9:$BJ$69))+1,MOD(ROW(A12)-1,COLUMNS('Portfolio Weights Returns'!$B$9:$BJ$69))+1)</f>
        <v>-1.1203823909879211E-3</v>
      </c>
      <c r="B13">
        <v>1.54E-2</v>
      </c>
      <c r="C13" s="59">
        <v>0.28999999999999998</v>
      </c>
      <c r="D13" s="59">
        <v>0.06</v>
      </c>
      <c r="E13" s="60">
        <f t="shared" si="0"/>
        <v>0.64999999999999991</v>
      </c>
      <c r="F13" t="str" cm="1">
        <f t="array" ref="F13">IF(A13=MAX(IF(ROUND($B$2:$B$3722,4)=ROUND(B13,4),$A$2:$A$3722)),"Efficient","Inefficient")</f>
        <v>Inefficient</v>
      </c>
    </row>
    <row r="14" spans="1:12" x14ac:dyDescent="0.25">
      <c r="A14" cm="1">
        <f t="array" ref="A14">INDEX('Portfolio Weights Returns'!$B$9:$BJ$69,
INT((ROW(A13)-1)/COLUMNS('Portfolio Weights Returns'!$B$9:$BJ$69))+1,MOD(ROW(A13)-1,COLUMNS('Portfolio Weights Returns'!$B$9:$BJ$69))+1)</f>
        <v>-1.113601217021242E-3</v>
      </c>
      <c r="B14">
        <v>1.54E-2</v>
      </c>
      <c r="C14" s="59">
        <v>0.28000000000000003</v>
      </c>
      <c r="D14" s="59">
        <v>7.0000000000000007E-2</v>
      </c>
      <c r="E14" s="60">
        <f t="shared" si="0"/>
        <v>0.64999999999999991</v>
      </c>
      <c r="F14" t="str" cm="1">
        <f t="array" ref="F14">IF(A14=MAX(IF(ROUND($B$2:$B$3722,4)=ROUND(B14,4),$A$2:$A$3722)),"Efficient","Inefficient")</f>
        <v>Inefficient</v>
      </c>
      <c r="H14" s="42"/>
    </row>
    <row r="15" spans="1:12" x14ac:dyDescent="0.25">
      <c r="A15" cm="1">
        <f t="array" ref="A15">INDEX('Portfolio Weights Returns'!$B$9:$BJ$69,
INT((ROW(A14)-1)/COLUMNS('Portfolio Weights Returns'!$B$9:$BJ$69))+1,MOD(ROW(A14)-1,COLUMNS('Portfolio Weights Returns'!$B$9:$BJ$69))+1)</f>
        <v>-1.1068200430545631E-3</v>
      </c>
      <c r="B15">
        <v>1.54E-2</v>
      </c>
      <c r="C15" s="59">
        <v>0.28999999999999998</v>
      </c>
      <c r="D15" s="59">
        <v>7.0000000000000007E-2</v>
      </c>
      <c r="E15" s="60">
        <f t="shared" si="0"/>
        <v>0.6399999999999999</v>
      </c>
      <c r="F15" t="str" cm="1">
        <f t="array" ref="F15">IF(A15=MAX(IF(ROUND($B$2:$B$3722,4)=ROUND(B15,4),$A$2:$A$3722)),"Efficient","Inefficient")</f>
        <v>Inefficient</v>
      </c>
    </row>
    <row r="16" spans="1:12" x14ac:dyDescent="0.25">
      <c r="A16" cm="1">
        <f t="array" ref="A16">INDEX('Portfolio Weights Returns'!$B$9:$BJ$69,
INT((ROW(A15)-1)/COLUMNS('Portfolio Weights Returns'!$B$9:$BJ$69))+1,MOD(ROW(A15)-1,COLUMNS('Portfolio Weights Returns'!$B$9:$BJ$69))+1)</f>
        <v>-1.1000388690878839E-3</v>
      </c>
      <c r="B16">
        <v>1.54E-2</v>
      </c>
      <c r="C16" s="59">
        <v>0.28000000000000003</v>
      </c>
      <c r="D16" s="59">
        <v>0.08</v>
      </c>
      <c r="E16" s="60">
        <f t="shared" si="0"/>
        <v>0.64</v>
      </c>
      <c r="F16" t="str" cm="1">
        <f t="array" ref="F16">IF(A16=MAX(IF(ROUND($B$2:$B$3722,4)=ROUND(B16,4),$A$2:$A$3722)),"Efficient","Inefficient")</f>
        <v>Inefficient</v>
      </c>
      <c r="I16" s="67" t="s">
        <v>39</v>
      </c>
      <c r="J16" s="68"/>
    </row>
    <row r="17" spans="1:10" x14ac:dyDescent="0.25">
      <c r="A17" cm="1">
        <f t="array" ref="A17">INDEX('Portfolio Weights Returns'!$B$9:$BJ$69,
INT((ROW(A16)-1)/COLUMNS('Portfolio Weights Returns'!$B$9:$BJ$69))+1,MOD(ROW(A16)-1,COLUMNS('Portfolio Weights Returns'!$B$9:$BJ$69))+1)</f>
        <v>-1.0932576951212048E-3</v>
      </c>
      <c r="B17">
        <v>1.54E-2</v>
      </c>
      <c r="C17" s="59">
        <v>0.28999999999999998</v>
      </c>
      <c r="D17" s="59">
        <v>0.08</v>
      </c>
      <c r="E17" s="60">
        <f t="shared" si="0"/>
        <v>0.63000000000000012</v>
      </c>
      <c r="F17" t="str" cm="1">
        <f t="array" ref="F17">IF(A17=MAX(IF(ROUND($B$2:$B$3722,4)=ROUND(B17,4),$A$2:$A$3722)),"Efficient","Inefficient")</f>
        <v>Inefficient</v>
      </c>
      <c r="I17" t="s">
        <v>40</v>
      </c>
      <c r="J17">
        <f>AVERAGE(B2:B3722)</f>
        <v>2.0387476484815918E-2</v>
      </c>
    </row>
    <row r="18" spans="1:10" x14ac:dyDescent="0.25">
      <c r="A18" cm="1">
        <f t="array" ref="A18">INDEX('Portfolio Weights Returns'!$B$9:$BJ$69,
INT((ROW(A17)-1)/COLUMNS('Portfolio Weights Returns'!$B$9:$BJ$69))+1,MOD(ROW(A17)-1,COLUMNS('Portfolio Weights Returns'!$B$9:$BJ$69))+1)</f>
        <v>-1.0864765211545256E-3</v>
      </c>
      <c r="B18">
        <v>1.54E-2</v>
      </c>
      <c r="C18" s="59">
        <v>0.28000000000000003</v>
      </c>
      <c r="D18" s="59">
        <v>0.09</v>
      </c>
      <c r="E18" s="60">
        <f t="shared" si="0"/>
        <v>0.63</v>
      </c>
      <c r="F18" t="str" cm="1">
        <f t="array" ref="F18">IF(A18=MAX(IF(ROUND($B$2:$B$3722,4)=ROUND(B18,4),$A$2:$A$3722)),"Efficient","Inefficient")</f>
        <v>Inefficient</v>
      </c>
      <c r="I18" t="s">
        <v>41</v>
      </c>
      <c r="J18">
        <f>MAX(B2:B3722)</f>
        <v>3.0099999999999998E-2</v>
      </c>
    </row>
    <row r="19" spans="1:10" x14ac:dyDescent="0.25">
      <c r="A19" cm="1">
        <f t="array" ref="A19">INDEX('Portfolio Weights Returns'!$B$9:$BJ$69,
INT((ROW(A18)-1)/COLUMNS('Portfolio Weights Returns'!$B$9:$BJ$69))+1,MOD(ROW(A18)-1,COLUMNS('Portfolio Weights Returns'!$B$9:$BJ$69))+1)</f>
        <v>-1.0796953471878463E-3</v>
      </c>
      <c r="B19">
        <v>1.54E-2</v>
      </c>
      <c r="C19" s="59">
        <v>0.28999999999999998</v>
      </c>
      <c r="D19" s="59">
        <v>0.09</v>
      </c>
      <c r="E19" s="60">
        <f t="shared" si="0"/>
        <v>0.62000000000000011</v>
      </c>
      <c r="F19" t="str" cm="1">
        <f t="array" ref="F19">IF(A19=MAX(IF(ROUND($B$2:$B$3722,4)=ROUND(B19,4),$A$2:$A$3722)),"Efficient","Inefficient")</f>
        <v>Inefficient</v>
      </c>
    </row>
    <row r="20" spans="1:10" x14ac:dyDescent="0.25">
      <c r="A20" cm="1">
        <f t="array" ref="A20">INDEX('Portfolio Weights Returns'!$B$9:$BJ$69,
INT((ROW(A19)-1)/COLUMNS('Portfolio Weights Returns'!$B$9:$BJ$69))+1,MOD(ROW(A19)-1,COLUMNS('Portfolio Weights Returns'!$B$9:$BJ$69))+1)</f>
        <v>-1.0729141732211676E-3</v>
      </c>
      <c r="B20">
        <v>1.54E-2</v>
      </c>
      <c r="C20" s="59">
        <v>0.28999999999999998</v>
      </c>
      <c r="D20" s="59">
        <v>0.1</v>
      </c>
      <c r="E20" s="60">
        <f t="shared" si="0"/>
        <v>0.6100000000000001</v>
      </c>
      <c r="F20" t="str" cm="1">
        <f t="array" ref="F20">IF(A20=MAX(IF(ROUND($B$2:$B$3722,4)=ROUND(B20,4),$A$2:$A$3722)),"Efficient","Inefficient")</f>
        <v>Inefficient</v>
      </c>
    </row>
    <row r="21" spans="1:10" x14ac:dyDescent="0.25">
      <c r="A21" cm="1">
        <f t="array" ref="A21">INDEX('Portfolio Weights Returns'!$B$9:$BJ$69,
INT((ROW(A20)-1)/COLUMNS('Portfolio Weights Returns'!$B$9:$BJ$69))+1,MOD(ROW(A20)-1,COLUMNS('Portfolio Weights Returns'!$B$9:$BJ$69))+1)</f>
        <v>-1.0661329992544884E-3</v>
      </c>
      <c r="B21">
        <v>1.54E-2</v>
      </c>
      <c r="C21" s="59">
        <v>0.28999999999999998</v>
      </c>
      <c r="D21" s="59">
        <v>0.11</v>
      </c>
      <c r="E21" s="60">
        <f t="shared" si="0"/>
        <v>0.60000000000000009</v>
      </c>
      <c r="F21" t="str" cm="1">
        <f t="array" ref="F21">IF(A21=MAX(IF(ROUND($B$2:$B$3722,4)=ROUND(B21,4),$A$2:$A$3722)),"Efficient","Inefficient")</f>
        <v>Inefficient</v>
      </c>
    </row>
    <row r="22" spans="1:10" x14ac:dyDescent="0.25">
      <c r="A22" cm="1">
        <f t="array" ref="A22">INDEX('Portfolio Weights Returns'!$B$9:$BJ$69,
INT((ROW(A21)-1)/COLUMNS('Portfolio Weights Returns'!$B$9:$BJ$69))+1,MOD(ROW(A21)-1,COLUMNS('Portfolio Weights Returns'!$B$9:$BJ$69))+1)</f>
        <v>-1.0593518252878093E-3</v>
      </c>
      <c r="B22">
        <v>1.54E-2</v>
      </c>
      <c r="C22" s="59">
        <v>0.3</v>
      </c>
      <c r="D22" s="59">
        <v>0.11</v>
      </c>
      <c r="E22" s="60">
        <f t="shared" si="0"/>
        <v>0.59000000000000008</v>
      </c>
      <c r="F22" t="str" cm="1">
        <f t="array" ref="F22">IF(A22=MAX(IF(ROUND($B$2:$B$3722,4)=ROUND(B22,4),$A$2:$A$3722)),"Efficient","Inefficient")</f>
        <v>Inefficient</v>
      </c>
    </row>
    <row r="23" spans="1:10" x14ac:dyDescent="0.25">
      <c r="A23" cm="1">
        <f t="array" ref="A23">INDEX('Portfolio Weights Returns'!$B$9:$BJ$69,
INT((ROW(A22)-1)/COLUMNS('Portfolio Weights Returns'!$B$9:$BJ$69))+1,MOD(ROW(A22)-1,COLUMNS('Portfolio Weights Returns'!$B$9:$BJ$69))+1)</f>
        <v>-1.0525706513211301E-3</v>
      </c>
      <c r="B23">
        <v>1.54E-2</v>
      </c>
      <c r="C23" s="59">
        <v>0.3</v>
      </c>
      <c r="D23" s="59">
        <v>0.12</v>
      </c>
      <c r="E23" s="60">
        <f t="shared" si="0"/>
        <v>0.58000000000000007</v>
      </c>
      <c r="F23" t="str" cm="1">
        <f t="array" ref="F23">IF(A23=MAX(IF(ROUND($B$2:$B$3722,4)=ROUND(B23,4),$A$2:$A$3722)),"Efficient","Inefficient")</f>
        <v>Inefficient</v>
      </c>
    </row>
    <row r="24" spans="1:10" x14ac:dyDescent="0.25">
      <c r="A24" cm="1">
        <f t="array" ref="A24">INDEX('Portfolio Weights Returns'!$B$9:$BJ$69,
INT((ROW(A23)-1)/COLUMNS('Portfolio Weights Returns'!$B$9:$BJ$69))+1,MOD(ROW(A23)-1,COLUMNS('Portfolio Weights Returns'!$B$9:$BJ$69))+1)</f>
        <v>-1.0457894773544512E-3</v>
      </c>
      <c r="B24">
        <v>1.54E-2</v>
      </c>
      <c r="C24" s="59">
        <v>0.3</v>
      </c>
      <c r="D24" s="59">
        <v>0.13</v>
      </c>
      <c r="E24" s="60">
        <f t="shared" si="0"/>
        <v>0.57000000000000006</v>
      </c>
      <c r="F24" t="str" cm="1">
        <f t="array" ref="F24">IF(A24=MAX(IF(ROUND($B$2:$B$3722,4)=ROUND(B24,4),$A$2:$A$3722)),"Efficient","Inefficient")</f>
        <v>Efficient</v>
      </c>
    </row>
    <row r="25" spans="1:10" x14ac:dyDescent="0.25">
      <c r="A25" cm="1">
        <f t="array" ref="A25">INDEX('Portfolio Weights Returns'!$B$9:$BJ$69,
INT((ROW(A24)-1)/COLUMNS('Portfolio Weights Returns'!$B$9:$BJ$69))+1,MOD(ROW(A24)-1,COLUMNS('Portfolio Weights Returns'!$B$9:$BJ$69))+1)</f>
        <v>-1.0390083033877721E-3</v>
      </c>
      <c r="B25">
        <v>1.55E-2</v>
      </c>
      <c r="C25" s="59">
        <v>0.3</v>
      </c>
      <c r="D25" s="59">
        <v>0</v>
      </c>
      <c r="E25" s="60">
        <f t="shared" si="0"/>
        <v>0.7</v>
      </c>
      <c r="F25" t="str" cm="1">
        <f t="array" ref="F25">IF(A25=MAX(IF(ROUND($B$2:$B$3722,4)=ROUND(B25,4),$A$2:$A$3722)),"Efficient","Inefficient")</f>
        <v>Inefficient</v>
      </c>
    </row>
    <row r="26" spans="1:10" x14ac:dyDescent="0.25">
      <c r="A26" cm="1">
        <f t="array" ref="A26">INDEX('Portfolio Weights Returns'!$B$9:$BJ$69,
INT((ROW(A25)-1)/COLUMNS('Portfolio Weights Returns'!$B$9:$BJ$69))+1,MOD(ROW(A25)-1,COLUMNS('Portfolio Weights Returns'!$B$9:$BJ$69))+1)</f>
        <v>-1.0322271294210929E-3</v>
      </c>
      <c r="B26">
        <v>1.55E-2</v>
      </c>
      <c r="C26" s="59">
        <v>0.3</v>
      </c>
      <c r="D26" s="59">
        <v>0.01</v>
      </c>
      <c r="E26" s="60">
        <f t="shared" si="0"/>
        <v>0.69</v>
      </c>
      <c r="F26" t="str" cm="1">
        <f t="array" ref="F26">IF(A26=MAX(IF(ROUND($B$2:$B$3722,4)=ROUND(B26,4),$A$2:$A$3722)),"Efficient","Inefficient")</f>
        <v>Inefficient</v>
      </c>
    </row>
    <row r="27" spans="1:10" x14ac:dyDescent="0.25">
      <c r="A27" cm="1">
        <f t="array" ref="A27">INDEX('Portfolio Weights Returns'!$B$9:$BJ$69,
INT((ROW(A26)-1)/COLUMNS('Portfolio Weights Returns'!$B$9:$BJ$69))+1,MOD(ROW(A26)-1,COLUMNS('Portfolio Weights Returns'!$B$9:$BJ$69))+1)</f>
        <v>-1.0254459554544138E-3</v>
      </c>
      <c r="B27">
        <v>1.55E-2</v>
      </c>
      <c r="C27" s="59">
        <v>0.28999999999999998</v>
      </c>
      <c r="D27" s="59">
        <v>0.02</v>
      </c>
      <c r="E27" s="60">
        <f t="shared" si="0"/>
        <v>0.69</v>
      </c>
      <c r="F27" t="str" cm="1">
        <f t="array" ref="F27">IF(A27=MAX(IF(ROUND($B$2:$B$3722,4)=ROUND(B27,4),$A$2:$A$3722)),"Efficient","Inefficient")</f>
        <v>Inefficient</v>
      </c>
    </row>
    <row r="28" spans="1:10" x14ac:dyDescent="0.25">
      <c r="A28" cm="1">
        <f t="array" ref="A28">INDEX('Portfolio Weights Returns'!$B$9:$BJ$69,
INT((ROW(A27)-1)/COLUMNS('Portfolio Weights Returns'!$B$9:$BJ$69))+1,MOD(ROW(A27)-1,COLUMNS('Portfolio Weights Returns'!$B$9:$BJ$69))+1)</f>
        <v>-1.0186647814877346E-3</v>
      </c>
      <c r="B28">
        <v>1.55E-2</v>
      </c>
      <c r="C28" s="59">
        <v>0.28999999999999998</v>
      </c>
      <c r="D28" s="59">
        <v>0.03</v>
      </c>
      <c r="E28" s="60">
        <f t="shared" si="0"/>
        <v>0.67999999999999994</v>
      </c>
      <c r="F28" t="str" cm="1">
        <f t="array" ref="F28">IF(A28=MAX(IF(ROUND($B$2:$B$3722,4)=ROUND(B28,4),$A$2:$A$3722)),"Efficient","Inefficient")</f>
        <v>Inefficient</v>
      </c>
    </row>
    <row r="29" spans="1:10" x14ac:dyDescent="0.25">
      <c r="A29" cm="1">
        <f t="array" ref="A29">INDEX('Portfolio Weights Returns'!$B$9:$BJ$69,
INT((ROW(A28)-1)/COLUMNS('Portfolio Weights Returns'!$B$9:$BJ$69))+1,MOD(ROW(A28)-1,COLUMNS('Portfolio Weights Returns'!$B$9:$BJ$69))+1)</f>
        <v>-1.0118836075210557E-3</v>
      </c>
      <c r="B29">
        <v>1.55E-2</v>
      </c>
      <c r="C29" s="59">
        <v>0.28000000000000003</v>
      </c>
      <c r="D29" s="59">
        <v>0.04</v>
      </c>
      <c r="E29" s="60">
        <f t="shared" si="0"/>
        <v>0.67999999999999994</v>
      </c>
      <c r="F29" t="str" cm="1">
        <f t="array" ref="F29">IF(A29=MAX(IF(ROUND($B$2:$B$3722,4)=ROUND(B29,4),$A$2:$A$3722)),"Efficient","Inefficient")</f>
        <v>Inefficient</v>
      </c>
    </row>
    <row r="30" spans="1:10" x14ac:dyDescent="0.25">
      <c r="A30" cm="1">
        <f t="array" ref="A30">INDEX('Portfolio Weights Returns'!$B$9:$BJ$69,
INT((ROW(A29)-1)/COLUMNS('Portfolio Weights Returns'!$B$9:$BJ$69))+1,MOD(ROW(A29)-1,COLUMNS('Portfolio Weights Returns'!$B$9:$BJ$69))+1)</f>
        <v>-1.0051024335543765E-3</v>
      </c>
      <c r="B30">
        <v>1.55E-2</v>
      </c>
      <c r="C30" s="59">
        <v>0.28000000000000003</v>
      </c>
      <c r="D30" s="59">
        <v>0.05</v>
      </c>
      <c r="E30" s="60">
        <f t="shared" si="0"/>
        <v>0.66999999999999993</v>
      </c>
      <c r="F30" t="str" cm="1">
        <f t="array" ref="F30">IF(A30=MAX(IF(ROUND($B$2:$B$3722,4)=ROUND(B30,4),$A$2:$A$3722)),"Efficient","Inefficient")</f>
        <v>Inefficient</v>
      </c>
    </row>
    <row r="31" spans="1:10" x14ac:dyDescent="0.25">
      <c r="A31" cm="1">
        <f t="array" ref="A31">INDEX('Portfolio Weights Returns'!$B$9:$BJ$69,
INT((ROW(A30)-1)/COLUMNS('Portfolio Weights Returns'!$B$9:$BJ$69))+1,MOD(ROW(A30)-1,COLUMNS('Portfolio Weights Returns'!$B$9:$BJ$69))+1)</f>
        <v>-9.9832125958769719E-4</v>
      </c>
      <c r="B31">
        <v>1.55E-2</v>
      </c>
      <c r="C31" s="59">
        <v>0.27</v>
      </c>
      <c r="D31" s="59">
        <v>0.06</v>
      </c>
      <c r="E31" s="60">
        <f t="shared" si="0"/>
        <v>0.66999999999999993</v>
      </c>
      <c r="F31" t="str" cm="1">
        <f t="array" ref="F31">IF(A31=MAX(IF(ROUND($B$2:$B$3722,4)=ROUND(B31,4),$A$2:$A$3722)),"Efficient","Inefficient")</f>
        <v>Inefficient</v>
      </c>
    </row>
    <row r="32" spans="1:10" x14ac:dyDescent="0.25">
      <c r="A32" cm="1">
        <f t="array" ref="A32">INDEX('Portfolio Weights Returns'!$B$9:$BJ$69,
INT((ROW(A31)-1)/COLUMNS('Portfolio Weights Returns'!$B$9:$BJ$69))+1,MOD(ROW(A31)-1,COLUMNS('Portfolio Weights Returns'!$B$9:$BJ$69))+1)</f>
        <v>-9.9154008562101804E-4</v>
      </c>
      <c r="B32">
        <v>1.55E-2</v>
      </c>
      <c r="C32" s="59">
        <v>0.28000000000000003</v>
      </c>
      <c r="D32" s="59">
        <v>0.06</v>
      </c>
      <c r="E32" s="60">
        <f t="shared" si="0"/>
        <v>0.65999999999999992</v>
      </c>
      <c r="F32" t="str" cm="1">
        <f t="array" ref="F32">IF(A32=MAX(IF(ROUND($B$2:$B$3722,4)=ROUND(B32,4),$A$2:$A$3722)),"Efficient","Inefficient")</f>
        <v>Inefficient</v>
      </c>
    </row>
    <row r="33" spans="1:6" x14ac:dyDescent="0.25">
      <c r="A33" cm="1">
        <f t="array" ref="A33">INDEX('Portfolio Weights Returns'!$B$9:$BJ$69,
INT((ROW(A32)-1)/COLUMNS('Portfolio Weights Returns'!$B$9:$BJ$69))+1,MOD(ROW(A32)-1,COLUMNS('Portfolio Weights Returns'!$B$9:$BJ$69))+1)</f>
        <v>-9.8475891165433912E-4</v>
      </c>
      <c r="B33">
        <v>1.55E-2</v>
      </c>
      <c r="C33" s="59">
        <v>0.27</v>
      </c>
      <c r="D33" s="59">
        <v>7.0000000000000007E-2</v>
      </c>
      <c r="E33" s="60">
        <f t="shared" si="0"/>
        <v>0.65999999999999992</v>
      </c>
      <c r="F33" t="str" cm="1">
        <f t="array" ref="F33">IF(A33=MAX(IF(ROUND($B$2:$B$3722,4)=ROUND(B33,4),$A$2:$A$3722)),"Efficient","Inefficient")</f>
        <v>Inefficient</v>
      </c>
    </row>
    <row r="34" spans="1:6" x14ac:dyDescent="0.25">
      <c r="A34" cm="1">
        <f t="array" ref="A34">INDEX('Portfolio Weights Returns'!$B$9:$BJ$69,
INT((ROW(A33)-1)/COLUMNS('Portfolio Weights Returns'!$B$9:$BJ$69))+1,MOD(ROW(A33)-1,COLUMNS('Portfolio Weights Returns'!$B$9:$BJ$69))+1)</f>
        <v>-9.7797773768765997E-4</v>
      </c>
      <c r="B34">
        <v>1.55E-2</v>
      </c>
      <c r="C34" s="59">
        <v>0.27</v>
      </c>
      <c r="D34" s="59">
        <v>0.08</v>
      </c>
      <c r="E34" s="60">
        <f t="shared" si="0"/>
        <v>0.65</v>
      </c>
      <c r="F34" t="str" cm="1">
        <f t="array" ref="F34">IF(A34=MAX(IF(ROUND($B$2:$B$3722,4)=ROUND(B34,4),$A$2:$A$3722)),"Efficient","Inefficient")</f>
        <v>Inefficient</v>
      </c>
    </row>
    <row r="35" spans="1:6" x14ac:dyDescent="0.25">
      <c r="A35" cm="1">
        <f t="array" ref="A35">INDEX('Portfolio Weights Returns'!$B$9:$BJ$69,
INT((ROW(A34)-1)/COLUMNS('Portfolio Weights Returns'!$B$9:$BJ$69))+1,MOD(ROW(A34)-1,COLUMNS('Portfolio Weights Returns'!$B$9:$BJ$69))+1)</f>
        <v>-9.7119656372098083E-4</v>
      </c>
      <c r="B35">
        <v>1.55E-2</v>
      </c>
      <c r="C35" s="59">
        <v>0.27</v>
      </c>
      <c r="D35" s="59">
        <v>0.09</v>
      </c>
      <c r="E35" s="60">
        <f t="shared" si="0"/>
        <v>0.64</v>
      </c>
      <c r="F35" t="str" cm="1">
        <f t="array" ref="F35">IF(A35=MAX(IF(ROUND($B$2:$B$3722,4)=ROUND(B35,4),$A$2:$A$3722)),"Efficient","Inefficient")</f>
        <v>Inefficient</v>
      </c>
    </row>
    <row r="36" spans="1:6" x14ac:dyDescent="0.25">
      <c r="A36" cm="1">
        <f t="array" ref="A36">INDEX('Portfolio Weights Returns'!$B$9:$BJ$69,
INT((ROW(A35)-1)/COLUMNS('Portfolio Weights Returns'!$B$9:$BJ$69))+1,MOD(ROW(A35)-1,COLUMNS('Portfolio Weights Returns'!$B$9:$BJ$69))+1)</f>
        <v>-9.6441538975430168E-4</v>
      </c>
      <c r="B36">
        <v>1.55E-2</v>
      </c>
      <c r="C36" s="59">
        <v>0.27</v>
      </c>
      <c r="D36" s="59">
        <v>0.1</v>
      </c>
      <c r="E36" s="60">
        <f t="shared" si="0"/>
        <v>0.63</v>
      </c>
      <c r="F36" t="str" cm="1">
        <f t="array" ref="F36">IF(A36=MAX(IF(ROUND($B$2:$B$3722,4)=ROUND(B36,4),$A$2:$A$3722)),"Efficient","Inefficient")</f>
        <v>Inefficient</v>
      </c>
    </row>
    <row r="37" spans="1:6" x14ac:dyDescent="0.25">
      <c r="A37" cm="1">
        <f t="array" ref="A37">INDEX('Portfolio Weights Returns'!$B$9:$BJ$69,
INT((ROW(A36)-1)/COLUMNS('Portfolio Weights Returns'!$B$9:$BJ$69))+1,MOD(ROW(A36)-1,COLUMNS('Portfolio Weights Returns'!$B$9:$BJ$69))+1)</f>
        <v>-9.5763421578762265E-4</v>
      </c>
      <c r="B37">
        <v>1.55E-2</v>
      </c>
      <c r="C37" s="59">
        <v>0.28000000000000003</v>
      </c>
      <c r="D37" s="59">
        <v>0.1</v>
      </c>
      <c r="E37" s="60">
        <f t="shared" si="0"/>
        <v>0.62</v>
      </c>
      <c r="F37" t="str" cm="1">
        <f t="array" ref="F37">IF(A37=MAX(IF(ROUND($B$2:$B$3722,4)=ROUND(B37,4),$A$2:$A$3722)),"Efficient","Inefficient")</f>
        <v>Inefficient</v>
      </c>
    </row>
    <row r="38" spans="1:6" x14ac:dyDescent="0.25">
      <c r="A38" cm="1">
        <f t="array" ref="A38">INDEX('Portfolio Weights Returns'!$B$9:$BJ$69,
INT((ROW(A37)-1)/COLUMNS('Portfolio Weights Returns'!$B$9:$BJ$69))+1,MOD(ROW(A37)-1,COLUMNS('Portfolio Weights Returns'!$B$9:$BJ$69))+1)</f>
        <v>-9.508530418209435E-4</v>
      </c>
      <c r="B38">
        <v>1.55E-2</v>
      </c>
      <c r="C38" s="59">
        <v>0.28000000000000003</v>
      </c>
      <c r="D38" s="59">
        <v>0.11</v>
      </c>
      <c r="E38" s="60">
        <f t="shared" si="0"/>
        <v>0.61</v>
      </c>
      <c r="F38" t="str" cm="1">
        <f t="array" ref="F38">IF(A38=MAX(IF(ROUND($B$2:$B$3722,4)=ROUND(B38,4),$A$2:$A$3722)),"Efficient","Inefficient")</f>
        <v>Inefficient</v>
      </c>
    </row>
    <row r="39" spans="1:6" x14ac:dyDescent="0.25">
      <c r="A39" cm="1">
        <f t="array" ref="A39">INDEX('Portfolio Weights Returns'!$B$9:$BJ$69,
INT((ROW(A38)-1)/COLUMNS('Portfolio Weights Returns'!$B$9:$BJ$69))+1,MOD(ROW(A38)-1,COLUMNS('Portfolio Weights Returns'!$B$9:$BJ$69))+1)</f>
        <v>-9.4407186785426447E-4</v>
      </c>
      <c r="B39">
        <v>1.55E-2</v>
      </c>
      <c r="C39" s="59">
        <v>0.28000000000000003</v>
      </c>
      <c r="D39" s="59">
        <v>0.12</v>
      </c>
      <c r="E39" s="60">
        <f t="shared" si="0"/>
        <v>0.6</v>
      </c>
      <c r="F39" t="str" cm="1">
        <f t="array" ref="F39">IF(A39=MAX(IF(ROUND($B$2:$B$3722,4)=ROUND(B39,4),$A$2:$A$3722)),"Efficient","Inefficient")</f>
        <v>Inefficient</v>
      </c>
    </row>
    <row r="40" spans="1:6" x14ac:dyDescent="0.25">
      <c r="A40" cm="1">
        <f t="array" ref="A40">INDEX('Portfolio Weights Returns'!$B$9:$BJ$69,
INT((ROW(A39)-1)/COLUMNS('Portfolio Weights Returns'!$B$9:$BJ$69))+1,MOD(ROW(A39)-1,COLUMNS('Portfolio Weights Returns'!$B$9:$BJ$69))+1)</f>
        <v>-9.3729069388758532E-4</v>
      </c>
      <c r="B40">
        <v>1.55E-2</v>
      </c>
      <c r="C40" s="59">
        <v>0.28999999999999998</v>
      </c>
      <c r="D40" s="59">
        <v>0.12</v>
      </c>
      <c r="E40" s="60">
        <f t="shared" si="0"/>
        <v>0.59000000000000008</v>
      </c>
      <c r="F40" t="str" cm="1">
        <f t="array" ref="F40">IF(A40=MAX(IF(ROUND($B$2:$B$3722,4)=ROUND(B40,4),$A$2:$A$3722)),"Efficient","Inefficient")</f>
        <v>Inefficient</v>
      </c>
    </row>
    <row r="41" spans="1:6" x14ac:dyDescent="0.25">
      <c r="A41" cm="1">
        <f t="array" ref="A41">INDEX('Portfolio Weights Returns'!$B$9:$BJ$69,
INT((ROW(A40)-1)/COLUMNS('Portfolio Weights Returns'!$B$9:$BJ$69))+1,MOD(ROW(A40)-1,COLUMNS('Portfolio Weights Returns'!$B$9:$BJ$69))+1)</f>
        <v>-9.3050951992090618E-4</v>
      </c>
      <c r="B41">
        <v>1.55E-2</v>
      </c>
      <c r="C41" s="59">
        <v>0.28999999999999998</v>
      </c>
      <c r="D41" s="59">
        <v>0.13</v>
      </c>
      <c r="E41" s="60">
        <f t="shared" si="0"/>
        <v>0.58000000000000007</v>
      </c>
      <c r="F41" t="str" cm="1">
        <f t="array" ref="F41">IF(A41=MAX(IF(ROUND($B$2:$B$3722,4)=ROUND(B41,4),$A$2:$A$3722)),"Efficient","Inefficient")</f>
        <v>Inefficient</v>
      </c>
    </row>
    <row r="42" spans="1:6" x14ac:dyDescent="0.25">
      <c r="A42" cm="1">
        <f t="array" ref="A42">INDEX('Portfolio Weights Returns'!$B$9:$BJ$69,
INT((ROW(A41)-1)/COLUMNS('Portfolio Weights Returns'!$B$9:$BJ$69))+1,MOD(ROW(A41)-1,COLUMNS('Portfolio Weights Returns'!$B$9:$BJ$69))+1)</f>
        <v>-9.2372834595422703E-4</v>
      </c>
      <c r="B42">
        <v>1.55E-2</v>
      </c>
      <c r="C42" s="59">
        <v>0.28999999999999998</v>
      </c>
      <c r="D42" s="59">
        <v>0.14000000000000001</v>
      </c>
      <c r="E42" s="60">
        <f t="shared" si="0"/>
        <v>0.57000000000000006</v>
      </c>
      <c r="F42" t="str" cm="1">
        <f t="array" ref="F42">IF(A42=MAX(IF(ROUND($B$2:$B$3722,4)=ROUND(B42,4),$A$2:$A$3722)),"Efficient","Inefficient")</f>
        <v>Inefficient</v>
      </c>
    </row>
    <row r="43" spans="1:6" x14ac:dyDescent="0.25">
      <c r="A43" cm="1">
        <f t="array" ref="A43">INDEX('Portfolio Weights Returns'!$B$9:$BJ$69,
INT((ROW(A42)-1)/COLUMNS('Portfolio Weights Returns'!$B$9:$BJ$69))+1,MOD(ROW(A42)-1,COLUMNS('Portfolio Weights Returns'!$B$9:$BJ$69))+1)</f>
        <v>-9.16947171987548E-4</v>
      </c>
      <c r="B43">
        <v>1.55E-2</v>
      </c>
      <c r="C43" s="59">
        <v>0.3</v>
      </c>
      <c r="D43" s="59">
        <v>0.14000000000000001</v>
      </c>
      <c r="E43" s="60">
        <f t="shared" si="0"/>
        <v>0.56000000000000005</v>
      </c>
      <c r="F43" t="str" cm="1">
        <f t="array" ref="F43">IF(A43=MAX(IF(ROUND($B$2:$B$3722,4)=ROUND(B43,4),$A$2:$A$3722)),"Efficient","Inefficient")</f>
        <v>Efficient</v>
      </c>
    </row>
    <row r="44" spans="1:6" x14ac:dyDescent="0.25">
      <c r="A44" cm="1">
        <f t="array" ref="A44">INDEX('Portfolio Weights Returns'!$B$9:$BJ$69,
INT((ROW(A43)-1)/COLUMNS('Portfolio Weights Returns'!$B$9:$BJ$69))+1,MOD(ROW(A43)-1,COLUMNS('Portfolio Weights Returns'!$B$9:$BJ$69))+1)</f>
        <v>-9.1016599802086885E-4</v>
      </c>
      <c r="B44">
        <v>1.5599999999999999E-2</v>
      </c>
      <c r="C44" s="59">
        <v>0.3</v>
      </c>
      <c r="D44" s="59">
        <v>-0.01</v>
      </c>
      <c r="E44" s="60">
        <f t="shared" si="0"/>
        <v>0.71</v>
      </c>
      <c r="F44" t="str" cm="1">
        <f t="array" ref="F44">IF(A44=MAX(IF(ROUND($B$2:$B$3722,4)=ROUND(B44,4),$A$2:$A$3722)),"Efficient","Inefficient")</f>
        <v>Inefficient</v>
      </c>
    </row>
    <row r="45" spans="1:6" x14ac:dyDescent="0.25">
      <c r="A45" cm="1">
        <f t="array" ref="A45">INDEX('Portfolio Weights Returns'!$B$9:$BJ$69,
INT((ROW(A44)-1)/COLUMNS('Portfolio Weights Returns'!$B$9:$BJ$69))+1,MOD(ROW(A44)-1,COLUMNS('Portfolio Weights Returns'!$B$9:$BJ$69))+1)</f>
        <v>-9.0338482405418982E-4</v>
      </c>
      <c r="B45">
        <v>1.5599999999999999E-2</v>
      </c>
      <c r="C45" s="59">
        <v>0.28999999999999998</v>
      </c>
      <c r="D45" s="59">
        <v>0</v>
      </c>
      <c r="E45" s="60">
        <f t="shared" si="0"/>
        <v>0.71</v>
      </c>
      <c r="F45" t="str" cm="1">
        <f t="array" ref="F45">IF(A45=MAX(IF(ROUND($B$2:$B$3722,4)=ROUND(B45,4),$A$2:$A$3722)),"Efficient","Inefficient")</f>
        <v>Inefficient</v>
      </c>
    </row>
    <row r="46" spans="1:6" x14ac:dyDescent="0.25">
      <c r="A46" cm="1">
        <f t="array" ref="A46">INDEX('Portfolio Weights Returns'!$B$9:$BJ$69,
INT((ROW(A45)-1)/COLUMNS('Portfolio Weights Returns'!$B$9:$BJ$69))+1,MOD(ROW(A45)-1,COLUMNS('Portfolio Weights Returns'!$B$9:$BJ$69))+1)</f>
        <v>-8.9660365008751067E-4</v>
      </c>
      <c r="B46">
        <v>1.5599999999999999E-2</v>
      </c>
      <c r="C46" s="59">
        <v>0.28999999999999998</v>
      </c>
      <c r="D46" s="59">
        <v>0.01</v>
      </c>
      <c r="E46" s="60">
        <f t="shared" si="0"/>
        <v>0.7</v>
      </c>
      <c r="F46" t="str" cm="1">
        <f t="array" ref="F46">IF(A46=MAX(IF(ROUND($B$2:$B$3722,4)=ROUND(B46,4),$A$2:$A$3722)),"Efficient","Inefficient")</f>
        <v>Inefficient</v>
      </c>
    </row>
    <row r="47" spans="1:6" x14ac:dyDescent="0.25">
      <c r="A47" cm="1">
        <f t="array" ref="A47">INDEX('Portfolio Weights Returns'!$B$9:$BJ$69,
INT((ROW(A46)-1)/COLUMNS('Portfolio Weights Returns'!$B$9:$BJ$69))+1,MOD(ROW(A46)-1,COLUMNS('Portfolio Weights Returns'!$B$9:$BJ$69))+1)</f>
        <v>-8.8982247612083153E-4</v>
      </c>
      <c r="B47">
        <v>1.5599999999999999E-2</v>
      </c>
      <c r="C47" s="59">
        <v>0.28000000000000003</v>
      </c>
      <c r="D47" s="59">
        <v>0.02</v>
      </c>
      <c r="E47" s="60">
        <f t="shared" si="0"/>
        <v>0.7</v>
      </c>
      <c r="F47" t="str" cm="1">
        <f t="array" ref="F47">IF(A47=MAX(IF(ROUND($B$2:$B$3722,4)=ROUND(B47,4),$A$2:$A$3722)),"Efficient","Inefficient")</f>
        <v>Inefficient</v>
      </c>
    </row>
    <row r="48" spans="1:6" x14ac:dyDescent="0.25">
      <c r="A48" cm="1">
        <f t="array" ref="A48">INDEX('Portfolio Weights Returns'!$B$9:$BJ$69,
INT((ROW(A47)-1)/COLUMNS('Portfolio Weights Returns'!$B$9:$BJ$69))+1,MOD(ROW(A47)-1,COLUMNS('Portfolio Weights Returns'!$B$9:$BJ$69))+1)</f>
        <v>-8.8304130215415238E-4</v>
      </c>
      <c r="B48">
        <v>1.5599999999999999E-2</v>
      </c>
      <c r="C48" s="59">
        <v>0.27</v>
      </c>
      <c r="D48" s="59">
        <v>0.03</v>
      </c>
      <c r="E48" s="60">
        <f t="shared" si="0"/>
        <v>0.7</v>
      </c>
      <c r="F48" t="str" cm="1">
        <f t="array" ref="F48">IF(A48=MAX(IF(ROUND($B$2:$B$3722,4)=ROUND(B48,4),$A$2:$A$3722)),"Efficient","Inefficient")</f>
        <v>Inefficient</v>
      </c>
    </row>
    <row r="49" spans="1:6" x14ac:dyDescent="0.25">
      <c r="A49" cm="1">
        <f t="array" ref="A49">INDEX('Portfolio Weights Returns'!$B$9:$BJ$69,
INT((ROW(A48)-1)/COLUMNS('Portfolio Weights Returns'!$B$9:$BJ$69))+1,MOD(ROW(A48)-1,COLUMNS('Portfolio Weights Returns'!$B$9:$BJ$69))+1)</f>
        <v>-8.7626012818747324E-4</v>
      </c>
      <c r="B49">
        <v>1.5599999999999999E-2</v>
      </c>
      <c r="C49" s="59">
        <v>0.28000000000000003</v>
      </c>
      <c r="D49" s="59">
        <v>0.03</v>
      </c>
      <c r="E49" s="60">
        <f t="shared" si="0"/>
        <v>0.69</v>
      </c>
      <c r="F49" t="str" cm="1">
        <f t="array" ref="F49">IF(A49=MAX(IF(ROUND($B$2:$B$3722,4)=ROUND(B49,4),$A$2:$A$3722)),"Efficient","Inefficient")</f>
        <v>Inefficient</v>
      </c>
    </row>
    <row r="50" spans="1:6" x14ac:dyDescent="0.25">
      <c r="A50" cm="1">
        <f t="array" ref="A50">INDEX('Portfolio Weights Returns'!$B$9:$BJ$69,
INT((ROW(A49)-1)/COLUMNS('Portfolio Weights Returns'!$B$9:$BJ$69))+1,MOD(ROW(A49)-1,COLUMNS('Portfolio Weights Returns'!$B$9:$BJ$69))+1)</f>
        <v>-8.6947895422079442E-4</v>
      </c>
      <c r="B50">
        <v>1.5599999999999999E-2</v>
      </c>
      <c r="C50" s="59">
        <v>0.27</v>
      </c>
      <c r="D50" s="59">
        <v>0.04</v>
      </c>
      <c r="E50" s="60">
        <f t="shared" si="0"/>
        <v>0.69</v>
      </c>
      <c r="F50" t="str" cm="1">
        <f t="array" ref="F50">IF(A50=MAX(IF(ROUND($B$2:$B$3722,4)=ROUND(B50,4),$A$2:$A$3722)),"Efficient","Inefficient")</f>
        <v>Inefficient</v>
      </c>
    </row>
    <row r="51" spans="1:6" x14ac:dyDescent="0.25">
      <c r="A51" cm="1">
        <f t="array" ref="A51">INDEX('Portfolio Weights Returns'!$B$9:$BJ$69,
INT((ROW(A50)-1)/COLUMNS('Portfolio Weights Returns'!$B$9:$BJ$69))+1,MOD(ROW(A50)-1,COLUMNS('Portfolio Weights Returns'!$B$9:$BJ$69))+1)</f>
        <v>-8.6269778025411528E-4</v>
      </c>
      <c r="B51">
        <v>1.5599999999999999E-2</v>
      </c>
      <c r="C51" s="59">
        <v>0.26</v>
      </c>
      <c r="D51" s="59">
        <v>0.05</v>
      </c>
      <c r="E51" s="60">
        <f t="shared" si="0"/>
        <v>0.69</v>
      </c>
      <c r="F51" t="str" cm="1">
        <f t="array" ref="F51">IF(A51=MAX(IF(ROUND($B$2:$B$3722,4)=ROUND(B51,4),$A$2:$A$3722)),"Efficient","Inefficient")</f>
        <v>Inefficient</v>
      </c>
    </row>
    <row r="52" spans="1:6" x14ac:dyDescent="0.25">
      <c r="A52" cm="1">
        <f t="array" ref="A52">INDEX('Portfolio Weights Returns'!$B$9:$BJ$69,
INT((ROW(A51)-1)/COLUMNS('Portfolio Weights Returns'!$B$9:$BJ$69))+1,MOD(ROW(A51)-1,COLUMNS('Portfolio Weights Returns'!$B$9:$BJ$69))+1)</f>
        <v>-8.5591660628743613E-4</v>
      </c>
      <c r="B52">
        <v>1.5599999999999999E-2</v>
      </c>
      <c r="C52" s="59">
        <v>0.27</v>
      </c>
      <c r="D52" s="59">
        <v>0.05</v>
      </c>
      <c r="E52" s="60">
        <f t="shared" si="0"/>
        <v>0.67999999999999994</v>
      </c>
      <c r="F52" t="str" cm="1">
        <f t="array" ref="F52">IF(A52=MAX(IF(ROUND($B$2:$B$3722,4)=ROUND(B52,4),$A$2:$A$3722)),"Efficient","Inefficient")</f>
        <v>Inefficient</v>
      </c>
    </row>
    <row r="53" spans="1:6" x14ac:dyDescent="0.25">
      <c r="A53" cm="1">
        <f t="array" ref="A53">INDEX('Portfolio Weights Returns'!$B$9:$BJ$69,
INT((ROW(A52)-1)/COLUMNS('Portfolio Weights Returns'!$B$9:$BJ$69))+1,MOD(ROW(A52)-1,COLUMNS('Portfolio Weights Returns'!$B$9:$BJ$69))+1)</f>
        <v>-8.4913543232075699E-4</v>
      </c>
      <c r="B53">
        <v>1.5599999999999999E-2</v>
      </c>
      <c r="C53" s="59">
        <v>0.26</v>
      </c>
      <c r="D53" s="59">
        <v>0.06</v>
      </c>
      <c r="E53" s="60">
        <f t="shared" si="0"/>
        <v>0.67999999999999994</v>
      </c>
      <c r="F53" t="str" cm="1">
        <f t="array" ref="F53">IF(A53=MAX(IF(ROUND($B$2:$B$3722,4)=ROUND(B53,4),$A$2:$A$3722)),"Efficient","Inefficient")</f>
        <v>Inefficient</v>
      </c>
    </row>
    <row r="54" spans="1:6" x14ac:dyDescent="0.25">
      <c r="A54" cm="1">
        <f t="array" ref="A54">INDEX('Portfolio Weights Returns'!$B$9:$BJ$69,
INT((ROW(A53)-1)/COLUMNS('Portfolio Weights Returns'!$B$9:$BJ$69))+1,MOD(ROW(A53)-1,COLUMNS('Portfolio Weights Returns'!$B$9:$BJ$69))+1)</f>
        <v>-8.4235425835407795E-4</v>
      </c>
      <c r="B54">
        <v>1.5599999999999999E-2</v>
      </c>
      <c r="C54" s="59">
        <v>0.26</v>
      </c>
      <c r="D54" s="59">
        <v>7.0000000000000007E-2</v>
      </c>
      <c r="E54" s="60">
        <f t="shared" si="0"/>
        <v>0.66999999999999993</v>
      </c>
      <c r="F54" t="str" cm="1">
        <f t="array" ref="F54">IF(A54=MAX(IF(ROUND($B$2:$B$3722,4)=ROUND(B54,4),$A$2:$A$3722)),"Efficient","Inefficient")</f>
        <v>Inefficient</v>
      </c>
    </row>
    <row r="55" spans="1:6" x14ac:dyDescent="0.25">
      <c r="A55" cm="1">
        <f t="array" ref="A55">INDEX('Portfolio Weights Returns'!$B$9:$BJ$69,
INT((ROW(A54)-1)/COLUMNS('Portfolio Weights Returns'!$B$9:$BJ$69))+1,MOD(ROW(A54)-1,COLUMNS('Portfolio Weights Returns'!$B$9:$BJ$69))+1)</f>
        <v>-8.3557308438739881E-4</v>
      </c>
      <c r="B55">
        <v>1.5599999999999999E-2</v>
      </c>
      <c r="C55" s="59">
        <v>0.26</v>
      </c>
      <c r="D55" s="59">
        <v>0.08</v>
      </c>
      <c r="E55" s="60">
        <f t="shared" si="0"/>
        <v>0.66</v>
      </c>
      <c r="F55" t="str" cm="1">
        <f t="array" ref="F55">IF(A55=MAX(IF(ROUND($B$2:$B$3722,4)=ROUND(B55,4),$A$2:$A$3722)),"Efficient","Inefficient")</f>
        <v>Inefficient</v>
      </c>
    </row>
    <row r="56" spans="1:6" x14ac:dyDescent="0.25">
      <c r="A56" cm="1">
        <f t="array" ref="A56">INDEX('Portfolio Weights Returns'!$B$9:$BJ$69,
INT((ROW(A55)-1)/COLUMNS('Portfolio Weights Returns'!$B$9:$BJ$69))+1,MOD(ROW(A55)-1,COLUMNS('Portfolio Weights Returns'!$B$9:$BJ$69))+1)</f>
        <v>-8.2879191042071966E-4</v>
      </c>
      <c r="B56">
        <v>1.5599999999999999E-2</v>
      </c>
      <c r="C56" s="59">
        <v>0.26</v>
      </c>
      <c r="D56" s="59">
        <v>0.09</v>
      </c>
      <c r="E56" s="60">
        <f t="shared" si="0"/>
        <v>0.65</v>
      </c>
      <c r="F56" t="str" cm="1">
        <f t="array" ref="F56">IF(A56=MAX(IF(ROUND($B$2:$B$3722,4)=ROUND(B56,4),$A$2:$A$3722)),"Efficient","Inefficient")</f>
        <v>Inefficient</v>
      </c>
    </row>
    <row r="57" spans="1:6" x14ac:dyDescent="0.25">
      <c r="A57" cm="1">
        <f t="array" ref="A57">INDEX('Portfolio Weights Returns'!$B$9:$BJ$69,
INT((ROW(A56)-1)/COLUMNS('Portfolio Weights Returns'!$B$9:$BJ$69))+1,MOD(ROW(A56)-1,COLUMNS('Portfolio Weights Returns'!$B$9:$BJ$69))+1)</f>
        <v>-8.2201073645404063E-4</v>
      </c>
      <c r="B57">
        <v>1.5599999999999999E-2</v>
      </c>
      <c r="C57" s="59">
        <v>0.26</v>
      </c>
      <c r="D57" s="59">
        <v>0.1</v>
      </c>
      <c r="E57" s="60">
        <f t="shared" si="0"/>
        <v>0.64</v>
      </c>
      <c r="F57" t="str" cm="1">
        <f t="array" ref="F57">IF(A57=MAX(IF(ROUND($B$2:$B$3722,4)=ROUND(B57,4),$A$2:$A$3722)),"Efficient","Inefficient")</f>
        <v>Inefficient</v>
      </c>
    </row>
    <row r="58" spans="1:6" x14ac:dyDescent="0.25">
      <c r="A58" cm="1">
        <f t="array" ref="A58">INDEX('Portfolio Weights Returns'!$B$9:$BJ$69,
INT((ROW(A57)-1)/COLUMNS('Portfolio Weights Returns'!$B$9:$BJ$69))+1,MOD(ROW(A57)-1,COLUMNS('Portfolio Weights Returns'!$B$9:$BJ$69))+1)</f>
        <v>-8.1522956248736148E-4</v>
      </c>
      <c r="B58">
        <v>1.5599999999999999E-2</v>
      </c>
      <c r="C58" s="59">
        <v>0.26</v>
      </c>
      <c r="D58" s="59">
        <v>0.11</v>
      </c>
      <c r="E58" s="60">
        <f t="shared" si="0"/>
        <v>0.63</v>
      </c>
      <c r="F58" t="str" cm="1">
        <f t="array" ref="F58">IF(A58=MAX(IF(ROUND($B$2:$B$3722,4)=ROUND(B58,4),$A$2:$A$3722)),"Efficient","Inefficient")</f>
        <v>Inefficient</v>
      </c>
    </row>
    <row r="59" spans="1:6" x14ac:dyDescent="0.25">
      <c r="A59" cm="1">
        <f t="array" ref="A59">INDEX('Portfolio Weights Returns'!$B$9:$BJ$69,
INT((ROW(A58)-1)/COLUMNS('Portfolio Weights Returns'!$B$9:$BJ$69))+1,MOD(ROW(A58)-1,COLUMNS('Portfolio Weights Returns'!$B$9:$BJ$69))+1)</f>
        <v>-8.0844838852068158E-4</v>
      </c>
      <c r="B59">
        <v>1.5599999999999999E-2</v>
      </c>
      <c r="C59" s="59">
        <v>0.27</v>
      </c>
      <c r="D59" s="59">
        <v>0.11</v>
      </c>
      <c r="E59" s="60">
        <f t="shared" si="0"/>
        <v>0.62</v>
      </c>
      <c r="F59" t="str" cm="1">
        <f t="array" ref="F59">IF(A59=MAX(IF(ROUND($B$2:$B$3722,4)=ROUND(B59,4),$A$2:$A$3722)),"Efficient","Inefficient")</f>
        <v>Inefficient</v>
      </c>
    </row>
    <row r="60" spans="1:6" x14ac:dyDescent="0.25">
      <c r="A60" cm="1">
        <f t="array" ref="A60">INDEX('Portfolio Weights Returns'!$B$9:$BJ$69,
INT((ROW(A59)-1)/COLUMNS('Portfolio Weights Returns'!$B$9:$BJ$69))+1,MOD(ROW(A59)-1,COLUMNS('Portfolio Weights Returns'!$B$9:$BJ$69))+1)</f>
        <v>-8.0166721455400243E-4</v>
      </c>
      <c r="B60">
        <v>1.5599999999999999E-2</v>
      </c>
      <c r="C60" s="59">
        <v>0.27</v>
      </c>
      <c r="D60" s="59">
        <v>0.12</v>
      </c>
      <c r="E60" s="60">
        <f t="shared" si="0"/>
        <v>0.61</v>
      </c>
      <c r="F60" t="str" cm="1">
        <f t="array" ref="F60">IF(A60=MAX(IF(ROUND($B$2:$B$3722,4)=ROUND(B60,4),$A$2:$A$3722)),"Efficient","Inefficient")</f>
        <v>Inefficient</v>
      </c>
    </row>
    <row r="61" spans="1:6" x14ac:dyDescent="0.25">
      <c r="A61" cm="1">
        <f t="array" ref="A61">INDEX('Portfolio Weights Returns'!$B$9:$BJ$69,
INT((ROW(A60)-1)/COLUMNS('Portfolio Weights Returns'!$B$9:$BJ$69))+1,MOD(ROW(A60)-1,COLUMNS('Portfolio Weights Returns'!$B$9:$BJ$69))+1)</f>
        <v>-7.9488604058732361E-4</v>
      </c>
      <c r="B61">
        <v>1.5599999999999999E-2</v>
      </c>
      <c r="C61" s="59">
        <v>0.27</v>
      </c>
      <c r="D61" s="59">
        <v>0.13</v>
      </c>
      <c r="E61" s="60">
        <f t="shared" si="0"/>
        <v>0.6</v>
      </c>
      <c r="F61" t="str" cm="1">
        <f t="array" ref="F61">IF(A61=MAX(IF(ROUND($B$2:$B$3722,4)=ROUND(B61,4),$A$2:$A$3722)),"Efficient","Inefficient")</f>
        <v>Inefficient</v>
      </c>
    </row>
    <row r="62" spans="1:6" x14ac:dyDescent="0.25">
      <c r="A62" cm="1">
        <f t="array" ref="A62">INDEX('Portfolio Weights Returns'!$B$9:$BJ$69,
INT((ROW(A61)-1)/COLUMNS('Portfolio Weights Returns'!$B$9:$BJ$69))+1,MOD(ROW(A61)-1,COLUMNS('Portfolio Weights Returns'!$B$9:$BJ$69))+1)</f>
        <v>-7.8810486662064436E-4</v>
      </c>
      <c r="B62">
        <v>1.5599999999999999E-2</v>
      </c>
      <c r="C62" s="59">
        <v>0.28000000000000003</v>
      </c>
      <c r="D62" s="59">
        <v>0.13</v>
      </c>
      <c r="E62" s="60">
        <f t="shared" si="0"/>
        <v>0.59</v>
      </c>
      <c r="F62" t="str" cm="1">
        <f t="array" ref="F62">IF(A62=MAX(IF(ROUND($B$2:$B$3722,4)=ROUND(B62,4),$A$2:$A$3722)),"Efficient","Inefficient")</f>
        <v>Efficient</v>
      </c>
    </row>
    <row r="63" spans="1:6" x14ac:dyDescent="0.25">
      <c r="A63" cm="1">
        <f t="array" ref="A63">INDEX('Portfolio Weights Returns'!$B$9:$BJ$69,
INT((ROW(A62)-1)/COLUMNS('Portfolio Weights Returns'!$B$9:$BJ$69))+1,MOD(ROW(A62)-1,COLUMNS('Portfolio Weights Returns'!$B$9:$BJ$69))+1)</f>
        <v>-1.1884010967759362E-3</v>
      </c>
      <c r="B63">
        <v>1.5599999999999999E-2</v>
      </c>
      <c r="C63" s="59">
        <v>0.28000000000000003</v>
      </c>
      <c r="D63" s="59">
        <v>0.14000000000000001</v>
      </c>
      <c r="E63" s="60">
        <f t="shared" si="0"/>
        <v>0.57999999999999996</v>
      </c>
      <c r="F63" t="str" cm="1">
        <f t="array" ref="F63">IF(A63=MAX(IF(ROUND($B$2:$B$3722,4)=ROUND(B63,4),$A$2:$A$3722)),"Efficient","Inefficient")</f>
        <v>Inefficient</v>
      </c>
    </row>
    <row r="64" spans="1:6" x14ac:dyDescent="0.25">
      <c r="A64" cm="1">
        <f t="array" ref="A64">INDEX('Portfolio Weights Returns'!$B$9:$BJ$69,
INT((ROW(A63)-1)/COLUMNS('Portfolio Weights Returns'!$B$9:$BJ$69))+1,MOD(ROW(A63)-1,COLUMNS('Portfolio Weights Returns'!$B$9:$BJ$69))+1)</f>
        <v>-1.181619922809257E-3</v>
      </c>
      <c r="B64">
        <v>1.5599999999999999E-2</v>
      </c>
      <c r="C64" s="59">
        <v>0.28999999999999998</v>
      </c>
      <c r="D64" s="59">
        <v>0.15</v>
      </c>
      <c r="E64" s="60">
        <f t="shared" si="0"/>
        <v>0.56000000000000005</v>
      </c>
      <c r="F64" t="str" cm="1">
        <f t="array" ref="F64">IF(A64=MAX(IF(ROUND($B$2:$B$3722,4)=ROUND(B64,4),$A$2:$A$3722)),"Efficient","Inefficient")</f>
        <v>Inefficient</v>
      </c>
    </row>
    <row r="65" spans="1:6" x14ac:dyDescent="0.25">
      <c r="A65" cm="1">
        <f t="array" ref="A65">INDEX('Portfolio Weights Returns'!$B$9:$BJ$69,
INT((ROW(A64)-1)/COLUMNS('Portfolio Weights Returns'!$B$9:$BJ$69))+1,MOD(ROW(A64)-1,COLUMNS('Portfolio Weights Returns'!$B$9:$BJ$69))+1)</f>
        <v>-1.1748387488425781E-3</v>
      </c>
      <c r="B65">
        <v>1.5599999999999999E-2</v>
      </c>
      <c r="C65" s="59">
        <v>0.3</v>
      </c>
      <c r="D65" s="59">
        <v>0.15</v>
      </c>
      <c r="E65" s="60">
        <f t="shared" si="0"/>
        <v>0.55000000000000004</v>
      </c>
      <c r="F65" t="str" cm="1">
        <f t="array" ref="F65">IF(A65=MAX(IF(ROUND($B$2:$B$3722,4)=ROUND(B65,4),$A$2:$A$3722)),"Efficient","Inefficient")</f>
        <v>Inefficient</v>
      </c>
    </row>
    <row r="66" spans="1:6" x14ac:dyDescent="0.25">
      <c r="A66" cm="1">
        <f t="array" ref="A66">INDEX('Portfolio Weights Returns'!$B$9:$BJ$69,
INT((ROW(A65)-1)/COLUMNS('Portfolio Weights Returns'!$B$9:$BJ$69))+1,MOD(ROW(A65)-1,COLUMNS('Portfolio Weights Returns'!$B$9:$BJ$69))+1)</f>
        <v>-1.1680575748758987E-3</v>
      </c>
      <c r="B66">
        <v>1.5599999999999999E-2</v>
      </c>
      <c r="C66" s="59">
        <v>0.3</v>
      </c>
      <c r="D66" s="59">
        <v>0.16</v>
      </c>
      <c r="E66" s="60">
        <f t="shared" ref="E66:E129" si="1">1-D66-C66</f>
        <v>0.54</v>
      </c>
      <c r="F66" t="str" cm="1">
        <f t="array" ref="F66">IF(A66=MAX(IF(ROUND($B$2:$B$3722,4)=ROUND(B66,4),$A$2:$A$3722)),"Efficient","Inefficient")</f>
        <v>Inefficient</v>
      </c>
    </row>
    <row r="67" spans="1:6" x14ac:dyDescent="0.25">
      <c r="A67" cm="1">
        <f t="array" ref="A67">INDEX('Portfolio Weights Returns'!$B$9:$BJ$69,
INT((ROW(A66)-1)/COLUMNS('Portfolio Weights Returns'!$B$9:$BJ$69))+1,MOD(ROW(A66)-1,COLUMNS('Portfolio Weights Returns'!$B$9:$BJ$69))+1)</f>
        <v>-1.1612764009092196E-3</v>
      </c>
      <c r="B67">
        <v>1.5699999999999999E-2</v>
      </c>
      <c r="C67" s="59">
        <v>0.3</v>
      </c>
      <c r="D67" s="59">
        <v>-0.02</v>
      </c>
      <c r="E67" s="60">
        <f t="shared" si="1"/>
        <v>0.72</v>
      </c>
      <c r="F67" t="str" cm="1">
        <f t="array" ref="F67">IF(A67=MAX(IF(ROUND($B$2:$B$3722,4)=ROUND(B67,4),$A$2:$A$3722)),"Efficient","Inefficient")</f>
        <v>Inefficient</v>
      </c>
    </row>
    <row r="68" spans="1:6" x14ac:dyDescent="0.25">
      <c r="A68" cm="1">
        <f t="array" ref="A68">INDEX('Portfolio Weights Returns'!$B$9:$BJ$69,
INT((ROW(A67)-1)/COLUMNS('Portfolio Weights Returns'!$B$9:$BJ$69))+1,MOD(ROW(A67)-1,COLUMNS('Portfolio Weights Returns'!$B$9:$BJ$69))+1)</f>
        <v>-1.1544952269425405E-3</v>
      </c>
      <c r="B68">
        <v>1.5699999999999999E-2</v>
      </c>
      <c r="C68" s="59">
        <v>0.28999999999999998</v>
      </c>
      <c r="D68" s="59">
        <v>-0.01</v>
      </c>
      <c r="E68" s="60">
        <f t="shared" si="1"/>
        <v>0.72</v>
      </c>
      <c r="F68" t="str" cm="1">
        <f t="array" ref="F68">IF(A68=MAX(IF(ROUND($B$2:$B$3722,4)=ROUND(B68,4),$A$2:$A$3722)),"Efficient","Inefficient")</f>
        <v>Inefficient</v>
      </c>
    </row>
    <row r="69" spans="1:6" x14ac:dyDescent="0.25">
      <c r="A69" cm="1">
        <f t="array" ref="A69">INDEX('Portfolio Weights Returns'!$B$9:$BJ$69,
INT((ROW(A68)-1)/COLUMNS('Portfolio Weights Returns'!$B$9:$BJ$69))+1,MOD(ROW(A68)-1,COLUMNS('Portfolio Weights Returns'!$B$9:$BJ$69))+1)</f>
        <v>-1.1477140529758615E-3</v>
      </c>
      <c r="B69">
        <v>1.5699999999999999E-2</v>
      </c>
      <c r="C69" s="59">
        <v>0.28000000000000003</v>
      </c>
      <c r="D69" s="59">
        <v>0</v>
      </c>
      <c r="E69" s="60">
        <f t="shared" si="1"/>
        <v>0.72</v>
      </c>
      <c r="F69" t="str" cm="1">
        <f t="array" ref="F69">IF(A69=MAX(IF(ROUND($B$2:$B$3722,4)=ROUND(B69,4),$A$2:$A$3722)),"Efficient","Inefficient")</f>
        <v>Inefficient</v>
      </c>
    </row>
    <row r="70" spans="1:6" x14ac:dyDescent="0.25">
      <c r="A70" cm="1">
        <f t="array" ref="A70">INDEX('Portfolio Weights Returns'!$B$9:$BJ$69,
INT((ROW(A69)-1)/COLUMNS('Portfolio Weights Returns'!$B$9:$BJ$69))+1,MOD(ROW(A69)-1,COLUMNS('Portfolio Weights Returns'!$B$9:$BJ$69))+1)</f>
        <v>-1.1409328790091824E-3</v>
      </c>
      <c r="B70">
        <v>1.5699999999999999E-2</v>
      </c>
      <c r="C70" s="59">
        <v>0.28000000000000003</v>
      </c>
      <c r="D70" s="59">
        <v>0.01</v>
      </c>
      <c r="E70" s="60">
        <f t="shared" si="1"/>
        <v>0.71</v>
      </c>
      <c r="F70" t="str" cm="1">
        <f t="array" ref="F70">IF(A70=MAX(IF(ROUND($B$2:$B$3722,4)=ROUND(B70,4),$A$2:$A$3722)),"Efficient","Inefficient")</f>
        <v>Inefficient</v>
      </c>
    </row>
    <row r="71" spans="1:6" x14ac:dyDescent="0.25">
      <c r="A71" cm="1">
        <f t="array" ref="A71">INDEX('Portfolio Weights Returns'!$B$9:$BJ$69,
INT((ROW(A70)-1)/COLUMNS('Portfolio Weights Returns'!$B$9:$BJ$69))+1,MOD(ROW(A70)-1,COLUMNS('Portfolio Weights Returns'!$B$9:$BJ$69))+1)</f>
        <v>-1.1341517050425032E-3</v>
      </c>
      <c r="B71">
        <v>1.5699999999999999E-2</v>
      </c>
      <c r="C71" s="59">
        <v>0.27</v>
      </c>
      <c r="D71" s="59">
        <v>0.02</v>
      </c>
      <c r="E71" s="60">
        <f t="shared" si="1"/>
        <v>0.71</v>
      </c>
      <c r="F71" t="str" cm="1">
        <f t="array" ref="F71">IF(A71=MAX(IF(ROUND($B$2:$B$3722,4)=ROUND(B71,4),$A$2:$A$3722)),"Efficient","Inefficient")</f>
        <v>Inefficient</v>
      </c>
    </row>
    <row r="72" spans="1:6" x14ac:dyDescent="0.25">
      <c r="A72" cm="1">
        <f t="array" ref="A72">INDEX('Portfolio Weights Returns'!$B$9:$BJ$69,
INT((ROW(A71)-1)/COLUMNS('Portfolio Weights Returns'!$B$9:$BJ$69))+1,MOD(ROW(A71)-1,COLUMNS('Portfolio Weights Returns'!$B$9:$BJ$69))+1)</f>
        <v>-1.1273705310758241E-3</v>
      </c>
      <c r="B72">
        <v>1.5699999999999999E-2</v>
      </c>
      <c r="C72" s="59">
        <v>0.26</v>
      </c>
      <c r="D72" s="59">
        <v>0.03</v>
      </c>
      <c r="E72" s="60">
        <f t="shared" si="1"/>
        <v>0.71</v>
      </c>
      <c r="F72" t="str" cm="1">
        <f t="array" ref="F72">IF(A72=MAX(IF(ROUND($B$2:$B$3722,4)=ROUND(B72,4),$A$2:$A$3722)),"Efficient","Inefficient")</f>
        <v>Inefficient</v>
      </c>
    </row>
    <row r="73" spans="1:6" x14ac:dyDescent="0.25">
      <c r="A73" cm="1">
        <f t="array" ref="A73">INDEX('Portfolio Weights Returns'!$B$9:$BJ$69,
INT((ROW(A72)-1)/COLUMNS('Portfolio Weights Returns'!$B$9:$BJ$69))+1,MOD(ROW(A72)-1,COLUMNS('Portfolio Weights Returns'!$B$9:$BJ$69))+1)</f>
        <v>-1.1205893571091452E-3</v>
      </c>
      <c r="B73">
        <v>1.5699999999999999E-2</v>
      </c>
      <c r="C73" s="59">
        <v>0.26</v>
      </c>
      <c r="D73" s="59">
        <v>0.04</v>
      </c>
      <c r="E73" s="60">
        <f t="shared" si="1"/>
        <v>0.7</v>
      </c>
      <c r="F73" t="str" cm="1">
        <f t="array" ref="F73">IF(A73=MAX(IF(ROUND($B$2:$B$3722,4)=ROUND(B73,4),$A$2:$A$3722)),"Efficient","Inefficient")</f>
        <v>Inefficient</v>
      </c>
    </row>
    <row r="74" spans="1:6" x14ac:dyDescent="0.25">
      <c r="A74" cm="1">
        <f t="array" ref="A74">INDEX('Portfolio Weights Returns'!$B$9:$BJ$69,
INT((ROW(A73)-1)/COLUMNS('Portfolio Weights Returns'!$B$9:$BJ$69))+1,MOD(ROW(A73)-1,COLUMNS('Portfolio Weights Returns'!$B$9:$BJ$69))+1)</f>
        <v>-1.113808183142466E-3</v>
      </c>
      <c r="B74">
        <v>1.5699999999999999E-2</v>
      </c>
      <c r="C74" s="59">
        <v>0.25</v>
      </c>
      <c r="D74" s="59">
        <v>0.05</v>
      </c>
      <c r="E74" s="60">
        <f t="shared" si="1"/>
        <v>0.7</v>
      </c>
      <c r="F74" t="str" cm="1">
        <f t="array" ref="F74">IF(A74=MAX(IF(ROUND($B$2:$B$3722,4)=ROUND(B74,4),$A$2:$A$3722)),"Efficient","Inefficient")</f>
        <v>Inefficient</v>
      </c>
    </row>
    <row r="75" spans="1:6" x14ac:dyDescent="0.25">
      <c r="A75" cm="1">
        <f t="array" ref="A75">INDEX('Portfolio Weights Returns'!$B$9:$BJ$69,
INT((ROW(A74)-1)/COLUMNS('Portfolio Weights Returns'!$B$9:$BJ$69))+1,MOD(ROW(A74)-1,COLUMNS('Portfolio Weights Returns'!$B$9:$BJ$69))+1)</f>
        <v>-1.1070270091757869E-3</v>
      </c>
      <c r="B75">
        <v>1.5699999999999999E-2</v>
      </c>
      <c r="C75" s="59">
        <v>0.25</v>
      </c>
      <c r="D75" s="59">
        <v>0.06</v>
      </c>
      <c r="E75" s="60">
        <f t="shared" si="1"/>
        <v>0.69</v>
      </c>
      <c r="F75" t="str" cm="1">
        <f t="array" ref="F75">IF(A75=MAX(IF(ROUND($B$2:$B$3722,4)=ROUND(B75,4),$A$2:$A$3722)),"Efficient","Inefficient")</f>
        <v>Inefficient</v>
      </c>
    </row>
    <row r="76" spans="1:6" x14ac:dyDescent="0.25">
      <c r="A76" cm="1">
        <f t="array" ref="A76">INDEX('Portfolio Weights Returns'!$B$9:$BJ$69,
INT((ROW(A75)-1)/COLUMNS('Portfolio Weights Returns'!$B$9:$BJ$69))+1,MOD(ROW(A75)-1,COLUMNS('Portfolio Weights Returns'!$B$9:$BJ$69))+1)</f>
        <v>-1.1002458352091077E-3</v>
      </c>
      <c r="B76">
        <v>1.5699999999999999E-2</v>
      </c>
      <c r="C76" s="59">
        <v>0.25</v>
      </c>
      <c r="D76" s="59">
        <v>7.0000000000000007E-2</v>
      </c>
      <c r="E76" s="60">
        <f t="shared" si="1"/>
        <v>0.67999999999999994</v>
      </c>
      <c r="F76" t="str" cm="1">
        <f t="array" ref="F76">IF(A76=MAX(IF(ROUND($B$2:$B$3722,4)=ROUND(B76,4),$A$2:$A$3722)),"Efficient","Inefficient")</f>
        <v>Inefficient</v>
      </c>
    </row>
    <row r="77" spans="1:6" x14ac:dyDescent="0.25">
      <c r="A77" cm="1">
        <f t="array" ref="A77">INDEX('Portfolio Weights Returns'!$B$9:$BJ$69,
INT((ROW(A76)-1)/COLUMNS('Portfolio Weights Returns'!$B$9:$BJ$69))+1,MOD(ROW(A76)-1,COLUMNS('Portfolio Weights Returns'!$B$9:$BJ$69))+1)</f>
        <v>-1.0934646612424286E-3</v>
      </c>
      <c r="B77">
        <v>1.5699999999999999E-2</v>
      </c>
      <c r="C77" s="59">
        <v>0.25</v>
      </c>
      <c r="D77" s="59">
        <v>0.08</v>
      </c>
      <c r="E77" s="60">
        <f t="shared" si="1"/>
        <v>0.67</v>
      </c>
      <c r="F77" t="str" cm="1">
        <f t="array" ref="F77">IF(A77=MAX(IF(ROUND($B$2:$B$3722,4)=ROUND(B77,4),$A$2:$A$3722)),"Efficient","Inefficient")</f>
        <v>Inefficient</v>
      </c>
    </row>
    <row r="78" spans="1:6" x14ac:dyDescent="0.25">
      <c r="A78" cm="1">
        <f t="array" ref="A78">INDEX('Portfolio Weights Returns'!$B$9:$BJ$69,
INT((ROW(A77)-1)/COLUMNS('Portfolio Weights Returns'!$B$9:$BJ$69))+1,MOD(ROW(A77)-1,COLUMNS('Portfolio Weights Returns'!$B$9:$BJ$69))+1)</f>
        <v>-1.0866834872757497E-3</v>
      </c>
      <c r="B78">
        <v>1.5699999999999999E-2</v>
      </c>
      <c r="C78" s="59">
        <v>0.25</v>
      </c>
      <c r="D78" s="59">
        <v>0.09</v>
      </c>
      <c r="E78" s="60">
        <f t="shared" si="1"/>
        <v>0.66</v>
      </c>
      <c r="F78" t="str" cm="1">
        <f t="array" ref="F78">IF(A78=MAX(IF(ROUND($B$2:$B$3722,4)=ROUND(B78,4),$A$2:$A$3722)),"Efficient","Inefficient")</f>
        <v>Inefficient</v>
      </c>
    </row>
    <row r="79" spans="1:6" x14ac:dyDescent="0.25">
      <c r="A79" cm="1">
        <f t="array" ref="A79">INDEX('Portfolio Weights Returns'!$B$9:$BJ$69,
INT((ROW(A78)-1)/COLUMNS('Portfolio Weights Returns'!$B$9:$BJ$69))+1,MOD(ROW(A78)-1,COLUMNS('Portfolio Weights Returns'!$B$9:$BJ$69))+1)</f>
        <v>-1.0799023133090705E-3</v>
      </c>
      <c r="B79">
        <v>1.5699999999999999E-2</v>
      </c>
      <c r="C79" s="59">
        <v>0.25</v>
      </c>
      <c r="D79" s="59">
        <v>0.1</v>
      </c>
      <c r="E79" s="60">
        <f t="shared" si="1"/>
        <v>0.65</v>
      </c>
      <c r="F79" t="str" cm="1">
        <f t="array" ref="F79">IF(A79=MAX(IF(ROUND($B$2:$B$3722,4)=ROUND(B79,4),$A$2:$A$3722)),"Efficient","Inefficient")</f>
        <v>Inefficient</v>
      </c>
    </row>
    <row r="80" spans="1:6" x14ac:dyDescent="0.25">
      <c r="A80" cm="1">
        <f t="array" ref="A80">INDEX('Portfolio Weights Returns'!$B$9:$BJ$69,
INT((ROW(A79)-1)/COLUMNS('Portfolio Weights Returns'!$B$9:$BJ$69))+1,MOD(ROW(A79)-1,COLUMNS('Portfolio Weights Returns'!$B$9:$BJ$69))+1)</f>
        <v>-1.0731211393423912E-3</v>
      </c>
      <c r="B80">
        <v>1.5699999999999999E-2</v>
      </c>
      <c r="C80" s="59">
        <v>0.25</v>
      </c>
      <c r="D80" s="59">
        <v>0.11</v>
      </c>
      <c r="E80" s="60">
        <f t="shared" si="1"/>
        <v>0.64</v>
      </c>
      <c r="F80" t="str" cm="1">
        <f t="array" ref="F80">IF(A80=MAX(IF(ROUND($B$2:$B$3722,4)=ROUND(B80,4),$A$2:$A$3722)),"Efficient","Inefficient")</f>
        <v>Inefficient</v>
      </c>
    </row>
    <row r="81" spans="1:6" x14ac:dyDescent="0.25">
      <c r="A81" cm="1">
        <f t="array" ref="A81">INDEX('Portfolio Weights Returns'!$B$9:$BJ$69,
INT((ROW(A80)-1)/COLUMNS('Portfolio Weights Returns'!$B$9:$BJ$69))+1,MOD(ROW(A80)-1,COLUMNS('Portfolio Weights Returns'!$B$9:$BJ$69))+1)</f>
        <v>-1.0663399653757122E-3</v>
      </c>
      <c r="B81">
        <v>1.5699999999999999E-2</v>
      </c>
      <c r="C81" s="59">
        <v>0.25</v>
      </c>
      <c r="D81" s="59">
        <v>0.12</v>
      </c>
      <c r="E81" s="60">
        <f t="shared" si="1"/>
        <v>0.63</v>
      </c>
      <c r="F81" t="str" cm="1">
        <f t="array" ref="F81">IF(A81=MAX(IF(ROUND($B$2:$B$3722,4)=ROUND(B81,4),$A$2:$A$3722)),"Efficient","Inefficient")</f>
        <v>Inefficient</v>
      </c>
    </row>
    <row r="82" spans="1:6" x14ac:dyDescent="0.25">
      <c r="A82" cm="1">
        <f t="array" ref="A82">INDEX('Portfolio Weights Returns'!$B$9:$BJ$69,
INT((ROW(A81)-1)/COLUMNS('Portfolio Weights Returns'!$B$9:$BJ$69))+1,MOD(ROW(A81)-1,COLUMNS('Portfolio Weights Returns'!$B$9:$BJ$69))+1)</f>
        <v>-1.0595587914090333E-3</v>
      </c>
      <c r="B82">
        <v>1.5699999999999999E-2</v>
      </c>
      <c r="C82" s="59">
        <v>0.26</v>
      </c>
      <c r="D82" s="59">
        <v>0.12</v>
      </c>
      <c r="E82" s="60">
        <f t="shared" si="1"/>
        <v>0.62</v>
      </c>
      <c r="F82" t="str" cm="1">
        <f t="array" ref="F82">IF(A82=MAX(IF(ROUND($B$2:$B$3722,4)=ROUND(B82,4),$A$2:$A$3722)),"Efficient","Inefficient")</f>
        <v>Inefficient</v>
      </c>
    </row>
    <row r="83" spans="1:6" x14ac:dyDescent="0.25">
      <c r="A83" cm="1">
        <f t="array" ref="A83">INDEX('Portfolio Weights Returns'!$B$9:$BJ$69,
INT((ROW(A82)-1)/COLUMNS('Portfolio Weights Returns'!$B$9:$BJ$69))+1,MOD(ROW(A82)-1,COLUMNS('Portfolio Weights Returns'!$B$9:$BJ$69))+1)</f>
        <v>-1.0527776174423542E-3</v>
      </c>
      <c r="B83">
        <v>1.5699999999999999E-2</v>
      </c>
      <c r="C83" s="59">
        <v>0.26</v>
      </c>
      <c r="D83" s="59">
        <v>0.13</v>
      </c>
      <c r="E83" s="60">
        <f t="shared" si="1"/>
        <v>0.61</v>
      </c>
      <c r="F83" t="str" cm="1">
        <f t="array" ref="F83">IF(A83=MAX(IF(ROUND($B$2:$B$3722,4)=ROUND(B83,4),$A$2:$A$3722)),"Efficient","Inefficient")</f>
        <v>Inefficient</v>
      </c>
    </row>
    <row r="84" spans="1:6" x14ac:dyDescent="0.25">
      <c r="A84" cm="1">
        <f t="array" ref="A84">INDEX('Portfolio Weights Returns'!$B$9:$BJ$69,
INT((ROW(A83)-1)/COLUMNS('Portfolio Weights Returns'!$B$9:$BJ$69))+1,MOD(ROW(A83)-1,COLUMNS('Portfolio Weights Returns'!$B$9:$BJ$69))+1)</f>
        <v>-1.045996443475675E-3</v>
      </c>
      <c r="B84">
        <v>1.5699999999999999E-2</v>
      </c>
      <c r="C84" s="59">
        <v>0.26</v>
      </c>
      <c r="D84" s="59">
        <v>0.14000000000000001</v>
      </c>
      <c r="E84" s="60">
        <f t="shared" si="1"/>
        <v>0.6</v>
      </c>
      <c r="F84" t="str" cm="1">
        <f t="array" ref="F84">IF(A84=MAX(IF(ROUND($B$2:$B$3722,4)=ROUND(B84,4),$A$2:$A$3722)),"Efficient","Inefficient")</f>
        <v>Inefficient</v>
      </c>
    </row>
    <row r="85" spans="1:6" x14ac:dyDescent="0.25">
      <c r="A85" cm="1">
        <f t="array" ref="A85">INDEX('Portfolio Weights Returns'!$B$9:$BJ$69,
INT((ROW(A84)-1)/COLUMNS('Portfolio Weights Returns'!$B$9:$BJ$69))+1,MOD(ROW(A84)-1,COLUMNS('Portfolio Weights Returns'!$B$9:$BJ$69))+1)</f>
        <v>-1.0392152695089959E-3</v>
      </c>
      <c r="B85">
        <v>1.5699999999999999E-2</v>
      </c>
      <c r="C85" s="59">
        <v>0.27</v>
      </c>
      <c r="D85" s="59">
        <v>0.14000000000000001</v>
      </c>
      <c r="E85" s="60">
        <f t="shared" si="1"/>
        <v>0.59</v>
      </c>
      <c r="F85" t="str" cm="1">
        <f t="array" ref="F85">IF(A85=MAX(IF(ROUND($B$2:$B$3722,4)=ROUND(B85,4),$A$2:$A$3722)),"Efficient","Inefficient")</f>
        <v>Inefficient</v>
      </c>
    </row>
    <row r="86" spans="1:6" x14ac:dyDescent="0.25">
      <c r="A86" cm="1">
        <f t="array" ref="A86">INDEX('Portfolio Weights Returns'!$B$9:$BJ$69,
INT((ROW(A85)-1)/COLUMNS('Portfolio Weights Returns'!$B$9:$BJ$69))+1,MOD(ROW(A85)-1,COLUMNS('Portfolio Weights Returns'!$B$9:$BJ$69))+1)</f>
        <v>-1.0324340955423167E-3</v>
      </c>
      <c r="B86">
        <v>1.5699999999999999E-2</v>
      </c>
      <c r="C86" s="59">
        <v>0.27</v>
      </c>
      <c r="D86" s="59">
        <v>0.15</v>
      </c>
      <c r="E86" s="60">
        <f t="shared" si="1"/>
        <v>0.57999999999999996</v>
      </c>
      <c r="F86" t="str" cm="1">
        <f t="array" ref="F86">IF(A86=MAX(IF(ROUND($B$2:$B$3722,4)=ROUND(B86,4),$A$2:$A$3722)),"Efficient","Inefficient")</f>
        <v>Inefficient</v>
      </c>
    </row>
    <row r="87" spans="1:6" x14ac:dyDescent="0.25">
      <c r="A87" cm="1">
        <f t="array" ref="A87">INDEX('Portfolio Weights Returns'!$B$9:$BJ$69,
INT((ROW(A86)-1)/COLUMNS('Portfolio Weights Returns'!$B$9:$BJ$69))+1,MOD(ROW(A86)-1,COLUMNS('Portfolio Weights Returns'!$B$9:$BJ$69))+1)</f>
        <v>-1.0256529215756378E-3</v>
      </c>
      <c r="B87">
        <v>1.5699999999999999E-2</v>
      </c>
      <c r="C87" s="59">
        <v>0.28000000000000003</v>
      </c>
      <c r="D87" s="59">
        <v>0.15</v>
      </c>
      <c r="E87" s="60">
        <f t="shared" si="1"/>
        <v>0.56999999999999995</v>
      </c>
      <c r="F87" t="str" cm="1">
        <f t="array" ref="F87">IF(A87=MAX(IF(ROUND($B$2:$B$3722,4)=ROUND(B87,4),$A$2:$A$3722)),"Efficient","Inefficient")</f>
        <v>Inefficient</v>
      </c>
    </row>
    <row r="88" spans="1:6" x14ac:dyDescent="0.25">
      <c r="A88" cm="1">
        <f t="array" ref="A88">INDEX('Portfolio Weights Returns'!$B$9:$BJ$69,
INT((ROW(A87)-1)/COLUMNS('Portfolio Weights Returns'!$B$9:$BJ$69))+1,MOD(ROW(A87)-1,COLUMNS('Portfolio Weights Returns'!$B$9:$BJ$69))+1)</f>
        <v>-1.0188717476089587E-3</v>
      </c>
      <c r="B88">
        <v>1.5699999999999999E-2</v>
      </c>
      <c r="C88" s="59">
        <v>0.28000000000000003</v>
      </c>
      <c r="D88" s="59">
        <v>0.16</v>
      </c>
      <c r="E88" s="60">
        <f t="shared" si="1"/>
        <v>0.55999999999999994</v>
      </c>
      <c r="F88" t="str" cm="1">
        <f t="array" ref="F88">IF(A88=MAX(IF(ROUND($B$2:$B$3722,4)=ROUND(B88,4),$A$2:$A$3722)),"Efficient","Inefficient")</f>
        <v>Inefficient</v>
      </c>
    </row>
    <row r="89" spans="1:6" x14ac:dyDescent="0.25">
      <c r="A89" cm="1">
        <f t="array" ref="A89">INDEX('Portfolio Weights Returns'!$B$9:$BJ$69,
INT((ROW(A88)-1)/COLUMNS('Portfolio Weights Returns'!$B$9:$BJ$69))+1,MOD(ROW(A88)-1,COLUMNS('Portfolio Weights Returns'!$B$9:$BJ$69))+1)</f>
        <v>-1.0120905736422795E-3</v>
      </c>
      <c r="B89">
        <v>1.5699999999999999E-2</v>
      </c>
      <c r="C89" s="59">
        <v>0.28999999999999998</v>
      </c>
      <c r="D89" s="59">
        <v>0.16</v>
      </c>
      <c r="E89" s="60">
        <f t="shared" si="1"/>
        <v>0.55000000000000004</v>
      </c>
      <c r="F89" t="str" cm="1">
        <f t="array" ref="F89">IF(A89=MAX(IF(ROUND($B$2:$B$3722,4)=ROUND(B89,4),$A$2:$A$3722)),"Efficient","Inefficient")</f>
        <v>Inefficient</v>
      </c>
    </row>
    <row r="90" spans="1:6" x14ac:dyDescent="0.25">
      <c r="A90" cm="1">
        <f t="array" ref="A90">INDEX('Portfolio Weights Returns'!$B$9:$BJ$69,
INT((ROW(A89)-1)/COLUMNS('Portfolio Weights Returns'!$B$9:$BJ$69))+1,MOD(ROW(A89)-1,COLUMNS('Portfolio Weights Returns'!$B$9:$BJ$69))+1)</f>
        <v>-1.0053093996756004E-3</v>
      </c>
      <c r="B90">
        <v>1.5699999999999999E-2</v>
      </c>
      <c r="C90" s="59">
        <v>0.3</v>
      </c>
      <c r="D90" s="59">
        <v>0.17</v>
      </c>
      <c r="E90" s="60">
        <f t="shared" si="1"/>
        <v>0.53</v>
      </c>
      <c r="F90" t="str" cm="1">
        <f t="array" ref="F90">IF(A90=MAX(IF(ROUND($B$2:$B$3722,4)=ROUND(B90,4),$A$2:$A$3722)),"Efficient","Inefficient")</f>
        <v>Efficient</v>
      </c>
    </row>
    <row r="91" spans="1:6" x14ac:dyDescent="0.25">
      <c r="A91" cm="1">
        <f t="array" ref="A91">INDEX('Portfolio Weights Returns'!$B$9:$BJ$69,
INT((ROW(A90)-1)/COLUMNS('Portfolio Weights Returns'!$B$9:$BJ$69))+1,MOD(ROW(A90)-1,COLUMNS('Portfolio Weights Returns'!$B$9:$BJ$69))+1)</f>
        <v>-9.9852822570892122E-4</v>
      </c>
      <c r="B91">
        <v>1.5800000000000002E-2</v>
      </c>
      <c r="C91" s="59">
        <v>0.3</v>
      </c>
      <c r="D91" s="59">
        <v>-0.03</v>
      </c>
      <c r="E91" s="60">
        <f t="shared" si="1"/>
        <v>0.73</v>
      </c>
      <c r="F91" t="str" cm="1">
        <f t="array" ref="F91">IF(A91=MAX(IF(ROUND($B$2:$B$3722,4)=ROUND(B91,4),$A$2:$A$3722)),"Efficient","Inefficient")</f>
        <v>Inefficient</v>
      </c>
    </row>
    <row r="92" spans="1:6" x14ac:dyDescent="0.25">
      <c r="A92" cm="1">
        <f t="array" ref="A92">INDEX('Portfolio Weights Returns'!$B$9:$BJ$69,
INT((ROW(A91)-1)/COLUMNS('Portfolio Weights Returns'!$B$9:$BJ$69))+1,MOD(ROW(A91)-1,COLUMNS('Portfolio Weights Returns'!$B$9:$BJ$69))+1)</f>
        <v>-9.9174705174224207E-4</v>
      </c>
      <c r="B92">
        <v>1.5800000000000002E-2</v>
      </c>
      <c r="C92" s="59">
        <v>0.28999999999999998</v>
      </c>
      <c r="D92" s="59">
        <v>-0.02</v>
      </c>
      <c r="E92" s="60">
        <f t="shared" si="1"/>
        <v>0.73</v>
      </c>
      <c r="F92" t="str" cm="1">
        <f t="array" ref="F92">IF(A92=MAX(IF(ROUND($B$2:$B$3722,4)=ROUND(B92,4),$A$2:$A$3722)),"Efficient","Inefficient")</f>
        <v>Inefficient</v>
      </c>
    </row>
    <row r="93" spans="1:6" x14ac:dyDescent="0.25">
      <c r="A93" cm="1">
        <f t="array" ref="A93">INDEX('Portfolio Weights Returns'!$B$9:$BJ$69,
INT((ROW(A92)-1)/COLUMNS('Portfolio Weights Returns'!$B$9:$BJ$69))+1,MOD(ROW(A92)-1,COLUMNS('Portfolio Weights Returns'!$B$9:$BJ$69))+1)</f>
        <v>-9.8496587777556293E-4</v>
      </c>
      <c r="B93">
        <v>1.5800000000000002E-2</v>
      </c>
      <c r="C93" s="59">
        <v>0.28000000000000003</v>
      </c>
      <c r="D93" s="59">
        <v>-0.01</v>
      </c>
      <c r="E93" s="60">
        <f t="shared" si="1"/>
        <v>0.73</v>
      </c>
      <c r="F93" t="str" cm="1">
        <f t="array" ref="F93">IF(A93=MAX(IF(ROUND($B$2:$B$3722,4)=ROUND(B93,4),$A$2:$A$3722)),"Efficient","Inefficient")</f>
        <v>Inefficient</v>
      </c>
    </row>
    <row r="94" spans="1:6" x14ac:dyDescent="0.25">
      <c r="A94" cm="1">
        <f t="array" ref="A94">INDEX('Portfolio Weights Returns'!$B$9:$BJ$69,
INT((ROW(A93)-1)/COLUMNS('Portfolio Weights Returns'!$B$9:$BJ$69))+1,MOD(ROW(A93)-1,COLUMNS('Portfolio Weights Returns'!$B$9:$BJ$69))+1)</f>
        <v>-9.7818470380888378E-4</v>
      </c>
      <c r="B94">
        <v>1.5800000000000002E-2</v>
      </c>
      <c r="C94" s="59">
        <v>0.27</v>
      </c>
      <c r="D94" s="59">
        <v>0</v>
      </c>
      <c r="E94" s="60">
        <f t="shared" si="1"/>
        <v>0.73</v>
      </c>
      <c r="F94" t="str" cm="1">
        <f t="array" ref="F94">IF(A94=MAX(IF(ROUND($B$2:$B$3722,4)=ROUND(B94,4),$A$2:$A$3722)),"Efficient","Inefficient")</f>
        <v>Inefficient</v>
      </c>
    </row>
    <row r="95" spans="1:6" x14ac:dyDescent="0.25">
      <c r="A95" cm="1">
        <f t="array" ref="A95">INDEX('Portfolio Weights Returns'!$B$9:$BJ$69,
INT((ROW(A94)-1)/COLUMNS('Portfolio Weights Returns'!$B$9:$BJ$69))+1,MOD(ROW(A94)-1,COLUMNS('Portfolio Weights Returns'!$B$9:$BJ$69))+1)</f>
        <v>-9.7140352984220475E-4</v>
      </c>
      <c r="B95">
        <v>1.5800000000000002E-2</v>
      </c>
      <c r="C95" s="59">
        <v>0.27</v>
      </c>
      <c r="D95" s="59">
        <v>0.01</v>
      </c>
      <c r="E95" s="60">
        <f t="shared" si="1"/>
        <v>0.72</v>
      </c>
      <c r="F95" t="str" cm="1">
        <f t="array" ref="F95">IF(A95=MAX(IF(ROUND($B$2:$B$3722,4)=ROUND(B95,4),$A$2:$A$3722)),"Efficient","Inefficient")</f>
        <v>Inefficient</v>
      </c>
    </row>
    <row r="96" spans="1:6" x14ac:dyDescent="0.25">
      <c r="A96" cm="1">
        <f t="array" ref="A96">INDEX('Portfolio Weights Returns'!$B$9:$BJ$69,
INT((ROW(A95)-1)/COLUMNS('Portfolio Weights Returns'!$B$9:$BJ$69))+1,MOD(ROW(A95)-1,COLUMNS('Portfolio Weights Returns'!$B$9:$BJ$69))+1)</f>
        <v>-9.646223558755256E-4</v>
      </c>
      <c r="B96">
        <v>1.5800000000000002E-2</v>
      </c>
      <c r="C96" s="59">
        <v>0.26</v>
      </c>
      <c r="D96" s="59">
        <v>0.02</v>
      </c>
      <c r="E96" s="60">
        <f t="shared" si="1"/>
        <v>0.72</v>
      </c>
      <c r="F96" t="str" cm="1">
        <f t="array" ref="F96">IF(A96=MAX(IF(ROUND($B$2:$B$3722,4)=ROUND(B96,4),$A$2:$A$3722)),"Efficient","Inefficient")</f>
        <v>Inefficient</v>
      </c>
    </row>
    <row r="97" spans="1:6" x14ac:dyDescent="0.25">
      <c r="A97" cm="1">
        <f t="array" ref="A97">INDEX('Portfolio Weights Returns'!$B$9:$BJ$69,
INT((ROW(A96)-1)/COLUMNS('Portfolio Weights Returns'!$B$9:$BJ$69))+1,MOD(ROW(A96)-1,COLUMNS('Portfolio Weights Returns'!$B$9:$BJ$69))+1)</f>
        <v>-9.5784118190884657E-4</v>
      </c>
      <c r="B97">
        <v>1.5800000000000002E-2</v>
      </c>
      <c r="C97" s="59">
        <v>0.25</v>
      </c>
      <c r="D97" s="59">
        <v>0.03</v>
      </c>
      <c r="E97" s="60">
        <f t="shared" si="1"/>
        <v>0.72</v>
      </c>
      <c r="F97" t="str" cm="1">
        <f t="array" ref="F97">IF(A97=MAX(IF(ROUND($B$2:$B$3722,4)=ROUND(B97,4),$A$2:$A$3722)),"Efficient","Inefficient")</f>
        <v>Inefficient</v>
      </c>
    </row>
    <row r="98" spans="1:6" x14ac:dyDescent="0.25">
      <c r="A98" cm="1">
        <f t="array" ref="A98">INDEX('Portfolio Weights Returns'!$B$9:$BJ$69,
INT((ROW(A97)-1)/COLUMNS('Portfolio Weights Returns'!$B$9:$BJ$69))+1,MOD(ROW(A97)-1,COLUMNS('Portfolio Weights Returns'!$B$9:$BJ$69))+1)</f>
        <v>-9.5106000794216742E-4</v>
      </c>
      <c r="B98">
        <v>1.5800000000000002E-2</v>
      </c>
      <c r="C98" s="59">
        <v>0.25</v>
      </c>
      <c r="D98" s="59">
        <v>0.04</v>
      </c>
      <c r="E98" s="60">
        <f t="shared" si="1"/>
        <v>0.71</v>
      </c>
      <c r="F98" t="str" cm="1">
        <f t="array" ref="F98">IF(A98=MAX(IF(ROUND($B$2:$B$3722,4)=ROUND(B98,4),$A$2:$A$3722)),"Efficient","Inefficient")</f>
        <v>Inefficient</v>
      </c>
    </row>
    <row r="99" spans="1:6" x14ac:dyDescent="0.25">
      <c r="A99" cm="1">
        <f t="array" ref="A99">INDEX('Portfolio Weights Returns'!$B$9:$BJ$69,
INT((ROW(A98)-1)/COLUMNS('Portfolio Weights Returns'!$B$9:$BJ$69))+1,MOD(ROW(A98)-1,COLUMNS('Portfolio Weights Returns'!$B$9:$BJ$69))+1)</f>
        <v>-9.4427883397548839E-4</v>
      </c>
      <c r="B99">
        <v>1.5800000000000002E-2</v>
      </c>
      <c r="C99" s="59">
        <v>0.24</v>
      </c>
      <c r="D99" s="59">
        <v>0.05</v>
      </c>
      <c r="E99" s="60">
        <f t="shared" si="1"/>
        <v>0.71</v>
      </c>
      <c r="F99" t="str" cm="1">
        <f t="array" ref="F99">IF(A99=MAX(IF(ROUND($B$2:$B$3722,4)=ROUND(B99,4),$A$2:$A$3722)),"Efficient","Inefficient")</f>
        <v>Inefficient</v>
      </c>
    </row>
    <row r="100" spans="1:6" x14ac:dyDescent="0.25">
      <c r="A100" cm="1">
        <f t="array" ref="A100">INDEX('Portfolio Weights Returns'!$B$9:$BJ$69,
INT((ROW(A99)-1)/COLUMNS('Portfolio Weights Returns'!$B$9:$BJ$69))+1,MOD(ROW(A99)-1,COLUMNS('Portfolio Weights Returns'!$B$9:$BJ$69))+1)</f>
        <v>-9.3749766000880924E-4</v>
      </c>
      <c r="B100">
        <v>1.5800000000000002E-2</v>
      </c>
      <c r="C100" s="59">
        <v>0.24</v>
      </c>
      <c r="D100" s="59">
        <v>0.06</v>
      </c>
      <c r="E100" s="60">
        <f t="shared" si="1"/>
        <v>0.7</v>
      </c>
      <c r="F100" t="str" cm="1">
        <f t="array" ref="F100">IF(A100=MAX(IF(ROUND($B$2:$B$3722,4)=ROUND(B100,4),$A$2:$A$3722)),"Efficient","Inefficient")</f>
        <v>Inefficient</v>
      </c>
    </row>
    <row r="101" spans="1:6" x14ac:dyDescent="0.25">
      <c r="A101" cm="1">
        <f t="array" ref="A101">INDEX('Portfolio Weights Returns'!$B$9:$BJ$69,
INT((ROW(A100)-1)/COLUMNS('Portfolio Weights Returns'!$B$9:$BJ$69))+1,MOD(ROW(A100)-1,COLUMNS('Portfolio Weights Returns'!$B$9:$BJ$69))+1)</f>
        <v>-9.307164860421301E-4</v>
      </c>
      <c r="B101">
        <v>1.5800000000000002E-2</v>
      </c>
      <c r="C101" s="59">
        <v>0.24</v>
      </c>
      <c r="D101" s="59">
        <v>7.0000000000000007E-2</v>
      </c>
      <c r="E101" s="60">
        <f t="shared" si="1"/>
        <v>0.69</v>
      </c>
      <c r="F101" t="str" cm="1">
        <f t="array" ref="F101">IF(A101=MAX(IF(ROUND($B$2:$B$3722,4)=ROUND(B101,4),$A$2:$A$3722)),"Efficient","Inefficient")</f>
        <v>Inefficient</v>
      </c>
    </row>
    <row r="102" spans="1:6" x14ac:dyDescent="0.25">
      <c r="A102" cm="1">
        <f t="array" ref="A102">INDEX('Portfolio Weights Returns'!$B$9:$BJ$69,
INT((ROW(A101)-1)/COLUMNS('Portfolio Weights Returns'!$B$9:$BJ$69))+1,MOD(ROW(A101)-1,COLUMNS('Portfolio Weights Returns'!$B$9:$BJ$69))+1)</f>
        <v>-9.2393531207545095E-4</v>
      </c>
      <c r="B102">
        <v>1.5800000000000002E-2</v>
      </c>
      <c r="C102" s="59">
        <v>0.23</v>
      </c>
      <c r="D102" s="59">
        <v>0.08</v>
      </c>
      <c r="E102" s="60">
        <f t="shared" si="1"/>
        <v>0.69000000000000006</v>
      </c>
      <c r="F102" t="str" cm="1">
        <f t="array" ref="F102">IF(A102=MAX(IF(ROUND($B$2:$B$3722,4)=ROUND(B102,4),$A$2:$A$3722)),"Efficient","Inefficient")</f>
        <v>Inefficient</v>
      </c>
    </row>
    <row r="103" spans="1:6" x14ac:dyDescent="0.25">
      <c r="A103" cm="1">
        <f t="array" ref="A103">INDEX('Portfolio Weights Returns'!$B$9:$BJ$69,
INT((ROW(A102)-1)/COLUMNS('Portfolio Weights Returns'!$B$9:$BJ$69))+1,MOD(ROW(A102)-1,COLUMNS('Portfolio Weights Returns'!$B$9:$BJ$69))+1)</f>
        <v>-9.1715413810877192E-4</v>
      </c>
      <c r="B103">
        <v>1.5800000000000002E-2</v>
      </c>
      <c r="C103" s="59">
        <v>0.24</v>
      </c>
      <c r="D103" s="59">
        <v>0.08</v>
      </c>
      <c r="E103" s="60">
        <f t="shared" si="1"/>
        <v>0.68</v>
      </c>
      <c r="F103" t="str" cm="1">
        <f t="array" ref="F103">IF(A103=MAX(IF(ROUND($B$2:$B$3722,4)=ROUND(B103,4),$A$2:$A$3722)),"Efficient","Inefficient")</f>
        <v>Inefficient</v>
      </c>
    </row>
    <row r="104" spans="1:6" x14ac:dyDescent="0.25">
      <c r="A104" cm="1">
        <f t="array" ref="A104">INDEX('Portfolio Weights Returns'!$B$9:$BJ$69,
INT((ROW(A103)-1)/COLUMNS('Portfolio Weights Returns'!$B$9:$BJ$69))+1,MOD(ROW(A103)-1,COLUMNS('Portfolio Weights Returns'!$B$9:$BJ$69))+1)</f>
        <v>-9.1037296414209277E-4</v>
      </c>
      <c r="B104">
        <v>1.5800000000000002E-2</v>
      </c>
      <c r="C104" s="59">
        <v>0.23</v>
      </c>
      <c r="D104" s="59">
        <v>0.09</v>
      </c>
      <c r="E104" s="60">
        <f t="shared" si="1"/>
        <v>0.68</v>
      </c>
      <c r="F104" t="str" cm="1">
        <f t="array" ref="F104">IF(A104=MAX(IF(ROUND($B$2:$B$3722,4)=ROUND(B104,4),$A$2:$A$3722)),"Efficient","Inefficient")</f>
        <v>Inefficient</v>
      </c>
    </row>
    <row r="105" spans="1:6" x14ac:dyDescent="0.25">
      <c r="A105" cm="1">
        <f t="array" ref="A105">INDEX('Portfolio Weights Returns'!$B$9:$BJ$69,
INT((ROW(A104)-1)/COLUMNS('Portfolio Weights Returns'!$B$9:$BJ$69))+1,MOD(ROW(A104)-1,COLUMNS('Portfolio Weights Returns'!$B$9:$BJ$69))+1)</f>
        <v>-9.0359179017541363E-4</v>
      </c>
      <c r="B105">
        <v>1.5800000000000002E-2</v>
      </c>
      <c r="C105" s="59">
        <v>0.24</v>
      </c>
      <c r="D105" s="59">
        <v>0.09</v>
      </c>
      <c r="E105" s="60">
        <f t="shared" si="1"/>
        <v>0.67</v>
      </c>
      <c r="F105" t="str" cm="1">
        <f t="array" ref="F105">IF(A105=MAX(IF(ROUND($B$2:$B$3722,4)=ROUND(B105,4),$A$2:$A$3722)),"Efficient","Inefficient")</f>
        <v>Inefficient</v>
      </c>
    </row>
    <row r="106" spans="1:6" x14ac:dyDescent="0.25">
      <c r="A106" cm="1">
        <f t="array" ref="A106">INDEX('Portfolio Weights Returns'!$B$9:$BJ$69,
INT((ROW(A105)-1)/COLUMNS('Portfolio Weights Returns'!$B$9:$BJ$69))+1,MOD(ROW(A105)-1,COLUMNS('Portfolio Weights Returns'!$B$9:$BJ$69))+1)</f>
        <v>-8.9681061620873459E-4</v>
      </c>
      <c r="B106">
        <v>1.5800000000000002E-2</v>
      </c>
      <c r="C106" s="59">
        <v>0.23</v>
      </c>
      <c r="D106" s="59">
        <v>0.1</v>
      </c>
      <c r="E106" s="60">
        <f t="shared" si="1"/>
        <v>0.67</v>
      </c>
      <c r="F106" t="str" cm="1">
        <f t="array" ref="F106">IF(A106=MAX(IF(ROUND($B$2:$B$3722,4)=ROUND(B106,4),$A$2:$A$3722)),"Efficient","Inefficient")</f>
        <v>Inefficient</v>
      </c>
    </row>
    <row r="107" spans="1:6" x14ac:dyDescent="0.25">
      <c r="A107" cm="1">
        <f t="array" ref="A107">INDEX('Portfolio Weights Returns'!$B$9:$BJ$69,
INT((ROW(A106)-1)/COLUMNS('Portfolio Weights Returns'!$B$9:$BJ$69))+1,MOD(ROW(A106)-1,COLUMNS('Portfolio Weights Returns'!$B$9:$BJ$69))+1)</f>
        <v>-8.9002944224205545E-4</v>
      </c>
      <c r="B107">
        <v>1.5800000000000002E-2</v>
      </c>
      <c r="C107" s="59">
        <v>0.24</v>
      </c>
      <c r="D107" s="59">
        <v>0.1</v>
      </c>
      <c r="E107" s="60">
        <f t="shared" si="1"/>
        <v>0.66</v>
      </c>
      <c r="F107" t="str" cm="1">
        <f t="array" ref="F107">IF(A107=MAX(IF(ROUND($B$2:$B$3722,4)=ROUND(B107,4),$A$2:$A$3722)),"Efficient","Inefficient")</f>
        <v>Inefficient</v>
      </c>
    </row>
    <row r="108" spans="1:6" x14ac:dyDescent="0.25">
      <c r="A108" cm="1">
        <f t="array" ref="A108">INDEX('Portfolio Weights Returns'!$B$9:$BJ$69,
INT((ROW(A107)-1)/COLUMNS('Portfolio Weights Returns'!$B$9:$BJ$69))+1,MOD(ROW(A107)-1,COLUMNS('Portfolio Weights Returns'!$B$9:$BJ$69))+1)</f>
        <v>-8.832482682753763E-4</v>
      </c>
      <c r="B108">
        <v>1.5800000000000002E-2</v>
      </c>
      <c r="C108" s="59">
        <v>0.24</v>
      </c>
      <c r="D108" s="59">
        <v>0.11</v>
      </c>
      <c r="E108" s="60">
        <f t="shared" si="1"/>
        <v>0.65</v>
      </c>
      <c r="F108" t="str" cm="1">
        <f t="array" ref="F108">IF(A108=MAX(IF(ROUND($B$2:$B$3722,4)=ROUND(B108,4),$A$2:$A$3722)),"Efficient","Inefficient")</f>
        <v>Inefficient</v>
      </c>
    </row>
    <row r="109" spans="1:6" x14ac:dyDescent="0.25">
      <c r="A109" cm="1">
        <f t="array" ref="A109">INDEX('Portfolio Weights Returns'!$B$9:$BJ$69,
INT((ROW(A108)-1)/COLUMNS('Portfolio Weights Returns'!$B$9:$BJ$69))+1,MOD(ROW(A108)-1,COLUMNS('Portfolio Weights Returns'!$B$9:$BJ$69))+1)</f>
        <v>-8.7646709430869716E-4</v>
      </c>
      <c r="B109">
        <v>1.5800000000000002E-2</v>
      </c>
      <c r="C109" s="59">
        <v>0.24</v>
      </c>
      <c r="D109" s="59">
        <v>0.12</v>
      </c>
      <c r="E109" s="60">
        <f t="shared" si="1"/>
        <v>0.64</v>
      </c>
      <c r="F109" t="str" cm="1">
        <f t="array" ref="F109">IF(A109=MAX(IF(ROUND($B$2:$B$3722,4)=ROUND(B109,4),$A$2:$A$3722)),"Efficient","Inefficient")</f>
        <v>Inefficient</v>
      </c>
    </row>
    <row r="110" spans="1:6" x14ac:dyDescent="0.25">
      <c r="A110" cm="1">
        <f t="array" ref="A110">INDEX('Portfolio Weights Returns'!$B$9:$BJ$69,
INT((ROW(A109)-1)/COLUMNS('Portfolio Weights Returns'!$B$9:$BJ$69))+1,MOD(ROW(A109)-1,COLUMNS('Portfolio Weights Returns'!$B$9:$BJ$69))+1)</f>
        <v>-8.6968592034201812E-4</v>
      </c>
      <c r="B110">
        <v>1.5800000000000002E-2</v>
      </c>
      <c r="C110" s="59">
        <v>0.24</v>
      </c>
      <c r="D110" s="59">
        <v>0.13</v>
      </c>
      <c r="E110" s="60">
        <f t="shared" si="1"/>
        <v>0.63</v>
      </c>
      <c r="F110" t="str" cm="1">
        <f t="array" ref="F110">IF(A110=MAX(IF(ROUND($B$2:$B$3722,4)=ROUND(B110,4),$A$2:$A$3722)),"Efficient","Inefficient")</f>
        <v>Inefficient</v>
      </c>
    </row>
    <row r="111" spans="1:6" x14ac:dyDescent="0.25">
      <c r="A111" cm="1">
        <f t="array" ref="A111">INDEX('Portfolio Weights Returns'!$B$9:$BJ$69,
INT((ROW(A110)-1)/COLUMNS('Portfolio Weights Returns'!$B$9:$BJ$69))+1,MOD(ROW(A110)-1,COLUMNS('Portfolio Weights Returns'!$B$9:$BJ$69))+1)</f>
        <v>-8.629047463753392E-4</v>
      </c>
      <c r="B111">
        <v>1.5800000000000002E-2</v>
      </c>
      <c r="C111" s="59">
        <v>0.25</v>
      </c>
      <c r="D111" s="59">
        <v>0.13</v>
      </c>
      <c r="E111" s="60">
        <f t="shared" si="1"/>
        <v>0.62</v>
      </c>
      <c r="F111" t="str" cm="1">
        <f t="array" ref="F111">IF(A111=MAX(IF(ROUND($B$2:$B$3722,4)=ROUND(B111,4),$A$2:$A$3722)),"Efficient","Inefficient")</f>
        <v>Inefficient</v>
      </c>
    </row>
    <row r="112" spans="1:6" x14ac:dyDescent="0.25">
      <c r="A112" cm="1">
        <f t="array" ref="A112">INDEX('Portfolio Weights Returns'!$B$9:$BJ$69,
INT((ROW(A111)-1)/COLUMNS('Portfolio Weights Returns'!$B$9:$BJ$69))+1,MOD(ROW(A111)-1,COLUMNS('Portfolio Weights Returns'!$B$9:$BJ$69))+1)</f>
        <v>-8.5612357240866005E-4</v>
      </c>
      <c r="B112">
        <v>1.5800000000000002E-2</v>
      </c>
      <c r="C112" s="59">
        <v>0.25</v>
      </c>
      <c r="D112" s="59">
        <v>0.14000000000000001</v>
      </c>
      <c r="E112" s="60">
        <f t="shared" si="1"/>
        <v>0.61</v>
      </c>
      <c r="F112" t="str" cm="1">
        <f t="array" ref="F112">IF(A112=MAX(IF(ROUND($B$2:$B$3722,4)=ROUND(B112,4),$A$2:$A$3722)),"Efficient","Inefficient")</f>
        <v>Inefficient</v>
      </c>
    </row>
    <row r="113" spans="1:6" x14ac:dyDescent="0.25">
      <c r="A113" cm="1">
        <f t="array" ref="A113">INDEX('Portfolio Weights Returns'!$B$9:$BJ$69,
INT((ROW(A112)-1)/COLUMNS('Portfolio Weights Returns'!$B$9:$BJ$69))+1,MOD(ROW(A112)-1,COLUMNS('Portfolio Weights Returns'!$B$9:$BJ$69))+1)</f>
        <v>-8.4934239844198091E-4</v>
      </c>
      <c r="B113">
        <v>1.5800000000000002E-2</v>
      </c>
      <c r="C113" s="59">
        <v>0.26</v>
      </c>
      <c r="D113" s="59">
        <v>0.15</v>
      </c>
      <c r="E113" s="60">
        <f t="shared" si="1"/>
        <v>0.59</v>
      </c>
      <c r="F113" t="str" cm="1">
        <f t="array" ref="F113">IF(A113=MAX(IF(ROUND($B$2:$B$3722,4)=ROUND(B113,4),$A$2:$A$3722)),"Efficient","Inefficient")</f>
        <v>Inefficient</v>
      </c>
    </row>
    <row r="114" spans="1:6" x14ac:dyDescent="0.25">
      <c r="A114" cm="1">
        <f t="array" ref="A114">INDEX('Portfolio Weights Returns'!$B$9:$BJ$69,
INT((ROW(A113)-1)/COLUMNS('Portfolio Weights Returns'!$B$9:$BJ$69))+1,MOD(ROW(A113)-1,COLUMNS('Portfolio Weights Returns'!$B$9:$BJ$69))+1)</f>
        <v>-8.4256122447530176E-4</v>
      </c>
      <c r="B114">
        <v>1.5800000000000002E-2</v>
      </c>
      <c r="C114" s="59">
        <v>0.27</v>
      </c>
      <c r="D114" s="59">
        <v>0.16</v>
      </c>
      <c r="E114" s="60">
        <f t="shared" si="1"/>
        <v>0.56999999999999995</v>
      </c>
      <c r="F114" t="str" cm="1">
        <f t="array" ref="F114">IF(A114=MAX(IF(ROUND($B$2:$B$3722,4)=ROUND(B114,4),$A$2:$A$3722)),"Efficient","Inefficient")</f>
        <v>Inefficient</v>
      </c>
    </row>
    <row r="115" spans="1:6" x14ac:dyDescent="0.25">
      <c r="A115" cm="1">
        <f t="array" ref="A115">INDEX('Portfolio Weights Returns'!$B$9:$BJ$69,
INT((ROW(A114)-1)/COLUMNS('Portfolio Weights Returns'!$B$9:$BJ$69))+1,MOD(ROW(A114)-1,COLUMNS('Portfolio Weights Returns'!$B$9:$BJ$69))+1)</f>
        <v>-8.3578005050862273E-4</v>
      </c>
      <c r="B115">
        <v>1.5800000000000002E-2</v>
      </c>
      <c r="C115" s="59">
        <v>0.28000000000000003</v>
      </c>
      <c r="D115" s="59">
        <v>0.17</v>
      </c>
      <c r="E115" s="60">
        <f t="shared" si="1"/>
        <v>0.54999999999999993</v>
      </c>
      <c r="F115" t="str" cm="1">
        <f t="array" ref="F115">IF(A115=MAX(IF(ROUND($B$2:$B$3722,4)=ROUND(B115,4),$A$2:$A$3722)),"Efficient","Inefficient")</f>
        <v>Inefficient</v>
      </c>
    </row>
    <row r="116" spans="1:6" x14ac:dyDescent="0.25">
      <c r="A116" cm="1">
        <f t="array" ref="A116">INDEX('Portfolio Weights Returns'!$B$9:$BJ$69,
INT((ROW(A115)-1)/COLUMNS('Portfolio Weights Returns'!$B$9:$BJ$69))+1,MOD(ROW(A115)-1,COLUMNS('Portfolio Weights Returns'!$B$9:$BJ$69))+1)</f>
        <v>-8.2899887654194358E-4</v>
      </c>
      <c r="B116">
        <v>1.5800000000000002E-2</v>
      </c>
      <c r="C116" s="59">
        <v>0.28999999999999998</v>
      </c>
      <c r="D116" s="59">
        <v>0.17</v>
      </c>
      <c r="E116" s="60">
        <f t="shared" si="1"/>
        <v>0.54</v>
      </c>
      <c r="F116" t="str" cm="1">
        <f t="array" ref="F116">IF(A116=MAX(IF(ROUND($B$2:$B$3722,4)=ROUND(B116,4),$A$2:$A$3722)),"Efficient","Inefficient")</f>
        <v>Inefficient</v>
      </c>
    </row>
    <row r="117" spans="1:6" x14ac:dyDescent="0.25">
      <c r="A117" cm="1">
        <f t="array" ref="A117">INDEX('Portfolio Weights Returns'!$B$9:$BJ$69,
INT((ROW(A116)-1)/COLUMNS('Portfolio Weights Returns'!$B$9:$BJ$69))+1,MOD(ROW(A116)-1,COLUMNS('Portfolio Weights Returns'!$B$9:$BJ$69))+1)</f>
        <v>-8.2221770257526455E-4</v>
      </c>
      <c r="B117">
        <v>1.5800000000000002E-2</v>
      </c>
      <c r="C117" s="59">
        <v>0.3</v>
      </c>
      <c r="D117" s="59">
        <v>0.18</v>
      </c>
      <c r="E117" s="60">
        <f t="shared" si="1"/>
        <v>0.52</v>
      </c>
      <c r="F117" t="str" cm="1">
        <f t="array" ref="F117">IF(A117=MAX(IF(ROUND($B$2:$B$3722,4)=ROUND(B117,4),$A$2:$A$3722)),"Efficient","Inefficient")</f>
        <v>Efficient</v>
      </c>
    </row>
    <row r="118" spans="1:6" x14ac:dyDescent="0.25">
      <c r="A118" cm="1">
        <f t="array" ref="A118">INDEX('Portfolio Weights Returns'!$B$9:$BJ$69,
INT((ROW(A117)-1)/COLUMNS('Portfolio Weights Returns'!$B$9:$BJ$69))+1,MOD(ROW(A117)-1,COLUMNS('Portfolio Weights Returns'!$B$9:$BJ$69))+1)</f>
        <v>-8.154365286085854E-4</v>
      </c>
      <c r="B118">
        <v>1.5900000000000001E-2</v>
      </c>
      <c r="C118" s="59">
        <v>0.3</v>
      </c>
      <c r="D118" s="59">
        <v>-0.04</v>
      </c>
      <c r="E118" s="60">
        <f t="shared" si="1"/>
        <v>0.74</v>
      </c>
      <c r="F118" t="str" cm="1">
        <f t="array" ref="F118">IF(A118=MAX(IF(ROUND($B$2:$B$3722,4)=ROUND(B118,4),$A$2:$A$3722)),"Efficient","Inefficient")</f>
        <v>Inefficient</v>
      </c>
    </row>
    <row r="119" spans="1:6" x14ac:dyDescent="0.25">
      <c r="A119" cm="1">
        <f t="array" ref="A119">INDEX('Portfolio Weights Returns'!$B$9:$BJ$69,
INT((ROW(A118)-1)/COLUMNS('Portfolio Weights Returns'!$B$9:$BJ$69))+1,MOD(ROW(A118)-1,COLUMNS('Portfolio Weights Returns'!$B$9:$BJ$69))+1)</f>
        <v>-8.0865535464190626E-4</v>
      </c>
      <c r="B119">
        <v>1.5900000000000001E-2</v>
      </c>
      <c r="C119" s="59">
        <v>0.28999999999999998</v>
      </c>
      <c r="D119" s="59">
        <v>-0.03</v>
      </c>
      <c r="E119" s="60">
        <f t="shared" si="1"/>
        <v>0.74</v>
      </c>
      <c r="F119" t="str" cm="1">
        <f t="array" ref="F119">IF(A119=MAX(IF(ROUND($B$2:$B$3722,4)=ROUND(B119,4),$A$2:$A$3722)),"Efficient","Inefficient")</f>
        <v>Inefficient</v>
      </c>
    </row>
    <row r="120" spans="1:6" x14ac:dyDescent="0.25">
      <c r="A120" cm="1">
        <f t="array" ref="A120">INDEX('Portfolio Weights Returns'!$B$9:$BJ$69,
INT((ROW(A119)-1)/COLUMNS('Portfolio Weights Returns'!$B$9:$BJ$69))+1,MOD(ROW(A119)-1,COLUMNS('Portfolio Weights Returns'!$B$9:$BJ$69))+1)</f>
        <v>-8.0187418067522635E-4</v>
      </c>
      <c r="B120">
        <v>1.5900000000000001E-2</v>
      </c>
      <c r="C120" s="59">
        <v>0.28000000000000003</v>
      </c>
      <c r="D120" s="59">
        <v>-0.02</v>
      </c>
      <c r="E120" s="60">
        <f t="shared" si="1"/>
        <v>0.74</v>
      </c>
      <c r="F120" t="str" cm="1">
        <f t="array" ref="F120">IF(A120=MAX(IF(ROUND($B$2:$B$3722,4)=ROUND(B120,4),$A$2:$A$3722)),"Efficient","Inefficient")</f>
        <v>Inefficient</v>
      </c>
    </row>
    <row r="121" spans="1:6" x14ac:dyDescent="0.25">
      <c r="A121" cm="1">
        <f t="array" ref="A121">INDEX('Portfolio Weights Returns'!$B$9:$BJ$69,
INT((ROW(A120)-1)/COLUMNS('Portfolio Weights Returns'!$B$9:$BJ$69))+1,MOD(ROW(A120)-1,COLUMNS('Portfolio Weights Returns'!$B$9:$BJ$69))+1)</f>
        <v>-7.9509300670854732E-4</v>
      </c>
      <c r="B121">
        <v>1.5900000000000001E-2</v>
      </c>
      <c r="C121" s="59">
        <v>0.27</v>
      </c>
      <c r="D121" s="59">
        <v>-0.01</v>
      </c>
      <c r="E121" s="60">
        <f t="shared" si="1"/>
        <v>0.74</v>
      </c>
      <c r="F121" t="str" cm="1">
        <f t="array" ref="F121">IF(A121=MAX(IF(ROUND($B$2:$B$3722,4)=ROUND(B121,4),$A$2:$A$3722)),"Efficient","Inefficient")</f>
        <v>Inefficient</v>
      </c>
    </row>
    <row r="122" spans="1:6" x14ac:dyDescent="0.25">
      <c r="A122" cm="1">
        <f t="array" ref="A122">INDEX('Portfolio Weights Returns'!$B$9:$BJ$69,
INT((ROW(A121)-1)/COLUMNS('Portfolio Weights Returns'!$B$9:$BJ$69))+1,MOD(ROW(A121)-1,COLUMNS('Portfolio Weights Returns'!$B$9:$BJ$69))+1)</f>
        <v>-7.8831183274186828E-4</v>
      </c>
      <c r="B122">
        <v>1.5900000000000001E-2</v>
      </c>
      <c r="C122" s="59">
        <v>0.26</v>
      </c>
      <c r="D122" s="59">
        <v>0</v>
      </c>
      <c r="E122" s="60">
        <f t="shared" si="1"/>
        <v>0.74</v>
      </c>
      <c r="F122" t="str" cm="1">
        <f t="array" ref="F122">IF(A122=MAX(IF(ROUND($B$2:$B$3722,4)=ROUND(B122,4),$A$2:$A$3722)),"Efficient","Inefficient")</f>
        <v>Inefficient</v>
      </c>
    </row>
    <row r="123" spans="1:6" x14ac:dyDescent="0.25">
      <c r="A123" cm="1">
        <f t="array" ref="A123">INDEX('Portfolio Weights Returns'!$B$9:$BJ$69,
INT((ROW(A122)-1)/COLUMNS('Portfolio Weights Returns'!$B$9:$BJ$69))+1,MOD(ROW(A122)-1,COLUMNS('Portfolio Weights Returns'!$B$9:$BJ$69))+1)</f>
        <v>-7.8153065877518925E-4</v>
      </c>
      <c r="B123">
        <v>1.5900000000000001E-2</v>
      </c>
      <c r="C123" s="59">
        <v>0.25</v>
      </c>
      <c r="D123" s="59">
        <v>0.01</v>
      </c>
      <c r="E123" s="60">
        <f t="shared" si="1"/>
        <v>0.74</v>
      </c>
      <c r="F123" t="str" cm="1">
        <f t="array" ref="F123">IF(A123=MAX(IF(ROUND($B$2:$B$3722,4)=ROUND(B123,4),$A$2:$A$3722)),"Efficient","Inefficient")</f>
        <v>Efficient</v>
      </c>
    </row>
    <row r="124" spans="1:6" x14ac:dyDescent="0.25">
      <c r="A124" cm="1">
        <f t="array" ref="A124">INDEX('Portfolio Weights Returns'!$B$9:$BJ$69,
INT((ROW(A123)-1)/COLUMNS('Portfolio Weights Returns'!$B$9:$BJ$69))+1,MOD(ROW(A123)-1,COLUMNS('Portfolio Weights Returns'!$B$9:$BJ$69))+1)</f>
        <v>-1.1818268889304811E-3</v>
      </c>
      <c r="B124">
        <v>1.5900000000000001E-2</v>
      </c>
      <c r="C124" s="59">
        <v>0.26</v>
      </c>
      <c r="D124" s="59">
        <v>0.01</v>
      </c>
      <c r="E124" s="60">
        <f t="shared" si="1"/>
        <v>0.73</v>
      </c>
      <c r="F124" t="str" cm="1">
        <f t="array" ref="F124">IF(A124=MAX(IF(ROUND($B$2:$B$3722,4)=ROUND(B124,4),$A$2:$A$3722)),"Efficient","Inefficient")</f>
        <v>Inefficient</v>
      </c>
    </row>
    <row r="125" spans="1:6" x14ac:dyDescent="0.25">
      <c r="A125" cm="1">
        <f t="array" ref="A125">INDEX('Portfolio Weights Returns'!$B$9:$BJ$69,
INT((ROW(A124)-1)/COLUMNS('Portfolio Weights Returns'!$B$9:$BJ$69))+1,MOD(ROW(A124)-1,COLUMNS('Portfolio Weights Returns'!$B$9:$BJ$69))+1)</f>
        <v>-1.1750457149638019E-3</v>
      </c>
      <c r="B125">
        <v>1.5900000000000001E-2</v>
      </c>
      <c r="C125" s="59">
        <v>0.25</v>
      </c>
      <c r="D125" s="59">
        <v>0.02</v>
      </c>
      <c r="E125" s="60">
        <f t="shared" si="1"/>
        <v>0.73</v>
      </c>
      <c r="F125" t="str" cm="1">
        <f t="array" ref="F125">IF(A125=MAX(IF(ROUND($B$2:$B$3722,4)=ROUND(B125,4),$A$2:$A$3722)),"Efficient","Inefficient")</f>
        <v>Inefficient</v>
      </c>
    </row>
    <row r="126" spans="1:6" x14ac:dyDescent="0.25">
      <c r="A126" cm="1">
        <f t="array" ref="A126">INDEX('Portfolio Weights Returns'!$B$9:$BJ$69,
INT((ROW(A125)-1)/COLUMNS('Portfolio Weights Returns'!$B$9:$BJ$69))+1,MOD(ROW(A125)-1,COLUMNS('Portfolio Weights Returns'!$B$9:$BJ$69))+1)</f>
        <v>-1.1682645409971226E-3</v>
      </c>
      <c r="B126">
        <v>1.5900000000000001E-2</v>
      </c>
      <c r="C126" s="59">
        <v>0.24</v>
      </c>
      <c r="D126" s="59">
        <v>0.03</v>
      </c>
      <c r="E126" s="60">
        <f t="shared" si="1"/>
        <v>0.73</v>
      </c>
      <c r="F126" t="str" cm="1">
        <f t="array" ref="F126">IF(A126=MAX(IF(ROUND($B$2:$B$3722,4)=ROUND(B126,4),$A$2:$A$3722)),"Efficient","Inefficient")</f>
        <v>Inefficient</v>
      </c>
    </row>
    <row r="127" spans="1:6" x14ac:dyDescent="0.25">
      <c r="A127" cm="1">
        <f t="array" ref="A127">INDEX('Portfolio Weights Returns'!$B$9:$BJ$69,
INT((ROW(A126)-1)/COLUMNS('Portfolio Weights Returns'!$B$9:$BJ$69))+1,MOD(ROW(A126)-1,COLUMNS('Portfolio Weights Returns'!$B$9:$BJ$69))+1)</f>
        <v>-1.1614833670304436E-3</v>
      </c>
      <c r="B127">
        <v>1.5900000000000001E-2</v>
      </c>
      <c r="C127" s="59">
        <v>0.24</v>
      </c>
      <c r="D127" s="59">
        <v>0.04</v>
      </c>
      <c r="E127" s="60">
        <f t="shared" si="1"/>
        <v>0.72</v>
      </c>
      <c r="F127" t="str" cm="1">
        <f t="array" ref="F127">IF(A127=MAX(IF(ROUND($B$2:$B$3722,4)=ROUND(B127,4),$A$2:$A$3722)),"Efficient","Inefficient")</f>
        <v>Inefficient</v>
      </c>
    </row>
    <row r="128" spans="1:6" x14ac:dyDescent="0.25">
      <c r="A128" cm="1">
        <f t="array" ref="A128">INDEX('Portfolio Weights Returns'!$B$9:$BJ$69,
INT((ROW(A127)-1)/COLUMNS('Portfolio Weights Returns'!$B$9:$BJ$69))+1,MOD(ROW(A127)-1,COLUMNS('Portfolio Weights Returns'!$B$9:$BJ$69))+1)</f>
        <v>-1.1547021930637645E-3</v>
      </c>
      <c r="B128">
        <v>1.5900000000000001E-2</v>
      </c>
      <c r="C128" s="59">
        <v>0.23</v>
      </c>
      <c r="D128" s="59">
        <v>0.05</v>
      </c>
      <c r="E128" s="60">
        <f t="shared" si="1"/>
        <v>0.72</v>
      </c>
      <c r="F128" t="str" cm="1">
        <f t="array" ref="F128">IF(A128=MAX(IF(ROUND($B$2:$B$3722,4)=ROUND(B128,4),$A$2:$A$3722)),"Efficient","Inefficient")</f>
        <v>Inefficient</v>
      </c>
    </row>
    <row r="129" spans="1:6" x14ac:dyDescent="0.25">
      <c r="A129" cm="1">
        <f t="array" ref="A129">INDEX('Portfolio Weights Returns'!$B$9:$BJ$69,
INT((ROW(A128)-1)/COLUMNS('Portfolio Weights Returns'!$B$9:$BJ$69))+1,MOD(ROW(A128)-1,COLUMNS('Portfolio Weights Returns'!$B$9:$BJ$69))+1)</f>
        <v>-1.1479210190970853E-3</v>
      </c>
      <c r="B129">
        <v>1.5900000000000001E-2</v>
      </c>
      <c r="C129" s="59">
        <v>0.23</v>
      </c>
      <c r="D129" s="59">
        <v>0.06</v>
      </c>
      <c r="E129" s="60">
        <f t="shared" si="1"/>
        <v>0.71</v>
      </c>
      <c r="F129" t="str" cm="1">
        <f t="array" ref="F129">IF(A129=MAX(IF(ROUND($B$2:$B$3722,4)=ROUND(B129,4),$A$2:$A$3722)),"Efficient","Inefficient")</f>
        <v>Inefficient</v>
      </c>
    </row>
    <row r="130" spans="1:6" x14ac:dyDescent="0.25">
      <c r="A130" cm="1">
        <f t="array" ref="A130">INDEX('Portfolio Weights Returns'!$B$9:$BJ$69,
INT((ROW(A129)-1)/COLUMNS('Portfolio Weights Returns'!$B$9:$BJ$69))+1,MOD(ROW(A129)-1,COLUMNS('Portfolio Weights Returns'!$B$9:$BJ$69))+1)</f>
        <v>-1.1411398451304062E-3</v>
      </c>
      <c r="B130">
        <v>1.5900000000000001E-2</v>
      </c>
      <c r="C130" s="59">
        <v>0.23</v>
      </c>
      <c r="D130" s="59">
        <v>7.0000000000000007E-2</v>
      </c>
      <c r="E130" s="60">
        <f t="shared" ref="E130:E193" si="2">1-D130-C130</f>
        <v>0.7</v>
      </c>
      <c r="F130" t="str" cm="1">
        <f t="array" ref="F130">IF(A130=MAX(IF(ROUND($B$2:$B$3722,4)=ROUND(B130,4),$A$2:$A$3722)),"Efficient","Inefficient")</f>
        <v>Inefficient</v>
      </c>
    </row>
    <row r="131" spans="1:6" x14ac:dyDescent="0.25">
      <c r="A131" cm="1">
        <f t="array" ref="A131">INDEX('Portfolio Weights Returns'!$B$9:$BJ$69,
INT((ROW(A130)-1)/COLUMNS('Portfolio Weights Returns'!$B$9:$BJ$69))+1,MOD(ROW(A130)-1,COLUMNS('Portfolio Weights Returns'!$B$9:$BJ$69))+1)</f>
        <v>-1.1343586711637273E-3</v>
      </c>
      <c r="B131">
        <v>1.5900000000000001E-2</v>
      </c>
      <c r="C131" s="59">
        <v>0.22</v>
      </c>
      <c r="D131" s="59">
        <v>0.08</v>
      </c>
      <c r="E131" s="60">
        <f t="shared" si="2"/>
        <v>0.70000000000000007</v>
      </c>
      <c r="F131" t="str" cm="1">
        <f t="array" ref="F131">IF(A131=MAX(IF(ROUND($B$2:$B$3722,4)=ROUND(B131,4),$A$2:$A$3722)),"Efficient","Inefficient")</f>
        <v>Inefficient</v>
      </c>
    </row>
    <row r="132" spans="1:6" x14ac:dyDescent="0.25">
      <c r="A132" cm="1">
        <f t="array" ref="A132">INDEX('Portfolio Weights Returns'!$B$9:$BJ$69,
INT((ROW(A131)-1)/COLUMNS('Portfolio Weights Returns'!$B$9:$BJ$69))+1,MOD(ROW(A131)-1,COLUMNS('Portfolio Weights Returns'!$B$9:$BJ$69))+1)</f>
        <v>-1.1275774971970481E-3</v>
      </c>
      <c r="B132">
        <v>1.5900000000000001E-2</v>
      </c>
      <c r="C132" s="59">
        <v>0.22</v>
      </c>
      <c r="D132" s="59">
        <v>0.09</v>
      </c>
      <c r="E132" s="60">
        <f t="shared" si="2"/>
        <v>0.69000000000000006</v>
      </c>
      <c r="F132" t="str" cm="1">
        <f t="array" ref="F132">IF(A132=MAX(IF(ROUND($B$2:$B$3722,4)=ROUND(B132,4),$A$2:$A$3722)),"Efficient","Inefficient")</f>
        <v>Inefficient</v>
      </c>
    </row>
    <row r="133" spans="1:6" x14ac:dyDescent="0.25">
      <c r="A133" cm="1">
        <f t="array" ref="A133">INDEX('Portfolio Weights Returns'!$B$9:$BJ$69,
INT((ROW(A132)-1)/COLUMNS('Portfolio Weights Returns'!$B$9:$BJ$69))+1,MOD(ROW(A132)-1,COLUMNS('Portfolio Weights Returns'!$B$9:$BJ$69))+1)</f>
        <v>-1.120796323230369E-3</v>
      </c>
      <c r="B133">
        <v>1.5900000000000001E-2</v>
      </c>
      <c r="C133" s="59">
        <v>0.22</v>
      </c>
      <c r="D133" s="59">
        <v>0.1</v>
      </c>
      <c r="E133" s="60">
        <f t="shared" si="2"/>
        <v>0.68</v>
      </c>
      <c r="F133" t="str" cm="1">
        <f t="array" ref="F133">IF(A133=MAX(IF(ROUND($B$2:$B$3722,4)=ROUND(B133,4),$A$2:$A$3722)),"Efficient","Inefficient")</f>
        <v>Inefficient</v>
      </c>
    </row>
    <row r="134" spans="1:6" x14ac:dyDescent="0.25">
      <c r="A134" cm="1">
        <f t="array" ref="A134">INDEX('Portfolio Weights Returns'!$B$9:$BJ$69,
INT((ROW(A133)-1)/COLUMNS('Portfolio Weights Returns'!$B$9:$BJ$69))+1,MOD(ROW(A133)-1,COLUMNS('Portfolio Weights Returns'!$B$9:$BJ$69))+1)</f>
        <v>-1.1140151492636898E-3</v>
      </c>
      <c r="B134">
        <v>1.5900000000000001E-2</v>
      </c>
      <c r="C134" s="59">
        <v>0.22</v>
      </c>
      <c r="D134" s="59">
        <v>0.11</v>
      </c>
      <c r="E134" s="60">
        <f t="shared" si="2"/>
        <v>0.67</v>
      </c>
      <c r="F134" t="str" cm="1">
        <f t="array" ref="F134">IF(A134=MAX(IF(ROUND($B$2:$B$3722,4)=ROUND(B134,4),$A$2:$A$3722)),"Efficient","Inefficient")</f>
        <v>Inefficient</v>
      </c>
    </row>
    <row r="135" spans="1:6" x14ac:dyDescent="0.25">
      <c r="A135" cm="1">
        <f t="array" ref="A135">INDEX('Portfolio Weights Returns'!$B$9:$BJ$69,
INT((ROW(A134)-1)/COLUMNS('Portfolio Weights Returns'!$B$9:$BJ$69))+1,MOD(ROW(A134)-1,COLUMNS('Portfolio Weights Returns'!$B$9:$BJ$69))+1)</f>
        <v>-1.1072339752970107E-3</v>
      </c>
      <c r="B135">
        <v>1.5900000000000001E-2</v>
      </c>
      <c r="C135" s="59">
        <v>0.23</v>
      </c>
      <c r="D135" s="59">
        <v>0.11</v>
      </c>
      <c r="E135" s="60">
        <f t="shared" si="2"/>
        <v>0.66</v>
      </c>
      <c r="F135" t="str" cm="1">
        <f t="array" ref="F135">IF(A135=MAX(IF(ROUND($B$2:$B$3722,4)=ROUND(B135,4),$A$2:$A$3722)),"Efficient","Inefficient")</f>
        <v>Inefficient</v>
      </c>
    </row>
    <row r="136" spans="1:6" x14ac:dyDescent="0.25">
      <c r="A136" cm="1">
        <f t="array" ref="A136">INDEX('Portfolio Weights Returns'!$B$9:$BJ$69,
INT((ROW(A135)-1)/COLUMNS('Portfolio Weights Returns'!$B$9:$BJ$69))+1,MOD(ROW(A135)-1,COLUMNS('Portfolio Weights Returns'!$B$9:$BJ$69))+1)</f>
        <v>-1.1004528013303318E-3</v>
      </c>
      <c r="B136">
        <v>1.5900000000000001E-2</v>
      </c>
      <c r="C136" s="59">
        <v>0.23</v>
      </c>
      <c r="D136" s="59">
        <v>0.12</v>
      </c>
      <c r="E136" s="60">
        <f t="shared" si="2"/>
        <v>0.65</v>
      </c>
      <c r="F136" t="str" cm="1">
        <f t="array" ref="F136">IF(A136=MAX(IF(ROUND($B$2:$B$3722,4)=ROUND(B136,4),$A$2:$A$3722)),"Efficient","Inefficient")</f>
        <v>Inefficient</v>
      </c>
    </row>
    <row r="137" spans="1:6" x14ac:dyDescent="0.25">
      <c r="A137" cm="1">
        <f t="array" ref="A137">INDEX('Portfolio Weights Returns'!$B$9:$BJ$69,
INT((ROW(A136)-1)/COLUMNS('Portfolio Weights Returns'!$B$9:$BJ$69))+1,MOD(ROW(A136)-1,COLUMNS('Portfolio Weights Returns'!$B$9:$BJ$69))+1)</f>
        <v>-1.0936716273636526E-3</v>
      </c>
      <c r="B137">
        <v>1.5900000000000001E-2</v>
      </c>
      <c r="C137" s="59">
        <v>0.23</v>
      </c>
      <c r="D137" s="59">
        <v>0.13</v>
      </c>
      <c r="E137" s="60">
        <f t="shared" si="2"/>
        <v>0.64</v>
      </c>
      <c r="F137" t="str" cm="1">
        <f t="array" ref="F137">IF(A137=MAX(IF(ROUND($B$2:$B$3722,4)=ROUND(B137,4),$A$2:$A$3722)),"Efficient","Inefficient")</f>
        <v>Inefficient</v>
      </c>
    </row>
    <row r="138" spans="1:6" x14ac:dyDescent="0.25">
      <c r="A138" cm="1">
        <f t="array" ref="A138">INDEX('Portfolio Weights Returns'!$B$9:$BJ$69,
INT((ROW(A137)-1)/COLUMNS('Portfolio Weights Returns'!$B$9:$BJ$69))+1,MOD(ROW(A137)-1,COLUMNS('Portfolio Weights Returns'!$B$9:$BJ$69))+1)</f>
        <v>-1.0868904533969735E-3</v>
      </c>
      <c r="B138">
        <v>1.5900000000000001E-2</v>
      </c>
      <c r="C138" s="59">
        <v>0.23</v>
      </c>
      <c r="D138" s="59">
        <v>0.14000000000000001</v>
      </c>
      <c r="E138" s="60">
        <f t="shared" si="2"/>
        <v>0.63</v>
      </c>
      <c r="F138" t="str" cm="1">
        <f t="array" ref="F138">IF(A138=MAX(IF(ROUND($B$2:$B$3722,4)=ROUND(B138,4),$A$2:$A$3722)),"Efficient","Inefficient")</f>
        <v>Inefficient</v>
      </c>
    </row>
    <row r="139" spans="1:6" x14ac:dyDescent="0.25">
      <c r="A139" cm="1">
        <f t="array" ref="A139">INDEX('Portfolio Weights Returns'!$B$9:$BJ$69,
INT((ROW(A138)-1)/COLUMNS('Portfolio Weights Returns'!$B$9:$BJ$69))+1,MOD(ROW(A138)-1,COLUMNS('Portfolio Weights Returns'!$B$9:$BJ$69))+1)</f>
        <v>-1.0801092794302941E-3</v>
      </c>
      <c r="B139">
        <v>1.5900000000000001E-2</v>
      </c>
      <c r="C139" s="59">
        <v>0.24</v>
      </c>
      <c r="D139" s="59">
        <v>0.14000000000000001</v>
      </c>
      <c r="E139" s="60">
        <f t="shared" si="2"/>
        <v>0.62</v>
      </c>
      <c r="F139" t="str" cm="1">
        <f t="array" ref="F139">IF(A139=MAX(IF(ROUND($B$2:$B$3722,4)=ROUND(B139,4),$A$2:$A$3722)),"Efficient","Inefficient")</f>
        <v>Inefficient</v>
      </c>
    </row>
    <row r="140" spans="1:6" x14ac:dyDescent="0.25">
      <c r="A140" cm="1">
        <f t="array" ref="A140">INDEX('Portfolio Weights Returns'!$B$9:$BJ$69,
INT((ROW(A139)-1)/COLUMNS('Portfolio Weights Returns'!$B$9:$BJ$69))+1,MOD(ROW(A139)-1,COLUMNS('Portfolio Weights Returns'!$B$9:$BJ$69))+1)</f>
        <v>-1.0733281054636154E-3</v>
      </c>
      <c r="B140">
        <v>1.5900000000000001E-2</v>
      </c>
      <c r="C140" s="59">
        <v>0.24</v>
      </c>
      <c r="D140" s="59">
        <v>0.15</v>
      </c>
      <c r="E140" s="60">
        <f t="shared" si="2"/>
        <v>0.61</v>
      </c>
      <c r="F140" t="str" cm="1">
        <f t="array" ref="F140">IF(A140=MAX(IF(ROUND($B$2:$B$3722,4)=ROUND(B140,4),$A$2:$A$3722)),"Efficient","Inefficient")</f>
        <v>Inefficient</v>
      </c>
    </row>
    <row r="141" spans="1:6" x14ac:dyDescent="0.25">
      <c r="A141" cm="1">
        <f t="array" ref="A141">INDEX('Portfolio Weights Returns'!$B$9:$BJ$69,
INT((ROW(A140)-1)/COLUMNS('Portfolio Weights Returns'!$B$9:$BJ$69))+1,MOD(ROW(A140)-1,COLUMNS('Portfolio Weights Returns'!$B$9:$BJ$69))+1)</f>
        <v>-1.066546931496936E-3</v>
      </c>
      <c r="B141">
        <v>1.5900000000000001E-2</v>
      </c>
      <c r="C141" s="59">
        <v>0.25</v>
      </c>
      <c r="D141" s="59">
        <v>0.15</v>
      </c>
      <c r="E141" s="60">
        <f t="shared" si="2"/>
        <v>0.6</v>
      </c>
      <c r="F141" t="str" cm="1">
        <f t="array" ref="F141">IF(A141=MAX(IF(ROUND($B$2:$B$3722,4)=ROUND(B141,4),$A$2:$A$3722)),"Efficient","Inefficient")</f>
        <v>Inefficient</v>
      </c>
    </row>
    <row r="142" spans="1:6" x14ac:dyDescent="0.25">
      <c r="A142" cm="1">
        <f t="array" ref="A142">INDEX('Portfolio Weights Returns'!$B$9:$BJ$69,
INT((ROW(A141)-1)/COLUMNS('Portfolio Weights Returns'!$B$9:$BJ$69))+1,MOD(ROW(A141)-1,COLUMNS('Portfolio Weights Returns'!$B$9:$BJ$69))+1)</f>
        <v>-1.0597657575302571E-3</v>
      </c>
      <c r="B142">
        <v>1.5900000000000001E-2</v>
      </c>
      <c r="C142" s="59">
        <v>0.25</v>
      </c>
      <c r="D142" s="59">
        <v>0.16</v>
      </c>
      <c r="E142" s="60">
        <f t="shared" si="2"/>
        <v>0.59</v>
      </c>
      <c r="F142" t="str" cm="1">
        <f t="array" ref="F142">IF(A142=MAX(IF(ROUND($B$2:$B$3722,4)=ROUND(B142,4),$A$2:$A$3722)),"Efficient","Inefficient")</f>
        <v>Inefficient</v>
      </c>
    </row>
    <row r="143" spans="1:6" x14ac:dyDescent="0.25">
      <c r="A143" cm="1">
        <f t="array" ref="A143">INDEX('Portfolio Weights Returns'!$B$9:$BJ$69,
INT((ROW(A142)-1)/COLUMNS('Portfolio Weights Returns'!$B$9:$BJ$69))+1,MOD(ROW(A142)-1,COLUMNS('Portfolio Weights Returns'!$B$9:$BJ$69))+1)</f>
        <v>-1.052984583563578E-3</v>
      </c>
      <c r="B143">
        <v>1.5900000000000001E-2</v>
      </c>
      <c r="C143" s="59">
        <v>0.26</v>
      </c>
      <c r="D143" s="59">
        <v>0.16</v>
      </c>
      <c r="E143" s="60">
        <f t="shared" si="2"/>
        <v>0.57999999999999996</v>
      </c>
      <c r="F143" t="str" cm="1">
        <f t="array" ref="F143">IF(A143=MAX(IF(ROUND($B$2:$B$3722,4)=ROUND(B143,4),$A$2:$A$3722)),"Efficient","Inefficient")</f>
        <v>Inefficient</v>
      </c>
    </row>
    <row r="144" spans="1:6" x14ac:dyDescent="0.25">
      <c r="A144" cm="1">
        <f t="array" ref="A144">INDEX('Portfolio Weights Returns'!$B$9:$BJ$69,
INT((ROW(A143)-1)/COLUMNS('Portfolio Weights Returns'!$B$9:$BJ$69))+1,MOD(ROW(A143)-1,COLUMNS('Portfolio Weights Returns'!$B$9:$BJ$69))+1)</f>
        <v>-1.0462034095968988E-3</v>
      </c>
      <c r="B144">
        <v>1.5900000000000001E-2</v>
      </c>
      <c r="C144" s="59">
        <v>0.26</v>
      </c>
      <c r="D144" s="59">
        <v>0.17</v>
      </c>
      <c r="E144" s="60">
        <f t="shared" si="2"/>
        <v>0.56999999999999995</v>
      </c>
      <c r="F144" t="str" cm="1">
        <f t="array" ref="F144">IF(A144=MAX(IF(ROUND($B$2:$B$3722,4)=ROUND(B144,4),$A$2:$A$3722)),"Efficient","Inefficient")</f>
        <v>Inefficient</v>
      </c>
    </row>
    <row r="145" spans="1:6" x14ac:dyDescent="0.25">
      <c r="A145" cm="1">
        <f t="array" ref="A145">INDEX('Portfolio Weights Returns'!$B$9:$BJ$69,
INT((ROW(A144)-1)/COLUMNS('Portfolio Weights Returns'!$B$9:$BJ$69))+1,MOD(ROW(A144)-1,COLUMNS('Portfolio Weights Returns'!$B$9:$BJ$69))+1)</f>
        <v>-1.0394222356302199E-3</v>
      </c>
      <c r="B145">
        <v>1.5900000000000001E-2</v>
      </c>
      <c r="C145" s="59">
        <v>0.27</v>
      </c>
      <c r="D145" s="59">
        <v>0.17</v>
      </c>
      <c r="E145" s="60">
        <f t="shared" si="2"/>
        <v>0.55999999999999994</v>
      </c>
      <c r="F145" t="str" cm="1">
        <f t="array" ref="F145">IF(A145=MAX(IF(ROUND($B$2:$B$3722,4)=ROUND(B145,4),$A$2:$A$3722)),"Efficient","Inefficient")</f>
        <v>Inefficient</v>
      </c>
    </row>
    <row r="146" spans="1:6" x14ac:dyDescent="0.25">
      <c r="A146" cm="1">
        <f t="array" ref="A146">INDEX('Portfolio Weights Returns'!$B$9:$BJ$69,
INT((ROW(A145)-1)/COLUMNS('Portfolio Weights Returns'!$B$9:$BJ$69))+1,MOD(ROW(A145)-1,COLUMNS('Portfolio Weights Returns'!$B$9:$BJ$69))+1)</f>
        <v>-1.0326410616635408E-3</v>
      </c>
      <c r="B146">
        <v>1.5900000000000001E-2</v>
      </c>
      <c r="C146" s="59">
        <v>0.28000000000000003</v>
      </c>
      <c r="D146" s="59">
        <v>0.18</v>
      </c>
      <c r="E146" s="60">
        <f t="shared" si="2"/>
        <v>0.54</v>
      </c>
      <c r="F146" t="str" cm="1">
        <f t="array" ref="F146">IF(A146=MAX(IF(ROUND($B$2:$B$3722,4)=ROUND(B146,4),$A$2:$A$3722)),"Efficient","Inefficient")</f>
        <v>Inefficient</v>
      </c>
    </row>
    <row r="147" spans="1:6" x14ac:dyDescent="0.25">
      <c r="A147" cm="1">
        <f t="array" ref="A147">INDEX('Portfolio Weights Returns'!$B$9:$BJ$69,
INT((ROW(A146)-1)/COLUMNS('Portfolio Weights Returns'!$B$9:$BJ$69))+1,MOD(ROW(A146)-1,COLUMNS('Portfolio Weights Returns'!$B$9:$BJ$69))+1)</f>
        <v>-1.0258598876968616E-3</v>
      </c>
      <c r="B147">
        <v>1.5900000000000001E-2</v>
      </c>
      <c r="C147" s="59">
        <v>0.28999999999999998</v>
      </c>
      <c r="D147" s="59">
        <v>0.18</v>
      </c>
      <c r="E147" s="60">
        <f t="shared" si="2"/>
        <v>0.53</v>
      </c>
      <c r="F147" t="str" cm="1">
        <f t="array" ref="F147">IF(A147=MAX(IF(ROUND($B$2:$B$3722,4)=ROUND(B147,4),$A$2:$A$3722)),"Efficient","Inefficient")</f>
        <v>Inefficient</v>
      </c>
    </row>
    <row r="148" spans="1:6" x14ac:dyDescent="0.25">
      <c r="A148" cm="1">
        <f t="array" ref="A148">INDEX('Portfolio Weights Returns'!$B$9:$BJ$69,
INT((ROW(A147)-1)/COLUMNS('Portfolio Weights Returns'!$B$9:$BJ$69))+1,MOD(ROW(A147)-1,COLUMNS('Portfolio Weights Returns'!$B$9:$BJ$69))+1)</f>
        <v>-1.0190787137301825E-3</v>
      </c>
      <c r="B148">
        <v>1.5900000000000001E-2</v>
      </c>
      <c r="C148" s="59">
        <v>0.3</v>
      </c>
      <c r="D148" s="59">
        <v>0.19</v>
      </c>
      <c r="E148" s="60">
        <f t="shared" si="2"/>
        <v>0.51</v>
      </c>
      <c r="F148" t="str" cm="1">
        <f t="array" ref="F148">IF(A148=MAX(IF(ROUND($B$2:$B$3722,4)=ROUND(B148,4),$A$2:$A$3722)),"Efficient","Inefficient")</f>
        <v>Inefficient</v>
      </c>
    </row>
    <row r="149" spans="1:6" x14ac:dyDescent="0.25">
      <c r="A149" cm="1">
        <f t="array" ref="A149">INDEX('Portfolio Weights Returns'!$B$9:$BJ$69,
INT((ROW(A148)-1)/COLUMNS('Portfolio Weights Returns'!$B$9:$BJ$69))+1,MOD(ROW(A148)-1,COLUMNS('Portfolio Weights Returns'!$B$9:$BJ$69))+1)</f>
        <v>-1.0122975397635035E-3</v>
      </c>
      <c r="B149">
        <v>1.6E-2</v>
      </c>
      <c r="C149" s="59">
        <v>0.3</v>
      </c>
      <c r="D149" s="59">
        <v>-0.05</v>
      </c>
      <c r="E149" s="60">
        <f t="shared" si="2"/>
        <v>0.75</v>
      </c>
      <c r="F149" t="str" cm="1">
        <f t="array" ref="F149">IF(A149=MAX(IF(ROUND($B$2:$B$3722,4)=ROUND(B149,4),$A$2:$A$3722)),"Efficient","Inefficient")</f>
        <v>Inefficient</v>
      </c>
    </row>
    <row r="150" spans="1:6" x14ac:dyDescent="0.25">
      <c r="A150" cm="1">
        <f t="array" ref="A150">INDEX('Portfolio Weights Returns'!$B$9:$BJ$69,
INT((ROW(A149)-1)/COLUMNS('Portfolio Weights Returns'!$B$9:$BJ$69))+1,MOD(ROW(A149)-1,COLUMNS('Portfolio Weights Returns'!$B$9:$BJ$69))+1)</f>
        <v>-1.0055163657968244E-3</v>
      </c>
      <c r="B150">
        <v>1.6E-2</v>
      </c>
      <c r="C150" s="59">
        <v>0.28999999999999998</v>
      </c>
      <c r="D150" s="59">
        <v>-0.04</v>
      </c>
      <c r="E150" s="60">
        <f t="shared" si="2"/>
        <v>0.75</v>
      </c>
      <c r="F150" t="str" cm="1">
        <f t="array" ref="F150">IF(A150=MAX(IF(ROUND($B$2:$B$3722,4)=ROUND(B150,4),$A$2:$A$3722)),"Efficient","Inefficient")</f>
        <v>Inefficient</v>
      </c>
    </row>
    <row r="151" spans="1:6" x14ac:dyDescent="0.25">
      <c r="A151" cm="1">
        <f t="array" ref="A151">INDEX('Portfolio Weights Returns'!$B$9:$BJ$69,
INT((ROW(A150)-1)/COLUMNS('Portfolio Weights Returns'!$B$9:$BJ$69))+1,MOD(ROW(A150)-1,COLUMNS('Portfolio Weights Returns'!$B$9:$BJ$69))+1)</f>
        <v>-9.9873519183014503E-4</v>
      </c>
      <c r="B151">
        <v>1.6E-2</v>
      </c>
      <c r="C151" s="59">
        <v>0.28000000000000003</v>
      </c>
      <c r="D151" s="59">
        <v>-0.03</v>
      </c>
      <c r="E151" s="60">
        <f t="shared" si="2"/>
        <v>0.75</v>
      </c>
      <c r="F151" t="str" cm="1">
        <f t="array" ref="F151">IF(A151=MAX(IF(ROUND($B$2:$B$3722,4)=ROUND(B151,4),$A$2:$A$3722)),"Efficient","Inefficient")</f>
        <v>Inefficient</v>
      </c>
    </row>
    <row r="152" spans="1:6" x14ac:dyDescent="0.25">
      <c r="A152" cm="1">
        <f t="array" ref="A152">INDEX('Portfolio Weights Returns'!$B$9:$BJ$69,
INT((ROW(A151)-1)/COLUMNS('Portfolio Weights Returns'!$B$9:$BJ$69))+1,MOD(ROW(A151)-1,COLUMNS('Portfolio Weights Returns'!$B$9:$BJ$69))+1)</f>
        <v>-9.9195401786346588E-4</v>
      </c>
      <c r="B152">
        <v>1.6E-2</v>
      </c>
      <c r="C152" s="59">
        <v>0.27</v>
      </c>
      <c r="D152" s="59">
        <v>-0.02</v>
      </c>
      <c r="E152" s="60">
        <f t="shared" si="2"/>
        <v>0.75</v>
      </c>
      <c r="F152" t="str" cm="1">
        <f t="array" ref="F152">IF(A152=MAX(IF(ROUND($B$2:$B$3722,4)=ROUND(B152,4),$A$2:$A$3722)),"Efficient","Inefficient")</f>
        <v>Inefficient</v>
      </c>
    </row>
    <row r="153" spans="1:6" x14ac:dyDescent="0.25">
      <c r="A153" cm="1">
        <f t="array" ref="A153">INDEX('Portfolio Weights Returns'!$B$9:$BJ$69,
INT((ROW(A152)-1)/COLUMNS('Portfolio Weights Returns'!$B$9:$BJ$69))+1,MOD(ROW(A152)-1,COLUMNS('Portfolio Weights Returns'!$B$9:$BJ$69))+1)</f>
        <v>-9.8517284389678674E-4</v>
      </c>
      <c r="B153">
        <v>1.6E-2</v>
      </c>
      <c r="C153" s="59">
        <v>0.26</v>
      </c>
      <c r="D153" s="59">
        <v>-0.01</v>
      </c>
      <c r="E153" s="60">
        <f t="shared" si="2"/>
        <v>0.75</v>
      </c>
      <c r="F153" t="str" cm="1">
        <f t="array" ref="F153">IF(A153=MAX(IF(ROUND($B$2:$B$3722,4)=ROUND(B153,4),$A$2:$A$3722)),"Efficient","Inefficient")</f>
        <v>Inefficient</v>
      </c>
    </row>
    <row r="154" spans="1:6" x14ac:dyDescent="0.25">
      <c r="A154" cm="1">
        <f t="array" ref="A154">INDEX('Portfolio Weights Returns'!$B$9:$BJ$69,
INT((ROW(A153)-1)/COLUMNS('Portfolio Weights Returns'!$B$9:$BJ$69))+1,MOD(ROW(A153)-1,COLUMNS('Portfolio Weights Returns'!$B$9:$BJ$69))+1)</f>
        <v>-9.7839166993010781E-4</v>
      </c>
      <c r="B154">
        <v>1.6E-2</v>
      </c>
      <c r="C154" s="59">
        <v>0.25</v>
      </c>
      <c r="D154" s="59">
        <v>0</v>
      </c>
      <c r="E154" s="60">
        <f t="shared" si="2"/>
        <v>0.75</v>
      </c>
      <c r="F154" t="str" cm="1">
        <f t="array" ref="F154">IF(A154=MAX(IF(ROUND($B$2:$B$3722,4)=ROUND(B154,4),$A$2:$A$3722)),"Efficient","Inefficient")</f>
        <v>Inefficient</v>
      </c>
    </row>
    <row r="155" spans="1:6" x14ac:dyDescent="0.25">
      <c r="A155" cm="1">
        <f t="array" ref="A155">INDEX('Portfolio Weights Returns'!$B$9:$BJ$69,
INT((ROW(A154)-1)/COLUMNS('Portfolio Weights Returns'!$B$9:$BJ$69))+1,MOD(ROW(A154)-1,COLUMNS('Portfolio Weights Returns'!$B$9:$BJ$69))+1)</f>
        <v>-9.7161049596342867E-4</v>
      </c>
      <c r="B155">
        <v>1.6E-2</v>
      </c>
      <c r="C155" s="59">
        <v>0.24</v>
      </c>
      <c r="D155" s="59">
        <v>0.01</v>
      </c>
      <c r="E155" s="60">
        <f t="shared" si="2"/>
        <v>0.75</v>
      </c>
      <c r="F155" t="str" cm="1">
        <f t="array" ref="F155">IF(A155=MAX(IF(ROUND($B$2:$B$3722,4)=ROUND(B155,4),$A$2:$A$3722)),"Efficient","Inefficient")</f>
        <v>Inefficient</v>
      </c>
    </row>
    <row r="156" spans="1:6" x14ac:dyDescent="0.25">
      <c r="A156" cm="1">
        <f t="array" ref="A156">INDEX('Portfolio Weights Returns'!$B$9:$BJ$69,
INT((ROW(A155)-1)/COLUMNS('Portfolio Weights Returns'!$B$9:$BJ$69))+1,MOD(ROW(A155)-1,COLUMNS('Portfolio Weights Returns'!$B$9:$BJ$69))+1)</f>
        <v>-9.6482932199674952E-4</v>
      </c>
      <c r="B156">
        <v>1.6E-2</v>
      </c>
      <c r="C156" s="59">
        <v>0.24</v>
      </c>
      <c r="D156" s="59">
        <v>0.02</v>
      </c>
      <c r="E156" s="60">
        <f t="shared" si="2"/>
        <v>0.74</v>
      </c>
      <c r="F156" t="str" cm="1">
        <f t="array" ref="F156">IF(A156=MAX(IF(ROUND($B$2:$B$3722,4)=ROUND(B156,4),$A$2:$A$3722)),"Efficient","Inefficient")</f>
        <v>Inefficient</v>
      </c>
    </row>
    <row r="157" spans="1:6" x14ac:dyDescent="0.25">
      <c r="A157" cm="1">
        <f t="array" ref="A157">INDEX('Portfolio Weights Returns'!$B$9:$BJ$69,
INT((ROW(A156)-1)/COLUMNS('Portfolio Weights Returns'!$B$9:$BJ$69))+1,MOD(ROW(A156)-1,COLUMNS('Portfolio Weights Returns'!$B$9:$BJ$69))+1)</f>
        <v>-9.5804814803007049E-4</v>
      </c>
      <c r="B157">
        <v>1.6E-2</v>
      </c>
      <c r="C157" s="59">
        <v>0.23</v>
      </c>
      <c r="D157" s="59">
        <v>0.03</v>
      </c>
      <c r="E157" s="60">
        <f t="shared" si="2"/>
        <v>0.74</v>
      </c>
      <c r="F157" t="str" cm="1">
        <f t="array" ref="F157">IF(A157=MAX(IF(ROUND($B$2:$B$3722,4)=ROUND(B157,4),$A$2:$A$3722)),"Efficient","Inefficient")</f>
        <v>Inefficient</v>
      </c>
    </row>
    <row r="158" spans="1:6" x14ac:dyDescent="0.25">
      <c r="A158" cm="1">
        <f t="array" ref="A158">INDEX('Portfolio Weights Returns'!$B$9:$BJ$69,
INT((ROW(A157)-1)/COLUMNS('Portfolio Weights Returns'!$B$9:$BJ$69))+1,MOD(ROW(A157)-1,COLUMNS('Portfolio Weights Returns'!$B$9:$BJ$69))+1)</f>
        <v>-9.5126697406339134E-4</v>
      </c>
      <c r="B158">
        <v>1.6E-2</v>
      </c>
      <c r="C158" s="59">
        <v>0.23</v>
      </c>
      <c r="D158" s="59">
        <v>0.04</v>
      </c>
      <c r="E158" s="60">
        <f t="shared" si="2"/>
        <v>0.73</v>
      </c>
      <c r="F158" t="str" cm="1">
        <f t="array" ref="F158">IF(A158=MAX(IF(ROUND($B$2:$B$3722,4)=ROUND(B158,4),$A$2:$A$3722)),"Efficient","Inefficient")</f>
        <v>Inefficient</v>
      </c>
    </row>
    <row r="159" spans="1:6" x14ac:dyDescent="0.25">
      <c r="A159" cm="1">
        <f t="array" ref="A159">INDEX('Portfolio Weights Returns'!$B$9:$BJ$69,
INT((ROW(A158)-1)/COLUMNS('Portfolio Weights Returns'!$B$9:$BJ$69))+1,MOD(ROW(A158)-1,COLUMNS('Portfolio Weights Returns'!$B$9:$BJ$69))+1)</f>
        <v>-9.4448580009671231E-4</v>
      </c>
      <c r="B159">
        <v>1.6E-2</v>
      </c>
      <c r="C159" s="59">
        <v>0.22</v>
      </c>
      <c r="D159" s="59">
        <v>0.05</v>
      </c>
      <c r="E159" s="60">
        <f t="shared" si="2"/>
        <v>0.73</v>
      </c>
      <c r="F159" t="str" cm="1">
        <f t="array" ref="F159">IF(A159=MAX(IF(ROUND($B$2:$B$3722,4)=ROUND(B159,4),$A$2:$A$3722)),"Efficient","Inefficient")</f>
        <v>Inefficient</v>
      </c>
    </row>
    <row r="160" spans="1:6" x14ac:dyDescent="0.25">
      <c r="A160" cm="1">
        <f t="array" ref="A160">INDEX('Portfolio Weights Returns'!$B$9:$BJ$69,
INT((ROW(A159)-1)/COLUMNS('Portfolio Weights Returns'!$B$9:$BJ$69))+1,MOD(ROW(A159)-1,COLUMNS('Portfolio Weights Returns'!$B$9:$BJ$69))+1)</f>
        <v>-9.3770462613003316E-4</v>
      </c>
      <c r="B160">
        <v>1.6E-2</v>
      </c>
      <c r="C160" s="59">
        <v>0.22</v>
      </c>
      <c r="D160" s="59">
        <v>0.06</v>
      </c>
      <c r="E160" s="60">
        <f t="shared" si="2"/>
        <v>0.72</v>
      </c>
      <c r="F160" t="str" cm="1">
        <f t="array" ref="F160">IF(A160=MAX(IF(ROUND($B$2:$B$3722,4)=ROUND(B160,4),$A$2:$A$3722)),"Efficient","Inefficient")</f>
        <v>Inefficient</v>
      </c>
    </row>
    <row r="161" spans="1:6" x14ac:dyDescent="0.25">
      <c r="A161" cm="1">
        <f t="array" ref="A161">INDEX('Portfolio Weights Returns'!$B$9:$BJ$69,
INT((ROW(A160)-1)/COLUMNS('Portfolio Weights Returns'!$B$9:$BJ$69))+1,MOD(ROW(A160)-1,COLUMNS('Portfolio Weights Returns'!$B$9:$BJ$69))+1)</f>
        <v>-9.3092345216335402E-4</v>
      </c>
      <c r="B161">
        <v>1.6E-2</v>
      </c>
      <c r="C161" s="59">
        <v>0.22</v>
      </c>
      <c r="D161" s="59">
        <v>7.0000000000000007E-2</v>
      </c>
      <c r="E161" s="60">
        <f t="shared" si="2"/>
        <v>0.71</v>
      </c>
      <c r="F161" t="str" cm="1">
        <f t="array" ref="F161">IF(A161=MAX(IF(ROUND($B$2:$B$3722,4)=ROUND(B161,4),$A$2:$A$3722)),"Efficient","Inefficient")</f>
        <v>Inefficient</v>
      </c>
    </row>
    <row r="162" spans="1:6" x14ac:dyDescent="0.25">
      <c r="A162" cm="1">
        <f t="array" ref="A162">INDEX('Portfolio Weights Returns'!$B$9:$BJ$69,
INT((ROW(A161)-1)/COLUMNS('Portfolio Weights Returns'!$B$9:$BJ$69))+1,MOD(ROW(A161)-1,COLUMNS('Portfolio Weights Returns'!$B$9:$BJ$69))+1)</f>
        <v>-9.2414227819667509E-4</v>
      </c>
      <c r="B162">
        <v>1.6E-2</v>
      </c>
      <c r="C162" s="59">
        <v>0.21</v>
      </c>
      <c r="D162" s="59">
        <v>0.08</v>
      </c>
      <c r="E162" s="60">
        <f t="shared" si="2"/>
        <v>0.71000000000000008</v>
      </c>
      <c r="F162" t="str" cm="1">
        <f t="array" ref="F162">IF(A162=MAX(IF(ROUND($B$2:$B$3722,4)=ROUND(B162,4),$A$2:$A$3722)),"Efficient","Inefficient")</f>
        <v>Inefficient</v>
      </c>
    </row>
    <row r="163" spans="1:6" x14ac:dyDescent="0.25">
      <c r="A163" cm="1">
        <f t="array" ref="A163">INDEX('Portfolio Weights Returns'!$B$9:$BJ$69,
INT((ROW(A162)-1)/COLUMNS('Portfolio Weights Returns'!$B$9:$BJ$69))+1,MOD(ROW(A162)-1,COLUMNS('Portfolio Weights Returns'!$B$9:$BJ$69))+1)</f>
        <v>-9.1736110422999573E-4</v>
      </c>
      <c r="B163">
        <v>1.6E-2</v>
      </c>
      <c r="C163" s="59">
        <v>0.21</v>
      </c>
      <c r="D163" s="59">
        <v>0.09</v>
      </c>
      <c r="E163" s="60">
        <f t="shared" si="2"/>
        <v>0.70000000000000007</v>
      </c>
      <c r="F163" t="str" cm="1">
        <f t="array" ref="F163">IF(A163=MAX(IF(ROUND($B$2:$B$3722,4)=ROUND(B163,4),$A$2:$A$3722)),"Efficient","Inefficient")</f>
        <v>Inefficient</v>
      </c>
    </row>
    <row r="164" spans="1:6" x14ac:dyDescent="0.25">
      <c r="A164" cm="1">
        <f t="array" ref="A164">INDEX('Portfolio Weights Returns'!$B$9:$BJ$69,
INT((ROW(A163)-1)/COLUMNS('Portfolio Weights Returns'!$B$9:$BJ$69))+1,MOD(ROW(A163)-1,COLUMNS('Portfolio Weights Returns'!$B$9:$BJ$69))+1)</f>
        <v>-9.1057993026331691E-4</v>
      </c>
      <c r="B164">
        <v>1.6E-2</v>
      </c>
      <c r="C164" s="59">
        <v>0.21</v>
      </c>
      <c r="D164" s="59">
        <v>0.1</v>
      </c>
      <c r="E164" s="60">
        <f t="shared" si="2"/>
        <v>0.69000000000000006</v>
      </c>
      <c r="F164" t="str" cm="1">
        <f t="array" ref="F164">IF(A164=MAX(IF(ROUND($B$2:$B$3722,4)=ROUND(B164,4),$A$2:$A$3722)),"Efficient","Inefficient")</f>
        <v>Inefficient</v>
      </c>
    </row>
    <row r="165" spans="1:6" x14ac:dyDescent="0.25">
      <c r="A165" cm="1">
        <f t="array" ref="A165">INDEX('Portfolio Weights Returns'!$B$9:$BJ$69,
INT((ROW(A164)-1)/COLUMNS('Portfolio Weights Returns'!$B$9:$BJ$69))+1,MOD(ROW(A164)-1,COLUMNS('Portfolio Weights Returns'!$B$9:$BJ$69))+1)</f>
        <v>-9.0379875629663755E-4</v>
      </c>
      <c r="B165">
        <v>1.6E-2</v>
      </c>
      <c r="C165" s="59">
        <v>0.21</v>
      </c>
      <c r="D165" s="59">
        <v>0.11</v>
      </c>
      <c r="E165" s="60">
        <f t="shared" si="2"/>
        <v>0.68</v>
      </c>
      <c r="F165" t="str" cm="1">
        <f t="array" ref="F165">IF(A165=MAX(IF(ROUND($B$2:$B$3722,4)=ROUND(B165,4),$A$2:$A$3722)),"Efficient","Inefficient")</f>
        <v>Inefficient</v>
      </c>
    </row>
    <row r="166" spans="1:6" x14ac:dyDescent="0.25">
      <c r="A166" cm="1">
        <f t="array" ref="A166">INDEX('Portfolio Weights Returns'!$B$9:$BJ$69,
INT((ROW(A165)-1)/COLUMNS('Portfolio Weights Returns'!$B$9:$BJ$69))+1,MOD(ROW(A165)-1,COLUMNS('Portfolio Weights Returns'!$B$9:$BJ$69))+1)</f>
        <v>-8.9701758232995862E-4</v>
      </c>
      <c r="B166">
        <v>1.6E-2</v>
      </c>
      <c r="C166" s="59">
        <v>0.21</v>
      </c>
      <c r="D166" s="59">
        <v>0.12</v>
      </c>
      <c r="E166" s="60">
        <f t="shared" si="2"/>
        <v>0.67</v>
      </c>
      <c r="F166" t="str" cm="1">
        <f t="array" ref="F166">IF(A166=MAX(IF(ROUND($B$2:$B$3722,4)=ROUND(B166,4),$A$2:$A$3722)),"Efficient","Inefficient")</f>
        <v>Inefficient</v>
      </c>
    </row>
    <row r="167" spans="1:6" x14ac:dyDescent="0.25">
      <c r="A167" cm="1">
        <f t="array" ref="A167">INDEX('Portfolio Weights Returns'!$B$9:$BJ$69,
INT((ROW(A166)-1)/COLUMNS('Portfolio Weights Returns'!$B$9:$BJ$69))+1,MOD(ROW(A166)-1,COLUMNS('Portfolio Weights Returns'!$B$9:$BJ$69))+1)</f>
        <v>-8.9023640836327937E-4</v>
      </c>
      <c r="B167">
        <v>1.6E-2</v>
      </c>
      <c r="C167" s="59">
        <v>0.22</v>
      </c>
      <c r="D167" s="59">
        <v>0.12</v>
      </c>
      <c r="E167" s="60">
        <f t="shared" si="2"/>
        <v>0.66</v>
      </c>
      <c r="F167" t="str" cm="1">
        <f t="array" ref="F167">IF(A167=MAX(IF(ROUND($B$2:$B$3722,4)=ROUND(B167,4),$A$2:$A$3722)),"Efficient","Inefficient")</f>
        <v>Inefficient</v>
      </c>
    </row>
    <row r="168" spans="1:6" x14ac:dyDescent="0.25">
      <c r="A168" cm="1">
        <f t="array" ref="A168">INDEX('Portfolio Weights Returns'!$B$9:$BJ$69,
INT((ROW(A167)-1)/COLUMNS('Portfolio Weights Returns'!$B$9:$BJ$69))+1,MOD(ROW(A167)-1,COLUMNS('Portfolio Weights Returns'!$B$9:$BJ$69))+1)</f>
        <v>-8.8345523439660044E-4</v>
      </c>
      <c r="B168">
        <v>1.6E-2</v>
      </c>
      <c r="C168" s="59">
        <v>0.22</v>
      </c>
      <c r="D168" s="59">
        <v>0.13</v>
      </c>
      <c r="E168" s="60">
        <f t="shared" si="2"/>
        <v>0.65</v>
      </c>
      <c r="F168" t="str" cm="1">
        <f t="array" ref="F168">IF(A168=MAX(IF(ROUND($B$2:$B$3722,4)=ROUND(B168,4),$A$2:$A$3722)),"Efficient","Inefficient")</f>
        <v>Inefficient</v>
      </c>
    </row>
    <row r="169" spans="1:6" x14ac:dyDescent="0.25">
      <c r="A169" cm="1">
        <f t="array" ref="A169">INDEX('Portfolio Weights Returns'!$B$9:$BJ$69,
INT((ROW(A168)-1)/COLUMNS('Portfolio Weights Returns'!$B$9:$BJ$69))+1,MOD(ROW(A168)-1,COLUMNS('Portfolio Weights Returns'!$B$9:$BJ$69))+1)</f>
        <v>-8.7667406042992108E-4</v>
      </c>
      <c r="B169">
        <v>1.6E-2</v>
      </c>
      <c r="C169" s="59">
        <v>0.22</v>
      </c>
      <c r="D169" s="59">
        <v>0.14000000000000001</v>
      </c>
      <c r="E169" s="60">
        <f t="shared" si="2"/>
        <v>0.64</v>
      </c>
      <c r="F169" t="str" cm="1">
        <f t="array" ref="F169">IF(A169=MAX(IF(ROUND($B$2:$B$3722,4)=ROUND(B169,4),$A$2:$A$3722)),"Efficient","Inefficient")</f>
        <v>Inefficient</v>
      </c>
    </row>
    <row r="170" spans="1:6" x14ac:dyDescent="0.25">
      <c r="A170" cm="1">
        <f t="array" ref="A170">INDEX('Portfolio Weights Returns'!$B$9:$BJ$69,
INT((ROW(A169)-1)/COLUMNS('Portfolio Weights Returns'!$B$9:$BJ$69))+1,MOD(ROW(A169)-1,COLUMNS('Portfolio Weights Returns'!$B$9:$BJ$69))+1)</f>
        <v>-8.6989288646324226E-4</v>
      </c>
      <c r="B170">
        <v>1.6E-2</v>
      </c>
      <c r="C170" s="59">
        <v>0.23</v>
      </c>
      <c r="D170" s="59">
        <v>0.15</v>
      </c>
      <c r="E170" s="60">
        <f t="shared" si="2"/>
        <v>0.62</v>
      </c>
      <c r="F170" t="str" cm="1">
        <f t="array" ref="F170">IF(A170=MAX(IF(ROUND($B$2:$B$3722,4)=ROUND(B170,4),$A$2:$A$3722)),"Efficient","Inefficient")</f>
        <v>Inefficient</v>
      </c>
    </row>
    <row r="171" spans="1:6" x14ac:dyDescent="0.25">
      <c r="A171" cm="1">
        <f t="array" ref="A171">INDEX('Portfolio Weights Returns'!$B$9:$BJ$69,
INT((ROW(A170)-1)/COLUMNS('Portfolio Weights Returns'!$B$9:$BJ$69))+1,MOD(ROW(A170)-1,COLUMNS('Portfolio Weights Returns'!$B$9:$BJ$69))+1)</f>
        <v>-8.631117124965629E-4</v>
      </c>
      <c r="B171">
        <v>1.6E-2</v>
      </c>
      <c r="C171" s="59">
        <v>0.23</v>
      </c>
      <c r="D171" s="59">
        <v>0.16</v>
      </c>
      <c r="E171" s="60">
        <f t="shared" si="2"/>
        <v>0.61</v>
      </c>
      <c r="F171" t="str" cm="1">
        <f t="array" ref="F171">IF(A171=MAX(IF(ROUND($B$2:$B$3722,4)=ROUND(B171,4),$A$2:$A$3722)),"Efficient","Inefficient")</f>
        <v>Inefficient</v>
      </c>
    </row>
    <row r="172" spans="1:6" x14ac:dyDescent="0.25">
      <c r="A172" cm="1">
        <f t="array" ref="A172">INDEX('Portfolio Weights Returns'!$B$9:$BJ$69,
INT((ROW(A171)-1)/COLUMNS('Portfolio Weights Returns'!$B$9:$BJ$69))+1,MOD(ROW(A171)-1,COLUMNS('Portfolio Weights Returns'!$B$9:$BJ$69))+1)</f>
        <v>-8.5633053852988386E-4</v>
      </c>
      <c r="B172">
        <v>1.6E-2</v>
      </c>
      <c r="C172" s="59">
        <v>0.24</v>
      </c>
      <c r="D172" s="59">
        <v>0.16</v>
      </c>
      <c r="E172" s="60">
        <f t="shared" si="2"/>
        <v>0.6</v>
      </c>
      <c r="F172" t="str" cm="1">
        <f t="array" ref="F172">IF(A172=MAX(IF(ROUND($B$2:$B$3722,4)=ROUND(B172,4),$A$2:$A$3722)),"Efficient","Inefficient")</f>
        <v>Inefficient</v>
      </c>
    </row>
    <row r="173" spans="1:6" x14ac:dyDescent="0.25">
      <c r="A173" cm="1">
        <f t="array" ref="A173">INDEX('Portfolio Weights Returns'!$B$9:$BJ$69,
INT((ROW(A172)-1)/COLUMNS('Portfolio Weights Returns'!$B$9:$BJ$69))+1,MOD(ROW(A172)-1,COLUMNS('Portfolio Weights Returns'!$B$9:$BJ$69))+1)</f>
        <v>-8.4954936456320483E-4</v>
      </c>
      <c r="B173">
        <v>1.6E-2</v>
      </c>
      <c r="C173" s="59">
        <v>0.24</v>
      </c>
      <c r="D173" s="59">
        <v>0.17</v>
      </c>
      <c r="E173" s="60">
        <f t="shared" si="2"/>
        <v>0.59</v>
      </c>
      <c r="F173" t="str" cm="1">
        <f t="array" ref="F173">IF(A173=MAX(IF(ROUND($B$2:$B$3722,4)=ROUND(B173,4),$A$2:$A$3722)),"Efficient","Inefficient")</f>
        <v>Inefficient</v>
      </c>
    </row>
    <row r="174" spans="1:6" x14ac:dyDescent="0.25">
      <c r="A174" cm="1">
        <f t="array" ref="A174">INDEX('Portfolio Weights Returns'!$B$9:$BJ$69,
INT((ROW(A173)-1)/COLUMNS('Portfolio Weights Returns'!$B$9:$BJ$69))+1,MOD(ROW(A173)-1,COLUMNS('Portfolio Weights Returns'!$B$9:$BJ$69))+1)</f>
        <v>-8.4276819059652568E-4</v>
      </c>
      <c r="B174">
        <v>1.6E-2</v>
      </c>
      <c r="C174" s="59">
        <v>0.25</v>
      </c>
      <c r="D174" s="59">
        <v>0.17</v>
      </c>
      <c r="E174" s="60">
        <f t="shared" si="2"/>
        <v>0.57999999999999996</v>
      </c>
      <c r="F174" t="str" cm="1">
        <f t="array" ref="F174">IF(A174=MAX(IF(ROUND($B$2:$B$3722,4)=ROUND(B174,4),$A$2:$A$3722)),"Efficient","Inefficient")</f>
        <v>Inefficient</v>
      </c>
    </row>
    <row r="175" spans="1:6" x14ac:dyDescent="0.25">
      <c r="A175" cm="1">
        <f t="array" ref="A175">INDEX('Portfolio Weights Returns'!$B$9:$BJ$69,
INT((ROW(A174)-1)/COLUMNS('Portfolio Weights Returns'!$B$9:$BJ$69))+1,MOD(ROW(A174)-1,COLUMNS('Portfolio Weights Returns'!$B$9:$BJ$69))+1)</f>
        <v>-8.3598701662984665E-4</v>
      </c>
      <c r="B175">
        <v>1.6E-2</v>
      </c>
      <c r="C175" s="59">
        <v>0.26</v>
      </c>
      <c r="D175" s="59">
        <v>0.18</v>
      </c>
      <c r="E175" s="60">
        <f t="shared" si="2"/>
        <v>0.56000000000000005</v>
      </c>
      <c r="F175" t="str" cm="1">
        <f t="array" ref="F175">IF(A175=MAX(IF(ROUND($B$2:$B$3722,4)=ROUND(B175,4),$A$2:$A$3722)),"Efficient","Inefficient")</f>
        <v>Inefficient</v>
      </c>
    </row>
    <row r="176" spans="1:6" x14ac:dyDescent="0.25">
      <c r="A176" cm="1">
        <f t="array" ref="A176">INDEX('Portfolio Weights Returns'!$B$9:$BJ$69,
INT((ROW(A175)-1)/COLUMNS('Portfolio Weights Returns'!$B$9:$BJ$69))+1,MOD(ROW(A175)-1,COLUMNS('Portfolio Weights Returns'!$B$9:$BJ$69))+1)</f>
        <v>-8.292058426631675E-4</v>
      </c>
      <c r="B176">
        <v>1.6E-2</v>
      </c>
      <c r="C176" s="59">
        <v>0.27</v>
      </c>
      <c r="D176" s="59">
        <v>0.18</v>
      </c>
      <c r="E176" s="60">
        <f t="shared" si="2"/>
        <v>0.55000000000000004</v>
      </c>
      <c r="F176" t="str" cm="1">
        <f t="array" ref="F176">IF(A176=MAX(IF(ROUND($B$2:$B$3722,4)=ROUND(B176,4),$A$2:$A$3722)),"Efficient","Inefficient")</f>
        <v>Inefficient</v>
      </c>
    </row>
    <row r="177" spans="1:6" x14ac:dyDescent="0.25">
      <c r="A177" cm="1">
        <f t="array" ref="A177">INDEX('Portfolio Weights Returns'!$B$9:$BJ$69,
INT((ROW(A176)-1)/COLUMNS('Portfolio Weights Returns'!$B$9:$BJ$69))+1,MOD(ROW(A176)-1,COLUMNS('Portfolio Weights Returns'!$B$9:$BJ$69))+1)</f>
        <v>-8.2242466869648847E-4</v>
      </c>
      <c r="B177">
        <v>1.6E-2</v>
      </c>
      <c r="C177" s="59">
        <v>0.27</v>
      </c>
      <c r="D177" s="59">
        <v>0.19</v>
      </c>
      <c r="E177" s="60">
        <f t="shared" si="2"/>
        <v>0.54</v>
      </c>
      <c r="F177" t="str" cm="1">
        <f t="array" ref="F177">IF(A177=MAX(IF(ROUND($B$2:$B$3722,4)=ROUND(B177,4),$A$2:$A$3722)),"Efficient","Inefficient")</f>
        <v>Inefficient</v>
      </c>
    </row>
    <row r="178" spans="1:6" x14ac:dyDescent="0.25">
      <c r="A178" cm="1">
        <f t="array" ref="A178">INDEX('Portfolio Weights Returns'!$B$9:$BJ$69,
INT((ROW(A177)-1)/COLUMNS('Portfolio Weights Returns'!$B$9:$BJ$69))+1,MOD(ROW(A177)-1,COLUMNS('Portfolio Weights Returns'!$B$9:$BJ$69))+1)</f>
        <v>-8.1564349472980932E-4</v>
      </c>
      <c r="B178">
        <v>1.6E-2</v>
      </c>
      <c r="C178" s="59">
        <v>0.28000000000000003</v>
      </c>
      <c r="D178" s="59">
        <v>0.19</v>
      </c>
      <c r="E178" s="60">
        <f t="shared" si="2"/>
        <v>0.53</v>
      </c>
      <c r="F178" t="str" cm="1">
        <f t="array" ref="F178">IF(A178=MAX(IF(ROUND($B$2:$B$3722,4)=ROUND(B178,4),$A$2:$A$3722)),"Efficient","Inefficient")</f>
        <v>Inefficient</v>
      </c>
    </row>
    <row r="179" spans="1:6" x14ac:dyDescent="0.25">
      <c r="A179" cm="1">
        <f t="array" ref="A179">INDEX('Portfolio Weights Returns'!$B$9:$BJ$69,
INT((ROW(A178)-1)/COLUMNS('Portfolio Weights Returns'!$B$9:$BJ$69))+1,MOD(ROW(A178)-1,COLUMNS('Portfolio Weights Returns'!$B$9:$BJ$69))+1)</f>
        <v>-8.0886232076313018E-4</v>
      </c>
      <c r="B179">
        <v>1.6E-2</v>
      </c>
      <c r="C179" s="59">
        <v>0.28999999999999998</v>
      </c>
      <c r="D179" s="59">
        <v>0.19</v>
      </c>
      <c r="E179" s="60">
        <f t="shared" si="2"/>
        <v>0.52</v>
      </c>
      <c r="F179" t="str" cm="1">
        <f t="array" ref="F179">IF(A179=MAX(IF(ROUND($B$2:$B$3722,4)=ROUND(B179,4),$A$2:$A$3722)),"Efficient","Inefficient")</f>
        <v>Inefficient</v>
      </c>
    </row>
    <row r="180" spans="1:6" x14ac:dyDescent="0.25">
      <c r="A180" cm="1">
        <f t="array" ref="A180">INDEX('Portfolio Weights Returns'!$B$9:$BJ$69,
INT((ROW(A179)-1)/COLUMNS('Portfolio Weights Returns'!$B$9:$BJ$69))+1,MOD(ROW(A179)-1,COLUMNS('Portfolio Weights Returns'!$B$9:$BJ$69))+1)</f>
        <v>-8.0208114679645103E-4</v>
      </c>
      <c r="B180">
        <v>1.6E-2</v>
      </c>
      <c r="C180" s="59">
        <v>0.3</v>
      </c>
      <c r="D180" s="59">
        <v>0.2</v>
      </c>
      <c r="E180" s="60">
        <f t="shared" si="2"/>
        <v>0.5</v>
      </c>
      <c r="F180" t="str" cm="1">
        <f t="array" ref="F180">IF(A180=MAX(IF(ROUND($B$2:$B$3722,4)=ROUND(B180,4),$A$2:$A$3722)),"Efficient","Inefficient")</f>
        <v>Efficient</v>
      </c>
    </row>
    <row r="181" spans="1:6" x14ac:dyDescent="0.25">
      <c r="A181" cm="1">
        <f t="array" ref="A181">INDEX('Portfolio Weights Returns'!$B$9:$BJ$69,
INT((ROW(A180)-1)/COLUMNS('Portfolio Weights Returns'!$B$9:$BJ$69))+1,MOD(ROW(A180)-1,COLUMNS('Portfolio Weights Returns'!$B$9:$BJ$69))+1)</f>
        <v>-7.9529997282977124E-4</v>
      </c>
      <c r="B181">
        <v>1.61E-2</v>
      </c>
      <c r="C181" s="59">
        <v>0.3</v>
      </c>
      <c r="D181" s="59">
        <v>-0.06</v>
      </c>
      <c r="E181" s="60">
        <f t="shared" si="2"/>
        <v>0.76</v>
      </c>
      <c r="F181" t="str" cm="1">
        <f t="array" ref="F181">IF(A181=MAX(IF(ROUND($B$2:$B$3722,4)=ROUND(B181,4),$A$2:$A$3722)),"Efficient","Inefficient")</f>
        <v>Inefficient</v>
      </c>
    </row>
    <row r="182" spans="1:6" x14ac:dyDescent="0.25">
      <c r="A182" cm="1">
        <f t="array" ref="A182">INDEX('Portfolio Weights Returns'!$B$9:$BJ$69,
INT((ROW(A181)-1)/COLUMNS('Portfolio Weights Returns'!$B$9:$BJ$69))+1,MOD(ROW(A181)-1,COLUMNS('Portfolio Weights Returns'!$B$9:$BJ$69))+1)</f>
        <v>-7.885187988630922E-4</v>
      </c>
      <c r="B182">
        <v>1.61E-2</v>
      </c>
      <c r="C182" s="59">
        <v>0.28999999999999998</v>
      </c>
      <c r="D182" s="59">
        <v>-0.05</v>
      </c>
      <c r="E182" s="60">
        <f t="shared" si="2"/>
        <v>0.76</v>
      </c>
      <c r="F182" t="str" cm="1">
        <f t="array" ref="F182">IF(A182=MAX(IF(ROUND($B$2:$B$3722,4)=ROUND(B182,4),$A$2:$A$3722)),"Efficient","Inefficient")</f>
        <v>Inefficient</v>
      </c>
    </row>
    <row r="183" spans="1:6" x14ac:dyDescent="0.25">
      <c r="A183" cm="1">
        <f t="array" ref="A183">INDEX('Portfolio Weights Returns'!$B$9:$BJ$69,
INT((ROW(A182)-1)/COLUMNS('Portfolio Weights Returns'!$B$9:$BJ$69))+1,MOD(ROW(A182)-1,COLUMNS('Portfolio Weights Returns'!$B$9:$BJ$69))+1)</f>
        <v>-7.8173762489641306E-4</v>
      </c>
      <c r="B183">
        <v>1.61E-2</v>
      </c>
      <c r="C183" s="59">
        <v>0.28000000000000003</v>
      </c>
      <c r="D183" s="59">
        <v>-0.04</v>
      </c>
      <c r="E183" s="60">
        <f t="shared" si="2"/>
        <v>0.76</v>
      </c>
      <c r="F183" t="str" cm="1">
        <f t="array" ref="F183">IF(A183=MAX(IF(ROUND($B$2:$B$3722,4)=ROUND(B183,4),$A$2:$A$3722)),"Efficient","Inefficient")</f>
        <v>Inefficient</v>
      </c>
    </row>
    <row r="184" spans="1:6" x14ac:dyDescent="0.25">
      <c r="A184" cm="1">
        <f t="array" ref="A184">INDEX('Portfolio Weights Returns'!$B$9:$BJ$69,
INT((ROW(A183)-1)/COLUMNS('Portfolio Weights Returns'!$B$9:$BJ$69))+1,MOD(ROW(A183)-1,COLUMNS('Portfolio Weights Returns'!$B$9:$BJ$69))+1)</f>
        <v>-7.7495645092973402E-4</v>
      </c>
      <c r="B184">
        <v>1.61E-2</v>
      </c>
      <c r="C184" s="59">
        <v>0.27</v>
      </c>
      <c r="D184" s="59">
        <v>-0.03</v>
      </c>
      <c r="E184" s="60">
        <f t="shared" si="2"/>
        <v>0.76</v>
      </c>
      <c r="F184" t="str" cm="1">
        <f t="array" ref="F184">IF(A184=MAX(IF(ROUND($B$2:$B$3722,4)=ROUND(B184,4),$A$2:$A$3722)),"Efficient","Inefficient")</f>
        <v>Efficient</v>
      </c>
    </row>
    <row r="185" spans="1:6" x14ac:dyDescent="0.25">
      <c r="A185" cm="1">
        <f t="array" ref="A185">INDEX('Portfolio Weights Returns'!$B$9:$BJ$69,
INT((ROW(A184)-1)/COLUMNS('Portfolio Weights Returns'!$B$9:$BJ$69))+1,MOD(ROW(A184)-1,COLUMNS('Portfolio Weights Returns'!$B$9:$BJ$69))+1)</f>
        <v>-1.1752526810850259E-3</v>
      </c>
      <c r="B185">
        <v>1.61E-2</v>
      </c>
      <c r="C185" s="59">
        <v>0.26</v>
      </c>
      <c r="D185" s="59">
        <v>-0.02</v>
      </c>
      <c r="E185" s="60">
        <f t="shared" si="2"/>
        <v>0.76</v>
      </c>
      <c r="F185" t="str" cm="1">
        <f t="array" ref="F185">IF(A185=MAX(IF(ROUND($B$2:$B$3722,4)=ROUND(B185,4),$A$2:$A$3722)),"Efficient","Inefficient")</f>
        <v>Inefficient</v>
      </c>
    </row>
    <row r="186" spans="1:6" x14ac:dyDescent="0.25">
      <c r="A186" cm="1">
        <f t="array" ref="A186">INDEX('Portfolio Weights Returns'!$B$9:$BJ$69,
INT((ROW(A185)-1)/COLUMNS('Portfolio Weights Returns'!$B$9:$BJ$69))+1,MOD(ROW(A185)-1,COLUMNS('Portfolio Weights Returns'!$B$9:$BJ$69))+1)</f>
        <v>-1.1684715071183466E-3</v>
      </c>
      <c r="B186">
        <v>1.61E-2</v>
      </c>
      <c r="C186" s="59">
        <v>0.25</v>
      </c>
      <c r="D186" s="59">
        <v>-0.01</v>
      </c>
      <c r="E186" s="60">
        <f t="shared" si="2"/>
        <v>0.76</v>
      </c>
      <c r="F186" t="str" cm="1">
        <f t="array" ref="F186">IF(A186=MAX(IF(ROUND($B$2:$B$3722,4)=ROUND(B186,4),$A$2:$A$3722)),"Efficient","Inefficient")</f>
        <v>Inefficient</v>
      </c>
    </row>
    <row r="187" spans="1:6" x14ac:dyDescent="0.25">
      <c r="A187" cm="1">
        <f t="array" ref="A187">INDEX('Portfolio Weights Returns'!$B$9:$BJ$69,
INT((ROW(A186)-1)/COLUMNS('Portfolio Weights Returns'!$B$9:$BJ$69))+1,MOD(ROW(A186)-1,COLUMNS('Portfolio Weights Returns'!$B$9:$BJ$69))+1)</f>
        <v>-1.1616903331516674E-3</v>
      </c>
      <c r="B187">
        <v>1.61E-2</v>
      </c>
      <c r="C187" s="59">
        <v>0.24</v>
      </c>
      <c r="D187" s="59">
        <v>0</v>
      </c>
      <c r="E187" s="60">
        <f t="shared" si="2"/>
        <v>0.76</v>
      </c>
      <c r="F187" t="str" cm="1">
        <f t="array" ref="F187">IF(A187=MAX(IF(ROUND($B$2:$B$3722,4)=ROUND(B187,4),$A$2:$A$3722)),"Efficient","Inefficient")</f>
        <v>Inefficient</v>
      </c>
    </row>
    <row r="188" spans="1:6" x14ac:dyDescent="0.25">
      <c r="A188" cm="1">
        <f t="array" ref="A188">INDEX('Portfolio Weights Returns'!$B$9:$BJ$69,
INT((ROW(A187)-1)/COLUMNS('Portfolio Weights Returns'!$B$9:$BJ$69))+1,MOD(ROW(A187)-1,COLUMNS('Portfolio Weights Returns'!$B$9:$BJ$69))+1)</f>
        <v>-1.1549091591849883E-3</v>
      </c>
      <c r="B188">
        <v>1.61E-2</v>
      </c>
      <c r="C188" s="59">
        <v>0.23</v>
      </c>
      <c r="D188" s="59">
        <v>0.01</v>
      </c>
      <c r="E188" s="60">
        <f t="shared" si="2"/>
        <v>0.76</v>
      </c>
      <c r="F188" t="str" cm="1">
        <f t="array" ref="F188">IF(A188=MAX(IF(ROUND($B$2:$B$3722,4)=ROUND(B188,4),$A$2:$A$3722)),"Efficient","Inefficient")</f>
        <v>Inefficient</v>
      </c>
    </row>
    <row r="189" spans="1:6" x14ac:dyDescent="0.25">
      <c r="A189" cm="1">
        <f t="array" ref="A189">INDEX('Portfolio Weights Returns'!$B$9:$BJ$69,
INT((ROW(A188)-1)/COLUMNS('Portfolio Weights Returns'!$B$9:$BJ$69))+1,MOD(ROW(A188)-1,COLUMNS('Portfolio Weights Returns'!$B$9:$BJ$69))+1)</f>
        <v>-1.1481279852183094E-3</v>
      </c>
      <c r="B189">
        <v>1.61E-2</v>
      </c>
      <c r="C189" s="59">
        <v>0.23</v>
      </c>
      <c r="D189" s="59">
        <v>0.02</v>
      </c>
      <c r="E189" s="60">
        <f t="shared" si="2"/>
        <v>0.75</v>
      </c>
      <c r="F189" t="str" cm="1">
        <f t="array" ref="F189">IF(A189=MAX(IF(ROUND($B$2:$B$3722,4)=ROUND(B189,4),$A$2:$A$3722)),"Efficient","Inefficient")</f>
        <v>Inefficient</v>
      </c>
    </row>
    <row r="190" spans="1:6" x14ac:dyDescent="0.25">
      <c r="A190" cm="1">
        <f t="array" ref="A190">INDEX('Portfolio Weights Returns'!$B$9:$BJ$69,
INT((ROW(A189)-1)/COLUMNS('Portfolio Weights Returns'!$B$9:$BJ$69))+1,MOD(ROW(A189)-1,COLUMNS('Portfolio Weights Returns'!$B$9:$BJ$69))+1)</f>
        <v>-1.1413468112516302E-3</v>
      </c>
      <c r="B190">
        <v>1.61E-2</v>
      </c>
      <c r="C190" s="59">
        <v>0.22</v>
      </c>
      <c r="D190" s="59">
        <v>0.03</v>
      </c>
      <c r="E190" s="60">
        <f t="shared" si="2"/>
        <v>0.75</v>
      </c>
      <c r="F190" t="str" cm="1">
        <f t="array" ref="F190">IF(A190=MAX(IF(ROUND($B$2:$B$3722,4)=ROUND(B190,4),$A$2:$A$3722)),"Efficient","Inefficient")</f>
        <v>Inefficient</v>
      </c>
    </row>
    <row r="191" spans="1:6" x14ac:dyDescent="0.25">
      <c r="A191" cm="1">
        <f t="array" ref="A191">INDEX('Portfolio Weights Returns'!$B$9:$BJ$69,
INT((ROW(A190)-1)/COLUMNS('Portfolio Weights Returns'!$B$9:$BJ$69))+1,MOD(ROW(A190)-1,COLUMNS('Portfolio Weights Returns'!$B$9:$BJ$69))+1)</f>
        <v>-1.1345656372849511E-3</v>
      </c>
      <c r="B191">
        <v>1.61E-2</v>
      </c>
      <c r="C191" s="59">
        <v>0.22</v>
      </c>
      <c r="D191" s="59">
        <v>0.04</v>
      </c>
      <c r="E191" s="60">
        <f t="shared" si="2"/>
        <v>0.74</v>
      </c>
      <c r="F191" t="str" cm="1">
        <f t="array" ref="F191">IF(A191=MAX(IF(ROUND($B$2:$B$3722,4)=ROUND(B191,4),$A$2:$A$3722)),"Efficient","Inefficient")</f>
        <v>Inefficient</v>
      </c>
    </row>
    <row r="192" spans="1:6" x14ac:dyDescent="0.25">
      <c r="A192" cm="1">
        <f t="array" ref="A192">INDEX('Portfolio Weights Returns'!$B$9:$BJ$69,
INT((ROW(A191)-1)/COLUMNS('Portfolio Weights Returns'!$B$9:$BJ$69))+1,MOD(ROW(A191)-1,COLUMNS('Portfolio Weights Returns'!$B$9:$BJ$69))+1)</f>
        <v>-1.1277844633182719E-3</v>
      </c>
      <c r="B192">
        <v>1.61E-2</v>
      </c>
      <c r="C192" s="59">
        <v>0.21</v>
      </c>
      <c r="D192" s="59">
        <v>0.05</v>
      </c>
      <c r="E192" s="60">
        <f t="shared" si="2"/>
        <v>0.74</v>
      </c>
      <c r="F192" t="str" cm="1">
        <f t="array" ref="F192">IF(A192=MAX(IF(ROUND($B$2:$B$3722,4)=ROUND(B192,4),$A$2:$A$3722)),"Efficient","Inefficient")</f>
        <v>Inefficient</v>
      </c>
    </row>
    <row r="193" spans="1:6" x14ac:dyDescent="0.25">
      <c r="A193" cm="1">
        <f t="array" ref="A193">INDEX('Portfolio Weights Returns'!$B$9:$BJ$69,
INT((ROW(A192)-1)/COLUMNS('Portfolio Weights Returns'!$B$9:$BJ$69))+1,MOD(ROW(A192)-1,COLUMNS('Portfolio Weights Returns'!$B$9:$BJ$69))+1)</f>
        <v>-1.1210032893515928E-3</v>
      </c>
      <c r="B193">
        <v>1.61E-2</v>
      </c>
      <c r="C193" s="59">
        <v>0.21</v>
      </c>
      <c r="D193" s="59">
        <v>0.06</v>
      </c>
      <c r="E193" s="60">
        <f t="shared" si="2"/>
        <v>0.73</v>
      </c>
      <c r="F193" t="str" cm="1">
        <f t="array" ref="F193">IF(A193=MAX(IF(ROUND($B$2:$B$3722,4)=ROUND(B193,4),$A$2:$A$3722)),"Efficient","Inefficient")</f>
        <v>Inefficient</v>
      </c>
    </row>
    <row r="194" spans="1:6" x14ac:dyDescent="0.25">
      <c r="A194" cm="1">
        <f t="array" ref="A194">INDEX('Portfolio Weights Returns'!$B$9:$BJ$69,
INT((ROW(A193)-1)/COLUMNS('Portfolio Weights Returns'!$B$9:$BJ$69))+1,MOD(ROW(A193)-1,COLUMNS('Portfolio Weights Returns'!$B$9:$BJ$69))+1)</f>
        <v>-1.1142221153849139E-3</v>
      </c>
      <c r="B194">
        <v>1.61E-2</v>
      </c>
      <c r="C194" s="59">
        <v>0.2</v>
      </c>
      <c r="D194" s="59">
        <v>7.0000000000000007E-2</v>
      </c>
      <c r="E194" s="60">
        <f t="shared" ref="E194:E257" si="3">1-D194-C194</f>
        <v>0.73</v>
      </c>
      <c r="F194" t="str" cm="1">
        <f t="array" ref="F194">IF(A194=MAX(IF(ROUND($B$2:$B$3722,4)=ROUND(B194,4),$A$2:$A$3722)),"Efficient","Inefficient")</f>
        <v>Inefficient</v>
      </c>
    </row>
    <row r="195" spans="1:6" x14ac:dyDescent="0.25">
      <c r="A195" cm="1">
        <f t="array" ref="A195">INDEX('Portfolio Weights Returns'!$B$9:$BJ$69,
INT((ROW(A194)-1)/COLUMNS('Portfolio Weights Returns'!$B$9:$BJ$69))+1,MOD(ROW(A194)-1,COLUMNS('Portfolio Weights Returns'!$B$9:$BJ$69))+1)</f>
        <v>-1.1074409414182347E-3</v>
      </c>
      <c r="B195">
        <v>1.61E-2</v>
      </c>
      <c r="C195" s="59">
        <v>0.21</v>
      </c>
      <c r="D195" s="59">
        <v>7.0000000000000007E-2</v>
      </c>
      <c r="E195" s="60">
        <f t="shared" si="3"/>
        <v>0.72</v>
      </c>
      <c r="F195" t="str" cm="1">
        <f t="array" ref="F195">IF(A195=MAX(IF(ROUND($B$2:$B$3722,4)=ROUND(B195,4),$A$2:$A$3722)),"Efficient","Inefficient")</f>
        <v>Inefficient</v>
      </c>
    </row>
    <row r="196" spans="1:6" x14ac:dyDescent="0.25">
      <c r="A196" cm="1">
        <f t="array" ref="A196">INDEX('Portfolio Weights Returns'!$B$9:$BJ$69,
INT((ROW(A195)-1)/COLUMNS('Portfolio Weights Returns'!$B$9:$BJ$69))+1,MOD(ROW(A195)-1,COLUMNS('Portfolio Weights Returns'!$B$9:$BJ$69))+1)</f>
        <v>-1.1006597674515556E-3</v>
      </c>
      <c r="B196">
        <v>1.61E-2</v>
      </c>
      <c r="C196" s="59">
        <v>0.2</v>
      </c>
      <c r="D196" s="59">
        <v>0.08</v>
      </c>
      <c r="E196" s="60">
        <f t="shared" si="3"/>
        <v>0.72</v>
      </c>
      <c r="F196" t="str" cm="1">
        <f t="array" ref="F196">IF(A196=MAX(IF(ROUND($B$2:$B$3722,4)=ROUND(B196,4),$A$2:$A$3722)),"Efficient","Inefficient")</f>
        <v>Inefficient</v>
      </c>
    </row>
    <row r="197" spans="1:6" x14ac:dyDescent="0.25">
      <c r="A197" cm="1">
        <f t="array" ref="A197">INDEX('Portfolio Weights Returns'!$B$9:$BJ$69,
INT((ROW(A196)-1)/COLUMNS('Portfolio Weights Returns'!$B$9:$BJ$69))+1,MOD(ROW(A196)-1,COLUMNS('Portfolio Weights Returns'!$B$9:$BJ$69))+1)</f>
        <v>-1.0938785934848764E-3</v>
      </c>
      <c r="B197">
        <v>1.61E-2</v>
      </c>
      <c r="C197" s="59">
        <v>0.2</v>
      </c>
      <c r="D197" s="59">
        <v>0.09</v>
      </c>
      <c r="E197" s="60">
        <f t="shared" si="3"/>
        <v>0.71</v>
      </c>
      <c r="F197" t="str" cm="1">
        <f t="array" ref="F197">IF(A197=MAX(IF(ROUND($B$2:$B$3722,4)=ROUND(B197,4),$A$2:$A$3722)),"Efficient","Inefficient")</f>
        <v>Inefficient</v>
      </c>
    </row>
    <row r="198" spans="1:6" x14ac:dyDescent="0.25">
      <c r="A198" cm="1">
        <f t="array" ref="A198">INDEX('Portfolio Weights Returns'!$B$9:$BJ$69,
INT((ROW(A197)-1)/COLUMNS('Portfolio Weights Returns'!$B$9:$BJ$69))+1,MOD(ROW(A197)-1,COLUMNS('Portfolio Weights Returns'!$B$9:$BJ$69))+1)</f>
        <v>-1.0870974195181975E-3</v>
      </c>
      <c r="B198">
        <v>1.61E-2</v>
      </c>
      <c r="C198" s="59">
        <v>0.2</v>
      </c>
      <c r="D198" s="59">
        <v>0.1</v>
      </c>
      <c r="E198" s="60">
        <f t="shared" si="3"/>
        <v>0.7</v>
      </c>
      <c r="F198" t="str" cm="1">
        <f t="array" ref="F198">IF(A198=MAX(IF(ROUND($B$2:$B$3722,4)=ROUND(B198,4),$A$2:$A$3722)),"Efficient","Inefficient")</f>
        <v>Inefficient</v>
      </c>
    </row>
    <row r="199" spans="1:6" x14ac:dyDescent="0.25">
      <c r="A199" cm="1">
        <f t="array" ref="A199">INDEX('Portfolio Weights Returns'!$B$9:$BJ$69,
INT((ROW(A198)-1)/COLUMNS('Portfolio Weights Returns'!$B$9:$BJ$69))+1,MOD(ROW(A198)-1,COLUMNS('Portfolio Weights Returns'!$B$9:$BJ$69))+1)</f>
        <v>-1.0803162455515181E-3</v>
      </c>
      <c r="B199">
        <v>1.61E-2</v>
      </c>
      <c r="C199" s="59">
        <v>0.2</v>
      </c>
      <c r="D199" s="59">
        <v>0.11</v>
      </c>
      <c r="E199" s="60">
        <f t="shared" si="3"/>
        <v>0.69</v>
      </c>
      <c r="F199" t="str" cm="1">
        <f t="array" ref="F199">IF(A199=MAX(IF(ROUND($B$2:$B$3722,4)=ROUND(B199,4),$A$2:$A$3722)),"Efficient","Inefficient")</f>
        <v>Inefficient</v>
      </c>
    </row>
    <row r="200" spans="1:6" x14ac:dyDescent="0.25">
      <c r="A200" cm="1">
        <f t="array" ref="A200">INDEX('Portfolio Weights Returns'!$B$9:$BJ$69,
INT((ROW(A199)-1)/COLUMNS('Portfolio Weights Returns'!$B$9:$BJ$69))+1,MOD(ROW(A199)-1,COLUMNS('Portfolio Weights Returns'!$B$9:$BJ$69))+1)</f>
        <v>-1.073535071584839E-3</v>
      </c>
      <c r="B200">
        <v>1.61E-2</v>
      </c>
      <c r="C200" s="59">
        <v>0.2</v>
      </c>
      <c r="D200" s="59">
        <v>0.12</v>
      </c>
      <c r="E200" s="60">
        <f t="shared" si="3"/>
        <v>0.67999999999999994</v>
      </c>
      <c r="F200" t="str" cm="1">
        <f t="array" ref="F200">IF(A200=MAX(IF(ROUND($B$2:$B$3722,4)=ROUND(B200,4),$A$2:$A$3722)),"Efficient","Inefficient")</f>
        <v>Inefficient</v>
      </c>
    </row>
    <row r="201" spans="1:6" x14ac:dyDescent="0.25">
      <c r="A201" cm="1">
        <f t="array" ref="A201">INDEX('Portfolio Weights Returns'!$B$9:$BJ$69,
INT((ROW(A200)-1)/COLUMNS('Portfolio Weights Returns'!$B$9:$BJ$69))+1,MOD(ROW(A200)-1,COLUMNS('Portfolio Weights Returns'!$B$9:$BJ$69))+1)</f>
        <v>-1.0667538976181601E-3</v>
      </c>
      <c r="B201">
        <v>1.61E-2</v>
      </c>
      <c r="C201" s="59">
        <v>0.2</v>
      </c>
      <c r="D201" s="59">
        <v>0.13</v>
      </c>
      <c r="E201" s="60">
        <f t="shared" si="3"/>
        <v>0.66999999999999993</v>
      </c>
      <c r="F201" t="str" cm="1">
        <f t="array" ref="F201">IF(A201=MAX(IF(ROUND($B$2:$B$3722,4)=ROUND(B201,4),$A$2:$A$3722)),"Efficient","Inefficient")</f>
        <v>Inefficient</v>
      </c>
    </row>
    <row r="202" spans="1:6" x14ac:dyDescent="0.25">
      <c r="A202" cm="1">
        <f t="array" ref="A202">INDEX('Portfolio Weights Returns'!$B$9:$BJ$69,
INT((ROW(A201)-1)/COLUMNS('Portfolio Weights Returns'!$B$9:$BJ$69))+1,MOD(ROW(A201)-1,COLUMNS('Portfolio Weights Returns'!$B$9:$BJ$69))+1)</f>
        <v>-1.0599727236514809E-3</v>
      </c>
      <c r="B202">
        <v>1.61E-2</v>
      </c>
      <c r="C202" s="59">
        <v>0.21</v>
      </c>
      <c r="D202" s="59">
        <v>0.13</v>
      </c>
      <c r="E202" s="60">
        <f t="shared" si="3"/>
        <v>0.66</v>
      </c>
      <c r="F202" t="str" cm="1">
        <f t="array" ref="F202">IF(A202=MAX(IF(ROUND($B$2:$B$3722,4)=ROUND(B202,4),$A$2:$A$3722)),"Efficient","Inefficient")</f>
        <v>Inefficient</v>
      </c>
    </row>
    <row r="203" spans="1:6" x14ac:dyDescent="0.25">
      <c r="A203" cm="1">
        <f t="array" ref="A203">INDEX('Portfolio Weights Returns'!$B$9:$BJ$69,
INT((ROW(A202)-1)/COLUMNS('Portfolio Weights Returns'!$B$9:$BJ$69))+1,MOD(ROW(A202)-1,COLUMNS('Portfolio Weights Returns'!$B$9:$BJ$69))+1)</f>
        <v>-1.053191549684802E-3</v>
      </c>
      <c r="B203">
        <v>1.61E-2</v>
      </c>
      <c r="C203" s="59">
        <v>0.21</v>
      </c>
      <c r="D203" s="59">
        <v>0.14000000000000001</v>
      </c>
      <c r="E203" s="60">
        <f t="shared" si="3"/>
        <v>0.65</v>
      </c>
      <c r="F203" t="str" cm="1">
        <f t="array" ref="F203">IF(A203=MAX(IF(ROUND($B$2:$B$3722,4)=ROUND(B203,4),$A$2:$A$3722)),"Efficient","Inefficient")</f>
        <v>Inefficient</v>
      </c>
    </row>
    <row r="204" spans="1:6" x14ac:dyDescent="0.25">
      <c r="A204" cm="1">
        <f t="array" ref="A204">INDEX('Portfolio Weights Returns'!$B$9:$BJ$69,
INT((ROW(A203)-1)/COLUMNS('Portfolio Weights Returns'!$B$9:$BJ$69))+1,MOD(ROW(A203)-1,COLUMNS('Portfolio Weights Returns'!$B$9:$BJ$69))+1)</f>
        <v>-1.0464103757181229E-3</v>
      </c>
      <c r="B204">
        <v>1.61E-2</v>
      </c>
      <c r="C204" s="59">
        <v>0.21</v>
      </c>
      <c r="D204" s="59">
        <v>0.15</v>
      </c>
      <c r="E204" s="60">
        <f t="shared" si="3"/>
        <v>0.64</v>
      </c>
      <c r="F204" t="str" cm="1">
        <f t="array" ref="F204">IF(A204=MAX(IF(ROUND($B$2:$B$3722,4)=ROUND(B204,4),$A$2:$A$3722)),"Efficient","Inefficient")</f>
        <v>Inefficient</v>
      </c>
    </row>
    <row r="205" spans="1:6" x14ac:dyDescent="0.25">
      <c r="A205" cm="1">
        <f t="array" ref="A205">INDEX('Portfolio Weights Returns'!$B$9:$BJ$69,
INT((ROW(A204)-1)/COLUMNS('Portfolio Weights Returns'!$B$9:$BJ$69))+1,MOD(ROW(A204)-1,COLUMNS('Portfolio Weights Returns'!$B$9:$BJ$69))+1)</f>
        <v>-1.0396292017514437E-3</v>
      </c>
      <c r="B205">
        <v>1.61E-2</v>
      </c>
      <c r="C205" s="59">
        <v>0.22</v>
      </c>
      <c r="D205" s="59">
        <v>0.15</v>
      </c>
      <c r="E205" s="60">
        <f t="shared" si="3"/>
        <v>0.63</v>
      </c>
      <c r="F205" t="str" cm="1">
        <f t="array" ref="F205">IF(A205=MAX(IF(ROUND($B$2:$B$3722,4)=ROUND(B205,4),$A$2:$A$3722)),"Efficient","Inefficient")</f>
        <v>Inefficient</v>
      </c>
    </row>
    <row r="206" spans="1:6" x14ac:dyDescent="0.25">
      <c r="A206" cm="1">
        <f t="array" ref="A206">INDEX('Portfolio Weights Returns'!$B$9:$BJ$69,
INT((ROW(A205)-1)/COLUMNS('Portfolio Weights Returns'!$B$9:$BJ$69))+1,MOD(ROW(A205)-1,COLUMNS('Portfolio Weights Returns'!$B$9:$BJ$69))+1)</f>
        <v>-1.0328480277847646E-3</v>
      </c>
      <c r="B206">
        <v>1.61E-2</v>
      </c>
      <c r="C206" s="59">
        <v>0.22</v>
      </c>
      <c r="D206" s="59">
        <v>0.16</v>
      </c>
      <c r="E206" s="60">
        <f t="shared" si="3"/>
        <v>0.62</v>
      </c>
      <c r="F206" t="str" cm="1">
        <f t="array" ref="F206">IF(A206=MAX(IF(ROUND($B$2:$B$3722,4)=ROUND(B206,4),$A$2:$A$3722)),"Efficient","Inefficient")</f>
        <v>Inefficient</v>
      </c>
    </row>
    <row r="207" spans="1:6" x14ac:dyDescent="0.25">
      <c r="A207" cm="1">
        <f t="array" ref="A207">INDEX('Portfolio Weights Returns'!$B$9:$BJ$69,
INT((ROW(A206)-1)/COLUMNS('Portfolio Weights Returns'!$B$9:$BJ$69))+1,MOD(ROW(A206)-1,COLUMNS('Portfolio Weights Returns'!$B$9:$BJ$69))+1)</f>
        <v>-1.0260668538180856E-3</v>
      </c>
      <c r="B207">
        <v>1.61E-2</v>
      </c>
      <c r="C207" s="59">
        <v>0.23</v>
      </c>
      <c r="D207" s="59">
        <v>0.17</v>
      </c>
      <c r="E207" s="60">
        <f t="shared" si="3"/>
        <v>0.6</v>
      </c>
      <c r="F207" t="str" cm="1">
        <f t="array" ref="F207">IF(A207=MAX(IF(ROUND($B$2:$B$3722,4)=ROUND(B207,4),$A$2:$A$3722)),"Efficient","Inefficient")</f>
        <v>Inefficient</v>
      </c>
    </row>
    <row r="208" spans="1:6" x14ac:dyDescent="0.25">
      <c r="A208" cm="1">
        <f t="array" ref="A208">INDEX('Portfolio Weights Returns'!$B$9:$BJ$69,
INT((ROW(A207)-1)/COLUMNS('Portfolio Weights Returns'!$B$9:$BJ$69))+1,MOD(ROW(A207)-1,COLUMNS('Portfolio Weights Returns'!$B$9:$BJ$69))+1)</f>
        <v>-1.0192856798514065E-3</v>
      </c>
      <c r="B208">
        <v>1.61E-2</v>
      </c>
      <c r="C208" s="59">
        <v>0.24</v>
      </c>
      <c r="D208" s="59">
        <v>0.18</v>
      </c>
      <c r="E208" s="60">
        <f t="shared" si="3"/>
        <v>0.58000000000000007</v>
      </c>
      <c r="F208" t="str" cm="1">
        <f t="array" ref="F208">IF(A208=MAX(IF(ROUND($B$2:$B$3722,4)=ROUND(B208,4),$A$2:$A$3722)),"Efficient","Inefficient")</f>
        <v>Inefficient</v>
      </c>
    </row>
    <row r="209" spans="1:6" x14ac:dyDescent="0.25">
      <c r="A209" cm="1">
        <f t="array" ref="A209">INDEX('Portfolio Weights Returns'!$B$9:$BJ$69,
INT((ROW(A208)-1)/COLUMNS('Portfolio Weights Returns'!$B$9:$BJ$69))+1,MOD(ROW(A208)-1,COLUMNS('Portfolio Weights Returns'!$B$9:$BJ$69))+1)</f>
        <v>-1.0125045058847273E-3</v>
      </c>
      <c r="B209">
        <v>1.61E-2</v>
      </c>
      <c r="C209" s="59">
        <v>0.25</v>
      </c>
      <c r="D209" s="59">
        <v>0.18</v>
      </c>
      <c r="E209" s="60">
        <f t="shared" si="3"/>
        <v>0.57000000000000006</v>
      </c>
      <c r="F209" t="str" cm="1">
        <f t="array" ref="F209">IF(A209=MAX(IF(ROUND($B$2:$B$3722,4)=ROUND(B209,4),$A$2:$A$3722)),"Efficient","Inefficient")</f>
        <v>Inefficient</v>
      </c>
    </row>
    <row r="210" spans="1:6" x14ac:dyDescent="0.25">
      <c r="A210" cm="1">
        <f t="array" ref="A210">INDEX('Portfolio Weights Returns'!$B$9:$BJ$69,
INT((ROW(A209)-1)/COLUMNS('Portfolio Weights Returns'!$B$9:$BJ$69))+1,MOD(ROW(A209)-1,COLUMNS('Portfolio Weights Returns'!$B$9:$BJ$69))+1)</f>
        <v>-1.0057233319180482E-3</v>
      </c>
      <c r="B210">
        <v>1.61E-2</v>
      </c>
      <c r="C210" s="59">
        <v>0.26</v>
      </c>
      <c r="D210" s="59">
        <v>0.19</v>
      </c>
      <c r="E210" s="60">
        <f t="shared" si="3"/>
        <v>0.55000000000000004</v>
      </c>
      <c r="F210" t="str" cm="1">
        <f t="array" ref="F210">IF(A210=MAX(IF(ROUND($B$2:$B$3722,4)=ROUND(B210,4),$A$2:$A$3722)),"Efficient","Inefficient")</f>
        <v>Inefficient</v>
      </c>
    </row>
    <row r="211" spans="1:6" x14ac:dyDescent="0.25">
      <c r="A211" cm="1">
        <f t="array" ref="A211">INDEX('Portfolio Weights Returns'!$B$9:$BJ$69,
INT((ROW(A210)-1)/COLUMNS('Portfolio Weights Returns'!$B$9:$BJ$69))+1,MOD(ROW(A210)-1,COLUMNS('Portfolio Weights Returns'!$B$9:$BJ$69))+1)</f>
        <v>-9.9894215795136906E-4</v>
      </c>
      <c r="B211">
        <v>1.61E-2</v>
      </c>
      <c r="C211" s="59">
        <v>0.27</v>
      </c>
      <c r="D211" s="59">
        <v>0.2</v>
      </c>
      <c r="E211" s="60">
        <f t="shared" si="3"/>
        <v>0.53</v>
      </c>
      <c r="F211" t="str" cm="1">
        <f t="array" ref="F211">IF(A211=MAX(IF(ROUND($B$2:$B$3722,4)=ROUND(B211,4),$A$2:$A$3722)),"Efficient","Inefficient")</f>
        <v>Inefficient</v>
      </c>
    </row>
    <row r="212" spans="1:6" x14ac:dyDescent="0.25">
      <c r="A212" cm="1">
        <f t="array" ref="A212">INDEX('Portfolio Weights Returns'!$B$9:$BJ$69,
INT((ROW(A211)-1)/COLUMNS('Portfolio Weights Returns'!$B$9:$BJ$69))+1,MOD(ROW(A211)-1,COLUMNS('Portfolio Weights Returns'!$B$9:$BJ$69))+1)</f>
        <v>-9.9216098398468991E-4</v>
      </c>
      <c r="B212">
        <v>1.61E-2</v>
      </c>
      <c r="C212" s="59">
        <v>0.28000000000000003</v>
      </c>
      <c r="D212" s="59">
        <v>0.2</v>
      </c>
      <c r="E212" s="60">
        <f t="shared" si="3"/>
        <v>0.52</v>
      </c>
      <c r="F212" t="str" cm="1">
        <f t="array" ref="F212">IF(A212=MAX(IF(ROUND($B$2:$B$3722,4)=ROUND(B212,4),$A$2:$A$3722)),"Efficient","Inefficient")</f>
        <v>Inefficient</v>
      </c>
    </row>
    <row r="213" spans="1:6" x14ac:dyDescent="0.25">
      <c r="A213" cm="1">
        <f t="array" ref="A213">INDEX('Portfolio Weights Returns'!$B$9:$BJ$69,
INT((ROW(A212)-1)/COLUMNS('Portfolio Weights Returns'!$B$9:$BJ$69))+1,MOD(ROW(A212)-1,COLUMNS('Portfolio Weights Returns'!$B$9:$BJ$69))+1)</f>
        <v>-9.8537981001801077E-4</v>
      </c>
      <c r="B213">
        <v>1.61E-2</v>
      </c>
      <c r="C213" s="59">
        <v>0.28999999999999998</v>
      </c>
      <c r="D213" s="59">
        <v>0.2</v>
      </c>
      <c r="E213" s="60">
        <f t="shared" si="3"/>
        <v>0.51</v>
      </c>
      <c r="F213" t="str" cm="1">
        <f t="array" ref="F213">IF(A213=MAX(IF(ROUND($B$2:$B$3722,4)=ROUND(B213,4),$A$2:$A$3722)),"Efficient","Inefficient")</f>
        <v>Inefficient</v>
      </c>
    </row>
    <row r="214" spans="1:6" x14ac:dyDescent="0.25">
      <c r="A214" cm="1">
        <f t="array" ref="A214">INDEX('Portfolio Weights Returns'!$B$9:$BJ$69,
INT((ROW(A213)-1)/COLUMNS('Portfolio Weights Returns'!$B$9:$BJ$69))+1,MOD(ROW(A213)-1,COLUMNS('Portfolio Weights Returns'!$B$9:$BJ$69))+1)</f>
        <v>-9.7859863605133162E-4</v>
      </c>
      <c r="B214">
        <v>1.61E-2</v>
      </c>
      <c r="C214" s="59">
        <v>0.3</v>
      </c>
      <c r="D214" s="59">
        <v>0.21</v>
      </c>
      <c r="E214" s="60">
        <f t="shared" si="3"/>
        <v>0.49000000000000005</v>
      </c>
      <c r="F214" t="str" cm="1">
        <f t="array" ref="F214">IF(A214=MAX(IF(ROUND($B$2:$B$3722,4)=ROUND(B214,4),$A$2:$A$3722)),"Efficient","Inefficient")</f>
        <v>Inefficient</v>
      </c>
    </row>
    <row r="215" spans="1:6" x14ac:dyDescent="0.25">
      <c r="A215" cm="1">
        <f t="array" ref="A215">INDEX('Portfolio Weights Returns'!$B$9:$BJ$69,
INT((ROW(A214)-1)/COLUMNS('Portfolio Weights Returns'!$B$9:$BJ$69))+1,MOD(ROW(A214)-1,COLUMNS('Portfolio Weights Returns'!$B$9:$BJ$69))+1)</f>
        <v>-9.7181746208465259E-4</v>
      </c>
      <c r="B215">
        <v>1.6199999999999999E-2</v>
      </c>
      <c r="C215" s="59">
        <v>0.3</v>
      </c>
      <c r="D215" s="59">
        <v>-7.0000000000000007E-2</v>
      </c>
      <c r="E215" s="60">
        <f t="shared" si="3"/>
        <v>0.77</v>
      </c>
      <c r="F215" t="str" cm="1">
        <f t="array" ref="F215">IF(A215=MAX(IF(ROUND($B$2:$B$3722,4)=ROUND(B215,4),$A$2:$A$3722)),"Efficient","Inefficient")</f>
        <v>Inefficient</v>
      </c>
    </row>
    <row r="216" spans="1:6" x14ac:dyDescent="0.25">
      <c r="A216" cm="1">
        <f t="array" ref="A216">INDEX('Portfolio Weights Returns'!$B$9:$BJ$69,
INT((ROW(A215)-1)/COLUMNS('Portfolio Weights Returns'!$B$9:$BJ$69))+1,MOD(ROW(A215)-1,COLUMNS('Portfolio Weights Returns'!$B$9:$BJ$69))+1)</f>
        <v>-9.6503628811797344E-4</v>
      </c>
      <c r="B216">
        <v>1.6199999999999999E-2</v>
      </c>
      <c r="C216" s="59">
        <v>0.28999999999999998</v>
      </c>
      <c r="D216" s="59">
        <v>-0.06</v>
      </c>
      <c r="E216" s="60">
        <f t="shared" si="3"/>
        <v>0.77</v>
      </c>
      <c r="F216" t="str" cm="1">
        <f t="array" ref="F216">IF(A216=MAX(IF(ROUND($B$2:$B$3722,4)=ROUND(B216,4),$A$2:$A$3722)),"Efficient","Inefficient")</f>
        <v>Inefficient</v>
      </c>
    </row>
    <row r="217" spans="1:6" x14ac:dyDescent="0.25">
      <c r="A217" cm="1">
        <f t="array" ref="A217">INDEX('Portfolio Weights Returns'!$B$9:$BJ$69,
INT((ROW(A216)-1)/COLUMNS('Portfolio Weights Returns'!$B$9:$BJ$69))+1,MOD(ROW(A216)-1,COLUMNS('Portfolio Weights Returns'!$B$9:$BJ$69))+1)</f>
        <v>-9.5825511415129441E-4</v>
      </c>
      <c r="B217">
        <v>1.6199999999999999E-2</v>
      </c>
      <c r="C217" s="59">
        <v>0.28000000000000003</v>
      </c>
      <c r="D217" s="59">
        <v>-0.05</v>
      </c>
      <c r="E217" s="60">
        <f t="shared" si="3"/>
        <v>0.77</v>
      </c>
      <c r="F217" t="str" cm="1">
        <f t="array" ref="F217">IF(A217=MAX(IF(ROUND($B$2:$B$3722,4)=ROUND(B217,4),$A$2:$A$3722)),"Efficient","Inefficient")</f>
        <v>Inefficient</v>
      </c>
    </row>
    <row r="218" spans="1:6" x14ac:dyDescent="0.25">
      <c r="A218" cm="1">
        <f t="array" ref="A218">INDEX('Portfolio Weights Returns'!$B$9:$BJ$69,
INT((ROW(A217)-1)/COLUMNS('Portfolio Weights Returns'!$B$9:$BJ$69))+1,MOD(ROW(A217)-1,COLUMNS('Portfolio Weights Returns'!$B$9:$BJ$69))+1)</f>
        <v>-9.5147394018461526E-4</v>
      </c>
      <c r="B218">
        <v>1.6199999999999999E-2</v>
      </c>
      <c r="C218" s="59">
        <v>0.27</v>
      </c>
      <c r="D218" s="59">
        <v>-0.04</v>
      </c>
      <c r="E218" s="60">
        <f t="shared" si="3"/>
        <v>0.77</v>
      </c>
      <c r="F218" t="str" cm="1">
        <f t="array" ref="F218">IF(A218=MAX(IF(ROUND($B$2:$B$3722,4)=ROUND(B218,4),$A$2:$A$3722)),"Efficient","Inefficient")</f>
        <v>Inefficient</v>
      </c>
    </row>
    <row r="219" spans="1:6" x14ac:dyDescent="0.25">
      <c r="A219" cm="1">
        <f t="array" ref="A219">INDEX('Portfolio Weights Returns'!$B$9:$BJ$69,
INT((ROW(A218)-1)/COLUMNS('Portfolio Weights Returns'!$B$9:$BJ$69))+1,MOD(ROW(A218)-1,COLUMNS('Portfolio Weights Returns'!$B$9:$BJ$69))+1)</f>
        <v>-9.4469276621793623E-4</v>
      </c>
      <c r="B219">
        <v>1.6199999999999999E-2</v>
      </c>
      <c r="C219" s="59">
        <v>0.26</v>
      </c>
      <c r="D219" s="59">
        <v>-0.03</v>
      </c>
      <c r="E219" s="60">
        <f t="shared" si="3"/>
        <v>0.77</v>
      </c>
      <c r="F219" t="str" cm="1">
        <f t="array" ref="F219">IF(A219=MAX(IF(ROUND($B$2:$B$3722,4)=ROUND(B219,4),$A$2:$A$3722)),"Efficient","Inefficient")</f>
        <v>Inefficient</v>
      </c>
    </row>
    <row r="220" spans="1:6" x14ac:dyDescent="0.25">
      <c r="A220" cm="1">
        <f t="array" ref="A220">INDEX('Portfolio Weights Returns'!$B$9:$BJ$69,
INT((ROW(A219)-1)/COLUMNS('Portfolio Weights Returns'!$B$9:$BJ$69))+1,MOD(ROW(A219)-1,COLUMNS('Portfolio Weights Returns'!$B$9:$BJ$69))+1)</f>
        <v>-9.3791159225125708E-4</v>
      </c>
      <c r="B220">
        <v>1.6199999999999999E-2</v>
      </c>
      <c r="C220" s="59">
        <v>0.25</v>
      </c>
      <c r="D220" s="59">
        <v>-0.02</v>
      </c>
      <c r="E220" s="60">
        <f t="shared" si="3"/>
        <v>0.77</v>
      </c>
      <c r="F220" t="str" cm="1">
        <f t="array" ref="F220">IF(A220=MAX(IF(ROUND($B$2:$B$3722,4)=ROUND(B220,4),$A$2:$A$3722)),"Efficient","Inefficient")</f>
        <v>Inefficient</v>
      </c>
    </row>
    <row r="221" spans="1:6" x14ac:dyDescent="0.25">
      <c r="A221" cm="1">
        <f t="array" ref="A221">INDEX('Portfolio Weights Returns'!$B$9:$BJ$69,
INT((ROW(A220)-1)/COLUMNS('Portfolio Weights Returns'!$B$9:$BJ$69))+1,MOD(ROW(A220)-1,COLUMNS('Portfolio Weights Returns'!$B$9:$BJ$69))+1)</f>
        <v>-9.3113041828457783E-4</v>
      </c>
      <c r="B221">
        <v>1.6199999999999999E-2</v>
      </c>
      <c r="C221" s="59">
        <v>0.24</v>
      </c>
      <c r="D221" s="59">
        <v>-0.01</v>
      </c>
      <c r="E221" s="60">
        <f t="shared" si="3"/>
        <v>0.77</v>
      </c>
      <c r="F221" t="str" cm="1">
        <f t="array" ref="F221">IF(A221=MAX(IF(ROUND($B$2:$B$3722,4)=ROUND(B221,4),$A$2:$A$3722)),"Efficient","Inefficient")</f>
        <v>Inefficient</v>
      </c>
    </row>
    <row r="222" spans="1:6" x14ac:dyDescent="0.25">
      <c r="A222" cm="1">
        <f t="array" ref="A222">INDEX('Portfolio Weights Returns'!$B$9:$BJ$69,
INT((ROW(A221)-1)/COLUMNS('Portfolio Weights Returns'!$B$9:$BJ$69))+1,MOD(ROW(A221)-1,COLUMNS('Portfolio Weights Returns'!$B$9:$BJ$69))+1)</f>
        <v>-9.2434924431789879E-4</v>
      </c>
      <c r="B222">
        <v>1.6199999999999999E-2</v>
      </c>
      <c r="C222" s="59">
        <v>0.23</v>
      </c>
      <c r="D222" s="59">
        <v>0</v>
      </c>
      <c r="E222" s="60">
        <f t="shared" si="3"/>
        <v>0.77</v>
      </c>
      <c r="F222" t="str" cm="1">
        <f t="array" ref="F222">IF(A222=MAX(IF(ROUND($B$2:$B$3722,4)=ROUND(B222,4),$A$2:$A$3722)),"Efficient","Inefficient")</f>
        <v>Inefficient</v>
      </c>
    </row>
    <row r="223" spans="1:6" x14ac:dyDescent="0.25">
      <c r="A223" cm="1">
        <f t="array" ref="A223">INDEX('Portfolio Weights Returns'!$B$9:$BJ$69,
INT((ROW(A222)-1)/COLUMNS('Portfolio Weights Returns'!$B$9:$BJ$69))+1,MOD(ROW(A222)-1,COLUMNS('Portfolio Weights Returns'!$B$9:$BJ$69))+1)</f>
        <v>-9.1756807035121965E-4</v>
      </c>
      <c r="B223">
        <v>1.6199999999999999E-2</v>
      </c>
      <c r="C223" s="59">
        <v>0.22</v>
      </c>
      <c r="D223" s="59">
        <v>0.02</v>
      </c>
      <c r="E223" s="60">
        <f t="shared" si="3"/>
        <v>0.76</v>
      </c>
      <c r="F223" t="str" cm="1">
        <f t="array" ref="F223">IF(A223=MAX(IF(ROUND($B$2:$B$3722,4)=ROUND(B223,4),$A$2:$A$3722)),"Efficient","Inefficient")</f>
        <v>Inefficient</v>
      </c>
    </row>
    <row r="224" spans="1:6" x14ac:dyDescent="0.25">
      <c r="A224" cm="1">
        <f t="array" ref="A224">INDEX('Portfolio Weights Returns'!$B$9:$BJ$69,
INT((ROW(A223)-1)/COLUMNS('Portfolio Weights Returns'!$B$9:$BJ$69))+1,MOD(ROW(A223)-1,COLUMNS('Portfolio Weights Returns'!$B$9:$BJ$69))+1)</f>
        <v>-9.1078689638454083E-4</v>
      </c>
      <c r="B224">
        <v>1.6199999999999999E-2</v>
      </c>
      <c r="C224" s="59">
        <v>0.21</v>
      </c>
      <c r="D224" s="59">
        <v>0.03</v>
      </c>
      <c r="E224" s="60">
        <f t="shared" si="3"/>
        <v>0.76</v>
      </c>
      <c r="F224" t="str" cm="1">
        <f t="array" ref="F224">IF(A224=MAX(IF(ROUND($B$2:$B$3722,4)=ROUND(B224,4),$A$2:$A$3722)),"Efficient","Inefficient")</f>
        <v>Inefficient</v>
      </c>
    </row>
    <row r="225" spans="1:6" x14ac:dyDescent="0.25">
      <c r="A225" cm="1">
        <f t="array" ref="A225">INDEX('Portfolio Weights Returns'!$B$9:$BJ$69,
INT((ROW(A224)-1)/COLUMNS('Portfolio Weights Returns'!$B$9:$BJ$69))+1,MOD(ROW(A224)-1,COLUMNS('Portfolio Weights Returns'!$B$9:$BJ$69))+1)</f>
        <v>-9.0400572241786147E-4</v>
      </c>
      <c r="B225">
        <v>1.6199999999999999E-2</v>
      </c>
      <c r="C225" s="59">
        <v>0.21</v>
      </c>
      <c r="D225" s="59">
        <v>0.04</v>
      </c>
      <c r="E225" s="60">
        <f t="shared" si="3"/>
        <v>0.75</v>
      </c>
      <c r="F225" t="str" cm="1">
        <f t="array" ref="F225">IF(A225=MAX(IF(ROUND($B$2:$B$3722,4)=ROUND(B225,4),$A$2:$A$3722)),"Efficient","Inefficient")</f>
        <v>Inefficient</v>
      </c>
    </row>
    <row r="226" spans="1:6" x14ac:dyDescent="0.25">
      <c r="A226" cm="1">
        <f t="array" ref="A226">INDEX('Portfolio Weights Returns'!$B$9:$BJ$69,
INT((ROW(A225)-1)/COLUMNS('Portfolio Weights Returns'!$B$9:$BJ$69))+1,MOD(ROW(A225)-1,COLUMNS('Portfolio Weights Returns'!$B$9:$BJ$69))+1)</f>
        <v>-8.9722454845118254E-4</v>
      </c>
      <c r="B226">
        <v>1.6199999999999999E-2</v>
      </c>
      <c r="C226" s="59">
        <v>0.2</v>
      </c>
      <c r="D226" s="59">
        <v>0.05</v>
      </c>
      <c r="E226" s="60">
        <f t="shared" si="3"/>
        <v>0.75</v>
      </c>
      <c r="F226" t="str" cm="1">
        <f t="array" ref="F226">IF(A226=MAX(IF(ROUND($B$2:$B$3722,4)=ROUND(B226,4),$A$2:$A$3722)),"Efficient","Inefficient")</f>
        <v>Inefficient</v>
      </c>
    </row>
    <row r="227" spans="1:6" x14ac:dyDescent="0.25">
      <c r="A227" cm="1">
        <f t="array" ref="A227">INDEX('Portfolio Weights Returns'!$B$9:$BJ$69,
INT((ROW(A226)-1)/COLUMNS('Portfolio Weights Returns'!$B$9:$BJ$69))+1,MOD(ROW(A226)-1,COLUMNS('Portfolio Weights Returns'!$B$9:$BJ$69))+1)</f>
        <v>-8.9044337448450329E-4</v>
      </c>
      <c r="B227">
        <v>1.6199999999999999E-2</v>
      </c>
      <c r="C227" s="59">
        <v>0.2</v>
      </c>
      <c r="D227" s="59">
        <v>0.06</v>
      </c>
      <c r="E227" s="60">
        <f t="shared" si="3"/>
        <v>0.74</v>
      </c>
      <c r="F227" t="str" cm="1">
        <f t="array" ref="F227">IF(A227=MAX(IF(ROUND($B$2:$B$3722,4)=ROUND(B227,4),$A$2:$A$3722)),"Efficient","Inefficient")</f>
        <v>Inefficient</v>
      </c>
    </row>
    <row r="228" spans="1:6" x14ac:dyDescent="0.25">
      <c r="A228" cm="1">
        <f t="array" ref="A228">INDEX('Portfolio Weights Returns'!$B$9:$BJ$69,
INT((ROW(A227)-1)/COLUMNS('Portfolio Weights Returns'!$B$9:$BJ$69))+1,MOD(ROW(A227)-1,COLUMNS('Portfolio Weights Returns'!$B$9:$BJ$69))+1)</f>
        <v>-8.8366220051782436E-4</v>
      </c>
      <c r="B228">
        <v>1.6199999999999999E-2</v>
      </c>
      <c r="C228" s="59">
        <v>0.19</v>
      </c>
      <c r="D228" s="59">
        <v>7.0000000000000007E-2</v>
      </c>
      <c r="E228" s="60">
        <f t="shared" si="3"/>
        <v>0.74</v>
      </c>
      <c r="F228" t="str" cm="1">
        <f t="array" ref="F228">IF(A228=MAX(IF(ROUND($B$2:$B$3722,4)=ROUND(B228,4),$A$2:$A$3722)),"Efficient","Inefficient")</f>
        <v>Inefficient</v>
      </c>
    </row>
    <row r="229" spans="1:6" x14ac:dyDescent="0.25">
      <c r="A229" cm="1">
        <f t="array" ref="A229">INDEX('Portfolio Weights Returns'!$B$9:$BJ$69,
INT((ROW(A228)-1)/COLUMNS('Portfolio Weights Returns'!$B$9:$BJ$69))+1,MOD(ROW(A228)-1,COLUMNS('Portfolio Weights Returns'!$B$9:$BJ$69))+1)</f>
        <v>-8.76881026551145E-4</v>
      </c>
      <c r="B229">
        <v>1.6199999999999999E-2</v>
      </c>
      <c r="C229" s="59">
        <v>0.19</v>
      </c>
      <c r="D229" s="59">
        <v>0.08</v>
      </c>
      <c r="E229" s="60">
        <f t="shared" si="3"/>
        <v>0.73</v>
      </c>
      <c r="F229" t="str" cm="1">
        <f t="array" ref="F229">IF(A229=MAX(IF(ROUND($B$2:$B$3722,4)=ROUND(B229,4),$A$2:$A$3722)),"Efficient","Inefficient")</f>
        <v>Inefficient</v>
      </c>
    </row>
    <row r="230" spans="1:6" x14ac:dyDescent="0.25">
      <c r="A230" cm="1">
        <f t="array" ref="A230">INDEX('Portfolio Weights Returns'!$B$9:$BJ$69,
INT((ROW(A229)-1)/COLUMNS('Portfolio Weights Returns'!$B$9:$BJ$69))+1,MOD(ROW(A229)-1,COLUMNS('Portfolio Weights Returns'!$B$9:$BJ$69))+1)</f>
        <v>-8.7009985258446618E-4</v>
      </c>
      <c r="B230">
        <v>1.6199999999999999E-2</v>
      </c>
      <c r="C230" s="59">
        <v>0.19</v>
      </c>
      <c r="D230" s="59">
        <v>0.09</v>
      </c>
      <c r="E230" s="60">
        <f t="shared" si="3"/>
        <v>0.72</v>
      </c>
      <c r="F230" t="str" cm="1">
        <f t="array" ref="F230">IF(A230=MAX(IF(ROUND($B$2:$B$3722,4)=ROUND(B230,4),$A$2:$A$3722)),"Efficient","Inefficient")</f>
        <v>Inefficient</v>
      </c>
    </row>
    <row r="231" spans="1:6" x14ac:dyDescent="0.25">
      <c r="A231" cm="1">
        <f t="array" ref="A231">INDEX('Portfolio Weights Returns'!$B$9:$BJ$69,
INT((ROW(A230)-1)/COLUMNS('Portfolio Weights Returns'!$B$9:$BJ$69))+1,MOD(ROW(A230)-1,COLUMNS('Portfolio Weights Returns'!$B$9:$BJ$69))+1)</f>
        <v>-8.6331867861778682E-4</v>
      </c>
      <c r="B231">
        <v>1.6199999999999999E-2</v>
      </c>
      <c r="C231" s="59">
        <v>0.19</v>
      </c>
      <c r="D231" s="59">
        <v>0.1</v>
      </c>
      <c r="E231" s="60">
        <f t="shared" si="3"/>
        <v>0.71</v>
      </c>
      <c r="F231" t="str" cm="1">
        <f t="array" ref="F231">IF(A231=MAX(IF(ROUND($B$2:$B$3722,4)=ROUND(B231,4),$A$2:$A$3722)),"Efficient","Inefficient")</f>
        <v>Inefficient</v>
      </c>
    </row>
    <row r="232" spans="1:6" x14ac:dyDescent="0.25">
      <c r="A232" cm="1">
        <f t="array" ref="A232">INDEX('Portfolio Weights Returns'!$B$9:$BJ$69,
INT((ROW(A231)-1)/COLUMNS('Portfolio Weights Returns'!$B$9:$BJ$69))+1,MOD(ROW(A231)-1,COLUMNS('Portfolio Weights Returns'!$B$9:$BJ$69))+1)</f>
        <v>-8.5653750465110778E-4</v>
      </c>
      <c r="B232">
        <v>1.6199999999999999E-2</v>
      </c>
      <c r="C232" s="59">
        <v>0.19</v>
      </c>
      <c r="D232" s="59">
        <v>0.11</v>
      </c>
      <c r="E232" s="60">
        <f t="shared" si="3"/>
        <v>0.7</v>
      </c>
      <c r="F232" t="str" cm="1">
        <f t="array" ref="F232">IF(A232=MAX(IF(ROUND($B$2:$B$3722,4)=ROUND(B232,4),$A$2:$A$3722)),"Efficient","Inefficient")</f>
        <v>Inefficient</v>
      </c>
    </row>
    <row r="233" spans="1:6" x14ac:dyDescent="0.25">
      <c r="A233" cm="1">
        <f t="array" ref="A233">INDEX('Portfolio Weights Returns'!$B$9:$BJ$69,
INT((ROW(A232)-1)/COLUMNS('Portfolio Weights Returns'!$B$9:$BJ$69))+1,MOD(ROW(A232)-1,COLUMNS('Portfolio Weights Returns'!$B$9:$BJ$69))+1)</f>
        <v>-8.4975633068442875E-4</v>
      </c>
      <c r="B233">
        <v>1.6199999999999999E-2</v>
      </c>
      <c r="C233" s="59">
        <v>0.19</v>
      </c>
      <c r="D233" s="59">
        <v>0.12</v>
      </c>
      <c r="E233" s="60">
        <f t="shared" si="3"/>
        <v>0.69</v>
      </c>
      <c r="F233" t="str" cm="1">
        <f t="array" ref="F233">IF(A233=MAX(IF(ROUND($B$2:$B$3722,4)=ROUND(B233,4),$A$2:$A$3722)),"Efficient","Inefficient")</f>
        <v>Inefficient</v>
      </c>
    </row>
    <row r="234" spans="1:6" x14ac:dyDescent="0.25">
      <c r="A234" cm="1">
        <f t="array" ref="A234">INDEX('Portfolio Weights Returns'!$B$9:$BJ$69,
INT((ROW(A233)-1)/COLUMNS('Portfolio Weights Returns'!$B$9:$BJ$69))+1,MOD(ROW(A233)-1,COLUMNS('Portfolio Weights Returns'!$B$9:$BJ$69))+1)</f>
        <v>-8.429751567177496E-4</v>
      </c>
      <c r="B234">
        <v>1.6199999999999999E-2</v>
      </c>
      <c r="C234" s="59">
        <v>0.19</v>
      </c>
      <c r="D234" s="59">
        <v>0.13</v>
      </c>
      <c r="E234" s="60">
        <f t="shared" si="3"/>
        <v>0.67999999999999994</v>
      </c>
      <c r="F234" t="str" cm="1">
        <f t="array" ref="F234">IF(A234=MAX(IF(ROUND($B$2:$B$3722,4)=ROUND(B234,4),$A$2:$A$3722)),"Efficient","Inefficient")</f>
        <v>Inefficient</v>
      </c>
    </row>
    <row r="235" spans="1:6" x14ac:dyDescent="0.25">
      <c r="A235" cm="1">
        <f t="array" ref="A235">INDEX('Portfolio Weights Returns'!$B$9:$BJ$69,
INT((ROW(A234)-1)/COLUMNS('Portfolio Weights Returns'!$B$9:$BJ$69))+1,MOD(ROW(A234)-1,COLUMNS('Portfolio Weights Returns'!$B$9:$BJ$69))+1)</f>
        <v>-8.3619398275107057E-4</v>
      </c>
      <c r="B235">
        <v>1.6199999999999999E-2</v>
      </c>
      <c r="C235" s="59">
        <v>0.2</v>
      </c>
      <c r="D235" s="59">
        <v>0.14000000000000001</v>
      </c>
      <c r="E235" s="60">
        <f t="shared" si="3"/>
        <v>0.65999999999999992</v>
      </c>
      <c r="F235" t="str" cm="1">
        <f t="array" ref="F235">IF(A235=MAX(IF(ROUND($B$2:$B$3722,4)=ROUND(B235,4),$A$2:$A$3722)),"Efficient","Inefficient")</f>
        <v>Inefficient</v>
      </c>
    </row>
    <row r="236" spans="1:6" x14ac:dyDescent="0.25">
      <c r="A236" cm="1">
        <f t="array" ref="A236">INDEX('Portfolio Weights Returns'!$B$9:$BJ$69,
INT((ROW(A235)-1)/COLUMNS('Portfolio Weights Returns'!$B$9:$BJ$69))+1,MOD(ROW(A235)-1,COLUMNS('Portfolio Weights Returns'!$B$9:$BJ$69))+1)</f>
        <v>-8.2941280878439142E-4</v>
      </c>
      <c r="B236">
        <v>1.6199999999999999E-2</v>
      </c>
      <c r="C236" s="59">
        <v>0.2</v>
      </c>
      <c r="D236" s="59">
        <v>0.15</v>
      </c>
      <c r="E236" s="60">
        <f t="shared" si="3"/>
        <v>0.64999999999999991</v>
      </c>
      <c r="F236" t="str" cm="1">
        <f t="array" ref="F236">IF(A236=MAX(IF(ROUND($B$2:$B$3722,4)=ROUND(B236,4),$A$2:$A$3722)),"Efficient","Inefficient")</f>
        <v>Inefficient</v>
      </c>
    </row>
    <row r="237" spans="1:6" x14ac:dyDescent="0.25">
      <c r="A237" cm="1">
        <f t="array" ref="A237">INDEX('Portfolio Weights Returns'!$B$9:$BJ$69,
INT((ROW(A236)-1)/COLUMNS('Portfolio Weights Returns'!$B$9:$BJ$69))+1,MOD(ROW(A236)-1,COLUMNS('Portfolio Weights Returns'!$B$9:$BJ$69))+1)</f>
        <v>-8.2263163481771239E-4</v>
      </c>
      <c r="B237">
        <v>1.6199999999999999E-2</v>
      </c>
      <c r="C237" s="59">
        <v>0.21</v>
      </c>
      <c r="D237" s="59">
        <v>0.16</v>
      </c>
      <c r="E237" s="60">
        <f t="shared" si="3"/>
        <v>0.63</v>
      </c>
      <c r="F237" t="str" cm="1">
        <f t="array" ref="F237">IF(A237=MAX(IF(ROUND($B$2:$B$3722,4)=ROUND(B237,4),$A$2:$A$3722)),"Efficient","Inefficient")</f>
        <v>Inefficient</v>
      </c>
    </row>
    <row r="238" spans="1:6" x14ac:dyDescent="0.25">
      <c r="A238" cm="1">
        <f t="array" ref="A238">INDEX('Portfolio Weights Returns'!$B$9:$BJ$69,
INT((ROW(A237)-1)/COLUMNS('Portfolio Weights Returns'!$B$9:$BJ$69))+1,MOD(ROW(A237)-1,COLUMNS('Portfolio Weights Returns'!$B$9:$BJ$69))+1)</f>
        <v>-8.1585046085103324E-4</v>
      </c>
      <c r="B238">
        <v>1.6199999999999999E-2</v>
      </c>
      <c r="C238" s="59">
        <v>0.21</v>
      </c>
      <c r="D238" s="59">
        <v>0.17</v>
      </c>
      <c r="E238" s="60">
        <f t="shared" si="3"/>
        <v>0.62</v>
      </c>
      <c r="F238" t="str" cm="1">
        <f t="array" ref="F238">IF(A238=MAX(IF(ROUND($B$2:$B$3722,4)=ROUND(B238,4),$A$2:$A$3722)),"Efficient","Inefficient")</f>
        <v>Inefficient</v>
      </c>
    </row>
    <row r="239" spans="1:6" x14ac:dyDescent="0.25">
      <c r="A239" cm="1">
        <f t="array" ref="A239">INDEX('Portfolio Weights Returns'!$B$9:$BJ$69,
INT((ROW(A238)-1)/COLUMNS('Portfolio Weights Returns'!$B$9:$BJ$69))+1,MOD(ROW(A238)-1,COLUMNS('Portfolio Weights Returns'!$B$9:$BJ$69))+1)</f>
        <v>-8.090692868843541E-4</v>
      </c>
      <c r="B239">
        <v>1.6199999999999999E-2</v>
      </c>
      <c r="C239" s="59">
        <v>0.22</v>
      </c>
      <c r="D239" s="59">
        <v>0.17</v>
      </c>
      <c r="E239" s="60">
        <f t="shared" si="3"/>
        <v>0.61</v>
      </c>
      <c r="F239" t="str" cm="1">
        <f t="array" ref="F239">IF(A239=MAX(IF(ROUND($B$2:$B$3722,4)=ROUND(B239,4),$A$2:$A$3722)),"Efficient","Inefficient")</f>
        <v>Inefficient</v>
      </c>
    </row>
    <row r="240" spans="1:6" x14ac:dyDescent="0.25">
      <c r="A240" cm="1">
        <f t="array" ref="A240">INDEX('Portfolio Weights Returns'!$B$9:$BJ$69,
INT((ROW(A239)-1)/COLUMNS('Portfolio Weights Returns'!$B$9:$BJ$69))+1,MOD(ROW(A239)-1,COLUMNS('Portfolio Weights Returns'!$B$9:$BJ$69))+1)</f>
        <v>-8.0228811291767495E-4</v>
      </c>
      <c r="B240">
        <v>1.6199999999999999E-2</v>
      </c>
      <c r="C240" s="59">
        <v>0.22</v>
      </c>
      <c r="D240" s="59">
        <v>0.18</v>
      </c>
      <c r="E240" s="60">
        <f t="shared" si="3"/>
        <v>0.60000000000000009</v>
      </c>
      <c r="F240" t="str" cm="1">
        <f t="array" ref="F240">IF(A240=MAX(IF(ROUND($B$2:$B$3722,4)=ROUND(B240,4),$A$2:$A$3722)),"Efficient","Inefficient")</f>
        <v>Inefficient</v>
      </c>
    </row>
    <row r="241" spans="1:6" x14ac:dyDescent="0.25">
      <c r="A241" cm="1">
        <f t="array" ref="A241">INDEX('Portfolio Weights Returns'!$B$9:$BJ$69,
INT((ROW(A240)-1)/COLUMNS('Portfolio Weights Returns'!$B$9:$BJ$69))+1,MOD(ROW(A240)-1,COLUMNS('Portfolio Weights Returns'!$B$9:$BJ$69))+1)</f>
        <v>-7.9550693895099581E-4</v>
      </c>
      <c r="B241">
        <v>1.6199999999999999E-2</v>
      </c>
      <c r="C241" s="59">
        <v>0.23</v>
      </c>
      <c r="D241" s="59">
        <v>0.18</v>
      </c>
      <c r="E241" s="60">
        <f t="shared" si="3"/>
        <v>0.59000000000000008</v>
      </c>
      <c r="F241" t="str" cm="1">
        <f t="array" ref="F241">IF(A241=MAX(IF(ROUND($B$2:$B$3722,4)=ROUND(B241,4),$A$2:$A$3722)),"Efficient","Inefficient")</f>
        <v>Inefficient</v>
      </c>
    </row>
    <row r="242" spans="1:6" x14ac:dyDescent="0.25">
      <c r="A242" cm="1">
        <f t="array" ref="A242">INDEX('Portfolio Weights Returns'!$B$9:$BJ$69,
INT((ROW(A241)-1)/COLUMNS('Portfolio Weights Returns'!$B$9:$BJ$69))+1,MOD(ROW(A241)-1,COLUMNS('Portfolio Weights Returns'!$B$9:$BJ$69))+1)</f>
        <v>-7.8872576498431612E-4</v>
      </c>
      <c r="B242">
        <v>1.6199999999999999E-2</v>
      </c>
      <c r="C242" s="59">
        <v>0.24</v>
      </c>
      <c r="D242" s="59">
        <v>0.19</v>
      </c>
      <c r="E242" s="60">
        <f t="shared" si="3"/>
        <v>0.57000000000000006</v>
      </c>
      <c r="F242" t="str" cm="1">
        <f t="array" ref="F242">IF(A242=MAX(IF(ROUND($B$2:$B$3722,4)=ROUND(B242,4),$A$2:$A$3722)),"Efficient","Inefficient")</f>
        <v>Inefficient</v>
      </c>
    </row>
    <row r="243" spans="1:6" x14ac:dyDescent="0.25">
      <c r="A243" cm="1">
        <f t="array" ref="A243">INDEX('Portfolio Weights Returns'!$B$9:$BJ$69,
INT((ROW(A242)-1)/COLUMNS('Portfolio Weights Returns'!$B$9:$BJ$69))+1,MOD(ROW(A242)-1,COLUMNS('Portfolio Weights Returns'!$B$9:$BJ$69))+1)</f>
        <v>-7.8194459101763709E-4</v>
      </c>
      <c r="B243">
        <v>1.6199999999999999E-2</v>
      </c>
      <c r="C243" s="59">
        <v>0.25</v>
      </c>
      <c r="D243" s="59">
        <v>0.19</v>
      </c>
      <c r="E243" s="60">
        <f t="shared" si="3"/>
        <v>0.56000000000000005</v>
      </c>
      <c r="F243" t="str" cm="1">
        <f t="array" ref="F243">IF(A243=MAX(IF(ROUND($B$2:$B$3722,4)=ROUND(B243,4),$A$2:$A$3722)),"Efficient","Inefficient")</f>
        <v>Inefficient</v>
      </c>
    </row>
    <row r="244" spans="1:6" x14ac:dyDescent="0.25">
      <c r="A244" cm="1">
        <f t="array" ref="A244">INDEX('Portfolio Weights Returns'!$B$9:$BJ$69,
INT((ROW(A243)-1)/COLUMNS('Portfolio Weights Returns'!$B$9:$BJ$69))+1,MOD(ROW(A243)-1,COLUMNS('Portfolio Weights Returns'!$B$9:$BJ$69))+1)</f>
        <v>-7.7516341705095794E-4</v>
      </c>
      <c r="B244">
        <v>1.6199999999999999E-2</v>
      </c>
      <c r="C244" s="59">
        <v>0.25</v>
      </c>
      <c r="D244" s="59">
        <v>0.2</v>
      </c>
      <c r="E244" s="60">
        <f t="shared" si="3"/>
        <v>0.55000000000000004</v>
      </c>
      <c r="F244" t="str" cm="1">
        <f t="array" ref="F244">IF(A244=MAX(IF(ROUND($B$2:$B$3722,4)=ROUND(B244,4),$A$2:$A$3722)),"Efficient","Inefficient")</f>
        <v>Inefficient</v>
      </c>
    </row>
    <row r="245" spans="1:6" x14ac:dyDescent="0.25">
      <c r="A245" cm="1">
        <f t="array" ref="A245">INDEX('Portfolio Weights Returns'!$B$9:$BJ$69,
INT((ROW(A244)-1)/COLUMNS('Portfolio Weights Returns'!$B$9:$BJ$69))+1,MOD(ROW(A244)-1,COLUMNS('Portfolio Weights Returns'!$B$9:$BJ$69))+1)</f>
        <v>-7.683822430842788E-4</v>
      </c>
      <c r="B245">
        <v>1.6199999999999999E-2</v>
      </c>
      <c r="C245" s="59">
        <v>0.26</v>
      </c>
      <c r="D245" s="59">
        <v>0.2</v>
      </c>
      <c r="E245" s="60">
        <f t="shared" si="3"/>
        <v>0.54</v>
      </c>
      <c r="F245" t="str" cm="1">
        <f t="array" ref="F245">IF(A245=MAX(IF(ROUND($B$2:$B$3722,4)=ROUND(B245,4),$A$2:$A$3722)),"Efficient","Inefficient")</f>
        <v>Efficient</v>
      </c>
    </row>
    <row r="246" spans="1:6" x14ac:dyDescent="0.25">
      <c r="A246" cm="1">
        <f t="array" ref="A246">INDEX('Portfolio Weights Returns'!$B$9:$BJ$69,
INT((ROW(A245)-1)/COLUMNS('Portfolio Weights Returns'!$B$9:$BJ$69))+1,MOD(ROW(A245)-1,COLUMNS('Portfolio Weights Returns'!$B$9:$BJ$69))+1)</f>
        <v>-1.1686784732395704E-3</v>
      </c>
      <c r="B246">
        <v>1.6199999999999999E-2</v>
      </c>
      <c r="C246" s="59">
        <v>0.28000000000000003</v>
      </c>
      <c r="D246" s="59">
        <v>0.21</v>
      </c>
      <c r="E246" s="60">
        <f t="shared" si="3"/>
        <v>0.51</v>
      </c>
      <c r="F246" t="str" cm="1">
        <f t="array" ref="F246">IF(A246=MAX(IF(ROUND($B$2:$B$3722,4)=ROUND(B246,4),$A$2:$A$3722)),"Efficient","Inefficient")</f>
        <v>Inefficient</v>
      </c>
    </row>
    <row r="247" spans="1:6" x14ac:dyDescent="0.25">
      <c r="A247" cm="1">
        <f t="array" ref="A247">INDEX('Portfolio Weights Returns'!$B$9:$BJ$69,
INT((ROW(A246)-1)/COLUMNS('Portfolio Weights Returns'!$B$9:$BJ$69))+1,MOD(ROW(A246)-1,COLUMNS('Portfolio Weights Returns'!$B$9:$BJ$69))+1)</f>
        <v>-1.1618972992728915E-3</v>
      </c>
      <c r="B247">
        <v>1.6199999999999999E-2</v>
      </c>
      <c r="C247" s="59">
        <v>0.28999999999999998</v>
      </c>
      <c r="D247" s="59">
        <v>0.21</v>
      </c>
      <c r="E247" s="60">
        <f t="shared" si="3"/>
        <v>0.5</v>
      </c>
      <c r="F247" t="str" cm="1">
        <f t="array" ref="F247">IF(A247=MAX(IF(ROUND($B$2:$B$3722,4)=ROUND(B247,4),$A$2:$A$3722)),"Efficient","Inefficient")</f>
        <v>Inefficient</v>
      </c>
    </row>
    <row r="248" spans="1:6" x14ac:dyDescent="0.25">
      <c r="A248" cm="1">
        <f t="array" ref="A248">INDEX('Portfolio Weights Returns'!$B$9:$BJ$69,
INT((ROW(A247)-1)/COLUMNS('Portfolio Weights Returns'!$B$9:$BJ$69))+1,MOD(ROW(A247)-1,COLUMNS('Portfolio Weights Returns'!$B$9:$BJ$69))+1)</f>
        <v>-1.1551161253062123E-3</v>
      </c>
      <c r="B248">
        <v>1.6299999999999999E-2</v>
      </c>
      <c r="C248" s="59">
        <v>0.28999999999999998</v>
      </c>
      <c r="D248" s="59">
        <v>-7.0000000000000007E-2</v>
      </c>
      <c r="E248" s="60">
        <f t="shared" si="3"/>
        <v>0.78</v>
      </c>
      <c r="F248" t="str" cm="1">
        <f t="array" ref="F248">IF(A248=MAX(IF(ROUND($B$2:$B$3722,4)=ROUND(B248,4),$A$2:$A$3722)),"Efficient","Inefficient")</f>
        <v>Inefficient</v>
      </c>
    </row>
    <row r="249" spans="1:6" x14ac:dyDescent="0.25">
      <c r="A249" cm="1">
        <f t="array" ref="A249">INDEX('Portfolio Weights Returns'!$B$9:$BJ$69,
INT((ROW(A248)-1)/COLUMNS('Portfolio Weights Returns'!$B$9:$BJ$69))+1,MOD(ROW(A248)-1,COLUMNS('Portfolio Weights Returns'!$B$9:$BJ$69))+1)</f>
        <v>-1.1483349513395332E-3</v>
      </c>
      <c r="B249">
        <v>1.6299999999999999E-2</v>
      </c>
      <c r="C249" s="59">
        <v>0.28000000000000003</v>
      </c>
      <c r="D249" s="59">
        <v>-0.06</v>
      </c>
      <c r="E249" s="60">
        <f t="shared" si="3"/>
        <v>0.78</v>
      </c>
      <c r="F249" t="str" cm="1">
        <f t="array" ref="F249">IF(A249=MAX(IF(ROUND($B$2:$B$3722,4)=ROUND(B249,4),$A$2:$A$3722)),"Efficient","Inefficient")</f>
        <v>Inefficient</v>
      </c>
    </row>
    <row r="250" spans="1:6" x14ac:dyDescent="0.25">
      <c r="A250" cm="1">
        <f t="array" ref="A250">INDEX('Portfolio Weights Returns'!$B$9:$BJ$69,
INT((ROW(A249)-1)/COLUMNS('Portfolio Weights Returns'!$B$9:$BJ$69))+1,MOD(ROW(A249)-1,COLUMNS('Portfolio Weights Returns'!$B$9:$BJ$69))+1)</f>
        <v>-1.141553777372854E-3</v>
      </c>
      <c r="B250">
        <v>1.6299999999999999E-2</v>
      </c>
      <c r="C250" s="59">
        <v>0.27</v>
      </c>
      <c r="D250" s="59">
        <v>-0.05</v>
      </c>
      <c r="E250" s="60">
        <f t="shared" si="3"/>
        <v>0.78</v>
      </c>
      <c r="F250" t="str" cm="1">
        <f t="array" ref="F250">IF(A250=MAX(IF(ROUND($B$2:$B$3722,4)=ROUND(B250,4),$A$2:$A$3722)),"Efficient","Inefficient")</f>
        <v>Inefficient</v>
      </c>
    </row>
    <row r="251" spans="1:6" x14ac:dyDescent="0.25">
      <c r="A251" cm="1">
        <f t="array" ref="A251">INDEX('Portfolio Weights Returns'!$B$9:$BJ$69,
INT((ROW(A250)-1)/COLUMNS('Portfolio Weights Returns'!$B$9:$BJ$69))+1,MOD(ROW(A250)-1,COLUMNS('Portfolio Weights Returns'!$B$9:$BJ$69))+1)</f>
        <v>-1.1347726034061749E-3</v>
      </c>
      <c r="B251">
        <v>1.6299999999999999E-2</v>
      </c>
      <c r="C251" s="59">
        <v>0.26</v>
      </c>
      <c r="D251" s="59">
        <v>-0.04</v>
      </c>
      <c r="E251" s="60">
        <f t="shared" si="3"/>
        <v>0.78</v>
      </c>
      <c r="F251" t="str" cm="1">
        <f t="array" ref="F251">IF(A251=MAX(IF(ROUND($B$2:$B$3722,4)=ROUND(B251,4),$A$2:$A$3722)),"Efficient","Inefficient")</f>
        <v>Inefficient</v>
      </c>
    </row>
    <row r="252" spans="1:6" x14ac:dyDescent="0.25">
      <c r="A252" cm="1">
        <f t="array" ref="A252">INDEX('Portfolio Weights Returns'!$B$9:$BJ$69,
INT((ROW(A251)-1)/COLUMNS('Portfolio Weights Returns'!$B$9:$BJ$69))+1,MOD(ROW(A251)-1,COLUMNS('Portfolio Weights Returns'!$B$9:$BJ$69))+1)</f>
        <v>-1.127991429439496E-3</v>
      </c>
      <c r="B252">
        <v>1.6299999999999999E-2</v>
      </c>
      <c r="C252" s="59">
        <v>0.25</v>
      </c>
      <c r="D252" s="59">
        <v>-0.03</v>
      </c>
      <c r="E252" s="60">
        <f t="shared" si="3"/>
        <v>0.78</v>
      </c>
      <c r="F252" t="str" cm="1">
        <f t="array" ref="F252">IF(A252=MAX(IF(ROUND($B$2:$B$3722,4)=ROUND(B252,4),$A$2:$A$3722)),"Efficient","Inefficient")</f>
        <v>Inefficient</v>
      </c>
    </row>
    <row r="253" spans="1:6" x14ac:dyDescent="0.25">
      <c r="A253" cm="1">
        <f t="array" ref="A253">INDEX('Portfolio Weights Returns'!$B$9:$BJ$69,
INT((ROW(A252)-1)/COLUMNS('Portfolio Weights Returns'!$B$9:$BJ$69))+1,MOD(ROW(A252)-1,COLUMNS('Portfolio Weights Returns'!$B$9:$BJ$69))+1)</f>
        <v>-1.1212102554728168E-3</v>
      </c>
      <c r="B253">
        <v>1.6299999999999999E-2</v>
      </c>
      <c r="C253" s="59">
        <v>0.24</v>
      </c>
      <c r="D253" s="59">
        <v>-0.02</v>
      </c>
      <c r="E253" s="60">
        <f t="shared" si="3"/>
        <v>0.78</v>
      </c>
      <c r="F253" t="str" cm="1">
        <f t="array" ref="F253">IF(A253=MAX(IF(ROUND($B$2:$B$3722,4)=ROUND(B253,4),$A$2:$A$3722)),"Efficient","Inefficient")</f>
        <v>Inefficient</v>
      </c>
    </row>
    <row r="254" spans="1:6" x14ac:dyDescent="0.25">
      <c r="A254" cm="1">
        <f t="array" ref="A254">INDEX('Portfolio Weights Returns'!$B$9:$BJ$69,
INT((ROW(A253)-1)/COLUMNS('Portfolio Weights Returns'!$B$9:$BJ$69))+1,MOD(ROW(A253)-1,COLUMNS('Portfolio Weights Returns'!$B$9:$BJ$69))+1)</f>
        <v>-1.1144290815061377E-3</v>
      </c>
      <c r="B254">
        <v>1.6299999999999999E-2</v>
      </c>
      <c r="C254" s="59">
        <v>0.23</v>
      </c>
      <c r="D254" s="59">
        <v>-0.01</v>
      </c>
      <c r="E254" s="60">
        <f t="shared" si="3"/>
        <v>0.78</v>
      </c>
      <c r="F254" t="str" cm="1">
        <f t="array" ref="F254">IF(A254=MAX(IF(ROUND($B$2:$B$3722,4)=ROUND(B254,4),$A$2:$A$3722)),"Efficient","Inefficient")</f>
        <v>Inefficient</v>
      </c>
    </row>
    <row r="255" spans="1:6" x14ac:dyDescent="0.25">
      <c r="A255" cm="1">
        <f t="array" ref="A255">INDEX('Portfolio Weights Returns'!$B$9:$BJ$69,
INT((ROW(A254)-1)/COLUMNS('Portfolio Weights Returns'!$B$9:$BJ$69))+1,MOD(ROW(A254)-1,COLUMNS('Portfolio Weights Returns'!$B$9:$BJ$69))+1)</f>
        <v>-1.1076479075394585E-3</v>
      </c>
      <c r="B255">
        <v>1.6299999999999999E-2</v>
      </c>
      <c r="C255" s="59">
        <v>0.22</v>
      </c>
      <c r="D255" s="59">
        <v>0</v>
      </c>
      <c r="E255" s="60">
        <f t="shared" si="3"/>
        <v>0.78</v>
      </c>
      <c r="F255" t="str" cm="1">
        <f t="array" ref="F255">IF(A255=MAX(IF(ROUND($B$2:$B$3722,4)=ROUND(B255,4),$A$2:$A$3722)),"Efficient","Inefficient")</f>
        <v>Inefficient</v>
      </c>
    </row>
    <row r="256" spans="1:6" x14ac:dyDescent="0.25">
      <c r="A256" cm="1">
        <f t="array" ref="A256">INDEX('Portfolio Weights Returns'!$B$9:$BJ$69,
INT((ROW(A255)-1)/COLUMNS('Portfolio Weights Returns'!$B$9:$BJ$69))+1,MOD(ROW(A255)-1,COLUMNS('Portfolio Weights Returns'!$B$9:$BJ$69))+1)</f>
        <v>-1.1008667335727796E-3</v>
      </c>
      <c r="B256">
        <v>1.6299999999999999E-2</v>
      </c>
      <c r="C256" s="59">
        <v>0.22</v>
      </c>
      <c r="D256" s="59">
        <v>0.01</v>
      </c>
      <c r="E256" s="60">
        <f t="shared" si="3"/>
        <v>0.77</v>
      </c>
      <c r="F256" t="str" cm="1">
        <f t="array" ref="F256">IF(A256=MAX(IF(ROUND($B$2:$B$3722,4)=ROUND(B256,4),$A$2:$A$3722)),"Efficient","Inefficient")</f>
        <v>Inefficient</v>
      </c>
    </row>
    <row r="257" spans="1:6" x14ac:dyDescent="0.25">
      <c r="A257" cm="1">
        <f t="array" ref="A257">INDEX('Portfolio Weights Returns'!$B$9:$BJ$69,
INT((ROW(A256)-1)/COLUMNS('Portfolio Weights Returns'!$B$9:$BJ$69))+1,MOD(ROW(A256)-1,COLUMNS('Portfolio Weights Returns'!$B$9:$BJ$69))+1)</f>
        <v>-1.0940855596061005E-3</v>
      </c>
      <c r="B257">
        <v>1.6299999999999999E-2</v>
      </c>
      <c r="C257" s="59">
        <v>0.21</v>
      </c>
      <c r="D257" s="59">
        <v>0.02</v>
      </c>
      <c r="E257" s="60">
        <f t="shared" si="3"/>
        <v>0.77</v>
      </c>
      <c r="F257" t="str" cm="1">
        <f t="array" ref="F257">IF(A257=MAX(IF(ROUND($B$2:$B$3722,4)=ROUND(B257,4),$A$2:$A$3722)),"Efficient","Inefficient")</f>
        <v>Inefficient</v>
      </c>
    </row>
    <row r="258" spans="1:6" x14ac:dyDescent="0.25">
      <c r="A258" cm="1">
        <f t="array" ref="A258">INDEX('Portfolio Weights Returns'!$B$9:$BJ$69,
INT((ROW(A257)-1)/COLUMNS('Portfolio Weights Returns'!$B$9:$BJ$69))+1,MOD(ROW(A257)-1,COLUMNS('Portfolio Weights Returns'!$B$9:$BJ$69))+1)</f>
        <v>-1.0873043856394213E-3</v>
      </c>
      <c r="B258">
        <v>1.6299999999999999E-2</v>
      </c>
      <c r="C258" s="59">
        <v>0.2</v>
      </c>
      <c r="D258" s="59">
        <v>0.03</v>
      </c>
      <c r="E258" s="60">
        <f t="shared" ref="E258:E321" si="4">1-D258-C258</f>
        <v>0.77</v>
      </c>
      <c r="F258" t="str" cm="1">
        <f t="array" ref="F258">IF(A258=MAX(IF(ROUND($B$2:$B$3722,4)=ROUND(B258,4),$A$2:$A$3722)),"Efficient","Inefficient")</f>
        <v>Inefficient</v>
      </c>
    </row>
    <row r="259" spans="1:6" x14ac:dyDescent="0.25">
      <c r="A259" cm="1">
        <f t="array" ref="A259">INDEX('Portfolio Weights Returns'!$B$9:$BJ$69,
INT((ROW(A258)-1)/COLUMNS('Portfolio Weights Returns'!$B$9:$BJ$69))+1,MOD(ROW(A258)-1,COLUMNS('Portfolio Weights Returns'!$B$9:$BJ$69))+1)</f>
        <v>-1.080523211672742E-3</v>
      </c>
      <c r="B259">
        <v>1.6299999999999999E-2</v>
      </c>
      <c r="C259" s="59">
        <v>0.2</v>
      </c>
      <c r="D259" s="59">
        <v>0.04</v>
      </c>
      <c r="E259" s="60">
        <f t="shared" si="4"/>
        <v>0.76</v>
      </c>
      <c r="F259" t="str" cm="1">
        <f t="array" ref="F259">IF(A259=MAX(IF(ROUND($B$2:$B$3722,4)=ROUND(B259,4),$A$2:$A$3722)),"Efficient","Inefficient")</f>
        <v>Inefficient</v>
      </c>
    </row>
    <row r="260" spans="1:6" x14ac:dyDescent="0.25">
      <c r="A260" cm="1">
        <f t="array" ref="A260">INDEX('Portfolio Weights Returns'!$B$9:$BJ$69,
INT((ROW(A259)-1)/COLUMNS('Portfolio Weights Returns'!$B$9:$BJ$69))+1,MOD(ROW(A259)-1,COLUMNS('Portfolio Weights Returns'!$B$9:$BJ$69))+1)</f>
        <v>-1.073742037706063E-3</v>
      </c>
      <c r="B260">
        <v>1.6299999999999999E-2</v>
      </c>
      <c r="C260" s="59">
        <v>0.19</v>
      </c>
      <c r="D260" s="59">
        <v>0.05</v>
      </c>
      <c r="E260" s="60">
        <f t="shared" si="4"/>
        <v>0.76</v>
      </c>
      <c r="F260" t="str" cm="1">
        <f t="array" ref="F260">IF(A260=MAX(IF(ROUND($B$2:$B$3722,4)=ROUND(B260,4),$A$2:$A$3722)),"Efficient","Inefficient")</f>
        <v>Inefficient</v>
      </c>
    </row>
    <row r="261" spans="1:6" x14ac:dyDescent="0.25">
      <c r="A261" cm="1">
        <f t="array" ref="A261">INDEX('Portfolio Weights Returns'!$B$9:$BJ$69,
INT((ROW(A260)-1)/COLUMNS('Portfolio Weights Returns'!$B$9:$BJ$69))+1,MOD(ROW(A260)-1,COLUMNS('Portfolio Weights Returns'!$B$9:$BJ$69))+1)</f>
        <v>-1.0669608637393839E-3</v>
      </c>
      <c r="B261">
        <v>1.6299999999999999E-2</v>
      </c>
      <c r="C261" s="59">
        <v>0.19</v>
      </c>
      <c r="D261" s="59">
        <v>0.06</v>
      </c>
      <c r="E261" s="60">
        <f t="shared" si="4"/>
        <v>0.75</v>
      </c>
      <c r="F261" t="str" cm="1">
        <f t="array" ref="F261">IF(A261=MAX(IF(ROUND($B$2:$B$3722,4)=ROUND(B261,4),$A$2:$A$3722)),"Efficient","Inefficient")</f>
        <v>Inefficient</v>
      </c>
    </row>
    <row r="262" spans="1:6" x14ac:dyDescent="0.25">
      <c r="A262" cm="1">
        <f t="array" ref="A262">INDEX('Portfolio Weights Returns'!$B$9:$BJ$69,
INT((ROW(A261)-1)/COLUMNS('Portfolio Weights Returns'!$B$9:$BJ$69))+1,MOD(ROW(A261)-1,COLUMNS('Portfolio Weights Returns'!$B$9:$BJ$69))+1)</f>
        <v>-1.060179689772705E-3</v>
      </c>
      <c r="B262">
        <v>1.6299999999999999E-2</v>
      </c>
      <c r="C262" s="59">
        <v>0.18</v>
      </c>
      <c r="D262" s="59">
        <v>7.0000000000000007E-2</v>
      </c>
      <c r="E262" s="60">
        <f t="shared" si="4"/>
        <v>0.75</v>
      </c>
      <c r="F262" t="str" cm="1">
        <f t="array" ref="F262">IF(A262=MAX(IF(ROUND($B$2:$B$3722,4)=ROUND(B262,4),$A$2:$A$3722)),"Efficient","Inefficient")</f>
        <v>Inefficient</v>
      </c>
    </row>
    <row r="263" spans="1:6" x14ac:dyDescent="0.25">
      <c r="A263" cm="1">
        <f t="array" ref="A263">INDEX('Portfolio Weights Returns'!$B$9:$BJ$69,
INT((ROW(A262)-1)/COLUMNS('Portfolio Weights Returns'!$B$9:$BJ$69))+1,MOD(ROW(A262)-1,COLUMNS('Portfolio Weights Returns'!$B$9:$BJ$69))+1)</f>
        <v>-1.0533985158060256E-3</v>
      </c>
      <c r="B263">
        <v>1.6299999999999999E-2</v>
      </c>
      <c r="C263" s="59">
        <v>0.18</v>
      </c>
      <c r="D263" s="59">
        <v>0.08</v>
      </c>
      <c r="E263" s="60">
        <f t="shared" si="4"/>
        <v>0.74</v>
      </c>
      <c r="F263" t="str" cm="1">
        <f t="array" ref="F263">IF(A263=MAX(IF(ROUND($B$2:$B$3722,4)=ROUND(B263,4),$A$2:$A$3722)),"Efficient","Inefficient")</f>
        <v>Inefficient</v>
      </c>
    </row>
    <row r="264" spans="1:6" x14ac:dyDescent="0.25">
      <c r="A264" cm="1">
        <f t="array" ref="A264">INDEX('Portfolio Weights Returns'!$B$9:$BJ$69,
INT((ROW(A263)-1)/COLUMNS('Portfolio Weights Returns'!$B$9:$BJ$69))+1,MOD(ROW(A263)-1,COLUMNS('Portfolio Weights Returns'!$B$9:$BJ$69))+1)</f>
        <v>-1.0466173418393467E-3</v>
      </c>
      <c r="B264">
        <v>1.6299999999999999E-2</v>
      </c>
      <c r="C264" s="59">
        <v>0.18</v>
      </c>
      <c r="D264" s="59">
        <v>0.09</v>
      </c>
      <c r="E264" s="60">
        <f t="shared" si="4"/>
        <v>0.73</v>
      </c>
      <c r="F264" t="str" cm="1">
        <f t="array" ref="F264">IF(A264=MAX(IF(ROUND($B$2:$B$3722,4)=ROUND(B264,4),$A$2:$A$3722)),"Efficient","Inefficient")</f>
        <v>Inefficient</v>
      </c>
    </row>
    <row r="265" spans="1:6" x14ac:dyDescent="0.25">
      <c r="A265" cm="1">
        <f t="array" ref="A265">INDEX('Portfolio Weights Returns'!$B$9:$BJ$69,
INT((ROW(A264)-1)/COLUMNS('Portfolio Weights Returns'!$B$9:$BJ$69))+1,MOD(ROW(A264)-1,COLUMNS('Portfolio Weights Returns'!$B$9:$BJ$69))+1)</f>
        <v>-1.0398361678726677E-3</v>
      </c>
      <c r="B265">
        <v>1.6299999999999999E-2</v>
      </c>
      <c r="C265" s="59">
        <v>0.18</v>
      </c>
      <c r="D265" s="59">
        <v>0.1</v>
      </c>
      <c r="E265" s="60">
        <f t="shared" si="4"/>
        <v>0.72</v>
      </c>
      <c r="F265" t="str" cm="1">
        <f t="array" ref="F265">IF(A265=MAX(IF(ROUND($B$2:$B$3722,4)=ROUND(B265,4),$A$2:$A$3722)),"Efficient","Inefficient")</f>
        <v>Inefficient</v>
      </c>
    </row>
    <row r="266" spans="1:6" x14ac:dyDescent="0.25">
      <c r="A266" cm="1">
        <f t="array" ref="A266">INDEX('Portfolio Weights Returns'!$B$9:$BJ$69,
INT((ROW(A265)-1)/COLUMNS('Portfolio Weights Returns'!$B$9:$BJ$69))+1,MOD(ROW(A265)-1,COLUMNS('Portfolio Weights Returns'!$B$9:$BJ$69))+1)</f>
        <v>-1.0330549939059886E-3</v>
      </c>
      <c r="B266">
        <v>1.6299999999999999E-2</v>
      </c>
      <c r="C266" s="59">
        <v>0.18</v>
      </c>
      <c r="D266" s="59">
        <v>0.11</v>
      </c>
      <c r="E266" s="60">
        <f t="shared" si="4"/>
        <v>0.71</v>
      </c>
      <c r="F266" t="str" cm="1">
        <f t="array" ref="F266">IF(A266=MAX(IF(ROUND($B$2:$B$3722,4)=ROUND(B266,4),$A$2:$A$3722)),"Efficient","Inefficient")</f>
        <v>Inefficient</v>
      </c>
    </row>
    <row r="267" spans="1:6" x14ac:dyDescent="0.25">
      <c r="A267" cm="1">
        <f t="array" ref="A267">INDEX('Portfolio Weights Returns'!$B$9:$BJ$69,
INT((ROW(A266)-1)/COLUMNS('Portfolio Weights Returns'!$B$9:$BJ$69))+1,MOD(ROW(A266)-1,COLUMNS('Portfolio Weights Returns'!$B$9:$BJ$69))+1)</f>
        <v>-1.0262738199393094E-3</v>
      </c>
      <c r="B267">
        <v>1.6299999999999999E-2</v>
      </c>
      <c r="C267" s="59">
        <v>0.18</v>
      </c>
      <c r="D267" s="59">
        <v>0.12</v>
      </c>
      <c r="E267" s="60">
        <f t="shared" si="4"/>
        <v>0.7</v>
      </c>
      <c r="F267" t="str" cm="1">
        <f t="array" ref="F267">IF(A267=MAX(IF(ROUND($B$2:$B$3722,4)=ROUND(B267,4),$A$2:$A$3722)),"Efficient","Inefficient")</f>
        <v>Inefficient</v>
      </c>
    </row>
    <row r="268" spans="1:6" x14ac:dyDescent="0.25">
      <c r="A268" cm="1">
        <f t="array" ref="A268">INDEX('Portfolio Weights Returns'!$B$9:$BJ$69,
INT((ROW(A267)-1)/COLUMNS('Portfolio Weights Returns'!$B$9:$BJ$69))+1,MOD(ROW(A267)-1,COLUMNS('Portfolio Weights Returns'!$B$9:$BJ$69))+1)</f>
        <v>-1.0194926459726303E-3</v>
      </c>
      <c r="B268">
        <v>1.6299999999999999E-2</v>
      </c>
      <c r="C268" s="59">
        <v>0.18</v>
      </c>
      <c r="D268" s="59">
        <v>0.13</v>
      </c>
      <c r="E268" s="60">
        <f t="shared" si="4"/>
        <v>0.69</v>
      </c>
      <c r="F268" t="str" cm="1">
        <f t="array" ref="F268">IF(A268=MAX(IF(ROUND($B$2:$B$3722,4)=ROUND(B268,4),$A$2:$A$3722)),"Efficient","Inefficient")</f>
        <v>Inefficient</v>
      </c>
    </row>
    <row r="269" spans="1:6" x14ac:dyDescent="0.25">
      <c r="A269" cm="1">
        <f t="array" ref="A269">INDEX('Portfolio Weights Returns'!$B$9:$BJ$69,
INT((ROW(A268)-1)/COLUMNS('Portfolio Weights Returns'!$B$9:$BJ$69))+1,MOD(ROW(A268)-1,COLUMNS('Portfolio Weights Returns'!$B$9:$BJ$69))+1)</f>
        <v>-1.0127114720059514E-3</v>
      </c>
      <c r="B269">
        <v>1.6299999999999999E-2</v>
      </c>
      <c r="C269" s="59">
        <v>0.18</v>
      </c>
      <c r="D269" s="59">
        <v>0.14000000000000001</v>
      </c>
      <c r="E269" s="60">
        <f t="shared" si="4"/>
        <v>0.67999999999999994</v>
      </c>
      <c r="F269" t="str" cm="1">
        <f t="array" ref="F269">IF(A269=MAX(IF(ROUND($B$2:$B$3722,4)=ROUND(B269,4),$A$2:$A$3722)),"Efficient","Inefficient")</f>
        <v>Inefficient</v>
      </c>
    </row>
    <row r="270" spans="1:6" x14ac:dyDescent="0.25">
      <c r="A270" cm="1">
        <f t="array" ref="A270">INDEX('Portfolio Weights Returns'!$B$9:$BJ$69,
INT((ROW(A269)-1)/COLUMNS('Portfolio Weights Returns'!$B$9:$BJ$69))+1,MOD(ROW(A269)-1,COLUMNS('Portfolio Weights Returns'!$B$9:$BJ$69))+1)</f>
        <v>-1.0059302980392722E-3</v>
      </c>
      <c r="B270">
        <v>1.6299999999999999E-2</v>
      </c>
      <c r="C270" s="59">
        <v>0.19</v>
      </c>
      <c r="D270" s="59">
        <v>0.14000000000000001</v>
      </c>
      <c r="E270" s="60">
        <f t="shared" si="4"/>
        <v>0.66999999999999993</v>
      </c>
      <c r="F270" t="str" cm="1">
        <f t="array" ref="F270">IF(A270=MAX(IF(ROUND($B$2:$B$3722,4)=ROUND(B270,4),$A$2:$A$3722)),"Efficient","Inefficient")</f>
        <v>Inefficient</v>
      </c>
    </row>
    <row r="271" spans="1:6" x14ac:dyDescent="0.25">
      <c r="A271" cm="1">
        <f t="array" ref="A271">INDEX('Portfolio Weights Returns'!$B$9:$BJ$69,
INT((ROW(A270)-1)/COLUMNS('Portfolio Weights Returns'!$B$9:$BJ$69))+1,MOD(ROW(A270)-1,COLUMNS('Portfolio Weights Returns'!$B$9:$BJ$69))+1)</f>
        <v>-9.9914912407259287E-4</v>
      </c>
      <c r="B271">
        <v>1.6299999999999999E-2</v>
      </c>
      <c r="C271" s="59">
        <v>0.19</v>
      </c>
      <c r="D271" s="59">
        <v>0.15</v>
      </c>
      <c r="E271" s="60">
        <f t="shared" si="4"/>
        <v>0.65999999999999992</v>
      </c>
      <c r="F271" t="str" cm="1">
        <f t="array" ref="F271">IF(A271=MAX(IF(ROUND($B$2:$B$3722,4)=ROUND(B271,4),$A$2:$A$3722)),"Efficient","Inefficient")</f>
        <v>Inefficient</v>
      </c>
    </row>
    <row r="272" spans="1:6" x14ac:dyDescent="0.25">
      <c r="A272" cm="1">
        <f t="array" ref="A272">INDEX('Portfolio Weights Returns'!$B$9:$BJ$69,
INT((ROW(A271)-1)/COLUMNS('Portfolio Weights Returns'!$B$9:$BJ$69))+1,MOD(ROW(A271)-1,COLUMNS('Portfolio Weights Returns'!$B$9:$BJ$69))+1)</f>
        <v>-9.9236795010591372E-4</v>
      </c>
      <c r="B272">
        <v>1.6299999999999999E-2</v>
      </c>
      <c r="C272" s="59">
        <v>0.19</v>
      </c>
      <c r="D272" s="59">
        <v>0.16</v>
      </c>
      <c r="E272" s="60">
        <f t="shared" si="4"/>
        <v>0.64999999999999991</v>
      </c>
      <c r="F272" t="str" cm="1">
        <f t="array" ref="F272">IF(A272=MAX(IF(ROUND($B$2:$B$3722,4)=ROUND(B272,4),$A$2:$A$3722)),"Efficient","Inefficient")</f>
        <v>Inefficient</v>
      </c>
    </row>
    <row r="273" spans="1:6" x14ac:dyDescent="0.25">
      <c r="A273" cm="1">
        <f t="array" ref="A273">INDEX('Portfolio Weights Returns'!$B$9:$BJ$69,
INT((ROW(A272)-1)/COLUMNS('Portfolio Weights Returns'!$B$9:$BJ$69))+1,MOD(ROW(A272)-1,COLUMNS('Portfolio Weights Returns'!$B$9:$BJ$69))+1)</f>
        <v>-9.8558677613923458E-4</v>
      </c>
      <c r="B273">
        <v>1.6299999999999999E-2</v>
      </c>
      <c r="C273" s="59">
        <v>0.2</v>
      </c>
      <c r="D273" s="59">
        <v>0.16</v>
      </c>
      <c r="E273" s="60">
        <f t="shared" si="4"/>
        <v>0.6399999999999999</v>
      </c>
      <c r="F273" t="str" cm="1">
        <f t="array" ref="F273">IF(A273=MAX(IF(ROUND($B$2:$B$3722,4)=ROUND(B273,4),$A$2:$A$3722)),"Efficient","Inefficient")</f>
        <v>Inefficient</v>
      </c>
    </row>
    <row r="274" spans="1:6" x14ac:dyDescent="0.25">
      <c r="A274" cm="1">
        <f t="array" ref="A274">INDEX('Portfolio Weights Returns'!$B$9:$BJ$69,
INT((ROW(A273)-1)/COLUMNS('Portfolio Weights Returns'!$B$9:$BJ$69))+1,MOD(ROW(A273)-1,COLUMNS('Portfolio Weights Returns'!$B$9:$BJ$69))+1)</f>
        <v>-9.7880560217255565E-4</v>
      </c>
      <c r="B274">
        <v>1.6299999999999999E-2</v>
      </c>
      <c r="C274" s="59">
        <v>0.2</v>
      </c>
      <c r="D274" s="59">
        <v>0.17</v>
      </c>
      <c r="E274" s="60">
        <f t="shared" si="4"/>
        <v>0.62999999999999989</v>
      </c>
      <c r="F274" t="str" cm="1">
        <f t="array" ref="F274">IF(A274=MAX(IF(ROUND($B$2:$B$3722,4)=ROUND(B274,4),$A$2:$A$3722)),"Efficient","Inefficient")</f>
        <v>Inefficient</v>
      </c>
    </row>
    <row r="275" spans="1:6" x14ac:dyDescent="0.25">
      <c r="A275" cm="1">
        <f t="array" ref="A275">INDEX('Portfolio Weights Returns'!$B$9:$BJ$69,
INT((ROW(A274)-1)/COLUMNS('Portfolio Weights Returns'!$B$9:$BJ$69))+1,MOD(ROW(A274)-1,COLUMNS('Portfolio Weights Returns'!$B$9:$BJ$69))+1)</f>
        <v>-9.7202442820587651E-4</v>
      </c>
      <c r="B275">
        <v>1.6299999999999999E-2</v>
      </c>
      <c r="C275" s="59">
        <v>0.21</v>
      </c>
      <c r="D275" s="59">
        <v>0.18</v>
      </c>
      <c r="E275" s="60">
        <f t="shared" si="4"/>
        <v>0.6100000000000001</v>
      </c>
      <c r="F275" t="str" cm="1">
        <f t="array" ref="F275">IF(A275=MAX(IF(ROUND($B$2:$B$3722,4)=ROUND(B275,4),$A$2:$A$3722)),"Efficient","Inefficient")</f>
        <v>Inefficient</v>
      </c>
    </row>
    <row r="276" spans="1:6" x14ac:dyDescent="0.25">
      <c r="A276" cm="1">
        <f t="array" ref="A276">INDEX('Portfolio Weights Returns'!$B$9:$BJ$69,
INT((ROW(A275)-1)/COLUMNS('Portfolio Weights Returns'!$B$9:$BJ$69))+1,MOD(ROW(A275)-1,COLUMNS('Portfolio Weights Returns'!$B$9:$BJ$69))+1)</f>
        <v>-9.6524325423919736E-4</v>
      </c>
      <c r="B276">
        <v>1.6299999999999999E-2</v>
      </c>
      <c r="C276" s="59">
        <v>0.22</v>
      </c>
      <c r="D276" s="59">
        <v>0.19</v>
      </c>
      <c r="E276" s="60">
        <f t="shared" si="4"/>
        <v>0.59000000000000008</v>
      </c>
      <c r="F276" t="str" cm="1">
        <f t="array" ref="F276">IF(A276=MAX(IF(ROUND($B$2:$B$3722,4)=ROUND(B276,4),$A$2:$A$3722)),"Efficient","Inefficient")</f>
        <v>Inefficient</v>
      </c>
    </row>
    <row r="277" spans="1:6" x14ac:dyDescent="0.25">
      <c r="A277" cm="1">
        <f t="array" ref="A277">INDEX('Portfolio Weights Returns'!$B$9:$BJ$69,
INT((ROW(A276)-1)/COLUMNS('Portfolio Weights Returns'!$B$9:$BJ$69))+1,MOD(ROW(A276)-1,COLUMNS('Portfolio Weights Returns'!$B$9:$BJ$69))+1)</f>
        <v>-9.5846208027251833E-4</v>
      </c>
      <c r="B277">
        <v>1.6299999999999999E-2</v>
      </c>
      <c r="C277" s="59">
        <v>0.23</v>
      </c>
      <c r="D277" s="59">
        <v>0.19</v>
      </c>
      <c r="E277" s="60">
        <f t="shared" si="4"/>
        <v>0.58000000000000007</v>
      </c>
      <c r="F277" t="str" cm="1">
        <f t="array" ref="F277">IF(A277=MAX(IF(ROUND($B$2:$B$3722,4)=ROUND(B277,4),$A$2:$A$3722)),"Efficient","Inefficient")</f>
        <v>Inefficient</v>
      </c>
    </row>
    <row r="278" spans="1:6" x14ac:dyDescent="0.25">
      <c r="A278" cm="1">
        <f t="array" ref="A278">INDEX('Portfolio Weights Returns'!$B$9:$BJ$69,
INT((ROW(A277)-1)/COLUMNS('Portfolio Weights Returns'!$B$9:$BJ$69))+1,MOD(ROW(A277)-1,COLUMNS('Portfolio Weights Returns'!$B$9:$BJ$69))+1)</f>
        <v>-9.5168090630583918E-4</v>
      </c>
      <c r="B278">
        <v>1.6299999999999999E-2</v>
      </c>
      <c r="C278" s="59">
        <v>0.24</v>
      </c>
      <c r="D278" s="59">
        <v>0.2</v>
      </c>
      <c r="E278" s="60">
        <f t="shared" si="4"/>
        <v>0.56000000000000005</v>
      </c>
      <c r="F278" t="str" cm="1">
        <f t="array" ref="F278">IF(A278=MAX(IF(ROUND($B$2:$B$3722,4)=ROUND(B278,4),$A$2:$A$3722)),"Efficient","Inefficient")</f>
        <v>Inefficient</v>
      </c>
    </row>
    <row r="279" spans="1:6" x14ac:dyDescent="0.25">
      <c r="A279" cm="1">
        <f t="array" ref="A279">INDEX('Portfolio Weights Returns'!$B$9:$BJ$69,
INT((ROW(A278)-1)/COLUMNS('Portfolio Weights Returns'!$B$9:$BJ$69))+1,MOD(ROW(A278)-1,COLUMNS('Portfolio Weights Returns'!$B$9:$BJ$69))+1)</f>
        <v>-9.4489973233916015E-4</v>
      </c>
      <c r="B279">
        <v>1.6299999999999999E-2</v>
      </c>
      <c r="C279" s="59">
        <v>0.26</v>
      </c>
      <c r="D279" s="59">
        <v>0.21</v>
      </c>
      <c r="E279" s="60">
        <f t="shared" si="4"/>
        <v>0.53</v>
      </c>
      <c r="F279" t="str" cm="1">
        <f t="array" ref="F279">IF(A279=MAX(IF(ROUND($B$2:$B$3722,4)=ROUND(B279,4),$A$2:$A$3722)),"Efficient","Inefficient")</f>
        <v>Inefficient</v>
      </c>
    </row>
    <row r="280" spans="1:6" x14ac:dyDescent="0.25">
      <c r="A280" cm="1">
        <f t="array" ref="A280">INDEX('Portfolio Weights Returns'!$B$9:$BJ$69,
INT((ROW(A279)-1)/COLUMNS('Portfolio Weights Returns'!$B$9:$BJ$69))+1,MOD(ROW(A279)-1,COLUMNS('Portfolio Weights Returns'!$B$9:$BJ$69))+1)</f>
        <v>-9.38118558372481E-4</v>
      </c>
      <c r="B280">
        <v>1.6299999999999999E-2</v>
      </c>
      <c r="C280" s="59">
        <v>0.27</v>
      </c>
      <c r="D280" s="59">
        <v>0.21</v>
      </c>
      <c r="E280" s="60">
        <f t="shared" si="4"/>
        <v>0.52</v>
      </c>
      <c r="F280" t="str" cm="1">
        <f t="array" ref="F280">IF(A280=MAX(IF(ROUND($B$2:$B$3722,4)=ROUND(B280,4),$A$2:$A$3722)),"Efficient","Inefficient")</f>
        <v>Inefficient</v>
      </c>
    </row>
    <row r="281" spans="1:6" x14ac:dyDescent="0.25">
      <c r="A281" cm="1">
        <f t="array" ref="A281">INDEX('Portfolio Weights Returns'!$B$9:$BJ$69,
INT((ROW(A280)-1)/COLUMNS('Portfolio Weights Returns'!$B$9:$BJ$69))+1,MOD(ROW(A280)-1,COLUMNS('Portfolio Weights Returns'!$B$9:$BJ$69))+1)</f>
        <v>-9.3133738440580175E-4</v>
      </c>
      <c r="B281">
        <v>1.6299999999999999E-2</v>
      </c>
      <c r="C281" s="59">
        <v>0.28000000000000003</v>
      </c>
      <c r="D281" s="59">
        <v>0.22</v>
      </c>
      <c r="E281" s="60">
        <f t="shared" si="4"/>
        <v>0.5</v>
      </c>
      <c r="F281" t="str" cm="1">
        <f t="array" ref="F281">IF(A281=MAX(IF(ROUND($B$2:$B$3722,4)=ROUND(B281,4),$A$2:$A$3722)),"Efficient","Inefficient")</f>
        <v>Inefficient</v>
      </c>
    </row>
    <row r="282" spans="1:6" x14ac:dyDescent="0.25">
      <c r="A282" cm="1">
        <f t="array" ref="A282">INDEX('Portfolio Weights Returns'!$B$9:$BJ$69,
INT((ROW(A281)-1)/COLUMNS('Portfolio Weights Returns'!$B$9:$BJ$69))+1,MOD(ROW(A281)-1,COLUMNS('Portfolio Weights Returns'!$B$9:$BJ$69))+1)</f>
        <v>-9.2455621043912271E-4</v>
      </c>
      <c r="B282">
        <v>1.6299999999999999E-2</v>
      </c>
      <c r="C282" s="59">
        <v>0.28999999999999998</v>
      </c>
      <c r="D282" s="59">
        <v>0.22</v>
      </c>
      <c r="E282" s="60">
        <f t="shared" si="4"/>
        <v>0.49000000000000005</v>
      </c>
      <c r="F282" t="str" cm="1">
        <f t="array" ref="F282">IF(A282=MAX(IF(ROUND($B$2:$B$3722,4)=ROUND(B282,4),$A$2:$A$3722)),"Efficient","Inefficient")</f>
        <v>Inefficient</v>
      </c>
    </row>
    <row r="283" spans="1:6" x14ac:dyDescent="0.25">
      <c r="A283" cm="1">
        <f t="array" ref="A283">INDEX('Portfolio Weights Returns'!$B$9:$BJ$69,
INT((ROW(A282)-1)/COLUMNS('Portfolio Weights Returns'!$B$9:$BJ$69))+1,MOD(ROW(A282)-1,COLUMNS('Portfolio Weights Returns'!$B$9:$BJ$69))+1)</f>
        <v>-9.1777503647244357E-4</v>
      </c>
      <c r="B283">
        <v>1.6299999999999999E-2</v>
      </c>
      <c r="C283" s="59">
        <v>0.3</v>
      </c>
      <c r="D283" s="59">
        <v>0.22</v>
      </c>
      <c r="E283" s="60">
        <f t="shared" si="4"/>
        <v>0.48000000000000004</v>
      </c>
      <c r="F283" t="str" cm="1">
        <f t="array" ref="F283">IF(A283=MAX(IF(ROUND($B$2:$B$3722,4)=ROUND(B283,4),$A$2:$A$3722)),"Efficient","Inefficient")</f>
        <v>Efficient</v>
      </c>
    </row>
    <row r="284" spans="1:6" x14ac:dyDescent="0.25">
      <c r="A284" cm="1">
        <f t="array" ref="A284">INDEX('Portfolio Weights Returns'!$B$9:$BJ$69,
INT((ROW(A283)-1)/COLUMNS('Portfolio Weights Returns'!$B$9:$BJ$69))+1,MOD(ROW(A283)-1,COLUMNS('Portfolio Weights Returns'!$B$9:$BJ$69))+1)</f>
        <v>-9.1099386250576475E-4</v>
      </c>
      <c r="B284">
        <v>1.6400000000000001E-2</v>
      </c>
      <c r="C284" s="59">
        <v>0.3</v>
      </c>
      <c r="D284" s="59">
        <v>-0.08</v>
      </c>
      <c r="E284" s="60">
        <f t="shared" si="4"/>
        <v>0.78</v>
      </c>
      <c r="F284" t="str" cm="1">
        <f t="array" ref="F284">IF(A284=MAX(IF(ROUND($B$2:$B$3722,4)=ROUND(B284,4),$A$2:$A$3722)),"Efficient","Inefficient")</f>
        <v>Inefficient</v>
      </c>
    </row>
    <row r="285" spans="1:6" x14ac:dyDescent="0.25">
      <c r="A285" cm="1">
        <f t="array" ref="A285">INDEX('Portfolio Weights Returns'!$B$9:$BJ$69,
INT((ROW(A284)-1)/COLUMNS('Portfolio Weights Returns'!$B$9:$BJ$69))+1,MOD(ROW(A284)-1,COLUMNS('Portfolio Weights Returns'!$B$9:$BJ$69))+1)</f>
        <v>-9.0421268853908539E-4</v>
      </c>
      <c r="B285">
        <v>1.6400000000000001E-2</v>
      </c>
      <c r="C285" s="59">
        <v>0.27</v>
      </c>
      <c r="D285" s="59">
        <v>-0.06</v>
      </c>
      <c r="E285" s="60">
        <f t="shared" si="4"/>
        <v>0.79</v>
      </c>
      <c r="F285" t="str" cm="1">
        <f t="array" ref="F285">IF(A285=MAX(IF(ROUND($B$2:$B$3722,4)=ROUND(B285,4),$A$2:$A$3722)),"Efficient","Inefficient")</f>
        <v>Inefficient</v>
      </c>
    </row>
    <row r="286" spans="1:6" x14ac:dyDescent="0.25">
      <c r="A286" cm="1">
        <f t="array" ref="A286">INDEX('Portfolio Weights Returns'!$B$9:$BJ$69,
INT((ROW(A285)-1)/COLUMNS('Portfolio Weights Returns'!$B$9:$BJ$69))+1,MOD(ROW(A285)-1,COLUMNS('Portfolio Weights Returns'!$B$9:$BJ$69))+1)</f>
        <v>-8.9743151457240646E-4</v>
      </c>
      <c r="B286">
        <v>1.6400000000000001E-2</v>
      </c>
      <c r="C286" s="59">
        <v>0.26</v>
      </c>
      <c r="D286" s="59">
        <v>-0.05</v>
      </c>
      <c r="E286" s="60">
        <f t="shared" si="4"/>
        <v>0.79</v>
      </c>
      <c r="F286" t="str" cm="1">
        <f t="array" ref="F286">IF(A286=MAX(IF(ROUND($B$2:$B$3722,4)=ROUND(B286,4),$A$2:$A$3722)),"Efficient","Inefficient")</f>
        <v>Inefficient</v>
      </c>
    </row>
    <row r="287" spans="1:6" x14ac:dyDescent="0.25">
      <c r="A287" cm="1">
        <f t="array" ref="A287">INDEX('Portfolio Weights Returns'!$B$9:$BJ$69,
INT((ROW(A286)-1)/COLUMNS('Portfolio Weights Returns'!$B$9:$BJ$69))+1,MOD(ROW(A286)-1,COLUMNS('Portfolio Weights Returns'!$B$9:$BJ$69))+1)</f>
        <v>-8.9065034060572721E-4</v>
      </c>
      <c r="B287">
        <v>1.6400000000000001E-2</v>
      </c>
      <c r="C287" s="59">
        <v>0.25</v>
      </c>
      <c r="D287" s="59">
        <v>-0.04</v>
      </c>
      <c r="E287" s="60">
        <f t="shared" si="4"/>
        <v>0.79</v>
      </c>
      <c r="F287" t="str" cm="1">
        <f t="array" ref="F287">IF(A287=MAX(IF(ROUND($B$2:$B$3722,4)=ROUND(B287,4),$A$2:$A$3722)),"Efficient","Inefficient")</f>
        <v>Inefficient</v>
      </c>
    </row>
    <row r="288" spans="1:6" x14ac:dyDescent="0.25">
      <c r="A288" cm="1">
        <f t="array" ref="A288">INDEX('Portfolio Weights Returns'!$B$9:$BJ$69,
INT((ROW(A287)-1)/COLUMNS('Portfolio Weights Returns'!$B$9:$BJ$69))+1,MOD(ROW(A287)-1,COLUMNS('Portfolio Weights Returns'!$B$9:$BJ$69))+1)</f>
        <v>-8.8386916663904828E-4</v>
      </c>
      <c r="B288">
        <v>1.6400000000000001E-2</v>
      </c>
      <c r="C288" s="59">
        <v>0.24</v>
      </c>
      <c r="D288" s="59">
        <v>-0.03</v>
      </c>
      <c r="E288" s="60">
        <f t="shared" si="4"/>
        <v>0.79</v>
      </c>
      <c r="F288" t="str" cm="1">
        <f t="array" ref="F288">IF(A288=MAX(IF(ROUND($B$2:$B$3722,4)=ROUND(B288,4),$A$2:$A$3722)),"Efficient","Inefficient")</f>
        <v>Inefficient</v>
      </c>
    </row>
    <row r="289" spans="1:6" x14ac:dyDescent="0.25">
      <c r="A289" cm="1">
        <f t="array" ref="A289">INDEX('Portfolio Weights Returns'!$B$9:$BJ$69,
INT((ROW(A288)-1)/COLUMNS('Portfolio Weights Returns'!$B$9:$BJ$69))+1,MOD(ROW(A288)-1,COLUMNS('Portfolio Weights Returns'!$B$9:$BJ$69))+1)</f>
        <v>-8.7708799267236892E-4</v>
      </c>
      <c r="B289">
        <v>1.6400000000000001E-2</v>
      </c>
      <c r="C289" s="59">
        <v>0.23</v>
      </c>
      <c r="D289" s="59">
        <v>-0.02</v>
      </c>
      <c r="E289" s="60">
        <f t="shared" si="4"/>
        <v>0.79</v>
      </c>
      <c r="F289" t="str" cm="1">
        <f t="array" ref="F289">IF(A289=MAX(IF(ROUND($B$2:$B$3722,4)=ROUND(B289,4),$A$2:$A$3722)),"Efficient","Inefficient")</f>
        <v>Inefficient</v>
      </c>
    </row>
    <row r="290" spans="1:6" x14ac:dyDescent="0.25">
      <c r="A290" cm="1">
        <f t="array" ref="A290">INDEX('Portfolio Weights Returns'!$B$9:$BJ$69,
INT((ROW(A289)-1)/COLUMNS('Portfolio Weights Returns'!$B$9:$BJ$69))+1,MOD(ROW(A289)-1,COLUMNS('Portfolio Weights Returns'!$B$9:$BJ$69))+1)</f>
        <v>-8.7030681870568999E-4</v>
      </c>
      <c r="B290">
        <v>1.6400000000000001E-2</v>
      </c>
      <c r="C290" s="59">
        <v>0.22</v>
      </c>
      <c r="D290" s="59">
        <v>-0.01</v>
      </c>
      <c r="E290" s="60">
        <f t="shared" si="4"/>
        <v>0.79</v>
      </c>
      <c r="F290" t="str" cm="1">
        <f t="array" ref="F290">IF(A290=MAX(IF(ROUND($B$2:$B$3722,4)=ROUND(B290,4),$A$2:$A$3722)),"Efficient","Inefficient")</f>
        <v>Inefficient</v>
      </c>
    </row>
    <row r="291" spans="1:6" x14ac:dyDescent="0.25">
      <c r="A291" cm="1">
        <f t="array" ref="A291">INDEX('Portfolio Weights Returns'!$B$9:$BJ$69,
INT((ROW(A290)-1)/COLUMNS('Portfolio Weights Returns'!$B$9:$BJ$69))+1,MOD(ROW(A290)-1,COLUMNS('Portfolio Weights Returns'!$B$9:$BJ$69))+1)</f>
        <v>-8.6352564473901074E-4</v>
      </c>
      <c r="B291">
        <v>1.6400000000000001E-2</v>
      </c>
      <c r="C291" s="59">
        <v>0.21</v>
      </c>
      <c r="D291" s="59">
        <v>0</v>
      </c>
      <c r="E291" s="60">
        <f t="shared" si="4"/>
        <v>0.79</v>
      </c>
      <c r="F291" t="str" cm="1">
        <f t="array" ref="F291">IF(A291=MAX(IF(ROUND($B$2:$B$3722,4)=ROUND(B291,4),$A$2:$A$3722)),"Efficient","Inefficient")</f>
        <v>Inefficient</v>
      </c>
    </row>
    <row r="292" spans="1:6" x14ac:dyDescent="0.25">
      <c r="A292" cm="1">
        <f t="array" ref="A292">INDEX('Portfolio Weights Returns'!$B$9:$BJ$69,
INT((ROW(A291)-1)/COLUMNS('Portfolio Weights Returns'!$B$9:$BJ$69))+1,MOD(ROW(A291)-1,COLUMNS('Portfolio Weights Returns'!$B$9:$BJ$69))+1)</f>
        <v>-8.567444707723317E-4</v>
      </c>
      <c r="B292">
        <v>1.6400000000000001E-2</v>
      </c>
      <c r="C292" s="59">
        <v>0.21</v>
      </c>
      <c r="D292" s="59">
        <v>0.01</v>
      </c>
      <c r="E292" s="60">
        <f t="shared" si="4"/>
        <v>0.78</v>
      </c>
      <c r="F292" t="str" cm="1">
        <f t="array" ref="F292">IF(A292=MAX(IF(ROUND($B$2:$B$3722,4)=ROUND(B292,4),$A$2:$A$3722)),"Efficient","Inefficient")</f>
        <v>Inefficient</v>
      </c>
    </row>
    <row r="293" spans="1:6" x14ac:dyDescent="0.25">
      <c r="A293" cm="1">
        <f t="array" ref="A293">INDEX('Portfolio Weights Returns'!$B$9:$BJ$69,
INT((ROW(A292)-1)/COLUMNS('Portfolio Weights Returns'!$B$9:$BJ$69))+1,MOD(ROW(A292)-1,COLUMNS('Portfolio Weights Returns'!$B$9:$BJ$69))+1)</f>
        <v>-8.4996329680565256E-4</v>
      </c>
      <c r="B293">
        <v>1.6400000000000001E-2</v>
      </c>
      <c r="C293" s="59">
        <v>0.2</v>
      </c>
      <c r="D293" s="59">
        <v>0.02</v>
      </c>
      <c r="E293" s="60">
        <f t="shared" si="4"/>
        <v>0.78</v>
      </c>
      <c r="F293" t="str" cm="1">
        <f t="array" ref="F293">IF(A293=MAX(IF(ROUND($B$2:$B$3722,4)=ROUND(B293,4),$A$2:$A$3722)),"Efficient","Inefficient")</f>
        <v>Inefficient</v>
      </c>
    </row>
    <row r="294" spans="1:6" x14ac:dyDescent="0.25">
      <c r="A294" cm="1">
        <f t="array" ref="A294">INDEX('Portfolio Weights Returns'!$B$9:$BJ$69,
INT((ROW(A293)-1)/COLUMNS('Portfolio Weights Returns'!$B$9:$BJ$69))+1,MOD(ROW(A293)-1,COLUMNS('Portfolio Weights Returns'!$B$9:$BJ$69))+1)</f>
        <v>-8.4318212283897352E-4</v>
      </c>
      <c r="B294">
        <v>1.6400000000000001E-2</v>
      </c>
      <c r="C294" s="59">
        <v>0.19</v>
      </c>
      <c r="D294" s="59">
        <v>0.03</v>
      </c>
      <c r="E294" s="60">
        <f t="shared" si="4"/>
        <v>0.78</v>
      </c>
      <c r="F294" t="str" cm="1">
        <f t="array" ref="F294">IF(A294=MAX(IF(ROUND($B$2:$B$3722,4)=ROUND(B294,4),$A$2:$A$3722)),"Efficient","Inefficient")</f>
        <v>Inefficient</v>
      </c>
    </row>
    <row r="295" spans="1:6" x14ac:dyDescent="0.25">
      <c r="A295" cm="1">
        <f t="array" ref="A295">INDEX('Portfolio Weights Returns'!$B$9:$BJ$69,
INT((ROW(A294)-1)/COLUMNS('Portfolio Weights Returns'!$B$9:$BJ$69))+1,MOD(ROW(A294)-1,COLUMNS('Portfolio Weights Returns'!$B$9:$BJ$69))+1)</f>
        <v>-8.3640094887229449E-4</v>
      </c>
      <c r="B295">
        <v>1.6400000000000001E-2</v>
      </c>
      <c r="C295" s="59">
        <v>0.19</v>
      </c>
      <c r="D295" s="59">
        <v>0.04</v>
      </c>
      <c r="E295" s="60">
        <f t="shared" si="4"/>
        <v>0.77</v>
      </c>
      <c r="F295" t="str" cm="1">
        <f t="array" ref="F295">IF(A295=MAX(IF(ROUND($B$2:$B$3722,4)=ROUND(B295,4),$A$2:$A$3722)),"Efficient","Inefficient")</f>
        <v>Inefficient</v>
      </c>
    </row>
    <row r="296" spans="1:6" x14ac:dyDescent="0.25">
      <c r="A296" cm="1">
        <f t="array" ref="A296">INDEX('Portfolio Weights Returns'!$B$9:$BJ$69,
INT((ROW(A295)-1)/COLUMNS('Portfolio Weights Returns'!$B$9:$BJ$69))+1,MOD(ROW(A295)-1,COLUMNS('Portfolio Weights Returns'!$B$9:$BJ$69))+1)</f>
        <v>-8.2961977490561534E-4</v>
      </c>
      <c r="B296">
        <v>1.6400000000000001E-2</v>
      </c>
      <c r="C296" s="59">
        <v>0.18</v>
      </c>
      <c r="D296" s="59">
        <v>0.05</v>
      </c>
      <c r="E296" s="60">
        <f t="shared" si="4"/>
        <v>0.77</v>
      </c>
      <c r="F296" t="str" cm="1">
        <f t="array" ref="F296">IF(A296=MAX(IF(ROUND($B$2:$B$3722,4)=ROUND(B296,4),$A$2:$A$3722)),"Efficient","Inefficient")</f>
        <v>Inefficient</v>
      </c>
    </row>
    <row r="297" spans="1:6" x14ac:dyDescent="0.25">
      <c r="A297" cm="1">
        <f t="array" ref="A297">INDEX('Portfolio Weights Returns'!$B$9:$BJ$69,
INT((ROW(A296)-1)/COLUMNS('Portfolio Weights Returns'!$B$9:$BJ$69))+1,MOD(ROW(A296)-1,COLUMNS('Portfolio Weights Returns'!$B$9:$BJ$69))+1)</f>
        <v>-8.2283860093893631E-4</v>
      </c>
      <c r="B297">
        <v>1.6400000000000001E-2</v>
      </c>
      <c r="C297" s="59">
        <v>0.18</v>
      </c>
      <c r="D297" s="59">
        <v>0.06</v>
      </c>
      <c r="E297" s="60">
        <f t="shared" si="4"/>
        <v>0.76</v>
      </c>
      <c r="F297" t="str" cm="1">
        <f t="array" ref="F297">IF(A297=MAX(IF(ROUND($B$2:$B$3722,4)=ROUND(B297,4),$A$2:$A$3722)),"Efficient","Inefficient")</f>
        <v>Inefficient</v>
      </c>
    </row>
    <row r="298" spans="1:6" x14ac:dyDescent="0.25">
      <c r="A298" cm="1">
        <f t="array" ref="A298">INDEX('Portfolio Weights Returns'!$B$9:$BJ$69,
INT((ROW(A297)-1)/COLUMNS('Portfolio Weights Returns'!$B$9:$BJ$69))+1,MOD(ROW(A297)-1,COLUMNS('Portfolio Weights Returns'!$B$9:$BJ$69))+1)</f>
        <v>-8.1605742697225716E-4</v>
      </c>
      <c r="B298">
        <v>1.6400000000000001E-2</v>
      </c>
      <c r="C298" s="59">
        <v>0.17</v>
      </c>
      <c r="D298" s="59">
        <v>0.08</v>
      </c>
      <c r="E298" s="60">
        <f t="shared" si="4"/>
        <v>0.75</v>
      </c>
      <c r="F298" t="str" cm="1">
        <f t="array" ref="F298">IF(A298=MAX(IF(ROUND($B$2:$B$3722,4)=ROUND(B298,4),$A$2:$A$3722)),"Efficient","Inefficient")</f>
        <v>Inefficient</v>
      </c>
    </row>
    <row r="299" spans="1:6" x14ac:dyDescent="0.25">
      <c r="A299" cm="1">
        <f t="array" ref="A299">INDEX('Portfolio Weights Returns'!$B$9:$BJ$69,
INT((ROW(A298)-1)/COLUMNS('Portfolio Weights Returns'!$B$9:$BJ$69))+1,MOD(ROW(A298)-1,COLUMNS('Portfolio Weights Returns'!$B$9:$BJ$69))+1)</f>
        <v>-8.0927625300557802E-4</v>
      </c>
      <c r="B299">
        <v>1.6400000000000001E-2</v>
      </c>
      <c r="C299" s="59">
        <v>0.17</v>
      </c>
      <c r="D299" s="59">
        <v>0.09</v>
      </c>
      <c r="E299" s="60">
        <f t="shared" si="4"/>
        <v>0.74</v>
      </c>
      <c r="F299" t="str" cm="1">
        <f t="array" ref="F299">IF(A299=MAX(IF(ROUND($B$2:$B$3722,4)=ROUND(B299,4),$A$2:$A$3722)),"Efficient","Inefficient")</f>
        <v>Inefficient</v>
      </c>
    </row>
    <row r="300" spans="1:6" x14ac:dyDescent="0.25">
      <c r="A300" cm="1">
        <f t="array" ref="A300">INDEX('Portfolio Weights Returns'!$B$9:$BJ$69,
INT((ROW(A299)-1)/COLUMNS('Portfolio Weights Returns'!$B$9:$BJ$69))+1,MOD(ROW(A299)-1,COLUMNS('Portfolio Weights Returns'!$B$9:$BJ$69))+1)</f>
        <v>-8.0249507903889887E-4</v>
      </c>
      <c r="B300">
        <v>1.6400000000000001E-2</v>
      </c>
      <c r="C300" s="59">
        <v>0.17</v>
      </c>
      <c r="D300" s="59">
        <v>0.1</v>
      </c>
      <c r="E300" s="60">
        <f t="shared" si="4"/>
        <v>0.73</v>
      </c>
      <c r="F300" t="str" cm="1">
        <f t="array" ref="F300">IF(A300=MAX(IF(ROUND($B$2:$B$3722,4)=ROUND(B300,4),$A$2:$A$3722)),"Efficient","Inefficient")</f>
        <v>Inefficient</v>
      </c>
    </row>
    <row r="301" spans="1:6" x14ac:dyDescent="0.25">
      <c r="A301" cm="1">
        <f t="array" ref="A301">INDEX('Portfolio Weights Returns'!$B$9:$BJ$69,
INT((ROW(A300)-1)/COLUMNS('Portfolio Weights Returns'!$B$9:$BJ$69))+1,MOD(ROW(A300)-1,COLUMNS('Portfolio Weights Returns'!$B$9:$BJ$69))+1)</f>
        <v>-7.9571390507221973E-4</v>
      </c>
      <c r="B301">
        <v>1.6400000000000001E-2</v>
      </c>
      <c r="C301" s="59">
        <v>0.17</v>
      </c>
      <c r="D301" s="59">
        <v>0.11</v>
      </c>
      <c r="E301" s="60">
        <f t="shared" si="4"/>
        <v>0.72</v>
      </c>
      <c r="F301" t="str" cm="1">
        <f t="array" ref="F301">IF(A301=MAX(IF(ROUND($B$2:$B$3722,4)=ROUND(B301,4),$A$2:$A$3722)),"Efficient","Inefficient")</f>
        <v>Inefficient</v>
      </c>
    </row>
    <row r="302" spans="1:6" x14ac:dyDescent="0.25">
      <c r="A302" cm="1">
        <f t="array" ref="A302">INDEX('Portfolio Weights Returns'!$B$9:$BJ$69,
INT((ROW(A301)-1)/COLUMNS('Portfolio Weights Returns'!$B$9:$BJ$69))+1,MOD(ROW(A301)-1,COLUMNS('Portfolio Weights Returns'!$B$9:$BJ$69))+1)</f>
        <v>-7.8893273110554069E-4</v>
      </c>
      <c r="B302">
        <v>1.6400000000000001E-2</v>
      </c>
      <c r="C302" s="59">
        <v>0.17</v>
      </c>
      <c r="D302" s="59">
        <v>0.12</v>
      </c>
      <c r="E302" s="60">
        <f t="shared" si="4"/>
        <v>0.71</v>
      </c>
      <c r="F302" t="str" cm="1">
        <f t="array" ref="F302">IF(A302=MAX(IF(ROUND($B$2:$B$3722,4)=ROUND(B302,4),$A$2:$A$3722)),"Efficient","Inefficient")</f>
        <v>Inefficient</v>
      </c>
    </row>
    <row r="303" spans="1:6" x14ac:dyDescent="0.25">
      <c r="A303" cm="1">
        <f t="array" ref="A303">INDEX('Portfolio Weights Returns'!$B$9:$BJ$69,
INT((ROW(A302)-1)/COLUMNS('Portfolio Weights Returns'!$B$9:$BJ$69))+1,MOD(ROW(A302)-1,COLUMNS('Portfolio Weights Returns'!$B$9:$BJ$69))+1)</f>
        <v>-7.821515571388609E-4</v>
      </c>
      <c r="B303">
        <v>1.6400000000000001E-2</v>
      </c>
      <c r="C303" s="59">
        <v>0.17</v>
      </c>
      <c r="D303" s="59">
        <v>0.13</v>
      </c>
      <c r="E303" s="60">
        <f t="shared" si="4"/>
        <v>0.7</v>
      </c>
      <c r="F303" t="str" cm="1">
        <f t="array" ref="F303">IF(A303=MAX(IF(ROUND($B$2:$B$3722,4)=ROUND(B303,4),$A$2:$A$3722)),"Efficient","Inefficient")</f>
        <v>Inefficient</v>
      </c>
    </row>
    <row r="304" spans="1:6" x14ac:dyDescent="0.25">
      <c r="A304" cm="1">
        <f t="array" ref="A304">INDEX('Portfolio Weights Returns'!$B$9:$BJ$69,
INT((ROW(A303)-1)/COLUMNS('Portfolio Weights Returns'!$B$9:$BJ$69))+1,MOD(ROW(A303)-1,COLUMNS('Portfolio Weights Returns'!$B$9:$BJ$69))+1)</f>
        <v>-7.7537038317218175E-4</v>
      </c>
      <c r="B304">
        <v>1.6400000000000001E-2</v>
      </c>
      <c r="C304" s="59">
        <v>0.17</v>
      </c>
      <c r="D304" s="59">
        <v>0.14000000000000001</v>
      </c>
      <c r="E304" s="60">
        <f t="shared" si="4"/>
        <v>0.69</v>
      </c>
      <c r="F304" t="str" cm="1">
        <f t="array" ref="F304">IF(A304=MAX(IF(ROUND($B$2:$B$3722,4)=ROUND(B304,4),$A$2:$A$3722)),"Efficient","Inefficient")</f>
        <v>Inefficient</v>
      </c>
    </row>
    <row r="305" spans="1:6" x14ac:dyDescent="0.25">
      <c r="A305" cm="1">
        <f t="array" ref="A305">INDEX('Portfolio Weights Returns'!$B$9:$BJ$69,
INT((ROW(A304)-1)/COLUMNS('Portfolio Weights Returns'!$B$9:$BJ$69))+1,MOD(ROW(A304)-1,COLUMNS('Portfolio Weights Returns'!$B$9:$BJ$69))+1)</f>
        <v>-7.6858920920550272E-4</v>
      </c>
      <c r="B305">
        <v>1.6400000000000001E-2</v>
      </c>
      <c r="C305" s="59">
        <v>0.18</v>
      </c>
      <c r="D305" s="59">
        <v>0.15</v>
      </c>
      <c r="E305" s="60">
        <f t="shared" si="4"/>
        <v>0.66999999999999993</v>
      </c>
      <c r="F305" t="str" cm="1">
        <f t="array" ref="F305">IF(A305=MAX(IF(ROUND($B$2:$B$3722,4)=ROUND(B305,4),$A$2:$A$3722)),"Efficient","Inefficient")</f>
        <v>Inefficient</v>
      </c>
    </row>
    <row r="306" spans="1:6" x14ac:dyDescent="0.25">
      <c r="A306" cm="1">
        <f t="array" ref="A306">INDEX('Portfolio Weights Returns'!$B$9:$BJ$69,
INT((ROW(A305)-1)/COLUMNS('Portfolio Weights Returns'!$B$9:$BJ$69))+1,MOD(ROW(A305)-1,COLUMNS('Portfolio Weights Returns'!$B$9:$BJ$69))+1)</f>
        <v>-7.6180803523882368E-4</v>
      </c>
      <c r="B306">
        <v>1.6400000000000001E-2</v>
      </c>
      <c r="C306" s="59">
        <v>0.18</v>
      </c>
      <c r="D306" s="59">
        <v>0.16</v>
      </c>
      <c r="E306" s="60">
        <f t="shared" si="4"/>
        <v>0.65999999999999992</v>
      </c>
      <c r="F306" t="str" cm="1">
        <f t="array" ref="F306">IF(A306=MAX(IF(ROUND($B$2:$B$3722,4)=ROUND(B306,4),$A$2:$A$3722)),"Efficient","Inefficient")</f>
        <v>Efficient</v>
      </c>
    </row>
    <row r="307" spans="1:6" x14ac:dyDescent="0.25">
      <c r="A307" cm="1">
        <f t="array" ref="A307">INDEX('Portfolio Weights Returns'!$B$9:$BJ$69,
INT((ROW(A306)-1)/COLUMNS('Portfolio Weights Returns'!$B$9:$BJ$69))+1,MOD(ROW(A306)-1,COLUMNS('Portfolio Weights Returns'!$B$9:$BJ$69))+1)</f>
        <v>-1.1621042653941153E-3</v>
      </c>
      <c r="B307">
        <v>1.6400000000000001E-2</v>
      </c>
      <c r="C307" s="59">
        <v>0.19</v>
      </c>
      <c r="D307" s="59">
        <v>0.17</v>
      </c>
      <c r="E307" s="60">
        <f t="shared" si="4"/>
        <v>0.6399999999999999</v>
      </c>
      <c r="F307" t="str" cm="1">
        <f t="array" ref="F307">IF(A307=MAX(IF(ROUND($B$2:$B$3722,4)=ROUND(B307,4),$A$2:$A$3722)),"Efficient","Inefficient")</f>
        <v>Inefficient</v>
      </c>
    </row>
    <row r="308" spans="1:6" x14ac:dyDescent="0.25">
      <c r="A308" cm="1">
        <f t="array" ref="A308">INDEX('Portfolio Weights Returns'!$B$9:$BJ$69,
INT((ROW(A307)-1)/COLUMNS('Portfolio Weights Returns'!$B$9:$BJ$69))+1,MOD(ROW(A307)-1,COLUMNS('Portfolio Weights Returns'!$B$9:$BJ$69))+1)</f>
        <v>-1.1553230914274361E-3</v>
      </c>
      <c r="B308">
        <v>1.6400000000000001E-2</v>
      </c>
      <c r="C308" s="59">
        <v>0.2</v>
      </c>
      <c r="D308" s="59">
        <v>0.18</v>
      </c>
      <c r="E308" s="60">
        <f t="shared" si="4"/>
        <v>0.62000000000000011</v>
      </c>
      <c r="F308" t="str" cm="1">
        <f t="array" ref="F308">IF(A308=MAX(IF(ROUND($B$2:$B$3722,4)=ROUND(B308,4),$A$2:$A$3722)),"Efficient","Inefficient")</f>
        <v>Inefficient</v>
      </c>
    </row>
    <row r="309" spans="1:6" x14ac:dyDescent="0.25">
      <c r="A309" cm="1">
        <f t="array" ref="A309">INDEX('Portfolio Weights Returns'!$B$9:$BJ$69,
INT((ROW(A308)-1)/COLUMNS('Portfolio Weights Returns'!$B$9:$BJ$69))+1,MOD(ROW(A308)-1,COLUMNS('Portfolio Weights Returns'!$B$9:$BJ$69))+1)</f>
        <v>-1.148541917460757E-3</v>
      </c>
      <c r="B309">
        <v>1.6400000000000001E-2</v>
      </c>
      <c r="C309" s="59">
        <v>0.21</v>
      </c>
      <c r="D309" s="59">
        <v>0.19</v>
      </c>
      <c r="E309" s="60">
        <f t="shared" si="4"/>
        <v>0.60000000000000009</v>
      </c>
      <c r="F309" t="str" cm="1">
        <f t="array" ref="F309">IF(A309=MAX(IF(ROUND($B$2:$B$3722,4)=ROUND(B309,4),$A$2:$A$3722)),"Efficient","Inefficient")</f>
        <v>Inefficient</v>
      </c>
    </row>
    <row r="310" spans="1:6" x14ac:dyDescent="0.25">
      <c r="A310" cm="1">
        <f t="array" ref="A310">INDEX('Portfolio Weights Returns'!$B$9:$BJ$69,
INT((ROW(A309)-1)/COLUMNS('Portfolio Weights Returns'!$B$9:$BJ$69))+1,MOD(ROW(A309)-1,COLUMNS('Portfolio Weights Returns'!$B$9:$BJ$69))+1)</f>
        <v>-1.1417607434940781E-3</v>
      </c>
      <c r="B310">
        <v>1.6400000000000001E-2</v>
      </c>
      <c r="C310" s="59">
        <v>0.22</v>
      </c>
      <c r="D310" s="59">
        <v>0.2</v>
      </c>
      <c r="E310" s="60">
        <f t="shared" si="4"/>
        <v>0.58000000000000007</v>
      </c>
      <c r="F310" t="str" cm="1">
        <f t="array" ref="F310">IF(A310=MAX(IF(ROUND($B$2:$B$3722,4)=ROUND(B310,4),$A$2:$A$3722)),"Efficient","Inefficient")</f>
        <v>Inefficient</v>
      </c>
    </row>
    <row r="311" spans="1:6" x14ac:dyDescent="0.25">
      <c r="A311" cm="1">
        <f t="array" ref="A311">INDEX('Portfolio Weights Returns'!$B$9:$BJ$69,
INT((ROW(A310)-1)/COLUMNS('Portfolio Weights Returns'!$B$9:$BJ$69))+1,MOD(ROW(A310)-1,COLUMNS('Portfolio Weights Returns'!$B$9:$BJ$69))+1)</f>
        <v>-1.1349795695273989E-3</v>
      </c>
      <c r="B311">
        <v>1.6400000000000001E-2</v>
      </c>
      <c r="C311" s="59">
        <v>0.23</v>
      </c>
      <c r="D311" s="59">
        <v>0.2</v>
      </c>
      <c r="E311" s="60">
        <f t="shared" si="4"/>
        <v>0.57000000000000006</v>
      </c>
      <c r="F311" t="str" cm="1">
        <f t="array" ref="F311">IF(A311=MAX(IF(ROUND($B$2:$B$3722,4)=ROUND(B311,4),$A$2:$A$3722)),"Efficient","Inefficient")</f>
        <v>Inefficient</v>
      </c>
    </row>
    <row r="312" spans="1:6" x14ac:dyDescent="0.25">
      <c r="A312" cm="1">
        <f t="array" ref="A312">INDEX('Portfolio Weights Returns'!$B$9:$BJ$69,
INT((ROW(A311)-1)/COLUMNS('Portfolio Weights Returns'!$B$9:$BJ$69))+1,MOD(ROW(A311)-1,COLUMNS('Portfolio Weights Returns'!$B$9:$BJ$69))+1)</f>
        <v>-1.1281983955607198E-3</v>
      </c>
      <c r="B312">
        <v>1.6400000000000001E-2</v>
      </c>
      <c r="C312" s="59">
        <v>0.24</v>
      </c>
      <c r="D312" s="59">
        <v>0.21</v>
      </c>
      <c r="E312" s="60">
        <f t="shared" si="4"/>
        <v>0.55000000000000004</v>
      </c>
      <c r="F312" t="str" cm="1">
        <f t="array" ref="F312">IF(A312=MAX(IF(ROUND($B$2:$B$3722,4)=ROUND(B312,4),$A$2:$A$3722)),"Efficient","Inefficient")</f>
        <v>Inefficient</v>
      </c>
    </row>
    <row r="313" spans="1:6" x14ac:dyDescent="0.25">
      <c r="A313" cm="1">
        <f t="array" ref="A313">INDEX('Portfolio Weights Returns'!$B$9:$BJ$69,
INT((ROW(A312)-1)/COLUMNS('Portfolio Weights Returns'!$B$9:$BJ$69))+1,MOD(ROW(A312)-1,COLUMNS('Portfolio Weights Returns'!$B$9:$BJ$69))+1)</f>
        <v>-1.1214172215940406E-3</v>
      </c>
      <c r="B313">
        <v>1.6400000000000001E-2</v>
      </c>
      <c r="C313" s="59">
        <v>0.25</v>
      </c>
      <c r="D313" s="59">
        <v>0.21</v>
      </c>
      <c r="E313" s="60">
        <f t="shared" si="4"/>
        <v>0.54</v>
      </c>
      <c r="F313" t="str" cm="1">
        <f t="array" ref="F313">IF(A313=MAX(IF(ROUND($B$2:$B$3722,4)=ROUND(B313,4),$A$2:$A$3722)),"Efficient","Inefficient")</f>
        <v>Inefficient</v>
      </c>
    </row>
    <row r="314" spans="1:6" x14ac:dyDescent="0.25">
      <c r="A314" cm="1">
        <f t="array" ref="A314">INDEX('Portfolio Weights Returns'!$B$9:$BJ$69,
INT((ROW(A313)-1)/COLUMNS('Portfolio Weights Returns'!$B$9:$BJ$69))+1,MOD(ROW(A313)-1,COLUMNS('Portfolio Weights Returns'!$B$9:$BJ$69))+1)</f>
        <v>-1.1146360476273617E-3</v>
      </c>
      <c r="B314">
        <v>1.6400000000000001E-2</v>
      </c>
      <c r="C314" s="59">
        <v>0.26</v>
      </c>
      <c r="D314" s="59">
        <v>0.22</v>
      </c>
      <c r="E314" s="60">
        <f t="shared" si="4"/>
        <v>0.52</v>
      </c>
      <c r="F314" t="str" cm="1">
        <f t="array" ref="F314">IF(A314=MAX(IF(ROUND($B$2:$B$3722,4)=ROUND(B314,4),$A$2:$A$3722)),"Efficient","Inefficient")</f>
        <v>Inefficient</v>
      </c>
    </row>
    <row r="315" spans="1:6" x14ac:dyDescent="0.25">
      <c r="A315" cm="1">
        <f t="array" ref="A315">INDEX('Portfolio Weights Returns'!$B$9:$BJ$69,
INT((ROW(A314)-1)/COLUMNS('Portfolio Weights Returns'!$B$9:$BJ$69))+1,MOD(ROW(A314)-1,COLUMNS('Portfolio Weights Returns'!$B$9:$BJ$69))+1)</f>
        <v>-1.1078548736606826E-3</v>
      </c>
      <c r="B315">
        <v>1.6400000000000001E-2</v>
      </c>
      <c r="C315" s="59">
        <v>0.27</v>
      </c>
      <c r="D315" s="59">
        <v>0.22</v>
      </c>
      <c r="E315" s="60">
        <f t="shared" si="4"/>
        <v>0.51</v>
      </c>
      <c r="F315" t="str" cm="1">
        <f t="array" ref="F315">IF(A315=MAX(IF(ROUND($B$2:$B$3722,4)=ROUND(B315,4),$A$2:$A$3722)),"Efficient","Inefficient")</f>
        <v>Inefficient</v>
      </c>
    </row>
    <row r="316" spans="1:6" x14ac:dyDescent="0.25">
      <c r="A316" cm="1">
        <f t="array" ref="A316">INDEX('Portfolio Weights Returns'!$B$9:$BJ$69,
INT((ROW(A315)-1)/COLUMNS('Portfolio Weights Returns'!$B$9:$BJ$69))+1,MOD(ROW(A315)-1,COLUMNS('Portfolio Weights Returns'!$B$9:$BJ$69))+1)</f>
        <v>-1.1010736996940034E-3</v>
      </c>
      <c r="B316">
        <v>1.6400000000000001E-2</v>
      </c>
      <c r="C316" s="59">
        <v>0.28999999999999998</v>
      </c>
      <c r="D316" s="59">
        <v>0.23</v>
      </c>
      <c r="E316" s="60">
        <f t="shared" si="4"/>
        <v>0.48000000000000004</v>
      </c>
      <c r="F316" t="str" cm="1">
        <f t="array" ref="F316">IF(A316=MAX(IF(ROUND($B$2:$B$3722,4)=ROUND(B316,4),$A$2:$A$3722)),"Efficient","Inefficient")</f>
        <v>Inefficient</v>
      </c>
    </row>
    <row r="317" spans="1:6" x14ac:dyDescent="0.25">
      <c r="A317" cm="1">
        <f t="array" ref="A317">INDEX('Portfolio Weights Returns'!$B$9:$BJ$69,
INT((ROW(A316)-1)/COLUMNS('Portfolio Weights Returns'!$B$9:$BJ$69))+1,MOD(ROW(A316)-1,COLUMNS('Portfolio Weights Returns'!$B$9:$BJ$69))+1)</f>
        <v>-1.0942925257273243E-3</v>
      </c>
      <c r="B317">
        <v>1.6400000000000001E-2</v>
      </c>
      <c r="C317" s="59">
        <v>0.3</v>
      </c>
      <c r="D317" s="59">
        <v>0.23</v>
      </c>
      <c r="E317" s="60">
        <f t="shared" si="4"/>
        <v>0.47000000000000003</v>
      </c>
      <c r="F317" t="str" cm="1">
        <f t="array" ref="F317">IF(A317=MAX(IF(ROUND($B$2:$B$3722,4)=ROUND(B317,4),$A$2:$A$3722)),"Efficient","Inefficient")</f>
        <v>Inefficient</v>
      </c>
    </row>
    <row r="318" spans="1:6" x14ac:dyDescent="0.25">
      <c r="A318" cm="1">
        <f t="array" ref="A318">INDEX('Portfolio Weights Returns'!$B$9:$BJ$69,
INT((ROW(A317)-1)/COLUMNS('Portfolio Weights Returns'!$B$9:$BJ$69))+1,MOD(ROW(A317)-1,COLUMNS('Portfolio Weights Returns'!$B$9:$BJ$69))+1)</f>
        <v>-1.0875113517606451E-3</v>
      </c>
      <c r="B318">
        <v>1.6500000000000001E-2</v>
      </c>
      <c r="C318" s="59">
        <v>0.3</v>
      </c>
      <c r="D318" s="59">
        <v>-0.09</v>
      </c>
      <c r="E318" s="60">
        <f t="shared" si="4"/>
        <v>0.79</v>
      </c>
      <c r="F318" t="str" cm="1">
        <f t="array" ref="F318">IF(A318=MAX(IF(ROUND($B$2:$B$3722,4)=ROUND(B318,4),$A$2:$A$3722)),"Efficient","Inefficient")</f>
        <v>Inefficient</v>
      </c>
    </row>
    <row r="319" spans="1:6" x14ac:dyDescent="0.25">
      <c r="A319" cm="1">
        <f t="array" ref="A319">INDEX('Portfolio Weights Returns'!$B$9:$BJ$69,
INT((ROW(A318)-1)/COLUMNS('Portfolio Weights Returns'!$B$9:$BJ$69))+1,MOD(ROW(A318)-1,COLUMNS('Portfolio Weights Returns'!$B$9:$BJ$69))+1)</f>
        <v>-1.080730177793966E-3</v>
      </c>
      <c r="B319">
        <v>1.6500000000000001E-2</v>
      </c>
      <c r="C319" s="59">
        <v>0.28999999999999998</v>
      </c>
      <c r="D319" s="59">
        <v>-0.08</v>
      </c>
      <c r="E319" s="60">
        <f t="shared" si="4"/>
        <v>0.79</v>
      </c>
      <c r="F319" t="str" cm="1">
        <f t="array" ref="F319">IF(A319=MAX(IF(ROUND($B$2:$B$3722,4)=ROUND(B319,4),$A$2:$A$3722)),"Efficient","Inefficient")</f>
        <v>Inefficient</v>
      </c>
    </row>
    <row r="320" spans="1:6" x14ac:dyDescent="0.25">
      <c r="A320" cm="1">
        <f t="array" ref="A320">INDEX('Portfolio Weights Returns'!$B$9:$BJ$69,
INT((ROW(A319)-1)/COLUMNS('Portfolio Weights Returns'!$B$9:$BJ$69))+1,MOD(ROW(A319)-1,COLUMNS('Portfolio Weights Returns'!$B$9:$BJ$69))+1)</f>
        <v>-1.0739490038272868E-3</v>
      </c>
      <c r="B320">
        <v>1.6500000000000001E-2</v>
      </c>
      <c r="C320" s="59">
        <v>0.28000000000000003</v>
      </c>
      <c r="D320" s="59">
        <v>-7.0000000000000007E-2</v>
      </c>
      <c r="E320" s="60">
        <f t="shared" si="4"/>
        <v>0.79</v>
      </c>
      <c r="F320" t="str" cm="1">
        <f t="array" ref="F320">IF(A320=MAX(IF(ROUND($B$2:$B$3722,4)=ROUND(B320,4),$A$2:$A$3722)),"Efficient","Inefficient")</f>
        <v>Inefficient</v>
      </c>
    </row>
    <row r="321" spans="1:6" x14ac:dyDescent="0.25">
      <c r="A321" cm="1">
        <f t="array" ref="A321">INDEX('Portfolio Weights Returns'!$B$9:$BJ$69,
INT((ROW(A320)-1)/COLUMNS('Portfolio Weights Returns'!$B$9:$BJ$69))+1,MOD(ROW(A320)-1,COLUMNS('Portfolio Weights Returns'!$B$9:$BJ$69))+1)</f>
        <v>-1.0671678298606077E-3</v>
      </c>
      <c r="B321">
        <v>1.6500000000000001E-2</v>
      </c>
      <c r="C321" s="59">
        <v>0.26</v>
      </c>
      <c r="D321" s="59">
        <v>-0.06</v>
      </c>
      <c r="E321" s="60">
        <f t="shared" si="4"/>
        <v>0.8</v>
      </c>
      <c r="F321" t="str" cm="1">
        <f t="array" ref="F321">IF(A321=MAX(IF(ROUND($B$2:$B$3722,4)=ROUND(B321,4),$A$2:$A$3722)),"Efficient","Inefficient")</f>
        <v>Inefficient</v>
      </c>
    </row>
    <row r="322" spans="1:6" x14ac:dyDescent="0.25">
      <c r="A322" cm="1">
        <f t="array" ref="A322">INDEX('Portfolio Weights Returns'!$B$9:$BJ$69,
INT((ROW(A321)-1)/COLUMNS('Portfolio Weights Returns'!$B$9:$BJ$69))+1,MOD(ROW(A321)-1,COLUMNS('Portfolio Weights Returns'!$B$9:$BJ$69))+1)</f>
        <v>-1.0603866558939285E-3</v>
      </c>
      <c r="B322">
        <v>1.6500000000000001E-2</v>
      </c>
      <c r="C322" s="59">
        <v>0.25</v>
      </c>
      <c r="D322" s="59">
        <v>-0.05</v>
      </c>
      <c r="E322" s="60">
        <f t="shared" ref="E322:E385" si="5">1-D322-C322</f>
        <v>0.8</v>
      </c>
      <c r="F322" t="str" cm="1">
        <f t="array" ref="F322">IF(A322=MAX(IF(ROUND($B$2:$B$3722,4)=ROUND(B322,4),$A$2:$A$3722)),"Efficient","Inefficient")</f>
        <v>Inefficient</v>
      </c>
    </row>
    <row r="323" spans="1:6" x14ac:dyDescent="0.25">
      <c r="A323" cm="1">
        <f t="array" ref="A323">INDEX('Portfolio Weights Returns'!$B$9:$BJ$69,
INT((ROW(A322)-1)/COLUMNS('Portfolio Weights Returns'!$B$9:$BJ$69))+1,MOD(ROW(A322)-1,COLUMNS('Portfolio Weights Returns'!$B$9:$BJ$69))+1)</f>
        <v>-1.0536054819272498E-3</v>
      </c>
      <c r="B323">
        <v>1.6500000000000001E-2</v>
      </c>
      <c r="C323" s="59">
        <v>0.24</v>
      </c>
      <c r="D323" s="59">
        <v>-0.04</v>
      </c>
      <c r="E323" s="60">
        <f t="shared" si="5"/>
        <v>0.8</v>
      </c>
      <c r="F323" t="str" cm="1">
        <f t="array" ref="F323">IF(A323=MAX(IF(ROUND($B$2:$B$3722,4)=ROUND(B323,4),$A$2:$A$3722)),"Efficient","Inefficient")</f>
        <v>Inefficient</v>
      </c>
    </row>
    <row r="324" spans="1:6" x14ac:dyDescent="0.25">
      <c r="A324" cm="1">
        <f t="array" ref="A324">INDEX('Portfolio Weights Returns'!$B$9:$BJ$69,
INT((ROW(A323)-1)/COLUMNS('Portfolio Weights Returns'!$B$9:$BJ$69))+1,MOD(ROW(A323)-1,COLUMNS('Portfolio Weights Returns'!$B$9:$BJ$69))+1)</f>
        <v>-1.0468243079605705E-3</v>
      </c>
      <c r="B324">
        <v>1.6500000000000001E-2</v>
      </c>
      <c r="C324" s="59">
        <v>0.23</v>
      </c>
      <c r="D324" s="59">
        <v>-0.03</v>
      </c>
      <c r="E324" s="60">
        <f t="shared" si="5"/>
        <v>0.8</v>
      </c>
      <c r="F324" t="str" cm="1">
        <f t="array" ref="F324">IF(A324=MAX(IF(ROUND($B$2:$B$3722,4)=ROUND(B324,4),$A$2:$A$3722)),"Efficient","Inefficient")</f>
        <v>Inefficient</v>
      </c>
    </row>
    <row r="325" spans="1:6" x14ac:dyDescent="0.25">
      <c r="A325" cm="1">
        <f t="array" ref="A325">INDEX('Portfolio Weights Returns'!$B$9:$BJ$69,
INT((ROW(A324)-1)/COLUMNS('Portfolio Weights Returns'!$B$9:$BJ$69))+1,MOD(ROW(A324)-1,COLUMNS('Portfolio Weights Returns'!$B$9:$BJ$69))+1)</f>
        <v>-1.0400431339938915E-3</v>
      </c>
      <c r="B325">
        <v>1.6500000000000001E-2</v>
      </c>
      <c r="C325" s="59">
        <v>0.22</v>
      </c>
      <c r="D325" s="59">
        <v>-0.02</v>
      </c>
      <c r="E325" s="60">
        <f t="shared" si="5"/>
        <v>0.8</v>
      </c>
      <c r="F325" t="str" cm="1">
        <f t="array" ref="F325">IF(A325=MAX(IF(ROUND($B$2:$B$3722,4)=ROUND(B325,4),$A$2:$A$3722)),"Efficient","Inefficient")</f>
        <v>Inefficient</v>
      </c>
    </row>
    <row r="326" spans="1:6" x14ac:dyDescent="0.25">
      <c r="A326" cm="1">
        <f t="array" ref="A326">INDEX('Portfolio Weights Returns'!$B$9:$BJ$69,
INT((ROW(A325)-1)/COLUMNS('Portfolio Weights Returns'!$B$9:$BJ$69))+1,MOD(ROW(A325)-1,COLUMNS('Portfolio Weights Returns'!$B$9:$BJ$69))+1)</f>
        <v>-1.0332619600272124E-3</v>
      </c>
      <c r="B326">
        <v>1.6500000000000001E-2</v>
      </c>
      <c r="C326" s="59">
        <v>0.21</v>
      </c>
      <c r="D326" s="59">
        <v>-0.01</v>
      </c>
      <c r="E326" s="60">
        <f t="shared" si="5"/>
        <v>0.8</v>
      </c>
      <c r="F326" t="str" cm="1">
        <f t="array" ref="F326">IF(A326=MAX(IF(ROUND($B$2:$B$3722,4)=ROUND(B326,4),$A$2:$A$3722)),"Efficient","Inefficient")</f>
        <v>Inefficient</v>
      </c>
    </row>
    <row r="327" spans="1:6" x14ac:dyDescent="0.25">
      <c r="A327" cm="1">
        <f t="array" ref="A327">INDEX('Portfolio Weights Returns'!$B$9:$BJ$69,
INT((ROW(A326)-1)/COLUMNS('Portfolio Weights Returns'!$B$9:$BJ$69))+1,MOD(ROW(A326)-1,COLUMNS('Portfolio Weights Returns'!$B$9:$BJ$69))+1)</f>
        <v>-1.0264807860605335E-3</v>
      </c>
      <c r="B327">
        <v>1.6500000000000001E-2</v>
      </c>
      <c r="C327" s="59">
        <v>0.2</v>
      </c>
      <c r="D327" s="59">
        <v>0.01</v>
      </c>
      <c r="E327" s="60">
        <f t="shared" si="5"/>
        <v>0.79</v>
      </c>
      <c r="F327" t="str" cm="1">
        <f t="array" ref="F327">IF(A327=MAX(IF(ROUND($B$2:$B$3722,4)=ROUND(B327,4),$A$2:$A$3722)),"Efficient","Inefficient")</f>
        <v>Inefficient</v>
      </c>
    </row>
    <row r="328" spans="1:6" x14ac:dyDescent="0.25">
      <c r="A328" cm="1">
        <f t="array" ref="A328">INDEX('Portfolio Weights Returns'!$B$9:$BJ$69,
INT((ROW(A327)-1)/COLUMNS('Portfolio Weights Returns'!$B$9:$BJ$69))+1,MOD(ROW(A327)-1,COLUMNS('Portfolio Weights Returns'!$B$9:$BJ$69))+1)</f>
        <v>-1.0196996120938543E-3</v>
      </c>
      <c r="B328">
        <v>1.6500000000000001E-2</v>
      </c>
      <c r="C328" s="59">
        <v>0.19</v>
      </c>
      <c r="D328" s="59">
        <v>0.02</v>
      </c>
      <c r="E328" s="60">
        <f t="shared" si="5"/>
        <v>0.79</v>
      </c>
      <c r="F328" t="str" cm="1">
        <f t="array" ref="F328">IF(A328=MAX(IF(ROUND($B$2:$B$3722,4)=ROUND(B328,4),$A$2:$A$3722)),"Efficient","Inefficient")</f>
        <v>Inefficient</v>
      </c>
    </row>
    <row r="329" spans="1:6" x14ac:dyDescent="0.25">
      <c r="A329" cm="1">
        <f t="array" ref="A329">INDEX('Portfolio Weights Returns'!$B$9:$BJ$69,
INT((ROW(A328)-1)/COLUMNS('Portfolio Weights Returns'!$B$9:$BJ$69))+1,MOD(ROW(A328)-1,COLUMNS('Portfolio Weights Returns'!$B$9:$BJ$69))+1)</f>
        <v>-1.0129184381271752E-3</v>
      </c>
      <c r="B329">
        <v>1.6500000000000001E-2</v>
      </c>
      <c r="C329" s="59">
        <v>0.18</v>
      </c>
      <c r="D329" s="59">
        <v>0.03</v>
      </c>
      <c r="E329" s="60">
        <f t="shared" si="5"/>
        <v>0.79</v>
      </c>
      <c r="F329" t="str" cm="1">
        <f t="array" ref="F329">IF(A329=MAX(IF(ROUND($B$2:$B$3722,4)=ROUND(B329,4),$A$2:$A$3722)),"Efficient","Inefficient")</f>
        <v>Inefficient</v>
      </c>
    </row>
    <row r="330" spans="1:6" x14ac:dyDescent="0.25">
      <c r="A330" cm="1">
        <f t="array" ref="A330">INDEX('Portfolio Weights Returns'!$B$9:$BJ$69,
INT((ROW(A329)-1)/COLUMNS('Portfolio Weights Returns'!$B$9:$BJ$69))+1,MOD(ROW(A329)-1,COLUMNS('Portfolio Weights Returns'!$B$9:$BJ$69))+1)</f>
        <v>-1.006137264160496E-3</v>
      </c>
      <c r="B330">
        <v>1.6500000000000001E-2</v>
      </c>
      <c r="C330" s="59">
        <v>0.18</v>
      </c>
      <c r="D330" s="59">
        <v>0.04</v>
      </c>
      <c r="E330" s="60">
        <f t="shared" si="5"/>
        <v>0.78</v>
      </c>
      <c r="F330" t="str" cm="1">
        <f t="array" ref="F330">IF(A330=MAX(IF(ROUND($B$2:$B$3722,4)=ROUND(B330,4),$A$2:$A$3722)),"Efficient","Inefficient")</f>
        <v>Inefficient</v>
      </c>
    </row>
    <row r="331" spans="1:6" x14ac:dyDescent="0.25">
      <c r="A331" cm="1">
        <f t="array" ref="A331">INDEX('Portfolio Weights Returns'!$B$9:$BJ$69,
INT((ROW(A330)-1)/COLUMNS('Portfolio Weights Returns'!$B$9:$BJ$69))+1,MOD(ROW(A330)-1,COLUMNS('Portfolio Weights Returns'!$B$9:$BJ$69))+1)</f>
        <v>-9.9935609019381668E-4</v>
      </c>
      <c r="B331">
        <v>1.6500000000000001E-2</v>
      </c>
      <c r="C331" s="59">
        <v>0.17</v>
      </c>
      <c r="D331" s="59">
        <v>0.05</v>
      </c>
      <c r="E331" s="60">
        <f t="shared" si="5"/>
        <v>0.77999999999999992</v>
      </c>
      <c r="F331" t="str" cm="1">
        <f t="array" ref="F331">IF(A331=MAX(IF(ROUND($B$2:$B$3722,4)=ROUND(B331,4),$A$2:$A$3722)),"Efficient","Inefficient")</f>
        <v>Inefficient</v>
      </c>
    </row>
    <row r="332" spans="1:6" x14ac:dyDescent="0.25">
      <c r="A332" cm="1">
        <f t="array" ref="A332">INDEX('Portfolio Weights Returns'!$B$9:$BJ$69,
INT((ROW(A331)-1)/COLUMNS('Portfolio Weights Returns'!$B$9:$BJ$69))+1,MOD(ROW(A331)-1,COLUMNS('Portfolio Weights Returns'!$B$9:$BJ$69))+1)</f>
        <v>-9.9257491622713775E-4</v>
      </c>
      <c r="B332">
        <v>1.6500000000000001E-2</v>
      </c>
      <c r="C332" s="59">
        <v>0.17</v>
      </c>
      <c r="D332" s="59">
        <v>0.06</v>
      </c>
      <c r="E332" s="60">
        <f t="shared" si="5"/>
        <v>0.76999999999999991</v>
      </c>
      <c r="F332" t="str" cm="1">
        <f t="array" ref="F332">IF(A332=MAX(IF(ROUND($B$2:$B$3722,4)=ROUND(B332,4),$A$2:$A$3722)),"Efficient","Inefficient")</f>
        <v>Inefficient</v>
      </c>
    </row>
    <row r="333" spans="1:6" x14ac:dyDescent="0.25">
      <c r="A333" cm="1">
        <f t="array" ref="A333">INDEX('Portfolio Weights Returns'!$B$9:$BJ$69,
INT((ROW(A332)-1)/COLUMNS('Portfolio Weights Returns'!$B$9:$BJ$69))+1,MOD(ROW(A332)-1,COLUMNS('Portfolio Weights Returns'!$B$9:$BJ$69))+1)</f>
        <v>-9.8579374226045861E-4</v>
      </c>
      <c r="B333">
        <v>1.6500000000000001E-2</v>
      </c>
      <c r="C333" s="59">
        <v>0.17</v>
      </c>
      <c r="D333" s="59">
        <v>7.0000000000000007E-2</v>
      </c>
      <c r="E333" s="60">
        <f t="shared" si="5"/>
        <v>0.7599999999999999</v>
      </c>
      <c r="F333" t="str" cm="1">
        <f t="array" ref="F333">IF(A333=MAX(IF(ROUND($B$2:$B$3722,4)=ROUND(B333,4),$A$2:$A$3722)),"Efficient","Inefficient")</f>
        <v>Inefficient</v>
      </c>
    </row>
    <row r="334" spans="1:6" x14ac:dyDescent="0.25">
      <c r="A334" cm="1">
        <f t="array" ref="A334">INDEX('Portfolio Weights Returns'!$B$9:$BJ$69,
INT((ROW(A333)-1)/COLUMNS('Portfolio Weights Returns'!$B$9:$BJ$69))+1,MOD(ROW(A333)-1,COLUMNS('Portfolio Weights Returns'!$B$9:$BJ$69))+1)</f>
        <v>-9.7901256829377946E-4</v>
      </c>
      <c r="B334">
        <v>1.6500000000000001E-2</v>
      </c>
      <c r="C334" s="59">
        <v>0.16</v>
      </c>
      <c r="D334" s="59">
        <v>0.08</v>
      </c>
      <c r="E334" s="60">
        <f t="shared" si="5"/>
        <v>0.76</v>
      </c>
      <c r="F334" t="str" cm="1">
        <f t="array" ref="F334">IF(A334=MAX(IF(ROUND($B$2:$B$3722,4)=ROUND(B334,4),$A$2:$A$3722)),"Efficient","Inefficient")</f>
        <v>Inefficient</v>
      </c>
    </row>
    <row r="335" spans="1:6" x14ac:dyDescent="0.25">
      <c r="A335" cm="1">
        <f t="array" ref="A335">INDEX('Portfolio Weights Returns'!$B$9:$BJ$69,
INT((ROW(A334)-1)/COLUMNS('Portfolio Weights Returns'!$B$9:$BJ$69))+1,MOD(ROW(A334)-1,COLUMNS('Portfolio Weights Returns'!$B$9:$BJ$69))+1)</f>
        <v>-9.7223139432710043E-4</v>
      </c>
      <c r="B335">
        <v>1.6500000000000001E-2</v>
      </c>
      <c r="C335" s="59">
        <v>0.16</v>
      </c>
      <c r="D335" s="59">
        <v>0.09</v>
      </c>
      <c r="E335" s="60">
        <f t="shared" si="5"/>
        <v>0.75</v>
      </c>
      <c r="F335" t="str" cm="1">
        <f t="array" ref="F335">IF(A335=MAX(IF(ROUND($B$2:$B$3722,4)=ROUND(B335,4),$A$2:$A$3722)),"Efficient","Inefficient")</f>
        <v>Inefficient</v>
      </c>
    </row>
    <row r="336" spans="1:6" x14ac:dyDescent="0.25">
      <c r="A336" cm="1">
        <f t="array" ref="A336">INDEX('Portfolio Weights Returns'!$B$9:$BJ$69,
INT((ROW(A335)-1)/COLUMNS('Portfolio Weights Returns'!$B$9:$BJ$69))+1,MOD(ROW(A335)-1,COLUMNS('Portfolio Weights Returns'!$B$9:$BJ$69))+1)</f>
        <v>-9.6545022036042128E-4</v>
      </c>
      <c r="B336">
        <v>1.6500000000000001E-2</v>
      </c>
      <c r="C336" s="59">
        <v>0.16</v>
      </c>
      <c r="D336" s="59">
        <v>0.1</v>
      </c>
      <c r="E336" s="60">
        <f t="shared" si="5"/>
        <v>0.74</v>
      </c>
      <c r="F336" t="str" cm="1">
        <f t="array" ref="F336">IF(A336=MAX(IF(ROUND($B$2:$B$3722,4)=ROUND(B336,4),$A$2:$A$3722)),"Efficient","Inefficient")</f>
        <v>Inefficient</v>
      </c>
    </row>
    <row r="337" spans="1:6" x14ac:dyDescent="0.25">
      <c r="A337" cm="1">
        <f t="array" ref="A337">INDEX('Portfolio Weights Returns'!$B$9:$BJ$69,
INT((ROW(A336)-1)/COLUMNS('Portfolio Weights Returns'!$B$9:$BJ$69))+1,MOD(ROW(A336)-1,COLUMNS('Portfolio Weights Returns'!$B$9:$BJ$69))+1)</f>
        <v>-9.5866904639374225E-4</v>
      </c>
      <c r="B337">
        <v>1.6500000000000001E-2</v>
      </c>
      <c r="C337" s="59">
        <v>0.16</v>
      </c>
      <c r="D337" s="59">
        <v>0.11</v>
      </c>
      <c r="E337" s="60">
        <f t="shared" si="5"/>
        <v>0.73</v>
      </c>
      <c r="F337" t="str" cm="1">
        <f t="array" ref="F337">IF(A337=MAX(IF(ROUND($B$2:$B$3722,4)=ROUND(B337,4),$A$2:$A$3722)),"Efficient","Inefficient")</f>
        <v>Inefficient</v>
      </c>
    </row>
    <row r="338" spans="1:6" x14ac:dyDescent="0.25">
      <c r="A338" cm="1">
        <f t="array" ref="A338">INDEX('Portfolio Weights Returns'!$B$9:$BJ$69,
INT((ROW(A337)-1)/COLUMNS('Portfolio Weights Returns'!$B$9:$BJ$69))+1,MOD(ROW(A337)-1,COLUMNS('Portfolio Weights Returns'!$B$9:$BJ$69))+1)</f>
        <v>-9.518878724270631E-4</v>
      </c>
      <c r="B338">
        <v>1.6500000000000001E-2</v>
      </c>
      <c r="C338" s="59">
        <v>0.16</v>
      </c>
      <c r="D338" s="59">
        <v>0.12</v>
      </c>
      <c r="E338" s="60">
        <f t="shared" si="5"/>
        <v>0.72</v>
      </c>
      <c r="F338" t="str" cm="1">
        <f t="array" ref="F338">IF(A338=MAX(IF(ROUND($B$2:$B$3722,4)=ROUND(B338,4),$A$2:$A$3722)),"Efficient","Inefficient")</f>
        <v>Inefficient</v>
      </c>
    </row>
    <row r="339" spans="1:6" x14ac:dyDescent="0.25">
      <c r="A339" cm="1">
        <f t="array" ref="A339">INDEX('Portfolio Weights Returns'!$B$9:$BJ$69,
INT((ROW(A338)-1)/COLUMNS('Portfolio Weights Returns'!$B$9:$BJ$69))+1,MOD(ROW(A338)-1,COLUMNS('Portfolio Weights Returns'!$B$9:$BJ$69))+1)</f>
        <v>-9.4510669846038396E-4</v>
      </c>
      <c r="B339">
        <v>1.6500000000000001E-2</v>
      </c>
      <c r="C339" s="59">
        <v>0.16</v>
      </c>
      <c r="D339" s="59">
        <v>0.13</v>
      </c>
      <c r="E339" s="60">
        <f t="shared" si="5"/>
        <v>0.71</v>
      </c>
      <c r="F339" t="str" cm="1">
        <f t="array" ref="F339">IF(A339=MAX(IF(ROUND($B$2:$B$3722,4)=ROUND(B339,4),$A$2:$A$3722)),"Efficient","Inefficient")</f>
        <v>Inefficient</v>
      </c>
    </row>
    <row r="340" spans="1:6" x14ac:dyDescent="0.25">
      <c r="A340" cm="1">
        <f t="array" ref="A340">INDEX('Portfolio Weights Returns'!$B$9:$BJ$69,
INT((ROW(A339)-1)/COLUMNS('Portfolio Weights Returns'!$B$9:$BJ$69))+1,MOD(ROW(A339)-1,COLUMNS('Portfolio Weights Returns'!$B$9:$BJ$69))+1)</f>
        <v>-9.3832552449370492E-4</v>
      </c>
      <c r="B340">
        <v>1.6500000000000001E-2</v>
      </c>
      <c r="C340" s="59">
        <v>0.16</v>
      </c>
      <c r="D340" s="59">
        <v>0.14000000000000001</v>
      </c>
      <c r="E340" s="60">
        <f t="shared" si="5"/>
        <v>0.7</v>
      </c>
      <c r="F340" t="str" cm="1">
        <f t="array" ref="F340">IF(A340=MAX(IF(ROUND($B$2:$B$3722,4)=ROUND(B340,4),$A$2:$A$3722)),"Efficient","Inefficient")</f>
        <v>Inefficient</v>
      </c>
    </row>
    <row r="341" spans="1:6" x14ac:dyDescent="0.25">
      <c r="A341" cm="1">
        <f t="array" ref="A341">INDEX('Portfolio Weights Returns'!$B$9:$BJ$69,
INT((ROW(A340)-1)/COLUMNS('Portfolio Weights Returns'!$B$9:$BJ$69))+1,MOD(ROW(A340)-1,COLUMNS('Portfolio Weights Returns'!$B$9:$BJ$69))+1)</f>
        <v>-9.3154435052702567E-4</v>
      </c>
      <c r="B341">
        <v>1.6500000000000001E-2</v>
      </c>
      <c r="C341" s="59">
        <v>0.16</v>
      </c>
      <c r="D341" s="59">
        <v>0.15</v>
      </c>
      <c r="E341" s="60">
        <f t="shared" si="5"/>
        <v>0.69</v>
      </c>
      <c r="F341" t="str" cm="1">
        <f t="array" ref="F341">IF(A341=MAX(IF(ROUND($B$2:$B$3722,4)=ROUND(B341,4),$A$2:$A$3722)),"Efficient","Inefficient")</f>
        <v>Inefficient</v>
      </c>
    </row>
    <row r="342" spans="1:6" x14ac:dyDescent="0.25">
      <c r="A342" cm="1">
        <f t="array" ref="A342">INDEX('Portfolio Weights Returns'!$B$9:$BJ$69,
INT((ROW(A341)-1)/COLUMNS('Portfolio Weights Returns'!$B$9:$BJ$69))+1,MOD(ROW(A341)-1,COLUMNS('Portfolio Weights Returns'!$B$9:$BJ$69))+1)</f>
        <v>-9.2476317656034663E-4</v>
      </c>
      <c r="B342">
        <v>1.6500000000000001E-2</v>
      </c>
      <c r="C342" s="59">
        <v>0.17</v>
      </c>
      <c r="D342" s="59">
        <v>0.15</v>
      </c>
      <c r="E342" s="60">
        <f t="shared" si="5"/>
        <v>0.67999999999999994</v>
      </c>
      <c r="F342" t="str" cm="1">
        <f t="array" ref="F342">IF(A342=MAX(IF(ROUND($B$2:$B$3722,4)=ROUND(B342,4),$A$2:$A$3722)),"Efficient","Inefficient")</f>
        <v>Inefficient</v>
      </c>
    </row>
    <row r="343" spans="1:6" x14ac:dyDescent="0.25">
      <c r="A343" cm="1">
        <f t="array" ref="A343">INDEX('Portfolio Weights Returns'!$B$9:$BJ$69,
INT((ROW(A342)-1)/COLUMNS('Portfolio Weights Returns'!$B$9:$BJ$69))+1,MOD(ROW(A342)-1,COLUMNS('Portfolio Weights Returns'!$B$9:$BJ$69))+1)</f>
        <v>-9.1798200259366749E-4</v>
      </c>
      <c r="B343">
        <v>1.6500000000000001E-2</v>
      </c>
      <c r="C343" s="59">
        <v>0.17</v>
      </c>
      <c r="D343" s="59">
        <v>0.16</v>
      </c>
      <c r="E343" s="60">
        <f t="shared" si="5"/>
        <v>0.66999999999999993</v>
      </c>
      <c r="F343" t="str" cm="1">
        <f t="array" ref="F343">IF(A343=MAX(IF(ROUND($B$2:$B$3722,4)=ROUND(B343,4),$A$2:$A$3722)),"Efficient","Inefficient")</f>
        <v>Inefficient</v>
      </c>
    </row>
    <row r="344" spans="1:6" x14ac:dyDescent="0.25">
      <c r="A344" cm="1">
        <f t="array" ref="A344">INDEX('Portfolio Weights Returns'!$B$9:$BJ$69,
INT((ROW(A343)-1)/COLUMNS('Portfolio Weights Returns'!$B$9:$BJ$69))+1,MOD(ROW(A343)-1,COLUMNS('Portfolio Weights Returns'!$B$9:$BJ$69))+1)</f>
        <v>-9.1120082862698845E-4</v>
      </c>
      <c r="B344">
        <v>1.6500000000000001E-2</v>
      </c>
      <c r="C344" s="59">
        <v>0.18</v>
      </c>
      <c r="D344" s="59">
        <v>0.17</v>
      </c>
      <c r="E344" s="60">
        <f t="shared" si="5"/>
        <v>0.64999999999999991</v>
      </c>
      <c r="F344" t="str" cm="1">
        <f t="array" ref="F344">IF(A344=MAX(IF(ROUND($B$2:$B$3722,4)=ROUND(B344,4),$A$2:$A$3722)),"Efficient","Inefficient")</f>
        <v>Inefficient</v>
      </c>
    </row>
    <row r="345" spans="1:6" x14ac:dyDescent="0.25">
      <c r="A345" cm="1">
        <f t="array" ref="A345">INDEX('Portfolio Weights Returns'!$B$9:$BJ$69,
INT((ROW(A344)-1)/COLUMNS('Portfolio Weights Returns'!$B$9:$BJ$69))+1,MOD(ROW(A344)-1,COLUMNS('Portfolio Weights Returns'!$B$9:$BJ$69))+1)</f>
        <v>-9.0441965466030931E-4</v>
      </c>
      <c r="B345">
        <v>1.6500000000000001E-2</v>
      </c>
      <c r="C345" s="59">
        <v>0.18</v>
      </c>
      <c r="D345" s="59">
        <v>0.18</v>
      </c>
      <c r="E345" s="60">
        <f t="shared" si="5"/>
        <v>0.64000000000000012</v>
      </c>
      <c r="F345" t="str" cm="1">
        <f t="array" ref="F345">IF(A345=MAX(IF(ROUND($B$2:$B$3722,4)=ROUND(B345,4),$A$2:$A$3722)),"Efficient","Inefficient")</f>
        <v>Inefficient</v>
      </c>
    </row>
    <row r="346" spans="1:6" x14ac:dyDescent="0.25">
      <c r="A346" cm="1">
        <f t="array" ref="A346">INDEX('Portfolio Weights Returns'!$B$9:$BJ$69,
INT((ROW(A345)-1)/COLUMNS('Portfolio Weights Returns'!$B$9:$BJ$69))+1,MOD(ROW(A345)-1,COLUMNS('Portfolio Weights Returns'!$B$9:$BJ$69))+1)</f>
        <v>-8.9763848069363038E-4</v>
      </c>
      <c r="B346">
        <v>1.6500000000000001E-2</v>
      </c>
      <c r="C346" s="59">
        <v>0.19</v>
      </c>
      <c r="D346" s="59">
        <v>0.18</v>
      </c>
      <c r="E346" s="60">
        <f t="shared" si="5"/>
        <v>0.63000000000000012</v>
      </c>
      <c r="F346" t="str" cm="1">
        <f t="array" ref="F346">IF(A346=MAX(IF(ROUND($B$2:$B$3722,4)=ROUND(B346,4),$A$2:$A$3722)),"Efficient","Inefficient")</f>
        <v>Inefficient</v>
      </c>
    </row>
    <row r="347" spans="1:6" x14ac:dyDescent="0.25">
      <c r="A347" cm="1">
        <f t="array" ref="A347">INDEX('Portfolio Weights Returns'!$B$9:$BJ$69,
INT((ROW(A346)-1)/COLUMNS('Portfolio Weights Returns'!$B$9:$BJ$69))+1,MOD(ROW(A346)-1,COLUMNS('Portfolio Weights Returns'!$B$9:$BJ$69))+1)</f>
        <v>-8.9085730672695113E-4</v>
      </c>
      <c r="B347">
        <v>1.6500000000000001E-2</v>
      </c>
      <c r="C347" s="59">
        <v>0.19</v>
      </c>
      <c r="D347" s="59">
        <v>0.19</v>
      </c>
      <c r="E347" s="60">
        <f t="shared" si="5"/>
        <v>0.62000000000000011</v>
      </c>
      <c r="F347" t="str" cm="1">
        <f t="array" ref="F347">IF(A347=MAX(IF(ROUND($B$2:$B$3722,4)=ROUND(B347,4),$A$2:$A$3722)),"Efficient","Inefficient")</f>
        <v>Inefficient</v>
      </c>
    </row>
    <row r="348" spans="1:6" x14ac:dyDescent="0.25">
      <c r="A348" cm="1">
        <f t="array" ref="A348">INDEX('Portfolio Weights Returns'!$B$9:$BJ$69,
INT((ROW(A347)-1)/COLUMNS('Portfolio Weights Returns'!$B$9:$BJ$69))+1,MOD(ROW(A347)-1,COLUMNS('Portfolio Weights Returns'!$B$9:$BJ$69))+1)</f>
        <v>-8.8407613276027209E-4</v>
      </c>
      <c r="B348">
        <v>1.6500000000000001E-2</v>
      </c>
      <c r="C348" s="59">
        <v>0.2</v>
      </c>
      <c r="D348" s="59">
        <v>0.19</v>
      </c>
      <c r="E348" s="60">
        <f t="shared" si="5"/>
        <v>0.6100000000000001</v>
      </c>
      <c r="F348" t="str" cm="1">
        <f t="array" ref="F348">IF(A348=MAX(IF(ROUND($B$2:$B$3722,4)=ROUND(B348,4),$A$2:$A$3722)),"Efficient","Inefficient")</f>
        <v>Inefficient</v>
      </c>
    </row>
    <row r="349" spans="1:6" x14ac:dyDescent="0.25">
      <c r="A349" cm="1">
        <f t="array" ref="A349">INDEX('Portfolio Weights Returns'!$B$9:$BJ$69,
INT((ROW(A348)-1)/COLUMNS('Portfolio Weights Returns'!$B$9:$BJ$69))+1,MOD(ROW(A348)-1,COLUMNS('Portfolio Weights Returns'!$B$9:$BJ$69))+1)</f>
        <v>-8.7729495879359284E-4</v>
      </c>
      <c r="B349">
        <v>1.6500000000000001E-2</v>
      </c>
      <c r="C349" s="59">
        <v>0.2</v>
      </c>
      <c r="D349" s="59">
        <v>0.2</v>
      </c>
      <c r="E349" s="60">
        <f t="shared" si="5"/>
        <v>0.60000000000000009</v>
      </c>
      <c r="F349" t="str" cm="1">
        <f t="array" ref="F349">IF(A349=MAX(IF(ROUND($B$2:$B$3722,4)=ROUND(B349,4),$A$2:$A$3722)),"Efficient","Inefficient")</f>
        <v>Inefficient</v>
      </c>
    </row>
    <row r="350" spans="1:6" x14ac:dyDescent="0.25">
      <c r="A350" cm="1">
        <f t="array" ref="A350">INDEX('Portfolio Weights Returns'!$B$9:$BJ$69,
INT((ROW(A349)-1)/COLUMNS('Portfolio Weights Returns'!$B$9:$BJ$69))+1,MOD(ROW(A349)-1,COLUMNS('Portfolio Weights Returns'!$B$9:$BJ$69))+1)</f>
        <v>-8.7051378482691391E-4</v>
      </c>
      <c r="B350">
        <v>1.6500000000000001E-2</v>
      </c>
      <c r="C350" s="59">
        <v>0.21</v>
      </c>
      <c r="D350" s="59">
        <v>0.2</v>
      </c>
      <c r="E350" s="60">
        <f t="shared" si="5"/>
        <v>0.59000000000000008</v>
      </c>
      <c r="F350" t="str" cm="1">
        <f t="array" ref="F350">IF(A350=MAX(IF(ROUND($B$2:$B$3722,4)=ROUND(B350,4),$A$2:$A$3722)),"Efficient","Inefficient")</f>
        <v>Inefficient</v>
      </c>
    </row>
    <row r="351" spans="1:6" x14ac:dyDescent="0.25">
      <c r="A351" cm="1">
        <f t="array" ref="A351">INDEX('Portfolio Weights Returns'!$B$9:$BJ$69,
INT((ROW(A350)-1)/COLUMNS('Portfolio Weights Returns'!$B$9:$BJ$69))+1,MOD(ROW(A350)-1,COLUMNS('Portfolio Weights Returns'!$B$9:$BJ$69))+1)</f>
        <v>-8.6373261086023466E-4</v>
      </c>
      <c r="B351">
        <v>1.6500000000000001E-2</v>
      </c>
      <c r="C351" s="59">
        <v>0.22</v>
      </c>
      <c r="D351" s="59">
        <v>0.21</v>
      </c>
      <c r="E351" s="60">
        <f t="shared" si="5"/>
        <v>0.57000000000000006</v>
      </c>
      <c r="F351" t="str" cm="1">
        <f t="array" ref="F351">IF(A351=MAX(IF(ROUND($B$2:$B$3722,4)=ROUND(B351,4),$A$2:$A$3722)),"Efficient","Inefficient")</f>
        <v>Inefficient</v>
      </c>
    </row>
    <row r="352" spans="1:6" x14ac:dyDescent="0.25">
      <c r="A352" cm="1">
        <f t="array" ref="A352">INDEX('Portfolio Weights Returns'!$B$9:$BJ$69,
INT((ROW(A351)-1)/COLUMNS('Portfolio Weights Returns'!$B$9:$BJ$69))+1,MOD(ROW(A351)-1,COLUMNS('Portfolio Weights Returns'!$B$9:$BJ$69))+1)</f>
        <v>-8.5695143689355562E-4</v>
      </c>
      <c r="B352">
        <v>1.6500000000000001E-2</v>
      </c>
      <c r="C352" s="59">
        <v>0.23</v>
      </c>
      <c r="D352" s="59">
        <v>0.21</v>
      </c>
      <c r="E352" s="60">
        <f t="shared" si="5"/>
        <v>0.56000000000000005</v>
      </c>
      <c r="F352" t="str" cm="1">
        <f t="array" ref="F352">IF(A352=MAX(IF(ROUND($B$2:$B$3722,4)=ROUND(B352,4),$A$2:$A$3722)),"Efficient","Inefficient")</f>
        <v>Inefficient</v>
      </c>
    </row>
    <row r="353" spans="1:6" x14ac:dyDescent="0.25">
      <c r="A353" cm="1">
        <f t="array" ref="A353">INDEX('Portfolio Weights Returns'!$B$9:$BJ$69,
INT((ROW(A352)-1)/COLUMNS('Portfolio Weights Returns'!$B$9:$BJ$69))+1,MOD(ROW(A352)-1,COLUMNS('Portfolio Weights Returns'!$B$9:$BJ$69))+1)</f>
        <v>-8.5017026292687648E-4</v>
      </c>
      <c r="B353">
        <v>1.6500000000000001E-2</v>
      </c>
      <c r="C353" s="59">
        <v>0.24</v>
      </c>
      <c r="D353" s="59">
        <v>0.22</v>
      </c>
      <c r="E353" s="60">
        <f t="shared" si="5"/>
        <v>0.54</v>
      </c>
      <c r="F353" t="str" cm="1">
        <f t="array" ref="F353">IF(A353=MAX(IF(ROUND($B$2:$B$3722,4)=ROUND(B353,4),$A$2:$A$3722)),"Efficient","Inefficient")</f>
        <v>Inefficient</v>
      </c>
    </row>
    <row r="354" spans="1:6" x14ac:dyDescent="0.25">
      <c r="A354" cm="1">
        <f t="array" ref="A354">INDEX('Portfolio Weights Returns'!$B$9:$BJ$69,
INT((ROW(A353)-1)/COLUMNS('Portfolio Weights Returns'!$B$9:$BJ$69))+1,MOD(ROW(A353)-1,COLUMNS('Portfolio Weights Returns'!$B$9:$BJ$69))+1)</f>
        <v>-8.4338908896019744E-4</v>
      </c>
      <c r="B354">
        <v>1.6500000000000001E-2</v>
      </c>
      <c r="C354" s="59">
        <v>0.25</v>
      </c>
      <c r="D354" s="59">
        <v>0.22</v>
      </c>
      <c r="E354" s="60">
        <f t="shared" si="5"/>
        <v>0.53</v>
      </c>
      <c r="F354" t="str" cm="1">
        <f t="array" ref="F354">IF(A354=MAX(IF(ROUND($B$2:$B$3722,4)=ROUND(B354,4),$A$2:$A$3722)),"Efficient","Inefficient")</f>
        <v>Inefficient</v>
      </c>
    </row>
    <row r="355" spans="1:6" x14ac:dyDescent="0.25">
      <c r="A355" cm="1">
        <f t="array" ref="A355">INDEX('Portfolio Weights Returns'!$B$9:$BJ$69,
INT((ROW(A354)-1)/COLUMNS('Portfolio Weights Returns'!$B$9:$BJ$69))+1,MOD(ROW(A354)-1,COLUMNS('Portfolio Weights Returns'!$B$9:$BJ$69))+1)</f>
        <v>-8.3660791499351841E-4</v>
      </c>
      <c r="B355">
        <v>1.6500000000000001E-2</v>
      </c>
      <c r="C355" s="59">
        <v>0.26</v>
      </c>
      <c r="D355" s="59">
        <v>0.23</v>
      </c>
      <c r="E355" s="60">
        <f t="shared" si="5"/>
        <v>0.51</v>
      </c>
      <c r="F355" t="str" cm="1">
        <f t="array" ref="F355">IF(A355=MAX(IF(ROUND($B$2:$B$3722,4)=ROUND(B355,4),$A$2:$A$3722)),"Efficient","Inefficient")</f>
        <v>Inefficient</v>
      </c>
    </row>
    <row r="356" spans="1:6" x14ac:dyDescent="0.25">
      <c r="A356" cm="1">
        <f t="array" ref="A356">INDEX('Portfolio Weights Returns'!$B$9:$BJ$69,
INT((ROW(A355)-1)/COLUMNS('Portfolio Weights Returns'!$B$9:$BJ$69))+1,MOD(ROW(A355)-1,COLUMNS('Portfolio Weights Returns'!$B$9:$BJ$69))+1)</f>
        <v>-8.2982674102683926E-4</v>
      </c>
      <c r="B356">
        <v>1.6500000000000001E-2</v>
      </c>
      <c r="C356" s="59">
        <v>0.27</v>
      </c>
      <c r="D356" s="59">
        <v>0.23</v>
      </c>
      <c r="E356" s="60">
        <f t="shared" si="5"/>
        <v>0.5</v>
      </c>
      <c r="F356" t="str" cm="1">
        <f t="array" ref="F356">IF(A356=MAX(IF(ROUND($B$2:$B$3722,4)=ROUND(B356,4),$A$2:$A$3722)),"Efficient","Inefficient")</f>
        <v>Inefficient</v>
      </c>
    </row>
    <row r="357" spans="1:6" x14ac:dyDescent="0.25">
      <c r="A357" cm="1">
        <f t="array" ref="A357">INDEX('Portfolio Weights Returns'!$B$9:$BJ$69,
INT((ROW(A356)-1)/COLUMNS('Portfolio Weights Returns'!$B$9:$BJ$69))+1,MOD(ROW(A356)-1,COLUMNS('Portfolio Weights Returns'!$B$9:$BJ$69))+1)</f>
        <v>-8.2304556706016023E-4</v>
      </c>
      <c r="B357">
        <v>1.6500000000000001E-2</v>
      </c>
      <c r="C357" s="59">
        <v>0.28000000000000003</v>
      </c>
      <c r="D357" s="59">
        <v>0.23</v>
      </c>
      <c r="E357" s="60">
        <f t="shared" si="5"/>
        <v>0.49</v>
      </c>
      <c r="F357" t="str" cm="1">
        <f t="array" ref="F357">IF(A357=MAX(IF(ROUND($B$2:$B$3722,4)=ROUND(B357,4),$A$2:$A$3722)),"Efficient","Inefficient")</f>
        <v>Inefficient</v>
      </c>
    </row>
    <row r="358" spans="1:6" x14ac:dyDescent="0.25">
      <c r="A358" cm="1">
        <f t="array" ref="A358">INDEX('Portfolio Weights Returns'!$B$9:$BJ$69,
INT((ROW(A357)-1)/COLUMNS('Portfolio Weights Returns'!$B$9:$BJ$69))+1,MOD(ROW(A357)-1,COLUMNS('Portfolio Weights Returns'!$B$9:$BJ$69))+1)</f>
        <v>-8.1626439309348108E-4</v>
      </c>
      <c r="B358">
        <v>1.6500000000000001E-2</v>
      </c>
      <c r="C358" s="59">
        <v>0.3</v>
      </c>
      <c r="D358" s="59">
        <v>0.24</v>
      </c>
      <c r="E358" s="60">
        <f t="shared" si="5"/>
        <v>0.46</v>
      </c>
      <c r="F358" t="str" cm="1">
        <f t="array" ref="F358">IF(A358=MAX(IF(ROUND($B$2:$B$3722,4)=ROUND(B358,4),$A$2:$A$3722)),"Efficient","Inefficient")</f>
        <v>Efficient</v>
      </c>
    </row>
    <row r="359" spans="1:6" x14ac:dyDescent="0.25">
      <c r="A359" cm="1">
        <f t="array" ref="A359">INDEX('Portfolio Weights Returns'!$B$9:$BJ$69,
INT((ROW(A358)-1)/COLUMNS('Portfolio Weights Returns'!$B$9:$BJ$69))+1,MOD(ROW(A358)-1,COLUMNS('Portfolio Weights Returns'!$B$9:$BJ$69))+1)</f>
        <v>-8.0948321912680183E-4</v>
      </c>
      <c r="B359">
        <v>1.66E-2</v>
      </c>
      <c r="C359" s="59">
        <v>0.28999999999999998</v>
      </c>
      <c r="D359" s="59">
        <v>-0.09</v>
      </c>
      <c r="E359" s="60">
        <f t="shared" si="5"/>
        <v>0.8</v>
      </c>
      <c r="F359" t="str" cm="1">
        <f t="array" ref="F359">IF(A359=MAX(IF(ROUND($B$2:$B$3722,4)=ROUND(B359,4),$A$2:$A$3722)),"Efficient","Inefficient")</f>
        <v>Inefficient</v>
      </c>
    </row>
    <row r="360" spans="1:6" x14ac:dyDescent="0.25">
      <c r="A360" cm="1">
        <f t="array" ref="A360">INDEX('Portfolio Weights Returns'!$B$9:$BJ$69,
INT((ROW(A359)-1)/COLUMNS('Portfolio Weights Returns'!$B$9:$BJ$69))+1,MOD(ROW(A359)-1,COLUMNS('Portfolio Weights Returns'!$B$9:$BJ$69))+1)</f>
        <v>-8.0270204516012279E-4</v>
      </c>
      <c r="B360">
        <v>1.66E-2</v>
      </c>
      <c r="C360" s="59">
        <v>0.28000000000000003</v>
      </c>
      <c r="D360" s="59">
        <v>-0.08</v>
      </c>
      <c r="E360" s="60">
        <f t="shared" si="5"/>
        <v>0.8</v>
      </c>
      <c r="F360" t="str" cm="1">
        <f t="array" ref="F360">IF(A360=MAX(IF(ROUND($B$2:$B$3722,4)=ROUND(B360,4),$A$2:$A$3722)),"Efficient","Inefficient")</f>
        <v>Inefficient</v>
      </c>
    </row>
    <row r="361" spans="1:6" x14ac:dyDescent="0.25">
      <c r="A361" cm="1">
        <f t="array" ref="A361">INDEX('Portfolio Weights Returns'!$B$9:$BJ$69,
INT((ROW(A360)-1)/COLUMNS('Portfolio Weights Returns'!$B$9:$BJ$69))+1,MOD(ROW(A360)-1,COLUMNS('Portfolio Weights Returns'!$B$9:$BJ$69))+1)</f>
        <v>-7.9592087119344365E-4</v>
      </c>
      <c r="B361">
        <v>1.66E-2</v>
      </c>
      <c r="C361" s="59">
        <v>0.27</v>
      </c>
      <c r="D361" s="59">
        <v>-7.0000000000000007E-2</v>
      </c>
      <c r="E361" s="60">
        <f t="shared" si="5"/>
        <v>0.8</v>
      </c>
      <c r="F361" t="str" cm="1">
        <f t="array" ref="F361">IF(A361=MAX(IF(ROUND($B$2:$B$3722,4)=ROUND(B361,4),$A$2:$A$3722)),"Efficient","Inefficient")</f>
        <v>Inefficient</v>
      </c>
    </row>
    <row r="362" spans="1:6" x14ac:dyDescent="0.25">
      <c r="A362" cm="1">
        <f t="array" ref="A362">INDEX('Portfolio Weights Returns'!$B$9:$BJ$69,
INT((ROW(A361)-1)/COLUMNS('Portfolio Weights Returns'!$B$9:$BJ$69))+1,MOD(ROW(A361)-1,COLUMNS('Portfolio Weights Returns'!$B$9:$BJ$69))+1)</f>
        <v>-7.8913969722676461E-4</v>
      </c>
      <c r="B362">
        <v>1.66E-2</v>
      </c>
      <c r="C362" s="59">
        <v>0.25</v>
      </c>
      <c r="D362" s="59">
        <v>-0.06</v>
      </c>
      <c r="E362" s="60">
        <f t="shared" si="5"/>
        <v>0.81</v>
      </c>
      <c r="F362" t="str" cm="1">
        <f t="array" ref="F362">IF(A362=MAX(IF(ROUND($B$2:$B$3722,4)=ROUND(B362,4),$A$2:$A$3722)),"Efficient","Inefficient")</f>
        <v>Inefficient</v>
      </c>
    </row>
    <row r="363" spans="1:6" x14ac:dyDescent="0.25">
      <c r="A363" cm="1">
        <f t="array" ref="A363">INDEX('Portfolio Weights Returns'!$B$9:$BJ$69,
INT((ROW(A362)-1)/COLUMNS('Portfolio Weights Returns'!$B$9:$BJ$69))+1,MOD(ROW(A362)-1,COLUMNS('Portfolio Weights Returns'!$B$9:$BJ$69))+1)</f>
        <v>-7.8235852326008547E-4</v>
      </c>
      <c r="B363">
        <v>1.66E-2</v>
      </c>
      <c r="C363" s="59">
        <v>0.24</v>
      </c>
      <c r="D363" s="59">
        <v>-0.05</v>
      </c>
      <c r="E363" s="60">
        <f t="shared" si="5"/>
        <v>0.81</v>
      </c>
      <c r="F363" t="str" cm="1">
        <f t="array" ref="F363">IF(A363=MAX(IF(ROUND($B$2:$B$3722,4)=ROUND(B363,4),$A$2:$A$3722)),"Efficient","Inefficient")</f>
        <v>Inefficient</v>
      </c>
    </row>
    <row r="364" spans="1:6" x14ac:dyDescent="0.25">
      <c r="A364" cm="1">
        <f t="array" ref="A364">INDEX('Portfolio Weights Returns'!$B$9:$BJ$69,
INT((ROW(A363)-1)/COLUMNS('Portfolio Weights Returns'!$B$9:$BJ$69))+1,MOD(ROW(A363)-1,COLUMNS('Portfolio Weights Returns'!$B$9:$BJ$69))+1)</f>
        <v>-7.7557734929340567E-4</v>
      </c>
      <c r="B364">
        <v>1.66E-2</v>
      </c>
      <c r="C364" s="59">
        <v>0.23</v>
      </c>
      <c r="D364" s="59">
        <v>-0.04</v>
      </c>
      <c r="E364" s="60">
        <f t="shared" si="5"/>
        <v>0.81</v>
      </c>
      <c r="F364" t="str" cm="1">
        <f t="array" ref="F364">IF(A364=MAX(IF(ROUND($B$2:$B$3722,4)=ROUND(B364,4),$A$2:$A$3722)),"Efficient","Inefficient")</f>
        <v>Inefficient</v>
      </c>
    </row>
    <row r="365" spans="1:6" x14ac:dyDescent="0.25">
      <c r="A365" cm="1">
        <f t="array" ref="A365">INDEX('Portfolio Weights Returns'!$B$9:$BJ$69,
INT((ROW(A364)-1)/COLUMNS('Portfolio Weights Returns'!$B$9:$BJ$69))+1,MOD(ROW(A364)-1,COLUMNS('Portfolio Weights Returns'!$B$9:$BJ$69))+1)</f>
        <v>-7.6879617532672653E-4</v>
      </c>
      <c r="B365">
        <v>1.66E-2</v>
      </c>
      <c r="C365" s="59">
        <v>0.22</v>
      </c>
      <c r="D365" s="59">
        <v>-0.03</v>
      </c>
      <c r="E365" s="60">
        <f t="shared" si="5"/>
        <v>0.81</v>
      </c>
      <c r="F365" t="str" cm="1">
        <f t="array" ref="F365">IF(A365=MAX(IF(ROUND($B$2:$B$3722,4)=ROUND(B365,4),$A$2:$A$3722)),"Efficient","Inefficient")</f>
        <v>Inefficient</v>
      </c>
    </row>
    <row r="366" spans="1:6" x14ac:dyDescent="0.25">
      <c r="A366" cm="1">
        <f t="array" ref="A366">INDEX('Portfolio Weights Returns'!$B$9:$BJ$69,
INT((ROW(A365)-1)/COLUMNS('Portfolio Weights Returns'!$B$9:$BJ$69))+1,MOD(ROW(A365)-1,COLUMNS('Portfolio Weights Returns'!$B$9:$BJ$69))+1)</f>
        <v>-7.620150013600476E-4</v>
      </c>
      <c r="B366">
        <v>1.66E-2</v>
      </c>
      <c r="C366" s="59">
        <v>0.21</v>
      </c>
      <c r="D366" s="59">
        <v>-0.02</v>
      </c>
      <c r="E366" s="60">
        <f t="shared" si="5"/>
        <v>0.81</v>
      </c>
      <c r="F366" t="str" cm="1">
        <f t="array" ref="F366">IF(A366=MAX(IF(ROUND($B$2:$B$3722,4)=ROUND(B366,4),$A$2:$A$3722)),"Efficient","Inefficient")</f>
        <v>Inefficient</v>
      </c>
    </row>
    <row r="367" spans="1:6" x14ac:dyDescent="0.25">
      <c r="A367" cm="1">
        <f t="array" ref="A367">INDEX('Portfolio Weights Returns'!$B$9:$BJ$69,
INT((ROW(A366)-1)/COLUMNS('Portfolio Weights Returns'!$B$9:$BJ$69))+1,MOD(ROW(A366)-1,COLUMNS('Portfolio Weights Returns'!$B$9:$BJ$69))+1)</f>
        <v>-7.5523382739336846E-4</v>
      </c>
      <c r="B367">
        <v>1.66E-2</v>
      </c>
      <c r="C367" s="59">
        <v>0.2</v>
      </c>
      <c r="D367" s="59">
        <v>-0.01</v>
      </c>
      <c r="E367" s="60">
        <f t="shared" si="5"/>
        <v>0.81</v>
      </c>
      <c r="F367" t="str" cm="1">
        <f t="array" ref="F367">IF(A367=MAX(IF(ROUND($B$2:$B$3722,4)=ROUND(B367,4),$A$2:$A$3722)),"Efficient","Inefficient")</f>
        <v>Efficient</v>
      </c>
    </row>
    <row r="368" spans="1:6" x14ac:dyDescent="0.25">
      <c r="A368" cm="1">
        <f t="array" ref="A368">INDEX('Portfolio Weights Returns'!$B$9:$BJ$69,
INT((ROW(A367)-1)/COLUMNS('Portfolio Weights Returns'!$B$9:$BJ$69))+1,MOD(ROW(A367)-1,COLUMNS('Portfolio Weights Returns'!$B$9:$BJ$69))+1)</f>
        <v>-1.1555300575486602E-3</v>
      </c>
      <c r="B368">
        <v>1.66E-2</v>
      </c>
      <c r="C368" s="59">
        <v>0.2</v>
      </c>
      <c r="D368" s="59">
        <v>0</v>
      </c>
      <c r="E368" s="60">
        <f t="shared" si="5"/>
        <v>0.8</v>
      </c>
      <c r="F368" t="str" cm="1">
        <f t="array" ref="F368">IF(A368=MAX(IF(ROUND($B$2:$B$3722,4)=ROUND(B368,4),$A$2:$A$3722)),"Efficient","Inefficient")</f>
        <v>Inefficient</v>
      </c>
    </row>
    <row r="369" spans="1:6" x14ac:dyDescent="0.25">
      <c r="A369" cm="1">
        <f t="array" ref="A369">INDEX('Portfolio Weights Returns'!$B$9:$BJ$69,
INT((ROW(A368)-1)/COLUMNS('Portfolio Weights Returns'!$B$9:$BJ$69))+1,MOD(ROW(A368)-1,COLUMNS('Portfolio Weights Returns'!$B$9:$BJ$69))+1)</f>
        <v>-1.148748883581981E-3</v>
      </c>
      <c r="B369">
        <v>1.66E-2</v>
      </c>
      <c r="C369" s="59">
        <v>0.19</v>
      </c>
      <c r="D369" s="59">
        <v>0.01</v>
      </c>
      <c r="E369" s="60">
        <f t="shared" si="5"/>
        <v>0.8</v>
      </c>
      <c r="F369" t="str" cm="1">
        <f t="array" ref="F369">IF(A369=MAX(IF(ROUND($B$2:$B$3722,4)=ROUND(B369,4),$A$2:$A$3722)),"Efficient","Inefficient")</f>
        <v>Inefficient</v>
      </c>
    </row>
    <row r="370" spans="1:6" x14ac:dyDescent="0.25">
      <c r="A370" cm="1">
        <f t="array" ref="A370">INDEX('Portfolio Weights Returns'!$B$9:$BJ$69,
INT((ROW(A369)-1)/COLUMNS('Portfolio Weights Returns'!$B$9:$BJ$69))+1,MOD(ROW(A369)-1,COLUMNS('Portfolio Weights Returns'!$B$9:$BJ$69))+1)</f>
        <v>-1.1419677096153019E-3</v>
      </c>
      <c r="B370">
        <v>1.66E-2</v>
      </c>
      <c r="C370" s="59">
        <v>0.18</v>
      </c>
      <c r="D370" s="59">
        <v>0.02</v>
      </c>
      <c r="E370" s="60">
        <f t="shared" si="5"/>
        <v>0.8</v>
      </c>
      <c r="F370" t="str" cm="1">
        <f t="array" ref="F370">IF(A370=MAX(IF(ROUND($B$2:$B$3722,4)=ROUND(B370,4),$A$2:$A$3722)),"Efficient","Inefficient")</f>
        <v>Inefficient</v>
      </c>
    </row>
    <row r="371" spans="1:6" x14ac:dyDescent="0.25">
      <c r="A371" cm="1">
        <f t="array" ref="A371">INDEX('Portfolio Weights Returns'!$B$9:$BJ$69,
INT((ROW(A370)-1)/COLUMNS('Portfolio Weights Returns'!$B$9:$BJ$69))+1,MOD(ROW(A370)-1,COLUMNS('Portfolio Weights Returns'!$B$9:$BJ$69))+1)</f>
        <v>-1.1351865356486227E-3</v>
      </c>
      <c r="B371">
        <v>1.66E-2</v>
      </c>
      <c r="C371" s="59">
        <v>0.17</v>
      </c>
      <c r="D371" s="59">
        <v>0.04</v>
      </c>
      <c r="E371" s="60">
        <f t="shared" si="5"/>
        <v>0.78999999999999992</v>
      </c>
      <c r="F371" t="str" cm="1">
        <f t="array" ref="F371">IF(A371=MAX(IF(ROUND($B$2:$B$3722,4)=ROUND(B371,4),$A$2:$A$3722)),"Efficient","Inefficient")</f>
        <v>Inefficient</v>
      </c>
    </row>
    <row r="372" spans="1:6" x14ac:dyDescent="0.25">
      <c r="A372" cm="1">
        <f t="array" ref="A372">INDEX('Portfolio Weights Returns'!$B$9:$BJ$69,
INT((ROW(A371)-1)/COLUMNS('Portfolio Weights Returns'!$B$9:$BJ$69))+1,MOD(ROW(A371)-1,COLUMNS('Portfolio Weights Returns'!$B$9:$BJ$69))+1)</f>
        <v>-1.1284053616819438E-3</v>
      </c>
      <c r="B372">
        <v>1.66E-2</v>
      </c>
      <c r="C372" s="59">
        <v>0.16</v>
      </c>
      <c r="D372" s="59">
        <v>0.05</v>
      </c>
      <c r="E372" s="60">
        <f t="shared" si="5"/>
        <v>0.78999999999999992</v>
      </c>
      <c r="F372" t="str" cm="1">
        <f t="array" ref="F372">IF(A372=MAX(IF(ROUND($B$2:$B$3722,4)=ROUND(B372,4),$A$2:$A$3722)),"Efficient","Inefficient")</f>
        <v>Inefficient</v>
      </c>
    </row>
    <row r="373" spans="1:6" x14ac:dyDescent="0.25">
      <c r="A373" cm="1">
        <f t="array" ref="A373">INDEX('Portfolio Weights Returns'!$B$9:$BJ$69,
INT((ROW(A372)-1)/COLUMNS('Portfolio Weights Returns'!$B$9:$BJ$69))+1,MOD(ROW(A372)-1,COLUMNS('Portfolio Weights Returns'!$B$9:$BJ$69))+1)</f>
        <v>-1.1216241877152647E-3</v>
      </c>
      <c r="B373">
        <v>1.66E-2</v>
      </c>
      <c r="C373" s="59">
        <v>0.16</v>
      </c>
      <c r="D373" s="59">
        <v>0.06</v>
      </c>
      <c r="E373" s="60">
        <f t="shared" si="5"/>
        <v>0.77999999999999992</v>
      </c>
      <c r="F373" t="str" cm="1">
        <f t="array" ref="F373">IF(A373=MAX(IF(ROUND($B$2:$B$3722,4)=ROUND(B373,4),$A$2:$A$3722)),"Efficient","Inefficient")</f>
        <v>Inefficient</v>
      </c>
    </row>
    <row r="374" spans="1:6" x14ac:dyDescent="0.25">
      <c r="A374" cm="1">
        <f t="array" ref="A374">INDEX('Portfolio Weights Returns'!$B$9:$BJ$69,
INT((ROW(A373)-1)/COLUMNS('Portfolio Weights Returns'!$B$9:$BJ$69))+1,MOD(ROW(A373)-1,COLUMNS('Portfolio Weights Returns'!$B$9:$BJ$69))+1)</f>
        <v>-1.1148430137485855E-3</v>
      </c>
      <c r="B374">
        <v>1.66E-2</v>
      </c>
      <c r="C374" s="59">
        <v>0.16</v>
      </c>
      <c r="D374" s="59">
        <v>7.0000000000000007E-2</v>
      </c>
      <c r="E374" s="60">
        <f t="shared" si="5"/>
        <v>0.76999999999999991</v>
      </c>
      <c r="F374" t="str" cm="1">
        <f t="array" ref="F374">IF(A374=MAX(IF(ROUND($B$2:$B$3722,4)=ROUND(B374,4),$A$2:$A$3722)),"Efficient","Inefficient")</f>
        <v>Inefficient</v>
      </c>
    </row>
    <row r="375" spans="1:6" x14ac:dyDescent="0.25">
      <c r="A375" cm="1">
        <f t="array" ref="A375">INDEX('Portfolio Weights Returns'!$B$9:$BJ$69,
INT((ROW(A374)-1)/COLUMNS('Portfolio Weights Returns'!$B$9:$BJ$69))+1,MOD(ROW(A374)-1,COLUMNS('Portfolio Weights Returns'!$B$9:$BJ$69))+1)</f>
        <v>-1.1080618397819064E-3</v>
      </c>
      <c r="B375">
        <v>1.66E-2</v>
      </c>
      <c r="C375" s="59">
        <v>0.15</v>
      </c>
      <c r="D375" s="59">
        <v>0.08</v>
      </c>
      <c r="E375" s="60">
        <f t="shared" si="5"/>
        <v>0.77</v>
      </c>
      <c r="F375" t="str" cm="1">
        <f t="array" ref="F375">IF(A375=MAX(IF(ROUND($B$2:$B$3722,4)=ROUND(B375,4),$A$2:$A$3722)),"Efficient","Inefficient")</f>
        <v>Inefficient</v>
      </c>
    </row>
    <row r="376" spans="1:6" x14ac:dyDescent="0.25">
      <c r="A376" cm="1">
        <f t="array" ref="A376">INDEX('Portfolio Weights Returns'!$B$9:$BJ$69,
INT((ROW(A375)-1)/COLUMNS('Portfolio Weights Returns'!$B$9:$BJ$69))+1,MOD(ROW(A375)-1,COLUMNS('Portfolio Weights Returns'!$B$9:$BJ$69))+1)</f>
        <v>-1.1012806658152274E-3</v>
      </c>
      <c r="B376">
        <v>1.66E-2</v>
      </c>
      <c r="C376" s="59">
        <v>0.15</v>
      </c>
      <c r="D376" s="59">
        <v>0.09</v>
      </c>
      <c r="E376" s="60">
        <f t="shared" si="5"/>
        <v>0.76</v>
      </c>
      <c r="F376" t="str" cm="1">
        <f t="array" ref="F376">IF(A376=MAX(IF(ROUND($B$2:$B$3722,4)=ROUND(B376,4),$A$2:$A$3722)),"Efficient","Inefficient")</f>
        <v>Inefficient</v>
      </c>
    </row>
    <row r="377" spans="1:6" x14ac:dyDescent="0.25">
      <c r="A377" cm="1">
        <f t="array" ref="A377">INDEX('Portfolio Weights Returns'!$B$9:$BJ$69,
INT((ROW(A376)-1)/COLUMNS('Portfolio Weights Returns'!$B$9:$BJ$69))+1,MOD(ROW(A376)-1,COLUMNS('Portfolio Weights Returns'!$B$9:$BJ$69))+1)</f>
        <v>-1.0944994918485483E-3</v>
      </c>
      <c r="B377">
        <v>1.66E-2</v>
      </c>
      <c r="C377" s="59">
        <v>0.15</v>
      </c>
      <c r="D377" s="59">
        <v>0.1</v>
      </c>
      <c r="E377" s="60">
        <f t="shared" si="5"/>
        <v>0.75</v>
      </c>
      <c r="F377" t="str" cm="1">
        <f t="array" ref="F377">IF(A377=MAX(IF(ROUND($B$2:$B$3722,4)=ROUND(B377,4),$A$2:$A$3722)),"Efficient","Inefficient")</f>
        <v>Inefficient</v>
      </c>
    </row>
    <row r="378" spans="1:6" x14ac:dyDescent="0.25">
      <c r="A378" cm="1">
        <f t="array" ref="A378">INDEX('Portfolio Weights Returns'!$B$9:$BJ$69,
INT((ROW(A377)-1)/COLUMNS('Portfolio Weights Returns'!$B$9:$BJ$69))+1,MOD(ROW(A377)-1,COLUMNS('Portfolio Weights Returns'!$B$9:$BJ$69))+1)</f>
        <v>-1.0877183178818692E-3</v>
      </c>
      <c r="B378">
        <v>1.66E-2</v>
      </c>
      <c r="C378" s="59">
        <v>0.15</v>
      </c>
      <c r="D378" s="59">
        <v>0.11</v>
      </c>
      <c r="E378" s="60">
        <f t="shared" si="5"/>
        <v>0.74</v>
      </c>
      <c r="F378" t="str" cm="1">
        <f t="array" ref="F378">IF(A378=MAX(IF(ROUND($B$2:$B$3722,4)=ROUND(B378,4),$A$2:$A$3722)),"Efficient","Inefficient")</f>
        <v>Inefficient</v>
      </c>
    </row>
    <row r="379" spans="1:6" x14ac:dyDescent="0.25">
      <c r="A379" cm="1">
        <f t="array" ref="A379">INDEX('Portfolio Weights Returns'!$B$9:$BJ$69,
INT((ROW(A378)-1)/COLUMNS('Portfolio Weights Returns'!$B$9:$BJ$69))+1,MOD(ROW(A378)-1,COLUMNS('Portfolio Weights Returns'!$B$9:$BJ$69))+1)</f>
        <v>-1.0809371439151898E-3</v>
      </c>
      <c r="B379">
        <v>1.66E-2</v>
      </c>
      <c r="C379" s="59">
        <v>0.15</v>
      </c>
      <c r="D379" s="59">
        <v>0.12</v>
      </c>
      <c r="E379" s="60">
        <f t="shared" si="5"/>
        <v>0.73</v>
      </c>
      <c r="F379" t="str" cm="1">
        <f t="array" ref="F379">IF(A379=MAX(IF(ROUND($B$2:$B$3722,4)=ROUND(B379,4),$A$2:$A$3722)),"Efficient","Inefficient")</f>
        <v>Inefficient</v>
      </c>
    </row>
    <row r="380" spans="1:6" x14ac:dyDescent="0.25">
      <c r="A380" cm="1">
        <f t="array" ref="A380">INDEX('Portfolio Weights Returns'!$B$9:$BJ$69,
INT((ROW(A379)-1)/COLUMNS('Portfolio Weights Returns'!$B$9:$BJ$69))+1,MOD(ROW(A379)-1,COLUMNS('Portfolio Weights Returns'!$B$9:$BJ$69))+1)</f>
        <v>-1.0741559699485106E-3</v>
      </c>
      <c r="B380">
        <v>1.66E-2</v>
      </c>
      <c r="C380" s="59">
        <v>0.15</v>
      </c>
      <c r="D380" s="59">
        <v>0.13</v>
      </c>
      <c r="E380" s="60">
        <f t="shared" si="5"/>
        <v>0.72</v>
      </c>
      <c r="F380" t="str" cm="1">
        <f t="array" ref="F380">IF(A380=MAX(IF(ROUND($B$2:$B$3722,4)=ROUND(B380,4),$A$2:$A$3722)),"Efficient","Inefficient")</f>
        <v>Inefficient</v>
      </c>
    </row>
    <row r="381" spans="1:6" x14ac:dyDescent="0.25">
      <c r="A381" cm="1">
        <f t="array" ref="A381">INDEX('Portfolio Weights Returns'!$B$9:$BJ$69,
INT((ROW(A380)-1)/COLUMNS('Portfolio Weights Returns'!$B$9:$BJ$69))+1,MOD(ROW(A380)-1,COLUMNS('Portfolio Weights Returns'!$B$9:$BJ$69))+1)</f>
        <v>-1.0673747959818317E-3</v>
      </c>
      <c r="B381">
        <v>1.66E-2</v>
      </c>
      <c r="C381" s="59">
        <v>0.15</v>
      </c>
      <c r="D381" s="59">
        <v>0.14000000000000001</v>
      </c>
      <c r="E381" s="60">
        <f t="shared" si="5"/>
        <v>0.71</v>
      </c>
      <c r="F381" t="str" cm="1">
        <f t="array" ref="F381">IF(A381=MAX(IF(ROUND($B$2:$B$3722,4)=ROUND(B381,4),$A$2:$A$3722)),"Efficient","Inefficient")</f>
        <v>Inefficient</v>
      </c>
    </row>
    <row r="382" spans="1:6" x14ac:dyDescent="0.25">
      <c r="A382" cm="1">
        <f t="array" ref="A382">INDEX('Portfolio Weights Returns'!$B$9:$BJ$69,
INT((ROW(A381)-1)/COLUMNS('Portfolio Weights Returns'!$B$9:$BJ$69))+1,MOD(ROW(A381)-1,COLUMNS('Portfolio Weights Returns'!$B$9:$BJ$69))+1)</f>
        <v>-1.0605936220151526E-3</v>
      </c>
      <c r="B382">
        <v>1.66E-2</v>
      </c>
      <c r="C382" s="59">
        <v>0.15</v>
      </c>
      <c r="D382" s="59">
        <v>0.15</v>
      </c>
      <c r="E382" s="60">
        <f t="shared" si="5"/>
        <v>0.7</v>
      </c>
      <c r="F382" t="str" cm="1">
        <f t="array" ref="F382">IF(A382=MAX(IF(ROUND($B$2:$B$3722,4)=ROUND(B382,4),$A$2:$A$3722)),"Efficient","Inefficient")</f>
        <v>Inefficient</v>
      </c>
    </row>
    <row r="383" spans="1:6" x14ac:dyDescent="0.25">
      <c r="A383" cm="1">
        <f t="array" ref="A383">INDEX('Portfolio Weights Returns'!$B$9:$BJ$69,
INT((ROW(A382)-1)/COLUMNS('Portfolio Weights Returns'!$B$9:$BJ$69))+1,MOD(ROW(A382)-1,COLUMNS('Portfolio Weights Returns'!$B$9:$BJ$69))+1)</f>
        <v>-1.0538124480484734E-3</v>
      </c>
      <c r="B383">
        <v>1.66E-2</v>
      </c>
      <c r="C383" s="59">
        <v>0.16</v>
      </c>
      <c r="D383" s="59">
        <v>0.16</v>
      </c>
      <c r="E383" s="60">
        <f t="shared" si="5"/>
        <v>0.67999999999999994</v>
      </c>
      <c r="F383" t="str" cm="1">
        <f t="array" ref="F383">IF(A383=MAX(IF(ROUND($B$2:$B$3722,4)=ROUND(B383,4),$A$2:$A$3722)),"Efficient","Inefficient")</f>
        <v>Inefficient</v>
      </c>
    </row>
    <row r="384" spans="1:6" x14ac:dyDescent="0.25">
      <c r="A384" cm="1">
        <f t="array" ref="A384">INDEX('Portfolio Weights Returns'!$B$9:$BJ$69,
INT((ROW(A383)-1)/COLUMNS('Portfolio Weights Returns'!$B$9:$BJ$69))+1,MOD(ROW(A383)-1,COLUMNS('Portfolio Weights Returns'!$B$9:$BJ$69))+1)</f>
        <v>-1.0470312740817945E-3</v>
      </c>
      <c r="B384">
        <v>1.66E-2</v>
      </c>
      <c r="C384" s="59">
        <v>0.16</v>
      </c>
      <c r="D384" s="59">
        <v>0.17</v>
      </c>
      <c r="E384" s="60">
        <f t="shared" si="5"/>
        <v>0.66999999999999993</v>
      </c>
      <c r="F384" t="str" cm="1">
        <f t="array" ref="F384">IF(A384=MAX(IF(ROUND($B$2:$B$3722,4)=ROUND(B384,4),$A$2:$A$3722)),"Efficient","Inefficient")</f>
        <v>Inefficient</v>
      </c>
    </row>
    <row r="385" spans="1:6" x14ac:dyDescent="0.25">
      <c r="A385" cm="1">
        <f t="array" ref="A385">INDEX('Portfolio Weights Returns'!$B$9:$BJ$69,
INT((ROW(A384)-1)/COLUMNS('Portfolio Weights Returns'!$B$9:$BJ$69))+1,MOD(ROW(A384)-1,COLUMNS('Portfolio Weights Returns'!$B$9:$BJ$69))+1)</f>
        <v>-1.0402501001151154E-3</v>
      </c>
      <c r="B385">
        <v>1.66E-2</v>
      </c>
      <c r="C385" s="59">
        <v>0.17</v>
      </c>
      <c r="D385" s="59">
        <v>0.17</v>
      </c>
      <c r="E385" s="60">
        <f t="shared" si="5"/>
        <v>0.65999999999999992</v>
      </c>
      <c r="F385" t="str" cm="1">
        <f t="array" ref="F385">IF(A385=MAX(IF(ROUND($B$2:$B$3722,4)=ROUND(B385,4),$A$2:$A$3722)),"Efficient","Inefficient")</f>
        <v>Inefficient</v>
      </c>
    </row>
    <row r="386" spans="1:6" x14ac:dyDescent="0.25">
      <c r="A386" cm="1">
        <f t="array" ref="A386">INDEX('Portfolio Weights Returns'!$B$9:$BJ$69,
INT((ROW(A385)-1)/COLUMNS('Portfolio Weights Returns'!$B$9:$BJ$69))+1,MOD(ROW(A385)-1,COLUMNS('Portfolio Weights Returns'!$B$9:$BJ$69))+1)</f>
        <v>-1.0334689261484364E-3</v>
      </c>
      <c r="B386">
        <v>1.66E-2</v>
      </c>
      <c r="C386" s="59">
        <v>0.17</v>
      </c>
      <c r="D386" s="59">
        <v>0.18</v>
      </c>
      <c r="E386" s="60">
        <f t="shared" ref="E386:E449" si="6">1-D386-C386</f>
        <v>0.65</v>
      </c>
      <c r="F386" t="str" cm="1">
        <f t="array" ref="F386">IF(A386=MAX(IF(ROUND($B$2:$B$3722,4)=ROUND(B386,4),$A$2:$A$3722)),"Efficient","Inefficient")</f>
        <v>Inefficient</v>
      </c>
    </row>
    <row r="387" spans="1:6" x14ac:dyDescent="0.25">
      <c r="A387" cm="1">
        <f t="array" ref="A387">INDEX('Portfolio Weights Returns'!$B$9:$BJ$69,
INT((ROW(A386)-1)/COLUMNS('Portfolio Weights Returns'!$B$9:$BJ$69))+1,MOD(ROW(A386)-1,COLUMNS('Portfolio Weights Returns'!$B$9:$BJ$69))+1)</f>
        <v>-1.0266877521817573E-3</v>
      </c>
      <c r="B387">
        <v>1.66E-2</v>
      </c>
      <c r="C387" s="59">
        <v>0.18</v>
      </c>
      <c r="D387" s="59">
        <v>0.19</v>
      </c>
      <c r="E387" s="60">
        <f t="shared" si="6"/>
        <v>0.63000000000000012</v>
      </c>
      <c r="F387" t="str" cm="1">
        <f t="array" ref="F387">IF(A387=MAX(IF(ROUND($B$2:$B$3722,4)=ROUND(B387,4),$A$2:$A$3722)),"Efficient","Inefficient")</f>
        <v>Inefficient</v>
      </c>
    </row>
    <row r="388" spans="1:6" x14ac:dyDescent="0.25">
      <c r="A388" cm="1">
        <f t="array" ref="A388">INDEX('Portfolio Weights Returns'!$B$9:$BJ$69,
INT((ROW(A387)-1)/COLUMNS('Portfolio Weights Returns'!$B$9:$BJ$69))+1,MOD(ROW(A387)-1,COLUMNS('Portfolio Weights Returns'!$B$9:$BJ$69))+1)</f>
        <v>-1.0199065782150781E-3</v>
      </c>
      <c r="B388">
        <v>1.66E-2</v>
      </c>
      <c r="C388" s="59">
        <v>0.19</v>
      </c>
      <c r="D388" s="59">
        <v>0.2</v>
      </c>
      <c r="E388" s="60">
        <f t="shared" si="6"/>
        <v>0.6100000000000001</v>
      </c>
      <c r="F388" t="str" cm="1">
        <f t="array" ref="F388">IF(A388=MAX(IF(ROUND($B$2:$B$3722,4)=ROUND(B388,4),$A$2:$A$3722)),"Efficient","Inefficient")</f>
        <v>Inefficient</v>
      </c>
    </row>
    <row r="389" spans="1:6" x14ac:dyDescent="0.25">
      <c r="A389" cm="1">
        <f t="array" ref="A389">INDEX('Portfolio Weights Returns'!$B$9:$BJ$69,
INT((ROW(A388)-1)/COLUMNS('Portfolio Weights Returns'!$B$9:$BJ$69))+1,MOD(ROW(A388)-1,COLUMNS('Portfolio Weights Returns'!$B$9:$BJ$69))+1)</f>
        <v>-1.013125404248399E-3</v>
      </c>
      <c r="B389">
        <v>1.66E-2</v>
      </c>
      <c r="C389" s="59">
        <v>0.2</v>
      </c>
      <c r="D389" s="59">
        <v>0.21</v>
      </c>
      <c r="E389" s="60">
        <f t="shared" si="6"/>
        <v>0.59000000000000008</v>
      </c>
      <c r="F389" t="str" cm="1">
        <f t="array" ref="F389">IF(A389=MAX(IF(ROUND($B$2:$B$3722,4)=ROUND(B389,4),$A$2:$A$3722)),"Efficient","Inefficient")</f>
        <v>Inefficient</v>
      </c>
    </row>
    <row r="390" spans="1:6" x14ac:dyDescent="0.25">
      <c r="A390" cm="1">
        <f t="array" ref="A390">INDEX('Portfolio Weights Returns'!$B$9:$BJ$69,
INT((ROW(A389)-1)/COLUMNS('Portfolio Weights Returns'!$B$9:$BJ$69))+1,MOD(ROW(A389)-1,COLUMNS('Portfolio Weights Returns'!$B$9:$BJ$69))+1)</f>
        <v>-1.0063442302817201E-3</v>
      </c>
      <c r="B390">
        <v>1.66E-2</v>
      </c>
      <c r="C390" s="59">
        <v>0.21</v>
      </c>
      <c r="D390" s="59">
        <v>0.21</v>
      </c>
      <c r="E390" s="60">
        <f t="shared" si="6"/>
        <v>0.58000000000000007</v>
      </c>
      <c r="F390" t="str" cm="1">
        <f t="array" ref="F390">IF(A390=MAX(IF(ROUND($B$2:$B$3722,4)=ROUND(B390,4),$A$2:$A$3722)),"Efficient","Inefficient")</f>
        <v>Inefficient</v>
      </c>
    </row>
    <row r="391" spans="1:6" x14ac:dyDescent="0.25">
      <c r="A391" cm="1">
        <f t="array" ref="A391">INDEX('Portfolio Weights Returns'!$B$9:$BJ$69,
INT((ROW(A390)-1)/COLUMNS('Portfolio Weights Returns'!$B$9:$BJ$69))+1,MOD(ROW(A390)-1,COLUMNS('Portfolio Weights Returns'!$B$9:$BJ$69))+1)</f>
        <v>-9.9956305631504071E-4</v>
      </c>
      <c r="B391">
        <v>1.66E-2</v>
      </c>
      <c r="C391" s="59">
        <v>0.22</v>
      </c>
      <c r="D391" s="59">
        <v>0.22</v>
      </c>
      <c r="E391" s="60">
        <f t="shared" si="6"/>
        <v>0.56000000000000005</v>
      </c>
      <c r="F391" t="str" cm="1">
        <f t="array" ref="F391">IF(A391=MAX(IF(ROUND($B$2:$B$3722,4)=ROUND(B391,4),$A$2:$A$3722)),"Efficient","Inefficient")</f>
        <v>Inefficient</v>
      </c>
    </row>
    <row r="392" spans="1:6" x14ac:dyDescent="0.25">
      <c r="A392" cm="1">
        <f t="array" ref="A392">INDEX('Portfolio Weights Returns'!$B$9:$BJ$69,
INT((ROW(A391)-1)/COLUMNS('Portfolio Weights Returns'!$B$9:$BJ$69))+1,MOD(ROW(A391)-1,COLUMNS('Portfolio Weights Returns'!$B$9:$BJ$69))+1)</f>
        <v>-9.9278188234836156E-4</v>
      </c>
      <c r="B392">
        <v>1.66E-2</v>
      </c>
      <c r="C392" s="59">
        <v>0.23</v>
      </c>
      <c r="D392" s="59">
        <v>0.22</v>
      </c>
      <c r="E392" s="60">
        <f t="shared" si="6"/>
        <v>0.55000000000000004</v>
      </c>
      <c r="F392" t="str" cm="1">
        <f t="array" ref="F392">IF(A392=MAX(IF(ROUND($B$2:$B$3722,4)=ROUND(B392,4),$A$2:$A$3722)),"Efficient","Inefficient")</f>
        <v>Inefficient</v>
      </c>
    </row>
    <row r="393" spans="1:6" x14ac:dyDescent="0.25">
      <c r="A393" cm="1">
        <f t="array" ref="A393">INDEX('Portfolio Weights Returns'!$B$9:$BJ$69,
INT((ROW(A392)-1)/COLUMNS('Portfolio Weights Returns'!$B$9:$BJ$69))+1,MOD(ROW(A392)-1,COLUMNS('Portfolio Weights Returns'!$B$9:$BJ$69))+1)</f>
        <v>-9.8600070838168242E-4</v>
      </c>
      <c r="B393">
        <v>1.66E-2</v>
      </c>
      <c r="C393" s="59">
        <v>0.24</v>
      </c>
      <c r="D393" s="59">
        <v>0.23</v>
      </c>
      <c r="E393" s="60">
        <f t="shared" si="6"/>
        <v>0.53</v>
      </c>
      <c r="F393" t="str" cm="1">
        <f t="array" ref="F393">IF(A393=MAX(IF(ROUND($B$2:$B$3722,4)=ROUND(B393,4),$A$2:$A$3722)),"Efficient","Inefficient")</f>
        <v>Inefficient</v>
      </c>
    </row>
    <row r="394" spans="1:6" x14ac:dyDescent="0.25">
      <c r="A394" cm="1">
        <f t="array" ref="A394">INDEX('Portfolio Weights Returns'!$B$9:$BJ$69,
INT((ROW(A393)-1)/COLUMNS('Portfolio Weights Returns'!$B$9:$BJ$69))+1,MOD(ROW(A393)-1,COLUMNS('Portfolio Weights Returns'!$B$9:$BJ$69))+1)</f>
        <v>-9.7921953441500349E-4</v>
      </c>
      <c r="B394">
        <v>1.66E-2</v>
      </c>
      <c r="C394" s="59">
        <v>0.25</v>
      </c>
      <c r="D394" s="59">
        <v>0.23</v>
      </c>
      <c r="E394" s="60">
        <f t="shared" si="6"/>
        <v>0.52</v>
      </c>
      <c r="F394" t="str" cm="1">
        <f t="array" ref="F394">IF(A394=MAX(IF(ROUND($B$2:$B$3722,4)=ROUND(B394,4),$A$2:$A$3722)),"Efficient","Inefficient")</f>
        <v>Inefficient</v>
      </c>
    </row>
    <row r="395" spans="1:6" x14ac:dyDescent="0.25">
      <c r="A395" cm="1">
        <f t="array" ref="A395">INDEX('Portfolio Weights Returns'!$B$9:$BJ$69,
INT((ROW(A394)-1)/COLUMNS('Portfolio Weights Returns'!$B$9:$BJ$69))+1,MOD(ROW(A394)-1,COLUMNS('Portfolio Weights Returns'!$B$9:$BJ$69))+1)</f>
        <v>-9.7243836044832435E-4</v>
      </c>
      <c r="B395">
        <v>1.66E-2</v>
      </c>
      <c r="C395" s="59">
        <v>0.27</v>
      </c>
      <c r="D395" s="59">
        <v>0.24</v>
      </c>
      <c r="E395" s="60">
        <f t="shared" si="6"/>
        <v>0.49</v>
      </c>
      <c r="F395" t="str" cm="1">
        <f t="array" ref="F395">IF(A395=MAX(IF(ROUND($B$2:$B$3722,4)=ROUND(B395,4),$A$2:$A$3722)),"Efficient","Inefficient")</f>
        <v>Inefficient</v>
      </c>
    </row>
    <row r="396" spans="1:6" x14ac:dyDescent="0.25">
      <c r="A396" cm="1">
        <f t="array" ref="A396">INDEX('Portfolio Weights Returns'!$B$9:$BJ$69,
INT((ROW(A395)-1)/COLUMNS('Portfolio Weights Returns'!$B$9:$BJ$69))+1,MOD(ROW(A395)-1,COLUMNS('Portfolio Weights Returns'!$B$9:$BJ$69))+1)</f>
        <v>-9.656571864816452E-4</v>
      </c>
      <c r="B396">
        <v>1.66E-2</v>
      </c>
      <c r="C396" s="59">
        <v>0.28000000000000003</v>
      </c>
      <c r="D396" s="59">
        <v>0.24</v>
      </c>
      <c r="E396" s="60">
        <f t="shared" si="6"/>
        <v>0.48</v>
      </c>
      <c r="F396" t="str" cm="1">
        <f t="array" ref="F396">IF(A396=MAX(IF(ROUND($B$2:$B$3722,4)=ROUND(B396,4),$A$2:$A$3722)),"Efficient","Inefficient")</f>
        <v>Inefficient</v>
      </c>
    </row>
    <row r="397" spans="1:6" x14ac:dyDescent="0.25">
      <c r="A397" cm="1">
        <f t="array" ref="A397">INDEX('Portfolio Weights Returns'!$B$9:$BJ$69,
INT((ROW(A396)-1)/COLUMNS('Portfolio Weights Returns'!$B$9:$BJ$69))+1,MOD(ROW(A396)-1,COLUMNS('Portfolio Weights Returns'!$B$9:$BJ$69))+1)</f>
        <v>-9.5887601251496606E-4</v>
      </c>
      <c r="B397">
        <v>1.66E-2</v>
      </c>
      <c r="C397" s="59">
        <v>0.28999999999999998</v>
      </c>
      <c r="D397" s="59">
        <v>0.24</v>
      </c>
      <c r="E397" s="60">
        <f t="shared" si="6"/>
        <v>0.47000000000000003</v>
      </c>
      <c r="F397" t="str" cm="1">
        <f t="array" ref="F397">IF(A397=MAX(IF(ROUND($B$2:$B$3722,4)=ROUND(B397,4),$A$2:$A$3722)),"Efficient","Inefficient")</f>
        <v>Inefficient</v>
      </c>
    </row>
    <row r="398" spans="1:6" x14ac:dyDescent="0.25">
      <c r="A398" cm="1">
        <f t="array" ref="A398">INDEX('Portfolio Weights Returns'!$B$9:$BJ$69,
INT((ROW(A397)-1)/COLUMNS('Portfolio Weights Returns'!$B$9:$BJ$69))+1,MOD(ROW(A397)-1,COLUMNS('Portfolio Weights Returns'!$B$9:$BJ$69))+1)</f>
        <v>-9.5209483854828702E-4</v>
      </c>
      <c r="B398">
        <v>1.67E-2</v>
      </c>
      <c r="C398" s="59">
        <v>0.3</v>
      </c>
      <c r="D398" s="59">
        <v>-0.1</v>
      </c>
      <c r="E398" s="60">
        <f t="shared" si="6"/>
        <v>0.8</v>
      </c>
      <c r="F398" t="str" cm="1">
        <f t="array" ref="F398">IF(A398=MAX(IF(ROUND($B$2:$B$3722,4)=ROUND(B398,4),$A$2:$A$3722)),"Efficient","Inefficient")</f>
        <v>Inefficient</v>
      </c>
    </row>
    <row r="399" spans="1:6" x14ac:dyDescent="0.25">
      <c r="A399" cm="1">
        <f t="array" ref="A399">INDEX('Portfolio Weights Returns'!$B$9:$BJ$69,
INT((ROW(A398)-1)/COLUMNS('Portfolio Weights Returns'!$B$9:$BJ$69))+1,MOD(ROW(A398)-1,COLUMNS('Portfolio Weights Returns'!$B$9:$BJ$69))+1)</f>
        <v>-9.4531366458160788E-4</v>
      </c>
      <c r="B399">
        <v>1.67E-2</v>
      </c>
      <c r="C399" s="59">
        <v>0.28000000000000003</v>
      </c>
      <c r="D399" s="59">
        <v>-0.09</v>
      </c>
      <c r="E399" s="60">
        <f t="shared" si="6"/>
        <v>0.81</v>
      </c>
      <c r="F399" t="str" cm="1">
        <f t="array" ref="F399">IF(A399=MAX(IF(ROUND($B$2:$B$3722,4)=ROUND(B399,4),$A$2:$A$3722)),"Efficient","Inefficient")</f>
        <v>Inefficient</v>
      </c>
    </row>
    <row r="400" spans="1:6" x14ac:dyDescent="0.25">
      <c r="A400" cm="1">
        <f t="array" ref="A400">INDEX('Portfolio Weights Returns'!$B$9:$BJ$69,
INT((ROW(A399)-1)/COLUMNS('Portfolio Weights Returns'!$B$9:$BJ$69))+1,MOD(ROW(A399)-1,COLUMNS('Portfolio Weights Returns'!$B$9:$BJ$69))+1)</f>
        <v>-9.3853249061492884E-4</v>
      </c>
      <c r="B400">
        <v>1.67E-2</v>
      </c>
      <c r="C400" s="59">
        <v>0.27</v>
      </c>
      <c r="D400" s="59">
        <v>-0.08</v>
      </c>
      <c r="E400" s="60">
        <f t="shared" si="6"/>
        <v>0.81</v>
      </c>
      <c r="F400" t="str" cm="1">
        <f t="array" ref="F400">IF(A400=MAX(IF(ROUND($B$2:$B$3722,4)=ROUND(B400,4),$A$2:$A$3722)),"Efficient","Inefficient")</f>
        <v>Inefficient</v>
      </c>
    </row>
    <row r="401" spans="1:6" x14ac:dyDescent="0.25">
      <c r="A401" cm="1">
        <f t="array" ref="A401">INDEX('Portfolio Weights Returns'!$B$9:$BJ$69,
INT((ROW(A400)-1)/COLUMNS('Portfolio Weights Returns'!$B$9:$BJ$69))+1,MOD(ROW(A400)-1,COLUMNS('Portfolio Weights Returns'!$B$9:$BJ$69))+1)</f>
        <v>-9.3175131664824959E-4</v>
      </c>
      <c r="B401">
        <v>1.67E-2</v>
      </c>
      <c r="C401" s="59">
        <v>0.26</v>
      </c>
      <c r="D401" s="59">
        <v>-7.0000000000000007E-2</v>
      </c>
      <c r="E401" s="60">
        <f t="shared" si="6"/>
        <v>0.81</v>
      </c>
      <c r="F401" t="str" cm="1">
        <f t="array" ref="F401">IF(A401=MAX(IF(ROUND($B$2:$B$3722,4)=ROUND(B401,4),$A$2:$A$3722)),"Efficient","Inefficient")</f>
        <v>Inefficient</v>
      </c>
    </row>
    <row r="402" spans="1:6" x14ac:dyDescent="0.25">
      <c r="A402" cm="1">
        <f t="array" ref="A402">INDEX('Portfolio Weights Returns'!$B$9:$BJ$69,
INT((ROW(A401)-1)/COLUMNS('Portfolio Weights Returns'!$B$9:$BJ$69))+1,MOD(ROW(A401)-1,COLUMNS('Portfolio Weights Returns'!$B$9:$BJ$69))+1)</f>
        <v>-9.2497014268157055E-4</v>
      </c>
      <c r="B402">
        <v>1.67E-2</v>
      </c>
      <c r="C402" s="59">
        <v>0.23</v>
      </c>
      <c r="D402" s="59">
        <v>-0.05</v>
      </c>
      <c r="E402" s="60">
        <f t="shared" si="6"/>
        <v>0.82000000000000006</v>
      </c>
      <c r="F402" t="str" cm="1">
        <f t="array" ref="F402">IF(A402=MAX(IF(ROUND($B$2:$B$3722,4)=ROUND(B402,4),$A$2:$A$3722)),"Efficient","Inefficient")</f>
        <v>Inefficient</v>
      </c>
    </row>
    <row r="403" spans="1:6" x14ac:dyDescent="0.25">
      <c r="A403" cm="1">
        <f t="array" ref="A403">INDEX('Portfolio Weights Returns'!$B$9:$BJ$69,
INT((ROW(A402)-1)/COLUMNS('Portfolio Weights Returns'!$B$9:$BJ$69))+1,MOD(ROW(A402)-1,COLUMNS('Portfolio Weights Returns'!$B$9:$BJ$69))+1)</f>
        <v>-9.1818896871489141E-4</v>
      </c>
      <c r="B403">
        <v>1.67E-2</v>
      </c>
      <c r="C403" s="59">
        <v>0.22</v>
      </c>
      <c r="D403" s="59">
        <v>-0.04</v>
      </c>
      <c r="E403" s="60">
        <f t="shared" si="6"/>
        <v>0.82000000000000006</v>
      </c>
      <c r="F403" t="str" cm="1">
        <f t="array" ref="F403">IF(A403=MAX(IF(ROUND($B$2:$B$3722,4)=ROUND(B403,4),$A$2:$A$3722)),"Efficient","Inefficient")</f>
        <v>Inefficient</v>
      </c>
    </row>
    <row r="404" spans="1:6" x14ac:dyDescent="0.25">
      <c r="A404" cm="1">
        <f t="array" ref="A404">INDEX('Portfolio Weights Returns'!$B$9:$BJ$69,
INT((ROW(A403)-1)/COLUMNS('Portfolio Weights Returns'!$B$9:$BJ$69))+1,MOD(ROW(A403)-1,COLUMNS('Portfolio Weights Returns'!$B$9:$BJ$69))+1)</f>
        <v>-9.1140779474821237E-4</v>
      </c>
      <c r="B404">
        <v>1.67E-2</v>
      </c>
      <c r="C404" s="59">
        <v>0.21</v>
      </c>
      <c r="D404" s="59">
        <v>-0.03</v>
      </c>
      <c r="E404" s="60">
        <f t="shared" si="6"/>
        <v>0.82000000000000006</v>
      </c>
      <c r="F404" t="str" cm="1">
        <f t="array" ref="F404">IF(A404=MAX(IF(ROUND($B$2:$B$3722,4)=ROUND(B404,4),$A$2:$A$3722)),"Efficient","Inefficient")</f>
        <v>Inefficient</v>
      </c>
    </row>
    <row r="405" spans="1:6" x14ac:dyDescent="0.25">
      <c r="A405" cm="1">
        <f t="array" ref="A405">INDEX('Portfolio Weights Returns'!$B$9:$BJ$69,
INT((ROW(A404)-1)/COLUMNS('Portfolio Weights Returns'!$B$9:$BJ$69))+1,MOD(ROW(A404)-1,COLUMNS('Portfolio Weights Returns'!$B$9:$BJ$69))+1)</f>
        <v>-9.0462662078153323E-4</v>
      </c>
      <c r="B405">
        <v>1.67E-2</v>
      </c>
      <c r="C405" s="59">
        <v>0.2</v>
      </c>
      <c r="D405" s="59">
        <v>-0.02</v>
      </c>
      <c r="E405" s="60">
        <f t="shared" si="6"/>
        <v>0.82000000000000006</v>
      </c>
      <c r="F405" t="str" cm="1">
        <f t="array" ref="F405">IF(A405=MAX(IF(ROUND($B$2:$B$3722,4)=ROUND(B405,4),$A$2:$A$3722)),"Efficient","Inefficient")</f>
        <v>Inefficient</v>
      </c>
    </row>
    <row r="406" spans="1:6" x14ac:dyDescent="0.25">
      <c r="A406" cm="1">
        <f t="array" ref="A406">INDEX('Portfolio Weights Returns'!$B$9:$BJ$69,
INT((ROW(A405)-1)/COLUMNS('Portfolio Weights Returns'!$B$9:$BJ$69))+1,MOD(ROW(A405)-1,COLUMNS('Portfolio Weights Returns'!$B$9:$BJ$69))+1)</f>
        <v>-8.978454468148543E-4</v>
      </c>
      <c r="B406">
        <v>1.67E-2</v>
      </c>
      <c r="C406" s="59">
        <v>0.19</v>
      </c>
      <c r="D406" s="59">
        <v>0</v>
      </c>
      <c r="E406" s="60">
        <f t="shared" si="6"/>
        <v>0.81</v>
      </c>
      <c r="F406" t="str" cm="1">
        <f t="array" ref="F406">IF(A406=MAX(IF(ROUND($B$2:$B$3722,4)=ROUND(B406,4),$A$2:$A$3722)),"Efficient","Inefficient")</f>
        <v>Inefficient</v>
      </c>
    </row>
    <row r="407" spans="1:6" x14ac:dyDescent="0.25">
      <c r="A407" cm="1">
        <f t="array" ref="A407">INDEX('Portfolio Weights Returns'!$B$9:$BJ$69,
INT((ROW(A406)-1)/COLUMNS('Portfolio Weights Returns'!$B$9:$BJ$69))+1,MOD(ROW(A406)-1,COLUMNS('Portfolio Weights Returns'!$B$9:$BJ$69))+1)</f>
        <v>-8.9106427284817505E-4</v>
      </c>
      <c r="B407">
        <v>1.67E-2</v>
      </c>
      <c r="C407" s="59">
        <v>0.18</v>
      </c>
      <c r="D407" s="59">
        <v>0.01</v>
      </c>
      <c r="E407" s="60">
        <f t="shared" si="6"/>
        <v>0.81</v>
      </c>
      <c r="F407" t="str" cm="1">
        <f t="array" ref="F407">IF(A407=MAX(IF(ROUND($B$2:$B$3722,4)=ROUND(B407,4),$A$2:$A$3722)),"Efficient","Inefficient")</f>
        <v>Inefficient</v>
      </c>
    </row>
    <row r="408" spans="1:6" x14ac:dyDescent="0.25">
      <c r="A408" cm="1">
        <f t="array" ref="A408">INDEX('Portfolio Weights Returns'!$B$9:$BJ$69,
INT((ROW(A407)-1)/COLUMNS('Portfolio Weights Returns'!$B$9:$BJ$69))+1,MOD(ROW(A407)-1,COLUMNS('Portfolio Weights Returns'!$B$9:$BJ$69))+1)</f>
        <v>-8.8428309888149601E-4</v>
      </c>
      <c r="B408">
        <v>1.67E-2</v>
      </c>
      <c r="C408" s="59">
        <v>0.17</v>
      </c>
      <c r="D408" s="59">
        <v>0.02</v>
      </c>
      <c r="E408" s="60">
        <f t="shared" si="6"/>
        <v>0.80999999999999994</v>
      </c>
      <c r="F408" t="str" cm="1">
        <f t="array" ref="F408">IF(A408=MAX(IF(ROUND($B$2:$B$3722,4)=ROUND(B408,4),$A$2:$A$3722)),"Efficient","Inefficient")</f>
        <v>Inefficient</v>
      </c>
    </row>
    <row r="409" spans="1:6" x14ac:dyDescent="0.25">
      <c r="A409" cm="1">
        <f t="array" ref="A409">INDEX('Portfolio Weights Returns'!$B$9:$BJ$69,
INT((ROW(A408)-1)/COLUMNS('Portfolio Weights Returns'!$B$9:$BJ$69))+1,MOD(ROW(A408)-1,COLUMNS('Portfolio Weights Returns'!$B$9:$BJ$69))+1)</f>
        <v>-8.7750192491481676E-4</v>
      </c>
      <c r="B409">
        <v>1.67E-2</v>
      </c>
      <c r="C409" s="59">
        <v>0.17</v>
      </c>
      <c r="D409" s="59">
        <v>0.03</v>
      </c>
      <c r="E409" s="60">
        <f t="shared" si="6"/>
        <v>0.79999999999999993</v>
      </c>
      <c r="F409" t="str" cm="1">
        <f t="array" ref="F409">IF(A409=MAX(IF(ROUND($B$2:$B$3722,4)=ROUND(B409,4),$A$2:$A$3722)),"Efficient","Inefficient")</f>
        <v>Inefficient</v>
      </c>
    </row>
    <row r="410" spans="1:6" x14ac:dyDescent="0.25">
      <c r="A410" cm="1">
        <f t="array" ref="A410">INDEX('Portfolio Weights Returns'!$B$9:$BJ$69,
INT((ROW(A409)-1)/COLUMNS('Portfolio Weights Returns'!$B$9:$BJ$69))+1,MOD(ROW(A409)-1,COLUMNS('Portfolio Weights Returns'!$B$9:$BJ$69))+1)</f>
        <v>-8.7072075094813783E-4</v>
      </c>
      <c r="B410">
        <v>1.67E-2</v>
      </c>
      <c r="C410" s="59">
        <v>0.16</v>
      </c>
      <c r="D410" s="59">
        <v>0.04</v>
      </c>
      <c r="E410" s="60">
        <f t="shared" si="6"/>
        <v>0.79999999999999993</v>
      </c>
      <c r="F410" t="str" cm="1">
        <f t="array" ref="F410">IF(A410=MAX(IF(ROUND($B$2:$B$3722,4)=ROUND(B410,4),$A$2:$A$3722)),"Efficient","Inefficient")</f>
        <v>Inefficient</v>
      </c>
    </row>
    <row r="411" spans="1:6" x14ac:dyDescent="0.25">
      <c r="A411" cm="1">
        <f t="array" ref="A411">INDEX('Portfolio Weights Returns'!$B$9:$BJ$69,
INT((ROW(A410)-1)/COLUMNS('Portfolio Weights Returns'!$B$9:$BJ$69))+1,MOD(ROW(A410)-1,COLUMNS('Portfolio Weights Returns'!$B$9:$BJ$69))+1)</f>
        <v>-8.6393957698145858E-4</v>
      </c>
      <c r="B411">
        <v>1.67E-2</v>
      </c>
      <c r="C411" s="59">
        <v>0.15</v>
      </c>
      <c r="D411" s="59">
        <v>0.06</v>
      </c>
      <c r="E411" s="60">
        <f t="shared" si="6"/>
        <v>0.78999999999999992</v>
      </c>
      <c r="F411" t="str" cm="1">
        <f t="array" ref="F411">IF(A411=MAX(IF(ROUND($B$2:$B$3722,4)=ROUND(B411,4),$A$2:$A$3722)),"Efficient","Inefficient")</f>
        <v>Inefficient</v>
      </c>
    </row>
    <row r="412" spans="1:6" x14ac:dyDescent="0.25">
      <c r="A412" cm="1">
        <f t="array" ref="A412">INDEX('Portfolio Weights Returns'!$B$9:$BJ$69,
INT((ROW(A411)-1)/COLUMNS('Portfolio Weights Returns'!$B$9:$BJ$69))+1,MOD(ROW(A411)-1,COLUMNS('Portfolio Weights Returns'!$B$9:$BJ$69))+1)</f>
        <v>-8.5715840301477954E-4</v>
      </c>
      <c r="B412">
        <v>1.67E-2</v>
      </c>
      <c r="C412" s="59">
        <v>0.15</v>
      </c>
      <c r="D412" s="59">
        <v>7.0000000000000007E-2</v>
      </c>
      <c r="E412" s="60">
        <f t="shared" si="6"/>
        <v>0.77999999999999992</v>
      </c>
      <c r="F412" t="str" cm="1">
        <f t="array" ref="F412">IF(A412=MAX(IF(ROUND($B$2:$B$3722,4)=ROUND(B412,4),$A$2:$A$3722)),"Efficient","Inefficient")</f>
        <v>Inefficient</v>
      </c>
    </row>
    <row r="413" spans="1:6" x14ac:dyDescent="0.25">
      <c r="A413" cm="1">
        <f t="array" ref="A413">INDEX('Portfolio Weights Returns'!$B$9:$BJ$69,
INT((ROW(A412)-1)/COLUMNS('Portfolio Weights Returns'!$B$9:$BJ$69))+1,MOD(ROW(A412)-1,COLUMNS('Portfolio Weights Returns'!$B$9:$BJ$69))+1)</f>
        <v>-8.503772290481004E-4</v>
      </c>
      <c r="B413">
        <v>1.67E-2</v>
      </c>
      <c r="C413" s="59">
        <v>0.14000000000000001</v>
      </c>
      <c r="D413" s="59">
        <v>0.08</v>
      </c>
      <c r="E413" s="60">
        <f t="shared" si="6"/>
        <v>0.78</v>
      </c>
      <c r="F413" t="str" cm="1">
        <f t="array" ref="F413">IF(A413=MAX(IF(ROUND($B$2:$B$3722,4)=ROUND(B413,4),$A$2:$A$3722)),"Efficient","Inefficient")</f>
        <v>Inefficient</v>
      </c>
    </row>
    <row r="414" spans="1:6" x14ac:dyDescent="0.25">
      <c r="A414" cm="1">
        <f t="array" ref="A414">INDEX('Portfolio Weights Returns'!$B$9:$BJ$69,
INT((ROW(A413)-1)/COLUMNS('Portfolio Weights Returns'!$B$9:$BJ$69))+1,MOD(ROW(A413)-1,COLUMNS('Portfolio Weights Returns'!$B$9:$BJ$69))+1)</f>
        <v>-8.4359605508142136E-4</v>
      </c>
      <c r="B414">
        <v>1.67E-2</v>
      </c>
      <c r="C414" s="59">
        <v>0.14000000000000001</v>
      </c>
      <c r="D414" s="59">
        <v>0.09</v>
      </c>
      <c r="E414" s="60">
        <f t="shared" si="6"/>
        <v>0.77</v>
      </c>
      <c r="F414" t="str" cm="1">
        <f t="array" ref="F414">IF(A414=MAX(IF(ROUND($B$2:$B$3722,4)=ROUND(B414,4),$A$2:$A$3722)),"Efficient","Inefficient")</f>
        <v>Inefficient</v>
      </c>
    </row>
    <row r="415" spans="1:6" x14ac:dyDescent="0.25">
      <c r="A415" cm="1">
        <f t="array" ref="A415">INDEX('Portfolio Weights Returns'!$B$9:$BJ$69,
INT((ROW(A414)-1)/COLUMNS('Portfolio Weights Returns'!$B$9:$BJ$69))+1,MOD(ROW(A414)-1,COLUMNS('Portfolio Weights Returns'!$B$9:$BJ$69))+1)</f>
        <v>-8.3681488111474211E-4</v>
      </c>
      <c r="B415">
        <v>1.67E-2</v>
      </c>
      <c r="C415" s="59">
        <v>0.14000000000000001</v>
      </c>
      <c r="D415" s="59">
        <v>0.1</v>
      </c>
      <c r="E415" s="60">
        <f t="shared" si="6"/>
        <v>0.76</v>
      </c>
      <c r="F415" t="str" cm="1">
        <f t="array" ref="F415">IF(A415=MAX(IF(ROUND($B$2:$B$3722,4)=ROUND(B415,4),$A$2:$A$3722)),"Efficient","Inefficient")</f>
        <v>Inefficient</v>
      </c>
    </row>
    <row r="416" spans="1:6" x14ac:dyDescent="0.25">
      <c r="A416" cm="1">
        <f t="array" ref="A416">INDEX('Portfolio Weights Returns'!$B$9:$BJ$69,
INT((ROW(A415)-1)/COLUMNS('Portfolio Weights Returns'!$B$9:$BJ$69))+1,MOD(ROW(A415)-1,COLUMNS('Portfolio Weights Returns'!$B$9:$BJ$69))+1)</f>
        <v>-8.3003370714806318E-4</v>
      </c>
      <c r="B416">
        <v>1.67E-2</v>
      </c>
      <c r="C416" s="59">
        <v>0.14000000000000001</v>
      </c>
      <c r="D416" s="59">
        <v>0.11</v>
      </c>
      <c r="E416" s="60">
        <f t="shared" si="6"/>
        <v>0.75</v>
      </c>
      <c r="F416" t="str" cm="1">
        <f t="array" ref="F416">IF(A416=MAX(IF(ROUND($B$2:$B$3722,4)=ROUND(B416,4),$A$2:$A$3722)),"Efficient","Inefficient")</f>
        <v>Inefficient</v>
      </c>
    </row>
    <row r="417" spans="1:6" x14ac:dyDescent="0.25">
      <c r="A417" cm="1">
        <f t="array" ref="A417">INDEX('Portfolio Weights Returns'!$B$9:$BJ$69,
INT((ROW(A416)-1)/COLUMNS('Portfolio Weights Returns'!$B$9:$BJ$69))+1,MOD(ROW(A416)-1,COLUMNS('Portfolio Weights Returns'!$B$9:$BJ$69))+1)</f>
        <v>-8.2325253318138404E-4</v>
      </c>
      <c r="B417">
        <v>1.67E-2</v>
      </c>
      <c r="C417" s="59">
        <v>0.14000000000000001</v>
      </c>
      <c r="D417" s="59">
        <v>0.12</v>
      </c>
      <c r="E417" s="60">
        <f t="shared" si="6"/>
        <v>0.74</v>
      </c>
      <c r="F417" t="str" cm="1">
        <f t="array" ref="F417">IF(A417=MAX(IF(ROUND($B$2:$B$3722,4)=ROUND(B417,4),$A$2:$A$3722)),"Efficient","Inefficient")</f>
        <v>Inefficient</v>
      </c>
    </row>
    <row r="418" spans="1:6" x14ac:dyDescent="0.25">
      <c r="A418" cm="1">
        <f t="array" ref="A418">INDEX('Portfolio Weights Returns'!$B$9:$BJ$69,
INT((ROW(A417)-1)/COLUMNS('Portfolio Weights Returns'!$B$9:$BJ$69))+1,MOD(ROW(A417)-1,COLUMNS('Portfolio Weights Returns'!$B$9:$BJ$69))+1)</f>
        <v>-8.16471359214705E-4</v>
      </c>
      <c r="B418">
        <v>1.67E-2</v>
      </c>
      <c r="C418" s="59">
        <v>0.14000000000000001</v>
      </c>
      <c r="D418" s="59">
        <v>0.13</v>
      </c>
      <c r="E418" s="60">
        <f t="shared" si="6"/>
        <v>0.73</v>
      </c>
      <c r="F418" t="str" cm="1">
        <f t="array" ref="F418">IF(A418=MAX(IF(ROUND($B$2:$B$3722,4)=ROUND(B418,4),$A$2:$A$3722)),"Efficient","Inefficient")</f>
        <v>Inefficient</v>
      </c>
    </row>
    <row r="419" spans="1:6" x14ac:dyDescent="0.25">
      <c r="A419" cm="1">
        <f t="array" ref="A419">INDEX('Portfolio Weights Returns'!$B$9:$BJ$69,
INT((ROW(A418)-1)/COLUMNS('Portfolio Weights Returns'!$B$9:$BJ$69))+1,MOD(ROW(A418)-1,COLUMNS('Portfolio Weights Returns'!$B$9:$BJ$69))+1)</f>
        <v>-8.0969018524802575E-4</v>
      </c>
      <c r="B419">
        <v>1.67E-2</v>
      </c>
      <c r="C419" s="59">
        <v>0.14000000000000001</v>
      </c>
      <c r="D419" s="59">
        <v>0.14000000000000001</v>
      </c>
      <c r="E419" s="60">
        <f t="shared" si="6"/>
        <v>0.72</v>
      </c>
      <c r="F419" t="str" cm="1">
        <f t="array" ref="F419">IF(A419=MAX(IF(ROUND($B$2:$B$3722,4)=ROUND(B419,4),$A$2:$A$3722)),"Efficient","Inefficient")</f>
        <v>Inefficient</v>
      </c>
    </row>
    <row r="420" spans="1:6" x14ac:dyDescent="0.25">
      <c r="A420" cm="1">
        <f t="array" ref="A420">INDEX('Portfolio Weights Returns'!$B$9:$BJ$69,
INT((ROW(A419)-1)/COLUMNS('Portfolio Weights Returns'!$B$9:$BJ$69))+1,MOD(ROW(A419)-1,COLUMNS('Portfolio Weights Returns'!$B$9:$BJ$69))+1)</f>
        <v>-8.0290901128134671E-4</v>
      </c>
      <c r="B420">
        <v>1.67E-2</v>
      </c>
      <c r="C420" s="59">
        <v>0.14000000000000001</v>
      </c>
      <c r="D420" s="59">
        <v>0.15</v>
      </c>
      <c r="E420" s="60">
        <f t="shared" si="6"/>
        <v>0.71</v>
      </c>
      <c r="F420" t="str" cm="1">
        <f t="array" ref="F420">IF(A420=MAX(IF(ROUND($B$2:$B$3722,4)=ROUND(B420,4),$A$2:$A$3722)),"Efficient","Inefficient")</f>
        <v>Inefficient</v>
      </c>
    </row>
    <row r="421" spans="1:6" x14ac:dyDescent="0.25">
      <c r="A421" cm="1">
        <f t="array" ref="A421">INDEX('Portfolio Weights Returns'!$B$9:$BJ$69,
INT((ROW(A420)-1)/COLUMNS('Portfolio Weights Returns'!$B$9:$BJ$69))+1,MOD(ROW(A420)-1,COLUMNS('Portfolio Weights Returns'!$B$9:$BJ$69))+1)</f>
        <v>-7.9612783731466757E-4</v>
      </c>
      <c r="B421">
        <v>1.67E-2</v>
      </c>
      <c r="C421" s="59">
        <v>0.15</v>
      </c>
      <c r="D421" s="59">
        <v>0.16</v>
      </c>
      <c r="E421" s="60">
        <f t="shared" si="6"/>
        <v>0.69</v>
      </c>
      <c r="F421" t="str" cm="1">
        <f t="array" ref="F421">IF(A421=MAX(IF(ROUND($B$2:$B$3722,4)=ROUND(B421,4),$A$2:$A$3722)),"Efficient","Inefficient")</f>
        <v>Inefficient</v>
      </c>
    </row>
    <row r="422" spans="1:6" x14ac:dyDescent="0.25">
      <c r="A422" cm="1">
        <f t="array" ref="A422">INDEX('Portfolio Weights Returns'!$B$9:$BJ$69,
INT((ROW(A421)-1)/COLUMNS('Portfolio Weights Returns'!$B$9:$BJ$69))+1,MOD(ROW(A421)-1,COLUMNS('Portfolio Weights Returns'!$B$9:$BJ$69))+1)</f>
        <v>-7.8934666334798853E-4</v>
      </c>
      <c r="B422">
        <v>1.67E-2</v>
      </c>
      <c r="C422" s="59">
        <v>0.15</v>
      </c>
      <c r="D422" s="59">
        <v>0.17</v>
      </c>
      <c r="E422" s="60">
        <f t="shared" si="6"/>
        <v>0.67999999999999994</v>
      </c>
      <c r="F422" t="str" cm="1">
        <f t="array" ref="F422">IF(A422=MAX(IF(ROUND($B$2:$B$3722,4)=ROUND(B422,4),$A$2:$A$3722)),"Efficient","Inefficient")</f>
        <v>Inefficient</v>
      </c>
    </row>
    <row r="423" spans="1:6" x14ac:dyDescent="0.25">
      <c r="A423" cm="1">
        <f t="array" ref="A423">INDEX('Portfolio Weights Returns'!$B$9:$BJ$69,
INT((ROW(A422)-1)/COLUMNS('Portfolio Weights Returns'!$B$9:$BJ$69))+1,MOD(ROW(A422)-1,COLUMNS('Portfolio Weights Returns'!$B$9:$BJ$69))+1)</f>
        <v>-7.8256548938130939E-4</v>
      </c>
      <c r="B423">
        <v>1.67E-2</v>
      </c>
      <c r="C423" s="59">
        <v>0.16</v>
      </c>
      <c r="D423" s="59">
        <v>0.18</v>
      </c>
      <c r="E423" s="60">
        <f t="shared" si="6"/>
        <v>0.66</v>
      </c>
      <c r="F423" t="str" cm="1">
        <f t="array" ref="F423">IF(A423=MAX(IF(ROUND($B$2:$B$3722,4)=ROUND(B423,4),$A$2:$A$3722)),"Efficient","Inefficient")</f>
        <v>Inefficient</v>
      </c>
    </row>
    <row r="424" spans="1:6" x14ac:dyDescent="0.25">
      <c r="A424" cm="1">
        <f t="array" ref="A424">INDEX('Portfolio Weights Returns'!$B$9:$BJ$69,
INT((ROW(A423)-1)/COLUMNS('Portfolio Weights Returns'!$B$9:$BJ$69))+1,MOD(ROW(A423)-1,COLUMNS('Portfolio Weights Returns'!$B$9:$BJ$69))+1)</f>
        <v>-7.7578431541463035E-4</v>
      </c>
      <c r="B424">
        <v>1.67E-2</v>
      </c>
      <c r="C424" s="59">
        <v>0.17</v>
      </c>
      <c r="D424" s="59">
        <v>0.19</v>
      </c>
      <c r="E424" s="60">
        <f t="shared" si="6"/>
        <v>0.64</v>
      </c>
      <c r="F424" t="str" cm="1">
        <f t="array" ref="F424">IF(A424=MAX(IF(ROUND($B$2:$B$3722,4)=ROUND(B424,4),$A$2:$A$3722)),"Efficient","Inefficient")</f>
        <v>Inefficient</v>
      </c>
    </row>
    <row r="425" spans="1:6" x14ac:dyDescent="0.25">
      <c r="A425" cm="1">
        <f t="array" ref="A425">INDEX('Portfolio Weights Returns'!$B$9:$BJ$69,
INT((ROW(A424)-1)/COLUMNS('Portfolio Weights Returns'!$B$9:$BJ$69))+1,MOD(ROW(A424)-1,COLUMNS('Portfolio Weights Returns'!$B$9:$BJ$69))+1)</f>
        <v>-7.6900314144795045E-4</v>
      </c>
      <c r="B425">
        <v>1.67E-2</v>
      </c>
      <c r="C425" s="59">
        <v>0.18</v>
      </c>
      <c r="D425" s="59">
        <v>0.2</v>
      </c>
      <c r="E425" s="60">
        <f t="shared" si="6"/>
        <v>0.62000000000000011</v>
      </c>
      <c r="F425" t="str" cm="1">
        <f t="array" ref="F425">IF(A425=MAX(IF(ROUND($B$2:$B$3722,4)=ROUND(B425,4),$A$2:$A$3722)),"Efficient","Inefficient")</f>
        <v>Inefficient</v>
      </c>
    </row>
    <row r="426" spans="1:6" x14ac:dyDescent="0.25">
      <c r="A426" cm="1">
        <f t="array" ref="A426">INDEX('Portfolio Weights Returns'!$B$9:$BJ$69,
INT((ROW(A425)-1)/COLUMNS('Portfolio Weights Returns'!$B$9:$BJ$69))+1,MOD(ROW(A425)-1,COLUMNS('Portfolio Weights Returns'!$B$9:$BJ$69))+1)</f>
        <v>-7.6222196748127141E-4</v>
      </c>
      <c r="B426">
        <v>1.67E-2</v>
      </c>
      <c r="C426" s="59">
        <v>0.19</v>
      </c>
      <c r="D426" s="59">
        <v>0.21</v>
      </c>
      <c r="E426" s="60">
        <f t="shared" si="6"/>
        <v>0.60000000000000009</v>
      </c>
      <c r="F426" t="str" cm="1">
        <f t="array" ref="F426">IF(A426=MAX(IF(ROUND($B$2:$B$3722,4)=ROUND(B426,4),$A$2:$A$3722)),"Efficient","Inefficient")</f>
        <v>Inefficient</v>
      </c>
    </row>
    <row r="427" spans="1:6" x14ac:dyDescent="0.25">
      <c r="A427" cm="1">
        <f t="array" ref="A427">INDEX('Portfolio Weights Returns'!$B$9:$BJ$69,
INT((ROW(A426)-1)/COLUMNS('Portfolio Weights Returns'!$B$9:$BJ$69))+1,MOD(ROW(A426)-1,COLUMNS('Portfolio Weights Returns'!$B$9:$BJ$69))+1)</f>
        <v>-7.5544079351459238E-4</v>
      </c>
      <c r="B427">
        <v>1.67E-2</v>
      </c>
      <c r="C427" s="59">
        <v>0.2</v>
      </c>
      <c r="D427" s="59">
        <v>0.22</v>
      </c>
      <c r="E427" s="60">
        <f t="shared" si="6"/>
        <v>0.58000000000000007</v>
      </c>
      <c r="F427" t="str" cm="1">
        <f t="array" ref="F427">IF(A427=MAX(IF(ROUND($B$2:$B$3722,4)=ROUND(B427,4),$A$2:$A$3722)),"Efficient","Inefficient")</f>
        <v>Inefficient</v>
      </c>
    </row>
    <row r="428" spans="1:6" x14ac:dyDescent="0.25">
      <c r="A428" cm="1">
        <f t="array" ref="A428">INDEX('Portfolio Weights Returns'!$B$9:$BJ$69,
INT((ROW(A427)-1)/COLUMNS('Portfolio Weights Returns'!$B$9:$BJ$69))+1,MOD(ROW(A427)-1,COLUMNS('Portfolio Weights Returns'!$B$9:$BJ$69))+1)</f>
        <v>-7.4865961954791323E-4</v>
      </c>
      <c r="B428">
        <v>1.67E-2</v>
      </c>
      <c r="C428" s="59">
        <v>0.21</v>
      </c>
      <c r="D428" s="59">
        <v>0.22</v>
      </c>
      <c r="E428" s="60">
        <f t="shared" si="6"/>
        <v>0.57000000000000006</v>
      </c>
      <c r="F428" t="str" cm="1">
        <f t="array" ref="F428">IF(A428=MAX(IF(ROUND($B$2:$B$3722,4)=ROUND(B428,4),$A$2:$A$3722)),"Efficient","Inefficient")</f>
        <v>Efficient</v>
      </c>
    </row>
    <row r="429" spans="1:6" x14ac:dyDescent="0.25">
      <c r="A429" cm="1">
        <f t="array" ref="A429">INDEX('Portfolio Weights Returns'!$B$9:$BJ$69,
INT((ROW(A428)-1)/COLUMNS('Portfolio Weights Returns'!$B$9:$BJ$69))+1,MOD(ROW(A428)-1,COLUMNS('Portfolio Weights Returns'!$B$9:$BJ$69))+1)</f>
        <v>-1.1489558497032048E-3</v>
      </c>
      <c r="B429">
        <v>1.67E-2</v>
      </c>
      <c r="C429" s="59">
        <v>0.22</v>
      </c>
      <c r="D429" s="59">
        <v>0.23</v>
      </c>
      <c r="E429" s="60">
        <f t="shared" si="6"/>
        <v>0.55000000000000004</v>
      </c>
      <c r="F429" t="str" cm="1">
        <f t="array" ref="F429">IF(A429=MAX(IF(ROUND($B$2:$B$3722,4)=ROUND(B429,4),$A$2:$A$3722)),"Efficient","Inefficient")</f>
        <v>Inefficient</v>
      </c>
    </row>
    <row r="430" spans="1:6" x14ac:dyDescent="0.25">
      <c r="A430" cm="1">
        <f t="array" ref="A430">INDEX('Portfolio Weights Returns'!$B$9:$BJ$69,
INT((ROW(A429)-1)/COLUMNS('Portfolio Weights Returns'!$B$9:$BJ$69))+1,MOD(ROW(A429)-1,COLUMNS('Portfolio Weights Returns'!$B$9:$BJ$69))+1)</f>
        <v>-1.1421746757365259E-3</v>
      </c>
      <c r="B430">
        <v>1.67E-2</v>
      </c>
      <c r="C430" s="59">
        <v>0.23</v>
      </c>
      <c r="D430" s="59">
        <v>0.23</v>
      </c>
      <c r="E430" s="60">
        <f t="shared" si="6"/>
        <v>0.54</v>
      </c>
      <c r="F430" t="str" cm="1">
        <f t="array" ref="F430">IF(A430=MAX(IF(ROUND($B$2:$B$3722,4)=ROUND(B430,4),$A$2:$A$3722)),"Efficient","Inefficient")</f>
        <v>Inefficient</v>
      </c>
    </row>
    <row r="431" spans="1:6" x14ac:dyDescent="0.25">
      <c r="A431" cm="1">
        <f t="array" ref="A431">INDEX('Portfolio Weights Returns'!$B$9:$BJ$69,
INT((ROW(A430)-1)/COLUMNS('Portfolio Weights Returns'!$B$9:$BJ$69))+1,MOD(ROW(A430)-1,COLUMNS('Portfolio Weights Returns'!$B$9:$BJ$69))+1)</f>
        <v>-1.1353935017698468E-3</v>
      </c>
      <c r="B431">
        <v>1.67E-2</v>
      </c>
      <c r="C431" s="59">
        <v>0.25</v>
      </c>
      <c r="D431" s="59">
        <v>0.24</v>
      </c>
      <c r="E431" s="60">
        <f t="shared" si="6"/>
        <v>0.51</v>
      </c>
      <c r="F431" t="str" cm="1">
        <f t="array" ref="F431">IF(A431=MAX(IF(ROUND($B$2:$B$3722,4)=ROUND(B431,4),$A$2:$A$3722)),"Efficient","Inefficient")</f>
        <v>Inefficient</v>
      </c>
    </row>
    <row r="432" spans="1:6" x14ac:dyDescent="0.25">
      <c r="A432" cm="1">
        <f t="array" ref="A432">INDEX('Portfolio Weights Returns'!$B$9:$BJ$69,
INT((ROW(A431)-1)/COLUMNS('Portfolio Weights Returns'!$B$9:$BJ$69))+1,MOD(ROW(A431)-1,COLUMNS('Portfolio Weights Returns'!$B$9:$BJ$69))+1)</f>
        <v>-1.1286123278031676E-3</v>
      </c>
      <c r="B432">
        <v>1.67E-2</v>
      </c>
      <c r="C432" s="59">
        <v>0.26</v>
      </c>
      <c r="D432" s="59">
        <v>0.24</v>
      </c>
      <c r="E432" s="60">
        <f t="shared" si="6"/>
        <v>0.5</v>
      </c>
      <c r="F432" t="str" cm="1">
        <f t="array" ref="F432">IF(A432=MAX(IF(ROUND($B$2:$B$3722,4)=ROUND(B432,4),$A$2:$A$3722)),"Efficient","Inefficient")</f>
        <v>Inefficient</v>
      </c>
    </row>
    <row r="433" spans="1:6" x14ac:dyDescent="0.25">
      <c r="A433" cm="1">
        <f t="array" ref="A433">INDEX('Portfolio Weights Returns'!$B$9:$BJ$69,
INT((ROW(A432)-1)/COLUMNS('Portfolio Weights Returns'!$B$9:$BJ$69))+1,MOD(ROW(A432)-1,COLUMNS('Portfolio Weights Returns'!$B$9:$BJ$69))+1)</f>
        <v>-1.1218311538364885E-3</v>
      </c>
      <c r="B433">
        <v>1.67E-2</v>
      </c>
      <c r="C433" s="59">
        <v>0.28000000000000003</v>
      </c>
      <c r="D433" s="59">
        <v>0.25</v>
      </c>
      <c r="E433" s="60">
        <f t="shared" si="6"/>
        <v>0.47</v>
      </c>
      <c r="F433" t="str" cm="1">
        <f t="array" ref="F433">IF(A433=MAX(IF(ROUND($B$2:$B$3722,4)=ROUND(B433,4),$A$2:$A$3722)),"Efficient","Inefficient")</f>
        <v>Inefficient</v>
      </c>
    </row>
    <row r="434" spans="1:6" x14ac:dyDescent="0.25">
      <c r="A434" cm="1">
        <f t="array" ref="A434">INDEX('Portfolio Weights Returns'!$B$9:$BJ$69,
INT((ROW(A433)-1)/COLUMNS('Portfolio Weights Returns'!$B$9:$BJ$69))+1,MOD(ROW(A433)-1,COLUMNS('Portfolio Weights Returns'!$B$9:$BJ$69))+1)</f>
        <v>-1.1150499798698095E-3</v>
      </c>
      <c r="B434">
        <v>1.67E-2</v>
      </c>
      <c r="C434" s="59">
        <v>0.28999999999999998</v>
      </c>
      <c r="D434" s="59">
        <v>0.25</v>
      </c>
      <c r="E434" s="60">
        <f t="shared" si="6"/>
        <v>0.46</v>
      </c>
      <c r="F434" t="str" cm="1">
        <f t="array" ref="F434">IF(A434=MAX(IF(ROUND($B$2:$B$3722,4)=ROUND(B434,4),$A$2:$A$3722)),"Efficient","Inefficient")</f>
        <v>Inefficient</v>
      </c>
    </row>
    <row r="435" spans="1:6" x14ac:dyDescent="0.25">
      <c r="A435" cm="1">
        <f t="array" ref="A435">INDEX('Portfolio Weights Returns'!$B$9:$BJ$69,
INT((ROW(A434)-1)/COLUMNS('Portfolio Weights Returns'!$B$9:$BJ$69))+1,MOD(ROW(A434)-1,COLUMNS('Portfolio Weights Returns'!$B$9:$BJ$69))+1)</f>
        <v>-1.1082688059031304E-3</v>
      </c>
      <c r="B435">
        <v>1.67E-2</v>
      </c>
      <c r="C435" s="59">
        <v>0.3</v>
      </c>
      <c r="D435" s="59">
        <v>0.25</v>
      </c>
      <c r="E435" s="60">
        <f t="shared" si="6"/>
        <v>0.45</v>
      </c>
      <c r="F435" t="str" cm="1">
        <f t="array" ref="F435">IF(A435=MAX(IF(ROUND($B$2:$B$3722,4)=ROUND(B435,4),$A$2:$A$3722)),"Efficient","Inefficient")</f>
        <v>Inefficient</v>
      </c>
    </row>
    <row r="436" spans="1:6" x14ac:dyDescent="0.25">
      <c r="A436" cm="1">
        <f t="array" ref="A436">INDEX('Portfolio Weights Returns'!$B$9:$BJ$69,
INT((ROW(A435)-1)/COLUMNS('Portfolio Weights Returns'!$B$9:$BJ$69))+1,MOD(ROW(A435)-1,COLUMNS('Portfolio Weights Returns'!$B$9:$BJ$69))+1)</f>
        <v>-1.1014876319364513E-3</v>
      </c>
      <c r="B436">
        <v>1.6799999999999999E-2</v>
      </c>
      <c r="C436" s="59">
        <v>0.3</v>
      </c>
      <c r="D436" s="59">
        <v>-0.11</v>
      </c>
      <c r="E436" s="60">
        <f t="shared" si="6"/>
        <v>0.81</v>
      </c>
      <c r="F436" t="str" cm="1">
        <f t="array" ref="F436">IF(A436=MAX(IF(ROUND($B$2:$B$3722,4)=ROUND(B436,4),$A$2:$A$3722)),"Efficient","Inefficient")</f>
        <v>Inefficient</v>
      </c>
    </row>
    <row r="437" spans="1:6" x14ac:dyDescent="0.25">
      <c r="A437" cm="1">
        <f t="array" ref="A437">INDEX('Portfolio Weights Returns'!$B$9:$BJ$69,
INT((ROW(A436)-1)/COLUMNS('Portfolio Weights Returns'!$B$9:$BJ$69))+1,MOD(ROW(A436)-1,COLUMNS('Portfolio Weights Returns'!$B$9:$BJ$69))+1)</f>
        <v>-1.0947064579697721E-3</v>
      </c>
      <c r="B437">
        <v>1.6799999999999999E-2</v>
      </c>
      <c r="C437" s="59">
        <v>0.28999999999999998</v>
      </c>
      <c r="D437" s="59">
        <v>-0.1</v>
      </c>
      <c r="E437" s="60">
        <f t="shared" si="6"/>
        <v>0.81</v>
      </c>
      <c r="F437" t="str" cm="1">
        <f t="array" ref="F437">IF(A437=MAX(IF(ROUND($B$2:$B$3722,4)=ROUND(B437,4),$A$2:$A$3722)),"Efficient","Inefficient")</f>
        <v>Inefficient</v>
      </c>
    </row>
    <row r="438" spans="1:6" x14ac:dyDescent="0.25">
      <c r="A438" cm="1">
        <f t="array" ref="A438">INDEX('Portfolio Weights Returns'!$B$9:$BJ$69,
INT((ROW(A437)-1)/COLUMNS('Portfolio Weights Returns'!$B$9:$BJ$69))+1,MOD(ROW(A437)-1,COLUMNS('Portfolio Weights Returns'!$B$9:$BJ$69))+1)</f>
        <v>-1.087925284003093E-3</v>
      </c>
      <c r="B438">
        <v>1.6799999999999999E-2</v>
      </c>
      <c r="C438" s="59">
        <v>0.27</v>
      </c>
      <c r="D438" s="59">
        <v>-0.09</v>
      </c>
      <c r="E438" s="60">
        <f t="shared" si="6"/>
        <v>0.82000000000000006</v>
      </c>
      <c r="F438" t="str" cm="1">
        <f t="array" ref="F438">IF(A438=MAX(IF(ROUND($B$2:$B$3722,4)=ROUND(B438,4),$A$2:$A$3722)),"Efficient","Inefficient")</f>
        <v>Inefficient</v>
      </c>
    </row>
    <row r="439" spans="1:6" x14ac:dyDescent="0.25">
      <c r="A439" cm="1">
        <f t="array" ref="A439">INDEX('Portfolio Weights Returns'!$B$9:$BJ$69,
INT((ROW(A438)-1)/COLUMNS('Portfolio Weights Returns'!$B$9:$BJ$69))+1,MOD(ROW(A438)-1,COLUMNS('Portfolio Weights Returns'!$B$9:$BJ$69))+1)</f>
        <v>-1.0811441100364138E-3</v>
      </c>
      <c r="B439">
        <v>1.6799999999999999E-2</v>
      </c>
      <c r="C439" s="59">
        <v>0.26</v>
      </c>
      <c r="D439" s="59">
        <v>-0.08</v>
      </c>
      <c r="E439" s="60">
        <f t="shared" si="6"/>
        <v>0.82000000000000006</v>
      </c>
      <c r="F439" t="str" cm="1">
        <f t="array" ref="F439">IF(A439=MAX(IF(ROUND($B$2:$B$3722,4)=ROUND(B439,4),$A$2:$A$3722)),"Efficient","Inefficient")</f>
        <v>Inefficient</v>
      </c>
    </row>
    <row r="440" spans="1:6" x14ac:dyDescent="0.25">
      <c r="A440" cm="1">
        <f t="array" ref="A440">INDEX('Portfolio Weights Returns'!$B$9:$BJ$69,
INT((ROW(A439)-1)/COLUMNS('Portfolio Weights Returns'!$B$9:$BJ$69))+1,MOD(ROW(A439)-1,COLUMNS('Portfolio Weights Returns'!$B$9:$BJ$69))+1)</f>
        <v>-1.0743629360697347E-3</v>
      </c>
      <c r="B440">
        <v>1.6799999999999999E-2</v>
      </c>
      <c r="C440" s="59">
        <v>0.25</v>
      </c>
      <c r="D440" s="59">
        <v>-7.0000000000000007E-2</v>
      </c>
      <c r="E440" s="60">
        <f t="shared" si="6"/>
        <v>0.82000000000000006</v>
      </c>
      <c r="F440" t="str" cm="1">
        <f t="array" ref="F440">IF(A440=MAX(IF(ROUND($B$2:$B$3722,4)=ROUND(B440,4),$A$2:$A$3722)),"Efficient","Inefficient")</f>
        <v>Inefficient</v>
      </c>
    </row>
    <row r="441" spans="1:6" x14ac:dyDescent="0.25">
      <c r="A441" cm="1">
        <f t="array" ref="A441">INDEX('Portfolio Weights Returns'!$B$9:$BJ$69,
INT((ROW(A440)-1)/COLUMNS('Portfolio Weights Returns'!$B$9:$BJ$69))+1,MOD(ROW(A440)-1,COLUMNS('Portfolio Weights Returns'!$B$9:$BJ$69))+1)</f>
        <v>-1.0675817621030555E-3</v>
      </c>
      <c r="B441">
        <v>1.6799999999999999E-2</v>
      </c>
      <c r="C441" s="59">
        <v>0.24</v>
      </c>
      <c r="D441" s="59">
        <v>-0.06</v>
      </c>
      <c r="E441" s="60">
        <f t="shared" si="6"/>
        <v>0.82000000000000006</v>
      </c>
      <c r="F441" t="str" cm="1">
        <f t="array" ref="F441">IF(A441=MAX(IF(ROUND($B$2:$B$3722,4)=ROUND(B441,4),$A$2:$A$3722)),"Efficient","Inefficient")</f>
        <v>Inefficient</v>
      </c>
    </row>
    <row r="442" spans="1:6" x14ac:dyDescent="0.25">
      <c r="A442" cm="1">
        <f t="array" ref="A442">INDEX('Portfolio Weights Returns'!$B$9:$BJ$69,
INT((ROW(A441)-1)/COLUMNS('Portfolio Weights Returns'!$B$9:$BJ$69))+1,MOD(ROW(A441)-1,COLUMNS('Portfolio Weights Returns'!$B$9:$BJ$69))+1)</f>
        <v>-1.0608005881363764E-3</v>
      </c>
      <c r="B442">
        <v>1.6799999999999999E-2</v>
      </c>
      <c r="C442" s="59">
        <v>0.19</v>
      </c>
      <c r="D442" s="59">
        <v>-0.01</v>
      </c>
      <c r="E442" s="60">
        <f t="shared" si="6"/>
        <v>0.82000000000000006</v>
      </c>
      <c r="F442" t="str" cm="1">
        <f t="array" ref="F442">IF(A442=MAX(IF(ROUND($B$2:$B$3722,4)=ROUND(B442,4),$A$2:$A$3722)),"Efficient","Inefficient")</f>
        <v>Inefficient</v>
      </c>
    </row>
    <row r="443" spans="1:6" x14ac:dyDescent="0.25">
      <c r="A443" cm="1">
        <f t="array" ref="A443">INDEX('Portfolio Weights Returns'!$B$9:$BJ$69,
INT((ROW(A442)-1)/COLUMNS('Portfolio Weights Returns'!$B$9:$BJ$69))+1,MOD(ROW(A442)-1,COLUMNS('Portfolio Weights Returns'!$B$9:$BJ$69))+1)</f>
        <v>-1.0540194141696975E-3</v>
      </c>
      <c r="B443">
        <v>1.6799999999999999E-2</v>
      </c>
      <c r="C443" s="59">
        <v>0.18</v>
      </c>
      <c r="D443" s="59">
        <v>0</v>
      </c>
      <c r="E443" s="60">
        <f t="shared" si="6"/>
        <v>0.82000000000000006</v>
      </c>
      <c r="F443" t="str" cm="1">
        <f t="array" ref="F443">IF(A443=MAX(IF(ROUND($B$2:$B$3722,4)=ROUND(B443,4),$A$2:$A$3722)),"Efficient","Inefficient")</f>
        <v>Inefficient</v>
      </c>
    </row>
    <row r="444" spans="1:6" x14ac:dyDescent="0.25">
      <c r="A444" cm="1">
        <f t="array" ref="A444">INDEX('Portfolio Weights Returns'!$B$9:$BJ$69,
INT((ROW(A443)-1)/COLUMNS('Portfolio Weights Returns'!$B$9:$BJ$69))+1,MOD(ROW(A443)-1,COLUMNS('Portfolio Weights Returns'!$B$9:$BJ$69))+1)</f>
        <v>-1.0472382402030183E-3</v>
      </c>
      <c r="B444">
        <v>1.6799999999999999E-2</v>
      </c>
      <c r="C444" s="59">
        <v>0.17</v>
      </c>
      <c r="D444" s="59">
        <v>0.01</v>
      </c>
      <c r="E444" s="60">
        <f t="shared" si="6"/>
        <v>0.82</v>
      </c>
      <c r="F444" t="str" cm="1">
        <f t="array" ref="F444">IF(A444=MAX(IF(ROUND($B$2:$B$3722,4)=ROUND(B444,4),$A$2:$A$3722)),"Efficient","Inefficient")</f>
        <v>Inefficient</v>
      </c>
    </row>
    <row r="445" spans="1:6" x14ac:dyDescent="0.25">
      <c r="A445" cm="1">
        <f t="array" ref="A445">INDEX('Portfolio Weights Returns'!$B$9:$BJ$69,
INT((ROW(A444)-1)/COLUMNS('Portfolio Weights Returns'!$B$9:$BJ$69))+1,MOD(ROW(A444)-1,COLUMNS('Portfolio Weights Returns'!$B$9:$BJ$69))+1)</f>
        <v>-1.0404570662363394E-3</v>
      </c>
      <c r="B445">
        <v>1.6799999999999999E-2</v>
      </c>
      <c r="C445" s="59">
        <v>0.16</v>
      </c>
      <c r="D445" s="59">
        <v>0.02</v>
      </c>
      <c r="E445" s="60">
        <f t="shared" si="6"/>
        <v>0.82</v>
      </c>
      <c r="F445" t="str" cm="1">
        <f t="array" ref="F445">IF(A445=MAX(IF(ROUND($B$2:$B$3722,4)=ROUND(B445,4),$A$2:$A$3722)),"Efficient","Inefficient")</f>
        <v>Inefficient</v>
      </c>
    </row>
    <row r="446" spans="1:6" x14ac:dyDescent="0.25">
      <c r="A446" cm="1">
        <f t="array" ref="A446">INDEX('Portfolio Weights Returns'!$B$9:$BJ$69,
INT((ROW(A445)-1)/COLUMNS('Portfolio Weights Returns'!$B$9:$BJ$69))+1,MOD(ROW(A445)-1,COLUMNS('Portfolio Weights Returns'!$B$9:$BJ$69))+1)</f>
        <v>-1.03367589226966E-3</v>
      </c>
      <c r="B446">
        <v>1.6799999999999999E-2</v>
      </c>
      <c r="C446" s="59">
        <v>0.16</v>
      </c>
      <c r="D446" s="59">
        <v>0.03</v>
      </c>
      <c r="E446" s="60">
        <f t="shared" si="6"/>
        <v>0.80999999999999994</v>
      </c>
      <c r="F446" t="str" cm="1">
        <f t="array" ref="F446">IF(A446=MAX(IF(ROUND($B$2:$B$3722,4)=ROUND(B446,4),$A$2:$A$3722)),"Efficient","Inefficient")</f>
        <v>Inefficient</v>
      </c>
    </row>
    <row r="447" spans="1:6" x14ac:dyDescent="0.25">
      <c r="A447" cm="1">
        <f t="array" ref="A447">INDEX('Portfolio Weights Returns'!$B$9:$BJ$69,
INT((ROW(A446)-1)/COLUMNS('Portfolio Weights Returns'!$B$9:$BJ$69))+1,MOD(ROW(A446)-1,COLUMNS('Portfolio Weights Returns'!$B$9:$BJ$69))+1)</f>
        <v>-1.0268947183029811E-3</v>
      </c>
      <c r="B447">
        <v>1.6799999999999999E-2</v>
      </c>
      <c r="C447" s="59">
        <v>0.15</v>
      </c>
      <c r="D447" s="59">
        <v>0.04</v>
      </c>
      <c r="E447" s="60">
        <f t="shared" si="6"/>
        <v>0.80999999999999994</v>
      </c>
      <c r="F447" t="str" cm="1">
        <f t="array" ref="F447">IF(A447=MAX(IF(ROUND($B$2:$B$3722,4)=ROUND(B447,4),$A$2:$A$3722)),"Efficient","Inefficient")</f>
        <v>Inefficient</v>
      </c>
    </row>
    <row r="448" spans="1:6" x14ac:dyDescent="0.25">
      <c r="A448" cm="1">
        <f t="array" ref="A448">INDEX('Portfolio Weights Returns'!$B$9:$BJ$69,
INT((ROW(A447)-1)/COLUMNS('Portfolio Weights Returns'!$B$9:$BJ$69))+1,MOD(ROW(A447)-1,COLUMNS('Portfolio Weights Returns'!$B$9:$BJ$69))+1)</f>
        <v>-1.0201135443363022E-3</v>
      </c>
      <c r="B448">
        <v>1.6799999999999999E-2</v>
      </c>
      <c r="C448" s="59">
        <v>0.15</v>
      </c>
      <c r="D448" s="59">
        <v>0.05</v>
      </c>
      <c r="E448" s="60">
        <f t="shared" si="6"/>
        <v>0.79999999999999993</v>
      </c>
      <c r="F448" t="str" cm="1">
        <f t="array" ref="F448">IF(A448=MAX(IF(ROUND($B$2:$B$3722,4)=ROUND(B448,4),$A$2:$A$3722)),"Efficient","Inefficient")</f>
        <v>Inefficient</v>
      </c>
    </row>
    <row r="449" spans="1:6" x14ac:dyDescent="0.25">
      <c r="A449" cm="1">
        <f t="array" ref="A449">INDEX('Portfolio Weights Returns'!$B$9:$BJ$69,
INT((ROW(A448)-1)/COLUMNS('Portfolio Weights Returns'!$B$9:$BJ$69))+1,MOD(ROW(A448)-1,COLUMNS('Portfolio Weights Returns'!$B$9:$BJ$69))+1)</f>
        <v>-1.013332370369623E-3</v>
      </c>
      <c r="B449">
        <v>1.6799999999999999E-2</v>
      </c>
      <c r="C449" s="59">
        <v>0.14000000000000001</v>
      </c>
      <c r="D449" s="59">
        <v>0.06</v>
      </c>
      <c r="E449" s="60">
        <f t="shared" si="6"/>
        <v>0.79999999999999993</v>
      </c>
      <c r="F449" t="str" cm="1">
        <f t="array" ref="F449">IF(A449=MAX(IF(ROUND($B$2:$B$3722,4)=ROUND(B449,4),$A$2:$A$3722)),"Efficient","Inefficient")</f>
        <v>Inefficient</v>
      </c>
    </row>
    <row r="450" spans="1:6" x14ac:dyDescent="0.25">
      <c r="A450" cm="1">
        <f t="array" ref="A450">INDEX('Portfolio Weights Returns'!$B$9:$BJ$69,
INT((ROW(A449)-1)/COLUMNS('Portfolio Weights Returns'!$B$9:$BJ$69))+1,MOD(ROW(A449)-1,COLUMNS('Portfolio Weights Returns'!$B$9:$BJ$69))+1)</f>
        <v>-1.0065511964029439E-3</v>
      </c>
      <c r="B450">
        <v>1.6799999999999999E-2</v>
      </c>
      <c r="C450" s="59">
        <v>0.14000000000000001</v>
      </c>
      <c r="D450" s="59">
        <v>7.0000000000000007E-2</v>
      </c>
      <c r="E450" s="60">
        <f t="shared" ref="E450:E513" si="7">1-D450-C450</f>
        <v>0.78999999999999992</v>
      </c>
      <c r="F450" t="str" cm="1">
        <f t="array" ref="F450">IF(A450=MAX(IF(ROUND($B$2:$B$3722,4)=ROUND(B450,4),$A$2:$A$3722)),"Efficient","Inefficient")</f>
        <v>Inefficient</v>
      </c>
    </row>
    <row r="451" spans="1:6" x14ac:dyDescent="0.25">
      <c r="A451" cm="1">
        <f t="array" ref="A451">INDEX('Portfolio Weights Returns'!$B$9:$BJ$69,
INT((ROW(A450)-1)/COLUMNS('Portfolio Weights Returns'!$B$9:$BJ$69))+1,MOD(ROW(A450)-1,COLUMNS('Portfolio Weights Returns'!$B$9:$BJ$69))+1)</f>
        <v>-9.9977002243626452E-4</v>
      </c>
      <c r="B451">
        <v>1.6799999999999999E-2</v>
      </c>
      <c r="C451" s="59">
        <v>0.13</v>
      </c>
      <c r="D451" s="59">
        <v>0.08</v>
      </c>
      <c r="E451" s="60">
        <f t="shared" si="7"/>
        <v>0.79</v>
      </c>
      <c r="F451" t="str" cm="1">
        <f t="array" ref="F451">IF(A451=MAX(IF(ROUND($B$2:$B$3722,4)=ROUND(B451,4),$A$2:$A$3722)),"Efficient","Inefficient")</f>
        <v>Inefficient</v>
      </c>
    </row>
    <row r="452" spans="1:6" x14ac:dyDescent="0.25">
      <c r="A452" cm="1">
        <f t="array" ref="A452">INDEX('Portfolio Weights Returns'!$B$9:$BJ$69,
INT((ROW(A451)-1)/COLUMNS('Portfolio Weights Returns'!$B$9:$BJ$69))+1,MOD(ROW(A451)-1,COLUMNS('Portfolio Weights Returns'!$B$9:$BJ$69))+1)</f>
        <v>-9.9298884846958559E-4</v>
      </c>
      <c r="B452">
        <v>1.6799999999999999E-2</v>
      </c>
      <c r="C452" s="59">
        <v>0.13</v>
      </c>
      <c r="D452" s="59">
        <v>0.09</v>
      </c>
      <c r="E452" s="60">
        <f t="shared" si="7"/>
        <v>0.78</v>
      </c>
      <c r="F452" t="str" cm="1">
        <f t="array" ref="F452">IF(A452=MAX(IF(ROUND($B$2:$B$3722,4)=ROUND(B452,4),$A$2:$A$3722)),"Efficient","Inefficient")</f>
        <v>Inefficient</v>
      </c>
    </row>
    <row r="453" spans="1:6" x14ac:dyDescent="0.25">
      <c r="A453" cm="1">
        <f t="array" ref="A453">INDEX('Portfolio Weights Returns'!$B$9:$BJ$69,
INT((ROW(A452)-1)/COLUMNS('Portfolio Weights Returns'!$B$9:$BJ$69))+1,MOD(ROW(A452)-1,COLUMNS('Portfolio Weights Returns'!$B$9:$BJ$69))+1)</f>
        <v>-9.8620767450290645E-4</v>
      </c>
      <c r="B453">
        <v>1.6799999999999999E-2</v>
      </c>
      <c r="C453" s="59">
        <v>0.13</v>
      </c>
      <c r="D453" s="59">
        <v>0.1</v>
      </c>
      <c r="E453" s="60">
        <f t="shared" si="7"/>
        <v>0.77</v>
      </c>
      <c r="F453" t="str" cm="1">
        <f t="array" ref="F453">IF(A453=MAX(IF(ROUND($B$2:$B$3722,4)=ROUND(B453,4),$A$2:$A$3722)),"Efficient","Inefficient")</f>
        <v>Inefficient</v>
      </c>
    </row>
    <row r="454" spans="1:6" x14ac:dyDescent="0.25">
      <c r="A454" cm="1">
        <f t="array" ref="A454">INDEX('Portfolio Weights Returns'!$B$9:$BJ$69,
INT((ROW(A453)-1)/COLUMNS('Portfolio Weights Returns'!$B$9:$BJ$69))+1,MOD(ROW(A453)-1,COLUMNS('Portfolio Weights Returns'!$B$9:$BJ$69))+1)</f>
        <v>-9.794265005362273E-4</v>
      </c>
      <c r="B454">
        <v>1.6799999999999999E-2</v>
      </c>
      <c r="C454" s="59">
        <v>0.13</v>
      </c>
      <c r="D454" s="59">
        <v>0.11</v>
      </c>
      <c r="E454" s="60">
        <f t="shared" si="7"/>
        <v>0.76</v>
      </c>
      <c r="F454" t="str" cm="1">
        <f t="array" ref="F454">IF(A454=MAX(IF(ROUND($B$2:$B$3722,4)=ROUND(B454,4),$A$2:$A$3722)),"Efficient","Inefficient")</f>
        <v>Inefficient</v>
      </c>
    </row>
    <row r="455" spans="1:6" x14ac:dyDescent="0.25">
      <c r="A455" cm="1">
        <f t="array" ref="A455">INDEX('Portfolio Weights Returns'!$B$9:$BJ$69,
INT((ROW(A454)-1)/COLUMNS('Portfolio Weights Returns'!$B$9:$BJ$69))+1,MOD(ROW(A454)-1,COLUMNS('Portfolio Weights Returns'!$B$9:$BJ$69))+1)</f>
        <v>-9.7264532656954816E-4</v>
      </c>
      <c r="B455">
        <v>1.6799999999999999E-2</v>
      </c>
      <c r="C455" s="59">
        <v>0.13</v>
      </c>
      <c r="D455" s="59">
        <v>0.12</v>
      </c>
      <c r="E455" s="60">
        <f t="shared" si="7"/>
        <v>0.75</v>
      </c>
      <c r="F455" t="str" cm="1">
        <f t="array" ref="F455">IF(A455=MAX(IF(ROUND($B$2:$B$3722,4)=ROUND(B455,4),$A$2:$A$3722)),"Efficient","Inefficient")</f>
        <v>Inefficient</v>
      </c>
    </row>
    <row r="456" spans="1:6" x14ac:dyDescent="0.25">
      <c r="A456" cm="1">
        <f t="array" ref="A456">INDEX('Portfolio Weights Returns'!$B$9:$BJ$69,
INT((ROW(A455)-1)/COLUMNS('Portfolio Weights Returns'!$B$9:$BJ$69))+1,MOD(ROW(A455)-1,COLUMNS('Portfolio Weights Returns'!$B$9:$BJ$69))+1)</f>
        <v>-9.6586415260286912E-4</v>
      </c>
      <c r="B456">
        <v>1.6799999999999999E-2</v>
      </c>
      <c r="C456" s="59">
        <v>0.13</v>
      </c>
      <c r="D456" s="59">
        <v>0.13</v>
      </c>
      <c r="E456" s="60">
        <f t="shared" si="7"/>
        <v>0.74</v>
      </c>
      <c r="F456" t="str" cm="1">
        <f t="array" ref="F456">IF(A456=MAX(IF(ROUND($B$2:$B$3722,4)=ROUND(B456,4),$A$2:$A$3722)),"Efficient","Inefficient")</f>
        <v>Inefficient</v>
      </c>
    </row>
    <row r="457" spans="1:6" x14ac:dyDescent="0.25">
      <c r="A457" cm="1">
        <f t="array" ref="A457">INDEX('Portfolio Weights Returns'!$B$9:$BJ$69,
INT((ROW(A456)-1)/COLUMNS('Portfolio Weights Returns'!$B$9:$BJ$69))+1,MOD(ROW(A456)-1,COLUMNS('Portfolio Weights Returns'!$B$9:$BJ$69))+1)</f>
        <v>-9.5908297863618998E-4</v>
      </c>
      <c r="B457">
        <v>1.6799999999999999E-2</v>
      </c>
      <c r="C457" s="59">
        <v>0.13</v>
      </c>
      <c r="D457" s="59">
        <v>0.14000000000000001</v>
      </c>
      <c r="E457" s="60">
        <f t="shared" si="7"/>
        <v>0.73</v>
      </c>
      <c r="F457" t="str" cm="1">
        <f t="array" ref="F457">IF(A457=MAX(IF(ROUND($B$2:$B$3722,4)=ROUND(B457,4),$A$2:$A$3722)),"Efficient","Inefficient")</f>
        <v>Inefficient</v>
      </c>
    </row>
    <row r="458" spans="1:6" x14ac:dyDescent="0.25">
      <c r="A458" cm="1">
        <f t="array" ref="A458">INDEX('Portfolio Weights Returns'!$B$9:$BJ$69,
INT((ROW(A457)-1)/COLUMNS('Portfolio Weights Returns'!$B$9:$BJ$69))+1,MOD(ROW(A457)-1,COLUMNS('Portfolio Weights Returns'!$B$9:$BJ$69))+1)</f>
        <v>-9.5230180466951094E-4</v>
      </c>
      <c r="B458">
        <v>1.6799999999999999E-2</v>
      </c>
      <c r="C458" s="59">
        <v>0.13</v>
      </c>
      <c r="D458" s="59">
        <v>0.15</v>
      </c>
      <c r="E458" s="60">
        <f t="shared" si="7"/>
        <v>0.72</v>
      </c>
      <c r="F458" t="str" cm="1">
        <f t="array" ref="F458">IF(A458=MAX(IF(ROUND($B$2:$B$3722,4)=ROUND(B458,4),$A$2:$A$3722)),"Efficient","Inefficient")</f>
        <v>Inefficient</v>
      </c>
    </row>
    <row r="459" spans="1:6" x14ac:dyDescent="0.25">
      <c r="A459" cm="1">
        <f t="array" ref="A459">INDEX('Portfolio Weights Returns'!$B$9:$BJ$69,
INT((ROW(A458)-1)/COLUMNS('Portfolio Weights Returns'!$B$9:$BJ$69))+1,MOD(ROW(A458)-1,COLUMNS('Portfolio Weights Returns'!$B$9:$BJ$69))+1)</f>
        <v>-9.455206307028318E-4</v>
      </c>
      <c r="B459">
        <v>1.6799999999999999E-2</v>
      </c>
      <c r="C459" s="59">
        <v>0.14000000000000001</v>
      </c>
      <c r="D459" s="59">
        <v>0.16</v>
      </c>
      <c r="E459" s="60">
        <f t="shared" si="7"/>
        <v>0.7</v>
      </c>
      <c r="F459" t="str" cm="1">
        <f t="array" ref="F459">IF(A459=MAX(IF(ROUND($B$2:$B$3722,4)=ROUND(B459,4),$A$2:$A$3722)),"Efficient","Inefficient")</f>
        <v>Inefficient</v>
      </c>
    </row>
    <row r="460" spans="1:6" x14ac:dyDescent="0.25">
      <c r="A460" cm="1">
        <f t="array" ref="A460">INDEX('Portfolio Weights Returns'!$B$9:$BJ$69,
INT((ROW(A459)-1)/COLUMNS('Portfolio Weights Returns'!$B$9:$BJ$69))+1,MOD(ROW(A459)-1,COLUMNS('Portfolio Weights Returns'!$B$9:$BJ$69))+1)</f>
        <v>-9.3873945673615276E-4</v>
      </c>
      <c r="B460">
        <v>1.6799999999999999E-2</v>
      </c>
      <c r="C460" s="59">
        <v>0.14000000000000001</v>
      </c>
      <c r="D460" s="59">
        <v>0.17</v>
      </c>
      <c r="E460" s="60">
        <f t="shared" si="7"/>
        <v>0.69</v>
      </c>
      <c r="F460" t="str" cm="1">
        <f t="array" ref="F460">IF(A460=MAX(IF(ROUND($B$2:$B$3722,4)=ROUND(B460,4),$A$2:$A$3722)),"Efficient","Inefficient")</f>
        <v>Inefficient</v>
      </c>
    </row>
    <row r="461" spans="1:6" x14ac:dyDescent="0.25">
      <c r="A461" cm="1">
        <f t="array" ref="A461">INDEX('Portfolio Weights Returns'!$B$9:$BJ$69,
INT((ROW(A460)-1)/COLUMNS('Portfolio Weights Returns'!$B$9:$BJ$69))+1,MOD(ROW(A460)-1,COLUMNS('Portfolio Weights Returns'!$B$9:$BJ$69))+1)</f>
        <v>-9.3195828276947351E-4</v>
      </c>
      <c r="B461">
        <v>1.6799999999999999E-2</v>
      </c>
      <c r="C461" s="59">
        <v>0.15</v>
      </c>
      <c r="D461" s="59">
        <v>0.18</v>
      </c>
      <c r="E461" s="60">
        <f t="shared" si="7"/>
        <v>0.67</v>
      </c>
      <c r="F461" t="str" cm="1">
        <f t="array" ref="F461">IF(A461=MAX(IF(ROUND($B$2:$B$3722,4)=ROUND(B461,4),$A$2:$A$3722)),"Efficient","Inefficient")</f>
        <v>Inefficient</v>
      </c>
    </row>
    <row r="462" spans="1:6" x14ac:dyDescent="0.25">
      <c r="A462" cm="1">
        <f t="array" ref="A462">INDEX('Portfolio Weights Returns'!$B$9:$BJ$69,
INT((ROW(A461)-1)/COLUMNS('Portfolio Weights Returns'!$B$9:$BJ$69))+1,MOD(ROW(A461)-1,COLUMNS('Portfolio Weights Returns'!$B$9:$BJ$69))+1)</f>
        <v>-9.2517710880279447E-4</v>
      </c>
      <c r="B462">
        <v>1.6799999999999999E-2</v>
      </c>
      <c r="C462" s="59">
        <v>0.15</v>
      </c>
      <c r="D462" s="59">
        <v>0.19</v>
      </c>
      <c r="E462" s="60">
        <f t="shared" si="7"/>
        <v>0.66</v>
      </c>
      <c r="F462" t="str" cm="1">
        <f t="array" ref="F462">IF(A462=MAX(IF(ROUND($B$2:$B$3722,4)=ROUND(B462,4),$A$2:$A$3722)),"Efficient","Inefficient")</f>
        <v>Inefficient</v>
      </c>
    </row>
    <row r="463" spans="1:6" x14ac:dyDescent="0.25">
      <c r="A463" cm="1">
        <f t="array" ref="A463">INDEX('Portfolio Weights Returns'!$B$9:$BJ$69,
INT((ROW(A462)-1)/COLUMNS('Portfolio Weights Returns'!$B$9:$BJ$69))+1,MOD(ROW(A462)-1,COLUMNS('Portfolio Weights Returns'!$B$9:$BJ$69))+1)</f>
        <v>-9.1839593483611533E-4</v>
      </c>
      <c r="B463">
        <v>1.6799999999999999E-2</v>
      </c>
      <c r="C463" s="59">
        <v>0.16</v>
      </c>
      <c r="D463" s="59">
        <v>0.19</v>
      </c>
      <c r="E463" s="60">
        <f t="shared" si="7"/>
        <v>0.65</v>
      </c>
      <c r="F463" t="str" cm="1">
        <f t="array" ref="F463">IF(A463=MAX(IF(ROUND($B$2:$B$3722,4)=ROUND(B463,4),$A$2:$A$3722)),"Efficient","Inefficient")</f>
        <v>Inefficient</v>
      </c>
    </row>
    <row r="464" spans="1:6" x14ac:dyDescent="0.25">
      <c r="A464" cm="1">
        <f t="array" ref="A464">INDEX('Portfolio Weights Returns'!$B$9:$BJ$69,
INT((ROW(A463)-1)/COLUMNS('Portfolio Weights Returns'!$B$9:$BJ$69))+1,MOD(ROW(A463)-1,COLUMNS('Portfolio Weights Returns'!$B$9:$BJ$69))+1)</f>
        <v>-9.1161476086943629E-4</v>
      </c>
      <c r="B464">
        <v>1.6799999999999999E-2</v>
      </c>
      <c r="C464" s="59">
        <v>0.16</v>
      </c>
      <c r="D464" s="59">
        <v>0.2</v>
      </c>
      <c r="E464" s="60">
        <f t="shared" si="7"/>
        <v>0.64</v>
      </c>
      <c r="F464" t="str" cm="1">
        <f t="array" ref="F464">IF(A464=MAX(IF(ROUND($B$2:$B$3722,4)=ROUND(B464,4),$A$2:$A$3722)),"Efficient","Inefficient")</f>
        <v>Inefficient</v>
      </c>
    </row>
    <row r="465" spans="1:6" x14ac:dyDescent="0.25">
      <c r="A465" cm="1">
        <f t="array" ref="A465">INDEX('Portfolio Weights Returns'!$B$9:$BJ$69,
INT((ROW(A464)-1)/COLUMNS('Portfolio Weights Returns'!$B$9:$BJ$69))+1,MOD(ROW(A464)-1,COLUMNS('Portfolio Weights Returns'!$B$9:$BJ$69))+1)</f>
        <v>-9.0483358690275715E-4</v>
      </c>
      <c r="B465">
        <v>1.6799999999999999E-2</v>
      </c>
      <c r="C465" s="59">
        <v>0.17</v>
      </c>
      <c r="D465" s="59">
        <v>0.2</v>
      </c>
      <c r="E465" s="60">
        <f t="shared" si="7"/>
        <v>0.63</v>
      </c>
      <c r="F465" t="str" cm="1">
        <f t="array" ref="F465">IF(A465=MAX(IF(ROUND($B$2:$B$3722,4)=ROUND(B465,4),$A$2:$A$3722)),"Efficient","Inefficient")</f>
        <v>Inefficient</v>
      </c>
    </row>
    <row r="466" spans="1:6" x14ac:dyDescent="0.25">
      <c r="A466" cm="1">
        <f t="array" ref="A466">INDEX('Portfolio Weights Returns'!$B$9:$BJ$69,
INT((ROW(A465)-1)/COLUMNS('Portfolio Weights Returns'!$B$9:$BJ$69))+1,MOD(ROW(A465)-1,COLUMNS('Portfolio Weights Returns'!$B$9:$BJ$69))+1)</f>
        <v>-8.98052412936078E-4</v>
      </c>
      <c r="B466">
        <v>1.6799999999999999E-2</v>
      </c>
      <c r="C466" s="59">
        <v>0.17</v>
      </c>
      <c r="D466" s="59">
        <v>0.21</v>
      </c>
      <c r="E466" s="60">
        <f t="shared" si="7"/>
        <v>0.62</v>
      </c>
      <c r="F466" t="str" cm="1">
        <f t="array" ref="F466">IF(A466=MAX(IF(ROUND($B$2:$B$3722,4)=ROUND(B466,4),$A$2:$A$3722)),"Efficient","Inefficient")</f>
        <v>Inefficient</v>
      </c>
    </row>
    <row r="467" spans="1:6" x14ac:dyDescent="0.25">
      <c r="A467" cm="1">
        <f t="array" ref="A467">INDEX('Portfolio Weights Returns'!$B$9:$BJ$69,
INT((ROW(A466)-1)/COLUMNS('Portfolio Weights Returns'!$B$9:$BJ$69))+1,MOD(ROW(A466)-1,COLUMNS('Portfolio Weights Returns'!$B$9:$BJ$69))+1)</f>
        <v>-8.9127123896939908E-4</v>
      </c>
      <c r="B467">
        <v>1.6799999999999999E-2</v>
      </c>
      <c r="C467" s="59">
        <v>0.18</v>
      </c>
      <c r="D467" s="59">
        <v>0.21</v>
      </c>
      <c r="E467" s="60">
        <f t="shared" si="7"/>
        <v>0.6100000000000001</v>
      </c>
      <c r="F467" t="str" cm="1">
        <f t="array" ref="F467">IF(A467=MAX(IF(ROUND($B$2:$B$3722,4)=ROUND(B467,4),$A$2:$A$3722)),"Efficient","Inefficient")</f>
        <v>Inefficient</v>
      </c>
    </row>
    <row r="468" spans="1:6" x14ac:dyDescent="0.25">
      <c r="A468" cm="1">
        <f t="array" ref="A468">INDEX('Portfolio Weights Returns'!$B$9:$BJ$69,
INT((ROW(A467)-1)/COLUMNS('Portfolio Weights Returns'!$B$9:$BJ$69))+1,MOD(ROW(A467)-1,COLUMNS('Portfolio Weights Returns'!$B$9:$BJ$69))+1)</f>
        <v>-8.8449006500271993E-4</v>
      </c>
      <c r="B468">
        <v>1.6799999999999999E-2</v>
      </c>
      <c r="C468" s="59">
        <v>0.19</v>
      </c>
      <c r="D468" s="59">
        <v>0.22</v>
      </c>
      <c r="E468" s="60">
        <f t="shared" si="7"/>
        <v>0.59000000000000008</v>
      </c>
      <c r="F468" t="str" cm="1">
        <f t="array" ref="F468">IF(A468=MAX(IF(ROUND($B$2:$B$3722,4)=ROUND(B468,4),$A$2:$A$3722)),"Efficient","Inefficient")</f>
        <v>Inefficient</v>
      </c>
    </row>
    <row r="469" spans="1:6" x14ac:dyDescent="0.25">
      <c r="A469" cm="1">
        <f t="array" ref="A469">INDEX('Portfolio Weights Returns'!$B$9:$BJ$69,
INT((ROW(A468)-1)/COLUMNS('Portfolio Weights Returns'!$B$9:$BJ$69))+1,MOD(ROW(A468)-1,COLUMNS('Portfolio Weights Returns'!$B$9:$BJ$69))+1)</f>
        <v>-8.777088910360409E-4</v>
      </c>
      <c r="B469">
        <v>1.6799999999999999E-2</v>
      </c>
      <c r="C469" s="59">
        <v>0.2</v>
      </c>
      <c r="D469" s="59">
        <v>0.23</v>
      </c>
      <c r="E469" s="60">
        <f t="shared" si="7"/>
        <v>0.57000000000000006</v>
      </c>
      <c r="F469" t="str" cm="1">
        <f t="array" ref="F469">IF(A469=MAX(IF(ROUND($B$2:$B$3722,4)=ROUND(B469,4),$A$2:$A$3722)),"Efficient","Inefficient")</f>
        <v>Inefficient</v>
      </c>
    </row>
    <row r="470" spans="1:6" x14ac:dyDescent="0.25">
      <c r="A470" cm="1">
        <f t="array" ref="A470">INDEX('Portfolio Weights Returns'!$B$9:$BJ$69,
INT((ROW(A469)-1)/COLUMNS('Portfolio Weights Returns'!$B$9:$BJ$69))+1,MOD(ROW(A469)-1,COLUMNS('Portfolio Weights Returns'!$B$9:$BJ$69))+1)</f>
        <v>-8.7092771706936175E-4</v>
      </c>
      <c r="B470">
        <v>1.6799999999999999E-2</v>
      </c>
      <c r="C470" s="59">
        <v>0.21</v>
      </c>
      <c r="D470" s="59">
        <v>0.23</v>
      </c>
      <c r="E470" s="60">
        <f t="shared" si="7"/>
        <v>0.56000000000000005</v>
      </c>
      <c r="F470" t="str" cm="1">
        <f t="array" ref="F470">IF(A470=MAX(IF(ROUND($B$2:$B$3722,4)=ROUND(B470,4),$A$2:$A$3722)),"Efficient","Inefficient")</f>
        <v>Inefficient</v>
      </c>
    </row>
    <row r="471" spans="1:6" x14ac:dyDescent="0.25">
      <c r="A471" cm="1">
        <f t="array" ref="A471">INDEX('Portfolio Weights Returns'!$B$9:$BJ$69,
INT((ROW(A470)-1)/COLUMNS('Portfolio Weights Returns'!$B$9:$BJ$69))+1,MOD(ROW(A470)-1,COLUMNS('Portfolio Weights Returns'!$B$9:$BJ$69))+1)</f>
        <v>-8.6414654310268272E-4</v>
      </c>
      <c r="B471">
        <v>1.6799999999999999E-2</v>
      </c>
      <c r="C471" s="59">
        <v>0.23</v>
      </c>
      <c r="D471" s="59">
        <v>0.24</v>
      </c>
      <c r="E471" s="60">
        <f t="shared" si="7"/>
        <v>0.53</v>
      </c>
      <c r="F471" t="str" cm="1">
        <f t="array" ref="F471">IF(A471=MAX(IF(ROUND($B$2:$B$3722,4)=ROUND(B471,4),$A$2:$A$3722)),"Efficient","Inefficient")</f>
        <v>Inefficient</v>
      </c>
    </row>
    <row r="472" spans="1:6" x14ac:dyDescent="0.25">
      <c r="A472" cm="1">
        <f t="array" ref="A472">INDEX('Portfolio Weights Returns'!$B$9:$BJ$69,
INT((ROW(A471)-1)/COLUMNS('Portfolio Weights Returns'!$B$9:$BJ$69))+1,MOD(ROW(A471)-1,COLUMNS('Portfolio Weights Returns'!$B$9:$BJ$69))+1)</f>
        <v>-8.5736536913600346E-4</v>
      </c>
      <c r="B472">
        <v>1.6799999999999999E-2</v>
      </c>
      <c r="C472" s="59">
        <v>0.24</v>
      </c>
      <c r="D472" s="59">
        <v>0.24</v>
      </c>
      <c r="E472" s="60">
        <f t="shared" si="7"/>
        <v>0.52</v>
      </c>
      <c r="F472" t="str" cm="1">
        <f t="array" ref="F472">IF(A472=MAX(IF(ROUND($B$2:$B$3722,4)=ROUND(B472,4),$A$2:$A$3722)),"Efficient","Inefficient")</f>
        <v>Inefficient</v>
      </c>
    </row>
    <row r="473" spans="1:6" x14ac:dyDescent="0.25">
      <c r="A473" cm="1">
        <f t="array" ref="A473">INDEX('Portfolio Weights Returns'!$B$9:$BJ$69,
INT((ROW(A472)-1)/COLUMNS('Portfolio Weights Returns'!$B$9:$BJ$69))+1,MOD(ROW(A472)-1,COLUMNS('Portfolio Weights Returns'!$B$9:$BJ$69))+1)</f>
        <v>-8.5058419516932443E-4</v>
      </c>
      <c r="B473">
        <v>1.6799999999999999E-2</v>
      </c>
      <c r="C473" s="59">
        <v>0.25</v>
      </c>
      <c r="D473" s="59">
        <v>0.25</v>
      </c>
      <c r="E473" s="60">
        <f t="shared" si="7"/>
        <v>0.5</v>
      </c>
      <c r="F473" t="str" cm="1">
        <f t="array" ref="F473">IF(A473=MAX(IF(ROUND($B$2:$B$3722,4)=ROUND(B473,4),$A$2:$A$3722)),"Efficient","Inefficient")</f>
        <v>Inefficient</v>
      </c>
    </row>
    <row r="474" spans="1:6" x14ac:dyDescent="0.25">
      <c r="A474" cm="1">
        <f t="array" ref="A474">INDEX('Portfolio Weights Returns'!$B$9:$BJ$69,
INT((ROW(A473)-1)/COLUMNS('Portfolio Weights Returns'!$B$9:$BJ$69))+1,MOD(ROW(A473)-1,COLUMNS('Portfolio Weights Returns'!$B$9:$BJ$69))+1)</f>
        <v>-8.4380302120264528E-4</v>
      </c>
      <c r="B474">
        <v>1.6799999999999999E-2</v>
      </c>
      <c r="C474" s="59">
        <v>0.26</v>
      </c>
      <c r="D474" s="59">
        <v>0.25</v>
      </c>
      <c r="E474" s="60">
        <f t="shared" si="7"/>
        <v>0.49</v>
      </c>
      <c r="F474" t="str" cm="1">
        <f t="array" ref="F474">IF(A474=MAX(IF(ROUND($B$2:$B$3722,4)=ROUND(B474,4),$A$2:$A$3722)),"Efficient","Inefficient")</f>
        <v>Inefficient</v>
      </c>
    </row>
    <row r="475" spans="1:6" x14ac:dyDescent="0.25">
      <c r="A475" cm="1">
        <f t="array" ref="A475">INDEX('Portfolio Weights Returns'!$B$9:$BJ$69,
INT((ROW(A474)-1)/COLUMNS('Portfolio Weights Returns'!$B$9:$BJ$69))+1,MOD(ROW(A474)-1,COLUMNS('Portfolio Weights Returns'!$B$9:$BJ$69))+1)</f>
        <v>-8.3702184723596614E-4</v>
      </c>
      <c r="B475">
        <v>1.6799999999999999E-2</v>
      </c>
      <c r="C475" s="59">
        <v>0.27</v>
      </c>
      <c r="D475" s="59">
        <v>0.25</v>
      </c>
      <c r="E475" s="60">
        <f t="shared" si="7"/>
        <v>0.48</v>
      </c>
      <c r="F475" t="str" cm="1">
        <f t="array" ref="F475">IF(A475=MAX(IF(ROUND($B$2:$B$3722,4)=ROUND(B475,4),$A$2:$A$3722)),"Efficient","Inefficient")</f>
        <v>Inefficient</v>
      </c>
    </row>
    <row r="476" spans="1:6" x14ac:dyDescent="0.25">
      <c r="A476" cm="1">
        <f t="array" ref="A476">INDEX('Portfolio Weights Returns'!$B$9:$BJ$69,
INT((ROW(A475)-1)/COLUMNS('Portfolio Weights Returns'!$B$9:$BJ$69))+1,MOD(ROW(A475)-1,COLUMNS('Portfolio Weights Returns'!$B$9:$BJ$69))+1)</f>
        <v>-8.302406732692871E-4</v>
      </c>
      <c r="B476">
        <v>1.6799999999999999E-2</v>
      </c>
      <c r="C476" s="59">
        <v>0.3</v>
      </c>
      <c r="D476" s="59">
        <v>0.26</v>
      </c>
      <c r="E476" s="60">
        <f t="shared" si="7"/>
        <v>0.44</v>
      </c>
      <c r="F476" t="str" cm="1">
        <f t="array" ref="F476">IF(A476=MAX(IF(ROUND($B$2:$B$3722,4)=ROUND(B476,4),$A$2:$A$3722)),"Efficient","Inefficient")</f>
        <v>Efficient</v>
      </c>
    </row>
    <row r="477" spans="1:6" x14ac:dyDescent="0.25">
      <c r="A477" cm="1">
        <f t="array" ref="A477">INDEX('Portfolio Weights Returns'!$B$9:$BJ$69,
INT((ROW(A476)-1)/COLUMNS('Portfolio Weights Returns'!$B$9:$BJ$69))+1,MOD(ROW(A476)-1,COLUMNS('Portfolio Weights Returns'!$B$9:$BJ$69))+1)</f>
        <v>-8.2345949930260796E-4</v>
      </c>
      <c r="B477">
        <v>1.6899999999999998E-2</v>
      </c>
      <c r="C477" s="59">
        <v>0.28999999999999998</v>
      </c>
      <c r="D477" s="59">
        <v>-0.11</v>
      </c>
      <c r="E477" s="60">
        <f t="shared" si="7"/>
        <v>0.82000000000000006</v>
      </c>
      <c r="F477" t="str" cm="1">
        <f t="array" ref="F477">IF(A477=MAX(IF(ROUND($B$2:$B$3722,4)=ROUND(B477,4),$A$2:$A$3722)),"Efficient","Inefficient")</f>
        <v>Inefficient</v>
      </c>
    </row>
    <row r="478" spans="1:6" x14ac:dyDescent="0.25">
      <c r="A478" cm="1">
        <f t="array" ref="A478">INDEX('Portfolio Weights Returns'!$B$9:$BJ$69,
INT((ROW(A477)-1)/COLUMNS('Portfolio Weights Returns'!$B$9:$BJ$69))+1,MOD(ROW(A477)-1,COLUMNS('Portfolio Weights Returns'!$B$9:$BJ$69))+1)</f>
        <v>-8.1667832533592892E-4</v>
      </c>
      <c r="B478">
        <v>1.6899999999999998E-2</v>
      </c>
      <c r="C478" s="59">
        <v>0.28000000000000003</v>
      </c>
      <c r="D478" s="59">
        <v>-0.1</v>
      </c>
      <c r="E478" s="60">
        <f t="shared" si="7"/>
        <v>0.82000000000000006</v>
      </c>
      <c r="F478" t="str" cm="1">
        <f t="array" ref="F478">IF(A478=MAX(IF(ROUND($B$2:$B$3722,4)=ROUND(B478,4),$A$2:$A$3722)),"Efficient","Inefficient")</f>
        <v>Inefficient</v>
      </c>
    </row>
    <row r="479" spans="1:6" x14ac:dyDescent="0.25">
      <c r="A479" cm="1">
        <f t="array" ref="A479">INDEX('Portfolio Weights Returns'!$B$9:$BJ$69,
INT((ROW(A478)-1)/COLUMNS('Portfolio Weights Returns'!$B$9:$BJ$69))+1,MOD(ROW(A478)-1,COLUMNS('Portfolio Weights Returns'!$B$9:$BJ$69))+1)</f>
        <v>-8.0989715136924967E-4</v>
      </c>
      <c r="B479">
        <v>1.6899999999999998E-2</v>
      </c>
      <c r="C479" s="59">
        <v>0.25</v>
      </c>
      <c r="D479" s="59">
        <v>-0.08</v>
      </c>
      <c r="E479" s="60">
        <f t="shared" si="7"/>
        <v>0.83000000000000007</v>
      </c>
      <c r="F479" t="str" cm="1">
        <f t="array" ref="F479">IF(A479=MAX(IF(ROUND($B$2:$B$3722,4)=ROUND(B479,4),$A$2:$A$3722)),"Efficient","Inefficient")</f>
        <v>Inefficient</v>
      </c>
    </row>
    <row r="480" spans="1:6" x14ac:dyDescent="0.25">
      <c r="A480" cm="1">
        <f t="array" ref="A480">INDEX('Portfolio Weights Returns'!$B$9:$BJ$69,
INT((ROW(A479)-1)/COLUMNS('Portfolio Weights Returns'!$B$9:$BJ$69))+1,MOD(ROW(A479)-1,COLUMNS('Portfolio Weights Returns'!$B$9:$BJ$69))+1)</f>
        <v>-8.0311597740257063E-4</v>
      </c>
      <c r="B480">
        <v>1.6899999999999998E-2</v>
      </c>
      <c r="C480" s="59">
        <v>0.24</v>
      </c>
      <c r="D480" s="59">
        <v>-7.0000000000000007E-2</v>
      </c>
      <c r="E480" s="60">
        <f t="shared" si="7"/>
        <v>0.83000000000000007</v>
      </c>
      <c r="F480" t="str" cm="1">
        <f t="array" ref="F480">IF(A480=MAX(IF(ROUND($B$2:$B$3722,4)=ROUND(B480,4),$A$2:$A$3722)),"Efficient","Inefficient")</f>
        <v>Inefficient</v>
      </c>
    </row>
    <row r="481" spans="1:6" x14ac:dyDescent="0.25">
      <c r="A481" cm="1">
        <f t="array" ref="A481">INDEX('Portfolio Weights Returns'!$B$9:$BJ$69,
INT((ROW(A480)-1)/COLUMNS('Portfolio Weights Returns'!$B$9:$BJ$69))+1,MOD(ROW(A480)-1,COLUMNS('Portfolio Weights Returns'!$B$9:$BJ$69))+1)</f>
        <v>-7.9633480343589149E-4</v>
      </c>
      <c r="B481">
        <v>1.6899999999999998E-2</v>
      </c>
      <c r="C481" s="59">
        <v>0.23</v>
      </c>
      <c r="D481" s="59">
        <v>-0.06</v>
      </c>
      <c r="E481" s="60">
        <f t="shared" si="7"/>
        <v>0.83000000000000007</v>
      </c>
      <c r="F481" t="str" cm="1">
        <f t="array" ref="F481">IF(A481=MAX(IF(ROUND($B$2:$B$3722,4)=ROUND(B481,4),$A$2:$A$3722)),"Efficient","Inefficient")</f>
        <v>Inefficient</v>
      </c>
    </row>
    <row r="482" spans="1:6" x14ac:dyDescent="0.25">
      <c r="A482" cm="1">
        <f t="array" ref="A482">INDEX('Portfolio Weights Returns'!$B$9:$BJ$69,
INT((ROW(A481)-1)/COLUMNS('Portfolio Weights Returns'!$B$9:$BJ$69))+1,MOD(ROW(A481)-1,COLUMNS('Portfolio Weights Returns'!$B$9:$BJ$69))+1)</f>
        <v>-7.8955362946921245E-4</v>
      </c>
      <c r="B482">
        <v>1.6899999999999998E-2</v>
      </c>
      <c r="C482" s="59">
        <v>0.22</v>
      </c>
      <c r="D482" s="59">
        <v>-0.05</v>
      </c>
      <c r="E482" s="60">
        <f t="shared" si="7"/>
        <v>0.83000000000000007</v>
      </c>
      <c r="F482" t="str" cm="1">
        <f t="array" ref="F482">IF(A482=MAX(IF(ROUND($B$2:$B$3722,4)=ROUND(B482,4),$A$2:$A$3722)),"Efficient","Inefficient")</f>
        <v>Inefficient</v>
      </c>
    </row>
    <row r="483" spans="1:6" x14ac:dyDescent="0.25">
      <c r="A483" cm="1">
        <f t="array" ref="A483">INDEX('Portfolio Weights Returns'!$B$9:$BJ$69,
INT((ROW(A482)-1)/COLUMNS('Portfolio Weights Returns'!$B$9:$BJ$69))+1,MOD(ROW(A482)-1,COLUMNS('Portfolio Weights Returns'!$B$9:$BJ$69))+1)</f>
        <v>-7.8277245550253331E-4</v>
      </c>
      <c r="B483">
        <v>1.6899999999999998E-2</v>
      </c>
      <c r="C483" s="59">
        <v>0.21</v>
      </c>
      <c r="D483" s="59">
        <v>-0.04</v>
      </c>
      <c r="E483" s="60">
        <f t="shared" si="7"/>
        <v>0.83000000000000007</v>
      </c>
      <c r="F483" t="str" cm="1">
        <f t="array" ref="F483">IF(A483=MAX(IF(ROUND($B$2:$B$3722,4)=ROUND(B483,4),$A$2:$A$3722)),"Efficient","Inefficient")</f>
        <v>Inefficient</v>
      </c>
    </row>
    <row r="484" spans="1:6" x14ac:dyDescent="0.25">
      <c r="A484" cm="1">
        <f t="array" ref="A484">INDEX('Portfolio Weights Returns'!$B$9:$BJ$69,
INT((ROW(A483)-1)/COLUMNS('Portfolio Weights Returns'!$B$9:$BJ$69))+1,MOD(ROW(A483)-1,COLUMNS('Portfolio Weights Returns'!$B$9:$BJ$69))+1)</f>
        <v>-7.7599128153585427E-4</v>
      </c>
      <c r="B484">
        <v>1.6899999999999998E-2</v>
      </c>
      <c r="C484" s="59">
        <v>0.2</v>
      </c>
      <c r="D484" s="59">
        <v>-0.03</v>
      </c>
      <c r="E484" s="60">
        <f t="shared" si="7"/>
        <v>0.83000000000000007</v>
      </c>
      <c r="F484" t="str" cm="1">
        <f t="array" ref="F484">IF(A484=MAX(IF(ROUND($B$2:$B$3722,4)=ROUND(B484,4),$A$2:$A$3722)),"Efficient","Inefficient")</f>
        <v>Inefficient</v>
      </c>
    </row>
    <row r="485" spans="1:6" x14ac:dyDescent="0.25">
      <c r="A485" cm="1">
        <f t="array" ref="A485">INDEX('Portfolio Weights Returns'!$B$9:$BJ$69,
INT((ROW(A484)-1)/COLUMNS('Portfolio Weights Returns'!$B$9:$BJ$69))+1,MOD(ROW(A484)-1,COLUMNS('Portfolio Weights Returns'!$B$9:$BJ$69))+1)</f>
        <v>-7.6921010756917513E-4</v>
      </c>
      <c r="B485">
        <v>1.6899999999999998E-2</v>
      </c>
      <c r="C485" s="59">
        <v>0.19</v>
      </c>
      <c r="D485" s="59">
        <v>-0.02</v>
      </c>
      <c r="E485" s="60">
        <f t="shared" si="7"/>
        <v>0.83000000000000007</v>
      </c>
      <c r="F485" t="str" cm="1">
        <f t="array" ref="F485">IF(A485=MAX(IF(ROUND($B$2:$B$3722,4)=ROUND(B485,4),$A$2:$A$3722)),"Efficient","Inefficient")</f>
        <v>Inefficient</v>
      </c>
    </row>
    <row r="486" spans="1:6" x14ac:dyDescent="0.25">
      <c r="A486" cm="1">
        <f t="array" ref="A486">INDEX('Portfolio Weights Returns'!$B$9:$BJ$69,
INT((ROW(A485)-1)/COLUMNS('Portfolio Weights Returns'!$B$9:$BJ$69))+1,MOD(ROW(A485)-1,COLUMNS('Portfolio Weights Returns'!$B$9:$BJ$69))+1)</f>
        <v>-7.6242893360249533E-4</v>
      </c>
      <c r="B486">
        <v>1.6899999999999998E-2</v>
      </c>
      <c r="C486" s="59">
        <v>0.18</v>
      </c>
      <c r="D486" s="59">
        <v>-0.01</v>
      </c>
      <c r="E486" s="60">
        <f t="shared" si="7"/>
        <v>0.83000000000000007</v>
      </c>
      <c r="F486" t="str" cm="1">
        <f t="array" ref="F486">IF(A486=MAX(IF(ROUND($B$2:$B$3722,4)=ROUND(B486,4),$A$2:$A$3722)),"Efficient","Inefficient")</f>
        <v>Inefficient</v>
      </c>
    </row>
    <row r="487" spans="1:6" x14ac:dyDescent="0.25">
      <c r="A487" cm="1">
        <f t="array" ref="A487">INDEX('Portfolio Weights Returns'!$B$9:$BJ$69,
INT((ROW(A486)-1)/COLUMNS('Portfolio Weights Returns'!$B$9:$BJ$69))+1,MOD(ROW(A486)-1,COLUMNS('Portfolio Weights Returns'!$B$9:$BJ$69))+1)</f>
        <v>-7.5564775963581619E-4</v>
      </c>
      <c r="B487">
        <v>1.6899999999999998E-2</v>
      </c>
      <c r="C487" s="59">
        <v>0.17</v>
      </c>
      <c r="D487" s="59">
        <v>0</v>
      </c>
      <c r="E487" s="60">
        <f t="shared" si="7"/>
        <v>0.83</v>
      </c>
      <c r="F487" t="str" cm="1">
        <f t="array" ref="F487">IF(A487=MAX(IF(ROUND($B$2:$B$3722,4)=ROUND(B487,4),$A$2:$A$3722)),"Efficient","Inefficient")</f>
        <v>Inefficient</v>
      </c>
    </row>
    <row r="488" spans="1:6" x14ac:dyDescent="0.25">
      <c r="A488" cm="1">
        <f t="array" ref="A488">INDEX('Portfolio Weights Returns'!$B$9:$BJ$69,
INT((ROW(A487)-1)/COLUMNS('Portfolio Weights Returns'!$B$9:$BJ$69))+1,MOD(ROW(A487)-1,COLUMNS('Portfolio Weights Returns'!$B$9:$BJ$69))+1)</f>
        <v>-7.4886658566913715E-4</v>
      </c>
      <c r="B488">
        <v>1.6899999999999998E-2</v>
      </c>
      <c r="C488" s="59">
        <v>0.16</v>
      </c>
      <c r="D488" s="59">
        <v>0.01</v>
      </c>
      <c r="E488" s="60">
        <f t="shared" si="7"/>
        <v>0.83</v>
      </c>
      <c r="F488" t="str" cm="1">
        <f t="array" ref="F488">IF(A488=MAX(IF(ROUND($B$2:$B$3722,4)=ROUND(B488,4),$A$2:$A$3722)),"Efficient","Inefficient")</f>
        <v>Inefficient</v>
      </c>
    </row>
    <row r="489" spans="1:6" x14ac:dyDescent="0.25">
      <c r="A489" cm="1">
        <f t="array" ref="A489">INDEX('Portfolio Weights Returns'!$B$9:$BJ$69,
INT((ROW(A488)-1)/COLUMNS('Portfolio Weights Returns'!$B$9:$BJ$69))+1,MOD(ROW(A488)-1,COLUMNS('Portfolio Weights Returns'!$B$9:$BJ$69))+1)</f>
        <v>-7.4208541170245801E-4</v>
      </c>
      <c r="B489">
        <v>1.6899999999999998E-2</v>
      </c>
      <c r="C489" s="59">
        <v>0.15</v>
      </c>
      <c r="D489" s="59">
        <v>0.03</v>
      </c>
      <c r="E489" s="60">
        <f t="shared" si="7"/>
        <v>0.82</v>
      </c>
      <c r="F489" t="str" cm="1">
        <f t="array" ref="F489">IF(A489=MAX(IF(ROUND($B$2:$B$3722,4)=ROUND(B489,4),$A$2:$A$3722)),"Efficient","Inefficient")</f>
        <v>Efficient</v>
      </c>
    </row>
    <row r="490" spans="1:6" x14ac:dyDescent="0.25">
      <c r="A490" cm="1">
        <f t="array" ref="A490">INDEX('Portfolio Weights Returns'!$B$9:$BJ$69,
INT((ROW(A489)-1)/COLUMNS('Portfolio Weights Returns'!$B$9:$BJ$69))+1,MOD(ROW(A489)-1,COLUMNS('Portfolio Weights Returns'!$B$9:$BJ$69))+1)</f>
        <v>-1.1423816418577497E-3</v>
      </c>
      <c r="B490">
        <v>1.6899999999999998E-2</v>
      </c>
      <c r="C490" s="59">
        <v>0.14000000000000001</v>
      </c>
      <c r="D490" s="59">
        <v>0.04</v>
      </c>
      <c r="E490" s="60">
        <f t="shared" si="7"/>
        <v>0.82</v>
      </c>
      <c r="F490" t="str" cm="1">
        <f t="array" ref="F490">IF(A490=MAX(IF(ROUND($B$2:$B$3722,4)=ROUND(B490,4),$A$2:$A$3722)),"Efficient","Inefficient")</f>
        <v>Inefficient</v>
      </c>
    </row>
    <row r="491" spans="1:6" x14ac:dyDescent="0.25">
      <c r="A491" cm="1">
        <f t="array" ref="A491">INDEX('Portfolio Weights Returns'!$B$9:$BJ$69,
INT((ROW(A490)-1)/COLUMNS('Portfolio Weights Returns'!$B$9:$BJ$69))+1,MOD(ROW(A490)-1,COLUMNS('Portfolio Weights Returns'!$B$9:$BJ$69))+1)</f>
        <v>-1.1356004678910706E-3</v>
      </c>
      <c r="B491">
        <v>1.6899999999999998E-2</v>
      </c>
      <c r="C491" s="59">
        <v>0.14000000000000001</v>
      </c>
      <c r="D491" s="59">
        <v>0.05</v>
      </c>
      <c r="E491" s="60">
        <f t="shared" si="7"/>
        <v>0.80999999999999994</v>
      </c>
      <c r="F491" t="str" cm="1">
        <f t="array" ref="F491">IF(A491=MAX(IF(ROUND($B$2:$B$3722,4)=ROUND(B491,4),$A$2:$A$3722)),"Efficient","Inefficient")</f>
        <v>Inefficient</v>
      </c>
    </row>
    <row r="492" spans="1:6" x14ac:dyDescent="0.25">
      <c r="A492" cm="1">
        <f t="array" ref="A492">INDEX('Portfolio Weights Returns'!$B$9:$BJ$69,
INT((ROW(A491)-1)/COLUMNS('Portfolio Weights Returns'!$B$9:$BJ$69))+1,MOD(ROW(A491)-1,COLUMNS('Portfolio Weights Returns'!$B$9:$BJ$69))+1)</f>
        <v>-1.1288192939243916E-3</v>
      </c>
      <c r="B492">
        <v>1.6899999999999998E-2</v>
      </c>
      <c r="C492" s="59">
        <v>0.13</v>
      </c>
      <c r="D492" s="59">
        <v>0.06</v>
      </c>
      <c r="E492" s="60">
        <f t="shared" si="7"/>
        <v>0.80999999999999994</v>
      </c>
      <c r="F492" t="str" cm="1">
        <f t="array" ref="F492">IF(A492=MAX(IF(ROUND($B$2:$B$3722,4)=ROUND(B492,4),$A$2:$A$3722)),"Efficient","Inefficient")</f>
        <v>Inefficient</v>
      </c>
    </row>
    <row r="493" spans="1:6" x14ac:dyDescent="0.25">
      <c r="A493" cm="1">
        <f t="array" ref="A493">INDEX('Portfolio Weights Returns'!$B$9:$BJ$69,
INT((ROW(A492)-1)/COLUMNS('Portfolio Weights Returns'!$B$9:$BJ$69))+1,MOD(ROW(A492)-1,COLUMNS('Portfolio Weights Returns'!$B$9:$BJ$69))+1)</f>
        <v>-1.1220381199577125E-3</v>
      </c>
      <c r="B493">
        <v>1.6899999999999998E-2</v>
      </c>
      <c r="C493" s="59">
        <v>0.13</v>
      </c>
      <c r="D493" s="59">
        <v>7.0000000000000007E-2</v>
      </c>
      <c r="E493" s="60">
        <f t="shared" si="7"/>
        <v>0.79999999999999993</v>
      </c>
      <c r="F493" t="str" cm="1">
        <f t="array" ref="F493">IF(A493=MAX(IF(ROUND($B$2:$B$3722,4)=ROUND(B493,4),$A$2:$A$3722)),"Efficient","Inefficient")</f>
        <v>Inefficient</v>
      </c>
    </row>
    <row r="494" spans="1:6" x14ac:dyDescent="0.25">
      <c r="A494" cm="1">
        <f t="array" ref="A494">INDEX('Portfolio Weights Returns'!$B$9:$BJ$69,
INT((ROW(A493)-1)/COLUMNS('Portfolio Weights Returns'!$B$9:$BJ$69))+1,MOD(ROW(A493)-1,COLUMNS('Portfolio Weights Returns'!$B$9:$BJ$69))+1)</f>
        <v>-1.1152569459910334E-3</v>
      </c>
      <c r="B494">
        <v>1.6899999999999998E-2</v>
      </c>
      <c r="C494" s="59">
        <v>0.12</v>
      </c>
      <c r="D494" s="59">
        <v>0.09</v>
      </c>
      <c r="E494" s="60">
        <f t="shared" si="7"/>
        <v>0.79</v>
      </c>
      <c r="F494" t="str" cm="1">
        <f t="array" ref="F494">IF(A494=MAX(IF(ROUND($B$2:$B$3722,4)=ROUND(B494,4),$A$2:$A$3722)),"Efficient","Inefficient")</f>
        <v>Inefficient</v>
      </c>
    </row>
    <row r="495" spans="1:6" x14ac:dyDescent="0.25">
      <c r="A495" cm="1">
        <f t="array" ref="A495">INDEX('Portfolio Weights Returns'!$B$9:$BJ$69,
INT((ROW(A494)-1)/COLUMNS('Portfolio Weights Returns'!$B$9:$BJ$69))+1,MOD(ROW(A494)-1,COLUMNS('Portfolio Weights Returns'!$B$9:$BJ$69))+1)</f>
        <v>-1.1084757720243542E-3</v>
      </c>
      <c r="B495">
        <v>1.6899999999999998E-2</v>
      </c>
      <c r="C495" s="59">
        <v>0.12</v>
      </c>
      <c r="D495" s="59">
        <v>0.1</v>
      </c>
      <c r="E495" s="60">
        <f t="shared" si="7"/>
        <v>0.78</v>
      </c>
      <c r="F495" t="str" cm="1">
        <f t="array" ref="F495">IF(A495=MAX(IF(ROUND($B$2:$B$3722,4)=ROUND(B495,4),$A$2:$A$3722)),"Efficient","Inefficient")</f>
        <v>Inefficient</v>
      </c>
    </row>
    <row r="496" spans="1:6" x14ac:dyDescent="0.25">
      <c r="A496" cm="1">
        <f t="array" ref="A496">INDEX('Portfolio Weights Returns'!$B$9:$BJ$69,
INT((ROW(A495)-1)/COLUMNS('Portfolio Weights Returns'!$B$9:$BJ$69))+1,MOD(ROW(A495)-1,COLUMNS('Portfolio Weights Returns'!$B$9:$BJ$69))+1)</f>
        <v>-1.1016945980576751E-3</v>
      </c>
      <c r="B496">
        <v>1.6899999999999998E-2</v>
      </c>
      <c r="C496" s="59">
        <v>0.12</v>
      </c>
      <c r="D496" s="59">
        <v>0.11</v>
      </c>
      <c r="E496" s="60">
        <f t="shared" si="7"/>
        <v>0.77</v>
      </c>
      <c r="F496" t="str" cm="1">
        <f t="array" ref="F496">IF(A496=MAX(IF(ROUND($B$2:$B$3722,4)=ROUND(B496,4),$A$2:$A$3722)),"Efficient","Inefficient")</f>
        <v>Inefficient</v>
      </c>
    </row>
    <row r="497" spans="1:6" x14ac:dyDescent="0.25">
      <c r="A497" cm="1">
        <f t="array" ref="A497">INDEX('Portfolio Weights Returns'!$B$9:$BJ$69,
INT((ROW(A496)-1)/COLUMNS('Portfolio Weights Returns'!$B$9:$BJ$69))+1,MOD(ROW(A496)-1,COLUMNS('Portfolio Weights Returns'!$B$9:$BJ$69))+1)</f>
        <v>-1.0949134240909961E-3</v>
      </c>
      <c r="B497">
        <v>1.6899999999999998E-2</v>
      </c>
      <c r="C497" s="59">
        <v>0.12</v>
      </c>
      <c r="D497" s="59">
        <v>0.12</v>
      </c>
      <c r="E497" s="60">
        <f t="shared" si="7"/>
        <v>0.76</v>
      </c>
      <c r="F497" t="str" cm="1">
        <f t="array" ref="F497">IF(A497=MAX(IF(ROUND($B$2:$B$3722,4)=ROUND(B497,4),$A$2:$A$3722)),"Efficient","Inefficient")</f>
        <v>Inefficient</v>
      </c>
    </row>
    <row r="498" spans="1:6" x14ac:dyDescent="0.25">
      <c r="A498" cm="1">
        <f t="array" ref="A498">INDEX('Portfolio Weights Returns'!$B$9:$BJ$69,
INT((ROW(A497)-1)/COLUMNS('Portfolio Weights Returns'!$B$9:$BJ$69))+1,MOD(ROW(A497)-1,COLUMNS('Portfolio Weights Returns'!$B$9:$BJ$69))+1)</f>
        <v>-1.088132250124317E-3</v>
      </c>
      <c r="B498">
        <v>1.6899999999999998E-2</v>
      </c>
      <c r="C498" s="59">
        <v>0.12</v>
      </c>
      <c r="D498" s="59">
        <v>0.13</v>
      </c>
      <c r="E498" s="60">
        <f t="shared" si="7"/>
        <v>0.75</v>
      </c>
      <c r="F498" t="str" cm="1">
        <f t="array" ref="F498">IF(A498=MAX(IF(ROUND($B$2:$B$3722,4)=ROUND(B498,4),$A$2:$A$3722)),"Efficient","Inefficient")</f>
        <v>Inefficient</v>
      </c>
    </row>
    <row r="499" spans="1:6" x14ac:dyDescent="0.25">
      <c r="A499" cm="1">
        <f t="array" ref="A499">INDEX('Portfolio Weights Returns'!$B$9:$BJ$69,
INT((ROW(A498)-1)/COLUMNS('Portfolio Weights Returns'!$B$9:$BJ$69))+1,MOD(ROW(A498)-1,COLUMNS('Portfolio Weights Returns'!$B$9:$BJ$69))+1)</f>
        <v>-1.0813510761576376E-3</v>
      </c>
      <c r="B499">
        <v>1.6899999999999998E-2</v>
      </c>
      <c r="C499" s="59">
        <v>0.12</v>
      </c>
      <c r="D499" s="59">
        <v>0.14000000000000001</v>
      </c>
      <c r="E499" s="60">
        <f t="shared" si="7"/>
        <v>0.74</v>
      </c>
      <c r="F499" t="str" cm="1">
        <f t="array" ref="F499">IF(A499=MAX(IF(ROUND($B$2:$B$3722,4)=ROUND(B499,4),$A$2:$A$3722)),"Efficient","Inefficient")</f>
        <v>Inefficient</v>
      </c>
    </row>
    <row r="500" spans="1:6" x14ac:dyDescent="0.25">
      <c r="A500" cm="1">
        <f t="array" ref="A500">INDEX('Portfolio Weights Returns'!$B$9:$BJ$69,
INT((ROW(A499)-1)/COLUMNS('Portfolio Weights Returns'!$B$9:$BJ$69))+1,MOD(ROW(A499)-1,COLUMNS('Portfolio Weights Returns'!$B$9:$BJ$69))+1)</f>
        <v>-1.0745699021909585E-3</v>
      </c>
      <c r="B500">
        <v>1.6899999999999998E-2</v>
      </c>
      <c r="C500" s="59">
        <v>0.12</v>
      </c>
      <c r="D500" s="59">
        <v>0.15</v>
      </c>
      <c r="E500" s="60">
        <f t="shared" si="7"/>
        <v>0.73</v>
      </c>
      <c r="F500" t="str" cm="1">
        <f t="array" ref="F500">IF(A500=MAX(IF(ROUND($B$2:$B$3722,4)=ROUND(B500,4),$A$2:$A$3722)),"Efficient","Inefficient")</f>
        <v>Inefficient</v>
      </c>
    </row>
    <row r="501" spans="1:6" x14ac:dyDescent="0.25">
      <c r="A501" cm="1">
        <f t="array" ref="A501">INDEX('Portfolio Weights Returns'!$B$9:$BJ$69,
INT((ROW(A500)-1)/COLUMNS('Portfolio Weights Returns'!$B$9:$BJ$69))+1,MOD(ROW(A500)-1,COLUMNS('Portfolio Weights Returns'!$B$9:$BJ$69))+1)</f>
        <v>-1.0677887282242796E-3</v>
      </c>
      <c r="B501">
        <v>1.6899999999999998E-2</v>
      </c>
      <c r="C501" s="59">
        <v>0.12</v>
      </c>
      <c r="D501" s="59">
        <v>0.16</v>
      </c>
      <c r="E501" s="60">
        <f t="shared" si="7"/>
        <v>0.72</v>
      </c>
      <c r="F501" t="str" cm="1">
        <f t="array" ref="F501">IF(A501=MAX(IF(ROUND($B$2:$B$3722,4)=ROUND(B501,4),$A$2:$A$3722)),"Efficient","Inefficient")</f>
        <v>Inefficient</v>
      </c>
    </row>
    <row r="502" spans="1:6" x14ac:dyDescent="0.25">
      <c r="A502" cm="1">
        <f t="array" ref="A502">INDEX('Portfolio Weights Returns'!$B$9:$BJ$69,
INT((ROW(A501)-1)/COLUMNS('Portfolio Weights Returns'!$B$9:$BJ$69))+1,MOD(ROW(A501)-1,COLUMNS('Portfolio Weights Returns'!$B$9:$BJ$69))+1)</f>
        <v>-1.0610075542576004E-3</v>
      </c>
      <c r="B502">
        <v>1.6899999999999998E-2</v>
      </c>
      <c r="C502" s="59">
        <v>0.13</v>
      </c>
      <c r="D502" s="59">
        <v>0.16</v>
      </c>
      <c r="E502" s="60">
        <f t="shared" si="7"/>
        <v>0.71</v>
      </c>
      <c r="F502" t="str" cm="1">
        <f t="array" ref="F502">IF(A502=MAX(IF(ROUND($B$2:$B$3722,4)=ROUND(B502,4),$A$2:$A$3722)),"Efficient","Inefficient")</f>
        <v>Inefficient</v>
      </c>
    </row>
    <row r="503" spans="1:6" x14ac:dyDescent="0.25">
      <c r="A503" cm="1">
        <f t="array" ref="A503">INDEX('Portfolio Weights Returns'!$B$9:$BJ$69,
INT((ROW(A502)-1)/COLUMNS('Portfolio Weights Returns'!$B$9:$BJ$69))+1,MOD(ROW(A502)-1,COLUMNS('Portfolio Weights Returns'!$B$9:$BJ$69))+1)</f>
        <v>-1.0542263802909213E-3</v>
      </c>
      <c r="B503">
        <v>1.6899999999999998E-2</v>
      </c>
      <c r="C503" s="59">
        <v>0.13</v>
      </c>
      <c r="D503" s="59">
        <v>0.17</v>
      </c>
      <c r="E503" s="60">
        <f t="shared" si="7"/>
        <v>0.7</v>
      </c>
      <c r="F503" t="str" cm="1">
        <f t="array" ref="F503">IF(A503=MAX(IF(ROUND($B$2:$B$3722,4)=ROUND(B503,4),$A$2:$A$3722)),"Efficient","Inefficient")</f>
        <v>Inefficient</v>
      </c>
    </row>
    <row r="504" spans="1:6" x14ac:dyDescent="0.25">
      <c r="A504" cm="1">
        <f t="array" ref="A504">INDEX('Portfolio Weights Returns'!$B$9:$BJ$69,
INT((ROW(A503)-1)/COLUMNS('Portfolio Weights Returns'!$B$9:$BJ$69))+1,MOD(ROW(A503)-1,COLUMNS('Portfolio Weights Returns'!$B$9:$BJ$69))+1)</f>
        <v>-1.0474452063242421E-3</v>
      </c>
      <c r="B504">
        <v>1.6899999999999998E-2</v>
      </c>
      <c r="C504" s="59">
        <v>0.13</v>
      </c>
      <c r="D504" s="59">
        <v>0.18</v>
      </c>
      <c r="E504" s="60">
        <f t="shared" si="7"/>
        <v>0.69000000000000006</v>
      </c>
      <c r="F504" t="str" cm="1">
        <f t="array" ref="F504">IF(A504=MAX(IF(ROUND($B$2:$B$3722,4)=ROUND(B504,4),$A$2:$A$3722)),"Efficient","Inefficient")</f>
        <v>Inefficient</v>
      </c>
    </row>
    <row r="505" spans="1:6" x14ac:dyDescent="0.25">
      <c r="A505" cm="1">
        <f t="array" ref="A505">INDEX('Portfolio Weights Returns'!$B$9:$BJ$69,
INT((ROW(A504)-1)/COLUMNS('Portfolio Weights Returns'!$B$9:$BJ$69))+1,MOD(ROW(A504)-1,COLUMNS('Portfolio Weights Returns'!$B$9:$BJ$69))+1)</f>
        <v>-1.040664032357563E-3</v>
      </c>
      <c r="B505">
        <v>1.6899999999999998E-2</v>
      </c>
      <c r="C505" s="59">
        <v>0.14000000000000001</v>
      </c>
      <c r="D505" s="59">
        <v>0.18</v>
      </c>
      <c r="E505" s="60">
        <f t="shared" si="7"/>
        <v>0.68</v>
      </c>
      <c r="F505" t="str" cm="1">
        <f t="array" ref="F505">IF(A505=MAX(IF(ROUND($B$2:$B$3722,4)=ROUND(B505,4),$A$2:$A$3722)),"Efficient","Inefficient")</f>
        <v>Inefficient</v>
      </c>
    </row>
    <row r="506" spans="1:6" x14ac:dyDescent="0.25">
      <c r="A506" cm="1">
        <f t="array" ref="A506">INDEX('Portfolio Weights Returns'!$B$9:$BJ$69,
INT((ROW(A505)-1)/COLUMNS('Portfolio Weights Returns'!$B$9:$BJ$69))+1,MOD(ROW(A505)-1,COLUMNS('Portfolio Weights Returns'!$B$9:$BJ$69))+1)</f>
        <v>-1.0338828583908843E-3</v>
      </c>
      <c r="B506">
        <v>1.6899999999999998E-2</v>
      </c>
      <c r="C506" s="59">
        <v>0.14000000000000001</v>
      </c>
      <c r="D506" s="59">
        <v>0.19</v>
      </c>
      <c r="E506" s="60">
        <f t="shared" si="7"/>
        <v>0.67</v>
      </c>
      <c r="F506" t="str" cm="1">
        <f t="array" ref="F506">IF(A506=MAX(IF(ROUND($B$2:$B$3722,4)=ROUND(B506,4),$A$2:$A$3722)),"Efficient","Inefficient")</f>
        <v>Inefficient</v>
      </c>
    </row>
    <row r="507" spans="1:6" x14ac:dyDescent="0.25">
      <c r="A507" cm="1">
        <f t="array" ref="A507">INDEX('Portfolio Weights Returns'!$B$9:$BJ$69,
INT((ROW(A506)-1)/COLUMNS('Portfolio Weights Returns'!$B$9:$BJ$69))+1,MOD(ROW(A506)-1,COLUMNS('Portfolio Weights Returns'!$B$9:$BJ$69))+1)</f>
        <v>-1.0271016844242049E-3</v>
      </c>
      <c r="B507">
        <v>1.6899999999999998E-2</v>
      </c>
      <c r="C507" s="59">
        <v>0.15</v>
      </c>
      <c r="D507" s="59">
        <v>0.2</v>
      </c>
      <c r="E507" s="60">
        <f t="shared" si="7"/>
        <v>0.65</v>
      </c>
      <c r="F507" t="str" cm="1">
        <f t="array" ref="F507">IF(A507=MAX(IF(ROUND($B$2:$B$3722,4)=ROUND(B507,4),$A$2:$A$3722)),"Efficient","Inefficient")</f>
        <v>Inefficient</v>
      </c>
    </row>
    <row r="508" spans="1:6" x14ac:dyDescent="0.25">
      <c r="A508" cm="1">
        <f t="array" ref="A508">INDEX('Portfolio Weights Returns'!$B$9:$BJ$69,
INT((ROW(A507)-1)/COLUMNS('Portfolio Weights Returns'!$B$9:$BJ$69))+1,MOD(ROW(A507)-1,COLUMNS('Portfolio Weights Returns'!$B$9:$BJ$69))+1)</f>
        <v>-1.020320510457526E-3</v>
      </c>
      <c r="B508">
        <v>1.6899999999999998E-2</v>
      </c>
      <c r="C508" s="59">
        <v>0.16</v>
      </c>
      <c r="D508" s="59">
        <v>0.21</v>
      </c>
      <c r="E508" s="60">
        <f t="shared" si="7"/>
        <v>0.63</v>
      </c>
      <c r="F508" t="str" cm="1">
        <f t="array" ref="F508">IF(A508=MAX(IF(ROUND($B$2:$B$3722,4)=ROUND(B508,4),$A$2:$A$3722)),"Efficient","Inefficient")</f>
        <v>Inefficient</v>
      </c>
    </row>
    <row r="509" spans="1:6" x14ac:dyDescent="0.25">
      <c r="A509" cm="1">
        <f t="array" ref="A509">INDEX('Portfolio Weights Returns'!$B$9:$BJ$69,
INT((ROW(A508)-1)/COLUMNS('Portfolio Weights Returns'!$B$9:$BJ$69))+1,MOD(ROW(A508)-1,COLUMNS('Portfolio Weights Returns'!$B$9:$BJ$69))+1)</f>
        <v>-1.0135393364908468E-3</v>
      </c>
      <c r="B509">
        <v>1.6899999999999998E-2</v>
      </c>
      <c r="C509" s="59">
        <v>0.17</v>
      </c>
      <c r="D509" s="59">
        <v>0.22</v>
      </c>
      <c r="E509" s="60">
        <f t="shared" si="7"/>
        <v>0.61</v>
      </c>
      <c r="F509" t="str" cm="1">
        <f t="array" ref="F509">IF(A509=MAX(IF(ROUND($B$2:$B$3722,4)=ROUND(B509,4),$A$2:$A$3722)),"Efficient","Inefficient")</f>
        <v>Inefficient</v>
      </c>
    </row>
    <row r="510" spans="1:6" x14ac:dyDescent="0.25">
      <c r="A510" cm="1">
        <f t="array" ref="A510">INDEX('Portfolio Weights Returns'!$B$9:$BJ$69,
INT((ROW(A509)-1)/COLUMNS('Portfolio Weights Returns'!$B$9:$BJ$69))+1,MOD(ROW(A509)-1,COLUMNS('Portfolio Weights Returns'!$B$9:$BJ$69))+1)</f>
        <v>-1.0067581625241679E-3</v>
      </c>
      <c r="B510">
        <v>1.6899999999999998E-2</v>
      </c>
      <c r="C510" s="59">
        <v>0.18</v>
      </c>
      <c r="D510" s="59">
        <v>0.22</v>
      </c>
      <c r="E510" s="60">
        <f t="shared" si="7"/>
        <v>0.60000000000000009</v>
      </c>
      <c r="F510" t="str" cm="1">
        <f t="array" ref="F510">IF(A510=MAX(IF(ROUND($B$2:$B$3722,4)=ROUND(B510,4),$A$2:$A$3722)),"Efficient","Inefficient")</f>
        <v>Inefficient</v>
      </c>
    </row>
    <row r="511" spans="1:6" x14ac:dyDescent="0.25">
      <c r="A511" cm="1">
        <f t="array" ref="A511">INDEX('Portfolio Weights Returns'!$B$9:$BJ$69,
INT((ROW(A510)-1)/COLUMNS('Portfolio Weights Returns'!$B$9:$BJ$69))+1,MOD(ROW(A510)-1,COLUMNS('Portfolio Weights Returns'!$B$9:$BJ$69))+1)</f>
        <v>-9.9997698855748855E-4</v>
      </c>
      <c r="B511">
        <v>1.6899999999999998E-2</v>
      </c>
      <c r="C511" s="59">
        <v>0.19</v>
      </c>
      <c r="D511" s="59">
        <v>0.23</v>
      </c>
      <c r="E511" s="60">
        <f t="shared" si="7"/>
        <v>0.58000000000000007</v>
      </c>
      <c r="F511" t="str" cm="1">
        <f t="array" ref="F511">IF(A511=MAX(IF(ROUND($B$2:$B$3722,4)=ROUND(B511,4),$A$2:$A$3722)),"Efficient","Inefficient")</f>
        <v>Inefficient</v>
      </c>
    </row>
    <row r="512" spans="1:6" x14ac:dyDescent="0.25">
      <c r="A512" cm="1">
        <f t="array" ref="A512">INDEX('Portfolio Weights Returns'!$B$9:$BJ$69,
INT((ROW(A511)-1)/COLUMNS('Portfolio Weights Returns'!$B$9:$BJ$69))+1,MOD(ROW(A511)-1,COLUMNS('Portfolio Weights Returns'!$B$9:$BJ$69))+1)</f>
        <v>-9.931958145908094E-4</v>
      </c>
      <c r="B512">
        <v>1.6899999999999998E-2</v>
      </c>
      <c r="C512" s="59">
        <v>0.21</v>
      </c>
      <c r="D512" s="59">
        <v>0.24</v>
      </c>
      <c r="E512" s="60">
        <f t="shared" si="7"/>
        <v>0.55000000000000004</v>
      </c>
      <c r="F512" t="str" cm="1">
        <f t="array" ref="F512">IF(A512=MAX(IF(ROUND($B$2:$B$3722,4)=ROUND(B512,4),$A$2:$A$3722)),"Efficient","Inefficient")</f>
        <v>Inefficient</v>
      </c>
    </row>
    <row r="513" spans="1:6" x14ac:dyDescent="0.25">
      <c r="A513" cm="1">
        <f t="array" ref="A513">INDEX('Portfolio Weights Returns'!$B$9:$BJ$69,
INT((ROW(A512)-1)/COLUMNS('Portfolio Weights Returns'!$B$9:$BJ$69))+1,MOD(ROW(A512)-1,COLUMNS('Portfolio Weights Returns'!$B$9:$BJ$69))+1)</f>
        <v>-9.8641464062413026E-4</v>
      </c>
      <c r="B513">
        <v>1.6899999999999998E-2</v>
      </c>
      <c r="C513" s="59">
        <v>0.22</v>
      </c>
      <c r="D513" s="59">
        <v>0.24</v>
      </c>
      <c r="E513" s="60">
        <f t="shared" si="7"/>
        <v>0.54</v>
      </c>
      <c r="F513" t="str" cm="1">
        <f t="array" ref="F513">IF(A513=MAX(IF(ROUND($B$2:$B$3722,4)=ROUND(B513,4),$A$2:$A$3722)),"Efficient","Inefficient")</f>
        <v>Inefficient</v>
      </c>
    </row>
    <row r="514" spans="1:6" x14ac:dyDescent="0.25">
      <c r="A514" cm="1">
        <f t="array" ref="A514">INDEX('Portfolio Weights Returns'!$B$9:$BJ$69,
INT((ROW(A513)-1)/COLUMNS('Portfolio Weights Returns'!$B$9:$BJ$69))+1,MOD(ROW(A513)-1,COLUMNS('Portfolio Weights Returns'!$B$9:$BJ$69))+1)</f>
        <v>-9.7963346665745112E-4</v>
      </c>
      <c r="B514">
        <v>1.6899999999999998E-2</v>
      </c>
      <c r="C514" s="59">
        <v>0.23</v>
      </c>
      <c r="D514" s="59">
        <v>0.25</v>
      </c>
      <c r="E514" s="60">
        <f t="shared" ref="E514:E577" si="8">1-D514-C514</f>
        <v>0.52</v>
      </c>
      <c r="F514" t="str" cm="1">
        <f t="array" ref="F514">IF(A514=MAX(IF(ROUND($B$2:$B$3722,4)=ROUND(B514,4),$A$2:$A$3722)),"Efficient","Inefficient")</f>
        <v>Inefficient</v>
      </c>
    </row>
    <row r="515" spans="1:6" x14ac:dyDescent="0.25">
      <c r="A515" cm="1">
        <f t="array" ref="A515">INDEX('Portfolio Weights Returns'!$B$9:$BJ$69,
INT((ROW(A514)-1)/COLUMNS('Portfolio Weights Returns'!$B$9:$BJ$69))+1,MOD(ROW(A514)-1,COLUMNS('Portfolio Weights Returns'!$B$9:$BJ$69))+1)</f>
        <v>-9.7285229269077208E-4</v>
      </c>
      <c r="B515">
        <v>1.6899999999999998E-2</v>
      </c>
      <c r="C515" s="59">
        <v>0.24</v>
      </c>
      <c r="D515" s="59">
        <v>0.25</v>
      </c>
      <c r="E515" s="60">
        <f t="shared" si="8"/>
        <v>0.51</v>
      </c>
      <c r="F515" t="str" cm="1">
        <f t="array" ref="F515">IF(A515=MAX(IF(ROUND($B$2:$B$3722,4)=ROUND(B515,4),$A$2:$A$3722)),"Efficient","Inefficient")</f>
        <v>Inefficient</v>
      </c>
    </row>
    <row r="516" spans="1:6" x14ac:dyDescent="0.25">
      <c r="A516" cm="1">
        <f t="array" ref="A516">INDEX('Portfolio Weights Returns'!$B$9:$BJ$69,
INT((ROW(A515)-1)/COLUMNS('Portfolio Weights Returns'!$B$9:$BJ$69))+1,MOD(ROW(A515)-1,COLUMNS('Portfolio Weights Returns'!$B$9:$BJ$69))+1)</f>
        <v>-9.6607111872409304E-4</v>
      </c>
      <c r="B516">
        <v>1.6899999999999998E-2</v>
      </c>
      <c r="C516" s="59">
        <v>0.27</v>
      </c>
      <c r="D516" s="59">
        <v>0.26</v>
      </c>
      <c r="E516" s="60">
        <f t="shared" si="8"/>
        <v>0.47</v>
      </c>
      <c r="F516" t="str" cm="1">
        <f t="array" ref="F516">IF(A516=MAX(IF(ROUND($B$2:$B$3722,4)=ROUND(B516,4),$A$2:$A$3722)),"Efficient","Inefficient")</f>
        <v>Inefficient</v>
      </c>
    </row>
    <row r="517" spans="1:6" x14ac:dyDescent="0.25">
      <c r="A517" cm="1">
        <f t="array" ref="A517">INDEX('Portfolio Weights Returns'!$B$9:$BJ$69,
INT((ROW(A516)-1)/COLUMNS('Portfolio Weights Returns'!$B$9:$BJ$69))+1,MOD(ROW(A516)-1,COLUMNS('Portfolio Weights Returns'!$B$9:$BJ$69))+1)</f>
        <v>-9.592899447574139E-4</v>
      </c>
      <c r="B517">
        <v>1.6899999999999998E-2</v>
      </c>
      <c r="C517" s="59">
        <v>0.28000000000000003</v>
      </c>
      <c r="D517" s="59">
        <v>0.26</v>
      </c>
      <c r="E517" s="60">
        <f t="shared" si="8"/>
        <v>0.45999999999999996</v>
      </c>
      <c r="F517" t="str" cm="1">
        <f t="array" ref="F517">IF(A517=MAX(IF(ROUND($B$2:$B$3722,4)=ROUND(B517,4),$A$2:$A$3722)),"Efficient","Inefficient")</f>
        <v>Inefficient</v>
      </c>
    </row>
    <row r="518" spans="1:6" x14ac:dyDescent="0.25">
      <c r="A518" cm="1">
        <f t="array" ref="A518">INDEX('Portfolio Weights Returns'!$B$9:$BJ$69,
INT((ROW(A517)-1)/COLUMNS('Portfolio Weights Returns'!$B$9:$BJ$69))+1,MOD(ROW(A517)-1,COLUMNS('Portfolio Weights Returns'!$B$9:$BJ$69))+1)</f>
        <v>-9.5250877079073486E-4</v>
      </c>
      <c r="B518">
        <v>1.6899999999999998E-2</v>
      </c>
      <c r="C518" s="59">
        <v>0.28999999999999998</v>
      </c>
      <c r="D518" s="59">
        <v>0.26</v>
      </c>
      <c r="E518" s="60">
        <f t="shared" si="8"/>
        <v>0.45</v>
      </c>
      <c r="F518" t="str" cm="1">
        <f t="array" ref="F518">IF(A518=MAX(IF(ROUND($B$2:$B$3722,4)=ROUND(B518,4),$A$2:$A$3722)),"Efficient","Inefficient")</f>
        <v>Inefficient</v>
      </c>
    </row>
    <row r="519" spans="1:6" x14ac:dyDescent="0.25">
      <c r="A519" cm="1">
        <f t="array" ref="A519">INDEX('Portfolio Weights Returns'!$B$9:$BJ$69,
INT((ROW(A518)-1)/COLUMNS('Portfolio Weights Returns'!$B$9:$BJ$69))+1,MOD(ROW(A518)-1,COLUMNS('Portfolio Weights Returns'!$B$9:$BJ$69))+1)</f>
        <v>-9.4572759682405572E-4</v>
      </c>
      <c r="B519">
        <v>1.7000000000000001E-2</v>
      </c>
      <c r="C519" s="59">
        <v>0.3</v>
      </c>
      <c r="D519" s="59">
        <v>-0.12</v>
      </c>
      <c r="E519" s="60">
        <f t="shared" si="8"/>
        <v>0.82000000000000006</v>
      </c>
      <c r="F519" t="str" cm="1">
        <f t="array" ref="F519">IF(A519=MAX(IF(ROUND($B$2:$B$3722,4)=ROUND(B519,4),$A$2:$A$3722)),"Efficient","Inefficient")</f>
        <v>Inefficient</v>
      </c>
    </row>
    <row r="520" spans="1:6" x14ac:dyDescent="0.25">
      <c r="A520" cm="1">
        <f t="array" ref="A520">INDEX('Portfolio Weights Returns'!$B$9:$BJ$69,
INT((ROW(A519)-1)/COLUMNS('Portfolio Weights Returns'!$B$9:$BJ$69))+1,MOD(ROW(A519)-1,COLUMNS('Portfolio Weights Returns'!$B$9:$BJ$69))+1)</f>
        <v>-9.3894642285737668E-4</v>
      </c>
      <c r="B520">
        <v>1.7000000000000001E-2</v>
      </c>
      <c r="C520" s="59">
        <v>0.28000000000000003</v>
      </c>
      <c r="D520" s="59">
        <v>-0.11</v>
      </c>
      <c r="E520" s="60">
        <f t="shared" si="8"/>
        <v>0.83000000000000007</v>
      </c>
      <c r="F520" t="str" cm="1">
        <f t="array" ref="F520">IF(A520=MAX(IF(ROUND($B$2:$B$3722,4)=ROUND(B520,4),$A$2:$A$3722)),"Efficient","Inefficient")</f>
        <v>Inefficient</v>
      </c>
    </row>
    <row r="521" spans="1:6" x14ac:dyDescent="0.25">
      <c r="A521" cm="1">
        <f t="array" ref="A521">INDEX('Portfolio Weights Returns'!$B$9:$BJ$69,
INT((ROW(A520)-1)/COLUMNS('Portfolio Weights Returns'!$B$9:$BJ$69))+1,MOD(ROW(A520)-1,COLUMNS('Portfolio Weights Returns'!$B$9:$BJ$69))+1)</f>
        <v>-9.3216524889069743E-4</v>
      </c>
      <c r="B521">
        <v>1.7000000000000001E-2</v>
      </c>
      <c r="C521" s="59">
        <v>0.27</v>
      </c>
      <c r="D521" s="59">
        <v>-0.1</v>
      </c>
      <c r="E521" s="60">
        <f t="shared" si="8"/>
        <v>0.83000000000000007</v>
      </c>
      <c r="F521" t="str" cm="1">
        <f t="array" ref="F521">IF(A521=MAX(IF(ROUND($B$2:$B$3722,4)=ROUND(B521,4),$A$2:$A$3722)),"Efficient","Inefficient")</f>
        <v>Inefficient</v>
      </c>
    </row>
    <row r="522" spans="1:6" x14ac:dyDescent="0.25">
      <c r="A522" cm="1">
        <f t="array" ref="A522">INDEX('Portfolio Weights Returns'!$B$9:$BJ$69,
INT((ROW(A521)-1)/COLUMNS('Portfolio Weights Returns'!$B$9:$BJ$69))+1,MOD(ROW(A521)-1,COLUMNS('Portfolio Weights Returns'!$B$9:$BJ$69))+1)</f>
        <v>-9.2538407492401839E-4</v>
      </c>
      <c r="B522">
        <v>1.7000000000000001E-2</v>
      </c>
      <c r="C522" s="59">
        <v>0.26</v>
      </c>
      <c r="D522" s="59">
        <v>-0.09</v>
      </c>
      <c r="E522" s="60">
        <f t="shared" si="8"/>
        <v>0.83000000000000007</v>
      </c>
      <c r="F522" t="str" cm="1">
        <f t="array" ref="F522">IF(A522=MAX(IF(ROUND($B$2:$B$3722,4)=ROUND(B522,4),$A$2:$A$3722)),"Efficient","Inefficient")</f>
        <v>Inefficient</v>
      </c>
    </row>
    <row r="523" spans="1:6" x14ac:dyDescent="0.25">
      <c r="A523" cm="1">
        <f t="array" ref="A523">INDEX('Portfolio Weights Returns'!$B$9:$BJ$69,
INT((ROW(A522)-1)/COLUMNS('Portfolio Weights Returns'!$B$9:$BJ$69))+1,MOD(ROW(A522)-1,COLUMNS('Portfolio Weights Returns'!$B$9:$BJ$69))+1)</f>
        <v>-9.1860290095733925E-4</v>
      </c>
      <c r="B523">
        <v>1.7000000000000001E-2</v>
      </c>
      <c r="C523" s="59">
        <v>0.24</v>
      </c>
      <c r="D523" s="59">
        <v>-0.08</v>
      </c>
      <c r="E523" s="60">
        <f t="shared" si="8"/>
        <v>0.84000000000000008</v>
      </c>
      <c r="F523" t="str" cm="1">
        <f t="array" ref="F523">IF(A523=MAX(IF(ROUND($B$2:$B$3722,4)=ROUND(B523,4),$A$2:$A$3722)),"Efficient","Inefficient")</f>
        <v>Inefficient</v>
      </c>
    </row>
    <row r="524" spans="1:6" x14ac:dyDescent="0.25">
      <c r="A524" cm="1">
        <f t="array" ref="A524">INDEX('Portfolio Weights Returns'!$B$9:$BJ$69,
INT((ROW(A523)-1)/COLUMNS('Portfolio Weights Returns'!$B$9:$BJ$69))+1,MOD(ROW(A523)-1,COLUMNS('Portfolio Weights Returns'!$B$9:$BJ$69))+1)</f>
        <v>-9.1182172699066011E-4</v>
      </c>
      <c r="B524">
        <v>1.7000000000000001E-2</v>
      </c>
      <c r="C524" s="59">
        <v>0.23</v>
      </c>
      <c r="D524" s="59">
        <v>-7.0000000000000007E-2</v>
      </c>
      <c r="E524" s="60">
        <f t="shared" si="8"/>
        <v>0.84000000000000008</v>
      </c>
      <c r="F524" t="str" cm="1">
        <f t="array" ref="F524">IF(A524=MAX(IF(ROUND($B$2:$B$3722,4)=ROUND(B524,4),$A$2:$A$3722)),"Efficient","Inefficient")</f>
        <v>Inefficient</v>
      </c>
    </row>
    <row r="525" spans="1:6" x14ac:dyDescent="0.25">
      <c r="A525" cm="1">
        <f t="array" ref="A525">INDEX('Portfolio Weights Returns'!$B$9:$BJ$69,
INT((ROW(A524)-1)/COLUMNS('Portfolio Weights Returns'!$B$9:$BJ$69))+1,MOD(ROW(A524)-1,COLUMNS('Portfolio Weights Returns'!$B$9:$BJ$69))+1)</f>
        <v>-9.0504055302398107E-4</v>
      </c>
      <c r="B525">
        <v>1.7000000000000001E-2</v>
      </c>
      <c r="C525" s="59">
        <v>0.22</v>
      </c>
      <c r="D525" s="59">
        <v>-0.06</v>
      </c>
      <c r="E525" s="60">
        <f t="shared" si="8"/>
        <v>0.84000000000000008</v>
      </c>
      <c r="F525" t="str" cm="1">
        <f t="array" ref="F525">IF(A525=MAX(IF(ROUND($B$2:$B$3722,4)=ROUND(B525,4),$A$2:$A$3722)),"Efficient","Inefficient")</f>
        <v>Inefficient</v>
      </c>
    </row>
    <row r="526" spans="1:6" x14ac:dyDescent="0.25">
      <c r="A526" cm="1">
        <f t="array" ref="A526">INDEX('Portfolio Weights Returns'!$B$9:$BJ$69,
INT((ROW(A525)-1)/COLUMNS('Portfolio Weights Returns'!$B$9:$BJ$69))+1,MOD(ROW(A525)-1,COLUMNS('Portfolio Weights Returns'!$B$9:$BJ$69))+1)</f>
        <v>-8.9825937905730192E-4</v>
      </c>
      <c r="B526">
        <v>1.7000000000000001E-2</v>
      </c>
      <c r="C526" s="59">
        <v>0.21</v>
      </c>
      <c r="D526" s="59">
        <v>-0.05</v>
      </c>
      <c r="E526" s="60">
        <f t="shared" si="8"/>
        <v>0.84000000000000008</v>
      </c>
      <c r="F526" t="str" cm="1">
        <f t="array" ref="F526">IF(A526=MAX(IF(ROUND($B$2:$B$3722,4)=ROUND(B526,4),$A$2:$A$3722)),"Efficient","Inefficient")</f>
        <v>Inefficient</v>
      </c>
    </row>
    <row r="527" spans="1:6" x14ac:dyDescent="0.25">
      <c r="A527" cm="1">
        <f t="array" ref="A527">INDEX('Portfolio Weights Returns'!$B$9:$BJ$69,
INT((ROW(A526)-1)/COLUMNS('Portfolio Weights Returns'!$B$9:$BJ$69))+1,MOD(ROW(A526)-1,COLUMNS('Portfolio Weights Returns'!$B$9:$BJ$69))+1)</f>
        <v>-8.9147820509062289E-4</v>
      </c>
      <c r="B527">
        <v>1.7000000000000001E-2</v>
      </c>
      <c r="C527" s="59">
        <v>0.2</v>
      </c>
      <c r="D527" s="59">
        <v>-0.04</v>
      </c>
      <c r="E527" s="60">
        <f t="shared" si="8"/>
        <v>0.84000000000000008</v>
      </c>
      <c r="F527" t="str" cm="1">
        <f t="array" ref="F527">IF(A527=MAX(IF(ROUND($B$2:$B$3722,4)=ROUND(B527,4),$A$2:$A$3722)),"Efficient","Inefficient")</f>
        <v>Inefficient</v>
      </c>
    </row>
    <row r="528" spans="1:6" x14ac:dyDescent="0.25">
      <c r="A528" cm="1">
        <f t="array" ref="A528">INDEX('Portfolio Weights Returns'!$B$9:$BJ$69,
INT((ROW(A527)-1)/COLUMNS('Portfolio Weights Returns'!$B$9:$BJ$69))+1,MOD(ROW(A527)-1,COLUMNS('Portfolio Weights Returns'!$B$9:$BJ$69))+1)</f>
        <v>-8.8469703112394385E-4</v>
      </c>
      <c r="B528">
        <v>1.7000000000000001E-2</v>
      </c>
      <c r="C528" s="59">
        <v>0.19</v>
      </c>
      <c r="D528" s="59">
        <v>-0.03</v>
      </c>
      <c r="E528" s="60">
        <f t="shared" si="8"/>
        <v>0.84000000000000008</v>
      </c>
      <c r="F528" t="str" cm="1">
        <f t="array" ref="F528">IF(A528=MAX(IF(ROUND($B$2:$B$3722,4)=ROUND(B528,4),$A$2:$A$3722)),"Efficient","Inefficient")</f>
        <v>Inefficient</v>
      </c>
    </row>
    <row r="529" spans="1:6" x14ac:dyDescent="0.25">
      <c r="A529" cm="1">
        <f t="array" ref="A529">INDEX('Portfolio Weights Returns'!$B$9:$BJ$69,
INT((ROW(A528)-1)/COLUMNS('Portfolio Weights Returns'!$B$9:$BJ$69))+1,MOD(ROW(A528)-1,COLUMNS('Portfolio Weights Returns'!$B$9:$BJ$69))+1)</f>
        <v>-8.7791585715726482E-4</v>
      </c>
      <c r="B529">
        <v>1.7000000000000001E-2</v>
      </c>
      <c r="C529" s="59">
        <v>0.18</v>
      </c>
      <c r="D529" s="59">
        <v>-0.02</v>
      </c>
      <c r="E529" s="60">
        <f t="shared" si="8"/>
        <v>0.84000000000000008</v>
      </c>
      <c r="F529" t="str" cm="1">
        <f t="array" ref="F529">IF(A529=MAX(IF(ROUND($B$2:$B$3722,4)=ROUND(B529,4),$A$2:$A$3722)),"Efficient","Inefficient")</f>
        <v>Inefficient</v>
      </c>
    </row>
    <row r="530" spans="1:6" x14ac:dyDescent="0.25">
      <c r="A530" cm="1">
        <f t="array" ref="A530">INDEX('Portfolio Weights Returns'!$B$9:$BJ$69,
INT((ROW(A529)-1)/COLUMNS('Portfolio Weights Returns'!$B$9:$BJ$69))+1,MOD(ROW(A529)-1,COLUMNS('Portfolio Weights Returns'!$B$9:$BJ$69))+1)</f>
        <v>-8.7113468319058567E-4</v>
      </c>
      <c r="B530">
        <v>1.7000000000000001E-2</v>
      </c>
      <c r="C530" s="59">
        <v>0.17</v>
      </c>
      <c r="D530" s="59">
        <v>-0.01</v>
      </c>
      <c r="E530" s="60">
        <f t="shared" si="8"/>
        <v>0.84</v>
      </c>
      <c r="F530" t="str" cm="1">
        <f t="array" ref="F530">IF(A530=MAX(IF(ROUND($B$2:$B$3722,4)=ROUND(B530,4),$A$2:$A$3722)),"Efficient","Inefficient")</f>
        <v>Inefficient</v>
      </c>
    </row>
    <row r="531" spans="1:6" x14ac:dyDescent="0.25">
      <c r="A531" cm="1">
        <f t="array" ref="A531">INDEX('Portfolio Weights Returns'!$B$9:$BJ$69,
INT((ROW(A530)-1)/COLUMNS('Portfolio Weights Returns'!$B$9:$BJ$69))+1,MOD(ROW(A530)-1,COLUMNS('Portfolio Weights Returns'!$B$9:$BJ$69))+1)</f>
        <v>-8.6435350922390664E-4</v>
      </c>
      <c r="B531">
        <v>1.7000000000000001E-2</v>
      </c>
      <c r="C531" s="59">
        <v>0.16</v>
      </c>
      <c r="D531" s="59">
        <v>0</v>
      </c>
      <c r="E531" s="60">
        <f t="shared" si="8"/>
        <v>0.84</v>
      </c>
      <c r="F531" t="str" cm="1">
        <f t="array" ref="F531">IF(A531=MAX(IF(ROUND($B$2:$B$3722,4)=ROUND(B531,4),$A$2:$A$3722)),"Efficient","Inefficient")</f>
        <v>Inefficient</v>
      </c>
    </row>
    <row r="532" spans="1:6" x14ac:dyDescent="0.25">
      <c r="A532" cm="1">
        <f t="array" ref="A532">INDEX('Portfolio Weights Returns'!$B$9:$BJ$69,
INT((ROW(A531)-1)/COLUMNS('Portfolio Weights Returns'!$B$9:$BJ$69))+1,MOD(ROW(A531)-1,COLUMNS('Portfolio Weights Returns'!$B$9:$BJ$69))+1)</f>
        <v>-8.5757233525722738E-4</v>
      </c>
      <c r="B532">
        <v>1.7000000000000001E-2</v>
      </c>
      <c r="C532" s="59">
        <v>0.15</v>
      </c>
      <c r="D532" s="59">
        <v>0.01</v>
      </c>
      <c r="E532" s="60">
        <f t="shared" si="8"/>
        <v>0.84</v>
      </c>
      <c r="F532" t="str" cm="1">
        <f t="array" ref="F532">IF(A532=MAX(IF(ROUND($B$2:$B$3722,4)=ROUND(B532,4),$A$2:$A$3722)),"Efficient","Inefficient")</f>
        <v>Inefficient</v>
      </c>
    </row>
    <row r="533" spans="1:6" x14ac:dyDescent="0.25">
      <c r="A533" cm="1">
        <f t="array" ref="A533">INDEX('Portfolio Weights Returns'!$B$9:$BJ$69,
INT((ROW(A532)-1)/COLUMNS('Portfolio Weights Returns'!$B$9:$BJ$69))+1,MOD(ROW(A532)-1,COLUMNS('Portfolio Weights Returns'!$B$9:$BJ$69))+1)</f>
        <v>-8.5079116129054835E-4</v>
      </c>
      <c r="B533">
        <v>1.7000000000000001E-2</v>
      </c>
      <c r="C533" s="59">
        <v>0.15</v>
      </c>
      <c r="D533" s="59">
        <v>0.02</v>
      </c>
      <c r="E533" s="60">
        <f t="shared" si="8"/>
        <v>0.83</v>
      </c>
      <c r="F533" t="str" cm="1">
        <f t="array" ref="F533">IF(A533=MAX(IF(ROUND($B$2:$B$3722,4)=ROUND(B533,4),$A$2:$A$3722)),"Efficient","Inefficient")</f>
        <v>Inefficient</v>
      </c>
    </row>
    <row r="534" spans="1:6" x14ac:dyDescent="0.25">
      <c r="A534" cm="1">
        <f t="array" ref="A534">INDEX('Portfolio Weights Returns'!$B$9:$BJ$69,
INT((ROW(A533)-1)/COLUMNS('Portfolio Weights Returns'!$B$9:$BJ$69))+1,MOD(ROW(A533)-1,COLUMNS('Portfolio Weights Returns'!$B$9:$BJ$69))+1)</f>
        <v>-8.440099873238692E-4</v>
      </c>
      <c r="B534">
        <v>1.7000000000000001E-2</v>
      </c>
      <c r="C534" s="59">
        <v>0.14000000000000001</v>
      </c>
      <c r="D534" s="59">
        <v>0.03</v>
      </c>
      <c r="E534" s="60">
        <f t="shared" si="8"/>
        <v>0.83</v>
      </c>
      <c r="F534" t="str" cm="1">
        <f t="array" ref="F534">IF(A534=MAX(IF(ROUND($B$2:$B$3722,4)=ROUND(B534,4),$A$2:$A$3722)),"Efficient","Inefficient")</f>
        <v>Inefficient</v>
      </c>
    </row>
    <row r="535" spans="1:6" x14ac:dyDescent="0.25">
      <c r="A535" cm="1">
        <f t="array" ref="A535">INDEX('Portfolio Weights Returns'!$B$9:$BJ$69,
INT((ROW(A534)-1)/COLUMNS('Portfolio Weights Returns'!$B$9:$BJ$69))+1,MOD(ROW(A534)-1,COLUMNS('Portfolio Weights Returns'!$B$9:$BJ$69))+1)</f>
        <v>-8.3722881335719006E-4</v>
      </c>
      <c r="B535">
        <v>1.7000000000000001E-2</v>
      </c>
      <c r="C535" s="59">
        <v>0.13</v>
      </c>
      <c r="D535" s="59">
        <v>0.04</v>
      </c>
      <c r="E535" s="60">
        <f t="shared" si="8"/>
        <v>0.83</v>
      </c>
      <c r="F535" t="str" cm="1">
        <f t="array" ref="F535">IF(A535=MAX(IF(ROUND($B$2:$B$3722,4)=ROUND(B535,4),$A$2:$A$3722)),"Efficient","Inefficient")</f>
        <v>Inefficient</v>
      </c>
    </row>
    <row r="536" spans="1:6" x14ac:dyDescent="0.25">
      <c r="A536" cm="1">
        <f t="array" ref="A536">INDEX('Portfolio Weights Returns'!$B$9:$BJ$69,
INT((ROW(A535)-1)/COLUMNS('Portfolio Weights Returns'!$B$9:$BJ$69))+1,MOD(ROW(A535)-1,COLUMNS('Portfolio Weights Returns'!$B$9:$BJ$69))+1)</f>
        <v>-8.3044763939051102E-4</v>
      </c>
      <c r="B536">
        <v>1.7000000000000001E-2</v>
      </c>
      <c r="C536" s="59">
        <v>0.13</v>
      </c>
      <c r="D536" s="59">
        <v>0.05</v>
      </c>
      <c r="E536" s="60">
        <f t="shared" si="8"/>
        <v>0.82</v>
      </c>
      <c r="F536" t="str" cm="1">
        <f t="array" ref="F536">IF(A536=MAX(IF(ROUND($B$2:$B$3722,4)=ROUND(B536,4),$A$2:$A$3722)),"Efficient","Inefficient")</f>
        <v>Inefficient</v>
      </c>
    </row>
    <row r="537" spans="1:6" x14ac:dyDescent="0.25">
      <c r="A537" cm="1">
        <f t="array" ref="A537">INDEX('Portfolio Weights Returns'!$B$9:$BJ$69,
INT((ROW(A536)-1)/COLUMNS('Portfolio Weights Returns'!$B$9:$BJ$69))+1,MOD(ROW(A536)-1,COLUMNS('Portfolio Weights Returns'!$B$9:$BJ$69))+1)</f>
        <v>-8.2366646542383188E-4</v>
      </c>
      <c r="B537">
        <v>1.7000000000000001E-2</v>
      </c>
      <c r="C537" s="59">
        <v>0.12</v>
      </c>
      <c r="D537" s="59">
        <v>0.06</v>
      </c>
      <c r="E537" s="60">
        <f t="shared" si="8"/>
        <v>0.82</v>
      </c>
      <c r="F537" t="str" cm="1">
        <f t="array" ref="F537">IF(A537=MAX(IF(ROUND($B$2:$B$3722,4)=ROUND(B537,4),$A$2:$A$3722)),"Efficient","Inefficient")</f>
        <v>Inefficient</v>
      </c>
    </row>
    <row r="538" spans="1:6" x14ac:dyDescent="0.25">
      <c r="A538" cm="1">
        <f t="array" ref="A538">INDEX('Portfolio Weights Returns'!$B$9:$BJ$69,
INT((ROW(A537)-1)/COLUMNS('Portfolio Weights Returns'!$B$9:$BJ$69))+1,MOD(ROW(A537)-1,COLUMNS('Portfolio Weights Returns'!$B$9:$BJ$69))+1)</f>
        <v>-8.1688529145715284E-4</v>
      </c>
      <c r="B538">
        <v>1.7000000000000001E-2</v>
      </c>
      <c r="C538" s="59">
        <v>0.12</v>
      </c>
      <c r="D538" s="59">
        <v>7.0000000000000007E-2</v>
      </c>
      <c r="E538" s="60">
        <f t="shared" si="8"/>
        <v>0.80999999999999994</v>
      </c>
      <c r="F538" t="str" cm="1">
        <f t="array" ref="F538">IF(A538=MAX(IF(ROUND($B$2:$B$3722,4)=ROUND(B538,4),$A$2:$A$3722)),"Efficient","Inefficient")</f>
        <v>Inefficient</v>
      </c>
    </row>
    <row r="539" spans="1:6" x14ac:dyDescent="0.25">
      <c r="A539" cm="1">
        <f t="array" ref="A539">INDEX('Portfolio Weights Returns'!$B$9:$BJ$69,
INT((ROW(A538)-1)/COLUMNS('Portfolio Weights Returns'!$B$9:$BJ$69))+1,MOD(ROW(A538)-1,COLUMNS('Portfolio Weights Returns'!$B$9:$BJ$69))+1)</f>
        <v>-8.1010411749047359E-4</v>
      </c>
      <c r="B539">
        <v>1.7000000000000001E-2</v>
      </c>
      <c r="C539" s="59">
        <v>0.12</v>
      </c>
      <c r="D539" s="59">
        <v>0.08</v>
      </c>
      <c r="E539" s="60">
        <f t="shared" si="8"/>
        <v>0.8</v>
      </c>
      <c r="F539" t="str" cm="1">
        <f t="array" ref="F539">IF(A539=MAX(IF(ROUND($B$2:$B$3722,4)=ROUND(B539,4),$A$2:$A$3722)),"Efficient","Inefficient")</f>
        <v>Inefficient</v>
      </c>
    </row>
    <row r="540" spans="1:6" x14ac:dyDescent="0.25">
      <c r="A540" cm="1">
        <f t="array" ref="A540">INDEX('Portfolio Weights Returns'!$B$9:$BJ$69,
INT((ROW(A539)-1)/COLUMNS('Portfolio Weights Returns'!$B$9:$BJ$69))+1,MOD(ROW(A539)-1,COLUMNS('Portfolio Weights Returns'!$B$9:$BJ$69))+1)</f>
        <v>-8.0332294352379455E-4</v>
      </c>
      <c r="B540">
        <v>1.7000000000000001E-2</v>
      </c>
      <c r="C540" s="59">
        <v>0.11</v>
      </c>
      <c r="D540" s="59">
        <v>0.09</v>
      </c>
      <c r="E540" s="60">
        <f t="shared" si="8"/>
        <v>0.8</v>
      </c>
      <c r="F540" t="str" cm="1">
        <f t="array" ref="F540">IF(A540=MAX(IF(ROUND($B$2:$B$3722,4)=ROUND(B540,4),$A$2:$A$3722)),"Efficient","Inefficient")</f>
        <v>Inefficient</v>
      </c>
    </row>
    <row r="541" spans="1:6" x14ac:dyDescent="0.25">
      <c r="A541" cm="1">
        <f t="array" ref="A541">INDEX('Portfolio Weights Returns'!$B$9:$BJ$69,
INT((ROW(A540)-1)/COLUMNS('Portfolio Weights Returns'!$B$9:$BJ$69))+1,MOD(ROW(A540)-1,COLUMNS('Portfolio Weights Returns'!$B$9:$BJ$69))+1)</f>
        <v>-7.9654176955711541E-4</v>
      </c>
      <c r="B541">
        <v>1.7000000000000001E-2</v>
      </c>
      <c r="C541" s="59">
        <v>0.11</v>
      </c>
      <c r="D541" s="59">
        <v>0.1</v>
      </c>
      <c r="E541" s="60">
        <f t="shared" si="8"/>
        <v>0.79</v>
      </c>
      <c r="F541" t="str" cm="1">
        <f t="array" ref="F541">IF(A541=MAX(IF(ROUND($B$2:$B$3722,4)=ROUND(B541,4),$A$2:$A$3722)),"Efficient","Inefficient")</f>
        <v>Inefficient</v>
      </c>
    </row>
    <row r="542" spans="1:6" x14ac:dyDescent="0.25">
      <c r="A542" cm="1">
        <f t="array" ref="A542">INDEX('Portfolio Weights Returns'!$B$9:$BJ$69,
INT((ROW(A541)-1)/COLUMNS('Portfolio Weights Returns'!$B$9:$BJ$69))+1,MOD(ROW(A541)-1,COLUMNS('Portfolio Weights Returns'!$B$9:$BJ$69))+1)</f>
        <v>-7.8976059559043637E-4</v>
      </c>
      <c r="B542">
        <v>1.7000000000000001E-2</v>
      </c>
      <c r="C542" s="59">
        <v>0.11</v>
      </c>
      <c r="D542" s="59">
        <v>0.11</v>
      </c>
      <c r="E542" s="60">
        <f t="shared" si="8"/>
        <v>0.78</v>
      </c>
      <c r="F542" t="str" cm="1">
        <f t="array" ref="F542">IF(A542=MAX(IF(ROUND($B$2:$B$3722,4)=ROUND(B542,4),$A$2:$A$3722)),"Efficient","Inefficient")</f>
        <v>Inefficient</v>
      </c>
    </row>
    <row r="543" spans="1:6" x14ac:dyDescent="0.25">
      <c r="A543" cm="1">
        <f t="array" ref="A543">INDEX('Portfolio Weights Returns'!$B$9:$BJ$69,
INT((ROW(A542)-1)/COLUMNS('Portfolio Weights Returns'!$B$9:$BJ$69))+1,MOD(ROW(A542)-1,COLUMNS('Portfolio Weights Returns'!$B$9:$BJ$69))+1)</f>
        <v>-7.8297942162375723E-4</v>
      </c>
      <c r="B543">
        <v>1.7000000000000001E-2</v>
      </c>
      <c r="C543" s="59">
        <v>0.11</v>
      </c>
      <c r="D543" s="59">
        <v>0.12</v>
      </c>
      <c r="E543" s="60">
        <f t="shared" si="8"/>
        <v>0.77</v>
      </c>
      <c r="F543" t="str" cm="1">
        <f t="array" ref="F543">IF(A543=MAX(IF(ROUND($B$2:$B$3722,4)=ROUND(B543,4),$A$2:$A$3722)),"Efficient","Inefficient")</f>
        <v>Inefficient</v>
      </c>
    </row>
    <row r="544" spans="1:6" x14ac:dyDescent="0.25">
      <c r="A544" cm="1">
        <f t="array" ref="A544">INDEX('Portfolio Weights Returns'!$B$9:$BJ$69,
INT((ROW(A543)-1)/COLUMNS('Portfolio Weights Returns'!$B$9:$BJ$69))+1,MOD(ROW(A543)-1,COLUMNS('Portfolio Weights Returns'!$B$9:$BJ$69))+1)</f>
        <v>-7.7619824765707808E-4</v>
      </c>
      <c r="B544">
        <v>1.7000000000000001E-2</v>
      </c>
      <c r="C544" s="59">
        <v>0.11</v>
      </c>
      <c r="D544" s="59">
        <v>0.13</v>
      </c>
      <c r="E544" s="60">
        <f t="shared" si="8"/>
        <v>0.76</v>
      </c>
      <c r="F544" t="str" cm="1">
        <f t="array" ref="F544">IF(A544=MAX(IF(ROUND($B$2:$B$3722,4)=ROUND(B544,4),$A$2:$A$3722)),"Efficient","Inefficient")</f>
        <v>Inefficient</v>
      </c>
    </row>
    <row r="545" spans="1:6" x14ac:dyDescent="0.25">
      <c r="A545" cm="1">
        <f t="array" ref="A545">INDEX('Portfolio Weights Returns'!$B$9:$BJ$69,
INT((ROW(A544)-1)/COLUMNS('Portfolio Weights Returns'!$B$9:$BJ$69))+1,MOD(ROW(A544)-1,COLUMNS('Portfolio Weights Returns'!$B$9:$BJ$69))+1)</f>
        <v>-7.6941707369039905E-4</v>
      </c>
      <c r="B545">
        <v>1.7000000000000001E-2</v>
      </c>
      <c r="C545" s="59">
        <v>0.11</v>
      </c>
      <c r="D545" s="59">
        <v>0.14000000000000001</v>
      </c>
      <c r="E545" s="60">
        <f t="shared" si="8"/>
        <v>0.75</v>
      </c>
      <c r="F545" t="str" cm="1">
        <f t="array" ref="F545">IF(A545=MAX(IF(ROUND($B$2:$B$3722,4)=ROUND(B545,4),$A$2:$A$3722)),"Efficient","Inefficient")</f>
        <v>Inefficient</v>
      </c>
    </row>
    <row r="546" spans="1:6" x14ac:dyDescent="0.25">
      <c r="A546" cm="1">
        <f t="array" ref="A546">INDEX('Portfolio Weights Returns'!$B$9:$BJ$69,
INT((ROW(A545)-1)/COLUMNS('Portfolio Weights Returns'!$B$9:$BJ$69))+1,MOD(ROW(A545)-1,COLUMNS('Portfolio Weights Returns'!$B$9:$BJ$69))+1)</f>
        <v>-7.6263589972371979E-4</v>
      </c>
      <c r="B546">
        <v>1.7000000000000001E-2</v>
      </c>
      <c r="C546" s="59">
        <v>0.11</v>
      </c>
      <c r="D546" s="59">
        <v>0.15</v>
      </c>
      <c r="E546" s="60">
        <f t="shared" si="8"/>
        <v>0.74</v>
      </c>
      <c r="F546" t="str" cm="1">
        <f t="array" ref="F546">IF(A546=MAX(IF(ROUND($B$2:$B$3722,4)=ROUND(B546,4),$A$2:$A$3722)),"Efficient","Inefficient")</f>
        <v>Inefficient</v>
      </c>
    </row>
    <row r="547" spans="1:6" x14ac:dyDescent="0.25">
      <c r="A547" cm="1">
        <f t="array" ref="A547">INDEX('Portfolio Weights Returns'!$B$9:$BJ$69,
INT((ROW(A546)-1)/COLUMNS('Portfolio Weights Returns'!$B$9:$BJ$69))+1,MOD(ROW(A546)-1,COLUMNS('Portfolio Weights Returns'!$B$9:$BJ$69))+1)</f>
        <v>-7.5585472575704011E-4</v>
      </c>
      <c r="B547">
        <v>1.7000000000000001E-2</v>
      </c>
      <c r="C547" s="59">
        <v>0.11</v>
      </c>
      <c r="D547" s="59">
        <v>0.16</v>
      </c>
      <c r="E547" s="60">
        <f t="shared" si="8"/>
        <v>0.73</v>
      </c>
      <c r="F547" t="str" cm="1">
        <f t="array" ref="F547">IF(A547=MAX(IF(ROUND($B$2:$B$3722,4)=ROUND(B547,4),$A$2:$A$3722)),"Efficient","Inefficient")</f>
        <v>Inefficient</v>
      </c>
    </row>
    <row r="548" spans="1:6" x14ac:dyDescent="0.25">
      <c r="A548" cm="1">
        <f t="array" ref="A548">INDEX('Portfolio Weights Returns'!$B$9:$BJ$69,
INT((ROW(A547)-1)/COLUMNS('Portfolio Weights Returns'!$B$9:$BJ$69))+1,MOD(ROW(A547)-1,COLUMNS('Portfolio Weights Returns'!$B$9:$BJ$69))+1)</f>
        <v>-7.4907355179036096E-4</v>
      </c>
      <c r="B548">
        <v>1.7000000000000001E-2</v>
      </c>
      <c r="C548" s="59">
        <v>0.12</v>
      </c>
      <c r="D548" s="59">
        <v>0.17</v>
      </c>
      <c r="E548" s="60">
        <f t="shared" si="8"/>
        <v>0.71</v>
      </c>
      <c r="F548" t="str" cm="1">
        <f t="array" ref="F548">IF(A548=MAX(IF(ROUND($B$2:$B$3722,4)=ROUND(B548,4),$A$2:$A$3722)),"Efficient","Inefficient")</f>
        <v>Inefficient</v>
      </c>
    </row>
    <row r="549" spans="1:6" x14ac:dyDescent="0.25">
      <c r="A549" cm="1">
        <f t="array" ref="A549">INDEX('Portfolio Weights Returns'!$B$9:$BJ$69,
INT((ROW(A548)-1)/COLUMNS('Portfolio Weights Returns'!$B$9:$BJ$69))+1,MOD(ROW(A548)-1,COLUMNS('Portfolio Weights Returns'!$B$9:$BJ$69))+1)</f>
        <v>-7.4229237782368193E-4</v>
      </c>
      <c r="B549">
        <v>1.7000000000000001E-2</v>
      </c>
      <c r="C549" s="59">
        <v>0.12</v>
      </c>
      <c r="D549" s="59">
        <v>0.18</v>
      </c>
      <c r="E549" s="60">
        <f t="shared" si="8"/>
        <v>0.70000000000000007</v>
      </c>
      <c r="F549" t="str" cm="1">
        <f t="array" ref="F549">IF(A549=MAX(IF(ROUND($B$2:$B$3722,4)=ROUND(B549,4),$A$2:$A$3722)),"Efficient","Inefficient")</f>
        <v>Inefficient</v>
      </c>
    </row>
    <row r="550" spans="1:6" x14ac:dyDescent="0.25">
      <c r="A550" cm="1">
        <f t="array" ref="A550">INDEX('Portfolio Weights Returns'!$B$9:$BJ$69,
INT((ROW(A549)-1)/COLUMNS('Portfolio Weights Returns'!$B$9:$BJ$69))+1,MOD(ROW(A549)-1,COLUMNS('Portfolio Weights Returns'!$B$9:$BJ$69))+1)</f>
        <v>-7.3551120385700278E-4</v>
      </c>
      <c r="B550">
        <v>1.7000000000000001E-2</v>
      </c>
      <c r="C550" s="59">
        <v>0.13</v>
      </c>
      <c r="D550" s="59">
        <v>0.19</v>
      </c>
      <c r="E550" s="60">
        <f t="shared" si="8"/>
        <v>0.68</v>
      </c>
      <c r="F550" t="str" cm="1">
        <f t="array" ref="F550">IF(A550=MAX(IF(ROUND($B$2:$B$3722,4)=ROUND(B550,4),$A$2:$A$3722)),"Efficient","Inefficient")</f>
        <v>Efficient</v>
      </c>
    </row>
    <row r="551" spans="1:6" x14ac:dyDescent="0.25">
      <c r="A551" cm="1">
        <f t="array" ref="A551">INDEX('Portfolio Weights Returns'!$B$9:$BJ$69,
INT((ROW(A550)-1)/COLUMNS('Portfolio Weights Returns'!$B$9:$BJ$69))+1,MOD(ROW(A550)-1,COLUMNS('Portfolio Weights Returns'!$B$9:$BJ$69))+1)</f>
        <v>-1.1358074340122946E-3</v>
      </c>
      <c r="B551">
        <v>1.7000000000000001E-2</v>
      </c>
      <c r="C551" s="59">
        <v>0.14000000000000001</v>
      </c>
      <c r="D551" s="59">
        <v>0.2</v>
      </c>
      <c r="E551" s="60">
        <f t="shared" si="8"/>
        <v>0.66</v>
      </c>
      <c r="F551" t="str" cm="1">
        <f t="array" ref="F551">IF(A551=MAX(IF(ROUND($B$2:$B$3722,4)=ROUND(B551,4),$A$2:$A$3722)),"Efficient","Inefficient")</f>
        <v>Inefficient</v>
      </c>
    </row>
    <row r="552" spans="1:6" x14ac:dyDescent="0.25">
      <c r="A552" cm="1">
        <f t="array" ref="A552">INDEX('Portfolio Weights Returns'!$B$9:$BJ$69,
INT((ROW(A551)-1)/COLUMNS('Portfolio Weights Returns'!$B$9:$BJ$69))+1,MOD(ROW(A551)-1,COLUMNS('Portfolio Weights Returns'!$B$9:$BJ$69))+1)</f>
        <v>-1.1290262600456155E-3</v>
      </c>
      <c r="B552">
        <v>1.7000000000000001E-2</v>
      </c>
      <c r="C552" s="59">
        <v>0.15</v>
      </c>
      <c r="D552" s="59">
        <v>0.21</v>
      </c>
      <c r="E552" s="60">
        <f t="shared" si="8"/>
        <v>0.64</v>
      </c>
      <c r="F552" t="str" cm="1">
        <f t="array" ref="F552">IF(A552=MAX(IF(ROUND($B$2:$B$3722,4)=ROUND(B552,4),$A$2:$A$3722)),"Efficient","Inefficient")</f>
        <v>Inefficient</v>
      </c>
    </row>
    <row r="553" spans="1:6" x14ac:dyDescent="0.25">
      <c r="A553" cm="1">
        <f t="array" ref="A553">INDEX('Portfolio Weights Returns'!$B$9:$BJ$69,
INT((ROW(A552)-1)/COLUMNS('Portfolio Weights Returns'!$B$9:$BJ$69))+1,MOD(ROW(A552)-1,COLUMNS('Portfolio Weights Returns'!$B$9:$BJ$69))+1)</f>
        <v>-1.1222450860789363E-3</v>
      </c>
      <c r="B553">
        <v>1.7000000000000001E-2</v>
      </c>
      <c r="C553" s="59">
        <v>0.16</v>
      </c>
      <c r="D553" s="59">
        <v>0.22</v>
      </c>
      <c r="E553" s="60">
        <f t="shared" si="8"/>
        <v>0.62</v>
      </c>
      <c r="F553" t="str" cm="1">
        <f t="array" ref="F553">IF(A553=MAX(IF(ROUND($B$2:$B$3722,4)=ROUND(B553,4),$A$2:$A$3722)),"Efficient","Inefficient")</f>
        <v>Inefficient</v>
      </c>
    </row>
    <row r="554" spans="1:6" x14ac:dyDescent="0.25">
      <c r="A554" cm="1">
        <f t="array" ref="A554">INDEX('Portfolio Weights Returns'!$B$9:$BJ$69,
INT((ROW(A553)-1)/COLUMNS('Portfolio Weights Returns'!$B$9:$BJ$69))+1,MOD(ROW(A553)-1,COLUMNS('Portfolio Weights Returns'!$B$9:$BJ$69))+1)</f>
        <v>-1.1154639121122574E-3</v>
      </c>
      <c r="B554">
        <v>1.7000000000000001E-2</v>
      </c>
      <c r="C554" s="59">
        <v>0.17</v>
      </c>
      <c r="D554" s="59">
        <v>0.23</v>
      </c>
      <c r="E554" s="60">
        <f t="shared" si="8"/>
        <v>0.6</v>
      </c>
      <c r="F554" t="str" cm="1">
        <f t="array" ref="F554">IF(A554=MAX(IF(ROUND($B$2:$B$3722,4)=ROUND(B554,4),$A$2:$A$3722)),"Efficient","Inefficient")</f>
        <v>Inefficient</v>
      </c>
    </row>
    <row r="555" spans="1:6" x14ac:dyDescent="0.25">
      <c r="A555" cm="1">
        <f t="array" ref="A555">INDEX('Portfolio Weights Returns'!$B$9:$BJ$69,
INT((ROW(A554)-1)/COLUMNS('Portfolio Weights Returns'!$B$9:$BJ$69))+1,MOD(ROW(A554)-1,COLUMNS('Portfolio Weights Returns'!$B$9:$BJ$69))+1)</f>
        <v>-1.1086827381455782E-3</v>
      </c>
      <c r="B555">
        <v>1.7000000000000001E-2</v>
      </c>
      <c r="C555" s="59">
        <v>0.18</v>
      </c>
      <c r="D555" s="59">
        <v>0.23</v>
      </c>
      <c r="E555" s="60">
        <f t="shared" si="8"/>
        <v>0.59000000000000008</v>
      </c>
      <c r="F555" t="str" cm="1">
        <f t="array" ref="F555">IF(A555=MAX(IF(ROUND($B$2:$B$3722,4)=ROUND(B555,4),$A$2:$A$3722)),"Efficient","Inefficient")</f>
        <v>Inefficient</v>
      </c>
    </row>
    <row r="556" spans="1:6" x14ac:dyDescent="0.25">
      <c r="A556" cm="1">
        <f t="array" ref="A556">INDEX('Portfolio Weights Returns'!$B$9:$BJ$69,
INT((ROW(A555)-1)/COLUMNS('Portfolio Weights Returns'!$B$9:$BJ$69))+1,MOD(ROW(A555)-1,COLUMNS('Portfolio Weights Returns'!$B$9:$BJ$69))+1)</f>
        <v>-1.1019015641788991E-3</v>
      </c>
      <c r="B556">
        <v>1.7000000000000001E-2</v>
      </c>
      <c r="C556" s="59">
        <v>0.19</v>
      </c>
      <c r="D556" s="59">
        <v>0.24</v>
      </c>
      <c r="E556" s="60">
        <f t="shared" si="8"/>
        <v>0.57000000000000006</v>
      </c>
      <c r="F556" t="str" cm="1">
        <f t="array" ref="F556">IF(A556=MAX(IF(ROUND($B$2:$B$3722,4)=ROUND(B556,4),$A$2:$A$3722)),"Efficient","Inefficient")</f>
        <v>Inefficient</v>
      </c>
    </row>
    <row r="557" spans="1:6" x14ac:dyDescent="0.25">
      <c r="A557" cm="1">
        <f t="array" ref="A557">INDEX('Portfolio Weights Returns'!$B$9:$BJ$69,
INT((ROW(A556)-1)/COLUMNS('Portfolio Weights Returns'!$B$9:$BJ$69))+1,MOD(ROW(A556)-1,COLUMNS('Portfolio Weights Returns'!$B$9:$BJ$69))+1)</f>
        <v>-1.0951203902122199E-3</v>
      </c>
      <c r="B557">
        <v>1.7000000000000001E-2</v>
      </c>
      <c r="C557" s="59">
        <v>0.2</v>
      </c>
      <c r="D557" s="59">
        <v>0.24</v>
      </c>
      <c r="E557" s="60">
        <f t="shared" si="8"/>
        <v>0.56000000000000005</v>
      </c>
      <c r="F557" t="str" cm="1">
        <f t="array" ref="F557">IF(A557=MAX(IF(ROUND($B$2:$B$3722,4)=ROUND(B557,4),$A$2:$A$3722)),"Efficient","Inefficient")</f>
        <v>Inefficient</v>
      </c>
    </row>
    <row r="558" spans="1:6" x14ac:dyDescent="0.25">
      <c r="A558" cm="1">
        <f t="array" ref="A558">INDEX('Portfolio Weights Returns'!$B$9:$BJ$69,
INT((ROW(A557)-1)/COLUMNS('Portfolio Weights Returns'!$B$9:$BJ$69))+1,MOD(ROW(A557)-1,COLUMNS('Portfolio Weights Returns'!$B$9:$BJ$69))+1)</f>
        <v>-1.0883392162455408E-3</v>
      </c>
      <c r="B558">
        <v>1.7000000000000001E-2</v>
      </c>
      <c r="C558" s="59">
        <v>0.21</v>
      </c>
      <c r="D558" s="59">
        <v>0.25</v>
      </c>
      <c r="E558" s="60">
        <f t="shared" si="8"/>
        <v>0.54</v>
      </c>
      <c r="F558" t="str" cm="1">
        <f t="array" ref="F558">IF(A558=MAX(IF(ROUND($B$2:$B$3722,4)=ROUND(B558,4),$A$2:$A$3722)),"Efficient","Inefficient")</f>
        <v>Inefficient</v>
      </c>
    </row>
    <row r="559" spans="1:6" x14ac:dyDescent="0.25">
      <c r="A559" cm="1">
        <f t="array" ref="A559">INDEX('Portfolio Weights Returns'!$B$9:$BJ$69,
INT((ROW(A558)-1)/COLUMNS('Portfolio Weights Returns'!$B$9:$BJ$69))+1,MOD(ROW(A558)-1,COLUMNS('Portfolio Weights Returns'!$B$9:$BJ$69))+1)</f>
        <v>-1.0815580422788617E-3</v>
      </c>
      <c r="B559">
        <v>1.7000000000000001E-2</v>
      </c>
      <c r="C559" s="59">
        <v>0.22</v>
      </c>
      <c r="D559" s="59">
        <v>0.25</v>
      </c>
      <c r="E559" s="60">
        <f t="shared" si="8"/>
        <v>0.53</v>
      </c>
      <c r="F559" t="str" cm="1">
        <f t="array" ref="F559">IF(A559=MAX(IF(ROUND($B$2:$B$3722,4)=ROUND(B559,4),$A$2:$A$3722)),"Efficient","Inefficient")</f>
        <v>Inefficient</v>
      </c>
    </row>
    <row r="560" spans="1:6" x14ac:dyDescent="0.25">
      <c r="A560" cm="1">
        <f t="array" ref="A560">INDEX('Portfolio Weights Returns'!$B$9:$BJ$69,
INT((ROW(A559)-1)/COLUMNS('Portfolio Weights Returns'!$B$9:$BJ$69))+1,MOD(ROW(A559)-1,COLUMNS('Portfolio Weights Returns'!$B$9:$BJ$69))+1)</f>
        <v>-1.0747768683121825E-3</v>
      </c>
      <c r="B560">
        <v>1.7000000000000001E-2</v>
      </c>
      <c r="C560" s="59">
        <v>0.24</v>
      </c>
      <c r="D560" s="59">
        <v>0.26</v>
      </c>
      <c r="E560" s="60">
        <f t="shared" si="8"/>
        <v>0.5</v>
      </c>
      <c r="F560" t="str" cm="1">
        <f t="array" ref="F560">IF(A560=MAX(IF(ROUND($B$2:$B$3722,4)=ROUND(B560,4),$A$2:$A$3722)),"Efficient","Inefficient")</f>
        <v>Inefficient</v>
      </c>
    </row>
    <row r="561" spans="1:6" x14ac:dyDescent="0.25">
      <c r="A561" cm="1">
        <f t="array" ref="A561">INDEX('Portfolio Weights Returns'!$B$9:$BJ$69,
INT((ROW(A560)-1)/COLUMNS('Portfolio Weights Returns'!$B$9:$BJ$69))+1,MOD(ROW(A560)-1,COLUMNS('Portfolio Weights Returns'!$B$9:$BJ$69))+1)</f>
        <v>-1.0679956943455034E-3</v>
      </c>
      <c r="B561">
        <v>1.7000000000000001E-2</v>
      </c>
      <c r="C561" s="59">
        <v>0.25</v>
      </c>
      <c r="D561" s="59">
        <v>0.26</v>
      </c>
      <c r="E561" s="60">
        <f t="shared" si="8"/>
        <v>0.49</v>
      </c>
      <c r="F561" t="str" cm="1">
        <f t="array" ref="F561">IF(A561=MAX(IF(ROUND($B$2:$B$3722,4)=ROUND(B561,4),$A$2:$A$3722)),"Efficient","Inefficient")</f>
        <v>Inefficient</v>
      </c>
    </row>
    <row r="562" spans="1:6" x14ac:dyDescent="0.25">
      <c r="A562" cm="1">
        <f t="array" ref="A562">INDEX('Portfolio Weights Returns'!$B$9:$BJ$69,
INT((ROW(A561)-1)/COLUMNS('Portfolio Weights Returns'!$B$9:$BJ$69))+1,MOD(ROW(A561)-1,COLUMNS('Portfolio Weights Returns'!$B$9:$BJ$69))+1)</f>
        <v>-1.0612145203788242E-3</v>
      </c>
      <c r="B562">
        <v>1.7000000000000001E-2</v>
      </c>
      <c r="C562" s="59">
        <v>0.26</v>
      </c>
      <c r="D562" s="59">
        <v>0.26</v>
      </c>
      <c r="E562" s="60">
        <f t="shared" si="8"/>
        <v>0.48</v>
      </c>
      <c r="F562" t="str" cm="1">
        <f t="array" ref="F562">IF(A562=MAX(IF(ROUND($B$2:$B$3722,4)=ROUND(B562,4),$A$2:$A$3722)),"Efficient","Inefficient")</f>
        <v>Inefficient</v>
      </c>
    </row>
    <row r="563" spans="1:6" x14ac:dyDescent="0.25">
      <c r="A563" cm="1">
        <f t="array" ref="A563">INDEX('Portfolio Weights Returns'!$B$9:$BJ$69,
INT((ROW(A562)-1)/COLUMNS('Portfolio Weights Returns'!$B$9:$BJ$69))+1,MOD(ROW(A562)-1,COLUMNS('Portfolio Weights Returns'!$B$9:$BJ$69))+1)</f>
        <v>-1.0544333464121451E-3</v>
      </c>
      <c r="B563">
        <v>1.7000000000000001E-2</v>
      </c>
      <c r="C563" s="59">
        <v>0.28999999999999998</v>
      </c>
      <c r="D563" s="59">
        <v>0.27</v>
      </c>
      <c r="E563" s="60">
        <f t="shared" si="8"/>
        <v>0.44</v>
      </c>
      <c r="F563" t="str" cm="1">
        <f t="array" ref="F563">IF(A563=MAX(IF(ROUND($B$2:$B$3722,4)=ROUND(B563,4),$A$2:$A$3722)),"Efficient","Inefficient")</f>
        <v>Inefficient</v>
      </c>
    </row>
    <row r="564" spans="1:6" x14ac:dyDescent="0.25">
      <c r="A564" cm="1">
        <f t="array" ref="A564">INDEX('Portfolio Weights Returns'!$B$9:$BJ$69,
INT((ROW(A563)-1)/COLUMNS('Portfolio Weights Returns'!$B$9:$BJ$69))+1,MOD(ROW(A563)-1,COLUMNS('Portfolio Weights Returns'!$B$9:$BJ$69))+1)</f>
        <v>-1.0476521724454662E-3</v>
      </c>
      <c r="B564">
        <v>1.7000000000000001E-2</v>
      </c>
      <c r="C564" s="59">
        <v>0.3</v>
      </c>
      <c r="D564" s="59">
        <v>0.27</v>
      </c>
      <c r="E564" s="60">
        <f t="shared" si="8"/>
        <v>0.43</v>
      </c>
      <c r="F564" t="str" cm="1">
        <f t="array" ref="F564">IF(A564=MAX(IF(ROUND($B$2:$B$3722,4)=ROUND(B564,4),$A$2:$A$3722)),"Efficient","Inefficient")</f>
        <v>Inefficient</v>
      </c>
    </row>
    <row r="565" spans="1:6" x14ac:dyDescent="0.25">
      <c r="A565" cm="1">
        <f t="array" ref="A565">INDEX('Portfolio Weights Returns'!$B$9:$BJ$69,
INT((ROW(A564)-1)/COLUMNS('Portfolio Weights Returns'!$B$9:$BJ$69))+1,MOD(ROW(A564)-1,COLUMNS('Portfolio Weights Returns'!$B$9:$BJ$69))+1)</f>
        <v>-1.040870998478787E-3</v>
      </c>
      <c r="B565">
        <v>1.7100000000000001E-2</v>
      </c>
      <c r="C565" s="59">
        <v>0.3</v>
      </c>
      <c r="D565" s="59">
        <v>-0.13</v>
      </c>
      <c r="E565" s="60">
        <f t="shared" si="8"/>
        <v>0.82999999999999985</v>
      </c>
      <c r="F565" t="str" cm="1">
        <f t="array" ref="F565">IF(A565=MAX(IF(ROUND($B$2:$B$3722,4)=ROUND(B565,4),$A$2:$A$3722)),"Efficient","Inefficient")</f>
        <v>Inefficient</v>
      </c>
    </row>
    <row r="566" spans="1:6" x14ac:dyDescent="0.25">
      <c r="A566" cm="1">
        <f t="array" ref="A566">INDEX('Portfolio Weights Returns'!$B$9:$BJ$69,
INT((ROW(A565)-1)/COLUMNS('Portfolio Weights Returns'!$B$9:$BJ$69))+1,MOD(ROW(A565)-1,COLUMNS('Portfolio Weights Returns'!$B$9:$BJ$69))+1)</f>
        <v>-1.0340898245121079E-3</v>
      </c>
      <c r="B566">
        <v>1.7100000000000001E-2</v>
      </c>
      <c r="C566" s="59">
        <v>0.28999999999999998</v>
      </c>
      <c r="D566" s="59">
        <v>-0.12</v>
      </c>
      <c r="E566" s="60">
        <f t="shared" si="8"/>
        <v>0.83000000000000007</v>
      </c>
      <c r="F566" t="str" cm="1">
        <f t="array" ref="F566">IF(A566=MAX(IF(ROUND($B$2:$B$3722,4)=ROUND(B566,4),$A$2:$A$3722)),"Efficient","Inefficient")</f>
        <v>Inefficient</v>
      </c>
    </row>
    <row r="567" spans="1:6" x14ac:dyDescent="0.25">
      <c r="A567" cm="1">
        <f t="array" ref="A567">INDEX('Portfolio Weights Returns'!$B$9:$BJ$69,
INT((ROW(A566)-1)/COLUMNS('Portfolio Weights Returns'!$B$9:$BJ$69))+1,MOD(ROW(A566)-1,COLUMNS('Portfolio Weights Returns'!$B$9:$BJ$69))+1)</f>
        <v>-1.0273086505454289E-3</v>
      </c>
      <c r="B567">
        <v>1.7100000000000001E-2</v>
      </c>
      <c r="C567" s="59">
        <v>0.27</v>
      </c>
      <c r="D567" s="59">
        <v>-0.11</v>
      </c>
      <c r="E567" s="60">
        <f t="shared" si="8"/>
        <v>0.84000000000000008</v>
      </c>
      <c r="F567" t="str" cm="1">
        <f t="array" ref="F567">IF(A567=MAX(IF(ROUND($B$2:$B$3722,4)=ROUND(B567,4),$A$2:$A$3722)),"Efficient","Inefficient")</f>
        <v>Inefficient</v>
      </c>
    </row>
    <row r="568" spans="1:6" x14ac:dyDescent="0.25">
      <c r="A568" cm="1">
        <f t="array" ref="A568">INDEX('Portfolio Weights Returns'!$B$9:$BJ$69,
INT((ROW(A567)-1)/COLUMNS('Portfolio Weights Returns'!$B$9:$BJ$69))+1,MOD(ROW(A567)-1,COLUMNS('Portfolio Weights Returns'!$B$9:$BJ$69))+1)</f>
        <v>-1.0205274765787498E-3</v>
      </c>
      <c r="B568">
        <v>1.7100000000000001E-2</v>
      </c>
      <c r="C568" s="59">
        <v>0.26</v>
      </c>
      <c r="D568" s="59">
        <v>-0.1</v>
      </c>
      <c r="E568" s="60">
        <f t="shared" si="8"/>
        <v>0.84000000000000008</v>
      </c>
      <c r="F568" t="str" cm="1">
        <f t="array" ref="F568">IF(A568=MAX(IF(ROUND($B$2:$B$3722,4)=ROUND(B568,4),$A$2:$A$3722)),"Efficient","Inefficient")</f>
        <v>Inefficient</v>
      </c>
    </row>
    <row r="569" spans="1:6" x14ac:dyDescent="0.25">
      <c r="A569" cm="1">
        <f t="array" ref="A569">INDEX('Portfolio Weights Returns'!$B$9:$BJ$69,
INT((ROW(A568)-1)/COLUMNS('Portfolio Weights Returns'!$B$9:$BJ$69))+1,MOD(ROW(A568)-1,COLUMNS('Portfolio Weights Returns'!$B$9:$BJ$69))+1)</f>
        <v>-1.0137463026120709E-3</v>
      </c>
      <c r="B569">
        <v>1.7100000000000001E-2</v>
      </c>
      <c r="C569" s="59">
        <v>0.25</v>
      </c>
      <c r="D569" s="59">
        <v>-0.09</v>
      </c>
      <c r="E569" s="60">
        <f t="shared" si="8"/>
        <v>0.84000000000000008</v>
      </c>
      <c r="F569" t="str" cm="1">
        <f t="array" ref="F569">IF(A569=MAX(IF(ROUND($B$2:$B$3722,4)=ROUND(B569,4),$A$2:$A$3722)),"Efficient","Inefficient")</f>
        <v>Inefficient</v>
      </c>
    </row>
    <row r="570" spans="1:6" x14ac:dyDescent="0.25">
      <c r="A570" cm="1">
        <f t="array" ref="A570">INDEX('Portfolio Weights Returns'!$B$9:$BJ$69,
INT((ROW(A569)-1)/COLUMNS('Portfolio Weights Returns'!$B$9:$BJ$69))+1,MOD(ROW(A569)-1,COLUMNS('Portfolio Weights Returns'!$B$9:$BJ$69))+1)</f>
        <v>-1.0069651286453917E-3</v>
      </c>
      <c r="B570">
        <v>1.7100000000000001E-2</v>
      </c>
      <c r="C570" s="59">
        <v>0.23</v>
      </c>
      <c r="D570" s="59">
        <v>-0.08</v>
      </c>
      <c r="E570" s="60">
        <f t="shared" si="8"/>
        <v>0.85000000000000009</v>
      </c>
      <c r="F570" t="str" cm="1">
        <f t="array" ref="F570">IF(A570=MAX(IF(ROUND($B$2:$B$3722,4)=ROUND(B570,4),$A$2:$A$3722)),"Efficient","Inefficient")</f>
        <v>Inefficient</v>
      </c>
    </row>
    <row r="571" spans="1:6" x14ac:dyDescent="0.25">
      <c r="A571" cm="1">
        <f t="array" ref="A571">INDEX('Portfolio Weights Returns'!$B$9:$BJ$69,
INT((ROW(A570)-1)/COLUMNS('Portfolio Weights Returns'!$B$9:$BJ$69))+1,MOD(ROW(A570)-1,COLUMNS('Portfolio Weights Returns'!$B$9:$BJ$69))+1)</f>
        <v>-1.0001839546787124E-3</v>
      </c>
      <c r="B571">
        <v>1.7100000000000001E-2</v>
      </c>
      <c r="C571" s="59">
        <v>0.22</v>
      </c>
      <c r="D571" s="59">
        <v>-7.0000000000000007E-2</v>
      </c>
      <c r="E571" s="60">
        <f t="shared" si="8"/>
        <v>0.85000000000000009</v>
      </c>
      <c r="F571" t="str" cm="1">
        <f t="array" ref="F571">IF(A571=MAX(IF(ROUND($B$2:$B$3722,4)=ROUND(B571,4),$A$2:$A$3722)),"Efficient","Inefficient")</f>
        <v>Inefficient</v>
      </c>
    </row>
    <row r="572" spans="1:6" x14ac:dyDescent="0.25">
      <c r="A572" cm="1">
        <f t="array" ref="A572">INDEX('Portfolio Weights Returns'!$B$9:$BJ$69,
INT((ROW(A571)-1)/COLUMNS('Portfolio Weights Returns'!$B$9:$BJ$69))+1,MOD(ROW(A571)-1,COLUMNS('Portfolio Weights Returns'!$B$9:$BJ$69))+1)</f>
        <v>-9.9340278071203343E-4</v>
      </c>
      <c r="B572">
        <v>1.7100000000000001E-2</v>
      </c>
      <c r="C572" s="59">
        <v>0.21</v>
      </c>
      <c r="D572" s="59">
        <v>-0.06</v>
      </c>
      <c r="E572" s="60">
        <f t="shared" si="8"/>
        <v>0.85000000000000009</v>
      </c>
      <c r="F572" t="str" cm="1">
        <f t="array" ref="F572">IF(A572=MAX(IF(ROUND($B$2:$B$3722,4)=ROUND(B572,4),$A$2:$A$3722)),"Efficient","Inefficient")</f>
        <v>Inefficient</v>
      </c>
    </row>
    <row r="573" spans="1:6" x14ac:dyDescent="0.25">
      <c r="A573" cm="1">
        <f t="array" ref="A573">INDEX('Portfolio Weights Returns'!$B$9:$BJ$69,
INT((ROW(A572)-1)/COLUMNS('Portfolio Weights Returns'!$B$9:$BJ$69))+1,MOD(ROW(A572)-1,COLUMNS('Portfolio Weights Returns'!$B$9:$BJ$69))+1)</f>
        <v>-9.8662160674535429E-4</v>
      </c>
      <c r="B573">
        <v>1.7100000000000001E-2</v>
      </c>
      <c r="C573" s="59">
        <v>0.2</v>
      </c>
      <c r="D573" s="59">
        <v>-0.05</v>
      </c>
      <c r="E573" s="60">
        <f t="shared" si="8"/>
        <v>0.85000000000000009</v>
      </c>
      <c r="F573" t="str" cm="1">
        <f t="array" ref="F573">IF(A573=MAX(IF(ROUND($B$2:$B$3722,4)=ROUND(B573,4),$A$2:$A$3722)),"Efficient","Inefficient")</f>
        <v>Inefficient</v>
      </c>
    </row>
    <row r="574" spans="1:6" x14ac:dyDescent="0.25">
      <c r="A574" cm="1">
        <f t="array" ref="A574">INDEX('Portfolio Weights Returns'!$B$9:$BJ$69,
INT((ROW(A573)-1)/COLUMNS('Portfolio Weights Returns'!$B$9:$BJ$69))+1,MOD(ROW(A573)-1,COLUMNS('Portfolio Weights Returns'!$B$9:$BJ$69))+1)</f>
        <v>-9.7984043277867514E-4</v>
      </c>
      <c r="B574">
        <v>1.7100000000000001E-2</v>
      </c>
      <c r="C574" s="59">
        <v>0.19</v>
      </c>
      <c r="D574" s="59">
        <v>-0.04</v>
      </c>
      <c r="E574" s="60">
        <f t="shared" si="8"/>
        <v>0.85000000000000009</v>
      </c>
      <c r="F574" t="str" cm="1">
        <f t="array" ref="F574">IF(A574=MAX(IF(ROUND($B$2:$B$3722,4)=ROUND(B574,4),$A$2:$A$3722)),"Efficient","Inefficient")</f>
        <v>Inefficient</v>
      </c>
    </row>
    <row r="575" spans="1:6" x14ac:dyDescent="0.25">
      <c r="A575" cm="1">
        <f t="array" ref="A575">INDEX('Portfolio Weights Returns'!$B$9:$BJ$69,
INT((ROW(A574)-1)/COLUMNS('Portfolio Weights Returns'!$B$9:$BJ$69))+1,MOD(ROW(A574)-1,COLUMNS('Portfolio Weights Returns'!$B$9:$BJ$69))+1)</f>
        <v>-9.73059258811996E-4</v>
      </c>
      <c r="B575">
        <v>1.7100000000000001E-2</v>
      </c>
      <c r="C575" s="59">
        <v>0.18</v>
      </c>
      <c r="D575" s="59">
        <v>-0.03</v>
      </c>
      <c r="E575" s="60">
        <f t="shared" si="8"/>
        <v>0.85000000000000009</v>
      </c>
      <c r="F575" t="str" cm="1">
        <f t="array" ref="F575">IF(A575=MAX(IF(ROUND($B$2:$B$3722,4)=ROUND(B575,4),$A$2:$A$3722)),"Efficient","Inefficient")</f>
        <v>Inefficient</v>
      </c>
    </row>
    <row r="576" spans="1:6" x14ac:dyDescent="0.25">
      <c r="A576" cm="1">
        <f t="array" ref="A576">INDEX('Portfolio Weights Returns'!$B$9:$BJ$69,
INT((ROW(A575)-1)/COLUMNS('Portfolio Weights Returns'!$B$9:$BJ$69))+1,MOD(ROW(A575)-1,COLUMNS('Portfolio Weights Returns'!$B$9:$BJ$69))+1)</f>
        <v>-9.6627808484531696E-4</v>
      </c>
      <c r="B576">
        <v>1.7100000000000001E-2</v>
      </c>
      <c r="C576" s="59">
        <v>0.17</v>
      </c>
      <c r="D576" s="59">
        <v>-0.02</v>
      </c>
      <c r="E576" s="60">
        <f t="shared" si="8"/>
        <v>0.85</v>
      </c>
      <c r="F576" t="str" cm="1">
        <f t="array" ref="F576">IF(A576=MAX(IF(ROUND($B$2:$B$3722,4)=ROUND(B576,4),$A$2:$A$3722)),"Efficient","Inefficient")</f>
        <v>Inefficient</v>
      </c>
    </row>
    <row r="577" spans="1:6" x14ac:dyDescent="0.25">
      <c r="A577" cm="1">
        <f t="array" ref="A577">INDEX('Portfolio Weights Returns'!$B$9:$BJ$69,
INT((ROW(A576)-1)/COLUMNS('Portfolio Weights Returns'!$B$9:$BJ$69))+1,MOD(ROW(A576)-1,COLUMNS('Portfolio Weights Returns'!$B$9:$BJ$69))+1)</f>
        <v>-9.5949691087863782E-4</v>
      </c>
      <c r="B577">
        <v>1.7100000000000001E-2</v>
      </c>
      <c r="C577" s="59">
        <v>0.16</v>
      </c>
      <c r="D577" s="59">
        <v>-0.01</v>
      </c>
      <c r="E577" s="60">
        <f t="shared" si="8"/>
        <v>0.85</v>
      </c>
      <c r="F577" t="str" cm="1">
        <f t="array" ref="F577">IF(A577=MAX(IF(ROUND($B$2:$B$3722,4)=ROUND(B577,4),$A$2:$A$3722)),"Efficient","Inefficient")</f>
        <v>Inefficient</v>
      </c>
    </row>
    <row r="578" spans="1:6" x14ac:dyDescent="0.25">
      <c r="A578" cm="1">
        <f t="array" ref="A578">INDEX('Portfolio Weights Returns'!$B$9:$BJ$69,
INT((ROW(A577)-1)/COLUMNS('Portfolio Weights Returns'!$B$9:$BJ$69))+1,MOD(ROW(A577)-1,COLUMNS('Portfolio Weights Returns'!$B$9:$BJ$69))+1)</f>
        <v>-9.5271573691195878E-4</v>
      </c>
      <c r="B578">
        <v>1.7100000000000001E-2</v>
      </c>
      <c r="C578" s="59">
        <v>0.15</v>
      </c>
      <c r="D578" s="59">
        <v>0</v>
      </c>
      <c r="E578" s="60">
        <f t="shared" ref="E578:E641" si="9">1-D578-C578</f>
        <v>0.85</v>
      </c>
      <c r="F578" t="str" cm="1">
        <f t="array" ref="F578">IF(A578=MAX(IF(ROUND($B$2:$B$3722,4)=ROUND(B578,4),$A$2:$A$3722)),"Efficient","Inefficient")</f>
        <v>Inefficient</v>
      </c>
    </row>
    <row r="579" spans="1:6" x14ac:dyDescent="0.25">
      <c r="A579" cm="1">
        <f t="array" ref="A579">INDEX('Portfolio Weights Returns'!$B$9:$BJ$69,
INT((ROW(A578)-1)/COLUMNS('Portfolio Weights Returns'!$B$9:$BJ$69))+1,MOD(ROW(A578)-1,COLUMNS('Portfolio Weights Returns'!$B$9:$BJ$69))+1)</f>
        <v>-9.4593456294527964E-4</v>
      </c>
      <c r="B579">
        <v>1.7100000000000001E-2</v>
      </c>
      <c r="C579" s="59">
        <v>0.14000000000000001</v>
      </c>
      <c r="D579" s="59">
        <v>0.02</v>
      </c>
      <c r="E579" s="60">
        <f t="shared" si="9"/>
        <v>0.84</v>
      </c>
      <c r="F579" t="str" cm="1">
        <f t="array" ref="F579">IF(A579=MAX(IF(ROUND($B$2:$B$3722,4)=ROUND(B579,4),$A$2:$A$3722)),"Efficient","Inefficient")</f>
        <v>Inefficient</v>
      </c>
    </row>
    <row r="580" spans="1:6" x14ac:dyDescent="0.25">
      <c r="A580" cm="1">
        <f t="array" ref="A580">INDEX('Portfolio Weights Returns'!$B$9:$BJ$69,
INT((ROW(A579)-1)/COLUMNS('Portfolio Weights Returns'!$B$9:$BJ$69))+1,MOD(ROW(A579)-1,COLUMNS('Portfolio Weights Returns'!$B$9:$BJ$69))+1)</f>
        <v>-9.391533889786006E-4</v>
      </c>
      <c r="B580">
        <v>1.7100000000000001E-2</v>
      </c>
      <c r="C580" s="59">
        <v>0.13</v>
      </c>
      <c r="D580" s="59">
        <v>0.03</v>
      </c>
      <c r="E580" s="60">
        <f t="shared" si="9"/>
        <v>0.84</v>
      </c>
      <c r="F580" t="str" cm="1">
        <f t="array" ref="F580">IF(A580=MAX(IF(ROUND($B$2:$B$3722,4)=ROUND(B580,4),$A$2:$A$3722)),"Efficient","Inefficient")</f>
        <v>Inefficient</v>
      </c>
    </row>
    <row r="581" spans="1:6" x14ac:dyDescent="0.25">
      <c r="A581" cm="1">
        <f t="array" ref="A581">INDEX('Portfolio Weights Returns'!$B$9:$BJ$69,
INT((ROW(A580)-1)/COLUMNS('Portfolio Weights Returns'!$B$9:$BJ$69))+1,MOD(ROW(A580)-1,COLUMNS('Portfolio Weights Returns'!$B$9:$BJ$69))+1)</f>
        <v>-9.3237221501192135E-4</v>
      </c>
      <c r="B581">
        <v>1.7100000000000001E-2</v>
      </c>
      <c r="C581" s="59">
        <v>0.12</v>
      </c>
      <c r="D581" s="59">
        <v>0.05</v>
      </c>
      <c r="E581" s="60">
        <f t="shared" si="9"/>
        <v>0.83</v>
      </c>
      <c r="F581" t="str" cm="1">
        <f t="array" ref="F581">IF(A581=MAX(IF(ROUND($B$2:$B$3722,4)=ROUND(B581,4),$A$2:$A$3722)),"Efficient","Inefficient")</f>
        <v>Inefficient</v>
      </c>
    </row>
    <row r="582" spans="1:6" x14ac:dyDescent="0.25">
      <c r="A582" cm="1">
        <f t="array" ref="A582">INDEX('Portfolio Weights Returns'!$B$9:$BJ$69,
INT((ROW(A581)-1)/COLUMNS('Portfolio Weights Returns'!$B$9:$BJ$69))+1,MOD(ROW(A581)-1,COLUMNS('Portfolio Weights Returns'!$B$9:$BJ$69))+1)</f>
        <v>-9.2559104104524231E-4</v>
      </c>
      <c r="B582">
        <v>1.7100000000000001E-2</v>
      </c>
      <c r="C582" s="59">
        <v>0.11</v>
      </c>
      <c r="D582" s="59">
        <v>7.0000000000000007E-2</v>
      </c>
      <c r="E582" s="60">
        <f t="shared" si="9"/>
        <v>0.82</v>
      </c>
      <c r="F582" t="str" cm="1">
        <f t="array" ref="F582">IF(A582=MAX(IF(ROUND($B$2:$B$3722,4)=ROUND(B582,4),$A$2:$A$3722)),"Efficient","Inefficient")</f>
        <v>Inefficient</v>
      </c>
    </row>
    <row r="583" spans="1:6" x14ac:dyDescent="0.25">
      <c r="A583" cm="1">
        <f t="array" ref="A583">INDEX('Portfolio Weights Returns'!$B$9:$BJ$69,
INT((ROW(A582)-1)/COLUMNS('Portfolio Weights Returns'!$B$9:$BJ$69))+1,MOD(ROW(A582)-1,COLUMNS('Portfolio Weights Returns'!$B$9:$BJ$69))+1)</f>
        <v>-9.1880986707856317E-4</v>
      </c>
      <c r="B583">
        <v>1.7100000000000001E-2</v>
      </c>
      <c r="C583" s="59">
        <v>0.11</v>
      </c>
      <c r="D583" s="59">
        <v>0.08</v>
      </c>
      <c r="E583" s="60">
        <f t="shared" si="9"/>
        <v>0.81</v>
      </c>
      <c r="F583" t="str" cm="1">
        <f t="array" ref="F583">IF(A583=MAX(IF(ROUND($B$2:$B$3722,4)=ROUND(B583,4),$A$2:$A$3722)),"Efficient","Inefficient")</f>
        <v>Inefficient</v>
      </c>
    </row>
    <row r="584" spans="1:6" x14ac:dyDescent="0.25">
      <c r="A584" cm="1">
        <f t="array" ref="A584">INDEX('Portfolio Weights Returns'!$B$9:$BJ$69,
INT((ROW(A583)-1)/COLUMNS('Portfolio Weights Returns'!$B$9:$BJ$69))+1,MOD(ROW(A583)-1,COLUMNS('Portfolio Weights Returns'!$B$9:$BJ$69))+1)</f>
        <v>-9.1202869311188403E-4</v>
      </c>
      <c r="B584">
        <v>1.7100000000000001E-2</v>
      </c>
      <c r="C584" s="59">
        <v>0.1</v>
      </c>
      <c r="D584" s="59">
        <v>0.1</v>
      </c>
      <c r="E584" s="60">
        <f t="shared" si="9"/>
        <v>0.8</v>
      </c>
      <c r="F584" t="str" cm="1">
        <f t="array" ref="F584">IF(A584=MAX(IF(ROUND($B$2:$B$3722,4)=ROUND(B584,4),$A$2:$A$3722)),"Efficient","Inefficient")</f>
        <v>Inefficient</v>
      </c>
    </row>
    <row r="585" spans="1:6" x14ac:dyDescent="0.25">
      <c r="A585" cm="1">
        <f t="array" ref="A585">INDEX('Portfolio Weights Returns'!$B$9:$BJ$69,
INT((ROW(A584)-1)/COLUMNS('Portfolio Weights Returns'!$B$9:$BJ$69))+1,MOD(ROW(A584)-1,COLUMNS('Portfolio Weights Returns'!$B$9:$BJ$69))+1)</f>
        <v>-9.0524751914520499E-4</v>
      </c>
      <c r="B585">
        <v>1.7100000000000001E-2</v>
      </c>
      <c r="C585" s="59">
        <v>0.1</v>
      </c>
      <c r="D585" s="59">
        <v>0.11</v>
      </c>
      <c r="E585" s="60">
        <f t="shared" si="9"/>
        <v>0.79</v>
      </c>
      <c r="F585" t="str" cm="1">
        <f t="array" ref="F585">IF(A585=MAX(IF(ROUND($B$2:$B$3722,4)=ROUND(B585,4),$A$2:$A$3722)),"Efficient","Inefficient")</f>
        <v>Inefficient</v>
      </c>
    </row>
    <row r="586" spans="1:6" x14ac:dyDescent="0.25">
      <c r="A586" cm="1">
        <f t="array" ref="A586">INDEX('Portfolio Weights Returns'!$B$9:$BJ$69,
INT((ROW(A585)-1)/COLUMNS('Portfolio Weights Returns'!$B$9:$BJ$69))+1,MOD(ROW(A585)-1,COLUMNS('Portfolio Weights Returns'!$B$9:$BJ$69))+1)</f>
        <v>-8.9846634517852584E-4</v>
      </c>
      <c r="B586">
        <v>1.7100000000000001E-2</v>
      </c>
      <c r="C586" s="59">
        <v>0.1</v>
      </c>
      <c r="D586" s="59">
        <v>0.12</v>
      </c>
      <c r="E586" s="60">
        <f t="shared" si="9"/>
        <v>0.78</v>
      </c>
      <c r="F586" t="str" cm="1">
        <f t="array" ref="F586">IF(A586=MAX(IF(ROUND($B$2:$B$3722,4)=ROUND(B586,4),$A$2:$A$3722)),"Efficient","Inefficient")</f>
        <v>Inefficient</v>
      </c>
    </row>
    <row r="587" spans="1:6" x14ac:dyDescent="0.25">
      <c r="A587" cm="1">
        <f t="array" ref="A587">INDEX('Portfolio Weights Returns'!$B$9:$BJ$69,
INT((ROW(A586)-1)/COLUMNS('Portfolio Weights Returns'!$B$9:$BJ$69))+1,MOD(ROW(A586)-1,COLUMNS('Portfolio Weights Returns'!$B$9:$BJ$69))+1)</f>
        <v>-8.9168517121184681E-4</v>
      </c>
      <c r="B587">
        <v>1.7100000000000001E-2</v>
      </c>
      <c r="C587" s="59">
        <v>0.1</v>
      </c>
      <c r="D587" s="59">
        <v>0.13</v>
      </c>
      <c r="E587" s="60">
        <f t="shared" si="9"/>
        <v>0.77</v>
      </c>
      <c r="F587" t="str" cm="1">
        <f t="array" ref="F587">IF(A587=MAX(IF(ROUND($B$2:$B$3722,4)=ROUND(B587,4),$A$2:$A$3722)),"Efficient","Inefficient")</f>
        <v>Inefficient</v>
      </c>
    </row>
    <row r="588" spans="1:6" x14ac:dyDescent="0.25">
      <c r="A588" cm="1">
        <f t="array" ref="A588">INDEX('Portfolio Weights Returns'!$B$9:$BJ$69,
INT((ROW(A587)-1)/COLUMNS('Portfolio Weights Returns'!$B$9:$BJ$69))+1,MOD(ROW(A587)-1,COLUMNS('Portfolio Weights Returns'!$B$9:$BJ$69))+1)</f>
        <v>-8.8490399724516756E-4</v>
      </c>
      <c r="B588">
        <v>1.7100000000000001E-2</v>
      </c>
      <c r="C588" s="59">
        <v>0.1</v>
      </c>
      <c r="D588" s="59">
        <v>0.14000000000000001</v>
      </c>
      <c r="E588" s="60">
        <f t="shared" si="9"/>
        <v>0.76</v>
      </c>
      <c r="F588" t="str" cm="1">
        <f t="array" ref="F588">IF(A588=MAX(IF(ROUND($B$2:$B$3722,4)=ROUND(B588,4),$A$2:$A$3722)),"Efficient","Inefficient")</f>
        <v>Inefficient</v>
      </c>
    </row>
    <row r="589" spans="1:6" x14ac:dyDescent="0.25">
      <c r="A589" cm="1">
        <f t="array" ref="A589">INDEX('Portfolio Weights Returns'!$B$9:$BJ$69,
INT((ROW(A588)-1)/COLUMNS('Portfolio Weights Returns'!$B$9:$BJ$69))+1,MOD(ROW(A588)-1,COLUMNS('Portfolio Weights Returns'!$B$9:$BJ$69))+1)</f>
        <v>-8.7812282327848874E-4</v>
      </c>
      <c r="B589">
        <v>1.7100000000000001E-2</v>
      </c>
      <c r="C589" s="59">
        <v>0.1</v>
      </c>
      <c r="D589" s="59">
        <v>0.15</v>
      </c>
      <c r="E589" s="60">
        <f t="shared" si="9"/>
        <v>0.75</v>
      </c>
      <c r="F589" t="str" cm="1">
        <f t="array" ref="F589">IF(A589=MAX(IF(ROUND($B$2:$B$3722,4)=ROUND(B589,4),$A$2:$A$3722)),"Efficient","Inefficient")</f>
        <v>Inefficient</v>
      </c>
    </row>
    <row r="590" spans="1:6" x14ac:dyDescent="0.25">
      <c r="A590" cm="1">
        <f t="array" ref="A590">INDEX('Portfolio Weights Returns'!$B$9:$BJ$69,
INT((ROW(A589)-1)/COLUMNS('Portfolio Weights Returns'!$B$9:$BJ$69))+1,MOD(ROW(A589)-1,COLUMNS('Portfolio Weights Returns'!$B$9:$BJ$69))+1)</f>
        <v>-8.7134164931180959E-4</v>
      </c>
      <c r="B590">
        <v>1.7100000000000001E-2</v>
      </c>
      <c r="C590" s="59">
        <v>0.1</v>
      </c>
      <c r="D590" s="59">
        <v>0.16</v>
      </c>
      <c r="E590" s="60">
        <f t="shared" si="9"/>
        <v>0.74</v>
      </c>
      <c r="F590" t="str" cm="1">
        <f t="array" ref="F590">IF(A590=MAX(IF(ROUND($B$2:$B$3722,4)=ROUND(B590,4),$A$2:$A$3722)),"Efficient","Inefficient")</f>
        <v>Inefficient</v>
      </c>
    </row>
    <row r="591" spans="1:6" x14ac:dyDescent="0.25">
      <c r="A591" cm="1">
        <f t="array" ref="A591">INDEX('Portfolio Weights Returns'!$B$9:$BJ$69,
INT((ROW(A590)-1)/COLUMNS('Portfolio Weights Returns'!$B$9:$BJ$69))+1,MOD(ROW(A590)-1,COLUMNS('Portfolio Weights Returns'!$B$9:$BJ$69))+1)</f>
        <v>-8.6456047534513056E-4</v>
      </c>
      <c r="B591">
        <v>1.7100000000000001E-2</v>
      </c>
      <c r="C591" s="59">
        <v>0.11</v>
      </c>
      <c r="D591" s="59">
        <v>0.17</v>
      </c>
      <c r="E591" s="60">
        <f t="shared" si="9"/>
        <v>0.72</v>
      </c>
      <c r="F591" t="str" cm="1">
        <f t="array" ref="F591">IF(A591=MAX(IF(ROUND($B$2:$B$3722,4)=ROUND(B591,4),$A$2:$A$3722)),"Efficient","Inefficient")</f>
        <v>Inefficient</v>
      </c>
    </row>
    <row r="592" spans="1:6" x14ac:dyDescent="0.25">
      <c r="A592" cm="1">
        <f t="array" ref="A592">INDEX('Portfolio Weights Returns'!$B$9:$BJ$69,
INT((ROW(A591)-1)/COLUMNS('Portfolio Weights Returns'!$B$9:$BJ$69))+1,MOD(ROW(A591)-1,COLUMNS('Portfolio Weights Returns'!$B$9:$BJ$69))+1)</f>
        <v>-8.577793013784513E-4</v>
      </c>
      <c r="B592">
        <v>1.7100000000000001E-2</v>
      </c>
      <c r="C592" s="59">
        <v>0.11</v>
      </c>
      <c r="D592" s="59">
        <v>0.18</v>
      </c>
      <c r="E592" s="60">
        <f t="shared" si="9"/>
        <v>0.71000000000000008</v>
      </c>
      <c r="F592" t="str" cm="1">
        <f t="array" ref="F592">IF(A592=MAX(IF(ROUND($B$2:$B$3722,4)=ROUND(B592,4),$A$2:$A$3722)),"Efficient","Inefficient")</f>
        <v>Inefficient</v>
      </c>
    </row>
    <row r="593" spans="1:6" x14ac:dyDescent="0.25">
      <c r="A593" cm="1">
        <f t="array" ref="A593">INDEX('Portfolio Weights Returns'!$B$9:$BJ$69,
INT((ROW(A592)-1)/COLUMNS('Portfolio Weights Returns'!$B$9:$BJ$69))+1,MOD(ROW(A592)-1,COLUMNS('Portfolio Weights Returns'!$B$9:$BJ$69))+1)</f>
        <v>-8.5099812741177216E-4</v>
      </c>
      <c r="B593">
        <v>1.7100000000000001E-2</v>
      </c>
      <c r="C593" s="59">
        <v>0.12</v>
      </c>
      <c r="D593" s="59">
        <v>0.19</v>
      </c>
      <c r="E593" s="60">
        <f t="shared" si="9"/>
        <v>0.69000000000000006</v>
      </c>
      <c r="F593" t="str" cm="1">
        <f t="array" ref="F593">IF(A593=MAX(IF(ROUND($B$2:$B$3722,4)=ROUND(B593,4),$A$2:$A$3722)),"Efficient","Inefficient")</f>
        <v>Inefficient</v>
      </c>
    </row>
    <row r="594" spans="1:6" x14ac:dyDescent="0.25">
      <c r="A594" cm="1">
        <f t="array" ref="A594">INDEX('Portfolio Weights Returns'!$B$9:$BJ$69,
INT((ROW(A593)-1)/COLUMNS('Portfolio Weights Returns'!$B$9:$BJ$69))+1,MOD(ROW(A593)-1,COLUMNS('Portfolio Weights Returns'!$B$9:$BJ$69))+1)</f>
        <v>-8.4421695344509312E-4</v>
      </c>
      <c r="B594">
        <v>1.7100000000000001E-2</v>
      </c>
      <c r="C594" s="59">
        <v>0.12</v>
      </c>
      <c r="D594" s="59">
        <v>0.2</v>
      </c>
      <c r="E594" s="60">
        <f t="shared" si="9"/>
        <v>0.68</v>
      </c>
      <c r="F594" t="str" cm="1">
        <f t="array" ref="F594">IF(A594=MAX(IF(ROUND($B$2:$B$3722,4)=ROUND(B594,4),$A$2:$A$3722)),"Efficient","Inefficient")</f>
        <v>Inefficient</v>
      </c>
    </row>
    <row r="595" spans="1:6" x14ac:dyDescent="0.25">
      <c r="A595" cm="1">
        <f t="array" ref="A595">INDEX('Portfolio Weights Returns'!$B$9:$BJ$69,
INT((ROW(A594)-1)/COLUMNS('Portfolio Weights Returns'!$B$9:$BJ$69))+1,MOD(ROW(A594)-1,COLUMNS('Portfolio Weights Returns'!$B$9:$BJ$69))+1)</f>
        <v>-8.3743577947841398E-4</v>
      </c>
      <c r="B595">
        <v>1.7100000000000001E-2</v>
      </c>
      <c r="C595" s="59">
        <v>0.13</v>
      </c>
      <c r="D595" s="59">
        <v>0.2</v>
      </c>
      <c r="E595" s="60">
        <f t="shared" si="9"/>
        <v>0.67</v>
      </c>
      <c r="F595" t="str" cm="1">
        <f t="array" ref="F595">IF(A595=MAX(IF(ROUND($B$2:$B$3722,4)=ROUND(B595,4),$A$2:$A$3722)),"Efficient","Inefficient")</f>
        <v>Inefficient</v>
      </c>
    </row>
    <row r="596" spans="1:6" x14ac:dyDescent="0.25">
      <c r="A596" cm="1">
        <f t="array" ref="A596">INDEX('Portfolio Weights Returns'!$B$9:$BJ$69,
INT((ROW(A595)-1)/COLUMNS('Portfolio Weights Returns'!$B$9:$BJ$69))+1,MOD(ROW(A595)-1,COLUMNS('Portfolio Weights Returns'!$B$9:$BJ$69))+1)</f>
        <v>-8.3065460551173494E-4</v>
      </c>
      <c r="B596">
        <v>1.7100000000000001E-2</v>
      </c>
      <c r="C596" s="59">
        <v>0.13</v>
      </c>
      <c r="D596" s="59">
        <v>0.21</v>
      </c>
      <c r="E596" s="60">
        <f t="shared" si="9"/>
        <v>0.66</v>
      </c>
      <c r="F596" t="str" cm="1">
        <f t="array" ref="F596">IF(A596=MAX(IF(ROUND($B$2:$B$3722,4)=ROUND(B596,4),$A$2:$A$3722)),"Efficient","Inefficient")</f>
        <v>Inefficient</v>
      </c>
    </row>
    <row r="597" spans="1:6" x14ac:dyDescent="0.25">
      <c r="A597" cm="1">
        <f t="array" ref="A597">INDEX('Portfolio Weights Returns'!$B$9:$BJ$69,
INT((ROW(A596)-1)/COLUMNS('Portfolio Weights Returns'!$B$9:$BJ$69))+1,MOD(ROW(A596)-1,COLUMNS('Portfolio Weights Returns'!$B$9:$BJ$69))+1)</f>
        <v>-8.238734315450558E-4</v>
      </c>
      <c r="B597">
        <v>1.7100000000000001E-2</v>
      </c>
      <c r="C597" s="59">
        <v>0.14000000000000001</v>
      </c>
      <c r="D597" s="59">
        <v>0.21</v>
      </c>
      <c r="E597" s="60">
        <f t="shared" si="9"/>
        <v>0.65</v>
      </c>
      <c r="F597" t="str" cm="1">
        <f t="array" ref="F597">IF(A597=MAX(IF(ROUND($B$2:$B$3722,4)=ROUND(B597,4),$A$2:$A$3722)),"Efficient","Inefficient")</f>
        <v>Inefficient</v>
      </c>
    </row>
    <row r="598" spans="1:6" x14ac:dyDescent="0.25">
      <c r="A598" cm="1">
        <f t="array" ref="A598">INDEX('Portfolio Weights Returns'!$B$9:$BJ$69,
INT((ROW(A597)-1)/COLUMNS('Portfolio Weights Returns'!$B$9:$BJ$69))+1,MOD(ROW(A597)-1,COLUMNS('Portfolio Weights Returns'!$B$9:$BJ$69))+1)</f>
        <v>-8.1709225757837676E-4</v>
      </c>
      <c r="B598">
        <v>1.7100000000000001E-2</v>
      </c>
      <c r="C598" s="59">
        <v>0.14000000000000001</v>
      </c>
      <c r="D598" s="59">
        <v>0.22</v>
      </c>
      <c r="E598" s="60">
        <f t="shared" si="9"/>
        <v>0.64</v>
      </c>
      <c r="F598" t="str" cm="1">
        <f t="array" ref="F598">IF(A598=MAX(IF(ROUND($B$2:$B$3722,4)=ROUND(B598,4),$A$2:$A$3722)),"Efficient","Inefficient")</f>
        <v>Inefficient</v>
      </c>
    </row>
    <row r="599" spans="1:6" x14ac:dyDescent="0.25">
      <c r="A599" cm="1">
        <f t="array" ref="A599">INDEX('Portfolio Weights Returns'!$B$9:$BJ$69,
INT((ROW(A598)-1)/COLUMNS('Portfolio Weights Returns'!$B$9:$BJ$69))+1,MOD(ROW(A598)-1,COLUMNS('Portfolio Weights Returns'!$B$9:$BJ$69))+1)</f>
        <v>-8.1031108361169751E-4</v>
      </c>
      <c r="B599">
        <v>1.7100000000000001E-2</v>
      </c>
      <c r="C599" s="59">
        <v>0.15</v>
      </c>
      <c r="D599" s="59">
        <v>0.22</v>
      </c>
      <c r="E599" s="60">
        <f t="shared" si="9"/>
        <v>0.63</v>
      </c>
      <c r="F599" t="str" cm="1">
        <f t="array" ref="F599">IF(A599=MAX(IF(ROUND($B$2:$B$3722,4)=ROUND(B599,4),$A$2:$A$3722)),"Efficient","Inefficient")</f>
        <v>Inefficient</v>
      </c>
    </row>
    <row r="600" spans="1:6" x14ac:dyDescent="0.25">
      <c r="A600" cm="1">
        <f t="array" ref="A600">INDEX('Portfolio Weights Returns'!$B$9:$BJ$69,
INT((ROW(A599)-1)/COLUMNS('Portfolio Weights Returns'!$B$9:$BJ$69))+1,MOD(ROW(A599)-1,COLUMNS('Portfolio Weights Returns'!$B$9:$BJ$69))+1)</f>
        <v>-8.0352990964501847E-4</v>
      </c>
      <c r="B600">
        <v>1.7100000000000001E-2</v>
      </c>
      <c r="C600" s="59">
        <v>0.16</v>
      </c>
      <c r="D600" s="59">
        <v>0.23</v>
      </c>
      <c r="E600" s="60">
        <f t="shared" si="9"/>
        <v>0.61</v>
      </c>
      <c r="F600" t="str" cm="1">
        <f t="array" ref="F600">IF(A600=MAX(IF(ROUND($B$2:$B$3722,4)=ROUND(B600,4),$A$2:$A$3722)),"Efficient","Inefficient")</f>
        <v>Inefficient</v>
      </c>
    </row>
    <row r="601" spans="1:6" x14ac:dyDescent="0.25">
      <c r="A601" cm="1">
        <f t="array" ref="A601">INDEX('Portfolio Weights Returns'!$B$9:$BJ$69,
INT((ROW(A600)-1)/COLUMNS('Portfolio Weights Returns'!$B$9:$BJ$69))+1,MOD(ROW(A600)-1,COLUMNS('Portfolio Weights Returns'!$B$9:$BJ$69))+1)</f>
        <v>-7.9674873567833933E-4</v>
      </c>
      <c r="B601">
        <v>1.7100000000000001E-2</v>
      </c>
      <c r="C601" s="59">
        <v>0.17</v>
      </c>
      <c r="D601" s="59">
        <v>0.24</v>
      </c>
      <c r="E601" s="60">
        <f t="shared" si="9"/>
        <v>0.59</v>
      </c>
      <c r="F601" t="str" cm="1">
        <f t="array" ref="F601">IF(A601=MAX(IF(ROUND($B$2:$B$3722,4)=ROUND(B601,4),$A$2:$A$3722)),"Efficient","Inefficient")</f>
        <v>Inefficient</v>
      </c>
    </row>
    <row r="602" spans="1:6" x14ac:dyDescent="0.25">
      <c r="A602" cm="1">
        <f t="array" ref="A602">INDEX('Portfolio Weights Returns'!$B$9:$BJ$69,
INT((ROW(A601)-1)/COLUMNS('Portfolio Weights Returns'!$B$9:$BJ$69))+1,MOD(ROW(A601)-1,COLUMNS('Portfolio Weights Returns'!$B$9:$BJ$69))+1)</f>
        <v>-7.8996756171166018E-4</v>
      </c>
      <c r="B602">
        <v>1.7100000000000001E-2</v>
      </c>
      <c r="C602" s="59">
        <v>0.18</v>
      </c>
      <c r="D602" s="59">
        <v>0.24</v>
      </c>
      <c r="E602" s="60">
        <f t="shared" si="9"/>
        <v>0.58000000000000007</v>
      </c>
      <c r="F602" t="str" cm="1">
        <f t="array" ref="F602">IF(A602=MAX(IF(ROUND($B$2:$B$3722,4)=ROUND(B602,4),$A$2:$A$3722)),"Efficient","Inefficient")</f>
        <v>Inefficient</v>
      </c>
    </row>
    <row r="603" spans="1:6" x14ac:dyDescent="0.25">
      <c r="A603" cm="1">
        <f t="array" ref="A603">INDEX('Portfolio Weights Returns'!$B$9:$BJ$69,
INT((ROW(A602)-1)/COLUMNS('Portfolio Weights Returns'!$B$9:$BJ$69))+1,MOD(ROW(A602)-1,COLUMNS('Portfolio Weights Returns'!$B$9:$BJ$69))+1)</f>
        <v>-7.8318638774498115E-4</v>
      </c>
      <c r="B603">
        <v>1.7100000000000001E-2</v>
      </c>
      <c r="C603" s="59">
        <v>0.19</v>
      </c>
      <c r="D603" s="59">
        <v>0.25</v>
      </c>
      <c r="E603" s="60">
        <f t="shared" si="9"/>
        <v>0.56000000000000005</v>
      </c>
      <c r="F603" t="str" cm="1">
        <f t="array" ref="F603">IF(A603=MAX(IF(ROUND($B$2:$B$3722,4)=ROUND(B603,4),$A$2:$A$3722)),"Efficient","Inefficient")</f>
        <v>Inefficient</v>
      </c>
    </row>
    <row r="604" spans="1:6" x14ac:dyDescent="0.25">
      <c r="A604" cm="1">
        <f t="array" ref="A604">INDEX('Portfolio Weights Returns'!$B$9:$BJ$69,
INT((ROW(A603)-1)/COLUMNS('Portfolio Weights Returns'!$B$9:$BJ$69))+1,MOD(ROW(A603)-1,COLUMNS('Portfolio Weights Returns'!$B$9:$BJ$69))+1)</f>
        <v>-7.76405213778302E-4</v>
      </c>
      <c r="B604">
        <v>1.7100000000000001E-2</v>
      </c>
      <c r="C604" s="59">
        <v>0.2</v>
      </c>
      <c r="D604" s="59">
        <v>0.25</v>
      </c>
      <c r="E604" s="60">
        <f t="shared" si="9"/>
        <v>0.55000000000000004</v>
      </c>
      <c r="F604" t="str" cm="1">
        <f t="array" ref="F604">IF(A604=MAX(IF(ROUND($B$2:$B$3722,4)=ROUND(B604,4),$A$2:$A$3722)),"Efficient","Inefficient")</f>
        <v>Inefficient</v>
      </c>
    </row>
    <row r="605" spans="1:6" x14ac:dyDescent="0.25">
      <c r="A605" cm="1">
        <f t="array" ref="A605">INDEX('Portfolio Weights Returns'!$B$9:$BJ$69,
INT((ROW(A604)-1)/COLUMNS('Portfolio Weights Returns'!$B$9:$BJ$69))+1,MOD(ROW(A604)-1,COLUMNS('Portfolio Weights Returns'!$B$9:$BJ$69))+1)</f>
        <v>-7.6962403981162297E-4</v>
      </c>
      <c r="B605">
        <v>1.7100000000000001E-2</v>
      </c>
      <c r="C605" s="59">
        <v>0.22</v>
      </c>
      <c r="D605" s="59">
        <v>0.26</v>
      </c>
      <c r="E605" s="60">
        <f t="shared" si="9"/>
        <v>0.52</v>
      </c>
      <c r="F605" t="str" cm="1">
        <f t="array" ref="F605">IF(A605=MAX(IF(ROUND($B$2:$B$3722,4)=ROUND(B605,4),$A$2:$A$3722)),"Efficient","Inefficient")</f>
        <v>Inefficient</v>
      </c>
    </row>
    <row r="606" spans="1:6" x14ac:dyDescent="0.25">
      <c r="A606" cm="1">
        <f t="array" ref="A606">INDEX('Portfolio Weights Returns'!$B$9:$BJ$69,
INT((ROW(A605)-1)/COLUMNS('Portfolio Weights Returns'!$B$9:$BJ$69))+1,MOD(ROW(A605)-1,COLUMNS('Portfolio Weights Returns'!$B$9:$BJ$69))+1)</f>
        <v>-7.6284286584494372E-4</v>
      </c>
      <c r="B606">
        <v>1.7100000000000001E-2</v>
      </c>
      <c r="C606" s="59">
        <v>0.23</v>
      </c>
      <c r="D606" s="59">
        <v>0.26</v>
      </c>
      <c r="E606" s="60">
        <f t="shared" si="9"/>
        <v>0.51</v>
      </c>
      <c r="F606" t="str" cm="1">
        <f t="array" ref="F606">IF(A606=MAX(IF(ROUND($B$2:$B$3722,4)=ROUND(B606,4),$A$2:$A$3722)),"Efficient","Inefficient")</f>
        <v>Inefficient</v>
      </c>
    </row>
    <row r="607" spans="1:6" x14ac:dyDescent="0.25">
      <c r="A607" cm="1">
        <f t="array" ref="A607">INDEX('Portfolio Weights Returns'!$B$9:$BJ$69,
INT((ROW(A606)-1)/COLUMNS('Portfolio Weights Returns'!$B$9:$BJ$69))+1,MOD(ROW(A606)-1,COLUMNS('Portfolio Weights Returns'!$B$9:$BJ$69))+1)</f>
        <v>-7.5606169187826468E-4</v>
      </c>
      <c r="B607">
        <v>1.7100000000000001E-2</v>
      </c>
      <c r="C607" s="59">
        <v>0.25</v>
      </c>
      <c r="D607" s="59">
        <v>0.27</v>
      </c>
      <c r="E607" s="60">
        <f t="shared" si="9"/>
        <v>0.48</v>
      </c>
      <c r="F607" t="str" cm="1">
        <f t="array" ref="F607">IF(A607=MAX(IF(ROUND($B$2:$B$3722,4)=ROUND(B607,4),$A$2:$A$3722)),"Efficient","Inefficient")</f>
        <v>Inefficient</v>
      </c>
    </row>
    <row r="608" spans="1:6" x14ac:dyDescent="0.25">
      <c r="A608" cm="1">
        <f t="array" ref="A608">INDEX('Portfolio Weights Returns'!$B$9:$BJ$69,
INT((ROW(A607)-1)/COLUMNS('Portfolio Weights Returns'!$B$9:$BJ$69))+1,MOD(ROW(A607)-1,COLUMNS('Portfolio Weights Returns'!$B$9:$BJ$69))+1)</f>
        <v>-7.4928051791158488E-4</v>
      </c>
      <c r="B608">
        <v>1.7100000000000001E-2</v>
      </c>
      <c r="C608" s="59">
        <v>0.26</v>
      </c>
      <c r="D608" s="59">
        <v>0.27</v>
      </c>
      <c r="E608" s="60">
        <f t="shared" si="9"/>
        <v>0.47</v>
      </c>
      <c r="F608" t="str" cm="1">
        <f t="array" ref="F608">IF(A608=MAX(IF(ROUND($B$2:$B$3722,4)=ROUND(B608,4),$A$2:$A$3722)),"Efficient","Inefficient")</f>
        <v>Inefficient</v>
      </c>
    </row>
    <row r="609" spans="1:6" x14ac:dyDescent="0.25">
      <c r="A609" cm="1">
        <f t="array" ref="A609">INDEX('Portfolio Weights Returns'!$B$9:$BJ$69,
INT((ROW(A608)-1)/COLUMNS('Portfolio Weights Returns'!$B$9:$BJ$69))+1,MOD(ROW(A608)-1,COLUMNS('Portfolio Weights Returns'!$B$9:$BJ$69))+1)</f>
        <v>-7.4249934394490585E-4</v>
      </c>
      <c r="B609">
        <v>1.7100000000000001E-2</v>
      </c>
      <c r="C609" s="59">
        <v>0.27</v>
      </c>
      <c r="D609" s="59">
        <v>0.27</v>
      </c>
      <c r="E609" s="60">
        <f t="shared" si="9"/>
        <v>0.45999999999999996</v>
      </c>
      <c r="F609" t="str" cm="1">
        <f t="array" ref="F609">IF(A609=MAX(IF(ROUND($B$2:$B$3722,4)=ROUND(B609,4),$A$2:$A$3722)),"Efficient","Inefficient")</f>
        <v>Inefficient</v>
      </c>
    </row>
    <row r="610" spans="1:6" x14ac:dyDescent="0.25">
      <c r="A610" cm="1">
        <f t="array" ref="A610">INDEX('Portfolio Weights Returns'!$B$9:$BJ$69,
INT((ROW(A609)-1)/COLUMNS('Portfolio Weights Returns'!$B$9:$BJ$69))+1,MOD(ROW(A609)-1,COLUMNS('Portfolio Weights Returns'!$B$9:$BJ$69))+1)</f>
        <v>-7.357181699782267E-4</v>
      </c>
      <c r="B610">
        <v>1.7100000000000001E-2</v>
      </c>
      <c r="C610" s="59">
        <v>0.28000000000000003</v>
      </c>
      <c r="D610" s="59">
        <v>0.27</v>
      </c>
      <c r="E610" s="60">
        <f t="shared" si="9"/>
        <v>0.44999999999999996</v>
      </c>
      <c r="F610" t="str" cm="1">
        <f t="array" ref="F610">IF(A610=MAX(IF(ROUND($B$2:$B$3722,4)=ROUND(B610,4),$A$2:$A$3722)),"Efficient","Inefficient")</f>
        <v>Efficient</v>
      </c>
    </row>
    <row r="611" spans="1:6" x14ac:dyDescent="0.25">
      <c r="A611" cm="1">
        <f t="array" ref="A611">INDEX('Portfolio Weights Returns'!$B$9:$BJ$69,
INT((ROW(A610)-1)/COLUMNS('Portfolio Weights Returns'!$B$9:$BJ$69))+1,MOD(ROW(A610)-1,COLUMNS('Portfolio Weights Returns'!$B$9:$BJ$69))+1)</f>
        <v>-7.2893699601154767E-4</v>
      </c>
      <c r="B611">
        <v>1.72E-2</v>
      </c>
      <c r="C611" s="59">
        <v>0.28000000000000003</v>
      </c>
      <c r="D611" s="59">
        <v>-0.12</v>
      </c>
      <c r="E611" s="60">
        <f t="shared" si="9"/>
        <v>0.84000000000000008</v>
      </c>
      <c r="F611" t="str" cm="1">
        <f t="array" ref="F611">IF(A611=MAX(IF(ROUND($B$2:$B$3722,4)=ROUND(B611,4),$A$2:$A$3722)),"Efficient","Inefficient")</f>
        <v>Efficient</v>
      </c>
    </row>
    <row r="612" spans="1:6" x14ac:dyDescent="0.25">
      <c r="A612" cm="1">
        <f t="array" ref="A612">INDEX('Portfolio Weights Returns'!$B$9:$BJ$69,
INT((ROW(A611)-1)/COLUMNS('Portfolio Weights Returns'!$B$9:$BJ$69))+1,MOD(ROW(A611)-1,COLUMNS('Portfolio Weights Returns'!$B$9:$BJ$69))+1)</f>
        <v>-1.1292332261668395E-3</v>
      </c>
      <c r="B612">
        <v>1.72E-2</v>
      </c>
      <c r="C612" s="59">
        <v>0.25</v>
      </c>
      <c r="D612" s="59">
        <v>-0.1</v>
      </c>
      <c r="E612" s="60">
        <f t="shared" si="9"/>
        <v>0.85000000000000009</v>
      </c>
      <c r="F612" t="str" cm="1">
        <f t="array" ref="F612">IF(A612=MAX(IF(ROUND($B$2:$B$3722,4)=ROUND(B612,4),$A$2:$A$3722)),"Efficient","Inefficient")</f>
        <v>Inefficient</v>
      </c>
    </row>
    <row r="613" spans="1:6" x14ac:dyDescent="0.25">
      <c r="A613" cm="1">
        <f t="array" ref="A613">INDEX('Portfolio Weights Returns'!$B$9:$BJ$69,
INT((ROW(A612)-1)/COLUMNS('Portfolio Weights Returns'!$B$9:$BJ$69))+1,MOD(ROW(A612)-1,COLUMNS('Portfolio Weights Returns'!$B$9:$BJ$69))+1)</f>
        <v>-1.1224520522001603E-3</v>
      </c>
      <c r="B613">
        <v>1.72E-2</v>
      </c>
      <c r="C613" s="59">
        <v>0.24</v>
      </c>
      <c r="D613" s="59">
        <v>-0.09</v>
      </c>
      <c r="E613" s="60">
        <f t="shared" si="9"/>
        <v>0.85000000000000009</v>
      </c>
      <c r="F613" t="str" cm="1">
        <f t="array" ref="F613">IF(A613=MAX(IF(ROUND($B$2:$B$3722,4)=ROUND(B613,4),$A$2:$A$3722)),"Efficient","Inefficient")</f>
        <v>Inefficient</v>
      </c>
    </row>
    <row r="614" spans="1:6" x14ac:dyDescent="0.25">
      <c r="A614" cm="1">
        <f t="array" ref="A614">INDEX('Portfolio Weights Returns'!$B$9:$BJ$69,
INT((ROW(A613)-1)/COLUMNS('Portfolio Weights Returns'!$B$9:$BJ$69))+1,MOD(ROW(A613)-1,COLUMNS('Portfolio Weights Returns'!$B$9:$BJ$69))+1)</f>
        <v>-1.1156708782334812E-3</v>
      </c>
      <c r="B614">
        <v>1.72E-2</v>
      </c>
      <c r="C614" s="59">
        <v>0.21</v>
      </c>
      <c r="D614" s="59">
        <v>-7.0000000000000007E-2</v>
      </c>
      <c r="E614" s="60">
        <f t="shared" si="9"/>
        <v>0.8600000000000001</v>
      </c>
      <c r="F614" t="str" cm="1">
        <f t="array" ref="F614">IF(A614=MAX(IF(ROUND($B$2:$B$3722,4)=ROUND(B614,4),$A$2:$A$3722)),"Efficient","Inefficient")</f>
        <v>Inefficient</v>
      </c>
    </row>
    <row r="615" spans="1:6" x14ac:dyDescent="0.25">
      <c r="A615" cm="1">
        <f t="array" ref="A615">INDEX('Portfolio Weights Returns'!$B$9:$BJ$69,
INT((ROW(A614)-1)/COLUMNS('Portfolio Weights Returns'!$B$9:$BJ$69))+1,MOD(ROW(A614)-1,COLUMNS('Portfolio Weights Returns'!$B$9:$BJ$69))+1)</f>
        <v>-1.108889704266802E-3</v>
      </c>
      <c r="B615">
        <v>1.72E-2</v>
      </c>
      <c r="C615" s="59">
        <v>0.2</v>
      </c>
      <c r="D615" s="59">
        <v>-0.06</v>
      </c>
      <c r="E615" s="60">
        <f t="shared" si="9"/>
        <v>0.8600000000000001</v>
      </c>
      <c r="F615" t="str" cm="1">
        <f t="array" ref="F615">IF(A615=MAX(IF(ROUND($B$2:$B$3722,4)=ROUND(B615,4),$A$2:$A$3722)),"Efficient","Inefficient")</f>
        <v>Inefficient</v>
      </c>
    </row>
    <row r="616" spans="1:6" x14ac:dyDescent="0.25">
      <c r="A616" cm="1">
        <f t="array" ref="A616">INDEX('Portfolio Weights Returns'!$B$9:$BJ$69,
INT((ROW(A615)-1)/COLUMNS('Portfolio Weights Returns'!$B$9:$BJ$69))+1,MOD(ROW(A615)-1,COLUMNS('Portfolio Weights Returns'!$B$9:$BJ$69))+1)</f>
        <v>-1.1021085303001229E-3</v>
      </c>
      <c r="B616">
        <v>1.72E-2</v>
      </c>
      <c r="C616" s="59">
        <v>0.19</v>
      </c>
      <c r="D616" s="59">
        <v>-0.05</v>
      </c>
      <c r="E616" s="60">
        <f t="shared" si="9"/>
        <v>0.8600000000000001</v>
      </c>
      <c r="F616" t="str" cm="1">
        <f t="array" ref="F616">IF(A616=MAX(IF(ROUND($B$2:$B$3722,4)=ROUND(B616,4),$A$2:$A$3722)),"Efficient","Inefficient")</f>
        <v>Inefficient</v>
      </c>
    </row>
    <row r="617" spans="1:6" x14ac:dyDescent="0.25">
      <c r="A617" cm="1">
        <f t="array" ref="A617">INDEX('Portfolio Weights Returns'!$B$9:$BJ$69,
INT((ROW(A616)-1)/COLUMNS('Portfolio Weights Returns'!$B$9:$BJ$69))+1,MOD(ROW(A616)-1,COLUMNS('Portfolio Weights Returns'!$B$9:$BJ$69))+1)</f>
        <v>-1.095327356333444E-3</v>
      </c>
      <c r="B617">
        <v>1.72E-2</v>
      </c>
      <c r="C617" s="59">
        <v>0.18</v>
      </c>
      <c r="D617" s="59">
        <v>-0.04</v>
      </c>
      <c r="E617" s="60">
        <f t="shared" si="9"/>
        <v>0.8600000000000001</v>
      </c>
      <c r="F617" t="str" cm="1">
        <f t="array" ref="F617">IF(A617=MAX(IF(ROUND($B$2:$B$3722,4)=ROUND(B617,4),$A$2:$A$3722)),"Efficient","Inefficient")</f>
        <v>Inefficient</v>
      </c>
    </row>
    <row r="618" spans="1:6" x14ac:dyDescent="0.25">
      <c r="A618" cm="1">
        <f t="array" ref="A618">INDEX('Portfolio Weights Returns'!$B$9:$BJ$69,
INT((ROW(A617)-1)/COLUMNS('Portfolio Weights Returns'!$B$9:$BJ$69))+1,MOD(ROW(A617)-1,COLUMNS('Portfolio Weights Returns'!$B$9:$BJ$69))+1)</f>
        <v>-1.0885461823667648E-3</v>
      </c>
      <c r="B618">
        <v>1.72E-2</v>
      </c>
      <c r="C618" s="59">
        <v>0.17</v>
      </c>
      <c r="D618" s="59">
        <v>-0.03</v>
      </c>
      <c r="E618" s="60">
        <f t="shared" si="9"/>
        <v>0.86</v>
      </c>
      <c r="F618" t="str" cm="1">
        <f t="array" ref="F618">IF(A618=MAX(IF(ROUND($B$2:$B$3722,4)=ROUND(B618,4),$A$2:$A$3722)),"Efficient","Inefficient")</f>
        <v>Inefficient</v>
      </c>
    </row>
    <row r="619" spans="1:6" x14ac:dyDescent="0.25">
      <c r="A619" cm="1">
        <f t="array" ref="A619">INDEX('Portfolio Weights Returns'!$B$9:$BJ$69,
INT((ROW(A618)-1)/COLUMNS('Portfolio Weights Returns'!$B$9:$BJ$69))+1,MOD(ROW(A618)-1,COLUMNS('Portfolio Weights Returns'!$B$9:$BJ$69))+1)</f>
        <v>-1.0817650084000855E-3</v>
      </c>
      <c r="B619">
        <v>1.72E-2</v>
      </c>
      <c r="C619" s="59">
        <v>0.16</v>
      </c>
      <c r="D619" s="59">
        <v>-0.02</v>
      </c>
      <c r="E619" s="60">
        <f t="shared" si="9"/>
        <v>0.86</v>
      </c>
      <c r="F619" t="str" cm="1">
        <f t="array" ref="F619">IF(A619=MAX(IF(ROUND($B$2:$B$3722,4)=ROUND(B619,4),$A$2:$A$3722)),"Efficient","Inefficient")</f>
        <v>Inefficient</v>
      </c>
    </row>
    <row r="620" spans="1:6" x14ac:dyDescent="0.25">
      <c r="A620" cm="1">
        <f t="array" ref="A620">INDEX('Portfolio Weights Returns'!$B$9:$BJ$69,
INT((ROW(A619)-1)/COLUMNS('Portfolio Weights Returns'!$B$9:$BJ$69))+1,MOD(ROW(A619)-1,COLUMNS('Portfolio Weights Returns'!$B$9:$BJ$69))+1)</f>
        <v>-1.0749838344334063E-3</v>
      </c>
      <c r="B620">
        <v>1.72E-2</v>
      </c>
      <c r="C620" s="59">
        <v>0.15</v>
      </c>
      <c r="D620" s="59">
        <v>-0.01</v>
      </c>
      <c r="E620" s="60">
        <f t="shared" si="9"/>
        <v>0.86</v>
      </c>
      <c r="F620" t="str" cm="1">
        <f t="array" ref="F620">IF(A620=MAX(IF(ROUND($B$2:$B$3722,4)=ROUND(B620,4),$A$2:$A$3722)),"Efficient","Inefficient")</f>
        <v>Inefficient</v>
      </c>
    </row>
    <row r="621" spans="1:6" x14ac:dyDescent="0.25">
      <c r="A621" cm="1">
        <f t="array" ref="A621">INDEX('Portfolio Weights Returns'!$B$9:$BJ$69,
INT((ROW(A620)-1)/COLUMNS('Portfolio Weights Returns'!$B$9:$BJ$69))+1,MOD(ROW(A620)-1,COLUMNS('Portfolio Weights Returns'!$B$9:$BJ$69))+1)</f>
        <v>-1.0682026604667272E-3</v>
      </c>
      <c r="B621">
        <v>1.72E-2</v>
      </c>
      <c r="C621" s="59">
        <v>0.14000000000000001</v>
      </c>
      <c r="D621" s="59">
        <v>0.01</v>
      </c>
      <c r="E621" s="60">
        <f t="shared" si="9"/>
        <v>0.85</v>
      </c>
      <c r="F621" t="str" cm="1">
        <f t="array" ref="F621">IF(A621=MAX(IF(ROUND($B$2:$B$3722,4)=ROUND(B621,4),$A$2:$A$3722)),"Efficient","Inefficient")</f>
        <v>Inefficient</v>
      </c>
    </row>
    <row r="622" spans="1:6" x14ac:dyDescent="0.25">
      <c r="A622" cm="1">
        <f t="array" ref="A622">INDEX('Portfolio Weights Returns'!$B$9:$BJ$69,
INT((ROW(A621)-1)/COLUMNS('Portfolio Weights Returns'!$B$9:$BJ$69))+1,MOD(ROW(A621)-1,COLUMNS('Portfolio Weights Returns'!$B$9:$BJ$69))+1)</f>
        <v>-1.0614214865000483E-3</v>
      </c>
      <c r="B622">
        <v>1.72E-2</v>
      </c>
      <c r="C622" s="59">
        <v>0.13</v>
      </c>
      <c r="D622" s="59">
        <v>0.02</v>
      </c>
      <c r="E622" s="60">
        <f t="shared" si="9"/>
        <v>0.85</v>
      </c>
      <c r="F622" t="str" cm="1">
        <f t="array" ref="F622">IF(A622=MAX(IF(ROUND($B$2:$B$3722,4)=ROUND(B622,4),$A$2:$A$3722)),"Efficient","Inefficient")</f>
        <v>Inefficient</v>
      </c>
    </row>
    <row r="623" spans="1:6" x14ac:dyDescent="0.25">
      <c r="A623" cm="1">
        <f t="array" ref="A623">INDEX('Portfolio Weights Returns'!$B$9:$BJ$69,
INT((ROW(A622)-1)/COLUMNS('Portfolio Weights Returns'!$B$9:$BJ$69))+1,MOD(ROW(A622)-1,COLUMNS('Portfolio Weights Returns'!$B$9:$BJ$69))+1)</f>
        <v>-1.0546403125333691E-3</v>
      </c>
      <c r="B623">
        <v>1.72E-2</v>
      </c>
      <c r="C623" s="59">
        <v>0.12</v>
      </c>
      <c r="D623" s="59">
        <v>0.03</v>
      </c>
      <c r="E623" s="60">
        <f t="shared" si="9"/>
        <v>0.85</v>
      </c>
      <c r="F623" t="str" cm="1">
        <f t="array" ref="F623">IF(A623=MAX(IF(ROUND($B$2:$B$3722,4)=ROUND(B623,4),$A$2:$A$3722)),"Efficient","Inefficient")</f>
        <v>Inefficient</v>
      </c>
    </row>
    <row r="624" spans="1:6" x14ac:dyDescent="0.25">
      <c r="A624" cm="1">
        <f t="array" ref="A624">INDEX('Portfolio Weights Returns'!$B$9:$BJ$69,
INT((ROW(A623)-1)/COLUMNS('Portfolio Weights Returns'!$B$9:$BJ$69))+1,MOD(ROW(A623)-1,COLUMNS('Portfolio Weights Returns'!$B$9:$BJ$69))+1)</f>
        <v>-1.04785913856669E-3</v>
      </c>
      <c r="B624">
        <v>1.72E-2</v>
      </c>
      <c r="C624" s="59">
        <v>0.12</v>
      </c>
      <c r="D624" s="59">
        <v>0.04</v>
      </c>
      <c r="E624" s="60">
        <f t="shared" si="9"/>
        <v>0.84</v>
      </c>
      <c r="F624" t="str" cm="1">
        <f t="array" ref="F624">IF(A624=MAX(IF(ROUND($B$2:$B$3722,4)=ROUND(B624,4),$A$2:$A$3722)),"Efficient","Inefficient")</f>
        <v>Inefficient</v>
      </c>
    </row>
    <row r="625" spans="1:6" x14ac:dyDescent="0.25">
      <c r="A625" cm="1">
        <f t="array" ref="A625">INDEX('Portfolio Weights Returns'!$B$9:$BJ$69,
INT((ROW(A624)-1)/COLUMNS('Portfolio Weights Returns'!$B$9:$BJ$69))+1,MOD(ROW(A624)-1,COLUMNS('Portfolio Weights Returns'!$B$9:$BJ$69))+1)</f>
        <v>-1.0410779646000108E-3</v>
      </c>
      <c r="B625">
        <v>1.72E-2</v>
      </c>
      <c r="C625" s="59">
        <v>0.11</v>
      </c>
      <c r="D625" s="59">
        <v>0.05</v>
      </c>
      <c r="E625" s="60">
        <f t="shared" si="9"/>
        <v>0.84</v>
      </c>
      <c r="F625" t="str" cm="1">
        <f t="array" ref="F625">IF(A625=MAX(IF(ROUND($B$2:$B$3722,4)=ROUND(B625,4),$A$2:$A$3722)),"Efficient","Inefficient")</f>
        <v>Inefficient</v>
      </c>
    </row>
    <row r="626" spans="1:6" x14ac:dyDescent="0.25">
      <c r="A626" cm="1">
        <f t="array" ref="A626">INDEX('Portfolio Weights Returns'!$B$9:$BJ$69,
INT((ROW(A625)-1)/COLUMNS('Portfolio Weights Returns'!$B$9:$BJ$69))+1,MOD(ROW(A625)-1,COLUMNS('Portfolio Weights Returns'!$B$9:$BJ$69))+1)</f>
        <v>-1.0342967906333319E-3</v>
      </c>
      <c r="B626">
        <v>1.72E-2</v>
      </c>
      <c r="C626" s="59">
        <v>0.11</v>
      </c>
      <c r="D626" s="59">
        <v>0.06</v>
      </c>
      <c r="E626" s="60">
        <f t="shared" si="9"/>
        <v>0.83</v>
      </c>
      <c r="F626" t="str" cm="1">
        <f t="array" ref="F626">IF(A626=MAX(IF(ROUND($B$2:$B$3722,4)=ROUND(B626,4),$A$2:$A$3722)),"Efficient","Inefficient")</f>
        <v>Inefficient</v>
      </c>
    </row>
    <row r="627" spans="1:6" x14ac:dyDescent="0.25">
      <c r="A627" cm="1">
        <f t="array" ref="A627">INDEX('Portfolio Weights Returns'!$B$9:$BJ$69,
INT((ROW(A626)-1)/COLUMNS('Portfolio Weights Returns'!$B$9:$BJ$69))+1,MOD(ROW(A626)-1,COLUMNS('Portfolio Weights Returns'!$B$9:$BJ$69))+1)</f>
        <v>-1.0275156166666528E-3</v>
      </c>
      <c r="B627">
        <v>1.72E-2</v>
      </c>
      <c r="C627" s="59">
        <v>0.1</v>
      </c>
      <c r="D627" s="59">
        <v>7.0000000000000007E-2</v>
      </c>
      <c r="E627" s="60">
        <f t="shared" si="9"/>
        <v>0.83</v>
      </c>
      <c r="F627" t="str" cm="1">
        <f t="array" ref="F627">IF(A627=MAX(IF(ROUND($B$2:$B$3722,4)=ROUND(B627,4),$A$2:$A$3722)),"Efficient","Inefficient")</f>
        <v>Inefficient</v>
      </c>
    </row>
    <row r="628" spans="1:6" x14ac:dyDescent="0.25">
      <c r="A628" cm="1">
        <f t="array" ref="A628">INDEX('Portfolio Weights Returns'!$B$9:$BJ$69,
INT((ROW(A627)-1)/COLUMNS('Portfolio Weights Returns'!$B$9:$BJ$69))+1,MOD(ROW(A627)-1,COLUMNS('Portfolio Weights Returns'!$B$9:$BJ$69))+1)</f>
        <v>-1.0207344426999738E-3</v>
      </c>
      <c r="B628">
        <v>1.72E-2</v>
      </c>
      <c r="C628" s="59">
        <v>0.1</v>
      </c>
      <c r="D628" s="59">
        <v>0.08</v>
      </c>
      <c r="E628" s="60">
        <f t="shared" si="9"/>
        <v>0.82000000000000006</v>
      </c>
      <c r="F628" t="str" cm="1">
        <f t="array" ref="F628">IF(A628=MAX(IF(ROUND($B$2:$B$3722,4)=ROUND(B628,4),$A$2:$A$3722)),"Efficient","Inefficient")</f>
        <v>Inefficient</v>
      </c>
    </row>
    <row r="629" spans="1:6" x14ac:dyDescent="0.25">
      <c r="A629" cm="1">
        <f t="array" ref="A629">INDEX('Portfolio Weights Returns'!$B$9:$BJ$69,
INT((ROW(A628)-1)/COLUMNS('Portfolio Weights Returns'!$B$9:$BJ$69))+1,MOD(ROW(A628)-1,COLUMNS('Portfolio Weights Returns'!$B$9:$BJ$69))+1)</f>
        <v>-1.0139532687332945E-3</v>
      </c>
      <c r="B629">
        <v>1.72E-2</v>
      </c>
      <c r="C629" s="59">
        <v>0.1</v>
      </c>
      <c r="D629" s="59">
        <v>0.09</v>
      </c>
      <c r="E629" s="60">
        <f t="shared" si="9"/>
        <v>0.81</v>
      </c>
      <c r="F629" t="str" cm="1">
        <f t="array" ref="F629">IF(A629=MAX(IF(ROUND($B$2:$B$3722,4)=ROUND(B629,4),$A$2:$A$3722)),"Efficient","Inefficient")</f>
        <v>Inefficient</v>
      </c>
    </row>
    <row r="630" spans="1:6" x14ac:dyDescent="0.25">
      <c r="A630" cm="1">
        <f t="array" ref="A630">INDEX('Portfolio Weights Returns'!$B$9:$BJ$69,
INT((ROW(A629)-1)/COLUMNS('Portfolio Weights Returns'!$B$9:$BJ$69))+1,MOD(ROW(A629)-1,COLUMNS('Portfolio Weights Returns'!$B$9:$BJ$69))+1)</f>
        <v>-1.0071720947666158E-3</v>
      </c>
      <c r="B630">
        <v>1.72E-2</v>
      </c>
      <c r="C630" s="59">
        <v>0.09</v>
      </c>
      <c r="D630" s="59">
        <v>0.1</v>
      </c>
      <c r="E630" s="60">
        <f t="shared" si="9"/>
        <v>0.81</v>
      </c>
      <c r="F630" t="str" cm="1">
        <f t="array" ref="F630">IF(A630=MAX(IF(ROUND($B$2:$B$3722,4)=ROUND(B630,4),$A$2:$A$3722)),"Efficient","Inefficient")</f>
        <v>Inefficient</v>
      </c>
    </row>
    <row r="631" spans="1:6" x14ac:dyDescent="0.25">
      <c r="A631" cm="1">
        <f t="array" ref="A631">INDEX('Portfolio Weights Returns'!$B$9:$BJ$69,
INT((ROW(A630)-1)/COLUMNS('Portfolio Weights Returns'!$B$9:$BJ$69))+1,MOD(ROW(A630)-1,COLUMNS('Portfolio Weights Returns'!$B$9:$BJ$69))+1)</f>
        <v>-1.0003909207999364E-3</v>
      </c>
      <c r="B631">
        <v>1.72E-2</v>
      </c>
      <c r="C631" s="59">
        <v>0.09</v>
      </c>
      <c r="D631" s="59">
        <v>0.11</v>
      </c>
      <c r="E631" s="60">
        <f t="shared" si="9"/>
        <v>0.8</v>
      </c>
      <c r="F631" t="str" cm="1">
        <f t="array" ref="F631">IF(A631=MAX(IF(ROUND($B$2:$B$3722,4)=ROUND(B631,4),$A$2:$A$3722)),"Efficient","Inefficient")</f>
        <v>Inefficient</v>
      </c>
    </row>
    <row r="632" spans="1:6" x14ac:dyDescent="0.25">
      <c r="A632" cm="1">
        <f t="array" ref="A632">INDEX('Portfolio Weights Returns'!$B$9:$BJ$69,
INT((ROW(A631)-1)/COLUMNS('Portfolio Weights Returns'!$B$9:$BJ$69))+1,MOD(ROW(A631)-1,COLUMNS('Portfolio Weights Returns'!$B$9:$BJ$69))+1)</f>
        <v>-9.9360974683325724E-4</v>
      </c>
      <c r="B632">
        <v>1.72E-2</v>
      </c>
      <c r="C632" s="59">
        <v>0.09</v>
      </c>
      <c r="D632" s="59">
        <v>0.12</v>
      </c>
      <c r="E632" s="60">
        <f t="shared" si="9"/>
        <v>0.79</v>
      </c>
      <c r="F632" t="str" cm="1">
        <f t="array" ref="F632">IF(A632=MAX(IF(ROUND($B$2:$B$3722,4)=ROUND(B632,4),$A$2:$A$3722)),"Efficient","Inefficient")</f>
        <v>Inefficient</v>
      </c>
    </row>
    <row r="633" spans="1:6" x14ac:dyDescent="0.25">
      <c r="A633" cm="1">
        <f t="array" ref="A633">INDEX('Portfolio Weights Returns'!$B$9:$BJ$69,
INT((ROW(A632)-1)/COLUMNS('Portfolio Weights Returns'!$B$9:$BJ$69))+1,MOD(ROW(A632)-1,COLUMNS('Portfolio Weights Returns'!$B$9:$BJ$69))+1)</f>
        <v>-9.868285728665781E-4</v>
      </c>
      <c r="B633">
        <v>1.72E-2</v>
      </c>
      <c r="C633" s="59">
        <v>0.09</v>
      </c>
      <c r="D633" s="59">
        <v>0.13</v>
      </c>
      <c r="E633" s="60">
        <f t="shared" si="9"/>
        <v>0.78</v>
      </c>
      <c r="F633" t="str" cm="1">
        <f t="array" ref="F633">IF(A633=MAX(IF(ROUND($B$2:$B$3722,4)=ROUND(B633,4),$A$2:$A$3722)),"Efficient","Inefficient")</f>
        <v>Inefficient</v>
      </c>
    </row>
    <row r="634" spans="1:6" x14ac:dyDescent="0.25">
      <c r="A634" cm="1">
        <f t="array" ref="A634">INDEX('Portfolio Weights Returns'!$B$9:$BJ$69,
INT((ROW(A633)-1)/COLUMNS('Portfolio Weights Returns'!$B$9:$BJ$69))+1,MOD(ROW(A633)-1,COLUMNS('Portfolio Weights Returns'!$B$9:$BJ$69))+1)</f>
        <v>-9.8004739889989896E-4</v>
      </c>
      <c r="B634">
        <v>1.72E-2</v>
      </c>
      <c r="C634" s="59">
        <v>0.09</v>
      </c>
      <c r="D634" s="59">
        <v>0.14000000000000001</v>
      </c>
      <c r="E634" s="60">
        <f t="shared" si="9"/>
        <v>0.77</v>
      </c>
      <c r="F634" t="str" cm="1">
        <f t="array" ref="F634">IF(A634=MAX(IF(ROUND($B$2:$B$3722,4)=ROUND(B634,4),$A$2:$A$3722)),"Efficient","Inefficient")</f>
        <v>Inefficient</v>
      </c>
    </row>
    <row r="635" spans="1:6" x14ac:dyDescent="0.25">
      <c r="A635" cm="1">
        <f t="array" ref="A635">INDEX('Portfolio Weights Returns'!$B$9:$BJ$69,
INT((ROW(A634)-1)/COLUMNS('Portfolio Weights Returns'!$B$9:$BJ$69))+1,MOD(ROW(A634)-1,COLUMNS('Portfolio Weights Returns'!$B$9:$BJ$69))+1)</f>
        <v>-9.7326622493321992E-4</v>
      </c>
      <c r="B635">
        <v>1.72E-2</v>
      </c>
      <c r="C635" s="59">
        <v>0.09</v>
      </c>
      <c r="D635" s="59">
        <v>0.15</v>
      </c>
      <c r="E635" s="60">
        <f t="shared" si="9"/>
        <v>0.76</v>
      </c>
      <c r="F635" t="str" cm="1">
        <f t="array" ref="F635">IF(A635=MAX(IF(ROUND($B$2:$B$3722,4)=ROUND(B635,4),$A$2:$A$3722)),"Efficient","Inefficient")</f>
        <v>Inefficient</v>
      </c>
    </row>
    <row r="636" spans="1:6" x14ac:dyDescent="0.25">
      <c r="A636" cm="1">
        <f t="array" ref="A636">INDEX('Portfolio Weights Returns'!$B$9:$BJ$69,
INT((ROW(A635)-1)/COLUMNS('Portfolio Weights Returns'!$B$9:$BJ$69))+1,MOD(ROW(A635)-1,COLUMNS('Portfolio Weights Returns'!$B$9:$BJ$69))+1)</f>
        <v>-9.6648505096654088E-4</v>
      </c>
      <c r="B636">
        <v>1.72E-2</v>
      </c>
      <c r="C636" s="59">
        <v>0.09</v>
      </c>
      <c r="D636" s="59">
        <v>0.16</v>
      </c>
      <c r="E636" s="60">
        <f t="shared" si="9"/>
        <v>0.75</v>
      </c>
      <c r="F636" t="str" cm="1">
        <f t="array" ref="F636">IF(A636=MAX(IF(ROUND($B$2:$B$3722,4)=ROUND(B636,4),$A$2:$A$3722)),"Efficient","Inefficient")</f>
        <v>Inefficient</v>
      </c>
    </row>
    <row r="637" spans="1:6" x14ac:dyDescent="0.25">
      <c r="A637" cm="1">
        <f t="array" ref="A637">INDEX('Portfolio Weights Returns'!$B$9:$BJ$69,
INT((ROW(A636)-1)/COLUMNS('Portfolio Weights Returns'!$B$9:$BJ$69))+1,MOD(ROW(A636)-1,COLUMNS('Portfolio Weights Returns'!$B$9:$BJ$69))+1)</f>
        <v>-9.5970387699986174E-4</v>
      </c>
      <c r="B637">
        <v>1.72E-2</v>
      </c>
      <c r="C637" s="59">
        <v>0.1</v>
      </c>
      <c r="D637" s="59">
        <v>0.17</v>
      </c>
      <c r="E637" s="60">
        <f t="shared" si="9"/>
        <v>0.73</v>
      </c>
      <c r="F637" t="str" cm="1">
        <f t="array" ref="F637">IF(A637=MAX(IF(ROUND($B$2:$B$3722,4)=ROUND(B637,4),$A$2:$A$3722)),"Efficient","Inefficient")</f>
        <v>Inefficient</v>
      </c>
    </row>
    <row r="638" spans="1:6" x14ac:dyDescent="0.25">
      <c r="A638" cm="1">
        <f t="array" ref="A638">INDEX('Portfolio Weights Returns'!$B$9:$BJ$69,
INT((ROW(A637)-1)/COLUMNS('Portfolio Weights Returns'!$B$9:$BJ$69))+1,MOD(ROW(A637)-1,COLUMNS('Portfolio Weights Returns'!$B$9:$BJ$69))+1)</f>
        <v>-9.529227030331827E-4</v>
      </c>
      <c r="B638">
        <v>1.72E-2</v>
      </c>
      <c r="C638" s="59">
        <v>0.1</v>
      </c>
      <c r="D638" s="59">
        <v>0.18</v>
      </c>
      <c r="E638" s="60">
        <f t="shared" si="9"/>
        <v>0.72000000000000008</v>
      </c>
      <c r="F638" t="str" cm="1">
        <f t="array" ref="F638">IF(A638=MAX(IF(ROUND($B$2:$B$3722,4)=ROUND(B638,4),$A$2:$A$3722)),"Efficient","Inefficient")</f>
        <v>Inefficient</v>
      </c>
    </row>
    <row r="639" spans="1:6" x14ac:dyDescent="0.25">
      <c r="A639" cm="1">
        <f t="array" ref="A639">INDEX('Portfolio Weights Returns'!$B$9:$BJ$69,
INT((ROW(A638)-1)/COLUMNS('Portfolio Weights Returns'!$B$9:$BJ$69))+1,MOD(ROW(A638)-1,COLUMNS('Portfolio Weights Returns'!$B$9:$BJ$69))+1)</f>
        <v>-9.4614152906650356E-4</v>
      </c>
      <c r="B639">
        <v>1.72E-2</v>
      </c>
      <c r="C639" s="59">
        <v>0.11</v>
      </c>
      <c r="D639" s="59">
        <v>0.19</v>
      </c>
      <c r="E639" s="60">
        <f t="shared" si="9"/>
        <v>0.70000000000000007</v>
      </c>
      <c r="F639" t="str" cm="1">
        <f t="array" ref="F639">IF(A639=MAX(IF(ROUND($B$2:$B$3722,4)=ROUND(B639,4),$A$2:$A$3722)),"Efficient","Inefficient")</f>
        <v>Inefficient</v>
      </c>
    </row>
    <row r="640" spans="1:6" x14ac:dyDescent="0.25">
      <c r="A640" cm="1">
        <f t="array" ref="A640">INDEX('Portfolio Weights Returns'!$B$9:$BJ$69,
INT((ROW(A639)-1)/COLUMNS('Portfolio Weights Returns'!$B$9:$BJ$69))+1,MOD(ROW(A639)-1,COLUMNS('Portfolio Weights Returns'!$B$9:$BJ$69))+1)</f>
        <v>-9.3936035509982452E-4</v>
      </c>
      <c r="B640">
        <v>1.72E-2</v>
      </c>
      <c r="C640" s="59">
        <v>0.11</v>
      </c>
      <c r="D640" s="59">
        <v>0.2</v>
      </c>
      <c r="E640" s="60">
        <f t="shared" si="9"/>
        <v>0.69000000000000006</v>
      </c>
      <c r="F640" t="str" cm="1">
        <f t="array" ref="F640">IF(A640=MAX(IF(ROUND($B$2:$B$3722,4)=ROUND(B640,4),$A$2:$A$3722)),"Efficient","Inefficient")</f>
        <v>Inefficient</v>
      </c>
    </row>
    <row r="641" spans="1:6" x14ac:dyDescent="0.25">
      <c r="A641" cm="1">
        <f t="array" ref="A641">INDEX('Portfolio Weights Returns'!$B$9:$BJ$69,
INT((ROW(A640)-1)/COLUMNS('Portfolio Weights Returns'!$B$9:$BJ$69))+1,MOD(ROW(A640)-1,COLUMNS('Portfolio Weights Returns'!$B$9:$BJ$69))+1)</f>
        <v>-9.3257918113314527E-4</v>
      </c>
      <c r="B641">
        <v>1.72E-2</v>
      </c>
      <c r="C641" s="59">
        <v>0.12</v>
      </c>
      <c r="D641" s="59">
        <v>0.21</v>
      </c>
      <c r="E641" s="60">
        <f t="shared" si="9"/>
        <v>0.67</v>
      </c>
      <c r="F641" t="str" cm="1">
        <f t="array" ref="F641">IF(A641=MAX(IF(ROUND($B$2:$B$3722,4)=ROUND(B641,4),$A$2:$A$3722)),"Efficient","Inefficient")</f>
        <v>Inefficient</v>
      </c>
    </row>
    <row r="642" spans="1:6" x14ac:dyDescent="0.25">
      <c r="A642" cm="1">
        <f t="array" ref="A642">INDEX('Portfolio Weights Returns'!$B$9:$BJ$69,
INT((ROW(A641)-1)/COLUMNS('Portfolio Weights Returns'!$B$9:$BJ$69))+1,MOD(ROW(A641)-1,COLUMNS('Portfolio Weights Returns'!$B$9:$BJ$69))+1)</f>
        <v>-9.2579800716646613E-4</v>
      </c>
      <c r="B642">
        <v>1.72E-2</v>
      </c>
      <c r="C642" s="59">
        <v>0.13</v>
      </c>
      <c r="D642" s="59">
        <v>0.22</v>
      </c>
      <c r="E642" s="60">
        <f t="shared" ref="E642:E705" si="10">1-D642-C642</f>
        <v>0.65</v>
      </c>
      <c r="F642" t="str" cm="1">
        <f t="array" ref="F642">IF(A642=MAX(IF(ROUND($B$2:$B$3722,4)=ROUND(B642,4),$A$2:$A$3722)),"Efficient","Inefficient")</f>
        <v>Inefficient</v>
      </c>
    </row>
    <row r="643" spans="1:6" x14ac:dyDescent="0.25">
      <c r="A643" cm="1">
        <f t="array" ref="A643">INDEX('Portfolio Weights Returns'!$B$9:$BJ$69,
INT((ROW(A642)-1)/COLUMNS('Portfolio Weights Returns'!$B$9:$BJ$69))+1,MOD(ROW(A642)-1,COLUMNS('Portfolio Weights Returns'!$B$9:$BJ$69))+1)</f>
        <v>-9.1901683319978709E-4</v>
      </c>
      <c r="B643">
        <v>1.72E-2</v>
      </c>
      <c r="C643" s="59">
        <v>0.14000000000000001</v>
      </c>
      <c r="D643" s="59">
        <v>0.23</v>
      </c>
      <c r="E643" s="60">
        <f t="shared" si="10"/>
        <v>0.63</v>
      </c>
      <c r="F643" t="str" cm="1">
        <f t="array" ref="F643">IF(A643=MAX(IF(ROUND($B$2:$B$3722,4)=ROUND(B643,4),$A$2:$A$3722)),"Efficient","Inefficient")</f>
        <v>Inefficient</v>
      </c>
    </row>
    <row r="644" spans="1:6" x14ac:dyDescent="0.25">
      <c r="A644" cm="1">
        <f t="array" ref="A644">INDEX('Portfolio Weights Returns'!$B$9:$BJ$69,
INT((ROW(A643)-1)/COLUMNS('Portfolio Weights Returns'!$B$9:$BJ$69))+1,MOD(ROW(A643)-1,COLUMNS('Portfolio Weights Returns'!$B$9:$BJ$69))+1)</f>
        <v>-9.1223565923310795E-4</v>
      </c>
      <c r="B644">
        <v>1.72E-2</v>
      </c>
      <c r="C644" s="59">
        <v>0.15</v>
      </c>
      <c r="D644" s="59">
        <v>0.23</v>
      </c>
      <c r="E644" s="60">
        <f t="shared" si="10"/>
        <v>0.62</v>
      </c>
      <c r="F644" t="str" cm="1">
        <f t="array" ref="F644">IF(A644=MAX(IF(ROUND($B$2:$B$3722,4)=ROUND(B644,4),$A$2:$A$3722)),"Efficient","Inefficient")</f>
        <v>Inefficient</v>
      </c>
    </row>
    <row r="645" spans="1:6" x14ac:dyDescent="0.25">
      <c r="A645" cm="1">
        <f t="array" ref="A645">INDEX('Portfolio Weights Returns'!$B$9:$BJ$69,
INT((ROW(A644)-1)/COLUMNS('Portfolio Weights Returns'!$B$9:$BJ$69))+1,MOD(ROW(A644)-1,COLUMNS('Portfolio Weights Returns'!$B$9:$BJ$69))+1)</f>
        <v>-9.0545448526642891E-4</v>
      </c>
      <c r="B645">
        <v>1.72E-2</v>
      </c>
      <c r="C645" s="59">
        <v>0.16</v>
      </c>
      <c r="D645" s="59">
        <v>0.24</v>
      </c>
      <c r="E645" s="60">
        <f t="shared" si="10"/>
        <v>0.6</v>
      </c>
      <c r="F645" t="str" cm="1">
        <f t="array" ref="F645">IF(A645=MAX(IF(ROUND($B$2:$B$3722,4)=ROUND(B645,4),$A$2:$A$3722)),"Efficient","Inefficient")</f>
        <v>Inefficient</v>
      </c>
    </row>
    <row r="646" spans="1:6" x14ac:dyDescent="0.25">
      <c r="A646" cm="1">
        <f t="array" ref="A646">INDEX('Portfolio Weights Returns'!$B$9:$BJ$69,
INT((ROW(A645)-1)/COLUMNS('Portfolio Weights Returns'!$B$9:$BJ$69))+1,MOD(ROW(A645)-1,COLUMNS('Portfolio Weights Returns'!$B$9:$BJ$69))+1)</f>
        <v>-8.9867331129974976E-4</v>
      </c>
      <c r="B646">
        <v>1.72E-2</v>
      </c>
      <c r="C646" s="59">
        <v>0.17</v>
      </c>
      <c r="D646" s="59">
        <v>0.25</v>
      </c>
      <c r="E646" s="60">
        <f t="shared" si="10"/>
        <v>0.57999999999999996</v>
      </c>
      <c r="F646" t="str" cm="1">
        <f t="array" ref="F646">IF(A646=MAX(IF(ROUND($B$2:$B$3722,4)=ROUND(B646,4),$A$2:$A$3722)),"Efficient","Inefficient")</f>
        <v>Inefficient</v>
      </c>
    </row>
    <row r="647" spans="1:6" x14ac:dyDescent="0.25">
      <c r="A647" cm="1">
        <f t="array" ref="A647">INDEX('Portfolio Weights Returns'!$B$9:$BJ$69,
INT((ROW(A646)-1)/COLUMNS('Portfolio Weights Returns'!$B$9:$BJ$69))+1,MOD(ROW(A646)-1,COLUMNS('Portfolio Weights Returns'!$B$9:$BJ$69))+1)</f>
        <v>-8.9189213733307073E-4</v>
      </c>
      <c r="B647">
        <v>1.72E-2</v>
      </c>
      <c r="C647" s="59">
        <v>0.18</v>
      </c>
      <c r="D647" s="59">
        <v>0.25</v>
      </c>
      <c r="E647" s="60">
        <f t="shared" si="10"/>
        <v>0.57000000000000006</v>
      </c>
      <c r="F647" t="str" cm="1">
        <f t="array" ref="F647">IF(A647=MAX(IF(ROUND($B$2:$B$3722,4)=ROUND(B647,4),$A$2:$A$3722)),"Efficient","Inefficient")</f>
        <v>Inefficient</v>
      </c>
    </row>
    <row r="648" spans="1:6" x14ac:dyDescent="0.25">
      <c r="A648" cm="1">
        <f t="array" ref="A648">INDEX('Portfolio Weights Returns'!$B$9:$BJ$69,
INT((ROW(A647)-1)/COLUMNS('Portfolio Weights Returns'!$B$9:$BJ$69))+1,MOD(ROW(A647)-1,COLUMNS('Portfolio Weights Returns'!$B$9:$BJ$69))+1)</f>
        <v>-8.8511096336639148E-4</v>
      </c>
      <c r="B648">
        <v>1.72E-2</v>
      </c>
      <c r="C648" s="59">
        <v>0.2</v>
      </c>
      <c r="D648" s="59">
        <v>0.26</v>
      </c>
      <c r="E648" s="60">
        <f t="shared" si="10"/>
        <v>0.54</v>
      </c>
      <c r="F648" t="str" cm="1">
        <f t="array" ref="F648">IF(A648=MAX(IF(ROUND($B$2:$B$3722,4)=ROUND(B648,4),$A$2:$A$3722)),"Efficient","Inefficient")</f>
        <v>Inefficient</v>
      </c>
    </row>
    <row r="649" spans="1:6" x14ac:dyDescent="0.25">
      <c r="A649" cm="1">
        <f t="array" ref="A649">INDEX('Portfolio Weights Returns'!$B$9:$BJ$69,
INT((ROW(A648)-1)/COLUMNS('Portfolio Weights Returns'!$B$9:$BJ$69))+1,MOD(ROW(A648)-1,COLUMNS('Portfolio Weights Returns'!$B$9:$BJ$69))+1)</f>
        <v>-8.7832978939971244E-4</v>
      </c>
      <c r="B649">
        <v>1.72E-2</v>
      </c>
      <c r="C649" s="59">
        <v>0.21</v>
      </c>
      <c r="D649" s="59">
        <v>0.26</v>
      </c>
      <c r="E649" s="60">
        <f t="shared" si="10"/>
        <v>0.53</v>
      </c>
      <c r="F649" t="str" cm="1">
        <f t="array" ref="F649">IF(A649=MAX(IF(ROUND($B$2:$B$3722,4)=ROUND(B649,4),$A$2:$A$3722)),"Efficient","Inefficient")</f>
        <v>Inefficient</v>
      </c>
    </row>
    <row r="650" spans="1:6" x14ac:dyDescent="0.25">
      <c r="A650" cm="1">
        <f t="array" ref="A650">INDEX('Portfolio Weights Returns'!$B$9:$BJ$69,
INT((ROW(A649)-1)/COLUMNS('Portfolio Weights Returns'!$B$9:$BJ$69))+1,MOD(ROW(A649)-1,COLUMNS('Portfolio Weights Returns'!$B$9:$BJ$69))+1)</f>
        <v>-8.7154861543303351E-4</v>
      </c>
      <c r="B650">
        <v>1.72E-2</v>
      </c>
      <c r="C650" s="59">
        <v>0.23</v>
      </c>
      <c r="D650" s="59">
        <v>0.27</v>
      </c>
      <c r="E650" s="60">
        <f t="shared" si="10"/>
        <v>0.5</v>
      </c>
      <c r="F650" t="str" cm="1">
        <f t="array" ref="F650">IF(A650=MAX(IF(ROUND($B$2:$B$3722,4)=ROUND(B650,4),$A$2:$A$3722)),"Efficient","Inefficient")</f>
        <v>Inefficient</v>
      </c>
    </row>
    <row r="651" spans="1:6" x14ac:dyDescent="0.25">
      <c r="A651" cm="1">
        <f t="array" ref="A651">INDEX('Portfolio Weights Returns'!$B$9:$BJ$69,
INT((ROW(A650)-1)/COLUMNS('Portfolio Weights Returns'!$B$9:$BJ$69))+1,MOD(ROW(A650)-1,COLUMNS('Portfolio Weights Returns'!$B$9:$BJ$69))+1)</f>
        <v>-8.6476744146635437E-4</v>
      </c>
      <c r="B651">
        <v>1.72E-2</v>
      </c>
      <c r="C651" s="59">
        <v>0.24</v>
      </c>
      <c r="D651" s="59">
        <v>0.27</v>
      </c>
      <c r="E651" s="60">
        <f t="shared" si="10"/>
        <v>0.49</v>
      </c>
      <c r="F651" t="str" cm="1">
        <f t="array" ref="F651">IF(A651=MAX(IF(ROUND($B$2:$B$3722,4)=ROUND(B651,4),$A$2:$A$3722)),"Efficient","Inefficient")</f>
        <v>Inefficient</v>
      </c>
    </row>
    <row r="652" spans="1:6" x14ac:dyDescent="0.25">
      <c r="A652" cm="1">
        <f t="array" ref="A652">INDEX('Portfolio Weights Returns'!$B$9:$BJ$69,
INT((ROW(A651)-1)/COLUMNS('Portfolio Weights Returns'!$B$9:$BJ$69))+1,MOD(ROW(A651)-1,COLUMNS('Portfolio Weights Returns'!$B$9:$BJ$69))+1)</f>
        <v>-8.5798626749967522E-4</v>
      </c>
      <c r="B652">
        <v>1.72E-2</v>
      </c>
      <c r="C652" s="59">
        <v>0.27</v>
      </c>
      <c r="D652" s="59">
        <v>0.28000000000000003</v>
      </c>
      <c r="E652" s="60">
        <f t="shared" si="10"/>
        <v>0.44999999999999996</v>
      </c>
      <c r="F652" t="str" cm="1">
        <f t="array" ref="F652">IF(A652=MAX(IF(ROUND($B$2:$B$3722,4)=ROUND(B652,4),$A$2:$A$3722)),"Efficient","Inefficient")</f>
        <v>Inefficient</v>
      </c>
    </row>
    <row r="653" spans="1:6" x14ac:dyDescent="0.25">
      <c r="A653" cm="1">
        <f t="array" ref="A653">INDEX('Portfolio Weights Returns'!$B$9:$BJ$69,
INT((ROW(A652)-1)/COLUMNS('Portfolio Weights Returns'!$B$9:$BJ$69))+1,MOD(ROW(A652)-1,COLUMNS('Portfolio Weights Returns'!$B$9:$BJ$69))+1)</f>
        <v>-8.5120509353299608E-4</v>
      </c>
      <c r="B653">
        <v>1.72E-2</v>
      </c>
      <c r="C653" s="59">
        <v>0.28000000000000003</v>
      </c>
      <c r="D653" s="59">
        <v>0.28000000000000003</v>
      </c>
      <c r="E653" s="60">
        <f t="shared" si="10"/>
        <v>0.43999999999999995</v>
      </c>
      <c r="F653" t="str" cm="1">
        <f t="array" ref="F653">IF(A653=MAX(IF(ROUND($B$2:$B$3722,4)=ROUND(B653,4),$A$2:$A$3722)),"Efficient","Inefficient")</f>
        <v>Inefficient</v>
      </c>
    </row>
    <row r="654" spans="1:6" x14ac:dyDescent="0.25">
      <c r="A654" cm="1">
        <f t="array" ref="A654">INDEX('Portfolio Weights Returns'!$B$9:$BJ$69,
INT((ROW(A653)-1)/COLUMNS('Portfolio Weights Returns'!$B$9:$BJ$69))+1,MOD(ROW(A653)-1,COLUMNS('Portfolio Weights Returns'!$B$9:$BJ$69))+1)</f>
        <v>-8.4442391956631704E-4</v>
      </c>
      <c r="B654">
        <v>1.72E-2</v>
      </c>
      <c r="C654" s="59">
        <v>0.28999999999999998</v>
      </c>
      <c r="D654" s="59">
        <v>0.28000000000000003</v>
      </c>
      <c r="E654" s="60">
        <f t="shared" si="10"/>
        <v>0.43</v>
      </c>
      <c r="F654" t="str" cm="1">
        <f t="array" ref="F654">IF(A654=MAX(IF(ROUND($B$2:$B$3722,4)=ROUND(B654,4),$A$2:$A$3722)),"Efficient","Inefficient")</f>
        <v>Inefficient</v>
      </c>
    </row>
    <row r="655" spans="1:6" x14ac:dyDescent="0.25">
      <c r="A655" cm="1">
        <f t="array" ref="A655">INDEX('Portfolio Weights Returns'!$B$9:$BJ$69,
INT((ROW(A654)-1)/COLUMNS('Portfolio Weights Returns'!$B$9:$BJ$69))+1,MOD(ROW(A654)-1,COLUMNS('Portfolio Weights Returns'!$B$9:$BJ$69))+1)</f>
        <v>-8.376427455996379E-4</v>
      </c>
      <c r="B655">
        <v>1.72E-2</v>
      </c>
      <c r="C655" s="59">
        <v>0.3</v>
      </c>
      <c r="D655" s="59">
        <v>0.28000000000000003</v>
      </c>
      <c r="E655" s="60">
        <f t="shared" si="10"/>
        <v>0.42</v>
      </c>
      <c r="F655" t="str" cm="1">
        <f t="array" ref="F655">IF(A655=MAX(IF(ROUND($B$2:$B$3722,4)=ROUND(B655,4),$A$2:$A$3722)),"Efficient","Inefficient")</f>
        <v>Inefficient</v>
      </c>
    </row>
    <row r="656" spans="1:6" x14ac:dyDescent="0.25">
      <c r="A656" cm="1">
        <f t="array" ref="A656">INDEX('Portfolio Weights Returns'!$B$9:$BJ$69,
INT((ROW(A655)-1)/COLUMNS('Portfolio Weights Returns'!$B$9:$BJ$69))+1,MOD(ROW(A655)-1,COLUMNS('Portfolio Weights Returns'!$B$9:$BJ$69))+1)</f>
        <v>-8.3086157163295886E-4</v>
      </c>
      <c r="B656">
        <v>1.7299999999999999E-2</v>
      </c>
      <c r="C656" s="59">
        <v>0.3</v>
      </c>
      <c r="D656" s="59">
        <v>-0.14000000000000001</v>
      </c>
      <c r="E656" s="60">
        <f t="shared" si="10"/>
        <v>0.84000000000000008</v>
      </c>
      <c r="F656" t="str" cm="1">
        <f t="array" ref="F656">IF(A656=MAX(IF(ROUND($B$2:$B$3722,4)=ROUND(B656,4),$A$2:$A$3722)),"Efficient","Inefficient")</f>
        <v>Inefficient</v>
      </c>
    </row>
    <row r="657" spans="1:6" x14ac:dyDescent="0.25">
      <c r="A657" cm="1">
        <f t="array" ref="A657">INDEX('Portfolio Weights Returns'!$B$9:$BJ$69,
INT((ROW(A656)-1)/COLUMNS('Portfolio Weights Returns'!$B$9:$BJ$69))+1,MOD(ROW(A656)-1,COLUMNS('Portfolio Weights Returns'!$B$9:$BJ$69))+1)</f>
        <v>-8.2408039766627972E-4</v>
      </c>
      <c r="B657">
        <v>1.7299999999999999E-2</v>
      </c>
      <c r="C657" s="59">
        <v>0.28999999999999998</v>
      </c>
      <c r="D657" s="59">
        <v>-0.13</v>
      </c>
      <c r="E657" s="60">
        <f t="shared" si="10"/>
        <v>0.83999999999999986</v>
      </c>
      <c r="F657" t="str" cm="1">
        <f t="array" ref="F657">IF(A657=MAX(IF(ROUND($B$2:$B$3722,4)=ROUND(B657,4),$A$2:$A$3722)),"Efficient","Inefficient")</f>
        <v>Inefficient</v>
      </c>
    </row>
    <row r="658" spans="1:6" x14ac:dyDescent="0.25">
      <c r="A658" cm="1">
        <f t="array" ref="A658">INDEX('Portfolio Weights Returns'!$B$9:$BJ$69,
INT((ROW(A657)-1)/COLUMNS('Portfolio Weights Returns'!$B$9:$BJ$69))+1,MOD(ROW(A657)-1,COLUMNS('Portfolio Weights Returns'!$B$9:$BJ$69))+1)</f>
        <v>-8.1729922369960068E-4</v>
      </c>
      <c r="B658">
        <v>1.7299999999999999E-2</v>
      </c>
      <c r="C658" s="59">
        <v>0.27</v>
      </c>
      <c r="D658" s="59">
        <v>-0.12</v>
      </c>
      <c r="E658" s="60">
        <f t="shared" si="10"/>
        <v>0.85000000000000009</v>
      </c>
      <c r="F658" t="str" cm="1">
        <f t="array" ref="F658">IF(A658=MAX(IF(ROUND($B$2:$B$3722,4)=ROUND(B658,4),$A$2:$A$3722)),"Efficient","Inefficient")</f>
        <v>Inefficient</v>
      </c>
    </row>
    <row r="659" spans="1:6" x14ac:dyDescent="0.25">
      <c r="A659" cm="1">
        <f t="array" ref="A659">INDEX('Portfolio Weights Returns'!$B$9:$BJ$69,
INT((ROW(A658)-1)/COLUMNS('Portfolio Weights Returns'!$B$9:$BJ$69))+1,MOD(ROW(A658)-1,COLUMNS('Portfolio Weights Returns'!$B$9:$BJ$69))+1)</f>
        <v>-8.1051804973292143E-4</v>
      </c>
      <c r="B659">
        <v>1.7299999999999999E-2</v>
      </c>
      <c r="C659" s="59">
        <v>0.26</v>
      </c>
      <c r="D659" s="59">
        <v>-0.11</v>
      </c>
      <c r="E659" s="60">
        <f t="shared" si="10"/>
        <v>0.85000000000000009</v>
      </c>
      <c r="F659" t="str" cm="1">
        <f t="array" ref="F659">IF(A659=MAX(IF(ROUND($B$2:$B$3722,4)=ROUND(B659,4),$A$2:$A$3722)),"Efficient","Inefficient")</f>
        <v>Inefficient</v>
      </c>
    </row>
    <row r="660" spans="1:6" x14ac:dyDescent="0.25">
      <c r="A660" cm="1">
        <f t="array" ref="A660">INDEX('Portfolio Weights Returns'!$B$9:$BJ$69,
INT((ROW(A659)-1)/COLUMNS('Portfolio Weights Returns'!$B$9:$BJ$69))+1,MOD(ROW(A659)-1,COLUMNS('Portfolio Weights Returns'!$B$9:$BJ$69))+1)</f>
        <v>-8.0373687576624228E-4</v>
      </c>
      <c r="B660">
        <v>1.7299999999999999E-2</v>
      </c>
      <c r="C660" s="59">
        <v>0.24</v>
      </c>
      <c r="D660" s="59">
        <v>-0.1</v>
      </c>
      <c r="E660" s="60">
        <f t="shared" si="10"/>
        <v>0.8600000000000001</v>
      </c>
      <c r="F660" t="str" cm="1">
        <f t="array" ref="F660">IF(A660=MAX(IF(ROUND($B$2:$B$3722,4)=ROUND(B660,4),$A$2:$A$3722)),"Efficient","Inefficient")</f>
        <v>Inefficient</v>
      </c>
    </row>
    <row r="661" spans="1:6" x14ac:dyDescent="0.25">
      <c r="A661" cm="1">
        <f t="array" ref="A661">INDEX('Portfolio Weights Returns'!$B$9:$BJ$69,
INT((ROW(A660)-1)/COLUMNS('Portfolio Weights Returns'!$B$9:$BJ$69))+1,MOD(ROW(A660)-1,COLUMNS('Portfolio Weights Returns'!$B$9:$BJ$69))+1)</f>
        <v>-7.9695570179956325E-4</v>
      </c>
      <c r="B661">
        <v>1.7299999999999999E-2</v>
      </c>
      <c r="C661" s="59">
        <v>0.23</v>
      </c>
      <c r="D661" s="59">
        <v>-0.09</v>
      </c>
      <c r="E661" s="60">
        <f t="shared" si="10"/>
        <v>0.8600000000000001</v>
      </c>
      <c r="F661" t="str" cm="1">
        <f t="array" ref="F661">IF(A661=MAX(IF(ROUND($B$2:$B$3722,4)=ROUND(B661,4),$A$2:$A$3722)),"Efficient","Inefficient")</f>
        <v>Inefficient</v>
      </c>
    </row>
    <row r="662" spans="1:6" x14ac:dyDescent="0.25">
      <c r="A662" cm="1">
        <f t="array" ref="A662">INDEX('Portfolio Weights Returns'!$B$9:$BJ$69,
INT((ROW(A661)-1)/COLUMNS('Portfolio Weights Returns'!$B$9:$BJ$69))+1,MOD(ROW(A661)-1,COLUMNS('Portfolio Weights Returns'!$B$9:$BJ$69))+1)</f>
        <v>-7.901745278328841E-4</v>
      </c>
      <c r="B662">
        <v>1.7299999999999999E-2</v>
      </c>
      <c r="C662" s="59">
        <v>0.22</v>
      </c>
      <c r="D662" s="59">
        <v>-0.08</v>
      </c>
      <c r="E662" s="60">
        <f t="shared" si="10"/>
        <v>0.8600000000000001</v>
      </c>
      <c r="F662" t="str" cm="1">
        <f t="array" ref="F662">IF(A662=MAX(IF(ROUND($B$2:$B$3722,4)=ROUND(B662,4),$A$2:$A$3722)),"Efficient","Inefficient")</f>
        <v>Inefficient</v>
      </c>
    </row>
    <row r="663" spans="1:6" x14ac:dyDescent="0.25">
      <c r="A663" cm="1">
        <f t="array" ref="A663">INDEX('Portfolio Weights Returns'!$B$9:$BJ$69,
INT((ROW(A662)-1)/COLUMNS('Portfolio Weights Returns'!$B$9:$BJ$69))+1,MOD(ROW(A662)-1,COLUMNS('Portfolio Weights Returns'!$B$9:$BJ$69))+1)</f>
        <v>-7.8339335386620507E-4</v>
      </c>
      <c r="B663">
        <v>1.7299999999999999E-2</v>
      </c>
      <c r="C663" s="59">
        <v>0.19</v>
      </c>
      <c r="D663" s="59">
        <v>-0.06</v>
      </c>
      <c r="E663" s="60">
        <f t="shared" si="10"/>
        <v>0.87000000000000011</v>
      </c>
      <c r="F663" t="str" cm="1">
        <f t="array" ref="F663">IF(A663=MAX(IF(ROUND($B$2:$B$3722,4)=ROUND(B663,4),$A$2:$A$3722)),"Efficient","Inefficient")</f>
        <v>Inefficient</v>
      </c>
    </row>
    <row r="664" spans="1:6" x14ac:dyDescent="0.25">
      <c r="A664" cm="1">
        <f t="array" ref="A664">INDEX('Portfolio Weights Returns'!$B$9:$BJ$69,
INT((ROW(A663)-1)/COLUMNS('Portfolio Weights Returns'!$B$9:$BJ$69))+1,MOD(ROW(A663)-1,COLUMNS('Portfolio Weights Returns'!$B$9:$BJ$69))+1)</f>
        <v>-7.7661217989952592E-4</v>
      </c>
      <c r="B664">
        <v>1.7299999999999999E-2</v>
      </c>
      <c r="C664" s="59">
        <v>0.18</v>
      </c>
      <c r="D664" s="59">
        <v>-0.05</v>
      </c>
      <c r="E664" s="60">
        <f t="shared" si="10"/>
        <v>0.87000000000000011</v>
      </c>
      <c r="F664" t="str" cm="1">
        <f t="array" ref="F664">IF(A664=MAX(IF(ROUND($B$2:$B$3722,4)=ROUND(B664,4),$A$2:$A$3722)),"Efficient","Inefficient")</f>
        <v>Inefficient</v>
      </c>
    </row>
    <row r="665" spans="1:6" x14ac:dyDescent="0.25">
      <c r="A665" cm="1">
        <f t="array" ref="A665">INDEX('Portfolio Weights Returns'!$B$9:$BJ$69,
INT((ROW(A664)-1)/COLUMNS('Portfolio Weights Returns'!$B$9:$BJ$69))+1,MOD(ROW(A664)-1,COLUMNS('Portfolio Weights Returns'!$B$9:$BJ$69))+1)</f>
        <v>-7.6983100593284689E-4</v>
      </c>
      <c r="B665">
        <v>1.7299999999999999E-2</v>
      </c>
      <c r="C665" s="59">
        <v>0.17</v>
      </c>
      <c r="D665" s="59">
        <v>-0.04</v>
      </c>
      <c r="E665" s="60">
        <f t="shared" si="10"/>
        <v>0.87</v>
      </c>
      <c r="F665" t="str" cm="1">
        <f t="array" ref="F665">IF(A665=MAX(IF(ROUND($B$2:$B$3722,4)=ROUND(B665,4),$A$2:$A$3722)),"Efficient","Inefficient")</f>
        <v>Inefficient</v>
      </c>
    </row>
    <row r="666" spans="1:6" x14ac:dyDescent="0.25">
      <c r="A666" cm="1">
        <f t="array" ref="A666">INDEX('Portfolio Weights Returns'!$B$9:$BJ$69,
INT((ROW(A665)-1)/COLUMNS('Portfolio Weights Returns'!$B$9:$BJ$69))+1,MOD(ROW(A665)-1,COLUMNS('Portfolio Weights Returns'!$B$9:$BJ$69))+1)</f>
        <v>-7.6304983196616764E-4</v>
      </c>
      <c r="B666">
        <v>1.7299999999999999E-2</v>
      </c>
      <c r="C666" s="59">
        <v>0.16</v>
      </c>
      <c r="D666" s="59">
        <v>-0.03</v>
      </c>
      <c r="E666" s="60">
        <f t="shared" si="10"/>
        <v>0.87</v>
      </c>
      <c r="F666" t="str" cm="1">
        <f t="array" ref="F666">IF(A666=MAX(IF(ROUND($B$2:$B$3722,4)=ROUND(B666,4),$A$2:$A$3722)),"Efficient","Inefficient")</f>
        <v>Inefficient</v>
      </c>
    </row>
    <row r="667" spans="1:6" x14ac:dyDescent="0.25">
      <c r="A667" cm="1">
        <f t="array" ref="A667">INDEX('Portfolio Weights Returns'!$B$9:$BJ$69,
INT((ROW(A666)-1)/COLUMNS('Portfolio Weights Returns'!$B$9:$BJ$69))+1,MOD(ROW(A666)-1,COLUMNS('Portfolio Weights Returns'!$B$9:$BJ$69))+1)</f>
        <v>-7.562686579994886E-4</v>
      </c>
      <c r="B667">
        <v>1.7299999999999999E-2</v>
      </c>
      <c r="C667" s="59">
        <v>0.15</v>
      </c>
      <c r="D667" s="59">
        <v>-0.02</v>
      </c>
      <c r="E667" s="60">
        <f t="shared" si="10"/>
        <v>0.87</v>
      </c>
      <c r="F667" t="str" cm="1">
        <f t="array" ref="F667">IF(A667=MAX(IF(ROUND($B$2:$B$3722,4)=ROUND(B667,4),$A$2:$A$3722)),"Efficient","Inefficient")</f>
        <v>Inefficient</v>
      </c>
    </row>
    <row r="668" spans="1:6" x14ac:dyDescent="0.25">
      <c r="A668" cm="1">
        <f t="array" ref="A668">INDEX('Portfolio Weights Returns'!$B$9:$BJ$69,
INT((ROW(A667)-1)/COLUMNS('Portfolio Weights Returns'!$B$9:$BJ$69))+1,MOD(ROW(A667)-1,COLUMNS('Portfolio Weights Returns'!$B$9:$BJ$69))+1)</f>
        <v>-7.4948748403280945E-4</v>
      </c>
      <c r="B668">
        <v>1.7299999999999999E-2</v>
      </c>
      <c r="C668" s="59">
        <v>0.14000000000000001</v>
      </c>
      <c r="D668" s="59">
        <v>0</v>
      </c>
      <c r="E668" s="60">
        <f t="shared" si="10"/>
        <v>0.86</v>
      </c>
      <c r="F668" t="str" cm="1">
        <f t="array" ref="F668">IF(A668=MAX(IF(ROUND($B$2:$B$3722,4)=ROUND(B668,4),$A$2:$A$3722)),"Efficient","Inefficient")</f>
        <v>Inefficient</v>
      </c>
    </row>
    <row r="669" spans="1:6" x14ac:dyDescent="0.25">
      <c r="A669" cm="1">
        <f t="array" ref="A669">INDEX('Portfolio Weights Returns'!$B$9:$BJ$69,
INT((ROW(A668)-1)/COLUMNS('Portfolio Weights Returns'!$B$9:$BJ$69))+1,MOD(ROW(A668)-1,COLUMNS('Portfolio Weights Returns'!$B$9:$BJ$69))+1)</f>
        <v>-7.4270631006612977E-4</v>
      </c>
      <c r="B669">
        <v>1.7299999999999999E-2</v>
      </c>
      <c r="C669" s="59">
        <v>0.13</v>
      </c>
      <c r="D669" s="59">
        <v>0.01</v>
      </c>
      <c r="E669" s="60">
        <f t="shared" si="10"/>
        <v>0.86</v>
      </c>
      <c r="F669" t="str" cm="1">
        <f t="array" ref="F669">IF(A669=MAX(IF(ROUND($B$2:$B$3722,4)=ROUND(B669,4),$A$2:$A$3722)),"Efficient","Inefficient")</f>
        <v>Inefficient</v>
      </c>
    </row>
    <row r="670" spans="1:6" x14ac:dyDescent="0.25">
      <c r="A670" cm="1">
        <f t="array" ref="A670">INDEX('Portfolio Weights Returns'!$B$9:$BJ$69,
INT((ROW(A669)-1)/COLUMNS('Portfolio Weights Returns'!$B$9:$BJ$69))+1,MOD(ROW(A669)-1,COLUMNS('Portfolio Weights Returns'!$B$9:$BJ$69))+1)</f>
        <v>-7.3592513609945062E-4</v>
      </c>
      <c r="B670">
        <v>1.7299999999999999E-2</v>
      </c>
      <c r="C670" s="59">
        <v>0.12</v>
      </c>
      <c r="D670" s="59">
        <v>0.02</v>
      </c>
      <c r="E670" s="60">
        <f t="shared" si="10"/>
        <v>0.86</v>
      </c>
      <c r="F670" t="str" cm="1">
        <f t="array" ref="F670">IF(A670=MAX(IF(ROUND($B$2:$B$3722,4)=ROUND(B670,4),$A$2:$A$3722)),"Efficient","Inefficient")</f>
        <v>Inefficient</v>
      </c>
    </row>
    <row r="671" spans="1:6" x14ac:dyDescent="0.25">
      <c r="A671" cm="1">
        <f t="array" ref="A671">INDEX('Portfolio Weights Returns'!$B$9:$BJ$69,
INT((ROW(A670)-1)/COLUMNS('Portfolio Weights Returns'!$B$9:$BJ$69))+1,MOD(ROW(A670)-1,COLUMNS('Portfolio Weights Returns'!$B$9:$BJ$69))+1)</f>
        <v>-7.2914396213277148E-4</v>
      </c>
      <c r="B671">
        <v>1.7299999999999999E-2</v>
      </c>
      <c r="C671" s="59">
        <v>0.11</v>
      </c>
      <c r="D671" s="59">
        <v>0.04</v>
      </c>
      <c r="E671" s="60">
        <f t="shared" si="10"/>
        <v>0.85</v>
      </c>
      <c r="F671" t="str" cm="1">
        <f t="array" ref="F671">IF(A671=MAX(IF(ROUND($B$2:$B$3722,4)=ROUND(B671,4),$A$2:$A$3722)),"Efficient","Inefficient")</f>
        <v>Inefficient</v>
      </c>
    </row>
    <row r="672" spans="1:6" x14ac:dyDescent="0.25">
      <c r="A672" cm="1">
        <f t="array" ref="A672">INDEX('Portfolio Weights Returns'!$B$9:$BJ$69,
INT((ROW(A671)-1)/COLUMNS('Portfolio Weights Returns'!$B$9:$BJ$69))+1,MOD(ROW(A671)-1,COLUMNS('Portfolio Weights Returns'!$B$9:$BJ$69))+1)</f>
        <v>-7.2236278816609244E-4</v>
      </c>
      <c r="B672">
        <v>1.7299999999999999E-2</v>
      </c>
      <c r="C672" s="59">
        <v>0.1</v>
      </c>
      <c r="D672" s="59">
        <v>0.05</v>
      </c>
      <c r="E672" s="60">
        <f t="shared" si="10"/>
        <v>0.85</v>
      </c>
      <c r="F672" t="str" cm="1">
        <f t="array" ref="F672">IF(A672=MAX(IF(ROUND($B$2:$B$3722,4)=ROUND(B672,4),$A$2:$A$3722)),"Efficient","Inefficient")</f>
        <v>Efficient</v>
      </c>
    </row>
    <row r="673" spans="1:6" x14ac:dyDescent="0.25">
      <c r="A673" cm="1">
        <f t="array" ref="A673">INDEX('Portfolio Weights Returns'!$B$9:$BJ$69,
INT((ROW(A672)-1)/COLUMNS('Portfolio Weights Returns'!$B$9:$BJ$69))+1,MOD(ROW(A672)-1,COLUMNS('Portfolio Weights Returns'!$B$9:$BJ$69))+1)</f>
        <v>-1.1226590183213842E-3</v>
      </c>
      <c r="B673">
        <v>1.7299999999999999E-2</v>
      </c>
      <c r="C673" s="59">
        <v>0.1</v>
      </c>
      <c r="D673" s="59">
        <v>0.06</v>
      </c>
      <c r="E673" s="60">
        <f t="shared" si="10"/>
        <v>0.84</v>
      </c>
      <c r="F673" t="str" cm="1">
        <f t="array" ref="F673">IF(A673=MAX(IF(ROUND($B$2:$B$3722,4)=ROUND(B673,4),$A$2:$A$3722)),"Efficient","Inefficient")</f>
        <v>Inefficient</v>
      </c>
    </row>
    <row r="674" spans="1:6" x14ac:dyDescent="0.25">
      <c r="A674" cm="1">
        <f t="array" ref="A674">INDEX('Portfolio Weights Returns'!$B$9:$BJ$69,
INT((ROW(A673)-1)/COLUMNS('Portfolio Weights Returns'!$B$9:$BJ$69))+1,MOD(ROW(A673)-1,COLUMNS('Portfolio Weights Returns'!$B$9:$BJ$69))+1)</f>
        <v>-1.115877844354705E-3</v>
      </c>
      <c r="B674">
        <v>1.7299999999999999E-2</v>
      </c>
      <c r="C674" s="59">
        <v>0.09</v>
      </c>
      <c r="D674" s="59">
        <v>0.08</v>
      </c>
      <c r="E674" s="60">
        <f t="shared" si="10"/>
        <v>0.83000000000000007</v>
      </c>
      <c r="F674" t="str" cm="1">
        <f t="array" ref="F674">IF(A674=MAX(IF(ROUND($B$2:$B$3722,4)=ROUND(B674,4),$A$2:$A$3722)),"Efficient","Inefficient")</f>
        <v>Inefficient</v>
      </c>
    </row>
    <row r="675" spans="1:6" x14ac:dyDescent="0.25">
      <c r="A675" cm="1">
        <f t="array" ref="A675">INDEX('Portfolio Weights Returns'!$B$9:$BJ$69,
INT((ROW(A674)-1)/COLUMNS('Portfolio Weights Returns'!$B$9:$BJ$69))+1,MOD(ROW(A674)-1,COLUMNS('Portfolio Weights Returns'!$B$9:$BJ$69))+1)</f>
        <v>-1.1090966703880261E-3</v>
      </c>
      <c r="B675">
        <v>1.7299999999999999E-2</v>
      </c>
      <c r="C675" s="59">
        <v>0.09</v>
      </c>
      <c r="D675" s="59">
        <v>0.09</v>
      </c>
      <c r="E675" s="60">
        <f t="shared" si="10"/>
        <v>0.82000000000000006</v>
      </c>
      <c r="F675" t="str" cm="1">
        <f t="array" ref="F675">IF(A675=MAX(IF(ROUND($B$2:$B$3722,4)=ROUND(B675,4),$A$2:$A$3722)),"Efficient","Inefficient")</f>
        <v>Inefficient</v>
      </c>
    </row>
    <row r="676" spans="1:6" x14ac:dyDescent="0.25">
      <c r="A676" cm="1">
        <f t="array" ref="A676">INDEX('Portfolio Weights Returns'!$B$9:$BJ$69,
INT((ROW(A675)-1)/COLUMNS('Portfolio Weights Returns'!$B$9:$BJ$69))+1,MOD(ROW(A675)-1,COLUMNS('Portfolio Weights Returns'!$B$9:$BJ$69))+1)</f>
        <v>-1.1023154964213469E-3</v>
      </c>
      <c r="B676">
        <v>1.7299999999999999E-2</v>
      </c>
      <c r="C676" s="59">
        <v>0.08</v>
      </c>
      <c r="D676" s="59">
        <v>0.11</v>
      </c>
      <c r="E676" s="60">
        <f t="shared" si="10"/>
        <v>0.81</v>
      </c>
      <c r="F676" t="str" cm="1">
        <f t="array" ref="F676">IF(A676=MAX(IF(ROUND($B$2:$B$3722,4)=ROUND(B676,4),$A$2:$A$3722)),"Efficient","Inefficient")</f>
        <v>Inefficient</v>
      </c>
    </row>
    <row r="677" spans="1:6" x14ac:dyDescent="0.25">
      <c r="A677" cm="1">
        <f t="array" ref="A677">INDEX('Portfolio Weights Returns'!$B$9:$BJ$69,
INT((ROW(A676)-1)/COLUMNS('Portfolio Weights Returns'!$B$9:$BJ$69))+1,MOD(ROW(A676)-1,COLUMNS('Portfolio Weights Returns'!$B$9:$BJ$69))+1)</f>
        <v>-1.0955343224546678E-3</v>
      </c>
      <c r="B677">
        <v>1.7299999999999999E-2</v>
      </c>
      <c r="C677" s="59">
        <v>0.08</v>
      </c>
      <c r="D677" s="59">
        <v>0.12</v>
      </c>
      <c r="E677" s="60">
        <f t="shared" si="10"/>
        <v>0.8</v>
      </c>
      <c r="F677" t="str" cm="1">
        <f t="array" ref="F677">IF(A677=MAX(IF(ROUND($B$2:$B$3722,4)=ROUND(B677,4),$A$2:$A$3722)),"Efficient","Inefficient")</f>
        <v>Inefficient</v>
      </c>
    </row>
    <row r="678" spans="1:6" x14ac:dyDescent="0.25">
      <c r="A678" cm="1">
        <f t="array" ref="A678">INDEX('Portfolio Weights Returns'!$B$9:$BJ$69,
INT((ROW(A677)-1)/COLUMNS('Portfolio Weights Returns'!$B$9:$BJ$69))+1,MOD(ROW(A677)-1,COLUMNS('Portfolio Weights Returns'!$B$9:$BJ$69))+1)</f>
        <v>-1.0887531484879886E-3</v>
      </c>
      <c r="B678">
        <v>1.7299999999999999E-2</v>
      </c>
      <c r="C678" s="59">
        <v>0.08</v>
      </c>
      <c r="D678" s="59">
        <v>0.13</v>
      </c>
      <c r="E678" s="60">
        <f t="shared" si="10"/>
        <v>0.79</v>
      </c>
      <c r="F678" t="str" cm="1">
        <f t="array" ref="F678">IF(A678=MAX(IF(ROUND($B$2:$B$3722,4)=ROUND(B678,4),$A$2:$A$3722)),"Efficient","Inefficient")</f>
        <v>Inefficient</v>
      </c>
    </row>
    <row r="679" spans="1:6" x14ac:dyDescent="0.25">
      <c r="A679" cm="1">
        <f t="array" ref="A679">INDEX('Portfolio Weights Returns'!$B$9:$BJ$69,
INT((ROW(A678)-1)/COLUMNS('Portfolio Weights Returns'!$B$9:$BJ$69))+1,MOD(ROW(A678)-1,COLUMNS('Portfolio Weights Returns'!$B$9:$BJ$69))+1)</f>
        <v>-1.0819719745213095E-3</v>
      </c>
      <c r="B679">
        <v>1.7299999999999999E-2</v>
      </c>
      <c r="C679" s="59">
        <v>0.08</v>
      </c>
      <c r="D679" s="59">
        <v>0.14000000000000001</v>
      </c>
      <c r="E679" s="60">
        <f t="shared" si="10"/>
        <v>0.78</v>
      </c>
      <c r="F679" t="str" cm="1">
        <f t="array" ref="F679">IF(A679=MAX(IF(ROUND($B$2:$B$3722,4)=ROUND(B679,4),$A$2:$A$3722)),"Efficient","Inefficient")</f>
        <v>Inefficient</v>
      </c>
    </row>
    <row r="680" spans="1:6" x14ac:dyDescent="0.25">
      <c r="A680" cm="1">
        <f t="array" ref="A680">INDEX('Portfolio Weights Returns'!$B$9:$BJ$69,
INT((ROW(A679)-1)/COLUMNS('Portfolio Weights Returns'!$B$9:$BJ$69))+1,MOD(ROW(A679)-1,COLUMNS('Portfolio Weights Returns'!$B$9:$BJ$69))+1)</f>
        <v>-1.0751908005546304E-3</v>
      </c>
      <c r="B680">
        <v>1.7299999999999999E-2</v>
      </c>
      <c r="C680" s="59">
        <v>0.08</v>
      </c>
      <c r="D680" s="59">
        <v>0.15</v>
      </c>
      <c r="E680" s="60">
        <f t="shared" si="10"/>
        <v>0.77</v>
      </c>
      <c r="F680" t="str" cm="1">
        <f t="array" ref="F680">IF(A680=MAX(IF(ROUND($B$2:$B$3722,4)=ROUND(B680,4),$A$2:$A$3722)),"Efficient","Inefficient")</f>
        <v>Inefficient</v>
      </c>
    </row>
    <row r="681" spans="1:6" x14ac:dyDescent="0.25">
      <c r="A681" cm="1">
        <f t="array" ref="A681">INDEX('Portfolio Weights Returns'!$B$9:$BJ$69,
INT((ROW(A680)-1)/COLUMNS('Portfolio Weights Returns'!$B$9:$BJ$69))+1,MOD(ROW(A680)-1,COLUMNS('Portfolio Weights Returns'!$B$9:$BJ$69))+1)</f>
        <v>-1.0684096265879512E-3</v>
      </c>
      <c r="B681">
        <v>1.7299999999999999E-2</v>
      </c>
      <c r="C681" s="59">
        <v>0.08</v>
      </c>
      <c r="D681" s="59">
        <v>0.16</v>
      </c>
      <c r="E681" s="60">
        <f t="shared" si="10"/>
        <v>0.76</v>
      </c>
      <c r="F681" t="str" cm="1">
        <f t="array" ref="F681">IF(A681=MAX(IF(ROUND($B$2:$B$3722,4)=ROUND(B681,4),$A$2:$A$3722)),"Efficient","Inefficient")</f>
        <v>Inefficient</v>
      </c>
    </row>
    <row r="682" spans="1:6" x14ac:dyDescent="0.25">
      <c r="A682" cm="1">
        <f t="array" ref="A682">INDEX('Portfolio Weights Returns'!$B$9:$BJ$69,
INT((ROW(A681)-1)/COLUMNS('Portfolio Weights Returns'!$B$9:$BJ$69))+1,MOD(ROW(A681)-1,COLUMNS('Portfolio Weights Returns'!$B$9:$BJ$69))+1)</f>
        <v>-1.0616284526212721E-3</v>
      </c>
      <c r="B682">
        <v>1.7299999999999999E-2</v>
      </c>
      <c r="C682" s="59">
        <v>0.09</v>
      </c>
      <c r="D682" s="59">
        <v>0.17</v>
      </c>
      <c r="E682" s="60">
        <f t="shared" si="10"/>
        <v>0.74</v>
      </c>
      <c r="F682" t="str" cm="1">
        <f t="array" ref="F682">IF(A682=MAX(IF(ROUND($B$2:$B$3722,4)=ROUND(B682,4),$A$2:$A$3722)),"Efficient","Inefficient")</f>
        <v>Inefficient</v>
      </c>
    </row>
    <row r="683" spans="1:6" x14ac:dyDescent="0.25">
      <c r="A683" cm="1">
        <f t="array" ref="A683">INDEX('Portfolio Weights Returns'!$B$9:$BJ$69,
INT((ROW(A682)-1)/COLUMNS('Portfolio Weights Returns'!$B$9:$BJ$69))+1,MOD(ROW(A682)-1,COLUMNS('Portfolio Weights Returns'!$B$9:$BJ$69))+1)</f>
        <v>-1.0548472786545929E-3</v>
      </c>
      <c r="B683">
        <v>1.7299999999999999E-2</v>
      </c>
      <c r="C683" s="59">
        <v>0.09</v>
      </c>
      <c r="D683" s="59">
        <v>0.18</v>
      </c>
      <c r="E683" s="60">
        <f t="shared" si="10"/>
        <v>0.73000000000000009</v>
      </c>
      <c r="F683" t="str" cm="1">
        <f t="array" ref="F683">IF(A683=MAX(IF(ROUND($B$2:$B$3722,4)=ROUND(B683,4),$A$2:$A$3722)),"Efficient","Inefficient")</f>
        <v>Inefficient</v>
      </c>
    </row>
    <row r="684" spans="1:6" x14ac:dyDescent="0.25">
      <c r="A684" cm="1">
        <f t="array" ref="A684">INDEX('Portfolio Weights Returns'!$B$9:$BJ$69,
INT((ROW(A683)-1)/COLUMNS('Portfolio Weights Returns'!$B$9:$BJ$69))+1,MOD(ROW(A683)-1,COLUMNS('Portfolio Weights Returns'!$B$9:$BJ$69))+1)</f>
        <v>-1.048066104687914E-3</v>
      </c>
      <c r="B684">
        <v>1.7299999999999999E-2</v>
      </c>
      <c r="C684" s="59">
        <v>0.1</v>
      </c>
      <c r="D684" s="59">
        <v>0.19</v>
      </c>
      <c r="E684" s="60">
        <f t="shared" si="10"/>
        <v>0.71000000000000008</v>
      </c>
      <c r="F684" t="str" cm="1">
        <f t="array" ref="F684">IF(A684=MAX(IF(ROUND($B$2:$B$3722,4)=ROUND(B684,4),$A$2:$A$3722)),"Efficient","Inefficient")</f>
        <v>Inefficient</v>
      </c>
    </row>
    <row r="685" spans="1:6" x14ac:dyDescent="0.25">
      <c r="A685" cm="1">
        <f t="array" ref="A685">INDEX('Portfolio Weights Returns'!$B$9:$BJ$69,
INT((ROW(A684)-1)/COLUMNS('Portfolio Weights Returns'!$B$9:$BJ$69))+1,MOD(ROW(A684)-1,COLUMNS('Portfolio Weights Returns'!$B$9:$BJ$69))+1)</f>
        <v>-1.0412849307212349E-3</v>
      </c>
      <c r="B685">
        <v>1.7299999999999999E-2</v>
      </c>
      <c r="C685" s="59">
        <v>0.1</v>
      </c>
      <c r="D685" s="59">
        <v>0.2</v>
      </c>
      <c r="E685" s="60">
        <f t="shared" si="10"/>
        <v>0.70000000000000007</v>
      </c>
      <c r="F685" t="str" cm="1">
        <f t="array" ref="F685">IF(A685=MAX(IF(ROUND($B$2:$B$3722,4)=ROUND(B685,4),$A$2:$A$3722)),"Efficient","Inefficient")</f>
        <v>Inefficient</v>
      </c>
    </row>
    <row r="686" spans="1:6" x14ac:dyDescent="0.25">
      <c r="A686" cm="1">
        <f t="array" ref="A686">INDEX('Portfolio Weights Returns'!$B$9:$BJ$69,
INT((ROW(A685)-1)/COLUMNS('Portfolio Weights Returns'!$B$9:$BJ$69))+1,MOD(ROW(A685)-1,COLUMNS('Portfolio Weights Returns'!$B$9:$BJ$69))+1)</f>
        <v>-1.0345037567545557E-3</v>
      </c>
      <c r="B686">
        <v>1.7299999999999999E-2</v>
      </c>
      <c r="C686" s="59">
        <v>0.11</v>
      </c>
      <c r="D686" s="59">
        <v>0.21</v>
      </c>
      <c r="E686" s="60">
        <f t="shared" si="10"/>
        <v>0.68</v>
      </c>
      <c r="F686" t="str" cm="1">
        <f t="array" ref="F686">IF(A686=MAX(IF(ROUND($B$2:$B$3722,4)=ROUND(B686,4),$A$2:$A$3722)),"Efficient","Inefficient")</f>
        <v>Inefficient</v>
      </c>
    </row>
    <row r="687" spans="1:6" x14ac:dyDescent="0.25">
      <c r="A687" cm="1">
        <f t="array" ref="A687">INDEX('Portfolio Weights Returns'!$B$9:$BJ$69,
INT((ROW(A686)-1)/COLUMNS('Portfolio Weights Returns'!$B$9:$BJ$69))+1,MOD(ROW(A686)-1,COLUMNS('Portfolio Weights Returns'!$B$9:$BJ$69))+1)</f>
        <v>-1.0277225827878766E-3</v>
      </c>
      <c r="B687">
        <v>1.7299999999999999E-2</v>
      </c>
      <c r="C687" s="59">
        <v>0.12</v>
      </c>
      <c r="D687" s="59">
        <v>0.22</v>
      </c>
      <c r="E687" s="60">
        <f t="shared" si="10"/>
        <v>0.66</v>
      </c>
      <c r="F687" t="str" cm="1">
        <f t="array" ref="F687">IF(A687=MAX(IF(ROUND($B$2:$B$3722,4)=ROUND(B687,4),$A$2:$A$3722)),"Efficient","Inefficient")</f>
        <v>Inefficient</v>
      </c>
    </row>
    <row r="688" spans="1:6" x14ac:dyDescent="0.25">
      <c r="A688" cm="1">
        <f t="array" ref="A688">INDEX('Portfolio Weights Returns'!$B$9:$BJ$69,
INT((ROW(A687)-1)/COLUMNS('Portfolio Weights Returns'!$B$9:$BJ$69))+1,MOD(ROW(A687)-1,COLUMNS('Portfolio Weights Returns'!$B$9:$BJ$69))+1)</f>
        <v>-1.0209414088211976E-3</v>
      </c>
      <c r="B688">
        <v>1.7299999999999999E-2</v>
      </c>
      <c r="C688" s="59">
        <v>0.13</v>
      </c>
      <c r="D688" s="59">
        <v>0.23</v>
      </c>
      <c r="E688" s="60">
        <f t="shared" si="10"/>
        <v>0.64</v>
      </c>
      <c r="F688" t="str" cm="1">
        <f t="array" ref="F688">IF(A688=MAX(IF(ROUND($B$2:$B$3722,4)=ROUND(B688,4),$A$2:$A$3722)),"Efficient","Inefficient")</f>
        <v>Inefficient</v>
      </c>
    </row>
    <row r="689" spans="1:6" x14ac:dyDescent="0.25">
      <c r="A689" cm="1">
        <f t="array" ref="A689">INDEX('Portfolio Weights Returns'!$B$9:$BJ$69,
INT((ROW(A688)-1)/COLUMNS('Portfolio Weights Returns'!$B$9:$BJ$69))+1,MOD(ROW(A688)-1,COLUMNS('Portfolio Weights Returns'!$B$9:$BJ$69))+1)</f>
        <v>-1.0141602348545187E-3</v>
      </c>
      <c r="B689">
        <v>1.7299999999999999E-2</v>
      </c>
      <c r="C689" s="59">
        <v>0.14000000000000001</v>
      </c>
      <c r="D689" s="59">
        <v>0.24</v>
      </c>
      <c r="E689" s="60">
        <f t="shared" si="10"/>
        <v>0.62</v>
      </c>
      <c r="F689" t="str" cm="1">
        <f t="array" ref="F689">IF(A689=MAX(IF(ROUND($B$2:$B$3722,4)=ROUND(B689,4),$A$2:$A$3722)),"Efficient","Inefficient")</f>
        <v>Inefficient</v>
      </c>
    </row>
    <row r="690" spans="1:6" x14ac:dyDescent="0.25">
      <c r="A690" cm="1">
        <f t="array" ref="A690">INDEX('Portfolio Weights Returns'!$B$9:$BJ$69,
INT((ROW(A689)-1)/COLUMNS('Portfolio Weights Returns'!$B$9:$BJ$69))+1,MOD(ROW(A689)-1,COLUMNS('Portfolio Weights Returns'!$B$9:$BJ$69))+1)</f>
        <v>-1.0073790608878393E-3</v>
      </c>
      <c r="B690">
        <v>1.7299999999999999E-2</v>
      </c>
      <c r="C690" s="59">
        <v>0.15</v>
      </c>
      <c r="D690" s="59">
        <v>0.24</v>
      </c>
      <c r="E690" s="60">
        <f t="shared" si="10"/>
        <v>0.61</v>
      </c>
      <c r="F690" t="str" cm="1">
        <f t="array" ref="F690">IF(A690=MAX(IF(ROUND($B$2:$B$3722,4)=ROUND(B690,4),$A$2:$A$3722)),"Efficient","Inefficient")</f>
        <v>Inefficient</v>
      </c>
    </row>
    <row r="691" spans="1:6" x14ac:dyDescent="0.25">
      <c r="A691" cm="1">
        <f t="array" ref="A691">INDEX('Portfolio Weights Returns'!$B$9:$BJ$69,
INT((ROW(A690)-1)/COLUMNS('Portfolio Weights Returns'!$B$9:$BJ$69))+1,MOD(ROW(A690)-1,COLUMNS('Portfolio Weights Returns'!$B$9:$BJ$69))+1)</f>
        <v>-1.0005978869211602E-3</v>
      </c>
      <c r="B691">
        <v>1.7299999999999999E-2</v>
      </c>
      <c r="C691" s="59">
        <v>0.16</v>
      </c>
      <c r="D691" s="59">
        <v>0.25</v>
      </c>
      <c r="E691" s="60">
        <f t="shared" si="10"/>
        <v>0.59</v>
      </c>
      <c r="F691" t="str" cm="1">
        <f t="array" ref="F691">IF(A691=MAX(IF(ROUND($B$2:$B$3722,4)=ROUND(B691,4),$A$2:$A$3722)),"Efficient","Inefficient")</f>
        <v>Inefficient</v>
      </c>
    </row>
    <row r="692" spans="1:6" x14ac:dyDescent="0.25">
      <c r="A692" cm="1">
        <f t="array" ref="A692">INDEX('Portfolio Weights Returns'!$B$9:$BJ$69,
INT((ROW(A691)-1)/COLUMNS('Portfolio Weights Returns'!$B$9:$BJ$69))+1,MOD(ROW(A691)-1,COLUMNS('Portfolio Weights Returns'!$B$9:$BJ$69))+1)</f>
        <v>-9.9381671295448106E-4</v>
      </c>
      <c r="B692">
        <v>1.7299999999999999E-2</v>
      </c>
      <c r="C692" s="59">
        <v>0.18</v>
      </c>
      <c r="D692" s="59">
        <v>0.26</v>
      </c>
      <c r="E692" s="60">
        <f t="shared" si="10"/>
        <v>0.56000000000000005</v>
      </c>
      <c r="F692" t="str" cm="1">
        <f t="array" ref="F692">IF(A692=MAX(IF(ROUND($B$2:$B$3722,4)=ROUND(B692,4),$A$2:$A$3722)),"Efficient","Inefficient")</f>
        <v>Inefficient</v>
      </c>
    </row>
    <row r="693" spans="1:6" x14ac:dyDescent="0.25">
      <c r="A693" cm="1">
        <f t="array" ref="A693">INDEX('Portfolio Weights Returns'!$B$9:$BJ$69,
INT((ROW(A692)-1)/COLUMNS('Portfolio Weights Returns'!$B$9:$BJ$69))+1,MOD(ROW(A692)-1,COLUMNS('Portfolio Weights Returns'!$B$9:$BJ$69))+1)</f>
        <v>-9.8703553898780213E-4</v>
      </c>
      <c r="B693">
        <v>1.7299999999999999E-2</v>
      </c>
      <c r="C693" s="59">
        <v>0.19</v>
      </c>
      <c r="D693" s="59">
        <v>0.26</v>
      </c>
      <c r="E693" s="60">
        <f t="shared" si="10"/>
        <v>0.55000000000000004</v>
      </c>
      <c r="F693" t="str" cm="1">
        <f t="array" ref="F693">IF(A693=MAX(IF(ROUND($B$2:$B$3722,4)=ROUND(B693,4),$A$2:$A$3722)),"Efficient","Inefficient")</f>
        <v>Inefficient</v>
      </c>
    </row>
    <row r="694" spans="1:6" x14ac:dyDescent="0.25">
      <c r="A694" cm="1">
        <f t="array" ref="A694">INDEX('Portfolio Weights Returns'!$B$9:$BJ$69,
INT((ROW(A693)-1)/COLUMNS('Portfolio Weights Returns'!$B$9:$BJ$69))+1,MOD(ROW(A693)-1,COLUMNS('Portfolio Weights Returns'!$B$9:$BJ$69))+1)</f>
        <v>-9.8025436502112298E-4</v>
      </c>
      <c r="B694">
        <v>1.7299999999999999E-2</v>
      </c>
      <c r="C694" s="59">
        <v>0.2</v>
      </c>
      <c r="D694" s="59">
        <v>0.27</v>
      </c>
      <c r="E694" s="60">
        <f t="shared" si="10"/>
        <v>0.53</v>
      </c>
      <c r="F694" t="str" cm="1">
        <f t="array" ref="F694">IF(A694=MAX(IF(ROUND($B$2:$B$3722,4)=ROUND(B694,4),$A$2:$A$3722)),"Efficient","Inefficient")</f>
        <v>Inefficient</v>
      </c>
    </row>
    <row r="695" spans="1:6" x14ac:dyDescent="0.25">
      <c r="A695" cm="1">
        <f t="array" ref="A695">INDEX('Portfolio Weights Returns'!$B$9:$BJ$69,
INT((ROW(A694)-1)/COLUMNS('Portfolio Weights Returns'!$B$9:$BJ$69))+1,MOD(ROW(A694)-1,COLUMNS('Portfolio Weights Returns'!$B$9:$BJ$69))+1)</f>
        <v>-9.7347319105444384E-4</v>
      </c>
      <c r="B695">
        <v>1.7299999999999999E-2</v>
      </c>
      <c r="C695" s="59">
        <v>0.21</v>
      </c>
      <c r="D695" s="59">
        <v>0.27</v>
      </c>
      <c r="E695" s="60">
        <f t="shared" si="10"/>
        <v>0.52</v>
      </c>
      <c r="F695" t="str" cm="1">
        <f t="array" ref="F695">IF(A695=MAX(IF(ROUND($B$2:$B$3722,4)=ROUND(B695,4),$A$2:$A$3722)),"Efficient","Inefficient")</f>
        <v>Inefficient</v>
      </c>
    </row>
    <row r="696" spans="1:6" x14ac:dyDescent="0.25">
      <c r="A696" cm="1">
        <f t="array" ref="A696">INDEX('Portfolio Weights Returns'!$B$9:$BJ$69,
INT((ROW(A695)-1)/COLUMNS('Portfolio Weights Returns'!$B$9:$BJ$69))+1,MOD(ROW(A695)-1,COLUMNS('Portfolio Weights Returns'!$B$9:$BJ$69))+1)</f>
        <v>-9.666920170877648E-4</v>
      </c>
      <c r="B696">
        <v>1.7299999999999999E-2</v>
      </c>
      <c r="C696" s="59">
        <v>0.22</v>
      </c>
      <c r="D696" s="59">
        <v>0.27</v>
      </c>
      <c r="E696" s="60">
        <f t="shared" si="10"/>
        <v>0.51</v>
      </c>
      <c r="F696" t="str" cm="1">
        <f t="array" ref="F696">IF(A696=MAX(IF(ROUND($B$2:$B$3722,4)=ROUND(B696,4),$A$2:$A$3722)),"Efficient","Inefficient")</f>
        <v>Inefficient</v>
      </c>
    </row>
    <row r="697" spans="1:6" x14ac:dyDescent="0.25">
      <c r="A697" cm="1">
        <f t="array" ref="A697">INDEX('Portfolio Weights Returns'!$B$9:$BJ$69,
INT((ROW(A696)-1)/COLUMNS('Portfolio Weights Returns'!$B$9:$BJ$69))+1,MOD(ROW(A696)-1,COLUMNS('Portfolio Weights Returns'!$B$9:$BJ$69))+1)</f>
        <v>-9.5991084312108566E-4</v>
      </c>
      <c r="B697">
        <v>1.7299999999999999E-2</v>
      </c>
      <c r="C697" s="59">
        <v>0.24</v>
      </c>
      <c r="D697" s="59">
        <v>0.28000000000000003</v>
      </c>
      <c r="E697" s="60">
        <f t="shared" si="10"/>
        <v>0.48</v>
      </c>
      <c r="F697" t="str" cm="1">
        <f t="array" ref="F697">IF(A697=MAX(IF(ROUND($B$2:$B$3722,4)=ROUND(B697,4),$A$2:$A$3722)),"Efficient","Inefficient")</f>
        <v>Inefficient</v>
      </c>
    </row>
    <row r="698" spans="1:6" x14ac:dyDescent="0.25">
      <c r="A698" cm="1">
        <f t="array" ref="A698">INDEX('Portfolio Weights Returns'!$B$9:$BJ$69,
INT((ROW(A697)-1)/COLUMNS('Portfolio Weights Returns'!$B$9:$BJ$69))+1,MOD(ROW(A697)-1,COLUMNS('Portfolio Weights Returns'!$B$9:$BJ$69))+1)</f>
        <v>-9.5312966915440662E-4</v>
      </c>
      <c r="B698">
        <v>1.7299999999999999E-2</v>
      </c>
      <c r="C698" s="59">
        <v>0.25</v>
      </c>
      <c r="D698" s="59">
        <v>0.28000000000000003</v>
      </c>
      <c r="E698" s="60">
        <f t="shared" si="10"/>
        <v>0.47</v>
      </c>
      <c r="F698" t="str" cm="1">
        <f t="array" ref="F698">IF(A698=MAX(IF(ROUND($B$2:$B$3722,4)=ROUND(B698,4),$A$2:$A$3722)),"Efficient","Inefficient")</f>
        <v>Inefficient</v>
      </c>
    </row>
    <row r="699" spans="1:6" x14ac:dyDescent="0.25">
      <c r="A699" cm="1">
        <f t="array" ref="A699">INDEX('Portfolio Weights Returns'!$B$9:$BJ$69,
INT((ROW(A698)-1)/COLUMNS('Portfolio Weights Returns'!$B$9:$BJ$69))+1,MOD(ROW(A698)-1,COLUMNS('Portfolio Weights Returns'!$B$9:$BJ$69))+1)</f>
        <v>-9.4634849518772748E-4</v>
      </c>
      <c r="B699">
        <v>1.7299999999999999E-2</v>
      </c>
      <c r="C699" s="59">
        <v>0.26</v>
      </c>
      <c r="D699" s="59">
        <v>0.28000000000000003</v>
      </c>
      <c r="E699" s="60">
        <f t="shared" si="10"/>
        <v>0.45999999999999996</v>
      </c>
      <c r="F699" t="str" cm="1">
        <f t="array" ref="F699">IF(A699=MAX(IF(ROUND($B$2:$B$3722,4)=ROUND(B699,4),$A$2:$A$3722)),"Efficient","Inefficient")</f>
        <v>Inefficient</v>
      </c>
    </row>
    <row r="700" spans="1:6" x14ac:dyDescent="0.25">
      <c r="A700" cm="1">
        <f t="array" ref="A700">INDEX('Portfolio Weights Returns'!$B$9:$BJ$69,
INT((ROW(A699)-1)/COLUMNS('Portfolio Weights Returns'!$B$9:$BJ$69))+1,MOD(ROW(A699)-1,COLUMNS('Portfolio Weights Returns'!$B$9:$BJ$69))+1)</f>
        <v>-9.3956732122104833E-4</v>
      </c>
      <c r="B700">
        <v>1.7399999999999999E-2</v>
      </c>
      <c r="C700" s="59">
        <v>0.28999999999999998</v>
      </c>
      <c r="D700" s="59">
        <v>-0.14000000000000001</v>
      </c>
      <c r="E700" s="60">
        <f t="shared" si="10"/>
        <v>0.85000000000000009</v>
      </c>
      <c r="F700" t="str" cm="1">
        <f t="array" ref="F700">IF(A700=MAX(IF(ROUND($B$2:$B$3722,4)=ROUND(B700,4),$A$2:$A$3722)),"Efficient","Inefficient")</f>
        <v>Inefficient</v>
      </c>
    </row>
    <row r="701" spans="1:6" x14ac:dyDescent="0.25">
      <c r="A701" cm="1">
        <f t="array" ref="A701">INDEX('Portfolio Weights Returns'!$B$9:$BJ$69,
INT((ROW(A700)-1)/COLUMNS('Portfolio Weights Returns'!$B$9:$BJ$69))+1,MOD(ROW(A700)-1,COLUMNS('Portfolio Weights Returns'!$B$9:$BJ$69))+1)</f>
        <v>-9.3278614725436919E-4</v>
      </c>
      <c r="B701">
        <v>1.7399999999999999E-2</v>
      </c>
      <c r="C701" s="59">
        <v>0.28000000000000003</v>
      </c>
      <c r="D701" s="59">
        <v>-0.13</v>
      </c>
      <c r="E701" s="60">
        <f t="shared" si="10"/>
        <v>0.84999999999999987</v>
      </c>
      <c r="F701" t="str" cm="1">
        <f t="array" ref="F701">IF(A701=MAX(IF(ROUND($B$2:$B$3722,4)=ROUND(B701,4),$A$2:$A$3722)),"Efficient","Inefficient")</f>
        <v>Inefficient</v>
      </c>
    </row>
    <row r="702" spans="1:6" x14ac:dyDescent="0.25">
      <c r="A702" cm="1">
        <f t="array" ref="A702">INDEX('Portfolio Weights Returns'!$B$9:$BJ$69,
INT((ROW(A701)-1)/COLUMNS('Portfolio Weights Returns'!$B$9:$BJ$69))+1,MOD(ROW(A701)-1,COLUMNS('Portfolio Weights Returns'!$B$9:$BJ$69))+1)</f>
        <v>-9.2600497328769005E-4</v>
      </c>
      <c r="B702">
        <v>1.7399999999999999E-2</v>
      </c>
      <c r="C702" s="59">
        <v>0.26</v>
      </c>
      <c r="D702" s="59">
        <v>-0.12</v>
      </c>
      <c r="E702" s="60">
        <f t="shared" si="10"/>
        <v>0.8600000000000001</v>
      </c>
      <c r="F702" t="str" cm="1">
        <f t="array" ref="F702">IF(A702=MAX(IF(ROUND($B$2:$B$3722,4)=ROUND(B702,4),$A$2:$A$3722)),"Efficient","Inefficient")</f>
        <v>Inefficient</v>
      </c>
    </row>
    <row r="703" spans="1:6" x14ac:dyDescent="0.25">
      <c r="A703" cm="1">
        <f t="array" ref="A703">INDEX('Portfolio Weights Returns'!$B$9:$BJ$69,
INT((ROW(A702)-1)/COLUMNS('Portfolio Weights Returns'!$B$9:$BJ$69))+1,MOD(ROW(A702)-1,COLUMNS('Portfolio Weights Returns'!$B$9:$BJ$69))+1)</f>
        <v>-9.1922379932101101E-4</v>
      </c>
      <c r="B703">
        <v>1.7399999999999999E-2</v>
      </c>
      <c r="C703" s="59">
        <v>0.25</v>
      </c>
      <c r="D703" s="59">
        <v>-0.11</v>
      </c>
      <c r="E703" s="60">
        <f t="shared" si="10"/>
        <v>0.8600000000000001</v>
      </c>
      <c r="F703" t="str" cm="1">
        <f t="array" ref="F703">IF(A703=MAX(IF(ROUND($B$2:$B$3722,4)=ROUND(B703,4),$A$2:$A$3722)),"Efficient","Inefficient")</f>
        <v>Inefficient</v>
      </c>
    </row>
    <row r="704" spans="1:6" x14ac:dyDescent="0.25">
      <c r="A704" cm="1">
        <f t="array" ref="A704">INDEX('Portfolio Weights Returns'!$B$9:$BJ$69,
INT((ROW(A703)-1)/COLUMNS('Portfolio Weights Returns'!$B$9:$BJ$69))+1,MOD(ROW(A703)-1,COLUMNS('Portfolio Weights Returns'!$B$9:$BJ$69))+1)</f>
        <v>-9.1244262535433187E-4</v>
      </c>
      <c r="B704">
        <v>1.7399999999999999E-2</v>
      </c>
      <c r="C704" s="59">
        <v>0.22</v>
      </c>
      <c r="D704" s="59">
        <v>-0.09</v>
      </c>
      <c r="E704" s="60">
        <f t="shared" si="10"/>
        <v>0.87000000000000011</v>
      </c>
      <c r="F704" t="str" cm="1">
        <f t="array" ref="F704">IF(A704=MAX(IF(ROUND($B$2:$B$3722,4)=ROUND(B704,4),$A$2:$A$3722)),"Efficient","Inefficient")</f>
        <v>Inefficient</v>
      </c>
    </row>
    <row r="705" spans="1:6" x14ac:dyDescent="0.25">
      <c r="A705" cm="1">
        <f t="array" ref="A705">INDEX('Portfolio Weights Returns'!$B$9:$BJ$69,
INT((ROW(A704)-1)/COLUMNS('Portfolio Weights Returns'!$B$9:$BJ$69))+1,MOD(ROW(A704)-1,COLUMNS('Portfolio Weights Returns'!$B$9:$BJ$69))+1)</f>
        <v>-9.0566145138765283E-4</v>
      </c>
      <c r="B705">
        <v>1.7399999999999999E-2</v>
      </c>
      <c r="C705" s="59">
        <v>0.21</v>
      </c>
      <c r="D705" s="59">
        <v>-0.08</v>
      </c>
      <c r="E705" s="60">
        <f t="shared" si="10"/>
        <v>0.87000000000000011</v>
      </c>
      <c r="F705" t="str" cm="1">
        <f t="array" ref="F705">IF(A705=MAX(IF(ROUND($B$2:$B$3722,4)=ROUND(B705,4),$A$2:$A$3722)),"Efficient","Inefficient")</f>
        <v>Inefficient</v>
      </c>
    </row>
    <row r="706" spans="1:6" x14ac:dyDescent="0.25">
      <c r="A706" cm="1">
        <f t="array" ref="A706">INDEX('Portfolio Weights Returns'!$B$9:$BJ$69,
INT((ROW(A705)-1)/COLUMNS('Portfolio Weights Returns'!$B$9:$BJ$69))+1,MOD(ROW(A705)-1,COLUMNS('Portfolio Weights Returns'!$B$9:$BJ$69))+1)</f>
        <v>-8.9888027742097368E-4</v>
      </c>
      <c r="B706">
        <v>1.7399999999999999E-2</v>
      </c>
      <c r="C706" s="59">
        <v>0.2</v>
      </c>
      <c r="D706" s="59">
        <v>-7.0000000000000007E-2</v>
      </c>
      <c r="E706" s="60">
        <f t="shared" ref="E706:E769" si="11">1-D706-C706</f>
        <v>0.87000000000000011</v>
      </c>
      <c r="F706" t="str" cm="1">
        <f t="array" ref="F706">IF(A706=MAX(IF(ROUND($B$2:$B$3722,4)=ROUND(B706,4),$A$2:$A$3722)),"Efficient","Inefficient")</f>
        <v>Inefficient</v>
      </c>
    </row>
    <row r="707" spans="1:6" x14ac:dyDescent="0.25">
      <c r="A707" cm="1">
        <f t="array" ref="A707">INDEX('Portfolio Weights Returns'!$B$9:$BJ$69,
INT((ROW(A706)-1)/COLUMNS('Portfolio Weights Returns'!$B$9:$BJ$69))+1,MOD(ROW(A706)-1,COLUMNS('Portfolio Weights Returns'!$B$9:$BJ$69))+1)</f>
        <v>-8.9209910345429465E-4</v>
      </c>
      <c r="B707">
        <v>1.7399999999999999E-2</v>
      </c>
      <c r="C707" s="59">
        <v>0.14000000000000001</v>
      </c>
      <c r="D707" s="59">
        <v>-0.01</v>
      </c>
      <c r="E707" s="60">
        <f t="shared" si="11"/>
        <v>0.87</v>
      </c>
      <c r="F707" t="str" cm="1">
        <f t="array" ref="F707">IF(A707=MAX(IF(ROUND($B$2:$B$3722,4)=ROUND(B707,4),$A$2:$A$3722)),"Efficient","Inefficient")</f>
        <v>Inefficient</v>
      </c>
    </row>
    <row r="708" spans="1:6" x14ac:dyDescent="0.25">
      <c r="A708" cm="1">
        <f t="array" ref="A708">INDEX('Portfolio Weights Returns'!$B$9:$BJ$69,
INT((ROW(A707)-1)/COLUMNS('Portfolio Weights Returns'!$B$9:$BJ$69))+1,MOD(ROW(A707)-1,COLUMNS('Portfolio Weights Returns'!$B$9:$BJ$69))+1)</f>
        <v>-8.853179294876154E-4</v>
      </c>
      <c r="B708">
        <v>1.7399999999999999E-2</v>
      </c>
      <c r="C708" s="59">
        <v>0.13</v>
      </c>
      <c r="D708" s="59">
        <v>0</v>
      </c>
      <c r="E708" s="60">
        <f t="shared" si="11"/>
        <v>0.87</v>
      </c>
      <c r="F708" t="str" cm="1">
        <f t="array" ref="F708">IF(A708=MAX(IF(ROUND($B$2:$B$3722,4)=ROUND(B708,4),$A$2:$A$3722)),"Efficient","Inefficient")</f>
        <v>Inefficient</v>
      </c>
    </row>
    <row r="709" spans="1:6" x14ac:dyDescent="0.25">
      <c r="A709" cm="1">
        <f t="array" ref="A709">INDEX('Portfolio Weights Returns'!$B$9:$BJ$69,
INT((ROW(A708)-1)/COLUMNS('Portfolio Weights Returns'!$B$9:$BJ$69))+1,MOD(ROW(A708)-1,COLUMNS('Portfolio Weights Returns'!$B$9:$BJ$69))+1)</f>
        <v>-8.7853675552093625E-4</v>
      </c>
      <c r="B709">
        <v>1.7399999999999999E-2</v>
      </c>
      <c r="C709" s="59">
        <v>0.12</v>
      </c>
      <c r="D709" s="59">
        <v>0.01</v>
      </c>
      <c r="E709" s="60">
        <f t="shared" si="11"/>
        <v>0.87</v>
      </c>
      <c r="F709" t="str" cm="1">
        <f t="array" ref="F709">IF(A709=MAX(IF(ROUND($B$2:$B$3722,4)=ROUND(B709,4),$A$2:$A$3722)),"Efficient","Inefficient")</f>
        <v>Inefficient</v>
      </c>
    </row>
    <row r="710" spans="1:6" x14ac:dyDescent="0.25">
      <c r="A710" cm="1">
        <f t="array" ref="A710">INDEX('Portfolio Weights Returns'!$B$9:$BJ$69,
INT((ROW(A709)-1)/COLUMNS('Portfolio Weights Returns'!$B$9:$BJ$69))+1,MOD(ROW(A709)-1,COLUMNS('Portfolio Weights Returns'!$B$9:$BJ$69))+1)</f>
        <v>-8.7175558155425722E-4</v>
      </c>
      <c r="B710">
        <v>1.7399999999999999E-2</v>
      </c>
      <c r="C710" s="59">
        <v>0.11</v>
      </c>
      <c r="D710" s="59">
        <v>0.02</v>
      </c>
      <c r="E710" s="60">
        <f t="shared" si="11"/>
        <v>0.87</v>
      </c>
      <c r="F710" t="str" cm="1">
        <f t="array" ref="F710">IF(A710=MAX(IF(ROUND($B$2:$B$3722,4)=ROUND(B710,4),$A$2:$A$3722)),"Efficient","Inefficient")</f>
        <v>Inefficient</v>
      </c>
    </row>
    <row r="711" spans="1:6" x14ac:dyDescent="0.25">
      <c r="A711" cm="1">
        <f t="array" ref="A711">INDEX('Portfolio Weights Returns'!$B$9:$BJ$69,
INT((ROW(A710)-1)/COLUMNS('Portfolio Weights Returns'!$B$9:$BJ$69))+1,MOD(ROW(A710)-1,COLUMNS('Portfolio Weights Returns'!$B$9:$BJ$69))+1)</f>
        <v>-8.6497440758757829E-4</v>
      </c>
      <c r="B711">
        <v>1.7399999999999999E-2</v>
      </c>
      <c r="C711" s="59">
        <v>0.11</v>
      </c>
      <c r="D711" s="59">
        <v>0.03</v>
      </c>
      <c r="E711" s="60">
        <f t="shared" si="11"/>
        <v>0.86</v>
      </c>
      <c r="F711" t="str" cm="1">
        <f t="array" ref="F711">IF(A711=MAX(IF(ROUND($B$2:$B$3722,4)=ROUND(B711,4),$A$2:$A$3722)),"Efficient","Inefficient")</f>
        <v>Inefficient</v>
      </c>
    </row>
    <row r="712" spans="1:6" x14ac:dyDescent="0.25">
      <c r="A712" cm="1">
        <f t="array" ref="A712">INDEX('Portfolio Weights Returns'!$B$9:$BJ$69,
INT((ROW(A711)-1)/COLUMNS('Portfolio Weights Returns'!$B$9:$BJ$69))+1,MOD(ROW(A711)-1,COLUMNS('Portfolio Weights Returns'!$B$9:$BJ$69))+1)</f>
        <v>-8.5819323362089914E-4</v>
      </c>
      <c r="B712">
        <v>1.7399999999999999E-2</v>
      </c>
      <c r="C712" s="59">
        <v>0.1</v>
      </c>
      <c r="D712" s="59">
        <v>0.04</v>
      </c>
      <c r="E712" s="60">
        <f t="shared" si="11"/>
        <v>0.86</v>
      </c>
      <c r="F712" t="str" cm="1">
        <f t="array" ref="F712">IF(A712=MAX(IF(ROUND($B$2:$B$3722,4)=ROUND(B712,4),$A$2:$A$3722)),"Efficient","Inefficient")</f>
        <v>Inefficient</v>
      </c>
    </row>
    <row r="713" spans="1:6" x14ac:dyDescent="0.25">
      <c r="A713" cm="1">
        <f t="array" ref="A713">INDEX('Portfolio Weights Returns'!$B$9:$BJ$69,
INT((ROW(A712)-1)/COLUMNS('Portfolio Weights Returns'!$B$9:$BJ$69))+1,MOD(ROW(A712)-1,COLUMNS('Portfolio Weights Returns'!$B$9:$BJ$69))+1)</f>
        <v>-8.5141205965422E-4</v>
      </c>
      <c r="B713">
        <v>1.7399999999999999E-2</v>
      </c>
      <c r="C713" s="59">
        <v>0.09</v>
      </c>
      <c r="D713" s="59">
        <v>0.06</v>
      </c>
      <c r="E713" s="60">
        <f t="shared" si="11"/>
        <v>0.85</v>
      </c>
      <c r="F713" t="str" cm="1">
        <f t="array" ref="F713">IF(A713=MAX(IF(ROUND($B$2:$B$3722,4)=ROUND(B713,4),$A$2:$A$3722)),"Efficient","Inefficient")</f>
        <v>Inefficient</v>
      </c>
    </row>
    <row r="714" spans="1:6" x14ac:dyDescent="0.25">
      <c r="A714" cm="1">
        <f t="array" ref="A714">INDEX('Portfolio Weights Returns'!$B$9:$BJ$69,
INT((ROW(A713)-1)/COLUMNS('Portfolio Weights Returns'!$B$9:$BJ$69))+1,MOD(ROW(A713)-1,COLUMNS('Portfolio Weights Returns'!$B$9:$BJ$69))+1)</f>
        <v>-8.4463088568754096E-4</v>
      </c>
      <c r="B714">
        <v>1.7399999999999999E-2</v>
      </c>
      <c r="C714" s="59">
        <v>0.09</v>
      </c>
      <c r="D714" s="59">
        <v>7.0000000000000007E-2</v>
      </c>
      <c r="E714" s="60">
        <f t="shared" si="11"/>
        <v>0.84</v>
      </c>
      <c r="F714" t="str" cm="1">
        <f t="array" ref="F714">IF(A714=MAX(IF(ROUND($B$2:$B$3722,4)=ROUND(B714,4),$A$2:$A$3722)),"Efficient","Inefficient")</f>
        <v>Inefficient</v>
      </c>
    </row>
    <row r="715" spans="1:6" x14ac:dyDescent="0.25">
      <c r="A715" cm="1">
        <f t="array" ref="A715">INDEX('Portfolio Weights Returns'!$B$9:$BJ$69,
INT((ROW(A714)-1)/COLUMNS('Portfolio Weights Returns'!$B$9:$BJ$69))+1,MOD(ROW(A714)-1,COLUMNS('Portfolio Weights Returns'!$B$9:$BJ$69))+1)</f>
        <v>-8.3784971172086182E-4</v>
      </c>
      <c r="B715">
        <v>1.7399999999999999E-2</v>
      </c>
      <c r="C715" s="59">
        <v>0.08</v>
      </c>
      <c r="D715" s="59">
        <v>0.08</v>
      </c>
      <c r="E715" s="60">
        <f t="shared" si="11"/>
        <v>0.84000000000000008</v>
      </c>
      <c r="F715" t="str" cm="1">
        <f t="array" ref="F715">IF(A715=MAX(IF(ROUND($B$2:$B$3722,4)=ROUND(B715,4),$A$2:$A$3722)),"Efficient","Inefficient")</f>
        <v>Inefficient</v>
      </c>
    </row>
    <row r="716" spans="1:6" x14ac:dyDescent="0.25">
      <c r="A716" cm="1">
        <f t="array" ref="A716">INDEX('Portfolio Weights Returns'!$B$9:$BJ$69,
INT((ROW(A715)-1)/COLUMNS('Portfolio Weights Returns'!$B$9:$BJ$69))+1,MOD(ROW(A715)-1,COLUMNS('Portfolio Weights Returns'!$B$9:$BJ$69))+1)</f>
        <v>-8.3106853775418278E-4</v>
      </c>
      <c r="B716">
        <v>1.7399999999999999E-2</v>
      </c>
      <c r="C716" s="59">
        <v>0.08</v>
      </c>
      <c r="D716" s="59">
        <v>0.09</v>
      </c>
      <c r="E716" s="60">
        <f t="shared" si="11"/>
        <v>0.83000000000000007</v>
      </c>
      <c r="F716" t="str" cm="1">
        <f t="array" ref="F716">IF(A716=MAX(IF(ROUND($B$2:$B$3722,4)=ROUND(B716,4),$A$2:$A$3722)),"Efficient","Inefficient")</f>
        <v>Inefficient</v>
      </c>
    </row>
    <row r="717" spans="1:6" x14ac:dyDescent="0.25">
      <c r="A717" cm="1">
        <f t="array" ref="A717">INDEX('Portfolio Weights Returns'!$B$9:$BJ$69,
INT((ROW(A716)-1)/COLUMNS('Portfolio Weights Returns'!$B$9:$BJ$69))+1,MOD(ROW(A716)-1,COLUMNS('Portfolio Weights Returns'!$B$9:$BJ$69))+1)</f>
        <v>-8.2428736378750364E-4</v>
      </c>
      <c r="B717">
        <v>1.7399999999999999E-2</v>
      </c>
      <c r="C717" s="59">
        <v>0.08</v>
      </c>
      <c r="D717" s="59">
        <v>0.1</v>
      </c>
      <c r="E717" s="60">
        <f t="shared" si="11"/>
        <v>0.82000000000000006</v>
      </c>
      <c r="F717" t="str" cm="1">
        <f t="array" ref="F717">IF(A717=MAX(IF(ROUND($B$2:$B$3722,4)=ROUND(B717,4),$A$2:$A$3722)),"Efficient","Inefficient")</f>
        <v>Inefficient</v>
      </c>
    </row>
    <row r="718" spans="1:6" x14ac:dyDescent="0.25">
      <c r="A718" cm="1">
        <f t="array" ref="A718">INDEX('Portfolio Weights Returns'!$B$9:$BJ$69,
INT((ROW(A717)-1)/COLUMNS('Portfolio Weights Returns'!$B$9:$BJ$69))+1,MOD(ROW(A717)-1,COLUMNS('Portfolio Weights Returns'!$B$9:$BJ$69))+1)</f>
        <v>-8.175061898208246E-4</v>
      </c>
      <c r="B718">
        <v>1.7399999999999999E-2</v>
      </c>
      <c r="C718" s="59">
        <v>7.0000000000000007E-2</v>
      </c>
      <c r="D718" s="59">
        <v>0.11</v>
      </c>
      <c r="E718" s="60">
        <f t="shared" si="11"/>
        <v>0.82000000000000006</v>
      </c>
      <c r="F718" t="str" cm="1">
        <f t="array" ref="F718">IF(A718=MAX(IF(ROUND($B$2:$B$3722,4)=ROUND(B718,4),$A$2:$A$3722)),"Efficient","Inefficient")</f>
        <v>Inefficient</v>
      </c>
    </row>
    <row r="719" spans="1:6" x14ac:dyDescent="0.25">
      <c r="A719" cm="1">
        <f t="array" ref="A719">INDEX('Portfolio Weights Returns'!$B$9:$BJ$69,
INT((ROW(A718)-1)/COLUMNS('Portfolio Weights Returns'!$B$9:$BJ$69))+1,MOD(ROW(A718)-1,COLUMNS('Portfolio Weights Returns'!$B$9:$BJ$69))+1)</f>
        <v>-8.1072501585414535E-4</v>
      </c>
      <c r="B719">
        <v>1.7399999999999999E-2</v>
      </c>
      <c r="C719" s="59">
        <v>7.0000000000000007E-2</v>
      </c>
      <c r="D719" s="59">
        <v>0.12</v>
      </c>
      <c r="E719" s="60">
        <f t="shared" si="11"/>
        <v>0.81</v>
      </c>
      <c r="F719" t="str" cm="1">
        <f t="array" ref="F719">IF(A719=MAX(IF(ROUND($B$2:$B$3722,4)=ROUND(B719,4),$A$2:$A$3722)),"Efficient","Inefficient")</f>
        <v>Inefficient</v>
      </c>
    </row>
    <row r="720" spans="1:6" x14ac:dyDescent="0.25">
      <c r="A720" cm="1">
        <f t="array" ref="A720">INDEX('Portfolio Weights Returns'!$B$9:$BJ$69,
INT((ROW(A719)-1)/COLUMNS('Portfolio Weights Returns'!$B$9:$BJ$69))+1,MOD(ROW(A719)-1,COLUMNS('Portfolio Weights Returns'!$B$9:$BJ$69))+1)</f>
        <v>-8.039438418874662E-4</v>
      </c>
      <c r="B720">
        <v>1.7399999999999999E-2</v>
      </c>
      <c r="C720" s="59">
        <v>7.0000000000000007E-2</v>
      </c>
      <c r="D720" s="59">
        <v>0.13</v>
      </c>
      <c r="E720" s="60">
        <f t="shared" si="11"/>
        <v>0.8</v>
      </c>
      <c r="F720" t="str" cm="1">
        <f t="array" ref="F720">IF(A720=MAX(IF(ROUND($B$2:$B$3722,4)=ROUND(B720,4),$A$2:$A$3722)),"Efficient","Inefficient")</f>
        <v>Inefficient</v>
      </c>
    </row>
    <row r="721" spans="1:6" x14ac:dyDescent="0.25">
      <c r="A721" cm="1">
        <f t="array" ref="A721">INDEX('Portfolio Weights Returns'!$B$9:$BJ$69,
INT((ROW(A720)-1)/COLUMNS('Portfolio Weights Returns'!$B$9:$BJ$69))+1,MOD(ROW(A720)-1,COLUMNS('Portfolio Weights Returns'!$B$9:$BJ$69))+1)</f>
        <v>-7.9716266792078717E-4</v>
      </c>
      <c r="B721">
        <v>1.7399999999999999E-2</v>
      </c>
      <c r="C721" s="59">
        <v>7.0000000000000007E-2</v>
      </c>
      <c r="D721" s="59">
        <v>0.14000000000000001</v>
      </c>
      <c r="E721" s="60">
        <f t="shared" si="11"/>
        <v>0.79</v>
      </c>
      <c r="F721" t="str" cm="1">
        <f t="array" ref="F721">IF(A721=MAX(IF(ROUND($B$2:$B$3722,4)=ROUND(B721,4),$A$2:$A$3722)),"Efficient","Inefficient")</f>
        <v>Inefficient</v>
      </c>
    </row>
    <row r="722" spans="1:6" x14ac:dyDescent="0.25">
      <c r="A722" cm="1">
        <f t="array" ref="A722">INDEX('Portfolio Weights Returns'!$B$9:$BJ$69,
INT((ROW(A721)-1)/COLUMNS('Portfolio Weights Returns'!$B$9:$BJ$69))+1,MOD(ROW(A721)-1,COLUMNS('Portfolio Weights Returns'!$B$9:$BJ$69))+1)</f>
        <v>-7.9038149395410802E-4</v>
      </c>
      <c r="B722">
        <v>1.7399999999999999E-2</v>
      </c>
      <c r="C722" s="59">
        <v>7.0000000000000007E-2</v>
      </c>
      <c r="D722" s="59">
        <v>0.15</v>
      </c>
      <c r="E722" s="60">
        <f t="shared" si="11"/>
        <v>0.78</v>
      </c>
      <c r="F722" t="str" cm="1">
        <f t="array" ref="F722">IF(A722=MAX(IF(ROUND($B$2:$B$3722,4)=ROUND(B722,4),$A$2:$A$3722)),"Efficient","Inefficient")</f>
        <v>Inefficient</v>
      </c>
    </row>
    <row r="723" spans="1:6" x14ac:dyDescent="0.25">
      <c r="A723" cm="1">
        <f t="array" ref="A723">INDEX('Portfolio Weights Returns'!$B$9:$BJ$69,
INT((ROW(A722)-1)/COLUMNS('Portfolio Weights Returns'!$B$9:$BJ$69))+1,MOD(ROW(A722)-1,COLUMNS('Portfolio Weights Returns'!$B$9:$BJ$69))+1)</f>
        <v>-7.8360031998742899E-4</v>
      </c>
      <c r="B723">
        <v>1.7399999999999999E-2</v>
      </c>
      <c r="C723" s="59">
        <v>7.0000000000000007E-2</v>
      </c>
      <c r="D723" s="59">
        <v>0.16</v>
      </c>
      <c r="E723" s="60">
        <f t="shared" si="11"/>
        <v>0.77</v>
      </c>
      <c r="F723" t="str" cm="1">
        <f t="array" ref="F723">IF(A723=MAX(IF(ROUND($B$2:$B$3722,4)=ROUND(B723,4),$A$2:$A$3722)),"Efficient","Inefficient")</f>
        <v>Inefficient</v>
      </c>
    </row>
    <row r="724" spans="1:6" x14ac:dyDescent="0.25">
      <c r="A724" cm="1">
        <f t="array" ref="A724">INDEX('Portfolio Weights Returns'!$B$9:$BJ$69,
INT((ROW(A723)-1)/COLUMNS('Portfolio Weights Returns'!$B$9:$BJ$69))+1,MOD(ROW(A723)-1,COLUMNS('Portfolio Weights Returns'!$B$9:$BJ$69))+1)</f>
        <v>-7.7681914602074984E-4</v>
      </c>
      <c r="B724">
        <v>1.7399999999999999E-2</v>
      </c>
      <c r="C724" s="59">
        <v>0.08</v>
      </c>
      <c r="D724" s="59">
        <v>0.17</v>
      </c>
      <c r="E724" s="60">
        <f t="shared" si="11"/>
        <v>0.75</v>
      </c>
      <c r="F724" t="str" cm="1">
        <f t="array" ref="F724">IF(A724=MAX(IF(ROUND($B$2:$B$3722,4)=ROUND(B724,4),$A$2:$A$3722)),"Efficient","Inefficient")</f>
        <v>Inefficient</v>
      </c>
    </row>
    <row r="725" spans="1:6" x14ac:dyDescent="0.25">
      <c r="A725" cm="1">
        <f t="array" ref="A725">INDEX('Portfolio Weights Returns'!$B$9:$BJ$69,
INT((ROW(A724)-1)/COLUMNS('Portfolio Weights Returns'!$B$9:$BJ$69))+1,MOD(ROW(A724)-1,COLUMNS('Portfolio Weights Returns'!$B$9:$BJ$69))+1)</f>
        <v>-7.7003797205407081E-4</v>
      </c>
      <c r="B725">
        <v>1.7399999999999999E-2</v>
      </c>
      <c r="C725" s="59">
        <v>0.08</v>
      </c>
      <c r="D725" s="59">
        <v>0.18</v>
      </c>
      <c r="E725" s="60">
        <f t="shared" si="11"/>
        <v>0.7400000000000001</v>
      </c>
      <c r="F725" t="str" cm="1">
        <f t="array" ref="F725">IF(A725=MAX(IF(ROUND($B$2:$B$3722,4)=ROUND(B725,4),$A$2:$A$3722)),"Efficient","Inefficient")</f>
        <v>Inefficient</v>
      </c>
    </row>
    <row r="726" spans="1:6" x14ac:dyDescent="0.25">
      <c r="A726" cm="1">
        <f t="array" ref="A726">INDEX('Portfolio Weights Returns'!$B$9:$BJ$69,
INT((ROW(A725)-1)/COLUMNS('Portfolio Weights Returns'!$B$9:$BJ$69))+1,MOD(ROW(A725)-1,COLUMNS('Portfolio Weights Returns'!$B$9:$BJ$69))+1)</f>
        <v>-7.6325679808739156E-4</v>
      </c>
      <c r="B726">
        <v>1.7399999999999999E-2</v>
      </c>
      <c r="C726" s="59">
        <v>0.08</v>
      </c>
      <c r="D726" s="59">
        <v>0.19</v>
      </c>
      <c r="E726" s="60">
        <f t="shared" si="11"/>
        <v>0.73000000000000009</v>
      </c>
      <c r="F726" t="str" cm="1">
        <f t="array" ref="F726">IF(A726=MAX(IF(ROUND($B$2:$B$3722,4)=ROUND(B726,4),$A$2:$A$3722)),"Efficient","Inefficient")</f>
        <v>Inefficient</v>
      </c>
    </row>
    <row r="727" spans="1:6" x14ac:dyDescent="0.25">
      <c r="A727" cm="1">
        <f t="array" ref="A727">INDEX('Portfolio Weights Returns'!$B$9:$BJ$69,
INT((ROW(A726)-1)/COLUMNS('Portfolio Weights Returns'!$B$9:$BJ$69))+1,MOD(ROW(A726)-1,COLUMNS('Portfolio Weights Returns'!$B$9:$BJ$69))+1)</f>
        <v>-7.5647562412071252E-4</v>
      </c>
      <c r="B727">
        <v>1.7399999999999999E-2</v>
      </c>
      <c r="C727" s="59">
        <v>0.09</v>
      </c>
      <c r="D727" s="59">
        <v>0.19</v>
      </c>
      <c r="E727" s="60">
        <f t="shared" si="11"/>
        <v>0.72000000000000008</v>
      </c>
      <c r="F727" t="str" cm="1">
        <f t="array" ref="F727">IF(A727=MAX(IF(ROUND($B$2:$B$3722,4)=ROUND(B727,4),$A$2:$A$3722)),"Efficient","Inefficient")</f>
        <v>Inefficient</v>
      </c>
    </row>
    <row r="728" spans="1:6" x14ac:dyDescent="0.25">
      <c r="A728" cm="1">
        <f t="array" ref="A728">INDEX('Portfolio Weights Returns'!$B$9:$BJ$69,
INT((ROW(A727)-1)/COLUMNS('Portfolio Weights Returns'!$B$9:$BJ$69))+1,MOD(ROW(A727)-1,COLUMNS('Portfolio Weights Returns'!$B$9:$BJ$69))+1)</f>
        <v>-7.4969445015403337E-4</v>
      </c>
      <c r="B728">
        <v>1.7399999999999999E-2</v>
      </c>
      <c r="C728" s="59">
        <v>0.09</v>
      </c>
      <c r="D728" s="59">
        <v>0.2</v>
      </c>
      <c r="E728" s="60">
        <f t="shared" si="11"/>
        <v>0.71000000000000008</v>
      </c>
      <c r="F728" t="str" cm="1">
        <f t="array" ref="F728">IF(A728=MAX(IF(ROUND($B$2:$B$3722,4)=ROUND(B728,4),$A$2:$A$3722)),"Efficient","Inefficient")</f>
        <v>Inefficient</v>
      </c>
    </row>
    <row r="729" spans="1:6" x14ac:dyDescent="0.25">
      <c r="A729" cm="1">
        <f t="array" ref="A729">INDEX('Portfolio Weights Returns'!$B$9:$BJ$69,
INT((ROW(A728)-1)/COLUMNS('Portfolio Weights Returns'!$B$9:$BJ$69))+1,MOD(ROW(A728)-1,COLUMNS('Portfolio Weights Returns'!$B$9:$BJ$69))+1)</f>
        <v>-7.4291327618735423E-4</v>
      </c>
      <c r="B729">
        <v>1.7399999999999999E-2</v>
      </c>
      <c r="C729" s="59">
        <v>0.1</v>
      </c>
      <c r="D729" s="59">
        <v>0.21</v>
      </c>
      <c r="E729" s="60">
        <f t="shared" si="11"/>
        <v>0.69000000000000006</v>
      </c>
      <c r="F729" t="str" cm="1">
        <f t="array" ref="F729">IF(A729=MAX(IF(ROUND($B$2:$B$3722,4)=ROUND(B729,4),$A$2:$A$3722)),"Efficient","Inefficient")</f>
        <v>Inefficient</v>
      </c>
    </row>
    <row r="730" spans="1:6" x14ac:dyDescent="0.25">
      <c r="A730" cm="1">
        <f t="array" ref="A730">INDEX('Portfolio Weights Returns'!$B$9:$BJ$69,
INT((ROW(A729)-1)/COLUMNS('Portfolio Weights Returns'!$B$9:$BJ$69))+1,MOD(ROW(A729)-1,COLUMNS('Portfolio Weights Returns'!$B$9:$BJ$69))+1)</f>
        <v>-7.3613210222067454E-4</v>
      </c>
      <c r="B730">
        <v>1.7399999999999999E-2</v>
      </c>
      <c r="C730" s="59">
        <v>0.11</v>
      </c>
      <c r="D730" s="59">
        <v>0.22</v>
      </c>
      <c r="E730" s="60">
        <f t="shared" si="11"/>
        <v>0.67</v>
      </c>
      <c r="F730" t="str" cm="1">
        <f t="array" ref="F730">IF(A730=MAX(IF(ROUND($B$2:$B$3722,4)=ROUND(B730,4),$A$2:$A$3722)),"Efficient","Inefficient")</f>
        <v>Inefficient</v>
      </c>
    </row>
    <row r="731" spans="1:6" x14ac:dyDescent="0.25">
      <c r="A731" cm="1">
        <f t="array" ref="A731">INDEX('Portfolio Weights Returns'!$B$9:$BJ$69,
INT((ROW(A730)-1)/COLUMNS('Portfolio Weights Returns'!$B$9:$BJ$69))+1,MOD(ROW(A730)-1,COLUMNS('Portfolio Weights Returns'!$B$9:$BJ$69))+1)</f>
        <v>-7.2935092825399551E-4</v>
      </c>
      <c r="B731">
        <v>1.7399999999999999E-2</v>
      </c>
      <c r="C731" s="59">
        <v>0.12</v>
      </c>
      <c r="D731" s="59">
        <v>0.23</v>
      </c>
      <c r="E731" s="60">
        <f t="shared" si="11"/>
        <v>0.65</v>
      </c>
      <c r="F731" t="str" cm="1">
        <f t="array" ref="F731">IF(A731=MAX(IF(ROUND($B$2:$B$3722,4)=ROUND(B731,4),$A$2:$A$3722)),"Efficient","Inefficient")</f>
        <v>Inefficient</v>
      </c>
    </row>
    <row r="732" spans="1:6" x14ac:dyDescent="0.25">
      <c r="A732" cm="1">
        <f t="array" ref="A732">INDEX('Portfolio Weights Returns'!$B$9:$BJ$69,
INT((ROW(A731)-1)/COLUMNS('Portfolio Weights Returns'!$B$9:$BJ$69))+1,MOD(ROW(A731)-1,COLUMNS('Portfolio Weights Returns'!$B$9:$BJ$69))+1)</f>
        <v>-7.2256975428731636E-4</v>
      </c>
      <c r="B732">
        <v>1.7399999999999999E-2</v>
      </c>
      <c r="C732" s="59">
        <v>0.13</v>
      </c>
      <c r="D732" s="59">
        <v>0.24</v>
      </c>
      <c r="E732" s="60">
        <f t="shared" si="11"/>
        <v>0.63</v>
      </c>
      <c r="F732" t="str" cm="1">
        <f t="array" ref="F732">IF(A732=MAX(IF(ROUND($B$2:$B$3722,4)=ROUND(B732,4),$A$2:$A$3722)),"Efficient","Inefficient")</f>
        <v>Inefficient</v>
      </c>
    </row>
    <row r="733" spans="1:6" x14ac:dyDescent="0.25">
      <c r="A733" cm="1">
        <f t="array" ref="A733">INDEX('Portfolio Weights Returns'!$B$9:$BJ$69,
INT((ROW(A732)-1)/COLUMNS('Portfolio Weights Returns'!$B$9:$BJ$69))+1,MOD(ROW(A732)-1,COLUMNS('Portfolio Weights Returns'!$B$9:$BJ$69))+1)</f>
        <v>-7.1578858032063722E-4</v>
      </c>
      <c r="B733">
        <v>1.7399999999999999E-2</v>
      </c>
      <c r="C733" s="59">
        <v>0.14000000000000001</v>
      </c>
      <c r="D733" s="59">
        <v>0.25</v>
      </c>
      <c r="E733" s="60">
        <f t="shared" si="11"/>
        <v>0.61</v>
      </c>
      <c r="F733" t="str" cm="1">
        <f t="array" ref="F733">IF(A733=MAX(IF(ROUND($B$2:$B$3722,4)=ROUND(B733,4),$A$2:$A$3722)),"Efficient","Inefficient")</f>
        <v>Efficient</v>
      </c>
    </row>
    <row r="734" spans="1:6" x14ac:dyDescent="0.25">
      <c r="A734" cm="1">
        <f t="array" ref="A734">INDEX('Portfolio Weights Returns'!$B$9:$BJ$69,
INT((ROW(A733)-1)/COLUMNS('Portfolio Weights Returns'!$B$9:$BJ$69))+1,MOD(ROW(A733)-1,COLUMNS('Portfolio Weights Returns'!$B$9:$BJ$69))+1)</f>
        <v>-1.116084810475929E-3</v>
      </c>
      <c r="B734">
        <v>1.7399999999999999E-2</v>
      </c>
      <c r="C734" s="59">
        <v>0.15</v>
      </c>
      <c r="D734" s="59">
        <v>0.25</v>
      </c>
      <c r="E734" s="60">
        <f t="shared" si="11"/>
        <v>0.6</v>
      </c>
      <c r="F734" t="str" cm="1">
        <f t="array" ref="F734">IF(A734=MAX(IF(ROUND($B$2:$B$3722,4)=ROUND(B734,4),$A$2:$A$3722)),"Efficient","Inefficient")</f>
        <v>Inefficient</v>
      </c>
    </row>
    <row r="735" spans="1:6" x14ac:dyDescent="0.25">
      <c r="A735" cm="1">
        <f t="array" ref="A735">INDEX('Portfolio Weights Returns'!$B$9:$BJ$69,
INT((ROW(A734)-1)/COLUMNS('Portfolio Weights Returns'!$B$9:$BJ$69))+1,MOD(ROW(A734)-1,COLUMNS('Portfolio Weights Returns'!$B$9:$BJ$69))+1)</f>
        <v>-1.1093036365092499E-3</v>
      </c>
      <c r="B735">
        <v>1.7399999999999999E-2</v>
      </c>
      <c r="C735" s="59">
        <v>0.16</v>
      </c>
      <c r="D735" s="59">
        <v>0.26</v>
      </c>
      <c r="E735" s="60">
        <f t="shared" si="11"/>
        <v>0.57999999999999996</v>
      </c>
      <c r="F735" t="str" cm="1">
        <f t="array" ref="F735">IF(A735=MAX(IF(ROUND($B$2:$B$3722,4)=ROUND(B735,4),$A$2:$A$3722)),"Efficient","Inefficient")</f>
        <v>Inefficient</v>
      </c>
    </row>
    <row r="736" spans="1:6" x14ac:dyDescent="0.25">
      <c r="A736" cm="1">
        <f t="array" ref="A736">INDEX('Portfolio Weights Returns'!$B$9:$BJ$69,
INT((ROW(A735)-1)/COLUMNS('Portfolio Weights Returns'!$B$9:$BJ$69))+1,MOD(ROW(A735)-1,COLUMNS('Portfolio Weights Returns'!$B$9:$BJ$69))+1)</f>
        <v>-1.1025224625425707E-3</v>
      </c>
      <c r="B736">
        <v>1.7399999999999999E-2</v>
      </c>
      <c r="C736" s="59">
        <v>0.17</v>
      </c>
      <c r="D736" s="59">
        <v>0.26</v>
      </c>
      <c r="E736" s="60">
        <f t="shared" si="11"/>
        <v>0.56999999999999995</v>
      </c>
      <c r="F736" t="str" cm="1">
        <f t="array" ref="F736">IF(A736=MAX(IF(ROUND($B$2:$B$3722,4)=ROUND(B736,4),$A$2:$A$3722)),"Efficient","Inefficient")</f>
        <v>Inefficient</v>
      </c>
    </row>
    <row r="737" spans="1:6" x14ac:dyDescent="0.25">
      <c r="A737" cm="1">
        <f t="array" ref="A737">INDEX('Portfolio Weights Returns'!$B$9:$BJ$69,
INT((ROW(A736)-1)/COLUMNS('Portfolio Weights Returns'!$B$9:$BJ$69))+1,MOD(ROW(A736)-1,COLUMNS('Portfolio Weights Returns'!$B$9:$BJ$69))+1)</f>
        <v>-1.0957412885758918E-3</v>
      </c>
      <c r="B737">
        <v>1.7399999999999999E-2</v>
      </c>
      <c r="C737" s="59">
        <v>0.18</v>
      </c>
      <c r="D737" s="59">
        <v>0.27</v>
      </c>
      <c r="E737" s="60">
        <f t="shared" si="11"/>
        <v>0.55000000000000004</v>
      </c>
      <c r="F737" t="str" cm="1">
        <f t="array" ref="F737">IF(A737=MAX(IF(ROUND($B$2:$B$3722,4)=ROUND(B737,4),$A$2:$A$3722)),"Efficient","Inefficient")</f>
        <v>Inefficient</v>
      </c>
    </row>
    <row r="738" spans="1:6" x14ac:dyDescent="0.25">
      <c r="A738" cm="1">
        <f t="array" ref="A738">INDEX('Portfolio Weights Returns'!$B$9:$BJ$69,
INT((ROW(A737)-1)/COLUMNS('Portfolio Weights Returns'!$B$9:$BJ$69))+1,MOD(ROW(A737)-1,COLUMNS('Portfolio Weights Returns'!$B$9:$BJ$69))+1)</f>
        <v>-1.0889601146092127E-3</v>
      </c>
      <c r="B738">
        <v>1.7399999999999999E-2</v>
      </c>
      <c r="C738" s="59">
        <v>0.19</v>
      </c>
      <c r="D738" s="59">
        <v>0.27</v>
      </c>
      <c r="E738" s="60">
        <f t="shared" si="11"/>
        <v>0.54</v>
      </c>
      <c r="F738" t="str" cm="1">
        <f t="array" ref="F738">IF(A738=MAX(IF(ROUND($B$2:$B$3722,4)=ROUND(B738,4),$A$2:$A$3722)),"Efficient","Inefficient")</f>
        <v>Inefficient</v>
      </c>
    </row>
    <row r="739" spans="1:6" x14ac:dyDescent="0.25">
      <c r="A739" cm="1">
        <f t="array" ref="A739">INDEX('Portfolio Weights Returns'!$B$9:$BJ$69,
INT((ROW(A738)-1)/COLUMNS('Portfolio Weights Returns'!$B$9:$BJ$69))+1,MOD(ROW(A738)-1,COLUMNS('Portfolio Weights Returns'!$B$9:$BJ$69))+1)</f>
        <v>-1.0821789406425333E-3</v>
      </c>
      <c r="B739">
        <v>1.7399999999999999E-2</v>
      </c>
      <c r="C739" s="59">
        <v>0.21</v>
      </c>
      <c r="D739" s="59">
        <v>0.28000000000000003</v>
      </c>
      <c r="E739" s="60">
        <f t="shared" si="11"/>
        <v>0.51</v>
      </c>
      <c r="F739" t="str" cm="1">
        <f t="array" ref="F739">IF(A739=MAX(IF(ROUND($B$2:$B$3722,4)=ROUND(B739,4),$A$2:$A$3722)),"Efficient","Inefficient")</f>
        <v>Inefficient</v>
      </c>
    </row>
    <row r="740" spans="1:6" x14ac:dyDescent="0.25">
      <c r="A740" cm="1">
        <f t="array" ref="A740">INDEX('Portfolio Weights Returns'!$B$9:$BJ$69,
INT((ROW(A739)-1)/COLUMNS('Portfolio Weights Returns'!$B$9:$BJ$69))+1,MOD(ROW(A739)-1,COLUMNS('Portfolio Weights Returns'!$B$9:$BJ$69))+1)</f>
        <v>-1.0753977666758542E-3</v>
      </c>
      <c r="B740">
        <v>1.7399999999999999E-2</v>
      </c>
      <c r="C740" s="59">
        <v>0.22</v>
      </c>
      <c r="D740" s="59">
        <v>0.28000000000000003</v>
      </c>
      <c r="E740" s="60">
        <f t="shared" si="11"/>
        <v>0.5</v>
      </c>
      <c r="F740" t="str" cm="1">
        <f t="array" ref="F740">IF(A740=MAX(IF(ROUND($B$2:$B$3722,4)=ROUND(B740,4),$A$2:$A$3722)),"Efficient","Inefficient")</f>
        <v>Inefficient</v>
      </c>
    </row>
    <row r="741" spans="1:6" x14ac:dyDescent="0.25">
      <c r="A741" cm="1">
        <f t="array" ref="A741">INDEX('Portfolio Weights Returns'!$B$9:$BJ$69,
INT((ROW(A740)-1)/COLUMNS('Portfolio Weights Returns'!$B$9:$BJ$69))+1,MOD(ROW(A740)-1,COLUMNS('Portfolio Weights Returns'!$B$9:$BJ$69))+1)</f>
        <v>-1.068616592709175E-3</v>
      </c>
      <c r="B741">
        <v>1.7399999999999999E-2</v>
      </c>
      <c r="C741" s="59">
        <v>0.23</v>
      </c>
      <c r="D741" s="59">
        <v>0.28000000000000003</v>
      </c>
      <c r="E741" s="60">
        <f t="shared" si="11"/>
        <v>0.49</v>
      </c>
      <c r="F741" t="str" cm="1">
        <f t="array" ref="F741">IF(A741=MAX(IF(ROUND($B$2:$B$3722,4)=ROUND(B741,4),$A$2:$A$3722)),"Efficient","Inefficient")</f>
        <v>Inefficient</v>
      </c>
    </row>
    <row r="742" spans="1:6" x14ac:dyDescent="0.25">
      <c r="A742" cm="1">
        <f t="array" ref="A742">INDEX('Portfolio Weights Returns'!$B$9:$BJ$69,
INT((ROW(A741)-1)/COLUMNS('Portfolio Weights Returns'!$B$9:$BJ$69))+1,MOD(ROW(A741)-1,COLUMNS('Portfolio Weights Returns'!$B$9:$BJ$69))+1)</f>
        <v>-1.0618354187424961E-3</v>
      </c>
      <c r="B742">
        <v>1.7399999999999999E-2</v>
      </c>
      <c r="C742" s="59">
        <v>0.26</v>
      </c>
      <c r="D742" s="59">
        <v>0.28999999999999998</v>
      </c>
      <c r="E742" s="60">
        <f t="shared" si="11"/>
        <v>0.44999999999999996</v>
      </c>
      <c r="F742" t="str" cm="1">
        <f t="array" ref="F742">IF(A742=MAX(IF(ROUND($B$2:$B$3722,4)=ROUND(B742,4),$A$2:$A$3722)),"Efficient","Inefficient")</f>
        <v>Inefficient</v>
      </c>
    </row>
    <row r="743" spans="1:6" x14ac:dyDescent="0.25">
      <c r="A743" cm="1">
        <f t="array" ref="A743">INDEX('Portfolio Weights Returns'!$B$9:$BJ$69,
INT((ROW(A742)-1)/COLUMNS('Portfolio Weights Returns'!$B$9:$BJ$69))+1,MOD(ROW(A742)-1,COLUMNS('Portfolio Weights Returns'!$B$9:$BJ$69))+1)</f>
        <v>-1.055054244775817E-3</v>
      </c>
      <c r="B743">
        <v>1.7399999999999999E-2</v>
      </c>
      <c r="C743" s="59">
        <v>0.27</v>
      </c>
      <c r="D743" s="59">
        <v>0.28999999999999998</v>
      </c>
      <c r="E743" s="60">
        <f t="shared" si="11"/>
        <v>0.43999999999999995</v>
      </c>
      <c r="F743" t="str" cm="1">
        <f t="array" ref="F743">IF(A743=MAX(IF(ROUND($B$2:$B$3722,4)=ROUND(B743,4),$A$2:$A$3722)),"Efficient","Inefficient")</f>
        <v>Inefficient</v>
      </c>
    </row>
    <row r="744" spans="1:6" x14ac:dyDescent="0.25">
      <c r="A744" cm="1">
        <f t="array" ref="A744">INDEX('Portfolio Weights Returns'!$B$9:$BJ$69,
INT((ROW(A743)-1)/COLUMNS('Portfolio Weights Returns'!$B$9:$BJ$69))+1,MOD(ROW(A743)-1,COLUMNS('Portfolio Weights Returns'!$B$9:$BJ$69))+1)</f>
        <v>-1.0482730708091378E-3</v>
      </c>
      <c r="B744">
        <v>1.7399999999999999E-2</v>
      </c>
      <c r="C744" s="59">
        <v>0.28000000000000003</v>
      </c>
      <c r="D744" s="59">
        <v>0.28999999999999998</v>
      </c>
      <c r="E744" s="60">
        <f t="shared" si="11"/>
        <v>0.42999999999999994</v>
      </c>
      <c r="F744" t="str" cm="1">
        <f t="array" ref="F744">IF(A744=MAX(IF(ROUND($B$2:$B$3722,4)=ROUND(B744,4),$A$2:$A$3722)),"Efficient","Inefficient")</f>
        <v>Inefficient</v>
      </c>
    </row>
    <row r="745" spans="1:6" x14ac:dyDescent="0.25">
      <c r="A745" cm="1">
        <f t="array" ref="A745">INDEX('Portfolio Weights Returns'!$B$9:$BJ$69,
INT((ROW(A744)-1)/COLUMNS('Portfolio Weights Returns'!$B$9:$BJ$69))+1,MOD(ROW(A744)-1,COLUMNS('Portfolio Weights Returns'!$B$9:$BJ$69))+1)</f>
        <v>-1.0414918968424587E-3</v>
      </c>
      <c r="B745">
        <v>1.7399999999999999E-2</v>
      </c>
      <c r="C745" s="59">
        <v>0.28999999999999998</v>
      </c>
      <c r="D745" s="59">
        <v>0.28999999999999998</v>
      </c>
      <c r="E745" s="60">
        <f t="shared" si="11"/>
        <v>0.42</v>
      </c>
      <c r="F745" t="str" cm="1">
        <f t="array" ref="F745">IF(A745=MAX(IF(ROUND($B$2:$B$3722,4)=ROUND(B745,4),$A$2:$A$3722)),"Efficient","Inefficient")</f>
        <v>Inefficient</v>
      </c>
    </row>
    <row r="746" spans="1:6" x14ac:dyDescent="0.25">
      <c r="A746" cm="1">
        <f t="array" ref="A746">INDEX('Portfolio Weights Returns'!$B$9:$BJ$69,
INT((ROW(A745)-1)/COLUMNS('Portfolio Weights Returns'!$B$9:$BJ$69))+1,MOD(ROW(A745)-1,COLUMNS('Portfolio Weights Returns'!$B$9:$BJ$69))+1)</f>
        <v>-1.0347107228757797E-3</v>
      </c>
      <c r="B746">
        <v>1.7399999999999999E-2</v>
      </c>
      <c r="C746" s="59">
        <v>0.3</v>
      </c>
      <c r="D746" s="59">
        <v>0.28999999999999998</v>
      </c>
      <c r="E746" s="60">
        <f t="shared" si="11"/>
        <v>0.41</v>
      </c>
      <c r="F746" t="str" cm="1">
        <f t="array" ref="F746">IF(A746=MAX(IF(ROUND($B$2:$B$3722,4)=ROUND(B746,4),$A$2:$A$3722)),"Efficient","Inefficient")</f>
        <v>Inefficient</v>
      </c>
    </row>
    <row r="747" spans="1:6" x14ac:dyDescent="0.25">
      <c r="A747" cm="1">
        <f t="array" ref="A747">INDEX('Portfolio Weights Returns'!$B$9:$BJ$69,
INT((ROW(A746)-1)/COLUMNS('Portfolio Weights Returns'!$B$9:$BJ$69))+1,MOD(ROW(A746)-1,COLUMNS('Portfolio Weights Returns'!$B$9:$BJ$69))+1)</f>
        <v>-1.0279295489091006E-3</v>
      </c>
      <c r="B747">
        <v>1.7500000000000002E-2</v>
      </c>
      <c r="C747" s="59">
        <v>0.3</v>
      </c>
      <c r="D747" s="59">
        <v>-0.15</v>
      </c>
      <c r="E747" s="60">
        <f t="shared" si="11"/>
        <v>0.84999999999999987</v>
      </c>
      <c r="F747" t="str" cm="1">
        <f t="array" ref="F747">IF(A747=MAX(IF(ROUND($B$2:$B$3722,4)=ROUND(B747,4),$A$2:$A$3722)),"Efficient","Inefficient")</f>
        <v>Inefficient</v>
      </c>
    </row>
    <row r="748" spans="1:6" x14ac:dyDescent="0.25">
      <c r="A748" cm="1">
        <f t="array" ref="A748">INDEX('Portfolio Weights Returns'!$B$9:$BJ$69,
INT((ROW(A747)-1)/COLUMNS('Portfolio Weights Returns'!$B$9:$BJ$69))+1,MOD(ROW(A747)-1,COLUMNS('Portfolio Weights Returns'!$B$9:$BJ$69))+1)</f>
        <v>-1.0211483749424214E-3</v>
      </c>
      <c r="B748">
        <v>1.7500000000000002E-2</v>
      </c>
      <c r="C748" s="59">
        <v>0.28000000000000003</v>
      </c>
      <c r="D748" s="59">
        <v>-0.14000000000000001</v>
      </c>
      <c r="E748" s="60">
        <f t="shared" si="11"/>
        <v>0.8600000000000001</v>
      </c>
      <c r="F748" t="str" cm="1">
        <f t="array" ref="F748">IF(A748=MAX(IF(ROUND($B$2:$B$3722,4)=ROUND(B748,4),$A$2:$A$3722)),"Efficient","Inefficient")</f>
        <v>Inefficient</v>
      </c>
    </row>
    <row r="749" spans="1:6" x14ac:dyDescent="0.25">
      <c r="A749" cm="1">
        <f t="array" ref="A749">INDEX('Portfolio Weights Returns'!$B$9:$BJ$69,
INT((ROW(A748)-1)/COLUMNS('Portfolio Weights Returns'!$B$9:$BJ$69))+1,MOD(ROW(A748)-1,COLUMNS('Portfolio Weights Returns'!$B$9:$BJ$69))+1)</f>
        <v>-1.0143672009757423E-3</v>
      </c>
      <c r="B749">
        <v>1.7500000000000002E-2</v>
      </c>
      <c r="C749" s="59">
        <v>0.27</v>
      </c>
      <c r="D749" s="59">
        <v>-0.13</v>
      </c>
      <c r="E749" s="60">
        <f t="shared" si="11"/>
        <v>0.85999999999999988</v>
      </c>
      <c r="F749" t="str" cm="1">
        <f t="array" ref="F749">IF(A749=MAX(IF(ROUND($B$2:$B$3722,4)=ROUND(B749,4),$A$2:$A$3722)),"Efficient","Inefficient")</f>
        <v>Inefficient</v>
      </c>
    </row>
    <row r="750" spans="1:6" x14ac:dyDescent="0.25">
      <c r="A750" cm="1">
        <f t="array" ref="A750">INDEX('Portfolio Weights Returns'!$B$9:$BJ$69,
INT((ROW(A749)-1)/COLUMNS('Portfolio Weights Returns'!$B$9:$BJ$69))+1,MOD(ROW(A749)-1,COLUMNS('Portfolio Weights Returns'!$B$9:$BJ$69))+1)</f>
        <v>-1.0075860270090634E-3</v>
      </c>
      <c r="B750">
        <v>1.7500000000000002E-2</v>
      </c>
      <c r="C750" s="59">
        <v>0.25</v>
      </c>
      <c r="D750" s="59">
        <v>-0.12</v>
      </c>
      <c r="E750" s="60">
        <f t="shared" si="11"/>
        <v>0.87000000000000011</v>
      </c>
      <c r="F750" t="str" cm="1">
        <f t="array" ref="F750">IF(A750=MAX(IF(ROUND($B$2:$B$3722,4)=ROUND(B750,4),$A$2:$A$3722)),"Efficient","Inefficient")</f>
        <v>Inefficient</v>
      </c>
    </row>
    <row r="751" spans="1:6" x14ac:dyDescent="0.25">
      <c r="A751" cm="1">
        <f t="array" ref="A751">INDEX('Portfolio Weights Returns'!$B$9:$BJ$69,
INT((ROW(A750)-1)/COLUMNS('Portfolio Weights Returns'!$B$9:$BJ$69))+1,MOD(ROW(A750)-1,COLUMNS('Portfolio Weights Returns'!$B$9:$BJ$69))+1)</f>
        <v>-1.0008048530423842E-3</v>
      </c>
      <c r="B751">
        <v>1.7500000000000002E-2</v>
      </c>
      <c r="C751" s="59">
        <v>0.24</v>
      </c>
      <c r="D751" s="59">
        <v>-0.11</v>
      </c>
      <c r="E751" s="60">
        <f t="shared" si="11"/>
        <v>0.87000000000000011</v>
      </c>
      <c r="F751" t="str" cm="1">
        <f t="array" ref="F751">IF(A751=MAX(IF(ROUND($B$2:$B$3722,4)=ROUND(B751,4),$A$2:$A$3722)),"Efficient","Inefficient")</f>
        <v>Inefficient</v>
      </c>
    </row>
    <row r="752" spans="1:6" x14ac:dyDescent="0.25">
      <c r="A752" cm="1">
        <f t="array" ref="A752">INDEX('Portfolio Weights Returns'!$B$9:$BJ$69,
INT((ROW(A751)-1)/COLUMNS('Portfolio Weights Returns'!$B$9:$BJ$69))+1,MOD(ROW(A751)-1,COLUMNS('Portfolio Weights Returns'!$B$9:$BJ$69))+1)</f>
        <v>-9.9402367907570508E-4</v>
      </c>
      <c r="B752">
        <v>1.7500000000000002E-2</v>
      </c>
      <c r="C752" s="59">
        <v>0.23</v>
      </c>
      <c r="D752" s="59">
        <v>-0.1</v>
      </c>
      <c r="E752" s="60">
        <f t="shared" si="11"/>
        <v>0.87000000000000011</v>
      </c>
      <c r="F752" t="str" cm="1">
        <f t="array" ref="F752">IF(A752=MAX(IF(ROUND($B$2:$B$3722,4)=ROUND(B752,4),$A$2:$A$3722)),"Efficient","Inefficient")</f>
        <v>Inefficient</v>
      </c>
    </row>
    <row r="753" spans="1:6" x14ac:dyDescent="0.25">
      <c r="A753" cm="1">
        <f t="array" ref="A753">INDEX('Portfolio Weights Returns'!$B$9:$BJ$69,
INT((ROW(A752)-1)/COLUMNS('Portfolio Weights Returns'!$B$9:$BJ$69))+1,MOD(ROW(A752)-1,COLUMNS('Portfolio Weights Returns'!$B$9:$BJ$69))+1)</f>
        <v>-9.8724250510902594E-4</v>
      </c>
      <c r="B753">
        <v>1.7500000000000002E-2</v>
      </c>
      <c r="C753" s="59">
        <v>0.21</v>
      </c>
      <c r="D753" s="59">
        <v>-0.09</v>
      </c>
      <c r="E753" s="60">
        <f t="shared" si="11"/>
        <v>0.88000000000000012</v>
      </c>
      <c r="F753" t="str" cm="1">
        <f t="array" ref="F753">IF(A753=MAX(IF(ROUND($B$2:$B$3722,4)=ROUND(B753,4),$A$2:$A$3722)),"Efficient","Inefficient")</f>
        <v>Inefficient</v>
      </c>
    </row>
    <row r="754" spans="1:6" x14ac:dyDescent="0.25">
      <c r="A754" cm="1">
        <f t="array" ref="A754">INDEX('Portfolio Weights Returns'!$B$9:$BJ$69,
INT((ROW(A753)-1)/COLUMNS('Portfolio Weights Returns'!$B$9:$BJ$69))+1,MOD(ROW(A753)-1,COLUMNS('Portfolio Weights Returns'!$B$9:$BJ$69))+1)</f>
        <v>-9.804613311423468E-4</v>
      </c>
      <c r="B754">
        <v>1.7500000000000002E-2</v>
      </c>
      <c r="C754" s="59">
        <v>0.2</v>
      </c>
      <c r="D754" s="59">
        <v>-0.08</v>
      </c>
      <c r="E754" s="60">
        <f t="shared" si="11"/>
        <v>0.88000000000000012</v>
      </c>
      <c r="F754" t="str" cm="1">
        <f t="array" ref="F754">IF(A754=MAX(IF(ROUND($B$2:$B$3722,4)=ROUND(B754,4),$A$2:$A$3722)),"Efficient","Inefficient")</f>
        <v>Inefficient</v>
      </c>
    </row>
    <row r="755" spans="1:6" x14ac:dyDescent="0.25">
      <c r="A755" cm="1">
        <f t="array" ref="A755">INDEX('Portfolio Weights Returns'!$B$9:$BJ$69,
INT((ROW(A754)-1)/COLUMNS('Portfolio Weights Returns'!$B$9:$BJ$69))+1,MOD(ROW(A754)-1,COLUMNS('Portfolio Weights Returns'!$B$9:$BJ$69))+1)</f>
        <v>-9.7368015717566776E-4</v>
      </c>
      <c r="B755">
        <v>1.7500000000000002E-2</v>
      </c>
      <c r="C755" s="59">
        <v>0.19</v>
      </c>
      <c r="D755" s="59">
        <v>-7.0000000000000007E-2</v>
      </c>
      <c r="E755" s="60">
        <f t="shared" si="11"/>
        <v>0.88000000000000012</v>
      </c>
      <c r="F755" t="str" cm="1">
        <f t="array" ref="F755">IF(A755=MAX(IF(ROUND($B$2:$B$3722,4)=ROUND(B755,4),$A$2:$A$3722)),"Efficient","Inefficient")</f>
        <v>Inefficient</v>
      </c>
    </row>
    <row r="756" spans="1:6" x14ac:dyDescent="0.25">
      <c r="A756" cm="1">
        <f t="array" ref="A756">INDEX('Portfolio Weights Returns'!$B$9:$BJ$69,
INT((ROW(A755)-1)/COLUMNS('Portfolio Weights Returns'!$B$9:$BJ$69))+1,MOD(ROW(A755)-1,COLUMNS('Portfolio Weights Returns'!$B$9:$BJ$69))+1)</f>
        <v>-9.6689898320898872E-4</v>
      </c>
      <c r="B756">
        <v>1.7500000000000002E-2</v>
      </c>
      <c r="C756" s="59">
        <v>0.18</v>
      </c>
      <c r="D756" s="59">
        <v>-0.06</v>
      </c>
      <c r="E756" s="60">
        <f t="shared" si="11"/>
        <v>0.88000000000000012</v>
      </c>
      <c r="F756" t="str" cm="1">
        <f t="array" ref="F756">IF(A756=MAX(IF(ROUND($B$2:$B$3722,4)=ROUND(B756,4),$A$2:$A$3722)),"Efficient","Inefficient")</f>
        <v>Inefficient</v>
      </c>
    </row>
    <row r="757" spans="1:6" x14ac:dyDescent="0.25">
      <c r="A757" cm="1">
        <f t="array" ref="A757">INDEX('Portfolio Weights Returns'!$B$9:$BJ$69,
INT((ROW(A756)-1)/COLUMNS('Portfolio Weights Returns'!$B$9:$BJ$69))+1,MOD(ROW(A756)-1,COLUMNS('Portfolio Weights Returns'!$B$9:$BJ$69))+1)</f>
        <v>-9.6011780924230958E-4</v>
      </c>
      <c r="B757">
        <v>1.7500000000000002E-2</v>
      </c>
      <c r="C757" s="59">
        <v>0.17</v>
      </c>
      <c r="D757" s="59">
        <v>-0.05</v>
      </c>
      <c r="E757" s="60">
        <f t="shared" si="11"/>
        <v>0.88</v>
      </c>
      <c r="F757" t="str" cm="1">
        <f t="array" ref="F757">IF(A757=MAX(IF(ROUND($B$2:$B$3722,4)=ROUND(B757,4),$A$2:$A$3722)),"Efficient","Inefficient")</f>
        <v>Inefficient</v>
      </c>
    </row>
    <row r="758" spans="1:6" x14ac:dyDescent="0.25">
      <c r="A758" cm="1">
        <f t="array" ref="A758">INDEX('Portfolio Weights Returns'!$B$9:$BJ$69,
INT((ROW(A757)-1)/COLUMNS('Portfolio Weights Returns'!$B$9:$BJ$69))+1,MOD(ROW(A757)-1,COLUMNS('Portfolio Weights Returns'!$B$9:$BJ$69))+1)</f>
        <v>-9.5333663527563044E-4</v>
      </c>
      <c r="B758">
        <v>1.7500000000000002E-2</v>
      </c>
      <c r="C758" s="59">
        <v>0.16</v>
      </c>
      <c r="D758" s="59">
        <v>-0.04</v>
      </c>
      <c r="E758" s="60">
        <f t="shared" si="11"/>
        <v>0.88</v>
      </c>
      <c r="F758" t="str" cm="1">
        <f t="array" ref="F758">IF(A758=MAX(IF(ROUND($B$2:$B$3722,4)=ROUND(B758,4),$A$2:$A$3722)),"Efficient","Inefficient")</f>
        <v>Inefficient</v>
      </c>
    </row>
    <row r="759" spans="1:6" x14ac:dyDescent="0.25">
      <c r="A759" cm="1">
        <f t="array" ref="A759">INDEX('Portfolio Weights Returns'!$B$9:$BJ$69,
INT((ROW(A758)-1)/COLUMNS('Portfolio Weights Returns'!$B$9:$BJ$69))+1,MOD(ROW(A758)-1,COLUMNS('Portfolio Weights Returns'!$B$9:$BJ$69))+1)</f>
        <v>-9.465554613089514E-4</v>
      </c>
      <c r="B759">
        <v>1.7500000000000002E-2</v>
      </c>
      <c r="C759" s="59">
        <v>0.15</v>
      </c>
      <c r="D759" s="59">
        <v>-0.03</v>
      </c>
      <c r="E759" s="60">
        <f t="shared" si="11"/>
        <v>0.88</v>
      </c>
      <c r="F759" t="str" cm="1">
        <f t="array" ref="F759">IF(A759=MAX(IF(ROUND($B$2:$B$3722,4)=ROUND(B759,4),$A$2:$A$3722)),"Efficient","Inefficient")</f>
        <v>Inefficient</v>
      </c>
    </row>
    <row r="760" spans="1:6" x14ac:dyDescent="0.25">
      <c r="A760" cm="1">
        <f t="array" ref="A760">INDEX('Portfolio Weights Returns'!$B$9:$BJ$69,
INT((ROW(A759)-1)/COLUMNS('Portfolio Weights Returns'!$B$9:$BJ$69))+1,MOD(ROW(A759)-1,COLUMNS('Portfolio Weights Returns'!$B$9:$BJ$69))+1)</f>
        <v>-9.3977428734227225E-4</v>
      </c>
      <c r="B760">
        <v>1.7500000000000002E-2</v>
      </c>
      <c r="C760" s="59">
        <v>0.14000000000000001</v>
      </c>
      <c r="D760" s="59">
        <v>-0.02</v>
      </c>
      <c r="E760" s="60">
        <f t="shared" si="11"/>
        <v>0.88</v>
      </c>
      <c r="F760" t="str" cm="1">
        <f t="array" ref="F760">IF(A760=MAX(IF(ROUND($B$2:$B$3722,4)=ROUND(B760,4),$A$2:$A$3722)),"Efficient","Inefficient")</f>
        <v>Inefficient</v>
      </c>
    </row>
    <row r="761" spans="1:6" x14ac:dyDescent="0.25">
      <c r="A761" cm="1">
        <f t="array" ref="A761">INDEX('Portfolio Weights Returns'!$B$9:$BJ$69,
INT((ROW(A760)-1)/COLUMNS('Portfolio Weights Returns'!$B$9:$BJ$69))+1,MOD(ROW(A760)-1,COLUMNS('Portfolio Weights Returns'!$B$9:$BJ$69))+1)</f>
        <v>-9.3299311337559311E-4</v>
      </c>
      <c r="B761">
        <v>1.7500000000000002E-2</v>
      </c>
      <c r="C761" s="59">
        <v>0.13</v>
      </c>
      <c r="D761" s="59">
        <v>-0.01</v>
      </c>
      <c r="E761" s="60">
        <f t="shared" si="11"/>
        <v>0.88</v>
      </c>
      <c r="F761" t="str" cm="1">
        <f t="array" ref="F761">IF(A761=MAX(IF(ROUND($B$2:$B$3722,4)=ROUND(B761,4),$A$2:$A$3722)),"Efficient","Inefficient")</f>
        <v>Inefficient</v>
      </c>
    </row>
    <row r="762" spans="1:6" x14ac:dyDescent="0.25">
      <c r="A762" cm="1">
        <f t="array" ref="A762">INDEX('Portfolio Weights Returns'!$B$9:$BJ$69,
INT((ROW(A761)-1)/COLUMNS('Portfolio Weights Returns'!$B$9:$BJ$69))+1,MOD(ROW(A761)-1,COLUMNS('Portfolio Weights Returns'!$B$9:$BJ$69))+1)</f>
        <v>-9.2621193940891397E-4</v>
      </c>
      <c r="B762">
        <v>1.7500000000000002E-2</v>
      </c>
      <c r="C762" s="59">
        <v>0.12</v>
      </c>
      <c r="D762" s="59">
        <v>0</v>
      </c>
      <c r="E762" s="60">
        <f t="shared" si="11"/>
        <v>0.88</v>
      </c>
      <c r="F762" t="str" cm="1">
        <f t="array" ref="F762">IF(A762=MAX(IF(ROUND($B$2:$B$3722,4)=ROUND(B762,4),$A$2:$A$3722)),"Efficient","Inefficient")</f>
        <v>Inefficient</v>
      </c>
    </row>
    <row r="763" spans="1:6" x14ac:dyDescent="0.25">
      <c r="A763" cm="1">
        <f t="array" ref="A763">INDEX('Portfolio Weights Returns'!$B$9:$BJ$69,
INT((ROW(A762)-1)/COLUMNS('Portfolio Weights Returns'!$B$9:$BJ$69))+1,MOD(ROW(A762)-1,COLUMNS('Portfolio Weights Returns'!$B$9:$BJ$69))+1)</f>
        <v>-9.1943076544223493E-4</v>
      </c>
      <c r="B763">
        <v>1.7500000000000002E-2</v>
      </c>
      <c r="C763" s="59">
        <v>0.11</v>
      </c>
      <c r="D763" s="59">
        <v>0.01</v>
      </c>
      <c r="E763" s="60">
        <f t="shared" si="11"/>
        <v>0.88</v>
      </c>
      <c r="F763" t="str" cm="1">
        <f t="array" ref="F763">IF(A763=MAX(IF(ROUND($B$2:$B$3722,4)=ROUND(B763,4),$A$2:$A$3722)),"Efficient","Inefficient")</f>
        <v>Inefficient</v>
      </c>
    </row>
    <row r="764" spans="1:6" x14ac:dyDescent="0.25">
      <c r="A764" cm="1">
        <f t="array" ref="A764">INDEX('Portfolio Weights Returns'!$B$9:$BJ$69,
INT((ROW(A763)-1)/COLUMNS('Portfolio Weights Returns'!$B$9:$BJ$69))+1,MOD(ROW(A763)-1,COLUMNS('Portfolio Weights Returns'!$B$9:$BJ$69))+1)</f>
        <v>-9.1264959147555579E-4</v>
      </c>
      <c r="B764">
        <v>1.7500000000000002E-2</v>
      </c>
      <c r="C764" s="59">
        <v>0.1</v>
      </c>
      <c r="D764" s="59">
        <v>0.03</v>
      </c>
      <c r="E764" s="60">
        <f t="shared" si="11"/>
        <v>0.87</v>
      </c>
      <c r="F764" t="str" cm="1">
        <f t="array" ref="F764">IF(A764=MAX(IF(ROUND($B$2:$B$3722,4)=ROUND(B764,4),$A$2:$A$3722)),"Efficient","Inefficient")</f>
        <v>Inefficient</v>
      </c>
    </row>
    <row r="765" spans="1:6" x14ac:dyDescent="0.25">
      <c r="A765" cm="1">
        <f t="array" ref="A765">INDEX('Portfolio Weights Returns'!$B$9:$BJ$69,
INT((ROW(A764)-1)/COLUMNS('Portfolio Weights Returns'!$B$9:$BJ$69))+1,MOD(ROW(A764)-1,COLUMNS('Portfolio Weights Returns'!$B$9:$BJ$69))+1)</f>
        <v>-9.0586841750887675E-4</v>
      </c>
      <c r="B765">
        <v>1.7500000000000002E-2</v>
      </c>
      <c r="C765" s="59">
        <v>0.09</v>
      </c>
      <c r="D765" s="59">
        <v>0.04</v>
      </c>
      <c r="E765" s="60">
        <f t="shared" si="11"/>
        <v>0.87</v>
      </c>
      <c r="F765" t="str" cm="1">
        <f t="array" ref="F765">IF(A765=MAX(IF(ROUND($B$2:$B$3722,4)=ROUND(B765,4),$A$2:$A$3722)),"Efficient","Inefficient")</f>
        <v>Inefficient</v>
      </c>
    </row>
    <row r="766" spans="1:6" x14ac:dyDescent="0.25">
      <c r="A766" cm="1">
        <f t="array" ref="A766">INDEX('Portfolio Weights Returns'!$B$9:$BJ$69,
INT((ROW(A765)-1)/COLUMNS('Portfolio Weights Returns'!$B$9:$BJ$69))+1,MOD(ROW(A765)-1,COLUMNS('Portfolio Weights Returns'!$B$9:$BJ$69))+1)</f>
        <v>-8.990872435421976E-4</v>
      </c>
      <c r="B766">
        <v>1.7500000000000002E-2</v>
      </c>
      <c r="C766" s="59">
        <v>0.09</v>
      </c>
      <c r="D766" s="59">
        <v>0.05</v>
      </c>
      <c r="E766" s="60">
        <f t="shared" si="11"/>
        <v>0.86</v>
      </c>
      <c r="F766" t="str" cm="1">
        <f t="array" ref="F766">IF(A766=MAX(IF(ROUND($B$2:$B$3722,4)=ROUND(B766,4),$A$2:$A$3722)),"Efficient","Inefficient")</f>
        <v>Inefficient</v>
      </c>
    </row>
    <row r="767" spans="1:6" x14ac:dyDescent="0.25">
      <c r="A767" cm="1">
        <f t="array" ref="A767">INDEX('Portfolio Weights Returns'!$B$9:$BJ$69,
INT((ROW(A766)-1)/COLUMNS('Portfolio Weights Returns'!$B$9:$BJ$69))+1,MOD(ROW(A766)-1,COLUMNS('Portfolio Weights Returns'!$B$9:$BJ$69))+1)</f>
        <v>-8.9230606957551857E-4</v>
      </c>
      <c r="B767">
        <v>1.7500000000000002E-2</v>
      </c>
      <c r="C767" s="59">
        <v>0.08</v>
      </c>
      <c r="D767" s="59">
        <v>0.06</v>
      </c>
      <c r="E767" s="60">
        <f t="shared" si="11"/>
        <v>0.86</v>
      </c>
      <c r="F767" t="str" cm="1">
        <f t="array" ref="F767">IF(A767=MAX(IF(ROUND($B$2:$B$3722,4)=ROUND(B767,4),$A$2:$A$3722)),"Efficient","Inefficient")</f>
        <v>Inefficient</v>
      </c>
    </row>
    <row r="768" spans="1:6" x14ac:dyDescent="0.25">
      <c r="A768" cm="1">
        <f t="array" ref="A768">INDEX('Portfolio Weights Returns'!$B$9:$BJ$69,
INT((ROW(A767)-1)/COLUMNS('Portfolio Weights Returns'!$B$9:$BJ$69))+1,MOD(ROW(A767)-1,COLUMNS('Portfolio Weights Returns'!$B$9:$BJ$69))+1)</f>
        <v>-8.8552489560883932E-4</v>
      </c>
      <c r="B768">
        <v>1.7500000000000002E-2</v>
      </c>
      <c r="C768" s="59">
        <v>0.08</v>
      </c>
      <c r="D768" s="59">
        <v>7.0000000000000007E-2</v>
      </c>
      <c r="E768" s="60">
        <f t="shared" si="11"/>
        <v>0.85</v>
      </c>
      <c r="F768" t="str" cm="1">
        <f t="array" ref="F768">IF(A768=MAX(IF(ROUND($B$2:$B$3722,4)=ROUND(B768,4),$A$2:$A$3722)),"Efficient","Inefficient")</f>
        <v>Inefficient</v>
      </c>
    </row>
    <row r="769" spans="1:6" x14ac:dyDescent="0.25">
      <c r="A769" cm="1">
        <f t="array" ref="A769">INDEX('Portfolio Weights Returns'!$B$9:$BJ$69,
INT((ROW(A768)-1)/COLUMNS('Portfolio Weights Returns'!$B$9:$BJ$69))+1,MOD(ROW(A768)-1,COLUMNS('Portfolio Weights Returns'!$B$9:$BJ$69))+1)</f>
        <v>-8.7874372164216017E-4</v>
      </c>
      <c r="B769">
        <v>1.7500000000000002E-2</v>
      </c>
      <c r="C769" s="59">
        <v>7.0000000000000007E-2</v>
      </c>
      <c r="D769" s="59">
        <v>0.08</v>
      </c>
      <c r="E769" s="60">
        <f t="shared" si="11"/>
        <v>0.85000000000000009</v>
      </c>
      <c r="F769" t="str" cm="1">
        <f t="array" ref="F769">IF(A769=MAX(IF(ROUND($B$2:$B$3722,4)=ROUND(B769,4),$A$2:$A$3722)),"Efficient","Inefficient")</f>
        <v>Inefficient</v>
      </c>
    </row>
    <row r="770" spans="1:6" x14ac:dyDescent="0.25">
      <c r="A770" cm="1">
        <f t="array" ref="A770">INDEX('Portfolio Weights Returns'!$B$9:$BJ$69,
INT((ROW(A769)-1)/COLUMNS('Portfolio Weights Returns'!$B$9:$BJ$69))+1,MOD(ROW(A769)-1,COLUMNS('Portfolio Weights Returns'!$B$9:$BJ$69))+1)</f>
        <v>-8.7196254767548114E-4</v>
      </c>
      <c r="B770">
        <v>1.7500000000000002E-2</v>
      </c>
      <c r="C770" s="59">
        <v>7.0000000000000007E-2</v>
      </c>
      <c r="D770" s="59">
        <v>0.09</v>
      </c>
      <c r="E770" s="60">
        <f t="shared" ref="E770:E833" si="12">1-D770-C770</f>
        <v>0.84000000000000008</v>
      </c>
      <c r="F770" t="str" cm="1">
        <f t="array" ref="F770">IF(A770=MAX(IF(ROUND($B$2:$B$3722,4)=ROUND(B770,4),$A$2:$A$3722)),"Efficient","Inefficient")</f>
        <v>Inefficient</v>
      </c>
    </row>
    <row r="771" spans="1:6" x14ac:dyDescent="0.25">
      <c r="A771" cm="1">
        <f t="array" ref="A771">INDEX('Portfolio Weights Returns'!$B$9:$BJ$69,
INT((ROW(A770)-1)/COLUMNS('Portfolio Weights Returns'!$B$9:$BJ$69))+1,MOD(ROW(A770)-1,COLUMNS('Portfolio Weights Returns'!$B$9:$BJ$69))+1)</f>
        <v>-8.6518137370880199E-4</v>
      </c>
      <c r="B771">
        <v>1.7500000000000002E-2</v>
      </c>
      <c r="C771" s="59">
        <v>7.0000000000000007E-2</v>
      </c>
      <c r="D771" s="59">
        <v>0.1</v>
      </c>
      <c r="E771" s="60">
        <f t="shared" si="12"/>
        <v>0.83000000000000007</v>
      </c>
      <c r="F771" t="str" cm="1">
        <f t="array" ref="F771">IF(A771=MAX(IF(ROUND($B$2:$B$3722,4)=ROUND(B771,4),$A$2:$A$3722)),"Efficient","Inefficient")</f>
        <v>Inefficient</v>
      </c>
    </row>
    <row r="772" spans="1:6" x14ac:dyDescent="0.25">
      <c r="A772" cm="1">
        <f t="array" ref="A772">INDEX('Portfolio Weights Returns'!$B$9:$BJ$69,
INT((ROW(A771)-1)/COLUMNS('Portfolio Weights Returns'!$B$9:$BJ$69))+1,MOD(ROW(A771)-1,COLUMNS('Portfolio Weights Returns'!$B$9:$BJ$69))+1)</f>
        <v>-8.5840019974212306E-4</v>
      </c>
      <c r="B772">
        <v>1.7500000000000002E-2</v>
      </c>
      <c r="C772" s="59">
        <v>0.06</v>
      </c>
      <c r="D772" s="59">
        <v>0.12</v>
      </c>
      <c r="E772" s="60">
        <f t="shared" si="12"/>
        <v>0.82000000000000006</v>
      </c>
      <c r="F772" t="str" cm="1">
        <f t="array" ref="F772">IF(A772=MAX(IF(ROUND($B$2:$B$3722,4)=ROUND(B772,4),$A$2:$A$3722)),"Efficient","Inefficient")</f>
        <v>Inefficient</v>
      </c>
    </row>
    <row r="773" spans="1:6" x14ac:dyDescent="0.25">
      <c r="A773" cm="1">
        <f t="array" ref="A773">INDEX('Portfolio Weights Returns'!$B$9:$BJ$69,
INT((ROW(A772)-1)/COLUMNS('Portfolio Weights Returns'!$B$9:$BJ$69))+1,MOD(ROW(A772)-1,COLUMNS('Portfolio Weights Returns'!$B$9:$BJ$69))+1)</f>
        <v>-8.5161902577544392E-4</v>
      </c>
      <c r="B773">
        <v>1.7500000000000002E-2</v>
      </c>
      <c r="C773" s="59">
        <v>0.06</v>
      </c>
      <c r="D773" s="59">
        <v>0.13</v>
      </c>
      <c r="E773" s="60">
        <f t="shared" si="12"/>
        <v>0.81</v>
      </c>
      <c r="F773" t="str" cm="1">
        <f t="array" ref="F773">IF(A773=MAX(IF(ROUND($B$2:$B$3722,4)=ROUND(B773,4),$A$2:$A$3722)),"Efficient","Inefficient")</f>
        <v>Inefficient</v>
      </c>
    </row>
    <row r="774" spans="1:6" x14ac:dyDescent="0.25">
      <c r="A774" cm="1">
        <f t="array" ref="A774">INDEX('Portfolio Weights Returns'!$B$9:$BJ$69,
INT((ROW(A773)-1)/COLUMNS('Portfolio Weights Returns'!$B$9:$BJ$69))+1,MOD(ROW(A773)-1,COLUMNS('Portfolio Weights Returns'!$B$9:$BJ$69))+1)</f>
        <v>-8.4483785180876488E-4</v>
      </c>
      <c r="B774">
        <v>1.7500000000000002E-2</v>
      </c>
      <c r="C774" s="59">
        <v>0.06</v>
      </c>
      <c r="D774" s="59">
        <v>0.14000000000000001</v>
      </c>
      <c r="E774" s="60">
        <f t="shared" si="12"/>
        <v>0.8</v>
      </c>
      <c r="F774" t="str" cm="1">
        <f t="array" ref="F774">IF(A774=MAX(IF(ROUND($B$2:$B$3722,4)=ROUND(B774,4),$A$2:$A$3722)),"Efficient","Inefficient")</f>
        <v>Inefficient</v>
      </c>
    </row>
    <row r="775" spans="1:6" x14ac:dyDescent="0.25">
      <c r="A775" cm="1">
        <f t="array" ref="A775">INDEX('Portfolio Weights Returns'!$B$9:$BJ$69,
INT((ROW(A774)-1)/COLUMNS('Portfolio Weights Returns'!$B$9:$BJ$69))+1,MOD(ROW(A774)-1,COLUMNS('Portfolio Weights Returns'!$B$9:$BJ$69))+1)</f>
        <v>-8.3805667784208574E-4</v>
      </c>
      <c r="B775">
        <v>1.7500000000000002E-2</v>
      </c>
      <c r="C775" s="59">
        <v>0.06</v>
      </c>
      <c r="D775" s="59">
        <v>0.15</v>
      </c>
      <c r="E775" s="60">
        <f t="shared" si="12"/>
        <v>0.79</v>
      </c>
      <c r="F775" t="str" cm="1">
        <f t="array" ref="F775">IF(A775=MAX(IF(ROUND($B$2:$B$3722,4)=ROUND(B775,4),$A$2:$A$3722)),"Efficient","Inefficient")</f>
        <v>Inefficient</v>
      </c>
    </row>
    <row r="776" spans="1:6" x14ac:dyDescent="0.25">
      <c r="A776" cm="1">
        <f t="array" ref="A776">INDEX('Portfolio Weights Returns'!$B$9:$BJ$69,
INT((ROW(A775)-1)/COLUMNS('Portfolio Weights Returns'!$B$9:$BJ$69))+1,MOD(ROW(A775)-1,COLUMNS('Portfolio Weights Returns'!$B$9:$BJ$69))+1)</f>
        <v>-8.312755038754067E-4</v>
      </c>
      <c r="B776">
        <v>1.7500000000000002E-2</v>
      </c>
      <c r="C776" s="59">
        <v>7.0000000000000007E-2</v>
      </c>
      <c r="D776" s="59">
        <v>0.17</v>
      </c>
      <c r="E776" s="60">
        <f t="shared" si="12"/>
        <v>0.76</v>
      </c>
      <c r="F776" t="str" cm="1">
        <f t="array" ref="F776">IF(A776=MAX(IF(ROUND($B$2:$B$3722,4)=ROUND(B776,4),$A$2:$A$3722)),"Efficient","Inefficient")</f>
        <v>Inefficient</v>
      </c>
    </row>
    <row r="777" spans="1:6" x14ac:dyDescent="0.25">
      <c r="A777" cm="1">
        <f t="array" ref="A777">INDEX('Portfolio Weights Returns'!$B$9:$BJ$69,
INT((ROW(A776)-1)/COLUMNS('Portfolio Weights Returns'!$B$9:$BJ$69))+1,MOD(ROW(A776)-1,COLUMNS('Portfolio Weights Returns'!$B$9:$BJ$69))+1)</f>
        <v>-8.2449432990872756E-4</v>
      </c>
      <c r="B777">
        <v>1.7500000000000002E-2</v>
      </c>
      <c r="C777" s="59">
        <v>7.0000000000000007E-2</v>
      </c>
      <c r="D777" s="59">
        <v>0.18</v>
      </c>
      <c r="E777" s="60">
        <f t="shared" si="12"/>
        <v>0.75</v>
      </c>
      <c r="F777" t="str" cm="1">
        <f t="array" ref="F777">IF(A777=MAX(IF(ROUND($B$2:$B$3722,4)=ROUND(B777,4),$A$2:$A$3722)),"Efficient","Inefficient")</f>
        <v>Inefficient</v>
      </c>
    </row>
    <row r="778" spans="1:6" x14ac:dyDescent="0.25">
      <c r="A778" cm="1">
        <f t="array" ref="A778">INDEX('Portfolio Weights Returns'!$B$9:$BJ$69,
INT((ROW(A777)-1)/COLUMNS('Portfolio Weights Returns'!$B$9:$BJ$69))+1,MOD(ROW(A777)-1,COLUMNS('Portfolio Weights Returns'!$B$9:$BJ$69))+1)</f>
        <v>-8.1771315594204841E-4</v>
      </c>
      <c r="B778">
        <v>1.7500000000000002E-2</v>
      </c>
      <c r="C778" s="59">
        <v>7.0000000000000007E-2</v>
      </c>
      <c r="D778" s="59">
        <v>0.19</v>
      </c>
      <c r="E778" s="60">
        <f t="shared" si="12"/>
        <v>0.74</v>
      </c>
      <c r="F778" t="str" cm="1">
        <f t="array" ref="F778">IF(A778=MAX(IF(ROUND($B$2:$B$3722,4)=ROUND(B778,4),$A$2:$A$3722)),"Efficient","Inefficient")</f>
        <v>Inefficient</v>
      </c>
    </row>
    <row r="779" spans="1:6" x14ac:dyDescent="0.25">
      <c r="A779" cm="1">
        <f t="array" ref="A779">INDEX('Portfolio Weights Returns'!$B$9:$BJ$69,
INT((ROW(A778)-1)/COLUMNS('Portfolio Weights Returns'!$B$9:$BJ$69))+1,MOD(ROW(A778)-1,COLUMNS('Portfolio Weights Returns'!$B$9:$BJ$69))+1)</f>
        <v>-8.1093198197536927E-4</v>
      </c>
      <c r="B779">
        <v>1.7500000000000002E-2</v>
      </c>
      <c r="C779" s="59">
        <v>0.08</v>
      </c>
      <c r="D779" s="59">
        <v>0.2</v>
      </c>
      <c r="E779" s="60">
        <f t="shared" si="12"/>
        <v>0.72000000000000008</v>
      </c>
      <c r="F779" t="str" cm="1">
        <f t="array" ref="F779">IF(A779=MAX(IF(ROUND($B$2:$B$3722,4)=ROUND(B779,4),$A$2:$A$3722)),"Efficient","Inefficient")</f>
        <v>Inefficient</v>
      </c>
    </row>
    <row r="780" spans="1:6" x14ac:dyDescent="0.25">
      <c r="A780" cm="1">
        <f t="array" ref="A780">INDEX('Portfolio Weights Returns'!$B$9:$BJ$69,
INT((ROW(A779)-1)/COLUMNS('Portfolio Weights Returns'!$B$9:$BJ$69))+1,MOD(ROW(A779)-1,COLUMNS('Portfolio Weights Returns'!$B$9:$BJ$69))+1)</f>
        <v>-8.0415080800869012E-4</v>
      </c>
      <c r="B780">
        <v>1.7500000000000002E-2</v>
      </c>
      <c r="C780" s="59">
        <v>0.09</v>
      </c>
      <c r="D780" s="59">
        <v>0.21</v>
      </c>
      <c r="E780" s="60">
        <f t="shared" si="12"/>
        <v>0.70000000000000007</v>
      </c>
      <c r="F780" t="str" cm="1">
        <f t="array" ref="F780">IF(A780=MAX(IF(ROUND($B$2:$B$3722,4)=ROUND(B780,4),$A$2:$A$3722)),"Efficient","Inefficient")</f>
        <v>Inefficient</v>
      </c>
    </row>
    <row r="781" spans="1:6" x14ac:dyDescent="0.25">
      <c r="A781" cm="1">
        <f t="array" ref="A781">INDEX('Portfolio Weights Returns'!$B$9:$BJ$69,
INT((ROW(A780)-1)/COLUMNS('Portfolio Weights Returns'!$B$9:$BJ$69))+1,MOD(ROW(A780)-1,COLUMNS('Portfolio Weights Returns'!$B$9:$BJ$69))+1)</f>
        <v>-7.9736963404201109E-4</v>
      </c>
      <c r="B781">
        <v>1.7500000000000002E-2</v>
      </c>
      <c r="C781" s="59">
        <v>0.09</v>
      </c>
      <c r="D781" s="59">
        <v>0.22</v>
      </c>
      <c r="E781" s="60">
        <f t="shared" si="12"/>
        <v>0.69000000000000006</v>
      </c>
      <c r="F781" t="str" cm="1">
        <f t="array" ref="F781">IF(A781=MAX(IF(ROUND($B$2:$B$3722,4)=ROUND(B781,4),$A$2:$A$3722)),"Efficient","Inefficient")</f>
        <v>Inefficient</v>
      </c>
    </row>
    <row r="782" spans="1:6" x14ac:dyDescent="0.25">
      <c r="A782" cm="1">
        <f t="array" ref="A782">INDEX('Portfolio Weights Returns'!$B$9:$BJ$69,
INT((ROW(A781)-1)/COLUMNS('Portfolio Weights Returns'!$B$9:$BJ$69))+1,MOD(ROW(A781)-1,COLUMNS('Portfolio Weights Returns'!$B$9:$BJ$69))+1)</f>
        <v>-7.9058846007533194E-4</v>
      </c>
      <c r="B782">
        <v>1.7500000000000002E-2</v>
      </c>
      <c r="C782" s="59">
        <v>0.1</v>
      </c>
      <c r="D782" s="59">
        <v>0.22</v>
      </c>
      <c r="E782" s="60">
        <f t="shared" si="12"/>
        <v>0.68</v>
      </c>
      <c r="F782" t="str" cm="1">
        <f t="array" ref="F782">IF(A782=MAX(IF(ROUND($B$2:$B$3722,4)=ROUND(B782,4),$A$2:$A$3722)),"Efficient","Inefficient")</f>
        <v>Inefficient</v>
      </c>
    </row>
    <row r="783" spans="1:6" x14ac:dyDescent="0.25">
      <c r="A783" cm="1">
        <f t="array" ref="A783">INDEX('Portfolio Weights Returns'!$B$9:$BJ$69,
INT((ROW(A782)-1)/COLUMNS('Portfolio Weights Returns'!$B$9:$BJ$69))+1,MOD(ROW(A782)-1,COLUMNS('Portfolio Weights Returns'!$B$9:$BJ$69))+1)</f>
        <v>-7.8380728610865291E-4</v>
      </c>
      <c r="B783">
        <v>1.7500000000000002E-2</v>
      </c>
      <c r="C783" s="59">
        <v>0.1</v>
      </c>
      <c r="D783" s="59">
        <v>0.23</v>
      </c>
      <c r="E783" s="60">
        <f t="shared" si="12"/>
        <v>0.67</v>
      </c>
      <c r="F783" t="str" cm="1">
        <f t="array" ref="F783">IF(A783=MAX(IF(ROUND($B$2:$B$3722,4)=ROUND(B783,4),$A$2:$A$3722)),"Efficient","Inefficient")</f>
        <v>Inefficient</v>
      </c>
    </row>
    <row r="784" spans="1:6" x14ac:dyDescent="0.25">
      <c r="A784" cm="1">
        <f t="array" ref="A784">INDEX('Portfolio Weights Returns'!$B$9:$BJ$69,
INT((ROW(A783)-1)/COLUMNS('Portfolio Weights Returns'!$B$9:$BJ$69))+1,MOD(ROW(A783)-1,COLUMNS('Portfolio Weights Returns'!$B$9:$BJ$69))+1)</f>
        <v>-7.7702611214197376E-4</v>
      </c>
      <c r="B784">
        <v>1.7500000000000002E-2</v>
      </c>
      <c r="C784" s="59">
        <v>0.11</v>
      </c>
      <c r="D784" s="59">
        <v>0.23</v>
      </c>
      <c r="E784" s="60">
        <f t="shared" si="12"/>
        <v>0.66</v>
      </c>
      <c r="F784" t="str" cm="1">
        <f t="array" ref="F784">IF(A784=MAX(IF(ROUND($B$2:$B$3722,4)=ROUND(B784,4),$A$2:$A$3722)),"Efficient","Inefficient")</f>
        <v>Inefficient</v>
      </c>
    </row>
    <row r="785" spans="1:6" x14ac:dyDescent="0.25">
      <c r="A785" cm="1">
        <f t="array" ref="A785">INDEX('Portfolio Weights Returns'!$B$9:$BJ$69,
INT((ROW(A784)-1)/COLUMNS('Portfolio Weights Returns'!$B$9:$BJ$69))+1,MOD(ROW(A784)-1,COLUMNS('Portfolio Weights Returns'!$B$9:$BJ$69))+1)</f>
        <v>-7.7024493817529473E-4</v>
      </c>
      <c r="B785">
        <v>1.7500000000000002E-2</v>
      </c>
      <c r="C785" s="59">
        <v>0.11</v>
      </c>
      <c r="D785" s="59">
        <v>0.24</v>
      </c>
      <c r="E785" s="60">
        <f t="shared" si="12"/>
        <v>0.65</v>
      </c>
      <c r="F785" t="str" cm="1">
        <f t="array" ref="F785">IF(A785=MAX(IF(ROUND($B$2:$B$3722,4)=ROUND(B785,4),$A$2:$A$3722)),"Efficient","Inefficient")</f>
        <v>Inefficient</v>
      </c>
    </row>
    <row r="786" spans="1:6" x14ac:dyDescent="0.25">
      <c r="A786" cm="1">
        <f t="array" ref="A786">INDEX('Portfolio Weights Returns'!$B$9:$BJ$69,
INT((ROW(A785)-1)/COLUMNS('Portfolio Weights Returns'!$B$9:$BJ$69))+1,MOD(ROW(A785)-1,COLUMNS('Portfolio Weights Returns'!$B$9:$BJ$69))+1)</f>
        <v>-7.6346376420861548E-4</v>
      </c>
      <c r="B786">
        <v>1.7500000000000002E-2</v>
      </c>
      <c r="C786" s="59">
        <v>0.12</v>
      </c>
      <c r="D786" s="59">
        <v>0.24</v>
      </c>
      <c r="E786" s="60">
        <f t="shared" si="12"/>
        <v>0.64</v>
      </c>
      <c r="F786" t="str" cm="1">
        <f t="array" ref="F786">IF(A786=MAX(IF(ROUND($B$2:$B$3722,4)=ROUND(B786,4),$A$2:$A$3722)),"Efficient","Inefficient")</f>
        <v>Inefficient</v>
      </c>
    </row>
    <row r="787" spans="1:6" x14ac:dyDescent="0.25">
      <c r="A787" cm="1">
        <f t="array" ref="A787">INDEX('Portfolio Weights Returns'!$B$9:$BJ$69,
INT((ROW(A786)-1)/COLUMNS('Portfolio Weights Returns'!$B$9:$BJ$69))+1,MOD(ROW(A786)-1,COLUMNS('Portfolio Weights Returns'!$B$9:$BJ$69))+1)</f>
        <v>-7.5668259024193644E-4</v>
      </c>
      <c r="B787">
        <v>1.7500000000000002E-2</v>
      </c>
      <c r="C787" s="59">
        <v>0.13</v>
      </c>
      <c r="D787" s="59">
        <v>0.25</v>
      </c>
      <c r="E787" s="60">
        <f t="shared" si="12"/>
        <v>0.62</v>
      </c>
      <c r="F787" t="str" cm="1">
        <f t="array" ref="F787">IF(A787=MAX(IF(ROUND($B$2:$B$3722,4)=ROUND(B787,4),$A$2:$A$3722)),"Efficient","Inefficient")</f>
        <v>Inefficient</v>
      </c>
    </row>
    <row r="788" spans="1:6" x14ac:dyDescent="0.25">
      <c r="A788" cm="1">
        <f t="array" ref="A788">INDEX('Portfolio Weights Returns'!$B$9:$BJ$69,
INT((ROW(A787)-1)/COLUMNS('Portfolio Weights Returns'!$B$9:$BJ$69))+1,MOD(ROW(A787)-1,COLUMNS('Portfolio Weights Returns'!$B$9:$BJ$69))+1)</f>
        <v>-7.4990141627525729E-4</v>
      </c>
      <c r="B788">
        <v>1.7500000000000002E-2</v>
      </c>
      <c r="C788" s="59">
        <v>0.15</v>
      </c>
      <c r="D788" s="59">
        <v>0.26</v>
      </c>
      <c r="E788" s="60">
        <f t="shared" si="12"/>
        <v>0.59</v>
      </c>
      <c r="F788" t="str" cm="1">
        <f t="array" ref="F788">IF(A788=MAX(IF(ROUND($B$2:$B$3722,4)=ROUND(B788,4),$A$2:$A$3722)),"Efficient","Inefficient")</f>
        <v>Inefficient</v>
      </c>
    </row>
    <row r="789" spans="1:6" x14ac:dyDescent="0.25">
      <c r="A789" cm="1">
        <f t="array" ref="A789">INDEX('Portfolio Weights Returns'!$B$9:$BJ$69,
INT((ROW(A788)-1)/COLUMNS('Portfolio Weights Returns'!$B$9:$BJ$69))+1,MOD(ROW(A788)-1,COLUMNS('Portfolio Weights Returns'!$B$9:$BJ$69))+1)</f>
        <v>-7.4312024230857815E-4</v>
      </c>
      <c r="B789">
        <v>1.7500000000000002E-2</v>
      </c>
      <c r="C789" s="59">
        <v>0.17</v>
      </c>
      <c r="D789" s="59">
        <v>0.27</v>
      </c>
      <c r="E789" s="60">
        <f t="shared" si="12"/>
        <v>0.55999999999999994</v>
      </c>
      <c r="F789" t="str" cm="1">
        <f t="array" ref="F789">IF(A789=MAX(IF(ROUND($B$2:$B$3722,4)=ROUND(B789,4),$A$2:$A$3722)),"Efficient","Inefficient")</f>
        <v>Inefficient</v>
      </c>
    </row>
    <row r="790" spans="1:6" x14ac:dyDescent="0.25">
      <c r="A790" cm="1">
        <f t="array" ref="A790">INDEX('Portfolio Weights Returns'!$B$9:$BJ$69,
INT((ROW(A789)-1)/COLUMNS('Portfolio Weights Returns'!$B$9:$BJ$69))+1,MOD(ROW(A789)-1,COLUMNS('Portfolio Weights Returns'!$B$9:$BJ$69))+1)</f>
        <v>-7.3633906834189911E-4</v>
      </c>
      <c r="B790">
        <v>1.7500000000000002E-2</v>
      </c>
      <c r="C790" s="59">
        <v>0.19</v>
      </c>
      <c r="D790" s="59">
        <v>0.28000000000000003</v>
      </c>
      <c r="E790" s="60">
        <f t="shared" si="12"/>
        <v>0.53</v>
      </c>
      <c r="F790" t="str" cm="1">
        <f t="array" ref="F790">IF(A790=MAX(IF(ROUND($B$2:$B$3722,4)=ROUND(B790,4),$A$2:$A$3722)),"Efficient","Inefficient")</f>
        <v>Inefficient</v>
      </c>
    </row>
    <row r="791" spans="1:6" x14ac:dyDescent="0.25">
      <c r="A791" cm="1">
        <f t="array" ref="A791">INDEX('Portfolio Weights Returns'!$B$9:$BJ$69,
INT((ROW(A790)-1)/COLUMNS('Portfolio Weights Returns'!$B$9:$BJ$69))+1,MOD(ROW(A790)-1,COLUMNS('Portfolio Weights Returns'!$B$9:$BJ$69))+1)</f>
        <v>-7.2955789437521932E-4</v>
      </c>
      <c r="B791">
        <v>1.7500000000000002E-2</v>
      </c>
      <c r="C791" s="59">
        <v>0.2</v>
      </c>
      <c r="D791" s="59">
        <v>0.28000000000000003</v>
      </c>
      <c r="E791" s="60">
        <f t="shared" si="12"/>
        <v>0.52</v>
      </c>
      <c r="F791" t="str" cm="1">
        <f t="array" ref="F791">IF(A791=MAX(IF(ROUND($B$2:$B$3722,4)=ROUND(B791,4),$A$2:$A$3722)),"Efficient","Inefficient")</f>
        <v>Inefficient</v>
      </c>
    </row>
    <row r="792" spans="1:6" x14ac:dyDescent="0.25">
      <c r="A792" cm="1">
        <f t="array" ref="A792">INDEX('Portfolio Weights Returns'!$B$9:$BJ$69,
INT((ROW(A791)-1)/COLUMNS('Portfolio Weights Returns'!$B$9:$BJ$69))+1,MOD(ROW(A791)-1,COLUMNS('Portfolio Weights Returns'!$B$9:$BJ$69))+1)</f>
        <v>-7.2277672040854028E-4</v>
      </c>
      <c r="B792">
        <v>1.7500000000000002E-2</v>
      </c>
      <c r="C792" s="59">
        <v>0.23</v>
      </c>
      <c r="D792" s="59">
        <v>0.28999999999999998</v>
      </c>
      <c r="E792" s="60">
        <f t="shared" si="12"/>
        <v>0.48</v>
      </c>
      <c r="F792" t="str" cm="1">
        <f t="array" ref="F792">IF(A792=MAX(IF(ROUND($B$2:$B$3722,4)=ROUND(B792,4),$A$2:$A$3722)),"Efficient","Inefficient")</f>
        <v>Inefficient</v>
      </c>
    </row>
    <row r="793" spans="1:6" x14ac:dyDescent="0.25">
      <c r="A793" cm="1">
        <f t="array" ref="A793">INDEX('Portfolio Weights Returns'!$B$9:$BJ$69,
INT((ROW(A792)-1)/COLUMNS('Portfolio Weights Returns'!$B$9:$BJ$69))+1,MOD(ROW(A792)-1,COLUMNS('Portfolio Weights Returns'!$B$9:$BJ$69))+1)</f>
        <v>-7.1599554644186114E-4</v>
      </c>
      <c r="B793">
        <v>1.7500000000000002E-2</v>
      </c>
      <c r="C793" s="59">
        <v>0.24</v>
      </c>
      <c r="D793" s="59">
        <v>0.28999999999999998</v>
      </c>
      <c r="E793" s="60">
        <f t="shared" si="12"/>
        <v>0.47</v>
      </c>
      <c r="F793" t="str" cm="1">
        <f t="array" ref="F793">IF(A793=MAX(IF(ROUND($B$2:$B$3722,4)=ROUND(B793,4),$A$2:$A$3722)),"Efficient","Inefficient")</f>
        <v>Inefficient</v>
      </c>
    </row>
    <row r="794" spans="1:6" x14ac:dyDescent="0.25">
      <c r="A794" cm="1">
        <f t="array" ref="A794">INDEX('Portfolio Weights Returns'!$B$9:$BJ$69,
INT((ROW(A793)-1)/COLUMNS('Portfolio Weights Returns'!$B$9:$BJ$69))+1,MOD(ROW(A793)-1,COLUMNS('Portfolio Weights Returns'!$B$9:$BJ$69))+1)</f>
        <v>-7.092143724751821E-4</v>
      </c>
      <c r="B794">
        <v>1.7500000000000002E-2</v>
      </c>
      <c r="C794" s="59">
        <v>0.25</v>
      </c>
      <c r="D794" s="59">
        <v>0.28999999999999998</v>
      </c>
      <c r="E794" s="60">
        <f t="shared" si="12"/>
        <v>0.45999999999999996</v>
      </c>
      <c r="F794" t="str" cm="1">
        <f t="array" ref="F794">IF(A794=MAX(IF(ROUND($B$2:$B$3722,4)=ROUND(B794,4),$A$2:$A$3722)),"Efficient","Inefficient")</f>
        <v>Efficient</v>
      </c>
    </row>
    <row r="795" spans="1:6" x14ac:dyDescent="0.25">
      <c r="A795" cm="1">
        <f t="array" ref="A795">INDEX('Portfolio Weights Returns'!$B$9:$BJ$69,
INT((ROW(A794)-1)/COLUMNS('Portfolio Weights Returns'!$B$9:$BJ$69))+1,MOD(ROW(A794)-1,COLUMNS('Portfolio Weights Returns'!$B$9:$BJ$69))+1)</f>
        <v>-1.1095106026304739E-3</v>
      </c>
      <c r="B795">
        <v>1.7500000000000002E-2</v>
      </c>
      <c r="C795" s="59">
        <v>0.28999999999999998</v>
      </c>
      <c r="D795" s="59">
        <v>0.3</v>
      </c>
      <c r="E795" s="60">
        <f t="shared" si="12"/>
        <v>0.41</v>
      </c>
      <c r="F795" t="str" cm="1">
        <f t="array" ref="F795">IF(A795=MAX(IF(ROUND($B$2:$B$3722,4)=ROUND(B795,4),$A$2:$A$3722)),"Efficient","Inefficient")</f>
        <v>Inefficient</v>
      </c>
    </row>
    <row r="796" spans="1:6" x14ac:dyDescent="0.25">
      <c r="A796" cm="1">
        <f t="array" ref="A796">INDEX('Portfolio Weights Returns'!$B$9:$BJ$69,
INT((ROW(A795)-1)/COLUMNS('Portfolio Weights Returns'!$B$9:$BJ$69))+1,MOD(ROW(A795)-1,COLUMNS('Portfolio Weights Returns'!$B$9:$BJ$69))+1)</f>
        <v>-1.1027294286637948E-3</v>
      </c>
      <c r="B796">
        <v>1.7500000000000002E-2</v>
      </c>
      <c r="C796" s="59">
        <v>0.3</v>
      </c>
      <c r="D796" s="59">
        <v>0.3</v>
      </c>
      <c r="E796" s="60">
        <f t="shared" si="12"/>
        <v>0.39999999999999997</v>
      </c>
      <c r="F796" t="str" cm="1">
        <f t="array" ref="F796">IF(A796=MAX(IF(ROUND($B$2:$B$3722,4)=ROUND(B796,4),$A$2:$A$3722)),"Efficient","Inefficient")</f>
        <v>Inefficient</v>
      </c>
    </row>
    <row r="797" spans="1:6" x14ac:dyDescent="0.25">
      <c r="A797" cm="1">
        <f t="array" ref="A797">INDEX('Portfolio Weights Returns'!$B$9:$BJ$69,
INT((ROW(A796)-1)/COLUMNS('Portfolio Weights Returns'!$B$9:$BJ$69))+1,MOD(ROW(A796)-1,COLUMNS('Portfolio Weights Returns'!$B$9:$BJ$69))+1)</f>
        <v>-1.0959482546971156E-3</v>
      </c>
      <c r="B797">
        <v>1.7600000000000001E-2</v>
      </c>
      <c r="C797" s="59">
        <v>0.28999999999999998</v>
      </c>
      <c r="D797" s="59">
        <v>-0.15</v>
      </c>
      <c r="E797" s="60">
        <f t="shared" si="12"/>
        <v>0.85999999999999988</v>
      </c>
      <c r="F797" t="str" cm="1">
        <f t="array" ref="F797">IF(A797=MAX(IF(ROUND($B$2:$B$3722,4)=ROUND(B797,4),$A$2:$A$3722)),"Efficient","Inefficient")</f>
        <v>Inefficient</v>
      </c>
    </row>
    <row r="798" spans="1:6" x14ac:dyDescent="0.25">
      <c r="A798" cm="1">
        <f t="array" ref="A798">INDEX('Portfolio Weights Returns'!$B$9:$BJ$69,
INT((ROW(A797)-1)/COLUMNS('Portfolio Weights Returns'!$B$9:$BJ$69))+1,MOD(ROW(A797)-1,COLUMNS('Portfolio Weights Returns'!$B$9:$BJ$69))+1)</f>
        <v>-1.0891670807304365E-3</v>
      </c>
      <c r="B798">
        <v>1.7600000000000001E-2</v>
      </c>
      <c r="C798" s="59">
        <v>0.26</v>
      </c>
      <c r="D798" s="59">
        <v>-0.13</v>
      </c>
      <c r="E798" s="60">
        <f t="shared" si="12"/>
        <v>0.86999999999999988</v>
      </c>
      <c r="F798" t="str" cm="1">
        <f t="array" ref="F798">IF(A798=MAX(IF(ROUND($B$2:$B$3722,4)=ROUND(B798,4),$A$2:$A$3722)),"Efficient","Inefficient")</f>
        <v>Inefficient</v>
      </c>
    </row>
    <row r="799" spans="1:6" x14ac:dyDescent="0.25">
      <c r="A799" cm="1">
        <f t="array" ref="A799">INDEX('Portfolio Weights Returns'!$B$9:$BJ$69,
INT((ROW(A798)-1)/COLUMNS('Portfolio Weights Returns'!$B$9:$BJ$69))+1,MOD(ROW(A798)-1,COLUMNS('Portfolio Weights Returns'!$B$9:$BJ$69))+1)</f>
        <v>-1.0823859067637571E-3</v>
      </c>
      <c r="B799">
        <v>1.7600000000000001E-2</v>
      </c>
      <c r="C799" s="59">
        <v>0.23</v>
      </c>
      <c r="D799" s="59">
        <v>-0.11</v>
      </c>
      <c r="E799" s="60">
        <f t="shared" si="12"/>
        <v>0.88000000000000012</v>
      </c>
      <c r="F799" t="str" cm="1">
        <f t="array" ref="F799">IF(A799=MAX(IF(ROUND($B$2:$B$3722,4)=ROUND(B799,4),$A$2:$A$3722)),"Efficient","Inefficient")</f>
        <v>Inefficient</v>
      </c>
    </row>
    <row r="800" spans="1:6" x14ac:dyDescent="0.25">
      <c r="A800" cm="1">
        <f t="array" ref="A800">INDEX('Portfolio Weights Returns'!$B$9:$BJ$69,
INT((ROW(A799)-1)/COLUMNS('Portfolio Weights Returns'!$B$9:$BJ$69))+1,MOD(ROW(A799)-1,COLUMNS('Portfolio Weights Returns'!$B$9:$BJ$69))+1)</f>
        <v>-1.0756047327970782E-3</v>
      </c>
      <c r="B800">
        <v>1.7600000000000001E-2</v>
      </c>
      <c r="C800" s="59">
        <v>0.22</v>
      </c>
      <c r="D800" s="59">
        <v>-0.1</v>
      </c>
      <c r="E800" s="60">
        <f t="shared" si="12"/>
        <v>0.88000000000000012</v>
      </c>
      <c r="F800" t="str" cm="1">
        <f t="array" ref="F800">IF(A800=MAX(IF(ROUND($B$2:$B$3722,4)=ROUND(B800,4),$A$2:$A$3722)),"Efficient","Inefficient")</f>
        <v>Inefficient</v>
      </c>
    </row>
    <row r="801" spans="1:6" x14ac:dyDescent="0.25">
      <c r="A801" cm="1">
        <f t="array" ref="A801">INDEX('Portfolio Weights Returns'!$B$9:$BJ$69,
INT((ROW(A800)-1)/COLUMNS('Portfolio Weights Returns'!$B$9:$BJ$69))+1,MOD(ROW(A800)-1,COLUMNS('Portfolio Weights Returns'!$B$9:$BJ$69))+1)</f>
        <v>-1.0688235588303991E-3</v>
      </c>
      <c r="B801">
        <v>1.7600000000000001E-2</v>
      </c>
      <c r="C801" s="59">
        <v>0.19</v>
      </c>
      <c r="D801" s="59">
        <v>-0.08</v>
      </c>
      <c r="E801" s="60">
        <f t="shared" si="12"/>
        <v>0.89000000000000012</v>
      </c>
      <c r="F801" t="str" cm="1">
        <f t="array" ref="F801">IF(A801=MAX(IF(ROUND($B$2:$B$3722,4)=ROUND(B801,4),$A$2:$A$3722)),"Efficient","Inefficient")</f>
        <v>Inefficient</v>
      </c>
    </row>
    <row r="802" spans="1:6" x14ac:dyDescent="0.25">
      <c r="A802" cm="1">
        <f t="array" ref="A802">INDEX('Portfolio Weights Returns'!$B$9:$BJ$69,
INT((ROW(A801)-1)/COLUMNS('Portfolio Weights Returns'!$B$9:$BJ$69))+1,MOD(ROW(A801)-1,COLUMNS('Portfolio Weights Returns'!$B$9:$BJ$69))+1)</f>
        <v>-1.0620423848637199E-3</v>
      </c>
      <c r="B802">
        <v>1.7600000000000001E-2</v>
      </c>
      <c r="C802" s="59">
        <v>0.18</v>
      </c>
      <c r="D802" s="59">
        <v>-7.0000000000000007E-2</v>
      </c>
      <c r="E802" s="60">
        <f t="shared" si="12"/>
        <v>0.89000000000000012</v>
      </c>
      <c r="F802" t="str" cm="1">
        <f t="array" ref="F802">IF(A802=MAX(IF(ROUND($B$2:$B$3722,4)=ROUND(B802,4),$A$2:$A$3722)),"Efficient","Inefficient")</f>
        <v>Inefficient</v>
      </c>
    </row>
    <row r="803" spans="1:6" x14ac:dyDescent="0.25">
      <c r="A803" cm="1">
        <f t="array" ref="A803">INDEX('Portfolio Weights Returns'!$B$9:$BJ$69,
INT((ROW(A802)-1)/COLUMNS('Portfolio Weights Returns'!$B$9:$BJ$69))+1,MOD(ROW(A802)-1,COLUMNS('Portfolio Weights Returns'!$B$9:$BJ$69))+1)</f>
        <v>-1.0552612108970408E-3</v>
      </c>
      <c r="B803">
        <v>1.7600000000000001E-2</v>
      </c>
      <c r="C803" s="59">
        <v>0.17</v>
      </c>
      <c r="D803" s="59">
        <v>-0.06</v>
      </c>
      <c r="E803" s="60">
        <f t="shared" si="12"/>
        <v>0.89</v>
      </c>
      <c r="F803" t="str" cm="1">
        <f t="array" ref="F803">IF(A803=MAX(IF(ROUND($B$2:$B$3722,4)=ROUND(B803,4),$A$2:$A$3722)),"Efficient","Inefficient")</f>
        <v>Inefficient</v>
      </c>
    </row>
    <row r="804" spans="1:6" x14ac:dyDescent="0.25">
      <c r="A804" cm="1">
        <f t="array" ref="A804">INDEX('Portfolio Weights Returns'!$B$9:$BJ$69,
INT((ROW(A803)-1)/COLUMNS('Portfolio Weights Returns'!$B$9:$BJ$69))+1,MOD(ROW(A803)-1,COLUMNS('Portfolio Weights Returns'!$B$9:$BJ$69))+1)</f>
        <v>-1.0484800369303618E-3</v>
      </c>
      <c r="B804">
        <v>1.7600000000000001E-2</v>
      </c>
      <c r="C804" s="59">
        <v>0.16</v>
      </c>
      <c r="D804" s="59">
        <v>-0.05</v>
      </c>
      <c r="E804" s="60">
        <f t="shared" si="12"/>
        <v>0.89</v>
      </c>
      <c r="F804" t="str" cm="1">
        <f t="array" ref="F804">IF(A804=MAX(IF(ROUND($B$2:$B$3722,4)=ROUND(B804,4),$A$2:$A$3722)),"Efficient","Inefficient")</f>
        <v>Inefficient</v>
      </c>
    </row>
    <row r="805" spans="1:6" x14ac:dyDescent="0.25">
      <c r="A805" cm="1">
        <f t="array" ref="A805">INDEX('Portfolio Weights Returns'!$B$9:$BJ$69,
INT((ROW(A804)-1)/COLUMNS('Portfolio Weights Returns'!$B$9:$BJ$69))+1,MOD(ROW(A804)-1,COLUMNS('Portfolio Weights Returns'!$B$9:$BJ$69))+1)</f>
        <v>-1.0416988629636827E-3</v>
      </c>
      <c r="B805">
        <v>1.7600000000000001E-2</v>
      </c>
      <c r="C805" s="59">
        <v>0.15</v>
      </c>
      <c r="D805" s="59">
        <v>-0.04</v>
      </c>
      <c r="E805" s="60">
        <f t="shared" si="12"/>
        <v>0.89</v>
      </c>
      <c r="F805" t="str" cm="1">
        <f t="array" ref="F805">IF(A805=MAX(IF(ROUND($B$2:$B$3722,4)=ROUND(B805,4),$A$2:$A$3722)),"Efficient","Inefficient")</f>
        <v>Inefficient</v>
      </c>
    </row>
    <row r="806" spans="1:6" x14ac:dyDescent="0.25">
      <c r="A806" cm="1">
        <f t="array" ref="A806">INDEX('Portfolio Weights Returns'!$B$9:$BJ$69,
INT((ROW(A805)-1)/COLUMNS('Portfolio Weights Returns'!$B$9:$BJ$69))+1,MOD(ROW(A805)-1,COLUMNS('Portfolio Weights Returns'!$B$9:$BJ$69))+1)</f>
        <v>-1.0349176889970035E-3</v>
      </c>
      <c r="B806">
        <v>1.7600000000000001E-2</v>
      </c>
      <c r="C806" s="59">
        <v>0.14000000000000001</v>
      </c>
      <c r="D806" s="59">
        <v>-0.03</v>
      </c>
      <c r="E806" s="60">
        <f t="shared" si="12"/>
        <v>0.89</v>
      </c>
      <c r="F806" t="str" cm="1">
        <f t="array" ref="F806">IF(A806=MAX(IF(ROUND($B$2:$B$3722,4)=ROUND(B806,4),$A$2:$A$3722)),"Efficient","Inefficient")</f>
        <v>Inefficient</v>
      </c>
    </row>
    <row r="807" spans="1:6" x14ac:dyDescent="0.25">
      <c r="A807" cm="1">
        <f t="array" ref="A807">INDEX('Portfolio Weights Returns'!$B$9:$BJ$69,
INT((ROW(A806)-1)/COLUMNS('Portfolio Weights Returns'!$B$9:$BJ$69))+1,MOD(ROW(A806)-1,COLUMNS('Portfolio Weights Returns'!$B$9:$BJ$69))+1)</f>
        <v>-1.0281365150303244E-3</v>
      </c>
      <c r="B807">
        <v>1.7600000000000001E-2</v>
      </c>
      <c r="C807" s="59">
        <v>0.13</v>
      </c>
      <c r="D807" s="59">
        <v>-0.02</v>
      </c>
      <c r="E807" s="60">
        <f t="shared" si="12"/>
        <v>0.89</v>
      </c>
      <c r="F807" t="str" cm="1">
        <f t="array" ref="F807">IF(A807=MAX(IF(ROUND($B$2:$B$3722,4)=ROUND(B807,4),$A$2:$A$3722)),"Efficient","Inefficient")</f>
        <v>Inefficient</v>
      </c>
    </row>
    <row r="808" spans="1:6" x14ac:dyDescent="0.25">
      <c r="A808" cm="1">
        <f t="array" ref="A808">INDEX('Portfolio Weights Returns'!$B$9:$BJ$69,
INT((ROW(A807)-1)/COLUMNS('Portfolio Weights Returns'!$B$9:$BJ$69))+1,MOD(ROW(A807)-1,COLUMNS('Portfolio Weights Returns'!$B$9:$BJ$69))+1)</f>
        <v>-1.0213553410636453E-3</v>
      </c>
      <c r="B808">
        <v>1.7600000000000001E-2</v>
      </c>
      <c r="C808" s="59">
        <v>0.12</v>
      </c>
      <c r="D808" s="59">
        <v>-0.01</v>
      </c>
      <c r="E808" s="60">
        <f t="shared" si="12"/>
        <v>0.89</v>
      </c>
      <c r="F808" t="str" cm="1">
        <f t="array" ref="F808">IF(A808=MAX(IF(ROUND($B$2:$B$3722,4)=ROUND(B808,4),$A$2:$A$3722)),"Efficient","Inefficient")</f>
        <v>Inefficient</v>
      </c>
    </row>
    <row r="809" spans="1:6" x14ac:dyDescent="0.25">
      <c r="A809" cm="1">
        <f t="array" ref="A809">INDEX('Portfolio Weights Returns'!$B$9:$BJ$69,
INT((ROW(A808)-1)/COLUMNS('Portfolio Weights Returns'!$B$9:$BJ$69))+1,MOD(ROW(A808)-1,COLUMNS('Portfolio Weights Returns'!$B$9:$BJ$69))+1)</f>
        <v>-1.0145741670969663E-3</v>
      </c>
      <c r="B809">
        <v>1.7600000000000001E-2</v>
      </c>
      <c r="C809" s="59">
        <v>0.11</v>
      </c>
      <c r="D809" s="59">
        <v>0</v>
      </c>
      <c r="E809" s="60">
        <f t="shared" si="12"/>
        <v>0.89</v>
      </c>
      <c r="F809" t="str" cm="1">
        <f t="array" ref="F809">IF(A809=MAX(IF(ROUND($B$2:$B$3722,4)=ROUND(B809,4),$A$2:$A$3722)),"Efficient","Inefficient")</f>
        <v>Inefficient</v>
      </c>
    </row>
    <row r="810" spans="1:6" x14ac:dyDescent="0.25">
      <c r="A810" cm="1">
        <f t="array" ref="A810">INDEX('Portfolio Weights Returns'!$B$9:$BJ$69,
INT((ROW(A809)-1)/COLUMNS('Portfolio Weights Returns'!$B$9:$BJ$69))+1,MOD(ROW(A809)-1,COLUMNS('Portfolio Weights Returns'!$B$9:$BJ$69))+1)</f>
        <v>-1.0077929931302872E-3</v>
      </c>
      <c r="B810">
        <v>1.7600000000000001E-2</v>
      </c>
      <c r="C810" s="59">
        <v>0.1</v>
      </c>
      <c r="D810" s="59">
        <v>0.02</v>
      </c>
      <c r="E810" s="60">
        <f t="shared" si="12"/>
        <v>0.88</v>
      </c>
      <c r="F810" t="str" cm="1">
        <f t="array" ref="F810">IF(A810=MAX(IF(ROUND($B$2:$B$3722,4)=ROUND(B810,4),$A$2:$A$3722)),"Efficient","Inefficient")</f>
        <v>Inefficient</v>
      </c>
    </row>
    <row r="811" spans="1:6" x14ac:dyDescent="0.25">
      <c r="A811" cm="1">
        <f t="array" ref="A811">INDEX('Portfolio Weights Returns'!$B$9:$BJ$69,
INT((ROW(A810)-1)/COLUMNS('Portfolio Weights Returns'!$B$9:$BJ$69))+1,MOD(ROW(A810)-1,COLUMNS('Portfolio Weights Returns'!$B$9:$BJ$69))+1)</f>
        <v>-1.001011819163608E-3</v>
      </c>
      <c r="B811">
        <v>1.7600000000000001E-2</v>
      </c>
      <c r="C811" s="59">
        <v>0.09</v>
      </c>
      <c r="D811" s="59">
        <v>0.03</v>
      </c>
      <c r="E811" s="60">
        <f t="shared" si="12"/>
        <v>0.88</v>
      </c>
      <c r="F811" t="str" cm="1">
        <f t="array" ref="F811">IF(A811=MAX(IF(ROUND($B$2:$B$3722,4)=ROUND(B811,4),$A$2:$A$3722)),"Efficient","Inefficient")</f>
        <v>Inefficient</v>
      </c>
    </row>
    <row r="812" spans="1:6" x14ac:dyDescent="0.25">
      <c r="A812" cm="1">
        <f t="array" ref="A812">INDEX('Portfolio Weights Returns'!$B$9:$BJ$69,
INT((ROW(A811)-1)/COLUMNS('Portfolio Weights Returns'!$B$9:$BJ$69))+1,MOD(ROW(A811)-1,COLUMNS('Portfolio Weights Returns'!$B$9:$BJ$69))+1)</f>
        <v>-9.942306451969289E-4</v>
      </c>
      <c r="B812">
        <v>1.7600000000000001E-2</v>
      </c>
      <c r="C812" s="59">
        <v>0.08</v>
      </c>
      <c r="D812" s="59">
        <v>0.05</v>
      </c>
      <c r="E812" s="60">
        <f t="shared" si="12"/>
        <v>0.87</v>
      </c>
      <c r="F812" t="str" cm="1">
        <f t="array" ref="F812">IF(A812=MAX(IF(ROUND($B$2:$B$3722,4)=ROUND(B812,4),$A$2:$A$3722)),"Efficient","Inefficient")</f>
        <v>Inefficient</v>
      </c>
    </row>
    <row r="813" spans="1:6" x14ac:dyDescent="0.25">
      <c r="A813" cm="1">
        <f t="array" ref="A813">INDEX('Portfolio Weights Returns'!$B$9:$BJ$69,
INT((ROW(A812)-1)/COLUMNS('Portfolio Weights Returns'!$B$9:$BJ$69))+1,MOD(ROW(A812)-1,COLUMNS('Portfolio Weights Returns'!$B$9:$BJ$69))+1)</f>
        <v>-9.8744947123024997E-4</v>
      </c>
      <c r="B813">
        <v>1.7600000000000001E-2</v>
      </c>
      <c r="C813" s="59">
        <v>7.0000000000000007E-2</v>
      </c>
      <c r="D813" s="59">
        <v>7.0000000000000007E-2</v>
      </c>
      <c r="E813" s="60">
        <f t="shared" si="12"/>
        <v>0.85999999999999988</v>
      </c>
      <c r="F813" t="str" cm="1">
        <f t="array" ref="F813">IF(A813=MAX(IF(ROUND($B$2:$B$3722,4)=ROUND(B813,4),$A$2:$A$3722)),"Efficient","Inefficient")</f>
        <v>Inefficient</v>
      </c>
    </row>
    <row r="814" spans="1:6" x14ac:dyDescent="0.25">
      <c r="A814" cm="1">
        <f t="array" ref="A814">INDEX('Portfolio Weights Returns'!$B$9:$BJ$69,
INT((ROW(A813)-1)/COLUMNS('Portfolio Weights Returns'!$B$9:$BJ$69))+1,MOD(ROW(A813)-1,COLUMNS('Portfolio Weights Returns'!$B$9:$BJ$69))+1)</f>
        <v>-9.8066829726357082E-4</v>
      </c>
      <c r="B814">
        <v>1.7600000000000001E-2</v>
      </c>
      <c r="C814" s="59">
        <v>0.06</v>
      </c>
      <c r="D814" s="59">
        <v>0.09</v>
      </c>
      <c r="E814" s="60">
        <f t="shared" si="12"/>
        <v>0.85000000000000009</v>
      </c>
      <c r="F814" t="str" cm="1">
        <f t="array" ref="F814">IF(A814=MAX(IF(ROUND($B$2:$B$3722,4)=ROUND(B814,4),$A$2:$A$3722)),"Efficient","Inefficient")</f>
        <v>Inefficient</v>
      </c>
    </row>
    <row r="815" spans="1:6" x14ac:dyDescent="0.25">
      <c r="A815" cm="1">
        <f t="array" ref="A815">INDEX('Portfolio Weights Returns'!$B$9:$BJ$69,
INT((ROW(A814)-1)/COLUMNS('Portfolio Weights Returns'!$B$9:$BJ$69))+1,MOD(ROW(A814)-1,COLUMNS('Portfolio Weights Returns'!$B$9:$BJ$69))+1)</f>
        <v>-9.7388712329689168E-4</v>
      </c>
      <c r="B815">
        <v>1.7600000000000001E-2</v>
      </c>
      <c r="C815" s="59">
        <v>0.06</v>
      </c>
      <c r="D815" s="59">
        <v>0.1</v>
      </c>
      <c r="E815" s="60">
        <f t="shared" si="12"/>
        <v>0.84000000000000008</v>
      </c>
      <c r="F815" t="str" cm="1">
        <f t="array" ref="F815">IF(A815=MAX(IF(ROUND($B$2:$B$3722,4)=ROUND(B815,4),$A$2:$A$3722)),"Efficient","Inefficient")</f>
        <v>Inefficient</v>
      </c>
    </row>
    <row r="816" spans="1:6" x14ac:dyDescent="0.25">
      <c r="A816" cm="1">
        <f t="array" ref="A816">INDEX('Portfolio Weights Returns'!$B$9:$BJ$69,
INT((ROW(A815)-1)/COLUMNS('Portfolio Weights Returns'!$B$9:$BJ$69))+1,MOD(ROW(A815)-1,COLUMNS('Portfolio Weights Returns'!$B$9:$BJ$69))+1)</f>
        <v>-9.6710594933021254E-4</v>
      </c>
      <c r="B816">
        <v>1.7600000000000001E-2</v>
      </c>
      <c r="C816" s="59">
        <v>0.06</v>
      </c>
      <c r="D816" s="59">
        <v>0.11</v>
      </c>
      <c r="E816" s="60">
        <f t="shared" si="12"/>
        <v>0.83000000000000007</v>
      </c>
      <c r="F816" t="str" cm="1">
        <f t="array" ref="F816">IF(A816=MAX(IF(ROUND($B$2:$B$3722,4)=ROUND(B816,4),$A$2:$A$3722)),"Efficient","Inefficient")</f>
        <v>Inefficient</v>
      </c>
    </row>
    <row r="817" spans="1:6" x14ac:dyDescent="0.25">
      <c r="A817" cm="1">
        <f t="array" ref="A817">INDEX('Portfolio Weights Returns'!$B$9:$BJ$69,
INT((ROW(A816)-1)/COLUMNS('Portfolio Weights Returns'!$B$9:$BJ$69))+1,MOD(ROW(A816)-1,COLUMNS('Portfolio Weights Returns'!$B$9:$BJ$69))+1)</f>
        <v>-9.603247753635335E-4</v>
      </c>
      <c r="B817">
        <v>1.7600000000000001E-2</v>
      </c>
      <c r="C817" s="59">
        <v>0.05</v>
      </c>
      <c r="D817" s="59">
        <v>0.13</v>
      </c>
      <c r="E817" s="60">
        <f t="shared" si="12"/>
        <v>0.82</v>
      </c>
      <c r="F817" t="str" cm="1">
        <f t="array" ref="F817">IF(A817=MAX(IF(ROUND($B$2:$B$3722,4)=ROUND(B817,4),$A$2:$A$3722)),"Efficient","Inefficient")</f>
        <v>Inefficient</v>
      </c>
    </row>
    <row r="818" spans="1:6" x14ac:dyDescent="0.25">
      <c r="A818" cm="1">
        <f t="array" ref="A818">INDEX('Portfolio Weights Returns'!$B$9:$BJ$69,
INT((ROW(A817)-1)/COLUMNS('Portfolio Weights Returns'!$B$9:$BJ$69))+1,MOD(ROW(A817)-1,COLUMNS('Portfolio Weights Returns'!$B$9:$BJ$69))+1)</f>
        <v>-9.5354360139685436E-4</v>
      </c>
      <c r="B818">
        <v>1.7600000000000001E-2</v>
      </c>
      <c r="C818" s="59">
        <v>0.05</v>
      </c>
      <c r="D818" s="59">
        <v>0.14000000000000001</v>
      </c>
      <c r="E818" s="60">
        <f t="shared" si="12"/>
        <v>0.80999999999999994</v>
      </c>
      <c r="F818" t="str" cm="1">
        <f t="array" ref="F818">IF(A818=MAX(IF(ROUND($B$2:$B$3722,4)=ROUND(B818,4),$A$2:$A$3722)),"Efficient","Inefficient")</f>
        <v>Inefficient</v>
      </c>
    </row>
    <row r="819" spans="1:6" x14ac:dyDescent="0.25">
      <c r="A819" cm="1">
        <f t="array" ref="A819">INDEX('Portfolio Weights Returns'!$B$9:$BJ$69,
INT((ROW(A818)-1)/COLUMNS('Portfolio Weights Returns'!$B$9:$BJ$69))+1,MOD(ROW(A818)-1,COLUMNS('Portfolio Weights Returns'!$B$9:$BJ$69))+1)</f>
        <v>-9.4676242743017532E-4</v>
      </c>
      <c r="B819">
        <v>1.7600000000000001E-2</v>
      </c>
      <c r="C819" s="59">
        <v>0.05</v>
      </c>
      <c r="D819" s="59">
        <v>0.15</v>
      </c>
      <c r="E819" s="60">
        <f t="shared" si="12"/>
        <v>0.79999999999999993</v>
      </c>
      <c r="F819" t="str" cm="1">
        <f t="array" ref="F819">IF(A819=MAX(IF(ROUND($B$2:$B$3722,4)=ROUND(B819,4),$A$2:$A$3722)),"Efficient","Inefficient")</f>
        <v>Inefficient</v>
      </c>
    </row>
    <row r="820" spans="1:6" x14ac:dyDescent="0.25">
      <c r="A820" cm="1">
        <f t="array" ref="A820">INDEX('Portfolio Weights Returns'!$B$9:$BJ$69,
INT((ROW(A819)-1)/COLUMNS('Portfolio Weights Returns'!$B$9:$BJ$69))+1,MOD(ROW(A819)-1,COLUMNS('Portfolio Weights Returns'!$B$9:$BJ$69))+1)</f>
        <v>-9.3998125346349617E-4</v>
      </c>
      <c r="B820">
        <v>1.7600000000000001E-2</v>
      </c>
      <c r="C820" s="59">
        <v>0.06</v>
      </c>
      <c r="D820" s="59">
        <v>0.16</v>
      </c>
      <c r="E820" s="60">
        <f t="shared" si="12"/>
        <v>0.78</v>
      </c>
      <c r="F820" t="str" cm="1">
        <f t="array" ref="F820">IF(A820=MAX(IF(ROUND($B$2:$B$3722,4)=ROUND(B820,4),$A$2:$A$3722)),"Efficient","Inefficient")</f>
        <v>Inefficient</v>
      </c>
    </row>
    <row r="821" spans="1:6" x14ac:dyDescent="0.25">
      <c r="A821" cm="1">
        <f t="array" ref="A821">INDEX('Portfolio Weights Returns'!$B$9:$BJ$69,
INT((ROW(A820)-1)/COLUMNS('Portfolio Weights Returns'!$B$9:$BJ$69))+1,MOD(ROW(A820)-1,COLUMNS('Portfolio Weights Returns'!$B$9:$BJ$69))+1)</f>
        <v>-9.3320007949681703E-4</v>
      </c>
      <c r="B821">
        <v>1.7600000000000001E-2</v>
      </c>
      <c r="C821" s="59">
        <v>0.06</v>
      </c>
      <c r="D821" s="59">
        <v>0.17</v>
      </c>
      <c r="E821" s="60">
        <f t="shared" si="12"/>
        <v>0.77</v>
      </c>
      <c r="F821" t="str" cm="1">
        <f t="array" ref="F821">IF(A821=MAX(IF(ROUND($B$2:$B$3722,4)=ROUND(B821,4),$A$2:$A$3722)),"Efficient","Inefficient")</f>
        <v>Inefficient</v>
      </c>
    </row>
    <row r="822" spans="1:6" x14ac:dyDescent="0.25">
      <c r="A822" cm="1">
        <f t="array" ref="A822">INDEX('Portfolio Weights Returns'!$B$9:$BJ$69,
INT((ROW(A821)-1)/COLUMNS('Portfolio Weights Returns'!$B$9:$BJ$69))+1,MOD(ROW(A821)-1,COLUMNS('Portfolio Weights Returns'!$B$9:$BJ$69))+1)</f>
        <v>-9.2641890553013789E-4</v>
      </c>
      <c r="B822">
        <v>1.7600000000000001E-2</v>
      </c>
      <c r="C822" s="59">
        <v>0.06</v>
      </c>
      <c r="D822" s="59">
        <v>0.18</v>
      </c>
      <c r="E822" s="60">
        <f t="shared" si="12"/>
        <v>0.76</v>
      </c>
      <c r="F822" t="str" cm="1">
        <f t="array" ref="F822">IF(A822=MAX(IF(ROUND($B$2:$B$3722,4)=ROUND(B822,4),$A$2:$A$3722)),"Efficient","Inefficient")</f>
        <v>Inefficient</v>
      </c>
    </row>
    <row r="823" spans="1:6" x14ac:dyDescent="0.25">
      <c r="A823" cm="1">
        <f t="array" ref="A823">INDEX('Portfolio Weights Returns'!$B$9:$BJ$69,
INT((ROW(A822)-1)/COLUMNS('Portfolio Weights Returns'!$B$9:$BJ$69))+1,MOD(ROW(A822)-1,COLUMNS('Portfolio Weights Returns'!$B$9:$BJ$69))+1)</f>
        <v>-9.1963773156345885E-4</v>
      </c>
      <c r="B823">
        <v>1.7600000000000001E-2</v>
      </c>
      <c r="C823" s="59">
        <v>0.06</v>
      </c>
      <c r="D823" s="59">
        <v>0.19</v>
      </c>
      <c r="E823" s="60">
        <f t="shared" si="12"/>
        <v>0.75</v>
      </c>
      <c r="F823" t="str" cm="1">
        <f t="array" ref="F823">IF(A823=MAX(IF(ROUND($B$2:$B$3722,4)=ROUND(B823,4),$A$2:$A$3722)),"Efficient","Inefficient")</f>
        <v>Inefficient</v>
      </c>
    </row>
    <row r="824" spans="1:6" x14ac:dyDescent="0.25">
      <c r="A824" cm="1">
        <f t="array" ref="A824">INDEX('Portfolio Weights Returns'!$B$9:$BJ$69,
INT((ROW(A823)-1)/COLUMNS('Portfolio Weights Returns'!$B$9:$BJ$69))+1,MOD(ROW(A823)-1,COLUMNS('Portfolio Weights Returns'!$B$9:$BJ$69))+1)</f>
        <v>-9.1285655759677971E-4</v>
      </c>
      <c r="B824">
        <v>1.7600000000000001E-2</v>
      </c>
      <c r="C824" s="59">
        <v>7.0000000000000007E-2</v>
      </c>
      <c r="D824" s="59">
        <v>0.2</v>
      </c>
      <c r="E824" s="60">
        <f t="shared" si="12"/>
        <v>0.73</v>
      </c>
      <c r="F824" t="str" cm="1">
        <f t="array" ref="F824">IF(A824=MAX(IF(ROUND($B$2:$B$3722,4)=ROUND(B824,4),$A$2:$A$3722)),"Efficient","Inefficient")</f>
        <v>Inefficient</v>
      </c>
    </row>
    <row r="825" spans="1:6" x14ac:dyDescent="0.25">
      <c r="A825" cm="1">
        <f t="array" ref="A825">INDEX('Portfolio Weights Returns'!$B$9:$BJ$69,
INT((ROW(A824)-1)/COLUMNS('Portfolio Weights Returns'!$B$9:$BJ$69))+1,MOD(ROW(A824)-1,COLUMNS('Portfolio Weights Returns'!$B$9:$BJ$69))+1)</f>
        <v>-9.0607538363010067E-4</v>
      </c>
      <c r="B825">
        <v>1.7600000000000001E-2</v>
      </c>
      <c r="C825" s="59">
        <v>0.08</v>
      </c>
      <c r="D825" s="59">
        <v>0.21</v>
      </c>
      <c r="E825" s="60">
        <f t="shared" si="12"/>
        <v>0.71000000000000008</v>
      </c>
      <c r="F825" t="str" cm="1">
        <f t="array" ref="F825">IF(A825=MAX(IF(ROUND($B$2:$B$3722,4)=ROUND(B825,4),$A$2:$A$3722)),"Efficient","Inefficient")</f>
        <v>Inefficient</v>
      </c>
    </row>
    <row r="826" spans="1:6" x14ac:dyDescent="0.25">
      <c r="A826" cm="1">
        <f t="array" ref="A826">INDEX('Portfolio Weights Returns'!$B$9:$BJ$69,
INT((ROW(A825)-1)/COLUMNS('Portfolio Weights Returns'!$B$9:$BJ$69))+1,MOD(ROW(A825)-1,COLUMNS('Portfolio Weights Returns'!$B$9:$BJ$69))+1)</f>
        <v>-8.9929420966342152E-4</v>
      </c>
      <c r="B826">
        <v>1.7600000000000001E-2</v>
      </c>
      <c r="C826" s="59">
        <v>0.08</v>
      </c>
      <c r="D826" s="59">
        <v>0.22</v>
      </c>
      <c r="E826" s="60">
        <f t="shared" si="12"/>
        <v>0.70000000000000007</v>
      </c>
      <c r="F826" t="str" cm="1">
        <f t="array" ref="F826">IF(A826=MAX(IF(ROUND($B$2:$B$3722,4)=ROUND(B826,4),$A$2:$A$3722)),"Efficient","Inefficient")</f>
        <v>Inefficient</v>
      </c>
    </row>
    <row r="827" spans="1:6" x14ac:dyDescent="0.25">
      <c r="A827" cm="1">
        <f t="array" ref="A827">INDEX('Portfolio Weights Returns'!$B$9:$BJ$69,
INT((ROW(A826)-1)/COLUMNS('Portfolio Weights Returns'!$B$9:$BJ$69))+1,MOD(ROW(A826)-1,COLUMNS('Portfolio Weights Returns'!$B$9:$BJ$69))+1)</f>
        <v>-8.9251303569674238E-4</v>
      </c>
      <c r="B827">
        <v>1.7600000000000001E-2</v>
      </c>
      <c r="C827" s="59">
        <v>0.09</v>
      </c>
      <c r="D827" s="59">
        <v>0.23</v>
      </c>
      <c r="E827" s="60">
        <f t="shared" si="12"/>
        <v>0.68</v>
      </c>
      <c r="F827" t="str" cm="1">
        <f t="array" ref="F827">IF(A827=MAX(IF(ROUND($B$2:$B$3722,4)=ROUND(B827,4),$A$2:$A$3722)),"Efficient","Inefficient")</f>
        <v>Inefficient</v>
      </c>
    </row>
    <row r="828" spans="1:6" x14ac:dyDescent="0.25">
      <c r="A828" cm="1">
        <f t="array" ref="A828">INDEX('Portfolio Weights Returns'!$B$9:$BJ$69,
INT((ROW(A827)-1)/COLUMNS('Portfolio Weights Returns'!$B$9:$BJ$69))+1,MOD(ROW(A827)-1,COLUMNS('Portfolio Weights Returns'!$B$9:$BJ$69))+1)</f>
        <v>-8.8573186173006324E-4</v>
      </c>
      <c r="B828">
        <v>1.7600000000000001E-2</v>
      </c>
      <c r="C828" s="59">
        <v>0.1</v>
      </c>
      <c r="D828" s="59">
        <v>0.24</v>
      </c>
      <c r="E828" s="60">
        <f t="shared" si="12"/>
        <v>0.66</v>
      </c>
      <c r="F828" t="str" cm="1">
        <f t="array" ref="F828">IF(A828=MAX(IF(ROUND($B$2:$B$3722,4)=ROUND(B828,4),$A$2:$A$3722)),"Efficient","Inefficient")</f>
        <v>Inefficient</v>
      </c>
    </row>
    <row r="829" spans="1:6" x14ac:dyDescent="0.25">
      <c r="A829" cm="1">
        <f t="array" ref="A829">INDEX('Portfolio Weights Returns'!$B$9:$BJ$69,
INT((ROW(A828)-1)/COLUMNS('Portfolio Weights Returns'!$B$9:$BJ$69))+1,MOD(ROW(A828)-1,COLUMNS('Portfolio Weights Returns'!$B$9:$BJ$69))+1)</f>
        <v>-8.7895068776338409E-4</v>
      </c>
      <c r="B829">
        <v>1.7600000000000001E-2</v>
      </c>
      <c r="C829" s="59">
        <v>0.11</v>
      </c>
      <c r="D829" s="59">
        <v>0.25</v>
      </c>
      <c r="E829" s="60">
        <f t="shared" si="12"/>
        <v>0.64</v>
      </c>
      <c r="F829" t="str" cm="1">
        <f t="array" ref="F829">IF(A829=MAX(IF(ROUND($B$2:$B$3722,4)=ROUND(B829,4),$A$2:$A$3722)),"Efficient","Inefficient")</f>
        <v>Inefficient</v>
      </c>
    </row>
    <row r="830" spans="1:6" x14ac:dyDescent="0.25">
      <c r="A830" cm="1">
        <f t="array" ref="A830">INDEX('Portfolio Weights Returns'!$B$9:$BJ$69,
INT((ROW(A829)-1)/COLUMNS('Portfolio Weights Returns'!$B$9:$BJ$69))+1,MOD(ROW(A829)-1,COLUMNS('Portfolio Weights Returns'!$B$9:$BJ$69))+1)</f>
        <v>-8.7216951379670506E-4</v>
      </c>
      <c r="B830">
        <v>1.7600000000000001E-2</v>
      </c>
      <c r="C830" s="59">
        <v>0.12</v>
      </c>
      <c r="D830" s="59">
        <v>0.25</v>
      </c>
      <c r="E830" s="60">
        <f t="shared" si="12"/>
        <v>0.63</v>
      </c>
      <c r="F830" t="str" cm="1">
        <f t="array" ref="F830">IF(A830=MAX(IF(ROUND($B$2:$B$3722,4)=ROUND(B830,4),$A$2:$A$3722)),"Efficient","Inefficient")</f>
        <v>Inefficient</v>
      </c>
    </row>
    <row r="831" spans="1:6" x14ac:dyDescent="0.25">
      <c r="A831" cm="1">
        <f t="array" ref="A831">INDEX('Portfolio Weights Returns'!$B$9:$BJ$69,
INT((ROW(A830)-1)/COLUMNS('Portfolio Weights Returns'!$B$9:$BJ$69))+1,MOD(ROW(A830)-1,COLUMNS('Portfolio Weights Returns'!$B$9:$BJ$69))+1)</f>
        <v>-8.6538833983002591E-4</v>
      </c>
      <c r="B831">
        <v>1.7600000000000001E-2</v>
      </c>
      <c r="C831" s="59">
        <v>0.13</v>
      </c>
      <c r="D831" s="59">
        <v>0.26</v>
      </c>
      <c r="E831" s="60">
        <f t="shared" si="12"/>
        <v>0.61</v>
      </c>
      <c r="F831" t="str" cm="1">
        <f t="array" ref="F831">IF(A831=MAX(IF(ROUND($B$2:$B$3722,4)=ROUND(B831,4),$A$2:$A$3722)),"Efficient","Inefficient")</f>
        <v>Inefficient</v>
      </c>
    </row>
    <row r="832" spans="1:6" x14ac:dyDescent="0.25">
      <c r="A832" cm="1">
        <f t="array" ref="A832">INDEX('Portfolio Weights Returns'!$B$9:$BJ$69,
INT((ROW(A831)-1)/COLUMNS('Portfolio Weights Returns'!$B$9:$BJ$69))+1,MOD(ROW(A831)-1,COLUMNS('Portfolio Weights Returns'!$B$9:$BJ$69))+1)</f>
        <v>-8.5860716586334688E-4</v>
      </c>
      <c r="B832">
        <v>1.7600000000000001E-2</v>
      </c>
      <c r="C832" s="59">
        <v>0.14000000000000001</v>
      </c>
      <c r="D832" s="59">
        <v>0.26</v>
      </c>
      <c r="E832" s="60">
        <f t="shared" si="12"/>
        <v>0.6</v>
      </c>
      <c r="F832" t="str" cm="1">
        <f t="array" ref="F832">IF(A832=MAX(IF(ROUND($B$2:$B$3722,4)=ROUND(B832,4),$A$2:$A$3722)),"Efficient","Inefficient")</f>
        <v>Inefficient</v>
      </c>
    </row>
    <row r="833" spans="1:6" x14ac:dyDescent="0.25">
      <c r="A833" cm="1">
        <f t="array" ref="A833">INDEX('Portfolio Weights Returns'!$B$9:$BJ$69,
INT((ROW(A832)-1)/COLUMNS('Portfolio Weights Returns'!$B$9:$BJ$69))+1,MOD(ROW(A832)-1,COLUMNS('Portfolio Weights Returns'!$B$9:$BJ$69))+1)</f>
        <v>-8.5182599189666784E-4</v>
      </c>
      <c r="B833">
        <v>1.7600000000000001E-2</v>
      </c>
      <c r="C833" s="59">
        <v>0.15</v>
      </c>
      <c r="D833" s="59">
        <v>0.27</v>
      </c>
      <c r="E833" s="60">
        <f t="shared" si="12"/>
        <v>0.57999999999999996</v>
      </c>
      <c r="F833" t="str" cm="1">
        <f t="array" ref="F833">IF(A833=MAX(IF(ROUND($B$2:$B$3722,4)=ROUND(B833,4),$A$2:$A$3722)),"Efficient","Inefficient")</f>
        <v>Inefficient</v>
      </c>
    </row>
    <row r="834" spans="1:6" x14ac:dyDescent="0.25">
      <c r="A834" cm="1">
        <f t="array" ref="A834">INDEX('Portfolio Weights Returns'!$B$9:$BJ$69,
INT((ROW(A833)-1)/COLUMNS('Portfolio Weights Returns'!$B$9:$BJ$69))+1,MOD(ROW(A833)-1,COLUMNS('Portfolio Weights Returns'!$B$9:$BJ$69))+1)</f>
        <v>-8.450448179299888E-4</v>
      </c>
      <c r="B834">
        <v>1.7600000000000001E-2</v>
      </c>
      <c r="C834" s="59">
        <v>0.16</v>
      </c>
      <c r="D834" s="59">
        <v>0.27</v>
      </c>
      <c r="E834" s="60">
        <f t="shared" ref="E834:E897" si="13">1-D834-C834</f>
        <v>0.56999999999999995</v>
      </c>
      <c r="F834" t="str" cm="1">
        <f t="array" ref="F834">IF(A834=MAX(IF(ROUND($B$2:$B$3722,4)=ROUND(B834,4),$A$2:$A$3722)),"Efficient","Inefficient")</f>
        <v>Inefficient</v>
      </c>
    </row>
    <row r="835" spans="1:6" x14ac:dyDescent="0.25">
      <c r="A835" cm="1">
        <f t="array" ref="A835">INDEX('Portfolio Weights Returns'!$B$9:$BJ$69,
INT((ROW(A834)-1)/COLUMNS('Portfolio Weights Returns'!$B$9:$BJ$69))+1,MOD(ROW(A834)-1,COLUMNS('Portfolio Weights Returns'!$B$9:$BJ$69))+1)</f>
        <v>-8.3826364396330966E-4</v>
      </c>
      <c r="B835">
        <v>1.7600000000000001E-2</v>
      </c>
      <c r="C835" s="59">
        <v>0.17</v>
      </c>
      <c r="D835" s="59">
        <v>0.28000000000000003</v>
      </c>
      <c r="E835" s="60">
        <f t="shared" si="13"/>
        <v>0.54999999999999993</v>
      </c>
      <c r="F835" t="str" cm="1">
        <f t="array" ref="F835">IF(A835=MAX(IF(ROUND($B$2:$B$3722,4)=ROUND(B835,4),$A$2:$A$3722)),"Efficient","Inefficient")</f>
        <v>Inefficient</v>
      </c>
    </row>
    <row r="836" spans="1:6" x14ac:dyDescent="0.25">
      <c r="A836" cm="1">
        <f t="array" ref="A836">INDEX('Portfolio Weights Returns'!$B$9:$BJ$69,
INT((ROW(A835)-1)/COLUMNS('Portfolio Weights Returns'!$B$9:$BJ$69))+1,MOD(ROW(A835)-1,COLUMNS('Portfolio Weights Returns'!$B$9:$BJ$69))+1)</f>
        <v>-8.3148246999663051E-4</v>
      </c>
      <c r="B836">
        <v>1.7600000000000001E-2</v>
      </c>
      <c r="C836" s="59">
        <v>0.18</v>
      </c>
      <c r="D836" s="59">
        <v>0.28000000000000003</v>
      </c>
      <c r="E836" s="60">
        <f t="shared" si="13"/>
        <v>0.54</v>
      </c>
      <c r="F836" t="str" cm="1">
        <f t="array" ref="F836">IF(A836=MAX(IF(ROUND($B$2:$B$3722,4)=ROUND(B836,4),$A$2:$A$3722)),"Efficient","Inefficient")</f>
        <v>Inefficient</v>
      </c>
    </row>
    <row r="837" spans="1:6" x14ac:dyDescent="0.25">
      <c r="A837" cm="1">
        <f t="array" ref="A837">INDEX('Portfolio Weights Returns'!$B$9:$BJ$69,
INT((ROW(A836)-1)/COLUMNS('Portfolio Weights Returns'!$B$9:$BJ$69))+1,MOD(ROW(A836)-1,COLUMNS('Portfolio Weights Returns'!$B$9:$BJ$69))+1)</f>
        <v>-8.2470129602995148E-4</v>
      </c>
      <c r="B837">
        <v>1.7600000000000001E-2</v>
      </c>
      <c r="C837" s="59">
        <v>0.2</v>
      </c>
      <c r="D837" s="59">
        <v>0.28999999999999998</v>
      </c>
      <c r="E837" s="60">
        <f t="shared" si="13"/>
        <v>0.51</v>
      </c>
      <c r="F837" t="str" cm="1">
        <f t="array" ref="F837">IF(A837=MAX(IF(ROUND($B$2:$B$3722,4)=ROUND(B837,4),$A$2:$A$3722)),"Efficient","Inefficient")</f>
        <v>Inefficient</v>
      </c>
    </row>
    <row r="838" spans="1:6" x14ac:dyDescent="0.25">
      <c r="A838" cm="1">
        <f t="array" ref="A838">INDEX('Portfolio Weights Returns'!$B$9:$BJ$69,
INT((ROW(A837)-1)/COLUMNS('Portfolio Weights Returns'!$B$9:$BJ$69))+1,MOD(ROW(A837)-1,COLUMNS('Portfolio Weights Returns'!$B$9:$BJ$69))+1)</f>
        <v>-8.1792012206327233E-4</v>
      </c>
      <c r="B838">
        <v>1.7600000000000001E-2</v>
      </c>
      <c r="C838" s="59">
        <v>0.21</v>
      </c>
      <c r="D838" s="59">
        <v>0.28999999999999998</v>
      </c>
      <c r="E838" s="60">
        <f t="shared" si="13"/>
        <v>0.5</v>
      </c>
      <c r="F838" t="str" cm="1">
        <f t="array" ref="F838">IF(A838=MAX(IF(ROUND($B$2:$B$3722,4)=ROUND(B838,4),$A$2:$A$3722)),"Efficient","Inefficient")</f>
        <v>Inefficient</v>
      </c>
    </row>
    <row r="839" spans="1:6" x14ac:dyDescent="0.25">
      <c r="A839" cm="1">
        <f t="array" ref="A839">INDEX('Portfolio Weights Returns'!$B$9:$BJ$69,
INT((ROW(A838)-1)/COLUMNS('Portfolio Weights Returns'!$B$9:$BJ$69))+1,MOD(ROW(A838)-1,COLUMNS('Portfolio Weights Returns'!$B$9:$BJ$69))+1)</f>
        <v>-8.1113894809659319E-4</v>
      </c>
      <c r="B839">
        <v>1.7600000000000001E-2</v>
      </c>
      <c r="C839" s="59">
        <v>0.22</v>
      </c>
      <c r="D839" s="59">
        <v>0.28999999999999998</v>
      </c>
      <c r="E839" s="60">
        <f t="shared" si="13"/>
        <v>0.49</v>
      </c>
      <c r="F839" t="str" cm="1">
        <f t="array" ref="F839">IF(A839=MAX(IF(ROUND($B$2:$B$3722,4)=ROUND(B839,4),$A$2:$A$3722)),"Efficient","Inefficient")</f>
        <v>Inefficient</v>
      </c>
    </row>
    <row r="840" spans="1:6" x14ac:dyDescent="0.25">
      <c r="A840" cm="1">
        <f t="array" ref="A840">INDEX('Portfolio Weights Returns'!$B$9:$BJ$69,
INT((ROW(A839)-1)/COLUMNS('Portfolio Weights Returns'!$B$9:$BJ$69))+1,MOD(ROW(A839)-1,COLUMNS('Portfolio Weights Returns'!$B$9:$BJ$69))+1)</f>
        <v>-8.0435777412991404E-4</v>
      </c>
      <c r="B840">
        <v>1.7600000000000001E-2</v>
      </c>
      <c r="C840" s="59">
        <v>0.25</v>
      </c>
      <c r="D840" s="59">
        <v>0.3</v>
      </c>
      <c r="E840" s="60">
        <f t="shared" si="13"/>
        <v>0.44999999999999996</v>
      </c>
      <c r="F840" t="str" cm="1">
        <f t="array" ref="F840">IF(A840=MAX(IF(ROUND($B$2:$B$3722,4)=ROUND(B840,4),$A$2:$A$3722)),"Efficient","Inefficient")</f>
        <v>Inefficient</v>
      </c>
    </row>
    <row r="841" spans="1:6" x14ac:dyDescent="0.25">
      <c r="A841" cm="1">
        <f t="array" ref="A841">INDEX('Portfolio Weights Returns'!$B$9:$BJ$69,
INT((ROW(A840)-1)/COLUMNS('Portfolio Weights Returns'!$B$9:$BJ$69))+1,MOD(ROW(A840)-1,COLUMNS('Portfolio Weights Returns'!$B$9:$BJ$69))+1)</f>
        <v>-7.9757660016323501E-4</v>
      </c>
      <c r="B841">
        <v>1.7600000000000001E-2</v>
      </c>
      <c r="C841" s="59">
        <v>0.26</v>
      </c>
      <c r="D841" s="59">
        <v>0.3</v>
      </c>
      <c r="E841" s="60">
        <f t="shared" si="13"/>
        <v>0.43999999999999995</v>
      </c>
      <c r="F841" t="str" cm="1">
        <f t="array" ref="F841">IF(A841=MAX(IF(ROUND($B$2:$B$3722,4)=ROUND(B841,4),$A$2:$A$3722)),"Efficient","Inefficient")</f>
        <v>Inefficient</v>
      </c>
    </row>
    <row r="842" spans="1:6" x14ac:dyDescent="0.25">
      <c r="A842" cm="1">
        <f t="array" ref="A842">INDEX('Portfolio Weights Returns'!$B$9:$BJ$69,
INT((ROW(A841)-1)/COLUMNS('Portfolio Weights Returns'!$B$9:$BJ$69))+1,MOD(ROW(A841)-1,COLUMNS('Portfolio Weights Returns'!$B$9:$BJ$69))+1)</f>
        <v>-7.9079542619655586E-4</v>
      </c>
      <c r="B842">
        <v>1.7600000000000001E-2</v>
      </c>
      <c r="C842" s="59">
        <v>0.27</v>
      </c>
      <c r="D842" s="59">
        <v>0.3</v>
      </c>
      <c r="E842" s="60">
        <f t="shared" si="13"/>
        <v>0.42999999999999994</v>
      </c>
      <c r="F842" t="str" cm="1">
        <f t="array" ref="F842">IF(A842=MAX(IF(ROUND($B$2:$B$3722,4)=ROUND(B842,4),$A$2:$A$3722)),"Efficient","Inefficient")</f>
        <v>Inefficient</v>
      </c>
    </row>
    <row r="843" spans="1:6" x14ac:dyDescent="0.25">
      <c r="A843" cm="1">
        <f t="array" ref="A843">INDEX('Portfolio Weights Returns'!$B$9:$BJ$69,
INT((ROW(A842)-1)/COLUMNS('Portfolio Weights Returns'!$B$9:$BJ$69))+1,MOD(ROW(A842)-1,COLUMNS('Portfolio Weights Returns'!$B$9:$BJ$69))+1)</f>
        <v>-7.8401425222987694E-4</v>
      </c>
      <c r="B843">
        <v>1.7600000000000001E-2</v>
      </c>
      <c r="C843" s="59">
        <v>0.28000000000000003</v>
      </c>
      <c r="D843" s="59">
        <v>0.3</v>
      </c>
      <c r="E843" s="60">
        <f t="shared" si="13"/>
        <v>0.41999999999999993</v>
      </c>
      <c r="F843" t="str" cm="1">
        <f t="array" ref="F843">IF(A843=MAX(IF(ROUND($B$2:$B$3722,4)=ROUND(B843,4),$A$2:$A$3722)),"Efficient","Inefficient")</f>
        <v>Efficient</v>
      </c>
    </row>
    <row r="844" spans="1:6" x14ac:dyDescent="0.25">
      <c r="A844" cm="1">
        <f t="array" ref="A844">INDEX('Portfolio Weights Returns'!$B$9:$BJ$69,
INT((ROW(A843)-1)/COLUMNS('Portfolio Weights Returns'!$B$9:$BJ$69))+1,MOD(ROW(A843)-1,COLUMNS('Portfolio Weights Returns'!$B$9:$BJ$69))+1)</f>
        <v>-7.7723307826319779E-4</v>
      </c>
      <c r="B844">
        <v>1.77E-2</v>
      </c>
      <c r="C844" s="59">
        <v>0.3</v>
      </c>
      <c r="D844" s="59">
        <v>-0.16</v>
      </c>
      <c r="E844" s="60">
        <f t="shared" si="13"/>
        <v>0.85999999999999988</v>
      </c>
      <c r="F844" t="str" cm="1">
        <f t="array" ref="F844">IF(A844=MAX(IF(ROUND($B$2:$B$3722,4)=ROUND(B844,4),$A$2:$A$3722)),"Efficient","Inefficient")</f>
        <v>Inefficient</v>
      </c>
    </row>
    <row r="845" spans="1:6" x14ac:dyDescent="0.25">
      <c r="A845" cm="1">
        <f t="array" ref="A845">INDEX('Portfolio Weights Returns'!$B$9:$BJ$69,
INT((ROW(A844)-1)/COLUMNS('Portfolio Weights Returns'!$B$9:$BJ$69))+1,MOD(ROW(A844)-1,COLUMNS('Portfolio Weights Returns'!$B$9:$BJ$69))+1)</f>
        <v>-7.7045190429651865E-4</v>
      </c>
      <c r="B845">
        <v>1.77E-2</v>
      </c>
      <c r="C845" s="59">
        <v>0.28000000000000003</v>
      </c>
      <c r="D845" s="59">
        <v>-0.15</v>
      </c>
      <c r="E845" s="60">
        <f t="shared" si="13"/>
        <v>0.86999999999999988</v>
      </c>
      <c r="F845" t="str" cm="1">
        <f t="array" ref="F845">IF(A845=MAX(IF(ROUND($B$2:$B$3722,4)=ROUND(B845,4),$A$2:$A$3722)),"Efficient","Inefficient")</f>
        <v>Inefficient</v>
      </c>
    </row>
    <row r="846" spans="1:6" x14ac:dyDescent="0.25">
      <c r="A846" cm="1">
        <f t="array" ref="A846">INDEX('Portfolio Weights Returns'!$B$9:$BJ$69,
INT((ROW(A845)-1)/COLUMNS('Portfolio Weights Returns'!$B$9:$BJ$69))+1,MOD(ROW(A845)-1,COLUMNS('Portfolio Weights Returns'!$B$9:$BJ$69))+1)</f>
        <v>-7.636707303298395E-4</v>
      </c>
      <c r="B846">
        <v>1.77E-2</v>
      </c>
      <c r="C846" s="59">
        <v>0.27</v>
      </c>
      <c r="D846" s="59">
        <v>-0.14000000000000001</v>
      </c>
      <c r="E846" s="60">
        <f t="shared" si="13"/>
        <v>0.87000000000000011</v>
      </c>
      <c r="F846" t="str" cm="1">
        <f t="array" ref="F846">IF(A846=MAX(IF(ROUND($B$2:$B$3722,4)=ROUND(B846,4),$A$2:$A$3722)),"Efficient","Inefficient")</f>
        <v>Inefficient</v>
      </c>
    </row>
    <row r="847" spans="1:6" x14ac:dyDescent="0.25">
      <c r="A847" cm="1">
        <f t="array" ref="A847">INDEX('Portfolio Weights Returns'!$B$9:$BJ$69,
INT((ROW(A846)-1)/COLUMNS('Portfolio Weights Returns'!$B$9:$BJ$69))+1,MOD(ROW(A846)-1,COLUMNS('Portfolio Weights Returns'!$B$9:$BJ$69))+1)</f>
        <v>-7.5688955636316036E-4</v>
      </c>
      <c r="B847">
        <v>1.77E-2</v>
      </c>
      <c r="C847" s="59">
        <v>0.25</v>
      </c>
      <c r="D847" s="59">
        <v>-0.13</v>
      </c>
      <c r="E847" s="60">
        <f t="shared" si="13"/>
        <v>0.87999999999999989</v>
      </c>
      <c r="F847" t="str" cm="1">
        <f t="array" ref="F847">IF(A847=MAX(IF(ROUND($B$2:$B$3722,4)=ROUND(B847,4),$A$2:$A$3722)),"Efficient","Inefficient")</f>
        <v>Inefficient</v>
      </c>
    </row>
    <row r="848" spans="1:6" x14ac:dyDescent="0.25">
      <c r="A848" cm="1">
        <f t="array" ref="A848">INDEX('Portfolio Weights Returns'!$B$9:$BJ$69,
INT((ROW(A847)-1)/COLUMNS('Portfolio Weights Returns'!$B$9:$BJ$69))+1,MOD(ROW(A847)-1,COLUMNS('Portfolio Weights Returns'!$B$9:$BJ$69))+1)</f>
        <v>-7.5010838239648132E-4</v>
      </c>
      <c r="B848">
        <v>1.77E-2</v>
      </c>
      <c r="C848" s="59">
        <v>0.24</v>
      </c>
      <c r="D848" s="59">
        <v>-0.12</v>
      </c>
      <c r="E848" s="60">
        <f t="shared" si="13"/>
        <v>0.88000000000000012</v>
      </c>
      <c r="F848" t="str" cm="1">
        <f t="array" ref="F848">IF(A848=MAX(IF(ROUND($B$2:$B$3722,4)=ROUND(B848,4),$A$2:$A$3722)),"Efficient","Inefficient")</f>
        <v>Inefficient</v>
      </c>
    </row>
    <row r="849" spans="1:6" x14ac:dyDescent="0.25">
      <c r="A849" cm="1">
        <f t="array" ref="A849">INDEX('Portfolio Weights Returns'!$B$9:$BJ$69,
INT((ROW(A848)-1)/COLUMNS('Portfolio Weights Returns'!$B$9:$BJ$69))+1,MOD(ROW(A848)-1,COLUMNS('Portfolio Weights Returns'!$B$9:$BJ$69))+1)</f>
        <v>-7.4332720842980218E-4</v>
      </c>
      <c r="B849">
        <v>1.77E-2</v>
      </c>
      <c r="C849" s="59">
        <v>0.22</v>
      </c>
      <c r="D849" s="59">
        <v>-0.11</v>
      </c>
      <c r="E849" s="60">
        <f t="shared" si="13"/>
        <v>0.89000000000000012</v>
      </c>
      <c r="F849" t="str" cm="1">
        <f t="array" ref="F849">IF(A849=MAX(IF(ROUND($B$2:$B$3722,4)=ROUND(B849,4),$A$2:$A$3722)),"Efficient","Inefficient")</f>
        <v>Inefficient</v>
      </c>
    </row>
    <row r="850" spans="1:6" x14ac:dyDescent="0.25">
      <c r="A850" cm="1">
        <f t="array" ref="A850">INDEX('Portfolio Weights Returns'!$B$9:$BJ$69,
INT((ROW(A849)-1)/COLUMNS('Portfolio Weights Returns'!$B$9:$BJ$69))+1,MOD(ROW(A849)-1,COLUMNS('Portfolio Weights Returns'!$B$9:$BJ$69))+1)</f>
        <v>-7.3654603446312314E-4</v>
      </c>
      <c r="B850">
        <v>1.77E-2</v>
      </c>
      <c r="C850" s="59">
        <v>0.21</v>
      </c>
      <c r="D850" s="59">
        <v>-0.1</v>
      </c>
      <c r="E850" s="60">
        <f t="shared" si="13"/>
        <v>0.89000000000000012</v>
      </c>
      <c r="F850" t="str" cm="1">
        <f t="array" ref="F850">IF(A850=MAX(IF(ROUND($B$2:$B$3722,4)=ROUND(B850,4),$A$2:$A$3722)),"Efficient","Inefficient")</f>
        <v>Inefficient</v>
      </c>
    </row>
    <row r="851" spans="1:6" x14ac:dyDescent="0.25">
      <c r="A851" cm="1">
        <f t="array" ref="A851">INDEX('Portfolio Weights Returns'!$B$9:$BJ$69,
INT((ROW(A850)-1)/COLUMNS('Portfolio Weights Returns'!$B$9:$BJ$69))+1,MOD(ROW(A850)-1,COLUMNS('Portfolio Weights Returns'!$B$9:$BJ$69))+1)</f>
        <v>-7.29764860496444E-4</v>
      </c>
      <c r="B851">
        <v>1.77E-2</v>
      </c>
      <c r="C851" s="59">
        <v>0.2</v>
      </c>
      <c r="D851" s="59">
        <v>-0.09</v>
      </c>
      <c r="E851" s="60">
        <f t="shared" si="13"/>
        <v>0.89000000000000012</v>
      </c>
      <c r="F851" t="str" cm="1">
        <f t="array" ref="F851">IF(A851=MAX(IF(ROUND($B$2:$B$3722,4)=ROUND(B851,4),$A$2:$A$3722)),"Efficient","Inefficient")</f>
        <v>Inefficient</v>
      </c>
    </row>
    <row r="852" spans="1:6" x14ac:dyDescent="0.25">
      <c r="A852" cm="1">
        <f t="array" ref="A852">INDEX('Portfolio Weights Returns'!$B$9:$BJ$69,
INT((ROW(A851)-1)/COLUMNS('Portfolio Weights Returns'!$B$9:$BJ$69))+1,MOD(ROW(A851)-1,COLUMNS('Portfolio Weights Returns'!$B$9:$BJ$69))+1)</f>
        <v>-7.229836865297642E-4</v>
      </c>
      <c r="B852">
        <v>1.77E-2</v>
      </c>
      <c r="C852" s="59">
        <v>0.17</v>
      </c>
      <c r="D852" s="59">
        <v>-7.0000000000000007E-2</v>
      </c>
      <c r="E852" s="60">
        <f t="shared" si="13"/>
        <v>0.9</v>
      </c>
      <c r="F852" t="str" cm="1">
        <f t="array" ref="F852">IF(A852=MAX(IF(ROUND($B$2:$B$3722,4)=ROUND(B852,4),$A$2:$A$3722)),"Efficient","Inefficient")</f>
        <v>Inefficient</v>
      </c>
    </row>
    <row r="853" spans="1:6" x14ac:dyDescent="0.25">
      <c r="A853" cm="1">
        <f t="array" ref="A853">INDEX('Portfolio Weights Returns'!$B$9:$BJ$69,
INT((ROW(A852)-1)/COLUMNS('Portfolio Weights Returns'!$B$9:$BJ$69))+1,MOD(ROW(A852)-1,COLUMNS('Portfolio Weights Returns'!$B$9:$BJ$69))+1)</f>
        <v>-7.1620251256308506E-4</v>
      </c>
      <c r="B853">
        <v>1.77E-2</v>
      </c>
      <c r="C853" s="59">
        <v>0.16</v>
      </c>
      <c r="D853" s="59">
        <v>-0.06</v>
      </c>
      <c r="E853" s="60">
        <f t="shared" si="13"/>
        <v>0.9</v>
      </c>
      <c r="F853" t="str" cm="1">
        <f t="array" ref="F853">IF(A853=MAX(IF(ROUND($B$2:$B$3722,4)=ROUND(B853,4),$A$2:$A$3722)),"Efficient","Inefficient")</f>
        <v>Inefficient</v>
      </c>
    </row>
    <row r="854" spans="1:6" x14ac:dyDescent="0.25">
      <c r="A854" cm="1">
        <f t="array" ref="A854">INDEX('Portfolio Weights Returns'!$B$9:$BJ$69,
INT((ROW(A853)-1)/COLUMNS('Portfolio Weights Returns'!$B$9:$BJ$69))+1,MOD(ROW(A853)-1,COLUMNS('Portfolio Weights Returns'!$B$9:$BJ$69))+1)</f>
        <v>-7.0942133859640613E-4</v>
      </c>
      <c r="B854">
        <v>1.77E-2</v>
      </c>
      <c r="C854" s="59">
        <v>0.15</v>
      </c>
      <c r="D854" s="59">
        <v>-0.05</v>
      </c>
      <c r="E854" s="60">
        <f t="shared" si="13"/>
        <v>0.9</v>
      </c>
      <c r="F854" t="str" cm="1">
        <f t="array" ref="F854">IF(A854=MAX(IF(ROUND($B$2:$B$3722,4)=ROUND(B854,4),$A$2:$A$3722)),"Efficient","Inefficient")</f>
        <v>Inefficient</v>
      </c>
    </row>
    <row r="855" spans="1:6" x14ac:dyDescent="0.25">
      <c r="A855" cm="1">
        <f t="array" ref="A855">INDEX('Portfolio Weights Returns'!$B$9:$BJ$69,
INT((ROW(A854)-1)/COLUMNS('Portfolio Weights Returns'!$B$9:$BJ$69))+1,MOD(ROW(A854)-1,COLUMNS('Portfolio Weights Returns'!$B$9:$BJ$69))+1)</f>
        <v>-7.0264016462972688E-4</v>
      </c>
      <c r="B855">
        <v>1.77E-2</v>
      </c>
      <c r="C855" s="59">
        <v>0.14000000000000001</v>
      </c>
      <c r="D855" s="59">
        <v>-0.04</v>
      </c>
      <c r="E855" s="60">
        <f t="shared" si="13"/>
        <v>0.9</v>
      </c>
      <c r="F855" t="str" cm="1">
        <f t="array" ref="F855">IF(A855=MAX(IF(ROUND($B$2:$B$3722,4)=ROUND(B855,4),$A$2:$A$3722)),"Efficient","Inefficient")</f>
        <v>Efficient</v>
      </c>
    </row>
    <row r="856" spans="1:6" x14ac:dyDescent="0.25">
      <c r="A856" cm="1">
        <f t="array" ref="A856">INDEX('Portfolio Weights Returns'!$B$9:$BJ$69,
INT((ROW(A855)-1)/COLUMNS('Portfolio Weights Returns'!$B$9:$BJ$69))+1,MOD(ROW(A855)-1,COLUMNS('Portfolio Weights Returns'!$B$9:$BJ$69))+1)</f>
        <v>-1.1029363947850186E-3</v>
      </c>
      <c r="B856">
        <v>1.77E-2</v>
      </c>
      <c r="C856" s="59">
        <v>0.13</v>
      </c>
      <c r="D856" s="59">
        <v>-0.03</v>
      </c>
      <c r="E856" s="60">
        <f t="shared" si="13"/>
        <v>0.9</v>
      </c>
      <c r="F856" t="str" cm="1">
        <f t="array" ref="F856">IF(A856=MAX(IF(ROUND($B$2:$B$3722,4)=ROUND(B856,4),$A$2:$A$3722)),"Efficient","Inefficient")</f>
        <v>Inefficient</v>
      </c>
    </row>
    <row r="857" spans="1:6" x14ac:dyDescent="0.25">
      <c r="A857" cm="1">
        <f t="array" ref="A857">INDEX('Portfolio Weights Returns'!$B$9:$BJ$69,
INT((ROW(A856)-1)/COLUMNS('Portfolio Weights Returns'!$B$9:$BJ$69))+1,MOD(ROW(A856)-1,COLUMNS('Portfolio Weights Returns'!$B$9:$BJ$69))+1)</f>
        <v>-1.0961552208183394E-3</v>
      </c>
      <c r="B857">
        <v>1.77E-2</v>
      </c>
      <c r="C857" s="59">
        <v>0.12</v>
      </c>
      <c r="D857" s="59">
        <v>-0.02</v>
      </c>
      <c r="E857" s="60">
        <f t="shared" si="13"/>
        <v>0.9</v>
      </c>
      <c r="F857" t="str" cm="1">
        <f t="array" ref="F857">IF(A857=MAX(IF(ROUND($B$2:$B$3722,4)=ROUND(B857,4),$A$2:$A$3722)),"Efficient","Inefficient")</f>
        <v>Inefficient</v>
      </c>
    </row>
    <row r="858" spans="1:6" x14ac:dyDescent="0.25">
      <c r="A858" cm="1">
        <f t="array" ref="A858">INDEX('Portfolio Weights Returns'!$B$9:$BJ$69,
INT((ROW(A857)-1)/COLUMNS('Portfolio Weights Returns'!$B$9:$BJ$69))+1,MOD(ROW(A857)-1,COLUMNS('Portfolio Weights Returns'!$B$9:$BJ$69))+1)</f>
        <v>-1.0893740468516605E-3</v>
      </c>
      <c r="B858">
        <v>1.77E-2</v>
      </c>
      <c r="C858" s="59">
        <v>0.11</v>
      </c>
      <c r="D858" s="59">
        <v>-0.01</v>
      </c>
      <c r="E858" s="60">
        <f t="shared" si="13"/>
        <v>0.9</v>
      </c>
      <c r="F858" t="str" cm="1">
        <f t="array" ref="F858">IF(A858=MAX(IF(ROUND($B$2:$B$3722,4)=ROUND(B858,4),$A$2:$A$3722)),"Efficient","Inefficient")</f>
        <v>Inefficient</v>
      </c>
    </row>
    <row r="859" spans="1:6" x14ac:dyDescent="0.25">
      <c r="A859" cm="1">
        <f t="array" ref="A859">INDEX('Portfolio Weights Returns'!$B$9:$BJ$69,
INT((ROW(A858)-1)/COLUMNS('Portfolio Weights Returns'!$B$9:$BJ$69))+1,MOD(ROW(A858)-1,COLUMNS('Portfolio Weights Returns'!$B$9:$BJ$69))+1)</f>
        <v>-1.0825928728849812E-3</v>
      </c>
      <c r="B859">
        <v>1.77E-2</v>
      </c>
      <c r="C859" s="59">
        <v>0.1</v>
      </c>
      <c r="D859" s="59">
        <v>0.01</v>
      </c>
      <c r="E859" s="60">
        <f t="shared" si="13"/>
        <v>0.89</v>
      </c>
      <c r="F859" t="str" cm="1">
        <f t="array" ref="F859">IF(A859=MAX(IF(ROUND($B$2:$B$3722,4)=ROUND(B859,4),$A$2:$A$3722)),"Efficient","Inefficient")</f>
        <v>Inefficient</v>
      </c>
    </row>
    <row r="860" spans="1:6" x14ac:dyDescent="0.25">
      <c r="A860" cm="1">
        <f t="array" ref="A860">INDEX('Portfolio Weights Returns'!$B$9:$BJ$69,
INT((ROW(A859)-1)/COLUMNS('Portfolio Weights Returns'!$B$9:$BJ$69))+1,MOD(ROW(A859)-1,COLUMNS('Portfolio Weights Returns'!$B$9:$BJ$69))+1)</f>
        <v>-1.075811698918302E-3</v>
      </c>
      <c r="B860">
        <v>1.77E-2</v>
      </c>
      <c r="C860" s="59">
        <v>0.09</v>
      </c>
      <c r="D860" s="59">
        <v>0.02</v>
      </c>
      <c r="E860" s="60">
        <f t="shared" si="13"/>
        <v>0.89</v>
      </c>
      <c r="F860" t="str" cm="1">
        <f t="array" ref="F860">IF(A860=MAX(IF(ROUND($B$2:$B$3722,4)=ROUND(B860,4),$A$2:$A$3722)),"Efficient","Inefficient")</f>
        <v>Inefficient</v>
      </c>
    </row>
    <row r="861" spans="1:6" x14ac:dyDescent="0.25">
      <c r="A861" cm="1">
        <f t="array" ref="A861">INDEX('Portfolio Weights Returns'!$B$9:$BJ$69,
INT((ROW(A860)-1)/COLUMNS('Portfolio Weights Returns'!$B$9:$BJ$69))+1,MOD(ROW(A860)-1,COLUMNS('Portfolio Weights Returns'!$B$9:$BJ$69))+1)</f>
        <v>-1.0690305249516229E-3</v>
      </c>
      <c r="B861">
        <v>1.77E-2</v>
      </c>
      <c r="C861" s="59">
        <v>0.08</v>
      </c>
      <c r="D861" s="59">
        <v>0.03</v>
      </c>
      <c r="E861" s="60">
        <f t="shared" si="13"/>
        <v>0.89</v>
      </c>
      <c r="F861" t="str" cm="1">
        <f t="array" ref="F861">IF(A861=MAX(IF(ROUND($B$2:$B$3722,4)=ROUND(B861,4),$A$2:$A$3722)),"Efficient","Inefficient")</f>
        <v>Inefficient</v>
      </c>
    </row>
    <row r="862" spans="1:6" x14ac:dyDescent="0.25">
      <c r="A862" cm="1">
        <f t="array" ref="A862">INDEX('Portfolio Weights Returns'!$B$9:$BJ$69,
INT((ROW(A861)-1)/COLUMNS('Portfolio Weights Returns'!$B$9:$BJ$69))+1,MOD(ROW(A861)-1,COLUMNS('Portfolio Weights Returns'!$B$9:$BJ$69))+1)</f>
        <v>-1.0622493509849439E-3</v>
      </c>
      <c r="B862">
        <v>1.77E-2</v>
      </c>
      <c r="C862" s="59">
        <v>0.08</v>
      </c>
      <c r="D862" s="59">
        <v>0.04</v>
      </c>
      <c r="E862" s="60">
        <f t="shared" si="13"/>
        <v>0.88</v>
      </c>
      <c r="F862" t="str" cm="1">
        <f t="array" ref="F862">IF(A862=MAX(IF(ROUND($B$2:$B$3722,4)=ROUND(B862,4),$A$2:$A$3722)),"Efficient","Inefficient")</f>
        <v>Inefficient</v>
      </c>
    </row>
    <row r="863" spans="1:6" x14ac:dyDescent="0.25">
      <c r="A863" cm="1">
        <f t="array" ref="A863">INDEX('Portfolio Weights Returns'!$B$9:$BJ$69,
INT((ROW(A862)-1)/COLUMNS('Portfolio Weights Returns'!$B$9:$BJ$69))+1,MOD(ROW(A862)-1,COLUMNS('Portfolio Weights Returns'!$B$9:$BJ$69))+1)</f>
        <v>-1.0554681770182648E-3</v>
      </c>
      <c r="B863">
        <v>1.77E-2</v>
      </c>
      <c r="C863" s="59">
        <v>7.0000000000000007E-2</v>
      </c>
      <c r="D863" s="59">
        <v>0.05</v>
      </c>
      <c r="E863" s="60">
        <f t="shared" si="13"/>
        <v>0.87999999999999989</v>
      </c>
      <c r="F863" t="str" cm="1">
        <f t="array" ref="F863">IF(A863=MAX(IF(ROUND($B$2:$B$3722,4)=ROUND(B863,4),$A$2:$A$3722)),"Efficient","Inefficient")</f>
        <v>Inefficient</v>
      </c>
    </row>
    <row r="864" spans="1:6" x14ac:dyDescent="0.25">
      <c r="A864" cm="1">
        <f t="array" ref="A864">INDEX('Portfolio Weights Returns'!$B$9:$BJ$69,
INT((ROW(A863)-1)/COLUMNS('Portfolio Weights Returns'!$B$9:$BJ$69))+1,MOD(ROW(A863)-1,COLUMNS('Portfolio Weights Returns'!$B$9:$BJ$69))+1)</f>
        <v>-1.0486870030515856E-3</v>
      </c>
      <c r="B864">
        <v>1.77E-2</v>
      </c>
      <c r="C864" s="59">
        <v>7.0000000000000007E-2</v>
      </c>
      <c r="D864" s="59">
        <v>0.06</v>
      </c>
      <c r="E864" s="60">
        <f t="shared" si="13"/>
        <v>0.86999999999999988</v>
      </c>
      <c r="F864" t="str" cm="1">
        <f t="array" ref="F864">IF(A864=MAX(IF(ROUND($B$2:$B$3722,4)=ROUND(B864,4),$A$2:$A$3722)),"Efficient","Inefficient")</f>
        <v>Inefficient</v>
      </c>
    </row>
    <row r="865" spans="1:6" x14ac:dyDescent="0.25">
      <c r="A865" cm="1">
        <f t="array" ref="A865">INDEX('Portfolio Weights Returns'!$B$9:$BJ$69,
INT((ROW(A864)-1)/COLUMNS('Portfolio Weights Returns'!$B$9:$BJ$69))+1,MOD(ROW(A864)-1,COLUMNS('Portfolio Weights Returns'!$B$9:$BJ$69))+1)</f>
        <v>-1.0419058290849065E-3</v>
      </c>
      <c r="B865">
        <v>1.77E-2</v>
      </c>
      <c r="C865" s="59">
        <v>0.06</v>
      </c>
      <c r="D865" s="59">
        <v>7.0000000000000007E-2</v>
      </c>
      <c r="E865" s="60">
        <f t="shared" si="13"/>
        <v>0.86999999999999988</v>
      </c>
      <c r="F865" t="str" cm="1">
        <f t="array" ref="F865">IF(A865=MAX(IF(ROUND($B$2:$B$3722,4)=ROUND(B865,4),$A$2:$A$3722)),"Efficient","Inefficient")</f>
        <v>Inefficient</v>
      </c>
    </row>
    <row r="866" spans="1:6" x14ac:dyDescent="0.25">
      <c r="A866" cm="1">
        <f t="array" ref="A866">INDEX('Portfolio Weights Returns'!$B$9:$BJ$69,
INT((ROW(A865)-1)/COLUMNS('Portfolio Weights Returns'!$B$9:$BJ$69))+1,MOD(ROW(A865)-1,COLUMNS('Portfolio Weights Returns'!$B$9:$BJ$69))+1)</f>
        <v>-1.0351246551182276E-3</v>
      </c>
      <c r="B866">
        <v>1.77E-2</v>
      </c>
      <c r="C866" s="59">
        <v>0.06</v>
      </c>
      <c r="D866" s="59">
        <v>0.08</v>
      </c>
      <c r="E866" s="60">
        <f t="shared" si="13"/>
        <v>0.8600000000000001</v>
      </c>
      <c r="F866" t="str" cm="1">
        <f t="array" ref="F866">IF(A866=MAX(IF(ROUND($B$2:$B$3722,4)=ROUND(B866,4),$A$2:$A$3722)),"Efficient","Inefficient")</f>
        <v>Inefficient</v>
      </c>
    </row>
    <row r="867" spans="1:6" x14ac:dyDescent="0.25">
      <c r="A867" cm="1">
        <f t="array" ref="A867">INDEX('Portfolio Weights Returns'!$B$9:$BJ$69,
INT((ROW(A866)-1)/COLUMNS('Portfolio Weights Returns'!$B$9:$BJ$69))+1,MOD(ROW(A866)-1,COLUMNS('Portfolio Weights Returns'!$B$9:$BJ$69))+1)</f>
        <v>-1.0283434811515484E-3</v>
      </c>
      <c r="B867">
        <v>1.77E-2</v>
      </c>
      <c r="C867" s="59">
        <v>0.05</v>
      </c>
      <c r="D867" s="59">
        <v>0.09</v>
      </c>
      <c r="E867" s="60">
        <f t="shared" si="13"/>
        <v>0.86</v>
      </c>
      <c r="F867" t="str" cm="1">
        <f t="array" ref="F867">IF(A867=MAX(IF(ROUND($B$2:$B$3722,4)=ROUND(B867,4),$A$2:$A$3722)),"Efficient","Inefficient")</f>
        <v>Inefficient</v>
      </c>
    </row>
    <row r="868" spans="1:6" x14ac:dyDescent="0.25">
      <c r="A868" cm="1">
        <f t="array" ref="A868">INDEX('Portfolio Weights Returns'!$B$9:$BJ$69,
INT((ROW(A867)-1)/COLUMNS('Portfolio Weights Returns'!$B$9:$BJ$69))+1,MOD(ROW(A867)-1,COLUMNS('Portfolio Weights Returns'!$B$9:$BJ$69))+1)</f>
        <v>-1.0215623071848693E-3</v>
      </c>
      <c r="B868">
        <v>1.77E-2</v>
      </c>
      <c r="C868" s="59">
        <v>0.05</v>
      </c>
      <c r="D868" s="59">
        <v>0.1</v>
      </c>
      <c r="E868" s="60">
        <f t="shared" si="13"/>
        <v>0.85</v>
      </c>
      <c r="F868" t="str" cm="1">
        <f t="array" ref="F868">IF(A868=MAX(IF(ROUND($B$2:$B$3722,4)=ROUND(B868,4),$A$2:$A$3722)),"Efficient","Inefficient")</f>
        <v>Inefficient</v>
      </c>
    </row>
    <row r="869" spans="1:6" x14ac:dyDescent="0.25">
      <c r="A869" cm="1">
        <f t="array" ref="A869">INDEX('Portfolio Weights Returns'!$B$9:$BJ$69,
INT((ROW(A868)-1)/COLUMNS('Portfolio Weights Returns'!$B$9:$BJ$69))+1,MOD(ROW(A868)-1,COLUMNS('Portfolio Weights Returns'!$B$9:$BJ$69))+1)</f>
        <v>-1.0147811332181901E-3</v>
      </c>
      <c r="B869">
        <v>1.77E-2</v>
      </c>
      <c r="C869" s="59">
        <v>0.05</v>
      </c>
      <c r="D869" s="59">
        <v>0.11</v>
      </c>
      <c r="E869" s="60">
        <f t="shared" si="13"/>
        <v>0.84</v>
      </c>
      <c r="F869" t="str" cm="1">
        <f t="array" ref="F869">IF(A869=MAX(IF(ROUND($B$2:$B$3722,4)=ROUND(B869,4),$A$2:$A$3722)),"Efficient","Inefficient")</f>
        <v>Inefficient</v>
      </c>
    </row>
    <row r="870" spans="1:6" x14ac:dyDescent="0.25">
      <c r="A870" cm="1">
        <f t="array" ref="A870">INDEX('Portfolio Weights Returns'!$B$9:$BJ$69,
INT((ROW(A869)-1)/COLUMNS('Portfolio Weights Returns'!$B$9:$BJ$69))+1,MOD(ROW(A869)-1,COLUMNS('Portfolio Weights Returns'!$B$9:$BJ$69))+1)</f>
        <v>-1.007999959251511E-3</v>
      </c>
      <c r="B870">
        <v>1.77E-2</v>
      </c>
      <c r="C870" s="59">
        <v>0.05</v>
      </c>
      <c r="D870" s="59">
        <v>0.12</v>
      </c>
      <c r="E870" s="60">
        <f t="shared" si="13"/>
        <v>0.83</v>
      </c>
      <c r="F870" t="str" cm="1">
        <f t="array" ref="F870">IF(A870=MAX(IF(ROUND($B$2:$B$3722,4)=ROUND(B870,4),$A$2:$A$3722)),"Efficient","Inefficient")</f>
        <v>Inefficient</v>
      </c>
    </row>
    <row r="871" spans="1:6" x14ac:dyDescent="0.25">
      <c r="A871" cm="1">
        <f t="array" ref="A871">INDEX('Portfolio Weights Returns'!$B$9:$BJ$69,
INT((ROW(A870)-1)/COLUMNS('Portfolio Weights Returns'!$B$9:$BJ$69))+1,MOD(ROW(A870)-1,COLUMNS('Portfolio Weights Returns'!$B$9:$BJ$69))+1)</f>
        <v>-1.0012187852848321E-3</v>
      </c>
      <c r="B871">
        <v>1.77E-2</v>
      </c>
      <c r="C871" s="59">
        <v>0.05</v>
      </c>
      <c r="D871" s="59">
        <v>0.16</v>
      </c>
      <c r="E871" s="60">
        <f t="shared" si="13"/>
        <v>0.78999999999999992</v>
      </c>
      <c r="F871" t="str" cm="1">
        <f t="array" ref="F871">IF(A871=MAX(IF(ROUND($B$2:$B$3722,4)=ROUND(B871,4),$A$2:$A$3722)),"Efficient","Inefficient")</f>
        <v>Inefficient</v>
      </c>
    </row>
    <row r="872" spans="1:6" x14ac:dyDescent="0.25">
      <c r="A872" cm="1">
        <f t="array" ref="A872">INDEX('Portfolio Weights Returns'!$B$9:$BJ$69,
INT((ROW(A871)-1)/COLUMNS('Portfolio Weights Returns'!$B$9:$BJ$69))+1,MOD(ROW(A871)-1,COLUMNS('Portfolio Weights Returns'!$B$9:$BJ$69))+1)</f>
        <v>-9.9443761131815292E-4</v>
      </c>
      <c r="B872">
        <v>1.77E-2</v>
      </c>
      <c r="C872" s="59">
        <v>0.05</v>
      </c>
      <c r="D872" s="59">
        <v>0.17</v>
      </c>
      <c r="E872" s="60">
        <f t="shared" si="13"/>
        <v>0.77999999999999992</v>
      </c>
      <c r="F872" t="str" cm="1">
        <f t="array" ref="F872">IF(A872=MAX(IF(ROUND($B$2:$B$3722,4)=ROUND(B872,4),$A$2:$A$3722)),"Efficient","Inefficient")</f>
        <v>Inefficient</v>
      </c>
    </row>
    <row r="873" spans="1:6" x14ac:dyDescent="0.25">
      <c r="A873" cm="1">
        <f t="array" ref="A873">INDEX('Portfolio Weights Returns'!$B$9:$BJ$69,
INT((ROW(A872)-1)/COLUMNS('Portfolio Weights Returns'!$B$9:$BJ$69))+1,MOD(ROW(A872)-1,COLUMNS('Portfolio Weights Returns'!$B$9:$BJ$69))+1)</f>
        <v>-9.8765643735147356E-4</v>
      </c>
      <c r="B873">
        <v>1.77E-2</v>
      </c>
      <c r="C873" s="59">
        <v>0.05</v>
      </c>
      <c r="D873" s="59">
        <v>0.18</v>
      </c>
      <c r="E873" s="60">
        <f t="shared" si="13"/>
        <v>0.77</v>
      </c>
      <c r="F873" t="str" cm="1">
        <f t="array" ref="F873">IF(A873=MAX(IF(ROUND($B$2:$B$3722,4)=ROUND(B873,4),$A$2:$A$3722)),"Efficient","Inefficient")</f>
        <v>Inefficient</v>
      </c>
    </row>
    <row r="874" spans="1:6" x14ac:dyDescent="0.25">
      <c r="A874" cm="1">
        <f t="array" ref="A874">INDEX('Portfolio Weights Returns'!$B$9:$BJ$69,
INT((ROW(A873)-1)/COLUMNS('Portfolio Weights Returns'!$B$9:$BJ$69))+1,MOD(ROW(A873)-1,COLUMNS('Portfolio Weights Returns'!$B$9:$BJ$69))+1)</f>
        <v>-9.8087526338479464E-4</v>
      </c>
      <c r="B874">
        <v>1.77E-2</v>
      </c>
      <c r="C874" s="59">
        <v>0.05</v>
      </c>
      <c r="D874" s="59">
        <v>0.19</v>
      </c>
      <c r="E874" s="60">
        <f t="shared" si="13"/>
        <v>0.76</v>
      </c>
      <c r="F874" t="str" cm="1">
        <f t="array" ref="F874">IF(A874=MAX(IF(ROUND($B$2:$B$3722,4)=ROUND(B874,4),$A$2:$A$3722)),"Efficient","Inefficient")</f>
        <v>Inefficient</v>
      </c>
    </row>
    <row r="875" spans="1:6" x14ac:dyDescent="0.25">
      <c r="A875" cm="1">
        <f t="array" ref="A875">INDEX('Portfolio Weights Returns'!$B$9:$BJ$69,
INT((ROW(A874)-1)/COLUMNS('Portfolio Weights Returns'!$B$9:$BJ$69))+1,MOD(ROW(A874)-1,COLUMNS('Portfolio Weights Returns'!$B$9:$BJ$69))+1)</f>
        <v>-9.740940894181156E-4</v>
      </c>
      <c r="B875">
        <v>1.77E-2</v>
      </c>
      <c r="C875" s="59">
        <v>0.06</v>
      </c>
      <c r="D875" s="59">
        <v>0.2</v>
      </c>
      <c r="E875" s="60">
        <f t="shared" si="13"/>
        <v>0.74</v>
      </c>
      <c r="F875" t="str" cm="1">
        <f t="array" ref="F875">IF(A875=MAX(IF(ROUND($B$2:$B$3722,4)=ROUND(B875,4),$A$2:$A$3722)),"Efficient","Inefficient")</f>
        <v>Inefficient</v>
      </c>
    </row>
    <row r="876" spans="1:6" x14ac:dyDescent="0.25">
      <c r="A876" cm="1">
        <f t="array" ref="A876">INDEX('Portfolio Weights Returns'!$B$9:$BJ$69,
INT((ROW(A875)-1)/COLUMNS('Portfolio Weights Returns'!$B$9:$BJ$69))+1,MOD(ROW(A875)-1,COLUMNS('Portfolio Weights Returns'!$B$9:$BJ$69))+1)</f>
        <v>-9.6731291545143656E-4</v>
      </c>
      <c r="B876">
        <v>1.77E-2</v>
      </c>
      <c r="C876" s="59">
        <v>0.06</v>
      </c>
      <c r="D876" s="59">
        <v>0.21</v>
      </c>
      <c r="E876" s="60">
        <f t="shared" si="13"/>
        <v>0.73</v>
      </c>
      <c r="F876" t="str" cm="1">
        <f t="array" ref="F876">IF(A876=MAX(IF(ROUND($B$2:$B$3722,4)=ROUND(B876,4),$A$2:$A$3722)),"Efficient","Inefficient")</f>
        <v>Inefficient</v>
      </c>
    </row>
    <row r="877" spans="1:6" x14ac:dyDescent="0.25">
      <c r="A877" cm="1">
        <f t="array" ref="A877">INDEX('Portfolio Weights Returns'!$B$9:$BJ$69,
INT((ROW(A876)-1)/COLUMNS('Portfolio Weights Returns'!$B$9:$BJ$69))+1,MOD(ROW(A876)-1,COLUMNS('Portfolio Weights Returns'!$B$9:$BJ$69))+1)</f>
        <v>-9.6053174148475742E-4</v>
      </c>
      <c r="B877">
        <v>1.77E-2</v>
      </c>
      <c r="C877" s="59">
        <v>7.0000000000000007E-2</v>
      </c>
      <c r="D877" s="59">
        <v>0.21</v>
      </c>
      <c r="E877" s="60">
        <f t="shared" si="13"/>
        <v>0.72</v>
      </c>
      <c r="F877" t="str" cm="1">
        <f t="array" ref="F877">IF(A877=MAX(IF(ROUND($B$2:$B$3722,4)=ROUND(B877,4),$A$2:$A$3722)),"Efficient","Inefficient")</f>
        <v>Inefficient</v>
      </c>
    </row>
    <row r="878" spans="1:6" x14ac:dyDescent="0.25">
      <c r="A878" cm="1">
        <f t="array" ref="A878">INDEX('Portfolio Weights Returns'!$B$9:$BJ$69,
INT((ROW(A877)-1)/COLUMNS('Portfolio Weights Returns'!$B$9:$BJ$69))+1,MOD(ROW(A877)-1,COLUMNS('Portfolio Weights Returns'!$B$9:$BJ$69))+1)</f>
        <v>-9.5375056751807828E-4</v>
      </c>
      <c r="B878">
        <v>1.77E-2</v>
      </c>
      <c r="C878" s="59">
        <v>7.0000000000000007E-2</v>
      </c>
      <c r="D878" s="59">
        <v>0.22</v>
      </c>
      <c r="E878" s="60">
        <f t="shared" si="13"/>
        <v>0.71</v>
      </c>
      <c r="F878" t="str" cm="1">
        <f t="array" ref="F878">IF(A878=MAX(IF(ROUND($B$2:$B$3722,4)=ROUND(B878,4),$A$2:$A$3722)),"Efficient","Inefficient")</f>
        <v>Inefficient</v>
      </c>
    </row>
    <row r="879" spans="1:6" x14ac:dyDescent="0.25">
      <c r="A879" cm="1">
        <f t="array" ref="A879">INDEX('Portfolio Weights Returns'!$B$9:$BJ$69,
INT((ROW(A878)-1)/COLUMNS('Portfolio Weights Returns'!$B$9:$BJ$69))+1,MOD(ROW(A878)-1,COLUMNS('Portfolio Weights Returns'!$B$9:$BJ$69))+1)</f>
        <v>-9.4696939355139924E-4</v>
      </c>
      <c r="B879">
        <v>1.77E-2</v>
      </c>
      <c r="C879" s="59">
        <v>0.08</v>
      </c>
      <c r="D879" s="59">
        <v>0.23</v>
      </c>
      <c r="E879" s="60">
        <f t="shared" si="13"/>
        <v>0.69000000000000006</v>
      </c>
      <c r="F879" t="str" cm="1">
        <f t="array" ref="F879">IF(A879=MAX(IF(ROUND($B$2:$B$3722,4)=ROUND(B879,4),$A$2:$A$3722)),"Efficient","Inefficient")</f>
        <v>Inefficient</v>
      </c>
    </row>
    <row r="880" spans="1:6" x14ac:dyDescent="0.25">
      <c r="A880" cm="1">
        <f t="array" ref="A880">INDEX('Portfolio Weights Returns'!$B$9:$BJ$69,
INT((ROW(A879)-1)/COLUMNS('Portfolio Weights Returns'!$B$9:$BJ$69))+1,MOD(ROW(A879)-1,COLUMNS('Portfolio Weights Returns'!$B$9:$BJ$69))+1)</f>
        <v>-9.4018821958472009E-4</v>
      </c>
      <c r="B880">
        <v>1.77E-2</v>
      </c>
      <c r="C880" s="59">
        <v>0.09</v>
      </c>
      <c r="D880" s="59">
        <v>0.24</v>
      </c>
      <c r="E880" s="60">
        <f t="shared" si="13"/>
        <v>0.67</v>
      </c>
      <c r="F880" t="str" cm="1">
        <f t="array" ref="F880">IF(A880=MAX(IF(ROUND($B$2:$B$3722,4)=ROUND(B880,4),$A$2:$A$3722)),"Efficient","Inefficient")</f>
        <v>Inefficient</v>
      </c>
    </row>
    <row r="881" spans="1:6" x14ac:dyDescent="0.25">
      <c r="A881" cm="1">
        <f t="array" ref="A881">INDEX('Portfolio Weights Returns'!$B$9:$BJ$69,
INT((ROW(A880)-1)/COLUMNS('Portfolio Weights Returns'!$B$9:$BJ$69))+1,MOD(ROW(A880)-1,COLUMNS('Portfolio Weights Returns'!$B$9:$BJ$69))+1)</f>
        <v>-9.3340704561804095E-4</v>
      </c>
      <c r="B881">
        <v>1.77E-2</v>
      </c>
      <c r="C881" s="59">
        <v>0.1</v>
      </c>
      <c r="D881" s="59">
        <v>0.25</v>
      </c>
      <c r="E881" s="60">
        <f t="shared" si="13"/>
        <v>0.65</v>
      </c>
      <c r="F881" t="str" cm="1">
        <f t="array" ref="F881">IF(A881=MAX(IF(ROUND($B$2:$B$3722,4)=ROUND(B881,4),$A$2:$A$3722)),"Efficient","Inefficient")</f>
        <v>Inefficient</v>
      </c>
    </row>
    <row r="882" spans="1:6" x14ac:dyDescent="0.25">
      <c r="A882" cm="1">
        <f t="array" ref="A882">INDEX('Portfolio Weights Returns'!$B$9:$BJ$69,
INT((ROW(A881)-1)/COLUMNS('Portfolio Weights Returns'!$B$9:$BJ$69))+1,MOD(ROW(A881)-1,COLUMNS('Portfolio Weights Returns'!$B$9:$BJ$69))+1)</f>
        <v>-9.2662587165136181E-4</v>
      </c>
      <c r="B882">
        <v>1.77E-2</v>
      </c>
      <c r="C882" s="59">
        <v>0.12</v>
      </c>
      <c r="D882" s="59">
        <v>0.26</v>
      </c>
      <c r="E882" s="60">
        <f t="shared" si="13"/>
        <v>0.62</v>
      </c>
      <c r="F882" t="str" cm="1">
        <f t="array" ref="F882">IF(A882=MAX(IF(ROUND($B$2:$B$3722,4)=ROUND(B882,4),$A$2:$A$3722)),"Efficient","Inefficient")</f>
        <v>Inefficient</v>
      </c>
    </row>
    <row r="883" spans="1:6" x14ac:dyDescent="0.25">
      <c r="A883" cm="1">
        <f t="array" ref="A883">INDEX('Portfolio Weights Returns'!$B$9:$BJ$69,
INT((ROW(A882)-1)/COLUMNS('Portfolio Weights Returns'!$B$9:$BJ$69))+1,MOD(ROW(A882)-1,COLUMNS('Portfolio Weights Returns'!$B$9:$BJ$69))+1)</f>
        <v>-9.1984469768468277E-4</v>
      </c>
      <c r="B883">
        <v>1.77E-2</v>
      </c>
      <c r="C883" s="59">
        <v>0.13</v>
      </c>
      <c r="D883" s="59">
        <v>0.27</v>
      </c>
      <c r="E883" s="60">
        <f t="shared" si="13"/>
        <v>0.6</v>
      </c>
      <c r="F883" t="str" cm="1">
        <f t="array" ref="F883">IF(A883=MAX(IF(ROUND($B$2:$B$3722,4)=ROUND(B883,4),$A$2:$A$3722)),"Efficient","Inefficient")</f>
        <v>Inefficient</v>
      </c>
    </row>
    <row r="884" spans="1:6" x14ac:dyDescent="0.25">
      <c r="A884" cm="1">
        <f t="array" ref="A884">INDEX('Portfolio Weights Returns'!$B$9:$BJ$69,
INT((ROW(A883)-1)/COLUMNS('Portfolio Weights Returns'!$B$9:$BJ$69))+1,MOD(ROW(A883)-1,COLUMNS('Portfolio Weights Returns'!$B$9:$BJ$69))+1)</f>
        <v>-9.1306352371800363E-4</v>
      </c>
      <c r="B884">
        <v>1.77E-2</v>
      </c>
      <c r="C884" s="59">
        <v>0.14000000000000001</v>
      </c>
      <c r="D884" s="59">
        <v>0.27</v>
      </c>
      <c r="E884" s="60">
        <f t="shared" si="13"/>
        <v>0.59</v>
      </c>
      <c r="F884" t="str" cm="1">
        <f t="array" ref="F884">IF(A884=MAX(IF(ROUND($B$2:$B$3722,4)=ROUND(B884,4),$A$2:$A$3722)),"Efficient","Inefficient")</f>
        <v>Inefficient</v>
      </c>
    </row>
    <row r="885" spans="1:6" x14ac:dyDescent="0.25">
      <c r="A885" cm="1">
        <f t="array" ref="A885">INDEX('Portfolio Weights Returns'!$B$9:$BJ$69,
INT((ROW(A884)-1)/COLUMNS('Portfolio Weights Returns'!$B$9:$BJ$69))+1,MOD(ROW(A884)-1,COLUMNS('Portfolio Weights Returns'!$B$9:$BJ$69))+1)</f>
        <v>-9.0628234975132459E-4</v>
      </c>
      <c r="B885">
        <v>1.77E-2</v>
      </c>
      <c r="C885" s="59">
        <v>0.15</v>
      </c>
      <c r="D885" s="59">
        <v>0.28000000000000003</v>
      </c>
      <c r="E885" s="60">
        <f t="shared" si="13"/>
        <v>0.56999999999999995</v>
      </c>
      <c r="F885" t="str" cm="1">
        <f t="array" ref="F885">IF(A885=MAX(IF(ROUND($B$2:$B$3722,4)=ROUND(B885,4),$A$2:$A$3722)),"Efficient","Inefficient")</f>
        <v>Inefficient</v>
      </c>
    </row>
    <row r="886" spans="1:6" x14ac:dyDescent="0.25">
      <c r="A886" cm="1">
        <f t="array" ref="A886">INDEX('Portfolio Weights Returns'!$B$9:$BJ$69,
INT((ROW(A885)-1)/COLUMNS('Portfolio Weights Returns'!$B$9:$BJ$69))+1,MOD(ROW(A885)-1,COLUMNS('Portfolio Weights Returns'!$B$9:$BJ$69))+1)</f>
        <v>-8.9950117578464545E-4</v>
      </c>
      <c r="B886">
        <v>1.77E-2</v>
      </c>
      <c r="C886" s="59">
        <v>0.16</v>
      </c>
      <c r="D886" s="59">
        <v>0.28000000000000003</v>
      </c>
      <c r="E886" s="60">
        <f t="shared" si="13"/>
        <v>0.55999999999999994</v>
      </c>
      <c r="F886" t="str" cm="1">
        <f t="array" ref="F886">IF(A886=MAX(IF(ROUND($B$2:$B$3722,4)=ROUND(B886,4),$A$2:$A$3722)),"Efficient","Inefficient")</f>
        <v>Inefficient</v>
      </c>
    </row>
    <row r="887" spans="1:6" x14ac:dyDescent="0.25">
      <c r="A887" cm="1">
        <f t="array" ref="A887">INDEX('Portfolio Weights Returns'!$B$9:$BJ$69,
INT((ROW(A886)-1)/COLUMNS('Portfolio Weights Returns'!$B$9:$BJ$69))+1,MOD(ROW(A886)-1,COLUMNS('Portfolio Weights Returns'!$B$9:$BJ$69))+1)</f>
        <v>-8.927200018179663E-4</v>
      </c>
      <c r="B887">
        <v>1.77E-2</v>
      </c>
      <c r="C887" s="59">
        <v>0.18</v>
      </c>
      <c r="D887" s="59">
        <v>0.28999999999999998</v>
      </c>
      <c r="E887" s="60">
        <f t="shared" si="13"/>
        <v>0.53</v>
      </c>
      <c r="F887" t="str" cm="1">
        <f t="array" ref="F887">IF(A887=MAX(IF(ROUND($B$2:$B$3722,4)=ROUND(B887,4),$A$2:$A$3722)),"Efficient","Inefficient")</f>
        <v>Inefficient</v>
      </c>
    </row>
    <row r="888" spans="1:6" x14ac:dyDescent="0.25">
      <c r="A888" cm="1">
        <f t="array" ref="A888">INDEX('Portfolio Weights Returns'!$B$9:$BJ$69,
INT((ROW(A887)-1)/COLUMNS('Portfolio Weights Returns'!$B$9:$BJ$69))+1,MOD(ROW(A887)-1,COLUMNS('Portfolio Weights Returns'!$B$9:$BJ$69))+1)</f>
        <v>-8.8593882785128716E-4</v>
      </c>
      <c r="B888">
        <v>1.77E-2</v>
      </c>
      <c r="C888" s="59">
        <v>0.19</v>
      </c>
      <c r="D888" s="59">
        <v>0.28999999999999998</v>
      </c>
      <c r="E888" s="60">
        <f t="shared" si="13"/>
        <v>0.52</v>
      </c>
      <c r="F888" t="str" cm="1">
        <f t="array" ref="F888">IF(A888=MAX(IF(ROUND($B$2:$B$3722,4)=ROUND(B888,4),$A$2:$A$3722)),"Efficient","Inefficient")</f>
        <v>Inefficient</v>
      </c>
    </row>
    <row r="889" spans="1:6" x14ac:dyDescent="0.25">
      <c r="A889" cm="1">
        <f t="array" ref="A889">INDEX('Portfolio Weights Returns'!$B$9:$BJ$69,
INT((ROW(A888)-1)/COLUMNS('Portfolio Weights Returns'!$B$9:$BJ$69))+1,MOD(ROW(A888)-1,COLUMNS('Portfolio Weights Returns'!$B$9:$BJ$69))+1)</f>
        <v>-8.7915765388460801E-4</v>
      </c>
      <c r="B889">
        <v>1.77E-2</v>
      </c>
      <c r="C889" s="59">
        <v>0.22</v>
      </c>
      <c r="D889" s="59">
        <v>0.3</v>
      </c>
      <c r="E889" s="60">
        <f t="shared" si="13"/>
        <v>0.48</v>
      </c>
      <c r="F889" t="str" cm="1">
        <f t="array" ref="F889">IF(A889=MAX(IF(ROUND($B$2:$B$3722,4)=ROUND(B889,4),$A$2:$A$3722)),"Efficient","Inefficient")</f>
        <v>Inefficient</v>
      </c>
    </row>
    <row r="890" spans="1:6" x14ac:dyDescent="0.25">
      <c r="A890" cm="1">
        <f t="array" ref="A890">INDEX('Portfolio Weights Returns'!$B$9:$BJ$69,
INT((ROW(A889)-1)/COLUMNS('Portfolio Weights Returns'!$B$9:$BJ$69))+1,MOD(ROW(A889)-1,COLUMNS('Portfolio Weights Returns'!$B$9:$BJ$69))+1)</f>
        <v>-8.7237647991792898E-4</v>
      </c>
      <c r="B890">
        <v>1.77E-2</v>
      </c>
      <c r="C890" s="59">
        <v>0.23</v>
      </c>
      <c r="D890" s="59">
        <v>0.3</v>
      </c>
      <c r="E890" s="60">
        <f t="shared" si="13"/>
        <v>0.47</v>
      </c>
      <c r="F890" t="str" cm="1">
        <f t="array" ref="F890">IF(A890=MAX(IF(ROUND($B$2:$B$3722,4)=ROUND(B890,4),$A$2:$A$3722)),"Efficient","Inefficient")</f>
        <v>Inefficient</v>
      </c>
    </row>
    <row r="891" spans="1:6" x14ac:dyDescent="0.25">
      <c r="A891" cm="1">
        <f t="array" ref="A891">INDEX('Portfolio Weights Returns'!$B$9:$BJ$69,
INT((ROW(A890)-1)/COLUMNS('Portfolio Weights Returns'!$B$9:$BJ$69))+1,MOD(ROW(A890)-1,COLUMNS('Portfolio Weights Returns'!$B$9:$BJ$69))+1)</f>
        <v>-8.6559530595124983E-4</v>
      </c>
      <c r="B891">
        <v>1.77E-2</v>
      </c>
      <c r="C891" s="59">
        <v>0.24</v>
      </c>
      <c r="D891" s="59">
        <v>0.3</v>
      </c>
      <c r="E891" s="60">
        <f t="shared" si="13"/>
        <v>0.45999999999999996</v>
      </c>
      <c r="F891" t="str" cm="1">
        <f t="array" ref="F891">IF(A891=MAX(IF(ROUND($B$2:$B$3722,4)=ROUND(B891,4),$A$2:$A$3722)),"Efficient","Inefficient")</f>
        <v>Inefficient</v>
      </c>
    </row>
    <row r="892" spans="1:6" x14ac:dyDescent="0.25">
      <c r="A892" cm="1">
        <f t="array" ref="A892">INDEX('Portfolio Weights Returns'!$B$9:$BJ$69,
INT((ROW(A891)-1)/COLUMNS('Portfolio Weights Returns'!$B$9:$BJ$69))+1,MOD(ROW(A891)-1,COLUMNS('Portfolio Weights Returns'!$B$9:$BJ$69))+1)</f>
        <v>-8.588141319845708E-4</v>
      </c>
      <c r="B892">
        <v>1.78E-2</v>
      </c>
      <c r="C892" s="59">
        <v>0.28999999999999998</v>
      </c>
      <c r="D892" s="59">
        <v>-0.16</v>
      </c>
      <c r="E892" s="60">
        <f t="shared" si="13"/>
        <v>0.86999999999999988</v>
      </c>
      <c r="F892" t="str" cm="1">
        <f t="array" ref="F892">IF(A892=MAX(IF(ROUND($B$2:$B$3722,4)=ROUND(B892,4),$A$2:$A$3722)),"Efficient","Inefficient")</f>
        <v>Inefficient</v>
      </c>
    </row>
    <row r="893" spans="1:6" x14ac:dyDescent="0.25">
      <c r="A893" cm="1">
        <f t="array" ref="A893">INDEX('Portfolio Weights Returns'!$B$9:$BJ$69,
INT((ROW(A892)-1)/COLUMNS('Portfolio Weights Returns'!$B$9:$BJ$69))+1,MOD(ROW(A892)-1,COLUMNS('Portfolio Weights Returns'!$B$9:$BJ$69))+1)</f>
        <v>-8.5203295801789165E-4</v>
      </c>
      <c r="B893">
        <v>1.78E-2</v>
      </c>
      <c r="C893" s="59">
        <v>0.27</v>
      </c>
      <c r="D893" s="59">
        <v>-0.15</v>
      </c>
      <c r="E893" s="60">
        <f t="shared" si="13"/>
        <v>0.87999999999999989</v>
      </c>
      <c r="F893" t="str" cm="1">
        <f t="array" ref="F893">IF(A893=MAX(IF(ROUND($B$2:$B$3722,4)=ROUND(B893,4),$A$2:$A$3722)),"Efficient","Inefficient")</f>
        <v>Inefficient</v>
      </c>
    </row>
    <row r="894" spans="1:6" x14ac:dyDescent="0.25">
      <c r="A894" cm="1">
        <f t="array" ref="A894">INDEX('Portfolio Weights Returns'!$B$9:$BJ$69,
INT((ROW(A893)-1)/COLUMNS('Portfolio Weights Returns'!$B$9:$BJ$69))+1,MOD(ROW(A893)-1,COLUMNS('Portfolio Weights Returns'!$B$9:$BJ$69))+1)</f>
        <v>-8.4525178405121272E-4</v>
      </c>
      <c r="B894">
        <v>1.78E-2</v>
      </c>
      <c r="C894" s="59">
        <v>0.26</v>
      </c>
      <c r="D894" s="59">
        <v>-0.14000000000000001</v>
      </c>
      <c r="E894" s="60">
        <f t="shared" si="13"/>
        <v>0.88000000000000012</v>
      </c>
      <c r="F894" t="str" cm="1">
        <f t="array" ref="F894">IF(A894=MAX(IF(ROUND($B$2:$B$3722,4)=ROUND(B894,4),$A$2:$A$3722)),"Efficient","Inefficient")</f>
        <v>Inefficient</v>
      </c>
    </row>
    <row r="895" spans="1:6" x14ac:dyDescent="0.25">
      <c r="A895" cm="1">
        <f t="array" ref="A895">INDEX('Portfolio Weights Returns'!$B$9:$BJ$69,
INT((ROW(A894)-1)/COLUMNS('Portfolio Weights Returns'!$B$9:$BJ$69))+1,MOD(ROW(A894)-1,COLUMNS('Portfolio Weights Returns'!$B$9:$BJ$69))+1)</f>
        <v>-8.3847061008453358E-4</v>
      </c>
      <c r="B895">
        <v>1.78E-2</v>
      </c>
      <c r="C895" s="59">
        <v>0.24</v>
      </c>
      <c r="D895" s="59">
        <v>-0.13</v>
      </c>
      <c r="E895" s="60">
        <f t="shared" si="13"/>
        <v>0.8899999999999999</v>
      </c>
      <c r="F895" t="str" cm="1">
        <f t="array" ref="F895">IF(A895=MAX(IF(ROUND($B$2:$B$3722,4)=ROUND(B895,4),$A$2:$A$3722)),"Efficient","Inefficient")</f>
        <v>Inefficient</v>
      </c>
    </row>
    <row r="896" spans="1:6" x14ac:dyDescent="0.25">
      <c r="A896" cm="1">
        <f t="array" ref="A896">INDEX('Portfolio Weights Returns'!$B$9:$BJ$69,
INT((ROW(A895)-1)/COLUMNS('Portfolio Weights Returns'!$B$9:$BJ$69))+1,MOD(ROW(A895)-1,COLUMNS('Portfolio Weights Returns'!$B$9:$BJ$69))+1)</f>
        <v>-8.3168943611785443E-4</v>
      </c>
      <c r="B896">
        <v>1.78E-2</v>
      </c>
      <c r="C896" s="59">
        <v>0.23</v>
      </c>
      <c r="D896" s="59">
        <v>-0.12</v>
      </c>
      <c r="E896" s="60">
        <f t="shared" si="13"/>
        <v>0.89000000000000012</v>
      </c>
      <c r="F896" t="str" cm="1">
        <f t="array" ref="F896">IF(A896=MAX(IF(ROUND($B$2:$B$3722,4)=ROUND(B896,4),$A$2:$A$3722)),"Efficient","Inefficient")</f>
        <v>Inefficient</v>
      </c>
    </row>
    <row r="897" spans="1:6" x14ac:dyDescent="0.25">
      <c r="A897" cm="1">
        <f t="array" ref="A897">INDEX('Portfolio Weights Returns'!$B$9:$BJ$69,
INT((ROW(A896)-1)/COLUMNS('Portfolio Weights Returns'!$B$9:$BJ$69))+1,MOD(ROW(A896)-1,COLUMNS('Portfolio Weights Returns'!$B$9:$BJ$69))+1)</f>
        <v>-8.249082621511754E-4</v>
      </c>
      <c r="B897">
        <v>1.78E-2</v>
      </c>
      <c r="C897" s="59">
        <v>0.2</v>
      </c>
      <c r="D897" s="59">
        <v>-0.1</v>
      </c>
      <c r="E897" s="60">
        <f t="shared" si="13"/>
        <v>0.90000000000000013</v>
      </c>
      <c r="F897" t="str" cm="1">
        <f t="array" ref="F897">IF(A897=MAX(IF(ROUND($B$2:$B$3722,4)=ROUND(B897,4),$A$2:$A$3722)),"Efficient","Inefficient")</f>
        <v>Inefficient</v>
      </c>
    </row>
    <row r="898" spans="1:6" x14ac:dyDescent="0.25">
      <c r="A898" cm="1">
        <f t="array" ref="A898">INDEX('Portfolio Weights Returns'!$B$9:$BJ$69,
INT((ROW(A897)-1)/COLUMNS('Portfolio Weights Returns'!$B$9:$BJ$69))+1,MOD(ROW(A897)-1,COLUMNS('Portfolio Weights Returns'!$B$9:$BJ$69))+1)</f>
        <v>-8.1812708818449625E-4</v>
      </c>
      <c r="B898">
        <v>1.78E-2</v>
      </c>
      <c r="C898" s="59">
        <v>0.19</v>
      </c>
      <c r="D898" s="59">
        <v>-0.09</v>
      </c>
      <c r="E898" s="60">
        <f t="shared" ref="E898:E961" si="14">1-D898-C898</f>
        <v>0.90000000000000013</v>
      </c>
      <c r="F898" t="str" cm="1">
        <f t="array" ref="F898">IF(A898=MAX(IF(ROUND($B$2:$B$3722,4)=ROUND(B898,4),$A$2:$A$3722)),"Efficient","Inefficient")</f>
        <v>Inefficient</v>
      </c>
    </row>
    <row r="899" spans="1:6" x14ac:dyDescent="0.25">
      <c r="A899" cm="1">
        <f t="array" ref="A899">INDEX('Portfolio Weights Returns'!$B$9:$BJ$69,
INT((ROW(A898)-1)/COLUMNS('Portfolio Weights Returns'!$B$9:$BJ$69))+1,MOD(ROW(A898)-1,COLUMNS('Portfolio Weights Returns'!$B$9:$BJ$69))+1)</f>
        <v>-8.1134591421781711E-4</v>
      </c>
      <c r="B899">
        <v>1.78E-2</v>
      </c>
      <c r="C899" s="59">
        <v>0.18</v>
      </c>
      <c r="D899" s="59">
        <v>-0.08</v>
      </c>
      <c r="E899" s="60">
        <f t="shared" si="14"/>
        <v>0.90000000000000013</v>
      </c>
      <c r="F899" t="str" cm="1">
        <f t="array" ref="F899">IF(A899=MAX(IF(ROUND($B$2:$B$3722,4)=ROUND(B899,4),$A$2:$A$3722)),"Efficient","Inefficient")</f>
        <v>Inefficient</v>
      </c>
    </row>
    <row r="900" spans="1:6" x14ac:dyDescent="0.25">
      <c r="A900" cm="1">
        <f t="array" ref="A900">INDEX('Portfolio Weights Returns'!$B$9:$BJ$69,
INT((ROW(A899)-1)/COLUMNS('Portfolio Weights Returns'!$B$9:$BJ$69))+1,MOD(ROW(A899)-1,COLUMNS('Portfolio Weights Returns'!$B$9:$BJ$69))+1)</f>
        <v>-8.0456474025113797E-4</v>
      </c>
      <c r="B900">
        <v>1.78E-2</v>
      </c>
      <c r="C900" s="59">
        <v>0.15</v>
      </c>
      <c r="D900" s="59">
        <v>-0.06</v>
      </c>
      <c r="E900" s="60">
        <f t="shared" si="14"/>
        <v>0.91</v>
      </c>
      <c r="F900" t="str" cm="1">
        <f t="array" ref="F900">IF(A900=MAX(IF(ROUND($B$2:$B$3722,4)=ROUND(B900,4),$A$2:$A$3722)),"Efficient","Inefficient")</f>
        <v>Inefficient</v>
      </c>
    </row>
    <row r="901" spans="1:6" x14ac:dyDescent="0.25">
      <c r="A901" cm="1">
        <f t="array" ref="A901">INDEX('Portfolio Weights Returns'!$B$9:$BJ$69,
INT((ROW(A900)-1)/COLUMNS('Portfolio Weights Returns'!$B$9:$BJ$69))+1,MOD(ROW(A900)-1,COLUMNS('Portfolio Weights Returns'!$B$9:$BJ$69))+1)</f>
        <v>-7.9778356628445893E-4</v>
      </c>
      <c r="B901">
        <v>1.78E-2</v>
      </c>
      <c r="C901" s="59">
        <v>0.14000000000000001</v>
      </c>
      <c r="D901" s="59">
        <v>-0.05</v>
      </c>
      <c r="E901" s="60">
        <f t="shared" si="14"/>
        <v>0.91</v>
      </c>
      <c r="F901" t="str" cm="1">
        <f t="array" ref="F901">IF(A901=MAX(IF(ROUND($B$2:$B$3722,4)=ROUND(B901,4),$A$2:$A$3722)),"Efficient","Inefficient")</f>
        <v>Inefficient</v>
      </c>
    </row>
    <row r="902" spans="1:6" x14ac:dyDescent="0.25">
      <c r="A902" cm="1">
        <f t="array" ref="A902">INDEX('Portfolio Weights Returns'!$B$9:$BJ$69,
INT((ROW(A901)-1)/COLUMNS('Portfolio Weights Returns'!$B$9:$BJ$69))+1,MOD(ROW(A901)-1,COLUMNS('Portfolio Weights Returns'!$B$9:$BJ$69))+1)</f>
        <v>-7.9100239231777978E-4</v>
      </c>
      <c r="B902">
        <v>1.78E-2</v>
      </c>
      <c r="C902" s="59">
        <v>0.13</v>
      </c>
      <c r="D902" s="59">
        <v>-0.04</v>
      </c>
      <c r="E902" s="60">
        <f t="shared" si="14"/>
        <v>0.91</v>
      </c>
      <c r="F902" t="str" cm="1">
        <f t="array" ref="F902">IF(A902=MAX(IF(ROUND($B$2:$B$3722,4)=ROUND(B902,4),$A$2:$A$3722)),"Efficient","Inefficient")</f>
        <v>Inefficient</v>
      </c>
    </row>
    <row r="903" spans="1:6" x14ac:dyDescent="0.25">
      <c r="A903" cm="1">
        <f t="array" ref="A903">INDEX('Portfolio Weights Returns'!$B$9:$BJ$69,
INT((ROW(A902)-1)/COLUMNS('Portfolio Weights Returns'!$B$9:$BJ$69))+1,MOD(ROW(A902)-1,COLUMNS('Portfolio Weights Returns'!$B$9:$BJ$69))+1)</f>
        <v>-7.8422121835110075E-4</v>
      </c>
      <c r="B903">
        <v>1.78E-2</v>
      </c>
      <c r="C903" s="59">
        <v>0.12</v>
      </c>
      <c r="D903" s="59">
        <v>-0.03</v>
      </c>
      <c r="E903" s="60">
        <f t="shared" si="14"/>
        <v>0.91</v>
      </c>
      <c r="F903" t="str" cm="1">
        <f t="array" ref="F903">IF(A903=MAX(IF(ROUND($B$2:$B$3722,4)=ROUND(B903,4),$A$2:$A$3722)),"Efficient","Inefficient")</f>
        <v>Inefficient</v>
      </c>
    </row>
    <row r="904" spans="1:6" x14ac:dyDescent="0.25">
      <c r="A904" cm="1">
        <f t="array" ref="A904">INDEX('Portfolio Weights Returns'!$B$9:$BJ$69,
INT((ROW(A903)-1)/COLUMNS('Portfolio Weights Returns'!$B$9:$BJ$69))+1,MOD(ROW(A903)-1,COLUMNS('Portfolio Weights Returns'!$B$9:$BJ$69))+1)</f>
        <v>-7.7744004438442171E-4</v>
      </c>
      <c r="B904">
        <v>1.78E-2</v>
      </c>
      <c r="C904" s="59">
        <v>0.1</v>
      </c>
      <c r="D904" s="59">
        <v>0</v>
      </c>
      <c r="E904" s="60">
        <f t="shared" si="14"/>
        <v>0.9</v>
      </c>
      <c r="F904" t="str" cm="1">
        <f t="array" ref="F904">IF(A904=MAX(IF(ROUND($B$2:$B$3722,4)=ROUND(B904,4),$A$2:$A$3722)),"Efficient","Inefficient")</f>
        <v>Inefficient</v>
      </c>
    </row>
    <row r="905" spans="1:6" x14ac:dyDescent="0.25">
      <c r="A905" cm="1">
        <f t="array" ref="A905">INDEX('Portfolio Weights Returns'!$B$9:$BJ$69,
INT((ROW(A904)-1)/COLUMNS('Portfolio Weights Returns'!$B$9:$BJ$69))+1,MOD(ROW(A904)-1,COLUMNS('Portfolio Weights Returns'!$B$9:$BJ$69))+1)</f>
        <v>-7.7065887041774246E-4</v>
      </c>
      <c r="B905">
        <v>1.78E-2</v>
      </c>
      <c r="C905" s="59">
        <v>0.09</v>
      </c>
      <c r="D905" s="59">
        <v>0.01</v>
      </c>
      <c r="E905" s="60">
        <f t="shared" si="14"/>
        <v>0.9</v>
      </c>
      <c r="F905" t="str" cm="1">
        <f t="array" ref="F905">IF(A905=MAX(IF(ROUND($B$2:$B$3722,4)=ROUND(B905,4),$A$2:$A$3722)),"Efficient","Inefficient")</f>
        <v>Inefficient</v>
      </c>
    </row>
    <row r="906" spans="1:6" x14ac:dyDescent="0.25">
      <c r="A906" cm="1">
        <f t="array" ref="A906">INDEX('Portfolio Weights Returns'!$B$9:$BJ$69,
INT((ROW(A905)-1)/COLUMNS('Portfolio Weights Returns'!$B$9:$BJ$69))+1,MOD(ROW(A905)-1,COLUMNS('Portfolio Weights Returns'!$B$9:$BJ$69))+1)</f>
        <v>-7.6387769645106342E-4</v>
      </c>
      <c r="B906">
        <v>1.78E-2</v>
      </c>
      <c r="C906" s="59">
        <v>0.08</v>
      </c>
      <c r="D906" s="59">
        <v>0.02</v>
      </c>
      <c r="E906" s="60">
        <f t="shared" si="14"/>
        <v>0.9</v>
      </c>
      <c r="F906" t="str" cm="1">
        <f t="array" ref="F906">IF(A906=MAX(IF(ROUND($B$2:$B$3722,4)=ROUND(B906,4),$A$2:$A$3722)),"Efficient","Inefficient")</f>
        <v>Inefficient</v>
      </c>
    </row>
    <row r="907" spans="1:6" x14ac:dyDescent="0.25">
      <c r="A907" cm="1">
        <f t="array" ref="A907">INDEX('Portfolio Weights Returns'!$B$9:$BJ$69,
INT((ROW(A906)-1)/COLUMNS('Portfolio Weights Returns'!$B$9:$BJ$69))+1,MOD(ROW(A906)-1,COLUMNS('Portfolio Weights Returns'!$B$9:$BJ$69))+1)</f>
        <v>-7.5709652248438428E-4</v>
      </c>
      <c r="B907">
        <v>1.78E-2</v>
      </c>
      <c r="C907" s="59">
        <v>7.0000000000000007E-2</v>
      </c>
      <c r="D907" s="59">
        <v>0.04</v>
      </c>
      <c r="E907" s="60">
        <f t="shared" si="14"/>
        <v>0.8899999999999999</v>
      </c>
      <c r="F907" t="str" cm="1">
        <f t="array" ref="F907">IF(A907=MAX(IF(ROUND($B$2:$B$3722,4)=ROUND(B907,4),$A$2:$A$3722)),"Efficient","Inefficient")</f>
        <v>Inefficient</v>
      </c>
    </row>
    <row r="908" spans="1:6" x14ac:dyDescent="0.25">
      <c r="A908" cm="1">
        <f t="array" ref="A908">INDEX('Portfolio Weights Returns'!$B$9:$BJ$69,
INT((ROW(A907)-1)/COLUMNS('Portfolio Weights Returns'!$B$9:$BJ$69))+1,MOD(ROW(A907)-1,COLUMNS('Portfolio Weights Returns'!$B$9:$BJ$69))+1)</f>
        <v>-7.5031534851770524E-4</v>
      </c>
      <c r="B908">
        <v>1.78E-2</v>
      </c>
      <c r="C908" s="59">
        <v>0.06</v>
      </c>
      <c r="D908" s="59">
        <v>0.05</v>
      </c>
      <c r="E908" s="60">
        <f t="shared" si="14"/>
        <v>0.8899999999999999</v>
      </c>
      <c r="F908" t="str" cm="1">
        <f t="array" ref="F908">IF(A908=MAX(IF(ROUND($B$2:$B$3722,4)=ROUND(B908,4),$A$2:$A$3722)),"Efficient","Inefficient")</f>
        <v>Inefficient</v>
      </c>
    </row>
    <row r="909" spans="1:6" x14ac:dyDescent="0.25">
      <c r="A909" cm="1">
        <f t="array" ref="A909">INDEX('Portfolio Weights Returns'!$B$9:$BJ$69,
INT((ROW(A908)-1)/COLUMNS('Portfolio Weights Returns'!$B$9:$BJ$69))+1,MOD(ROW(A908)-1,COLUMNS('Portfolio Weights Returns'!$B$9:$BJ$69))+1)</f>
        <v>-7.435341745510261E-4</v>
      </c>
      <c r="B909">
        <v>1.78E-2</v>
      </c>
      <c r="C909" s="59">
        <v>0.06</v>
      </c>
      <c r="D909" s="59">
        <v>0.06</v>
      </c>
      <c r="E909" s="60">
        <f t="shared" si="14"/>
        <v>0.87999999999999989</v>
      </c>
      <c r="F909" t="str" cm="1">
        <f t="array" ref="F909">IF(A909=MAX(IF(ROUND($B$2:$B$3722,4)=ROUND(B909,4),$A$2:$A$3722)),"Efficient","Inefficient")</f>
        <v>Inefficient</v>
      </c>
    </row>
    <row r="910" spans="1:6" x14ac:dyDescent="0.25">
      <c r="A910" cm="1">
        <f t="array" ref="A910">INDEX('Portfolio Weights Returns'!$B$9:$BJ$69,
INT((ROW(A909)-1)/COLUMNS('Portfolio Weights Returns'!$B$9:$BJ$69))+1,MOD(ROW(A909)-1,COLUMNS('Portfolio Weights Returns'!$B$9:$BJ$69))+1)</f>
        <v>-7.3675300058434706E-4</v>
      </c>
      <c r="B910">
        <v>1.78E-2</v>
      </c>
      <c r="C910" s="59">
        <v>0.05</v>
      </c>
      <c r="D910" s="59">
        <v>7.0000000000000007E-2</v>
      </c>
      <c r="E910" s="60">
        <f t="shared" si="14"/>
        <v>0.87999999999999989</v>
      </c>
      <c r="F910" t="str" cm="1">
        <f t="array" ref="F910">IF(A910=MAX(IF(ROUND($B$2:$B$3722,4)=ROUND(B910,4),$A$2:$A$3722)),"Efficient","Inefficient")</f>
        <v>Inefficient</v>
      </c>
    </row>
    <row r="911" spans="1:6" x14ac:dyDescent="0.25">
      <c r="A911" cm="1">
        <f t="array" ref="A911">INDEX('Portfolio Weights Returns'!$B$9:$BJ$69,
INT((ROW(A910)-1)/COLUMNS('Portfolio Weights Returns'!$B$9:$BJ$69))+1,MOD(ROW(A910)-1,COLUMNS('Portfolio Weights Returns'!$B$9:$BJ$69))+1)</f>
        <v>-7.2997182661766792E-4</v>
      </c>
      <c r="B911">
        <v>1.78E-2</v>
      </c>
      <c r="C911" s="59">
        <v>0.05</v>
      </c>
      <c r="D911" s="59">
        <v>0.08</v>
      </c>
      <c r="E911" s="60">
        <f t="shared" si="14"/>
        <v>0.87</v>
      </c>
      <c r="F911" t="str" cm="1">
        <f t="array" ref="F911">IF(A911=MAX(IF(ROUND($B$2:$B$3722,4)=ROUND(B911,4),$A$2:$A$3722)),"Efficient","Inefficient")</f>
        <v>Inefficient</v>
      </c>
    </row>
    <row r="912" spans="1:6" x14ac:dyDescent="0.25">
      <c r="A912" cm="1">
        <f t="array" ref="A912">INDEX('Portfolio Weights Returns'!$B$9:$BJ$69,
INT((ROW(A911)-1)/COLUMNS('Portfolio Weights Returns'!$B$9:$BJ$69))+1,MOD(ROW(A911)-1,COLUMNS('Portfolio Weights Returns'!$B$9:$BJ$69))+1)</f>
        <v>-7.2319065265098877E-4</v>
      </c>
      <c r="B912">
        <v>1.78E-2</v>
      </c>
      <c r="C912" s="59">
        <v>0.04</v>
      </c>
      <c r="D912" s="59">
        <v>0.1</v>
      </c>
      <c r="E912" s="60">
        <f t="shared" si="14"/>
        <v>0.86</v>
      </c>
      <c r="F912" t="str" cm="1">
        <f t="array" ref="F912">IF(A912=MAX(IF(ROUND($B$2:$B$3722,4)=ROUND(B912,4),$A$2:$A$3722)),"Efficient","Inefficient")</f>
        <v>Inefficient</v>
      </c>
    </row>
    <row r="913" spans="1:6" x14ac:dyDescent="0.25">
      <c r="A913" cm="1">
        <f t="array" ref="A913">INDEX('Portfolio Weights Returns'!$B$9:$BJ$69,
INT((ROW(A912)-1)/COLUMNS('Portfolio Weights Returns'!$B$9:$BJ$69))+1,MOD(ROW(A912)-1,COLUMNS('Portfolio Weights Returns'!$B$9:$BJ$69))+1)</f>
        <v>-7.1640947868430898E-4</v>
      </c>
      <c r="B913">
        <v>1.78E-2</v>
      </c>
      <c r="C913" s="59">
        <v>0.04</v>
      </c>
      <c r="D913" s="59">
        <v>0.11</v>
      </c>
      <c r="E913" s="60">
        <f t="shared" si="14"/>
        <v>0.85</v>
      </c>
      <c r="F913" t="str" cm="1">
        <f t="array" ref="F913">IF(A913=MAX(IF(ROUND($B$2:$B$3722,4)=ROUND(B913,4),$A$2:$A$3722)),"Efficient","Inefficient")</f>
        <v>Inefficient</v>
      </c>
    </row>
    <row r="914" spans="1:6" x14ac:dyDescent="0.25">
      <c r="A914" cm="1">
        <f t="array" ref="A914">INDEX('Portfolio Weights Returns'!$B$9:$BJ$69,
INT((ROW(A913)-1)/COLUMNS('Portfolio Weights Returns'!$B$9:$BJ$69))+1,MOD(ROW(A913)-1,COLUMNS('Portfolio Weights Returns'!$B$9:$BJ$69))+1)</f>
        <v>-7.0962830471762994E-4</v>
      </c>
      <c r="B914">
        <v>1.78E-2</v>
      </c>
      <c r="C914" s="59">
        <v>0.04</v>
      </c>
      <c r="D914" s="59">
        <v>0.12</v>
      </c>
      <c r="E914" s="60">
        <f t="shared" si="14"/>
        <v>0.84</v>
      </c>
      <c r="F914" t="str" cm="1">
        <f t="array" ref="F914">IF(A914=MAX(IF(ROUND($B$2:$B$3722,4)=ROUND(B914,4),$A$2:$A$3722)),"Efficient","Inefficient")</f>
        <v>Inefficient</v>
      </c>
    </row>
    <row r="915" spans="1:6" x14ac:dyDescent="0.25">
      <c r="A915" cm="1">
        <f t="array" ref="A915">INDEX('Portfolio Weights Returns'!$B$9:$BJ$69,
INT((ROW(A914)-1)/COLUMNS('Portfolio Weights Returns'!$B$9:$BJ$69))+1,MOD(ROW(A914)-1,COLUMNS('Portfolio Weights Returns'!$B$9:$BJ$69))+1)</f>
        <v>-7.028471307509508E-4</v>
      </c>
      <c r="B915">
        <v>1.78E-2</v>
      </c>
      <c r="C915" s="59">
        <v>0.04</v>
      </c>
      <c r="D915" s="59">
        <v>0.13</v>
      </c>
      <c r="E915" s="60">
        <f t="shared" si="14"/>
        <v>0.83</v>
      </c>
      <c r="F915" t="str" cm="1">
        <f t="array" ref="F915">IF(A915=MAX(IF(ROUND($B$2:$B$3722,4)=ROUND(B915,4),$A$2:$A$3722)),"Efficient","Inefficient")</f>
        <v>Inefficient</v>
      </c>
    </row>
    <row r="916" spans="1:6" x14ac:dyDescent="0.25">
      <c r="A916" cm="1">
        <f t="array" ref="A916">INDEX('Portfolio Weights Returns'!$B$9:$BJ$69,
INT((ROW(A915)-1)/COLUMNS('Portfolio Weights Returns'!$B$9:$BJ$69))+1,MOD(ROW(A915)-1,COLUMNS('Portfolio Weights Returns'!$B$9:$BJ$69))+1)</f>
        <v>-6.9606595678427165E-4</v>
      </c>
      <c r="B916">
        <v>1.78E-2</v>
      </c>
      <c r="C916" s="59">
        <v>0.04</v>
      </c>
      <c r="D916" s="59">
        <v>0.14000000000000001</v>
      </c>
      <c r="E916" s="60">
        <f t="shared" si="14"/>
        <v>0.82</v>
      </c>
      <c r="F916" t="str" cm="1">
        <f t="array" ref="F916">IF(A916=MAX(IF(ROUND($B$2:$B$3722,4)=ROUND(B916,4),$A$2:$A$3722)),"Efficient","Inefficient")</f>
        <v>Efficient</v>
      </c>
    </row>
    <row r="917" spans="1:6" x14ac:dyDescent="0.25">
      <c r="A917" cm="1">
        <f t="array" ref="A917">INDEX('Portfolio Weights Returns'!$B$9:$BJ$69,
INT((ROW(A916)-1)/COLUMNS('Portfolio Weights Returns'!$B$9:$BJ$69))+1,MOD(ROW(A916)-1,COLUMNS('Portfolio Weights Returns'!$B$9:$BJ$69))+1)</f>
        <v>-1.0963621869395635E-3</v>
      </c>
      <c r="B917">
        <v>1.78E-2</v>
      </c>
      <c r="C917" s="59">
        <v>0.04</v>
      </c>
      <c r="D917" s="59">
        <v>0.15</v>
      </c>
      <c r="E917" s="60">
        <f t="shared" si="14"/>
        <v>0.80999999999999994</v>
      </c>
      <c r="F917" t="str" cm="1">
        <f t="array" ref="F917">IF(A917=MAX(IF(ROUND($B$2:$B$3722,4)=ROUND(B917,4),$A$2:$A$3722)),"Efficient","Inefficient")</f>
        <v>Inefficient</v>
      </c>
    </row>
    <row r="918" spans="1:6" x14ac:dyDescent="0.25">
      <c r="A918" cm="1">
        <f t="array" ref="A918">INDEX('Portfolio Weights Returns'!$B$9:$BJ$69,
INT((ROW(A917)-1)/COLUMNS('Portfolio Weights Returns'!$B$9:$BJ$69))+1,MOD(ROW(A917)-1,COLUMNS('Portfolio Weights Returns'!$B$9:$BJ$69))+1)</f>
        <v>-1.0895810129728843E-3</v>
      </c>
      <c r="B918">
        <v>1.78E-2</v>
      </c>
      <c r="C918" s="59">
        <v>0.04</v>
      </c>
      <c r="D918" s="59">
        <v>0.16</v>
      </c>
      <c r="E918" s="60">
        <f t="shared" si="14"/>
        <v>0.79999999999999993</v>
      </c>
      <c r="F918" t="str" cm="1">
        <f t="array" ref="F918">IF(A918=MAX(IF(ROUND($B$2:$B$3722,4)=ROUND(B918,4),$A$2:$A$3722)),"Efficient","Inefficient")</f>
        <v>Inefficient</v>
      </c>
    </row>
    <row r="919" spans="1:6" x14ac:dyDescent="0.25">
      <c r="A919" cm="1">
        <f t="array" ref="A919">INDEX('Portfolio Weights Returns'!$B$9:$BJ$69,
INT((ROW(A918)-1)/COLUMNS('Portfolio Weights Returns'!$B$9:$BJ$69))+1,MOD(ROW(A918)-1,COLUMNS('Portfolio Weights Returns'!$B$9:$BJ$69))+1)</f>
        <v>-1.082799839006205E-3</v>
      </c>
      <c r="B919">
        <v>1.78E-2</v>
      </c>
      <c r="C919" s="59">
        <v>0.04</v>
      </c>
      <c r="D919" s="59">
        <v>0.17</v>
      </c>
      <c r="E919" s="60">
        <f t="shared" si="14"/>
        <v>0.78999999999999992</v>
      </c>
      <c r="F919" t="str" cm="1">
        <f t="array" ref="F919">IF(A919=MAX(IF(ROUND($B$2:$B$3722,4)=ROUND(B919,4),$A$2:$A$3722)),"Efficient","Inefficient")</f>
        <v>Inefficient</v>
      </c>
    </row>
    <row r="920" spans="1:6" x14ac:dyDescent="0.25">
      <c r="A920" cm="1">
        <f t="array" ref="A920">INDEX('Portfolio Weights Returns'!$B$9:$BJ$69,
INT((ROW(A919)-1)/COLUMNS('Portfolio Weights Returns'!$B$9:$BJ$69))+1,MOD(ROW(A919)-1,COLUMNS('Portfolio Weights Returns'!$B$9:$BJ$69))+1)</f>
        <v>-1.076018665039526E-3</v>
      </c>
      <c r="B920">
        <v>1.78E-2</v>
      </c>
      <c r="C920" s="59">
        <v>0.04</v>
      </c>
      <c r="D920" s="59">
        <v>0.18</v>
      </c>
      <c r="E920" s="60">
        <f t="shared" si="14"/>
        <v>0.78</v>
      </c>
      <c r="F920" t="str" cm="1">
        <f t="array" ref="F920">IF(A920=MAX(IF(ROUND($B$2:$B$3722,4)=ROUND(B920,4),$A$2:$A$3722)),"Efficient","Inefficient")</f>
        <v>Inefficient</v>
      </c>
    </row>
    <row r="921" spans="1:6" x14ac:dyDescent="0.25">
      <c r="A921" cm="1">
        <f t="array" ref="A921">INDEX('Portfolio Weights Returns'!$B$9:$BJ$69,
INT((ROW(A920)-1)/COLUMNS('Portfolio Weights Returns'!$B$9:$BJ$69))+1,MOD(ROW(A920)-1,COLUMNS('Portfolio Weights Returns'!$B$9:$BJ$69))+1)</f>
        <v>-1.0692374910728469E-3</v>
      </c>
      <c r="B921">
        <v>1.78E-2</v>
      </c>
      <c r="C921" s="59">
        <v>0.05</v>
      </c>
      <c r="D921" s="59">
        <v>0.2</v>
      </c>
      <c r="E921" s="60">
        <f t="shared" si="14"/>
        <v>0.75</v>
      </c>
      <c r="F921" t="str" cm="1">
        <f t="array" ref="F921">IF(A921=MAX(IF(ROUND($B$2:$B$3722,4)=ROUND(B921,4),$A$2:$A$3722)),"Efficient","Inefficient")</f>
        <v>Inefficient</v>
      </c>
    </row>
    <row r="922" spans="1:6" x14ac:dyDescent="0.25">
      <c r="A922" cm="1">
        <f t="array" ref="A922">INDEX('Portfolio Weights Returns'!$B$9:$BJ$69,
INT((ROW(A921)-1)/COLUMNS('Portfolio Weights Returns'!$B$9:$BJ$69))+1,MOD(ROW(A921)-1,COLUMNS('Portfolio Weights Returns'!$B$9:$BJ$69))+1)</f>
        <v>-1.0624563171061677E-3</v>
      </c>
      <c r="B922">
        <v>1.78E-2</v>
      </c>
      <c r="C922" s="59">
        <v>0.05</v>
      </c>
      <c r="D922" s="59">
        <v>0.21</v>
      </c>
      <c r="E922" s="60">
        <f t="shared" si="14"/>
        <v>0.74</v>
      </c>
      <c r="F922" t="str" cm="1">
        <f t="array" ref="F922">IF(A922=MAX(IF(ROUND($B$2:$B$3722,4)=ROUND(B922,4),$A$2:$A$3722)),"Efficient","Inefficient")</f>
        <v>Inefficient</v>
      </c>
    </row>
    <row r="923" spans="1:6" x14ac:dyDescent="0.25">
      <c r="A923" cm="1">
        <f t="array" ref="A923">INDEX('Portfolio Weights Returns'!$B$9:$BJ$69,
INT((ROW(A922)-1)/COLUMNS('Portfolio Weights Returns'!$B$9:$BJ$69))+1,MOD(ROW(A922)-1,COLUMNS('Portfolio Weights Returns'!$B$9:$BJ$69))+1)</f>
        <v>-1.0556751431394886E-3</v>
      </c>
      <c r="B923">
        <v>1.78E-2</v>
      </c>
      <c r="C923" s="59">
        <v>0.06</v>
      </c>
      <c r="D923" s="59">
        <v>0.22</v>
      </c>
      <c r="E923" s="60">
        <f t="shared" si="14"/>
        <v>0.72</v>
      </c>
      <c r="F923" t="str" cm="1">
        <f t="array" ref="F923">IF(A923=MAX(IF(ROUND($B$2:$B$3722,4)=ROUND(B923,4),$A$2:$A$3722)),"Efficient","Inefficient")</f>
        <v>Inefficient</v>
      </c>
    </row>
    <row r="924" spans="1:6" x14ac:dyDescent="0.25">
      <c r="A924" cm="1">
        <f t="array" ref="A924">INDEX('Portfolio Weights Returns'!$B$9:$BJ$69,
INT((ROW(A923)-1)/COLUMNS('Portfolio Weights Returns'!$B$9:$BJ$69))+1,MOD(ROW(A923)-1,COLUMNS('Portfolio Weights Returns'!$B$9:$BJ$69))+1)</f>
        <v>-1.0488939691728097E-3</v>
      </c>
      <c r="B924">
        <v>1.78E-2</v>
      </c>
      <c r="C924" s="59">
        <v>7.0000000000000007E-2</v>
      </c>
      <c r="D924" s="59">
        <v>0.23</v>
      </c>
      <c r="E924" s="60">
        <f t="shared" si="14"/>
        <v>0.7</v>
      </c>
      <c r="F924" t="str" cm="1">
        <f t="array" ref="F924">IF(A924=MAX(IF(ROUND($B$2:$B$3722,4)=ROUND(B924,4),$A$2:$A$3722)),"Efficient","Inefficient")</f>
        <v>Inefficient</v>
      </c>
    </row>
    <row r="925" spans="1:6" x14ac:dyDescent="0.25">
      <c r="A925" cm="1">
        <f t="array" ref="A925">INDEX('Portfolio Weights Returns'!$B$9:$BJ$69,
INT((ROW(A924)-1)/COLUMNS('Portfolio Weights Returns'!$B$9:$BJ$69))+1,MOD(ROW(A924)-1,COLUMNS('Portfolio Weights Returns'!$B$9:$BJ$69))+1)</f>
        <v>-1.0421127952061305E-3</v>
      </c>
      <c r="B925">
        <v>1.78E-2</v>
      </c>
      <c r="C925" s="59">
        <v>0.08</v>
      </c>
      <c r="D925" s="59">
        <v>0.24</v>
      </c>
      <c r="E925" s="60">
        <f t="shared" si="14"/>
        <v>0.68</v>
      </c>
      <c r="F925" t="str" cm="1">
        <f t="array" ref="F925">IF(A925=MAX(IF(ROUND($B$2:$B$3722,4)=ROUND(B925,4),$A$2:$A$3722)),"Efficient","Inefficient")</f>
        <v>Inefficient</v>
      </c>
    </row>
    <row r="926" spans="1:6" x14ac:dyDescent="0.25">
      <c r="A926" cm="1">
        <f t="array" ref="A926">INDEX('Portfolio Weights Returns'!$B$9:$BJ$69,
INT((ROW(A925)-1)/COLUMNS('Portfolio Weights Returns'!$B$9:$BJ$69))+1,MOD(ROW(A925)-1,COLUMNS('Portfolio Weights Returns'!$B$9:$BJ$69))+1)</f>
        <v>-1.0353316212394514E-3</v>
      </c>
      <c r="B926">
        <v>1.78E-2</v>
      </c>
      <c r="C926" s="59">
        <v>0.09</v>
      </c>
      <c r="D926" s="59">
        <v>0.25</v>
      </c>
      <c r="E926" s="60">
        <f t="shared" si="14"/>
        <v>0.66</v>
      </c>
      <c r="F926" t="str" cm="1">
        <f t="array" ref="F926">IF(A926=MAX(IF(ROUND($B$2:$B$3722,4)=ROUND(B926,4),$A$2:$A$3722)),"Efficient","Inefficient")</f>
        <v>Inefficient</v>
      </c>
    </row>
    <row r="927" spans="1:6" x14ac:dyDescent="0.25">
      <c r="A927" cm="1">
        <f t="array" ref="A927">INDEX('Portfolio Weights Returns'!$B$9:$BJ$69,
INT((ROW(A926)-1)/COLUMNS('Portfolio Weights Returns'!$B$9:$BJ$69))+1,MOD(ROW(A926)-1,COLUMNS('Portfolio Weights Returns'!$B$9:$BJ$69))+1)</f>
        <v>-1.0285504472727722E-3</v>
      </c>
      <c r="B927">
        <v>1.78E-2</v>
      </c>
      <c r="C927" s="59">
        <v>0.1</v>
      </c>
      <c r="D927" s="59">
        <v>0.26</v>
      </c>
      <c r="E927" s="60">
        <f t="shared" si="14"/>
        <v>0.64</v>
      </c>
      <c r="F927" t="str" cm="1">
        <f t="array" ref="F927">IF(A927=MAX(IF(ROUND($B$2:$B$3722,4)=ROUND(B927,4),$A$2:$A$3722)),"Efficient","Inefficient")</f>
        <v>Inefficient</v>
      </c>
    </row>
    <row r="928" spans="1:6" x14ac:dyDescent="0.25">
      <c r="A928" cm="1">
        <f t="array" ref="A928">INDEX('Portfolio Weights Returns'!$B$9:$BJ$69,
INT((ROW(A927)-1)/COLUMNS('Portfolio Weights Returns'!$B$9:$BJ$69))+1,MOD(ROW(A927)-1,COLUMNS('Portfolio Weights Returns'!$B$9:$BJ$69))+1)</f>
        <v>-1.0217692733060931E-3</v>
      </c>
      <c r="B928">
        <v>1.78E-2</v>
      </c>
      <c r="C928" s="59">
        <v>0.11</v>
      </c>
      <c r="D928" s="59">
        <v>0.26</v>
      </c>
      <c r="E928" s="60">
        <f t="shared" si="14"/>
        <v>0.63</v>
      </c>
      <c r="F928" t="str" cm="1">
        <f t="array" ref="F928">IF(A928=MAX(IF(ROUND($B$2:$B$3722,4)=ROUND(B928,4),$A$2:$A$3722)),"Efficient","Inefficient")</f>
        <v>Inefficient</v>
      </c>
    </row>
    <row r="929" spans="1:6" x14ac:dyDescent="0.25">
      <c r="A929" cm="1">
        <f t="array" ref="A929">INDEX('Portfolio Weights Returns'!$B$9:$BJ$69,
INT((ROW(A928)-1)/COLUMNS('Portfolio Weights Returns'!$B$9:$BJ$69))+1,MOD(ROW(A928)-1,COLUMNS('Portfolio Weights Returns'!$B$9:$BJ$69))+1)</f>
        <v>-1.0149880993394142E-3</v>
      </c>
      <c r="B929">
        <v>1.78E-2</v>
      </c>
      <c r="C929" s="59">
        <v>0.12</v>
      </c>
      <c r="D929" s="59">
        <v>0.27</v>
      </c>
      <c r="E929" s="60">
        <f t="shared" si="14"/>
        <v>0.61</v>
      </c>
      <c r="F929" t="str" cm="1">
        <f t="array" ref="F929">IF(A929=MAX(IF(ROUND($B$2:$B$3722,4)=ROUND(B929,4),$A$2:$A$3722)),"Efficient","Inefficient")</f>
        <v>Inefficient</v>
      </c>
    </row>
    <row r="930" spans="1:6" x14ac:dyDescent="0.25">
      <c r="A930" cm="1">
        <f t="array" ref="A930">INDEX('Portfolio Weights Returns'!$B$9:$BJ$69,
INT((ROW(A929)-1)/COLUMNS('Portfolio Weights Returns'!$B$9:$BJ$69))+1,MOD(ROW(A929)-1,COLUMNS('Portfolio Weights Returns'!$B$9:$BJ$69))+1)</f>
        <v>-1.008206925372735E-3</v>
      </c>
      <c r="B930">
        <v>1.78E-2</v>
      </c>
      <c r="C930" s="59">
        <v>0.14000000000000001</v>
      </c>
      <c r="D930" s="59">
        <v>0.28000000000000003</v>
      </c>
      <c r="E930" s="60">
        <f t="shared" si="14"/>
        <v>0.57999999999999996</v>
      </c>
      <c r="F930" t="str" cm="1">
        <f t="array" ref="F930">IF(A930=MAX(IF(ROUND($B$2:$B$3722,4)=ROUND(B930,4),$A$2:$A$3722)),"Efficient","Inefficient")</f>
        <v>Inefficient</v>
      </c>
    </row>
    <row r="931" spans="1:6" x14ac:dyDescent="0.25">
      <c r="A931" cm="1">
        <f t="array" ref="A931">INDEX('Portfolio Weights Returns'!$B$9:$BJ$69,
INT((ROW(A930)-1)/COLUMNS('Portfolio Weights Returns'!$B$9:$BJ$69))+1,MOD(ROW(A930)-1,COLUMNS('Portfolio Weights Returns'!$B$9:$BJ$69))+1)</f>
        <v>-1.0014257514060559E-3</v>
      </c>
      <c r="B931">
        <v>1.78E-2</v>
      </c>
      <c r="C931" s="59">
        <v>0.16</v>
      </c>
      <c r="D931" s="59">
        <v>0.28999999999999998</v>
      </c>
      <c r="E931" s="60">
        <f t="shared" si="14"/>
        <v>0.54999999999999993</v>
      </c>
      <c r="F931" t="str" cm="1">
        <f t="array" ref="F931">IF(A931=MAX(IF(ROUND($B$2:$B$3722,4)=ROUND(B931,4),$A$2:$A$3722)),"Efficient","Inefficient")</f>
        <v>Inefficient</v>
      </c>
    </row>
    <row r="932" spans="1:6" x14ac:dyDescent="0.25">
      <c r="A932" cm="1">
        <f t="array" ref="A932">INDEX('Portfolio Weights Returns'!$B$9:$BJ$69,
INT((ROW(A931)-1)/COLUMNS('Portfolio Weights Returns'!$B$9:$BJ$69))+1,MOD(ROW(A931)-1,COLUMNS('Portfolio Weights Returns'!$B$9:$BJ$69))+1)</f>
        <v>-9.9464457743937674E-4</v>
      </c>
      <c r="B932">
        <v>1.78E-2</v>
      </c>
      <c r="C932" s="59">
        <v>0.17</v>
      </c>
      <c r="D932" s="59">
        <v>0.28999999999999998</v>
      </c>
      <c r="E932" s="60">
        <f t="shared" si="14"/>
        <v>0.53999999999999992</v>
      </c>
      <c r="F932" t="str" cm="1">
        <f t="array" ref="F932">IF(A932=MAX(IF(ROUND($B$2:$B$3722,4)=ROUND(B932,4),$A$2:$A$3722)),"Efficient","Inefficient")</f>
        <v>Inefficient</v>
      </c>
    </row>
    <row r="933" spans="1:6" x14ac:dyDescent="0.25">
      <c r="A933" cm="1">
        <f t="array" ref="A933">INDEX('Portfolio Weights Returns'!$B$9:$BJ$69,
INT((ROW(A932)-1)/COLUMNS('Portfolio Weights Returns'!$B$9:$BJ$69))+1,MOD(ROW(A932)-1,COLUMNS('Portfolio Weights Returns'!$B$9:$BJ$69))+1)</f>
        <v>-9.8786340347269781E-4</v>
      </c>
      <c r="B933">
        <v>1.78E-2</v>
      </c>
      <c r="C933" s="59">
        <v>0.19</v>
      </c>
      <c r="D933" s="59">
        <v>0.3</v>
      </c>
      <c r="E933" s="60">
        <f t="shared" si="14"/>
        <v>0.51</v>
      </c>
      <c r="F933" t="str" cm="1">
        <f t="array" ref="F933">IF(A933=MAX(IF(ROUND($B$2:$B$3722,4)=ROUND(B933,4),$A$2:$A$3722)),"Efficient","Inefficient")</f>
        <v>Inefficient</v>
      </c>
    </row>
    <row r="934" spans="1:6" x14ac:dyDescent="0.25">
      <c r="A934" cm="1">
        <f t="array" ref="A934">INDEX('Portfolio Weights Returns'!$B$9:$BJ$69,
INT((ROW(A933)-1)/COLUMNS('Portfolio Weights Returns'!$B$9:$BJ$69))+1,MOD(ROW(A933)-1,COLUMNS('Portfolio Weights Returns'!$B$9:$BJ$69))+1)</f>
        <v>-9.8108222950601845E-4</v>
      </c>
      <c r="B934">
        <v>1.78E-2</v>
      </c>
      <c r="C934" s="59">
        <v>0.2</v>
      </c>
      <c r="D934" s="59">
        <v>0.3</v>
      </c>
      <c r="E934" s="60">
        <f t="shared" si="14"/>
        <v>0.49999999999999994</v>
      </c>
      <c r="F934" t="str" cm="1">
        <f t="array" ref="F934">IF(A934=MAX(IF(ROUND($B$2:$B$3722,4)=ROUND(B934,4),$A$2:$A$3722)),"Efficient","Inefficient")</f>
        <v>Inefficient</v>
      </c>
    </row>
    <row r="935" spans="1:6" x14ac:dyDescent="0.25">
      <c r="A935" cm="1">
        <f t="array" ref="A935">INDEX('Portfolio Weights Returns'!$B$9:$BJ$69,
INT((ROW(A934)-1)/COLUMNS('Portfolio Weights Returns'!$B$9:$BJ$69))+1,MOD(ROW(A934)-1,COLUMNS('Portfolio Weights Returns'!$B$9:$BJ$69))+1)</f>
        <v>-9.7430105553933952E-4</v>
      </c>
      <c r="B935">
        <v>1.78E-2</v>
      </c>
      <c r="C935" s="59">
        <v>0.21</v>
      </c>
      <c r="D935" s="59">
        <v>0.3</v>
      </c>
      <c r="E935" s="60">
        <f t="shared" si="14"/>
        <v>0.49</v>
      </c>
      <c r="F935" t="str" cm="1">
        <f t="array" ref="F935">IF(A935=MAX(IF(ROUND($B$2:$B$3722,4)=ROUND(B935,4),$A$2:$A$3722)),"Efficient","Inefficient")</f>
        <v>Inefficient</v>
      </c>
    </row>
    <row r="936" spans="1:6" x14ac:dyDescent="0.25">
      <c r="A936" cm="1">
        <f t="array" ref="A936">INDEX('Portfolio Weights Returns'!$B$9:$BJ$69,
INT((ROW(A935)-1)/COLUMNS('Portfolio Weights Returns'!$B$9:$BJ$69))+1,MOD(ROW(A935)-1,COLUMNS('Portfolio Weights Returns'!$B$9:$BJ$69))+1)</f>
        <v>-9.6751988157266038E-4</v>
      </c>
      <c r="B936">
        <v>1.7899999999999999E-2</v>
      </c>
      <c r="C936" s="59">
        <v>0.3</v>
      </c>
      <c r="D936" s="59">
        <v>-0.17</v>
      </c>
      <c r="E936" s="60">
        <f t="shared" si="14"/>
        <v>0.86999999999999988</v>
      </c>
      <c r="F936" t="str" cm="1">
        <f t="array" ref="F936">IF(A936=MAX(IF(ROUND($B$2:$B$3722,4)=ROUND(B936,4),$A$2:$A$3722)),"Efficient","Inefficient")</f>
        <v>Inefficient</v>
      </c>
    </row>
    <row r="937" spans="1:6" x14ac:dyDescent="0.25">
      <c r="A937" cm="1">
        <f t="array" ref="A937">INDEX('Portfolio Weights Returns'!$B$9:$BJ$69,
INT((ROW(A936)-1)/COLUMNS('Portfolio Weights Returns'!$B$9:$BJ$69))+1,MOD(ROW(A936)-1,COLUMNS('Portfolio Weights Returns'!$B$9:$BJ$69))+1)</f>
        <v>-9.6073870760598134E-4</v>
      </c>
      <c r="B937">
        <v>1.7899999999999999E-2</v>
      </c>
      <c r="C937" s="59">
        <v>0.28000000000000003</v>
      </c>
      <c r="D937" s="59">
        <v>-0.16</v>
      </c>
      <c r="E937" s="60">
        <f t="shared" si="14"/>
        <v>0.87999999999999989</v>
      </c>
      <c r="F937" t="str" cm="1">
        <f t="array" ref="F937">IF(A937=MAX(IF(ROUND($B$2:$B$3722,4)=ROUND(B937,4),$A$2:$A$3722)),"Efficient","Inefficient")</f>
        <v>Inefficient</v>
      </c>
    </row>
    <row r="938" spans="1:6" x14ac:dyDescent="0.25">
      <c r="A938" cm="1">
        <f t="array" ref="A938">INDEX('Portfolio Weights Returns'!$B$9:$BJ$69,
INT((ROW(A937)-1)/COLUMNS('Portfolio Weights Returns'!$B$9:$BJ$69))+1,MOD(ROW(A937)-1,COLUMNS('Portfolio Weights Returns'!$B$9:$BJ$69))+1)</f>
        <v>-9.539575336393022E-4</v>
      </c>
      <c r="B938">
        <v>1.7899999999999999E-2</v>
      </c>
      <c r="C938" s="59">
        <v>0.25</v>
      </c>
      <c r="D938" s="59">
        <v>-0.14000000000000001</v>
      </c>
      <c r="E938" s="60">
        <f t="shared" si="14"/>
        <v>0.89000000000000012</v>
      </c>
      <c r="F938" t="str" cm="1">
        <f t="array" ref="F938">IF(A938=MAX(IF(ROUND($B$2:$B$3722,4)=ROUND(B938,4),$A$2:$A$3722)),"Efficient","Inefficient")</f>
        <v>Inefficient</v>
      </c>
    </row>
    <row r="939" spans="1:6" x14ac:dyDescent="0.25">
      <c r="A939" cm="1">
        <f t="array" ref="A939">INDEX('Portfolio Weights Returns'!$B$9:$BJ$69,
INT((ROW(A938)-1)/COLUMNS('Portfolio Weights Returns'!$B$9:$BJ$69))+1,MOD(ROW(A938)-1,COLUMNS('Portfolio Weights Returns'!$B$9:$BJ$69))+1)</f>
        <v>-9.4717635967262316E-4</v>
      </c>
      <c r="B939">
        <v>1.7899999999999999E-2</v>
      </c>
      <c r="C939" s="59">
        <v>0.22</v>
      </c>
      <c r="D939" s="59">
        <v>-0.12</v>
      </c>
      <c r="E939" s="60">
        <f t="shared" si="14"/>
        <v>0.90000000000000013</v>
      </c>
      <c r="F939" t="str" cm="1">
        <f t="array" ref="F939">IF(A939=MAX(IF(ROUND($B$2:$B$3722,4)=ROUND(B939,4),$A$2:$A$3722)),"Efficient","Inefficient")</f>
        <v>Inefficient</v>
      </c>
    </row>
    <row r="940" spans="1:6" x14ac:dyDescent="0.25">
      <c r="A940" cm="1">
        <f t="array" ref="A940">INDEX('Portfolio Weights Returns'!$B$9:$BJ$69,
INT((ROW(A939)-1)/COLUMNS('Portfolio Weights Returns'!$B$9:$BJ$69))+1,MOD(ROW(A939)-1,COLUMNS('Portfolio Weights Returns'!$B$9:$BJ$69))+1)</f>
        <v>-9.4039518570594401E-4</v>
      </c>
      <c r="B940">
        <v>1.7899999999999999E-2</v>
      </c>
      <c r="C940" s="59">
        <v>0.21</v>
      </c>
      <c r="D940" s="59">
        <v>-0.11</v>
      </c>
      <c r="E940" s="60">
        <f t="shared" si="14"/>
        <v>0.90000000000000013</v>
      </c>
      <c r="F940" t="str" cm="1">
        <f t="array" ref="F940">IF(A940=MAX(IF(ROUND($B$2:$B$3722,4)=ROUND(B940,4),$A$2:$A$3722)),"Efficient","Inefficient")</f>
        <v>Inefficient</v>
      </c>
    </row>
    <row r="941" spans="1:6" x14ac:dyDescent="0.25">
      <c r="A941" cm="1">
        <f t="array" ref="A941">INDEX('Portfolio Weights Returns'!$B$9:$BJ$69,
INT((ROW(A940)-1)/COLUMNS('Portfolio Weights Returns'!$B$9:$BJ$69))+1,MOD(ROW(A940)-1,COLUMNS('Portfolio Weights Returns'!$B$9:$BJ$69))+1)</f>
        <v>-9.3361401173926487E-4</v>
      </c>
      <c r="B941">
        <v>1.7899999999999999E-2</v>
      </c>
      <c r="C941" s="59">
        <v>0.19</v>
      </c>
      <c r="D941" s="59">
        <v>-0.1</v>
      </c>
      <c r="E941" s="60">
        <f t="shared" si="14"/>
        <v>0.91000000000000014</v>
      </c>
      <c r="F941" t="str" cm="1">
        <f t="array" ref="F941">IF(A941=MAX(IF(ROUND($B$2:$B$3722,4)=ROUND(B941,4),$A$2:$A$3722)),"Efficient","Inefficient")</f>
        <v>Inefficient</v>
      </c>
    </row>
    <row r="942" spans="1:6" x14ac:dyDescent="0.25">
      <c r="A942" cm="1">
        <f t="array" ref="A942">INDEX('Portfolio Weights Returns'!$B$9:$BJ$69,
INT((ROW(A941)-1)/COLUMNS('Portfolio Weights Returns'!$B$9:$BJ$69))+1,MOD(ROW(A941)-1,COLUMNS('Portfolio Weights Returns'!$B$9:$BJ$69))+1)</f>
        <v>-9.2683283777258573E-4</v>
      </c>
      <c r="B942">
        <v>1.7899999999999999E-2</v>
      </c>
      <c r="C942" s="59">
        <v>0.18</v>
      </c>
      <c r="D942" s="59">
        <v>-0.09</v>
      </c>
      <c r="E942" s="60">
        <f t="shared" si="14"/>
        <v>0.91000000000000014</v>
      </c>
      <c r="F942" t="str" cm="1">
        <f t="array" ref="F942">IF(A942=MAX(IF(ROUND($B$2:$B$3722,4)=ROUND(B942,4),$A$2:$A$3722)),"Efficient","Inefficient")</f>
        <v>Inefficient</v>
      </c>
    </row>
    <row r="943" spans="1:6" x14ac:dyDescent="0.25">
      <c r="A943" cm="1">
        <f t="array" ref="A943">INDEX('Portfolio Weights Returns'!$B$9:$BJ$69,
INT((ROW(A942)-1)/COLUMNS('Portfolio Weights Returns'!$B$9:$BJ$69))+1,MOD(ROW(A942)-1,COLUMNS('Portfolio Weights Returns'!$B$9:$BJ$69))+1)</f>
        <v>-9.2005166380590669E-4</v>
      </c>
      <c r="B943">
        <v>1.7899999999999999E-2</v>
      </c>
      <c r="C943" s="59">
        <v>0.17</v>
      </c>
      <c r="D943" s="59">
        <v>-0.08</v>
      </c>
      <c r="E943" s="60">
        <f t="shared" si="14"/>
        <v>0.91</v>
      </c>
      <c r="F943" t="str" cm="1">
        <f t="array" ref="F943">IF(A943=MAX(IF(ROUND($B$2:$B$3722,4)=ROUND(B943,4),$A$2:$A$3722)),"Efficient","Inefficient")</f>
        <v>Inefficient</v>
      </c>
    </row>
    <row r="944" spans="1:6" x14ac:dyDescent="0.25">
      <c r="A944" cm="1">
        <f t="array" ref="A944">INDEX('Portfolio Weights Returns'!$B$9:$BJ$69,
INT((ROW(A943)-1)/COLUMNS('Portfolio Weights Returns'!$B$9:$BJ$69))+1,MOD(ROW(A943)-1,COLUMNS('Portfolio Weights Returns'!$B$9:$BJ$69))+1)</f>
        <v>-9.1327048983922755E-4</v>
      </c>
      <c r="B944">
        <v>1.7899999999999999E-2</v>
      </c>
      <c r="C944" s="59">
        <v>0.16</v>
      </c>
      <c r="D944" s="59">
        <v>-7.0000000000000007E-2</v>
      </c>
      <c r="E944" s="60">
        <f t="shared" si="14"/>
        <v>0.91</v>
      </c>
      <c r="F944" t="str" cm="1">
        <f t="array" ref="F944">IF(A944=MAX(IF(ROUND($B$2:$B$3722,4)=ROUND(B944,4),$A$2:$A$3722)),"Efficient","Inefficient")</f>
        <v>Inefficient</v>
      </c>
    </row>
    <row r="945" spans="1:6" x14ac:dyDescent="0.25">
      <c r="A945" cm="1">
        <f t="array" ref="A945">INDEX('Portfolio Weights Returns'!$B$9:$BJ$69,
INT((ROW(A944)-1)/COLUMNS('Portfolio Weights Returns'!$B$9:$BJ$69))+1,MOD(ROW(A944)-1,COLUMNS('Portfolio Weights Returns'!$B$9:$BJ$69))+1)</f>
        <v>-9.064893158725484E-4</v>
      </c>
      <c r="B945">
        <v>1.7899999999999999E-2</v>
      </c>
      <c r="C945" s="59">
        <v>0.11</v>
      </c>
      <c r="D945" s="59">
        <v>-0.02</v>
      </c>
      <c r="E945" s="60">
        <f t="shared" si="14"/>
        <v>0.91</v>
      </c>
      <c r="F945" t="str" cm="1">
        <f t="array" ref="F945">IF(A945=MAX(IF(ROUND($B$2:$B$3722,4)=ROUND(B945,4),$A$2:$A$3722)),"Efficient","Inefficient")</f>
        <v>Inefficient</v>
      </c>
    </row>
    <row r="946" spans="1:6" x14ac:dyDescent="0.25">
      <c r="A946" cm="1">
        <f t="array" ref="A946">INDEX('Portfolio Weights Returns'!$B$9:$BJ$69,
INT((ROW(A945)-1)/COLUMNS('Portfolio Weights Returns'!$B$9:$BJ$69))+1,MOD(ROW(A945)-1,COLUMNS('Portfolio Weights Returns'!$B$9:$BJ$69))+1)</f>
        <v>-8.9970814190586937E-4</v>
      </c>
      <c r="B946">
        <v>1.7899999999999999E-2</v>
      </c>
      <c r="C946" s="59">
        <v>0.1</v>
      </c>
      <c r="D946" s="59">
        <v>-0.01</v>
      </c>
      <c r="E946" s="60">
        <f t="shared" si="14"/>
        <v>0.91</v>
      </c>
      <c r="F946" t="str" cm="1">
        <f t="array" ref="F946">IF(A946=MAX(IF(ROUND($B$2:$B$3722,4)=ROUND(B946,4),$A$2:$A$3722)),"Efficient","Inefficient")</f>
        <v>Inefficient</v>
      </c>
    </row>
    <row r="947" spans="1:6" x14ac:dyDescent="0.25">
      <c r="A947" cm="1">
        <f t="array" ref="A947">INDEX('Portfolio Weights Returns'!$B$9:$BJ$69,
INT((ROW(A946)-1)/COLUMNS('Portfolio Weights Returns'!$B$9:$BJ$69))+1,MOD(ROW(A946)-1,COLUMNS('Portfolio Weights Returns'!$B$9:$BJ$69))+1)</f>
        <v>-8.9292696793919022E-4</v>
      </c>
      <c r="B947">
        <v>1.7899999999999999E-2</v>
      </c>
      <c r="C947" s="59">
        <v>0.09</v>
      </c>
      <c r="D947" s="59">
        <v>0</v>
      </c>
      <c r="E947" s="60">
        <f t="shared" si="14"/>
        <v>0.91</v>
      </c>
      <c r="F947" t="str" cm="1">
        <f t="array" ref="F947">IF(A947=MAX(IF(ROUND($B$2:$B$3722,4)=ROUND(B947,4),$A$2:$A$3722)),"Efficient","Inefficient")</f>
        <v>Inefficient</v>
      </c>
    </row>
    <row r="948" spans="1:6" x14ac:dyDescent="0.25">
      <c r="A948" cm="1">
        <f t="array" ref="A948">INDEX('Portfolio Weights Returns'!$B$9:$BJ$69,
INT((ROW(A947)-1)/COLUMNS('Portfolio Weights Returns'!$B$9:$BJ$69))+1,MOD(ROW(A947)-1,COLUMNS('Portfolio Weights Returns'!$B$9:$BJ$69))+1)</f>
        <v>-8.8614579397251108E-4</v>
      </c>
      <c r="B948">
        <v>1.7899999999999999E-2</v>
      </c>
      <c r="C948" s="59">
        <v>0.08</v>
      </c>
      <c r="D948" s="59">
        <v>0.01</v>
      </c>
      <c r="E948" s="60">
        <f t="shared" si="14"/>
        <v>0.91</v>
      </c>
      <c r="F948" t="str" cm="1">
        <f t="array" ref="F948">IF(A948=MAX(IF(ROUND($B$2:$B$3722,4)=ROUND(B948,4),$A$2:$A$3722)),"Efficient","Inefficient")</f>
        <v>Inefficient</v>
      </c>
    </row>
    <row r="949" spans="1:6" x14ac:dyDescent="0.25">
      <c r="A949" cm="1">
        <f t="array" ref="A949">INDEX('Portfolio Weights Returns'!$B$9:$BJ$69,
INT((ROW(A948)-1)/COLUMNS('Portfolio Weights Returns'!$B$9:$BJ$69))+1,MOD(ROW(A948)-1,COLUMNS('Portfolio Weights Returns'!$B$9:$BJ$69))+1)</f>
        <v>-8.7936462000583193E-4</v>
      </c>
      <c r="B949">
        <v>1.7899999999999999E-2</v>
      </c>
      <c r="C949" s="59">
        <v>7.0000000000000007E-2</v>
      </c>
      <c r="D949" s="59">
        <v>0.03</v>
      </c>
      <c r="E949" s="60">
        <f t="shared" si="14"/>
        <v>0.89999999999999991</v>
      </c>
      <c r="F949" t="str" cm="1">
        <f t="array" ref="F949">IF(A949=MAX(IF(ROUND($B$2:$B$3722,4)=ROUND(B949,4),$A$2:$A$3722)),"Efficient","Inefficient")</f>
        <v>Inefficient</v>
      </c>
    </row>
    <row r="950" spans="1:6" x14ac:dyDescent="0.25">
      <c r="A950" cm="1">
        <f t="array" ref="A950">INDEX('Portfolio Weights Returns'!$B$9:$BJ$69,
INT((ROW(A949)-1)/COLUMNS('Portfolio Weights Returns'!$B$9:$BJ$69))+1,MOD(ROW(A949)-1,COLUMNS('Portfolio Weights Returns'!$B$9:$BJ$69))+1)</f>
        <v>-8.725834460391529E-4</v>
      </c>
      <c r="B950">
        <v>1.7899999999999999E-2</v>
      </c>
      <c r="C950" s="59">
        <v>0.06</v>
      </c>
      <c r="D950" s="59">
        <v>0.04</v>
      </c>
      <c r="E950" s="60">
        <f t="shared" si="14"/>
        <v>0.89999999999999991</v>
      </c>
      <c r="F950" t="str" cm="1">
        <f t="array" ref="F950">IF(A950=MAX(IF(ROUND($B$2:$B$3722,4)=ROUND(B950,4),$A$2:$A$3722)),"Efficient","Inefficient")</f>
        <v>Inefficient</v>
      </c>
    </row>
    <row r="951" spans="1:6" x14ac:dyDescent="0.25">
      <c r="A951" cm="1">
        <f t="array" ref="A951">INDEX('Portfolio Weights Returns'!$B$9:$BJ$69,
INT((ROW(A950)-1)/COLUMNS('Portfolio Weights Returns'!$B$9:$BJ$69))+1,MOD(ROW(A950)-1,COLUMNS('Portfolio Weights Returns'!$B$9:$BJ$69))+1)</f>
        <v>-8.6580227207247375E-4</v>
      </c>
      <c r="B951">
        <v>1.7899999999999999E-2</v>
      </c>
      <c r="C951" s="59">
        <v>0.05</v>
      </c>
      <c r="D951" s="59">
        <v>0.06</v>
      </c>
      <c r="E951" s="60">
        <f t="shared" si="14"/>
        <v>0.8899999999999999</v>
      </c>
      <c r="F951" t="str" cm="1">
        <f t="array" ref="F951">IF(A951=MAX(IF(ROUND($B$2:$B$3722,4)=ROUND(B951,4),$A$2:$A$3722)),"Efficient","Inefficient")</f>
        <v>Inefficient</v>
      </c>
    </row>
    <row r="952" spans="1:6" x14ac:dyDescent="0.25">
      <c r="A952" cm="1">
        <f t="array" ref="A952">INDEX('Portfolio Weights Returns'!$B$9:$BJ$69,
INT((ROW(A951)-1)/COLUMNS('Portfolio Weights Returns'!$B$9:$BJ$69))+1,MOD(ROW(A951)-1,COLUMNS('Portfolio Weights Returns'!$B$9:$BJ$69))+1)</f>
        <v>-8.5902109810579472E-4</v>
      </c>
      <c r="B952">
        <v>1.7899999999999999E-2</v>
      </c>
      <c r="C952" s="59">
        <v>0.04</v>
      </c>
      <c r="D952" s="59">
        <v>0.08</v>
      </c>
      <c r="E952" s="60">
        <f t="shared" si="14"/>
        <v>0.88</v>
      </c>
      <c r="F952" t="str" cm="1">
        <f t="array" ref="F952">IF(A952=MAX(IF(ROUND($B$2:$B$3722,4)=ROUND(B952,4),$A$2:$A$3722)),"Efficient","Inefficient")</f>
        <v>Inefficient</v>
      </c>
    </row>
    <row r="953" spans="1:6" x14ac:dyDescent="0.25">
      <c r="A953" cm="1">
        <f t="array" ref="A953">INDEX('Portfolio Weights Returns'!$B$9:$BJ$69,
INT((ROW(A952)-1)/COLUMNS('Portfolio Weights Returns'!$B$9:$BJ$69))+1,MOD(ROW(A952)-1,COLUMNS('Portfolio Weights Returns'!$B$9:$BJ$69))+1)</f>
        <v>-8.5223992413911557E-4</v>
      </c>
      <c r="B953">
        <v>1.7899999999999999E-2</v>
      </c>
      <c r="C953" s="59">
        <v>0.04</v>
      </c>
      <c r="D953" s="59">
        <v>0.09</v>
      </c>
      <c r="E953" s="60">
        <f t="shared" si="14"/>
        <v>0.87</v>
      </c>
      <c r="F953" t="str" cm="1">
        <f t="array" ref="F953">IF(A953=MAX(IF(ROUND($B$2:$B$3722,4)=ROUND(B953,4),$A$2:$A$3722)),"Efficient","Inefficient")</f>
        <v>Inefficient</v>
      </c>
    </row>
    <row r="954" spans="1:6" x14ac:dyDescent="0.25">
      <c r="A954" cm="1">
        <f t="array" ref="A954">INDEX('Portfolio Weights Returns'!$B$9:$BJ$69,
INT((ROW(A953)-1)/COLUMNS('Portfolio Weights Returns'!$B$9:$BJ$69))+1,MOD(ROW(A953)-1,COLUMNS('Portfolio Weights Returns'!$B$9:$BJ$69))+1)</f>
        <v>-8.4545875017243643E-4</v>
      </c>
      <c r="B954">
        <v>1.7899999999999999E-2</v>
      </c>
      <c r="C954" s="59">
        <v>0.03</v>
      </c>
      <c r="D954" s="59">
        <v>0.11</v>
      </c>
      <c r="E954" s="60">
        <f t="shared" si="14"/>
        <v>0.86</v>
      </c>
      <c r="F954" t="str" cm="1">
        <f t="array" ref="F954">IF(A954=MAX(IF(ROUND($B$2:$B$3722,4)=ROUND(B954,4),$A$2:$A$3722)),"Efficient","Inefficient")</f>
        <v>Inefficient</v>
      </c>
    </row>
    <row r="955" spans="1:6" x14ac:dyDescent="0.25">
      <c r="A955" cm="1">
        <f t="array" ref="A955">INDEX('Portfolio Weights Returns'!$B$9:$BJ$69,
INT((ROW(A954)-1)/COLUMNS('Portfolio Weights Returns'!$B$9:$BJ$69))+1,MOD(ROW(A954)-1,COLUMNS('Portfolio Weights Returns'!$B$9:$BJ$69))+1)</f>
        <v>-8.386775762057575E-4</v>
      </c>
      <c r="B955">
        <v>1.7899999999999999E-2</v>
      </c>
      <c r="C955" s="59">
        <v>0.03</v>
      </c>
      <c r="D955" s="59">
        <v>0.12</v>
      </c>
      <c r="E955" s="60">
        <f t="shared" si="14"/>
        <v>0.85</v>
      </c>
      <c r="F955" t="str" cm="1">
        <f t="array" ref="F955">IF(A955=MAX(IF(ROUND($B$2:$B$3722,4)=ROUND(B955,4),$A$2:$A$3722)),"Efficient","Inefficient")</f>
        <v>Inefficient</v>
      </c>
    </row>
    <row r="956" spans="1:6" x14ac:dyDescent="0.25">
      <c r="A956" cm="1">
        <f t="array" ref="A956">INDEX('Portfolio Weights Returns'!$B$9:$BJ$69,
INT((ROW(A955)-1)/COLUMNS('Portfolio Weights Returns'!$B$9:$BJ$69))+1,MOD(ROW(A955)-1,COLUMNS('Portfolio Weights Returns'!$B$9:$BJ$69))+1)</f>
        <v>-8.3189640223907835E-4</v>
      </c>
      <c r="B956">
        <v>1.7899999999999999E-2</v>
      </c>
      <c r="C956" s="59">
        <v>0.03</v>
      </c>
      <c r="D956" s="59">
        <v>0.13</v>
      </c>
      <c r="E956" s="60">
        <f t="shared" si="14"/>
        <v>0.84</v>
      </c>
      <c r="F956" t="str" cm="1">
        <f t="array" ref="F956">IF(A956=MAX(IF(ROUND($B$2:$B$3722,4)=ROUND(B956,4),$A$2:$A$3722)),"Efficient","Inefficient")</f>
        <v>Inefficient</v>
      </c>
    </row>
    <row r="957" spans="1:6" x14ac:dyDescent="0.25">
      <c r="A957" cm="1">
        <f t="array" ref="A957">INDEX('Portfolio Weights Returns'!$B$9:$BJ$69,
INT((ROW(A956)-1)/COLUMNS('Portfolio Weights Returns'!$B$9:$BJ$69))+1,MOD(ROW(A956)-1,COLUMNS('Portfolio Weights Returns'!$B$9:$BJ$69))+1)</f>
        <v>-8.2511522827239932E-4</v>
      </c>
      <c r="B957">
        <v>1.7899999999999999E-2</v>
      </c>
      <c r="C957" s="59">
        <v>0.03</v>
      </c>
      <c r="D957" s="59">
        <v>0.14000000000000001</v>
      </c>
      <c r="E957" s="60">
        <f t="shared" si="14"/>
        <v>0.83</v>
      </c>
      <c r="F957" t="str" cm="1">
        <f t="array" ref="F957">IF(A957=MAX(IF(ROUND($B$2:$B$3722,4)=ROUND(B957,4),$A$2:$A$3722)),"Efficient","Inefficient")</f>
        <v>Inefficient</v>
      </c>
    </row>
    <row r="958" spans="1:6" x14ac:dyDescent="0.25">
      <c r="A958" cm="1">
        <f t="array" ref="A958">INDEX('Portfolio Weights Returns'!$B$9:$BJ$69,
INT((ROW(A957)-1)/COLUMNS('Portfolio Weights Returns'!$B$9:$BJ$69))+1,MOD(ROW(A957)-1,COLUMNS('Portfolio Weights Returns'!$B$9:$BJ$69))+1)</f>
        <v>-8.1833405430572017E-4</v>
      </c>
      <c r="B958">
        <v>1.7899999999999999E-2</v>
      </c>
      <c r="C958" s="59">
        <v>0.03</v>
      </c>
      <c r="D958" s="59">
        <v>0.15</v>
      </c>
      <c r="E958" s="60">
        <f t="shared" si="14"/>
        <v>0.82</v>
      </c>
      <c r="F958" t="str" cm="1">
        <f t="array" ref="F958">IF(A958=MAX(IF(ROUND($B$2:$B$3722,4)=ROUND(B958,4),$A$2:$A$3722)),"Efficient","Inefficient")</f>
        <v>Inefficient</v>
      </c>
    </row>
    <row r="959" spans="1:6" x14ac:dyDescent="0.25">
      <c r="A959" cm="1">
        <f t="array" ref="A959">INDEX('Portfolio Weights Returns'!$B$9:$BJ$69,
INT((ROW(A958)-1)/COLUMNS('Portfolio Weights Returns'!$B$9:$BJ$69))+1,MOD(ROW(A958)-1,COLUMNS('Portfolio Weights Returns'!$B$9:$BJ$69))+1)</f>
        <v>-8.1155288033904103E-4</v>
      </c>
      <c r="B959">
        <v>1.7899999999999999E-2</v>
      </c>
      <c r="C959" s="59">
        <v>0.03</v>
      </c>
      <c r="D959" s="59">
        <v>0.16</v>
      </c>
      <c r="E959" s="60">
        <f t="shared" si="14"/>
        <v>0.80999999999999994</v>
      </c>
      <c r="F959" t="str" cm="1">
        <f t="array" ref="F959">IF(A959=MAX(IF(ROUND($B$2:$B$3722,4)=ROUND(B959,4),$A$2:$A$3722)),"Efficient","Inefficient")</f>
        <v>Inefficient</v>
      </c>
    </row>
    <row r="960" spans="1:6" x14ac:dyDescent="0.25">
      <c r="A960" cm="1">
        <f t="array" ref="A960">INDEX('Portfolio Weights Returns'!$B$9:$BJ$69,
INT((ROW(A959)-1)/COLUMNS('Portfolio Weights Returns'!$B$9:$BJ$69))+1,MOD(ROW(A959)-1,COLUMNS('Portfolio Weights Returns'!$B$9:$BJ$69))+1)</f>
        <v>-8.0477170637236189E-4</v>
      </c>
      <c r="B960">
        <v>1.7899999999999999E-2</v>
      </c>
      <c r="C960" s="59">
        <v>0.03</v>
      </c>
      <c r="D960" s="59">
        <v>0.17</v>
      </c>
      <c r="E960" s="60">
        <f t="shared" si="14"/>
        <v>0.79999999999999993</v>
      </c>
      <c r="F960" t="str" cm="1">
        <f t="array" ref="F960">IF(A960=MAX(IF(ROUND($B$2:$B$3722,4)=ROUND(B960,4),$A$2:$A$3722)),"Efficient","Inefficient")</f>
        <v>Inefficient</v>
      </c>
    </row>
    <row r="961" spans="1:6" x14ac:dyDescent="0.25">
      <c r="A961" cm="1">
        <f t="array" ref="A961">INDEX('Portfolio Weights Returns'!$B$9:$BJ$69,
INT((ROW(A960)-1)/COLUMNS('Portfolio Weights Returns'!$B$9:$BJ$69))+1,MOD(ROW(A960)-1,COLUMNS('Portfolio Weights Returns'!$B$9:$BJ$69))+1)</f>
        <v>-7.9799053240568285E-4</v>
      </c>
      <c r="B961">
        <v>1.7899999999999999E-2</v>
      </c>
      <c r="C961" s="59">
        <v>0.03</v>
      </c>
      <c r="D961" s="59">
        <v>0.18</v>
      </c>
      <c r="E961" s="60">
        <f t="shared" si="14"/>
        <v>0.79</v>
      </c>
      <c r="F961" t="str" cm="1">
        <f t="array" ref="F961">IF(A961=MAX(IF(ROUND($B$2:$B$3722,4)=ROUND(B961,4),$A$2:$A$3722)),"Efficient","Inefficient")</f>
        <v>Inefficient</v>
      </c>
    </row>
    <row r="962" spans="1:6" x14ac:dyDescent="0.25">
      <c r="A962" cm="1">
        <f t="array" ref="A962">INDEX('Portfolio Weights Returns'!$B$9:$BJ$69,
INT((ROW(A961)-1)/COLUMNS('Portfolio Weights Returns'!$B$9:$BJ$69))+1,MOD(ROW(A961)-1,COLUMNS('Portfolio Weights Returns'!$B$9:$BJ$69))+1)</f>
        <v>-7.912093584390037E-4</v>
      </c>
      <c r="B962">
        <v>1.7899999999999999E-2</v>
      </c>
      <c r="C962" s="59">
        <v>0.04</v>
      </c>
      <c r="D962" s="59">
        <v>0.19</v>
      </c>
      <c r="E962" s="60">
        <f t="shared" ref="E962:E1025" si="15">1-D962-C962</f>
        <v>0.77</v>
      </c>
      <c r="F962" t="str" cm="1">
        <f t="array" ref="F962">IF(A962=MAX(IF(ROUND($B$2:$B$3722,4)=ROUND(B962,4),$A$2:$A$3722)),"Efficient","Inefficient")</f>
        <v>Inefficient</v>
      </c>
    </row>
    <row r="963" spans="1:6" x14ac:dyDescent="0.25">
      <c r="A963" cm="1">
        <f t="array" ref="A963">INDEX('Portfolio Weights Returns'!$B$9:$BJ$69,
INT((ROW(A962)-1)/COLUMNS('Portfolio Weights Returns'!$B$9:$BJ$69))+1,MOD(ROW(A962)-1,COLUMNS('Portfolio Weights Returns'!$B$9:$BJ$69))+1)</f>
        <v>-7.8442818447232467E-4</v>
      </c>
      <c r="B963">
        <v>1.7899999999999999E-2</v>
      </c>
      <c r="C963" s="59">
        <v>0.04</v>
      </c>
      <c r="D963" s="59">
        <v>0.2</v>
      </c>
      <c r="E963" s="60">
        <f t="shared" si="15"/>
        <v>0.76</v>
      </c>
      <c r="F963" t="str" cm="1">
        <f t="array" ref="F963">IF(A963=MAX(IF(ROUND($B$2:$B$3722,4)=ROUND(B963,4),$A$2:$A$3722)),"Efficient","Inefficient")</f>
        <v>Inefficient</v>
      </c>
    </row>
    <row r="964" spans="1:6" x14ac:dyDescent="0.25">
      <c r="A964" cm="1">
        <f t="array" ref="A964">INDEX('Portfolio Weights Returns'!$B$9:$BJ$69,
INT((ROW(A963)-1)/COLUMNS('Portfolio Weights Returns'!$B$9:$BJ$69))+1,MOD(ROW(A963)-1,COLUMNS('Portfolio Weights Returns'!$B$9:$BJ$69))+1)</f>
        <v>-7.7764701050564552E-4</v>
      </c>
      <c r="B964">
        <v>1.7899999999999999E-2</v>
      </c>
      <c r="C964" s="59">
        <v>0.04</v>
      </c>
      <c r="D964" s="59">
        <v>0.21</v>
      </c>
      <c r="E964" s="60">
        <f t="shared" si="15"/>
        <v>0.75</v>
      </c>
      <c r="F964" t="str" cm="1">
        <f t="array" ref="F964">IF(A964=MAX(IF(ROUND($B$2:$B$3722,4)=ROUND(B964,4),$A$2:$A$3722)),"Efficient","Inefficient")</f>
        <v>Inefficient</v>
      </c>
    </row>
    <row r="965" spans="1:6" x14ac:dyDescent="0.25">
      <c r="A965" cm="1">
        <f t="array" ref="A965">INDEX('Portfolio Weights Returns'!$B$9:$BJ$69,
INT((ROW(A964)-1)/COLUMNS('Portfolio Weights Returns'!$B$9:$BJ$69))+1,MOD(ROW(A964)-1,COLUMNS('Portfolio Weights Returns'!$B$9:$BJ$69))+1)</f>
        <v>-7.7086583653896638E-4</v>
      </c>
      <c r="B965">
        <v>1.7899999999999999E-2</v>
      </c>
      <c r="C965" s="59">
        <v>0.05</v>
      </c>
      <c r="D965" s="59">
        <v>0.22</v>
      </c>
      <c r="E965" s="60">
        <f t="shared" si="15"/>
        <v>0.73</v>
      </c>
      <c r="F965" t="str" cm="1">
        <f t="array" ref="F965">IF(A965=MAX(IF(ROUND($B$2:$B$3722,4)=ROUND(B965,4),$A$2:$A$3722)),"Efficient","Inefficient")</f>
        <v>Inefficient</v>
      </c>
    </row>
    <row r="966" spans="1:6" x14ac:dyDescent="0.25">
      <c r="A966" cm="1">
        <f t="array" ref="A966">INDEX('Portfolio Weights Returns'!$B$9:$BJ$69,
INT((ROW(A965)-1)/COLUMNS('Portfolio Weights Returns'!$B$9:$BJ$69))+1,MOD(ROW(A965)-1,COLUMNS('Portfolio Weights Returns'!$B$9:$BJ$69))+1)</f>
        <v>-7.6408466257228734E-4</v>
      </c>
      <c r="B966">
        <v>1.7899999999999999E-2</v>
      </c>
      <c r="C966" s="59">
        <v>0.06</v>
      </c>
      <c r="D966" s="59">
        <v>0.23</v>
      </c>
      <c r="E966" s="60">
        <f t="shared" si="15"/>
        <v>0.71</v>
      </c>
      <c r="F966" t="str" cm="1">
        <f t="array" ref="F966">IF(A966=MAX(IF(ROUND($B$2:$B$3722,4)=ROUND(B966,4),$A$2:$A$3722)),"Efficient","Inefficient")</f>
        <v>Inefficient</v>
      </c>
    </row>
    <row r="967" spans="1:6" x14ac:dyDescent="0.25">
      <c r="A967" cm="1">
        <f t="array" ref="A967">INDEX('Portfolio Weights Returns'!$B$9:$BJ$69,
INT((ROW(A966)-1)/COLUMNS('Portfolio Weights Returns'!$B$9:$BJ$69))+1,MOD(ROW(A966)-1,COLUMNS('Portfolio Weights Returns'!$B$9:$BJ$69))+1)</f>
        <v>-7.573034886056082E-4</v>
      </c>
      <c r="B967">
        <v>1.7899999999999999E-2</v>
      </c>
      <c r="C967" s="59">
        <v>7.0000000000000007E-2</v>
      </c>
      <c r="D967" s="59">
        <v>0.24</v>
      </c>
      <c r="E967" s="60">
        <f t="shared" si="15"/>
        <v>0.69</v>
      </c>
      <c r="F967" t="str" cm="1">
        <f t="array" ref="F967">IF(A967=MAX(IF(ROUND($B$2:$B$3722,4)=ROUND(B967,4),$A$2:$A$3722)),"Efficient","Inefficient")</f>
        <v>Inefficient</v>
      </c>
    </row>
    <row r="968" spans="1:6" x14ac:dyDescent="0.25">
      <c r="A968" cm="1">
        <f t="array" ref="A968">INDEX('Portfolio Weights Returns'!$B$9:$BJ$69,
INT((ROW(A967)-1)/COLUMNS('Portfolio Weights Returns'!$B$9:$BJ$69))+1,MOD(ROW(A967)-1,COLUMNS('Portfolio Weights Returns'!$B$9:$BJ$69))+1)</f>
        <v>-7.5052231463892916E-4</v>
      </c>
      <c r="B968">
        <v>1.7899999999999999E-2</v>
      </c>
      <c r="C968" s="59">
        <v>0.08</v>
      </c>
      <c r="D968" s="59">
        <v>0.25</v>
      </c>
      <c r="E968" s="60">
        <f t="shared" si="15"/>
        <v>0.67</v>
      </c>
      <c r="F968" t="str" cm="1">
        <f t="array" ref="F968">IF(A968=MAX(IF(ROUND($B$2:$B$3722,4)=ROUND(B968,4),$A$2:$A$3722)),"Efficient","Inefficient")</f>
        <v>Inefficient</v>
      </c>
    </row>
    <row r="969" spans="1:6" x14ac:dyDescent="0.25">
      <c r="A969" cm="1">
        <f t="array" ref="A969">INDEX('Portfolio Weights Returns'!$B$9:$BJ$69,
INT((ROW(A968)-1)/COLUMNS('Portfolio Weights Returns'!$B$9:$BJ$69))+1,MOD(ROW(A968)-1,COLUMNS('Portfolio Weights Returns'!$B$9:$BJ$69))+1)</f>
        <v>-7.4374114067225002E-4</v>
      </c>
      <c r="B969">
        <v>1.7899999999999999E-2</v>
      </c>
      <c r="C969" s="59">
        <v>0.09</v>
      </c>
      <c r="D969" s="59">
        <v>0.26</v>
      </c>
      <c r="E969" s="60">
        <f t="shared" si="15"/>
        <v>0.65</v>
      </c>
      <c r="F969" t="str" cm="1">
        <f t="array" ref="F969">IF(A969=MAX(IF(ROUND($B$2:$B$3722,4)=ROUND(B969,4),$A$2:$A$3722)),"Efficient","Inefficient")</f>
        <v>Inefficient</v>
      </c>
    </row>
    <row r="970" spans="1:6" x14ac:dyDescent="0.25">
      <c r="A970" cm="1">
        <f t="array" ref="A970">INDEX('Portfolio Weights Returns'!$B$9:$BJ$69,
INT((ROW(A969)-1)/COLUMNS('Portfolio Weights Returns'!$B$9:$BJ$69))+1,MOD(ROW(A969)-1,COLUMNS('Portfolio Weights Returns'!$B$9:$BJ$69))+1)</f>
        <v>-7.3695996670557098E-4</v>
      </c>
      <c r="B970">
        <v>1.7899999999999999E-2</v>
      </c>
      <c r="C970" s="59">
        <v>0.1</v>
      </c>
      <c r="D970" s="59">
        <v>0.27</v>
      </c>
      <c r="E970" s="60">
        <f t="shared" si="15"/>
        <v>0.63</v>
      </c>
      <c r="F970" t="str" cm="1">
        <f t="array" ref="F970">IF(A970=MAX(IF(ROUND($B$2:$B$3722,4)=ROUND(B970,4),$A$2:$A$3722)),"Efficient","Inefficient")</f>
        <v>Inefficient</v>
      </c>
    </row>
    <row r="971" spans="1:6" x14ac:dyDescent="0.25">
      <c r="A971" cm="1">
        <f t="array" ref="A971">INDEX('Portfolio Weights Returns'!$B$9:$BJ$69,
INT((ROW(A970)-1)/COLUMNS('Portfolio Weights Returns'!$B$9:$BJ$69))+1,MOD(ROW(A970)-1,COLUMNS('Portfolio Weights Returns'!$B$9:$BJ$69))+1)</f>
        <v>-7.3017879273889184E-4</v>
      </c>
      <c r="B971">
        <v>1.7899999999999999E-2</v>
      </c>
      <c r="C971" s="59">
        <v>0.11</v>
      </c>
      <c r="D971" s="59">
        <v>0.27</v>
      </c>
      <c r="E971" s="60">
        <f t="shared" si="15"/>
        <v>0.62</v>
      </c>
      <c r="F971" t="str" cm="1">
        <f t="array" ref="F971">IF(A971=MAX(IF(ROUND($B$2:$B$3722,4)=ROUND(B971,4),$A$2:$A$3722)),"Efficient","Inefficient")</f>
        <v>Inefficient</v>
      </c>
    </row>
    <row r="972" spans="1:6" x14ac:dyDescent="0.25">
      <c r="A972" cm="1">
        <f t="array" ref="A972">INDEX('Portfolio Weights Returns'!$B$9:$BJ$69,
INT((ROW(A971)-1)/COLUMNS('Portfolio Weights Returns'!$B$9:$BJ$69))+1,MOD(ROW(A971)-1,COLUMNS('Portfolio Weights Returns'!$B$9:$BJ$69))+1)</f>
        <v>-7.2339761877221269E-4</v>
      </c>
      <c r="B972">
        <v>1.7899999999999999E-2</v>
      </c>
      <c r="C972" s="59">
        <v>0.12</v>
      </c>
      <c r="D972" s="59">
        <v>0.28000000000000003</v>
      </c>
      <c r="E972" s="60">
        <f t="shared" si="15"/>
        <v>0.6</v>
      </c>
      <c r="F972" t="str" cm="1">
        <f t="array" ref="F972">IF(A972=MAX(IF(ROUND($B$2:$B$3722,4)=ROUND(B972,4),$A$2:$A$3722)),"Efficient","Inefficient")</f>
        <v>Inefficient</v>
      </c>
    </row>
    <row r="973" spans="1:6" x14ac:dyDescent="0.25">
      <c r="A973" cm="1">
        <f t="array" ref="A973">INDEX('Portfolio Weights Returns'!$B$9:$BJ$69,
INT((ROW(A972)-1)/COLUMNS('Portfolio Weights Returns'!$B$9:$BJ$69))+1,MOD(ROW(A972)-1,COLUMNS('Portfolio Weights Returns'!$B$9:$BJ$69))+1)</f>
        <v>-7.1661644480553355E-4</v>
      </c>
      <c r="B973">
        <v>1.7899999999999999E-2</v>
      </c>
      <c r="C973" s="59">
        <v>0.13</v>
      </c>
      <c r="D973" s="59">
        <v>0.28000000000000003</v>
      </c>
      <c r="E973" s="60">
        <f t="shared" si="15"/>
        <v>0.59</v>
      </c>
      <c r="F973" t="str" cm="1">
        <f t="array" ref="F973">IF(A973=MAX(IF(ROUND($B$2:$B$3722,4)=ROUND(B973,4),$A$2:$A$3722)),"Efficient","Inefficient")</f>
        <v>Inefficient</v>
      </c>
    </row>
    <row r="974" spans="1:6" x14ac:dyDescent="0.25">
      <c r="A974" cm="1">
        <f t="array" ref="A974">INDEX('Portfolio Weights Returns'!$B$9:$BJ$69,
INT((ROW(A973)-1)/COLUMNS('Portfolio Weights Returns'!$B$9:$BJ$69))+1,MOD(ROW(A973)-1,COLUMNS('Portfolio Weights Returns'!$B$9:$BJ$69))+1)</f>
        <v>-7.0983527083885386E-4</v>
      </c>
      <c r="B974">
        <v>1.7899999999999999E-2</v>
      </c>
      <c r="C974" s="59">
        <v>0.14000000000000001</v>
      </c>
      <c r="D974" s="59">
        <v>0.28999999999999998</v>
      </c>
      <c r="E974" s="60">
        <f t="shared" si="15"/>
        <v>0.56999999999999995</v>
      </c>
      <c r="F974" t="str" cm="1">
        <f t="array" ref="F974">IF(A974=MAX(IF(ROUND($B$2:$B$3722,4)=ROUND(B974,4),$A$2:$A$3722)),"Efficient","Inefficient")</f>
        <v>Inefficient</v>
      </c>
    </row>
    <row r="975" spans="1:6" x14ac:dyDescent="0.25">
      <c r="A975" cm="1">
        <f t="array" ref="A975">INDEX('Portfolio Weights Returns'!$B$9:$BJ$69,
INT((ROW(A974)-1)/COLUMNS('Portfolio Weights Returns'!$B$9:$BJ$69))+1,MOD(ROW(A974)-1,COLUMNS('Portfolio Weights Returns'!$B$9:$BJ$69))+1)</f>
        <v>-7.0305409687217472E-4</v>
      </c>
      <c r="B975">
        <v>1.7899999999999999E-2</v>
      </c>
      <c r="C975" s="59">
        <v>0.15</v>
      </c>
      <c r="D975" s="59">
        <v>0.28999999999999998</v>
      </c>
      <c r="E975" s="60">
        <f t="shared" si="15"/>
        <v>0.55999999999999994</v>
      </c>
      <c r="F975" t="str" cm="1">
        <f t="array" ref="F975">IF(A975=MAX(IF(ROUND($B$2:$B$3722,4)=ROUND(B975,4),$A$2:$A$3722)),"Efficient","Inefficient")</f>
        <v>Inefficient</v>
      </c>
    </row>
    <row r="976" spans="1:6" x14ac:dyDescent="0.25">
      <c r="A976" cm="1">
        <f t="array" ref="A976">INDEX('Portfolio Weights Returns'!$B$9:$BJ$69,
INT((ROW(A975)-1)/COLUMNS('Portfolio Weights Returns'!$B$9:$BJ$69))+1,MOD(ROW(A975)-1,COLUMNS('Portfolio Weights Returns'!$B$9:$BJ$69))+1)</f>
        <v>-6.9627292290549557E-4</v>
      </c>
      <c r="B976">
        <v>1.7899999999999999E-2</v>
      </c>
      <c r="C976" s="59">
        <v>0.17</v>
      </c>
      <c r="D976" s="59">
        <v>0.3</v>
      </c>
      <c r="E976" s="60">
        <f t="shared" si="15"/>
        <v>0.52999999999999992</v>
      </c>
      <c r="F976" t="str" cm="1">
        <f t="array" ref="F976">IF(A976=MAX(IF(ROUND($B$2:$B$3722,4)=ROUND(B976,4),$A$2:$A$3722)),"Efficient","Inefficient")</f>
        <v>Inefficient</v>
      </c>
    </row>
    <row r="977" spans="1:6" x14ac:dyDescent="0.25">
      <c r="A977" cm="1">
        <f t="array" ref="A977">INDEX('Portfolio Weights Returns'!$B$9:$BJ$69,
INT((ROW(A976)-1)/COLUMNS('Portfolio Weights Returns'!$B$9:$BJ$69))+1,MOD(ROW(A976)-1,COLUMNS('Portfolio Weights Returns'!$B$9:$BJ$69))+1)</f>
        <v>-6.8949174893881654E-4</v>
      </c>
      <c r="B977">
        <v>1.7899999999999999E-2</v>
      </c>
      <c r="C977" s="59">
        <v>0.18</v>
      </c>
      <c r="D977" s="59">
        <v>0.3</v>
      </c>
      <c r="E977" s="60">
        <f t="shared" si="15"/>
        <v>0.52</v>
      </c>
      <c r="F977" t="str" cm="1">
        <f t="array" ref="F977">IF(A977=MAX(IF(ROUND($B$2:$B$3722,4)=ROUND(B977,4),$A$2:$A$3722)),"Efficient","Inefficient")</f>
        <v>Efficient</v>
      </c>
    </row>
    <row r="978" spans="1:6" x14ac:dyDescent="0.25">
      <c r="A978" cm="1">
        <f t="array" ref="A978">INDEX('Portfolio Weights Returns'!$B$9:$BJ$69,
INT((ROW(A977)-1)/COLUMNS('Portfolio Weights Returns'!$B$9:$BJ$69))+1,MOD(ROW(A977)-1,COLUMNS('Portfolio Weights Returns'!$B$9:$BJ$69))+1)</f>
        <v>-1.0897879790941084E-3</v>
      </c>
      <c r="B978">
        <v>1.7999999999999999E-2</v>
      </c>
      <c r="C978" s="59">
        <v>0.28999999999999998</v>
      </c>
      <c r="D978" s="59">
        <v>-0.17</v>
      </c>
      <c r="E978" s="60">
        <f t="shared" si="15"/>
        <v>0.87999999999999989</v>
      </c>
      <c r="F978" t="str" cm="1">
        <f t="array" ref="F978">IF(A978=MAX(IF(ROUND($B$2:$B$3722,4)=ROUND(B978,4),$A$2:$A$3722)),"Efficient","Inefficient")</f>
        <v>Inefficient</v>
      </c>
    </row>
    <row r="979" spans="1:6" x14ac:dyDescent="0.25">
      <c r="A979" cm="1">
        <f t="array" ref="A979">INDEX('Portfolio Weights Returns'!$B$9:$BJ$69,
INT((ROW(A978)-1)/COLUMNS('Portfolio Weights Returns'!$B$9:$BJ$69))+1,MOD(ROW(A978)-1,COLUMNS('Portfolio Weights Returns'!$B$9:$BJ$69))+1)</f>
        <v>-1.0830068051274292E-3</v>
      </c>
      <c r="B979">
        <v>1.7999999999999999E-2</v>
      </c>
      <c r="C979" s="59">
        <v>0.27</v>
      </c>
      <c r="D979" s="59">
        <v>-0.16</v>
      </c>
      <c r="E979" s="60">
        <f t="shared" si="15"/>
        <v>0.8899999999999999</v>
      </c>
      <c r="F979" t="str" cm="1">
        <f t="array" ref="F979">IF(A979=MAX(IF(ROUND($B$2:$B$3722,4)=ROUND(B979,4),$A$2:$A$3722)),"Efficient","Inefficient")</f>
        <v>Inefficient</v>
      </c>
    </row>
    <row r="980" spans="1:6" x14ac:dyDescent="0.25">
      <c r="A980" cm="1">
        <f t="array" ref="A980">INDEX('Portfolio Weights Returns'!$B$9:$BJ$69,
INT((ROW(A979)-1)/COLUMNS('Portfolio Weights Returns'!$B$9:$BJ$69))+1,MOD(ROW(A979)-1,COLUMNS('Portfolio Weights Returns'!$B$9:$BJ$69))+1)</f>
        <v>-1.0762256311607498E-3</v>
      </c>
      <c r="B980">
        <v>1.7999999999999999E-2</v>
      </c>
      <c r="C980" s="59">
        <v>0.26</v>
      </c>
      <c r="D980" s="59">
        <v>-0.15</v>
      </c>
      <c r="E980" s="60">
        <f t="shared" si="15"/>
        <v>0.8899999999999999</v>
      </c>
      <c r="F980" t="str" cm="1">
        <f t="array" ref="F980">IF(A980=MAX(IF(ROUND($B$2:$B$3722,4)=ROUND(B980,4),$A$2:$A$3722)),"Efficient","Inefficient")</f>
        <v>Inefficient</v>
      </c>
    </row>
    <row r="981" spans="1:6" x14ac:dyDescent="0.25">
      <c r="A981" cm="1">
        <f t="array" ref="A981">INDEX('Portfolio Weights Returns'!$B$9:$BJ$69,
INT((ROW(A980)-1)/COLUMNS('Portfolio Weights Returns'!$B$9:$BJ$69))+1,MOD(ROW(A980)-1,COLUMNS('Portfolio Weights Returns'!$B$9:$BJ$69))+1)</f>
        <v>-1.0694444571940709E-3</v>
      </c>
      <c r="B981">
        <v>1.7999999999999999E-2</v>
      </c>
      <c r="C981" s="59">
        <v>0.24</v>
      </c>
      <c r="D981" s="59">
        <v>-0.14000000000000001</v>
      </c>
      <c r="E981" s="60">
        <f t="shared" si="15"/>
        <v>0.90000000000000013</v>
      </c>
      <c r="F981" t="str" cm="1">
        <f t="array" ref="F981">IF(A981=MAX(IF(ROUND($B$2:$B$3722,4)=ROUND(B981,4),$A$2:$A$3722)),"Efficient","Inefficient")</f>
        <v>Inefficient</v>
      </c>
    </row>
    <row r="982" spans="1:6" x14ac:dyDescent="0.25">
      <c r="A982" cm="1">
        <f t="array" ref="A982">INDEX('Portfolio Weights Returns'!$B$9:$BJ$69,
INT((ROW(A981)-1)/COLUMNS('Portfolio Weights Returns'!$B$9:$BJ$69))+1,MOD(ROW(A981)-1,COLUMNS('Portfolio Weights Returns'!$B$9:$BJ$69))+1)</f>
        <v>-1.0626632832273918E-3</v>
      </c>
      <c r="B982">
        <v>1.7999999999999999E-2</v>
      </c>
      <c r="C982" s="59">
        <v>0.23</v>
      </c>
      <c r="D982" s="59">
        <v>-0.13</v>
      </c>
      <c r="E982" s="60">
        <f t="shared" si="15"/>
        <v>0.89999999999999991</v>
      </c>
      <c r="F982" t="str" cm="1">
        <f t="array" ref="F982">IF(A982=MAX(IF(ROUND($B$2:$B$3722,4)=ROUND(B982,4),$A$2:$A$3722)),"Efficient","Inefficient")</f>
        <v>Inefficient</v>
      </c>
    </row>
    <row r="983" spans="1:6" x14ac:dyDescent="0.25">
      <c r="A983" cm="1">
        <f t="array" ref="A983">INDEX('Portfolio Weights Returns'!$B$9:$BJ$69,
INT((ROW(A982)-1)/COLUMNS('Portfolio Weights Returns'!$B$9:$BJ$69))+1,MOD(ROW(A982)-1,COLUMNS('Portfolio Weights Returns'!$B$9:$BJ$69))+1)</f>
        <v>-1.0558821092607128E-3</v>
      </c>
      <c r="B983">
        <v>1.7999999999999999E-2</v>
      </c>
      <c r="C983" s="59">
        <v>0.21</v>
      </c>
      <c r="D983" s="59">
        <v>-0.12</v>
      </c>
      <c r="E983" s="60">
        <f t="shared" si="15"/>
        <v>0.91000000000000014</v>
      </c>
      <c r="F983" t="str" cm="1">
        <f t="array" ref="F983">IF(A983=MAX(IF(ROUND($B$2:$B$3722,4)=ROUND(B983,4),$A$2:$A$3722)),"Efficient","Inefficient")</f>
        <v>Inefficient</v>
      </c>
    </row>
    <row r="984" spans="1:6" x14ac:dyDescent="0.25">
      <c r="A984" cm="1">
        <f t="array" ref="A984">INDEX('Portfolio Weights Returns'!$B$9:$BJ$69,
INT((ROW(A983)-1)/COLUMNS('Portfolio Weights Returns'!$B$9:$BJ$69))+1,MOD(ROW(A983)-1,COLUMNS('Portfolio Weights Returns'!$B$9:$BJ$69))+1)</f>
        <v>-1.0491009352940335E-3</v>
      </c>
      <c r="B984">
        <v>1.7999999999999999E-2</v>
      </c>
      <c r="C984" s="59">
        <v>0.2</v>
      </c>
      <c r="D984" s="59">
        <v>-0.11</v>
      </c>
      <c r="E984" s="60">
        <f t="shared" si="15"/>
        <v>0.91000000000000014</v>
      </c>
      <c r="F984" t="str" cm="1">
        <f t="array" ref="F984">IF(A984=MAX(IF(ROUND($B$2:$B$3722,4)=ROUND(B984,4),$A$2:$A$3722)),"Efficient","Inefficient")</f>
        <v>Inefficient</v>
      </c>
    </row>
    <row r="985" spans="1:6" x14ac:dyDescent="0.25">
      <c r="A985" cm="1">
        <f t="array" ref="A985">INDEX('Portfolio Weights Returns'!$B$9:$BJ$69,
INT((ROW(A984)-1)/COLUMNS('Portfolio Weights Returns'!$B$9:$BJ$69))+1,MOD(ROW(A984)-1,COLUMNS('Portfolio Weights Returns'!$B$9:$BJ$69))+1)</f>
        <v>-1.0423197613273546E-3</v>
      </c>
      <c r="B985">
        <v>1.7999999999999999E-2</v>
      </c>
      <c r="C985" s="59">
        <v>0.17</v>
      </c>
      <c r="D985" s="59">
        <v>-0.09</v>
      </c>
      <c r="E985" s="60">
        <f t="shared" si="15"/>
        <v>0.92</v>
      </c>
      <c r="F985" t="str" cm="1">
        <f t="array" ref="F985">IF(A985=MAX(IF(ROUND($B$2:$B$3722,4)=ROUND(B985,4),$A$2:$A$3722)),"Efficient","Inefficient")</f>
        <v>Inefficient</v>
      </c>
    </row>
    <row r="986" spans="1:6" x14ac:dyDescent="0.25">
      <c r="A986" cm="1">
        <f t="array" ref="A986">INDEX('Portfolio Weights Returns'!$B$9:$BJ$69,
INT((ROW(A985)-1)/COLUMNS('Portfolio Weights Returns'!$B$9:$BJ$69))+1,MOD(ROW(A985)-1,COLUMNS('Portfolio Weights Returns'!$B$9:$BJ$69))+1)</f>
        <v>-1.0355385873606752E-3</v>
      </c>
      <c r="B986">
        <v>1.7999999999999999E-2</v>
      </c>
      <c r="C986" s="59">
        <v>0.16</v>
      </c>
      <c r="D986" s="59">
        <v>-0.08</v>
      </c>
      <c r="E986" s="60">
        <f t="shared" si="15"/>
        <v>0.92</v>
      </c>
      <c r="F986" t="str" cm="1">
        <f t="array" ref="F986">IF(A986=MAX(IF(ROUND($B$2:$B$3722,4)=ROUND(B986,4),$A$2:$A$3722)),"Efficient","Inefficient")</f>
        <v>Inefficient</v>
      </c>
    </row>
    <row r="987" spans="1:6" x14ac:dyDescent="0.25">
      <c r="A987" cm="1">
        <f t="array" ref="A987">INDEX('Portfolio Weights Returns'!$B$9:$BJ$69,
INT((ROW(A986)-1)/COLUMNS('Portfolio Weights Returns'!$B$9:$BJ$69))+1,MOD(ROW(A986)-1,COLUMNS('Portfolio Weights Returns'!$B$9:$BJ$69))+1)</f>
        <v>-1.0287574133939965E-3</v>
      </c>
      <c r="B987">
        <v>1.7999999999999999E-2</v>
      </c>
      <c r="C987" s="59">
        <v>0.15</v>
      </c>
      <c r="D987" s="59">
        <v>-7.0000000000000007E-2</v>
      </c>
      <c r="E987" s="60">
        <f t="shared" si="15"/>
        <v>0.92</v>
      </c>
      <c r="F987" t="str" cm="1">
        <f t="array" ref="F987">IF(A987=MAX(IF(ROUND($B$2:$B$3722,4)=ROUND(B987,4),$A$2:$A$3722)),"Efficient","Inefficient")</f>
        <v>Inefficient</v>
      </c>
    </row>
    <row r="988" spans="1:6" x14ac:dyDescent="0.25">
      <c r="A988" cm="1">
        <f t="array" ref="A988">INDEX('Portfolio Weights Returns'!$B$9:$BJ$69,
INT((ROW(A987)-1)/COLUMNS('Portfolio Weights Returns'!$B$9:$BJ$69))+1,MOD(ROW(A987)-1,COLUMNS('Portfolio Weights Returns'!$B$9:$BJ$69))+1)</f>
        <v>-1.0219762394273171E-3</v>
      </c>
      <c r="B988">
        <v>1.7999999999999999E-2</v>
      </c>
      <c r="C988" s="59">
        <v>0.14000000000000001</v>
      </c>
      <c r="D988" s="59">
        <v>-0.06</v>
      </c>
      <c r="E988" s="60">
        <f t="shared" si="15"/>
        <v>0.92</v>
      </c>
      <c r="F988" t="str" cm="1">
        <f t="array" ref="F988">IF(A988=MAX(IF(ROUND($B$2:$B$3722,4)=ROUND(B988,4),$A$2:$A$3722)),"Efficient","Inefficient")</f>
        <v>Inefficient</v>
      </c>
    </row>
    <row r="989" spans="1:6" x14ac:dyDescent="0.25">
      <c r="A989" cm="1">
        <f t="array" ref="A989">INDEX('Portfolio Weights Returns'!$B$9:$BJ$69,
INT((ROW(A988)-1)/COLUMNS('Portfolio Weights Returns'!$B$9:$BJ$69))+1,MOD(ROW(A988)-1,COLUMNS('Portfolio Weights Returns'!$B$9:$BJ$69))+1)</f>
        <v>-1.0151950654606382E-3</v>
      </c>
      <c r="B989">
        <v>1.7999999999999999E-2</v>
      </c>
      <c r="C989" s="59">
        <v>0.13</v>
      </c>
      <c r="D989" s="59">
        <v>-0.05</v>
      </c>
      <c r="E989" s="60">
        <f t="shared" si="15"/>
        <v>0.92</v>
      </c>
      <c r="F989" t="str" cm="1">
        <f t="array" ref="F989">IF(A989=MAX(IF(ROUND($B$2:$B$3722,4)=ROUND(B989,4),$A$2:$A$3722)),"Efficient","Inefficient")</f>
        <v>Inefficient</v>
      </c>
    </row>
    <row r="990" spans="1:6" x14ac:dyDescent="0.25">
      <c r="A990" cm="1">
        <f t="array" ref="A990">INDEX('Portfolio Weights Returns'!$B$9:$BJ$69,
INT((ROW(A989)-1)/COLUMNS('Portfolio Weights Returns'!$B$9:$BJ$69))+1,MOD(ROW(A989)-1,COLUMNS('Portfolio Weights Returns'!$B$9:$BJ$69))+1)</f>
        <v>-1.0084138914939588E-3</v>
      </c>
      <c r="B990">
        <v>1.7999999999999999E-2</v>
      </c>
      <c r="C990" s="59">
        <v>0.12</v>
      </c>
      <c r="D990" s="59">
        <v>-0.04</v>
      </c>
      <c r="E990" s="60">
        <f t="shared" si="15"/>
        <v>0.92</v>
      </c>
      <c r="F990" t="str" cm="1">
        <f t="array" ref="F990">IF(A990=MAX(IF(ROUND($B$2:$B$3722,4)=ROUND(B990,4),$A$2:$A$3722)),"Efficient","Inefficient")</f>
        <v>Inefficient</v>
      </c>
    </row>
    <row r="991" spans="1:6" x14ac:dyDescent="0.25">
      <c r="A991" cm="1">
        <f t="array" ref="A991">INDEX('Portfolio Weights Returns'!$B$9:$BJ$69,
INT((ROW(A990)-1)/COLUMNS('Portfolio Weights Returns'!$B$9:$BJ$69))+1,MOD(ROW(A990)-1,COLUMNS('Portfolio Weights Returns'!$B$9:$BJ$69))+1)</f>
        <v>-1.0016327175272799E-3</v>
      </c>
      <c r="B991">
        <v>1.7999999999999999E-2</v>
      </c>
      <c r="C991" s="59">
        <v>0.11</v>
      </c>
      <c r="D991" s="59">
        <v>-0.03</v>
      </c>
      <c r="E991" s="60">
        <f t="shared" si="15"/>
        <v>0.92</v>
      </c>
      <c r="F991" t="str" cm="1">
        <f t="array" ref="F991">IF(A991=MAX(IF(ROUND($B$2:$B$3722,4)=ROUND(B991,4),$A$2:$A$3722)),"Efficient","Inefficient")</f>
        <v>Inefficient</v>
      </c>
    </row>
    <row r="992" spans="1:6" x14ac:dyDescent="0.25">
      <c r="A992" cm="1">
        <f t="array" ref="A992">INDEX('Portfolio Weights Returns'!$B$9:$BJ$69,
INT((ROW(A991)-1)/COLUMNS('Portfolio Weights Returns'!$B$9:$BJ$69))+1,MOD(ROW(A991)-1,COLUMNS('Portfolio Weights Returns'!$B$9:$BJ$69))+1)</f>
        <v>-9.9485154356060077E-4</v>
      </c>
      <c r="B992">
        <v>1.7999999999999999E-2</v>
      </c>
      <c r="C992" s="59">
        <v>0.1</v>
      </c>
      <c r="D992" s="59">
        <v>-0.02</v>
      </c>
      <c r="E992" s="60">
        <f t="shared" si="15"/>
        <v>0.92</v>
      </c>
      <c r="F992" t="str" cm="1">
        <f t="array" ref="F992">IF(A992=MAX(IF(ROUND($B$2:$B$3722,4)=ROUND(B992,4),$A$2:$A$3722)),"Efficient","Inefficient")</f>
        <v>Inefficient</v>
      </c>
    </row>
    <row r="993" spans="1:6" x14ac:dyDescent="0.25">
      <c r="A993" cm="1">
        <f t="array" ref="A993">INDEX('Portfolio Weights Returns'!$B$9:$BJ$69,
INT((ROW(A992)-1)/COLUMNS('Portfolio Weights Returns'!$B$9:$BJ$69))+1,MOD(ROW(A992)-1,COLUMNS('Portfolio Weights Returns'!$B$9:$BJ$69))+1)</f>
        <v>-9.8807036959392162E-4</v>
      </c>
      <c r="B993">
        <v>1.7999999999999999E-2</v>
      </c>
      <c r="C993" s="59">
        <v>0.09</v>
      </c>
      <c r="D993" s="59">
        <v>-0.01</v>
      </c>
      <c r="E993" s="60">
        <f t="shared" si="15"/>
        <v>0.92</v>
      </c>
      <c r="F993" t="str" cm="1">
        <f t="array" ref="F993">IF(A993=MAX(IF(ROUND($B$2:$B$3722,4)=ROUND(B993,4),$A$2:$A$3722)),"Efficient","Inefficient")</f>
        <v>Inefficient</v>
      </c>
    </row>
    <row r="994" spans="1:6" x14ac:dyDescent="0.25">
      <c r="A994" cm="1">
        <f t="array" ref="A994">INDEX('Portfolio Weights Returns'!$B$9:$BJ$69,
INT((ROW(A993)-1)/COLUMNS('Portfolio Weights Returns'!$B$9:$BJ$69))+1,MOD(ROW(A993)-1,COLUMNS('Portfolio Weights Returns'!$B$9:$BJ$69))+1)</f>
        <v>-9.8128919562724269E-4</v>
      </c>
      <c r="B994">
        <v>1.7999999999999999E-2</v>
      </c>
      <c r="C994" s="59">
        <v>0.08</v>
      </c>
      <c r="D994" s="59">
        <v>0</v>
      </c>
      <c r="E994" s="60">
        <f t="shared" si="15"/>
        <v>0.92</v>
      </c>
      <c r="F994" t="str" cm="1">
        <f t="array" ref="F994">IF(A994=MAX(IF(ROUND($B$2:$B$3722,4)=ROUND(B994,4),$A$2:$A$3722)),"Efficient","Inefficient")</f>
        <v>Inefficient</v>
      </c>
    </row>
    <row r="995" spans="1:6" x14ac:dyDescent="0.25">
      <c r="A995" cm="1">
        <f t="array" ref="A995">INDEX('Portfolio Weights Returns'!$B$9:$BJ$69,
INT((ROW(A994)-1)/COLUMNS('Portfolio Weights Returns'!$B$9:$BJ$69))+1,MOD(ROW(A994)-1,COLUMNS('Portfolio Weights Returns'!$B$9:$BJ$69))+1)</f>
        <v>-9.7450802166056344E-4</v>
      </c>
      <c r="B995">
        <v>1.7999999999999999E-2</v>
      </c>
      <c r="C995" s="59">
        <v>7.0000000000000007E-2</v>
      </c>
      <c r="D995" s="59">
        <v>0.02</v>
      </c>
      <c r="E995" s="60">
        <f t="shared" si="15"/>
        <v>0.90999999999999992</v>
      </c>
      <c r="F995" t="str" cm="1">
        <f t="array" ref="F995">IF(A995=MAX(IF(ROUND($B$2:$B$3722,4)=ROUND(B995,4),$A$2:$A$3722)),"Efficient","Inefficient")</f>
        <v>Inefficient</v>
      </c>
    </row>
    <row r="996" spans="1:6" x14ac:dyDescent="0.25">
      <c r="A996" cm="1">
        <f t="array" ref="A996">INDEX('Portfolio Weights Returns'!$B$9:$BJ$69,
INT((ROW(A995)-1)/COLUMNS('Portfolio Weights Returns'!$B$9:$BJ$69))+1,MOD(ROW(A995)-1,COLUMNS('Portfolio Weights Returns'!$B$9:$BJ$69))+1)</f>
        <v>-9.6772684769388451E-4</v>
      </c>
      <c r="B996">
        <v>1.7999999999999999E-2</v>
      </c>
      <c r="C996" s="59">
        <v>0.06</v>
      </c>
      <c r="D996" s="59">
        <v>0.03</v>
      </c>
      <c r="E996" s="60">
        <f t="shared" si="15"/>
        <v>0.90999999999999992</v>
      </c>
      <c r="F996" t="str" cm="1">
        <f t="array" ref="F996">IF(A996=MAX(IF(ROUND($B$2:$B$3722,4)=ROUND(B996,4),$A$2:$A$3722)),"Efficient","Inefficient")</f>
        <v>Inefficient</v>
      </c>
    </row>
    <row r="997" spans="1:6" x14ac:dyDescent="0.25">
      <c r="A997" cm="1">
        <f t="array" ref="A997">INDEX('Portfolio Weights Returns'!$B$9:$BJ$69,
INT((ROW(A996)-1)/COLUMNS('Portfolio Weights Returns'!$B$9:$BJ$69))+1,MOD(ROW(A996)-1,COLUMNS('Portfolio Weights Returns'!$B$9:$BJ$69))+1)</f>
        <v>-9.6094567372720526E-4</v>
      </c>
      <c r="B997">
        <v>1.7999999999999999E-2</v>
      </c>
      <c r="C997" s="59">
        <v>0.05</v>
      </c>
      <c r="D997" s="59">
        <v>0.05</v>
      </c>
      <c r="E997" s="60">
        <f t="shared" si="15"/>
        <v>0.89999999999999991</v>
      </c>
      <c r="F997" t="str" cm="1">
        <f t="array" ref="F997">IF(A997=MAX(IF(ROUND($B$2:$B$3722,4)=ROUND(B997,4),$A$2:$A$3722)),"Efficient","Inefficient")</f>
        <v>Inefficient</v>
      </c>
    </row>
    <row r="998" spans="1:6" x14ac:dyDescent="0.25">
      <c r="A998" cm="1">
        <f t="array" ref="A998">INDEX('Portfolio Weights Returns'!$B$9:$BJ$69,
INT((ROW(A997)-1)/COLUMNS('Portfolio Weights Returns'!$B$9:$BJ$69))+1,MOD(ROW(A997)-1,COLUMNS('Portfolio Weights Returns'!$B$9:$BJ$69))+1)</f>
        <v>-9.5416449976052633E-4</v>
      </c>
      <c r="B998">
        <v>1.7999999999999999E-2</v>
      </c>
      <c r="C998" s="59">
        <v>0.04</v>
      </c>
      <c r="D998" s="59">
        <v>0.06</v>
      </c>
      <c r="E998" s="60">
        <f t="shared" si="15"/>
        <v>0.89999999999999991</v>
      </c>
      <c r="F998" t="str" cm="1">
        <f t="array" ref="F998">IF(A998=MAX(IF(ROUND($B$2:$B$3722,4)=ROUND(B998,4),$A$2:$A$3722)),"Efficient","Inefficient")</f>
        <v>Inefficient</v>
      </c>
    </row>
    <row r="999" spans="1:6" x14ac:dyDescent="0.25">
      <c r="A999" cm="1">
        <f t="array" ref="A999">INDEX('Portfolio Weights Returns'!$B$9:$BJ$69,
INT((ROW(A998)-1)/COLUMNS('Portfolio Weights Returns'!$B$9:$BJ$69))+1,MOD(ROW(A998)-1,COLUMNS('Portfolio Weights Returns'!$B$9:$BJ$69))+1)</f>
        <v>-9.4738332579384708E-4</v>
      </c>
      <c r="B999">
        <v>1.7999999999999999E-2</v>
      </c>
      <c r="C999" s="59">
        <v>0.04</v>
      </c>
      <c r="D999" s="59">
        <v>7.0000000000000007E-2</v>
      </c>
      <c r="E999" s="60">
        <f t="shared" si="15"/>
        <v>0.8899999999999999</v>
      </c>
      <c r="F999" t="str" cm="1">
        <f t="array" ref="F999">IF(A999=MAX(IF(ROUND($B$2:$B$3722,4)=ROUND(B999,4),$A$2:$A$3722)),"Efficient","Inefficient")</f>
        <v>Inefficient</v>
      </c>
    </row>
    <row r="1000" spans="1:6" x14ac:dyDescent="0.25">
      <c r="A1000" cm="1">
        <f t="array" ref="A1000">INDEX('Portfolio Weights Returns'!$B$9:$BJ$69,
INT((ROW(A999)-1)/COLUMNS('Portfolio Weights Returns'!$B$9:$BJ$69))+1,MOD(ROW(A999)-1,COLUMNS('Portfolio Weights Returns'!$B$9:$BJ$69))+1)</f>
        <v>-9.4060215182716804E-4</v>
      </c>
      <c r="B1000">
        <v>1.7999999999999999E-2</v>
      </c>
      <c r="C1000" s="59">
        <v>0.03</v>
      </c>
      <c r="D1000" s="59">
        <v>0.08</v>
      </c>
      <c r="E1000" s="60">
        <f t="shared" si="15"/>
        <v>0.89</v>
      </c>
      <c r="F1000" t="str" cm="1">
        <f t="array" ref="F1000">IF(A1000=MAX(IF(ROUND($B$2:$B$3722,4)=ROUND(B1000,4),$A$2:$A$3722)),"Efficient","Inefficient")</f>
        <v>Inefficient</v>
      </c>
    </row>
    <row r="1001" spans="1:6" x14ac:dyDescent="0.25">
      <c r="A1001" cm="1">
        <f t="array" ref="A1001">INDEX('Portfolio Weights Returns'!$B$9:$BJ$69,
INT((ROW(A1000)-1)/COLUMNS('Portfolio Weights Returns'!$B$9:$BJ$69))+1,MOD(ROW(A1000)-1,COLUMNS('Portfolio Weights Returns'!$B$9:$BJ$69))+1)</f>
        <v>-9.3382097786048879E-4</v>
      </c>
      <c r="B1001">
        <v>1.7999999999999999E-2</v>
      </c>
      <c r="C1001" s="59">
        <v>0.03</v>
      </c>
      <c r="D1001" s="59">
        <v>0.09</v>
      </c>
      <c r="E1001" s="60">
        <f t="shared" si="15"/>
        <v>0.88</v>
      </c>
      <c r="F1001" t="str" cm="1">
        <f t="array" ref="F1001">IF(A1001=MAX(IF(ROUND($B$2:$B$3722,4)=ROUND(B1001,4),$A$2:$A$3722)),"Efficient","Inefficient")</f>
        <v>Inefficient</v>
      </c>
    </row>
    <row r="1002" spans="1:6" x14ac:dyDescent="0.25">
      <c r="A1002" cm="1">
        <f t="array" ref="A1002">INDEX('Portfolio Weights Returns'!$B$9:$BJ$69,
INT((ROW(A1001)-1)/COLUMNS('Portfolio Weights Returns'!$B$9:$BJ$69))+1,MOD(ROW(A1001)-1,COLUMNS('Portfolio Weights Returns'!$B$9:$BJ$69))+1)</f>
        <v>-9.2703980389380986E-4</v>
      </c>
      <c r="B1002">
        <v>1.7999999999999999E-2</v>
      </c>
      <c r="C1002" s="59">
        <v>0.03</v>
      </c>
      <c r="D1002" s="59">
        <v>0.1</v>
      </c>
      <c r="E1002" s="60">
        <f t="shared" si="15"/>
        <v>0.87</v>
      </c>
      <c r="F1002" t="str" cm="1">
        <f t="array" ref="F1002">IF(A1002=MAX(IF(ROUND($B$2:$B$3722,4)=ROUND(B1002,4),$A$2:$A$3722)),"Efficient","Inefficient")</f>
        <v>Inefficient</v>
      </c>
    </row>
    <row r="1003" spans="1:6" x14ac:dyDescent="0.25">
      <c r="A1003" cm="1">
        <f t="array" ref="A1003">INDEX('Portfolio Weights Returns'!$B$9:$BJ$69,
INT((ROW(A1002)-1)/COLUMNS('Portfolio Weights Returns'!$B$9:$BJ$69))+1,MOD(ROW(A1002)-1,COLUMNS('Portfolio Weights Returns'!$B$9:$BJ$69))+1)</f>
        <v>-9.202586299271305E-4</v>
      </c>
      <c r="B1003">
        <v>1.7999999999999999E-2</v>
      </c>
      <c r="C1003" s="59">
        <v>0.02</v>
      </c>
      <c r="D1003" s="59">
        <v>0.12</v>
      </c>
      <c r="E1003" s="60">
        <f t="shared" si="15"/>
        <v>0.86</v>
      </c>
      <c r="F1003" t="str" cm="1">
        <f t="array" ref="F1003">IF(A1003=MAX(IF(ROUND($B$2:$B$3722,4)=ROUND(B1003,4),$A$2:$A$3722)),"Efficient","Inefficient")</f>
        <v>Inefficient</v>
      </c>
    </row>
    <row r="1004" spans="1:6" x14ac:dyDescent="0.25">
      <c r="A1004" cm="1">
        <f t="array" ref="A1004">INDEX('Portfolio Weights Returns'!$B$9:$BJ$69,
INT((ROW(A1003)-1)/COLUMNS('Portfolio Weights Returns'!$B$9:$BJ$69))+1,MOD(ROW(A1003)-1,COLUMNS('Portfolio Weights Returns'!$B$9:$BJ$69))+1)</f>
        <v>-9.1347745596045168E-4</v>
      </c>
      <c r="B1004">
        <v>1.7999999999999999E-2</v>
      </c>
      <c r="C1004" s="59">
        <v>0.02</v>
      </c>
      <c r="D1004" s="59">
        <v>0.13</v>
      </c>
      <c r="E1004" s="60">
        <f t="shared" si="15"/>
        <v>0.85</v>
      </c>
      <c r="F1004" t="str" cm="1">
        <f t="array" ref="F1004">IF(A1004=MAX(IF(ROUND($B$2:$B$3722,4)=ROUND(B1004,4),$A$2:$A$3722)),"Efficient","Inefficient")</f>
        <v>Inefficient</v>
      </c>
    </row>
    <row r="1005" spans="1:6" x14ac:dyDescent="0.25">
      <c r="A1005" cm="1">
        <f t="array" ref="A1005">INDEX('Portfolio Weights Returns'!$B$9:$BJ$69,
INT((ROW(A1004)-1)/COLUMNS('Portfolio Weights Returns'!$B$9:$BJ$69))+1,MOD(ROW(A1004)-1,COLUMNS('Portfolio Weights Returns'!$B$9:$BJ$69))+1)</f>
        <v>-9.0669628199377232E-4</v>
      </c>
      <c r="B1005">
        <v>1.7999999999999999E-2</v>
      </c>
      <c r="C1005" s="59">
        <v>0.02</v>
      </c>
      <c r="D1005" s="59">
        <v>0.14000000000000001</v>
      </c>
      <c r="E1005" s="60">
        <f t="shared" si="15"/>
        <v>0.84</v>
      </c>
      <c r="F1005" t="str" cm="1">
        <f t="array" ref="F1005">IF(A1005=MAX(IF(ROUND($B$2:$B$3722,4)=ROUND(B1005,4),$A$2:$A$3722)),"Efficient","Inefficient")</f>
        <v>Inefficient</v>
      </c>
    </row>
    <row r="1006" spans="1:6" x14ac:dyDescent="0.25">
      <c r="A1006" cm="1">
        <f t="array" ref="A1006">INDEX('Portfolio Weights Returns'!$B$9:$BJ$69,
INT((ROW(A1005)-1)/COLUMNS('Portfolio Weights Returns'!$B$9:$BJ$69))+1,MOD(ROW(A1005)-1,COLUMNS('Portfolio Weights Returns'!$B$9:$BJ$69))+1)</f>
        <v>-8.9991510802709339E-4</v>
      </c>
      <c r="B1006">
        <v>1.7999999999999999E-2</v>
      </c>
      <c r="C1006" s="59">
        <v>0.02</v>
      </c>
      <c r="D1006" s="59">
        <v>0.15</v>
      </c>
      <c r="E1006" s="60">
        <f t="shared" si="15"/>
        <v>0.83</v>
      </c>
      <c r="F1006" t="str" cm="1">
        <f t="array" ref="F1006">IF(A1006=MAX(IF(ROUND($B$2:$B$3722,4)=ROUND(B1006,4),$A$2:$A$3722)),"Efficient","Inefficient")</f>
        <v>Inefficient</v>
      </c>
    </row>
    <row r="1007" spans="1:6" x14ac:dyDescent="0.25">
      <c r="A1007" cm="1">
        <f t="array" ref="A1007">INDEX('Portfolio Weights Returns'!$B$9:$BJ$69,
INT((ROW(A1006)-1)/COLUMNS('Portfolio Weights Returns'!$B$9:$BJ$69))+1,MOD(ROW(A1006)-1,COLUMNS('Portfolio Weights Returns'!$B$9:$BJ$69))+1)</f>
        <v>-8.9313393406041414E-4</v>
      </c>
      <c r="B1007">
        <v>1.7999999999999999E-2</v>
      </c>
      <c r="C1007" s="59">
        <v>0.02</v>
      </c>
      <c r="D1007" s="59">
        <v>0.16</v>
      </c>
      <c r="E1007" s="60">
        <f t="shared" si="15"/>
        <v>0.82</v>
      </c>
      <c r="F1007" t="str" cm="1">
        <f t="array" ref="F1007">IF(A1007=MAX(IF(ROUND($B$2:$B$3722,4)=ROUND(B1007,4),$A$2:$A$3722)),"Efficient","Inefficient")</f>
        <v>Inefficient</v>
      </c>
    </row>
    <row r="1008" spans="1:6" x14ac:dyDescent="0.25">
      <c r="A1008" cm="1">
        <f t="array" ref="A1008">INDEX('Portfolio Weights Returns'!$B$9:$BJ$69,
INT((ROW(A1007)-1)/COLUMNS('Portfolio Weights Returns'!$B$9:$BJ$69))+1,MOD(ROW(A1007)-1,COLUMNS('Portfolio Weights Returns'!$B$9:$BJ$69))+1)</f>
        <v>-8.8635276009373521E-4</v>
      </c>
      <c r="B1008">
        <v>1.7999999999999999E-2</v>
      </c>
      <c r="C1008" s="59">
        <v>0.02</v>
      </c>
      <c r="D1008" s="59">
        <v>0.17</v>
      </c>
      <c r="E1008" s="60">
        <f t="shared" si="15"/>
        <v>0.80999999999999994</v>
      </c>
      <c r="F1008" t="str" cm="1">
        <f t="array" ref="F1008">IF(A1008=MAX(IF(ROUND($B$2:$B$3722,4)=ROUND(B1008,4),$A$2:$A$3722)),"Efficient","Inefficient")</f>
        <v>Inefficient</v>
      </c>
    </row>
    <row r="1009" spans="1:6" x14ac:dyDescent="0.25">
      <c r="A1009" cm="1">
        <f t="array" ref="A1009">INDEX('Portfolio Weights Returns'!$B$9:$BJ$69,
INT((ROW(A1008)-1)/COLUMNS('Portfolio Weights Returns'!$B$9:$BJ$69))+1,MOD(ROW(A1008)-1,COLUMNS('Portfolio Weights Returns'!$B$9:$BJ$69))+1)</f>
        <v>-8.7957158612705585E-4</v>
      </c>
      <c r="B1009">
        <v>1.7999999999999999E-2</v>
      </c>
      <c r="C1009" s="59">
        <v>0.02</v>
      </c>
      <c r="D1009" s="59">
        <v>0.18</v>
      </c>
      <c r="E1009" s="60">
        <f t="shared" si="15"/>
        <v>0.8</v>
      </c>
      <c r="F1009" t="str" cm="1">
        <f t="array" ref="F1009">IF(A1009=MAX(IF(ROUND($B$2:$B$3722,4)=ROUND(B1009,4),$A$2:$A$3722)),"Efficient","Inefficient")</f>
        <v>Inefficient</v>
      </c>
    </row>
    <row r="1010" spans="1:6" x14ac:dyDescent="0.25">
      <c r="A1010" cm="1">
        <f t="array" ref="A1010">INDEX('Portfolio Weights Returns'!$B$9:$BJ$69,
INT((ROW(A1009)-1)/COLUMNS('Portfolio Weights Returns'!$B$9:$BJ$69))+1,MOD(ROW(A1009)-1,COLUMNS('Portfolio Weights Returns'!$B$9:$BJ$69))+1)</f>
        <v>-8.7279041216037703E-4</v>
      </c>
      <c r="B1010">
        <v>1.7999999999999999E-2</v>
      </c>
      <c r="C1010" s="59">
        <v>0.03</v>
      </c>
      <c r="D1010" s="59">
        <v>0.19</v>
      </c>
      <c r="E1010" s="60">
        <f t="shared" si="15"/>
        <v>0.78</v>
      </c>
      <c r="F1010" t="str" cm="1">
        <f t="array" ref="F1010">IF(A1010=MAX(IF(ROUND($B$2:$B$3722,4)=ROUND(B1010,4),$A$2:$A$3722)),"Efficient","Inefficient")</f>
        <v>Inefficient</v>
      </c>
    </row>
    <row r="1011" spans="1:6" x14ac:dyDescent="0.25">
      <c r="A1011" cm="1">
        <f t="array" ref="A1011">INDEX('Portfolio Weights Returns'!$B$9:$BJ$69,
INT((ROW(A1010)-1)/COLUMNS('Portfolio Weights Returns'!$B$9:$BJ$69))+1,MOD(ROW(A1010)-1,COLUMNS('Portfolio Weights Returns'!$B$9:$BJ$69))+1)</f>
        <v>-8.6600923819369767E-4</v>
      </c>
      <c r="B1011">
        <v>1.7999999999999999E-2</v>
      </c>
      <c r="C1011" s="59">
        <v>0.03</v>
      </c>
      <c r="D1011" s="59">
        <v>0.2</v>
      </c>
      <c r="E1011" s="60">
        <f t="shared" si="15"/>
        <v>0.77</v>
      </c>
      <c r="F1011" t="str" cm="1">
        <f t="array" ref="F1011">IF(A1011=MAX(IF(ROUND($B$2:$B$3722,4)=ROUND(B1011,4),$A$2:$A$3722)),"Efficient","Inefficient")</f>
        <v>Inefficient</v>
      </c>
    </row>
    <row r="1012" spans="1:6" x14ac:dyDescent="0.25">
      <c r="A1012" cm="1">
        <f t="array" ref="A1012">INDEX('Portfolio Weights Returns'!$B$9:$BJ$69,
INT((ROW(A1011)-1)/COLUMNS('Portfolio Weights Returns'!$B$9:$BJ$69))+1,MOD(ROW(A1011)-1,COLUMNS('Portfolio Weights Returns'!$B$9:$BJ$69))+1)</f>
        <v>-8.5922806422701864E-4</v>
      </c>
      <c r="B1012">
        <v>1.7999999999999999E-2</v>
      </c>
      <c r="C1012" s="59">
        <v>0.03</v>
      </c>
      <c r="D1012" s="59">
        <v>0.21</v>
      </c>
      <c r="E1012" s="60">
        <f t="shared" si="15"/>
        <v>0.76</v>
      </c>
      <c r="F1012" t="str" cm="1">
        <f t="array" ref="F1012">IF(A1012=MAX(IF(ROUND($B$2:$B$3722,4)=ROUND(B1012,4),$A$2:$A$3722)),"Efficient","Inefficient")</f>
        <v>Inefficient</v>
      </c>
    </row>
    <row r="1013" spans="1:6" x14ac:dyDescent="0.25">
      <c r="A1013" cm="1">
        <f t="array" ref="A1013">INDEX('Portfolio Weights Returns'!$B$9:$BJ$69,
INT((ROW(A1012)-1)/COLUMNS('Portfolio Weights Returns'!$B$9:$BJ$69))+1,MOD(ROW(A1012)-1,COLUMNS('Portfolio Weights Returns'!$B$9:$BJ$69))+1)</f>
        <v>-8.5244689026033949E-4</v>
      </c>
      <c r="B1013">
        <v>1.7999999999999999E-2</v>
      </c>
      <c r="C1013" s="59">
        <v>0.04</v>
      </c>
      <c r="D1013" s="59">
        <v>0.22</v>
      </c>
      <c r="E1013" s="60">
        <f t="shared" si="15"/>
        <v>0.74</v>
      </c>
      <c r="F1013" t="str" cm="1">
        <f t="array" ref="F1013">IF(A1013=MAX(IF(ROUND($B$2:$B$3722,4)=ROUND(B1013,4),$A$2:$A$3722)),"Efficient","Inefficient")</f>
        <v>Inefficient</v>
      </c>
    </row>
    <row r="1014" spans="1:6" x14ac:dyDescent="0.25">
      <c r="A1014" cm="1">
        <f t="array" ref="A1014">INDEX('Portfolio Weights Returns'!$B$9:$BJ$69,
INT((ROW(A1013)-1)/COLUMNS('Portfolio Weights Returns'!$B$9:$BJ$69))+1,MOD(ROW(A1013)-1,COLUMNS('Portfolio Weights Returns'!$B$9:$BJ$69))+1)</f>
        <v>-8.4566571629366045E-4</v>
      </c>
      <c r="B1014">
        <v>1.7999999999999999E-2</v>
      </c>
      <c r="C1014" s="59">
        <v>0.05</v>
      </c>
      <c r="D1014" s="59">
        <v>0.23</v>
      </c>
      <c r="E1014" s="60">
        <f t="shared" si="15"/>
        <v>0.72</v>
      </c>
      <c r="F1014" t="str" cm="1">
        <f t="array" ref="F1014">IF(A1014=MAX(IF(ROUND($B$2:$B$3722,4)=ROUND(B1014,4),$A$2:$A$3722)),"Efficient","Inefficient")</f>
        <v>Inefficient</v>
      </c>
    </row>
    <row r="1015" spans="1:6" x14ac:dyDescent="0.25">
      <c r="A1015" cm="1">
        <f t="array" ref="A1015">INDEX('Portfolio Weights Returns'!$B$9:$BJ$69,
INT((ROW(A1014)-1)/COLUMNS('Portfolio Weights Returns'!$B$9:$BJ$69))+1,MOD(ROW(A1014)-1,COLUMNS('Portfolio Weights Returns'!$B$9:$BJ$69))+1)</f>
        <v>-8.388845423269812E-4</v>
      </c>
      <c r="B1015">
        <v>1.7999999999999999E-2</v>
      </c>
      <c r="C1015" s="59">
        <v>0.05</v>
      </c>
      <c r="D1015" s="59">
        <v>0.24</v>
      </c>
      <c r="E1015" s="60">
        <f t="shared" si="15"/>
        <v>0.71</v>
      </c>
      <c r="F1015" t="str" cm="1">
        <f t="array" ref="F1015">IF(A1015=MAX(IF(ROUND($B$2:$B$3722,4)=ROUND(B1015,4),$A$2:$A$3722)),"Efficient","Inefficient")</f>
        <v>Inefficient</v>
      </c>
    </row>
    <row r="1016" spans="1:6" x14ac:dyDescent="0.25">
      <c r="A1016" cm="1">
        <f t="array" ref="A1016">INDEX('Portfolio Weights Returns'!$B$9:$BJ$69,
INT((ROW(A1015)-1)/COLUMNS('Portfolio Weights Returns'!$B$9:$BJ$69))+1,MOD(ROW(A1015)-1,COLUMNS('Portfolio Weights Returns'!$B$9:$BJ$69))+1)</f>
        <v>-8.3210336836030227E-4</v>
      </c>
      <c r="B1016">
        <v>1.7999999999999999E-2</v>
      </c>
      <c r="C1016" s="59">
        <v>0.06</v>
      </c>
      <c r="D1016" s="59">
        <v>0.24</v>
      </c>
      <c r="E1016" s="60">
        <f t="shared" si="15"/>
        <v>0.7</v>
      </c>
      <c r="F1016" t="str" cm="1">
        <f t="array" ref="F1016">IF(A1016=MAX(IF(ROUND($B$2:$B$3722,4)=ROUND(B1016,4),$A$2:$A$3722)),"Efficient","Inefficient")</f>
        <v>Inefficient</v>
      </c>
    </row>
    <row r="1017" spans="1:6" x14ac:dyDescent="0.25">
      <c r="A1017" cm="1">
        <f t="array" ref="A1017">INDEX('Portfolio Weights Returns'!$B$9:$BJ$69,
INT((ROW(A1016)-1)/COLUMNS('Portfolio Weights Returns'!$B$9:$BJ$69))+1,MOD(ROW(A1016)-1,COLUMNS('Portfolio Weights Returns'!$B$9:$BJ$69))+1)</f>
        <v>-8.2532219439362324E-4</v>
      </c>
      <c r="B1017">
        <v>1.7999999999999999E-2</v>
      </c>
      <c r="C1017" s="59">
        <v>0.06</v>
      </c>
      <c r="D1017" s="59">
        <v>0.25</v>
      </c>
      <c r="E1017" s="60">
        <f t="shared" si="15"/>
        <v>0.69</v>
      </c>
      <c r="F1017" t="str" cm="1">
        <f t="array" ref="F1017">IF(A1017=MAX(IF(ROUND($B$2:$B$3722,4)=ROUND(B1017,4),$A$2:$A$3722)),"Efficient","Inefficient")</f>
        <v>Inefficient</v>
      </c>
    </row>
    <row r="1018" spans="1:6" x14ac:dyDescent="0.25">
      <c r="A1018" cm="1">
        <f t="array" ref="A1018">INDEX('Portfolio Weights Returns'!$B$9:$BJ$69,
INT((ROW(A1017)-1)/COLUMNS('Portfolio Weights Returns'!$B$9:$BJ$69))+1,MOD(ROW(A1017)-1,COLUMNS('Portfolio Weights Returns'!$B$9:$BJ$69))+1)</f>
        <v>-8.1854102042694409E-4</v>
      </c>
      <c r="B1018">
        <v>1.7999999999999999E-2</v>
      </c>
      <c r="C1018" s="59">
        <v>7.0000000000000007E-2</v>
      </c>
      <c r="D1018" s="59">
        <v>0.25</v>
      </c>
      <c r="E1018" s="60">
        <f t="shared" si="15"/>
        <v>0.67999999999999994</v>
      </c>
      <c r="F1018" t="str" cm="1">
        <f t="array" ref="F1018">IF(A1018=MAX(IF(ROUND($B$2:$B$3722,4)=ROUND(B1018,4),$A$2:$A$3722)),"Efficient","Inefficient")</f>
        <v>Inefficient</v>
      </c>
    </row>
    <row r="1019" spans="1:6" x14ac:dyDescent="0.25">
      <c r="A1019" cm="1">
        <f t="array" ref="A1019">INDEX('Portfolio Weights Returns'!$B$9:$BJ$69,
INT((ROW(A1018)-1)/COLUMNS('Portfolio Weights Returns'!$B$9:$BJ$69))+1,MOD(ROW(A1018)-1,COLUMNS('Portfolio Weights Returns'!$B$9:$BJ$69))+1)</f>
        <v>-8.1175984646026495E-4</v>
      </c>
      <c r="B1019">
        <v>1.7999999999999999E-2</v>
      </c>
      <c r="C1019" s="59">
        <v>0.08</v>
      </c>
      <c r="D1019" s="59">
        <v>0.26</v>
      </c>
      <c r="E1019" s="60">
        <f t="shared" si="15"/>
        <v>0.66</v>
      </c>
      <c r="F1019" t="str" cm="1">
        <f t="array" ref="F1019">IF(A1019=MAX(IF(ROUND($B$2:$B$3722,4)=ROUND(B1019,4),$A$2:$A$3722)),"Efficient","Inefficient")</f>
        <v>Inefficient</v>
      </c>
    </row>
    <row r="1020" spans="1:6" x14ac:dyDescent="0.25">
      <c r="A1020" cm="1">
        <f t="array" ref="A1020">INDEX('Portfolio Weights Returns'!$B$9:$BJ$69,
INT((ROW(A1019)-1)/COLUMNS('Portfolio Weights Returns'!$B$9:$BJ$69))+1,MOD(ROW(A1019)-1,COLUMNS('Portfolio Weights Returns'!$B$9:$BJ$69))+1)</f>
        <v>-8.0497867249358581E-4</v>
      </c>
      <c r="B1020">
        <v>1.7999999999999999E-2</v>
      </c>
      <c r="C1020" s="59">
        <v>0.09</v>
      </c>
      <c r="D1020" s="59">
        <v>0.27</v>
      </c>
      <c r="E1020" s="60">
        <f t="shared" si="15"/>
        <v>0.64</v>
      </c>
      <c r="F1020" t="str" cm="1">
        <f t="array" ref="F1020">IF(A1020=MAX(IF(ROUND($B$2:$B$3722,4)=ROUND(B1020,4),$A$2:$A$3722)),"Efficient","Inefficient")</f>
        <v>Inefficient</v>
      </c>
    </row>
    <row r="1021" spans="1:6" x14ac:dyDescent="0.25">
      <c r="A1021" cm="1">
        <f t="array" ref="A1021">INDEX('Portfolio Weights Returns'!$B$9:$BJ$69,
INT((ROW(A1020)-1)/COLUMNS('Portfolio Weights Returns'!$B$9:$BJ$69))+1,MOD(ROW(A1020)-1,COLUMNS('Portfolio Weights Returns'!$B$9:$BJ$69))+1)</f>
        <v>-7.9819749852690677E-4</v>
      </c>
      <c r="B1021">
        <v>1.7999999999999999E-2</v>
      </c>
      <c r="C1021" s="59">
        <v>0.11</v>
      </c>
      <c r="D1021" s="59">
        <v>0.28000000000000003</v>
      </c>
      <c r="E1021" s="60">
        <f t="shared" si="15"/>
        <v>0.61</v>
      </c>
      <c r="F1021" t="str" cm="1">
        <f t="array" ref="F1021">IF(A1021=MAX(IF(ROUND($B$2:$B$3722,4)=ROUND(B1021,4),$A$2:$A$3722)),"Efficient","Inefficient")</f>
        <v>Inefficient</v>
      </c>
    </row>
    <row r="1022" spans="1:6" x14ac:dyDescent="0.25">
      <c r="A1022" cm="1">
        <f t="array" ref="A1022">INDEX('Portfolio Weights Returns'!$B$9:$BJ$69,
INT((ROW(A1021)-1)/COLUMNS('Portfolio Weights Returns'!$B$9:$BJ$69))+1,MOD(ROW(A1021)-1,COLUMNS('Portfolio Weights Returns'!$B$9:$BJ$69))+1)</f>
        <v>-7.9141632456022762E-4</v>
      </c>
      <c r="B1022">
        <v>1.7999999999999999E-2</v>
      </c>
      <c r="C1022" s="59">
        <v>0.13</v>
      </c>
      <c r="D1022" s="59">
        <v>0.28999999999999998</v>
      </c>
      <c r="E1022" s="60">
        <f t="shared" si="15"/>
        <v>0.57999999999999996</v>
      </c>
      <c r="F1022" t="str" cm="1">
        <f t="array" ref="F1022">IF(A1022=MAX(IF(ROUND($B$2:$B$3722,4)=ROUND(B1022,4),$A$2:$A$3722)),"Efficient","Inefficient")</f>
        <v>Inefficient</v>
      </c>
    </row>
    <row r="1023" spans="1:6" x14ac:dyDescent="0.25">
      <c r="A1023" cm="1">
        <f t="array" ref="A1023">INDEX('Portfolio Weights Returns'!$B$9:$BJ$69,
INT((ROW(A1022)-1)/COLUMNS('Portfolio Weights Returns'!$B$9:$BJ$69))+1,MOD(ROW(A1022)-1,COLUMNS('Portfolio Weights Returns'!$B$9:$BJ$69))+1)</f>
        <v>-7.8463515059354848E-4</v>
      </c>
      <c r="B1023">
        <v>1.7999999999999999E-2</v>
      </c>
      <c r="C1023" s="59">
        <v>0.15</v>
      </c>
      <c r="D1023" s="59">
        <v>0.3</v>
      </c>
      <c r="E1023" s="60">
        <f t="shared" si="15"/>
        <v>0.54999999999999993</v>
      </c>
      <c r="F1023" t="str" cm="1">
        <f t="array" ref="F1023">IF(A1023=MAX(IF(ROUND($B$2:$B$3722,4)=ROUND(B1023,4),$A$2:$A$3722)),"Efficient","Inefficient")</f>
        <v>Inefficient</v>
      </c>
    </row>
    <row r="1024" spans="1:6" x14ac:dyDescent="0.25">
      <c r="A1024" cm="1">
        <f t="array" ref="A1024">INDEX('Portfolio Weights Returns'!$B$9:$BJ$69,
INT((ROW(A1023)-1)/COLUMNS('Portfolio Weights Returns'!$B$9:$BJ$69))+1,MOD(ROW(A1023)-1,COLUMNS('Portfolio Weights Returns'!$B$9:$BJ$69))+1)</f>
        <v>-7.7785397662686944E-4</v>
      </c>
      <c r="B1024">
        <v>1.7999999999999999E-2</v>
      </c>
      <c r="C1024" s="59">
        <v>0.16</v>
      </c>
      <c r="D1024" s="59">
        <v>0.3</v>
      </c>
      <c r="E1024" s="60">
        <f t="shared" si="15"/>
        <v>0.53999999999999992</v>
      </c>
      <c r="F1024" t="str" cm="1">
        <f t="array" ref="F1024">IF(A1024=MAX(IF(ROUND($B$2:$B$3722,4)=ROUND(B1024,4),$A$2:$A$3722)),"Efficient","Inefficient")</f>
        <v>Efficient</v>
      </c>
    </row>
    <row r="1025" spans="1:6" x14ac:dyDescent="0.25">
      <c r="A1025" cm="1">
        <f t="array" ref="A1025">INDEX('Portfolio Weights Returns'!$B$9:$BJ$69,
INT((ROW(A1024)-1)/COLUMNS('Portfolio Weights Returns'!$B$9:$BJ$69))+1,MOD(ROW(A1024)-1,COLUMNS('Portfolio Weights Returns'!$B$9:$BJ$69))+1)</f>
        <v>-7.710728026601903E-4</v>
      </c>
      <c r="B1025">
        <v>1.8100000000000002E-2</v>
      </c>
      <c r="C1025" s="59">
        <v>0.3</v>
      </c>
      <c r="D1025" s="59">
        <v>-0.18</v>
      </c>
      <c r="E1025" s="60">
        <f t="shared" si="15"/>
        <v>0.87999999999999989</v>
      </c>
      <c r="F1025" t="str" cm="1">
        <f t="array" ref="F1025">IF(A1025=MAX(IF(ROUND($B$2:$B$3722,4)=ROUND(B1025,4),$A$2:$A$3722)),"Efficient","Inefficient")</f>
        <v>Inefficient</v>
      </c>
    </row>
    <row r="1026" spans="1:6" x14ac:dyDescent="0.25">
      <c r="A1026" cm="1">
        <f t="array" ref="A1026">INDEX('Portfolio Weights Returns'!$B$9:$BJ$69,
INT((ROW(A1025)-1)/COLUMNS('Portfolio Weights Returns'!$B$9:$BJ$69))+1,MOD(ROW(A1025)-1,COLUMNS('Portfolio Weights Returns'!$B$9:$BJ$69))+1)</f>
        <v>-7.6429162869351126E-4</v>
      </c>
      <c r="B1026">
        <v>1.8100000000000002E-2</v>
      </c>
      <c r="C1026" s="59">
        <v>0.28000000000000003</v>
      </c>
      <c r="D1026" s="59">
        <v>-0.17</v>
      </c>
      <c r="E1026" s="60">
        <f t="shared" ref="E1026:E1089" si="16">1-D1026-C1026</f>
        <v>0.8899999999999999</v>
      </c>
      <c r="F1026" t="str" cm="1">
        <f t="array" ref="F1026">IF(A1026=MAX(IF(ROUND($B$2:$B$3722,4)=ROUND(B1026,4),$A$2:$A$3722)),"Efficient","Inefficient")</f>
        <v>Inefficient</v>
      </c>
    </row>
    <row r="1027" spans="1:6" x14ac:dyDescent="0.25">
      <c r="A1027" cm="1">
        <f t="array" ref="A1027">INDEX('Portfolio Weights Returns'!$B$9:$BJ$69,
INT((ROW(A1026)-1)/COLUMNS('Portfolio Weights Returns'!$B$9:$BJ$69))+1,MOD(ROW(A1026)-1,COLUMNS('Portfolio Weights Returns'!$B$9:$BJ$69))+1)</f>
        <v>-7.5751045472683212E-4</v>
      </c>
      <c r="B1027">
        <v>1.8100000000000002E-2</v>
      </c>
      <c r="C1027" s="59">
        <v>0.25</v>
      </c>
      <c r="D1027" s="59">
        <v>-0.15</v>
      </c>
      <c r="E1027" s="60">
        <f t="shared" si="16"/>
        <v>0.89999999999999991</v>
      </c>
      <c r="F1027" t="str" cm="1">
        <f t="array" ref="F1027">IF(A1027=MAX(IF(ROUND($B$2:$B$3722,4)=ROUND(B1027,4),$A$2:$A$3722)),"Efficient","Inefficient")</f>
        <v>Inefficient</v>
      </c>
    </row>
    <row r="1028" spans="1:6" x14ac:dyDescent="0.25">
      <c r="A1028" cm="1">
        <f t="array" ref="A1028">INDEX('Portfolio Weights Returns'!$B$9:$BJ$69,
INT((ROW(A1027)-1)/COLUMNS('Portfolio Weights Returns'!$B$9:$BJ$69))+1,MOD(ROW(A1027)-1,COLUMNS('Portfolio Weights Returns'!$B$9:$BJ$69))+1)</f>
        <v>-7.5072928076015308E-4</v>
      </c>
      <c r="B1028">
        <v>1.8100000000000002E-2</v>
      </c>
      <c r="C1028" s="59">
        <v>0.23</v>
      </c>
      <c r="D1028" s="59">
        <v>-0.14000000000000001</v>
      </c>
      <c r="E1028" s="60">
        <f t="shared" si="16"/>
        <v>0.91000000000000014</v>
      </c>
      <c r="F1028" t="str" cm="1">
        <f t="array" ref="F1028">IF(A1028=MAX(IF(ROUND($B$2:$B$3722,4)=ROUND(B1028,4),$A$2:$A$3722)),"Efficient","Inefficient")</f>
        <v>Inefficient</v>
      </c>
    </row>
    <row r="1029" spans="1:6" x14ac:dyDescent="0.25">
      <c r="A1029" cm="1">
        <f t="array" ref="A1029">INDEX('Portfolio Weights Returns'!$B$9:$BJ$69,
INT((ROW(A1028)-1)/COLUMNS('Portfolio Weights Returns'!$B$9:$BJ$69))+1,MOD(ROW(A1028)-1,COLUMNS('Portfolio Weights Returns'!$B$9:$BJ$69))+1)</f>
        <v>-7.4394810679347394E-4</v>
      </c>
      <c r="B1029">
        <v>1.8100000000000002E-2</v>
      </c>
      <c r="C1029" s="59">
        <v>0.22</v>
      </c>
      <c r="D1029" s="59">
        <v>-0.13</v>
      </c>
      <c r="E1029" s="60">
        <f t="shared" si="16"/>
        <v>0.90999999999999992</v>
      </c>
      <c r="F1029" t="str" cm="1">
        <f t="array" ref="F1029">IF(A1029=MAX(IF(ROUND($B$2:$B$3722,4)=ROUND(B1029,4),$A$2:$A$3722)),"Efficient","Inefficient")</f>
        <v>Inefficient</v>
      </c>
    </row>
    <row r="1030" spans="1:6" x14ac:dyDescent="0.25">
      <c r="A1030" cm="1">
        <f t="array" ref="A1030">INDEX('Portfolio Weights Returns'!$B$9:$BJ$69,
INT((ROW(A1029)-1)/COLUMNS('Portfolio Weights Returns'!$B$9:$BJ$69))+1,MOD(ROW(A1029)-1,COLUMNS('Portfolio Weights Returns'!$B$9:$BJ$69))+1)</f>
        <v>-7.371669328267949E-4</v>
      </c>
      <c r="B1030">
        <v>1.8100000000000002E-2</v>
      </c>
      <c r="C1030" s="59">
        <v>0.19</v>
      </c>
      <c r="D1030" s="59">
        <v>-0.11</v>
      </c>
      <c r="E1030" s="60">
        <f t="shared" si="16"/>
        <v>0.92000000000000015</v>
      </c>
      <c r="F1030" t="str" cm="1">
        <f t="array" ref="F1030">IF(A1030=MAX(IF(ROUND($B$2:$B$3722,4)=ROUND(B1030,4),$A$2:$A$3722)),"Efficient","Inefficient")</f>
        <v>Inefficient</v>
      </c>
    </row>
    <row r="1031" spans="1:6" x14ac:dyDescent="0.25">
      <c r="A1031" cm="1">
        <f t="array" ref="A1031">INDEX('Portfolio Weights Returns'!$B$9:$BJ$69,
INT((ROW(A1030)-1)/COLUMNS('Portfolio Weights Returns'!$B$9:$BJ$69))+1,MOD(ROW(A1030)-1,COLUMNS('Portfolio Weights Returns'!$B$9:$BJ$69))+1)</f>
        <v>-7.3038575886011576E-4</v>
      </c>
      <c r="B1031">
        <v>1.8100000000000002E-2</v>
      </c>
      <c r="C1031" s="59">
        <v>0.18</v>
      </c>
      <c r="D1031" s="59">
        <v>-0.1</v>
      </c>
      <c r="E1031" s="60">
        <f t="shared" si="16"/>
        <v>0.92000000000000015</v>
      </c>
      <c r="F1031" t="str" cm="1">
        <f t="array" ref="F1031">IF(A1031=MAX(IF(ROUND($B$2:$B$3722,4)=ROUND(B1031,4),$A$2:$A$3722)),"Efficient","Inefficient")</f>
        <v>Inefficient</v>
      </c>
    </row>
    <row r="1032" spans="1:6" x14ac:dyDescent="0.25">
      <c r="A1032" cm="1">
        <f t="array" ref="A1032">INDEX('Portfolio Weights Returns'!$B$9:$BJ$69,
INT((ROW(A1031)-1)/COLUMNS('Portfolio Weights Returns'!$B$9:$BJ$69))+1,MOD(ROW(A1031)-1,COLUMNS('Portfolio Weights Returns'!$B$9:$BJ$69))+1)</f>
        <v>-7.2360458489343651E-4</v>
      </c>
      <c r="B1032">
        <v>1.8100000000000002E-2</v>
      </c>
      <c r="C1032" s="59">
        <v>0.15</v>
      </c>
      <c r="D1032" s="59">
        <v>-0.08</v>
      </c>
      <c r="E1032" s="60">
        <f t="shared" si="16"/>
        <v>0.93</v>
      </c>
      <c r="F1032" t="str" cm="1">
        <f t="array" ref="F1032">IF(A1032=MAX(IF(ROUND($B$2:$B$3722,4)=ROUND(B1032,4),$A$2:$A$3722)),"Efficient","Inefficient")</f>
        <v>Inefficient</v>
      </c>
    </row>
    <row r="1033" spans="1:6" x14ac:dyDescent="0.25">
      <c r="A1033" cm="1">
        <f t="array" ref="A1033">INDEX('Portfolio Weights Returns'!$B$9:$BJ$69,
INT((ROW(A1032)-1)/COLUMNS('Portfolio Weights Returns'!$B$9:$BJ$69))+1,MOD(ROW(A1032)-1,COLUMNS('Portfolio Weights Returns'!$B$9:$BJ$69))+1)</f>
        <v>-7.1682341092675747E-4</v>
      </c>
      <c r="B1033">
        <v>1.8100000000000002E-2</v>
      </c>
      <c r="C1033" s="59">
        <v>0.14000000000000001</v>
      </c>
      <c r="D1033" s="59">
        <v>-7.0000000000000007E-2</v>
      </c>
      <c r="E1033" s="60">
        <f t="shared" si="16"/>
        <v>0.93</v>
      </c>
      <c r="F1033" t="str" cm="1">
        <f t="array" ref="F1033">IF(A1033=MAX(IF(ROUND($B$2:$B$3722,4)=ROUND(B1033,4),$A$2:$A$3722)),"Efficient","Inefficient")</f>
        <v>Inefficient</v>
      </c>
    </row>
    <row r="1034" spans="1:6" x14ac:dyDescent="0.25">
      <c r="A1034" cm="1">
        <f t="array" ref="A1034">INDEX('Portfolio Weights Returns'!$B$9:$BJ$69,
INT((ROW(A1033)-1)/COLUMNS('Portfolio Weights Returns'!$B$9:$BJ$69))+1,MOD(ROW(A1033)-1,COLUMNS('Portfolio Weights Returns'!$B$9:$BJ$69))+1)</f>
        <v>-7.1004223696007833E-4</v>
      </c>
      <c r="B1034">
        <v>1.8100000000000002E-2</v>
      </c>
      <c r="C1034" s="59">
        <v>0.13</v>
      </c>
      <c r="D1034" s="59">
        <v>-0.06</v>
      </c>
      <c r="E1034" s="60">
        <f t="shared" si="16"/>
        <v>0.93</v>
      </c>
      <c r="F1034" t="str" cm="1">
        <f t="array" ref="F1034">IF(A1034=MAX(IF(ROUND($B$2:$B$3722,4)=ROUND(B1034,4),$A$2:$A$3722)),"Efficient","Inefficient")</f>
        <v>Inefficient</v>
      </c>
    </row>
    <row r="1035" spans="1:6" x14ac:dyDescent="0.25">
      <c r="A1035" cm="1">
        <f t="array" ref="A1035">INDEX('Portfolio Weights Returns'!$B$9:$BJ$69,
INT((ROW(A1034)-1)/COLUMNS('Portfolio Weights Returns'!$B$9:$BJ$69))+1,MOD(ROW(A1034)-1,COLUMNS('Portfolio Weights Returns'!$B$9:$BJ$69))+1)</f>
        <v>-7.0326106299339864E-4</v>
      </c>
      <c r="B1035">
        <v>1.8100000000000002E-2</v>
      </c>
      <c r="C1035" s="59">
        <v>0.12</v>
      </c>
      <c r="D1035" s="59">
        <v>-0.05</v>
      </c>
      <c r="E1035" s="60">
        <f t="shared" si="16"/>
        <v>0.93</v>
      </c>
      <c r="F1035" t="str" cm="1">
        <f t="array" ref="F1035">IF(A1035=MAX(IF(ROUND($B$2:$B$3722,4)=ROUND(B1035,4),$A$2:$A$3722)),"Efficient","Inefficient")</f>
        <v>Inefficient</v>
      </c>
    </row>
    <row r="1036" spans="1:6" x14ac:dyDescent="0.25">
      <c r="A1036" cm="1">
        <f t="array" ref="A1036">INDEX('Portfolio Weights Returns'!$B$9:$BJ$69,
INT((ROW(A1035)-1)/COLUMNS('Portfolio Weights Returns'!$B$9:$BJ$69))+1,MOD(ROW(A1035)-1,COLUMNS('Portfolio Weights Returns'!$B$9:$BJ$69))+1)</f>
        <v>-6.9647988902671939E-4</v>
      </c>
      <c r="B1036">
        <v>1.8100000000000002E-2</v>
      </c>
      <c r="C1036" s="59">
        <v>0.11</v>
      </c>
      <c r="D1036" s="59">
        <v>-0.04</v>
      </c>
      <c r="E1036" s="60">
        <f t="shared" si="16"/>
        <v>0.93</v>
      </c>
      <c r="F1036" t="str" cm="1">
        <f t="array" ref="F1036">IF(A1036=MAX(IF(ROUND($B$2:$B$3722,4)=ROUND(B1036,4),$A$2:$A$3722)),"Efficient","Inefficient")</f>
        <v>Inefficient</v>
      </c>
    </row>
    <row r="1037" spans="1:6" x14ac:dyDescent="0.25">
      <c r="A1037" cm="1">
        <f t="array" ref="A1037">INDEX('Portfolio Weights Returns'!$B$9:$BJ$69,
INT((ROW(A1036)-1)/COLUMNS('Portfolio Weights Returns'!$B$9:$BJ$69))+1,MOD(ROW(A1036)-1,COLUMNS('Portfolio Weights Returns'!$B$9:$BJ$69))+1)</f>
        <v>-6.8969871506004046E-4</v>
      </c>
      <c r="B1037">
        <v>1.8100000000000002E-2</v>
      </c>
      <c r="C1037" s="59">
        <v>0.1</v>
      </c>
      <c r="D1037" s="59">
        <v>-0.03</v>
      </c>
      <c r="E1037" s="60">
        <f t="shared" si="16"/>
        <v>0.93</v>
      </c>
      <c r="F1037" t="str" cm="1">
        <f t="array" ref="F1037">IF(A1037=MAX(IF(ROUND($B$2:$B$3722,4)=ROUND(B1037,4),$A$2:$A$3722)),"Efficient","Inefficient")</f>
        <v>Inefficient</v>
      </c>
    </row>
    <row r="1038" spans="1:6" x14ac:dyDescent="0.25">
      <c r="A1038" cm="1">
        <f t="array" ref="A1038">INDEX('Portfolio Weights Returns'!$B$9:$BJ$69,
INT((ROW(A1037)-1)/COLUMNS('Portfolio Weights Returns'!$B$9:$BJ$69))+1,MOD(ROW(A1037)-1,COLUMNS('Portfolio Weights Returns'!$B$9:$BJ$69))+1)</f>
        <v>-6.8291754109336131E-4</v>
      </c>
      <c r="B1038">
        <v>1.8100000000000002E-2</v>
      </c>
      <c r="C1038" s="59">
        <v>0.09</v>
      </c>
      <c r="D1038" s="59">
        <v>-0.02</v>
      </c>
      <c r="E1038" s="60">
        <f t="shared" si="16"/>
        <v>0.93</v>
      </c>
      <c r="F1038" t="str" cm="1">
        <f t="array" ref="F1038">IF(A1038=MAX(IF(ROUND($B$2:$B$3722,4)=ROUND(B1038,4),$A$2:$A$3722)),"Efficient","Inefficient")</f>
        <v>Efficient</v>
      </c>
    </row>
    <row r="1039" spans="1:6" x14ac:dyDescent="0.25">
      <c r="A1039" cm="1">
        <f t="array" ref="A1039">INDEX('Portfolio Weights Returns'!$B$9:$BJ$69,
INT((ROW(A1038)-1)/COLUMNS('Portfolio Weights Returns'!$B$9:$BJ$69))+1,MOD(ROW(A1038)-1,COLUMNS('Portfolio Weights Returns'!$B$9:$BJ$69))+1)</f>
        <v>-1.083213771248653E-3</v>
      </c>
      <c r="B1039">
        <v>1.8100000000000002E-2</v>
      </c>
      <c r="C1039" s="59">
        <v>0.08</v>
      </c>
      <c r="D1039" s="59">
        <v>-0.01</v>
      </c>
      <c r="E1039" s="60">
        <f t="shared" si="16"/>
        <v>0.93</v>
      </c>
      <c r="F1039" t="str" cm="1">
        <f t="array" ref="F1039">IF(A1039=MAX(IF(ROUND($B$2:$B$3722,4)=ROUND(B1039,4),$A$2:$A$3722)),"Efficient","Inefficient")</f>
        <v>Inefficient</v>
      </c>
    </row>
    <row r="1040" spans="1:6" x14ac:dyDescent="0.25">
      <c r="A1040" cm="1">
        <f t="array" ref="A1040">INDEX('Portfolio Weights Returns'!$B$9:$BJ$69,
INT((ROW(A1039)-1)/COLUMNS('Portfolio Weights Returns'!$B$9:$BJ$69))+1,MOD(ROW(A1039)-1,COLUMNS('Portfolio Weights Returns'!$B$9:$BJ$69))+1)</f>
        <v>-1.0764325972819739E-3</v>
      </c>
      <c r="B1040">
        <v>1.8100000000000002E-2</v>
      </c>
      <c r="C1040" s="59">
        <v>7.0000000000000007E-2</v>
      </c>
      <c r="D1040" s="59">
        <v>0.01</v>
      </c>
      <c r="E1040" s="60">
        <f t="shared" si="16"/>
        <v>0.91999999999999993</v>
      </c>
      <c r="F1040" t="str" cm="1">
        <f t="array" ref="F1040">IF(A1040=MAX(IF(ROUND($B$2:$B$3722,4)=ROUND(B1040,4),$A$2:$A$3722)),"Efficient","Inefficient")</f>
        <v>Inefficient</v>
      </c>
    </row>
    <row r="1041" spans="1:6" x14ac:dyDescent="0.25">
      <c r="A1041" cm="1">
        <f t="array" ref="A1041">INDEX('Portfolio Weights Returns'!$B$9:$BJ$69,
INT((ROW(A1040)-1)/COLUMNS('Portfolio Weights Returns'!$B$9:$BJ$69))+1,MOD(ROW(A1040)-1,COLUMNS('Portfolio Weights Returns'!$B$9:$BJ$69))+1)</f>
        <v>-1.0696514233152949E-3</v>
      </c>
      <c r="B1041">
        <v>1.8100000000000002E-2</v>
      </c>
      <c r="C1041" s="59">
        <v>0.06</v>
      </c>
      <c r="D1041" s="59">
        <v>0.02</v>
      </c>
      <c r="E1041" s="60">
        <f t="shared" si="16"/>
        <v>0.91999999999999993</v>
      </c>
      <c r="F1041" t="str" cm="1">
        <f t="array" ref="F1041">IF(A1041=MAX(IF(ROUND($B$2:$B$3722,4)=ROUND(B1041,4),$A$2:$A$3722)),"Efficient","Inefficient")</f>
        <v>Inefficient</v>
      </c>
    </row>
    <row r="1042" spans="1:6" x14ac:dyDescent="0.25">
      <c r="A1042" cm="1">
        <f t="array" ref="A1042">INDEX('Portfolio Weights Returns'!$B$9:$BJ$69,
INT((ROW(A1041)-1)/COLUMNS('Portfolio Weights Returns'!$B$9:$BJ$69))+1,MOD(ROW(A1041)-1,COLUMNS('Portfolio Weights Returns'!$B$9:$BJ$69))+1)</f>
        <v>-1.0628702493486156E-3</v>
      </c>
      <c r="B1042">
        <v>1.8100000000000002E-2</v>
      </c>
      <c r="C1042" s="59">
        <v>0.05</v>
      </c>
      <c r="D1042" s="59">
        <v>0.03</v>
      </c>
      <c r="E1042" s="60">
        <f t="shared" si="16"/>
        <v>0.91999999999999993</v>
      </c>
      <c r="F1042" t="str" cm="1">
        <f t="array" ref="F1042">IF(A1042=MAX(IF(ROUND($B$2:$B$3722,4)=ROUND(B1042,4),$A$2:$A$3722)),"Efficient","Inefficient")</f>
        <v>Inefficient</v>
      </c>
    </row>
    <row r="1043" spans="1:6" x14ac:dyDescent="0.25">
      <c r="A1043" cm="1">
        <f t="array" ref="A1043">INDEX('Portfolio Weights Returns'!$B$9:$BJ$69,
INT((ROW(A1042)-1)/COLUMNS('Portfolio Weights Returns'!$B$9:$BJ$69))+1,MOD(ROW(A1042)-1,COLUMNS('Portfolio Weights Returns'!$B$9:$BJ$69))+1)</f>
        <v>-1.0560890753819367E-3</v>
      </c>
      <c r="B1043">
        <v>1.8100000000000002E-2</v>
      </c>
      <c r="C1043" s="59">
        <v>0.05</v>
      </c>
      <c r="D1043" s="59">
        <v>0.04</v>
      </c>
      <c r="E1043" s="60">
        <f t="shared" si="16"/>
        <v>0.90999999999999992</v>
      </c>
      <c r="F1043" t="str" cm="1">
        <f t="array" ref="F1043">IF(A1043=MAX(IF(ROUND($B$2:$B$3722,4)=ROUND(B1043,4),$A$2:$A$3722)),"Efficient","Inefficient")</f>
        <v>Inefficient</v>
      </c>
    </row>
    <row r="1044" spans="1:6" x14ac:dyDescent="0.25">
      <c r="A1044" cm="1">
        <f t="array" ref="A1044">INDEX('Portfolio Weights Returns'!$B$9:$BJ$69,
INT((ROW(A1043)-1)/COLUMNS('Portfolio Weights Returns'!$B$9:$BJ$69))+1,MOD(ROW(A1043)-1,COLUMNS('Portfolio Weights Returns'!$B$9:$BJ$69))+1)</f>
        <v>-1.0493079014152573E-3</v>
      </c>
      <c r="B1044">
        <v>1.8100000000000002E-2</v>
      </c>
      <c r="C1044" s="59">
        <v>0.04</v>
      </c>
      <c r="D1044" s="59">
        <v>0.05</v>
      </c>
      <c r="E1044" s="60">
        <f t="shared" si="16"/>
        <v>0.90999999999999992</v>
      </c>
      <c r="F1044" t="str" cm="1">
        <f t="array" ref="F1044">IF(A1044=MAX(IF(ROUND($B$2:$B$3722,4)=ROUND(B1044,4),$A$2:$A$3722)),"Efficient","Inefficient")</f>
        <v>Inefficient</v>
      </c>
    </row>
    <row r="1045" spans="1:6" x14ac:dyDescent="0.25">
      <c r="A1045" cm="1">
        <f t="array" ref="A1045">INDEX('Portfolio Weights Returns'!$B$9:$BJ$69,
INT((ROW(A1044)-1)/COLUMNS('Portfolio Weights Returns'!$B$9:$BJ$69))+1,MOD(ROW(A1044)-1,COLUMNS('Portfolio Weights Returns'!$B$9:$BJ$69))+1)</f>
        <v>-1.0425267274485786E-3</v>
      </c>
      <c r="B1045">
        <v>1.8100000000000002E-2</v>
      </c>
      <c r="C1045" s="59">
        <v>0.03</v>
      </c>
      <c r="D1045" s="59">
        <v>7.0000000000000007E-2</v>
      </c>
      <c r="E1045" s="60">
        <f t="shared" si="16"/>
        <v>0.89999999999999991</v>
      </c>
      <c r="F1045" t="str" cm="1">
        <f t="array" ref="F1045">IF(A1045=MAX(IF(ROUND($B$2:$B$3722,4)=ROUND(B1045,4),$A$2:$A$3722)),"Efficient","Inefficient")</f>
        <v>Inefficient</v>
      </c>
    </row>
    <row r="1046" spans="1:6" x14ac:dyDescent="0.25">
      <c r="A1046" cm="1">
        <f t="array" ref="A1046">INDEX('Portfolio Weights Returns'!$B$9:$BJ$69,
INT((ROW(A1045)-1)/COLUMNS('Portfolio Weights Returns'!$B$9:$BJ$69))+1,MOD(ROW(A1045)-1,COLUMNS('Portfolio Weights Returns'!$B$9:$BJ$69))+1)</f>
        <v>-1.0357455534818992E-3</v>
      </c>
      <c r="B1046">
        <v>1.8100000000000002E-2</v>
      </c>
      <c r="C1046" s="59">
        <v>0.02</v>
      </c>
      <c r="D1046" s="59">
        <v>0.09</v>
      </c>
      <c r="E1046" s="60">
        <f t="shared" si="16"/>
        <v>0.89</v>
      </c>
      <c r="F1046" t="str" cm="1">
        <f t="array" ref="F1046">IF(A1046=MAX(IF(ROUND($B$2:$B$3722,4)=ROUND(B1046,4),$A$2:$A$3722)),"Efficient","Inefficient")</f>
        <v>Inefficient</v>
      </c>
    </row>
    <row r="1047" spans="1:6" x14ac:dyDescent="0.25">
      <c r="A1047" cm="1">
        <f t="array" ref="A1047">INDEX('Portfolio Weights Returns'!$B$9:$BJ$69,
INT((ROW(A1046)-1)/COLUMNS('Portfolio Weights Returns'!$B$9:$BJ$69))+1,MOD(ROW(A1046)-1,COLUMNS('Portfolio Weights Returns'!$B$9:$BJ$69))+1)</f>
        <v>-1.0289643795152203E-3</v>
      </c>
      <c r="B1047">
        <v>1.8100000000000002E-2</v>
      </c>
      <c r="C1047" s="59">
        <v>0.02</v>
      </c>
      <c r="D1047" s="59">
        <v>0.1</v>
      </c>
      <c r="E1047" s="60">
        <f t="shared" si="16"/>
        <v>0.88</v>
      </c>
      <c r="F1047" t="str" cm="1">
        <f t="array" ref="F1047">IF(A1047=MAX(IF(ROUND($B$2:$B$3722,4)=ROUND(B1047,4),$A$2:$A$3722)),"Efficient","Inefficient")</f>
        <v>Inefficient</v>
      </c>
    </row>
    <row r="1048" spans="1:6" x14ac:dyDescent="0.25">
      <c r="A1048" cm="1">
        <f t="array" ref="A1048">INDEX('Portfolio Weights Returns'!$B$9:$BJ$69,
INT((ROW(A1047)-1)/COLUMNS('Portfolio Weights Returns'!$B$9:$BJ$69))+1,MOD(ROW(A1047)-1,COLUMNS('Portfolio Weights Returns'!$B$9:$BJ$69))+1)</f>
        <v>-1.0221832055485409E-3</v>
      </c>
      <c r="B1048">
        <v>1.8100000000000002E-2</v>
      </c>
      <c r="C1048" s="59">
        <v>0.02</v>
      </c>
      <c r="D1048" s="59">
        <v>0.11</v>
      </c>
      <c r="E1048" s="60">
        <f t="shared" si="16"/>
        <v>0.87</v>
      </c>
      <c r="F1048" t="str" cm="1">
        <f t="array" ref="F1048">IF(A1048=MAX(IF(ROUND($B$2:$B$3722,4)=ROUND(B1048,4),$A$2:$A$3722)),"Efficient","Inefficient")</f>
        <v>Inefficient</v>
      </c>
    </row>
    <row r="1049" spans="1:6" x14ac:dyDescent="0.25">
      <c r="A1049" cm="1">
        <f t="array" ref="A1049">INDEX('Portfolio Weights Returns'!$B$9:$BJ$69,
INT((ROW(A1048)-1)/COLUMNS('Portfolio Weights Returns'!$B$9:$BJ$69))+1,MOD(ROW(A1048)-1,COLUMNS('Portfolio Weights Returns'!$B$9:$BJ$69))+1)</f>
        <v>-1.0154020315818622E-3</v>
      </c>
      <c r="B1049">
        <v>1.8100000000000002E-2</v>
      </c>
      <c r="C1049" s="59">
        <v>0.01</v>
      </c>
      <c r="D1049" s="59">
        <v>0.12</v>
      </c>
      <c r="E1049" s="60">
        <f t="shared" si="16"/>
        <v>0.87</v>
      </c>
      <c r="F1049" t="str" cm="1">
        <f t="array" ref="F1049">IF(A1049=MAX(IF(ROUND($B$2:$B$3722,4)=ROUND(B1049,4),$A$2:$A$3722)),"Efficient","Inefficient")</f>
        <v>Inefficient</v>
      </c>
    </row>
    <row r="1050" spans="1:6" x14ac:dyDescent="0.25">
      <c r="A1050" cm="1">
        <f t="array" ref="A1050">INDEX('Portfolio Weights Returns'!$B$9:$BJ$69,
INT((ROW(A1049)-1)/COLUMNS('Portfolio Weights Returns'!$B$9:$BJ$69))+1,MOD(ROW(A1049)-1,COLUMNS('Portfolio Weights Returns'!$B$9:$BJ$69))+1)</f>
        <v>-1.0086208576151829E-3</v>
      </c>
      <c r="B1050">
        <v>1.8100000000000002E-2</v>
      </c>
      <c r="C1050" s="59">
        <v>0.01</v>
      </c>
      <c r="D1050" s="59">
        <v>0.13</v>
      </c>
      <c r="E1050" s="60">
        <f t="shared" si="16"/>
        <v>0.86</v>
      </c>
      <c r="F1050" t="str" cm="1">
        <f t="array" ref="F1050">IF(A1050=MAX(IF(ROUND($B$2:$B$3722,4)=ROUND(B1050,4),$A$2:$A$3722)),"Efficient","Inefficient")</f>
        <v>Inefficient</v>
      </c>
    </row>
    <row r="1051" spans="1:6" x14ac:dyDescent="0.25">
      <c r="A1051" cm="1">
        <f t="array" ref="A1051">INDEX('Portfolio Weights Returns'!$B$9:$BJ$69,
INT((ROW(A1050)-1)/COLUMNS('Portfolio Weights Returns'!$B$9:$BJ$69))+1,MOD(ROW(A1050)-1,COLUMNS('Portfolio Weights Returns'!$B$9:$BJ$69))+1)</f>
        <v>-1.0018396836485037E-3</v>
      </c>
      <c r="B1051">
        <v>1.8100000000000002E-2</v>
      </c>
      <c r="C1051" s="59">
        <v>0.01</v>
      </c>
      <c r="D1051" s="59">
        <v>0.14000000000000001</v>
      </c>
      <c r="E1051" s="60">
        <f t="shared" si="16"/>
        <v>0.85</v>
      </c>
      <c r="F1051" t="str" cm="1">
        <f t="array" ref="F1051">IF(A1051=MAX(IF(ROUND($B$2:$B$3722,4)=ROUND(B1051,4),$A$2:$A$3722)),"Efficient","Inefficient")</f>
        <v>Inefficient</v>
      </c>
    </row>
    <row r="1052" spans="1:6" x14ac:dyDescent="0.25">
      <c r="A1052" cm="1">
        <f t="array" ref="A1052">INDEX('Portfolio Weights Returns'!$B$9:$BJ$69,
INT((ROW(A1051)-1)/COLUMNS('Portfolio Weights Returns'!$B$9:$BJ$69))+1,MOD(ROW(A1051)-1,COLUMNS('Portfolio Weights Returns'!$B$9:$BJ$69))+1)</f>
        <v>-9.9505850968182458E-4</v>
      </c>
      <c r="B1052">
        <v>1.8100000000000002E-2</v>
      </c>
      <c r="C1052" s="59">
        <v>0.01</v>
      </c>
      <c r="D1052" s="59">
        <v>0.15</v>
      </c>
      <c r="E1052" s="60">
        <f t="shared" si="16"/>
        <v>0.84</v>
      </c>
      <c r="F1052" t="str" cm="1">
        <f t="array" ref="F1052">IF(A1052=MAX(IF(ROUND($B$2:$B$3722,4)=ROUND(B1052,4),$A$2:$A$3722)),"Efficient","Inefficient")</f>
        <v>Inefficient</v>
      </c>
    </row>
    <row r="1053" spans="1:6" x14ac:dyDescent="0.25">
      <c r="A1053" cm="1">
        <f t="array" ref="A1053">INDEX('Portfolio Weights Returns'!$B$9:$BJ$69,
INT((ROW(A1052)-1)/COLUMNS('Portfolio Weights Returns'!$B$9:$BJ$69))+1,MOD(ROW(A1052)-1,COLUMNS('Portfolio Weights Returns'!$B$9:$BJ$69))+1)</f>
        <v>-9.8827733571514543E-4</v>
      </c>
      <c r="B1053">
        <v>1.8100000000000002E-2</v>
      </c>
      <c r="C1053" s="59">
        <v>0.01</v>
      </c>
      <c r="D1053" s="59">
        <v>0.16</v>
      </c>
      <c r="E1053" s="60">
        <f t="shared" si="16"/>
        <v>0.83</v>
      </c>
      <c r="F1053" t="str" cm="1">
        <f t="array" ref="F1053">IF(A1053=MAX(IF(ROUND($B$2:$B$3722,4)=ROUND(B1053,4),$A$2:$A$3722)),"Efficient","Inefficient")</f>
        <v>Inefficient</v>
      </c>
    </row>
    <row r="1054" spans="1:6" x14ac:dyDescent="0.25">
      <c r="A1054" cm="1">
        <f t="array" ref="A1054">INDEX('Portfolio Weights Returns'!$B$9:$BJ$69,
INT((ROW(A1053)-1)/COLUMNS('Portfolio Weights Returns'!$B$9:$BJ$69))+1,MOD(ROW(A1053)-1,COLUMNS('Portfolio Weights Returns'!$B$9:$BJ$69))+1)</f>
        <v>-9.8149616174846629E-4</v>
      </c>
      <c r="B1054">
        <v>1.8100000000000002E-2</v>
      </c>
      <c r="C1054" s="59">
        <v>0.01</v>
      </c>
      <c r="D1054" s="59">
        <v>0.17</v>
      </c>
      <c r="E1054" s="60">
        <f t="shared" si="16"/>
        <v>0.82</v>
      </c>
      <c r="F1054" t="str" cm="1">
        <f t="array" ref="F1054">IF(A1054=MAX(IF(ROUND($B$2:$B$3722,4)=ROUND(B1054,4),$A$2:$A$3722)),"Efficient","Inefficient")</f>
        <v>Inefficient</v>
      </c>
    </row>
    <row r="1055" spans="1:6" x14ac:dyDescent="0.25">
      <c r="A1055" cm="1">
        <f t="array" ref="A1055">INDEX('Portfolio Weights Returns'!$B$9:$BJ$69,
INT((ROW(A1054)-1)/COLUMNS('Portfolio Weights Returns'!$B$9:$BJ$69))+1,MOD(ROW(A1054)-1,COLUMNS('Portfolio Weights Returns'!$B$9:$BJ$69))+1)</f>
        <v>-9.7471498778178736E-4</v>
      </c>
      <c r="B1055">
        <v>1.8100000000000002E-2</v>
      </c>
      <c r="C1055" s="59">
        <v>0.01</v>
      </c>
      <c r="D1055" s="59">
        <v>0.18</v>
      </c>
      <c r="E1055" s="60">
        <f t="shared" si="16"/>
        <v>0.81</v>
      </c>
      <c r="F1055" t="str" cm="1">
        <f t="array" ref="F1055">IF(A1055=MAX(IF(ROUND($B$2:$B$3722,4)=ROUND(B1055,4),$A$2:$A$3722)),"Efficient","Inefficient")</f>
        <v>Inefficient</v>
      </c>
    </row>
    <row r="1056" spans="1:6" x14ac:dyDescent="0.25">
      <c r="A1056" cm="1">
        <f t="array" ref="A1056">INDEX('Portfolio Weights Returns'!$B$9:$BJ$69,
INT((ROW(A1055)-1)/COLUMNS('Portfolio Weights Returns'!$B$9:$BJ$69))+1,MOD(ROW(A1055)-1,COLUMNS('Portfolio Weights Returns'!$B$9:$BJ$69))+1)</f>
        <v>-9.67933813815108E-4</v>
      </c>
      <c r="B1056">
        <v>1.8100000000000002E-2</v>
      </c>
      <c r="C1056" s="59">
        <v>0.02</v>
      </c>
      <c r="D1056" s="59">
        <v>0.19</v>
      </c>
      <c r="E1056" s="60">
        <f t="shared" si="16"/>
        <v>0.79</v>
      </c>
      <c r="F1056" t="str" cm="1">
        <f t="array" ref="F1056">IF(A1056=MAX(IF(ROUND($B$2:$B$3722,4)=ROUND(B1056,4),$A$2:$A$3722)),"Efficient","Inefficient")</f>
        <v>Inefficient</v>
      </c>
    </row>
    <row r="1057" spans="1:6" x14ac:dyDescent="0.25">
      <c r="A1057" cm="1">
        <f t="array" ref="A1057">INDEX('Portfolio Weights Returns'!$B$9:$BJ$69,
INT((ROW(A1056)-1)/COLUMNS('Portfolio Weights Returns'!$B$9:$BJ$69))+1,MOD(ROW(A1056)-1,COLUMNS('Portfolio Weights Returns'!$B$9:$BJ$69))+1)</f>
        <v>-9.6115263984842918E-4</v>
      </c>
      <c r="B1057">
        <v>1.8100000000000002E-2</v>
      </c>
      <c r="C1057" s="59">
        <v>0.02</v>
      </c>
      <c r="D1057" s="59">
        <v>0.2</v>
      </c>
      <c r="E1057" s="60">
        <f t="shared" si="16"/>
        <v>0.78</v>
      </c>
      <c r="F1057" t="str" cm="1">
        <f t="array" ref="F1057">IF(A1057=MAX(IF(ROUND($B$2:$B$3722,4)=ROUND(B1057,4),$A$2:$A$3722)),"Efficient","Inefficient")</f>
        <v>Inefficient</v>
      </c>
    </row>
    <row r="1058" spans="1:6" x14ac:dyDescent="0.25">
      <c r="A1058" cm="1">
        <f t="array" ref="A1058">INDEX('Portfolio Weights Returns'!$B$9:$BJ$69,
INT((ROW(A1057)-1)/COLUMNS('Portfolio Weights Returns'!$B$9:$BJ$69))+1,MOD(ROW(A1057)-1,COLUMNS('Portfolio Weights Returns'!$B$9:$BJ$69))+1)</f>
        <v>-9.5437146588175025E-4</v>
      </c>
      <c r="B1058">
        <v>1.8100000000000002E-2</v>
      </c>
      <c r="C1058" s="59">
        <v>0.02</v>
      </c>
      <c r="D1058" s="59">
        <v>0.21</v>
      </c>
      <c r="E1058" s="60">
        <f t="shared" si="16"/>
        <v>0.77</v>
      </c>
      <c r="F1058" t="str" cm="1">
        <f t="array" ref="F1058">IF(A1058=MAX(IF(ROUND($B$2:$B$3722,4)=ROUND(B1058,4),$A$2:$A$3722)),"Efficient","Inefficient")</f>
        <v>Inefficient</v>
      </c>
    </row>
    <row r="1059" spans="1:6" x14ac:dyDescent="0.25">
      <c r="A1059" cm="1">
        <f t="array" ref="A1059">INDEX('Portfolio Weights Returns'!$B$9:$BJ$69,
INT((ROW(A1058)-1)/COLUMNS('Portfolio Weights Returns'!$B$9:$BJ$69))+1,MOD(ROW(A1058)-1,COLUMNS('Portfolio Weights Returns'!$B$9:$BJ$69))+1)</f>
        <v>-9.47590291915071E-4</v>
      </c>
      <c r="B1059">
        <v>1.8100000000000002E-2</v>
      </c>
      <c r="C1059" s="59">
        <v>0.03</v>
      </c>
      <c r="D1059" s="59">
        <v>0.22</v>
      </c>
      <c r="E1059" s="60">
        <f t="shared" si="16"/>
        <v>0.75</v>
      </c>
      <c r="F1059" t="str" cm="1">
        <f t="array" ref="F1059">IF(A1059=MAX(IF(ROUND($B$2:$B$3722,4)=ROUND(B1059,4),$A$2:$A$3722)),"Efficient","Inefficient")</f>
        <v>Inefficient</v>
      </c>
    </row>
    <row r="1060" spans="1:6" x14ac:dyDescent="0.25">
      <c r="A1060" cm="1">
        <f t="array" ref="A1060">INDEX('Portfolio Weights Returns'!$B$9:$BJ$69,
INT((ROW(A1059)-1)/COLUMNS('Portfolio Weights Returns'!$B$9:$BJ$69))+1,MOD(ROW(A1059)-1,COLUMNS('Portfolio Weights Returns'!$B$9:$BJ$69))+1)</f>
        <v>-9.4080911794839196E-4</v>
      </c>
      <c r="B1060">
        <v>1.8100000000000002E-2</v>
      </c>
      <c r="C1060" s="59">
        <v>0.04</v>
      </c>
      <c r="D1060" s="59">
        <v>0.23</v>
      </c>
      <c r="E1060" s="60">
        <f t="shared" si="16"/>
        <v>0.73</v>
      </c>
      <c r="F1060" t="str" cm="1">
        <f t="array" ref="F1060">IF(A1060=MAX(IF(ROUND($B$2:$B$3722,4)=ROUND(B1060,4),$A$2:$A$3722)),"Efficient","Inefficient")</f>
        <v>Inefficient</v>
      </c>
    </row>
    <row r="1061" spans="1:6" x14ac:dyDescent="0.25">
      <c r="A1061" cm="1">
        <f t="array" ref="A1061">INDEX('Portfolio Weights Returns'!$B$9:$BJ$69,
INT((ROW(A1060)-1)/COLUMNS('Portfolio Weights Returns'!$B$9:$BJ$69))+1,MOD(ROW(A1060)-1,COLUMNS('Portfolio Weights Returns'!$B$9:$BJ$69))+1)</f>
        <v>-9.3402794398171271E-4</v>
      </c>
      <c r="B1061">
        <v>1.8100000000000002E-2</v>
      </c>
      <c r="C1061" s="59">
        <v>0.04</v>
      </c>
      <c r="D1061" s="59">
        <v>0.24</v>
      </c>
      <c r="E1061" s="60">
        <f t="shared" si="16"/>
        <v>0.72</v>
      </c>
      <c r="F1061" t="str" cm="1">
        <f t="array" ref="F1061">IF(A1061=MAX(IF(ROUND($B$2:$B$3722,4)=ROUND(B1061,4),$A$2:$A$3722)),"Efficient","Inefficient")</f>
        <v>Inefficient</v>
      </c>
    </row>
    <row r="1062" spans="1:6" x14ac:dyDescent="0.25">
      <c r="A1062" cm="1">
        <f t="array" ref="A1062">INDEX('Portfolio Weights Returns'!$B$9:$BJ$69,
INT((ROW(A1061)-1)/COLUMNS('Portfolio Weights Returns'!$B$9:$BJ$69))+1,MOD(ROW(A1061)-1,COLUMNS('Portfolio Weights Returns'!$B$9:$BJ$69))+1)</f>
        <v>-9.2724677001503378E-4</v>
      </c>
      <c r="B1062">
        <v>1.8100000000000002E-2</v>
      </c>
      <c r="C1062" s="59">
        <v>0.05</v>
      </c>
      <c r="D1062" s="59">
        <v>0.25</v>
      </c>
      <c r="E1062" s="60">
        <f t="shared" si="16"/>
        <v>0.7</v>
      </c>
      <c r="F1062" t="str" cm="1">
        <f t="array" ref="F1062">IF(A1062=MAX(IF(ROUND($B$2:$B$3722,4)=ROUND(B1062,4),$A$2:$A$3722)),"Efficient","Inefficient")</f>
        <v>Inefficient</v>
      </c>
    </row>
    <row r="1063" spans="1:6" x14ac:dyDescent="0.25">
      <c r="A1063" cm="1">
        <f t="array" ref="A1063">INDEX('Portfolio Weights Returns'!$B$9:$BJ$69,
INT((ROW(A1062)-1)/COLUMNS('Portfolio Weights Returns'!$B$9:$BJ$69))+1,MOD(ROW(A1062)-1,COLUMNS('Portfolio Weights Returns'!$B$9:$BJ$69))+1)</f>
        <v>-9.2046559604835442E-4</v>
      </c>
      <c r="B1063">
        <v>1.8100000000000002E-2</v>
      </c>
      <c r="C1063" s="59">
        <v>0.06</v>
      </c>
      <c r="D1063" s="59">
        <v>0.26</v>
      </c>
      <c r="E1063" s="60">
        <f t="shared" si="16"/>
        <v>0.67999999999999994</v>
      </c>
      <c r="F1063" t="str" cm="1">
        <f t="array" ref="F1063">IF(A1063=MAX(IF(ROUND($B$2:$B$3722,4)=ROUND(B1063,4),$A$2:$A$3722)),"Efficient","Inefficient")</f>
        <v>Inefficient</v>
      </c>
    </row>
    <row r="1064" spans="1:6" x14ac:dyDescent="0.25">
      <c r="A1064" cm="1">
        <f t="array" ref="A1064">INDEX('Portfolio Weights Returns'!$B$9:$BJ$69,
INT((ROW(A1063)-1)/COLUMNS('Portfolio Weights Returns'!$B$9:$BJ$69))+1,MOD(ROW(A1063)-1,COLUMNS('Portfolio Weights Returns'!$B$9:$BJ$69))+1)</f>
        <v>-9.136844220816756E-4</v>
      </c>
      <c r="B1064">
        <v>1.8100000000000002E-2</v>
      </c>
      <c r="C1064" s="59">
        <v>7.0000000000000007E-2</v>
      </c>
      <c r="D1064" s="59">
        <v>0.26</v>
      </c>
      <c r="E1064" s="60">
        <f t="shared" si="16"/>
        <v>0.66999999999999993</v>
      </c>
      <c r="F1064" t="str" cm="1">
        <f t="array" ref="F1064">IF(A1064=MAX(IF(ROUND($B$2:$B$3722,4)=ROUND(B1064,4),$A$2:$A$3722)),"Efficient","Inefficient")</f>
        <v>Inefficient</v>
      </c>
    </row>
    <row r="1065" spans="1:6" x14ac:dyDescent="0.25">
      <c r="A1065" cm="1">
        <f t="array" ref="A1065">INDEX('Portfolio Weights Returns'!$B$9:$BJ$69,
INT((ROW(A1064)-1)/COLUMNS('Portfolio Weights Returns'!$B$9:$BJ$69))+1,MOD(ROW(A1064)-1,COLUMNS('Portfolio Weights Returns'!$B$9:$BJ$69))+1)</f>
        <v>-9.0690324811499624E-4</v>
      </c>
      <c r="B1065">
        <v>1.8100000000000002E-2</v>
      </c>
      <c r="C1065" s="59">
        <v>0.08</v>
      </c>
      <c r="D1065" s="59">
        <v>0.27</v>
      </c>
      <c r="E1065" s="60">
        <f t="shared" si="16"/>
        <v>0.65</v>
      </c>
      <c r="F1065" t="str" cm="1">
        <f t="array" ref="F1065">IF(A1065=MAX(IF(ROUND($B$2:$B$3722,4)=ROUND(B1065,4),$A$2:$A$3722)),"Efficient","Inefficient")</f>
        <v>Inefficient</v>
      </c>
    </row>
    <row r="1066" spans="1:6" x14ac:dyDescent="0.25">
      <c r="A1066" cm="1">
        <f t="array" ref="A1066">INDEX('Portfolio Weights Returns'!$B$9:$BJ$69,
INT((ROW(A1065)-1)/COLUMNS('Portfolio Weights Returns'!$B$9:$BJ$69))+1,MOD(ROW(A1065)-1,COLUMNS('Portfolio Weights Returns'!$B$9:$BJ$69))+1)</f>
        <v>-9.0012207414831731E-4</v>
      </c>
      <c r="B1066">
        <v>1.8100000000000002E-2</v>
      </c>
      <c r="C1066" s="59">
        <v>0.09</v>
      </c>
      <c r="D1066" s="59">
        <v>0.28000000000000003</v>
      </c>
      <c r="E1066" s="60">
        <f t="shared" si="16"/>
        <v>0.63</v>
      </c>
      <c r="F1066" t="str" cm="1">
        <f t="array" ref="F1066">IF(A1066=MAX(IF(ROUND($B$2:$B$3722,4)=ROUND(B1066,4),$A$2:$A$3722)),"Efficient","Inefficient")</f>
        <v>Inefficient</v>
      </c>
    </row>
    <row r="1067" spans="1:6" x14ac:dyDescent="0.25">
      <c r="A1067" cm="1">
        <f t="array" ref="A1067">INDEX('Portfolio Weights Returns'!$B$9:$BJ$69,
INT((ROW(A1066)-1)/COLUMNS('Portfolio Weights Returns'!$B$9:$BJ$69))+1,MOD(ROW(A1066)-1,COLUMNS('Portfolio Weights Returns'!$B$9:$BJ$69))+1)</f>
        <v>-8.9334090018163806E-4</v>
      </c>
      <c r="B1067">
        <v>1.8100000000000002E-2</v>
      </c>
      <c r="C1067" s="59">
        <v>0.1</v>
      </c>
      <c r="D1067" s="59">
        <v>0.28000000000000003</v>
      </c>
      <c r="E1067" s="60">
        <f t="shared" si="16"/>
        <v>0.62</v>
      </c>
      <c r="F1067" t="str" cm="1">
        <f t="array" ref="F1067">IF(A1067=MAX(IF(ROUND($B$2:$B$3722,4)=ROUND(B1067,4),$A$2:$A$3722)),"Efficient","Inefficient")</f>
        <v>Inefficient</v>
      </c>
    </row>
    <row r="1068" spans="1:6" x14ac:dyDescent="0.25">
      <c r="A1068" cm="1">
        <f t="array" ref="A1068">INDEX('Portfolio Weights Returns'!$B$9:$BJ$69,
INT((ROW(A1067)-1)/COLUMNS('Portfolio Weights Returns'!$B$9:$BJ$69))+1,MOD(ROW(A1067)-1,COLUMNS('Portfolio Weights Returns'!$B$9:$BJ$69))+1)</f>
        <v>-8.8655972621495913E-4</v>
      </c>
      <c r="B1068">
        <v>1.8100000000000002E-2</v>
      </c>
      <c r="C1068" s="59">
        <v>0.11</v>
      </c>
      <c r="D1068" s="59">
        <v>0.28999999999999998</v>
      </c>
      <c r="E1068" s="60">
        <f t="shared" si="16"/>
        <v>0.6</v>
      </c>
      <c r="F1068" t="str" cm="1">
        <f t="array" ref="F1068">IF(A1068=MAX(IF(ROUND($B$2:$B$3722,4)=ROUND(B1068,4),$A$2:$A$3722)),"Efficient","Inefficient")</f>
        <v>Inefficient</v>
      </c>
    </row>
    <row r="1069" spans="1:6" x14ac:dyDescent="0.25">
      <c r="A1069" cm="1">
        <f t="array" ref="A1069">INDEX('Portfolio Weights Returns'!$B$9:$BJ$69,
INT((ROW(A1068)-1)/COLUMNS('Portfolio Weights Returns'!$B$9:$BJ$69))+1,MOD(ROW(A1068)-1,COLUMNS('Portfolio Weights Returns'!$B$9:$BJ$69))+1)</f>
        <v>-8.7977855224827977E-4</v>
      </c>
      <c r="B1069">
        <v>1.8100000000000002E-2</v>
      </c>
      <c r="C1069" s="59">
        <v>0.12</v>
      </c>
      <c r="D1069" s="59">
        <v>0.28999999999999998</v>
      </c>
      <c r="E1069" s="60">
        <f t="shared" si="16"/>
        <v>0.59</v>
      </c>
      <c r="F1069" t="str" cm="1">
        <f t="array" ref="F1069">IF(A1069=MAX(IF(ROUND($B$2:$B$3722,4)=ROUND(B1069,4),$A$2:$A$3722)),"Efficient","Inefficient")</f>
        <v>Inefficient</v>
      </c>
    </row>
    <row r="1070" spans="1:6" x14ac:dyDescent="0.25">
      <c r="A1070" cm="1">
        <f t="array" ref="A1070">INDEX('Portfolio Weights Returns'!$B$9:$BJ$69,
INT((ROW(A1069)-1)/COLUMNS('Portfolio Weights Returns'!$B$9:$BJ$69))+1,MOD(ROW(A1069)-1,COLUMNS('Portfolio Weights Returns'!$B$9:$BJ$69))+1)</f>
        <v>-8.7299737828160095E-4</v>
      </c>
      <c r="B1070">
        <v>1.8100000000000002E-2</v>
      </c>
      <c r="C1070" s="59">
        <v>0.13</v>
      </c>
      <c r="D1070" s="59">
        <v>0.3</v>
      </c>
      <c r="E1070" s="60">
        <f t="shared" si="16"/>
        <v>0.56999999999999995</v>
      </c>
      <c r="F1070" t="str" cm="1">
        <f t="array" ref="F1070">IF(A1070=MAX(IF(ROUND($B$2:$B$3722,4)=ROUND(B1070,4),$A$2:$A$3722)),"Efficient","Inefficient")</f>
        <v>Inefficient</v>
      </c>
    </row>
    <row r="1071" spans="1:6" x14ac:dyDescent="0.25">
      <c r="A1071" cm="1">
        <f t="array" ref="A1071">INDEX('Portfolio Weights Returns'!$B$9:$BJ$69,
INT((ROW(A1070)-1)/COLUMNS('Portfolio Weights Returns'!$B$9:$BJ$69))+1,MOD(ROW(A1070)-1,COLUMNS('Portfolio Weights Returns'!$B$9:$BJ$69))+1)</f>
        <v>-8.6621620431492159E-4</v>
      </c>
      <c r="B1071">
        <v>1.8100000000000002E-2</v>
      </c>
      <c r="C1071" s="59">
        <v>0.14000000000000001</v>
      </c>
      <c r="D1071" s="59">
        <v>0.3</v>
      </c>
      <c r="E1071" s="60">
        <f t="shared" si="16"/>
        <v>0.55999999999999994</v>
      </c>
      <c r="F1071" t="str" cm="1">
        <f t="array" ref="F1071">IF(A1071=MAX(IF(ROUND($B$2:$B$3722,4)=ROUND(B1071,4),$A$2:$A$3722)),"Efficient","Inefficient")</f>
        <v>Inefficient</v>
      </c>
    </row>
    <row r="1072" spans="1:6" x14ac:dyDescent="0.25">
      <c r="A1072" cm="1">
        <f t="array" ref="A1072">INDEX('Portfolio Weights Returns'!$B$9:$BJ$69,
INT((ROW(A1071)-1)/COLUMNS('Portfolio Weights Returns'!$B$9:$BJ$69))+1,MOD(ROW(A1071)-1,COLUMNS('Portfolio Weights Returns'!$B$9:$BJ$69))+1)</f>
        <v>-8.5943503034824256E-4</v>
      </c>
      <c r="B1072">
        <v>1.8200000000000001E-2</v>
      </c>
      <c r="C1072" s="59">
        <v>0.28999999999999998</v>
      </c>
      <c r="D1072" s="59">
        <v>-0.18</v>
      </c>
      <c r="E1072" s="60">
        <f t="shared" si="16"/>
        <v>0.8899999999999999</v>
      </c>
      <c r="F1072" t="str" cm="1">
        <f t="array" ref="F1072">IF(A1072=MAX(IF(ROUND($B$2:$B$3722,4)=ROUND(B1072,4),$A$2:$A$3722)),"Efficient","Inefficient")</f>
        <v>Inefficient</v>
      </c>
    </row>
    <row r="1073" spans="1:6" x14ac:dyDescent="0.25">
      <c r="A1073" cm="1">
        <f t="array" ref="A1073">INDEX('Portfolio Weights Returns'!$B$9:$BJ$69,
INT((ROW(A1072)-1)/COLUMNS('Portfolio Weights Returns'!$B$9:$BJ$69))+1,MOD(ROW(A1072)-1,COLUMNS('Portfolio Weights Returns'!$B$9:$BJ$69))+1)</f>
        <v>-8.5265385638156341E-4</v>
      </c>
      <c r="B1073">
        <v>1.8200000000000001E-2</v>
      </c>
      <c r="C1073" s="59">
        <v>0.27</v>
      </c>
      <c r="D1073" s="59">
        <v>-0.17</v>
      </c>
      <c r="E1073" s="60">
        <f t="shared" si="16"/>
        <v>0.89999999999999991</v>
      </c>
      <c r="F1073" t="str" cm="1">
        <f t="array" ref="F1073">IF(A1073=MAX(IF(ROUND($B$2:$B$3722,4)=ROUND(B1073,4),$A$2:$A$3722)),"Efficient","Inefficient")</f>
        <v>Inefficient</v>
      </c>
    </row>
    <row r="1074" spans="1:6" x14ac:dyDescent="0.25">
      <c r="A1074" cm="1">
        <f t="array" ref="A1074">INDEX('Portfolio Weights Returns'!$B$9:$BJ$69,
INT((ROW(A1073)-1)/COLUMNS('Portfolio Weights Returns'!$B$9:$BJ$69))+1,MOD(ROW(A1073)-1,COLUMNS('Portfolio Weights Returns'!$B$9:$BJ$69))+1)</f>
        <v>-8.4587268241488437E-4</v>
      </c>
      <c r="B1074">
        <v>1.8200000000000001E-2</v>
      </c>
      <c r="C1074" s="59">
        <v>0.26</v>
      </c>
      <c r="D1074" s="59">
        <v>-0.16</v>
      </c>
      <c r="E1074" s="60">
        <f t="shared" si="16"/>
        <v>0.89999999999999991</v>
      </c>
      <c r="F1074" t="str" cm="1">
        <f t="array" ref="F1074">IF(A1074=MAX(IF(ROUND($B$2:$B$3722,4)=ROUND(B1074,4),$A$2:$A$3722)),"Efficient","Inefficient")</f>
        <v>Inefficient</v>
      </c>
    </row>
    <row r="1075" spans="1:6" x14ac:dyDescent="0.25">
      <c r="A1075" cm="1">
        <f t="array" ref="A1075">INDEX('Portfolio Weights Returns'!$B$9:$BJ$69,
INT((ROW(A1074)-1)/COLUMNS('Portfolio Weights Returns'!$B$9:$BJ$69))+1,MOD(ROW(A1074)-1,COLUMNS('Portfolio Weights Returns'!$B$9:$BJ$69))+1)</f>
        <v>-8.3909150844820512E-4</v>
      </c>
      <c r="B1075">
        <v>1.8200000000000001E-2</v>
      </c>
      <c r="C1075" s="59">
        <v>0.24</v>
      </c>
      <c r="D1075" s="59">
        <v>-0.15</v>
      </c>
      <c r="E1075" s="60">
        <f t="shared" si="16"/>
        <v>0.90999999999999992</v>
      </c>
      <c r="F1075" t="str" cm="1">
        <f t="array" ref="F1075">IF(A1075=MAX(IF(ROUND($B$2:$B$3722,4)=ROUND(B1075,4),$A$2:$A$3722)),"Efficient","Inefficient")</f>
        <v>Inefficient</v>
      </c>
    </row>
    <row r="1076" spans="1:6" x14ac:dyDescent="0.25">
      <c r="A1076" cm="1">
        <f t="array" ref="A1076">INDEX('Portfolio Weights Returns'!$B$9:$BJ$69,
INT((ROW(A1075)-1)/COLUMNS('Portfolio Weights Returns'!$B$9:$BJ$69))+1,MOD(ROW(A1075)-1,COLUMNS('Portfolio Weights Returns'!$B$9:$BJ$69))+1)</f>
        <v>-8.3231033448152619E-4</v>
      </c>
      <c r="B1076">
        <v>1.8200000000000001E-2</v>
      </c>
      <c r="C1076" s="59">
        <v>0.21</v>
      </c>
      <c r="D1076" s="59">
        <v>-0.13</v>
      </c>
      <c r="E1076" s="60">
        <f t="shared" si="16"/>
        <v>0.91999999999999993</v>
      </c>
      <c r="F1076" t="str" cm="1">
        <f t="array" ref="F1076">IF(A1076=MAX(IF(ROUND($B$2:$B$3722,4)=ROUND(B1076,4),$A$2:$A$3722)),"Efficient","Inefficient")</f>
        <v>Inefficient</v>
      </c>
    </row>
    <row r="1077" spans="1:6" x14ac:dyDescent="0.25">
      <c r="A1077" cm="1">
        <f t="array" ref="A1077">INDEX('Portfolio Weights Returns'!$B$9:$BJ$69,
INT((ROW(A1076)-1)/COLUMNS('Portfolio Weights Returns'!$B$9:$BJ$69))+1,MOD(ROW(A1076)-1,COLUMNS('Portfolio Weights Returns'!$B$9:$BJ$69))+1)</f>
        <v>-8.2552916051484716E-4</v>
      </c>
      <c r="B1077">
        <v>1.8200000000000001E-2</v>
      </c>
      <c r="C1077" s="59">
        <v>0.2</v>
      </c>
      <c r="D1077" s="59">
        <v>-0.12</v>
      </c>
      <c r="E1077" s="60">
        <f t="shared" si="16"/>
        <v>0.92000000000000015</v>
      </c>
      <c r="F1077" t="str" cm="1">
        <f t="array" ref="F1077">IF(A1077=MAX(IF(ROUND($B$2:$B$3722,4)=ROUND(B1077,4),$A$2:$A$3722)),"Efficient","Inefficient")</f>
        <v>Inefficient</v>
      </c>
    </row>
    <row r="1078" spans="1:6" x14ac:dyDescent="0.25">
      <c r="A1078" cm="1">
        <f t="array" ref="A1078">INDEX('Portfolio Weights Returns'!$B$9:$BJ$69,
INT((ROW(A1077)-1)/COLUMNS('Portfolio Weights Returns'!$B$9:$BJ$69))+1,MOD(ROW(A1077)-1,COLUMNS('Portfolio Weights Returns'!$B$9:$BJ$69))+1)</f>
        <v>-8.1874798654816801E-4</v>
      </c>
      <c r="B1078">
        <v>1.8200000000000001E-2</v>
      </c>
      <c r="C1078" s="59">
        <v>0.18</v>
      </c>
      <c r="D1078" s="59">
        <v>-0.11</v>
      </c>
      <c r="E1078" s="60">
        <f t="shared" si="16"/>
        <v>0.93000000000000016</v>
      </c>
      <c r="F1078" t="str" cm="1">
        <f t="array" ref="F1078">IF(A1078=MAX(IF(ROUND($B$2:$B$3722,4)=ROUND(B1078,4),$A$2:$A$3722)),"Efficient","Inefficient")</f>
        <v>Inefficient</v>
      </c>
    </row>
    <row r="1079" spans="1:6" x14ac:dyDescent="0.25">
      <c r="A1079" cm="1">
        <f t="array" ref="A1079">INDEX('Portfolio Weights Returns'!$B$9:$BJ$69,
INT((ROW(A1078)-1)/COLUMNS('Portfolio Weights Returns'!$B$9:$BJ$69))+1,MOD(ROW(A1078)-1,COLUMNS('Portfolio Weights Returns'!$B$9:$BJ$69))+1)</f>
        <v>-8.1196681258148887E-4</v>
      </c>
      <c r="B1079">
        <v>1.8200000000000001E-2</v>
      </c>
      <c r="C1079" s="59">
        <v>0.17</v>
      </c>
      <c r="D1079" s="59">
        <v>-0.1</v>
      </c>
      <c r="E1079" s="60">
        <f t="shared" si="16"/>
        <v>0.93</v>
      </c>
      <c r="F1079" t="str" cm="1">
        <f t="array" ref="F1079">IF(A1079=MAX(IF(ROUND($B$2:$B$3722,4)=ROUND(B1079,4),$A$2:$A$3722)),"Efficient","Inefficient")</f>
        <v>Inefficient</v>
      </c>
    </row>
    <row r="1080" spans="1:6" x14ac:dyDescent="0.25">
      <c r="A1080" cm="1">
        <f t="array" ref="A1080">INDEX('Portfolio Weights Returns'!$B$9:$BJ$69,
INT((ROW(A1079)-1)/COLUMNS('Portfolio Weights Returns'!$B$9:$BJ$69))+1,MOD(ROW(A1079)-1,COLUMNS('Portfolio Weights Returns'!$B$9:$BJ$69))+1)</f>
        <v>-8.0518563861480973E-4</v>
      </c>
      <c r="B1080">
        <v>1.8200000000000001E-2</v>
      </c>
      <c r="C1080" s="59">
        <v>0.16</v>
      </c>
      <c r="D1080" s="59">
        <v>-0.09</v>
      </c>
      <c r="E1080" s="60">
        <f t="shared" si="16"/>
        <v>0.93</v>
      </c>
      <c r="F1080" t="str" cm="1">
        <f t="array" ref="F1080">IF(A1080=MAX(IF(ROUND($B$2:$B$3722,4)=ROUND(B1080,4),$A$2:$A$3722)),"Efficient","Inefficient")</f>
        <v>Inefficient</v>
      </c>
    </row>
    <row r="1081" spans="1:6" x14ac:dyDescent="0.25">
      <c r="A1081" cm="1">
        <f t="array" ref="A1081">INDEX('Portfolio Weights Returns'!$B$9:$BJ$69,
INT((ROW(A1080)-1)/COLUMNS('Portfolio Weights Returns'!$B$9:$BJ$69))+1,MOD(ROW(A1080)-1,COLUMNS('Portfolio Weights Returns'!$B$9:$BJ$69))+1)</f>
        <v>-7.9840446464813058E-4</v>
      </c>
      <c r="B1081">
        <v>1.8200000000000001E-2</v>
      </c>
      <c r="C1081" s="59">
        <v>0.12</v>
      </c>
      <c r="D1081" s="59">
        <v>-0.06</v>
      </c>
      <c r="E1081" s="60">
        <f t="shared" si="16"/>
        <v>0.94000000000000006</v>
      </c>
      <c r="F1081" t="str" cm="1">
        <f t="array" ref="F1081">IF(A1081=MAX(IF(ROUND($B$2:$B$3722,4)=ROUND(B1081,4),$A$2:$A$3722)),"Efficient","Inefficient")</f>
        <v>Inefficient</v>
      </c>
    </row>
    <row r="1082" spans="1:6" x14ac:dyDescent="0.25">
      <c r="A1082" cm="1">
        <f t="array" ref="A1082">INDEX('Portfolio Weights Returns'!$B$9:$BJ$69,
INT((ROW(A1081)-1)/COLUMNS('Portfolio Weights Returns'!$B$9:$BJ$69))+1,MOD(ROW(A1081)-1,COLUMNS('Portfolio Weights Returns'!$B$9:$BJ$69))+1)</f>
        <v>-7.9162329068145154E-4</v>
      </c>
      <c r="B1082">
        <v>1.8200000000000001E-2</v>
      </c>
      <c r="C1082" s="59">
        <v>0.11</v>
      </c>
      <c r="D1082" s="59">
        <v>-0.05</v>
      </c>
      <c r="E1082" s="60">
        <f t="shared" si="16"/>
        <v>0.94000000000000006</v>
      </c>
      <c r="F1082" t="str" cm="1">
        <f t="array" ref="F1082">IF(A1082=MAX(IF(ROUND($B$2:$B$3722,4)=ROUND(B1082,4),$A$2:$A$3722)),"Efficient","Inefficient")</f>
        <v>Inefficient</v>
      </c>
    </row>
    <row r="1083" spans="1:6" x14ac:dyDescent="0.25">
      <c r="A1083" cm="1">
        <f t="array" ref="A1083">INDEX('Portfolio Weights Returns'!$B$9:$BJ$69,
INT((ROW(A1082)-1)/COLUMNS('Portfolio Weights Returns'!$B$9:$BJ$69))+1,MOD(ROW(A1082)-1,COLUMNS('Portfolio Weights Returns'!$B$9:$BJ$69))+1)</f>
        <v>-7.848421167147724E-4</v>
      </c>
      <c r="B1083">
        <v>1.8200000000000001E-2</v>
      </c>
      <c r="C1083" s="59">
        <v>0.1</v>
      </c>
      <c r="D1083" s="59">
        <v>-0.04</v>
      </c>
      <c r="E1083" s="60">
        <f t="shared" si="16"/>
        <v>0.94000000000000006</v>
      </c>
      <c r="F1083" t="str" cm="1">
        <f t="array" ref="F1083">IF(A1083=MAX(IF(ROUND($B$2:$B$3722,4)=ROUND(B1083,4),$A$2:$A$3722)),"Efficient","Inefficient")</f>
        <v>Inefficient</v>
      </c>
    </row>
    <row r="1084" spans="1:6" x14ac:dyDescent="0.25">
      <c r="A1084" cm="1">
        <f t="array" ref="A1084">INDEX('Portfolio Weights Returns'!$B$9:$BJ$69,
INT((ROW(A1083)-1)/COLUMNS('Portfolio Weights Returns'!$B$9:$BJ$69))+1,MOD(ROW(A1083)-1,COLUMNS('Portfolio Weights Returns'!$B$9:$BJ$69))+1)</f>
        <v>-7.7806094274809336E-4</v>
      </c>
      <c r="B1084">
        <v>1.8200000000000001E-2</v>
      </c>
      <c r="C1084" s="59">
        <v>0.09</v>
      </c>
      <c r="D1084" s="59">
        <v>-0.03</v>
      </c>
      <c r="E1084" s="60">
        <f t="shared" si="16"/>
        <v>0.94000000000000006</v>
      </c>
      <c r="F1084" t="str" cm="1">
        <f t="array" ref="F1084">IF(A1084=MAX(IF(ROUND($B$2:$B$3722,4)=ROUND(B1084,4),$A$2:$A$3722)),"Efficient","Inefficient")</f>
        <v>Inefficient</v>
      </c>
    </row>
    <row r="1085" spans="1:6" x14ac:dyDescent="0.25">
      <c r="A1085" cm="1">
        <f t="array" ref="A1085">INDEX('Portfolio Weights Returns'!$B$9:$BJ$69,
INT((ROW(A1084)-1)/COLUMNS('Portfolio Weights Returns'!$B$9:$BJ$69))+1,MOD(ROW(A1084)-1,COLUMNS('Portfolio Weights Returns'!$B$9:$BJ$69))+1)</f>
        <v>-7.7127976878141422E-4</v>
      </c>
      <c r="B1085">
        <v>1.8200000000000001E-2</v>
      </c>
      <c r="C1085" s="59">
        <v>7.0000000000000007E-2</v>
      </c>
      <c r="D1085" s="59">
        <v>0</v>
      </c>
      <c r="E1085" s="60">
        <f t="shared" si="16"/>
        <v>0.92999999999999994</v>
      </c>
      <c r="F1085" t="str" cm="1">
        <f t="array" ref="F1085">IF(A1085=MAX(IF(ROUND($B$2:$B$3722,4)=ROUND(B1085,4),$A$2:$A$3722)),"Efficient","Inefficient")</f>
        <v>Inefficient</v>
      </c>
    </row>
    <row r="1086" spans="1:6" x14ac:dyDescent="0.25">
      <c r="A1086" cm="1">
        <f t="array" ref="A1086">INDEX('Portfolio Weights Returns'!$B$9:$BJ$69,
INT((ROW(A1085)-1)/COLUMNS('Portfolio Weights Returns'!$B$9:$BJ$69))+1,MOD(ROW(A1085)-1,COLUMNS('Portfolio Weights Returns'!$B$9:$BJ$69))+1)</f>
        <v>-7.6449859481473508E-4</v>
      </c>
      <c r="B1086">
        <v>1.8200000000000001E-2</v>
      </c>
      <c r="C1086" s="59">
        <v>0.06</v>
      </c>
      <c r="D1086" s="59">
        <v>0.01</v>
      </c>
      <c r="E1086" s="60">
        <f t="shared" si="16"/>
        <v>0.92999999999999994</v>
      </c>
      <c r="F1086" t="str" cm="1">
        <f t="array" ref="F1086">IF(A1086=MAX(IF(ROUND($B$2:$B$3722,4)=ROUND(B1086,4),$A$2:$A$3722)),"Efficient","Inefficient")</f>
        <v>Inefficient</v>
      </c>
    </row>
    <row r="1087" spans="1:6" x14ac:dyDescent="0.25">
      <c r="A1087" cm="1">
        <f t="array" ref="A1087">INDEX('Portfolio Weights Returns'!$B$9:$BJ$69,
INT((ROW(A1086)-1)/COLUMNS('Portfolio Weights Returns'!$B$9:$BJ$69))+1,MOD(ROW(A1086)-1,COLUMNS('Portfolio Weights Returns'!$B$9:$BJ$69))+1)</f>
        <v>-7.5771742084805604E-4</v>
      </c>
      <c r="B1087">
        <v>1.8200000000000001E-2</v>
      </c>
      <c r="C1087" s="59">
        <v>0.05</v>
      </c>
      <c r="D1087" s="59">
        <v>0.02</v>
      </c>
      <c r="E1087" s="60">
        <f t="shared" si="16"/>
        <v>0.92999999999999994</v>
      </c>
      <c r="F1087" t="str" cm="1">
        <f t="array" ref="F1087">IF(A1087=MAX(IF(ROUND($B$2:$B$3722,4)=ROUND(B1087,4),$A$2:$A$3722)),"Efficient","Inefficient")</f>
        <v>Inefficient</v>
      </c>
    </row>
    <row r="1088" spans="1:6" x14ac:dyDescent="0.25">
      <c r="A1088" cm="1">
        <f t="array" ref="A1088">INDEX('Portfolio Weights Returns'!$B$9:$BJ$69,
INT((ROW(A1087)-1)/COLUMNS('Portfolio Weights Returns'!$B$9:$BJ$69))+1,MOD(ROW(A1087)-1,COLUMNS('Portfolio Weights Returns'!$B$9:$BJ$69))+1)</f>
        <v>-7.50936246881377E-4</v>
      </c>
      <c r="B1088">
        <v>1.8200000000000001E-2</v>
      </c>
      <c r="C1088" s="59">
        <v>0.04</v>
      </c>
      <c r="D1088" s="59">
        <v>0.04</v>
      </c>
      <c r="E1088" s="60">
        <f t="shared" si="16"/>
        <v>0.91999999999999993</v>
      </c>
      <c r="F1088" t="str" cm="1">
        <f t="array" ref="F1088">IF(A1088=MAX(IF(ROUND($B$2:$B$3722,4)=ROUND(B1088,4),$A$2:$A$3722)),"Efficient","Inefficient")</f>
        <v>Inefficient</v>
      </c>
    </row>
    <row r="1089" spans="1:6" x14ac:dyDescent="0.25">
      <c r="A1089" cm="1">
        <f t="array" ref="A1089">INDEX('Portfolio Weights Returns'!$B$9:$BJ$69,
INT((ROW(A1088)-1)/COLUMNS('Portfolio Weights Returns'!$B$9:$BJ$69))+1,MOD(ROW(A1088)-1,COLUMNS('Portfolio Weights Returns'!$B$9:$BJ$69))+1)</f>
        <v>-7.4415507291469786E-4</v>
      </c>
      <c r="B1089">
        <v>1.8200000000000001E-2</v>
      </c>
      <c r="C1089" s="59">
        <v>0.03</v>
      </c>
      <c r="D1089" s="59">
        <v>0.05</v>
      </c>
      <c r="E1089" s="60">
        <f t="shared" si="16"/>
        <v>0.91999999999999993</v>
      </c>
      <c r="F1089" t="str" cm="1">
        <f t="array" ref="F1089">IF(A1089=MAX(IF(ROUND($B$2:$B$3722,4)=ROUND(B1089,4),$A$2:$A$3722)),"Efficient","Inefficient")</f>
        <v>Inefficient</v>
      </c>
    </row>
    <row r="1090" spans="1:6" x14ac:dyDescent="0.25">
      <c r="A1090" cm="1">
        <f t="array" ref="A1090">INDEX('Portfolio Weights Returns'!$B$9:$BJ$69,
INT((ROW(A1089)-1)/COLUMNS('Portfolio Weights Returns'!$B$9:$BJ$69))+1,MOD(ROW(A1089)-1,COLUMNS('Portfolio Weights Returns'!$B$9:$BJ$69))+1)</f>
        <v>-7.3737389894801882E-4</v>
      </c>
      <c r="B1090">
        <v>1.8200000000000001E-2</v>
      </c>
      <c r="C1090" s="59">
        <v>0.03</v>
      </c>
      <c r="D1090" s="59">
        <v>0.06</v>
      </c>
      <c r="E1090" s="60">
        <f t="shared" ref="E1090:E1153" si="17">1-D1090-C1090</f>
        <v>0.90999999999999992</v>
      </c>
      <c r="F1090" t="str" cm="1">
        <f t="array" ref="F1090">IF(A1090=MAX(IF(ROUND($B$2:$B$3722,4)=ROUND(B1090,4),$A$2:$A$3722)),"Efficient","Inefficient")</f>
        <v>Inefficient</v>
      </c>
    </row>
    <row r="1091" spans="1:6" x14ac:dyDescent="0.25">
      <c r="A1091" cm="1">
        <f t="array" ref="A1091">INDEX('Portfolio Weights Returns'!$B$9:$BJ$69,
INT((ROW(A1090)-1)/COLUMNS('Portfolio Weights Returns'!$B$9:$BJ$69))+1,MOD(ROW(A1090)-1,COLUMNS('Portfolio Weights Returns'!$B$9:$BJ$69))+1)</f>
        <v>-7.3059272498133968E-4</v>
      </c>
      <c r="B1091">
        <v>1.8200000000000001E-2</v>
      </c>
      <c r="C1091" s="59">
        <v>0.02</v>
      </c>
      <c r="D1091" s="59">
        <v>7.0000000000000007E-2</v>
      </c>
      <c r="E1091" s="60">
        <f t="shared" si="17"/>
        <v>0.90999999999999992</v>
      </c>
      <c r="F1091" t="str" cm="1">
        <f t="array" ref="F1091">IF(A1091=MAX(IF(ROUND($B$2:$B$3722,4)=ROUND(B1091,4),$A$2:$A$3722)),"Efficient","Inefficient")</f>
        <v>Inefficient</v>
      </c>
    </row>
    <row r="1092" spans="1:6" x14ac:dyDescent="0.25">
      <c r="A1092" cm="1">
        <f t="array" ref="A1092">INDEX('Portfolio Weights Returns'!$B$9:$BJ$69,
INT((ROW(A1091)-1)/COLUMNS('Portfolio Weights Returns'!$B$9:$BJ$69))+1,MOD(ROW(A1091)-1,COLUMNS('Portfolio Weights Returns'!$B$9:$BJ$69))+1)</f>
        <v>-7.2381155101466043E-4</v>
      </c>
      <c r="B1092">
        <v>1.8200000000000001E-2</v>
      </c>
      <c r="C1092" s="59">
        <v>0.02</v>
      </c>
      <c r="D1092" s="59">
        <v>0.08</v>
      </c>
      <c r="E1092" s="60">
        <f t="shared" si="17"/>
        <v>0.9</v>
      </c>
      <c r="F1092" t="str" cm="1">
        <f t="array" ref="F1092">IF(A1092=MAX(IF(ROUND($B$2:$B$3722,4)=ROUND(B1092,4),$A$2:$A$3722)),"Efficient","Inefficient")</f>
        <v>Inefficient</v>
      </c>
    </row>
    <row r="1093" spans="1:6" x14ac:dyDescent="0.25">
      <c r="A1093" cm="1">
        <f t="array" ref="A1093">INDEX('Portfolio Weights Returns'!$B$9:$BJ$69,
INT((ROW(A1092)-1)/COLUMNS('Portfolio Weights Returns'!$B$9:$BJ$69))+1,MOD(ROW(A1092)-1,COLUMNS('Portfolio Weights Returns'!$B$9:$BJ$69))+1)</f>
        <v>-7.1703037704798139E-4</v>
      </c>
      <c r="B1093">
        <v>1.8200000000000001E-2</v>
      </c>
      <c r="C1093" s="59">
        <v>0.01</v>
      </c>
      <c r="D1093" s="59">
        <v>0.1</v>
      </c>
      <c r="E1093" s="60">
        <f t="shared" si="17"/>
        <v>0.89</v>
      </c>
      <c r="F1093" t="str" cm="1">
        <f t="array" ref="F1093">IF(A1093=MAX(IF(ROUND($B$2:$B$3722,4)=ROUND(B1093,4),$A$2:$A$3722)),"Efficient","Inefficient")</f>
        <v>Inefficient</v>
      </c>
    </row>
    <row r="1094" spans="1:6" x14ac:dyDescent="0.25">
      <c r="A1094" cm="1">
        <f t="array" ref="A1094">INDEX('Portfolio Weights Returns'!$B$9:$BJ$69,
INT((ROW(A1093)-1)/COLUMNS('Portfolio Weights Returns'!$B$9:$BJ$69))+1,MOD(ROW(A1093)-1,COLUMNS('Portfolio Weights Returns'!$B$9:$BJ$69))+1)</f>
        <v>-7.1024920308130225E-4</v>
      </c>
      <c r="B1094">
        <v>1.8200000000000001E-2</v>
      </c>
      <c r="C1094" s="59">
        <v>0.01</v>
      </c>
      <c r="D1094" s="59">
        <v>0.11</v>
      </c>
      <c r="E1094" s="60">
        <f t="shared" si="17"/>
        <v>0.88</v>
      </c>
      <c r="F1094" t="str" cm="1">
        <f t="array" ref="F1094">IF(A1094=MAX(IF(ROUND($B$2:$B$3722,4)=ROUND(B1094,4),$A$2:$A$3722)),"Efficient","Inefficient")</f>
        <v>Inefficient</v>
      </c>
    </row>
    <row r="1095" spans="1:6" x14ac:dyDescent="0.25">
      <c r="A1095" cm="1">
        <f t="array" ref="A1095">INDEX('Portfolio Weights Returns'!$B$9:$BJ$69,
INT((ROW(A1094)-1)/COLUMNS('Portfolio Weights Returns'!$B$9:$BJ$69))+1,MOD(ROW(A1094)-1,COLUMNS('Portfolio Weights Returns'!$B$9:$BJ$69))+1)</f>
        <v>-7.0346802911462321E-4</v>
      </c>
      <c r="B1095">
        <v>1.8200000000000001E-2</v>
      </c>
      <c r="C1095" s="59">
        <v>0</v>
      </c>
      <c r="D1095" s="59">
        <v>0.14000000000000001</v>
      </c>
      <c r="E1095" s="60">
        <f t="shared" si="17"/>
        <v>0.86</v>
      </c>
      <c r="F1095" t="str" cm="1">
        <f t="array" ref="F1095">IF(A1095=MAX(IF(ROUND($B$2:$B$3722,4)=ROUND(B1095,4),$A$2:$A$3722)),"Efficient","Inefficient")</f>
        <v>Inefficient</v>
      </c>
    </row>
    <row r="1096" spans="1:6" x14ac:dyDescent="0.25">
      <c r="A1096" cm="1">
        <f t="array" ref="A1096">INDEX('Portfolio Weights Returns'!$B$9:$BJ$69,
INT((ROW(A1095)-1)/COLUMNS('Portfolio Weights Returns'!$B$9:$BJ$69))+1,MOD(ROW(A1095)-1,COLUMNS('Portfolio Weights Returns'!$B$9:$BJ$69))+1)</f>
        <v>-6.9668685514794331E-4</v>
      </c>
      <c r="B1096">
        <v>1.8200000000000001E-2</v>
      </c>
      <c r="C1096" s="59">
        <v>0</v>
      </c>
      <c r="D1096" s="59">
        <v>0.15</v>
      </c>
      <c r="E1096" s="60">
        <f t="shared" si="17"/>
        <v>0.85</v>
      </c>
      <c r="F1096" t="str" cm="1">
        <f t="array" ref="F1096">IF(A1096=MAX(IF(ROUND($B$2:$B$3722,4)=ROUND(B1096,4),$A$2:$A$3722)),"Efficient","Inefficient")</f>
        <v>Inefficient</v>
      </c>
    </row>
    <row r="1097" spans="1:6" x14ac:dyDescent="0.25">
      <c r="A1097" cm="1">
        <f t="array" ref="A1097">INDEX('Portfolio Weights Returns'!$B$9:$BJ$69,
INT((ROW(A1096)-1)/COLUMNS('Portfolio Weights Returns'!$B$9:$BJ$69))+1,MOD(ROW(A1096)-1,COLUMNS('Portfolio Weights Returns'!$B$9:$BJ$69))+1)</f>
        <v>-6.8990568118126427E-4</v>
      </c>
      <c r="B1097">
        <v>1.8200000000000001E-2</v>
      </c>
      <c r="C1097" s="59">
        <v>0</v>
      </c>
      <c r="D1097" s="59">
        <v>0.16</v>
      </c>
      <c r="E1097" s="60">
        <f t="shared" si="17"/>
        <v>0.84</v>
      </c>
      <c r="F1097" t="str" cm="1">
        <f t="array" ref="F1097">IF(A1097=MAX(IF(ROUND($B$2:$B$3722,4)=ROUND(B1097,4),$A$2:$A$3722)),"Efficient","Inefficient")</f>
        <v>Inefficient</v>
      </c>
    </row>
    <row r="1098" spans="1:6" x14ac:dyDescent="0.25">
      <c r="A1098" cm="1">
        <f t="array" ref="A1098">INDEX('Portfolio Weights Returns'!$B$9:$BJ$69,
INT((ROW(A1097)-1)/COLUMNS('Portfolio Weights Returns'!$B$9:$BJ$69))+1,MOD(ROW(A1097)-1,COLUMNS('Portfolio Weights Returns'!$B$9:$BJ$69))+1)</f>
        <v>-6.8312450721458523E-4</v>
      </c>
      <c r="B1098">
        <v>1.8200000000000001E-2</v>
      </c>
      <c r="C1098" s="59">
        <v>0</v>
      </c>
      <c r="D1098" s="59">
        <v>0.17</v>
      </c>
      <c r="E1098" s="60">
        <f t="shared" si="17"/>
        <v>0.83</v>
      </c>
      <c r="F1098" t="str" cm="1">
        <f t="array" ref="F1098">IF(A1098=MAX(IF(ROUND($B$2:$B$3722,4)=ROUND(B1098,4),$A$2:$A$3722)),"Efficient","Inefficient")</f>
        <v>Inefficient</v>
      </c>
    </row>
    <row r="1099" spans="1:6" x14ac:dyDescent="0.25">
      <c r="A1099" cm="1">
        <f t="array" ref="A1099">INDEX('Portfolio Weights Returns'!$B$9:$BJ$69,
INT((ROW(A1098)-1)/COLUMNS('Portfolio Weights Returns'!$B$9:$BJ$69))+1,MOD(ROW(A1098)-1,COLUMNS('Portfolio Weights Returns'!$B$9:$BJ$69))+1)</f>
        <v>-6.763433332479062E-4</v>
      </c>
      <c r="B1099">
        <v>1.8200000000000001E-2</v>
      </c>
      <c r="C1099" s="59">
        <v>0.01</v>
      </c>
      <c r="D1099" s="59">
        <v>0.19</v>
      </c>
      <c r="E1099" s="60">
        <f t="shared" si="17"/>
        <v>0.8</v>
      </c>
      <c r="F1099" t="str" cm="1">
        <f t="array" ref="F1099">IF(A1099=MAX(IF(ROUND($B$2:$B$3722,4)=ROUND(B1099,4),$A$2:$A$3722)),"Efficient","Inefficient")</f>
        <v>Efficient</v>
      </c>
    </row>
    <row r="1100" spans="1:6" x14ac:dyDescent="0.25">
      <c r="A1100" cm="1">
        <f t="array" ref="A1100">INDEX('Portfolio Weights Returns'!$B$9:$BJ$69,
INT((ROW(A1099)-1)/COLUMNS('Portfolio Weights Returns'!$B$9:$BJ$69))+1,MOD(ROW(A1099)-1,COLUMNS('Portfolio Weights Returns'!$B$9:$BJ$69))+1)</f>
        <v>-1.0766395634031977E-3</v>
      </c>
      <c r="B1100">
        <v>1.8200000000000001E-2</v>
      </c>
      <c r="C1100" s="59">
        <v>0.01</v>
      </c>
      <c r="D1100" s="59">
        <v>0.2</v>
      </c>
      <c r="E1100" s="60">
        <f t="shared" si="17"/>
        <v>0.79</v>
      </c>
      <c r="F1100" t="str" cm="1">
        <f t="array" ref="F1100">IF(A1100=MAX(IF(ROUND($B$2:$B$3722,4)=ROUND(B1100,4),$A$2:$A$3722)),"Efficient","Inefficient")</f>
        <v>Inefficient</v>
      </c>
    </row>
    <row r="1101" spans="1:6" x14ac:dyDescent="0.25">
      <c r="A1101" cm="1">
        <f t="array" ref="A1101">INDEX('Portfolio Weights Returns'!$B$9:$BJ$69,
INT((ROW(A1100)-1)/COLUMNS('Portfolio Weights Returns'!$B$9:$BJ$69))+1,MOD(ROW(A1100)-1,COLUMNS('Portfolio Weights Returns'!$B$9:$BJ$69))+1)</f>
        <v>-1.0698583894365188E-3</v>
      </c>
      <c r="B1101">
        <v>1.8200000000000001E-2</v>
      </c>
      <c r="C1101" s="59">
        <v>0.02</v>
      </c>
      <c r="D1101" s="59">
        <v>0.22</v>
      </c>
      <c r="E1101" s="60">
        <f t="shared" si="17"/>
        <v>0.76</v>
      </c>
      <c r="F1101" t="str" cm="1">
        <f t="array" ref="F1101">IF(A1101=MAX(IF(ROUND($B$2:$B$3722,4)=ROUND(B1101,4),$A$2:$A$3722)),"Efficient","Inefficient")</f>
        <v>Inefficient</v>
      </c>
    </row>
    <row r="1102" spans="1:6" x14ac:dyDescent="0.25">
      <c r="A1102" cm="1">
        <f t="array" ref="A1102">INDEX('Portfolio Weights Returns'!$B$9:$BJ$69,
INT((ROW(A1101)-1)/COLUMNS('Portfolio Weights Returns'!$B$9:$BJ$69))+1,MOD(ROW(A1101)-1,COLUMNS('Portfolio Weights Returns'!$B$9:$BJ$69))+1)</f>
        <v>-1.0630772154698394E-3</v>
      </c>
      <c r="B1102">
        <v>1.8200000000000001E-2</v>
      </c>
      <c r="C1102" s="59">
        <v>0.03</v>
      </c>
      <c r="D1102" s="59">
        <v>0.23</v>
      </c>
      <c r="E1102" s="60">
        <f t="shared" si="17"/>
        <v>0.74</v>
      </c>
      <c r="F1102" t="str" cm="1">
        <f t="array" ref="F1102">IF(A1102=MAX(IF(ROUND($B$2:$B$3722,4)=ROUND(B1102,4),$A$2:$A$3722)),"Efficient","Inefficient")</f>
        <v>Inefficient</v>
      </c>
    </row>
    <row r="1103" spans="1:6" x14ac:dyDescent="0.25">
      <c r="A1103" cm="1">
        <f t="array" ref="A1103">INDEX('Portfolio Weights Returns'!$B$9:$BJ$69,
INT((ROW(A1102)-1)/COLUMNS('Portfolio Weights Returns'!$B$9:$BJ$69))+1,MOD(ROW(A1102)-1,COLUMNS('Portfolio Weights Returns'!$B$9:$BJ$69))+1)</f>
        <v>-1.0562960415031607E-3</v>
      </c>
      <c r="B1103">
        <v>1.8200000000000001E-2</v>
      </c>
      <c r="C1103" s="59">
        <v>0.03</v>
      </c>
      <c r="D1103" s="59">
        <v>0.24</v>
      </c>
      <c r="E1103" s="60">
        <f t="shared" si="17"/>
        <v>0.73</v>
      </c>
      <c r="F1103" t="str" cm="1">
        <f t="array" ref="F1103">IF(A1103=MAX(IF(ROUND($B$2:$B$3722,4)=ROUND(B1103,4),$A$2:$A$3722)),"Efficient","Inefficient")</f>
        <v>Inefficient</v>
      </c>
    </row>
    <row r="1104" spans="1:6" x14ac:dyDescent="0.25">
      <c r="A1104" cm="1">
        <f t="array" ref="A1104">INDEX('Portfolio Weights Returns'!$B$9:$BJ$69,
INT((ROW(A1103)-1)/COLUMNS('Portfolio Weights Returns'!$B$9:$BJ$69))+1,MOD(ROW(A1103)-1,COLUMNS('Portfolio Weights Returns'!$B$9:$BJ$69))+1)</f>
        <v>-1.0495148675364813E-3</v>
      </c>
      <c r="B1104">
        <v>1.8200000000000001E-2</v>
      </c>
      <c r="C1104" s="59">
        <v>0.04</v>
      </c>
      <c r="D1104" s="59">
        <v>0.25</v>
      </c>
      <c r="E1104" s="60">
        <f t="shared" si="17"/>
        <v>0.71</v>
      </c>
      <c r="F1104" t="str" cm="1">
        <f t="array" ref="F1104">IF(A1104=MAX(IF(ROUND($B$2:$B$3722,4)=ROUND(B1104,4),$A$2:$A$3722)),"Efficient","Inefficient")</f>
        <v>Inefficient</v>
      </c>
    </row>
    <row r="1105" spans="1:6" x14ac:dyDescent="0.25">
      <c r="A1105" cm="1">
        <f t="array" ref="A1105">INDEX('Portfolio Weights Returns'!$B$9:$BJ$69,
INT((ROW(A1104)-1)/COLUMNS('Portfolio Weights Returns'!$B$9:$BJ$69))+1,MOD(ROW(A1104)-1,COLUMNS('Portfolio Weights Returns'!$B$9:$BJ$69))+1)</f>
        <v>-1.0427336935698024E-3</v>
      </c>
      <c r="B1105">
        <v>1.8200000000000001E-2</v>
      </c>
      <c r="C1105" s="59">
        <v>0.05</v>
      </c>
      <c r="D1105" s="59">
        <v>0.26</v>
      </c>
      <c r="E1105" s="60">
        <f t="shared" si="17"/>
        <v>0.69</v>
      </c>
      <c r="F1105" t="str" cm="1">
        <f t="array" ref="F1105">IF(A1105=MAX(IF(ROUND($B$2:$B$3722,4)=ROUND(B1105,4),$A$2:$A$3722)),"Efficient","Inefficient")</f>
        <v>Inefficient</v>
      </c>
    </row>
    <row r="1106" spans="1:6" x14ac:dyDescent="0.25">
      <c r="A1106" cm="1">
        <f t="array" ref="A1106">INDEX('Portfolio Weights Returns'!$B$9:$BJ$69,
INT((ROW(A1105)-1)/COLUMNS('Portfolio Weights Returns'!$B$9:$BJ$69))+1,MOD(ROW(A1105)-1,COLUMNS('Portfolio Weights Returns'!$B$9:$BJ$69))+1)</f>
        <v>-1.035952519603123E-3</v>
      </c>
      <c r="B1106">
        <v>1.8200000000000001E-2</v>
      </c>
      <c r="C1106" s="59">
        <v>0.06</v>
      </c>
      <c r="D1106" s="59">
        <v>0.27</v>
      </c>
      <c r="E1106" s="60">
        <f t="shared" si="17"/>
        <v>0.66999999999999993</v>
      </c>
      <c r="F1106" t="str" cm="1">
        <f t="array" ref="F1106">IF(A1106=MAX(IF(ROUND($B$2:$B$3722,4)=ROUND(B1106,4),$A$2:$A$3722)),"Efficient","Inefficient")</f>
        <v>Inefficient</v>
      </c>
    </row>
    <row r="1107" spans="1:6" x14ac:dyDescent="0.25">
      <c r="A1107" cm="1">
        <f t="array" ref="A1107">INDEX('Portfolio Weights Returns'!$B$9:$BJ$69,
INT((ROW(A1106)-1)/COLUMNS('Portfolio Weights Returns'!$B$9:$BJ$69))+1,MOD(ROW(A1106)-1,COLUMNS('Portfolio Weights Returns'!$B$9:$BJ$69))+1)</f>
        <v>-1.0291713456364443E-3</v>
      </c>
      <c r="B1107">
        <v>1.8200000000000001E-2</v>
      </c>
      <c r="C1107" s="59">
        <v>7.0000000000000007E-2</v>
      </c>
      <c r="D1107" s="59">
        <v>0.27</v>
      </c>
      <c r="E1107" s="60">
        <f t="shared" si="17"/>
        <v>0.65999999999999992</v>
      </c>
      <c r="F1107" t="str" cm="1">
        <f t="array" ref="F1107">IF(A1107=MAX(IF(ROUND($B$2:$B$3722,4)=ROUND(B1107,4),$A$2:$A$3722)),"Efficient","Inefficient")</f>
        <v>Inefficient</v>
      </c>
    </row>
    <row r="1108" spans="1:6" x14ac:dyDescent="0.25">
      <c r="A1108" cm="1">
        <f t="array" ref="A1108">INDEX('Portfolio Weights Returns'!$B$9:$BJ$69,
INT((ROW(A1107)-1)/COLUMNS('Portfolio Weights Returns'!$B$9:$BJ$69))+1,MOD(ROW(A1107)-1,COLUMNS('Portfolio Weights Returns'!$B$9:$BJ$69))+1)</f>
        <v>-1.022390171669765E-3</v>
      </c>
      <c r="B1108">
        <v>1.8200000000000001E-2</v>
      </c>
      <c r="C1108" s="59">
        <v>0.08</v>
      </c>
      <c r="D1108" s="59">
        <v>0.28000000000000003</v>
      </c>
      <c r="E1108" s="60">
        <f t="shared" si="17"/>
        <v>0.64</v>
      </c>
      <c r="F1108" t="str" cm="1">
        <f t="array" ref="F1108">IF(A1108=MAX(IF(ROUND($B$2:$B$3722,4)=ROUND(B1108,4),$A$2:$A$3722)),"Efficient","Inefficient")</f>
        <v>Inefficient</v>
      </c>
    </row>
    <row r="1109" spans="1:6" x14ac:dyDescent="0.25">
      <c r="A1109" cm="1">
        <f t="array" ref="A1109">INDEX('Portfolio Weights Returns'!$B$9:$BJ$69,
INT((ROW(A1108)-1)/COLUMNS('Portfolio Weights Returns'!$B$9:$BJ$69))+1,MOD(ROW(A1108)-1,COLUMNS('Portfolio Weights Returns'!$B$9:$BJ$69))+1)</f>
        <v>-1.015608997703086E-3</v>
      </c>
      <c r="B1109">
        <v>1.8200000000000001E-2</v>
      </c>
      <c r="C1109" s="59">
        <v>0.1</v>
      </c>
      <c r="D1109" s="59">
        <v>0.28999999999999998</v>
      </c>
      <c r="E1109" s="60">
        <f t="shared" si="17"/>
        <v>0.61</v>
      </c>
      <c r="F1109" t="str" cm="1">
        <f t="array" ref="F1109">IF(A1109=MAX(IF(ROUND($B$2:$B$3722,4)=ROUND(B1109,4),$A$2:$A$3722)),"Efficient","Inefficient")</f>
        <v>Inefficient</v>
      </c>
    </row>
    <row r="1110" spans="1:6" x14ac:dyDescent="0.25">
      <c r="A1110" cm="1">
        <f t="array" ref="A1110">INDEX('Portfolio Weights Returns'!$B$9:$BJ$69,
INT((ROW(A1109)-1)/COLUMNS('Portfolio Weights Returns'!$B$9:$BJ$69))+1,MOD(ROW(A1109)-1,COLUMNS('Portfolio Weights Returns'!$B$9:$BJ$69))+1)</f>
        <v>-1.0088278237364067E-3</v>
      </c>
      <c r="B1110">
        <v>1.8200000000000001E-2</v>
      </c>
      <c r="C1110" s="59">
        <v>0.12</v>
      </c>
      <c r="D1110" s="59">
        <v>0.3</v>
      </c>
      <c r="E1110" s="60">
        <f t="shared" si="17"/>
        <v>0.57999999999999996</v>
      </c>
      <c r="F1110" t="str" cm="1">
        <f t="array" ref="F1110">IF(A1110=MAX(IF(ROUND($B$2:$B$3722,4)=ROUND(B1110,4),$A$2:$A$3722)),"Efficient","Inefficient")</f>
        <v>Inefficient</v>
      </c>
    </row>
    <row r="1111" spans="1:6" x14ac:dyDescent="0.25">
      <c r="A1111" cm="1">
        <f t="array" ref="A1111">INDEX('Portfolio Weights Returns'!$B$9:$BJ$69,
INT((ROW(A1110)-1)/COLUMNS('Portfolio Weights Returns'!$B$9:$BJ$69))+1,MOD(ROW(A1110)-1,COLUMNS('Portfolio Weights Returns'!$B$9:$BJ$69))+1)</f>
        <v>-1.0020466497697275E-3</v>
      </c>
      <c r="B1111">
        <v>1.83E-2</v>
      </c>
      <c r="C1111" s="59">
        <v>0.3</v>
      </c>
      <c r="D1111" s="59">
        <v>-0.19</v>
      </c>
      <c r="E1111" s="60">
        <f t="shared" si="17"/>
        <v>0.8899999999999999</v>
      </c>
      <c r="F1111" t="str" cm="1">
        <f t="array" ref="F1111">IF(A1111=MAX(IF(ROUND($B$2:$B$3722,4)=ROUND(B1111,4),$A$2:$A$3722)),"Efficient","Inefficient")</f>
        <v>Inefficient</v>
      </c>
    </row>
    <row r="1112" spans="1:6" x14ac:dyDescent="0.25">
      <c r="A1112" cm="1">
        <f t="array" ref="A1112">INDEX('Portfolio Weights Returns'!$B$9:$BJ$69,
INT((ROW(A1111)-1)/COLUMNS('Portfolio Weights Returns'!$B$9:$BJ$69))+1,MOD(ROW(A1111)-1,COLUMNS('Portfolio Weights Returns'!$B$9:$BJ$69))+1)</f>
        <v>-9.9526547580304861E-4</v>
      </c>
      <c r="B1112">
        <v>1.83E-2</v>
      </c>
      <c r="C1112" s="59">
        <v>0.28000000000000003</v>
      </c>
      <c r="D1112" s="59">
        <v>-0.18</v>
      </c>
      <c r="E1112" s="60">
        <f t="shared" si="17"/>
        <v>0.89999999999999991</v>
      </c>
      <c r="F1112" t="str" cm="1">
        <f t="array" ref="F1112">IF(A1112=MAX(IF(ROUND($B$2:$B$3722,4)=ROUND(B1112,4),$A$2:$A$3722)),"Efficient","Inefficient")</f>
        <v>Inefficient</v>
      </c>
    </row>
    <row r="1113" spans="1:6" x14ac:dyDescent="0.25">
      <c r="A1113" cm="1">
        <f t="array" ref="A1113">INDEX('Portfolio Weights Returns'!$B$9:$BJ$69,
INT((ROW(A1112)-1)/COLUMNS('Portfolio Weights Returns'!$B$9:$BJ$69))+1,MOD(ROW(A1112)-1,COLUMNS('Portfolio Weights Returns'!$B$9:$BJ$69))+1)</f>
        <v>-9.8848430183636946E-4</v>
      </c>
      <c r="B1113">
        <v>1.83E-2</v>
      </c>
      <c r="C1113" s="59">
        <v>0.25</v>
      </c>
      <c r="D1113" s="59">
        <v>-0.16</v>
      </c>
      <c r="E1113" s="60">
        <f t="shared" si="17"/>
        <v>0.90999999999999992</v>
      </c>
      <c r="F1113" t="str" cm="1">
        <f t="array" ref="F1113">IF(A1113=MAX(IF(ROUND($B$2:$B$3722,4)=ROUND(B1113,4),$A$2:$A$3722)),"Efficient","Inefficient")</f>
        <v>Inefficient</v>
      </c>
    </row>
    <row r="1114" spans="1:6" x14ac:dyDescent="0.25">
      <c r="A1114" cm="1">
        <f t="array" ref="A1114">INDEX('Portfolio Weights Returns'!$B$9:$BJ$69,
INT((ROW(A1113)-1)/COLUMNS('Portfolio Weights Returns'!$B$9:$BJ$69))+1,MOD(ROW(A1113)-1,COLUMNS('Portfolio Weights Returns'!$B$9:$BJ$69))+1)</f>
        <v>-9.817031278696901E-4</v>
      </c>
      <c r="B1114">
        <v>1.83E-2</v>
      </c>
      <c r="C1114" s="59">
        <v>0.23</v>
      </c>
      <c r="D1114" s="59">
        <v>-0.15</v>
      </c>
      <c r="E1114" s="60">
        <f t="shared" si="17"/>
        <v>0.91999999999999993</v>
      </c>
      <c r="F1114" t="str" cm="1">
        <f t="array" ref="F1114">IF(A1114=MAX(IF(ROUND($B$2:$B$3722,4)=ROUND(B1114,4),$A$2:$A$3722)),"Efficient","Inefficient")</f>
        <v>Inefficient</v>
      </c>
    </row>
    <row r="1115" spans="1:6" x14ac:dyDescent="0.25">
      <c r="A1115" cm="1">
        <f t="array" ref="A1115">INDEX('Portfolio Weights Returns'!$B$9:$BJ$69,
INT((ROW(A1114)-1)/COLUMNS('Portfolio Weights Returns'!$B$9:$BJ$69))+1,MOD(ROW(A1114)-1,COLUMNS('Portfolio Weights Returns'!$B$9:$BJ$69))+1)</f>
        <v>-9.7492195390301128E-4</v>
      </c>
      <c r="B1115">
        <v>1.83E-2</v>
      </c>
      <c r="C1115" s="59">
        <v>0.22</v>
      </c>
      <c r="D1115" s="59">
        <v>-0.14000000000000001</v>
      </c>
      <c r="E1115" s="60">
        <f t="shared" si="17"/>
        <v>0.92000000000000015</v>
      </c>
      <c r="F1115" t="str" cm="1">
        <f t="array" ref="F1115">IF(A1115=MAX(IF(ROUND($B$2:$B$3722,4)=ROUND(B1115,4),$A$2:$A$3722)),"Efficient","Inefficient")</f>
        <v>Inefficient</v>
      </c>
    </row>
    <row r="1116" spans="1:6" x14ac:dyDescent="0.25">
      <c r="A1116" cm="1">
        <f t="array" ref="A1116">INDEX('Portfolio Weights Returns'!$B$9:$BJ$69,
INT((ROW(A1115)-1)/COLUMNS('Portfolio Weights Returns'!$B$9:$BJ$69))+1,MOD(ROW(A1115)-1,COLUMNS('Portfolio Weights Returns'!$B$9:$BJ$69))+1)</f>
        <v>-9.6814077993633235E-4</v>
      </c>
      <c r="B1116">
        <v>1.83E-2</v>
      </c>
      <c r="C1116" s="59">
        <v>0.2</v>
      </c>
      <c r="D1116" s="59">
        <v>-0.13</v>
      </c>
      <c r="E1116" s="60">
        <f t="shared" si="17"/>
        <v>0.92999999999999994</v>
      </c>
      <c r="F1116" t="str" cm="1">
        <f t="array" ref="F1116">IF(A1116=MAX(IF(ROUND($B$2:$B$3722,4)=ROUND(B1116,4),$A$2:$A$3722)),"Efficient","Inefficient")</f>
        <v>Inefficient</v>
      </c>
    </row>
    <row r="1117" spans="1:6" x14ac:dyDescent="0.25">
      <c r="A1117" cm="1">
        <f t="array" ref="A1117">INDEX('Portfolio Weights Returns'!$B$9:$BJ$69,
INT((ROW(A1116)-1)/COLUMNS('Portfolio Weights Returns'!$B$9:$BJ$69))+1,MOD(ROW(A1116)-1,COLUMNS('Portfolio Weights Returns'!$B$9:$BJ$69))+1)</f>
        <v>-9.613596059696531E-4</v>
      </c>
      <c r="B1117">
        <v>1.83E-2</v>
      </c>
      <c r="C1117" s="59">
        <v>0.19</v>
      </c>
      <c r="D1117" s="59">
        <v>-0.12</v>
      </c>
      <c r="E1117" s="60">
        <f t="shared" si="17"/>
        <v>0.93000000000000016</v>
      </c>
      <c r="F1117" t="str" cm="1">
        <f t="array" ref="F1117">IF(A1117=MAX(IF(ROUND($B$2:$B$3722,4)=ROUND(B1117,4),$A$2:$A$3722)),"Efficient","Inefficient")</f>
        <v>Inefficient</v>
      </c>
    </row>
    <row r="1118" spans="1:6" x14ac:dyDescent="0.25">
      <c r="A1118" cm="1">
        <f t="array" ref="A1118">INDEX('Portfolio Weights Returns'!$B$9:$BJ$69,
INT((ROW(A1117)-1)/COLUMNS('Portfolio Weights Returns'!$B$9:$BJ$69))+1,MOD(ROW(A1117)-1,COLUMNS('Portfolio Weights Returns'!$B$9:$BJ$69))+1)</f>
        <v>-9.5457843200297417E-4</v>
      </c>
      <c r="B1118">
        <v>1.83E-2</v>
      </c>
      <c r="C1118" s="59">
        <v>0.16</v>
      </c>
      <c r="D1118" s="59">
        <v>-0.1</v>
      </c>
      <c r="E1118" s="60">
        <f t="shared" si="17"/>
        <v>0.94000000000000006</v>
      </c>
      <c r="F1118" t="str" cm="1">
        <f t="array" ref="F1118">IF(A1118=MAX(IF(ROUND($B$2:$B$3722,4)=ROUND(B1118,4),$A$2:$A$3722)),"Efficient","Inefficient")</f>
        <v>Inefficient</v>
      </c>
    </row>
    <row r="1119" spans="1:6" x14ac:dyDescent="0.25">
      <c r="A1119" cm="1">
        <f t="array" ref="A1119">INDEX('Portfolio Weights Returns'!$B$9:$BJ$69,
INT((ROW(A1118)-1)/COLUMNS('Portfolio Weights Returns'!$B$9:$BJ$69))+1,MOD(ROW(A1118)-1,COLUMNS('Portfolio Weights Returns'!$B$9:$BJ$69))+1)</f>
        <v>-9.4779725803629492E-4</v>
      </c>
      <c r="B1119">
        <v>1.83E-2</v>
      </c>
      <c r="C1119" s="59">
        <v>0.15</v>
      </c>
      <c r="D1119" s="59">
        <v>-0.09</v>
      </c>
      <c r="E1119" s="60">
        <f t="shared" si="17"/>
        <v>0.94000000000000006</v>
      </c>
      <c r="F1119" t="str" cm="1">
        <f t="array" ref="F1119">IF(A1119=MAX(IF(ROUND($B$2:$B$3722,4)=ROUND(B1119,4),$A$2:$A$3722)),"Efficient","Inefficient")</f>
        <v>Inefficient</v>
      </c>
    </row>
    <row r="1120" spans="1:6" x14ac:dyDescent="0.25">
      <c r="A1120" cm="1">
        <f t="array" ref="A1120">INDEX('Portfolio Weights Returns'!$B$9:$BJ$69,
INT((ROW(A1119)-1)/COLUMNS('Portfolio Weights Returns'!$B$9:$BJ$69))+1,MOD(ROW(A1119)-1,COLUMNS('Portfolio Weights Returns'!$B$9:$BJ$69))+1)</f>
        <v>-9.4101608406961588E-4</v>
      </c>
      <c r="B1120">
        <v>1.83E-2</v>
      </c>
      <c r="C1120" s="59">
        <v>0.14000000000000001</v>
      </c>
      <c r="D1120" s="59">
        <v>-0.08</v>
      </c>
      <c r="E1120" s="60">
        <f t="shared" si="17"/>
        <v>0.94000000000000006</v>
      </c>
      <c r="F1120" t="str" cm="1">
        <f t="array" ref="F1120">IF(A1120=MAX(IF(ROUND($B$2:$B$3722,4)=ROUND(B1120,4),$A$2:$A$3722)),"Efficient","Inefficient")</f>
        <v>Inefficient</v>
      </c>
    </row>
    <row r="1121" spans="1:6" x14ac:dyDescent="0.25">
      <c r="A1121" cm="1">
        <f t="array" ref="A1121">INDEX('Portfolio Weights Returns'!$B$9:$BJ$69,
INT((ROW(A1120)-1)/COLUMNS('Portfolio Weights Returns'!$B$9:$BJ$69))+1,MOD(ROW(A1120)-1,COLUMNS('Portfolio Weights Returns'!$B$9:$BJ$69))+1)</f>
        <v>-9.3423491010293652E-4</v>
      </c>
      <c r="B1121">
        <v>1.83E-2</v>
      </c>
      <c r="C1121" s="59">
        <v>0.13</v>
      </c>
      <c r="D1121" s="59">
        <v>-7.0000000000000007E-2</v>
      </c>
      <c r="E1121" s="60">
        <f t="shared" si="17"/>
        <v>0.94000000000000006</v>
      </c>
      <c r="F1121" t="str" cm="1">
        <f t="array" ref="F1121">IF(A1121=MAX(IF(ROUND($B$2:$B$3722,4)=ROUND(B1121,4),$A$2:$A$3722)),"Efficient","Inefficient")</f>
        <v>Inefficient</v>
      </c>
    </row>
    <row r="1122" spans="1:6" x14ac:dyDescent="0.25">
      <c r="A1122" cm="1">
        <f t="array" ref="A1122">INDEX('Portfolio Weights Returns'!$B$9:$BJ$69,
INT((ROW(A1121)-1)/COLUMNS('Portfolio Weights Returns'!$B$9:$BJ$69))+1,MOD(ROW(A1121)-1,COLUMNS('Portfolio Weights Returns'!$B$9:$BJ$69))+1)</f>
        <v>-9.274537361362577E-4</v>
      </c>
      <c r="B1122">
        <v>1.83E-2</v>
      </c>
      <c r="C1122" s="59">
        <v>0.08</v>
      </c>
      <c r="D1122" s="59">
        <v>-0.02</v>
      </c>
      <c r="E1122" s="60">
        <f t="shared" si="17"/>
        <v>0.94000000000000006</v>
      </c>
      <c r="F1122" t="str" cm="1">
        <f t="array" ref="F1122">IF(A1122=MAX(IF(ROUND($B$2:$B$3722,4)=ROUND(B1122,4),$A$2:$A$3722)),"Efficient","Inefficient")</f>
        <v>Inefficient</v>
      </c>
    </row>
    <row r="1123" spans="1:6" x14ac:dyDescent="0.25">
      <c r="A1123" cm="1">
        <f t="array" ref="A1123">INDEX('Portfolio Weights Returns'!$B$9:$BJ$69,
INT((ROW(A1122)-1)/COLUMNS('Portfolio Weights Returns'!$B$9:$BJ$69))+1,MOD(ROW(A1122)-1,COLUMNS('Portfolio Weights Returns'!$B$9:$BJ$69))+1)</f>
        <v>-9.2067256216957834E-4</v>
      </c>
      <c r="B1123">
        <v>1.83E-2</v>
      </c>
      <c r="C1123" s="59">
        <v>7.0000000000000007E-2</v>
      </c>
      <c r="D1123" s="59">
        <v>-0.01</v>
      </c>
      <c r="E1123" s="60">
        <f t="shared" si="17"/>
        <v>0.94</v>
      </c>
      <c r="F1123" t="str" cm="1">
        <f t="array" ref="F1123">IF(A1123=MAX(IF(ROUND($B$2:$B$3722,4)=ROUND(B1123,4),$A$2:$A$3722)),"Efficient","Inefficient")</f>
        <v>Inefficient</v>
      </c>
    </row>
    <row r="1124" spans="1:6" x14ac:dyDescent="0.25">
      <c r="A1124" cm="1">
        <f t="array" ref="A1124">INDEX('Portfolio Weights Returns'!$B$9:$BJ$69,
INT((ROW(A1123)-1)/COLUMNS('Portfolio Weights Returns'!$B$9:$BJ$69))+1,MOD(ROW(A1123)-1,COLUMNS('Portfolio Weights Returns'!$B$9:$BJ$69))+1)</f>
        <v>-9.1389138820289952E-4</v>
      </c>
      <c r="B1124">
        <v>1.83E-2</v>
      </c>
      <c r="C1124" s="59">
        <v>0.06</v>
      </c>
      <c r="D1124" s="59">
        <v>0</v>
      </c>
      <c r="E1124" s="60">
        <f t="shared" si="17"/>
        <v>0.94</v>
      </c>
      <c r="F1124" t="str" cm="1">
        <f t="array" ref="F1124">IF(A1124=MAX(IF(ROUND($B$2:$B$3722,4)=ROUND(B1124,4),$A$2:$A$3722)),"Efficient","Inefficient")</f>
        <v>Inefficient</v>
      </c>
    </row>
    <row r="1125" spans="1:6" x14ac:dyDescent="0.25">
      <c r="A1125" cm="1">
        <f t="array" ref="A1125">INDEX('Portfolio Weights Returns'!$B$9:$BJ$69,
INT((ROW(A1124)-1)/COLUMNS('Portfolio Weights Returns'!$B$9:$BJ$69))+1,MOD(ROW(A1124)-1,COLUMNS('Portfolio Weights Returns'!$B$9:$BJ$69))+1)</f>
        <v>-9.0711021423622016E-4</v>
      </c>
      <c r="B1125">
        <v>1.83E-2</v>
      </c>
      <c r="C1125" s="59">
        <v>0.05</v>
      </c>
      <c r="D1125" s="59">
        <v>0.01</v>
      </c>
      <c r="E1125" s="60">
        <f t="shared" si="17"/>
        <v>0.94</v>
      </c>
      <c r="F1125" t="str" cm="1">
        <f t="array" ref="F1125">IF(A1125=MAX(IF(ROUND($B$2:$B$3722,4)=ROUND(B1125,4),$A$2:$A$3722)),"Efficient","Inefficient")</f>
        <v>Inefficient</v>
      </c>
    </row>
    <row r="1126" spans="1:6" x14ac:dyDescent="0.25">
      <c r="A1126" cm="1">
        <f t="array" ref="A1126">INDEX('Portfolio Weights Returns'!$B$9:$BJ$69,
INT((ROW(A1125)-1)/COLUMNS('Portfolio Weights Returns'!$B$9:$BJ$69))+1,MOD(ROW(A1125)-1,COLUMNS('Portfolio Weights Returns'!$B$9:$BJ$69))+1)</f>
        <v>-9.0032904026954123E-4</v>
      </c>
      <c r="B1126">
        <v>1.83E-2</v>
      </c>
      <c r="C1126" s="59">
        <v>0.04</v>
      </c>
      <c r="D1126" s="59">
        <v>0.03</v>
      </c>
      <c r="E1126" s="60">
        <f t="shared" si="17"/>
        <v>0.92999999999999994</v>
      </c>
      <c r="F1126" t="str" cm="1">
        <f t="array" ref="F1126">IF(A1126=MAX(IF(ROUND($B$2:$B$3722,4)=ROUND(B1126,4),$A$2:$A$3722)),"Efficient","Inefficient")</f>
        <v>Inefficient</v>
      </c>
    </row>
    <row r="1127" spans="1:6" x14ac:dyDescent="0.25">
      <c r="A1127" cm="1">
        <f t="array" ref="A1127">INDEX('Portfolio Weights Returns'!$B$9:$BJ$69,
INT((ROW(A1126)-1)/COLUMNS('Portfolio Weights Returns'!$B$9:$BJ$69))+1,MOD(ROW(A1126)-1,COLUMNS('Portfolio Weights Returns'!$B$9:$BJ$69))+1)</f>
        <v>-8.9354786630286198E-4</v>
      </c>
      <c r="B1127">
        <v>1.83E-2</v>
      </c>
      <c r="C1127" s="59">
        <v>0.03</v>
      </c>
      <c r="D1127" s="59">
        <v>0.04</v>
      </c>
      <c r="E1127" s="60">
        <f t="shared" si="17"/>
        <v>0.92999999999999994</v>
      </c>
      <c r="F1127" t="str" cm="1">
        <f t="array" ref="F1127">IF(A1127=MAX(IF(ROUND($B$2:$B$3722,4)=ROUND(B1127,4),$A$2:$A$3722)),"Efficient","Inefficient")</f>
        <v>Inefficient</v>
      </c>
    </row>
    <row r="1128" spans="1:6" x14ac:dyDescent="0.25">
      <c r="A1128" cm="1">
        <f t="array" ref="A1128">INDEX('Portfolio Weights Returns'!$B$9:$BJ$69,
INT((ROW(A1127)-1)/COLUMNS('Portfolio Weights Returns'!$B$9:$BJ$69))+1,MOD(ROW(A1127)-1,COLUMNS('Portfolio Weights Returns'!$B$9:$BJ$69))+1)</f>
        <v>-8.8676669233618305E-4</v>
      </c>
      <c r="B1128">
        <v>1.83E-2</v>
      </c>
      <c r="C1128" s="59">
        <v>0.02</v>
      </c>
      <c r="D1128" s="59">
        <v>0.06</v>
      </c>
      <c r="E1128" s="60">
        <f t="shared" si="17"/>
        <v>0.91999999999999993</v>
      </c>
      <c r="F1128" t="str" cm="1">
        <f t="array" ref="F1128">IF(A1128=MAX(IF(ROUND($B$2:$B$3722,4)=ROUND(B1128,4),$A$2:$A$3722)),"Efficient","Inefficient")</f>
        <v>Inefficient</v>
      </c>
    </row>
    <row r="1129" spans="1:6" x14ac:dyDescent="0.25">
      <c r="A1129" cm="1">
        <f t="array" ref="A1129">INDEX('Portfolio Weights Returns'!$B$9:$BJ$69,
INT((ROW(A1128)-1)/COLUMNS('Portfolio Weights Returns'!$B$9:$BJ$69))+1,MOD(ROW(A1128)-1,COLUMNS('Portfolio Weights Returns'!$B$9:$BJ$69))+1)</f>
        <v>-8.7998551836950369E-4</v>
      </c>
      <c r="B1129">
        <v>1.83E-2</v>
      </c>
      <c r="C1129" s="59">
        <v>0.01</v>
      </c>
      <c r="D1129" s="59">
        <v>0.08</v>
      </c>
      <c r="E1129" s="60">
        <f t="shared" si="17"/>
        <v>0.91</v>
      </c>
      <c r="F1129" t="str" cm="1">
        <f t="array" ref="F1129">IF(A1129=MAX(IF(ROUND($B$2:$B$3722,4)=ROUND(B1129,4),$A$2:$A$3722)),"Efficient","Inefficient")</f>
        <v>Inefficient</v>
      </c>
    </row>
    <row r="1130" spans="1:6" x14ac:dyDescent="0.25">
      <c r="A1130" cm="1">
        <f t="array" ref="A1130">INDEX('Portfolio Weights Returns'!$B$9:$BJ$69,
INT((ROW(A1129)-1)/COLUMNS('Portfolio Weights Returns'!$B$9:$BJ$69))+1,MOD(ROW(A1129)-1,COLUMNS('Portfolio Weights Returns'!$B$9:$BJ$69))+1)</f>
        <v>-8.7320434440282476E-4</v>
      </c>
      <c r="B1130">
        <v>1.83E-2</v>
      </c>
      <c r="C1130" s="59">
        <v>0.01</v>
      </c>
      <c r="D1130" s="59">
        <v>0.09</v>
      </c>
      <c r="E1130" s="60">
        <f t="shared" si="17"/>
        <v>0.9</v>
      </c>
      <c r="F1130" t="str" cm="1">
        <f t="array" ref="F1130">IF(A1130=MAX(IF(ROUND($B$2:$B$3722,4)=ROUND(B1130,4),$A$2:$A$3722)),"Efficient","Inefficient")</f>
        <v>Inefficient</v>
      </c>
    </row>
    <row r="1131" spans="1:6" x14ac:dyDescent="0.25">
      <c r="A1131" cm="1">
        <f t="array" ref="A1131">INDEX('Portfolio Weights Returns'!$B$9:$BJ$69,
INT((ROW(A1130)-1)/COLUMNS('Portfolio Weights Returns'!$B$9:$BJ$69))+1,MOD(ROW(A1130)-1,COLUMNS('Portfolio Weights Returns'!$B$9:$BJ$69))+1)</f>
        <v>-8.6642317043614551E-4</v>
      </c>
      <c r="B1131">
        <v>1.83E-2</v>
      </c>
      <c r="C1131" s="59">
        <v>0</v>
      </c>
      <c r="D1131" s="59">
        <v>0.1</v>
      </c>
      <c r="E1131" s="60">
        <f t="shared" si="17"/>
        <v>0.9</v>
      </c>
      <c r="F1131" t="str" cm="1">
        <f t="array" ref="F1131">IF(A1131=MAX(IF(ROUND($B$2:$B$3722,4)=ROUND(B1131,4),$A$2:$A$3722)),"Efficient","Inefficient")</f>
        <v>Inefficient</v>
      </c>
    </row>
    <row r="1132" spans="1:6" x14ac:dyDescent="0.25">
      <c r="A1132" cm="1">
        <f t="array" ref="A1132">INDEX('Portfolio Weights Returns'!$B$9:$BJ$69,
INT((ROW(A1131)-1)/COLUMNS('Portfolio Weights Returns'!$B$9:$BJ$69))+1,MOD(ROW(A1131)-1,COLUMNS('Portfolio Weights Returns'!$B$9:$BJ$69))+1)</f>
        <v>-8.5964199646946648E-4</v>
      </c>
      <c r="B1132">
        <v>1.83E-2</v>
      </c>
      <c r="C1132" s="59">
        <v>0</v>
      </c>
      <c r="D1132" s="59">
        <v>0.11</v>
      </c>
      <c r="E1132" s="60">
        <f t="shared" si="17"/>
        <v>0.89</v>
      </c>
      <c r="F1132" t="str" cm="1">
        <f t="array" ref="F1132">IF(A1132=MAX(IF(ROUND($B$2:$B$3722,4)=ROUND(B1132,4),$A$2:$A$3722)),"Efficient","Inefficient")</f>
        <v>Inefficient</v>
      </c>
    </row>
    <row r="1133" spans="1:6" x14ac:dyDescent="0.25">
      <c r="A1133" cm="1">
        <f t="array" ref="A1133">INDEX('Portfolio Weights Returns'!$B$9:$BJ$69,
INT((ROW(A1132)-1)/COLUMNS('Portfolio Weights Returns'!$B$9:$BJ$69))+1,MOD(ROW(A1132)-1,COLUMNS('Portfolio Weights Returns'!$B$9:$BJ$69))+1)</f>
        <v>-8.5286082250278733E-4</v>
      </c>
      <c r="B1133">
        <v>1.83E-2</v>
      </c>
      <c r="C1133" s="59">
        <v>0</v>
      </c>
      <c r="D1133" s="59">
        <v>0.12</v>
      </c>
      <c r="E1133" s="60">
        <f t="shared" si="17"/>
        <v>0.88</v>
      </c>
      <c r="F1133" t="str" cm="1">
        <f t="array" ref="F1133">IF(A1133=MAX(IF(ROUND($B$2:$B$3722,4)=ROUND(B1133,4),$A$2:$A$3722)),"Efficient","Inefficient")</f>
        <v>Inefficient</v>
      </c>
    </row>
    <row r="1134" spans="1:6" x14ac:dyDescent="0.25">
      <c r="A1134" cm="1">
        <f t="array" ref="A1134">INDEX('Portfolio Weights Returns'!$B$9:$BJ$69,
INT((ROW(A1133)-1)/COLUMNS('Portfolio Weights Returns'!$B$9:$BJ$69))+1,MOD(ROW(A1133)-1,COLUMNS('Portfolio Weights Returns'!$B$9:$BJ$69))+1)</f>
        <v>-8.460796485361083E-4</v>
      </c>
      <c r="B1134">
        <v>1.83E-2</v>
      </c>
      <c r="C1134" s="59">
        <v>0</v>
      </c>
      <c r="D1134" s="59">
        <v>0.13</v>
      </c>
      <c r="E1134" s="60">
        <f t="shared" si="17"/>
        <v>0.87</v>
      </c>
      <c r="F1134" t="str" cm="1">
        <f t="array" ref="F1134">IF(A1134=MAX(IF(ROUND($B$2:$B$3722,4)=ROUND(B1134,4),$A$2:$A$3722)),"Efficient","Inefficient")</f>
        <v>Inefficient</v>
      </c>
    </row>
    <row r="1135" spans="1:6" x14ac:dyDescent="0.25">
      <c r="A1135" cm="1">
        <f t="array" ref="A1135">INDEX('Portfolio Weights Returns'!$B$9:$BJ$69,
INT((ROW(A1134)-1)/COLUMNS('Portfolio Weights Returns'!$B$9:$BJ$69))+1,MOD(ROW(A1134)-1,COLUMNS('Portfolio Weights Returns'!$B$9:$BJ$69))+1)</f>
        <v>-8.3929847456942904E-4</v>
      </c>
      <c r="B1135">
        <v>1.83E-2</v>
      </c>
      <c r="C1135" s="59">
        <v>0</v>
      </c>
      <c r="D1135" s="59">
        <v>0.18</v>
      </c>
      <c r="E1135" s="60">
        <f t="shared" si="17"/>
        <v>0.82000000000000006</v>
      </c>
      <c r="F1135" t="str" cm="1">
        <f t="array" ref="F1135">IF(A1135=MAX(IF(ROUND($B$2:$B$3722,4)=ROUND(B1135,4),$A$2:$A$3722)),"Efficient","Inefficient")</f>
        <v>Inefficient</v>
      </c>
    </row>
    <row r="1136" spans="1:6" x14ac:dyDescent="0.25">
      <c r="A1136" cm="1">
        <f t="array" ref="A1136">INDEX('Portfolio Weights Returns'!$B$9:$BJ$69,
INT((ROW(A1135)-1)/COLUMNS('Portfolio Weights Returns'!$B$9:$BJ$69))+1,MOD(ROW(A1135)-1,COLUMNS('Portfolio Weights Returns'!$B$9:$BJ$69))+1)</f>
        <v>-8.3251730060275011E-4</v>
      </c>
      <c r="B1136">
        <v>1.83E-2</v>
      </c>
      <c r="C1136" s="59">
        <v>0</v>
      </c>
      <c r="D1136" s="59">
        <v>0.19</v>
      </c>
      <c r="E1136" s="60">
        <f t="shared" si="17"/>
        <v>0.81</v>
      </c>
      <c r="F1136" t="str" cm="1">
        <f t="array" ref="F1136">IF(A1136=MAX(IF(ROUND($B$2:$B$3722,4)=ROUND(B1136,4),$A$2:$A$3722)),"Efficient","Inefficient")</f>
        <v>Inefficient</v>
      </c>
    </row>
    <row r="1137" spans="1:6" x14ac:dyDescent="0.25">
      <c r="A1137" cm="1">
        <f t="array" ref="A1137">INDEX('Portfolio Weights Returns'!$B$9:$BJ$69,
INT((ROW(A1136)-1)/COLUMNS('Portfolio Weights Returns'!$B$9:$BJ$69))+1,MOD(ROW(A1136)-1,COLUMNS('Portfolio Weights Returns'!$B$9:$BJ$69))+1)</f>
        <v>-8.2573612663607086E-4</v>
      </c>
      <c r="B1137">
        <v>1.83E-2</v>
      </c>
      <c r="C1137" s="59">
        <v>0</v>
      </c>
      <c r="D1137" s="59">
        <v>0.2</v>
      </c>
      <c r="E1137" s="60">
        <f t="shared" si="17"/>
        <v>0.8</v>
      </c>
      <c r="F1137" t="str" cm="1">
        <f t="array" ref="F1137">IF(A1137=MAX(IF(ROUND($B$2:$B$3722,4)=ROUND(B1137,4),$A$2:$A$3722)),"Efficient","Inefficient")</f>
        <v>Inefficient</v>
      </c>
    </row>
    <row r="1138" spans="1:6" x14ac:dyDescent="0.25">
      <c r="A1138" cm="1">
        <f t="array" ref="A1138">INDEX('Portfolio Weights Returns'!$B$9:$BJ$69,
INT((ROW(A1137)-1)/COLUMNS('Portfolio Weights Returns'!$B$9:$BJ$69))+1,MOD(ROW(A1137)-1,COLUMNS('Portfolio Weights Returns'!$B$9:$BJ$69))+1)</f>
        <v>-8.1895495266939193E-4</v>
      </c>
      <c r="B1138">
        <v>1.83E-2</v>
      </c>
      <c r="C1138" s="59">
        <v>0.01</v>
      </c>
      <c r="D1138" s="59">
        <v>0.21</v>
      </c>
      <c r="E1138" s="60">
        <f t="shared" si="17"/>
        <v>0.78</v>
      </c>
      <c r="F1138" t="str" cm="1">
        <f t="array" ref="F1138">IF(A1138=MAX(IF(ROUND($B$2:$B$3722,4)=ROUND(B1138,4),$A$2:$A$3722)),"Efficient","Inefficient")</f>
        <v>Inefficient</v>
      </c>
    </row>
    <row r="1139" spans="1:6" x14ac:dyDescent="0.25">
      <c r="A1139" cm="1">
        <f t="array" ref="A1139">INDEX('Portfolio Weights Returns'!$B$9:$BJ$69,
INT((ROW(A1138)-1)/COLUMNS('Portfolio Weights Returns'!$B$9:$BJ$69))+1,MOD(ROW(A1138)-1,COLUMNS('Portfolio Weights Returns'!$B$9:$BJ$69))+1)</f>
        <v>-8.1217377870271279E-4</v>
      </c>
      <c r="B1139">
        <v>1.83E-2</v>
      </c>
      <c r="C1139" s="59">
        <v>0.01</v>
      </c>
      <c r="D1139" s="59">
        <v>0.22</v>
      </c>
      <c r="E1139" s="60">
        <f t="shared" si="17"/>
        <v>0.77</v>
      </c>
      <c r="F1139" t="str" cm="1">
        <f t="array" ref="F1139">IF(A1139=MAX(IF(ROUND($B$2:$B$3722,4)=ROUND(B1139,4),$A$2:$A$3722)),"Efficient","Inefficient")</f>
        <v>Inefficient</v>
      </c>
    </row>
    <row r="1140" spans="1:6" x14ac:dyDescent="0.25">
      <c r="A1140" cm="1">
        <f t="array" ref="A1140">INDEX('Portfolio Weights Returns'!$B$9:$BJ$69,
INT((ROW(A1139)-1)/COLUMNS('Portfolio Weights Returns'!$B$9:$BJ$69))+1,MOD(ROW(A1139)-1,COLUMNS('Portfolio Weights Returns'!$B$9:$BJ$69))+1)</f>
        <v>-8.0539260473603365E-4</v>
      </c>
      <c r="B1140">
        <v>1.83E-2</v>
      </c>
      <c r="C1140" s="59">
        <v>0.02</v>
      </c>
      <c r="D1140" s="59">
        <v>0.23</v>
      </c>
      <c r="E1140" s="60">
        <f t="shared" si="17"/>
        <v>0.75</v>
      </c>
      <c r="F1140" t="str" cm="1">
        <f t="array" ref="F1140">IF(A1140=MAX(IF(ROUND($B$2:$B$3722,4)=ROUND(B1140,4),$A$2:$A$3722)),"Efficient","Inefficient")</f>
        <v>Inefficient</v>
      </c>
    </row>
    <row r="1141" spans="1:6" x14ac:dyDescent="0.25">
      <c r="A1141" cm="1">
        <f t="array" ref="A1141">INDEX('Portfolio Weights Returns'!$B$9:$BJ$69,
INT((ROW(A1140)-1)/COLUMNS('Portfolio Weights Returns'!$B$9:$BJ$69))+1,MOD(ROW(A1140)-1,COLUMNS('Portfolio Weights Returns'!$B$9:$BJ$69))+1)</f>
        <v>-7.986114307693545E-4</v>
      </c>
      <c r="B1141">
        <v>1.83E-2</v>
      </c>
      <c r="C1141" s="59">
        <v>0.02</v>
      </c>
      <c r="D1141" s="59">
        <v>0.24</v>
      </c>
      <c r="E1141" s="60">
        <f t="shared" si="17"/>
        <v>0.74</v>
      </c>
      <c r="F1141" t="str" cm="1">
        <f t="array" ref="F1141">IF(A1141=MAX(IF(ROUND($B$2:$B$3722,4)=ROUND(B1141,4),$A$2:$A$3722)),"Efficient","Inefficient")</f>
        <v>Inefficient</v>
      </c>
    </row>
    <row r="1142" spans="1:6" x14ac:dyDescent="0.25">
      <c r="A1142" cm="1">
        <f t="array" ref="A1142">INDEX('Portfolio Weights Returns'!$B$9:$BJ$69,
INT((ROW(A1141)-1)/COLUMNS('Portfolio Weights Returns'!$B$9:$BJ$69))+1,MOD(ROW(A1141)-1,COLUMNS('Portfolio Weights Returns'!$B$9:$BJ$69))+1)</f>
        <v>-7.9183025680267546E-4</v>
      </c>
      <c r="B1142">
        <v>1.83E-2</v>
      </c>
      <c r="C1142" s="59">
        <v>0.03</v>
      </c>
      <c r="D1142" s="59">
        <v>0.25</v>
      </c>
      <c r="E1142" s="60">
        <f t="shared" si="17"/>
        <v>0.72</v>
      </c>
      <c r="F1142" t="str" cm="1">
        <f t="array" ref="F1142">IF(A1142=MAX(IF(ROUND($B$2:$B$3722,4)=ROUND(B1142,4),$A$2:$A$3722)),"Efficient","Inefficient")</f>
        <v>Inefficient</v>
      </c>
    </row>
    <row r="1143" spans="1:6" x14ac:dyDescent="0.25">
      <c r="A1143" cm="1">
        <f t="array" ref="A1143">INDEX('Portfolio Weights Returns'!$B$9:$BJ$69,
INT((ROW(A1142)-1)/COLUMNS('Portfolio Weights Returns'!$B$9:$BJ$69))+1,MOD(ROW(A1142)-1,COLUMNS('Portfolio Weights Returns'!$B$9:$BJ$69))+1)</f>
        <v>-7.8504908283599632E-4</v>
      </c>
      <c r="B1143">
        <v>1.83E-2</v>
      </c>
      <c r="C1143" s="59">
        <v>0.04</v>
      </c>
      <c r="D1143" s="59">
        <v>0.26</v>
      </c>
      <c r="E1143" s="60">
        <f t="shared" si="17"/>
        <v>0.7</v>
      </c>
      <c r="F1143" t="str" cm="1">
        <f t="array" ref="F1143">IF(A1143=MAX(IF(ROUND($B$2:$B$3722,4)=ROUND(B1143,4),$A$2:$A$3722)),"Efficient","Inefficient")</f>
        <v>Inefficient</v>
      </c>
    </row>
    <row r="1144" spans="1:6" x14ac:dyDescent="0.25">
      <c r="A1144" cm="1">
        <f t="array" ref="A1144">INDEX('Portfolio Weights Returns'!$B$9:$BJ$69,
INT((ROW(A1143)-1)/COLUMNS('Portfolio Weights Returns'!$B$9:$BJ$69))+1,MOD(ROW(A1143)-1,COLUMNS('Portfolio Weights Returns'!$B$9:$BJ$69))+1)</f>
        <v>-7.7826790886931728E-4</v>
      </c>
      <c r="B1144">
        <v>1.83E-2</v>
      </c>
      <c r="C1144" s="59">
        <v>0.05</v>
      </c>
      <c r="D1144" s="59">
        <v>0.27</v>
      </c>
      <c r="E1144" s="60">
        <f t="shared" si="17"/>
        <v>0.67999999999999994</v>
      </c>
      <c r="F1144" t="str" cm="1">
        <f t="array" ref="F1144">IF(A1144=MAX(IF(ROUND($B$2:$B$3722,4)=ROUND(B1144,4),$A$2:$A$3722)),"Efficient","Inefficient")</f>
        <v>Inefficient</v>
      </c>
    </row>
    <row r="1145" spans="1:6" x14ac:dyDescent="0.25">
      <c r="A1145" cm="1">
        <f t="array" ref="A1145">INDEX('Portfolio Weights Returns'!$B$9:$BJ$69,
INT((ROW(A1144)-1)/COLUMNS('Portfolio Weights Returns'!$B$9:$BJ$69))+1,MOD(ROW(A1144)-1,COLUMNS('Portfolio Weights Returns'!$B$9:$BJ$69))+1)</f>
        <v>-7.7148673490263814E-4</v>
      </c>
      <c r="B1145">
        <v>1.83E-2</v>
      </c>
      <c r="C1145" s="59">
        <v>7.0000000000000007E-2</v>
      </c>
      <c r="D1145" s="59">
        <v>0.28000000000000003</v>
      </c>
      <c r="E1145" s="60">
        <f t="shared" si="17"/>
        <v>0.64999999999999991</v>
      </c>
      <c r="F1145" t="str" cm="1">
        <f t="array" ref="F1145">IF(A1145=MAX(IF(ROUND($B$2:$B$3722,4)=ROUND(B1145,4),$A$2:$A$3722)),"Efficient","Inefficient")</f>
        <v>Inefficient</v>
      </c>
    </row>
    <row r="1146" spans="1:6" x14ac:dyDescent="0.25">
      <c r="A1146" cm="1">
        <f t="array" ref="A1146">INDEX('Portfolio Weights Returns'!$B$9:$BJ$69,
INT((ROW(A1145)-1)/COLUMNS('Portfolio Weights Returns'!$B$9:$BJ$69))+1,MOD(ROW(A1145)-1,COLUMNS('Portfolio Weights Returns'!$B$9:$BJ$69))+1)</f>
        <v>-7.64705560935959E-4</v>
      </c>
      <c r="B1146">
        <v>1.83E-2</v>
      </c>
      <c r="C1146" s="59">
        <v>0.08</v>
      </c>
      <c r="D1146" s="59">
        <v>0.28999999999999998</v>
      </c>
      <c r="E1146" s="60">
        <f t="shared" si="17"/>
        <v>0.63</v>
      </c>
      <c r="F1146" t="str" cm="1">
        <f t="array" ref="F1146">IF(A1146=MAX(IF(ROUND($B$2:$B$3722,4)=ROUND(B1146,4),$A$2:$A$3722)),"Efficient","Inefficient")</f>
        <v>Inefficient</v>
      </c>
    </row>
    <row r="1147" spans="1:6" x14ac:dyDescent="0.25">
      <c r="A1147" cm="1">
        <f t="array" ref="A1147">INDEX('Portfolio Weights Returns'!$B$9:$BJ$69,
INT((ROW(A1146)-1)/COLUMNS('Portfolio Weights Returns'!$B$9:$BJ$69))+1,MOD(ROW(A1146)-1,COLUMNS('Portfolio Weights Returns'!$B$9:$BJ$69))+1)</f>
        <v>-7.5792438696927985E-4</v>
      </c>
      <c r="B1147">
        <v>1.83E-2</v>
      </c>
      <c r="C1147" s="59">
        <v>0.09</v>
      </c>
      <c r="D1147" s="59">
        <v>0.28999999999999998</v>
      </c>
      <c r="E1147" s="60">
        <f t="shared" si="17"/>
        <v>0.62</v>
      </c>
      <c r="F1147" t="str" cm="1">
        <f t="array" ref="F1147">IF(A1147=MAX(IF(ROUND($B$2:$B$3722,4)=ROUND(B1147,4),$A$2:$A$3722)),"Efficient","Inefficient")</f>
        <v>Inefficient</v>
      </c>
    </row>
    <row r="1148" spans="1:6" x14ac:dyDescent="0.25">
      <c r="A1148" cm="1">
        <f t="array" ref="A1148">INDEX('Portfolio Weights Returns'!$B$9:$BJ$69,
INT((ROW(A1147)-1)/COLUMNS('Portfolio Weights Returns'!$B$9:$BJ$69))+1,MOD(ROW(A1147)-1,COLUMNS('Portfolio Weights Returns'!$B$9:$BJ$69))+1)</f>
        <v>-7.5114321300260092E-4</v>
      </c>
      <c r="B1148">
        <v>1.83E-2</v>
      </c>
      <c r="C1148" s="59">
        <v>0.1</v>
      </c>
      <c r="D1148" s="59">
        <v>0.3</v>
      </c>
      <c r="E1148" s="60">
        <f t="shared" si="17"/>
        <v>0.6</v>
      </c>
      <c r="F1148" t="str" cm="1">
        <f t="array" ref="F1148">IF(A1148=MAX(IF(ROUND($B$2:$B$3722,4)=ROUND(B1148,4),$A$2:$A$3722)),"Efficient","Inefficient")</f>
        <v>Inefficient</v>
      </c>
    </row>
    <row r="1149" spans="1:6" x14ac:dyDescent="0.25">
      <c r="A1149" cm="1">
        <f t="array" ref="A1149">INDEX('Portfolio Weights Returns'!$B$9:$BJ$69,
INT((ROW(A1148)-1)/COLUMNS('Portfolio Weights Returns'!$B$9:$BJ$69))+1,MOD(ROW(A1148)-1,COLUMNS('Portfolio Weights Returns'!$B$9:$BJ$69))+1)</f>
        <v>-7.4436203903592178E-4</v>
      </c>
      <c r="B1149">
        <v>1.83E-2</v>
      </c>
      <c r="C1149" s="59">
        <v>0.11</v>
      </c>
      <c r="D1149" s="59">
        <v>0.3</v>
      </c>
      <c r="E1149" s="60">
        <f t="shared" si="17"/>
        <v>0.59</v>
      </c>
      <c r="F1149" t="str" cm="1">
        <f t="array" ref="F1149">IF(A1149=MAX(IF(ROUND($B$2:$B$3722,4)=ROUND(B1149,4),$A$2:$A$3722)),"Efficient","Inefficient")</f>
        <v>Efficient</v>
      </c>
    </row>
    <row r="1150" spans="1:6" x14ac:dyDescent="0.25">
      <c r="A1150" cm="1">
        <f t="array" ref="A1150">INDEX('Portfolio Weights Returns'!$B$9:$BJ$69,
INT((ROW(A1149)-1)/COLUMNS('Portfolio Weights Returns'!$B$9:$BJ$69))+1,MOD(ROW(A1149)-1,COLUMNS('Portfolio Weights Returns'!$B$9:$BJ$69))+1)</f>
        <v>-7.3758086506924263E-4</v>
      </c>
      <c r="B1150">
        <v>1.84E-2</v>
      </c>
      <c r="C1150" s="59">
        <v>0.28999999999999998</v>
      </c>
      <c r="D1150" s="59">
        <v>-0.19</v>
      </c>
      <c r="E1150" s="60">
        <f t="shared" si="17"/>
        <v>0.89999999999999991</v>
      </c>
      <c r="F1150" t="str" cm="1">
        <f t="array" ref="F1150">IF(A1150=MAX(IF(ROUND($B$2:$B$3722,4)=ROUND(B1150,4),$A$2:$A$3722)),"Efficient","Inefficient")</f>
        <v>Inefficient</v>
      </c>
    </row>
    <row r="1151" spans="1:6" x14ac:dyDescent="0.25">
      <c r="A1151" cm="1">
        <f t="array" ref="A1151">INDEX('Portfolio Weights Returns'!$B$9:$BJ$69,
INT((ROW(A1150)-1)/COLUMNS('Portfolio Weights Returns'!$B$9:$BJ$69))+1,MOD(ROW(A1150)-1,COLUMNS('Portfolio Weights Returns'!$B$9:$BJ$69))+1)</f>
        <v>-7.307996911025636E-4</v>
      </c>
      <c r="B1151">
        <v>1.84E-2</v>
      </c>
      <c r="C1151" s="59">
        <v>0.27</v>
      </c>
      <c r="D1151" s="59">
        <v>-0.18</v>
      </c>
      <c r="E1151" s="60">
        <f t="shared" si="17"/>
        <v>0.90999999999999992</v>
      </c>
      <c r="F1151" t="str" cm="1">
        <f t="array" ref="F1151">IF(A1151=MAX(IF(ROUND($B$2:$B$3722,4)=ROUND(B1151,4),$A$2:$A$3722)),"Efficient","Inefficient")</f>
        <v>Inefficient</v>
      </c>
    </row>
    <row r="1152" spans="1:6" x14ac:dyDescent="0.25">
      <c r="A1152" cm="1">
        <f t="array" ref="A1152">INDEX('Portfolio Weights Returns'!$B$9:$BJ$69,
INT((ROW(A1151)-1)/COLUMNS('Portfolio Weights Returns'!$B$9:$BJ$69))+1,MOD(ROW(A1151)-1,COLUMNS('Portfolio Weights Returns'!$B$9:$BJ$69))+1)</f>
        <v>-7.2401851713588435E-4</v>
      </c>
      <c r="B1152">
        <v>1.84E-2</v>
      </c>
      <c r="C1152" s="59">
        <v>0.26</v>
      </c>
      <c r="D1152" s="59">
        <v>-0.17</v>
      </c>
      <c r="E1152" s="60">
        <f t="shared" si="17"/>
        <v>0.90999999999999992</v>
      </c>
      <c r="F1152" t="str" cm="1">
        <f t="array" ref="F1152">IF(A1152=MAX(IF(ROUND($B$2:$B$3722,4)=ROUND(B1152,4),$A$2:$A$3722)),"Efficient","Inefficient")</f>
        <v>Inefficient</v>
      </c>
    </row>
    <row r="1153" spans="1:6" x14ac:dyDescent="0.25">
      <c r="A1153" cm="1">
        <f t="array" ref="A1153">INDEX('Portfolio Weights Returns'!$B$9:$BJ$69,
INT((ROW(A1152)-1)/COLUMNS('Portfolio Weights Returns'!$B$9:$BJ$69))+1,MOD(ROW(A1152)-1,COLUMNS('Portfolio Weights Returns'!$B$9:$BJ$69))+1)</f>
        <v>-7.1723734316920531E-4</v>
      </c>
      <c r="B1153">
        <v>1.84E-2</v>
      </c>
      <c r="C1153" s="59">
        <v>0.24</v>
      </c>
      <c r="D1153" s="59">
        <v>-0.16</v>
      </c>
      <c r="E1153" s="60">
        <f t="shared" si="17"/>
        <v>0.91999999999999993</v>
      </c>
      <c r="F1153" t="str" cm="1">
        <f t="array" ref="F1153">IF(A1153=MAX(IF(ROUND($B$2:$B$3722,4)=ROUND(B1153,4),$A$2:$A$3722)),"Efficient","Inefficient")</f>
        <v>Inefficient</v>
      </c>
    </row>
    <row r="1154" spans="1:6" x14ac:dyDescent="0.25">
      <c r="A1154" cm="1">
        <f t="array" ref="A1154">INDEX('Portfolio Weights Returns'!$B$9:$BJ$69,
INT((ROW(A1153)-1)/COLUMNS('Portfolio Weights Returns'!$B$9:$BJ$69))+1,MOD(ROW(A1153)-1,COLUMNS('Portfolio Weights Returns'!$B$9:$BJ$69))+1)</f>
        <v>-7.1045616920252617E-4</v>
      </c>
      <c r="B1154">
        <v>1.84E-2</v>
      </c>
      <c r="C1154" s="59">
        <v>0.21</v>
      </c>
      <c r="D1154" s="59">
        <v>-0.14000000000000001</v>
      </c>
      <c r="E1154" s="60">
        <f t="shared" ref="E1154:E1217" si="18">1-D1154-C1154</f>
        <v>0.93000000000000016</v>
      </c>
      <c r="F1154" t="str" cm="1">
        <f t="array" ref="F1154">IF(A1154=MAX(IF(ROUND($B$2:$B$3722,4)=ROUND(B1154,4),$A$2:$A$3722)),"Efficient","Inefficient")</f>
        <v>Inefficient</v>
      </c>
    </row>
    <row r="1155" spans="1:6" x14ac:dyDescent="0.25">
      <c r="A1155" cm="1">
        <f t="array" ref="A1155">INDEX('Portfolio Weights Returns'!$B$9:$BJ$69,
INT((ROW(A1154)-1)/COLUMNS('Portfolio Weights Returns'!$B$9:$BJ$69))+1,MOD(ROW(A1154)-1,COLUMNS('Portfolio Weights Returns'!$B$9:$BJ$69))+1)</f>
        <v>-7.0367499523584713E-4</v>
      </c>
      <c r="B1155">
        <v>1.84E-2</v>
      </c>
      <c r="C1155" s="59">
        <v>0.18</v>
      </c>
      <c r="D1155" s="59">
        <v>-0.12</v>
      </c>
      <c r="E1155" s="60">
        <f t="shared" si="18"/>
        <v>0.94000000000000017</v>
      </c>
      <c r="F1155" t="str" cm="1">
        <f t="array" ref="F1155">IF(A1155=MAX(IF(ROUND($B$2:$B$3722,4)=ROUND(B1155,4),$A$2:$A$3722)),"Efficient","Inefficient")</f>
        <v>Inefficient</v>
      </c>
    </row>
    <row r="1156" spans="1:6" x14ac:dyDescent="0.25">
      <c r="A1156" cm="1">
        <f t="array" ref="A1156">INDEX('Portfolio Weights Returns'!$B$9:$BJ$69,
INT((ROW(A1155)-1)/COLUMNS('Portfolio Weights Returns'!$B$9:$BJ$69))+1,MOD(ROW(A1155)-1,COLUMNS('Portfolio Weights Returns'!$B$9:$BJ$69))+1)</f>
        <v>-6.9689382126916798E-4</v>
      </c>
      <c r="B1156">
        <v>1.84E-2</v>
      </c>
      <c r="C1156" s="59">
        <v>0.17</v>
      </c>
      <c r="D1156" s="59">
        <v>-0.11</v>
      </c>
      <c r="E1156" s="60">
        <f t="shared" si="18"/>
        <v>0.94000000000000006</v>
      </c>
      <c r="F1156" t="str" cm="1">
        <f t="array" ref="F1156">IF(A1156=MAX(IF(ROUND($B$2:$B$3722,4)=ROUND(B1156,4),$A$2:$A$3722)),"Efficient","Inefficient")</f>
        <v>Inefficient</v>
      </c>
    </row>
    <row r="1157" spans="1:6" x14ac:dyDescent="0.25">
      <c r="A1157" cm="1">
        <f t="array" ref="A1157">INDEX('Portfolio Weights Returns'!$B$9:$BJ$69,
INT((ROW(A1156)-1)/COLUMNS('Portfolio Weights Returns'!$B$9:$BJ$69))+1,MOD(ROW(A1156)-1,COLUMNS('Portfolio Weights Returns'!$B$9:$BJ$69))+1)</f>
        <v>-6.9011264730248819E-4</v>
      </c>
      <c r="B1157">
        <v>1.84E-2</v>
      </c>
      <c r="C1157" s="59">
        <v>0.14000000000000001</v>
      </c>
      <c r="D1157" s="59">
        <v>-0.09</v>
      </c>
      <c r="E1157" s="60">
        <f t="shared" si="18"/>
        <v>0.95000000000000007</v>
      </c>
      <c r="F1157" t="str" cm="1">
        <f t="array" ref="F1157">IF(A1157=MAX(IF(ROUND($B$2:$B$3722,4)=ROUND(B1157,4),$A$2:$A$3722)),"Efficient","Inefficient")</f>
        <v>Inefficient</v>
      </c>
    </row>
    <row r="1158" spans="1:6" x14ac:dyDescent="0.25">
      <c r="A1158" cm="1">
        <f t="array" ref="A1158">INDEX('Portfolio Weights Returns'!$B$9:$BJ$69,
INT((ROW(A1157)-1)/COLUMNS('Portfolio Weights Returns'!$B$9:$BJ$69))+1,MOD(ROW(A1157)-1,COLUMNS('Portfolio Weights Returns'!$B$9:$BJ$69))+1)</f>
        <v>-6.8333147333580905E-4</v>
      </c>
      <c r="B1158">
        <v>1.84E-2</v>
      </c>
      <c r="C1158" s="59">
        <v>0.13</v>
      </c>
      <c r="D1158" s="59">
        <v>-0.08</v>
      </c>
      <c r="E1158" s="60">
        <f t="shared" si="18"/>
        <v>0.95000000000000007</v>
      </c>
      <c r="F1158" t="str" cm="1">
        <f t="array" ref="F1158">IF(A1158=MAX(IF(ROUND($B$2:$B$3722,4)=ROUND(B1158,4),$A$2:$A$3722)),"Efficient","Inefficient")</f>
        <v>Inefficient</v>
      </c>
    </row>
    <row r="1159" spans="1:6" x14ac:dyDescent="0.25">
      <c r="A1159" cm="1">
        <f t="array" ref="A1159">INDEX('Portfolio Weights Returns'!$B$9:$BJ$69,
INT((ROW(A1158)-1)/COLUMNS('Portfolio Weights Returns'!$B$9:$BJ$69))+1,MOD(ROW(A1158)-1,COLUMNS('Portfolio Weights Returns'!$B$9:$BJ$69))+1)</f>
        <v>-6.7655029936913012E-4</v>
      </c>
      <c r="B1159">
        <v>1.84E-2</v>
      </c>
      <c r="C1159" s="59">
        <v>0.12</v>
      </c>
      <c r="D1159" s="59">
        <v>-7.0000000000000007E-2</v>
      </c>
      <c r="E1159" s="60">
        <f t="shared" si="18"/>
        <v>0.95000000000000007</v>
      </c>
      <c r="F1159" t="str" cm="1">
        <f t="array" ref="F1159">IF(A1159=MAX(IF(ROUND($B$2:$B$3722,4)=ROUND(B1159,4),$A$2:$A$3722)),"Efficient","Inefficient")</f>
        <v>Inefficient</v>
      </c>
    </row>
    <row r="1160" spans="1:6" x14ac:dyDescent="0.25">
      <c r="A1160" cm="1">
        <f t="array" ref="A1160">INDEX('Portfolio Weights Returns'!$B$9:$BJ$69,
INT((ROW(A1159)-1)/COLUMNS('Portfolio Weights Returns'!$B$9:$BJ$69))+1,MOD(ROW(A1159)-1,COLUMNS('Portfolio Weights Returns'!$B$9:$BJ$69))+1)</f>
        <v>-6.6976912540245097E-4</v>
      </c>
      <c r="B1160">
        <v>1.84E-2</v>
      </c>
      <c r="C1160" s="59">
        <v>0.11</v>
      </c>
      <c r="D1160" s="59">
        <v>-0.06</v>
      </c>
      <c r="E1160" s="60">
        <f t="shared" si="18"/>
        <v>0.95000000000000007</v>
      </c>
      <c r="F1160" t="str" cm="1">
        <f t="array" ref="F1160">IF(A1160=MAX(IF(ROUND($B$2:$B$3722,4)=ROUND(B1160,4),$A$2:$A$3722)),"Efficient","Inefficient")</f>
        <v>Efficient</v>
      </c>
    </row>
    <row r="1161" spans="1:6" x14ac:dyDescent="0.25">
      <c r="A1161" cm="1">
        <f t="array" ref="A1161">INDEX('Portfolio Weights Returns'!$B$9:$BJ$69,
INT((ROW(A1160)-1)/COLUMNS('Portfolio Weights Returns'!$B$9:$BJ$69))+1,MOD(ROW(A1160)-1,COLUMNS('Portfolio Weights Returns'!$B$9:$BJ$69))+1)</f>
        <v>-1.0700653555577428E-3</v>
      </c>
      <c r="B1161">
        <v>1.84E-2</v>
      </c>
      <c r="C1161" s="59">
        <v>0.1</v>
      </c>
      <c r="D1161" s="59">
        <v>-0.05</v>
      </c>
      <c r="E1161" s="60">
        <f t="shared" si="18"/>
        <v>0.95000000000000007</v>
      </c>
      <c r="F1161" t="str" cm="1">
        <f t="array" ref="F1161">IF(A1161=MAX(IF(ROUND($B$2:$B$3722,4)=ROUND(B1161,4),$A$2:$A$3722)),"Efficient","Inefficient")</f>
        <v>Inefficient</v>
      </c>
    </row>
    <row r="1162" spans="1:6" x14ac:dyDescent="0.25">
      <c r="A1162" cm="1">
        <f t="array" ref="A1162">INDEX('Portfolio Weights Returns'!$B$9:$BJ$69,
INT((ROW(A1161)-1)/COLUMNS('Portfolio Weights Returns'!$B$9:$BJ$69))+1,MOD(ROW(A1161)-1,COLUMNS('Portfolio Weights Returns'!$B$9:$BJ$69))+1)</f>
        <v>-1.0632841815910636E-3</v>
      </c>
      <c r="B1162">
        <v>1.84E-2</v>
      </c>
      <c r="C1162" s="59">
        <v>0.09</v>
      </c>
      <c r="D1162" s="59">
        <v>-0.04</v>
      </c>
      <c r="E1162" s="60">
        <f t="shared" si="18"/>
        <v>0.95000000000000007</v>
      </c>
      <c r="F1162" t="str" cm="1">
        <f t="array" ref="F1162">IF(A1162=MAX(IF(ROUND($B$2:$B$3722,4)=ROUND(B1162,4),$A$2:$A$3722)),"Efficient","Inefficient")</f>
        <v>Inefficient</v>
      </c>
    </row>
    <row r="1163" spans="1:6" x14ac:dyDescent="0.25">
      <c r="A1163" cm="1">
        <f t="array" ref="A1163">INDEX('Portfolio Weights Returns'!$B$9:$BJ$69,
INT((ROW(A1162)-1)/COLUMNS('Portfolio Weights Returns'!$B$9:$BJ$69))+1,MOD(ROW(A1162)-1,COLUMNS('Portfolio Weights Returns'!$B$9:$BJ$69))+1)</f>
        <v>-1.0565030076243845E-3</v>
      </c>
      <c r="B1163">
        <v>1.84E-2</v>
      </c>
      <c r="C1163" s="59">
        <v>0.08</v>
      </c>
      <c r="D1163" s="59">
        <v>-0.03</v>
      </c>
      <c r="E1163" s="60">
        <f t="shared" si="18"/>
        <v>0.95000000000000007</v>
      </c>
      <c r="F1163" t="str" cm="1">
        <f t="array" ref="F1163">IF(A1163=MAX(IF(ROUND($B$2:$B$3722,4)=ROUND(B1163,4),$A$2:$A$3722)),"Efficient","Inefficient")</f>
        <v>Inefficient</v>
      </c>
    </row>
    <row r="1164" spans="1:6" x14ac:dyDescent="0.25">
      <c r="A1164" cm="1">
        <f t="array" ref="A1164">INDEX('Portfolio Weights Returns'!$B$9:$BJ$69,
INT((ROW(A1163)-1)/COLUMNS('Portfolio Weights Returns'!$B$9:$BJ$69))+1,MOD(ROW(A1163)-1,COLUMNS('Portfolio Weights Returns'!$B$9:$BJ$69))+1)</f>
        <v>-1.0497218336577054E-3</v>
      </c>
      <c r="B1164">
        <v>1.84E-2</v>
      </c>
      <c r="C1164" s="59">
        <v>7.0000000000000007E-2</v>
      </c>
      <c r="D1164" s="59">
        <v>-0.02</v>
      </c>
      <c r="E1164" s="60">
        <f t="shared" si="18"/>
        <v>0.95</v>
      </c>
      <c r="F1164" t="str" cm="1">
        <f t="array" ref="F1164">IF(A1164=MAX(IF(ROUND($B$2:$B$3722,4)=ROUND(B1164,4),$A$2:$A$3722)),"Efficient","Inefficient")</f>
        <v>Inefficient</v>
      </c>
    </row>
    <row r="1165" spans="1:6" x14ac:dyDescent="0.25">
      <c r="A1165" cm="1">
        <f t="array" ref="A1165">INDEX('Portfolio Weights Returns'!$B$9:$BJ$69,
INT((ROW(A1164)-1)/COLUMNS('Portfolio Weights Returns'!$B$9:$BJ$69))+1,MOD(ROW(A1164)-1,COLUMNS('Portfolio Weights Returns'!$B$9:$BJ$69))+1)</f>
        <v>-1.0429406596910264E-3</v>
      </c>
      <c r="B1165">
        <v>1.84E-2</v>
      </c>
      <c r="C1165" s="59">
        <v>0.06</v>
      </c>
      <c r="D1165" s="59">
        <v>-0.01</v>
      </c>
      <c r="E1165" s="60">
        <f t="shared" si="18"/>
        <v>0.95</v>
      </c>
      <c r="F1165" t="str" cm="1">
        <f t="array" ref="F1165">IF(A1165=MAX(IF(ROUND($B$2:$B$3722,4)=ROUND(B1165,4),$A$2:$A$3722)),"Efficient","Inefficient")</f>
        <v>Inefficient</v>
      </c>
    </row>
    <row r="1166" spans="1:6" x14ac:dyDescent="0.25">
      <c r="A1166" cm="1">
        <f t="array" ref="A1166">INDEX('Portfolio Weights Returns'!$B$9:$BJ$69,
INT((ROW(A1165)-1)/COLUMNS('Portfolio Weights Returns'!$B$9:$BJ$69))+1,MOD(ROW(A1165)-1,COLUMNS('Portfolio Weights Returns'!$B$9:$BJ$69))+1)</f>
        <v>-1.0361594857243473E-3</v>
      </c>
      <c r="B1166">
        <v>1.84E-2</v>
      </c>
      <c r="C1166" s="59">
        <v>0.05</v>
      </c>
      <c r="D1166" s="59">
        <v>0</v>
      </c>
      <c r="E1166" s="60">
        <f t="shared" si="18"/>
        <v>0.95</v>
      </c>
      <c r="F1166" t="str" cm="1">
        <f t="array" ref="F1166">IF(A1166=MAX(IF(ROUND($B$2:$B$3722,4)=ROUND(B1166,4),$A$2:$A$3722)),"Efficient","Inefficient")</f>
        <v>Inefficient</v>
      </c>
    </row>
    <row r="1167" spans="1:6" x14ac:dyDescent="0.25">
      <c r="A1167" cm="1">
        <f t="array" ref="A1167">INDEX('Portfolio Weights Returns'!$B$9:$BJ$69,
INT((ROW(A1166)-1)/COLUMNS('Portfolio Weights Returns'!$B$9:$BJ$69))+1,MOD(ROW(A1166)-1,COLUMNS('Portfolio Weights Returns'!$B$9:$BJ$69))+1)</f>
        <v>-1.0293783117576681E-3</v>
      </c>
      <c r="B1167">
        <v>1.84E-2</v>
      </c>
      <c r="C1167" s="59">
        <v>0.04</v>
      </c>
      <c r="D1167" s="59">
        <v>0.02</v>
      </c>
      <c r="E1167" s="60">
        <f t="shared" si="18"/>
        <v>0.94</v>
      </c>
      <c r="F1167" t="str" cm="1">
        <f t="array" ref="F1167">IF(A1167=MAX(IF(ROUND($B$2:$B$3722,4)=ROUND(B1167,4),$A$2:$A$3722)),"Efficient","Inefficient")</f>
        <v>Inefficient</v>
      </c>
    </row>
    <row r="1168" spans="1:6" x14ac:dyDescent="0.25">
      <c r="A1168" cm="1">
        <f t="array" ref="A1168">INDEX('Portfolio Weights Returns'!$B$9:$BJ$69,
INT((ROW(A1167)-1)/COLUMNS('Portfolio Weights Returns'!$B$9:$BJ$69))+1,MOD(ROW(A1167)-1,COLUMNS('Portfolio Weights Returns'!$B$9:$BJ$69))+1)</f>
        <v>-1.022597137790989E-3</v>
      </c>
      <c r="B1168">
        <v>1.84E-2</v>
      </c>
      <c r="C1168" s="59">
        <v>0.03</v>
      </c>
      <c r="D1168" s="59">
        <v>0.03</v>
      </c>
      <c r="E1168" s="60">
        <f t="shared" si="18"/>
        <v>0.94</v>
      </c>
      <c r="F1168" t="str" cm="1">
        <f t="array" ref="F1168">IF(A1168=MAX(IF(ROUND($B$2:$B$3722,4)=ROUND(B1168,4),$A$2:$A$3722)),"Efficient","Inefficient")</f>
        <v>Inefficient</v>
      </c>
    </row>
    <row r="1169" spans="1:6" x14ac:dyDescent="0.25">
      <c r="A1169" cm="1">
        <f t="array" ref="A1169">INDEX('Portfolio Weights Returns'!$B$9:$BJ$69,
INT((ROW(A1168)-1)/COLUMNS('Portfolio Weights Returns'!$B$9:$BJ$69))+1,MOD(ROW(A1168)-1,COLUMNS('Portfolio Weights Returns'!$B$9:$BJ$69))+1)</f>
        <v>-1.0158159638243101E-3</v>
      </c>
      <c r="B1169">
        <v>1.84E-2</v>
      </c>
      <c r="C1169" s="59">
        <v>0.02</v>
      </c>
      <c r="D1169" s="59">
        <v>0.05</v>
      </c>
      <c r="E1169" s="60">
        <f t="shared" si="18"/>
        <v>0.92999999999999994</v>
      </c>
      <c r="F1169" t="str" cm="1">
        <f t="array" ref="F1169">IF(A1169=MAX(IF(ROUND($B$2:$B$3722,4)=ROUND(B1169,4),$A$2:$A$3722)),"Efficient","Inefficient")</f>
        <v>Inefficient</v>
      </c>
    </row>
    <row r="1170" spans="1:6" x14ac:dyDescent="0.25">
      <c r="A1170" cm="1">
        <f t="array" ref="A1170">INDEX('Portfolio Weights Returns'!$B$9:$BJ$69,
INT((ROW(A1169)-1)/COLUMNS('Portfolio Weights Returns'!$B$9:$BJ$69))+1,MOD(ROW(A1169)-1,COLUMNS('Portfolio Weights Returns'!$B$9:$BJ$69))+1)</f>
        <v>-1.0090347898576309E-3</v>
      </c>
      <c r="B1170">
        <v>1.84E-2</v>
      </c>
      <c r="C1170" s="59">
        <v>0.01</v>
      </c>
      <c r="D1170" s="59">
        <v>0.06</v>
      </c>
      <c r="E1170" s="60">
        <f t="shared" si="18"/>
        <v>0.92999999999999994</v>
      </c>
      <c r="F1170" t="str" cm="1">
        <f t="array" ref="F1170">IF(A1170=MAX(IF(ROUND($B$2:$B$3722,4)=ROUND(B1170,4),$A$2:$A$3722)),"Efficient","Inefficient")</f>
        <v>Inefficient</v>
      </c>
    </row>
    <row r="1171" spans="1:6" x14ac:dyDescent="0.25">
      <c r="A1171" cm="1">
        <f t="array" ref="A1171">INDEX('Portfolio Weights Returns'!$B$9:$BJ$69,
INT((ROW(A1170)-1)/COLUMNS('Portfolio Weights Returns'!$B$9:$BJ$69))+1,MOD(ROW(A1170)-1,COLUMNS('Portfolio Weights Returns'!$B$9:$BJ$69))+1)</f>
        <v>-1.0022536158909516E-3</v>
      </c>
      <c r="B1171">
        <v>1.84E-2</v>
      </c>
      <c r="C1171" s="59">
        <v>0.01</v>
      </c>
      <c r="D1171" s="59">
        <v>7.0000000000000007E-2</v>
      </c>
      <c r="E1171" s="60">
        <f t="shared" si="18"/>
        <v>0.91999999999999993</v>
      </c>
      <c r="F1171" t="str" cm="1">
        <f t="array" ref="F1171">IF(A1171=MAX(IF(ROUND($B$2:$B$3722,4)=ROUND(B1171,4),$A$2:$A$3722)),"Efficient","Inefficient")</f>
        <v>Inefficient</v>
      </c>
    </row>
    <row r="1172" spans="1:6" x14ac:dyDescent="0.25">
      <c r="A1172" cm="1">
        <f t="array" ref="A1172">INDEX('Portfolio Weights Returns'!$B$9:$BJ$69,
INT((ROW(A1171)-1)/COLUMNS('Portfolio Weights Returns'!$B$9:$BJ$69))+1,MOD(ROW(A1171)-1,COLUMNS('Portfolio Weights Returns'!$B$9:$BJ$69))+1)</f>
        <v>-9.9547244192427242E-4</v>
      </c>
      <c r="B1172">
        <v>1.84E-2</v>
      </c>
      <c r="C1172" s="59">
        <v>0</v>
      </c>
      <c r="D1172" s="59">
        <v>0.08</v>
      </c>
      <c r="E1172" s="60">
        <f t="shared" si="18"/>
        <v>0.92</v>
      </c>
      <c r="F1172" t="str" cm="1">
        <f t="array" ref="F1172">IF(A1172=MAX(IF(ROUND($B$2:$B$3722,4)=ROUND(B1172,4),$A$2:$A$3722)),"Efficient","Inefficient")</f>
        <v>Inefficient</v>
      </c>
    </row>
    <row r="1173" spans="1:6" x14ac:dyDescent="0.25">
      <c r="A1173" cm="1">
        <f t="array" ref="A1173">INDEX('Portfolio Weights Returns'!$B$9:$BJ$69,
INT((ROW(A1172)-1)/COLUMNS('Portfolio Weights Returns'!$B$9:$BJ$69))+1,MOD(ROW(A1172)-1,COLUMNS('Portfolio Weights Returns'!$B$9:$BJ$69))+1)</f>
        <v>-9.8869126795759327E-4</v>
      </c>
      <c r="B1173">
        <v>1.84E-2</v>
      </c>
      <c r="C1173" s="59">
        <v>0</v>
      </c>
      <c r="D1173" s="59">
        <v>0.09</v>
      </c>
      <c r="E1173" s="60">
        <f t="shared" si="18"/>
        <v>0.91</v>
      </c>
      <c r="F1173" t="str" cm="1">
        <f t="array" ref="F1173">IF(A1173=MAX(IF(ROUND($B$2:$B$3722,4)=ROUND(B1173,4),$A$2:$A$3722)),"Efficient","Inefficient")</f>
        <v>Inefficient</v>
      </c>
    </row>
    <row r="1174" spans="1:6" x14ac:dyDescent="0.25">
      <c r="A1174" cm="1">
        <f t="array" ref="A1174">INDEX('Portfolio Weights Returns'!$B$9:$BJ$69,
INT((ROW(A1173)-1)/COLUMNS('Portfolio Weights Returns'!$B$9:$BJ$69))+1,MOD(ROW(A1173)-1,COLUMNS('Portfolio Weights Returns'!$B$9:$BJ$69))+1)</f>
        <v>-9.8191009399091434E-4</v>
      </c>
      <c r="B1174">
        <v>1.84E-2</v>
      </c>
      <c r="C1174" s="59">
        <v>-0.01</v>
      </c>
      <c r="D1174" s="59">
        <v>0.11</v>
      </c>
      <c r="E1174" s="60">
        <f t="shared" si="18"/>
        <v>0.9</v>
      </c>
      <c r="F1174" t="str" cm="1">
        <f t="array" ref="F1174">IF(A1174=MAX(IF(ROUND($B$2:$B$3722,4)=ROUND(B1174,4),$A$2:$A$3722)),"Efficient","Inefficient")</f>
        <v>Inefficient</v>
      </c>
    </row>
    <row r="1175" spans="1:6" x14ac:dyDescent="0.25">
      <c r="A1175" cm="1">
        <f t="array" ref="A1175">INDEX('Portfolio Weights Returns'!$B$9:$BJ$69,
INT((ROW(A1174)-1)/COLUMNS('Portfolio Weights Returns'!$B$9:$BJ$69))+1,MOD(ROW(A1174)-1,COLUMNS('Portfolio Weights Returns'!$B$9:$BJ$69))+1)</f>
        <v>-9.751289200242352E-4</v>
      </c>
      <c r="B1175">
        <v>1.84E-2</v>
      </c>
      <c r="C1175" s="59">
        <v>-0.01</v>
      </c>
      <c r="D1175" s="59">
        <v>0.12</v>
      </c>
      <c r="E1175" s="60">
        <f t="shared" si="18"/>
        <v>0.89</v>
      </c>
      <c r="F1175" t="str" cm="1">
        <f t="array" ref="F1175">IF(A1175=MAX(IF(ROUND($B$2:$B$3722,4)=ROUND(B1175,4),$A$2:$A$3722)),"Efficient","Inefficient")</f>
        <v>Inefficient</v>
      </c>
    </row>
    <row r="1176" spans="1:6" x14ac:dyDescent="0.25">
      <c r="A1176" cm="1">
        <f t="array" ref="A1176">INDEX('Portfolio Weights Returns'!$B$9:$BJ$69,
INT((ROW(A1175)-1)/COLUMNS('Portfolio Weights Returns'!$B$9:$BJ$69))+1,MOD(ROW(A1175)-1,COLUMNS('Portfolio Weights Returns'!$B$9:$BJ$69))+1)</f>
        <v>-9.6834774605755606E-4</v>
      </c>
      <c r="B1176">
        <v>1.84E-2</v>
      </c>
      <c r="C1176" s="59">
        <v>-0.01</v>
      </c>
      <c r="D1176" s="59">
        <v>0.13</v>
      </c>
      <c r="E1176" s="60">
        <f t="shared" si="18"/>
        <v>0.88</v>
      </c>
      <c r="F1176" t="str" cm="1">
        <f t="array" ref="F1176">IF(A1176=MAX(IF(ROUND($B$2:$B$3722,4)=ROUND(B1176,4),$A$2:$A$3722)),"Efficient","Inefficient")</f>
        <v>Inefficient</v>
      </c>
    </row>
    <row r="1177" spans="1:6" x14ac:dyDescent="0.25">
      <c r="A1177" cm="1">
        <f t="array" ref="A1177">INDEX('Portfolio Weights Returns'!$B$9:$BJ$69,
INT((ROW(A1176)-1)/COLUMNS('Portfolio Weights Returns'!$B$9:$BJ$69))+1,MOD(ROW(A1176)-1,COLUMNS('Portfolio Weights Returns'!$B$9:$BJ$69))+1)</f>
        <v>-9.6156657209087724E-4</v>
      </c>
      <c r="B1177">
        <v>1.84E-2</v>
      </c>
      <c r="C1177" s="59">
        <v>-0.01</v>
      </c>
      <c r="D1177" s="59">
        <v>0.14000000000000001</v>
      </c>
      <c r="E1177" s="60">
        <f t="shared" si="18"/>
        <v>0.87</v>
      </c>
      <c r="F1177" t="str" cm="1">
        <f t="array" ref="F1177">IF(A1177=MAX(IF(ROUND($B$2:$B$3722,4)=ROUND(B1177,4),$A$2:$A$3722)),"Efficient","Inefficient")</f>
        <v>Inefficient</v>
      </c>
    </row>
    <row r="1178" spans="1:6" x14ac:dyDescent="0.25">
      <c r="A1178" cm="1">
        <f t="array" ref="A1178">INDEX('Portfolio Weights Returns'!$B$9:$BJ$69,
INT((ROW(A1177)-1)/COLUMNS('Portfolio Weights Returns'!$B$9:$BJ$69))+1,MOD(ROW(A1177)-1,COLUMNS('Portfolio Weights Returns'!$B$9:$BJ$69))+1)</f>
        <v>-9.5478539812419788E-4</v>
      </c>
      <c r="B1178">
        <v>1.84E-2</v>
      </c>
      <c r="C1178" s="59">
        <v>-0.01</v>
      </c>
      <c r="D1178" s="59">
        <v>0.15</v>
      </c>
      <c r="E1178" s="60">
        <f t="shared" si="18"/>
        <v>0.86</v>
      </c>
      <c r="F1178" t="str" cm="1">
        <f t="array" ref="F1178">IF(A1178=MAX(IF(ROUND($B$2:$B$3722,4)=ROUND(B1178,4),$A$2:$A$3722)),"Efficient","Inefficient")</f>
        <v>Inefficient</v>
      </c>
    </row>
    <row r="1179" spans="1:6" x14ac:dyDescent="0.25">
      <c r="A1179" cm="1">
        <f t="array" ref="A1179">INDEX('Portfolio Weights Returns'!$B$9:$BJ$69,
INT((ROW(A1178)-1)/COLUMNS('Portfolio Weights Returns'!$B$9:$BJ$69))+1,MOD(ROW(A1178)-1,COLUMNS('Portfolio Weights Returns'!$B$9:$BJ$69))+1)</f>
        <v>-9.4800422415751895E-4</v>
      </c>
      <c r="B1179">
        <v>1.84E-2</v>
      </c>
      <c r="C1179" s="59">
        <v>-0.01</v>
      </c>
      <c r="D1179" s="59">
        <v>0.16</v>
      </c>
      <c r="E1179" s="60">
        <f t="shared" si="18"/>
        <v>0.85</v>
      </c>
      <c r="F1179" t="str" cm="1">
        <f t="array" ref="F1179">IF(A1179=MAX(IF(ROUND($B$2:$B$3722,4)=ROUND(B1179,4),$A$2:$A$3722)),"Efficient","Inefficient")</f>
        <v>Inefficient</v>
      </c>
    </row>
    <row r="1180" spans="1:6" x14ac:dyDescent="0.25">
      <c r="A1180" cm="1">
        <f t="array" ref="A1180">INDEX('Portfolio Weights Returns'!$B$9:$BJ$69,
INT((ROW(A1179)-1)/COLUMNS('Portfolio Weights Returns'!$B$9:$BJ$69))+1,MOD(ROW(A1179)-1,COLUMNS('Portfolio Weights Returns'!$B$9:$BJ$69))+1)</f>
        <v>-9.412230501908398E-4</v>
      </c>
      <c r="B1180">
        <v>1.84E-2</v>
      </c>
      <c r="C1180" s="59">
        <v>-0.01</v>
      </c>
      <c r="D1180" s="59">
        <v>0.17</v>
      </c>
      <c r="E1180" s="60">
        <f t="shared" si="18"/>
        <v>0.84</v>
      </c>
      <c r="F1180" t="str" cm="1">
        <f t="array" ref="F1180">IF(A1180=MAX(IF(ROUND($B$2:$B$3722,4)=ROUND(B1180,4),$A$2:$A$3722)),"Efficient","Inefficient")</f>
        <v>Inefficient</v>
      </c>
    </row>
    <row r="1181" spans="1:6" x14ac:dyDescent="0.25">
      <c r="A1181" cm="1">
        <f t="array" ref="A1181">INDEX('Portfolio Weights Returns'!$B$9:$BJ$69,
INT((ROW(A1180)-1)/COLUMNS('Portfolio Weights Returns'!$B$9:$BJ$69))+1,MOD(ROW(A1180)-1,COLUMNS('Portfolio Weights Returns'!$B$9:$BJ$69))+1)</f>
        <v>-9.3444187622416066E-4</v>
      </c>
      <c r="B1181">
        <v>1.84E-2</v>
      </c>
      <c r="C1181" s="59">
        <v>-0.01</v>
      </c>
      <c r="D1181" s="59">
        <v>0.18</v>
      </c>
      <c r="E1181" s="60">
        <f t="shared" si="18"/>
        <v>0.83000000000000007</v>
      </c>
      <c r="F1181" t="str" cm="1">
        <f t="array" ref="F1181">IF(A1181=MAX(IF(ROUND($B$2:$B$3722,4)=ROUND(B1181,4),$A$2:$A$3722)),"Efficient","Inefficient")</f>
        <v>Inefficient</v>
      </c>
    </row>
    <row r="1182" spans="1:6" x14ac:dyDescent="0.25">
      <c r="A1182" cm="1">
        <f t="array" ref="A1182">INDEX('Portfolio Weights Returns'!$B$9:$BJ$69,
INT((ROW(A1181)-1)/COLUMNS('Portfolio Weights Returns'!$B$9:$BJ$69))+1,MOD(ROW(A1181)-1,COLUMNS('Portfolio Weights Returns'!$B$9:$BJ$69))+1)</f>
        <v>-9.2766070225748162E-4</v>
      </c>
      <c r="B1182">
        <v>1.84E-2</v>
      </c>
      <c r="C1182" s="59">
        <v>-0.01</v>
      </c>
      <c r="D1182" s="59">
        <v>0.19</v>
      </c>
      <c r="E1182" s="60">
        <f t="shared" si="18"/>
        <v>0.82000000000000006</v>
      </c>
      <c r="F1182" t="str" cm="1">
        <f t="array" ref="F1182">IF(A1182=MAX(IF(ROUND($B$2:$B$3722,4)=ROUND(B1182,4),$A$2:$A$3722)),"Efficient","Inefficient")</f>
        <v>Inefficient</v>
      </c>
    </row>
    <row r="1183" spans="1:6" x14ac:dyDescent="0.25">
      <c r="A1183" cm="1">
        <f t="array" ref="A1183">INDEX('Portfolio Weights Returns'!$B$9:$BJ$69,
INT((ROW(A1182)-1)/COLUMNS('Portfolio Weights Returns'!$B$9:$BJ$69))+1,MOD(ROW(A1182)-1,COLUMNS('Portfolio Weights Returns'!$B$9:$BJ$69))+1)</f>
        <v>-9.2087952829080248E-4</v>
      </c>
      <c r="B1183">
        <v>1.84E-2</v>
      </c>
      <c r="C1183" s="59">
        <v>-0.01</v>
      </c>
      <c r="D1183" s="59">
        <v>0.2</v>
      </c>
      <c r="E1183" s="60">
        <f t="shared" si="18"/>
        <v>0.81</v>
      </c>
      <c r="F1183" t="str" cm="1">
        <f t="array" ref="F1183">IF(A1183=MAX(IF(ROUND($B$2:$B$3722,4)=ROUND(B1183,4),$A$2:$A$3722)),"Efficient","Inefficient")</f>
        <v>Inefficient</v>
      </c>
    </row>
    <row r="1184" spans="1:6" x14ac:dyDescent="0.25">
      <c r="A1184" cm="1">
        <f t="array" ref="A1184">INDEX('Portfolio Weights Returns'!$B$9:$BJ$69,
INT((ROW(A1183)-1)/COLUMNS('Portfolio Weights Returns'!$B$9:$BJ$69))+1,MOD(ROW(A1183)-1,COLUMNS('Portfolio Weights Returns'!$B$9:$BJ$69))+1)</f>
        <v>-9.1409835432412344E-4</v>
      </c>
      <c r="B1184">
        <v>1.84E-2</v>
      </c>
      <c r="C1184" s="59">
        <v>0</v>
      </c>
      <c r="D1184" s="59">
        <v>0.21</v>
      </c>
      <c r="E1184" s="60">
        <f t="shared" si="18"/>
        <v>0.79</v>
      </c>
      <c r="F1184" t="str" cm="1">
        <f t="array" ref="F1184">IF(A1184=MAX(IF(ROUND($B$2:$B$3722,4)=ROUND(B1184,4),$A$2:$A$3722)),"Efficient","Inefficient")</f>
        <v>Inefficient</v>
      </c>
    </row>
    <row r="1185" spans="1:6" x14ac:dyDescent="0.25">
      <c r="A1185" cm="1">
        <f t="array" ref="A1185">INDEX('Portfolio Weights Returns'!$B$9:$BJ$69,
INT((ROW(A1184)-1)/COLUMNS('Portfolio Weights Returns'!$B$9:$BJ$69))+1,MOD(ROW(A1184)-1,COLUMNS('Portfolio Weights Returns'!$B$9:$BJ$69))+1)</f>
        <v>-9.0731718035744419E-4</v>
      </c>
      <c r="B1185">
        <v>1.84E-2</v>
      </c>
      <c r="C1185" s="59">
        <v>0</v>
      </c>
      <c r="D1185" s="59">
        <v>0.22</v>
      </c>
      <c r="E1185" s="60">
        <f t="shared" si="18"/>
        <v>0.78</v>
      </c>
      <c r="F1185" t="str" cm="1">
        <f t="array" ref="F1185">IF(A1185=MAX(IF(ROUND($B$2:$B$3722,4)=ROUND(B1185,4),$A$2:$A$3722)),"Efficient","Inefficient")</f>
        <v>Inefficient</v>
      </c>
    </row>
    <row r="1186" spans="1:6" x14ac:dyDescent="0.25">
      <c r="A1186" cm="1">
        <f t="array" ref="A1186">INDEX('Portfolio Weights Returns'!$B$9:$BJ$69,
INT((ROW(A1185)-1)/COLUMNS('Portfolio Weights Returns'!$B$9:$BJ$69))+1,MOD(ROW(A1185)-1,COLUMNS('Portfolio Weights Returns'!$B$9:$BJ$69))+1)</f>
        <v>-9.0053600639076515E-4</v>
      </c>
      <c r="B1186">
        <v>1.84E-2</v>
      </c>
      <c r="C1186" s="59">
        <v>0.01</v>
      </c>
      <c r="D1186" s="59">
        <v>0.23</v>
      </c>
      <c r="E1186" s="60">
        <f t="shared" si="18"/>
        <v>0.76</v>
      </c>
      <c r="F1186" t="str" cm="1">
        <f t="array" ref="F1186">IF(A1186=MAX(IF(ROUND($B$2:$B$3722,4)=ROUND(B1186,4),$A$2:$A$3722)),"Efficient","Inefficient")</f>
        <v>Inefficient</v>
      </c>
    </row>
    <row r="1187" spans="1:6" x14ac:dyDescent="0.25">
      <c r="A1187" cm="1">
        <f t="array" ref="A1187">INDEX('Portfolio Weights Returns'!$B$9:$BJ$69,
INT((ROW(A1186)-1)/COLUMNS('Portfolio Weights Returns'!$B$9:$BJ$69))+1,MOD(ROW(A1186)-1,COLUMNS('Portfolio Weights Returns'!$B$9:$BJ$69))+1)</f>
        <v>-8.9375483242408601E-4</v>
      </c>
      <c r="B1187">
        <v>1.84E-2</v>
      </c>
      <c r="C1187" s="59">
        <v>0.01</v>
      </c>
      <c r="D1187" s="59">
        <v>0.24</v>
      </c>
      <c r="E1187" s="60">
        <f t="shared" si="18"/>
        <v>0.75</v>
      </c>
      <c r="F1187" t="str" cm="1">
        <f t="array" ref="F1187">IF(A1187=MAX(IF(ROUND($B$2:$B$3722,4)=ROUND(B1187,4),$A$2:$A$3722)),"Efficient","Inefficient")</f>
        <v>Inefficient</v>
      </c>
    </row>
    <row r="1188" spans="1:6" x14ac:dyDescent="0.25">
      <c r="A1188" cm="1">
        <f t="array" ref="A1188">INDEX('Portfolio Weights Returns'!$B$9:$BJ$69,
INT((ROW(A1187)-1)/COLUMNS('Portfolio Weights Returns'!$B$9:$BJ$69))+1,MOD(ROW(A1187)-1,COLUMNS('Portfolio Weights Returns'!$B$9:$BJ$69))+1)</f>
        <v>-8.8697365845740697E-4</v>
      </c>
      <c r="B1188">
        <v>1.84E-2</v>
      </c>
      <c r="C1188" s="59">
        <v>0.02</v>
      </c>
      <c r="D1188" s="59">
        <v>0.25</v>
      </c>
      <c r="E1188" s="60">
        <f t="shared" si="18"/>
        <v>0.73</v>
      </c>
      <c r="F1188" t="str" cm="1">
        <f t="array" ref="F1188">IF(A1188=MAX(IF(ROUND($B$2:$B$3722,4)=ROUND(B1188,4),$A$2:$A$3722)),"Efficient","Inefficient")</f>
        <v>Inefficient</v>
      </c>
    </row>
    <row r="1189" spans="1:6" x14ac:dyDescent="0.25">
      <c r="A1189" cm="1">
        <f t="array" ref="A1189">INDEX('Portfolio Weights Returns'!$B$9:$BJ$69,
INT((ROW(A1188)-1)/COLUMNS('Portfolio Weights Returns'!$B$9:$BJ$69))+1,MOD(ROW(A1188)-1,COLUMNS('Portfolio Weights Returns'!$B$9:$BJ$69))+1)</f>
        <v>-8.8019248449072783E-4</v>
      </c>
      <c r="B1189">
        <v>1.84E-2</v>
      </c>
      <c r="C1189" s="59">
        <v>0.03</v>
      </c>
      <c r="D1189" s="59">
        <v>0.26</v>
      </c>
      <c r="E1189" s="60">
        <f t="shared" si="18"/>
        <v>0.71</v>
      </c>
      <c r="F1189" t="str" cm="1">
        <f t="array" ref="F1189">IF(A1189=MAX(IF(ROUND($B$2:$B$3722,4)=ROUND(B1189,4),$A$2:$A$3722)),"Efficient","Inefficient")</f>
        <v>Inefficient</v>
      </c>
    </row>
    <row r="1190" spans="1:6" x14ac:dyDescent="0.25">
      <c r="A1190" cm="1">
        <f t="array" ref="A1190">INDEX('Portfolio Weights Returns'!$B$9:$BJ$69,
INT((ROW(A1189)-1)/COLUMNS('Portfolio Weights Returns'!$B$9:$BJ$69))+1,MOD(ROW(A1189)-1,COLUMNS('Portfolio Weights Returns'!$B$9:$BJ$69))+1)</f>
        <v>-8.7341131052404868E-4</v>
      </c>
      <c r="B1190">
        <v>1.84E-2</v>
      </c>
      <c r="C1190" s="59">
        <v>0.04</v>
      </c>
      <c r="D1190" s="59">
        <v>0.27</v>
      </c>
      <c r="E1190" s="60">
        <f t="shared" si="18"/>
        <v>0.69</v>
      </c>
      <c r="F1190" t="str" cm="1">
        <f t="array" ref="F1190">IF(A1190=MAX(IF(ROUND($B$2:$B$3722,4)=ROUND(B1190,4),$A$2:$A$3722)),"Efficient","Inefficient")</f>
        <v>Inefficient</v>
      </c>
    </row>
    <row r="1191" spans="1:6" x14ac:dyDescent="0.25">
      <c r="A1191" cm="1">
        <f t="array" ref="A1191">INDEX('Portfolio Weights Returns'!$B$9:$BJ$69,
INT((ROW(A1190)-1)/COLUMNS('Portfolio Weights Returns'!$B$9:$BJ$69))+1,MOD(ROW(A1190)-1,COLUMNS('Portfolio Weights Returns'!$B$9:$BJ$69))+1)</f>
        <v>-8.6663013655736965E-4</v>
      </c>
      <c r="B1191">
        <v>1.84E-2</v>
      </c>
      <c r="C1191" s="59">
        <v>0.05</v>
      </c>
      <c r="D1191" s="59">
        <v>0.28000000000000003</v>
      </c>
      <c r="E1191" s="60">
        <f t="shared" si="18"/>
        <v>0.66999999999999993</v>
      </c>
      <c r="F1191" t="str" cm="1">
        <f t="array" ref="F1191">IF(A1191=MAX(IF(ROUND($B$2:$B$3722,4)=ROUND(B1191,4),$A$2:$A$3722)),"Efficient","Inefficient")</f>
        <v>Inefficient</v>
      </c>
    </row>
    <row r="1192" spans="1:6" x14ac:dyDescent="0.25">
      <c r="A1192" cm="1">
        <f t="array" ref="A1192">INDEX('Portfolio Weights Returns'!$B$9:$BJ$69,
INT((ROW(A1191)-1)/COLUMNS('Portfolio Weights Returns'!$B$9:$BJ$69))+1,MOD(ROW(A1191)-1,COLUMNS('Portfolio Weights Returns'!$B$9:$BJ$69))+1)</f>
        <v>-8.598489625906904E-4</v>
      </c>
      <c r="B1192">
        <v>1.84E-2</v>
      </c>
      <c r="C1192" s="59">
        <v>0.06</v>
      </c>
      <c r="D1192" s="59">
        <v>0.28000000000000003</v>
      </c>
      <c r="E1192" s="60">
        <f t="shared" si="18"/>
        <v>0.65999999999999992</v>
      </c>
      <c r="F1192" t="str" cm="1">
        <f t="array" ref="F1192">IF(A1192=MAX(IF(ROUND($B$2:$B$3722,4)=ROUND(B1192,4),$A$2:$A$3722)),"Efficient","Inefficient")</f>
        <v>Inefficient</v>
      </c>
    </row>
    <row r="1193" spans="1:6" x14ac:dyDescent="0.25">
      <c r="A1193" cm="1">
        <f t="array" ref="A1193">INDEX('Portfolio Weights Returns'!$B$9:$BJ$69,
INT((ROW(A1192)-1)/COLUMNS('Portfolio Weights Returns'!$B$9:$BJ$69))+1,MOD(ROW(A1192)-1,COLUMNS('Portfolio Weights Returns'!$B$9:$BJ$69))+1)</f>
        <v>-8.5306778862401136E-4</v>
      </c>
      <c r="B1193">
        <v>1.84E-2</v>
      </c>
      <c r="C1193" s="59">
        <v>7.0000000000000007E-2</v>
      </c>
      <c r="D1193" s="59">
        <v>0.28999999999999998</v>
      </c>
      <c r="E1193" s="60">
        <f t="shared" si="18"/>
        <v>0.6399999999999999</v>
      </c>
      <c r="F1193" t="str" cm="1">
        <f t="array" ref="F1193">IF(A1193=MAX(IF(ROUND($B$2:$B$3722,4)=ROUND(B1193,4),$A$2:$A$3722)),"Efficient","Inefficient")</f>
        <v>Inefficient</v>
      </c>
    </row>
    <row r="1194" spans="1:6" x14ac:dyDescent="0.25">
      <c r="A1194" cm="1">
        <f t="array" ref="A1194">INDEX('Portfolio Weights Returns'!$B$9:$BJ$69,
INT((ROW(A1193)-1)/COLUMNS('Portfolio Weights Returns'!$B$9:$BJ$69))+1,MOD(ROW(A1193)-1,COLUMNS('Portfolio Weights Returns'!$B$9:$BJ$69))+1)</f>
        <v>-8.4628661465733222E-4</v>
      </c>
      <c r="B1194">
        <v>1.84E-2</v>
      </c>
      <c r="C1194" s="59">
        <v>0.08</v>
      </c>
      <c r="D1194" s="59">
        <v>0.3</v>
      </c>
      <c r="E1194" s="60">
        <f t="shared" si="18"/>
        <v>0.62</v>
      </c>
      <c r="F1194" t="str" cm="1">
        <f t="array" ref="F1194">IF(A1194=MAX(IF(ROUND($B$2:$B$3722,4)=ROUND(B1194,4),$A$2:$A$3722)),"Efficient","Inefficient")</f>
        <v>Inefficient</v>
      </c>
    </row>
    <row r="1195" spans="1:6" x14ac:dyDescent="0.25">
      <c r="A1195" cm="1">
        <f t="array" ref="A1195">INDEX('Portfolio Weights Returns'!$B$9:$BJ$69,
INT((ROW(A1194)-1)/COLUMNS('Portfolio Weights Returns'!$B$9:$BJ$69))+1,MOD(ROW(A1194)-1,COLUMNS('Portfolio Weights Returns'!$B$9:$BJ$69))+1)</f>
        <v>-8.3950544069065318E-4</v>
      </c>
      <c r="B1195">
        <v>1.84E-2</v>
      </c>
      <c r="C1195" s="59">
        <v>0.09</v>
      </c>
      <c r="D1195" s="59">
        <v>0.3</v>
      </c>
      <c r="E1195" s="60">
        <f t="shared" si="18"/>
        <v>0.61</v>
      </c>
      <c r="F1195" t="str" cm="1">
        <f t="array" ref="F1195">IF(A1195=MAX(IF(ROUND($B$2:$B$3722,4)=ROUND(B1195,4),$A$2:$A$3722)),"Efficient","Inefficient")</f>
        <v>Inefficient</v>
      </c>
    </row>
    <row r="1196" spans="1:6" x14ac:dyDescent="0.25">
      <c r="A1196" cm="1">
        <f t="array" ref="A1196">INDEX('Portfolio Weights Returns'!$B$9:$BJ$69,
INT((ROW(A1195)-1)/COLUMNS('Portfolio Weights Returns'!$B$9:$BJ$69))+1,MOD(ROW(A1195)-1,COLUMNS('Portfolio Weights Returns'!$B$9:$BJ$69))+1)</f>
        <v>-8.3272426672397403E-4</v>
      </c>
      <c r="B1196">
        <v>1.8499999999999999E-2</v>
      </c>
      <c r="C1196" s="59">
        <v>0.3</v>
      </c>
      <c r="D1196" s="59">
        <v>-0.2</v>
      </c>
      <c r="E1196" s="60">
        <f t="shared" si="18"/>
        <v>0.89999999999999991</v>
      </c>
      <c r="F1196" t="str" cm="1">
        <f t="array" ref="F1196">IF(A1196=MAX(IF(ROUND($B$2:$B$3722,4)=ROUND(B1196,4),$A$2:$A$3722)),"Efficient","Inefficient")</f>
        <v>Inefficient</v>
      </c>
    </row>
    <row r="1197" spans="1:6" x14ac:dyDescent="0.25">
      <c r="A1197" cm="1">
        <f t="array" ref="A1197">INDEX('Portfolio Weights Returns'!$B$9:$BJ$69,
INT((ROW(A1196)-1)/COLUMNS('Portfolio Weights Returns'!$B$9:$BJ$69))+1,MOD(ROW(A1196)-1,COLUMNS('Portfolio Weights Returns'!$B$9:$BJ$69))+1)</f>
        <v>-8.25943092757295E-4</v>
      </c>
      <c r="B1197">
        <v>1.8499999999999999E-2</v>
      </c>
      <c r="C1197" s="59">
        <v>0.28000000000000003</v>
      </c>
      <c r="D1197" s="59">
        <v>-0.19</v>
      </c>
      <c r="E1197" s="60">
        <f t="shared" si="18"/>
        <v>0.90999999999999992</v>
      </c>
      <c r="F1197" t="str" cm="1">
        <f t="array" ref="F1197">IF(A1197=MAX(IF(ROUND($B$2:$B$3722,4)=ROUND(B1197,4),$A$2:$A$3722)),"Efficient","Inefficient")</f>
        <v>Inefficient</v>
      </c>
    </row>
    <row r="1198" spans="1:6" x14ac:dyDescent="0.25">
      <c r="A1198" cm="1">
        <f t="array" ref="A1198">INDEX('Portfolio Weights Returns'!$B$9:$BJ$69,
INT((ROW(A1197)-1)/COLUMNS('Portfolio Weights Returns'!$B$9:$BJ$69))+1,MOD(ROW(A1197)-1,COLUMNS('Portfolio Weights Returns'!$B$9:$BJ$69))+1)</f>
        <v>-8.1916191879061585E-4</v>
      </c>
      <c r="B1198">
        <v>1.8499999999999999E-2</v>
      </c>
      <c r="C1198" s="59">
        <v>0.25</v>
      </c>
      <c r="D1198" s="59">
        <v>-0.17</v>
      </c>
      <c r="E1198" s="60">
        <f t="shared" si="18"/>
        <v>0.91999999999999993</v>
      </c>
      <c r="F1198" t="str" cm="1">
        <f t="array" ref="F1198">IF(A1198=MAX(IF(ROUND($B$2:$B$3722,4)=ROUND(B1198,4),$A$2:$A$3722)),"Efficient","Inefficient")</f>
        <v>Inefficient</v>
      </c>
    </row>
    <row r="1199" spans="1:6" x14ac:dyDescent="0.25">
      <c r="A1199" cm="1">
        <f t="array" ref="A1199">INDEX('Portfolio Weights Returns'!$B$9:$BJ$69,
INT((ROW(A1198)-1)/COLUMNS('Portfolio Weights Returns'!$B$9:$BJ$69))+1,MOD(ROW(A1198)-1,COLUMNS('Portfolio Weights Returns'!$B$9:$BJ$69))+1)</f>
        <v>-8.123807448239366E-4</v>
      </c>
      <c r="B1199">
        <v>1.8499999999999999E-2</v>
      </c>
      <c r="C1199" s="59">
        <v>0.23</v>
      </c>
      <c r="D1199" s="59">
        <v>-0.16</v>
      </c>
      <c r="E1199" s="60">
        <f t="shared" si="18"/>
        <v>0.92999999999999994</v>
      </c>
      <c r="F1199" t="str" cm="1">
        <f t="array" ref="F1199">IF(A1199=MAX(IF(ROUND($B$2:$B$3722,4)=ROUND(B1199,4),$A$2:$A$3722)),"Efficient","Inefficient")</f>
        <v>Inefficient</v>
      </c>
    </row>
    <row r="1200" spans="1:6" x14ac:dyDescent="0.25">
      <c r="A1200" cm="1">
        <f t="array" ref="A1200">INDEX('Portfolio Weights Returns'!$B$9:$BJ$69,
INT((ROW(A1199)-1)/COLUMNS('Portfolio Weights Returns'!$B$9:$BJ$69))+1,MOD(ROW(A1199)-1,COLUMNS('Portfolio Weights Returns'!$B$9:$BJ$69))+1)</f>
        <v>-8.0559957085725757E-4</v>
      </c>
      <c r="B1200">
        <v>1.8499999999999999E-2</v>
      </c>
      <c r="C1200" s="59">
        <v>0.22</v>
      </c>
      <c r="D1200" s="59">
        <v>-0.15</v>
      </c>
      <c r="E1200" s="60">
        <f t="shared" si="18"/>
        <v>0.92999999999999994</v>
      </c>
      <c r="F1200" t="str" cm="1">
        <f t="array" ref="F1200">IF(A1200=MAX(IF(ROUND($B$2:$B$3722,4)=ROUND(B1200,4),$A$2:$A$3722)),"Efficient","Inefficient")</f>
        <v>Inefficient</v>
      </c>
    </row>
    <row r="1201" spans="1:6" x14ac:dyDescent="0.25">
      <c r="A1201" cm="1">
        <f t="array" ref="A1201">INDEX('Portfolio Weights Returns'!$B$9:$BJ$69,
INT((ROW(A1200)-1)/COLUMNS('Portfolio Weights Returns'!$B$9:$BJ$69))+1,MOD(ROW(A1200)-1,COLUMNS('Portfolio Weights Returns'!$B$9:$BJ$69))+1)</f>
        <v>-7.9881839689057842E-4</v>
      </c>
      <c r="B1201">
        <v>1.8499999999999999E-2</v>
      </c>
      <c r="C1201" s="59">
        <v>0.2</v>
      </c>
      <c r="D1201" s="59">
        <v>-0.14000000000000001</v>
      </c>
      <c r="E1201" s="60">
        <f t="shared" si="18"/>
        <v>0.94000000000000017</v>
      </c>
      <c r="F1201" t="str" cm="1">
        <f t="array" ref="F1201">IF(A1201=MAX(IF(ROUND($B$2:$B$3722,4)=ROUND(B1201,4),$A$2:$A$3722)),"Efficient","Inefficient")</f>
        <v>Inefficient</v>
      </c>
    </row>
    <row r="1202" spans="1:6" x14ac:dyDescent="0.25">
      <c r="A1202" cm="1">
        <f t="array" ref="A1202">INDEX('Portfolio Weights Returns'!$B$9:$BJ$69,
INT((ROW(A1201)-1)/COLUMNS('Portfolio Weights Returns'!$B$9:$BJ$69))+1,MOD(ROW(A1201)-1,COLUMNS('Portfolio Weights Returns'!$B$9:$BJ$69))+1)</f>
        <v>-7.9203722292389938E-4</v>
      </c>
      <c r="B1202">
        <v>1.8499999999999999E-2</v>
      </c>
      <c r="C1202" s="59">
        <v>0.19</v>
      </c>
      <c r="D1202" s="59">
        <v>-0.13</v>
      </c>
      <c r="E1202" s="60">
        <f t="shared" si="18"/>
        <v>0.94</v>
      </c>
      <c r="F1202" t="str" cm="1">
        <f t="array" ref="F1202">IF(A1202=MAX(IF(ROUND($B$2:$B$3722,4)=ROUND(B1202,4),$A$2:$A$3722)),"Efficient","Inefficient")</f>
        <v>Inefficient</v>
      </c>
    </row>
    <row r="1203" spans="1:6" x14ac:dyDescent="0.25">
      <c r="A1203" cm="1">
        <f t="array" ref="A1203">INDEX('Portfolio Weights Returns'!$B$9:$BJ$69,
INT((ROW(A1202)-1)/COLUMNS('Portfolio Weights Returns'!$B$9:$BJ$69))+1,MOD(ROW(A1202)-1,COLUMNS('Portfolio Weights Returns'!$B$9:$BJ$69))+1)</f>
        <v>-7.8525604895722024E-4</v>
      </c>
      <c r="B1203">
        <v>1.8499999999999999E-2</v>
      </c>
      <c r="C1203" s="59">
        <v>0.17</v>
      </c>
      <c r="D1203" s="59">
        <v>-0.12</v>
      </c>
      <c r="E1203" s="60">
        <f t="shared" si="18"/>
        <v>0.95000000000000007</v>
      </c>
      <c r="F1203" t="str" cm="1">
        <f t="array" ref="F1203">IF(A1203=MAX(IF(ROUND($B$2:$B$3722,4)=ROUND(B1203,4),$A$2:$A$3722)),"Efficient","Inefficient")</f>
        <v>Inefficient</v>
      </c>
    </row>
    <row r="1204" spans="1:6" x14ac:dyDescent="0.25">
      <c r="A1204" cm="1">
        <f t="array" ref="A1204">INDEX('Portfolio Weights Returns'!$B$9:$BJ$69,
INT((ROW(A1203)-1)/COLUMNS('Portfolio Weights Returns'!$B$9:$BJ$69))+1,MOD(ROW(A1203)-1,COLUMNS('Portfolio Weights Returns'!$B$9:$BJ$69))+1)</f>
        <v>-7.784748749905412E-4</v>
      </c>
      <c r="B1204">
        <v>1.8499999999999999E-2</v>
      </c>
      <c r="C1204" s="59">
        <v>0.16</v>
      </c>
      <c r="D1204" s="59">
        <v>-0.11</v>
      </c>
      <c r="E1204" s="60">
        <f t="shared" si="18"/>
        <v>0.95000000000000007</v>
      </c>
      <c r="F1204" t="str" cm="1">
        <f t="array" ref="F1204">IF(A1204=MAX(IF(ROUND($B$2:$B$3722,4)=ROUND(B1204,4),$A$2:$A$3722)),"Efficient","Inefficient")</f>
        <v>Inefficient</v>
      </c>
    </row>
    <row r="1205" spans="1:6" x14ac:dyDescent="0.25">
      <c r="A1205" cm="1">
        <f t="array" ref="A1205">INDEX('Portfolio Weights Returns'!$B$9:$BJ$69,
INT((ROW(A1204)-1)/COLUMNS('Portfolio Weights Returns'!$B$9:$BJ$69))+1,MOD(ROW(A1204)-1,COLUMNS('Portfolio Weights Returns'!$B$9:$BJ$69))+1)</f>
        <v>-7.7169370102386206E-4</v>
      </c>
      <c r="B1205">
        <v>1.8499999999999999E-2</v>
      </c>
      <c r="C1205" s="59">
        <v>0.15</v>
      </c>
      <c r="D1205" s="59">
        <v>-0.1</v>
      </c>
      <c r="E1205" s="60">
        <f t="shared" si="18"/>
        <v>0.95000000000000007</v>
      </c>
      <c r="F1205" t="str" cm="1">
        <f t="array" ref="F1205">IF(A1205=MAX(IF(ROUND($B$2:$B$3722,4)=ROUND(B1205,4),$A$2:$A$3722)),"Efficient","Inefficient")</f>
        <v>Inefficient</v>
      </c>
    </row>
    <row r="1206" spans="1:6" x14ac:dyDescent="0.25">
      <c r="A1206" cm="1">
        <f t="array" ref="A1206">INDEX('Portfolio Weights Returns'!$B$9:$BJ$69,
INT((ROW(A1205)-1)/COLUMNS('Portfolio Weights Returns'!$B$9:$BJ$69))+1,MOD(ROW(A1205)-1,COLUMNS('Portfolio Weights Returns'!$B$9:$BJ$69))+1)</f>
        <v>-7.6491252705718292E-4</v>
      </c>
      <c r="B1206">
        <v>1.8499999999999999E-2</v>
      </c>
      <c r="C1206" s="59">
        <v>0.12</v>
      </c>
      <c r="D1206" s="59">
        <v>-0.08</v>
      </c>
      <c r="E1206" s="60">
        <f t="shared" si="18"/>
        <v>0.96000000000000008</v>
      </c>
      <c r="F1206" t="str" cm="1">
        <f t="array" ref="F1206">IF(A1206=MAX(IF(ROUND($B$2:$B$3722,4)=ROUND(B1206,4),$A$2:$A$3722)),"Efficient","Inefficient")</f>
        <v>Inefficient</v>
      </c>
    </row>
    <row r="1207" spans="1:6" x14ac:dyDescent="0.25">
      <c r="A1207" cm="1">
        <f t="array" ref="A1207">INDEX('Portfolio Weights Returns'!$B$9:$BJ$69,
INT((ROW(A1206)-1)/COLUMNS('Portfolio Weights Returns'!$B$9:$BJ$69))+1,MOD(ROW(A1206)-1,COLUMNS('Portfolio Weights Returns'!$B$9:$BJ$69))+1)</f>
        <v>-7.5813135309050377E-4</v>
      </c>
      <c r="B1207">
        <v>1.8499999999999999E-2</v>
      </c>
      <c r="C1207" s="59">
        <v>0.11</v>
      </c>
      <c r="D1207" s="59">
        <v>-7.0000000000000007E-2</v>
      </c>
      <c r="E1207" s="60">
        <f t="shared" si="18"/>
        <v>0.96000000000000008</v>
      </c>
      <c r="F1207" t="str" cm="1">
        <f t="array" ref="F1207">IF(A1207=MAX(IF(ROUND($B$2:$B$3722,4)=ROUND(B1207,4),$A$2:$A$3722)),"Efficient","Inefficient")</f>
        <v>Inefficient</v>
      </c>
    </row>
    <row r="1208" spans="1:6" x14ac:dyDescent="0.25">
      <c r="A1208" cm="1">
        <f t="array" ref="A1208">INDEX('Portfolio Weights Returns'!$B$9:$BJ$69,
INT((ROW(A1207)-1)/COLUMNS('Portfolio Weights Returns'!$B$9:$BJ$69))+1,MOD(ROW(A1207)-1,COLUMNS('Portfolio Weights Returns'!$B$9:$BJ$69))+1)</f>
        <v>-7.5135017912382474E-4</v>
      </c>
      <c r="B1208">
        <v>1.8499999999999999E-2</v>
      </c>
      <c r="C1208" s="59">
        <v>0.1</v>
      </c>
      <c r="D1208" s="59">
        <v>-0.06</v>
      </c>
      <c r="E1208" s="60">
        <f t="shared" si="18"/>
        <v>0.96000000000000008</v>
      </c>
      <c r="F1208" t="str" cm="1">
        <f t="array" ref="F1208">IF(A1208=MAX(IF(ROUND($B$2:$B$3722,4)=ROUND(B1208,4),$A$2:$A$3722)),"Efficient","Inefficient")</f>
        <v>Inefficient</v>
      </c>
    </row>
    <row r="1209" spans="1:6" x14ac:dyDescent="0.25">
      <c r="A1209" cm="1">
        <f t="array" ref="A1209">INDEX('Portfolio Weights Returns'!$B$9:$BJ$69,
INT((ROW(A1208)-1)/COLUMNS('Portfolio Weights Returns'!$B$9:$BJ$69))+1,MOD(ROW(A1208)-1,COLUMNS('Portfolio Weights Returns'!$B$9:$BJ$69))+1)</f>
        <v>-7.445690051571457E-4</v>
      </c>
      <c r="B1209">
        <v>1.8499999999999999E-2</v>
      </c>
      <c r="C1209" s="59">
        <v>0.09</v>
      </c>
      <c r="D1209" s="59">
        <v>-0.05</v>
      </c>
      <c r="E1209" s="60">
        <f t="shared" si="18"/>
        <v>0.96000000000000008</v>
      </c>
      <c r="F1209" t="str" cm="1">
        <f t="array" ref="F1209">IF(A1209=MAX(IF(ROUND($B$2:$B$3722,4)=ROUND(B1209,4),$A$2:$A$3722)),"Efficient","Inefficient")</f>
        <v>Inefficient</v>
      </c>
    </row>
    <row r="1210" spans="1:6" x14ac:dyDescent="0.25">
      <c r="A1210" cm="1">
        <f t="array" ref="A1210">INDEX('Portfolio Weights Returns'!$B$9:$BJ$69,
INT((ROW(A1209)-1)/COLUMNS('Portfolio Weights Returns'!$B$9:$BJ$69))+1,MOD(ROW(A1209)-1,COLUMNS('Portfolio Weights Returns'!$B$9:$BJ$69))+1)</f>
        <v>-7.3778783119046655E-4</v>
      </c>
      <c r="B1210">
        <v>1.8499999999999999E-2</v>
      </c>
      <c r="C1210" s="59">
        <v>0.08</v>
      </c>
      <c r="D1210" s="59">
        <v>-0.04</v>
      </c>
      <c r="E1210" s="60">
        <f t="shared" si="18"/>
        <v>0.96000000000000008</v>
      </c>
      <c r="F1210" t="str" cm="1">
        <f t="array" ref="F1210">IF(A1210=MAX(IF(ROUND($B$2:$B$3722,4)=ROUND(B1210,4),$A$2:$A$3722)),"Efficient","Inefficient")</f>
        <v>Inefficient</v>
      </c>
    </row>
    <row r="1211" spans="1:6" x14ac:dyDescent="0.25">
      <c r="A1211" cm="1">
        <f t="array" ref="A1211">INDEX('Portfolio Weights Returns'!$B$9:$BJ$69,
INT((ROW(A1210)-1)/COLUMNS('Portfolio Weights Returns'!$B$9:$BJ$69))+1,MOD(ROW(A1210)-1,COLUMNS('Portfolio Weights Returns'!$B$9:$BJ$69))+1)</f>
        <v>-7.3100665722378752E-4</v>
      </c>
      <c r="B1211">
        <v>1.8499999999999999E-2</v>
      </c>
      <c r="C1211" s="59">
        <v>7.0000000000000007E-2</v>
      </c>
      <c r="D1211" s="59">
        <v>-0.03</v>
      </c>
      <c r="E1211" s="60">
        <f t="shared" si="18"/>
        <v>0.96</v>
      </c>
      <c r="F1211" t="str" cm="1">
        <f t="array" ref="F1211">IF(A1211=MAX(IF(ROUND($B$2:$B$3722,4)=ROUND(B1211,4),$A$2:$A$3722)),"Efficient","Inefficient")</f>
        <v>Inefficient</v>
      </c>
    </row>
    <row r="1212" spans="1:6" x14ac:dyDescent="0.25">
      <c r="A1212" cm="1">
        <f t="array" ref="A1212">INDEX('Portfolio Weights Returns'!$B$9:$BJ$69,
INT((ROW(A1211)-1)/COLUMNS('Portfolio Weights Returns'!$B$9:$BJ$69))+1,MOD(ROW(A1211)-1,COLUMNS('Portfolio Weights Returns'!$B$9:$BJ$69))+1)</f>
        <v>-7.2422548325710827E-4</v>
      </c>
      <c r="B1212">
        <v>1.8499999999999999E-2</v>
      </c>
      <c r="C1212" s="59">
        <v>0.06</v>
      </c>
      <c r="D1212" s="59">
        <v>-0.02</v>
      </c>
      <c r="E1212" s="60">
        <f t="shared" si="18"/>
        <v>0.96</v>
      </c>
      <c r="F1212" t="str" cm="1">
        <f t="array" ref="F1212">IF(A1212=MAX(IF(ROUND($B$2:$B$3722,4)=ROUND(B1212,4),$A$2:$A$3722)),"Efficient","Inefficient")</f>
        <v>Inefficient</v>
      </c>
    </row>
    <row r="1213" spans="1:6" x14ac:dyDescent="0.25">
      <c r="A1213" cm="1">
        <f t="array" ref="A1213">INDEX('Portfolio Weights Returns'!$B$9:$BJ$69,
INT((ROW(A1212)-1)/COLUMNS('Portfolio Weights Returns'!$B$9:$BJ$69))+1,MOD(ROW(A1212)-1,COLUMNS('Portfolio Weights Returns'!$B$9:$BJ$69))+1)</f>
        <v>-7.1744430929042923E-4</v>
      </c>
      <c r="B1213">
        <v>1.8499999999999999E-2</v>
      </c>
      <c r="C1213" s="59">
        <v>0.05</v>
      </c>
      <c r="D1213" s="59">
        <v>-0.01</v>
      </c>
      <c r="E1213" s="60">
        <f t="shared" si="18"/>
        <v>0.96</v>
      </c>
      <c r="F1213" t="str" cm="1">
        <f t="array" ref="F1213">IF(A1213=MAX(IF(ROUND($B$2:$B$3722,4)=ROUND(B1213,4),$A$2:$A$3722)),"Efficient","Inefficient")</f>
        <v>Inefficient</v>
      </c>
    </row>
    <row r="1214" spans="1:6" x14ac:dyDescent="0.25">
      <c r="A1214" cm="1">
        <f t="array" ref="A1214">INDEX('Portfolio Weights Returns'!$B$9:$BJ$69,
INT((ROW(A1213)-1)/COLUMNS('Portfolio Weights Returns'!$B$9:$BJ$69))+1,MOD(ROW(A1213)-1,COLUMNS('Portfolio Weights Returns'!$B$9:$BJ$69))+1)</f>
        <v>-7.1066313532375009E-4</v>
      </c>
      <c r="B1214">
        <v>1.8499999999999999E-2</v>
      </c>
      <c r="C1214" s="59">
        <v>0.04</v>
      </c>
      <c r="D1214" s="59">
        <v>0.01</v>
      </c>
      <c r="E1214" s="60">
        <f t="shared" si="18"/>
        <v>0.95</v>
      </c>
      <c r="F1214" t="str" cm="1">
        <f t="array" ref="F1214">IF(A1214=MAX(IF(ROUND($B$2:$B$3722,4)=ROUND(B1214,4),$A$2:$A$3722)),"Efficient","Inefficient")</f>
        <v>Inefficient</v>
      </c>
    </row>
    <row r="1215" spans="1:6" x14ac:dyDescent="0.25">
      <c r="A1215" cm="1">
        <f t="array" ref="A1215">INDEX('Portfolio Weights Returns'!$B$9:$BJ$69,
INT((ROW(A1214)-1)/COLUMNS('Portfolio Weights Returns'!$B$9:$BJ$69))+1,MOD(ROW(A1214)-1,COLUMNS('Portfolio Weights Returns'!$B$9:$BJ$69))+1)</f>
        <v>-7.0388196135707105E-4</v>
      </c>
      <c r="B1215">
        <v>1.8499999999999999E-2</v>
      </c>
      <c r="C1215" s="59">
        <v>0.03</v>
      </c>
      <c r="D1215" s="59">
        <v>0.02</v>
      </c>
      <c r="E1215" s="60">
        <f t="shared" si="18"/>
        <v>0.95</v>
      </c>
      <c r="F1215" t="str" cm="1">
        <f t="array" ref="F1215">IF(A1215=MAX(IF(ROUND($B$2:$B$3722,4)=ROUND(B1215,4),$A$2:$A$3722)),"Efficient","Inefficient")</f>
        <v>Inefficient</v>
      </c>
    </row>
    <row r="1216" spans="1:6" x14ac:dyDescent="0.25">
      <c r="A1216" cm="1">
        <f t="array" ref="A1216">INDEX('Portfolio Weights Returns'!$B$9:$BJ$69,
INT((ROW(A1215)-1)/COLUMNS('Portfolio Weights Returns'!$B$9:$BJ$69))+1,MOD(ROW(A1215)-1,COLUMNS('Portfolio Weights Returns'!$B$9:$BJ$69))+1)</f>
        <v>-6.971007873903919E-4</v>
      </c>
      <c r="B1216">
        <v>1.8499999999999999E-2</v>
      </c>
      <c r="C1216" s="59">
        <v>0.02</v>
      </c>
      <c r="D1216" s="59">
        <v>0.03</v>
      </c>
      <c r="E1216" s="60">
        <f t="shared" si="18"/>
        <v>0.95</v>
      </c>
      <c r="F1216" t="str" cm="1">
        <f t="array" ref="F1216">IF(A1216=MAX(IF(ROUND($B$2:$B$3722,4)=ROUND(B1216,4),$A$2:$A$3722)),"Efficient","Inefficient")</f>
        <v>Inefficient</v>
      </c>
    </row>
    <row r="1217" spans="1:6" x14ac:dyDescent="0.25">
      <c r="A1217" cm="1">
        <f t="array" ref="A1217">INDEX('Portfolio Weights Returns'!$B$9:$BJ$69,
INT((ROW(A1216)-1)/COLUMNS('Portfolio Weights Returns'!$B$9:$BJ$69))+1,MOD(ROW(A1216)-1,COLUMNS('Portfolio Weights Returns'!$B$9:$BJ$69))+1)</f>
        <v>-6.9031961342371287E-4</v>
      </c>
      <c r="B1217">
        <v>1.8499999999999999E-2</v>
      </c>
      <c r="C1217" s="59">
        <v>0.02</v>
      </c>
      <c r="D1217" s="59">
        <v>0.04</v>
      </c>
      <c r="E1217" s="60">
        <f t="shared" si="18"/>
        <v>0.94</v>
      </c>
      <c r="F1217" t="str" cm="1">
        <f t="array" ref="F1217">IF(A1217=MAX(IF(ROUND($B$2:$B$3722,4)=ROUND(B1217,4),$A$2:$A$3722)),"Efficient","Inefficient")</f>
        <v>Inefficient</v>
      </c>
    </row>
    <row r="1218" spans="1:6" x14ac:dyDescent="0.25">
      <c r="A1218" cm="1">
        <f t="array" ref="A1218">INDEX('Portfolio Weights Returns'!$B$9:$BJ$69,
INT((ROW(A1217)-1)/COLUMNS('Portfolio Weights Returns'!$B$9:$BJ$69))+1,MOD(ROW(A1217)-1,COLUMNS('Portfolio Weights Returns'!$B$9:$BJ$69))+1)</f>
        <v>-6.8353843945703297E-4</v>
      </c>
      <c r="B1218">
        <v>1.8499999999999999E-2</v>
      </c>
      <c r="C1218" s="59">
        <v>0.01</v>
      </c>
      <c r="D1218" s="59">
        <v>0.05</v>
      </c>
      <c r="E1218" s="60">
        <f t="shared" ref="E1218:E1281" si="19">1-D1218-C1218</f>
        <v>0.94</v>
      </c>
      <c r="F1218" t="str" cm="1">
        <f t="array" ref="F1218">IF(A1218=MAX(IF(ROUND($B$2:$B$3722,4)=ROUND(B1218,4),$A$2:$A$3722)),"Efficient","Inefficient")</f>
        <v>Inefficient</v>
      </c>
    </row>
    <row r="1219" spans="1:6" x14ac:dyDescent="0.25">
      <c r="A1219" cm="1">
        <f t="array" ref="A1219">INDEX('Portfolio Weights Returns'!$B$9:$BJ$69,
INT((ROW(A1218)-1)/COLUMNS('Portfolio Weights Returns'!$B$9:$BJ$69))+1,MOD(ROW(A1218)-1,COLUMNS('Portfolio Weights Returns'!$B$9:$BJ$69))+1)</f>
        <v>-6.7675726549035393E-4</v>
      </c>
      <c r="B1219">
        <v>1.8499999999999999E-2</v>
      </c>
      <c r="C1219" s="59">
        <v>0</v>
      </c>
      <c r="D1219" s="59">
        <v>7.0000000000000007E-2</v>
      </c>
      <c r="E1219" s="60">
        <f t="shared" si="19"/>
        <v>0.92999999999999994</v>
      </c>
      <c r="F1219" t="str" cm="1">
        <f t="array" ref="F1219">IF(A1219=MAX(IF(ROUND($B$2:$B$3722,4)=ROUND(B1219,4),$A$2:$A$3722)),"Efficient","Inefficient")</f>
        <v>Inefficient</v>
      </c>
    </row>
    <row r="1220" spans="1:6" x14ac:dyDescent="0.25">
      <c r="A1220" cm="1">
        <f t="array" ref="A1220">INDEX('Portfolio Weights Returns'!$B$9:$BJ$69,
INT((ROW(A1219)-1)/COLUMNS('Portfolio Weights Returns'!$B$9:$BJ$69))+1,MOD(ROW(A1219)-1,COLUMNS('Portfolio Weights Returns'!$B$9:$BJ$69))+1)</f>
        <v>-6.6997609152367489E-4</v>
      </c>
      <c r="B1220">
        <v>1.8499999999999999E-2</v>
      </c>
      <c r="C1220" s="59">
        <v>-0.01</v>
      </c>
      <c r="D1220" s="59">
        <v>0.09</v>
      </c>
      <c r="E1220" s="60">
        <f t="shared" si="19"/>
        <v>0.92</v>
      </c>
      <c r="F1220" t="str" cm="1">
        <f t="array" ref="F1220">IF(A1220=MAX(IF(ROUND($B$2:$B$3722,4)=ROUND(B1220,4),$A$2:$A$3722)),"Efficient","Inefficient")</f>
        <v>Inefficient</v>
      </c>
    </row>
    <row r="1221" spans="1:6" x14ac:dyDescent="0.25">
      <c r="A1221" cm="1">
        <f t="array" ref="A1221">INDEX('Portfolio Weights Returns'!$B$9:$BJ$69,
INT((ROW(A1220)-1)/COLUMNS('Portfolio Weights Returns'!$B$9:$BJ$69))+1,MOD(ROW(A1220)-1,COLUMNS('Portfolio Weights Returns'!$B$9:$BJ$69))+1)</f>
        <v>-6.6319491755699575E-4</v>
      </c>
      <c r="B1221">
        <v>1.8499999999999999E-2</v>
      </c>
      <c r="C1221" s="59">
        <v>-0.01</v>
      </c>
      <c r="D1221" s="59">
        <v>0.1</v>
      </c>
      <c r="E1221" s="60">
        <f t="shared" si="19"/>
        <v>0.91</v>
      </c>
      <c r="F1221" t="str" cm="1">
        <f t="array" ref="F1221">IF(A1221=MAX(IF(ROUND($B$2:$B$3722,4)=ROUND(B1221,4),$A$2:$A$3722)),"Efficient","Inefficient")</f>
        <v>Efficient</v>
      </c>
    </row>
    <row r="1222" spans="1:6" x14ac:dyDescent="0.25">
      <c r="A1222" cm="1">
        <f t="array" ref="A1222">INDEX('Portfolio Weights Returns'!$B$9:$BJ$69,
INT((ROW(A1221)-1)/COLUMNS('Portfolio Weights Returns'!$B$9:$BJ$69))+1,MOD(ROW(A1221)-1,COLUMNS('Portfolio Weights Returns'!$B$9:$BJ$69))+1)</f>
        <v>-1.0634911477122875E-3</v>
      </c>
      <c r="B1222">
        <v>1.8499999999999999E-2</v>
      </c>
      <c r="C1222" s="59">
        <v>-0.02</v>
      </c>
      <c r="D1222" s="59">
        <v>0.12</v>
      </c>
      <c r="E1222" s="60">
        <f t="shared" si="19"/>
        <v>0.9</v>
      </c>
      <c r="F1222" t="str" cm="1">
        <f t="array" ref="F1222">IF(A1222=MAX(IF(ROUND($B$2:$B$3722,4)=ROUND(B1222,4),$A$2:$A$3722)),"Efficient","Inefficient")</f>
        <v>Inefficient</v>
      </c>
    </row>
    <row r="1223" spans="1:6" x14ac:dyDescent="0.25">
      <c r="A1223" cm="1">
        <f t="array" ref="A1223">INDEX('Portfolio Weights Returns'!$B$9:$BJ$69,
INT((ROW(A1222)-1)/COLUMNS('Portfolio Weights Returns'!$B$9:$BJ$69))+1,MOD(ROW(A1222)-1,COLUMNS('Portfolio Weights Returns'!$B$9:$BJ$69))+1)</f>
        <v>-1.0567099737456085E-3</v>
      </c>
      <c r="B1223">
        <v>1.8499999999999999E-2</v>
      </c>
      <c r="C1223" s="59">
        <v>-0.02</v>
      </c>
      <c r="D1223" s="59">
        <v>0.13</v>
      </c>
      <c r="E1223" s="60">
        <f t="shared" si="19"/>
        <v>0.89</v>
      </c>
      <c r="F1223" t="str" cm="1">
        <f t="array" ref="F1223">IF(A1223=MAX(IF(ROUND($B$2:$B$3722,4)=ROUND(B1223,4),$A$2:$A$3722)),"Efficient","Inefficient")</f>
        <v>Inefficient</v>
      </c>
    </row>
    <row r="1224" spans="1:6" x14ac:dyDescent="0.25">
      <c r="A1224" cm="1">
        <f t="array" ref="A1224">INDEX('Portfolio Weights Returns'!$B$9:$BJ$69,
INT((ROW(A1223)-1)/COLUMNS('Portfolio Weights Returns'!$B$9:$BJ$69))+1,MOD(ROW(A1223)-1,COLUMNS('Portfolio Weights Returns'!$B$9:$BJ$69))+1)</f>
        <v>-1.0499287997789294E-3</v>
      </c>
      <c r="B1224">
        <v>1.8499999999999999E-2</v>
      </c>
      <c r="C1224" s="59">
        <v>-0.02</v>
      </c>
      <c r="D1224" s="59">
        <v>0.14000000000000001</v>
      </c>
      <c r="E1224" s="60">
        <f t="shared" si="19"/>
        <v>0.88</v>
      </c>
      <c r="F1224" t="str" cm="1">
        <f t="array" ref="F1224">IF(A1224=MAX(IF(ROUND($B$2:$B$3722,4)=ROUND(B1224,4),$A$2:$A$3722)),"Efficient","Inefficient")</f>
        <v>Inefficient</v>
      </c>
    </row>
    <row r="1225" spans="1:6" x14ac:dyDescent="0.25">
      <c r="A1225" cm="1">
        <f t="array" ref="A1225">INDEX('Portfolio Weights Returns'!$B$9:$BJ$69,
INT((ROW(A1224)-1)/COLUMNS('Portfolio Weights Returns'!$B$9:$BJ$69))+1,MOD(ROW(A1224)-1,COLUMNS('Portfolio Weights Returns'!$B$9:$BJ$69))+1)</f>
        <v>-1.0431476258122502E-3</v>
      </c>
      <c r="B1225">
        <v>1.8499999999999999E-2</v>
      </c>
      <c r="C1225" s="59">
        <v>-0.02</v>
      </c>
      <c r="D1225" s="59">
        <v>0.15</v>
      </c>
      <c r="E1225" s="60">
        <f t="shared" si="19"/>
        <v>0.87</v>
      </c>
      <c r="F1225" t="str" cm="1">
        <f t="array" ref="F1225">IF(A1225=MAX(IF(ROUND($B$2:$B$3722,4)=ROUND(B1225,4),$A$2:$A$3722)),"Efficient","Inefficient")</f>
        <v>Inefficient</v>
      </c>
    </row>
    <row r="1226" spans="1:6" x14ac:dyDescent="0.25">
      <c r="A1226" cm="1">
        <f t="array" ref="A1226">INDEX('Portfolio Weights Returns'!$B$9:$BJ$69,
INT((ROW(A1225)-1)/COLUMNS('Portfolio Weights Returns'!$B$9:$BJ$69))+1,MOD(ROW(A1225)-1,COLUMNS('Portfolio Weights Returns'!$B$9:$BJ$69))+1)</f>
        <v>-1.0363664518455711E-3</v>
      </c>
      <c r="B1226">
        <v>1.8499999999999999E-2</v>
      </c>
      <c r="C1226" s="59">
        <v>-0.02</v>
      </c>
      <c r="D1226" s="59">
        <v>0.16</v>
      </c>
      <c r="E1226" s="60">
        <f t="shared" si="19"/>
        <v>0.86</v>
      </c>
      <c r="F1226" t="str" cm="1">
        <f t="array" ref="F1226">IF(A1226=MAX(IF(ROUND($B$2:$B$3722,4)=ROUND(B1226,4),$A$2:$A$3722)),"Efficient","Inefficient")</f>
        <v>Inefficient</v>
      </c>
    </row>
    <row r="1227" spans="1:6" x14ac:dyDescent="0.25">
      <c r="A1227" cm="1">
        <f t="array" ref="A1227">INDEX('Portfolio Weights Returns'!$B$9:$BJ$69,
INT((ROW(A1226)-1)/COLUMNS('Portfolio Weights Returns'!$B$9:$BJ$69))+1,MOD(ROW(A1226)-1,COLUMNS('Portfolio Weights Returns'!$B$9:$BJ$69))+1)</f>
        <v>-1.0295852778788922E-3</v>
      </c>
      <c r="B1227">
        <v>1.8499999999999999E-2</v>
      </c>
      <c r="C1227" s="59">
        <v>-0.02</v>
      </c>
      <c r="D1227" s="59">
        <v>0.17</v>
      </c>
      <c r="E1227" s="60">
        <f t="shared" si="19"/>
        <v>0.85</v>
      </c>
      <c r="F1227" t="str" cm="1">
        <f t="array" ref="F1227">IF(A1227=MAX(IF(ROUND($B$2:$B$3722,4)=ROUND(B1227,4),$A$2:$A$3722)),"Efficient","Inefficient")</f>
        <v>Inefficient</v>
      </c>
    </row>
    <row r="1228" spans="1:6" x14ac:dyDescent="0.25">
      <c r="A1228" cm="1">
        <f t="array" ref="A1228">INDEX('Portfolio Weights Returns'!$B$9:$BJ$69,
INT((ROW(A1227)-1)/COLUMNS('Portfolio Weights Returns'!$B$9:$BJ$69))+1,MOD(ROW(A1227)-1,COLUMNS('Portfolio Weights Returns'!$B$9:$BJ$69))+1)</f>
        <v>-1.022804103912213E-3</v>
      </c>
      <c r="B1228">
        <v>1.8499999999999999E-2</v>
      </c>
      <c r="C1228" s="59">
        <v>-0.02</v>
      </c>
      <c r="D1228" s="59">
        <v>0.18</v>
      </c>
      <c r="E1228" s="60">
        <f t="shared" si="19"/>
        <v>0.84000000000000008</v>
      </c>
      <c r="F1228" t="str" cm="1">
        <f t="array" ref="F1228">IF(A1228=MAX(IF(ROUND($B$2:$B$3722,4)=ROUND(B1228,4),$A$2:$A$3722)),"Efficient","Inefficient")</f>
        <v>Inefficient</v>
      </c>
    </row>
    <row r="1229" spans="1:6" x14ac:dyDescent="0.25">
      <c r="A1229" cm="1">
        <f t="array" ref="A1229">INDEX('Portfolio Weights Returns'!$B$9:$BJ$69,
INT((ROW(A1228)-1)/COLUMNS('Portfolio Weights Returns'!$B$9:$BJ$69))+1,MOD(ROW(A1228)-1,COLUMNS('Portfolio Weights Returns'!$B$9:$BJ$69))+1)</f>
        <v>-1.0160229299455339E-3</v>
      </c>
      <c r="B1229">
        <v>1.8499999999999999E-2</v>
      </c>
      <c r="C1229" s="59">
        <v>-0.02</v>
      </c>
      <c r="D1229" s="59">
        <v>0.19</v>
      </c>
      <c r="E1229" s="60">
        <f t="shared" si="19"/>
        <v>0.83000000000000007</v>
      </c>
      <c r="F1229" t="str" cm="1">
        <f t="array" ref="F1229">IF(A1229=MAX(IF(ROUND($B$2:$B$3722,4)=ROUND(B1229,4),$A$2:$A$3722)),"Efficient","Inefficient")</f>
        <v>Inefficient</v>
      </c>
    </row>
    <row r="1230" spans="1:6" x14ac:dyDescent="0.25">
      <c r="A1230" cm="1">
        <f t="array" ref="A1230">INDEX('Portfolio Weights Returns'!$B$9:$BJ$69,
INT((ROW(A1229)-1)/COLUMNS('Portfolio Weights Returns'!$B$9:$BJ$69))+1,MOD(ROW(A1229)-1,COLUMNS('Portfolio Weights Returns'!$B$9:$BJ$69))+1)</f>
        <v>-1.0092417559788547E-3</v>
      </c>
      <c r="B1230">
        <v>1.8499999999999999E-2</v>
      </c>
      <c r="C1230" s="59">
        <v>-0.02</v>
      </c>
      <c r="D1230" s="59">
        <v>0.2</v>
      </c>
      <c r="E1230" s="60">
        <f t="shared" si="19"/>
        <v>0.82000000000000006</v>
      </c>
      <c r="F1230" t="str" cm="1">
        <f t="array" ref="F1230">IF(A1230=MAX(IF(ROUND($B$2:$B$3722,4)=ROUND(B1230,4),$A$2:$A$3722)),"Efficient","Inefficient")</f>
        <v>Inefficient</v>
      </c>
    </row>
    <row r="1231" spans="1:6" x14ac:dyDescent="0.25">
      <c r="A1231" cm="1">
        <f t="array" ref="A1231">INDEX('Portfolio Weights Returns'!$B$9:$BJ$69,
INT((ROW(A1230)-1)/COLUMNS('Portfolio Weights Returns'!$B$9:$BJ$69))+1,MOD(ROW(A1230)-1,COLUMNS('Portfolio Weights Returns'!$B$9:$BJ$69))+1)</f>
        <v>-1.0024605820121754E-3</v>
      </c>
      <c r="B1231">
        <v>1.8499999999999999E-2</v>
      </c>
      <c r="C1231" s="59">
        <v>-0.01</v>
      </c>
      <c r="D1231" s="59">
        <v>0.21</v>
      </c>
      <c r="E1231" s="60">
        <f t="shared" si="19"/>
        <v>0.8</v>
      </c>
      <c r="F1231" t="str" cm="1">
        <f t="array" ref="F1231">IF(A1231=MAX(IF(ROUND($B$2:$B$3722,4)=ROUND(B1231,4),$A$2:$A$3722)),"Efficient","Inefficient")</f>
        <v>Inefficient</v>
      </c>
    </row>
    <row r="1232" spans="1:6" x14ac:dyDescent="0.25">
      <c r="A1232" cm="1">
        <f t="array" ref="A1232">INDEX('Portfolio Weights Returns'!$B$9:$BJ$69,
INT((ROW(A1231)-1)/COLUMNS('Portfolio Weights Returns'!$B$9:$BJ$69))+1,MOD(ROW(A1231)-1,COLUMNS('Portfolio Weights Returns'!$B$9:$BJ$69))+1)</f>
        <v>-9.9567940804549645E-4</v>
      </c>
      <c r="B1232">
        <v>1.8499999999999999E-2</v>
      </c>
      <c r="C1232" s="59">
        <v>-0.01</v>
      </c>
      <c r="D1232" s="59">
        <v>0.22</v>
      </c>
      <c r="E1232" s="60">
        <f t="shared" si="19"/>
        <v>0.79</v>
      </c>
      <c r="F1232" t="str" cm="1">
        <f t="array" ref="F1232">IF(A1232=MAX(IF(ROUND($B$2:$B$3722,4)=ROUND(B1232,4),$A$2:$A$3722)),"Efficient","Inefficient")</f>
        <v>Inefficient</v>
      </c>
    </row>
    <row r="1233" spans="1:6" x14ac:dyDescent="0.25">
      <c r="A1233" cm="1">
        <f t="array" ref="A1233">INDEX('Portfolio Weights Returns'!$B$9:$BJ$69,
INT((ROW(A1232)-1)/COLUMNS('Portfolio Weights Returns'!$B$9:$BJ$69))+1,MOD(ROW(A1232)-1,COLUMNS('Portfolio Weights Returns'!$B$9:$BJ$69))+1)</f>
        <v>-9.888982340788173E-4</v>
      </c>
      <c r="B1233">
        <v>1.8499999999999999E-2</v>
      </c>
      <c r="C1233" s="59">
        <v>0</v>
      </c>
      <c r="D1233" s="59">
        <v>0.23</v>
      </c>
      <c r="E1233" s="60">
        <f t="shared" si="19"/>
        <v>0.77</v>
      </c>
      <c r="F1233" t="str" cm="1">
        <f t="array" ref="F1233">IF(A1233=MAX(IF(ROUND($B$2:$B$3722,4)=ROUND(B1233,4),$A$2:$A$3722)),"Efficient","Inefficient")</f>
        <v>Inefficient</v>
      </c>
    </row>
    <row r="1234" spans="1:6" x14ac:dyDescent="0.25">
      <c r="A1234" cm="1">
        <f t="array" ref="A1234">INDEX('Portfolio Weights Returns'!$B$9:$BJ$69,
INT((ROW(A1233)-1)/COLUMNS('Portfolio Weights Returns'!$B$9:$BJ$69))+1,MOD(ROW(A1233)-1,COLUMNS('Portfolio Weights Returns'!$B$9:$BJ$69))+1)</f>
        <v>-9.8211706011213816E-4</v>
      </c>
      <c r="B1234">
        <v>1.8499999999999999E-2</v>
      </c>
      <c r="C1234" s="59">
        <v>0</v>
      </c>
      <c r="D1234" s="59">
        <v>0.24</v>
      </c>
      <c r="E1234" s="60">
        <f t="shared" si="19"/>
        <v>0.76</v>
      </c>
      <c r="F1234" t="str" cm="1">
        <f t="array" ref="F1234">IF(A1234=MAX(IF(ROUND($B$2:$B$3722,4)=ROUND(B1234,4),$A$2:$A$3722)),"Efficient","Inefficient")</f>
        <v>Inefficient</v>
      </c>
    </row>
    <row r="1235" spans="1:6" x14ac:dyDescent="0.25">
      <c r="A1235" cm="1">
        <f t="array" ref="A1235">INDEX('Portfolio Weights Returns'!$B$9:$BJ$69,
INT((ROW(A1234)-1)/COLUMNS('Portfolio Weights Returns'!$B$9:$BJ$69))+1,MOD(ROW(A1234)-1,COLUMNS('Portfolio Weights Returns'!$B$9:$BJ$69))+1)</f>
        <v>-9.7533588614545912E-4</v>
      </c>
      <c r="B1235">
        <v>1.8499999999999999E-2</v>
      </c>
      <c r="C1235" s="59">
        <v>0.01</v>
      </c>
      <c r="D1235" s="59">
        <v>0.25</v>
      </c>
      <c r="E1235" s="60">
        <f t="shared" si="19"/>
        <v>0.74</v>
      </c>
      <c r="F1235" t="str" cm="1">
        <f t="array" ref="F1235">IF(A1235=MAX(IF(ROUND($B$2:$B$3722,4)=ROUND(B1235,4),$A$2:$A$3722)),"Efficient","Inefficient")</f>
        <v>Inefficient</v>
      </c>
    </row>
    <row r="1236" spans="1:6" x14ac:dyDescent="0.25">
      <c r="A1236" cm="1">
        <f t="array" ref="A1236">INDEX('Portfolio Weights Returns'!$B$9:$BJ$69,
INT((ROW(A1235)-1)/COLUMNS('Portfolio Weights Returns'!$B$9:$BJ$69))+1,MOD(ROW(A1235)-1,COLUMNS('Portfolio Weights Returns'!$B$9:$BJ$69))+1)</f>
        <v>-9.6855471217877998E-4</v>
      </c>
      <c r="B1236">
        <v>1.8499999999999999E-2</v>
      </c>
      <c r="C1236" s="59">
        <v>0.02</v>
      </c>
      <c r="D1236" s="59">
        <v>0.26</v>
      </c>
      <c r="E1236" s="60">
        <f t="shared" si="19"/>
        <v>0.72</v>
      </c>
      <c r="F1236" t="str" cm="1">
        <f t="array" ref="F1236">IF(A1236=MAX(IF(ROUND($B$2:$B$3722,4)=ROUND(B1236,4),$A$2:$A$3722)),"Efficient","Inefficient")</f>
        <v>Inefficient</v>
      </c>
    </row>
    <row r="1237" spans="1:6" x14ac:dyDescent="0.25">
      <c r="A1237" cm="1">
        <f t="array" ref="A1237">INDEX('Portfolio Weights Returns'!$B$9:$BJ$69,
INT((ROW(A1236)-1)/COLUMNS('Portfolio Weights Returns'!$B$9:$BJ$69))+1,MOD(ROW(A1236)-1,COLUMNS('Portfolio Weights Returns'!$B$9:$BJ$69))+1)</f>
        <v>-9.6177353821210094E-4</v>
      </c>
      <c r="B1237">
        <v>1.8499999999999999E-2</v>
      </c>
      <c r="C1237" s="59">
        <v>0.03</v>
      </c>
      <c r="D1237" s="59">
        <v>0.27</v>
      </c>
      <c r="E1237" s="60">
        <f t="shared" si="19"/>
        <v>0.7</v>
      </c>
      <c r="F1237" t="str" cm="1">
        <f t="array" ref="F1237">IF(A1237=MAX(IF(ROUND($B$2:$B$3722,4)=ROUND(B1237,4),$A$2:$A$3722)),"Efficient","Inefficient")</f>
        <v>Inefficient</v>
      </c>
    </row>
    <row r="1238" spans="1:6" x14ac:dyDescent="0.25">
      <c r="A1238" cm="1">
        <f t="array" ref="A1238">INDEX('Portfolio Weights Returns'!$B$9:$BJ$69,
INT((ROW(A1237)-1)/COLUMNS('Portfolio Weights Returns'!$B$9:$BJ$69))+1,MOD(ROW(A1237)-1,COLUMNS('Portfolio Weights Returns'!$B$9:$BJ$69))+1)</f>
        <v>-9.5499236424542201E-4</v>
      </c>
      <c r="B1238">
        <v>1.8499999999999999E-2</v>
      </c>
      <c r="C1238" s="59">
        <v>0.04</v>
      </c>
      <c r="D1238" s="59">
        <v>0.28000000000000003</v>
      </c>
      <c r="E1238" s="60">
        <f t="shared" si="19"/>
        <v>0.67999999999999994</v>
      </c>
      <c r="F1238" t="str" cm="1">
        <f t="array" ref="F1238">IF(A1238=MAX(IF(ROUND($B$2:$B$3722,4)=ROUND(B1238,4),$A$2:$A$3722)),"Efficient","Inefficient")</f>
        <v>Inefficient</v>
      </c>
    </row>
    <row r="1239" spans="1:6" x14ac:dyDescent="0.25">
      <c r="A1239" cm="1">
        <f t="array" ref="A1239">INDEX('Portfolio Weights Returns'!$B$9:$BJ$69,
INT((ROW(A1238)-1)/COLUMNS('Portfolio Weights Returns'!$B$9:$BJ$69))+1,MOD(ROW(A1238)-1,COLUMNS('Portfolio Weights Returns'!$B$9:$BJ$69))+1)</f>
        <v>-9.4821119027874265E-4</v>
      </c>
      <c r="B1239">
        <v>1.8499999999999999E-2</v>
      </c>
      <c r="C1239" s="59">
        <v>0.05</v>
      </c>
      <c r="D1239" s="59">
        <v>0.28999999999999998</v>
      </c>
      <c r="E1239" s="60">
        <f t="shared" si="19"/>
        <v>0.65999999999999992</v>
      </c>
      <c r="F1239" t="str" cm="1">
        <f t="array" ref="F1239">IF(A1239=MAX(IF(ROUND($B$2:$B$3722,4)=ROUND(B1239,4),$A$2:$A$3722)),"Efficient","Inefficient")</f>
        <v>Inefficient</v>
      </c>
    </row>
    <row r="1240" spans="1:6" x14ac:dyDescent="0.25">
      <c r="A1240" cm="1">
        <f t="array" ref="A1240">INDEX('Portfolio Weights Returns'!$B$9:$BJ$69,
INT((ROW(A1239)-1)/COLUMNS('Portfolio Weights Returns'!$B$9:$BJ$69))+1,MOD(ROW(A1239)-1,COLUMNS('Portfolio Weights Returns'!$B$9:$BJ$69))+1)</f>
        <v>-9.4143001631206372E-4</v>
      </c>
      <c r="B1240">
        <v>1.8499999999999999E-2</v>
      </c>
      <c r="C1240" s="59">
        <v>0.06</v>
      </c>
      <c r="D1240" s="59">
        <v>0.28999999999999998</v>
      </c>
      <c r="E1240" s="60">
        <f t="shared" si="19"/>
        <v>0.64999999999999991</v>
      </c>
      <c r="F1240" t="str" cm="1">
        <f t="array" ref="F1240">IF(A1240=MAX(IF(ROUND($B$2:$B$3722,4)=ROUND(B1240,4),$A$2:$A$3722)),"Efficient","Inefficient")</f>
        <v>Inefficient</v>
      </c>
    </row>
    <row r="1241" spans="1:6" x14ac:dyDescent="0.25">
      <c r="A1241" cm="1">
        <f t="array" ref="A1241">INDEX('Portfolio Weights Returns'!$B$9:$BJ$69,
INT((ROW(A1240)-1)/COLUMNS('Portfolio Weights Returns'!$B$9:$BJ$69))+1,MOD(ROW(A1240)-1,COLUMNS('Portfolio Weights Returns'!$B$9:$BJ$69))+1)</f>
        <v>-9.3464884234538458E-4</v>
      </c>
      <c r="B1241">
        <v>1.8499999999999999E-2</v>
      </c>
      <c r="C1241" s="59">
        <v>7.0000000000000007E-2</v>
      </c>
      <c r="D1241" s="59">
        <v>0.3</v>
      </c>
      <c r="E1241" s="60">
        <f t="shared" si="19"/>
        <v>0.62999999999999989</v>
      </c>
      <c r="F1241" t="str" cm="1">
        <f t="array" ref="F1241">IF(A1241=MAX(IF(ROUND($B$2:$B$3722,4)=ROUND(B1241,4),$A$2:$A$3722)),"Efficient","Inefficient")</f>
        <v>Inefficient</v>
      </c>
    </row>
    <row r="1242" spans="1:6" x14ac:dyDescent="0.25">
      <c r="A1242" cm="1">
        <f t="array" ref="A1242">INDEX('Portfolio Weights Returns'!$B$9:$BJ$69,
INT((ROW(A1241)-1)/COLUMNS('Portfolio Weights Returns'!$B$9:$BJ$69))+1,MOD(ROW(A1241)-1,COLUMNS('Portfolio Weights Returns'!$B$9:$BJ$69))+1)</f>
        <v>-9.2786766837870554E-4</v>
      </c>
      <c r="B1242">
        <v>1.8599999999999998E-2</v>
      </c>
      <c r="C1242" s="59">
        <v>0.28999999999999998</v>
      </c>
      <c r="D1242" s="59">
        <v>-0.2</v>
      </c>
      <c r="E1242" s="60">
        <f t="shared" si="19"/>
        <v>0.90999999999999992</v>
      </c>
      <c r="F1242" t="str" cm="1">
        <f t="array" ref="F1242">IF(A1242=MAX(IF(ROUND($B$2:$B$3722,4)=ROUND(B1242,4),$A$2:$A$3722)),"Efficient","Inefficient")</f>
        <v>Inefficient</v>
      </c>
    </row>
    <row r="1243" spans="1:6" x14ac:dyDescent="0.25">
      <c r="A1243" cm="1">
        <f t="array" ref="A1243">INDEX('Portfolio Weights Returns'!$B$9:$BJ$69,
INT((ROW(A1242)-1)/COLUMNS('Portfolio Weights Returns'!$B$9:$BJ$69))+1,MOD(ROW(A1242)-1,COLUMNS('Portfolio Weights Returns'!$B$9:$BJ$69))+1)</f>
        <v>-9.210864944120264E-4</v>
      </c>
      <c r="B1243">
        <v>1.8599999999999998E-2</v>
      </c>
      <c r="C1243" s="59">
        <v>0.27</v>
      </c>
      <c r="D1243" s="59">
        <v>-0.19</v>
      </c>
      <c r="E1243" s="60">
        <f t="shared" si="19"/>
        <v>0.91999999999999993</v>
      </c>
      <c r="F1243" t="str" cm="1">
        <f t="array" ref="F1243">IF(A1243=MAX(IF(ROUND($B$2:$B$3722,4)=ROUND(B1243,4),$A$2:$A$3722)),"Efficient","Inefficient")</f>
        <v>Inefficient</v>
      </c>
    </row>
    <row r="1244" spans="1:6" x14ac:dyDescent="0.25">
      <c r="A1244" cm="1">
        <f t="array" ref="A1244">INDEX('Portfolio Weights Returns'!$B$9:$BJ$69,
INT((ROW(A1243)-1)/COLUMNS('Portfolio Weights Returns'!$B$9:$BJ$69))+1,MOD(ROW(A1243)-1,COLUMNS('Portfolio Weights Returns'!$B$9:$BJ$69))+1)</f>
        <v>-9.1430532044534736E-4</v>
      </c>
      <c r="B1244">
        <v>1.8599999999999998E-2</v>
      </c>
      <c r="C1244" s="59">
        <v>0.26</v>
      </c>
      <c r="D1244" s="59">
        <v>-0.18</v>
      </c>
      <c r="E1244" s="60">
        <f t="shared" si="19"/>
        <v>0.91999999999999993</v>
      </c>
      <c r="F1244" t="str" cm="1">
        <f t="array" ref="F1244">IF(A1244=MAX(IF(ROUND($B$2:$B$3722,4)=ROUND(B1244,4),$A$2:$A$3722)),"Efficient","Inefficient")</f>
        <v>Inefficient</v>
      </c>
    </row>
    <row r="1245" spans="1:6" x14ac:dyDescent="0.25">
      <c r="A1245" cm="1">
        <f t="array" ref="A1245">INDEX('Portfolio Weights Returns'!$B$9:$BJ$69,
INT((ROW(A1244)-1)/COLUMNS('Portfolio Weights Returns'!$B$9:$BJ$69))+1,MOD(ROW(A1244)-1,COLUMNS('Portfolio Weights Returns'!$B$9:$BJ$69))+1)</f>
        <v>-9.0752414647866811E-4</v>
      </c>
      <c r="B1245">
        <v>1.8599999999999998E-2</v>
      </c>
      <c r="C1245" s="59">
        <v>0.24</v>
      </c>
      <c r="D1245" s="59">
        <v>-0.17</v>
      </c>
      <c r="E1245" s="60">
        <f t="shared" si="19"/>
        <v>0.92999999999999994</v>
      </c>
      <c r="F1245" t="str" cm="1">
        <f t="array" ref="F1245">IF(A1245=MAX(IF(ROUND($B$2:$B$3722,4)=ROUND(B1245,4),$A$2:$A$3722)),"Efficient","Inefficient")</f>
        <v>Inefficient</v>
      </c>
    </row>
    <row r="1246" spans="1:6" x14ac:dyDescent="0.25">
      <c r="A1246" cm="1">
        <f t="array" ref="A1246">INDEX('Portfolio Weights Returns'!$B$9:$BJ$69,
INT((ROW(A1245)-1)/COLUMNS('Portfolio Weights Returns'!$B$9:$BJ$69))+1,MOD(ROW(A1245)-1,COLUMNS('Portfolio Weights Returns'!$B$9:$BJ$69))+1)</f>
        <v>-9.0074297251198907E-4</v>
      </c>
      <c r="B1246">
        <v>1.8599999999999998E-2</v>
      </c>
      <c r="C1246" s="59">
        <v>0.21</v>
      </c>
      <c r="D1246" s="59">
        <v>-0.15</v>
      </c>
      <c r="E1246" s="60">
        <f t="shared" si="19"/>
        <v>0.94</v>
      </c>
      <c r="F1246" t="str" cm="1">
        <f t="array" ref="F1246">IF(A1246=MAX(IF(ROUND($B$2:$B$3722,4)=ROUND(B1246,4),$A$2:$A$3722)),"Efficient","Inefficient")</f>
        <v>Inefficient</v>
      </c>
    </row>
    <row r="1247" spans="1:6" x14ac:dyDescent="0.25">
      <c r="A1247" cm="1">
        <f t="array" ref="A1247">INDEX('Portfolio Weights Returns'!$B$9:$BJ$69,
INT((ROW(A1246)-1)/COLUMNS('Portfolio Weights Returns'!$B$9:$BJ$69))+1,MOD(ROW(A1246)-1,COLUMNS('Portfolio Weights Returns'!$B$9:$BJ$69))+1)</f>
        <v>-8.9396179854530993E-4</v>
      </c>
      <c r="B1247">
        <v>1.8599999999999998E-2</v>
      </c>
      <c r="C1247" s="59">
        <v>0.18</v>
      </c>
      <c r="D1247" s="59">
        <v>-0.13</v>
      </c>
      <c r="E1247" s="60">
        <f t="shared" si="19"/>
        <v>0.95</v>
      </c>
      <c r="F1247" t="str" cm="1">
        <f t="array" ref="F1247">IF(A1247=MAX(IF(ROUND($B$2:$B$3722,4)=ROUND(B1247,4),$A$2:$A$3722)),"Efficient","Inefficient")</f>
        <v>Inefficient</v>
      </c>
    </row>
    <row r="1248" spans="1:6" x14ac:dyDescent="0.25">
      <c r="A1248" cm="1">
        <f t="array" ref="A1248">INDEX('Portfolio Weights Returns'!$B$9:$BJ$69,
INT((ROW(A1247)-1)/COLUMNS('Portfolio Weights Returns'!$B$9:$BJ$69))+1,MOD(ROW(A1247)-1,COLUMNS('Portfolio Weights Returns'!$B$9:$BJ$69))+1)</f>
        <v>-8.8718062457863078E-4</v>
      </c>
      <c r="B1248">
        <v>1.8599999999999998E-2</v>
      </c>
      <c r="C1248" s="59">
        <v>0.15</v>
      </c>
      <c r="D1248" s="59">
        <v>-0.11</v>
      </c>
      <c r="E1248" s="60">
        <f t="shared" si="19"/>
        <v>0.96000000000000008</v>
      </c>
      <c r="F1248" t="str" cm="1">
        <f t="array" ref="F1248">IF(A1248=MAX(IF(ROUND($B$2:$B$3722,4)=ROUND(B1248,4),$A$2:$A$3722)),"Efficient","Inefficient")</f>
        <v>Inefficient</v>
      </c>
    </row>
    <row r="1249" spans="1:6" x14ac:dyDescent="0.25">
      <c r="A1249" cm="1">
        <f t="array" ref="A1249">INDEX('Portfolio Weights Returns'!$B$9:$BJ$69,
INT((ROW(A1248)-1)/COLUMNS('Portfolio Weights Returns'!$B$9:$BJ$69))+1,MOD(ROW(A1248)-1,COLUMNS('Portfolio Weights Returns'!$B$9:$BJ$69))+1)</f>
        <v>-8.8039945061195175E-4</v>
      </c>
      <c r="B1249">
        <v>1.8599999999999998E-2</v>
      </c>
      <c r="C1249" s="59">
        <v>0.14000000000000001</v>
      </c>
      <c r="D1249" s="59">
        <v>-0.1</v>
      </c>
      <c r="E1249" s="60">
        <f t="shared" si="19"/>
        <v>0.96000000000000008</v>
      </c>
      <c r="F1249" t="str" cm="1">
        <f t="array" ref="F1249">IF(A1249=MAX(IF(ROUND($B$2:$B$3722,4)=ROUND(B1249,4),$A$2:$A$3722)),"Efficient","Inefficient")</f>
        <v>Inefficient</v>
      </c>
    </row>
    <row r="1250" spans="1:6" x14ac:dyDescent="0.25">
      <c r="A1250" cm="1">
        <f t="array" ref="A1250">INDEX('Portfolio Weights Returns'!$B$9:$BJ$69,
INT((ROW(A1249)-1)/COLUMNS('Portfolio Weights Returns'!$B$9:$BJ$69))+1,MOD(ROW(A1249)-1,COLUMNS('Portfolio Weights Returns'!$B$9:$BJ$69))+1)</f>
        <v>-8.736182766452726E-4</v>
      </c>
      <c r="B1250">
        <v>1.8599999999999998E-2</v>
      </c>
      <c r="C1250" s="59">
        <v>0.13</v>
      </c>
      <c r="D1250" s="59">
        <v>-0.09</v>
      </c>
      <c r="E1250" s="60">
        <f t="shared" si="19"/>
        <v>0.96000000000000008</v>
      </c>
      <c r="F1250" t="str" cm="1">
        <f t="array" ref="F1250">IF(A1250=MAX(IF(ROUND($B$2:$B$3722,4)=ROUND(B1250,4),$A$2:$A$3722)),"Efficient","Inefficient")</f>
        <v>Inefficient</v>
      </c>
    </row>
    <row r="1251" spans="1:6" x14ac:dyDescent="0.25">
      <c r="A1251" cm="1">
        <f t="array" ref="A1251">INDEX('Portfolio Weights Returns'!$B$9:$BJ$69,
INT((ROW(A1250)-1)/COLUMNS('Portfolio Weights Returns'!$B$9:$BJ$69))+1,MOD(ROW(A1250)-1,COLUMNS('Portfolio Weights Returns'!$B$9:$BJ$69))+1)</f>
        <v>-8.6683710267859357E-4</v>
      </c>
      <c r="B1251">
        <v>1.8599999999999998E-2</v>
      </c>
      <c r="C1251" s="59">
        <v>0.08</v>
      </c>
      <c r="D1251" s="59">
        <v>-0.05</v>
      </c>
      <c r="E1251" s="60">
        <f t="shared" si="19"/>
        <v>0.97000000000000008</v>
      </c>
      <c r="F1251" t="str" cm="1">
        <f t="array" ref="F1251">IF(A1251=MAX(IF(ROUND($B$2:$B$3722,4)=ROUND(B1251,4),$A$2:$A$3722)),"Efficient","Inefficient")</f>
        <v>Inefficient</v>
      </c>
    </row>
    <row r="1252" spans="1:6" x14ac:dyDescent="0.25">
      <c r="A1252" cm="1">
        <f t="array" ref="A1252">INDEX('Portfolio Weights Returns'!$B$9:$BJ$69,
INT((ROW(A1251)-1)/COLUMNS('Portfolio Weights Returns'!$B$9:$BJ$69))+1,MOD(ROW(A1251)-1,COLUMNS('Portfolio Weights Returns'!$B$9:$BJ$69))+1)</f>
        <v>-8.6005592871191432E-4</v>
      </c>
      <c r="B1252">
        <v>1.8599999999999998E-2</v>
      </c>
      <c r="C1252" s="59">
        <v>7.0000000000000007E-2</v>
      </c>
      <c r="D1252" s="59">
        <v>-0.04</v>
      </c>
      <c r="E1252" s="60">
        <f t="shared" si="19"/>
        <v>0.97</v>
      </c>
      <c r="F1252" t="str" cm="1">
        <f t="array" ref="F1252">IF(A1252=MAX(IF(ROUND($B$2:$B$3722,4)=ROUND(B1252,4),$A$2:$A$3722)),"Efficient","Inefficient")</f>
        <v>Inefficient</v>
      </c>
    </row>
    <row r="1253" spans="1:6" x14ac:dyDescent="0.25">
      <c r="A1253" cm="1">
        <f t="array" ref="A1253">INDEX('Portfolio Weights Returns'!$B$9:$BJ$69,
INT((ROW(A1252)-1)/COLUMNS('Portfolio Weights Returns'!$B$9:$BJ$69))+1,MOD(ROW(A1252)-1,COLUMNS('Portfolio Weights Returns'!$B$9:$BJ$69))+1)</f>
        <v>-8.5327475474523528E-4</v>
      </c>
      <c r="B1253">
        <v>1.8599999999999998E-2</v>
      </c>
      <c r="C1253" s="59">
        <v>0.04</v>
      </c>
      <c r="D1253" s="59">
        <v>0</v>
      </c>
      <c r="E1253" s="60">
        <f t="shared" si="19"/>
        <v>0.96</v>
      </c>
      <c r="F1253" t="str" cm="1">
        <f t="array" ref="F1253">IF(A1253=MAX(IF(ROUND($B$2:$B$3722,4)=ROUND(B1253,4),$A$2:$A$3722)),"Efficient","Inefficient")</f>
        <v>Inefficient</v>
      </c>
    </row>
    <row r="1254" spans="1:6" x14ac:dyDescent="0.25">
      <c r="A1254" cm="1">
        <f t="array" ref="A1254">INDEX('Portfolio Weights Returns'!$B$9:$BJ$69,
INT((ROW(A1253)-1)/COLUMNS('Portfolio Weights Returns'!$B$9:$BJ$69))+1,MOD(ROW(A1253)-1,COLUMNS('Portfolio Weights Returns'!$B$9:$BJ$69))+1)</f>
        <v>-8.4649358077855614E-4</v>
      </c>
      <c r="B1254">
        <v>1.8599999999999998E-2</v>
      </c>
      <c r="C1254" s="59">
        <v>0.03</v>
      </c>
      <c r="D1254" s="59">
        <v>0.01</v>
      </c>
      <c r="E1254" s="60">
        <f t="shared" si="19"/>
        <v>0.96</v>
      </c>
      <c r="F1254" t="str" cm="1">
        <f t="array" ref="F1254">IF(A1254=MAX(IF(ROUND($B$2:$B$3722,4)=ROUND(B1254,4),$A$2:$A$3722)),"Efficient","Inefficient")</f>
        <v>Inefficient</v>
      </c>
    </row>
    <row r="1255" spans="1:6" x14ac:dyDescent="0.25">
      <c r="A1255" cm="1">
        <f t="array" ref="A1255">INDEX('Portfolio Weights Returns'!$B$9:$BJ$69,
INT((ROW(A1254)-1)/COLUMNS('Portfolio Weights Returns'!$B$9:$BJ$69))+1,MOD(ROW(A1254)-1,COLUMNS('Portfolio Weights Returns'!$B$9:$BJ$69))+1)</f>
        <v>-8.397124068118771E-4</v>
      </c>
      <c r="B1255">
        <v>1.8599999999999998E-2</v>
      </c>
      <c r="C1255" s="59">
        <v>0.02</v>
      </c>
      <c r="D1255" s="59">
        <v>0.02</v>
      </c>
      <c r="E1255" s="60">
        <f t="shared" si="19"/>
        <v>0.96</v>
      </c>
      <c r="F1255" t="str" cm="1">
        <f t="array" ref="F1255">IF(A1255=MAX(IF(ROUND($B$2:$B$3722,4)=ROUND(B1255,4),$A$2:$A$3722)),"Efficient","Inefficient")</f>
        <v>Inefficient</v>
      </c>
    </row>
    <row r="1256" spans="1:6" x14ac:dyDescent="0.25">
      <c r="A1256" cm="1">
        <f t="array" ref="A1256">INDEX('Portfolio Weights Returns'!$B$9:$BJ$69,
INT((ROW(A1255)-1)/COLUMNS('Portfolio Weights Returns'!$B$9:$BJ$69))+1,MOD(ROW(A1255)-1,COLUMNS('Portfolio Weights Returns'!$B$9:$BJ$69))+1)</f>
        <v>-8.3293123284519795E-4</v>
      </c>
      <c r="B1256">
        <v>1.8599999999999998E-2</v>
      </c>
      <c r="C1256" s="59">
        <v>0.01</v>
      </c>
      <c r="D1256" s="59">
        <v>0.04</v>
      </c>
      <c r="E1256" s="60">
        <f t="shared" si="19"/>
        <v>0.95</v>
      </c>
      <c r="F1256" t="str" cm="1">
        <f t="array" ref="F1256">IF(A1256=MAX(IF(ROUND($B$2:$B$3722,4)=ROUND(B1256,4),$A$2:$A$3722)),"Efficient","Inefficient")</f>
        <v>Inefficient</v>
      </c>
    </row>
    <row r="1257" spans="1:6" x14ac:dyDescent="0.25">
      <c r="A1257" cm="1">
        <f t="array" ref="A1257">INDEX('Portfolio Weights Returns'!$B$9:$BJ$69,
INT((ROW(A1256)-1)/COLUMNS('Portfolio Weights Returns'!$B$9:$BJ$69))+1,MOD(ROW(A1256)-1,COLUMNS('Portfolio Weights Returns'!$B$9:$BJ$69))+1)</f>
        <v>-8.2615005887851881E-4</v>
      </c>
      <c r="B1257">
        <v>1.8599999999999998E-2</v>
      </c>
      <c r="C1257" s="59">
        <v>0</v>
      </c>
      <c r="D1257" s="59">
        <v>0.05</v>
      </c>
      <c r="E1257" s="60">
        <f t="shared" si="19"/>
        <v>0.95</v>
      </c>
      <c r="F1257" t="str" cm="1">
        <f t="array" ref="F1257">IF(A1257=MAX(IF(ROUND($B$2:$B$3722,4)=ROUND(B1257,4),$A$2:$A$3722)),"Efficient","Inefficient")</f>
        <v>Inefficient</v>
      </c>
    </row>
    <row r="1258" spans="1:6" x14ac:dyDescent="0.25">
      <c r="A1258" cm="1">
        <f t="array" ref="A1258">INDEX('Portfolio Weights Returns'!$B$9:$BJ$69,
INT((ROW(A1257)-1)/COLUMNS('Portfolio Weights Returns'!$B$9:$BJ$69))+1,MOD(ROW(A1257)-1,COLUMNS('Portfolio Weights Returns'!$B$9:$BJ$69))+1)</f>
        <v>-8.1936888491183977E-4</v>
      </c>
      <c r="B1258">
        <v>1.8599999999999998E-2</v>
      </c>
      <c r="C1258" s="59">
        <v>0</v>
      </c>
      <c r="D1258" s="59">
        <v>0.06</v>
      </c>
      <c r="E1258" s="60">
        <f t="shared" si="19"/>
        <v>0.94</v>
      </c>
      <c r="F1258" t="str" cm="1">
        <f t="array" ref="F1258">IF(A1258=MAX(IF(ROUND($B$2:$B$3722,4)=ROUND(B1258,4),$A$2:$A$3722)),"Efficient","Inefficient")</f>
        <v>Inefficient</v>
      </c>
    </row>
    <row r="1259" spans="1:6" x14ac:dyDescent="0.25">
      <c r="A1259" cm="1">
        <f t="array" ref="A1259">INDEX('Portfolio Weights Returns'!$B$9:$BJ$69,
INT((ROW(A1258)-1)/COLUMNS('Portfolio Weights Returns'!$B$9:$BJ$69))+1,MOD(ROW(A1258)-1,COLUMNS('Portfolio Weights Returns'!$B$9:$BJ$69))+1)</f>
        <v>-8.1258771094516052E-4</v>
      </c>
      <c r="B1259">
        <v>1.8599999999999998E-2</v>
      </c>
      <c r="C1259" s="59">
        <v>-0.01</v>
      </c>
      <c r="D1259" s="59">
        <v>7.0000000000000007E-2</v>
      </c>
      <c r="E1259" s="60">
        <f t="shared" si="19"/>
        <v>0.94</v>
      </c>
      <c r="F1259" t="str" cm="1">
        <f t="array" ref="F1259">IF(A1259=MAX(IF(ROUND($B$2:$B$3722,4)=ROUND(B1259,4),$A$2:$A$3722)),"Efficient","Inefficient")</f>
        <v>Inefficient</v>
      </c>
    </row>
    <row r="1260" spans="1:6" x14ac:dyDescent="0.25">
      <c r="A1260" cm="1">
        <f t="array" ref="A1260">INDEX('Portfolio Weights Returns'!$B$9:$BJ$69,
INT((ROW(A1259)-1)/COLUMNS('Portfolio Weights Returns'!$B$9:$BJ$69))+1,MOD(ROW(A1259)-1,COLUMNS('Portfolio Weights Returns'!$B$9:$BJ$69))+1)</f>
        <v>-8.0580653697848149E-4</v>
      </c>
      <c r="B1260">
        <v>1.8599999999999998E-2</v>
      </c>
      <c r="C1260" s="59">
        <v>-0.01</v>
      </c>
      <c r="D1260" s="59">
        <v>0.08</v>
      </c>
      <c r="E1260" s="60">
        <f t="shared" si="19"/>
        <v>0.93</v>
      </c>
      <c r="F1260" t="str" cm="1">
        <f t="array" ref="F1260">IF(A1260=MAX(IF(ROUND($B$2:$B$3722,4)=ROUND(B1260,4),$A$2:$A$3722)),"Efficient","Inefficient")</f>
        <v>Inefficient</v>
      </c>
    </row>
    <row r="1261" spans="1:6" x14ac:dyDescent="0.25">
      <c r="A1261" cm="1">
        <f t="array" ref="A1261">INDEX('Portfolio Weights Returns'!$B$9:$BJ$69,
INT((ROW(A1260)-1)/COLUMNS('Portfolio Weights Returns'!$B$9:$BJ$69))+1,MOD(ROW(A1260)-1,COLUMNS('Portfolio Weights Returns'!$B$9:$BJ$69))+1)</f>
        <v>-7.9902536301180234E-4</v>
      </c>
      <c r="B1261">
        <v>1.8599999999999998E-2</v>
      </c>
      <c r="C1261" s="59">
        <v>-0.02</v>
      </c>
      <c r="D1261" s="59">
        <v>0.1</v>
      </c>
      <c r="E1261" s="60">
        <f t="shared" si="19"/>
        <v>0.92</v>
      </c>
      <c r="F1261" t="str" cm="1">
        <f t="array" ref="F1261">IF(A1261=MAX(IF(ROUND($B$2:$B$3722,4)=ROUND(B1261,4),$A$2:$A$3722)),"Efficient","Inefficient")</f>
        <v>Inefficient</v>
      </c>
    </row>
    <row r="1262" spans="1:6" x14ac:dyDescent="0.25">
      <c r="A1262" cm="1">
        <f t="array" ref="A1262">INDEX('Portfolio Weights Returns'!$B$9:$BJ$69,
INT((ROW(A1261)-1)/COLUMNS('Portfolio Weights Returns'!$B$9:$BJ$69))+1,MOD(ROW(A1261)-1,COLUMNS('Portfolio Weights Returns'!$B$9:$BJ$69))+1)</f>
        <v>-7.922441890451233E-4</v>
      </c>
      <c r="B1262">
        <v>1.8599999999999998E-2</v>
      </c>
      <c r="C1262" s="59">
        <v>-0.02</v>
      </c>
      <c r="D1262" s="59">
        <v>0.11</v>
      </c>
      <c r="E1262" s="60">
        <f t="shared" si="19"/>
        <v>0.91</v>
      </c>
      <c r="F1262" t="str" cm="1">
        <f t="array" ref="F1262">IF(A1262=MAX(IF(ROUND($B$2:$B$3722,4)=ROUND(B1262,4),$A$2:$A$3722)),"Efficient","Inefficient")</f>
        <v>Inefficient</v>
      </c>
    </row>
    <row r="1263" spans="1:6" x14ac:dyDescent="0.25">
      <c r="A1263" cm="1">
        <f t="array" ref="A1263">INDEX('Portfolio Weights Returns'!$B$9:$BJ$69,
INT((ROW(A1262)-1)/COLUMNS('Portfolio Weights Returns'!$B$9:$BJ$69))+1,MOD(ROW(A1262)-1,COLUMNS('Portfolio Weights Returns'!$B$9:$BJ$69))+1)</f>
        <v>-7.8546301507844416E-4</v>
      </c>
      <c r="B1263">
        <v>1.8599999999999998E-2</v>
      </c>
      <c r="C1263" s="59">
        <v>-0.03</v>
      </c>
      <c r="D1263" s="59">
        <v>0.13</v>
      </c>
      <c r="E1263" s="60">
        <f t="shared" si="19"/>
        <v>0.9</v>
      </c>
      <c r="F1263" t="str" cm="1">
        <f t="array" ref="F1263">IF(A1263=MAX(IF(ROUND($B$2:$B$3722,4)=ROUND(B1263,4),$A$2:$A$3722)),"Efficient","Inefficient")</f>
        <v>Inefficient</v>
      </c>
    </row>
    <row r="1264" spans="1:6" x14ac:dyDescent="0.25">
      <c r="A1264" cm="1">
        <f t="array" ref="A1264">INDEX('Portfolio Weights Returns'!$B$9:$BJ$69,
INT((ROW(A1263)-1)/COLUMNS('Portfolio Weights Returns'!$B$9:$BJ$69))+1,MOD(ROW(A1263)-1,COLUMNS('Portfolio Weights Returns'!$B$9:$BJ$69))+1)</f>
        <v>-7.7868184111176512E-4</v>
      </c>
      <c r="B1264">
        <v>1.8599999999999998E-2</v>
      </c>
      <c r="C1264" s="59">
        <v>-0.03</v>
      </c>
      <c r="D1264" s="59">
        <v>0.14000000000000001</v>
      </c>
      <c r="E1264" s="60">
        <f t="shared" si="19"/>
        <v>0.89</v>
      </c>
      <c r="F1264" t="str" cm="1">
        <f t="array" ref="F1264">IF(A1264=MAX(IF(ROUND($B$2:$B$3722,4)=ROUND(B1264,4),$A$2:$A$3722)),"Efficient","Inefficient")</f>
        <v>Inefficient</v>
      </c>
    </row>
    <row r="1265" spans="1:6" x14ac:dyDescent="0.25">
      <c r="A1265" cm="1">
        <f t="array" ref="A1265">INDEX('Portfolio Weights Returns'!$B$9:$BJ$69,
INT((ROW(A1264)-1)/COLUMNS('Portfolio Weights Returns'!$B$9:$BJ$69))+1,MOD(ROW(A1264)-1,COLUMNS('Portfolio Weights Returns'!$B$9:$BJ$69))+1)</f>
        <v>-7.7190066714508598E-4</v>
      </c>
      <c r="B1265">
        <v>1.8599999999999998E-2</v>
      </c>
      <c r="C1265" s="59">
        <v>-0.03</v>
      </c>
      <c r="D1265" s="59">
        <v>0.15</v>
      </c>
      <c r="E1265" s="60">
        <f t="shared" si="19"/>
        <v>0.88</v>
      </c>
      <c r="F1265" t="str" cm="1">
        <f t="array" ref="F1265">IF(A1265=MAX(IF(ROUND($B$2:$B$3722,4)=ROUND(B1265,4),$A$2:$A$3722)),"Efficient","Inefficient")</f>
        <v>Inefficient</v>
      </c>
    </row>
    <row r="1266" spans="1:6" x14ac:dyDescent="0.25">
      <c r="A1266" cm="1">
        <f t="array" ref="A1266">INDEX('Portfolio Weights Returns'!$B$9:$BJ$69,
INT((ROW(A1265)-1)/COLUMNS('Portfolio Weights Returns'!$B$9:$BJ$69))+1,MOD(ROW(A1265)-1,COLUMNS('Portfolio Weights Returns'!$B$9:$BJ$69))+1)</f>
        <v>-7.6511949317840684E-4</v>
      </c>
      <c r="B1266">
        <v>1.8599999999999998E-2</v>
      </c>
      <c r="C1266" s="59">
        <v>-0.03</v>
      </c>
      <c r="D1266" s="59">
        <v>0.16</v>
      </c>
      <c r="E1266" s="60">
        <f t="shared" si="19"/>
        <v>0.87</v>
      </c>
      <c r="F1266" t="str" cm="1">
        <f t="array" ref="F1266">IF(A1266=MAX(IF(ROUND($B$2:$B$3722,4)=ROUND(B1266,4),$A$2:$A$3722)),"Efficient","Inefficient")</f>
        <v>Inefficient</v>
      </c>
    </row>
    <row r="1267" spans="1:6" x14ac:dyDescent="0.25">
      <c r="A1267" cm="1">
        <f t="array" ref="A1267">INDEX('Portfolio Weights Returns'!$B$9:$BJ$69,
INT((ROW(A1266)-1)/COLUMNS('Portfolio Weights Returns'!$B$9:$BJ$69))+1,MOD(ROW(A1266)-1,COLUMNS('Portfolio Weights Returns'!$B$9:$BJ$69))+1)</f>
        <v>-7.5833831921172769E-4</v>
      </c>
      <c r="B1267">
        <v>1.8599999999999998E-2</v>
      </c>
      <c r="C1267" s="59">
        <v>-0.03</v>
      </c>
      <c r="D1267" s="59">
        <v>0.17</v>
      </c>
      <c r="E1267" s="60">
        <f t="shared" si="19"/>
        <v>0.86</v>
      </c>
      <c r="F1267" t="str" cm="1">
        <f t="array" ref="F1267">IF(A1267=MAX(IF(ROUND($B$2:$B$3722,4)=ROUND(B1267,4),$A$2:$A$3722)),"Efficient","Inefficient")</f>
        <v>Inefficient</v>
      </c>
    </row>
    <row r="1268" spans="1:6" x14ac:dyDescent="0.25">
      <c r="A1268" cm="1">
        <f t="array" ref="A1268">INDEX('Portfolio Weights Returns'!$B$9:$BJ$69,
INT((ROW(A1267)-1)/COLUMNS('Portfolio Weights Returns'!$B$9:$BJ$69))+1,MOD(ROW(A1267)-1,COLUMNS('Portfolio Weights Returns'!$B$9:$BJ$69))+1)</f>
        <v>-7.5155714524504855E-4</v>
      </c>
      <c r="B1268">
        <v>1.8599999999999998E-2</v>
      </c>
      <c r="C1268" s="59">
        <v>-0.03</v>
      </c>
      <c r="D1268" s="59">
        <v>0.18</v>
      </c>
      <c r="E1268" s="60">
        <f t="shared" si="19"/>
        <v>0.85000000000000009</v>
      </c>
      <c r="F1268" t="str" cm="1">
        <f t="array" ref="F1268">IF(A1268=MAX(IF(ROUND($B$2:$B$3722,4)=ROUND(B1268,4),$A$2:$A$3722)),"Efficient","Inefficient")</f>
        <v>Inefficient</v>
      </c>
    </row>
    <row r="1269" spans="1:6" x14ac:dyDescent="0.25">
      <c r="A1269" cm="1">
        <f t="array" ref="A1269">INDEX('Portfolio Weights Returns'!$B$9:$BJ$69,
INT((ROW(A1268)-1)/COLUMNS('Portfolio Weights Returns'!$B$9:$BJ$69))+1,MOD(ROW(A1268)-1,COLUMNS('Portfolio Weights Returns'!$B$9:$BJ$69))+1)</f>
        <v>-7.4477597127836951E-4</v>
      </c>
      <c r="B1269">
        <v>1.8599999999999998E-2</v>
      </c>
      <c r="C1269" s="59">
        <v>-0.03</v>
      </c>
      <c r="D1269" s="59">
        <v>0.19</v>
      </c>
      <c r="E1269" s="60">
        <f t="shared" si="19"/>
        <v>0.84000000000000008</v>
      </c>
      <c r="F1269" t="str" cm="1">
        <f t="array" ref="F1269">IF(A1269=MAX(IF(ROUND($B$2:$B$3722,4)=ROUND(B1269,4),$A$2:$A$3722)),"Efficient","Inefficient")</f>
        <v>Inefficient</v>
      </c>
    </row>
    <row r="1270" spans="1:6" x14ac:dyDescent="0.25">
      <c r="A1270" cm="1">
        <f t="array" ref="A1270">INDEX('Portfolio Weights Returns'!$B$9:$BJ$69,
INT((ROW(A1269)-1)/COLUMNS('Portfolio Weights Returns'!$B$9:$BJ$69))+1,MOD(ROW(A1269)-1,COLUMNS('Portfolio Weights Returns'!$B$9:$BJ$69))+1)</f>
        <v>-7.3799479731169047E-4</v>
      </c>
      <c r="B1270">
        <v>1.8599999999999998E-2</v>
      </c>
      <c r="C1270" s="59">
        <v>-0.02</v>
      </c>
      <c r="D1270" s="59">
        <v>0.21</v>
      </c>
      <c r="E1270" s="60">
        <f t="shared" si="19"/>
        <v>0.81</v>
      </c>
      <c r="F1270" t="str" cm="1">
        <f t="array" ref="F1270">IF(A1270=MAX(IF(ROUND($B$2:$B$3722,4)=ROUND(B1270,4),$A$2:$A$3722)),"Efficient","Inefficient")</f>
        <v>Inefficient</v>
      </c>
    </row>
    <row r="1271" spans="1:6" x14ac:dyDescent="0.25">
      <c r="A1271" cm="1">
        <f t="array" ref="A1271">INDEX('Portfolio Weights Returns'!$B$9:$BJ$69,
INT((ROW(A1270)-1)/COLUMNS('Portfolio Weights Returns'!$B$9:$BJ$69))+1,MOD(ROW(A1270)-1,COLUMNS('Portfolio Weights Returns'!$B$9:$BJ$69))+1)</f>
        <v>-7.3121362334501144E-4</v>
      </c>
      <c r="B1271">
        <v>1.8599999999999998E-2</v>
      </c>
      <c r="C1271" s="59">
        <v>-0.02</v>
      </c>
      <c r="D1271" s="59">
        <v>0.22</v>
      </c>
      <c r="E1271" s="60">
        <f t="shared" si="19"/>
        <v>0.8</v>
      </c>
      <c r="F1271" t="str" cm="1">
        <f t="array" ref="F1271">IF(A1271=MAX(IF(ROUND($B$2:$B$3722,4)=ROUND(B1271,4),$A$2:$A$3722)),"Efficient","Inefficient")</f>
        <v>Inefficient</v>
      </c>
    </row>
    <row r="1272" spans="1:6" x14ac:dyDescent="0.25">
      <c r="A1272" cm="1">
        <f t="array" ref="A1272">INDEX('Portfolio Weights Returns'!$B$9:$BJ$69,
INT((ROW(A1271)-1)/COLUMNS('Portfolio Weights Returns'!$B$9:$BJ$69))+1,MOD(ROW(A1271)-1,COLUMNS('Portfolio Weights Returns'!$B$9:$BJ$69))+1)</f>
        <v>-7.2443244937833219E-4</v>
      </c>
      <c r="B1272">
        <v>1.8599999999999998E-2</v>
      </c>
      <c r="C1272" s="59">
        <v>-0.01</v>
      </c>
      <c r="D1272" s="59">
        <v>0.23</v>
      </c>
      <c r="E1272" s="60">
        <f t="shared" si="19"/>
        <v>0.78</v>
      </c>
      <c r="F1272" t="str" cm="1">
        <f t="array" ref="F1272">IF(A1272=MAX(IF(ROUND($B$2:$B$3722,4)=ROUND(B1272,4),$A$2:$A$3722)),"Efficient","Inefficient")</f>
        <v>Inefficient</v>
      </c>
    </row>
    <row r="1273" spans="1:6" x14ac:dyDescent="0.25">
      <c r="A1273" cm="1">
        <f t="array" ref="A1273">INDEX('Portfolio Weights Returns'!$B$9:$BJ$69,
INT((ROW(A1272)-1)/COLUMNS('Portfolio Weights Returns'!$B$9:$BJ$69))+1,MOD(ROW(A1272)-1,COLUMNS('Portfolio Weights Returns'!$B$9:$BJ$69))+1)</f>
        <v>-7.1765127541165315E-4</v>
      </c>
      <c r="B1273">
        <v>1.8599999999999998E-2</v>
      </c>
      <c r="C1273" s="59">
        <v>-0.01</v>
      </c>
      <c r="D1273" s="59">
        <v>0.24</v>
      </c>
      <c r="E1273" s="60">
        <f t="shared" si="19"/>
        <v>0.77</v>
      </c>
      <c r="F1273" t="str" cm="1">
        <f t="array" ref="F1273">IF(A1273=MAX(IF(ROUND($B$2:$B$3722,4)=ROUND(B1273,4),$A$2:$A$3722)),"Efficient","Inefficient")</f>
        <v>Inefficient</v>
      </c>
    </row>
    <row r="1274" spans="1:6" x14ac:dyDescent="0.25">
      <c r="A1274" cm="1">
        <f t="array" ref="A1274">INDEX('Portfolio Weights Returns'!$B$9:$BJ$69,
INT((ROW(A1273)-1)/COLUMNS('Portfolio Weights Returns'!$B$9:$BJ$69))+1,MOD(ROW(A1273)-1,COLUMNS('Portfolio Weights Returns'!$B$9:$BJ$69))+1)</f>
        <v>-7.1087010144497401E-4</v>
      </c>
      <c r="B1274">
        <v>1.8599999999999998E-2</v>
      </c>
      <c r="C1274" s="59">
        <v>0</v>
      </c>
      <c r="D1274" s="59">
        <v>0.25</v>
      </c>
      <c r="E1274" s="60">
        <f t="shared" si="19"/>
        <v>0.75</v>
      </c>
      <c r="F1274" t="str" cm="1">
        <f t="array" ref="F1274">IF(A1274=MAX(IF(ROUND($B$2:$B$3722,4)=ROUND(B1274,4),$A$2:$A$3722)),"Efficient","Inefficient")</f>
        <v>Inefficient</v>
      </c>
    </row>
    <row r="1275" spans="1:6" x14ac:dyDescent="0.25">
      <c r="A1275" cm="1">
        <f t="array" ref="A1275">INDEX('Portfolio Weights Returns'!$B$9:$BJ$69,
INT((ROW(A1274)-1)/COLUMNS('Portfolio Weights Returns'!$B$9:$BJ$69))+1,MOD(ROW(A1274)-1,COLUMNS('Portfolio Weights Returns'!$B$9:$BJ$69))+1)</f>
        <v>-7.0408892747829497E-4</v>
      </c>
      <c r="B1275">
        <v>1.8599999999999998E-2</v>
      </c>
      <c r="C1275" s="59">
        <v>0.01</v>
      </c>
      <c r="D1275" s="59">
        <v>0.26</v>
      </c>
      <c r="E1275" s="60">
        <f t="shared" si="19"/>
        <v>0.73</v>
      </c>
      <c r="F1275" t="str" cm="1">
        <f t="array" ref="F1275">IF(A1275=MAX(IF(ROUND($B$2:$B$3722,4)=ROUND(B1275,4),$A$2:$A$3722)),"Efficient","Inefficient")</f>
        <v>Inefficient</v>
      </c>
    </row>
    <row r="1276" spans="1:6" x14ac:dyDescent="0.25">
      <c r="A1276" cm="1">
        <f t="array" ref="A1276">INDEX('Portfolio Weights Returns'!$B$9:$BJ$69,
INT((ROW(A1275)-1)/COLUMNS('Portfolio Weights Returns'!$B$9:$BJ$69))+1,MOD(ROW(A1275)-1,COLUMNS('Portfolio Weights Returns'!$B$9:$BJ$69))+1)</f>
        <v>-6.9730775351161583E-4</v>
      </c>
      <c r="B1276">
        <v>1.8599999999999998E-2</v>
      </c>
      <c r="C1276" s="59">
        <v>0.02</v>
      </c>
      <c r="D1276" s="59">
        <v>0.27</v>
      </c>
      <c r="E1276" s="60">
        <f t="shared" si="19"/>
        <v>0.71</v>
      </c>
      <c r="F1276" t="str" cm="1">
        <f t="array" ref="F1276">IF(A1276=MAX(IF(ROUND($B$2:$B$3722,4)=ROUND(B1276,4),$A$2:$A$3722)),"Efficient","Inefficient")</f>
        <v>Inefficient</v>
      </c>
    </row>
    <row r="1277" spans="1:6" x14ac:dyDescent="0.25">
      <c r="A1277" cm="1">
        <f t="array" ref="A1277">INDEX('Portfolio Weights Returns'!$B$9:$BJ$69,
INT((ROW(A1276)-1)/COLUMNS('Portfolio Weights Returns'!$B$9:$BJ$69))+1,MOD(ROW(A1276)-1,COLUMNS('Portfolio Weights Returns'!$B$9:$BJ$69))+1)</f>
        <v>-6.9052657954493668E-4</v>
      </c>
      <c r="B1277">
        <v>1.8599999999999998E-2</v>
      </c>
      <c r="C1277" s="59">
        <v>0.03</v>
      </c>
      <c r="D1277" s="59">
        <v>0.28000000000000003</v>
      </c>
      <c r="E1277" s="60">
        <f t="shared" si="19"/>
        <v>0.69</v>
      </c>
      <c r="F1277" t="str" cm="1">
        <f t="array" ref="F1277">IF(A1277=MAX(IF(ROUND($B$2:$B$3722,4)=ROUND(B1277,4),$A$2:$A$3722)),"Efficient","Inefficient")</f>
        <v>Inefficient</v>
      </c>
    </row>
    <row r="1278" spans="1:6" x14ac:dyDescent="0.25">
      <c r="A1278" cm="1">
        <f t="array" ref="A1278">INDEX('Portfolio Weights Returns'!$B$9:$BJ$69,
INT((ROW(A1277)-1)/COLUMNS('Portfolio Weights Returns'!$B$9:$BJ$69))+1,MOD(ROW(A1277)-1,COLUMNS('Portfolio Weights Returns'!$B$9:$BJ$69))+1)</f>
        <v>-6.8374540557825754E-4</v>
      </c>
      <c r="B1278">
        <v>1.8599999999999998E-2</v>
      </c>
      <c r="C1278" s="59">
        <v>0.04</v>
      </c>
      <c r="D1278" s="59">
        <v>0.28999999999999998</v>
      </c>
      <c r="E1278" s="60">
        <f t="shared" si="19"/>
        <v>0.66999999999999993</v>
      </c>
      <c r="F1278" t="str" cm="1">
        <f t="array" ref="F1278">IF(A1278=MAX(IF(ROUND($B$2:$B$3722,4)=ROUND(B1278,4),$A$2:$A$3722)),"Efficient","Inefficient")</f>
        <v>Inefficient</v>
      </c>
    </row>
    <row r="1279" spans="1:6" x14ac:dyDescent="0.25">
      <c r="A1279" cm="1">
        <f t="array" ref="A1279">INDEX('Portfolio Weights Returns'!$B$9:$BJ$69,
INT((ROW(A1278)-1)/COLUMNS('Portfolio Weights Returns'!$B$9:$BJ$69))+1,MOD(ROW(A1278)-1,COLUMNS('Portfolio Weights Returns'!$B$9:$BJ$69))+1)</f>
        <v>-6.7696423161157774E-4</v>
      </c>
      <c r="B1279">
        <v>1.8599999999999998E-2</v>
      </c>
      <c r="C1279" s="59">
        <v>0.06</v>
      </c>
      <c r="D1279" s="59">
        <v>0.3</v>
      </c>
      <c r="E1279" s="60">
        <f t="shared" si="19"/>
        <v>0.6399999999999999</v>
      </c>
      <c r="F1279" t="str" cm="1">
        <f t="array" ref="F1279">IF(A1279=MAX(IF(ROUND($B$2:$B$3722,4)=ROUND(B1279,4),$A$2:$A$3722)),"Efficient","Inefficient")</f>
        <v>Efficient</v>
      </c>
    </row>
    <row r="1280" spans="1:6" x14ac:dyDescent="0.25">
      <c r="A1280" cm="1">
        <f t="array" ref="A1280">INDEX('Portfolio Weights Returns'!$B$9:$BJ$69,
INT((ROW(A1279)-1)/COLUMNS('Portfolio Weights Returns'!$B$9:$BJ$69))+1,MOD(ROW(A1279)-1,COLUMNS('Portfolio Weights Returns'!$B$9:$BJ$69))+1)</f>
        <v>-6.7018305764489871E-4</v>
      </c>
      <c r="B1280">
        <v>1.8700000000000001E-2</v>
      </c>
      <c r="C1280" s="59">
        <v>0.3</v>
      </c>
      <c r="D1280" s="59">
        <v>-0.21</v>
      </c>
      <c r="E1280" s="60">
        <f t="shared" si="19"/>
        <v>0.90999999999999992</v>
      </c>
      <c r="F1280" t="str" cm="1">
        <f t="array" ref="F1280">IF(A1280=MAX(IF(ROUND($B$2:$B$3722,4)=ROUND(B1280,4),$A$2:$A$3722)),"Efficient","Inefficient")</f>
        <v>Inefficient</v>
      </c>
    </row>
    <row r="1281" spans="1:6" x14ac:dyDescent="0.25">
      <c r="A1281" cm="1">
        <f t="array" ref="A1281">INDEX('Portfolio Weights Returns'!$B$9:$BJ$69,
INT((ROW(A1280)-1)/COLUMNS('Portfolio Weights Returns'!$B$9:$BJ$69))+1,MOD(ROW(A1280)-1,COLUMNS('Portfolio Weights Returns'!$B$9:$BJ$69))+1)</f>
        <v>-6.6340188367821967E-4</v>
      </c>
      <c r="B1281">
        <v>1.8700000000000001E-2</v>
      </c>
      <c r="C1281" s="59">
        <v>0.28000000000000003</v>
      </c>
      <c r="D1281" s="59">
        <v>-0.2</v>
      </c>
      <c r="E1281" s="60">
        <f t="shared" si="19"/>
        <v>0.91999999999999993</v>
      </c>
      <c r="F1281" t="str" cm="1">
        <f t="array" ref="F1281">IF(A1281=MAX(IF(ROUND($B$2:$B$3722,4)=ROUND(B1281,4),$A$2:$A$3722)),"Efficient","Inefficient")</f>
        <v>Inefficient</v>
      </c>
    </row>
    <row r="1282" spans="1:6" x14ac:dyDescent="0.25">
      <c r="A1282" cm="1">
        <f t="array" ref="A1282">INDEX('Portfolio Weights Returns'!$B$9:$BJ$69,
INT((ROW(A1281)-1)/COLUMNS('Portfolio Weights Returns'!$B$9:$BJ$69))+1,MOD(ROW(A1281)-1,COLUMNS('Portfolio Weights Returns'!$B$9:$BJ$69))+1)</f>
        <v>-6.5662070971154052E-4</v>
      </c>
      <c r="B1282">
        <v>1.8700000000000001E-2</v>
      </c>
      <c r="C1282" s="59">
        <v>0.25</v>
      </c>
      <c r="D1282" s="59">
        <v>-0.18</v>
      </c>
      <c r="E1282" s="60">
        <f t="shared" ref="E1282:E1345" si="20">1-D1282-C1282</f>
        <v>0.92999999999999994</v>
      </c>
      <c r="F1282" t="str" cm="1">
        <f t="array" ref="F1282">IF(A1282=MAX(IF(ROUND($B$2:$B$3722,4)=ROUND(B1282,4),$A$2:$A$3722)),"Efficient","Inefficient")</f>
        <v>Efficient</v>
      </c>
    </row>
    <row r="1283" spans="1:6" x14ac:dyDescent="0.25">
      <c r="A1283" cm="1">
        <f t="array" ref="A1283">INDEX('Portfolio Weights Returns'!$B$9:$BJ$69,
INT((ROW(A1282)-1)/COLUMNS('Portfolio Weights Returns'!$B$9:$BJ$69))+1,MOD(ROW(A1282)-1,COLUMNS('Portfolio Weights Returns'!$B$9:$BJ$69))+1)</f>
        <v>-1.0569169398668323E-3</v>
      </c>
      <c r="B1283">
        <v>1.8700000000000001E-2</v>
      </c>
      <c r="C1283" s="59">
        <v>0.23</v>
      </c>
      <c r="D1283" s="59">
        <v>-0.17</v>
      </c>
      <c r="E1283" s="60">
        <f t="shared" si="20"/>
        <v>0.94</v>
      </c>
      <c r="F1283" t="str" cm="1">
        <f t="array" ref="F1283">IF(A1283=MAX(IF(ROUND($B$2:$B$3722,4)=ROUND(B1283,4),$A$2:$A$3722)),"Efficient","Inefficient")</f>
        <v>Inefficient</v>
      </c>
    </row>
    <row r="1284" spans="1:6" x14ac:dyDescent="0.25">
      <c r="A1284" cm="1">
        <f t="array" ref="A1284">INDEX('Portfolio Weights Returns'!$B$9:$BJ$69,
INT((ROW(A1283)-1)/COLUMNS('Portfolio Weights Returns'!$B$9:$BJ$69))+1,MOD(ROW(A1283)-1,COLUMNS('Portfolio Weights Returns'!$B$9:$BJ$69))+1)</f>
        <v>-1.0501357659001532E-3</v>
      </c>
      <c r="B1284">
        <v>1.8700000000000001E-2</v>
      </c>
      <c r="C1284" s="59">
        <v>0.22</v>
      </c>
      <c r="D1284" s="59">
        <v>-0.16</v>
      </c>
      <c r="E1284" s="60">
        <f t="shared" si="20"/>
        <v>0.94</v>
      </c>
      <c r="F1284" t="str" cm="1">
        <f t="array" ref="F1284">IF(A1284=MAX(IF(ROUND($B$2:$B$3722,4)=ROUND(B1284,4),$A$2:$A$3722)),"Efficient","Inefficient")</f>
        <v>Inefficient</v>
      </c>
    </row>
    <row r="1285" spans="1:6" x14ac:dyDescent="0.25">
      <c r="A1285" cm="1">
        <f t="array" ref="A1285">INDEX('Portfolio Weights Returns'!$B$9:$BJ$69,
INT((ROW(A1284)-1)/COLUMNS('Portfolio Weights Returns'!$B$9:$BJ$69))+1,MOD(ROW(A1284)-1,COLUMNS('Portfolio Weights Returns'!$B$9:$BJ$69))+1)</f>
        <v>-1.0433545919334743E-3</v>
      </c>
      <c r="B1285">
        <v>1.8700000000000001E-2</v>
      </c>
      <c r="C1285" s="59">
        <v>0.2</v>
      </c>
      <c r="D1285" s="59">
        <v>-0.15</v>
      </c>
      <c r="E1285" s="60">
        <f t="shared" si="20"/>
        <v>0.95</v>
      </c>
      <c r="F1285" t="str" cm="1">
        <f t="array" ref="F1285">IF(A1285=MAX(IF(ROUND($B$2:$B$3722,4)=ROUND(B1285,4),$A$2:$A$3722)),"Efficient","Inefficient")</f>
        <v>Inefficient</v>
      </c>
    </row>
    <row r="1286" spans="1:6" x14ac:dyDescent="0.25">
      <c r="A1286" cm="1">
        <f t="array" ref="A1286">INDEX('Portfolio Weights Returns'!$B$9:$BJ$69,
INT((ROW(A1285)-1)/COLUMNS('Portfolio Weights Returns'!$B$9:$BJ$69))+1,MOD(ROW(A1285)-1,COLUMNS('Portfolio Weights Returns'!$B$9:$BJ$69))+1)</f>
        <v>-1.0365734179667951E-3</v>
      </c>
      <c r="B1286">
        <v>1.8700000000000001E-2</v>
      </c>
      <c r="C1286" s="59">
        <v>0.19</v>
      </c>
      <c r="D1286" s="59">
        <v>-0.14000000000000001</v>
      </c>
      <c r="E1286" s="60">
        <f t="shared" si="20"/>
        <v>0.95000000000000018</v>
      </c>
      <c r="F1286" t="str" cm="1">
        <f t="array" ref="F1286">IF(A1286=MAX(IF(ROUND($B$2:$B$3722,4)=ROUND(B1286,4),$A$2:$A$3722)),"Efficient","Inefficient")</f>
        <v>Inefficient</v>
      </c>
    </row>
    <row r="1287" spans="1:6" x14ac:dyDescent="0.25">
      <c r="A1287" cm="1">
        <f t="array" ref="A1287">INDEX('Portfolio Weights Returns'!$B$9:$BJ$69,
INT((ROW(A1286)-1)/COLUMNS('Portfolio Weights Returns'!$B$9:$BJ$69))+1,MOD(ROW(A1286)-1,COLUMNS('Portfolio Weights Returns'!$B$9:$BJ$69))+1)</f>
        <v>-1.029792244000116E-3</v>
      </c>
      <c r="B1287">
        <v>1.8700000000000001E-2</v>
      </c>
      <c r="C1287" s="59">
        <v>0.17</v>
      </c>
      <c r="D1287" s="59">
        <v>-0.13</v>
      </c>
      <c r="E1287" s="60">
        <f t="shared" si="20"/>
        <v>0.95999999999999985</v>
      </c>
      <c r="F1287" t="str" cm="1">
        <f t="array" ref="F1287">IF(A1287=MAX(IF(ROUND($B$2:$B$3722,4)=ROUND(B1287,4),$A$2:$A$3722)),"Efficient","Inefficient")</f>
        <v>Inefficient</v>
      </c>
    </row>
    <row r="1288" spans="1:6" x14ac:dyDescent="0.25">
      <c r="A1288" cm="1">
        <f t="array" ref="A1288">INDEX('Portfolio Weights Returns'!$B$9:$BJ$69,
INT((ROW(A1287)-1)/COLUMNS('Portfolio Weights Returns'!$B$9:$BJ$69))+1,MOD(ROW(A1287)-1,COLUMNS('Portfolio Weights Returns'!$B$9:$BJ$69))+1)</f>
        <v>-1.0230110700334368E-3</v>
      </c>
      <c r="B1288">
        <v>1.8700000000000001E-2</v>
      </c>
      <c r="C1288" s="59">
        <v>0.16</v>
      </c>
      <c r="D1288" s="59">
        <v>-0.12</v>
      </c>
      <c r="E1288" s="60">
        <f t="shared" si="20"/>
        <v>0.96000000000000008</v>
      </c>
      <c r="F1288" t="str" cm="1">
        <f t="array" ref="F1288">IF(A1288=MAX(IF(ROUND($B$2:$B$3722,4)=ROUND(B1288,4),$A$2:$A$3722)),"Efficient","Inefficient")</f>
        <v>Inefficient</v>
      </c>
    </row>
    <row r="1289" spans="1:6" x14ac:dyDescent="0.25">
      <c r="A1289" cm="1">
        <f t="array" ref="A1289">INDEX('Portfolio Weights Returns'!$B$9:$BJ$69,
INT((ROW(A1288)-1)/COLUMNS('Portfolio Weights Returns'!$B$9:$BJ$69))+1,MOD(ROW(A1288)-1,COLUMNS('Portfolio Weights Returns'!$B$9:$BJ$69))+1)</f>
        <v>-1.0162298960667577E-3</v>
      </c>
      <c r="B1289">
        <v>1.8700000000000001E-2</v>
      </c>
      <c r="C1289" s="59">
        <v>0.13</v>
      </c>
      <c r="D1289" s="59">
        <v>-0.1</v>
      </c>
      <c r="E1289" s="60">
        <f t="shared" si="20"/>
        <v>0.97000000000000008</v>
      </c>
      <c r="F1289" t="str" cm="1">
        <f t="array" ref="F1289">IF(A1289=MAX(IF(ROUND($B$2:$B$3722,4)=ROUND(B1289,4),$A$2:$A$3722)),"Efficient","Inefficient")</f>
        <v>Inefficient</v>
      </c>
    </row>
    <row r="1290" spans="1:6" x14ac:dyDescent="0.25">
      <c r="A1290" cm="1">
        <f t="array" ref="A1290">INDEX('Portfolio Weights Returns'!$B$9:$BJ$69,
INT((ROW(A1289)-1)/COLUMNS('Portfolio Weights Returns'!$B$9:$BJ$69))+1,MOD(ROW(A1289)-1,COLUMNS('Portfolio Weights Returns'!$B$9:$BJ$69))+1)</f>
        <v>-1.0094487221000788E-3</v>
      </c>
      <c r="B1290">
        <v>1.8700000000000001E-2</v>
      </c>
      <c r="C1290" s="59">
        <v>0.12</v>
      </c>
      <c r="D1290" s="59">
        <v>-0.09</v>
      </c>
      <c r="E1290" s="60">
        <f t="shared" si="20"/>
        <v>0.97000000000000008</v>
      </c>
      <c r="F1290" t="str" cm="1">
        <f t="array" ref="F1290">IF(A1290=MAX(IF(ROUND($B$2:$B$3722,4)=ROUND(B1290,4),$A$2:$A$3722)),"Efficient","Inefficient")</f>
        <v>Inefficient</v>
      </c>
    </row>
    <row r="1291" spans="1:6" x14ac:dyDescent="0.25">
      <c r="A1291" cm="1">
        <f t="array" ref="A1291">INDEX('Portfolio Weights Returns'!$B$9:$BJ$69,
INT((ROW(A1290)-1)/COLUMNS('Portfolio Weights Returns'!$B$9:$BJ$69))+1,MOD(ROW(A1290)-1,COLUMNS('Portfolio Weights Returns'!$B$9:$BJ$69))+1)</f>
        <v>-1.0026675481333994E-3</v>
      </c>
      <c r="B1291">
        <v>1.8700000000000001E-2</v>
      </c>
      <c r="C1291" s="59">
        <v>0.11</v>
      </c>
      <c r="D1291" s="59">
        <v>-0.08</v>
      </c>
      <c r="E1291" s="60">
        <f t="shared" si="20"/>
        <v>0.97000000000000008</v>
      </c>
      <c r="F1291" t="str" cm="1">
        <f t="array" ref="F1291">IF(A1291=MAX(IF(ROUND($B$2:$B$3722,4)=ROUND(B1291,4),$A$2:$A$3722)),"Efficient","Inefficient")</f>
        <v>Inefficient</v>
      </c>
    </row>
    <row r="1292" spans="1:6" x14ac:dyDescent="0.25">
      <c r="A1292" cm="1">
        <f t="array" ref="A1292">INDEX('Portfolio Weights Returns'!$B$9:$BJ$69,
INT((ROW(A1291)-1)/COLUMNS('Portfolio Weights Returns'!$B$9:$BJ$69))+1,MOD(ROW(A1291)-1,COLUMNS('Portfolio Weights Returns'!$B$9:$BJ$69))+1)</f>
        <v>-9.9588637416672026E-4</v>
      </c>
      <c r="B1292">
        <v>1.8700000000000001E-2</v>
      </c>
      <c r="C1292" s="59">
        <v>0.1</v>
      </c>
      <c r="D1292" s="59">
        <v>-7.0000000000000007E-2</v>
      </c>
      <c r="E1292" s="60">
        <f t="shared" si="20"/>
        <v>0.97000000000000008</v>
      </c>
      <c r="F1292" t="str" cm="1">
        <f t="array" ref="F1292">IF(A1292=MAX(IF(ROUND($B$2:$B$3722,4)=ROUND(B1292,4),$A$2:$A$3722)),"Efficient","Inefficient")</f>
        <v>Inefficient</v>
      </c>
    </row>
    <row r="1293" spans="1:6" x14ac:dyDescent="0.25">
      <c r="A1293" cm="1">
        <f t="array" ref="A1293">INDEX('Portfolio Weights Returns'!$B$9:$BJ$69,
INT((ROW(A1292)-1)/COLUMNS('Portfolio Weights Returns'!$B$9:$BJ$69))+1,MOD(ROW(A1292)-1,COLUMNS('Portfolio Weights Returns'!$B$9:$BJ$69))+1)</f>
        <v>-9.8910520020004111E-4</v>
      </c>
      <c r="B1293">
        <v>1.8700000000000001E-2</v>
      </c>
      <c r="C1293" s="59">
        <v>0.09</v>
      </c>
      <c r="D1293" s="59">
        <v>-0.06</v>
      </c>
      <c r="E1293" s="60">
        <f t="shared" si="20"/>
        <v>0.97000000000000008</v>
      </c>
      <c r="F1293" t="str" cm="1">
        <f t="array" ref="F1293">IF(A1293=MAX(IF(ROUND($B$2:$B$3722,4)=ROUND(B1293,4),$A$2:$A$3722)),"Efficient","Inefficient")</f>
        <v>Inefficient</v>
      </c>
    </row>
    <row r="1294" spans="1:6" x14ac:dyDescent="0.25">
      <c r="A1294" cm="1">
        <f t="array" ref="A1294">INDEX('Portfolio Weights Returns'!$B$9:$BJ$69,
INT((ROW(A1293)-1)/COLUMNS('Portfolio Weights Returns'!$B$9:$BJ$69))+1,MOD(ROW(A1293)-1,COLUMNS('Portfolio Weights Returns'!$B$9:$BJ$69))+1)</f>
        <v>-9.8232402623336218E-4</v>
      </c>
      <c r="B1294">
        <v>1.8700000000000001E-2</v>
      </c>
      <c r="C1294" s="59">
        <v>0.06</v>
      </c>
      <c r="D1294" s="59">
        <v>-0.03</v>
      </c>
      <c r="E1294" s="60">
        <f t="shared" si="20"/>
        <v>0.97</v>
      </c>
      <c r="F1294" t="str" cm="1">
        <f t="array" ref="F1294">IF(A1294=MAX(IF(ROUND($B$2:$B$3722,4)=ROUND(B1294,4),$A$2:$A$3722)),"Efficient","Inefficient")</f>
        <v>Inefficient</v>
      </c>
    </row>
    <row r="1295" spans="1:6" x14ac:dyDescent="0.25">
      <c r="A1295" cm="1">
        <f t="array" ref="A1295">INDEX('Portfolio Weights Returns'!$B$9:$BJ$69,
INT((ROW(A1294)-1)/COLUMNS('Portfolio Weights Returns'!$B$9:$BJ$69))+1,MOD(ROW(A1294)-1,COLUMNS('Portfolio Weights Returns'!$B$9:$BJ$69))+1)</f>
        <v>-9.7554285226668304E-4</v>
      </c>
      <c r="B1295">
        <v>1.8700000000000001E-2</v>
      </c>
      <c r="C1295" s="59">
        <v>0.05</v>
      </c>
      <c r="D1295" s="59">
        <v>-0.02</v>
      </c>
      <c r="E1295" s="60">
        <f t="shared" si="20"/>
        <v>0.97</v>
      </c>
      <c r="F1295" t="str" cm="1">
        <f t="array" ref="F1295">IF(A1295=MAX(IF(ROUND($B$2:$B$3722,4)=ROUND(B1295,4),$A$2:$A$3722)),"Efficient","Inefficient")</f>
        <v>Inefficient</v>
      </c>
    </row>
    <row r="1296" spans="1:6" x14ac:dyDescent="0.25">
      <c r="A1296" cm="1">
        <f t="array" ref="A1296">INDEX('Portfolio Weights Returns'!$B$9:$BJ$69,
INT((ROW(A1295)-1)/COLUMNS('Portfolio Weights Returns'!$B$9:$BJ$69))+1,MOD(ROW(A1295)-1,COLUMNS('Portfolio Weights Returns'!$B$9:$BJ$69))+1)</f>
        <v>-9.687616783000039E-4</v>
      </c>
      <c r="B1296">
        <v>1.8700000000000001E-2</v>
      </c>
      <c r="C1296" s="59">
        <v>0.04</v>
      </c>
      <c r="D1296" s="59">
        <v>-0.01</v>
      </c>
      <c r="E1296" s="60">
        <f t="shared" si="20"/>
        <v>0.97</v>
      </c>
      <c r="F1296" t="str" cm="1">
        <f t="array" ref="F1296">IF(A1296=MAX(IF(ROUND($B$2:$B$3722,4)=ROUND(B1296,4),$A$2:$A$3722)),"Efficient","Inefficient")</f>
        <v>Inefficient</v>
      </c>
    </row>
    <row r="1297" spans="1:6" x14ac:dyDescent="0.25">
      <c r="A1297" cm="1">
        <f t="array" ref="A1297">INDEX('Portfolio Weights Returns'!$B$9:$BJ$69,
INT((ROW(A1296)-1)/COLUMNS('Portfolio Weights Returns'!$B$9:$BJ$69))+1,MOD(ROW(A1296)-1,COLUMNS('Portfolio Weights Returns'!$B$9:$BJ$69))+1)</f>
        <v>-9.6198050433332475E-4</v>
      </c>
      <c r="B1297">
        <v>1.8700000000000001E-2</v>
      </c>
      <c r="C1297" s="59">
        <v>0.03</v>
      </c>
      <c r="D1297" s="59">
        <v>0</v>
      </c>
      <c r="E1297" s="60">
        <f t="shared" si="20"/>
        <v>0.97</v>
      </c>
      <c r="F1297" t="str" cm="1">
        <f t="array" ref="F1297">IF(A1297=MAX(IF(ROUND($B$2:$B$3722,4)=ROUND(B1297,4),$A$2:$A$3722)),"Efficient","Inefficient")</f>
        <v>Inefficient</v>
      </c>
    </row>
    <row r="1298" spans="1:6" x14ac:dyDescent="0.25">
      <c r="A1298" cm="1">
        <f t="array" ref="A1298">INDEX('Portfolio Weights Returns'!$B$9:$BJ$69,
INT((ROW(A1297)-1)/COLUMNS('Portfolio Weights Returns'!$B$9:$BJ$69))+1,MOD(ROW(A1297)-1,COLUMNS('Portfolio Weights Returns'!$B$9:$BJ$69))+1)</f>
        <v>-9.5519933036664572E-4</v>
      </c>
      <c r="B1298">
        <v>1.8700000000000001E-2</v>
      </c>
      <c r="C1298" s="59">
        <v>0.02</v>
      </c>
      <c r="D1298" s="59">
        <v>0.01</v>
      </c>
      <c r="E1298" s="60">
        <f t="shared" si="20"/>
        <v>0.97</v>
      </c>
      <c r="F1298" t="str" cm="1">
        <f t="array" ref="F1298">IF(A1298=MAX(IF(ROUND($B$2:$B$3722,4)=ROUND(B1298,4),$A$2:$A$3722)),"Efficient","Inefficient")</f>
        <v>Inefficient</v>
      </c>
    </row>
    <row r="1299" spans="1:6" x14ac:dyDescent="0.25">
      <c r="A1299" cm="1">
        <f t="array" ref="A1299">INDEX('Portfolio Weights Returns'!$B$9:$BJ$69,
INT((ROW(A1298)-1)/COLUMNS('Portfolio Weights Returns'!$B$9:$BJ$69))+1,MOD(ROW(A1298)-1,COLUMNS('Portfolio Weights Returns'!$B$9:$BJ$69))+1)</f>
        <v>-9.4841815639996679E-4</v>
      </c>
      <c r="B1299">
        <v>1.8700000000000001E-2</v>
      </c>
      <c r="C1299" s="59">
        <v>0.01</v>
      </c>
      <c r="D1299" s="59">
        <v>0.03</v>
      </c>
      <c r="E1299" s="60">
        <f t="shared" si="20"/>
        <v>0.96</v>
      </c>
      <c r="F1299" t="str" cm="1">
        <f t="array" ref="F1299">IF(A1299=MAX(IF(ROUND($B$2:$B$3722,4)=ROUND(B1299,4),$A$2:$A$3722)),"Efficient","Inefficient")</f>
        <v>Inefficient</v>
      </c>
    </row>
    <row r="1300" spans="1:6" x14ac:dyDescent="0.25">
      <c r="A1300" cm="1">
        <f t="array" ref="A1300">INDEX('Portfolio Weights Returns'!$B$9:$BJ$69,
INT((ROW(A1299)-1)/COLUMNS('Portfolio Weights Returns'!$B$9:$BJ$69))+1,MOD(ROW(A1299)-1,COLUMNS('Portfolio Weights Returns'!$B$9:$BJ$69))+1)</f>
        <v>-9.4163698243328754E-4</v>
      </c>
      <c r="B1300">
        <v>1.8700000000000001E-2</v>
      </c>
      <c r="C1300" s="59">
        <v>0</v>
      </c>
      <c r="D1300" s="59">
        <v>0.04</v>
      </c>
      <c r="E1300" s="60">
        <f t="shared" si="20"/>
        <v>0.96</v>
      </c>
      <c r="F1300" t="str" cm="1">
        <f t="array" ref="F1300">IF(A1300=MAX(IF(ROUND($B$2:$B$3722,4)=ROUND(B1300,4),$A$2:$A$3722)),"Efficient","Inefficient")</f>
        <v>Inefficient</v>
      </c>
    </row>
    <row r="1301" spans="1:6" x14ac:dyDescent="0.25">
      <c r="A1301" cm="1">
        <f t="array" ref="A1301">INDEX('Portfolio Weights Returns'!$B$9:$BJ$69,
INT((ROW(A1300)-1)/COLUMNS('Portfolio Weights Returns'!$B$9:$BJ$69))+1,MOD(ROW(A1300)-1,COLUMNS('Portfolio Weights Returns'!$B$9:$BJ$69))+1)</f>
        <v>-9.348558084666085E-4</v>
      </c>
      <c r="B1301">
        <v>1.8700000000000001E-2</v>
      </c>
      <c r="C1301" s="59">
        <v>-0.01</v>
      </c>
      <c r="D1301" s="59">
        <v>0.06</v>
      </c>
      <c r="E1301" s="60">
        <f t="shared" si="20"/>
        <v>0.95</v>
      </c>
      <c r="F1301" t="str" cm="1">
        <f t="array" ref="F1301">IF(A1301=MAX(IF(ROUND($B$2:$B$3722,4)=ROUND(B1301,4),$A$2:$A$3722)),"Efficient","Inefficient")</f>
        <v>Inefficient</v>
      </c>
    </row>
    <row r="1302" spans="1:6" x14ac:dyDescent="0.25">
      <c r="A1302" cm="1">
        <f t="array" ref="A1302">INDEX('Portfolio Weights Returns'!$B$9:$BJ$69,
INT((ROW(A1301)-1)/COLUMNS('Portfolio Weights Returns'!$B$9:$BJ$69))+1,MOD(ROW(A1301)-1,COLUMNS('Portfolio Weights Returns'!$B$9:$BJ$69))+1)</f>
        <v>-9.2807463449992946E-4</v>
      </c>
      <c r="B1302">
        <v>1.8700000000000001E-2</v>
      </c>
      <c r="C1302" s="59">
        <v>-0.02</v>
      </c>
      <c r="D1302" s="59">
        <v>0.08</v>
      </c>
      <c r="E1302" s="60">
        <f t="shared" si="20"/>
        <v>0.94000000000000006</v>
      </c>
      <c r="F1302" t="str" cm="1">
        <f t="array" ref="F1302">IF(A1302=MAX(IF(ROUND($B$2:$B$3722,4)=ROUND(B1302,4),$A$2:$A$3722)),"Efficient","Inefficient")</f>
        <v>Inefficient</v>
      </c>
    </row>
    <row r="1303" spans="1:6" x14ac:dyDescent="0.25">
      <c r="A1303" cm="1">
        <f t="array" ref="A1303">INDEX('Portfolio Weights Returns'!$B$9:$BJ$69,
INT((ROW(A1302)-1)/COLUMNS('Portfolio Weights Returns'!$B$9:$BJ$69))+1,MOD(ROW(A1302)-1,COLUMNS('Portfolio Weights Returns'!$B$9:$BJ$69))+1)</f>
        <v>-9.2129346053325032E-4</v>
      </c>
      <c r="B1303">
        <v>1.8700000000000001E-2</v>
      </c>
      <c r="C1303" s="59">
        <v>-0.02</v>
      </c>
      <c r="D1303" s="59">
        <v>0.09</v>
      </c>
      <c r="E1303" s="60">
        <f t="shared" si="20"/>
        <v>0.93</v>
      </c>
      <c r="F1303" t="str" cm="1">
        <f t="array" ref="F1303">IF(A1303=MAX(IF(ROUND($B$2:$B$3722,4)=ROUND(B1303,4),$A$2:$A$3722)),"Efficient","Inefficient")</f>
        <v>Inefficient</v>
      </c>
    </row>
    <row r="1304" spans="1:6" x14ac:dyDescent="0.25">
      <c r="A1304" cm="1">
        <f t="array" ref="A1304">INDEX('Portfolio Weights Returns'!$B$9:$BJ$69,
INT((ROW(A1303)-1)/COLUMNS('Portfolio Weights Returns'!$B$9:$BJ$69))+1,MOD(ROW(A1303)-1,COLUMNS('Portfolio Weights Returns'!$B$9:$BJ$69))+1)</f>
        <v>-9.1451228656657128E-4</v>
      </c>
      <c r="B1304">
        <v>1.8700000000000001E-2</v>
      </c>
      <c r="C1304" s="59">
        <v>-0.03</v>
      </c>
      <c r="D1304" s="59">
        <v>0.1</v>
      </c>
      <c r="E1304" s="60">
        <f t="shared" si="20"/>
        <v>0.93</v>
      </c>
      <c r="F1304" t="str" cm="1">
        <f t="array" ref="F1304">IF(A1304=MAX(IF(ROUND($B$2:$B$3722,4)=ROUND(B1304,4),$A$2:$A$3722)),"Efficient","Inefficient")</f>
        <v>Inefficient</v>
      </c>
    </row>
    <row r="1305" spans="1:6" x14ac:dyDescent="0.25">
      <c r="A1305" cm="1">
        <f t="array" ref="A1305">INDEX('Portfolio Weights Returns'!$B$9:$BJ$69,
INT((ROW(A1304)-1)/COLUMNS('Portfolio Weights Returns'!$B$9:$BJ$69))+1,MOD(ROW(A1304)-1,COLUMNS('Portfolio Weights Returns'!$B$9:$BJ$69))+1)</f>
        <v>-9.0773111259989203E-4</v>
      </c>
      <c r="B1305">
        <v>1.8700000000000001E-2</v>
      </c>
      <c r="C1305" s="59">
        <v>-0.03</v>
      </c>
      <c r="D1305" s="59">
        <v>0.11</v>
      </c>
      <c r="E1305" s="60">
        <f t="shared" si="20"/>
        <v>0.92</v>
      </c>
      <c r="F1305" t="str" cm="1">
        <f t="array" ref="F1305">IF(A1305=MAX(IF(ROUND($B$2:$B$3722,4)=ROUND(B1305,4),$A$2:$A$3722)),"Efficient","Inefficient")</f>
        <v>Inefficient</v>
      </c>
    </row>
    <row r="1306" spans="1:6" x14ac:dyDescent="0.25">
      <c r="A1306" cm="1">
        <f t="array" ref="A1306">INDEX('Portfolio Weights Returns'!$B$9:$BJ$69,
INT((ROW(A1305)-1)/COLUMNS('Portfolio Weights Returns'!$B$9:$BJ$69))+1,MOD(ROW(A1305)-1,COLUMNS('Portfolio Weights Returns'!$B$9:$BJ$69))+1)</f>
        <v>-9.0094993863321289E-4</v>
      </c>
      <c r="B1306">
        <v>1.8700000000000001E-2</v>
      </c>
      <c r="C1306" s="59">
        <v>-0.03</v>
      </c>
      <c r="D1306" s="59">
        <v>0.12</v>
      </c>
      <c r="E1306" s="60">
        <f t="shared" si="20"/>
        <v>0.91</v>
      </c>
      <c r="F1306" t="str" cm="1">
        <f t="array" ref="F1306">IF(A1306=MAX(IF(ROUND($B$2:$B$3722,4)=ROUND(B1306,4),$A$2:$A$3722)),"Efficient","Inefficient")</f>
        <v>Inefficient</v>
      </c>
    </row>
    <row r="1307" spans="1:6" x14ac:dyDescent="0.25">
      <c r="A1307" cm="1">
        <f t="array" ref="A1307">INDEX('Portfolio Weights Returns'!$B$9:$BJ$69,
INT((ROW(A1306)-1)/COLUMNS('Portfolio Weights Returns'!$B$9:$BJ$69))+1,MOD(ROW(A1306)-1,COLUMNS('Portfolio Weights Returns'!$B$9:$BJ$69))+1)</f>
        <v>-8.9416876466653385E-4</v>
      </c>
      <c r="B1307">
        <v>1.8700000000000001E-2</v>
      </c>
      <c r="C1307" s="59">
        <v>-0.04</v>
      </c>
      <c r="D1307" s="59">
        <v>0.14000000000000001</v>
      </c>
      <c r="E1307" s="60">
        <f t="shared" si="20"/>
        <v>0.9</v>
      </c>
      <c r="F1307" t="str" cm="1">
        <f t="array" ref="F1307">IF(A1307=MAX(IF(ROUND($B$2:$B$3722,4)=ROUND(B1307,4),$A$2:$A$3722)),"Efficient","Inefficient")</f>
        <v>Inefficient</v>
      </c>
    </row>
    <row r="1308" spans="1:6" x14ac:dyDescent="0.25">
      <c r="A1308" cm="1">
        <f t="array" ref="A1308">INDEX('Portfolio Weights Returns'!$B$9:$BJ$69,
INT((ROW(A1307)-1)/COLUMNS('Portfolio Weights Returns'!$B$9:$BJ$69))+1,MOD(ROW(A1307)-1,COLUMNS('Portfolio Weights Returns'!$B$9:$BJ$69))+1)</f>
        <v>-8.873875906998547E-4</v>
      </c>
      <c r="B1308">
        <v>1.8700000000000001E-2</v>
      </c>
      <c r="C1308" s="59">
        <v>-0.04</v>
      </c>
      <c r="D1308" s="59">
        <v>0.15</v>
      </c>
      <c r="E1308" s="60">
        <f t="shared" si="20"/>
        <v>0.89</v>
      </c>
      <c r="F1308" t="str" cm="1">
        <f t="array" ref="F1308">IF(A1308=MAX(IF(ROUND($B$2:$B$3722,4)=ROUND(B1308,4),$A$2:$A$3722)),"Efficient","Inefficient")</f>
        <v>Inefficient</v>
      </c>
    </row>
    <row r="1309" spans="1:6" x14ac:dyDescent="0.25">
      <c r="A1309" cm="1">
        <f t="array" ref="A1309">INDEX('Portfolio Weights Returns'!$B$9:$BJ$69,
INT((ROW(A1308)-1)/COLUMNS('Portfolio Weights Returns'!$B$9:$BJ$69))+1,MOD(ROW(A1308)-1,COLUMNS('Portfolio Weights Returns'!$B$9:$BJ$69))+1)</f>
        <v>-8.8060641673317567E-4</v>
      </c>
      <c r="B1309">
        <v>1.8700000000000001E-2</v>
      </c>
      <c r="C1309" s="59">
        <v>-0.04</v>
      </c>
      <c r="D1309" s="59">
        <v>0.16</v>
      </c>
      <c r="E1309" s="60">
        <f t="shared" si="20"/>
        <v>0.88</v>
      </c>
      <c r="F1309" t="str" cm="1">
        <f t="array" ref="F1309">IF(A1309=MAX(IF(ROUND($B$2:$B$3722,4)=ROUND(B1309,4),$A$2:$A$3722)),"Efficient","Inefficient")</f>
        <v>Inefficient</v>
      </c>
    </row>
    <row r="1310" spans="1:6" x14ac:dyDescent="0.25">
      <c r="A1310" cm="1">
        <f t="array" ref="A1310">INDEX('Portfolio Weights Returns'!$B$9:$BJ$69,
INT((ROW(A1309)-1)/COLUMNS('Portfolio Weights Returns'!$B$9:$BJ$69))+1,MOD(ROW(A1309)-1,COLUMNS('Portfolio Weights Returns'!$B$9:$BJ$69))+1)</f>
        <v>-8.7382524276649652E-4</v>
      </c>
      <c r="B1310">
        <v>1.8700000000000001E-2</v>
      </c>
      <c r="C1310" s="59">
        <v>-0.04</v>
      </c>
      <c r="D1310" s="59">
        <v>0.17</v>
      </c>
      <c r="E1310" s="60">
        <f t="shared" si="20"/>
        <v>0.87</v>
      </c>
      <c r="F1310" t="str" cm="1">
        <f t="array" ref="F1310">IF(A1310=MAX(IF(ROUND($B$2:$B$3722,4)=ROUND(B1310,4),$A$2:$A$3722)),"Efficient","Inefficient")</f>
        <v>Inefficient</v>
      </c>
    </row>
    <row r="1311" spans="1:6" x14ac:dyDescent="0.25">
      <c r="A1311" cm="1">
        <f t="array" ref="A1311">INDEX('Portfolio Weights Returns'!$B$9:$BJ$69,
INT((ROW(A1310)-1)/COLUMNS('Portfolio Weights Returns'!$B$9:$BJ$69))+1,MOD(ROW(A1310)-1,COLUMNS('Portfolio Weights Returns'!$B$9:$BJ$69))+1)</f>
        <v>-8.6704406879981749E-4</v>
      </c>
      <c r="B1311">
        <v>1.8700000000000001E-2</v>
      </c>
      <c r="C1311" s="59">
        <v>-0.04</v>
      </c>
      <c r="D1311" s="59">
        <v>0.18</v>
      </c>
      <c r="E1311" s="60">
        <f t="shared" si="20"/>
        <v>0.8600000000000001</v>
      </c>
      <c r="F1311" t="str" cm="1">
        <f t="array" ref="F1311">IF(A1311=MAX(IF(ROUND($B$2:$B$3722,4)=ROUND(B1311,4),$A$2:$A$3722)),"Efficient","Inefficient")</f>
        <v>Inefficient</v>
      </c>
    </row>
    <row r="1312" spans="1:6" x14ac:dyDescent="0.25">
      <c r="A1312" cm="1">
        <f t="array" ref="A1312">INDEX('Portfolio Weights Returns'!$B$9:$BJ$69,
INT((ROW(A1311)-1)/COLUMNS('Portfolio Weights Returns'!$B$9:$BJ$69))+1,MOD(ROW(A1311)-1,COLUMNS('Portfolio Weights Returns'!$B$9:$BJ$69))+1)</f>
        <v>-8.6026289483313824E-4</v>
      </c>
      <c r="B1312">
        <v>1.8700000000000001E-2</v>
      </c>
      <c r="C1312" s="59">
        <v>-0.04</v>
      </c>
      <c r="D1312" s="59">
        <v>0.19</v>
      </c>
      <c r="E1312" s="60">
        <f t="shared" si="20"/>
        <v>0.85000000000000009</v>
      </c>
      <c r="F1312" t="str" cm="1">
        <f t="array" ref="F1312">IF(A1312=MAX(IF(ROUND($B$2:$B$3722,4)=ROUND(B1312,4),$A$2:$A$3722)),"Efficient","Inefficient")</f>
        <v>Inefficient</v>
      </c>
    </row>
    <row r="1313" spans="1:6" x14ac:dyDescent="0.25">
      <c r="A1313" cm="1">
        <f t="array" ref="A1313">INDEX('Portfolio Weights Returns'!$B$9:$BJ$69,
INT((ROW(A1312)-1)/COLUMNS('Portfolio Weights Returns'!$B$9:$BJ$69))+1,MOD(ROW(A1312)-1,COLUMNS('Portfolio Weights Returns'!$B$9:$BJ$69))+1)</f>
        <v>-8.534817208664592E-4</v>
      </c>
      <c r="B1313">
        <v>1.8700000000000001E-2</v>
      </c>
      <c r="C1313" s="59">
        <v>-0.03</v>
      </c>
      <c r="D1313" s="59">
        <v>0.2</v>
      </c>
      <c r="E1313" s="60">
        <f t="shared" si="20"/>
        <v>0.83000000000000007</v>
      </c>
      <c r="F1313" t="str" cm="1">
        <f t="array" ref="F1313">IF(A1313=MAX(IF(ROUND($B$2:$B$3722,4)=ROUND(B1313,4),$A$2:$A$3722)),"Efficient","Inefficient")</f>
        <v>Inefficient</v>
      </c>
    </row>
    <row r="1314" spans="1:6" x14ac:dyDescent="0.25">
      <c r="A1314" cm="1">
        <f t="array" ref="A1314">INDEX('Portfolio Weights Returns'!$B$9:$BJ$69,
INT((ROW(A1313)-1)/COLUMNS('Portfolio Weights Returns'!$B$9:$BJ$69))+1,MOD(ROW(A1313)-1,COLUMNS('Portfolio Weights Returns'!$B$9:$BJ$69))+1)</f>
        <v>-8.4670054689978006E-4</v>
      </c>
      <c r="B1314">
        <v>1.8700000000000001E-2</v>
      </c>
      <c r="C1314" s="59">
        <v>-0.03</v>
      </c>
      <c r="D1314" s="59">
        <v>0.21</v>
      </c>
      <c r="E1314" s="60">
        <f t="shared" si="20"/>
        <v>0.82000000000000006</v>
      </c>
      <c r="F1314" t="str" cm="1">
        <f t="array" ref="F1314">IF(A1314=MAX(IF(ROUND($B$2:$B$3722,4)=ROUND(B1314,4),$A$2:$A$3722)),"Efficient","Inefficient")</f>
        <v>Inefficient</v>
      </c>
    </row>
    <row r="1315" spans="1:6" x14ac:dyDescent="0.25">
      <c r="A1315" cm="1">
        <f t="array" ref="A1315">INDEX('Portfolio Weights Returns'!$B$9:$BJ$69,
INT((ROW(A1314)-1)/COLUMNS('Portfolio Weights Returns'!$B$9:$BJ$69))+1,MOD(ROW(A1314)-1,COLUMNS('Portfolio Weights Returns'!$B$9:$BJ$69))+1)</f>
        <v>-8.3991937293310102E-4</v>
      </c>
      <c r="B1315">
        <v>1.8700000000000001E-2</v>
      </c>
      <c r="C1315" s="59">
        <v>-0.03</v>
      </c>
      <c r="D1315" s="59">
        <v>0.22</v>
      </c>
      <c r="E1315" s="60">
        <f t="shared" si="20"/>
        <v>0.81</v>
      </c>
      <c r="F1315" t="str" cm="1">
        <f t="array" ref="F1315">IF(A1315=MAX(IF(ROUND($B$2:$B$3722,4)=ROUND(B1315,4),$A$2:$A$3722)),"Efficient","Inefficient")</f>
        <v>Inefficient</v>
      </c>
    </row>
    <row r="1316" spans="1:6" x14ac:dyDescent="0.25">
      <c r="A1316" cm="1">
        <f t="array" ref="A1316">INDEX('Portfolio Weights Returns'!$B$9:$BJ$69,
INT((ROW(A1315)-1)/COLUMNS('Portfolio Weights Returns'!$B$9:$BJ$69))+1,MOD(ROW(A1315)-1,COLUMNS('Portfolio Weights Returns'!$B$9:$BJ$69))+1)</f>
        <v>-8.3313819896642187E-4</v>
      </c>
      <c r="B1316">
        <v>1.8700000000000001E-2</v>
      </c>
      <c r="C1316" s="59">
        <v>-0.02</v>
      </c>
      <c r="D1316" s="59">
        <v>0.23</v>
      </c>
      <c r="E1316" s="60">
        <f t="shared" si="20"/>
        <v>0.79</v>
      </c>
      <c r="F1316" t="str" cm="1">
        <f t="array" ref="F1316">IF(A1316=MAX(IF(ROUND($B$2:$B$3722,4)=ROUND(B1316,4),$A$2:$A$3722)),"Efficient","Inefficient")</f>
        <v>Inefficient</v>
      </c>
    </row>
    <row r="1317" spans="1:6" x14ac:dyDescent="0.25">
      <c r="A1317" cm="1">
        <f t="array" ref="A1317">INDEX('Portfolio Weights Returns'!$B$9:$BJ$69,
INT((ROW(A1316)-1)/COLUMNS('Portfolio Weights Returns'!$B$9:$BJ$69))+1,MOD(ROW(A1316)-1,COLUMNS('Portfolio Weights Returns'!$B$9:$BJ$69))+1)</f>
        <v>-8.2635702499974273E-4</v>
      </c>
      <c r="B1317">
        <v>1.8700000000000001E-2</v>
      </c>
      <c r="C1317" s="59">
        <v>-0.02</v>
      </c>
      <c r="D1317" s="59">
        <v>0.24</v>
      </c>
      <c r="E1317" s="60">
        <f t="shared" si="20"/>
        <v>0.78</v>
      </c>
      <c r="F1317" t="str" cm="1">
        <f t="array" ref="F1317">IF(A1317=MAX(IF(ROUND($B$2:$B$3722,4)=ROUND(B1317,4),$A$2:$A$3722)),"Efficient","Inefficient")</f>
        <v>Inefficient</v>
      </c>
    </row>
    <row r="1318" spans="1:6" x14ac:dyDescent="0.25">
      <c r="A1318" cm="1">
        <f t="array" ref="A1318">INDEX('Portfolio Weights Returns'!$B$9:$BJ$69,
INT((ROW(A1317)-1)/COLUMNS('Portfolio Weights Returns'!$B$9:$BJ$69))+1,MOD(ROW(A1317)-1,COLUMNS('Portfolio Weights Returns'!$B$9:$BJ$69))+1)</f>
        <v>-8.1957585103306369E-4</v>
      </c>
      <c r="B1318">
        <v>1.8700000000000001E-2</v>
      </c>
      <c r="C1318" s="59">
        <v>-0.01</v>
      </c>
      <c r="D1318" s="59">
        <v>0.25</v>
      </c>
      <c r="E1318" s="60">
        <f t="shared" si="20"/>
        <v>0.76</v>
      </c>
      <c r="F1318" t="str" cm="1">
        <f t="array" ref="F1318">IF(A1318=MAX(IF(ROUND($B$2:$B$3722,4)=ROUND(B1318,4),$A$2:$A$3722)),"Efficient","Inefficient")</f>
        <v>Inefficient</v>
      </c>
    </row>
    <row r="1319" spans="1:6" x14ac:dyDescent="0.25">
      <c r="A1319" cm="1">
        <f t="array" ref="A1319">INDEX('Portfolio Weights Returns'!$B$9:$BJ$69,
INT((ROW(A1318)-1)/COLUMNS('Portfolio Weights Returns'!$B$9:$BJ$69))+1,MOD(ROW(A1318)-1,COLUMNS('Portfolio Weights Returns'!$B$9:$BJ$69))+1)</f>
        <v>-8.1279467706638444E-4</v>
      </c>
      <c r="B1319">
        <v>1.8700000000000001E-2</v>
      </c>
      <c r="C1319" s="59">
        <v>0</v>
      </c>
      <c r="D1319" s="59">
        <v>0.26</v>
      </c>
      <c r="E1319" s="60">
        <f t="shared" si="20"/>
        <v>0.74</v>
      </c>
      <c r="F1319" t="str" cm="1">
        <f t="array" ref="F1319">IF(A1319=MAX(IF(ROUND($B$2:$B$3722,4)=ROUND(B1319,4),$A$2:$A$3722)),"Efficient","Inefficient")</f>
        <v>Inefficient</v>
      </c>
    </row>
    <row r="1320" spans="1:6" x14ac:dyDescent="0.25">
      <c r="A1320" cm="1">
        <f t="array" ref="A1320">INDEX('Portfolio Weights Returns'!$B$9:$BJ$69,
INT((ROW(A1319)-1)/COLUMNS('Portfolio Weights Returns'!$B$9:$BJ$69))+1,MOD(ROW(A1319)-1,COLUMNS('Portfolio Weights Returns'!$B$9:$BJ$69))+1)</f>
        <v>-8.0601350309970541E-4</v>
      </c>
      <c r="B1320">
        <v>1.8700000000000001E-2</v>
      </c>
      <c r="C1320" s="59">
        <v>0.01</v>
      </c>
      <c r="D1320" s="59">
        <v>0.27</v>
      </c>
      <c r="E1320" s="60">
        <f t="shared" si="20"/>
        <v>0.72</v>
      </c>
      <c r="F1320" t="str" cm="1">
        <f t="array" ref="F1320">IF(A1320=MAX(IF(ROUND($B$2:$B$3722,4)=ROUND(B1320,4),$A$2:$A$3722)),"Efficient","Inefficient")</f>
        <v>Inefficient</v>
      </c>
    </row>
    <row r="1321" spans="1:6" x14ac:dyDescent="0.25">
      <c r="A1321" cm="1">
        <f t="array" ref="A1321">INDEX('Portfolio Weights Returns'!$B$9:$BJ$69,
INT((ROW(A1320)-1)/COLUMNS('Portfolio Weights Returns'!$B$9:$BJ$69))+1,MOD(ROW(A1320)-1,COLUMNS('Portfolio Weights Returns'!$B$9:$BJ$69))+1)</f>
        <v>-7.9923232913302626E-4</v>
      </c>
      <c r="B1321">
        <v>1.8700000000000001E-2</v>
      </c>
      <c r="C1321" s="59">
        <v>0.02</v>
      </c>
      <c r="D1321" s="59">
        <v>0.28000000000000003</v>
      </c>
      <c r="E1321" s="60">
        <f t="shared" si="20"/>
        <v>0.7</v>
      </c>
      <c r="F1321" t="str" cm="1">
        <f t="array" ref="F1321">IF(A1321=MAX(IF(ROUND($B$2:$B$3722,4)=ROUND(B1321,4),$A$2:$A$3722)),"Efficient","Inefficient")</f>
        <v>Inefficient</v>
      </c>
    </row>
    <row r="1322" spans="1:6" x14ac:dyDescent="0.25">
      <c r="A1322" cm="1">
        <f t="array" ref="A1322">INDEX('Portfolio Weights Returns'!$B$9:$BJ$69,
INT((ROW(A1321)-1)/COLUMNS('Portfolio Weights Returns'!$B$9:$BJ$69))+1,MOD(ROW(A1321)-1,COLUMNS('Portfolio Weights Returns'!$B$9:$BJ$69))+1)</f>
        <v>-7.9245115516634723E-4</v>
      </c>
      <c r="B1322">
        <v>1.8700000000000001E-2</v>
      </c>
      <c r="C1322" s="59">
        <v>0.03</v>
      </c>
      <c r="D1322" s="59">
        <v>0.28999999999999998</v>
      </c>
      <c r="E1322" s="60">
        <f t="shared" si="20"/>
        <v>0.67999999999999994</v>
      </c>
      <c r="F1322" t="str" cm="1">
        <f t="array" ref="F1322">IF(A1322=MAX(IF(ROUND($B$2:$B$3722,4)=ROUND(B1322,4),$A$2:$A$3722)),"Efficient","Inefficient")</f>
        <v>Inefficient</v>
      </c>
    </row>
    <row r="1323" spans="1:6" x14ac:dyDescent="0.25">
      <c r="A1323" cm="1">
        <f t="array" ref="A1323">INDEX('Portfolio Weights Returns'!$B$9:$BJ$69,
INT((ROW(A1322)-1)/COLUMNS('Portfolio Weights Returns'!$B$9:$BJ$69))+1,MOD(ROW(A1322)-1,COLUMNS('Portfolio Weights Returns'!$B$9:$BJ$69))+1)</f>
        <v>-7.8566998119966808E-4</v>
      </c>
      <c r="B1323">
        <v>1.8700000000000001E-2</v>
      </c>
      <c r="C1323" s="59">
        <v>0.04</v>
      </c>
      <c r="D1323" s="59">
        <v>0.3</v>
      </c>
      <c r="E1323" s="60">
        <f t="shared" si="20"/>
        <v>0.65999999999999992</v>
      </c>
      <c r="F1323" t="str" cm="1">
        <f t="array" ref="F1323">IF(A1323=MAX(IF(ROUND($B$2:$B$3722,4)=ROUND(B1323,4),$A$2:$A$3722)),"Efficient","Inefficient")</f>
        <v>Inefficient</v>
      </c>
    </row>
    <row r="1324" spans="1:6" x14ac:dyDescent="0.25">
      <c r="A1324" cm="1">
        <f t="array" ref="A1324">INDEX('Portfolio Weights Returns'!$B$9:$BJ$69,
INT((ROW(A1323)-1)/COLUMNS('Portfolio Weights Returns'!$B$9:$BJ$69))+1,MOD(ROW(A1323)-1,COLUMNS('Portfolio Weights Returns'!$B$9:$BJ$69))+1)</f>
        <v>-7.7888880723298904E-4</v>
      </c>
      <c r="B1324">
        <v>1.8700000000000001E-2</v>
      </c>
      <c r="C1324" s="59">
        <v>0.05</v>
      </c>
      <c r="D1324" s="59">
        <v>0.3</v>
      </c>
      <c r="E1324" s="60">
        <f t="shared" si="20"/>
        <v>0.64999999999999991</v>
      </c>
      <c r="F1324" t="str" cm="1">
        <f t="array" ref="F1324">IF(A1324=MAX(IF(ROUND($B$2:$B$3722,4)=ROUND(B1324,4),$A$2:$A$3722)),"Efficient","Inefficient")</f>
        <v>Inefficient</v>
      </c>
    </row>
    <row r="1325" spans="1:6" x14ac:dyDescent="0.25">
      <c r="A1325" cm="1">
        <f t="array" ref="A1325">INDEX('Portfolio Weights Returns'!$B$9:$BJ$69,
INT((ROW(A1324)-1)/COLUMNS('Portfolio Weights Returns'!$B$9:$BJ$69))+1,MOD(ROW(A1324)-1,COLUMNS('Portfolio Weights Returns'!$B$9:$BJ$69))+1)</f>
        <v>-7.721076332663099E-4</v>
      </c>
      <c r="B1325">
        <v>1.8800000000000001E-2</v>
      </c>
      <c r="C1325" s="59">
        <v>0.28999999999999998</v>
      </c>
      <c r="D1325" s="59">
        <v>-0.21</v>
      </c>
      <c r="E1325" s="60">
        <f t="shared" si="20"/>
        <v>0.91999999999999993</v>
      </c>
      <c r="F1325" t="str" cm="1">
        <f t="array" ref="F1325">IF(A1325=MAX(IF(ROUND($B$2:$B$3722,4)=ROUND(B1325,4),$A$2:$A$3722)),"Efficient","Inefficient")</f>
        <v>Inefficient</v>
      </c>
    </row>
    <row r="1326" spans="1:6" x14ac:dyDescent="0.25">
      <c r="A1326" cm="1">
        <f t="array" ref="A1326">INDEX('Portfolio Weights Returns'!$B$9:$BJ$69,
INT((ROW(A1325)-1)/COLUMNS('Portfolio Weights Returns'!$B$9:$BJ$69))+1,MOD(ROW(A1325)-1,COLUMNS('Portfolio Weights Returns'!$B$9:$BJ$69))+1)</f>
        <v>-7.6532645929963065E-4</v>
      </c>
      <c r="B1326">
        <v>1.8800000000000001E-2</v>
      </c>
      <c r="C1326" s="59">
        <v>0.26</v>
      </c>
      <c r="D1326" s="59">
        <v>-0.19</v>
      </c>
      <c r="E1326" s="60">
        <f t="shared" si="20"/>
        <v>0.92999999999999994</v>
      </c>
      <c r="F1326" t="str" cm="1">
        <f t="array" ref="F1326">IF(A1326=MAX(IF(ROUND($B$2:$B$3722,4)=ROUND(B1326,4),$A$2:$A$3722)),"Efficient","Inefficient")</f>
        <v>Inefficient</v>
      </c>
    </row>
    <row r="1327" spans="1:6" x14ac:dyDescent="0.25">
      <c r="A1327" cm="1">
        <f t="array" ref="A1327">INDEX('Portfolio Weights Returns'!$B$9:$BJ$69,
INT((ROW(A1326)-1)/COLUMNS('Portfolio Weights Returns'!$B$9:$BJ$69))+1,MOD(ROW(A1326)-1,COLUMNS('Portfolio Weights Returns'!$B$9:$BJ$69))+1)</f>
        <v>-7.5854528533295161E-4</v>
      </c>
      <c r="B1327">
        <v>1.8800000000000001E-2</v>
      </c>
      <c r="C1327" s="59">
        <v>0.24</v>
      </c>
      <c r="D1327" s="59">
        <v>-0.18</v>
      </c>
      <c r="E1327" s="60">
        <f t="shared" si="20"/>
        <v>0.94</v>
      </c>
      <c r="F1327" t="str" cm="1">
        <f t="array" ref="F1327">IF(A1327=MAX(IF(ROUND($B$2:$B$3722,4)=ROUND(B1327,4),$A$2:$A$3722)),"Efficient","Inefficient")</f>
        <v>Inefficient</v>
      </c>
    </row>
    <row r="1328" spans="1:6" x14ac:dyDescent="0.25">
      <c r="A1328" cm="1">
        <f t="array" ref="A1328">INDEX('Portfolio Weights Returns'!$B$9:$BJ$69,
INT((ROW(A1327)-1)/COLUMNS('Portfolio Weights Returns'!$B$9:$BJ$69))+1,MOD(ROW(A1327)-1,COLUMNS('Portfolio Weights Returns'!$B$9:$BJ$69))+1)</f>
        <v>-7.5176411136627247E-4</v>
      </c>
      <c r="B1328">
        <v>1.8800000000000001E-2</v>
      </c>
      <c r="C1328" s="59">
        <v>0.21</v>
      </c>
      <c r="D1328" s="59">
        <v>-0.16</v>
      </c>
      <c r="E1328" s="60">
        <f t="shared" si="20"/>
        <v>0.95</v>
      </c>
      <c r="F1328" t="str" cm="1">
        <f t="array" ref="F1328">IF(A1328=MAX(IF(ROUND($B$2:$B$3722,4)=ROUND(B1328,4),$A$2:$A$3722)),"Efficient","Inefficient")</f>
        <v>Inefficient</v>
      </c>
    </row>
    <row r="1329" spans="1:6" x14ac:dyDescent="0.25">
      <c r="A1329" cm="1">
        <f t="array" ref="A1329">INDEX('Portfolio Weights Returns'!$B$9:$BJ$69,
INT((ROW(A1328)-1)/COLUMNS('Portfolio Weights Returns'!$B$9:$BJ$69))+1,MOD(ROW(A1328)-1,COLUMNS('Portfolio Weights Returns'!$B$9:$BJ$69))+1)</f>
        <v>-7.4498293739959343E-4</v>
      </c>
      <c r="B1329">
        <v>1.8800000000000001E-2</v>
      </c>
      <c r="C1329" s="59">
        <v>0.19</v>
      </c>
      <c r="D1329" s="59">
        <v>-0.15</v>
      </c>
      <c r="E1329" s="60">
        <f t="shared" si="20"/>
        <v>0.96</v>
      </c>
      <c r="F1329" t="str" cm="1">
        <f t="array" ref="F1329">IF(A1329=MAX(IF(ROUND($B$2:$B$3722,4)=ROUND(B1329,4),$A$2:$A$3722)),"Efficient","Inefficient")</f>
        <v>Inefficient</v>
      </c>
    </row>
    <row r="1330" spans="1:6" x14ac:dyDescent="0.25">
      <c r="A1330" cm="1">
        <f t="array" ref="A1330">INDEX('Portfolio Weights Returns'!$B$9:$BJ$69,
INT((ROW(A1329)-1)/COLUMNS('Portfolio Weights Returns'!$B$9:$BJ$69))+1,MOD(ROW(A1329)-1,COLUMNS('Portfolio Weights Returns'!$B$9:$BJ$69))+1)</f>
        <v>-7.3820176343291429E-4</v>
      </c>
      <c r="B1330">
        <v>1.8800000000000001E-2</v>
      </c>
      <c r="C1330" s="59">
        <v>0.18</v>
      </c>
      <c r="D1330" s="59">
        <v>-0.14000000000000001</v>
      </c>
      <c r="E1330" s="60">
        <f t="shared" si="20"/>
        <v>0.96000000000000019</v>
      </c>
      <c r="F1330" t="str" cm="1">
        <f t="array" ref="F1330">IF(A1330=MAX(IF(ROUND($B$2:$B$3722,4)=ROUND(B1330,4),$A$2:$A$3722)),"Efficient","Inefficient")</f>
        <v>Inefficient</v>
      </c>
    </row>
    <row r="1331" spans="1:6" x14ac:dyDescent="0.25">
      <c r="A1331" cm="1">
        <f t="array" ref="A1331">INDEX('Portfolio Weights Returns'!$B$9:$BJ$69,
INT((ROW(A1330)-1)/COLUMNS('Portfolio Weights Returns'!$B$9:$BJ$69))+1,MOD(ROW(A1330)-1,COLUMNS('Portfolio Weights Returns'!$B$9:$BJ$69))+1)</f>
        <v>-7.3142058946623536E-4</v>
      </c>
      <c r="B1331">
        <v>1.8800000000000001E-2</v>
      </c>
      <c r="C1331" s="59">
        <v>0.15</v>
      </c>
      <c r="D1331" s="59">
        <v>-0.12</v>
      </c>
      <c r="E1331" s="60">
        <f t="shared" si="20"/>
        <v>0.97000000000000008</v>
      </c>
      <c r="F1331" t="str" cm="1">
        <f t="array" ref="F1331">IF(A1331=MAX(IF(ROUND($B$2:$B$3722,4)=ROUND(B1331,4),$A$2:$A$3722)),"Efficient","Inefficient")</f>
        <v>Inefficient</v>
      </c>
    </row>
    <row r="1332" spans="1:6" x14ac:dyDescent="0.25">
      <c r="A1332" cm="1">
        <f t="array" ref="A1332">INDEX('Portfolio Weights Returns'!$B$9:$BJ$69,
INT((ROW(A1331)-1)/COLUMNS('Portfolio Weights Returns'!$B$9:$BJ$69))+1,MOD(ROW(A1331)-1,COLUMNS('Portfolio Weights Returns'!$B$9:$BJ$69))+1)</f>
        <v>-7.2463941549955611E-4</v>
      </c>
      <c r="B1332">
        <v>1.8800000000000001E-2</v>
      </c>
      <c r="C1332" s="59">
        <v>0.14000000000000001</v>
      </c>
      <c r="D1332" s="59">
        <v>-0.11</v>
      </c>
      <c r="E1332" s="60">
        <f t="shared" si="20"/>
        <v>0.97000000000000008</v>
      </c>
      <c r="F1332" t="str" cm="1">
        <f t="array" ref="F1332">IF(A1332=MAX(IF(ROUND($B$2:$B$3722,4)=ROUND(B1332,4),$A$2:$A$3722)),"Efficient","Inefficient")</f>
        <v>Inefficient</v>
      </c>
    </row>
    <row r="1333" spans="1:6" x14ac:dyDescent="0.25">
      <c r="A1333" cm="1">
        <f t="array" ref="A1333">INDEX('Portfolio Weights Returns'!$B$9:$BJ$69,
INT((ROW(A1332)-1)/COLUMNS('Portfolio Weights Returns'!$B$9:$BJ$69))+1,MOD(ROW(A1332)-1,COLUMNS('Portfolio Weights Returns'!$B$9:$BJ$69))+1)</f>
        <v>-7.1785824153287707E-4</v>
      </c>
      <c r="B1333">
        <v>1.8800000000000001E-2</v>
      </c>
      <c r="C1333" s="59">
        <v>0.11</v>
      </c>
      <c r="D1333" s="59">
        <v>-0.09</v>
      </c>
      <c r="E1333" s="60">
        <f t="shared" si="20"/>
        <v>0.98000000000000009</v>
      </c>
      <c r="F1333" t="str" cm="1">
        <f t="array" ref="F1333">IF(A1333=MAX(IF(ROUND($B$2:$B$3722,4)=ROUND(B1333,4),$A$2:$A$3722)),"Efficient","Inefficient")</f>
        <v>Inefficient</v>
      </c>
    </row>
    <row r="1334" spans="1:6" x14ac:dyDescent="0.25">
      <c r="A1334" cm="1">
        <f t="array" ref="A1334">INDEX('Portfolio Weights Returns'!$B$9:$BJ$69,
INT((ROW(A1333)-1)/COLUMNS('Portfolio Weights Returns'!$B$9:$BJ$69))+1,MOD(ROW(A1333)-1,COLUMNS('Portfolio Weights Returns'!$B$9:$BJ$69))+1)</f>
        <v>-7.1107706756619793E-4</v>
      </c>
      <c r="B1334">
        <v>1.8800000000000001E-2</v>
      </c>
      <c r="C1334" s="59">
        <v>0.1</v>
      </c>
      <c r="D1334" s="59">
        <v>-0.08</v>
      </c>
      <c r="E1334" s="60">
        <f t="shared" si="20"/>
        <v>0.98000000000000009</v>
      </c>
      <c r="F1334" t="str" cm="1">
        <f t="array" ref="F1334">IF(A1334=MAX(IF(ROUND($B$2:$B$3722,4)=ROUND(B1334,4),$A$2:$A$3722)),"Efficient","Inefficient")</f>
        <v>Inefficient</v>
      </c>
    </row>
    <row r="1335" spans="1:6" x14ac:dyDescent="0.25">
      <c r="A1335" cm="1">
        <f t="array" ref="A1335">INDEX('Portfolio Weights Returns'!$B$9:$BJ$69,
INT((ROW(A1334)-1)/COLUMNS('Portfolio Weights Returns'!$B$9:$BJ$69))+1,MOD(ROW(A1334)-1,COLUMNS('Portfolio Weights Returns'!$B$9:$BJ$69))+1)</f>
        <v>-7.0429589359951878E-4</v>
      </c>
      <c r="B1335">
        <v>1.8800000000000001E-2</v>
      </c>
      <c r="C1335" s="59">
        <v>0.09</v>
      </c>
      <c r="D1335" s="59">
        <v>-7.0000000000000007E-2</v>
      </c>
      <c r="E1335" s="60">
        <f t="shared" si="20"/>
        <v>0.98000000000000009</v>
      </c>
      <c r="F1335" t="str" cm="1">
        <f t="array" ref="F1335">IF(A1335=MAX(IF(ROUND($B$2:$B$3722,4)=ROUND(B1335,4),$A$2:$A$3722)),"Efficient","Inefficient")</f>
        <v>Inefficient</v>
      </c>
    </row>
    <row r="1336" spans="1:6" x14ac:dyDescent="0.25">
      <c r="A1336" cm="1">
        <f t="array" ref="A1336">INDEX('Portfolio Weights Returns'!$B$9:$BJ$69,
INT((ROW(A1335)-1)/COLUMNS('Portfolio Weights Returns'!$B$9:$BJ$69))+1,MOD(ROW(A1335)-1,COLUMNS('Portfolio Weights Returns'!$B$9:$BJ$69))+1)</f>
        <v>-6.9751471963283975E-4</v>
      </c>
      <c r="B1336">
        <v>1.8800000000000001E-2</v>
      </c>
      <c r="C1336" s="59">
        <v>0.08</v>
      </c>
      <c r="D1336" s="59">
        <v>-0.06</v>
      </c>
      <c r="E1336" s="60">
        <f t="shared" si="20"/>
        <v>0.98000000000000009</v>
      </c>
      <c r="F1336" t="str" cm="1">
        <f t="array" ref="F1336">IF(A1336=MAX(IF(ROUND($B$2:$B$3722,4)=ROUND(B1336,4),$A$2:$A$3722)),"Efficient","Inefficient")</f>
        <v>Inefficient</v>
      </c>
    </row>
    <row r="1337" spans="1:6" x14ac:dyDescent="0.25">
      <c r="A1337" cm="1">
        <f t="array" ref="A1337">INDEX('Portfolio Weights Returns'!$B$9:$BJ$69,
INT((ROW(A1336)-1)/COLUMNS('Portfolio Weights Returns'!$B$9:$BJ$69))+1,MOD(ROW(A1336)-1,COLUMNS('Portfolio Weights Returns'!$B$9:$BJ$69))+1)</f>
        <v>-6.907335456661606E-4</v>
      </c>
      <c r="B1337">
        <v>1.8800000000000001E-2</v>
      </c>
      <c r="C1337" s="59">
        <v>7.0000000000000007E-2</v>
      </c>
      <c r="D1337" s="59">
        <v>-0.05</v>
      </c>
      <c r="E1337" s="60">
        <f t="shared" si="20"/>
        <v>0.98</v>
      </c>
      <c r="F1337" t="str" cm="1">
        <f t="array" ref="F1337">IF(A1337=MAX(IF(ROUND($B$2:$B$3722,4)=ROUND(B1337,4),$A$2:$A$3722)),"Efficient","Inefficient")</f>
        <v>Inefficient</v>
      </c>
    </row>
    <row r="1338" spans="1:6" x14ac:dyDescent="0.25">
      <c r="A1338" cm="1">
        <f t="array" ref="A1338">INDEX('Portfolio Weights Returns'!$B$9:$BJ$69,
INT((ROW(A1337)-1)/COLUMNS('Portfolio Weights Returns'!$B$9:$BJ$69))+1,MOD(ROW(A1337)-1,COLUMNS('Portfolio Weights Returns'!$B$9:$BJ$69))+1)</f>
        <v>-6.8395237169948146E-4</v>
      </c>
      <c r="B1338">
        <v>1.8800000000000001E-2</v>
      </c>
      <c r="C1338" s="59">
        <v>0.06</v>
      </c>
      <c r="D1338" s="59">
        <v>-0.04</v>
      </c>
      <c r="E1338" s="60">
        <f t="shared" si="20"/>
        <v>0.98</v>
      </c>
      <c r="F1338" t="str" cm="1">
        <f t="array" ref="F1338">IF(A1338=MAX(IF(ROUND($B$2:$B$3722,4)=ROUND(B1338,4),$A$2:$A$3722)),"Efficient","Inefficient")</f>
        <v>Inefficient</v>
      </c>
    </row>
    <row r="1339" spans="1:6" x14ac:dyDescent="0.25">
      <c r="A1339" cm="1">
        <f t="array" ref="A1339">INDEX('Portfolio Weights Returns'!$B$9:$BJ$69,
INT((ROW(A1338)-1)/COLUMNS('Portfolio Weights Returns'!$B$9:$BJ$69))+1,MOD(ROW(A1338)-1,COLUMNS('Portfolio Weights Returns'!$B$9:$BJ$69))+1)</f>
        <v>-6.7717119773280231E-4</v>
      </c>
      <c r="B1339">
        <v>1.8800000000000001E-2</v>
      </c>
      <c r="C1339" s="59">
        <v>0.05</v>
      </c>
      <c r="D1339" s="59">
        <v>-0.03</v>
      </c>
      <c r="E1339" s="60">
        <f t="shared" si="20"/>
        <v>0.98</v>
      </c>
      <c r="F1339" t="str" cm="1">
        <f t="array" ref="F1339">IF(A1339=MAX(IF(ROUND($B$2:$B$3722,4)=ROUND(B1339,4),$A$2:$A$3722)),"Efficient","Inefficient")</f>
        <v>Inefficient</v>
      </c>
    </row>
    <row r="1340" spans="1:6" x14ac:dyDescent="0.25">
      <c r="A1340" cm="1">
        <f t="array" ref="A1340">INDEX('Portfolio Weights Returns'!$B$9:$BJ$69,
INT((ROW(A1339)-1)/COLUMNS('Portfolio Weights Returns'!$B$9:$BJ$69))+1,MOD(ROW(A1339)-1,COLUMNS('Portfolio Weights Returns'!$B$9:$BJ$69))+1)</f>
        <v>-6.7039002376612263E-4</v>
      </c>
      <c r="B1340">
        <v>1.8800000000000001E-2</v>
      </c>
      <c r="C1340" s="59">
        <v>0.04</v>
      </c>
      <c r="D1340" s="59">
        <v>-0.02</v>
      </c>
      <c r="E1340" s="60">
        <f t="shared" si="20"/>
        <v>0.98</v>
      </c>
      <c r="F1340" t="str" cm="1">
        <f t="array" ref="F1340">IF(A1340=MAX(IF(ROUND($B$2:$B$3722,4)=ROUND(B1340,4),$A$2:$A$3722)),"Efficient","Inefficient")</f>
        <v>Inefficient</v>
      </c>
    </row>
    <row r="1341" spans="1:6" x14ac:dyDescent="0.25">
      <c r="A1341" cm="1">
        <f t="array" ref="A1341">INDEX('Portfolio Weights Returns'!$B$9:$BJ$69,
INT((ROW(A1340)-1)/COLUMNS('Portfolio Weights Returns'!$B$9:$BJ$69))+1,MOD(ROW(A1340)-1,COLUMNS('Portfolio Weights Returns'!$B$9:$BJ$69))+1)</f>
        <v>-6.6360884979944348E-4</v>
      </c>
      <c r="B1341">
        <v>1.8800000000000001E-2</v>
      </c>
      <c r="C1341" s="59">
        <v>0.03</v>
      </c>
      <c r="D1341" s="59">
        <v>-0.01</v>
      </c>
      <c r="E1341" s="60">
        <f t="shared" si="20"/>
        <v>0.98</v>
      </c>
      <c r="F1341" t="str" cm="1">
        <f t="array" ref="F1341">IF(A1341=MAX(IF(ROUND($B$2:$B$3722,4)=ROUND(B1341,4),$A$2:$A$3722)),"Efficient","Inefficient")</f>
        <v>Inefficient</v>
      </c>
    </row>
    <row r="1342" spans="1:6" x14ac:dyDescent="0.25">
      <c r="A1342" cm="1">
        <f t="array" ref="A1342">INDEX('Portfolio Weights Returns'!$B$9:$BJ$69,
INT((ROW(A1341)-1)/COLUMNS('Portfolio Weights Returns'!$B$9:$BJ$69))+1,MOD(ROW(A1341)-1,COLUMNS('Portfolio Weights Returns'!$B$9:$BJ$69))+1)</f>
        <v>-6.5682767583276444E-4</v>
      </c>
      <c r="B1342">
        <v>1.8800000000000001E-2</v>
      </c>
      <c r="C1342" s="59">
        <v>0.01</v>
      </c>
      <c r="D1342" s="59">
        <v>0.02</v>
      </c>
      <c r="E1342" s="60">
        <f t="shared" si="20"/>
        <v>0.97</v>
      </c>
      <c r="F1342" t="str" cm="1">
        <f t="array" ref="F1342">IF(A1342=MAX(IF(ROUND($B$2:$B$3722,4)=ROUND(B1342,4),$A$2:$A$3722)),"Efficient","Inefficient")</f>
        <v>Inefficient</v>
      </c>
    </row>
    <row r="1343" spans="1:6" x14ac:dyDescent="0.25">
      <c r="A1343" cm="1">
        <f t="array" ref="A1343">INDEX('Portfolio Weights Returns'!$B$9:$BJ$69,
INT((ROW(A1342)-1)/COLUMNS('Portfolio Weights Returns'!$B$9:$BJ$69))+1,MOD(ROW(A1342)-1,COLUMNS('Portfolio Weights Returns'!$B$9:$BJ$69))+1)</f>
        <v>-6.500465018660853E-4</v>
      </c>
      <c r="B1343">
        <v>1.8800000000000001E-2</v>
      </c>
      <c r="C1343" s="59">
        <v>0</v>
      </c>
      <c r="D1343" s="59">
        <v>0.03</v>
      </c>
      <c r="E1343" s="60">
        <f t="shared" si="20"/>
        <v>0.97</v>
      </c>
      <c r="F1343" t="str" cm="1">
        <f t="array" ref="F1343">IF(A1343=MAX(IF(ROUND($B$2:$B$3722,4)=ROUND(B1343,4),$A$2:$A$3722)),"Efficient","Inefficient")</f>
        <v>Efficient</v>
      </c>
    </row>
    <row r="1344" spans="1:6" x14ac:dyDescent="0.25">
      <c r="A1344" cm="1">
        <f t="array" ref="A1344">INDEX('Portfolio Weights Returns'!$B$9:$BJ$69,
INT((ROW(A1343)-1)/COLUMNS('Portfolio Weights Returns'!$B$9:$BJ$69))+1,MOD(ROW(A1343)-1,COLUMNS('Portfolio Weights Returns'!$B$9:$BJ$69))+1)</f>
        <v>-1.0503427320213772E-3</v>
      </c>
      <c r="B1344">
        <v>1.8800000000000001E-2</v>
      </c>
      <c r="C1344" s="59">
        <v>-0.01</v>
      </c>
      <c r="D1344" s="59">
        <v>0.05</v>
      </c>
      <c r="E1344" s="60">
        <f t="shared" si="20"/>
        <v>0.96</v>
      </c>
      <c r="F1344" t="str" cm="1">
        <f t="array" ref="F1344">IF(A1344=MAX(IF(ROUND($B$2:$B$3722,4)=ROUND(B1344,4),$A$2:$A$3722)),"Efficient","Inefficient")</f>
        <v>Inefficient</v>
      </c>
    </row>
    <row r="1345" spans="1:6" x14ac:dyDescent="0.25">
      <c r="A1345" cm="1">
        <f t="array" ref="A1345">INDEX('Portfolio Weights Returns'!$B$9:$BJ$69,
INT((ROW(A1344)-1)/COLUMNS('Portfolio Weights Returns'!$B$9:$BJ$69))+1,MOD(ROW(A1344)-1,COLUMNS('Portfolio Weights Returns'!$B$9:$BJ$69))+1)</f>
        <v>-1.0435615580546981E-3</v>
      </c>
      <c r="B1345">
        <v>1.8800000000000001E-2</v>
      </c>
      <c r="C1345" s="59">
        <v>-0.02</v>
      </c>
      <c r="D1345" s="59">
        <v>0.06</v>
      </c>
      <c r="E1345" s="60">
        <f t="shared" si="20"/>
        <v>0.96</v>
      </c>
      <c r="F1345" t="str" cm="1">
        <f t="array" ref="F1345">IF(A1345=MAX(IF(ROUND($B$2:$B$3722,4)=ROUND(B1345,4),$A$2:$A$3722)),"Efficient","Inefficient")</f>
        <v>Inefficient</v>
      </c>
    </row>
    <row r="1346" spans="1:6" x14ac:dyDescent="0.25">
      <c r="A1346" cm="1">
        <f t="array" ref="A1346">INDEX('Portfolio Weights Returns'!$B$9:$BJ$69,
INT((ROW(A1345)-1)/COLUMNS('Portfolio Weights Returns'!$B$9:$BJ$69))+1,MOD(ROW(A1345)-1,COLUMNS('Portfolio Weights Returns'!$B$9:$BJ$69))+1)</f>
        <v>-1.0367803840880189E-3</v>
      </c>
      <c r="B1346">
        <v>1.8800000000000001E-2</v>
      </c>
      <c r="C1346" s="59">
        <v>-0.02</v>
      </c>
      <c r="D1346" s="59">
        <v>7.0000000000000007E-2</v>
      </c>
      <c r="E1346" s="60">
        <f t="shared" ref="E1346:E1409" si="21">1-D1346-C1346</f>
        <v>0.95</v>
      </c>
      <c r="F1346" t="str" cm="1">
        <f t="array" ref="F1346">IF(A1346=MAX(IF(ROUND($B$2:$B$3722,4)=ROUND(B1346,4),$A$2:$A$3722)),"Efficient","Inefficient")</f>
        <v>Inefficient</v>
      </c>
    </row>
    <row r="1347" spans="1:6" x14ac:dyDescent="0.25">
      <c r="A1347" cm="1">
        <f t="array" ref="A1347">INDEX('Portfolio Weights Returns'!$B$9:$BJ$69,
INT((ROW(A1346)-1)/COLUMNS('Portfolio Weights Returns'!$B$9:$BJ$69))+1,MOD(ROW(A1346)-1,COLUMNS('Portfolio Weights Returns'!$B$9:$BJ$69))+1)</f>
        <v>-1.0299992101213398E-3</v>
      </c>
      <c r="B1347">
        <v>1.8800000000000001E-2</v>
      </c>
      <c r="C1347" s="59">
        <v>-0.03</v>
      </c>
      <c r="D1347" s="59">
        <v>0.08</v>
      </c>
      <c r="E1347" s="60">
        <f t="shared" si="21"/>
        <v>0.95000000000000007</v>
      </c>
      <c r="F1347" t="str" cm="1">
        <f t="array" ref="F1347">IF(A1347=MAX(IF(ROUND($B$2:$B$3722,4)=ROUND(B1347,4),$A$2:$A$3722)),"Efficient","Inefficient")</f>
        <v>Inefficient</v>
      </c>
    </row>
    <row r="1348" spans="1:6" x14ac:dyDescent="0.25">
      <c r="A1348" cm="1">
        <f t="array" ref="A1348">INDEX('Portfolio Weights Returns'!$B$9:$BJ$69,
INT((ROW(A1347)-1)/COLUMNS('Portfolio Weights Returns'!$B$9:$BJ$69))+1,MOD(ROW(A1347)-1,COLUMNS('Portfolio Weights Returns'!$B$9:$BJ$69))+1)</f>
        <v>-1.0232180361546609E-3</v>
      </c>
      <c r="B1348">
        <v>1.8800000000000001E-2</v>
      </c>
      <c r="C1348" s="59">
        <v>-0.03</v>
      </c>
      <c r="D1348" s="59">
        <v>0.09</v>
      </c>
      <c r="E1348" s="60">
        <f t="shared" si="21"/>
        <v>0.94000000000000006</v>
      </c>
      <c r="F1348" t="str" cm="1">
        <f t="array" ref="F1348">IF(A1348=MAX(IF(ROUND($B$2:$B$3722,4)=ROUND(B1348,4),$A$2:$A$3722)),"Efficient","Inefficient")</f>
        <v>Inefficient</v>
      </c>
    </row>
    <row r="1349" spans="1:6" x14ac:dyDescent="0.25">
      <c r="A1349" cm="1">
        <f t="array" ref="A1349">INDEX('Portfolio Weights Returns'!$B$9:$BJ$69,
INT((ROW(A1348)-1)/COLUMNS('Portfolio Weights Returns'!$B$9:$BJ$69))+1,MOD(ROW(A1348)-1,COLUMNS('Portfolio Weights Returns'!$B$9:$BJ$69))+1)</f>
        <v>-1.0164368621879817E-3</v>
      </c>
      <c r="B1349">
        <v>1.8800000000000001E-2</v>
      </c>
      <c r="C1349" s="59">
        <v>-0.04</v>
      </c>
      <c r="D1349" s="59">
        <v>0.11</v>
      </c>
      <c r="E1349" s="60">
        <f t="shared" si="21"/>
        <v>0.93</v>
      </c>
      <c r="F1349" t="str" cm="1">
        <f t="array" ref="F1349">IF(A1349=MAX(IF(ROUND($B$2:$B$3722,4)=ROUND(B1349,4),$A$2:$A$3722)),"Efficient","Inefficient")</f>
        <v>Inefficient</v>
      </c>
    </row>
    <row r="1350" spans="1:6" x14ac:dyDescent="0.25">
      <c r="A1350" cm="1">
        <f t="array" ref="A1350">INDEX('Portfolio Weights Returns'!$B$9:$BJ$69,
INT((ROW(A1349)-1)/COLUMNS('Portfolio Weights Returns'!$B$9:$BJ$69))+1,MOD(ROW(A1349)-1,COLUMNS('Portfolio Weights Returns'!$B$9:$BJ$69))+1)</f>
        <v>-1.0096556882213026E-3</v>
      </c>
      <c r="B1350">
        <v>1.8800000000000001E-2</v>
      </c>
      <c r="C1350" s="59">
        <v>-0.04</v>
      </c>
      <c r="D1350" s="59">
        <v>0.12</v>
      </c>
      <c r="E1350" s="60">
        <f t="shared" si="21"/>
        <v>0.92</v>
      </c>
      <c r="F1350" t="str" cm="1">
        <f t="array" ref="F1350">IF(A1350=MAX(IF(ROUND($B$2:$B$3722,4)=ROUND(B1350,4),$A$2:$A$3722)),"Efficient","Inefficient")</f>
        <v>Inefficient</v>
      </c>
    </row>
    <row r="1351" spans="1:6" x14ac:dyDescent="0.25">
      <c r="A1351" cm="1">
        <f t="array" ref="A1351">INDEX('Portfolio Weights Returns'!$B$9:$BJ$69,
INT((ROW(A1350)-1)/COLUMNS('Portfolio Weights Returns'!$B$9:$BJ$69))+1,MOD(ROW(A1350)-1,COLUMNS('Portfolio Weights Returns'!$B$9:$BJ$69))+1)</f>
        <v>-1.0028745142546232E-3</v>
      </c>
      <c r="B1351">
        <v>1.8800000000000001E-2</v>
      </c>
      <c r="C1351" s="59">
        <v>-0.04</v>
      </c>
      <c r="D1351" s="59">
        <v>0.13</v>
      </c>
      <c r="E1351" s="60">
        <f t="shared" si="21"/>
        <v>0.91</v>
      </c>
      <c r="F1351" t="str" cm="1">
        <f t="array" ref="F1351">IF(A1351=MAX(IF(ROUND($B$2:$B$3722,4)=ROUND(B1351,4),$A$2:$A$3722)),"Efficient","Inefficient")</f>
        <v>Inefficient</v>
      </c>
    </row>
    <row r="1352" spans="1:6" x14ac:dyDescent="0.25">
      <c r="A1352" cm="1">
        <f t="array" ref="A1352">INDEX('Portfolio Weights Returns'!$B$9:$BJ$69,
INT((ROW(A1351)-1)/COLUMNS('Portfolio Weights Returns'!$B$9:$BJ$69))+1,MOD(ROW(A1351)-1,COLUMNS('Portfolio Weights Returns'!$B$9:$BJ$69))+1)</f>
        <v>-9.9609334028794429E-4</v>
      </c>
      <c r="B1352">
        <v>1.8800000000000001E-2</v>
      </c>
      <c r="C1352" s="59">
        <v>-0.05</v>
      </c>
      <c r="D1352" s="59">
        <v>0.16</v>
      </c>
      <c r="E1352" s="60">
        <f t="shared" si="21"/>
        <v>0.89</v>
      </c>
      <c r="F1352" t="str" cm="1">
        <f t="array" ref="F1352">IF(A1352=MAX(IF(ROUND($B$2:$B$3722,4)=ROUND(B1352,4),$A$2:$A$3722)),"Efficient","Inefficient")</f>
        <v>Inefficient</v>
      </c>
    </row>
    <row r="1353" spans="1:6" x14ac:dyDescent="0.25">
      <c r="A1353" cm="1">
        <f t="array" ref="A1353">INDEX('Portfolio Weights Returns'!$B$9:$BJ$69,
INT((ROW(A1352)-1)/COLUMNS('Portfolio Weights Returns'!$B$9:$BJ$69))+1,MOD(ROW(A1352)-1,COLUMNS('Portfolio Weights Returns'!$B$9:$BJ$69))+1)</f>
        <v>-9.8931216632126514E-4</v>
      </c>
      <c r="B1353">
        <v>1.8800000000000001E-2</v>
      </c>
      <c r="C1353" s="59">
        <v>-0.05</v>
      </c>
      <c r="D1353" s="59">
        <v>0.17</v>
      </c>
      <c r="E1353" s="60">
        <f t="shared" si="21"/>
        <v>0.88</v>
      </c>
      <c r="F1353" t="str" cm="1">
        <f t="array" ref="F1353">IF(A1353=MAX(IF(ROUND($B$2:$B$3722,4)=ROUND(B1353,4),$A$2:$A$3722)),"Efficient","Inefficient")</f>
        <v>Inefficient</v>
      </c>
    </row>
    <row r="1354" spans="1:6" x14ac:dyDescent="0.25">
      <c r="A1354" cm="1">
        <f t="array" ref="A1354">INDEX('Portfolio Weights Returns'!$B$9:$BJ$69,
INT((ROW(A1353)-1)/COLUMNS('Portfolio Weights Returns'!$B$9:$BJ$69))+1,MOD(ROW(A1353)-1,COLUMNS('Portfolio Weights Returns'!$B$9:$BJ$69))+1)</f>
        <v>-9.82530992354586E-4</v>
      </c>
      <c r="B1354">
        <v>1.8800000000000001E-2</v>
      </c>
      <c r="C1354" s="59">
        <v>-0.04</v>
      </c>
      <c r="D1354" s="59">
        <v>0.2</v>
      </c>
      <c r="E1354" s="60">
        <f t="shared" si="21"/>
        <v>0.84000000000000008</v>
      </c>
      <c r="F1354" t="str" cm="1">
        <f t="array" ref="F1354">IF(A1354=MAX(IF(ROUND($B$2:$B$3722,4)=ROUND(B1354,4),$A$2:$A$3722)),"Efficient","Inefficient")</f>
        <v>Inefficient</v>
      </c>
    </row>
    <row r="1355" spans="1:6" x14ac:dyDescent="0.25">
      <c r="A1355" cm="1">
        <f t="array" ref="A1355">INDEX('Portfolio Weights Returns'!$B$9:$BJ$69,
INT((ROW(A1354)-1)/COLUMNS('Portfolio Weights Returns'!$B$9:$BJ$69))+1,MOD(ROW(A1354)-1,COLUMNS('Portfolio Weights Returns'!$B$9:$BJ$69))+1)</f>
        <v>-9.7574981838790685E-4</v>
      </c>
      <c r="B1355">
        <v>1.8800000000000001E-2</v>
      </c>
      <c r="C1355" s="59">
        <v>-0.04</v>
      </c>
      <c r="D1355" s="59">
        <v>0.21</v>
      </c>
      <c r="E1355" s="60">
        <f t="shared" si="21"/>
        <v>0.83000000000000007</v>
      </c>
      <c r="F1355" t="str" cm="1">
        <f t="array" ref="F1355">IF(A1355=MAX(IF(ROUND($B$2:$B$3722,4)=ROUND(B1355,4),$A$2:$A$3722)),"Efficient","Inefficient")</f>
        <v>Inefficient</v>
      </c>
    </row>
    <row r="1356" spans="1:6" x14ac:dyDescent="0.25">
      <c r="A1356" cm="1">
        <f t="array" ref="A1356">INDEX('Portfolio Weights Returns'!$B$9:$BJ$69,
INT((ROW(A1355)-1)/COLUMNS('Portfolio Weights Returns'!$B$9:$BJ$69))+1,MOD(ROW(A1355)-1,COLUMNS('Portfolio Weights Returns'!$B$9:$BJ$69))+1)</f>
        <v>-9.6896864442122782E-4</v>
      </c>
      <c r="B1356">
        <v>1.8800000000000001E-2</v>
      </c>
      <c r="C1356" s="59">
        <v>-0.04</v>
      </c>
      <c r="D1356" s="59">
        <v>0.22</v>
      </c>
      <c r="E1356" s="60">
        <f t="shared" si="21"/>
        <v>0.82000000000000006</v>
      </c>
      <c r="F1356" t="str" cm="1">
        <f t="array" ref="F1356">IF(A1356=MAX(IF(ROUND($B$2:$B$3722,4)=ROUND(B1356,4),$A$2:$A$3722)),"Efficient","Inefficient")</f>
        <v>Inefficient</v>
      </c>
    </row>
    <row r="1357" spans="1:6" x14ac:dyDescent="0.25">
      <c r="A1357" cm="1">
        <f t="array" ref="A1357">INDEX('Portfolio Weights Returns'!$B$9:$BJ$69,
INT((ROW(A1356)-1)/COLUMNS('Portfolio Weights Returns'!$B$9:$BJ$69))+1,MOD(ROW(A1356)-1,COLUMNS('Portfolio Weights Returns'!$B$9:$BJ$69))+1)</f>
        <v>-9.6218747045454867E-4</v>
      </c>
      <c r="B1357">
        <v>1.8800000000000001E-2</v>
      </c>
      <c r="C1357" s="59">
        <v>-0.03</v>
      </c>
      <c r="D1357" s="59">
        <v>0.23</v>
      </c>
      <c r="E1357" s="60">
        <f t="shared" si="21"/>
        <v>0.8</v>
      </c>
      <c r="F1357" t="str" cm="1">
        <f t="array" ref="F1357">IF(A1357=MAX(IF(ROUND($B$2:$B$3722,4)=ROUND(B1357,4),$A$2:$A$3722)),"Efficient","Inefficient")</f>
        <v>Inefficient</v>
      </c>
    </row>
    <row r="1358" spans="1:6" x14ac:dyDescent="0.25">
      <c r="A1358" cm="1">
        <f t="array" ref="A1358">INDEX('Portfolio Weights Returns'!$B$9:$BJ$69,
INT((ROW(A1357)-1)/COLUMNS('Portfolio Weights Returns'!$B$9:$BJ$69))+1,MOD(ROW(A1357)-1,COLUMNS('Portfolio Weights Returns'!$B$9:$BJ$69))+1)</f>
        <v>-9.5540629648786964E-4</v>
      </c>
      <c r="B1358">
        <v>1.8800000000000001E-2</v>
      </c>
      <c r="C1358" s="59">
        <v>-0.03</v>
      </c>
      <c r="D1358" s="59">
        <v>0.24</v>
      </c>
      <c r="E1358" s="60">
        <f t="shared" si="21"/>
        <v>0.79</v>
      </c>
      <c r="F1358" t="str" cm="1">
        <f t="array" ref="F1358">IF(A1358=MAX(IF(ROUND($B$2:$B$3722,4)=ROUND(B1358,4),$A$2:$A$3722)),"Efficient","Inefficient")</f>
        <v>Inefficient</v>
      </c>
    </row>
    <row r="1359" spans="1:6" x14ac:dyDescent="0.25">
      <c r="A1359" cm="1">
        <f t="array" ref="A1359">INDEX('Portfolio Weights Returns'!$B$9:$BJ$69,
INT((ROW(A1358)-1)/COLUMNS('Portfolio Weights Returns'!$B$9:$BJ$69))+1,MOD(ROW(A1358)-1,COLUMNS('Portfolio Weights Returns'!$B$9:$BJ$69))+1)</f>
        <v>-9.4862512252119049E-4</v>
      </c>
      <c r="B1359">
        <v>1.8800000000000001E-2</v>
      </c>
      <c r="C1359" s="59">
        <v>-0.02</v>
      </c>
      <c r="D1359" s="59">
        <v>0.25</v>
      </c>
      <c r="E1359" s="60">
        <f t="shared" si="21"/>
        <v>0.77</v>
      </c>
      <c r="F1359" t="str" cm="1">
        <f t="array" ref="F1359">IF(A1359=MAX(IF(ROUND($B$2:$B$3722,4)=ROUND(B1359,4),$A$2:$A$3722)),"Efficient","Inefficient")</f>
        <v>Inefficient</v>
      </c>
    </row>
    <row r="1360" spans="1:6" x14ac:dyDescent="0.25">
      <c r="A1360" cm="1">
        <f t="array" ref="A1360">INDEX('Portfolio Weights Returns'!$B$9:$BJ$69,
INT((ROW(A1359)-1)/COLUMNS('Portfolio Weights Returns'!$B$9:$BJ$69))+1,MOD(ROW(A1359)-1,COLUMNS('Portfolio Weights Returns'!$B$9:$BJ$69))+1)</f>
        <v>-9.4184394855451156E-4</v>
      </c>
      <c r="B1360">
        <v>1.8800000000000001E-2</v>
      </c>
      <c r="C1360" s="59">
        <v>-0.01</v>
      </c>
      <c r="D1360" s="59">
        <v>0.26</v>
      </c>
      <c r="E1360" s="60">
        <f t="shared" si="21"/>
        <v>0.75</v>
      </c>
      <c r="F1360" t="str" cm="1">
        <f t="array" ref="F1360">IF(A1360=MAX(IF(ROUND($B$2:$B$3722,4)=ROUND(B1360,4),$A$2:$A$3722)),"Efficient","Inefficient")</f>
        <v>Inefficient</v>
      </c>
    </row>
    <row r="1361" spans="1:6" x14ac:dyDescent="0.25">
      <c r="A1361" cm="1">
        <f t="array" ref="A1361">INDEX('Portfolio Weights Returns'!$B$9:$BJ$69,
INT((ROW(A1360)-1)/COLUMNS('Portfolio Weights Returns'!$B$9:$BJ$69))+1,MOD(ROW(A1360)-1,COLUMNS('Portfolio Weights Returns'!$B$9:$BJ$69))+1)</f>
        <v>-9.350627745878322E-4</v>
      </c>
      <c r="B1361">
        <v>1.8800000000000001E-2</v>
      </c>
      <c r="C1361" s="59">
        <v>0</v>
      </c>
      <c r="D1361" s="59">
        <v>0.27</v>
      </c>
      <c r="E1361" s="60">
        <f t="shared" si="21"/>
        <v>0.73</v>
      </c>
      <c r="F1361" t="str" cm="1">
        <f t="array" ref="F1361">IF(A1361=MAX(IF(ROUND($B$2:$B$3722,4)=ROUND(B1361,4),$A$2:$A$3722)),"Efficient","Inefficient")</f>
        <v>Inefficient</v>
      </c>
    </row>
    <row r="1362" spans="1:6" x14ac:dyDescent="0.25">
      <c r="A1362" cm="1">
        <f t="array" ref="A1362">INDEX('Portfolio Weights Returns'!$B$9:$BJ$69,
INT((ROW(A1361)-1)/COLUMNS('Portfolio Weights Returns'!$B$9:$BJ$69))+1,MOD(ROW(A1361)-1,COLUMNS('Portfolio Weights Returns'!$B$9:$BJ$69))+1)</f>
        <v>-9.2828160062115338E-4</v>
      </c>
      <c r="B1362">
        <v>1.8800000000000001E-2</v>
      </c>
      <c r="C1362" s="59">
        <v>0.01</v>
      </c>
      <c r="D1362" s="59">
        <v>0.28000000000000003</v>
      </c>
      <c r="E1362" s="60">
        <f t="shared" si="21"/>
        <v>0.71</v>
      </c>
      <c r="F1362" t="str" cm="1">
        <f t="array" ref="F1362">IF(A1362=MAX(IF(ROUND($B$2:$B$3722,4)=ROUND(B1362,4),$A$2:$A$3722)),"Efficient","Inefficient")</f>
        <v>Inefficient</v>
      </c>
    </row>
    <row r="1363" spans="1:6" x14ac:dyDescent="0.25">
      <c r="A1363" cm="1">
        <f t="array" ref="A1363">INDEX('Portfolio Weights Returns'!$B$9:$BJ$69,
INT((ROW(A1362)-1)/COLUMNS('Portfolio Weights Returns'!$B$9:$BJ$69))+1,MOD(ROW(A1362)-1,COLUMNS('Portfolio Weights Returns'!$B$9:$BJ$69))+1)</f>
        <v>-9.2150042665447424E-4</v>
      </c>
      <c r="B1363">
        <v>1.8800000000000001E-2</v>
      </c>
      <c r="C1363" s="59">
        <v>0.02</v>
      </c>
      <c r="D1363" s="59">
        <v>0.28999999999999998</v>
      </c>
      <c r="E1363" s="60">
        <f t="shared" si="21"/>
        <v>0.69</v>
      </c>
      <c r="F1363" t="str" cm="1">
        <f t="array" ref="F1363">IF(A1363=MAX(IF(ROUND($B$2:$B$3722,4)=ROUND(B1363,4),$A$2:$A$3722)),"Efficient","Inefficient")</f>
        <v>Inefficient</v>
      </c>
    </row>
    <row r="1364" spans="1:6" x14ac:dyDescent="0.25">
      <c r="A1364" cm="1">
        <f t="array" ref="A1364">INDEX('Portfolio Weights Returns'!$B$9:$BJ$69,
INT((ROW(A1363)-1)/COLUMNS('Portfolio Weights Returns'!$B$9:$BJ$69))+1,MOD(ROW(A1363)-1,COLUMNS('Portfolio Weights Returns'!$B$9:$BJ$69))+1)</f>
        <v>-9.147192526877952E-4</v>
      </c>
      <c r="B1364">
        <v>1.8800000000000001E-2</v>
      </c>
      <c r="C1364" s="59">
        <v>0.03</v>
      </c>
      <c r="D1364" s="59">
        <v>0.3</v>
      </c>
      <c r="E1364" s="60">
        <f t="shared" si="21"/>
        <v>0.66999999999999993</v>
      </c>
      <c r="F1364" t="str" cm="1">
        <f t="array" ref="F1364">IF(A1364=MAX(IF(ROUND($B$2:$B$3722,4)=ROUND(B1364,4),$A$2:$A$3722)),"Efficient","Inefficient")</f>
        <v>Inefficient</v>
      </c>
    </row>
    <row r="1365" spans="1:6" x14ac:dyDescent="0.25">
      <c r="A1365" cm="1">
        <f t="array" ref="A1365">INDEX('Portfolio Weights Returns'!$B$9:$BJ$69,
INT((ROW(A1364)-1)/COLUMNS('Portfolio Weights Returns'!$B$9:$BJ$69))+1,MOD(ROW(A1364)-1,COLUMNS('Portfolio Weights Returns'!$B$9:$BJ$69))+1)</f>
        <v>-9.0793807872111595E-4</v>
      </c>
      <c r="B1365">
        <v>1.89E-2</v>
      </c>
      <c r="C1365" s="59">
        <v>0.3</v>
      </c>
      <c r="D1365" s="59">
        <v>-0.22</v>
      </c>
      <c r="E1365" s="60">
        <f t="shared" si="21"/>
        <v>0.91999999999999993</v>
      </c>
      <c r="F1365" t="str" cm="1">
        <f t="array" ref="F1365">IF(A1365=MAX(IF(ROUND($B$2:$B$3722,4)=ROUND(B1365,4),$A$2:$A$3722)),"Efficient","Inefficient")</f>
        <v>Inefficient</v>
      </c>
    </row>
    <row r="1366" spans="1:6" x14ac:dyDescent="0.25">
      <c r="A1366" cm="1">
        <f t="array" ref="A1366">INDEX('Portfolio Weights Returns'!$B$9:$BJ$69,
INT((ROW(A1365)-1)/COLUMNS('Portfolio Weights Returns'!$B$9:$BJ$69))+1,MOD(ROW(A1365)-1,COLUMNS('Portfolio Weights Returns'!$B$9:$BJ$69))+1)</f>
        <v>-9.0115690475443681E-4</v>
      </c>
      <c r="B1366">
        <v>1.89E-2</v>
      </c>
      <c r="C1366" s="59">
        <v>0.27</v>
      </c>
      <c r="D1366" s="59">
        <v>-0.2</v>
      </c>
      <c r="E1366" s="60">
        <f t="shared" si="21"/>
        <v>0.92999999999999994</v>
      </c>
      <c r="F1366" t="str" cm="1">
        <f t="array" ref="F1366">IF(A1366=MAX(IF(ROUND($B$2:$B$3722,4)=ROUND(B1366,4),$A$2:$A$3722)),"Efficient","Inefficient")</f>
        <v>Inefficient</v>
      </c>
    </row>
    <row r="1367" spans="1:6" x14ac:dyDescent="0.25">
      <c r="A1367" cm="1">
        <f t="array" ref="A1367">INDEX('Portfolio Weights Returns'!$B$9:$BJ$69,
INT((ROW(A1366)-1)/COLUMNS('Portfolio Weights Returns'!$B$9:$BJ$69))+1,MOD(ROW(A1366)-1,COLUMNS('Portfolio Weights Returns'!$B$9:$BJ$69))+1)</f>
        <v>-8.9437573078775777E-4</v>
      </c>
      <c r="B1367">
        <v>1.89E-2</v>
      </c>
      <c r="C1367" s="59">
        <v>0.25</v>
      </c>
      <c r="D1367" s="59">
        <v>-0.19</v>
      </c>
      <c r="E1367" s="60">
        <f t="shared" si="21"/>
        <v>0.94</v>
      </c>
      <c r="F1367" t="str" cm="1">
        <f t="array" ref="F1367">IF(A1367=MAX(IF(ROUND($B$2:$B$3722,4)=ROUND(B1367,4),$A$2:$A$3722)),"Efficient","Inefficient")</f>
        <v>Inefficient</v>
      </c>
    </row>
    <row r="1368" spans="1:6" x14ac:dyDescent="0.25">
      <c r="A1368" cm="1">
        <f t="array" ref="A1368">INDEX('Portfolio Weights Returns'!$B$9:$BJ$69,
INT((ROW(A1367)-1)/COLUMNS('Portfolio Weights Returns'!$B$9:$BJ$69))+1,MOD(ROW(A1367)-1,COLUMNS('Portfolio Weights Returns'!$B$9:$BJ$69))+1)</f>
        <v>-8.8759455682107863E-4</v>
      </c>
      <c r="B1368">
        <v>1.89E-2</v>
      </c>
      <c r="C1368" s="59">
        <v>0.23</v>
      </c>
      <c r="D1368" s="59">
        <v>-0.18</v>
      </c>
      <c r="E1368" s="60">
        <f t="shared" si="21"/>
        <v>0.95</v>
      </c>
      <c r="F1368" t="str" cm="1">
        <f t="array" ref="F1368">IF(A1368=MAX(IF(ROUND($B$2:$B$3722,4)=ROUND(B1368,4),$A$2:$A$3722)),"Efficient","Inefficient")</f>
        <v>Inefficient</v>
      </c>
    </row>
    <row r="1369" spans="1:6" x14ac:dyDescent="0.25">
      <c r="A1369" cm="1">
        <f t="array" ref="A1369">INDEX('Portfolio Weights Returns'!$B$9:$BJ$69,
INT((ROW(A1368)-1)/COLUMNS('Portfolio Weights Returns'!$B$9:$BJ$69))+1,MOD(ROW(A1368)-1,COLUMNS('Portfolio Weights Returns'!$B$9:$BJ$69))+1)</f>
        <v>-8.8081338285439959E-4</v>
      </c>
      <c r="B1369">
        <v>1.89E-2</v>
      </c>
      <c r="C1369" s="59">
        <v>0.22</v>
      </c>
      <c r="D1369" s="59">
        <v>-0.17</v>
      </c>
      <c r="E1369" s="60">
        <f t="shared" si="21"/>
        <v>0.95</v>
      </c>
      <c r="F1369" t="str" cm="1">
        <f t="array" ref="F1369">IF(A1369=MAX(IF(ROUND($B$2:$B$3722,4)=ROUND(B1369,4),$A$2:$A$3722)),"Efficient","Inefficient")</f>
        <v>Inefficient</v>
      </c>
    </row>
    <row r="1370" spans="1:6" x14ac:dyDescent="0.25">
      <c r="A1370" cm="1">
        <f t="array" ref="A1370">INDEX('Portfolio Weights Returns'!$B$9:$BJ$69,
INT((ROW(A1369)-1)/COLUMNS('Portfolio Weights Returns'!$B$9:$BJ$69))+1,MOD(ROW(A1369)-1,COLUMNS('Portfolio Weights Returns'!$B$9:$BJ$69))+1)</f>
        <v>-8.7403220888772044E-4</v>
      </c>
      <c r="B1370">
        <v>1.89E-2</v>
      </c>
      <c r="C1370" s="59">
        <v>0.2</v>
      </c>
      <c r="D1370" s="59">
        <v>-0.16</v>
      </c>
      <c r="E1370" s="60">
        <f t="shared" si="21"/>
        <v>0.96</v>
      </c>
      <c r="F1370" t="str" cm="1">
        <f t="array" ref="F1370">IF(A1370=MAX(IF(ROUND($B$2:$B$3722,4)=ROUND(B1370,4),$A$2:$A$3722)),"Efficient","Inefficient")</f>
        <v>Inefficient</v>
      </c>
    </row>
    <row r="1371" spans="1:6" x14ac:dyDescent="0.25">
      <c r="A1371" cm="1">
        <f t="array" ref="A1371">INDEX('Portfolio Weights Returns'!$B$9:$BJ$69,
INT((ROW(A1370)-1)/COLUMNS('Portfolio Weights Returns'!$B$9:$BJ$69))+1,MOD(ROW(A1370)-1,COLUMNS('Portfolio Weights Returns'!$B$9:$BJ$69))+1)</f>
        <v>-8.6725103492104141E-4</v>
      </c>
      <c r="B1371">
        <v>1.89E-2</v>
      </c>
      <c r="C1371" s="59">
        <v>0.17</v>
      </c>
      <c r="D1371" s="59">
        <v>-0.14000000000000001</v>
      </c>
      <c r="E1371" s="60">
        <f t="shared" si="21"/>
        <v>0.97000000000000008</v>
      </c>
      <c r="F1371" t="str" cm="1">
        <f t="array" ref="F1371">IF(A1371=MAX(IF(ROUND($B$2:$B$3722,4)=ROUND(B1371,4),$A$2:$A$3722)),"Efficient","Inefficient")</f>
        <v>Inefficient</v>
      </c>
    </row>
    <row r="1372" spans="1:6" x14ac:dyDescent="0.25">
      <c r="A1372" cm="1">
        <f t="array" ref="A1372">INDEX('Portfolio Weights Returns'!$B$9:$BJ$69,
INT((ROW(A1371)-1)/COLUMNS('Portfolio Weights Returns'!$B$9:$BJ$69))+1,MOD(ROW(A1371)-1,COLUMNS('Portfolio Weights Returns'!$B$9:$BJ$69))+1)</f>
        <v>-8.6046986095436216E-4</v>
      </c>
      <c r="B1372">
        <v>1.89E-2</v>
      </c>
      <c r="C1372" s="59">
        <v>0.16</v>
      </c>
      <c r="D1372" s="59">
        <v>-0.13</v>
      </c>
      <c r="E1372" s="60">
        <f t="shared" si="21"/>
        <v>0.96999999999999986</v>
      </c>
      <c r="F1372" t="str" cm="1">
        <f t="array" ref="F1372">IF(A1372=MAX(IF(ROUND($B$2:$B$3722,4)=ROUND(B1372,4),$A$2:$A$3722)),"Efficient","Inefficient")</f>
        <v>Inefficient</v>
      </c>
    </row>
    <row r="1373" spans="1:6" x14ac:dyDescent="0.25">
      <c r="A1373" cm="1">
        <f t="array" ref="A1373">INDEX('Portfolio Weights Returns'!$B$9:$BJ$69,
INT((ROW(A1372)-1)/COLUMNS('Portfolio Weights Returns'!$B$9:$BJ$69))+1,MOD(ROW(A1372)-1,COLUMNS('Portfolio Weights Returns'!$B$9:$BJ$69))+1)</f>
        <v>-8.5368868698768312E-4</v>
      </c>
      <c r="B1373">
        <v>1.89E-2</v>
      </c>
      <c r="C1373" s="59">
        <v>0.14000000000000001</v>
      </c>
      <c r="D1373" s="59">
        <v>-0.12</v>
      </c>
      <c r="E1373" s="60">
        <f t="shared" si="21"/>
        <v>0.98000000000000009</v>
      </c>
      <c r="F1373" t="str" cm="1">
        <f t="array" ref="F1373">IF(A1373=MAX(IF(ROUND($B$2:$B$3722,4)=ROUND(B1373,4),$A$2:$A$3722)),"Efficient","Inefficient")</f>
        <v>Inefficient</v>
      </c>
    </row>
    <row r="1374" spans="1:6" x14ac:dyDescent="0.25">
      <c r="A1374" cm="1">
        <f t="array" ref="A1374">INDEX('Portfolio Weights Returns'!$B$9:$BJ$69,
INT((ROW(A1373)-1)/COLUMNS('Portfolio Weights Returns'!$B$9:$BJ$69))+1,MOD(ROW(A1373)-1,COLUMNS('Portfolio Weights Returns'!$B$9:$BJ$69))+1)</f>
        <v>-8.4690751302100398E-4</v>
      </c>
      <c r="B1374">
        <v>1.89E-2</v>
      </c>
      <c r="C1374" s="59">
        <v>0.13</v>
      </c>
      <c r="D1374" s="59">
        <v>-0.11</v>
      </c>
      <c r="E1374" s="60">
        <f t="shared" si="21"/>
        <v>0.98000000000000009</v>
      </c>
      <c r="F1374" t="str" cm="1">
        <f t="array" ref="F1374">IF(A1374=MAX(IF(ROUND($B$2:$B$3722,4)=ROUND(B1374,4),$A$2:$A$3722)),"Efficient","Inefficient")</f>
        <v>Inefficient</v>
      </c>
    </row>
    <row r="1375" spans="1:6" x14ac:dyDescent="0.25">
      <c r="A1375" cm="1">
        <f t="array" ref="A1375">INDEX('Portfolio Weights Returns'!$B$9:$BJ$69,
INT((ROW(A1374)-1)/COLUMNS('Portfolio Weights Returns'!$B$9:$BJ$69))+1,MOD(ROW(A1374)-1,COLUMNS('Portfolio Weights Returns'!$B$9:$BJ$69))+1)</f>
        <v>-8.4012633905432483E-4</v>
      </c>
      <c r="B1375">
        <v>1.89E-2</v>
      </c>
      <c r="C1375" s="59">
        <v>0.12</v>
      </c>
      <c r="D1375" s="59">
        <v>-0.1</v>
      </c>
      <c r="E1375" s="60">
        <f t="shared" si="21"/>
        <v>0.98000000000000009</v>
      </c>
      <c r="F1375" t="str" cm="1">
        <f t="array" ref="F1375">IF(A1375=MAX(IF(ROUND($B$2:$B$3722,4)=ROUND(B1375,4),$A$2:$A$3722)),"Efficient","Inefficient")</f>
        <v>Inefficient</v>
      </c>
    </row>
    <row r="1376" spans="1:6" x14ac:dyDescent="0.25">
      <c r="A1376" cm="1">
        <f t="array" ref="A1376">INDEX('Portfolio Weights Returns'!$B$9:$BJ$69,
INT((ROW(A1375)-1)/COLUMNS('Portfolio Weights Returns'!$B$9:$BJ$69))+1,MOD(ROW(A1375)-1,COLUMNS('Portfolio Weights Returns'!$B$9:$BJ$69))+1)</f>
        <v>-8.3334516508764579E-4</v>
      </c>
      <c r="B1376">
        <v>1.89E-2</v>
      </c>
      <c r="C1376" s="59">
        <v>0.08</v>
      </c>
      <c r="D1376" s="59">
        <v>-7.0000000000000007E-2</v>
      </c>
      <c r="E1376" s="60">
        <f t="shared" si="21"/>
        <v>0.9900000000000001</v>
      </c>
      <c r="F1376" t="str" cm="1">
        <f t="array" ref="F1376">IF(A1376=MAX(IF(ROUND($B$2:$B$3722,4)=ROUND(B1376,4),$A$2:$A$3722)),"Efficient","Inefficient")</f>
        <v>Inefficient</v>
      </c>
    </row>
    <row r="1377" spans="1:6" x14ac:dyDescent="0.25">
      <c r="A1377" cm="1">
        <f t="array" ref="A1377">INDEX('Portfolio Weights Returns'!$B$9:$BJ$69,
INT((ROW(A1376)-1)/COLUMNS('Portfolio Weights Returns'!$B$9:$BJ$69))+1,MOD(ROW(A1376)-1,COLUMNS('Portfolio Weights Returns'!$B$9:$BJ$69))+1)</f>
        <v>-8.2656399112096665E-4</v>
      </c>
      <c r="B1377">
        <v>1.89E-2</v>
      </c>
      <c r="C1377" s="59">
        <v>7.0000000000000007E-2</v>
      </c>
      <c r="D1377" s="59">
        <v>-0.06</v>
      </c>
      <c r="E1377" s="60">
        <f t="shared" si="21"/>
        <v>0.99</v>
      </c>
      <c r="F1377" t="str" cm="1">
        <f t="array" ref="F1377">IF(A1377=MAX(IF(ROUND($B$2:$B$3722,4)=ROUND(B1377,4),$A$2:$A$3722)),"Efficient","Inefficient")</f>
        <v>Inefficient</v>
      </c>
    </row>
    <row r="1378" spans="1:6" x14ac:dyDescent="0.25">
      <c r="A1378" cm="1">
        <f t="array" ref="A1378">INDEX('Portfolio Weights Returns'!$B$9:$BJ$69,
INT((ROW(A1377)-1)/COLUMNS('Portfolio Weights Returns'!$B$9:$BJ$69))+1,MOD(ROW(A1377)-1,COLUMNS('Portfolio Weights Returns'!$B$9:$BJ$69))+1)</f>
        <v>-8.1978281715428761E-4</v>
      </c>
      <c r="B1378">
        <v>1.89E-2</v>
      </c>
      <c r="C1378" s="59">
        <v>0.06</v>
      </c>
      <c r="D1378" s="59">
        <v>-0.05</v>
      </c>
      <c r="E1378" s="60">
        <f t="shared" si="21"/>
        <v>0.99</v>
      </c>
      <c r="F1378" t="str" cm="1">
        <f t="array" ref="F1378">IF(A1378=MAX(IF(ROUND($B$2:$B$3722,4)=ROUND(B1378,4),$A$2:$A$3722)),"Efficient","Inefficient")</f>
        <v>Inefficient</v>
      </c>
    </row>
    <row r="1379" spans="1:6" x14ac:dyDescent="0.25">
      <c r="A1379" cm="1">
        <f t="array" ref="A1379">INDEX('Portfolio Weights Returns'!$B$9:$BJ$69,
INT((ROW(A1378)-1)/COLUMNS('Portfolio Weights Returns'!$B$9:$BJ$69))+1,MOD(ROW(A1378)-1,COLUMNS('Portfolio Weights Returns'!$B$9:$BJ$69))+1)</f>
        <v>-8.1300164318760836E-4</v>
      </c>
      <c r="B1379">
        <v>1.89E-2</v>
      </c>
      <c r="C1379" s="59">
        <v>0.05</v>
      </c>
      <c r="D1379" s="59">
        <v>-0.04</v>
      </c>
      <c r="E1379" s="60">
        <f t="shared" si="21"/>
        <v>0.99</v>
      </c>
      <c r="F1379" t="str" cm="1">
        <f t="array" ref="F1379">IF(A1379=MAX(IF(ROUND($B$2:$B$3722,4)=ROUND(B1379,4),$A$2:$A$3722)),"Efficient","Inefficient")</f>
        <v>Inefficient</v>
      </c>
    </row>
    <row r="1380" spans="1:6" x14ac:dyDescent="0.25">
      <c r="A1380" cm="1">
        <f t="array" ref="A1380">INDEX('Portfolio Weights Returns'!$B$9:$BJ$69,
INT((ROW(A1379)-1)/COLUMNS('Portfolio Weights Returns'!$B$9:$BJ$69))+1,MOD(ROW(A1379)-1,COLUMNS('Portfolio Weights Returns'!$B$9:$BJ$69))+1)</f>
        <v>-8.0622046922092933E-4</v>
      </c>
      <c r="B1380">
        <v>1.89E-2</v>
      </c>
      <c r="C1380" s="59">
        <v>0.04</v>
      </c>
      <c r="D1380" s="59">
        <v>-0.03</v>
      </c>
      <c r="E1380" s="60">
        <f t="shared" si="21"/>
        <v>0.99</v>
      </c>
      <c r="F1380" t="str" cm="1">
        <f t="array" ref="F1380">IF(A1380=MAX(IF(ROUND($B$2:$B$3722,4)=ROUND(B1380,4),$A$2:$A$3722)),"Efficient","Inefficient")</f>
        <v>Inefficient</v>
      </c>
    </row>
    <row r="1381" spans="1:6" x14ac:dyDescent="0.25">
      <c r="A1381" cm="1">
        <f t="array" ref="A1381">INDEX('Portfolio Weights Returns'!$B$9:$BJ$69,
INT((ROW(A1380)-1)/COLUMNS('Portfolio Weights Returns'!$B$9:$BJ$69))+1,MOD(ROW(A1380)-1,COLUMNS('Portfolio Weights Returns'!$B$9:$BJ$69))+1)</f>
        <v>-7.9943929525425018E-4</v>
      </c>
      <c r="B1381">
        <v>1.89E-2</v>
      </c>
      <c r="C1381" s="59">
        <v>0.03</v>
      </c>
      <c r="D1381" s="59">
        <v>-0.02</v>
      </c>
      <c r="E1381" s="60">
        <f t="shared" si="21"/>
        <v>0.99</v>
      </c>
      <c r="F1381" t="str" cm="1">
        <f t="array" ref="F1381">IF(A1381=MAX(IF(ROUND($B$2:$B$3722,4)=ROUND(B1381,4),$A$2:$A$3722)),"Efficient","Inefficient")</f>
        <v>Inefficient</v>
      </c>
    </row>
    <row r="1382" spans="1:6" x14ac:dyDescent="0.25">
      <c r="A1382" cm="1">
        <f t="array" ref="A1382">INDEX('Portfolio Weights Returns'!$B$9:$BJ$69,
INT((ROW(A1381)-1)/COLUMNS('Portfolio Weights Returns'!$B$9:$BJ$69))+1,MOD(ROW(A1381)-1,COLUMNS('Portfolio Weights Returns'!$B$9:$BJ$69))+1)</f>
        <v>-7.9265812128757115E-4</v>
      </c>
      <c r="B1382">
        <v>1.89E-2</v>
      </c>
      <c r="C1382" s="59">
        <v>0.02</v>
      </c>
      <c r="D1382" s="59">
        <v>0</v>
      </c>
      <c r="E1382" s="60">
        <f t="shared" si="21"/>
        <v>0.98</v>
      </c>
      <c r="F1382" t="str" cm="1">
        <f t="array" ref="F1382">IF(A1382=MAX(IF(ROUND($B$2:$B$3722,4)=ROUND(B1382,4),$A$2:$A$3722)),"Efficient","Inefficient")</f>
        <v>Inefficient</v>
      </c>
    </row>
    <row r="1383" spans="1:6" x14ac:dyDescent="0.25">
      <c r="A1383" cm="1">
        <f t="array" ref="A1383">INDEX('Portfolio Weights Returns'!$B$9:$BJ$69,
INT((ROW(A1382)-1)/COLUMNS('Portfolio Weights Returns'!$B$9:$BJ$69))+1,MOD(ROW(A1382)-1,COLUMNS('Portfolio Weights Returns'!$B$9:$BJ$69))+1)</f>
        <v>-7.85876947320892E-4</v>
      </c>
      <c r="B1383">
        <v>1.89E-2</v>
      </c>
      <c r="C1383" s="59">
        <v>0.01</v>
      </c>
      <c r="D1383" s="59">
        <v>0.01</v>
      </c>
      <c r="E1383" s="60">
        <f t="shared" si="21"/>
        <v>0.98</v>
      </c>
      <c r="F1383" t="str" cm="1">
        <f t="array" ref="F1383">IF(A1383=MAX(IF(ROUND($B$2:$B$3722,4)=ROUND(B1383,4),$A$2:$A$3722)),"Efficient","Inefficient")</f>
        <v>Inefficient</v>
      </c>
    </row>
    <row r="1384" spans="1:6" x14ac:dyDescent="0.25">
      <c r="A1384" cm="1">
        <f t="array" ref="A1384">INDEX('Portfolio Weights Returns'!$B$9:$BJ$69,
INT((ROW(A1383)-1)/COLUMNS('Portfolio Weights Returns'!$B$9:$BJ$69))+1,MOD(ROW(A1383)-1,COLUMNS('Portfolio Weights Returns'!$B$9:$BJ$69))+1)</f>
        <v>-7.7909577335421286E-4</v>
      </c>
      <c r="B1384">
        <v>1.89E-2</v>
      </c>
      <c r="C1384" s="59">
        <v>0</v>
      </c>
      <c r="D1384" s="59">
        <v>0.02</v>
      </c>
      <c r="E1384" s="60">
        <f t="shared" si="21"/>
        <v>0.98</v>
      </c>
      <c r="F1384" t="str" cm="1">
        <f t="array" ref="F1384">IF(A1384=MAX(IF(ROUND($B$2:$B$3722,4)=ROUND(B1384,4),$A$2:$A$3722)),"Efficient","Inefficient")</f>
        <v>Inefficient</v>
      </c>
    </row>
    <row r="1385" spans="1:6" x14ac:dyDescent="0.25">
      <c r="A1385" cm="1">
        <f t="array" ref="A1385">INDEX('Portfolio Weights Returns'!$B$9:$BJ$69,
INT((ROW(A1384)-1)/COLUMNS('Portfolio Weights Returns'!$B$9:$BJ$69))+1,MOD(ROW(A1384)-1,COLUMNS('Portfolio Weights Returns'!$B$9:$BJ$69))+1)</f>
        <v>-7.7231459938753382E-4</v>
      </c>
      <c r="B1385">
        <v>1.89E-2</v>
      </c>
      <c r="C1385" s="59">
        <v>-0.01</v>
      </c>
      <c r="D1385" s="59">
        <v>0.04</v>
      </c>
      <c r="E1385" s="60">
        <f t="shared" si="21"/>
        <v>0.97</v>
      </c>
      <c r="F1385" t="str" cm="1">
        <f t="array" ref="F1385">IF(A1385=MAX(IF(ROUND($B$2:$B$3722,4)=ROUND(B1385,4),$A$2:$A$3722)),"Efficient","Inefficient")</f>
        <v>Inefficient</v>
      </c>
    </row>
    <row r="1386" spans="1:6" x14ac:dyDescent="0.25">
      <c r="A1386" cm="1">
        <f t="array" ref="A1386">INDEX('Portfolio Weights Returns'!$B$9:$BJ$69,
INT((ROW(A1385)-1)/COLUMNS('Portfolio Weights Returns'!$B$9:$BJ$69))+1,MOD(ROW(A1385)-1,COLUMNS('Portfolio Weights Returns'!$B$9:$BJ$69))+1)</f>
        <v>-7.6553342542085457E-4</v>
      </c>
      <c r="B1386">
        <v>1.89E-2</v>
      </c>
      <c r="C1386" s="59">
        <v>-0.02</v>
      </c>
      <c r="D1386" s="59">
        <v>0.05</v>
      </c>
      <c r="E1386" s="60">
        <f t="shared" si="21"/>
        <v>0.97</v>
      </c>
      <c r="F1386" t="str" cm="1">
        <f t="array" ref="F1386">IF(A1386=MAX(IF(ROUND($B$2:$B$3722,4)=ROUND(B1386,4),$A$2:$A$3722)),"Efficient","Inefficient")</f>
        <v>Inefficient</v>
      </c>
    </row>
    <row r="1387" spans="1:6" x14ac:dyDescent="0.25">
      <c r="A1387" cm="1">
        <f t="array" ref="A1387">INDEX('Portfolio Weights Returns'!$B$9:$BJ$69,
INT((ROW(A1386)-1)/COLUMNS('Portfolio Weights Returns'!$B$9:$BJ$69))+1,MOD(ROW(A1386)-1,COLUMNS('Portfolio Weights Returns'!$B$9:$BJ$69))+1)</f>
        <v>-7.5875225145417553E-4</v>
      </c>
      <c r="B1387">
        <v>1.89E-2</v>
      </c>
      <c r="C1387" s="59">
        <v>-0.03</v>
      </c>
      <c r="D1387" s="59">
        <v>7.0000000000000007E-2</v>
      </c>
      <c r="E1387" s="60">
        <f t="shared" si="21"/>
        <v>0.96</v>
      </c>
      <c r="F1387" t="str" cm="1">
        <f t="array" ref="F1387">IF(A1387=MAX(IF(ROUND($B$2:$B$3722,4)=ROUND(B1387,4),$A$2:$A$3722)),"Efficient","Inefficient")</f>
        <v>Inefficient</v>
      </c>
    </row>
    <row r="1388" spans="1:6" x14ac:dyDescent="0.25">
      <c r="A1388" cm="1">
        <f t="array" ref="A1388">INDEX('Portfolio Weights Returns'!$B$9:$BJ$69,
INT((ROW(A1387)-1)/COLUMNS('Portfolio Weights Returns'!$B$9:$BJ$69))+1,MOD(ROW(A1387)-1,COLUMNS('Portfolio Weights Returns'!$B$9:$BJ$69))+1)</f>
        <v>-7.5197107748749639E-4</v>
      </c>
      <c r="B1388">
        <v>1.89E-2</v>
      </c>
      <c r="C1388" s="59">
        <v>-0.04</v>
      </c>
      <c r="D1388" s="59">
        <v>0.09</v>
      </c>
      <c r="E1388" s="60">
        <f t="shared" si="21"/>
        <v>0.95000000000000007</v>
      </c>
      <c r="F1388" t="str" cm="1">
        <f t="array" ref="F1388">IF(A1388=MAX(IF(ROUND($B$2:$B$3722,4)=ROUND(B1388,4),$A$2:$A$3722)),"Efficient","Inefficient")</f>
        <v>Inefficient</v>
      </c>
    </row>
    <row r="1389" spans="1:6" x14ac:dyDescent="0.25">
      <c r="A1389" cm="1">
        <f t="array" ref="A1389">INDEX('Portfolio Weights Returns'!$B$9:$BJ$69,
INT((ROW(A1388)-1)/COLUMNS('Portfolio Weights Returns'!$B$9:$BJ$69))+1,MOD(ROW(A1388)-1,COLUMNS('Portfolio Weights Returns'!$B$9:$BJ$69))+1)</f>
        <v>-7.4518990352081735E-4</v>
      </c>
      <c r="B1389">
        <v>1.89E-2</v>
      </c>
      <c r="C1389" s="59">
        <v>-0.04</v>
      </c>
      <c r="D1389" s="59">
        <v>0.1</v>
      </c>
      <c r="E1389" s="60">
        <f t="shared" si="21"/>
        <v>0.94000000000000006</v>
      </c>
      <c r="F1389" t="str" cm="1">
        <f t="array" ref="F1389">IF(A1389=MAX(IF(ROUND($B$2:$B$3722,4)=ROUND(B1389,4),$A$2:$A$3722)),"Efficient","Inefficient")</f>
        <v>Inefficient</v>
      </c>
    </row>
    <row r="1390" spans="1:6" x14ac:dyDescent="0.25">
      <c r="A1390" cm="1">
        <f t="array" ref="A1390">INDEX('Portfolio Weights Returns'!$B$9:$BJ$69,
INT((ROW(A1389)-1)/COLUMNS('Portfolio Weights Returns'!$B$9:$BJ$69))+1,MOD(ROW(A1389)-1,COLUMNS('Portfolio Weights Returns'!$B$9:$BJ$69))+1)</f>
        <v>-7.3840872955413821E-4</v>
      </c>
      <c r="B1390">
        <v>1.89E-2</v>
      </c>
      <c r="C1390" s="59">
        <v>-0.05</v>
      </c>
      <c r="D1390" s="59">
        <v>0.12</v>
      </c>
      <c r="E1390" s="60">
        <f t="shared" si="21"/>
        <v>0.93</v>
      </c>
      <c r="F1390" t="str" cm="1">
        <f t="array" ref="F1390">IF(A1390=MAX(IF(ROUND($B$2:$B$3722,4)=ROUND(B1390,4),$A$2:$A$3722)),"Efficient","Inefficient")</f>
        <v>Inefficient</v>
      </c>
    </row>
    <row r="1391" spans="1:6" x14ac:dyDescent="0.25">
      <c r="A1391" cm="1">
        <f t="array" ref="A1391">INDEX('Portfolio Weights Returns'!$B$9:$BJ$69,
INT((ROW(A1390)-1)/COLUMNS('Portfolio Weights Returns'!$B$9:$BJ$69))+1,MOD(ROW(A1390)-1,COLUMNS('Portfolio Weights Returns'!$B$9:$BJ$69))+1)</f>
        <v>-7.3162755558745917E-4</v>
      </c>
      <c r="B1391">
        <v>1.89E-2</v>
      </c>
      <c r="C1391" s="59">
        <v>-0.05</v>
      </c>
      <c r="D1391" s="59">
        <v>0.13</v>
      </c>
      <c r="E1391" s="60">
        <f t="shared" si="21"/>
        <v>0.92</v>
      </c>
      <c r="F1391" t="str" cm="1">
        <f t="array" ref="F1391">IF(A1391=MAX(IF(ROUND($B$2:$B$3722,4)=ROUND(B1391,4),$A$2:$A$3722)),"Efficient","Inefficient")</f>
        <v>Inefficient</v>
      </c>
    </row>
    <row r="1392" spans="1:6" x14ac:dyDescent="0.25">
      <c r="A1392" cm="1">
        <f t="array" ref="A1392">INDEX('Portfolio Weights Returns'!$B$9:$BJ$69,
INT((ROW(A1391)-1)/COLUMNS('Portfolio Weights Returns'!$B$9:$BJ$69))+1,MOD(ROW(A1391)-1,COLUMNS('Portfolio Weights Returns'!$B$9:$BJ$69))+1)</f>
        <v>-7.2484638162078003E-4</v>
      </c>
      <c r="B1392">
        <v>1.89E-2</v>
      </c>
      <c r="C1392" s="59">
        <v>-0.05</v>
      </c>
      <c r="D1392" s="59">
        <v>0.14000000000000001</v>
      </c>
      <c r="E1392" s="60">
        <f t="shared" si="21"/>
        <v>0.91</v>
      </c>
      <c r="F1392" t="str" cm="1">
        <f t="array" ref="F1392">IF(A1392=MAX(IF(ROUND($B$2:$B$3722,4)=ROUND(B1392,4),$A$2:$A$3722)),"Efficient","Inefficient")</f>
        <v>Inefficient</v>
      </c>
    </row>
    <row r="1393" spans="1:6" x14ac:dyDescent="0.25">
      <c r="A1393" cm="1">
        <f t="array" ref="A1393">INDEX('Portfolio Weights Returns'!$B$9:$BJ$69,
INT((ROW(A1392)-1)/COLUMNS('Portfolio Weights Returns'!$B$9:$BJ$69))+1,MOD(ROW(A1392)-1,COLUMNS('Portfolio Weights Returns'!$B$9:$BJ$69))+1)</f>
        <v>-7.1806520765410099E-4</v>
      </c>
      <c r="B1393">
        <v>1.89E-2</v>
      </c>
      <c r="C1393" s="59">
        <v>-0.05</v>
      </c>
      <c r="D1393" s="59">
        <v>0.15</v>
      </c>
      <c r="E1393" s="60">
        <f t="shared" si="21"/>
        <v>0.9</v>
      </c>
      <c r="F1393" t="str" cm="1">
        <f t="array" ref="F1393">IF(A1393=MAX(IF(ROUND($B$2:$B$3722,4)=ROUND(B1393,4),$A$2:$A$3722)),"Efficient","Inefficient")</f>
        <v>Inefficient</v>
      </c>
    </row>
    <row r="1394" spans="1:6" x14ac:dyDescent="0.25">
      <c r="A1394" cm="1">
        <f t="array" ref="A1394">INDEX('Portfolio Weights Returns'!$B$9:$BJ$69,
INT((ROW(A1393)-1)/COLUMNS('Portfolio Weights Returns'!$B$9:$BJ$69))+1,MOD(ROW(A1393)-1,COLUMNS('Portfolio Weights Returns'!$B$9:$BJ$69))+1)</f>
        <v>-7.1128403368742185E-4</v>
      </c>
      <c r="B1394">
        <v>1.89E-2</v>
      </c>
      <c r="C1394" s="59">
        <v>-0.05</v>
      </c>
      <c r="D1394" s="59">
        <v>0.18</v>
      </c>
      <c r="E1394" s="60">
        <f t="shared" si="21"/>
        <v>0.87000000000000011</v>
      </c>
      <c r="F1394" t="str" cm="1">
        <f t="array" ref="F1394">IF(A1394=MAX(IF(ROUND($B$2:$B$3722,4)=ROUND(B1394,4),$A$2:$A$3722)),"Efficient","Inefficient")</f>
        <v>Inefficient</v>
      </c>
    </row>
    <row r="1395" spans="1:6" x14ac:dyDescent="0.25">
      <c r="A1395" cm="1">
        <f t="array" ref="A1395">INDEX('Portfolio Weights Returns'!$B$9:$BJ$69,
INT((ROW(A1394)-1)/COLUMNS('Portfolio Weights Returns'!$B$9:$BJ$69))+1,MOD(ROW(A1394)-1,COLUMNS('Portfolio Weights Returns'!$B$9:$BJ$69))+1)</f>
        <v>-7.045028597207427E-4</v>
      </c>
      <c r="B1395">
        <v>1.89E-2</v>
      </c>
      <c r="C1395" s="59">
        <v>-0.05</v>
      </c>
      <c r="D1395" s="59">
        <v>0.19</v>
      </c>
      <c r="E1395" s="60">
        <f t="shared" si="21"/>
        <v>0.8600000000000001</v>
      </c>
      <c r="F1395" t="str" cm="1">
        <f t="array" ref="F1395">IF(A1395=MAX(IF(ROUND($B$2:$B$3722,4)=ROUND(B1395,4),$A$2:$A$3722)),"Efficient","Inefficient")</f>
        <v>Inefficient</v>
      </c>
    </row>
    <row r="1396" spans="1:6" x14ac:dyDescent="0.25">
      <c r="A1396" cm="1">
        <f t="array" ref="A1396">INDEX('Portfolio Weights Returns'!$B$9:$BJ$69,
INT((ROW(A1395)-1)/COLUMNS('Portfolio Weights Returns'!$B$9:$BJ$69))+1,MOD(ROW(A1395)-1,COLUMNS('Portfolio Weights Returns'!$B$9:$BJ$69))+1)</f>
        <v>-6.9772168575406367E-4</v>
      </c>
      <c r="B1396">
        <v>1.89E-2</v>
      </c>
      <c r="C1396" s="59">
        <v>-0.05</v>
      </c>
      <c r="D1396" s="59">
        <v>0.2</v>
      </c>
      <c r="E1396" s="60">
        <f t="shared" si="21"/>
        <v>0.85000000000000009</v>
      </c>
      <c r="F1396" t="str" cm="1">
        <f t="array" ref="F1396">IF(A1396=MAX(IF(ROUND($B$2:$B$3722,4)=ROUND(B1396,4),$A$2:$A$3722)),"Efficient","Inefficient")</f>
        <v>Inefficient</v>
      </c>
    </row>
    <row r="1397" spans="1:6" x14ac:dyDescent="0.25">
      <c r="A1397" cm="1">
        <f t="array" ref="A1397">INDEX('Portfolio Weights Returns'!$B$9:$BJ$69,
INT((ROW(A1396)-1)/COLUMNS('Portfolio Weights Returns'!$B$9:$BJ$69))+1,MOD(ROW(A1396)-1,COLUMNS('Portfolio Weights Returns'!$B$9:$BJ$69))+1)</f>
        <v>-6.9094051178738452E-4</v>
      </c>
      <c r="B1397">
        <v>1.89E-2</v>
      </c>
      <c r="C1397" s="59">
        <v>-0.05</v>
      </c>
      <c r="D1397" s="59">
        <v>0.21</v>
      </c>
      <c r="E1397" s="60">
        <f t="shared" si="21"/>
        <v>0.84000000000000008</v>
      </c>
      <c r="F1397" t="str" cm="1">
        <f t="array" ref="F1397">IF(A1397=MAX(IF(ROUND($B$2:$B$3722,4)=ROUND(B1397,4),$A$2:$A$3722)),"Efficient","Inefficient")</f>
        <v>Inefficient</v>
      </c>
    </row>
    <row r="1398" spans="1:6" x14ac:dyDescent="0.25">
      <c r="A1398" cm="1">
        <f t="array" ref="A1398">INDEX('Portfolio Weights Returns'!$B$9:$BJ$69,
INT((ROW(A1397)-1)/COLUMNS('Portfolio Weights Returns'!$B$9:$BJ$69))+1,MOD(ROW(A1397)-1,COLUMNS('Portfolio Weights Returns'!$B$9:$BJ$69))+1)</f>
        <v>-6.8415933782070538E-4</v>
      </c>
      <c r="B1398">
        <v>1.89E-2</v>
      </c>
      <c r="C1398" s="59">
        <v>-0.04</v>
      </c>
      <c r="D1398" s="59">
        <v>0.23</v>
      </c>
      <c r="E1398" s="60">
        <f t="shared" si="21"/>
        <v>0.81</v>
      </c>
      <c r="F1398" t="str" cm="1">
        <f t="array" ref="F1398">IF(A1398=MAX(IF(ROUND($B$2:$B$3722,4)=ROUND(B1398,4),$A$2:$A$3722)),"Efficient","Inefficient")</f>
        <v>Inefficient</v>
      </c>
    </row>
    <row r="1399" spans="1:6" x14ac:dyDescent="0.25">
      <c r="A1399" cm="1">
        <f t="array" ref="A1399">INDEX('Portfolio Weights Returns'!$B$9:$BJ$69,
INT((ROW(A1398)-1)/COLUMNS('Portfolio Weights Returns'!$B$9:$BJ$69))+1,MOD(ROW(A1398)-1,COLUMNS('Portfolio Weights Returns'!$B$9:$BJ$69))+1)</f>
        <v>-6.7737816385402623E-4</v>
      </c>
      <c r="B1399">
        <v>1.89E-2</v>
      </c>
      <c r="C1399" s="59">
        <v>-0.04</v>
      </c>
      <c r="D1399" s="59">
        <v>0.24</v>
      </c>
      <c r="E1399" s="60">
        <f t="shared" si="21"/>
        <v>0.8</v>
      </c>
      <c r="F1399" t="str" cm="1">
        <f t="array" ref="F1399">IF(A1399=MAX(IF(ROUND($B$2:$B$3722,4)=ROUND(B1399,4),$A$2:$A$3722)),"Efficient","Inefficient")</f>
        <v>Inefficient</v>
      </c>
    </row>
    <row r="1400" spans="1:6" x14ac:dyDescent="0.25">
      <c r="A1400" cm="1">
        <f t="array" ref="A1400">INDEX('Portfolio Weights Returns'!$B$9:$BJ$69,
INT((ROW(A1399)-1)/COLUMNS('Portfolio Weights Returns'!$B$9:$BJ$69))+1,MOD(ROW(A1399)-1,COLUMNS('Portfolio Weights Returns'!$B$9:$BJ$69))+1)</f>
        <v>-6.705969898873472E-4</v>
      </c>
      <c r="B1400">
        <v>1.89E-2</v>
      </c>
      <c r="C1400" s="59">
        <v>-0.03</v>
      </c>
      <c r="D1400" s="59">
        <v>0.25</v>
      </c>
      <c r="E1400" s="60">
        <f t="shared" si="21"/>
        <v>0.78</v>
      </c>
      <c r="F1400" t="str" cm="1">
        <f t="array" ref="F1400">IF(A1400=MAX(IF(ROUND($B$2:$B$3722,4)=ROUND(B1400,4),$A$2:$A$3722)),"Efficient","Inefficient")</f>
        <v>Inefficient</v>
      </c>
    </row>
    <row r="1401" spans="1:6" x14ac:dyDescent="0.25">
      <c r="A1401" cm="1">
        <f t="array" ref="A1401">INDEX('Portfolio Weights Returns'!$B$9:$BJ$69,
INT((ROW(A1400)-1)/COLUMNS('Portfolio Weights Returns'!$B$9:$BJ$69))+1,MOD(ROW(A1400)-1,COLUMNS('Portfolio Weights Returns'!$B$9:$BJ$69))+1)</f>
        <v>-6.638158159206674E-4</v>
      </c>
      <c r="B1401">
        <v>1.89E-2</v>
      </c>
      <c r="C1401" s="59">
        <v>-0.02</v>
      </c>
      <c r="D1401" s="59">
        <v>0.26</v>
      </c>
      <c r="E1401" s="60">
        <f t="shared" si="21"/>
        <v>0.76</v>
      </c>
      <c r="F1401" t="str" cm="1">
        <f t="array" ref="F1401">IF(A1401=MAX(IF(ROUND($B$2:$B$3722,4)=ROUND(B1401,4),$A$2:$A$3722)),"Efficient","Inefficient")</f>
        <v>Inefficient</v>
      </c>
    </row>
    <row r="1402" spans="1:6" x14ac:dyDescent="0.25">
      <c r="A1402" cm="1">
        <f t="array" ref="A1402">INDEX('Portfolio Weights Returns'!$B$9:$BJ$69,
INT((ROW(A1401)-1)/COLUMNS('Portfolio Weights Returns'!$B$9:$BJ$69))+1,MOD(ROW(A1401)-1,COLUMNS('Portfolio Weights Returns'!$B$9:$BJ$69))+1)</f>
        <v>-6.5703464195398836E-4</v>
      </c>
      <c r="B1402">
        <v>1.89E-2</v>
      </c>
      <c r="C1402" s="59">
        <v>-0.01</v>
      </c>
      <c r="D1402" s="59">
        <v>0.27</v>
      </c>
      <c r="E1402" s="60">
        <f t="shared" si="21"/>
        <v>0.74</v>
      </c>
      <c r="F1402" t="str" cm="1">
        <f t="array" ref="F1402">IF(A1402=MAX(IF(ROUND($B$2:$B$3722,4)=ROUND(B1402,4),$A$2:$A$3722)),"Efficient","Inefficient")</f>
        <v>Inefficient</v>
      </c>
    </row>
    <row r="1403" spans="1:6" x14ac:dyDescent="0.25">
      <c r="A1403" cm="1">
        <f t="array" ref="A1403">INDEX('Portfolio Weights Returns'!$B$9:$BJ$69,
INT((ROW(A1402)-1)/COLUMNS('Portfolio Weights Returns'!$B$9:$BJ$69))+1,MOD(ROW(A1402)-1,COLUMNS('Portfolio Weights Returns'!$B$9:$BJ$69))+1)</f>
        <v>-6.5025346798730922E-4</v>
      </c>
      <c r="B1403">
        <v>1.89E-2</v>
      </c>
      <c r="C1403" s="59">
        <v>-0.01</v>
      </c>
      <c r="D1403" s="59">
        <v>0.28000000000000003</v>
      </c>
      <c r="E1403" s="60">
        <f t="shared" si="21"/>
        <v>0.73</v>
      </c>
      <c r="F1403" t="str" cm="1">
        <f t="array" ref="F1403">IF(A1403=MAX(IF(ROUND($B$2:$B$3722,4)=ROUND(B1403,4),$A$2:$A$3722)),"Efficient","Inefficient")</f>
        <v>Inefficient</v>
      </c>
    </row>
    <row r="1404" spans="1:6" x14ac:dyDescent="0.25">
      <c r="A1404" cm="1">
        <f t="array" ref="A1404">INDEX('Portfolio Weights Returns'!$B$9:$BJ$69,
INT((ROW(A1403)-1)/COLUMNS('Portfolio Weights Returns'!$B$9:$BJ$69))+1,MOD(ROW(A1403)-1,COLUMNS('Portfolio Weights Returns'!$B$9:$BJ$69))+1)</f>
        <v>-6.4347229402063008E-4</v>
      </c>
      <c r="B1404">
        <v>1.89E-2</v>
      </c>
      <c r="C1404" s="59">
        <v>0</v>
      </c>
      <c r="D1404" s="59">
        <v>0.28000000000000003</v>
      </c>
      <c r="E1404" s="60">
        <f t="shared" si="21"/>
        <v>0.72</v>
      </c>
      <c r="F1404" t="str" cm="1">
        <f t="array" ref="F1404">IF(A1404=MAX(IF(ROUND($B$2:$B$3722,4)=ROUND(B1404,4),$A$2:$A$3722)),"Efficient","Inefficient")</f>
        <v>Efficient</v>
      </c>
    </row>
    <row r="1405" spans="1:6" x14ac:dyDescent="0.25">
      <c r="A1405" cm="1">
        <f t="array" ref="A1405">INDEX('Portfolio Weights Returns'!$B$9:$BJ$69,
INT((ROW(A1404)-1)/COLUMNS('Portfolio Weights Returns'!$B$9:$BJ$69))+1,MOD(ROW(A1404)-1,COLUMNS('Portfolio Weights Returns'!$B$9:$BJ$69))+1)</f>
        <v>-1.0437685241759219E-3</v>
      </c>
      <c r="B1405">
        <v>1.89E-2</v>
      </c>
      <c r="C1405" s="59">
        <v>0.01</v>
      </c>
      <c r="D1405" s="59">
        <v>0.28999999999999998</v>
      </c>
      <c r="E1405" s="60">
        <f t="shared" si="21"/>
        <v>0.7</v>
      </c>
      <c r="F1405" t="str" cm="1">
        <f t="array" ref="F1405">IF(A1405=MAX(IF(ROUND($B$2:$B$3722,4)=ROUND(B1405,4),$A$2:$A$3722)),"Efficient","Inefficient")</f>
        <v>Inefficient</v>
      </c>
    </row>
    <row r="1406" spans="1:6" x14ac:dyDescent="0.25">
      <c r="A1406" cm="1">
        <f t="array" ref="A1406">INDEX('Portfolio Weights Returns'!$B$9:$BJ$69,
INT((ROW(A1405)-1)/COLUMNS('Portfolio Weights Returns'!$B$9:$BJ$69))+1,MOD(ROW(A1405)-1,COLUMNS('Portfolio Weights Returns'!$B$9:$BJ$69))+1)</f>
        <v>-1.036987350209243E-3</v>
      </c>
      <c r="B1406">
        <v>1.89E-2</v>
      </c>
      <c r="C1406" s="59">
        <v>0.02</v>
      </c>
      <c r="D1406" s="59">
        <v>0.3</v>
      </c>
      <c r="E1406" s="60">
        <f t="shared" si="21"/>
        <v>0.67999999999999994</v>
      </c>
      <c r="F1406" t="str" cm="1">
        <f t="array" ref="F1406">IF(A1406=MAX(IF(ROUND($B$2:$B$3722,4)=ROUND(B1406,4),$A$2:$A$3722)),"Efficient","Inefficient")</f>
        <v>Inefficient</v>
      </c>
    </row>
    <row r="1407" spans="1:6" x14ac:dyDescent="0.25">
      <c r="A1407" cm="1">
        <f t="array" ref="A1407">INDEX('Portfolio Weights Returns'!$B$9:$BJ$69,
INT((ROW(A1406)-1)/COLUMNS('Portfolio Weights Returns'!$B$9:$BJ$69))+1,MOD(ROW(A1406)-1,COLUMNS('Portfolio Weights Returns'!$B$9:$BJ$69))+1)</f>
        <v>-1.0302061762425638E-3</v>
      </c>
      <c r="B1407">
        <v>1.9E-2</v>
      </c>
      <c r="C1407" s="59">
        <v>0.28000000000000003</v>
      </c>
      <c r="D1407" s="59">
        <v>-0.21</v>
      </c>
      <c r="E1407" s="60">
        <f t="shared" si="21"/>
        <v>0.92999999999999994</v>
      </c>
      <c r="F1407" t="str" cm="1">
        <f t="array" ref="F1407">IF(A1407=MAX(IF(ROUND($B$2:$B$3722,4)=ROUND(B1407,4),$A$2:$A$3722)),"Efficient","Inefficient")</f>
        <v>Inefficient</v>
      </c>
    </row>
    <row r="1408" spans="1:6" x14ac:dyDescent="0.25">
      <c r="A1408" cm="1">
        <f t="array" ref="A1408">INDEX('Portfolio Weights Returns'!$B$9:$BJ$69,
INT((ROW(A1407)-1)/COLUMNS('Portfolio Weights Returns'!$B$9:$BJ$69))+1,MOD(ROW(A1407)-1,COLUMNS('Portfolio Weights Returns'!$B$9:$BJ$69))+1)</f>
        <v>-1.0234250022758847E-3</v>
      </c>
      <c r="B1408">
        <v>1.9E-2</v>
      </c>
      <c r="C1408" s="59">
        <v>0.26</v>
      </c>
      <c r="D1408" s="59">
        <v>-0.2</v>
      </c>
      <c r="E1408" s="60">
        <f t="shared" si="21"/>
        <v>0.94</v>
      </c>
      <c r="F1408" t="str" cm="1">
        <f t="array" ref="F1408">IF(A1408=MAX(IF(ROUND($B$2:$B$3722,4)=ROUND(B1408,4),$A$2:$A$3722)),"Efficient","Inefficient")</f>
        <v>Inefficient</v>
      </c>
    </row>
    <row r="1409" spans="1:6" x14ac:dyDescent="0.25">
      <c r="A1409" cm="1">
        <f t="array" ref="A1409">INDEX('Portfolio Weights Returns'!$B$9:$BJ$69,
INT((ROW(A1408)-1)/COLUMNS('Portfolio Weights Returns'!$B$9:$BJ$69))+1,MOD(ROW(A1408)-1,COLUMNS('Portfolio Weights Returns'!$B$9:$BJ$69))+1)</f>
        <v>-1.0166438283092055E-3</v>
      </c>
      <c r="B1409">
        <v>1.9E-2</v>
      </c>
      <c r="C1409" s="59">
        <v>0.24</v>
      </c>
      <c r="D1409" s="59">
        <v>-0.19</v>
      </c>
      <c r="E1409" s="60">
        <f t="shared" si="21"/>
        <v>0.95</v>
      </c>
      <c r="F1409" t="str" cm="1">
        <f t="array" ref="F1409">IF(A1409=MAX(IF(ROUND($B$2:$B$3722,4)=ROUND(B1409,4),$A$2:$A$3722)),"Efficient","Inefficient")</f>
        <v>Inefficient</v>
      </c>
    </row>
    <row r="1410" spans="1:6" x14ac:dyDescent="0.25">
      <c r="A1410" cm="1">
        <f t="array" ref="A1410">INDEX('Portfolio Weights Returns'!$B$9:$BJ$69,
INT((ROW(A1409)-1)/COLUMNS('Portfolio Weights Returns'!$B$9:$BJ$69))+1,MOD(ROW(A1409)-1,COLUMNS('Portfolio Weights Returns'!$B$9:$BJ$69))+1)</f>
        <v>-1.0098626543425266E-3</v>
      </c>
      <c r="B1410">
        <v>1.9E-2</v>
      </c>
      <c r="C1410" s="59">
        <v>0.21</v>
      </c>
      <c r="D1410" s="59">
        <v>-0.17</v>
      </c>
      <c r="E1410" s="60">
        <f t="shared" ref="E1410:E1473" si="22">1-D1410-C1410</f>
        <v>0.96</v>
      </c>
      <c r="F1410" t="str" cm="1">
        <f t="array" ref="F1410">IF(A1410=MAX(IF(ROUND($B$2:$B$3722,4)=ROUND(B1410,4),$A$2:$A$3722)),"Efficient","Inefficient")</f>
        <v>Inefficient</v>
      </c>
    </row>
    <row r="1411" spans="1:6" x14ac:dyDescent="0.25">
      <c r="A1411" cm="1">
        <f t="array" ref="A1411">INDEX('Portfolio Weights Returns'!$B$9:$BJ$69,
INT((ROW(A1410)-1)/COLUMNS('Portfolio Weights Returns'!$B$9:$BJ$69))+1,MOD(ROW(A1410)-1,COLUMNS('Portfolio Weights Returns'!$B$9:$BJ$69))+1)</f>
        <v>-1.0030814803758472E-3</v>
      </c>
      <c r="B1411">
        <v>1.9E-2</v>
      </c>
      <c r="C1411" s="59">
        <v>0.19</v>
      </c>
      <c r="D1411" s="59">
        <v>-0.16</v>
      </c>
      <c r="E1411" s="60">
        <f t="shared" si="22"/>
        <v>0.97</v>
      </c>
      <c r="F1411" t="str" cm="1">
        <f t="array" ref="F1411">IF(A1411=MAX(IF(ROUND($B$2:$B$3722,4)=ROUND(B1411,4),$A$2:$A$3722)),"Efficient","Inefficient")</f>
        <v>Inefficient</v>
      </c>
    </row>
    <row r="1412" spans="1:6" x14ac:dyDescent="0.25">
      <c r="A1412" cm="1">
        <f t="array" ref="A1412">INDEX('Portfolio Weights Returns'!$B$9:$BJ$69,
INT((ROW(A1411)-1)/COLUMNS('Portfolio Weights Returns'!$B$9:$BJ$69))+1,MOD(ROW(A1411)-1,COLUMNS('Portfolio Weights Returns'!$B$9:$BJ$69))+1)</f>
        <v>-9.963003064091681E-4</v>
      </c>
      <c r="B1412">
        <v>1.9E-2</v>
      </c>
      <c r="C1412" s="59">
        <v>0.18</v>
      </c>
      <c r="D1412" s="59">
        <v>-0.15</v>
      </c>
      <c r="E1412" s="60">
        <f t="shared" si="22"/>
        <v>0.97</v>
      </c>
      <c r="F1412" t="str" cm="1">
        <f t="array" ref="F1412">IF(A1412=MAX(IF(ROUND($B$2:$B$3722,4)=ROUND(B1412,4),$A$2:$A$3722)),"Efficient","Inefficient")</f>
        <v>Inefficient</v>
      </c>
    </row>
    <row r="1413" spans="1:6" x14ac:dyDescent="0.25">
      <c r="A1413" cm="1">
        <f t="array" ref="A1413">INDEX('Portfolio Weights Returns'!$B$9:$BJ$69,
INT((ROW(A1412)-1)/COLUMNS('Portfolio Weights Returns'!$B$9:$BJ$69))+1,MOD(ROW(A1412)-1,COLUMNS('Portfolio Weights Returns'!$B$9:$BJ$69))+1)</f>
        <v>-9.8951913244248895E-4</v>
      </c>
      <c r="B1413">
        <v>1.9E-2</v>
      </c>
      <c r="C1413" s="59">
        <v>0.16</v>
      </c>
      <c r="D1413" s="59">
        <v>-0.14000000000000001</v>
      </c>
      <c r="E1413" s="60">
        <f t="shared" si="22"/>
        <v>0.98000000000000009</v>
      </c>
      <c r="F1413" t="str" cm="1">
        <f t="array" ref="F1413">IF(A1413=MAX(IF(ROUND($B$2:$B$3722,4)=ROUND(B1413,4),$A$2:$A$3722)),"Efficient","Inefficient")</f>
        <v>Inefficient</v>
      </c>
    </row>
    <row r="1414" spans="1:6" x14ac:dyDescent="0.25">
      <c r="A1414" cm="1">
        <f t="array" ref="A1414">INDEX('Portfolio Weights Returns'!$B$9:$BJ$69,
INT((ROW(A1413)-1)/COLUMNS('Portfolio Weights Returns'!$B$9:$BJ$69))+1,MOD(ROW(A1413)-1,COLUMNS('Portfolio Weights Returns'!$B$9:$BJ$69))+1)</f>
        <v>-9.8273795847580981E-4</v>
      </c>
      <c r="B1414">
        <v>1.9E-2</v>
      </c>
      <c r="C1414" s="59">
        <v>0.15</v>
      </c>
      <c r="D1414" s="59">
        <v>-0.13</v>
      </c>
      <c r="E1414" s="60">
        <f t="shared" si="22"/>
        <v>0.97999999999999987</v>
      </c>
      <c r="F1414" t="str" cm="1">
        <f t="array" ref="F1414">IF(A1414=MAX(IF(ROUND($B$2:$B$3722,4)=ROUND(B1414,4),$A$2:$A$3722)),"Efficient","Inefficient")</f>
        <v>Inefficient</v>
      </c>
    </row>
    <row r="1415" spans="1:6" x14ac:dyDescent="0.25">
      <c r="A1415" cm="1">
        <f t="array" ref="A1415">INDEX('Portfolio Weights Returns'!$B$9:$BJ$69,
INT((ROW(A1414)-1)/COLUMNS('Portfolio Weights Returns'!$B$9:$BJ$69))+1,MOD(ROW(A1414)-1,COLUMNS('Portfolio Weights Returns'!$B$9:$BJ$69))+1)</f>
        <v>-9.7595678450913077E-4</v>
      </c>
      <c r="B1415">
        <v>1.9E-2</v>
      </c>
      <c r="C1415" s="59">
        <v>0.12</v>
      </c>
      <c r="D1415" s="59">
        <v>-0.11</v>
      </c>
      <c r="E1415" s="60">
        <f t="shared" si="22"/>
        <v>0.9900000000000001</v>
      </c>
      <c r="F1415" t="str" cm="1">
        <f t="array" ref="F1415">IF(A1415=MAX(IF(ROUND($B$2:$B$3722,4)=ROUND(B1415,4),$A$2:$A$3722)),"Efficient","Inefficient")</f>
        <v>Inefficient</v>
      </c>
    </row>
    <row r="1416" spans="1:6" x14ac:dyDescent="0.25">
      <c r="A1416" cm="1">
        <f t="array" ref="A1416">INDEX('Portfolio Weights Returns'!$B$9:$BJ$69,
INT((ROW(A1415)-1)/COLUMNS('Portfolio Weights Returns'!$B$9:$BJ$69))+1,MOD(ROW(A1415)-1,COLUMNS('Portfolio Weights Returns'!$B$9:$BJ$69))+1)</f>
        <v>-9.6917561054245174E-4</v>
      </c>
      <c r="B1416">
        <v>1.9E-2</v>
      </c>
      <c r="C1416" s="59">
        <v>0.11</v>
      </c>
      <c r="D1416" s="59">
        <v>-0.1</v>
      </c>
      <c r="E1416" s="60">
        <f t="shared" si="22"/>
        <v>0.9900000000000001</v>
      </c>
      <c r="F1416" t="str" cm="1">
        <f t="array" ref="F1416">IF(A1416=MAX(IF(ROUND($B$2:$B$3722,4)=ROUND(B1416,4),$A$2:$A$3722)),"Efficient","Inefficient")</f>
        <v>Inefficient</v>
      </c>
    </row>
    <row r="1417" spans="1:6" x14ac:dyDescent="0.25">
      <c r="A1417" cm="1">
        <f t="array" ref="A1417">INDEX('Portfolio Weights Returns'!$B$9:$BJ$69,
INT((ROW(A1416)-1)/COLUMNS('Portfolio Weights Returns'!$B$9:$BJ$69))+1,MOD(ROW(A1416)-1,COLUMNS('Portfolio Weights Returns'!$B$9:$BJ$69))+1)</f>
        <v>-9.6239443657577259E-4</v>
      </c>
      <c r="B1417">
        <v>1.9E-2</v>
      </c>
      <c r="C1417" s="59">
        <v>0.1</v>
      </c>
      <c r="D1417" s="59">
        <v>-0.09</v>
      </c>
      <c r="E1417" s="60">
        <f t="shared" si="22"/>
        <v>0.9900000000000001</v>
      </c>
      <c r="F1417" t="str" cm="1">
        <f t="array" ref="F1417">IF(A1417=MAX(IF(ROUND($B$2:$B$3722,4)=ROUND(B1417,4),$A$2:$A$3722)),"Efficient","Inefficient")</f>
        <v>Inefficient</v>
      </c>
    </row>
    <row r="1418" spans="1:6" x14ac:dyDescent="0.25">
      <c r="A1418" cm="1">
        <f t="array" ref="A1418">INDEX('Portfolio Weights Returns'!$B$9:$BJ$69,
INT((ROW(A1417)-1)/COLUMNS('Portfolio Weights Returns'!$B$9:$BJ$69))+1,MOD(ROW(A1417)-1,COLUMNS('Portfolio Weights Returns'!$B$9:$BJ$69))+1)</f>
        <v>-9.5561326260909356E-4</v>
      </c>
      <c r="B1418">
        <v>1.9E-2</v>
      </c>
      <c r="C1418" s="59">
        <v>0.09</v>
      </c>
      <c r="D1418" s="59">
        <v>-0.08</v>
      </c>
      <c r="E1418" s="60">
        <f t="shared" si="22"/>
        <v>0.9900000000000001</v>
      </c>
      <c r="F1418" t="str" cm="1">
        <f t="array" ref="F1418">IF(A1418=MAX(IF(ROUND($B$2:$B$3722,4)=ROUND(B1418,4),$A$2:$A$3722)),"Efficient","Inefficient")</f>
        <v>Inefficient</v>
      </c>
    </row>
    <row r="1419" spans="1:6" x14ac:dyDescent="0.25">
      <c r="A1419" cm="1">
        <f t="array" ref="A1419">INDEX('Portfolio Weights Returns'!$B$9:$BJ$69,
INT((ROW(A1418)-1)/COLUMNS('Portfolio Weights Returns'!$B$9:$BJ$69))+1,MOD(ROW(A1418)-1,COLUMNS('Portfolio Weights Returns'!$B$9:$BJ$69))+1)</f>
        <v>-9.4883208864241441E-4</v>
      </c>
      <c r="B1419">
        <v>1.9E-2</v>
      </c>
      <c r="C1419" s="59">
        <v>0.02</v>
      </c>
      <c r="D1419" s="59">
        <v>-0.01</v>
      </c>
      <c r="E1419" s="60">
        <f t="shared" si="22"/>
        <v>0.99</v>
      </c>
      <c r="F1419" t="str" cm="1">
        <f t="array" ref="F1419">IF(A1419=MAX(IF(ROUND($B$2:$B$3722,4)=ROUND(B1419,4),$A$2:$A$3722)),"Efficient","Inefficient")</f>
        <v>Inefficient</v>
      </c>
    </row>
    <row r="1420" spans="1:6" x14ac:dyDescent="0.25">
      <c r="A1420" cm="1">
        <f t="array" ref="A1420">INDEX('Portfolio Weights Returns'!$B$9:$BJ$69,
INT((ROW(A1419)-1)/COLUMNS('Portfolio Weights Returns'!$B$9:$BJ$69))+1,MOD(ROW(A1419)-1,COLUMNS('Portfolio Weights Returns'!$B$9:$BJ$69))+1)</f>
        <v>-9.4205091467573538E-4</v>
      </c>
      <c r="B1420">
        <v>1.9E-2</v>
      </c>
      <c r="C1420" s="59">
        <v>0.01</v>
      </c>
      <c r="D1420" s="59">
        <v>0</v>
      </c>
      <c r="E1420" s="60">
        <f t="shared" si="22"/>
        <v>0.99</v>
      </c>
      <c r="F1420" t="str" cm="1">
        <f t="array" ref="F1420">IF(A1420=MAX(IF(ROUND($B$2:$B$3722,4)=ROUND(B1420,4),$A$2:$A$3722)),"Efficient","Inefficient")</f>
        <v>Inefficient</v>
      </c>
    </row>
    <row r="1421" spans="1:6" x14ac:dyDescent="0.25">
      <c r="A1421" cm="1">
        <f t="array" ref="A1421">INDEX('Portfolio Weights Returns'!$B$9:$BJ$69,
INT((ROW(A1420)-1)/COLUMNS('Portfolio Weights Returns'!$B$9:$BJ$69))+1,MOD(ROW(A1420)-1,COLUMNS('Portfolio Weights Returns'!$B$9:$BJ$69))+1)</f>
        <v>-9.3526974070905634E-4</v>
      </c>
      <c r="B1421">
        <v>1.9E-2</v>
      </c>
      <c r="C1421" s="59">
        <v>0</v>
      </c>
      <c r="D1421" s="59">
        <v>0.01</v>
      </c>
      <c r="E1421" s="60">
        <f t="shared" si="22"/>
        <v>0.99</v>
      </c>
      <c r="F1421" t="str" cm="1">
        <f t="array" ref="F1421">IF(A1421=MAX(IF(ROUND($B$2:$B$3722,4)=ROUND(B1421,4),$A$2:$A$3722)),"Efficient","Inefficient")</f>
        <v>Inefficient</v>
      </c>
    </row>
    <row r="1422" spans="1:6" x14ac:dyDescent="0.25">
      <c r="A1422" cm="1">
        <f t="array" ref="A1422">INDEX('Portfolio Weights Returns'!$B$9:$BJ$69,
INT((ROW(A1421)-1)/COLUMNS('Portfolio Weights Returns'!$B$9:$BJ$69))+1,MOD(ROW(A1421)-1,COLUMNS('Portfolio Weights Returns'!$B$9:$BJ$69))+1)</f>
        <v>-9.2848856674237709E-4</v>
      </c>
      <c r="B1422">
        <v>1.9E-2</v>
      </c>
      <c r="C1422" s="59">
        <v>-0.01</v>
      </c>
      <c r="D1422" s="59">
        <v>0.03</v>
      </c>
      <c r="E1422" s="60">
        <f t="shared" si="22"/>
        <v>0.98</v>
      </c>
      <c r="F1422" t="str" cm="1">
        <f t="array" ref="F1422">IF(A1422=MAX(IF(ROUND($B$2:$B$3722,4)=ROUND(B1422,4),$A$2:$A$3722)),"Efficient","Inefficient")</f>
        <v>Inefficient</v>
      </c>
    </row>
    <row r="1423" spans="1:6" x14ac:dyDescent="0.25">
      <c r="A1423" cm="1">
        <f t="array" ref="A1423">INDEX('Portfolio Weights Returns'!$B$9:$BJ$69,
INT((ROW(A1422)-1)/COLUMNS('Portfolio Weights Returns'!$B$9:$BJ$69))+1,MOD(ROW(A1422)-1,COLUMNS('Portfolio Weights Returns'!$B$9:$BJ$69))+1)</f>
        <v>-9.2170739277569816E-4</v>
      </c>
      <c r="B1423">
        <v>1.9E-2</v>
      </c>
      <c r="C1423" s="59">
        <v>-0.02</v>
      </c>
      <c r="D1423" s="59">
        <v>0.04</v>
      </c>
      <c r="E1423" s="60">
        <f t="shared" si="22"/>
        <v>0.98</v>
      </c>
      <c r="F1423" t="str" cm="1">
        <f t="array" ref="F1423">IF(A1423=MAX(IF(ROUND($B$2:$B$3722,4)=ROUND(B1423,4),$A$2:$A$3722)),"Efficient","Inefficient")</f>
        <v>Inefficient</v>
      </c>
    </row>
    <row r="1424" spans="1:6" x14ac:dyDescent="0.25">
      <c r="A1424" cm="1">
        <f t="array" ref="A1424">INDEX('Portfolio Weights Returns'!$B$9:$BJ$69,
INT((ROW(A1423)-1)/COLUMNS('Portfolio Weights Returns'!$B$9:$BJ$69))+1,MOD(ROW(A1423)-1,COLUMNS('Portfolio Weights Returns'!$B$9:$BJ$69))+1)</f>
        <v>-9.1492621880901901E-4</v>
      </c>
      <c r="B1424">
        <v>1.9E-2</v>
      </c>
      <c r="C1424" s="59">
        <v>-0.03</v>
      </c>
      <c r="D1424" s="59">
        <v>0.06</v>
      </c>
      <c r="E1424" s="60">
        <f t="shared" si="22"/>
        <v>0.97</v>
      </c>
      <c r="F1424" t="str" cm="1">
        <f t="array" ref="F1424">IF(A1424=MAX(IF(ROUND($B$2:$B$3722,4)=ROUND(B1424,4),$A$2:$A$3722)),"Efficient","Inefficient")</f>
        <v>Inefficient</v>
      </c>
    </row>
    <row r="1425" spans="1:6" x14ac:dyDescent="0.25">
      <c r="A1425" cm="1">
        <f t="array" ref="A1425">INDEX('Portfolio Weights Returns'!$B$9:$BJ$69,
INT((ROW(A1424)-1)/COLUMNS('Portfolio Weights Returns'!$B$9:$BJ$69))+1,MOD(ROW(A1424)-1,COLUMNS('Portfolio Weights Returns'!$B$9:$BJ$69))+1)</f>
        <v>-9.0814504484233987E-4</v>
      </c>
      <c r="B1425">
        <v>1.9E-2</v>
      </c>
      <c r="C1425" s="59">
        <v>-0.04</v>
      </c>
      <c r="D1425" s="59">
        <v>0.08</v>
      </c>
      <c r="E1425" s="60">
        <f t="shared" si="22"/>
        <v>0.96000000000000008</v>
      </c>
      <c r="F1425" t="str" cm="1">
        <f t="array" ref="F1425">IF(A1425=MAX(IF(ROUND($B$2:$B$3722,4)=ROUND(B1425,4),$A$2:$A$3722)),"Efficient","Inefficient")</f>
        <v>Inefficient</v>
      </c>
    </row>
    <row r="1426" spans="1:6" x14ac:dyDescent="0.25">
      <c r="A1426" cm="1">
        <f t="array" ref="A1426">INDEX('Portfolio Weights Returns'!$B$9:$BJ$69,
INT((ROW(A1425)-1)/COLUMNS('Portfolio Weights Returns'!$B$9:$BJ$69))+1,MOD(ROW(A1425)-1,COLUMNS('Portfolio Weights Returns'!$B$9:$BJ$69))+1)</f>
        <v>-9.0136387087566073E-4</v>
      </c>
      <c r="B1426">
        <v>1.9E-2</v>
      </c>
      <c r="C1426" s="59">
        <v>-0.05</v>
      </c>
      <c r="D1426" s="59">
        <v>0.1</v>
      </c>
      <c r="E1426" s="60">
        <f t="shared" si="22"/>
        <v>0.95000000000000007</v>
      </c>
      <c r="F1426" t="str" cm="1">
        <f t="array" ref="F1426">IF(A1426=MAX(IF(ROUND($B$2:$B$3722,4)=ROUND(B1426,4),$A$2:$A$3722)),"Efficient","Inefficient")</f>
        <v>Inefficient</v>
      </c>
    </row>
    <row r="1427" spans="1:6" x14ac:dyDescent="0.25">
      <c r="A1427" cm="1">
        <f t="array" ref="A1427">INDEX('Portfolio Weights Returns'!$B$9:$BJ$69,
INT((ROW(A1426)-1)/COLUMNS('Portfolio Weights Returns'!$B$9:$BJ$69))+1,MOD(ROW(A1426)-1,COLUMNS('Portfolio Weights Returns'!$B$9:$BJ$69))+1)</f>
        <v>-8.9458269690898169E-4</v>
      </c>
      <c r="B1427">
        <v>1.9E-2</v>
      </c>
      <c r="C1427" s="59">
        <v>-0.05</v>
      </c>
      <c r="D1427" s="59">
        <v>0.11</v>
      </c>
      <c r="E1427" s="60">
        <f t="shared" si="22"/>
        <v>0.94000000000000006</v>
      </c>
      <c r="F1427" t="str" cm="1">
        <f t="array" ref="F1427">IF(A1427=MAX(IF(ROUND($B$2:$B$3722,4)=ROUND(B1427,4),$A$2:$A$3722)),"Efficient","Inefficient")</f>
        <v>Inefficient</v>
      </c>
    </row>
    <row r="1428" spans="1:6" x14ac:dyDescent="0.25">
      <c r="A1428" cm="1">
        <f t="array" ref="A1428">INDEX('Portfolio Weights Returns'!$B$9:$BJ$69,
INT((ROW(A1427)-1)/COLUMNS('Portfolio Weights Returns'!$B$9:$BJ$69))+1,MOD(ROW(A1427)-1,COLUMNS('Portfolio Weights Returns'!$B$9:$BJ$69))+1)</f>
        <v>-8.8780152294230255E-4</v>
      </c>
      <c r="B1428">
        <v>1.9E-2</v>
      </c>
      <c r="C1428" s="59">
        <v>-0.06</v>
      </c>
      <c r="D1428" s="59">
        <v>0.13</v>
      </c>
      <c r="E1428" s="60">
        <f t="shared" si="22"/>
        <v>0.92999999999999994</v>
      </c>
      <c r="F1428" t="str" cm="1">
        <f t="array" ref="F1428">IF(A1428=MAX(IF(ROUND($B$2:$B$3722,4)=ROUND(B1428,4),$A$2:$A$3722)),"Efficient","Inefficient")</f>
        <v>Inefficient</v>
      </c>
    </row>
    <row r="1429" spans="1:6" x14ac:dyDescent="0.25">
      <c r="A1429" cm="1">
        <f t="array" ref="A1429">INDEX('Portfolio Weights Returns'!$B$9:$BJ$69,
INT((ROW(A1428)-1)/COLUMNS('Portfolio Weights Returns'!$B$9:$BJ$69))+1,MOD(ROW(A1428)-1,COLUMNS('Portfolio Weights Returns'!$B$9:$BJ$69))+1)</f>
        <v>-8.8102034897562351E-4</v>
      </c>
      <c r="B1429">
        <v>1.9E-2</v>
      </c>
      <c r="C1429" s="59">
        <v>-0.06</v>
      </c>
      <c r="D1429" s="59">
        <v>0.14000000000000001</v>
      </c>
      <c r="E1429" s="60">
        <f t="shared" si="22"/>
        <v>0.91999999999999993</v>
      </c>
      <c r="F1429" t="str" cm="1">
        <f t="array" ref="F1429">IF(A1429=MAX(IF(ROUND($B$2:$B$3722,4)=ROUND(B1429,4),$A$2:$A$3722)),"Efficient","Inefficient")</f>
        <v>Inefficient</v>
      </c>
    </row>
    <row r="1430" spans="1:6" x14ac:dyDescent="0.25">
      <c r="A1430" cm="1">
        <f t="array" ref="A1430">INDEX('Portfolio Weights Returns'!$B$9:$BJ$69,
INT((ROW(A1429)-1)/COLUMNS('Portfolio Weights Returns'!$B$9:$BJ$69))+1,MOD(ROW(A1429)-1,COLUMNS('Portfolio Weights Returns'!$B$9:$BJ$69))+1)</f>
        <v>-8.7423917500894436E-4</v>
      </c>
      <c r="B1430">
        <v>1.9E-2</v>
      </c>
      <c r="C1430" s="59">
        <v>-0.06</v>
      </c>
      <c r="D1430" s="59">
        <v>0.15</v>
      </c>
      <c r="E1430" s="60">
        <f t="shared" si="22"/>
        <v>0.90999999999999992</v>
      </c>
      <c r="F1430" t="str" cm="1">
        <f t="array" ref="F1430">IF(A1430=MAX(IF(ROUND($B$2:$B$3722,4)=ROUND(B1430,4),$A$2:$A$3722)),"Efficient","Inefficient")</f>
        <v>Inefficient</v>
      </c>
    </row>
    <row r="1431" spans="1:6" x14ac:dyDescent="0.25">
      <c r="A1431" cm="1">
        <f t="array" ref="A1431">INDEX('Portfolio Weights Returns'!$B$9:$BJ$69,
INT((ROW(A1430)-1)/COLUMNS('Portfolio Weights Returns'!$B$9:$BJ$69))+1,MOD(ROW(A1430)-1,COLUMNS('Portfolio Weights Returns'!$B$9:$BJ$69))+1)</f>
        <v>-8.6745800104226533E-4</v>
      </c>
      <c r="B1431">
        <v>1.9E-2</v>
      </c>
      <c r="C1431" s="59">
        <v>-0.06</v>
      </c>
      <c r="D1431" s="59">
        <v>0.16</v>
      </c>
      <c r="E1431" s="60">
        <f t="shared" si="22"/>
        <v>0.89999999999999991</v>
      </c>
      <c r="F1431" t="str" cm="1">
        <f t="array" ref="F1431">IF(A1431=MAX(IF(ROUND($B$2:$B$3722,4)=ROUND(B1431,4),$A$2:$A$3722)),"Efficient","Inefficient")</f>
        <v>Inefficient</v>
      </c>
    </row>
    <row r="1432" spans="1:6" x14ac:dyDescent="0.25">
      <c r="A1432" cm="1">
        <f t="array" ref="A1432">INDEX('Portfolio Weights Returns'!$B$9:$BJ$69,
INT((ROW(A1431)-1)/COLUMNS('Portfolio Weights Returns'!$B$9:$BJ$69))+1,MOD(ROW(A1431)-1,COLUMNS('Portfolio Weights Returns'!$B$9:$BJ$69))+1)</f>
        <v>-8.6067682707558608E-4</v>
      </c>
      <c r="B1432">
        <v>1.9E-2</v>
      </c>
      <c r="C1432" s="59">
        <v>-0.06</v>
      </c>
      <c r="D1432" s="59">
        <v>0.17</v>
      </c>
      <c r="E1432" s="60">
        <f t="shared" si="22"/>
        <v>0.8899999999999999</v>
      </c>
      <c r="F1432" t="str" cm="1">
        <f t="array" ref="F1432">IF(A1432=MAX(IF(ROUND($B$2:$B$3722,4)=ROUND(B1432,4),$A$2:$A$3722)),"Efficient","Inefficient")</f>
        <v>Inefficient</v>
      </c>
    </row>
    <row r="1433" spans="1:6" x14ac:dyDescent="0.25">
      <c r="A1433" cm="1">
        <f t="array" ref="A1433">INDEX('Portfolio Weights Returns'!$B$9:$BJ$69,
INT((ROW(A1432)-1)/COLUMNS('Portfolio Weights Returns'!$B$9:$BJ$69))+1,MOD(ROW(A1432)-1,COLUMNS('Portfolio Weights Returns'!$B$9:$BJ$69))+1)</f>
        <v>-8.5389565310890693E-4</v>
      </c>
      <c r="B1433">
        <v>1.9E-2</v>
      </c>
      <c r="C1433" s="59">
        <v>-0.06</v>
      </c>
      <c r="D1433" s="59">
        <v>0.18</v>
      </c>
      <c r="E1433" s="60">
        <f t="shared" si="22"/>
        <v>0.88000000000000012</v>
      </c>
      <c r="F1433" t="str" cm="1">
        <f t="array" ref="F1433">IF(A1433=MAX(IF(ROUND($B$2:$B$3722,4)=ROUND(B1433,4),$A$2:$A$3722)),"Efficient","Inefficient")</f>
        <v>Inefficient</v>
      </c>
    </row>
    <row r="1434" spans="1:6" x14ac:dyDescent="0.25">
      <c r="A1434" cm="1">
        <f t="array" ref="A1434">INDEX('Portfolio Weights Returns'!$B$9:$BJ$69,
INT((ROW(A1433)-1)/COLUMNS('Portfolio Weights Returns'!$B$9:$BJ$69))+1,MOD(ROW(A1433)-1,COLUMNS('Portfolio Weights Returns'!$B$9:$BJ$69))+1)</f>
        <v>-8.471144791422279E-4</v>
      </c>
      <c r="B1434">
        <v>1.9E-2</v>
      </c>
      <c r="C1434" s="59">
        <v>-0.06</v>
      </c>
      <c r="D1434" s="59">
        <v>0.19</v>
      </c>
      <c r="E1434" s="60">
        <f t="shared" si="22"/>
        <v>0.87000000000000011</v>
      </c>
      <c r="F1434" t="str" cm="1">
        <f t="array" ref="F1434">IF(A1434=MAX(IF(ROUND($B$2:$B$3722,4)=ROUND(B1434,4),$A$2:$A$3722)),"Efficient","Inefficient")</f>
        <v>Inefficient</v>
      </c>
    </row>
    <row r="1435" spans="1:6" x14ac:dyDescent="0.25">
      <c r="A1435" cm="1">
        <f t="array" ref="A1435">INDEX('Portfolio Weights Returns'!$B$9:$BJ$69,
INT((ROW(A1434)-1)/COLUMNS('Portfolio Weights Returns'!$B$9:$BJ$69))+1,MOD(ROW(A1434)-1,COLUMNS('Portfolio Weights Returns'!$B$9:$BJ$69))+1)</f>
        <v>-8.4033330517554875E-4</v>
      </c>
      <c r="B1435">
        <v>1.9E-2</v>
      </c>
      <c r="C1435" s="59">
        <v>-0.06</v>
      </c>
      <c r="D1435" s="59">
        <v>0.2</v>
      </c>
      <c r="E1435" s="60">
        <f t="shared" si="22"/>
        <v>0.8600000000000001</v>
      </c>
      <c r="F1435" t="str" cm="1">
        <f t="array" ref="F1435">IF(A1435=MAX(IF(ROUND($B$2:$B$3722,4)=ROUND(B1435,4),$A$2:$A$3722)),"Efficient","Inefficient")</f>
        <v>Inefficient</v>
      </c>
    </row>
    <row r="1436" spans="1:6" x14ac:dyDescent="0.25">
      <c r="A1436" cm="1">
        <f t="array" ref="A1436">INDEX('Portfolio Weights Returns'!$B$9:$BJ$69,
INT((ROW(A1435)-1)/COLUMNS('Portfolio Weights Returns'!$B$9:$BJ$69))+1,MOD(ROW(A1435)-1,COLUMNS('Portfolio Weights Returns'!$B$9:$BJ$69))+1)</f>
        <v>-8.3355213120886971E-4</v>
      </c>
      <c r="B1436">
        <v>1.9E-2</v>
      </c>
      <c r="C1436" s="59">
        <v>-0.06</v>
      </c>
      <c r="D1436" s="59">
        <v>0.21</v>
      </c>
      <c r="E1436" s="60">
        <f t="shared" si="22"/>
        <v>0.85000000000000009</v>
      </c>
      <c r="F1436" t="str" cm="1">
        <f t="array" ref="F1436">IF(A1436=MAX(IF(ROUND($B$2:$B$3722,4)=ROUND(B1436,4),$A$2:$A$3722)),"Efficient","Inefficient")</f>
        <v>Inefficient</v>
      </c>
    </row>
    <row r="1437" spans="1:6" x14ac:dyDescent="0.25">
      <c r="A1437" cm="1">
        <f t="array" ref="A1437">INDEX('Portfolio Weights Returns'!$B$9:$BJ$69,
INT((ROW(A1436)-1)/COLUMNS('Portfolio Weights Returns'!$B$9:$BJ$69))+1,MOD(ROW(A1436)-1,COLUMNS('Portfolio Weights Returns'!$B$9:$BJ$69))+1)</f>
        <v>-8.2677095724219057E-4</v>
      </c>
      <c r="B1437">
        <v>1.9E-2</v>
      </c>
      <c r="C1437" s="59">
        <v>-0.05</v>
      </c>
      <c r="D1437" s="59">
        <v>0.22</v>
      </c>
      <c r="E1437" s="60">
        <f t="shared" si="22"/>
        <v>0.83000000000000007</v>
      </c>
      <c r="F1437" t="str" cm="1">
        <f t="array" ref="F1437">IF(A1437=MAX(IF(ROUND($B$2:$B$3722,4)=ROUND(B1437,4),$A$2:$A$3722)),"Efficient","Inefficient")</f>
        <v>Inefficient</v>
      </c>
    </row>
    <row r="1438" spans="1:6" x14ac:dyDescent="0.25">
      <c r="A1438" cm="1">
        <f t="array" ref="A1438">INDEX('Portfolio Weights Returns'!$B$9:$BJ$69,
INT((ROW(A1437)-1)/COLUMNS('Portfolio Weights Returns'!$B$9:$BJ$69))+1,MOD(ROW(A1437)-1,COLUMNS('Portfolio Weights Returns'!$B$9:$BJ$69))+1)</f>
        <v>-8.1998978327551153E-4</v>
      </c>
      <c r="B1438">
        <v>1.9E-2</v>
      </c>
      <c r="C1438" s="59">
        <v>-0.05</v>
      </c>
      <c r="D1438" s="59">
        <v>0.23</v>
      </c>
      <c r="E1438" s="60">
        <f t="shared" si="22"/>
        <v>0.82000000000000006</v>
      </c>
      <c r="F1438" t="str" cm="1">
        <f t="array" ref="F1438">IF(A1438=MAX(IF(ROUND($B$2:$B$3722,4)=ROUND(B1438,4),$A$2:$A$3722)),"Efficient","Inefficient")</f>
        <v>Inefficient</v>
      </c>
    </row>
    <row r="1439" spans="1:6" x14ac:dyDescent="0.25">
      <c r="A1439" cm="1">
        <f t="array" ref="A1439">INDEX('Portfolio Weights Returns'!$B$9:$BJ$69,
INT((ROW(A1438)-1)/COLUMNS('Portfolio Weights Returns'!$B$9:$BJ$69))+1,MOD(ROW(A1438)-1,COLUMNS('Portfolio Weights Returns'!$B$9:$BJ$69))+1)</f>
        <v>-8.1320860930883228E-4</v>
      </c>
      <c r="B1439">
        <v>1.9E-2</v>
      </c>
      <c r="C1439" s="59">
        <v>-0.05</v>
      </c>
      <c r="D1439" s="59">
        <v>0.24</v>
      </c>
      <c r="E1439" s="60">
        <f t="shared" si="22"/>
        <v>0.81</v>
      </c>
      <c r="F1439" t="str" cm="1">
        <f t="array" ref="F1439">IF(A1439=MAX(IF(ROUND($B$2:$B$3722,4)=ROUND(B1439,4),$A$2:$A$3722)),"Efficient","Inefficient")</f>
        <v>Inefficient</v>
      </c>
    </row>
    <row r="1440" spans="1:6" x14ac:dyDescent="0.25">
      <c r="A1440" cm="1">
        <f t="array" ref="A1440">INDEX('Portfolio Weights Returns'!$B$9:$BJ$69,
INT((ROW(A1439)-1)/COLUMNS('Portfolio Weights Returns'!$B$9:$BJ$69))+1,MOD(ROW(A1439)-1,COLUMNS('Portfolio Weights Returns'!$B$9:$BJ$69))+1)</f>
        <v>-8.0642743534215325E-4</v>
      </c>
      <c r="B1440">
        <v>1.9E-2</v>
      </c>
      <c r="C1440" s="59">
        <v>-0.04</v>
      </c>
      <c r="D1440" s="59">
        <v>0.25</v>
      </c>
      <c r="E1440" s="60">
        <f t="shared" si="22"/>
        <v>0.79</v>
      </c>
      <c r="F1440" t="str" cm="1">
        <f t="array" ref="F1440">IF(A1440=MAX(IF(ROUND($B$2:$B$3722,4)=ROUND(B1440,4),$A$2:$A$3722)),"Efficient","Inefficient")</f>
        <v>Inefficient</v>
      </c>
    </row>
    <row r="1441" spans="1:6" x14ac:dyDescent="0.25">
      <c r="A1441" cm="1">
        <f t="array" ref="A1441">INDEX('Portfolio Weights Returns'!$B$9:$BJ$69,
INT((ROW(A1440)-1)/COLUMNS('Portfolio Weights Returns'!$B$9:$BJ$69))+1,MOD(ROW(A1440)-1,COLUMNS('Portfolio Weights Returns'!$B$9:$BJ$69))+1)</f>
        <v>-7.996462613754741E-4</v>
      </c>
      <c r="B1441">
        <v>1.9E-2</v>
      </c>
      <c r="C1441" s="59">
        <v>-0.03</v>
      </c>
      <c r="D1441" s="59">
        <v>0.26</v>
      </c>
      <c r="E1441" s="60">
        <f t="shared" si="22"/>
        <v>0.77</v>
      </c>
      <c r="F1441" t="str" cm="1">
        <f t="array" ref="F1441">IF(A1441=MAX(IF(ROUND($B$2:$B$3722,4)=ROUND(B1441,4),$A$2:$A$3722)),"Efficient","Inefficient")</f>
        <v>Inefficient</v>
      </c>
    </row>
    <row r="1442" spans="1:6" x14ac:dyDescent="0.25">
      <c r="A1442" cm="1">
        <f t="array" ref="A1442">INDEX('Portfolio Weights Returns'!$B$9:$BJ$69,
INT((ROW(A1441)-1)/COLUMNS('Portfolio Weights Returns'!$B$9:$BJ$69))+1,MOD(ROW(A1441)-1,COLUMNS('Portfolio Weights Returns'!$B$9:$BJ$69))+1)</f>
        <v>-7.9286508740879496E-4</v>
      </c>
      <c r="B1442">
        <v>1.9E-2</v>
      </c>
      <c r="C1442" s="59">
        <v>-0.03</v>
      </c>
      <c r="D1442" s="59">
        <v>0.27</v>
      </c>
      <c r="E1442" s="60">
        <f t="shared" si="22"/>
        <v>0.76</v>
      </c>
      <c r="F1442" t="str" cm="1">
        <f t="array" ref="F1442">IF(A1442=MAX(IF(ROUND($B$2:$B$3722,4)=ROUND(B1442,4),$A$2:$A$3722)),"Efficient","Inefficient")</f>
        <v>Inefficient</v>
      </c>
    </row>
    <row r="1443" spans="1:6" x14ac:dyDescent="0.25">
      <c r="A1443" cm="1">
        <f t="array" ref="A1443">INDEX('Portfolio Weights Returns'!$B$9:$BJ$69,
INT((ROW(A1442)-1)/COLUMNS('Portfolio Weights Returns'!$B$9:$BJ$69))+1,MOD(ROW(A1442)-1,COLUMNS('Portfolio Weights Returns'!$B$9:$BJ$69))+1)</f>
        <v>-7.8608391344211592E-4</v>
      </c>
      <c r="B1443">
        <v>1.9E-2</v>
      </c>
      <c r="C1443" s="59">
        <v>-0.02</v>
      </c>
      <c r="D1443" s="59">
        <v>0.27</v>
      </c>
      <c r="E1443" s="60">
        <f t="shared" si="22"/>
        <v>0.75</v>
      </c>
      <c r="F1443" t="str" cm="1">
        <f t="array" ref="F1443">IF(A1443=MAX(IF(ROUND($B$2:$B$3722,4)=ROUND(B1443,4),$A$2:$A$3722)),"Efficient","Inefficient")</f>
        <v>Inefficient</v>
      </c>
    </row>
    <row r="1444" spans="1:6" x14ac:dyDescent="0.25">
      <c r="A1444" cm="1">
        <f t="array" ref="A1444">INDEX('Portfolio Weights Returns'!$B$9:$BJ$69,
INT((ROW(A1443)-1)/COLUMNS('Portfolio Weights Returns'!$B$9:$BJ$69))+1,MOD(ROW(A1443)-1,COLUMNS('Portfolio Weights Returns'!$B$9:$BJ$69))+1)</f>
        <v>-7.7930273947543678E-4</v>
      </c>
      <c r="B1444">
        <v>1.9E-2</v>
      </c>
      <c r="C1444" s="59">
        <v>-0.02</v>
      </c>
      <c r="D1444" s="59">
        <v>0.28000000000000003</v>
      </c>
      <c r="E1444" s="60">
        <f t="shared" si="22"/>
        <v>0.74</v>
      </c>
      <c r="F1444" t="str" cm="1">
        <f t="array" ref="F1444">IF(A1444=MAX(IF(ROUND($B$2:$B$3722,4)=ROUND(B1444,4),$A$2:$A$3722)),"Efficient","Inefficient")</f>
        <v>Inefficient</v>
      </c>
    </row>
    <row r="1445" spans="1:6" x14ac:dyDescent="0.25">
      <c r="A1445" cm="1">
        <f t="array" ref="A1445">INDEX('Portfolio Weights Returns'!$B$9:$BJ$69,
INT((ROW(A1444)-1)/COLUMNS('Portfolio Weights Returns'!$B$9:$BJ$69))+1,MOD(ROW(A1444)-1,COLUMNS('Portfolio Weights Returns'!$B$9:$BJ$69))+1)</f>
        <v>-7.7252156550875774E-4</v>
      </c>
      <c r="B1445">
        <v>1.9E-2</v>
      </c>
      <c r="C1445" s="59">
        <v>-0.01</v>
      </c>
      <c r="D1445" s="59">
        <v>0.28999999999999998</v>
      </c>
      <c r="E1445" s="60">
        <f t="shared" si="22"/>
        <v>0.72</v>
      </c>
      <c r="F1445" t="str" cm="1">
        <f t="array" ref="F1445">IF(A1445=MAX(IF(ROUND($B$2:$B$3722,4)=ROUND(B1445,4),$A$2:$A$3722)),"Efficient","Inefficient")</f>
        <v>Inefficient</v>
      </c>
    </row>
    <row r="1446" spans="1:6" x14ac:dyDescent="0.25">
      <c r="A1446" cm="1">
        <f t="array" ref="A1446">INDEX('Portfolio Weights Returns'!$B$9:$BJ$69,
INT((ROW(A1445)-1)/COLUMNS('Portfolio Weights Returns'!$B$9:$BJ$69))+1,MOD(ROW(A1445)-1,COLUMNS('Portfolio Weights Returns'!$B$9:$BJ$69))+1)</f>
        <v>-7.6574039154207849E-4</v>
      </c>
      <c r="B1446">
        <v>1.9E-2</v>
      </c>
      <c r="C1446" s="59">
        <v>0</v>
      </c>
      <c r="D1446" s="59">
        <v>0.28999999999999998</v>
      </c>
      <c r="E1446" s="60">
        <f t="shared" si="22"/>
        <v>0.71</v>
      </c>
      <c r="F1446" t="str" cm="1">
        <f t="array" ref="F1446">IF(A1446=MAX(IF(ROUND($B$2:$B$3722,4)=ROUND(B1446,4),$A$2:$A$3722)),"Efficient","Inefficient")</f>
        <v>Inefficient</v>
      </c>
    </row>
    <row r="1447" spans="1:6" x14ac:dyDescent="0.25">
      <c r="A1447" cm="1">
        <f t="array" ref="A1447">INDEX('Portfolio Weights Returns'!$B$9:$BJ$69,
INT((ROW(A1446)-1)/COLUMNS('Portfolio Weights Returns'!$B$9:$BJ$69))+1,MOD(ROW(A1446)-1,COLUMNS('Portfolio Weights Returns'!$B$9:$BJ$69))+1)</f>
        <v>-7.5895921757539945E-4</v>
      </c>
      <c r="B1447">
        <v>1.9E-2</v>
      </c>
      <c r="C1447" s="59">
        <v>0.01</v>
      </c>
      <c r="D1447" s="59">
        <v>0.3</v>
      </c>
      <c r="E1447" s="60">
        <f t="shared" si="22"/>
        <v>0.69</v>
      </c>
      <c r="F1447" t="str" cm="1">
        <f t="array" ref="F1447">IF(A1447=MAX(IF(ROUND($B$2:$B$3722,4)=ROUND(B1447,4),$A$2:$A$3722)),"Efficient","Inefficient")</f>
        <v>Efficient</v>
      </c>
    </row>
    <row r="1448" spans="1:6" x14ac:dyDescent="0.25">
      <c r="A1448" cm="1">
        <f t="array" ref="A1448">INDEX('Portfolio Weights Returns'!$B$9:$BJ$69,
INT((ROW(A1447)-1)/COLUMNS('Portfolio Weights Returns'!$B$9:$BJ$69))+1,MOD(ROW(A1447)-1,COLUMNS('Portfolio Weights Returns'!$B$9:$BJ$69))+1)</f>
        <v>-7.5217804360872031E-4</v>
      </c>
      <c r="B1448">
        <v>1.9099999999999999E-2</v>
      </c>
      <c r="C1448" s="59">
        <v>0.28999999999999998</v>
      </c>
      <c r="D1448" s="59">
        <v>-0.22</v>
      </c>
      <c r="E1448" s="60">
        <f t="shared" si="22"/>
        <v>0.92999999999999994</v>
      </c>
      <c r="F1448" t="str" cm="1">
        <f t="array" ref="F1448">IF(A1448=MAX(IF(ROUND($B$2:$B$3722,4)=ROUND(B1448,4),$A$2:$A$3722)),"Efficient","Inefficient")</f>
        <v>Inefficient</v>
      </c>
    </row>
    <row r="1449" spans="1:6" x14ac:dyDescent="0.25">
      <c r="A1449" cm="1">
        <f t="array" ref="A1449">INDEX('Portfolio Weights Returns'!$B$9:$BJ$69,
INT((ROW(A1448)-1)/COLUMNS('Portfolio Weights Returns'!$B$9:$BJ$69))+1,MOD(ROW(A1448)-1,COLUMNS('Portfolio Weights Returns'!$B$9:$BJ$69))+1)</f>
        <v>-7.4539686964204127E-4</v>
      </c>
      <c r="B1449">
        <v>1.9099999999999999E-2</v>
      </c>
      <c r="C1449" s="59">
        <v>0.27</v>
      </c>
      <c r="D1449" s="59">
        <v>-0.21</v>
      </c>
      <c r="E1449" s="60">
        <f t="shared" si="22"/>
        <v>0.94</v>
      </c>
      <c r="F1449" t="str" cm="1">
        <f t="array" ref="F1449">IF(A1449=MAX(IF(ROUND($B$2:$B$3722,4)=ROUND(B1449,4),$A$2:$A$3722)),"Efficient","Inefficient")</f>
        <v>Inefficient</v>
      </c>
    </row>
    <row r="1450" spans="1:6" x14ac:dyDescent="0.25">
      <c r="A1450" cm="1">
        <f t="array" ref="A1450">INDEX('Portfolio Weights Returns'!$B$9:$BJ$69,
INT((ROW(A1449)-1)/COLUMNS('Portfolio Weights Returns'!$B$9:$BJ$69))+1,MOD(ROW(A1449)-1,COLUMNS('Portfolio Weights Returns'!$B$9:$BJ$69))+1)</f>
        <v>-7.3861569567536213E-4</v>
      </c>
      <c r="B1450">
        <v>1.9099999999999999E-2</v>
      </c>
      <c r="C1450" s="59">
        <v>0.25</v>
      </c>
      <c r="D1450" s="59">
        <v>-0.2</v>
      </c>
      <c r="E1450" s="60">
        <f t="shared" si="22"/>
        <v>0.95</v>
      </c>
      <c r="F1450" t="str" cm="1">
        <f t="array" ref="F1450">IF(A1450=MAX(IF(ROUND($B$2:$B$3722,4)=ROUND(B1450,4),$A$2:$A$3722)),"Efficient","Inefficient")</f>
        <v>Inefficient</v>
      </c>
    </row>
    <row r="1451" spans="1:6" x14ac:dyDescent="0.25">
      <c r="A1451" cm="1">
        <f t="array" ref="A1451">INDEX('Portfolio Weights Returns'!$B$9:$BJ$69,
INT((ROW(A1450)-1)/COLUMNS('Portfolio Weights Returns'!$B$9:$BJ$69))+1,MOD(ROW(A1450)-1,COLUMNS('Portfolio Weights Returns'!$B$9:$BJ$69))+1)</f>
        <v>-7.3183452170868309E-4</v>
      </c>
      <c r="B1451">
        <v>1.9099999999999999E-2</v>
      </c>
      <c r="C1451" s="59">
        <v>0.23</v>
      </c>
      <c r="D1451" s="59">
        <v>-0.19</v>
      </c>
      <c r="E1451" s="60">
        <f t="shared" si="22"/>
        <v>0.96</v>
      </c>
      <c r="F1451" t="str" cm="1">
        <f t="array" ref="F1451">IF(A1451=MAX(IF(ROUND($B$2:$B$3722,4)=ROUND(B1451,4),$A$2:$A$3722)),"Efficient","Inefficient")</f>
        <v>Inefficient</v>
      </c>
    </row>
    <row r="1452" spans="1:6" x14ac:dyDescent="0.25">
      <c r="A1452" cm="1">
        <f t="array" ref="A1452">INDEX('Portfolio Weights Returns'!$B$9:$BJ$69,
INT((ROW(A1451)-1)/COLUMNS('Portfolio Weights Returns'!$B$9:$BJ$69))+1,MOD(ROW(A1451)-1,COLUMNS('Portfolio Weights Returns'!$B$9:$BJ$69))+1)</f>
        <v>-7.2505334774200395E-4</v>
      </c>
      <c r="B1452">
        <v>1.9099999999999999E-2</v>
      </c>
      <c r="C1452" s="59">
        <v>0.22</v>
      </c>
      <c r="D1452" s="59">
        <v>-0.18</v>
      </c>
      <c r="E1452" s="60">
        <f t="shared" si="22"/>
        <v>0.96</v>
      </c>
      <c r="F1452" t="str" cm="1">
        <f t="array" ref="F1452">IF(A1452=MAX(IF(ROUND($B$2:$B$3722,4)=ROUND(B1452,4),$A$2:$A$3722)),"Efficient","Inefficient")</f>
        <v>Inefficient</v>
      </c>
    </row>
    <row r="1453" spans="1:6" x14ac:dyDescent="0.25">
      <c r="A1453" cm="1">
        <f t="array" ref="A1453">INDEX('Portfolio Weights Returns'!$B$9:$BJ$69,
INT((ROW(A1452)-1)/COLUMNS('Portfolio Weights Returns'!$B$9:$BJ$69))+1,MOD(ROW(A1452)-1,COLUMNS('Portfolio Weights Returns'!$B$9:$BJ$69))+1)</f>
        <v>-7.1827217377532491E-4</v>
      </c>
      <c r="B1453">
        <v>1.9099999999999999E-2</v>
      </c>
      <c r="C1453" s="59">
        <v>0.2</v>
      </c>
      <c r="D1453" s="59">
        <v>-0.17</v>
      </c>
      <c r="E1453" s="60">
        <f t="shared" si="22"/>
        <v>0.97</v>
      </c>
      <c r="F1453" t="str" cm="1">
        <f t="array" ref="F1453">IF(A1453=MAX(IF(ROUND($B$2:$B$3722,4)=ROUND(B1453,4),$A$2:$A$3722)),"Efficient","Inefficient")</f>
        <v>Inefficient</v>
      </c>
    </row>
    <row r="1454" spans="1:6" x14ac:dyDescent="0.25">
      <c r="A1454" cm="1">
        <f t="array" ref="A1454">INDEX('Portfolio Weights Returns'!$B$9:$BJ$69,
INT((ROW(A1453)-1)/COLUMNS('Portfolio Weights Returns'!$B$9:$BJ$69))+1,MOD(ROW(A1453)-1,COLUMNS('Portfolio Weights Returns'!$B$9:$BJ$69))+1)</f>
        <v>-7.1149099980864587E-4</v>
      </c>
      <c r="B1454">
        <v>1.9099999999999999E-2</v>
      </c>
      <c r="C1454" s="59">
        <v>0.17</v>
      </c>
      <c r="D1454" s="59">
        <v>-0.15</v>
      </c>
      <c r="E1454" s="60">
        <f t="shared" si="22"/>
        <v>0.97999999999999987</v>
      </c>
      <c r="F1454" t="str" cm="1">
        <f t="array" ref="F1454">IF(A1454=MAX(IF(ROUND($B$2:$B$3722,4)=ROUND(B1454,4),$A$2:$A$3722)),"Efficient","Inefficient")</f>
        <v>Inefficient</v>
      </c>
    </row>
    <row r="1455" spans="1:6" x14ac:dyDescent="0.25">
      <c r="A1455" cm="1">
        <f t="array" ref="A1455">INDEX('Portfolio Weights Returns'!$B$9:$BJ$69,
INT((ROW(A1454)-1)/COLUMNS('Portfolio Weights Returns'!$B$9:$BJ$69))+1,MOD(ROW(A1454)-1,COLUMNS('Portfolio Weights Returns'!$B$9:$BJ$69))+1)</f>
        <v>-7.0470982584196673E-4</v>
      </c>
      <c r="B1455">
        <v>1.9099999999999999E-2</v>
      </c>
      <c r="C1455" s="59">
        <v>0.14000000000000001</v>
      </c>
      <c r="D1455" s="59">
        <v>-0.13</v>
      </c>
      <c r="E1455" s="60">
        <f t="shared" si="22"/>
        <v>0.98999999999999988</v>
      </c>
      <c r="F1455" t="str" cm="1">
        <f t="array" ref="F1455">IF(A1455=MAX(IF(ROUND($B$2:$B$3722,4)=ROUND(B1455,4),$A$2:$A$3722)),"Efficient","Inefficient")</f>
        <v>Inefficient</v>
      </c>
    </row>
    <row r="1456" spans="1:6" x14ac:dyDescent="0.25">
      <c r="A1456" cm="1">
        <f t="array" ref="A1456">INDEX('Portfolio Weights Returns'!$B$9:$BJ$69,
INT((ROW(A1455)-1)/COLUMNS('Portfolio Weights Returns'!$B$9:$BJ$69))+1,MOD(ROW(A1455)-1,COLUMNS('Portfolio Weights Returns'!$B$9:$BJ$69))+1)</f>
        <v>-6.9792865187528769E-4</v>
      </c>
      <c r="B1456">
        <v>1.9099999999999999E-2</v>
      </c>
      <c r="C1456" s="59">
        <v>0.13</v>
      </c>
      <c r="D1456" s="59">
        <v>-0.12</v>
      </c>
      <c r="E1456" s="60">
        <f t="shared" si="22"/>
        <v>0.9900000000000001</v>
      </c>
      <c r="F1456" t="str" cm="1">
        <f t="array" ref="F1456">IF(A1456=MAX(IF(ROUND($B$2:$B$3722,4)=ROUND(B1456,4),$A$2:$A$3722)),"Efficient","Inefficient")</f>
        <v>Inefficient</v>
      </c>
    </row>
    <row r="1457" spans="1:6" x14ac:dyDescent="0.25">
      <c r="A1457" cm="1">
        <f t="array" ref="A1457">INDEX('Portfolio Weights Returns'!$B$9:$BJ$69,
INT((ROW(A1456)-1)/COLUMNS('Portfolio Weights Returns'!$B$9:$BJ$69))+1,MOD(ROW(A1456)-1,COLUMNS('Portfolio Weights Returns'!$B$9:$BJ$69))+1)</f>
        <v>-6.9114747790860844E-4</v>
      </c>
      <c r="B1457">
        <v>1.9099999999999999E-2</v>
      </c>
      <c r="C1457" s="59">
        <v>0.1</v>
      </c>
      <c r="D1457" s="59">
        <v>-0.1</v>
      </c>
      <c r="E1457" s="60">
        <f t="shared" si="22"/>
        <v>1</v>
      </c>
      <c r="F1457" t="str" cm="1">
        <f t="array" ref="F1457">IF(A1457=MAX(IF(ROUND($B$2:$B$3722,4)=ROUND(B1457,4),$A$2:$A$3722)),"Efficient","Inefficient")</f>
        <v>Inefficient</v>
      </c>
    </row>
    <row r="1458" spans="1:6" x14ac:dyDescent="0.25">
      <c r="A1458" cm="1">
        <f t="array" ref="A1458">INDEX('Portfolio Weights Returns'!$B$9:$BJ$69,
INT((ROW(A1457)-1)/COLUMNS('Portfolio Weights Returns'!$B$9:$BJ$69))+1,MOD(ROW(A1457)-1,COLUMNS('Portfolio Weights Returns'!$B$9:$BJ$69))+1)</f>
        <v>-6.843663039419294E-4</v>
      </c>
      <c r="B1458">
        <v>1.9099999999999999E-2</v>
      </c>
      <c r="C1458" s="59">
        <v>0.09</v>
      </c>
      <c r="D1458" s="59">
        <v>-0.09</v>
      </c>
      <c r="E1458" s="60">
        <f t="shared" si="22"/>
        <v>1</v>
      </c>
      <c r="F1458" t="str" cm="1">
        <f t="array" ref="F1458">IF(A1458=MAX(IF(ROUND($B$2:$B$3722,4)=ROUND(B1458,4),$A$2:$A$3722)),"Efficient","Inefficient")</f>
        <v>Inefficient</v>
      </c>
    </row>
    <row r="1459" spans="1:6" x14ac:dyDescent="0.25">
      <c r="A1459" cm="1">
        <f t="array" ref="A1459">INDEX('Portfolio Weights Returns'!$B$9:$BJ$69,
INT((ROW(A1458)-1)/COLUMNS('Portfolio Weights Returns'!$B$9:$BJ$69))+1,MOD(ROW(A1458)-1,COLUMNS('Portfolio Weights Returns'!$B$9:$BJ$69))+1)</f>
        <v>-6.7758512997525026E-4</v>
      </c>
      <c r="B1459">
        <v>1.9099999999999999E-2</v>
      </c>
      <c r="C1459" s="59">
        <v>0.08</v>
      </c>
      <c r="D1459" s="59">
        <v>-0.08</v>
      </c>
      <c r="E1459" s="60">
        <f t="shared" si="22"/>
        <v>1</v>
      </c>
      <c r="F1459" t="str" cm="1">
        <f t="array" ref="F1459">IF(A1459=MAX(IF(ROUND($B$2:$B$3722,4)=ROUND(B1459,4),$A$2:$A$3722)),"Efficient","Inefficient")</f>
        <v>Inefficient</v>
      </c>
    </row>
    <row r="1460" spans="1:6" x14ac:dyDescent="0.25">
      <c r="A1460" cm="1">
        <f t="array" ref="A1460">INDEX('Portfolio Weights Returns'!$B$9:$BJ$69,
INT((ROW(A1459)-1)/COLUMNS('Portfolio Weights Returns'!$B$9:$BJ$69))+1,MOD(ROW(A1459)-1,COLUMNS('Portfolio Weights Returns'!$B$9:$BJ$69))+1)</f>
        <v>-6.7080395600857122E-4</v>
      </c>
      <c r="B1460">
        <v>1.9099999999999999E-2</v>
      </c>
      <c r="C1460" s="59">
        <v>7.0000000000000007E-2</v>
      </c>
      <c r="D1460" s="59">
        <v>-7.0000000000000007E-2</v>
      </c>
      <c r="E1460" s="60">
        <f t="shared" si="22"/>
        <v>1</v>
      </c>
      <c r="F1460" t="str" cm="1">
        <f t="array" ref="F1460">IF(A1460=MAX(IF(ROUND($B$2:$B$3722,4)=ROUND(B1460,4),$A$2:$A$3722)),"Efficient","Inefficient")</f>
        <v>Inefficient</v>
      </c>
    </row>
    <row r="1461" spans="1:6" x14ac:dyDescent="0.25">
      <c r="A1461" cm="1">
        <f t="array" ref="A1461">INDEX('Portfolio Weights Returns'!$B$9:$BJ$69,
INT((ROW(A1460)-1)/COLUMNS('Portfolio Weights Returns'!$B$9:$BJ$69))+1,MOD(ROW(A1460)-1,COLUMNS('Portfolio Weights Returns'!$B$9:$BJ$69))+1)</f>
        <v>-6.6402278204189208E-4</v>
      </c>
      <c r="B1461">
        <v>1.9099999999999999E-2</v>
      </c>
      <c r="C1461" s="59">
        <v>0.06</v>
      </c>
      <c r="D1461" s="59">
        <v>-0.06</v>
      </c>
      <c r="E1461" s="60">
        <f t="shared" si="22"/>
        <v>1</v>
      </c>
      <c r="F1461" t="str" cm="1">
        <f t="array" ref="F1461">IF(A1461=MAX(IF(ROUND($B$2:$B$3722,4)=ROUND(B1461,4),$A$2:$A$3722)),"Efficient","Inefficient")</f>
        <v>Inefficient</v>
      </c>
    </row>
    <row r="1462" spans="1:6" x14ac:dyDescent="0.25">
      <c r="A1462" cm="1">
        <f t="array" ref="A1462">INDEX('Portfolio Weights Returns'!$B$9:$BJ$69,
INT((ROW(A1461)-1)/COLUMNS('Portfolio Weights Returns'!$B$9:$BJ$69))+1,MOD(ROW(A1461)-1,COLUMNS('Portfolio Weights Returns'!$B$9:$BJ$69))+1)</f>
        <v>-6.5724160807521228E-4</v>
      </c>
      <c r="B1462">
        <v>1.9099999999999999E-2</v>
      </c>
      <c r="C1462" s="59">
        <v>0.05</v>
      </c>
      <c r="D1462" s="59">
        <v>-0.05</v>
      </c>
      <c r="E1462" s="60">
        <f t="shared" si="22"/>
        <v>1</v>
      </c>
      <c r="F1462" t="str" cm="1">
        <f t="array" ref="F1462">IF(A1462=MAX(IF(ROUND($B$2:$B$3722,4)=ROUND(B1462,4),$A$2:$A$3722)),"Efficient","Inefficient")</f>
        <v>Inefficient</v>
      </c>
    </row>
    <row r="1463" spans="1:6" x14ac:dyDescent="0.25">
      <c r="A1463" cm="1">
        <f t="array" ref="A1463">INDEX('Portfolio Weights Returns'!$B$9:$BJ$69,
INT((ROW(A1462)-1)/COLUMNS('Portfolio Weights Returns'!$B$9:$BJ$69))+1,MOD(ROW(A1462)-1,COLUMNS('Portfolio Weights Returns'!$B$9:$BJ$69))+1)</f>
        <v>-6.5046043410853303E-4</v>
      </c>
      <c r="B1463">
        <v>1.9099999999999999E-2</v>
      </c>
      <c r="C1463" s="59">
        <v>0.04</v>
      </c>
      <c r="D1463" s="59">
        <v>-0.04</v>
      </c>
      <c r="E1463" s="60">
        <f t="shared" si="22"/>
        <v>1</v>
      </c>
      <c r="F1463" t="str" cm="1">
        <f t="array" ref="F1463">IF(A1463=MAX(IF(ROUND($B$2:$B$3722,4)=ROUND(B1463,4),$A$2:$A$3722)),"Efficient","Inefficient")</f>
        <v>Inefficient</v>
      </c>
    </row>
    <row r="1464" spans="1:6" x14ac:dyDescent="0.25">
      <c r="A1464" cm="1">
        <f t="array" ref="A1464">INDEX('Portfolio Weights Returns'!$B$9:$BJ$69,
INT((ROW(A1463)-1)/COLUMNS('Portfolio Weights Returns'!$B$9:$BJ$69))+1,MOD(ROW(A1463)-1,COLUMNS('Portfolio Weights Returns'!$B$9:$BJ$69))+1)</f>
        <v>-6.436792601418541E-4</v>
      </c>
      <c r="B1464">
        <v>1.9099999999999999E-2</v>
      </c>
      <c r="C1464" s="59">
        <v>0.03</v>
      </c>
      <c r="D1464" s="59">
        <v>-0.03</v>
      </c>
      <c r="E1464" s="60">
        <f t="shared" si="22"/>
        <v>1</v>
      </c>
      <c r="F1464" t="str" cm="1">
        <f t="array" ref="F1464">IF(A1464=MAX(IF(ROUND($B$2:$B$3722,4)=ROUND(B1464,4),$A$2:$A$3722)),"Efficient","Inefficient")</f>
        <v>Inefficient</v>
      </c>
    </row>
    <row r="1465" spans="1:6" x14ac:dyDescent="0.25">
      <c r="A1465" cm="1">
        <f t="array" ref="A1465">INDEX('Portfolio Weights Returns'!$B$9:$BJ$69,
INT((ROW(A1464)-1)/COLUMNS('Portfolio Weights Returns'!$B$9:$BJ$69))+1,MOD(ROW(A1464)-1,COLUMNS('Portfolio Weights Returns'!$B$9:$BJ$69))+1)</f>
        <v>-6.3689808617517507E-4</v>
      </c>
      <c r="B1465">
        <v>1.9099999999999999E-2</v>
      </c>
      <c r="C1465" s="59">
        <v>0.02</v>
      </c>
      <c r="D1465" s="59">
        <v>-0.02</v>
      </c>
      <c r="E1465" s="60">
        <f t="shared" si="22"/>
        <v>1</v>
      </c>
      <c r="F1465" t="str" cm="1">
        <f t="array" ref="F1465">IF(A1465=MAX(IF(ROUND($B$2:$B$3722,4)=ROUND(B1465,4),$A$2:$A$3722)),"Efficient","Inefficient")</f>
        <v>Efficient</v>
      </c>
    </row>
    <row r="1466" spans="1:6" x14ac:dyDescent="0.25">
      <c r="A1466" cm="1">
        <f t="array" ref="A1466">INDEX('Portfolio Weights Returns'!$B$9:$BJ$69,
INT((ROW(A1465)-1)/COLUMNS('Portfolio Weights Returns'!$B$9:$BJ$69))+1,MOD(ROW(A1465)-1,COLUMNS('Portfolio Weights Returns'!$B$9:$BJ$69))+1)</f>
        <v>-1.0371943163304668E-3</v>
      </c>
      <c r="B1466">
        <v>1.9099999999999999E-2</v>
      </c>
      <c r="C1466" s="59">
        <v>0.01</v>
      </c>
      <c r="D1466" s="59">
        <v>-0.01</v>
      </c>
      <c r="E1466" s="60">
        <f t="shared" si="22"/>
        <v>1</v>
      </c>
      <c r="F1466" t="str" cm="1">
        <f t="array" ref="F1466">IF(A1466=MAX(IF(ROUND($B$2:$B$3722,4)=ROUND(B1466,4),$A$2:$A$3722)),"Efficient","Inefficient")</f>
        <v>Inefficient</v>
      </c>
    </row>
    <row r="1467" spans="1:6" x14ac:dyDescent="0.25">
      <c r="A1467" cm="1">
        <f t="array" ref="A1467">INDEX('Portfolio Weights Returns'!$B$9:$BJ$69,
INT((ROW(A1466)-1)/COLUMNS('Portfolio Weights Returns'!$B$9:$BJ$69))+1,MOD(ROW(A1466)-1,COLUMNS('Portfolio Weights Returns'!$B$9:$BJ$69))+1)</f>
        <v>-1.0304131423637876E-3</v>
      </c>
      <c r="B1467">
        <v>1.9099999999999999E-2</v>
      </c>
      <c r="C1467" s="59">
        <v>0</v>
      </c>
      <c r="D1467" s="59">
        <v>0</v>
      </c>
      <c r="E1467" s="60">
        <f t="shared" si="22"/>
        <v>1</v>
      </c>
      <c r="F1467" t="str" cm="1">
        <f t="array" ref="F1467">IF(A1467=MAX(IF(ROUND($B$2:$B$3722,4)=ROUND(B1467,4),$A$2:$A$3722)),"Efficient","Inefficient")</f>
        <v>Inefficient</v>
      </c>
    </row>
    <row r="1468" spans="1:6" x14ac:dyDescent="0.25">
      <c r="A1468" cm="1">
        <f t="array" ref="A1468">INDEX('Portfolio Weights Returns'!$B$9:$BJ$69,
INT((ROW(A1467)-1)/COLUMNS('Portfolio Weights Returns'!$B$9:$BJ$69))+1,MOD(ROW(A1467)-1,COLUMNS('Portfolio Weights Returns'!$B$9:$BJ$69))+1)</f>
        <v>-1.0236319683971087E-3</v>
      </c>
      <c r="B1468">
        <v>1.9099999999999999E-2</v>
      </c>
      <c r="C1468" s="59">
        <v>-0.01</v>
      </c>
      <c r="D1468" s="59">
        <v>0.02</v>
      </c>
      <c r="E1468" s="60">
        <f t="shared" si="22"/>
        <v>0.99</v>
      </c>
      <c r="F1468" t="str" cm="1">
        <f t="array" ref="F1468">IF(A1468=MAX(IF(ROUND($B$2:$B$3722,4)=ROUND(B1468,4),$A$2:$A$3722)),"Efficient","Inefficient")</f>
        <v>Inefficient</v>
      </c>
    </row>
    <row r="1469" spans="1:6" x14ac:dyDescent="0.25">
      <c r="A1469" cm="1">
        <f t="array" ref="A1469">INDEX('Portfolio Weights Returns'!$B$9:$BJ$69,
INT((ROW(A1468)-1)/COLUMNS('Portfolio Weights Returns'!$B$9:$BJ$69))+1,MOD(ROW(A1468)-1,COLUMNS('Portfolio Weights Returns'!$B$9:$BJ$69))+1)</f>
        <v>-1.0168507944304296E-3</v>
      </c>
      <c r="B1469">
        <v>1.9099999999999999E-2</v>
      </c>
      <c r="C1469" s="59">
        <v>-0.02</v>
      </c>
      <c r="D1469" s="59">
        <v>0.03</v>
      </c>
      <c r="E1469" s="60">
        <f t="shared" si="22"/>
        <v>0.99</v>
      </c>
      <c r="F1469" t="str" cm="1">
        <f t="array" ref="F1469">IF(A1469=MAX(IF(ROUND($B$2:$B$3722,4)=ROUND(B1469,4),$A$2:$A$3722)),"Efficient","Inefficient")</f>
        <v>Inefficient</v>
      </c>
    </row>
    <row r="1470" spans="1:6" x14ac:dyDescent="0.25">
      <c r="A1470" cm="1">
        <f t="array" ref="A1470">INDEX('Portfolio Weights Returns'!$B$9:$BJ$69,
INT((ROW(A1469)-1)/COLUMNS('Portfolio Weights Returns'!$B$9:$BJ$69))+1,MOD(ROW(A1469)-1,COLUMNS('Portfolio Weights Returns'!$B$9:$BJ$69))+1)</f>
        <v>-1.0100696204637504E-3</v>
      </c>
      <c r="B1470">
        <v>1.9099999999999999E-2</v>
      </c>
      <c r="C1470" s="59">
        <v>-0.03</v>
      </c>
      <c r="D1470" s="59">
        <v>0.05</v>
      </c>
      <c r="E1470" s="60">
        <f t="shared" si="22"/>
        <v>0.98</v>
      </c>
      <c r="F1470" t="str" cm="1">
        <f t="array" ref="F1470">IF(A1470=MAX(IF(ROUND($B$2:$B$3722,4)=ROUND(B1470,4),$A$2:$A$3722)),"Efficient","Inefficient")</f>
        <v>Inefficient</v>
      </c>
    </row>
    <row r="1471" spans="1:6" x14ac:dyDescent="0.25">
      <c r="A1471" cm="1">
        <f t="array" ref="A1471">INDEX('Portfolio Weights Returns'!$B$9:$BJ$69,
INT((ROW(A1470)-1)/COLUMNS('Portfolio Weights Returns'!$B$9:$BJ$69))+1,MOD(ROW(A1470)-1,COLUMNS('Portfolio Weights Returns'!$B$9:$BJ$69))+1)</f>
        <v>-1.0032884464970711E-3</v>
      </c>
      <c r="B1471">
        <v>1.9099999999999999E-2</v>
      </c>
      <c r="C1471" s="59">
        <v>-0.04</v>
      </c>
      <c r="D1471" s="59">
        <v>0.06</v>
      </c>
      <c r="E1471" s="60">
        <f t="shared" si="22"/>
        <v>0.98</v>
      </c>
      <c r="F1471" t="str" cm="1">
        <f t="array" ref="F1471">IF(A1471=MAX(IF(ROUND($B$2:$B$3722,4)=ROUND(B1471,4),$A$2:$A$3722)),"Efficient","Inefficient")</f>
        <v>Inefficient</v>
      </c>
    </row>
    <row r="1472" spans="1:6" x14ac:dyDescent="0.25">
      <c r="A1472" cm="1">
        <f t="array" ref="A1472">INDEX('Portfolio Weights Returns'!$B$9:$BJ$69,
INT((ROW(A1471)-1)/COLUMNS('Portfolio Weights Returns'!$B$9:$BJ$69))+1,MOD(ROW(A1471)-1,COLUMNS('Portfolio Weights Returns'!$B$9:$BJ$69))+1)</f>
        <v>-9.9650727253039213E-4</v>
      </c>
      <c r="B1472">
        <v>1.9099999999999999E-2</v>
      </c>
      <c r="C1472" s="59">
        <v>-0.04</v>
      </c>
      <c r="D1472" s="59">
        <v>7.0000000000000007E-2</v>
      </c>
      <c r="E1472" s="60">
        <f t="shared" si="22"/>
        <v>0.97</v>
      </c>
      <c r="F1472" t="str" cm="1">
        <f t="array" ref="F1472">IF(A1472=MAX(IF(ROUND($B$2:$B$3722,4)=ROUND(B1472,4),$A$2:$A$3722)),"Efficient","Inefficient")</f>
        <v>Inefficient</v>
      </c>
    </row>
    <row r="1473" spans="1:6" x14ac:dyDescent="0.25">
      <c r="A1473" cm="1">
        <f t="array" ref="A1473">INDEX('Portfolio Weights Returns'!$B$9:$BJ$69,
INT((ROW(A1472)-1)/COLUMNS('Portfolio Weights Returns'!$B$9:$BJ$69))+1,MOD(ROW(A1472)-1,COLUMNS('Portfolio Weights Returns'!$B$9:$BJ$69))+1)</f>
        <v>-9.8972609856371298E-4</v>
      </c>
      <c r="B1473">
        <v>1.9099999999999999E-2</v>
      </c>
      <c r="C1473" s="59">
        <v>-0.05</v>
      </c>
      <c r="D1473" s="59">
        <v>0.08</v>
      </c>
      <c r="E1473" s="60">
        <f t="shared" si="22"/>
        <v>0.97000000000000008</v>
      </c>
      <c r="F1473" t="str" cm="1">
        <f t="array" ref="F1473">IF(A1473=MAX(IF(ROUND($B$2:$B$3722,4)=ROUND(B1473,4),$A$2:$A$3722)),"Efficient","Inefficient")</f>
        <v>Inefficient</v>
      </c>
    </row>
    <row r="1474" spans="1:6" x14ac:dyDescent="0.25">
      <c r="A1474" cm="1">
        <f t="array" ref="A1474">INDEX('Portfolio Weights Returns'!$B$9:$BJ$69,
INT((ROW(A1473)-1)/COLUMNS('Portfolio Weights Returns'!$B$9:$BJ$69))+1,MOD(ROW(A1473)-1,COLUMNS('Portfolio Weights Returns'!$B$9:$BJ$69))+1)</f>
        <v>-9.8294492459703384E-4</v>
      </c>
      <c r="B1474">
        <v>1.9099999999999999E-2</v>
      </c>
      <c r="C1474" s="59">
        <v>-0.05</v>
      </c>
      <c r="D1474" s="59">
        <v>0.09</v>
      </c>
      <c r="E1474" s="60">
        <f t="shared" ref="E1474:E1537" si="23">1-D1474-C1474</f>
        <v>0.96000000000000008</v>
      </c>
      <c r="F1474" t="str" cm="1">
        <f t="array" ref="F1474">IF(A1474=MAX(IF(ROUND($B$2:$B$3722,4)=ROUND(B1474,4),$A$2:$A$3722)),"Efficient","Inefficient")</f>
        <v>Inefficient</v>
      </c>
    </row>
    <row r="1475" spans="1:6" x14ac:dyDescent="0.25">
      <c r="A1475" cm="1">
        <f t="array" ref="A1475">INDEX('Portfolio Weights Returns'!$B$9:$BJ$69,
INT((ROW(A1474)-1)/COLUMNS('Portfolio Weights Returns'!$B$9:$BJ$69))+1,MOD(ROW(A1474)-1,COLUMNS('Portfolio Weights Returns'!$B$9:$BJ$69))+1)</f>
        <v>-9.7616375063035469E-4</v>
      </c>
      <c r="B1475">
        <v>1.9099999999999999E-2</v>
      </c>
      <c r="C1475" s="59">
        <v>-0.06</v>
      </c>
      <c r="D1475" s="59">
        <v>0.11</v>
      </c>
      <c r="E1475" s="60">
        <f t="shared" si="23"/>
        <v>0.95</v>
      </c>
      <c r="F1475" t="str" cm="1">
        <f t="array" ref="F1475">IF(A1475=MAX(IF(ROUND($B$2:$B$3722,4)=ROUND(B1475,4),$A$2:$A$3722)),"Efficient","Inefficient")</f>
        <v>Inefficient</v>
      </c>
    </row>
    <row r="1476" spans="1:6" x14ac:dyDescent="0.25">
      <c r="A1476" cm="1">
        <f t="array" ref="A1476">INDEX('Portfolio Weights Returns'!$B$9:$BJ$69,
INT((ROW(A1475)-1)/COLUMNS('Portfolio Weights Returns'!$B$9:$BJ$69))+1,MOD(ROW(A1475)-1,COLUMNS('Portfolio Weights Returns'!$B$9:$BJ$69))+1)</f>
        <v>-9.6938257666367566E-4</v>
      </c>
      <c r="B1476">
        <v>1.9099999999999999E-2</v>
      </c>
      <c r="C1476" s="59">
        <v>-0.06</v>
      </c>
      <c r="D1476" s="59">
        <v>0.12</v>
      </c>
      <c r="E1476" s="60">
        <f t="shared" si="23"/>
        <v>0.94</v>
      </c>
      <c r="F1476" t="str" cm="1">
        <f t="array" ref="F1476">IF(A1476=MAX(IF(ROUND($B$2:$B$3722,4)=ROUND(B1476,4),$A$2:$A$3722)),"Efficient","Inefficient")</f>
        <v>Inefficient</v>
      </c>
    </row>
    <row r="1477" spans="1:6" x14ac:dyDescent="0.25">
      <c r="A1477" cm="1">
        <f t="array" ref="A1477">INDEX('Portfolio Weights Returns'!$B$9:$BJ$69,
INT((ROW(A1476)-1)/COLUMNS('Portfolio Weights Returns'!$B$9:$BJ$69))+1,MOD(ROW(A1476)-1,COLUMNS('Portfolio Weights Returns'!$B$9:$BJ$69))+1)</f>
        <v>-9.6260140269699651E-4</v>
      </c>
      <c r="B1477">
        <v>1.9099999999999999E-2</v>
      </c>
      <c r="C1477" s="59">
        <v>-7.0000000000000007E-2</v>
      </c>
      <c r="D1477" s="59">
        <v>0.14000000000000001</v>
      </c>
      <c r="E1477" s="60">
        <f t="shared" si="23"/>
        <v>0.92999999999999994</v>
      </c>
      <c r="F1477" t="str" cm="1">
        <f t="array" ref="F1477">IF(A1477=MAX(IF(ROUND($B$2:$B$3722,4)=ROUND(B1477,4),$A$2:$A$3722)),"Efficient","Inefficient")</f>
        <v>Inefficient</v>
      </c>
    </row>
    <row r="1478" spans="1:6" x14ac:dyDescent="0.25">
      <c r="A1478" cm="1">
        <f t="array" ref="A1478">INDEX('Portfolio Weights Returns'!$B$9:$BJ$69,
INT((ROW(A1477)-1)/COLUMNS('Portfolio Weights Returns'!$B$9:$BJ$69))+1,MOD(ROW(A1477)-1,COLUMNS('Portfolio Weights Returns'!$B$9:$BJ$69))+1)</f>
        <v>-9.5582022873031748E-4</v>
      </c>
      <c r="B1478">
        <v>1.9099999999999999E-2</v>
      </c>
      <c r="C1478" s="59">
        <v>-7.0000000000000007E-2</v>
      </c>
      <c r="D1478" s="59">
        <v>0.15</v>
      </c>
      <c r="E1478" s="60">
        <f t="shared" si="23"/>
        <v>0.91999999999999993</v>
      </c>
      <c r="F1478" t="str" cm="1">
        <f t="array" ref="F1478">IF(A1478=MAX(IF(ROUND($B$2:$B$3722,4)=ROUND(B1478,4),$A$2:$A$3722)),"Efficient","Inefficient")</f>
        <v>Inefficient</v>
      </c>
    </row>
    <row r="1479" spans="1:6" x14ac:dyDescent="0.25">
      <c r="A1479" cm="1">
        <f t="array" ref="A1479">INDEX('Portfolio Weights Returns'!$B$9:$BJ$69,
INT((ROW(A1478)-1)/COLUMNS('Portfolio Weights Returns'!$B$9:$BJ$69))+1,MOD(ROW(A1478)-1,COLUMNS('Portfolio Weights Returns'!$B$9:$BJ$69))+1)</f>
        <v>-9.4903905476363833E-4</v>
      </c>
      <c r="B1479">
        <v>1.9099999999999999E-2</v>
      </c>
      <c r="C1479" s="59">
        <v>-7.0000000000000007E-2</v>
      </c>
      <c r="D1479" s="59">
        <v>0.16</v>
      </c>
      <c r="E1479" s="60">
        <f t="shared" si="23"/>
        <v>0.90999999999999992</v>
      </c>
      <c r="F1479" t="str" cm="1">
        <f t="array" ref="F1479">IF(A1479=MAX(IF(ROUND($B$2:$B$3722,4)=ROUND(B1479,4),$A$2:$A$3722)),"Efficient","Inefficient")</f>
        <v>Inefficient</v>
      </c>
    </row>
    <row r="1480" spans="1:6" x14ac:dyDescent="0.25">
      <c r="A1480" cm="1">
        <f t="array" ref="A1480">INDEX('Portfolio Weights Returns'!$B$9:$BJ$69,
INT((ROW(A1479)-1)/COLUMNS('Portfolio Weights Returns'!$B$9:$BJ$69))+1,MOD(ROW(A1479)-1,COLUMNS('Portfolio Weights Returns'!$B$9:$BJ$69))+1)</f>
        <v>-9.422578807969593E-4</v>
      </c>
      <c r="B1480">
        <v>1.9099999999999999E-2</v>
      </c>
      <c r="C1480" s="59">
        <v>-7.0000000000000007E-2</v>
      </c>
      <c r="D1480" s="59">
        <v>0.17</v>
      </c>
      <c r="E1480" s="60">
        <f t="shared" si="23"/>
        <v>0.89999999999999991</v>
      </c>
      <c r="F1480" t="str" cm="1">
        <f t="array" ref="F1480">IF(A1480=MAX(IF(ROUND($B$2:$B$3722,4)=ROUND(B1480,4),$A$2:$A$3722)),"Efficient","Inefficient")</f>
        <v>Inefficient</v>
      </c>
    </row>
    <row r="1481" spans="1:6" x14ac:dyDescent="0.25">
      <c r="A1481" cm="1">
        <f t="array" ref="A1481">INDEX('Portfolio Weights Returns'!$B$9:$BJ$69,
INT((ROW(A1480)-1)/COLUMNS('Portfolio Weights Returns'!$B$9:$BJ$69))+1,MOD(ROW(A1480)-1,COLUMNS('Portfolio Weights Returns'!$B$9:$BJ$69))+1)</f>
        <v>-9.3547670683028004E-4</v>
      </c>
      <c r="B1481">
        <v>1.9099999999999999E-2</v>
      </c>
      <c r="C1481" s="59">
        <v>-7.0000000000000007E-2</v>
      </c>
      <c r="D1481" s="59">
        <v>0.18</v>
      </c>
      <c r="E1481" s="60">
        <f t="shared" si="23"/>
        <v>0.89000000000000012</v>
      </c>
      <c r="F1481" t="str" cm="1">
        <f t="array" ref="F1481">IF(A1481=MAX(IF(ROUND($B$2:$B$3722,4)=ROUND(B1481,4),$A$2:$A$3722)),"Efficient","Inefficient")</f>
        <v>Inefficient</v>
      </c>
    </row>
    <row r="1482" spans="1:6" x14ac:dyDescent="0.25">
      <c r="A1482" cm="1">
        <f t="array" ref="A1482">INDEX('Portfolio Weights Returns'!$B$9:$BJ$69,
INT((ROW(A1481)-1)/COLUMNS('Portfolio Weights Returns'!$B$9:$BJ$69))+1,MOD(ROW(A1481)-1,COLUMNS('Portfolio Weights Returns'!$B$9:$BJ$69))+1)</f>
        <v>-9.2869553286360111E-4</v>
      </c>
      <c r="B1482">
        <v>1.9099999999999999E-2</v>
      </c>
      <c r="C1482" s="59">
        <v>-7.0000000000000007E-2</v>
      </c>
      <c r="D1482" s="59">
        <v>0.19</v>
      </c>
      <c r="E1482" s="60">
        <f t="shared" si="23"/>
        <v>0.88000000000000012</v>
      </c>
      <c r="F1482" t="str" cm="1">
        <f t="array" ref="F1482">IF(A1482=MAX(IF(ROUND($B$2:$B$3722,4)=ROUND(B1482,4),$A$2:$A$3722)),"Efficient","Inefficient")</f>
        <v>Inefficient</v>
      </c>
    </row>
    <row r="1483" spans="1:6" x14ac:dyDescent="0.25">
      <c r="A1483" cm="1">
        <f t="array" ref="A1483">INDEX('Portfolio Weights Returns'!$B$9:$BJ$69,
INT((ROW(A1482)-1)/COLUMNS('Portfolio Weights Returns'!$B$9:$BJ$69))+1,MOD(ROW(A1482)-1,COLUMNS('Portfolio Weights Returns'!$B$9:$BJ$69))+1)</f>
        <v>-9.2191435889692186E-4</v>
      </c>
      <c r="B1483">
        <v>1.9099999999999999E-2</v>
      </c>
      <c r="C1483" s="59">
        <v>-7.0000000000000007E-2</v>
      </c>
      <c r="D1483" s="59">
        <v>0.2</v>
      </c>
      <c r="E1483" s="60">
        <f t="shared" si="23"/>
        <v>0.87000000000000011</v>
      </c>
      <c r="F1483" t="str" cm="1">
        <f t="array" ref="F1483">IF(A1483=MAX(IF(ROUND($B$2:$B$3722,4)=ROUND(B1483,4),$A$2:$A$3722)),"Efficient","Inefficient")</f>
        <v>Inefficient</v>
      </c>
    </row>
    <row r="1484" spans="1:6" x14ac:dyDescent="0.25">
      <c r="A1484" cm="1">
        <f t="array" ref="A1484">INDEX('Portfolio Weights Returns'!$B$9:$BJ$69,
INT((ROW(A1483)-1)/COLUMNS('Portfolio Weights Returns'!$B$9:$BJ$69))+1,MOD(ROW(A1483)-1,COLUMNS('Portfolio Weights Returns'!$B$9:$BJ$69))+1)</f>
        <v>-9.1513318493024293E-4</v>
      </c>
      <c r="B1484">
        <v>1.9099999999999999E-2</v>
      </c>
      <c r="C1484" s="59">
        <v>-0.06</v>
      </c>
      <c r="D1484" s="59">
        <v>0.22</v>
      </c>
      <c r="E1484" s="60">
        <f t="shared" si="23"/>
        <v>0.84000000000000008</v>
      </c>
      <c r="F1484" t="str" cm="1">
        <f t="array" ref="F1484">IF(A1484=MAX(IF(ROUND($B$2:$B$3722,4)=ROUND(B1484,4),$A$2:$A$3722)),"Efficient","Inefficient")</f>
        <v>Inefficient</v>
      </c>
    </row>
    <row r="1485" spans="1:6" x14ac:dyDescent="0.25">
      <c r="A1485" cm="1">
        <f t="array" ref="A1485">INDEX('Portfolio Weights Returns'!$B$9:$BJ$69,
INT((ROW(A1484)-1)/COLUMNS('Portfolio Weights Returns'!$B$9:$BJ$69))+1,MOD(ROW(A1484)-1,COLUMNS('Portfolio Weights Returns'!$B$9:$BJ$69))+1)</f>
        <v>-9.0835201096356379E-4</v>
      </c>
      <c r="B1485">
        <v>1.9099999999999999E-2</v>
      </c>
      <c r="C1485" s="59">
        <v>-0.06</v>
      </c>
      <c r="D1485" s="59">
        <v>0.23</v>
      </c>
      <c r="E1485" s="60">
        <f t="shared" si="23"/>
        <v>0.83000000000000007</v>
      </c>
      <c r="F1485" t="str" cm="1">
        <f t="array" ref="F1485">IF(A1485=MAX(IF(ROUND($B$2:$B$3722,4)=ROUND(B1485,4),$A$2:$A$3722)),"Efficient","Inefficient")</f>
        <v>Inefficient</v>
      </c>
    </row>
    <row r="1486" spans="1:6" x14ac:dyDescent="0.25">
      <c r="A1486" cm="1">
        <f t="array" ref="A1486">INDEX('Portfolio Weights Returns'!$B$9:$BJ$69,
INT((ROW(A1485)-1)/COLUMNS('Portfolio Weights Returns'!$B$9:$BJ$69))+1,MOD(ROW(A1485)-1,COLUMNS('Portfolio Weights Returns'!$B$9:$BJ$69))+1)</f>
        <v>-9.0157083699688465E-4</v>
      </c>
      <c r="B1486">
        <v>1.9099999999999999E-2</v>
      </c>
      <c r="C1486" s="59">
        <v>-0.05</v>
      </c>
      <c r="D1486" s="59">
        <v>0.25</v>
      </c>
      <c r="E1486" s="60">
        <f t="shared" si="23"/>
        <v>0.8</v>
      </c>
      <c r="F1486" t="str" cm="1">
        <f t="array" ref="F1486">IF(A1486=MAX(IF(ROUND($B$2:$B$3722,4)=ROUND(B1486,4),$A$2:$A$3722)),"Efficient","Inefficient")</f>
        <v>Inefficient</v>
      </c>
    </row>
    <row r="1487" spans="1:6" x14ac:dyDescent="0.25">
      <c r="A1487" cm="1">
        <f t="array" ref="A1487">INDEX('Portfolio Weights Returns'!$B$9:$BJ$69,
INT((ROW(A1486)-1)/COLUMNS('Portfolio Weights Returns'!$B$9:$BJ$69))+1,MOD(ROW(A1486)-1,COLUMNS('Portfolio Weights Returns'!$B$9:$BJ$69))+1)</f>
        <v>-8.9478966303020561E-4</v>
      </c>
      <c r="B1487">
        <v>1.9099999999999999E-2</v>
      </c>
      <c r="C1487" s="59">
        <v>-0.04</v>
      </c>
      <c r="D1487" s="59">
        <v>0.26</v>
      </c>
      <c r="E1487" s="60">
        <f t="shared" si="23"/>
        <v>0.78</v>
      </c>
      <c r="F1487" t="str" cm="1">
        <f t="array" ref="F1487">IF(A1487=MAX(IF(ROUND($B$2:$B$3722,4)=ROUND(B1487,4),$A$2:$A$3722)),"Efficient","Inefficient")</f>
        <v>Inefficient</v>
      </c>
    </row>
    <row r="1488" spans="1:6" x14ac:dyDescent="0.25">
      <c r="A1488" cm="1">
        <f t="array" ref="A1488">INDEX('Portfolio Weights Returns'!$B$9:$BJ$69,
INT((ROW(A1487)-1)/COLUMNS('Portfolio Weights Returns'!$B$9:$BJ$69))+1,MOD(ROW(A1487)-1,COLUMNS('Portfolio Weights Returns'!$B$9:$BJ$69))+1)</f>
        <v>-8.8800848906352647E-4</v>
      </c>
      <c r="B1488">
        <v>1.9099999999999999E-2</v>
      </c>
      <c r="C1488" s="59">
        <v>-0.04</v>
      </c>
      <c r="D1488" s="59">
        <v>0.27</v>
      </c>
      <c r="E1488" s="60">
        <f t="shared" si="23"/>
        <v>0.77</v>
      </c>
      <c r="F1488" t="str" cm="1">
        <f t="array" ref="F1488">IF(A1488=MAX(IF(ROUND($B$2:$B$3722,4)=ROUND(B1488,4),$A$2:$A$3722)),"Efficient","Inefficient")</f>
        <v>Inefficient</v>
      </c>
    </row>
    <row r="1489" spans="1:6" x14ac:dyDescent="0.25">
      <c r="A1489" cm="1">
        <f t="array" ref="A1489">INDEX('Portfolio Weights Returns'!$B$9:$BJ$69,
INT((ROW(A1488)-1)/COLUMNS('Portfolio Weights Returns'!$B$9:$BJ$69))+1,MOD(ROW(A1488)-1,COLUMNS('Portfolio Weights Returns'!$B$9:$BJ$69))+1)</f>
        <v>-8.8122731509684743E-4</v>
      </c>
      <c r="B1489">
        <v>1.9099999999999999E-2</v>
      </c>
      <c r="C1489" s="59">
        <v>-0.03</v>
      </c>
      <c r="D1489" s="59">
        <v>0.28000000000000003</v>
      </c>
      <c r="E1489" s="60">
        <f t="shared" si="23"/>
        <v>0.75</v>
      </c>
      <c r="F1489" t="str" cm="1">
        <f t="array" ref="F1489">IF(A1489=MAX(IF(ROUND($B$2:$B$3722,4)=ROUND(B1489,4),$A$2:$A$3722)),"Efficient","Inefficient")</f>
        <v>Inefficient</v>
      </c>
    </row>
    <row r="1490" spans="1:6" x14ac:dyDescent="0.25">
      <c r="A1490" cm="1">
        <f t="array" ref="A1490">INDEX('Portfolio Weights Returns'!$B$9:$BJ$69,
INT((ROW(A1489)-1)/COLUMNS('Portfolio Weights Returns'!$B$9:$BJ$69))+1,MOD(ROW(A1489)-1,COLUMNS('Portfolio Weights Returns'!$B$9:$BJ$69))+1)</f>
        <v>-8.7444614113016828E-4</v>
      </c>
      <c r="B1490">
        <v>1.9099999999999999E-2</v>
      </c>
      <c r="C1490" s="59">
        <v>-0.02</v>
      </c>
      <c r="D1490" s="59">
        <v>0.28999999999999998</v>
      </c>
      <c r="E1490" s="60">
        <f t="shared" si="23"/>
        <v>0.73</v>
      </c>
      <c r="F1490" t="str" cm="1">
        <f t="array" ref="F1490">IF(A1490=MAX(IF(ROUND($B$2:$B$3722,4)=ROUND(B1490,4),$A$2:$A$3722)),"Efficient","Inefficient")</f>
        <v>Inefficient</v>
      </c>
    </row>
    <row r="1491" spans="1:6" x14ac:dyDescent="0.25">
      <c r="A1491" cm="1">
        <f t="array" ref="A1491">INDEX('Portfolio Weights Returns'!$B$9:$BJ$69,
INT((ROW(A1490)-1)/COLUMNS('Portfolio Weights Returns'!$B$9:$BJ$69))+1,MOD(ROW(A1490)-1,COLUMNS('Portfolio Weights Returns'!$B$9:$BJ$69))+1)</f>
        <v>-8.6766496716348914E-4</v>
      </c>
      <c r="B1491">
        <v>1.9099999999999999E-2</v>
      </c>
      <c r="C1491" s="59">
        <v>0</v>
      </c>
      <c r="D1491" s="59">
        <v>0.3</v>
      </c>
      <c r="E1491" s="60">
        <f t="shared" si="23"/>
        <v>0.7</v>
      </c>
      <c r="F1491" t="str" cm="1">
        <f t="array" ref="F1491">IF(A1491=MAX(IF(ROUND($B$2:$B$3722,4)=ROUND(B1491,4),$A$2:$A$3722)),"Efficient","Inefficient")</f>
        <v>Inefficient</v>
      </c>
    </row>
    <row r="1492" spans="1:6" x14ac:dyDescent="0.25">
      <c r="A1492" cm="1">
        <f t="array" ref="A1492">INDEX('Portfolio Weights Returns'!$B$9:$BJ$69,
INT((ROW(A1491)-1)/COLUMNS('Portfolio Weights Returns'!$B$9:$BJ$69))+1,MOD(ROW(A1491)-1,COLUMNS('Portfolio Weights Returns'!$B$9:$BJ$69))+1)</f>
        <v>-8.6088379319681E-4</v>
      </c>
      <c r="B1492">
        <v>1.9199999999999998E-2</v>
      </c>
      <c r="C1492" s="59">
        <v>0.3</v>
      </c>
      <c r="D1492" s="59">
        <v>-0.23</v>
      </c>
      <c r="E1492" s="60">
        <f t="shared" si="23"/>
        <v>0.92999999999999994</v>
      </c>
      <c r="F1492" t="str" cm="1">
        <f t="array" ref="F1492">IF(A1492=MAX(IF(ROUND($B$2:$B$3722,4)=ROUND(B1492,4),$A$2:$A$3722)),"Efficient","Inefficient")</f>
        <v>Inefficient</v>
      </c>
    </row>
    <row r="1493" spans="1:6" x14ac:dyDescent="0.25">
      <c r="A1493" cm="1">
        <f t="array" ref="A1493">INDEX('Portfolio Weights Returns'!$B$9:$BJ$69,
INT((ROW(A1492)-1)/COLUMNS('Portfolio Weights Returns'!$B$9:$BJ$69))+1,MOD(ROW(A1492)-1,COLUMNS('Portfolio Weights Returns'!$B$9:$BJ$69))+1)</f>
        <v>-8.5410261923013085E-4</v>
      </c>
      <c r="B1493">
        <v>1.9199999999999998E-2</v>
      </c>
      <c r="C1493" s="59">
        <v>0.28000000000000003</v>
      </c>
      <c r="D1493" s="59">
        <v>-0.22</v>
      </c>
      <c r="E1493" s="60">
        <f t="shared" si="23"/>
        <v>0.94</v>
      </c>
      <c r="F1493" t="str" cm="1">
        <f t="array" ref="F1493">IF(A1493=MAX(IF(ROUND($B$2:$B$3722,4)=ROUND(B1493,4),$A$2:$A$3722)),"Efficient","Inefficient")</f>
        <v>Inefficient</v>
      </c>
    </row>
    <row r="1494" spans="1:6" x14ac:dyDescent="0.25">
      <c r="A1494" cm="1">
        <f t="array" ref="A1494">INDEX('Portfolio Weights Returns'!$B$9:$BJ$69,
INT((ROW(A1493)-1)/COLUMNS('Portfolio Weights Returns'!$B$9:$BJ$69))+1,MOD(ROW(A1493)-1,COLUMNS('Portfolio Weights Returns'!$B$9:$BJ$69))+1)</f>
        <v>-8.4732144526345182E-4</v>
      </c>
      <c r="B1494">
        <v>1.9199999999999998E-2</v>
      </c>
      <c r="C1494" s="59">
        <v>0.26</v>
      </c>
      <c r="D1494" s="59">
        <v>-0.21</v>
      </c>
      <c r="E1494" s="60">
        <f t="shared" si="23"/>
        <v>0.95</v>
      </c>
      <c r="F1494" t="str" cm="1">
        <f t="array" ref="F1494">IF(A1494=MAX(IF(ROUND($B$2:$B$3722,4)=ROUND(B1494,4),$A$2:$A$3722)),"Efficient","Inefficient")</f>
        <v>Inefficient</v>
      </c>
    </row>
    <row r="1495" spans="1:6" x14ac:dyDescent="0.25">
      <c r="A1495" cm="1">
        <f t="array" ref="A1495">INDEX('Portfolio Weights Returns'!$B$9:$BJ$69,
INT((ROW(A1494)-1)/COLUMNS('Portfolio Weights Returns'!$B$9:$BJ$69))+1,MOD(ROW(A1494)-1,COLUMNS('Portfolio Weights Returns'!$B$9:$BJ$69))+1)</f>
        <v>-8.4054027129677267E-4</v>
      </c>
      <c r="B1495">
        <v>1.9199999999999998E-2</v>
      </c>
      <c r="C1495" s="59">
        <v>0.24</v>
      </c>
      <c r="D1495" s="59">
        <v>-0.2</v>
      </c>
      <c r="E1495" s="60">
        <f t="shared" si="23"/>
        <v>0.96</v>
      </c>
      <c r="F1495" t="str" cm="1">
        <f t="array" ref="F1495">IF(A1495=MAX(IF(ROUND($B$2:$B$3722,4)=ROUND(B1495,4),$A$2:$A$3722)),"Efficient","Inefficient")</f>
        <v>Inefficient</v>
      </c>
    </row>
    <row r="1496" spans="1:6" x14ac:dyDescent="0.25">
      <c r="A1496" cm="1">
        <f t="array" ref="A1496">INDEX('Portfolio Weights Returns'!$B$9:$BJ$69,
INT((ROW(A1495)-1)/COLUMNS('Portfolio Weights Returns'!$B$9:$BJ$69))+1,MOD(ROW(A1495)-1,COLUMNS('Portfolio Weights Returns'!$B$9:$BJ$69))+1)</f>
        <v>-8.3375909733009363E-4</v>
      </c>
      <c r="B1496">
        <v>1.9199999999999998E-2</v>
      </c>
      <c r="C1496" s="59">
        <v>0.21</v>
      </c>
      <c r="D1496" s="59">
        <v>-0.18</v>
      </c>
      <c r="E1496" s="60">
        <f t="shared" si="23"/>
        <v>0.97</v>
      </c>
      <c r="F1496" t="str" cm="1">
        <f t="array" ref="F1496">IF(A1496=MAX(IF(ROUND($B$2:$B$3722,4)=ROUND(B1496,4),$A$2:$A$3722)),"Efficient","Inefficient")</f>
        <v>Inefficient</v>
      </c>
    </row>
    <row r="1497" spans="1:6" x14ac:dyDescent="0.25">
      <c r="A1497" cm="1">
        <f t="array" ref="A1497">INDEX('Portfolio Weights Returns'!$B$9:$BJ$69,
INT((ROW(A1496)-1)/COLUMNS('Portfolio Weights Returns'!$B$9:$BJ$69))+1,MOD(ROW(A1496)-1,COLUMNS('Portfolio Weights Returns'!$B$9:$BJ$69))+1)</f>
        <v>-8.2697792336341449E-4</v>
      </c>
      <c r="B1497">
        <v>1.9199999999999998E-2</v>
      </c>
      <c r="C1497" s="59">
        <v>0.19</v>
      </c>
      <c r="D1497" s="59">
        <v>-0.17</v>
      </c>
      <c r="E1497" s="60">
        <f t="shared" si="23"/>
        <v>0.98</v>
      </c>
      <c r="F1497" t="str" cm="1">
        <f t="array" ref="F1497">IF(A1497=MAX(IF(ROUND($B$2:$B$3722,4)=ROUND(B1497,4),$A$2:$A$3722)),"Efficient","Inefficient")</f>
        <v>Inefficient</v>
      </c>
    </row>
    <row r="1498" spans="1:6" x14ac:dyDescent="0.25">
      <c r="A1498" cm="1">
        <f t="array" ref="A1498">INDEX('Portfolio Weights Returns'!$B$9:$BJ$69,
INT((ROW(A1497)-1)/COLUMNS('Portfolio Weights Returns'!$B$9:$BJ$69))+1,MOD(ROW(A1497)-1,COLUMNS('Portfolio Weights Returns'!$B$9:$BJ$69))+1)</f>
        <v>-8.2019674939673545E-4</v>
      </c>
      <c r="B1498">
        <v>1.9199999999999998E-2</v>
      </c>
      <c r="C1498" s="59">
        <v>0.18</v>
      </c>
      <c r="D1498" s="59">
        <v>-0.16</v>
      </c>
      <c r="E1498" s="60">
        <f t="shared" si="23"/>
        <v>0.98</v>
      </c>
      <c r="F1498" t="str" cm="1">
        <f t="array" ref="F1498">IF(A1498=MAX(IF(ROUND($B$2:$B$3722,4)=ROUND(B1498,4),$A$2:$A$3722)),"Efficient","Inefficient")</f>
        <v>Inefficient</v>
      </c>
    </row>
    <row r="1499" spans="1:6" x14ac:dyDescent="0.25">
      <c r="A1499" cm="1">
        <f t="array" ref="A1499">INDEX('Portfolio Weights Returns'!$B$9:$BJ$69,
INT((ROW(A1498)-1)/COLUMNS('Portfolio Weights Returns'!$B$9:$BJ$69))+1,MOD(ROW(A1498)-1,COLUMNS('Portfolio Weights Returns'!$B$9:$BJ$69))+1)</f>
        <v>-8.134155754300562E-4</v>
      </c>
      <c r="B1499">
        <v>1.9199999999999998E-2</v>
      </c>
      <c r="C1499" s="59">
        <v>0.16</v>
      </c>
      <c r="D1499" s="59">
        <v>-0.15</v>
      </c>
      <c r="E1499" s="60">
        <f t="shared" si="23"/>
        <v>0.98999999999999988</v>
      </c>
      <c r="F1499" t="str" cm="1">
        <f t="array" ref="F1499">IF(A1499=MAX(IF(ROUND($B$2:$B$3722,4)=ROUND(B1499,4),$A$2:$A$3722)),"Efficient","Inefficient")</f>
        <v>Inefficient</v>
      </c>
    </row>
    <row r="1500" spans="1:6" x14ac:dyDescent="0.25">
      <c r="A1500" cm="1">
        <f t="array" ref="A1500">INDEX('Portfolio Weights Returns'!$B$9:$BJ$69,
INT((ROW(A1499)-1)/COLUMNS('Portfolio Weights Returns'!$B$9:$BJ$69))+1,MOD(ROW(A1499)-1,COLUMNS('Portfolio Weights Returns'!$B$9:$BJ$69))+1)</f>
        <v>-8.0663440146337717E-4</v>
      </c>
      <c r="B1500">
        <v>1.9199999999999998E-2</v>
      </c>
      <c r="C1500" s="59">
        <v>0.15</v>
      </c>
      <c r="D1500" s="59">
        <v>-0.14000000000000001</v>
      </c>
      <c r="E1500" s="60">
        <f t="shared" si="23"/>
        <v>0.9900000000000001</v>
      </c>
      <c r="F1500" t="str" cm="1">
        <f t="array" ref="F1500">IF(A1500=MAX(IF(ROUND($B$2:$B$3722,4)=ROUND(B1500,4),$A$2:$A$3722)),"Efficient","Inefficient")</f>
        <v>Inefficient</v>
      </c>
    </row>
    <row r="1501" spans="1:6" x14ac:dyDescent="0.25">
      <c r="A1501" cm="1">
        <f t="array" ref="A1501">INDEX('Portfolio Weights Returns'!$B$9:$BJ$69,
INT((ROW(A1500)-1)/COLUMNS('Portfolio Weights Returns'!$B$9:$BJ$69))+1,MOD(ROW(A1500)-1,COLUMNS('Portfolio Weights Returns'!$B$9:$BJ$69))+1)</f>
        <v>-7.9985322749669802E-4</v>
      </c>
      <c r="B1501">
        <v>1.9199999999999998E-2</v>
      </c>
      <c r="C1501" s="59">
        <v>0.12</v>
      </c>
      <c r="D1501" s="59">
        <v>-0.12</v>
      </c>
      <c r="E1501" s="60">
        <f t="shared" si="23"/>
        <v>1</v>
      </c>
      <c r="F1501" t="str" cm="1">
        <f t="array" ref="F1501">IF(A1501=MAX(IF(ROUND($B$2:$B$3722,4)=ROUND(B1501,4),$A$2:$A$3722)),"Efficient","Inefficient")</f>
        <v>Inefficient</v>
      </c>
    </row>
    <row r="1502" spans="1:6" x14ac:dyDescent="0.25">
      <c r="A1502" cm="1">
        <f t="array" ref="A1502">INDEX('Portfolio Weights Returns'!$B$9:$BJ$69,
INT((ROW(A1501)-1)/COLUMNS('Portfolio Weights Returns'!$B$9:$BJ$69))+1,MOD(ROW(A1501)-1,COLUMNS('Portfolio Weights Returns'!$B$9:$BJ$69))+1)</f>
        <v>-7.9307205353001888E-4</v>
      </c>
      <c r="B1502">
        <v>1.9199999999999998E-2</v>
      </c>
      <c r="C1502" s="59">
        <v>0.11</v>
      </c>
      <c r="D1502" s="59">
        <v>-0.11</v>
      </c>
      <c r="E1502" s="60">
        <f t="shared" si="23"/>
        <v>1</v>
      </c>
      <c r="F1502" t="str" cm="1">
        <f t="array" ref="F1502">IF(A1502=MAX(IF(ROUND($B$2:$B$3722,4)=ROUND(B1502,4),$A$2:$A$3722)),"Efficient","Inefficient")</f>
        <v>Inefficient</v>
      </c>
    </row>
    <row r="1503" spans="1:6" x14ac:dyDescent="0.25">
      <c r="A1503" cm="1">
        <f t="array" ref="A1503">INDEX('Portfolio Weights Returns'!$B$9:$BJ$69,
INT((ROW(A1502)-1)/COLUMNS('Portfolio Weights Returns'!$B$9:$BJ$69))+1,MOD(ROW(A1502)-1,COLUMNS('Portfolio Weights Returns'!$B$9:$BJ$69))+1)</f>
        <v>-7.8629087956333984E-4</v>
      </c>
      <c r="B1503">
        <v>1.9199999999999998E-2</v>
      </c>
      <c r="C1503" s="59">
        <v>7.0000000000000007E-2</v>
      </c>
      <c r="D1503" s="59">
        <v>-0.08</v>
      </c>
      <c r="E1503" s="60">
        <f t="shared" si="23"/>
        <v>1.01</v>
      </c>
      <c r="F1503" t="str" cm="1">
        <f t="array" ref="F1503">IF(A1503=MAX(IF(ROUND($B$2:$B$3722,4)=ROUND(B1503,4),$A$2:$A$3722)),"Efficient","Inefficient")</f>
        <v>Inefficient</v>
      </c>
    </row>
    <row r="1504" spans="1:6" x14ac:dyDescent="0.25">
      <c r="A1504" cm="1">
        <f t="array" ref="A1504">INDEX('Portfolio Weights Returns'!$B$9:$BJ$69,
INT((ROW(A1503)-1)/COLUMNS('Portfolio Weights Returns'!$B$9:$BJ$69))+1,MOD(ROW(A1503)-1,COLUMNS('Portfolio Weights Returns'!$B$9:$BJ$69))+1)</f>
        <v>-7.795097055966607E-4</v>
      </c>
      <c r="B1504">
        <v>1.9199999999999998E-2</v>
      </c>
      <c r="C1504" s="59">
        <v>0.06</v>
      </c>
      <c r="D1504" s="59">
        <v>-7.0000000000000007E-2</v>
      </c>
      <c r="E1504" s="60">
        <f t="shared" si="23"/>
        <v>1.01</v>
      </c>
      <c r="F1504" t="str" cm="1">
        <f t="array" ref="F1504">IF(A1504=MAX(IF(ROUND($B$2:$B$3722,4)=ROUND(B1504,4),$A$2:$A$3722)),"Efficient","Inefficient")</f>
        <v>Inefficient</v>
      </c>
    </row>
    <row r="1505" spans="1:6" x14ac:dyDescent="0.25">
      <c r="A1505" cm="1">
        <f t="array" ref="A1505">INDEX('Portfolio Weights Returns'!$B$9:$BJ$69,
INT((ROW(A1504)-1)/COLUMNS('Portfolio Weights Returns'!$B$9:$BJ$69))+1,MOD(ROW(A1504)-1,COLUMNS('Portfolio Weights Returns'!$B$9:$BJ$69))+1)</f>
        <v>-7.7272853162998166E-4</v>
      </c>
      <c r="B1505">
        <v>1.9199999999999998E-2</v>
      </c>
      <c r="C1505" s="59">
        <v>0.05</v>
      </c>
      <c r="D1505" s="59">
        <v>-0.06</v>
      </c>
      <c r="E1505" s="60">
        <f t="shared" si="23"/>
        <v>1.01</v>
      </c>
      <c r="F1505" t="str" cm="1">
        <f t="array" ref="F1505">IF(A1505=MAX(IF(ROUND($B$2:$B$3722,4)=ROUND(B1505,4),$A$2:$A$3722)),"Efficient","Inefficient")</f>
        <v>Inefficient</v>
      </c>
    </row>
    <row r="1506" spans="1:6" x14ac:dyDescent="0.25">
      <c r="A1506" cm="1">
        <f t="array" ref="A1506">INDEX('Portfolio Weights Returns'!$B$9:$BJ$69,
INT((ROW(A1505)-1)/COLUMNS('Portfolio Weights Returns'!$B$9:$BJ$69))+1,MOD(ROW(A1505)-1,COLUMNS('Portfolio Weights Returns'!$B$9:$BJ$69))+1)</f>
        <v>-7.6594735766330241E-4</v>
      </c>
      <c r="B1506">
        <v>1.9199999999999998E-2</v>
      </c>
      <c r="C1506" s="59">
        <v>0.04</v>
      </c>
      <c r="D1506" s="59">
        <v>-0.05</v>
      </c>
      <c r="E1506" s="60">
        <f t="shared" si="23"/>
        <v>1.01</v>
      </c>
      <c r="F1506" t="str" cm="1">
        <f t="array" ref="F1506">IF(A1506=MAX(IF(ROUND($B$2:$B$3722,4)=ROUND(B1506,4),$A$2:$A$3722)),"Efficient","Inefficient")</f>
        <v>Inefficient</v>
      </c>
    </row>
    <row r="1507" spans="1:6" x14ac:dyDescent="0.25">
      <c r="A1507" cm="1">
        <f t="array" ref="A1507">INDEX('Portfolio Weights Returns'!$B$9:$BJ$69,
INT((ROW(A1506)-1)/COLUMNS('Portfolio Weights Returns'!$B$9:$BJ$69))+1,MOD(ROW(A1506)-1,COLUMNS('Portfolio Weights Returns'!$B$9:$BJ$69))+1)</f>
        <v>-7.5916618369662337E-4</v>
      </c>
      <c r="B1507">
        <v>1.9199999999999998E-2</v>
      </c>
      <c r="C1507" s="59">
        <v>0.03</v>
      </c>
      <c r="D1507" s="59">
        <v>-0.04</v>
      </c>
      <c r="E1507" s="60">
        <f t="shared" si="23"/>
        <v>1.01</v>
      </c>
      <c r="F1507" t="str" cm="1">
        <f t="array" ref="F1507">IF(A1507=MAX(IF(ROUND($B$2:$B$3722,4)=ROUND(B1507,4),$A$2:$A$3722)),"Efficient","Inefficient")</f>
        <v>Inefficient</v>
      </c>
    </row>
    <row r="1508" spans="1:6" x14ac:dyDescent="0.25">
      <c r="A1508" cm="1">
        <f t="array" ref="A1508">INDEX('Portfolio Weights Returns'!$B$9:$BJ$69,
INT((ROW(A1507)-1)/COLUMNS('Portfolio Weights Returns'!$B$9:$BJ$69))+1,MOD(ROW(A1507)-1,COLUMNS('Portfolio Weights Returns'!$B$9:$BJ$69))+1)</f>
        <v>-7.5238500972994423E-4</v>
      </c>
      <c r="B1508">
        <v>1.9199999999999998E-2</v>
      </c>
      <c r="C1508" s="59">
        <v>0.02</v>
      </c>
      <c r="D1508" s="59">
        <v>-0.03</v>
      </c>
      <c r="E1508" s="60">
        <f t="shared" si="23"/>
        <v>1.01</v>
      </c>
      <c r="F1508" t="str" cm="1">
        <f t="array" ref="F1508">IF(A1508=MAX(IF(ROUND($B$2:$B$3722,4)=ROUND(B1508,4),$A$2:$A$3722)),"Efficient","Inefficient")</f>
        <v>Inefficient</v>
      </c>
    </row>
    <row r="1509" spans="1:6" x14ac:dyDescent="0.25">
      <c r="A1509" cm="1">
        <f t="array" ref="A1509">INDEX('Portfolio Weights Returns'!$B$9:$BJ$69,
INT((ROW(A1508)-1)/COLUMNS('Portfolio Weights Returns'!$B$9:$BJ$69))+1,MOD(ROW(A1508)-1,COLUMNS('Portfolio Weights Returns'!$B$9:$BJ$69))+1)</f>
        <v>-7.4560383576326519E-4</v>
      </c>
      <c r="B1509">
        <v>1.9199999999999998E-2</v>
      </c>
      <c r="C1509" s="59">
        <v>0.01</v>
      </c>
      <c r="D1509" s="59">
        <v>-0.02</v>
      </c>
      <c r="E1509" s="60">
        <f t="shared" si="23"/>
        <v>1.01</v>
      </c>
      <c r="F1509" t="str" cm="1">
        <f t="array" ref="F1509">IF(A1509=MAX(IF(ROUND($B$2:$B$3722,4)=ROUND(B1509,4),$A$2:$A$3722)),"Efficient","Inefficient")</f>
        <v>Inefficient</v>
      </c>
    </row>
    <row r="1510" spans="1:6" x14ac:dyDescent="0.25">
      <c r="A1510" cm="1">
        <f t="array" ref="A1510">INDEX('Portfolio Weights Returns'!$B$9:$BJ$69,
INT((ROW(A1509)-1)/COLUMNS('Portfolio Weights Returns'!$B$9:$BJ$69))+1,MOD(ROW(A1509)-1,COLUMNS('Portfolio Weights Returns'!$B$9:$BJ$69))+1)</f>
        <v>-7.3882266179658605E-4</v>
      </c>
      <c r="B1510">
        <v>1.9199999999999998E-2</v>
      </c>
      <c r="C1510" s="59">
        <v>-0.01</v>
      </c>
      <c r="D1510" s="59">
        <v>0.01</v>
      </c>
      <c r="E1510" s="60">
        <f t="shared" si="23"/>
        <v>1</v>
      </c>
      <c r="F1510" t="str" cm="1">
        <f t="array" ref="F1510">IF(A1510=MAX(IF(ROUND($B$2:$B$3722,4)=ROUND(B1510,4),$A$2:$A$3722)),"Efficient","Inefficient")</f>
        <v>Inefficient</v>
      </c>
    </row>
    <row r="1511" spans="1:6" x14ac:dyDescent="0.25">
      <c r="A1511" cm="1">
        <f t="array" ref="A1511">INDEX('Portfolio Weights Returns'!$B$9:$BJ$69,
INT((ROW(A1510)-1)/COLUMNS('Portfolio Weights Returns'!$B$9:$BJ$69))+1,MOD(ROW(A1510)-1,COLUMNS('Portfolio Weights Returns'!$B$9:$BJ$69))+1)</f>
        <v>-7.320414878299069E-4</v>
      </c>
      <c r="B1511">
        <v>1.9199999999999998E-2</v>
      </c>
      <c r="C1511" s="59">
        <v>-0.02</v>
      </c>
      <c r="D1511" s="59">
        <v>0.02</v>
      </c>
      <c r="E1511" s="60">
        <f t="shared" si="23"/>
        <v>1</v>
      </c>
      <c r="F1511" t="str" cm="1">
        <f t="array" ref="F1511">IF(A1511=MAX(IF(ROUND($B$2:$B$3722,4)=ROUND(B1511,4),$A$2:$A$3722)),"Efficient","Inefficient")</f>
        <v>Inefficient</v>
      </c>
    </row>
    <row r="1512" spans="1:6" x14ac:dyDescent="0.25">
      <c r="A1512" cm="1">
        <f t="array" ref="A1512">INDEX('Portfolio Weights Returns'!$B$9:$BJ$69,
INT((ROW(A1511)-1)/COLUMNS('Portfolio Weights Returns'!$B$9:$BJ$69))+1,MOD(ROW(A1511)-1,COLUMNS('Portfolio Weights Returns'!$B$9:$BJ$69))+1)</f>
        <v>-7.2526031386322787E-4</v>
      </c>
      <c r="B1512">
        <v>1.9199999999999998E-2</v>
      </c>
      <c r="C1512" s="59">
        <v>-0.03</v>
      </c>
      <c r="D1512" s="59">
        <v>0.04</v>
      </c>
      <c r="E1512" s="60">
        <f t="shared" si="23"/>
        <v>0.99</v>
      </c>
      <c r="F1512" t="str" cm="1">
        <f t="array" ref="F1512">IF(A1512=MAX(IF(ROUND($B$2:$B$3722,4)=ROUND(B1512,4),$A$2:$A$3722)),"Efficient","Inefficient")</f>
        <v>Inefficient</v>
      </c>
    </row>
    <row r="1513" spans="1:6" x14ac:dyDescent="0.25">
      <c r="A1513" cm="1">
        <f t="array" ref="A1513">INDEX('Portfolio Weights Returns'!$B$9:$BJ$69,
INT((ROW(A1512)-1)/COLUMNS('Portfolio Weights Returns'!$B$9:$BJ$69))+1,MOD(ROW(A1512)-1,COLUMNS('Portfolio Weights Returns'!$B$9:$BJ$69))+1)</f>
        <v>-7.1847913989654861E-4</v>
      </c>
      <c r="B1513">
        <v>1.9199999999999998E-2</v>
      </c>
      <c r="C1513" s="59">
        <v>-0.04</v>
      </c>
      <c r="D1513" s="59">
        <v>0.05</v>
      </c>
      <c r="E1513" s="60">
        <f t="shared" si="23"/>
        <v>0.99</v>
      </c>
      <c r="F1513" t="str" cm="1">
        <f t="array" ref="F1513">IF(A1513=MAX(IF(ROUND($B$2:$B$3722,4)=ROUND(B1513,4),$A$2:$A$3722)),"Efficient","Inefficient")</f>
        <v>Inefficient</v>
      </c>
    </row>
    <row r="1514" spans="1:6" x14ac:dyDescent="0.25">
      <c r="A1514" cm="1">
        <f t="array" ref="A1514">INDEX('Portfolio Weights Returns'!$B$9:$BJ$69,
INT((ROW(A1513)-1)/COLUMNS('Portfolio Weights Returns'!$B$9:$BJ$69))+1,MOD(ROW(A1513)-1,COLUMNS('Portfolio Weights Returns'!$B$9:$BJ$69))+1)</f>
        <v>-7.1169796592986979E-4</v>
      </c>
      <c r="B1514">
        <v>1.9199999999999998E-2</v>
      </c>
      <c r="C1514" s="59">
        <v>-0.05</v>
      </c>
      <c r="D1514" s="59">
        <v>7.0000000000000007E-2</v>
      </c>
      <c r="E1514" s="60">
        <f t="shared" si="23"/>
        <v>0.98</v>
      </c>
      <c r="F1514" t="str" cm="1">
        <f t="array" ref="F1514">IF(A1514=MAX(IF(ROUND($B$2:$B$3722,4)=ROUND(B1514,4),$A$2:$A$3722)),"Efficient","Inefficient")</f>
        <v>Inefficient</v>
      </c>
    </row>
    <row r="1515" spans="1:6" x14ac:dyDescent="0.25">
      <c r="A1515" cm="1">
        <f t="array" ref="A1515">INDEX('Portfolio Weights Returns'!$B$9:$BJ$69,
INT((ROW(A1514)-1)/COLUMNS('Portfolio Weights Returns'!$B$9:$BJ$69))+1,MOD(ROW(A1514)-1,COLUMNS('Portfolio Weights Returns'!$B$9:$BJ$69))+1)</f>
        <v>-7.0491679196319065E-4</v>
      </c>
      <c r="B1515">
        <v>1.9199999999999998E-2</v>
      </c>
      <c r="C1515" s="59">
        <v>-0.06</v>
      </c>
      <c r="D1515" s="59">
        <v>0.09</v>
      </c>
      <c r="E1515" s="60">
        <f t="shared" si="23"/>
        <v>0.97</v>
      </c>
      <c r="F1515" t="str" cm="1">
        <f t="array" ref="F1515">IF(A1515=MAX(IF(ROUND($B$2:$B$3722,4)=ROUND(B1515,4),$A$2:$A$3722)),"Efficient","Inefficient")</f>
        <v>Inefficient</v>
      </c>
    </row>
    <row r="1516" spans="1:6" x14ac:dyDescent="0.25">
      <c r="A1516" cm="1">
        <f t="array" ref="A1516">INDEX('Portfolio Weights Returns'!$B$9:$BJ$69,
INT((ROW(A1515)-1)/COLUMNS('Portfolio Weights Returns'!$B$9:$BJ$69))+1,MOD(ROW(A1515)-1,COLUMNS('Portfolio Weights Returns'!$B$9:$BJ$69))+1)</f>
        <v>-6.9813561799651161E-4</v>
      </c>
      <c r="B1516">
        <v>1.9199999999999998E-2</v>
      </c>
      <c r="C1516" s="59">
        <v>-0.06</v>
      </c>
      <c r="D1516" s="59">
        <v>0.1</v>
      </c>
      <c r="E1516" s="60">
        <f t="shared" si="23"/>
        <v>0.96</v>
      </c>
      <c r="F1516" t="str" cm="1">
        <f t="array" ref="F1516">IF(A1516=MAX(IF(ROUND($B$2:$B$3722,4)=ROUND(B1516,4),$A$2:$A$3722)),"Efficient","Inefficient")</f>
        <v>Inefficient</v>
      </c>
    </row>
    <row r="1517" spans="1:6" x14ac:dyDescent="0.25">
      <c r="A1517" cm="1">
        <f t="array" ref="A1517">INDEX('Portfolio Weights Returns'!$B$9:$BJ$69,
INT((ROW(A1516)-1)/COLUMNS('Portfolio Weights Returns'!$B$9:$BJ$69))+1,MOD(ROW(A1516)-1,COLUMNS('Portfolio Weights Returns'!$B$9:$BJ$69))+1)</f>
        <v>-6.9135444402983236E-4</v>
      </c>
      <c r="B1517">
        <v>1.9199999999999998E-2</v>
      </c>
      <c r="C1517" s="59">
        <v>-7.0000000000000007E-2</v>
      </c>
      <c r="D1517" s="59">
        <v>0.11</v>
      </c>
      <c r="E1517" s="60">
        <f t="shared" si="23"/>
        <v>0.96</v>
      </c>
      <c r="F1517" t="str" cm="1">
        <f t="array" ref="F1517">IF(A1517=MAX(IF(ROUND($B$2:$B$3722,4)=ROUND(B1517,4),$A$2:$A$3722)),"Efficient","Inefficient")</f>
        <v>Inefficient</v>
      </c>
    </row>
    <row r="1518" spans="1:6" x14ac:dyDescent="0.25">
      <c r="A1518" cm="1">
        <f t="array" ref="A1518">INDEX('Portfolio Weights Returns'!$B$9:$BJ$69,
INT((ROW(A1517)-1)/COLUMNS('Portfolio Weights Returns'!$B$9:$BJ$69))+1,MOD(ROW(A1517)-1,COLUMNS('Portfolio Weights Returns'!$B$9:$BJ$69))+1)</f>
        <v>-6.8457327006315332E-4</v>
      </c>
      <c r="B1518">
        <v>1.9199999999999998E-2</v>
      </c>
      <c r="C1518" s="59">
        <v>-7.0000000000000007E-2</v>
      </c>
      <c r="D1518" s="59">
        <v>0.12</v>
      </c>
      <c r="E1518" s="60">
        <f t="shared" si="23"/>
        <v>0.95</v>
      </c>
      <c r="F1518" t="str" cm="1">
        <f t="array" ref="F1518">IF(A1518=MAX(IF(ROUND($B$2:$B$3722,4)=ROUND(B1518,4),$A$2:$A$3722)),"Efficient","Inefficient")</f>
        <v>Inefficient</v>
      </c>
    </row>
    <row r="1519" spans="1:6" x14ac:dyDescent="0.25">
      <c r="A1519" cm="1">
        <f t="array" ref="A1519">INDEX('Portfolio Weights Returns'!$B$9:$BJ$69,
INT((ROW(A1518)-1)/COLUMNS('Portfolio Weights Returns'!$B$9:$BJ$69))+1,MOD(ROW(A1518)-1,COLUMNS('Portfolio Weights Returns'!$B$9:$BJ$69))+1)</f>
        <v>-6.7779209609647418E-4</v>
      </c>
      <c r="B1519">
        <v>1.9199999999999998E-2</v>
      </c>
      <c r="C1519" s="59">
        <v>-7.0000000000000007E-2</v>
      </c>
      <c r="D1519" s="59">
        <v>0.13</v>
      </c>
      <c r="E1519" s="60">
        <f t="shared" si="23"/>
        <v>0.94</v>
      </c>
      <c r="F1519" t="str" cm="1">
        <f t="array" ref="F1519">IF(A1519=MAX(IF(ROUND($B$2:$B$3722,4)=ROUND(B1519,4),$A$2:$A$3722)),"Efficient","Inefficient")</f>
        <v>Inefficient</v>
      </c>
    </row>
    <row r="1520" spans="1:6" x14ac:dyDescent="0.25">
      <c r="A1520" cm="1">
        <f t="array" ref="A1520">INDEX('Portfolio Weights Returns'!$B$9:$BJ$69,
INT((ROW(A1519)-1)/COLUMNS('Portfolio Weights Returns'!$B$9:$BJ$69))+1,MOD(ROW(A1519)-1,COLUMNS('Portfolio Weights Returns'!$B$9:$BJ$69))+1)</f>
        <v>-6.7101092212979514E-4</v>
      </c>
      <c r="B1520">
        <v>1.9199999999999998E-2</v>
      </c>
      <c r="C1520" s="59">
        <v>-0.08</v>
      </c>
      <c r="D1520" s="59">
        <v>0.15</v>
      </c>
      <c r="E1520" s="60">
        <f t="shared" si="23"/>
        <v>0.92999999999999994</v>
      </c>
      <c r="F1520" t="str" cm="1">
        <f t="array" ref="F1520">IF(A1520=MAX(IF(ROUND($B$2:$B$3722,4)=ROUND(B1520,4),$A$2:$A$3722)),"Efficient","Inefficient")</f>
        <v>Inefficient</v>
      </c>
    </row>
    <row r="1521" spans="1:6" x14ac:dyDescent="0.25">
      <c r="A1521" cm="1">
        <f t="array" ref="A1521">INDEX('Portfolio Weights Returns'!$B$9:$BJ$69,
INT((ROW(A1520)-1)/COLUMNS('Portfolio Weights Returns'!$B$9:$BJ$69))+1,MOD(ROW(A1520)-1,COLUMNS('Portfolio Weights Returns'!$B$9:$BJ$69))+1)</f>
        <v>-6.64229748163116E-4</v>
      </c>
      <c r="B1521">
        <v>1.9199999999999998E-2</v>
      </c>
      <c r="C1521" s="59">
        <v>-0.08</v>
      </c>
      <c r="D1521" s="59">
        <v>0.16</v>
      </c>
      <c r="E1521" s="60">
        <f t="shared" si="23"/>
        <v>0.91999999999999993</v>
      </c>
      <c r="F1521" t="str" cm="1">
        <f t="array" ref="F1521">IF(A1521=MAX(IF(ROUND($B$2:$B$3722,4)=ROUND(B1521,4),$A$2:$A$3722)),"Efficient","Inefficient")</f>
        <v>Inefficient</v>
      </c>
    </row>
    <row r="1522" spans="1:6" x14ac:dyDescent="0.25">
      <c r="A1522" cm="1">
        <f t="array" ref="A1522">INDEX('Portfolio Weights Returns'!$B$9:$BJ$69,
INT((ROW(A1521)-1)/COLUMNS('Portfolio Weights Returns'!$B$9:$BJ$69))+1,MOD(ROW(A1521)-1,COLUMNS('Portfolio Weights Returns'!$B$9:$BJ$69))+1)</f>
        <v>-6.5744857419643686E-4</v>
      </c>
      <c r="B1522">
        <v>1.9199999999999998E-2</v>
      </c>
      <c r="C1522" s="59">
        <v>-0.08</v>
      </c>
      <c r="D1522" s="59">
        <v>0.17</v>
      </c>
      <c r="E1522" s="60">
        <f t="shared" si="23"/>
        <v>0.90999999999999992</v>
      </c>
      <c r="F1522" t="str" cm="1">
        <f t="array" ref="F1522">IF(A1522=MAX(IF(ROUND($B$2:$B$3722,4)=ROUND(B1522,4),$A$2:$A$3722)),"Efficient","Inefficient")</f>
        <v>Inefficient</v>
      </c>
    </row>
    <row r="1523" spans="1:6" x14ac:dyDescent="0.25">
      <c r="A1523" cm="1">
        <f t="array" ref="A1523">INDEX('Portfolio Weights Returns'!$B$9:$BJ$69,
INT((ROW(A1522)-1)/COLUMNS('Portfolio Weights Returns'!$B$9:$BJ$69))+1,MOD(ROW(A1522)-1,COLUMNS('Portfolio Weights Returns'!$B$9:$BJ$69))+1)</f>
        <v>-6.5066740022975695E-4</v>
      </c>
      <c r="B1523">
        <v>1.9199999999999998E-2</v>
      </c>
      <c r="C1523" s="59">
        <v>-0.08</v>
      </c>
      <c r="D1523" s="59">
        <v>0.18</v>
      </c>
      <c r="E1523" s="60">
        <f t="shared" si="23"/>
        <v>0.9</v>
      </c>
      <c r="F1523" t="str" cm="1">
        <f t="array" ref="F1523">IF(A1523=MAX(IF(ROUND($B$2:$B$3722,4)=ROUND(B1523,4),$A$2:$A$3722)),"Efficient","Inefficient")</f>
        <v>Inefficient</v>
      </c>
    </row>
    <row r="1524" spans="1:6" x14ac:dyDescent="0.25">
      <c r="A1524" cm="1">
        <f t="array" ref="A1524">INDEX('Portfolio Weights Returns'!$B$9:$BJ$69,
INT((ROW(A1523)-1)/COLUMNS('Portfolio Weights Returns'!$B$9:$BJ$69))+1,MOD(ROW(A1523)-1,COLUMNS('Portfolio Weights Returns'!$B$9:$BJ$69))+1)</f>
        <v>-6.4388622626307781E-4</v>
      </c>
      <c r="B1524">
        <v>1.9199999999999998E-2</v>
      </c>
      <c r="C1524" s="59">
        <v>-0.08</v>
      </c>
      <c r="D1524" s="59">
        <v>0.19</v>
      </c>
      <c r="E1524" s="60">
        <f t="shared" si="23"/>
        <v>0.89</v>
      </c>
      <c r="F1524" t="str" cm="1">
        <f t="array" ref="F1524">IF(A1524=MAX(IF(ROUND($B$2:$B$3722,4)=ROUND(B1524,4),$A$2:$A$3722)),"Efficient","Inefficient")</f>
        <v>Inefficient</v>
      </c>
    </row>
    <row r="1525" spans="1:6" x14ac:dyDescent="0.25">
      <c r="A1525" cm="1">
        <f t="array" ref="A1525">INDEX('Portfolio Weights Returns'!$B$9:$BJ$69,
INT((ROW(A1524)-1)/COLUMNS('Portfolio Weights Returns'!$B$9:$BJ$69))+1,MOD(ROW(A1524)-1,COLUMNS('Portfolio Weights Returns'!$B$9:$BJ$69))+1)</f>
        <v>-6.3710505229639899E-4</v>
      </c>
      <c r="B1525">
        <v>1.9199999999999998E-2</v>
      </c>
      <c r="C1525" s="59">
        <v>-7.0000000000000007E-2</v>
      </c>
      <c r="D1525" s="59">
        <v>0.21</v>
      </c>
      <c r="E1525" s="60">
        <f t="shared" si="23"/>
        <v>0.8600000000000001</v>
      </c>
      <c r="F1525" t="str" cm="1">
        <f t="array" ref="F1525">IF(A1525=MAX(IF(ROUND($B$2:$B$3722,4)=ROUND(B1525,4),$A$2:$A$3722)),"Efficient","Inefficient")</f>
        <v>Inefficient</v>
      </c>
    </row>
    <row r="1526" spans="1:6" x14ac:dyDescent="0.25">
      <c r="A1526" cm="1">
        <f t="array" ref="A1526">INDEX('Portfolio Weights Returns'!$B$9:$BJ$69,
INT((ROW(A1525)-1)/COLUMNS('Portfolio Weights Returns'!$B$9:$BJ$69))+1,MOD(ROW(A1525)-1,COLUMNS('Portfolio Weights Returns'!$B$9:$BJ$69))+1)</f>
        <v>-6.3032387832971984E-4</v>
      </c>
      <c r="B1526">
        <v>1.9199999999999998E-2</v>
      </c>
      <c r="C1526" s="59">
        <v>-7.0000000000000007E-2</v>
      </c>
      <c r="D1526" s="59">
        <v>0.22</v>
      </c>
      <c r="E1526" s="60">
        <f t="shared" si="23"/>
        <v>0.85000000000000009</v>
      </c>
      <c r="F1526" t="str" cm="1">
        <f t="array" ref="F1526">IF(A1526=MAX(IF(ROUND($B$2:$B$3722,4)=ROUND(B1526,4),$A$2:$A$3722)),"Efficient","Inefficient")</f>
        <v>Efficient</v>
      </c>
    </row>
    <row r="1527" spans="1:6" x14ac:dyDescent="0.25">
      <c r="A1527" cm="1">
        <f t="array" ref="A1527">INDEX('Portfolio Weights Returns'!$B$9:$BJ$69,
INT((ROW(A1526)-1)/COLUMNS('Portfolio Weights Returns'!$B$9:$BJ$69))+1,MOD(ROW(A1526)-1,COLUMNS('Portfolio Weights Returns'!$B$9:$BJ$69))+1)</f>
        <v>-1.0306201084850117E-3</v>
      </c>
      <c r="B1527">
        <v>1.9199999999999998E-2</v>
      </c>
      <c r="C1527" s="59">
        <v>-7.0000000000000007E-2</v>
      </c>
      <c r="D1527" s="59">
        <v>0.23</v>
      </c>
      <c r="E1527" s="60">
        <f t="shared" si="23"/>
        <v>0.84000000000000008</v>
      </c>
      <c r="F1527" t="str" cm="1">
        <f t="array" ref="F1527">IF(A1527=MAX(IF(ROUND($B$2:$B$3722,4)=ROUND(B1527,4),$A$2:$A$3722)),"Efficient","Inefficient")</f>
        <v>Inefficient</v>
      </c>
    </row>
    <row r="1528" spans="1:6" x14ac:dyDescent="0.25">
      <c r="A1528" cm="1">
        <f t="array" ref="A1528">INDEX('Portfolio Weights Returns'!$B$9:$BJ$69,
INT((ROW(A1527)-1)/COLUMNS('Portfolio Weights Returns'!$B$9:$BJ$69))+1,MOD(ROW(A1527)-1,COLUMNS('Portfolio Weights Returns'!$B$9:$BJ$69))+1)</f>
        <v>-1.0238389345183325E-3</v>
      </c>
      <c r="B1528">
        <v>1.9199999999999998E-2</v>
      </c>
      <c r="C1528" s="59">
        <v>-0.06</v>
      </c>
      <c r="D1528" s="59">
        <v>0.24</v>
      </c>
      <c r="E1528" s="60">
        <f t="shared" si="23"/>
        <v>0.82000000000000006</v>
      </c>
      <c r="F1528" t="str" cm="1">
        <f t="array" ref="F1528">IF(A1528=MAX(IF(ROUND($B$2:$B$3722,4)=ROUND(B1528,4),$A$2:$A$3722)),"Efficient","Inefficient")</f>
        <v>Inefficient</v>
      </c>
    </row>
    <row r="1529" spans="1:6" x14ac:dyDescent="0.25">
      <c r="A1529" cm="1">
        <f t="array" ref="A1529">INDEX('Portfolio Weights Returns'!$B$9:$BJ$69,
INT((ROW(A1528)-1)/COLUMNS('Portfolio Weights Returns'!$B$9:$BJ$69))+1,MOD(ROW(A1528)-1,COLUMNS('Portfolio Weights Returns'!$B$9:$BJ$69))+1)</f>
        <v>-1.0170577605516534E-3</v>
      </c>
      <c r="B1529">
        <v>1.9199999999999998E-2</v>
      </c>
      <c r="C1529" s="59">
        <v>-0.06</v>
      </c>
      <c r="D1529" s="59">
        <v>0.25</v>
      </c>
      <c r="E1529" s="60">
        <f t="shared" si="23"/>
        <v>0.81</v>
      </c>
      <c r="F1529" t="str" cm="1">
        <f t="array" ref="F1529">IF(A1529=MAX(IF(ROUND($B$2:$B$3722,4)=ROUND(B1529,4),$A$2:$A$3722)),"Efficient","Inefficient")</f>
        <v>Inefficient</v>
      </c>
    </row>
    <row r="1530" spans="1:6" x14ac:dyDescent="0.25">
      <c r="A1530" cm="1">
        <f t="array" ref="A1530">INDEX('Portfolio Weights Returns'!$B$9:$BJ$69,
INT((ROW(A1529)-1)/COLUMNS('Portfolio Weights Returns'!$B$9:$BJ$69))+1,MOD(ROW(A1529)-1,COLUMNS('Portfolio Weights Returns'!$B$9:$BJ$69))+1)</f>
        <v>-1.0102765865849742E-3</v>
      </c>
      <c r="B1530">
        <v>1.9199999999999998E-2</v>
      </c>
      <c r="C1530" s="59">
        <v>-0.05</v>
      </c>
      <c r="D1530" s="59">
        <v>0.26</v>
      </c>
      <c r="E1530" s="60">
        <f t="shared" si="23"/>
        <v>0.79</v>
      </c>
      <c r="F1530" t="str" cm="1">
        <f t="array" ref="F1530">IF(A1530=MAX(IF(ROUND($B$2:$B$3722,4)=ROUND(B1530,4),$A$2:$A$3722)),"Efficient","Inefficient")</f>
        <v>Inefficient</v>
      </c>
    </row>
    <row r="1531" spans="1:6" x14ac:dyDescent="0.25">
      <c r="A1531" cm="1">
        <f t="array" ref="A1531">INDEX('Portfolio Weights Returns'!$B$9:$BJ$69,
INT((ROW(A1530)-1)/COLUMNS('Portfolio Weights Returns'!$B$9:$BJ$69))+1,MOD(ROW(A1530)-1,COLUMNS('Portfolio Weights Returns'!$B$9:$BJ$69))+1)</f>
        <v>-1.0034954126182951E-3</v>
      </c>
      <c r="B1531">
        <v>1.9199999999999998E-2</v>
      </c>
      <c r="C1531" s="59">
        <v>-0.04</v>
      </c>
      <c r="D1531" s="59">
        <v>0.28000000000000003</v>
      </c>
      <c r="E1531" s="60">
        <f t="shared" si="23"/>
        <v>0.76</v>
      </c>
      <c r="F1531" t="str" cm="1">
        <f t="array" ref="F1531">IF(A1531=MAX(IF(ROUND($B$2:$B$3722,4)=ROUND(B1531,4),$A$2:$A$3722)),"Efficient","Inefficient")</f>
        <v>Inefficient</v>
      </c>
    </row>
    <row r="1532" spans="1:6" x14ac:dyDescent="0.25">
      <c r="A1532" cm="1">
        <f t="array" ref="A1532">INDEX('Portfolio Weights Returns'!$B$9:$BJ$69,
INT((ROW(A1531)-1)/COLUMNS('Portfolio Weights Returns'!$B$9:$BJ$69))+1,MOD(ROW(A1531)-1,COLUMNS('Portfolio Weights Returns'!$B$9:$BJ$69))+1)</f>
        <v>-9.9671423865161594E-4</v>
      </c>
      <c r="B1532">
        <v>1.9199999999999998E-2</v>
      </c>
      <c r="C1532" s="59">
        <v>-0.03</v>
      </c>
      <c r="D1532" s="59">
        <v>0.28999999999999998</v>
      </c>
      <c r="E1532" s="60">
        <f t="shared" si="23"/>
        <v>0.74</v>
      </c>
      <c r="F1532" t="str" cm="1">
        <f t="array" ref="F1532">IF(A1532=MAX(IF(ROUND($B$2:$B$3722,4)=ROUND(B1532,4),$A$2:$A$3722)),"Efficient","Inefficient")</f>
        <v>Inefficient</v>
      </c>
    </row>
    <row r="1533" spans="1:6" x14ac:dyDescent="0.25">
      <c r="A1533" cm="1">
        <f t="array" ref="A1533">INDEX('Portfolio Weights Returns'!$B$9:$BJ$69,
INT((ROW(A1532)-1)/COLUMNS('Portfolio Weights Returns'!$B$9:$BJ$69))+1,MOD(ROW(A1532)-1,COLUMNS('Portfolio Weights Returns'!$B$9:$BJ$69))+1)</f>
        <v>-9.8993306468493679E-4</v>
      </c>
      <c r="B1533">
        <v>1.9199999999999998E-2</v>
      </c>
      <c r="C1533" s="59">
        <v>-0.02</v>
      </c>
      <c r="D1533" s="59">
        <v>0.3</v>
      </c>
      <c r="E1533" s="60">
        <f t="shared" si="23"/>
        <v>0.72</v>
      </c>
      <c r="F1533" t="str" cm="1">
        <f t="array" ref="F1533">IF(A1533=MAX(IF(ROUND($B$2:$B$3722,4)=ROUND(B1533,4),$A$2:$A$3722)),"Efficient","Inefficient")</f>
        <v>Inefficient</v>
      </c>
    </row>
    <row r="1534" spans="1:6" x14ac:dyDescent="0.25">
      <c r="A1534" cm="1">
        <f t="array" ref="A1534">INDEX('Portfolio Weights Returns'!$B$9:$BJ$69,
INT((ROW(A1533)-1)/COLUMNS('Portfolio Weights Returns'!$B$9:$BJ$69))+1,MOD(ROW(A1533)-1,COLUMNS('Portfolio Weights Returns'!$B$9:$BJ$69))+1)</f>
        <v>-9.8315189071825765E-4</v>
      </c>
      <c r="B1534">
        <v>1.9199999999999998E-2</v>
      </c>
      <c r="C1534" s="59">
        <v>-0.01</v>
      </c>
      <c r="D1534" s="59">
        <v>0.3</v>
      </c>
      <c r="E1534" s="60">
        <f t="shared" si="23"/>
        <v>0.71</v>
      </c>
      <c r="F1534" t="str" cm="1">
        <f t="array" ref="F1534">IF(A1534=MAX(IF(ROUND($B$2:$B$3722,4)=ROUND(B1534,4),$A$2:$A$3722)),"Efficient","Inefficient")</f>
        <v>Inefficient</v>
      </c>
    </row>
    <row r="1535" spans="1:6" x14ac:dyDescent="0.25">
      <c r="A1535" cm="1">
        <f t="array" ref="A1535">INDEX('Portfolio Weights Returns'!$B$9:$BJ$69,
INT((ROW(A1534)-1)/COLUMNS('Portfolio Weights Returns'!$B$9:$BJ$69))+1,MOD(ROW(A1534)-1,COLUMNS('Portfolio Weights Returns'!$B$9:$BJ$69))+1)</f>
        <v>-9.7637071675157861E-4</v>
      </c>
      <c r="B1535">
        <v>1.9300000000000001E-2</v>
      </c>
      <c r="C1535" s="59">
        <v>0.28999999999999998</v>
      </c>
      <c r="D1535" s="59">
        <v>-0.23</v>
      </c>
      <c r="E1535" s="60">
        <f t="shared" si="23"/>
        <v>0.94</v>
      </c>
      <c r="F1535" t="str" cm="1">
        <f t="array" ref="F1535">IF(A1535=MAX(IF(ROUND($B$2:$B$3722,4)=ROUND(B1535,4),$A$2:$A$3722)),"Efficient","Inefficient")</f>
        <v>Inefficient</v>
      </c>
    </row>
    <row r="1536" spans="1:6" x14ac:dyDescent="0.25">
      <c r="A1536" cm="1">
        <f t="array" ref="A1536">INDEX('Portfolio Weights Returns'!$B$9:$BJ$69,
INT((ROW(A1535)-1)/COLUMNS('Portfolio Weights Returns'!$B$9:$BJ$69))+1,MOD(ROW(A1535)-1,COLUMNS('Portfolio Weights Returns'!$B$9:$BJ$69))+1)</f>
        <v>-9.6958954278489958E-4</v>
      </c>
      <c r="B1536">
        <v>1.9300000000000001E-2</v>
      </c>
      <c r="C1536" s="59">
        <v>0.27</v>
      </c>
      <c r="D1536" s="59">
        <v>-0.22</v>
      </c>
      <c r="E1536" s="60">
        <f t="shared" si="23"/>
        <v>0.95</v>
      </c>
      <c r="F1536" t="str" cm="1">
        <f t="array" ref="F1536">IF(A1536=MAX(IF(ROUND($B$2:$B$3722,4)=ROUND(B1536,4),$A$2:$A$3722)),"Efficient","Inefficient")</f>
        <v>Inefficient</v>
      </c>
    </row>
    <row r="1537" spans="1:6" x14ac:dyDescent="0.25">
      <c r="A1537" cm="1">
        <f t="array" ref="A1537">INDEX('Portfolio Weights Returns'!$B$9:$BJ$69,
INT((ROW(A1536)-1)/COLUMNS('Portfolio Weights Returns'!$B$9:$BJ$69))+1,MOD(ROW(A1536)-1,COLUMNS('Portfolio Weights Returns'!$B$9:$BJ$69))+1)</f>
        <v>-9.6280836881822043E-4</v>
      </c>
      <c r="B1537">
        <v>1.9300000000000001E-2</v>
      </c>
      <c r="C1537" s="59">
        <v>0.25</v>
      </c>
      <c r="D1537" s="59">
        <v>-0.21</v>
      </c>
      <c r="E1537" s="60">
        <f t="shared" si="23"/>
        <v>0.96</v>
      </c>
      <c r="F1537" t="str" cm="1">
        <f t="array" ref="F1537">IF(A1537=MAX(IF(ROUND($B$2:$B$3722,4)=ROUND(B1537,4),$A$2:$A$3722)),"Efficient","Inefficient")</f>
        <v>Inefficient</v>
      </c>
    </row>
    <row r="1538" spans="1:6" x14ac:dyDescent="0.25">
      <c r="A1538" cm="1">
        <f t="array" ref="A1538">INDEX('Portfolio Weights Returns'!$B$9:$BJ$69,
INT((ROW(A1537)-1)/COLUMNS('Portfolio Weights Returns'!$B$9:$BJ$69))+1,MOD(ROW(A1537)-1,COLUMNS('Portfolio Weights Returns'!$B$9:$BJ$69))+1)</f>
        <v>-9.560271948515414E-4</v>
      </c>
      <c r="B1538">
        <v>1.9300000000000001E-2</v>
      </c>
      <c r="C1538" s="59">
        <v>0.22</v>
      </c>
      <c r="D1538" s="59">
        <v>-0.19</v>
      </c>
      <c r="E1538" s="60">
        <f t="shared" ref="E1538:E1601" si="24">1-D1538-C1538</f>
        <v>0.97</v>
      </c>
      <c r="F1538" t="str" cm="1">
        <f t="array" ref="F1538">IF(A1538=MAX(IF(ROUND($B$2:$B$3722,4)=ROUND(B1538,4),$A$2:$A$3722)),"Efficient","Inefficient")</f>
        <v>Inefficient</v>
      </c>
    </row>
    <row r="1539" spans="1:6" x14ac:dyDescent="0.25">
      <c r="A1539" cm="1">
        <f t="array" ref="A1539">INDEX('Portfolio Weights Returns'!$B$9:$BJ$69,
INT((ROW(A1538)-1)/COLUMNS('Portfolio Weights Returns'!$B$9:$BJ$69))+1,MOD(ROW(A1538)-1,COLUMNS('Portfolio Weights Returns'!$B$9:$BJ$69))+1)</f>
        <v>-9.4924602088486225E-4</v>
      </c>
      <c r="B1539">
        <v>1.9300000000000001E-2</v>
      </c>
      <c r="C1539" s="59">
        <v>0.2</v>
      </c>
      <c r="D1539" s="59">
        <v>-0.18</v>
      </c>
      <c r="E1539" s="60">
        <f t="shared" si="24"/>
        <v>0.98</v>
      </c>
      <c r="F1539" t="str" cm="1">
        <f t="array" ref="F1539">IF(A1539=MAX(IF(ROUND($B$2:$B$3722,4)=ROUND(B1539,4),$A$2:$A$3722)),"Efficient","Inefficient")</f>
        <v>Inefficient</v>
      </c>
    </row>
    <row r="1540" spans="1:6" x14ac:dyDescent="0.25">
      <c r="A1540" cm="1">
        <f t="array" ref="A1540">INDEX('Portfolio Weights Returns'!$B$9:$BJ$69,
INT((ROW(A1539)-1)/COLUMNS('Portfolio Weights Returns'!$B$9:$BJ$69))+1,MOD(ROW(A1539)-1,COLUMNS('Portfolio Weights Returns'!$B$9:$BJ$69))+1)</f>
        <v>-9.4246484691818311E-4</v>
      </c>
      <c r="B1540">
        <v>1.9300000000000001E-2</v>
      </c>
      <c r="C1540" s="59">
        <v>0.17</v>
      </c>
      <c r="D1540" s="59">
        <v>-0.16</v>
      </c>
      <c r="E1540" s="60">
        <f t="shared" si="24"/>
        <v>0.98999999999999988</v>
      </c>
      <c r="F1540" t="str" cm="1">
        <f t="array" ref="F1540">IF(A1540=MAX(IF(ROUND($B$2:$B$3722,4)=ROUND(B1540,4),$A$2:$A$3722)),"Efficient","Inefficient")</f>
        <v>Inefficient</v>
      </c>
    </row>
    <row r="1541" spans="1:6" x14ac:dyDescent="0.25">
      <c r="A1541" cm="1">
        <f t="array" ref="A1541">INDEX('Portfolio Weights Returns'!$B$9:$BJ$69,
INT((ROW(A1540)-1)/COLUMNS('Portfolio Weights Returns'!$B$9:$BJ$69))+1,MOD(ROW(A1540)-1,COLUMNS('Portfolio Weights Returns'!$B$9:$BJ$69))+1)</f>
        <v>-9.3568367295150396E-4</v>
      </c>
      <c r="B1541">
        <v>1.9300000000000001E-2</v>
      </c>
      <c r="C1541" s="59">
        <v>0.14000000000000001</v>
      </c>
      <c r="D1541" s="59">
        <v>-0.14000000000000001</v>
      </c>
      <c r="E1541" s="60">
        <f t="shared" si="24"/>
        <v>1</v>
      </c>
      <c r="F1541" t="str" cm="1">
        <f t="array" ref="F1541">IF(A1541=MAX(IF(ROUND($B$2:$B$3722,4)=ROUND(B1541,4),$A$2:$A$3722)),"Efficient","Inefficient")</f>
        <v>Inefficient</v>
      </c>
    </row>
    <row r="1542" spans="1:6" x14ac:dyDescent="0.25">
      <c r="A1542" cm="1">
        <f t="array" ref="A1542">INDEX('Portfolio Weights Returns'!$B$9:$BJ$69,
INT((ROW(A1541)-1)/COLUMNS('Portfolio Weights Returns'!$B$9:$BJ$69))+1,MOD(ROW(A1541)-1,COLUMNS('Portfolio Weights Returns'!$B$9:$BJ$69))+1)</f>
        <v>-9.2890249898482482E-4</v>
      </c>
      <c r="B1542">
        <v>1.9300000000000001E-2</v>
      </c>
      <c r="C1542" s="59">
        <v>0.13</v>
      </c>
      <c r="D1542" s="59">
        <v>-0.13</v>
      </c>
      <c r="E1542" s="60">
        <f t="shared" si="24"/>
        <v>0.99999999999999989</v>
      </c>
      <c r="F1542" t="str" cm="1">
        <f t="array" ref="F1542">IF(A1542=MAX(IF(ROUND($B$2:$B$3722,4)=ROUND(B1542,4),$A$2:$A$3722)),"Efficient","Inefficient")</f>
        <v>Inefficient</v>
      </c>
    </row>
    <row r="1543" spans="1:6" x14ac:dyDescent="0.25">
      <c r="A1543" cm="1">
        <f t="array" ref="A1543">INDEX('Portfolio Weights Returns'!$B$9:$BJ$69,
INT((ROW(A1542)-1)/COLUMNS('Portfolio Weights Returns'!$B$9:$BJ$69))+1,MOD(ROW(A1542)-1,COLUMNS('Portfolio Weights Returns'!$B$9:$BJ$69))+1)</f>
        <v>-9.22121325018146E-4</v>
      </c>
      <c r="B1543">
        <v>1.9300000000000001E-2</v>
      </c>
      <c r="C1543" s="59">
        <v>0.1</v>
      </c>
      <c r="D1543" s="59">
        <v>-0.11</v>
      </c>
      <c r="E1543" s="60">
        <f t="shared" si="24"/>
        <v>1.01</v>
      </c>
      <c r="F1543" t="str" cm="1">
        <f t="array" ref="F1543">IF(A1543=MAX(IF(ROUND($B$2:$B$3722,4)=ROUND(B1543,4),$A$2:$A$3722)),"Efficient","Inefficient")</f>
        <v>Inefficient</v>
      </c>
    </row>
    <row r="1544" spans="1:6" x14ac:dyDescent="0.25">
      <c r="A1544" cm="1">
        <f t="array" ref="A1544">INDEX('Portfolio Weights Returns'!$B$9:$BJ$69,
INT((ROW(A1543)-1)/COLUMNS('Portfolio Weights Returns'!$B$9:$BJ$69))+1,MOD(ROW(A1543)-1,COLUMNS('Portfolio Weights Returns'!$B$9:$BJ$69))+1)</f>
        <v>-9.1534015105146664E-4</v>
      </c>
      <c r="B1544">
        <v>1.9300000000000001E-2</v>
      </c>
      <c r="C1544" s="59">
        <v>0.09</v>
      </c>
      <c r="D1544" s="59">
        <v>-0.1</v>
      </c>
      <c r="E1544" s="60">
        <f t="shared" si="24"/>
        <v>1.01</v>
      </c>
      <c r="F1544" t="str" cm="1">
        <f t="array" ref="F1544">IF(A1544=MAX(IF(ROUND($B$2:$B$3722,4)=ROUND(B1544,4),$A$2:$A$3722)),"Efficient","Inefficient")</f>
        <v>Inefficient</v>
      </c>
    </row>
    <row r="1545" spans="1:6" x14ac:dyDescent="0.25">
      <c r="A1545" cm="1">
        <f t="array" ref="A1545">INDEX('Portfolio Weights Returns'!$B$9:$BJ$69,
INT((ROW(A1544)-1)/COLUMNS('Portfolio Weights Returns'!$B$9:$BJ$69))+1,MOD(ROW(A1544)-1,COLUMNS('Portfolio Weights Returns'!$B$9:$BJ$69))+1)</f>
        <v>-9.0855897708478771E-4</v>
      </c>
      <c r="B1545">
        <v>1.9300000000000001E-2</v>
      </c>
      <c r="C1545" s="59">
        <v>0.08</v>
      </c>
      <c r="D1545" s="59">
        <v>-0.09</v>
      </c>
      <c r="E1545" s="60">
        <f t="shared" si="24"/>
        <v>1.01</v>
      </c>
      <c r="F1545" t="str" cm="1">
        <f t="array" ref="F1545">IF(A1545=MAX(IF(ROUND($B$2:$B$3722,4)=ROUND(B1545,4),$A$2:$A$3722)),"Efficient","Inefficient")</f>
        <v>Inefficient</v>
      </c>
    </row>
    <row r="1546" spans="1:6" x14ac:dyDescent="0.25">
      <c r="A1546" cm="1">
        <f t="array" ref="A1546">INDEX('Portfolio Weights Returns'!$B$9:$BJ$69,
INT((ROW(A1545)-1)/COLUMNS('Portfolio Weights Returns'!$B$9:$BJ$69))+1,MOD(ROW(A1545)-1,COLUMNS('Portfolio Weights Returns'!$B$9:$BJ$69))+1)</f>
        <v>-9.0177780311810857E-4</v>
      </c>
      <c r="B1546">
        <v>1.9300000000000001E-2</v>
      </c>
      <c r="C1546" s="59">
        <v>0</v>
      </c>
      <c r="D1546" s="59">
        <v>-0.01</v>
      </c>
      <c r="E1546" s="60">
        <f t="shared" si="24"/>
        <v>1.01</v>
      </c>
      <c r="F1546" t="str" cm="1">
        <f t="array" ref="F1546">IF(A1546=MAX(IF(ROUND($B$2:$B$3722,4)=ROUND(B1546,4),$A$2:$A$3722)),"Efficient","Inefficient")</f>
        <v>Inefficient</v>
      </c>
    </row>
    <row r="1547" spans="1:6" x14ac:dyDescent="0.25">
      <c r="A1547" cm="1">
        <f t="array" ref="A1547">INDEX('Portfolio Weights Returns'!$B$9:$BJ$69,
INT((ROW(A1546)-1)/COLUMNS('Portfolio Weights Returns'!$B$9:$BJ$69))+1,MOD(ROW(A1546)-1,COLUMNS('Portfolio Weights Returns'!$B$9:$BJ$69))+1)</f>
        <v>-8.9499662915142953E-4</v>
      </c>
      <c r="B1547">
        <v>1.9300000000000001E-2</v>
      </c>
      <c r="C1547" s="59">
        <v>-0.01</v>
      </c>
      <c r="D1547" s="59">
        <v>0</v>
      </c>
      <c r="E1547" s="60">
        <f t="shared" si="24"/>
        <v>1.01</v>
      </c>
      <c r="F1547" t="str" cm="1">
        <f t="array" ref="F1547">IF(A1547=MAX(IF(ROUND($B$2:$B$3722,4)=ROUND(B1547,4),$A$2:$A$3722)),"Efficient","Inefficient")</f>
        <v>Inefficient</v>
      </c>
    </row>
    <row r="1548" spans="1:6" x14ac:dyDescent="0.25">
      <c r="A1548" cm="1">
        <f t="array" ref="A1548">INDEX('Portfolio Weights Returns'!$B$9:$BJ$69,
INT((ROW(A1547)-1)/COLUMNS('Portfolio Weights Returns'!$B$9:$BJ$69))+1,MOD(ROW(A1547)-1,COLUMNS('Portfolio Weights Returns'!$B$9:$BJ$69))+1)</f>
        <v>-8.8821545518475039E-4</v>
      </c>
      <c r="B1548">
        <v>1.9300000000000001E-2</v>
      </c>
      <c r="C1548" s="59">
        <v>-0.02</v>
      </c>
      <c r="D1548" s="59">
        <v>0.01</v>
      </c>
      <c r="E1548" s="60">
        <f t="shared" si="24"/>
        <v>1.01</v>
      </c>
      <c r="F1548" t="str" cm="1">
        <f t="array" ref="F1548">IF(A1548=MAX(IF(ROUND($B$2:$B$3722,4)=ROUND(B1548,4),$A$2:$A$3722)),"Efficient","Inefficient")</f>
        <v>Inefficient</v>
      </c>
    </row>
    <row r="1549" spans="1:6" x14ac:dyDescent="0.25">
      <c r="A1549" cm="1">
        <f t="array" ref="A1549">INDEX('Portfolio Weights Returns'!$B$9:$BJ$69,
INT((ROW(A1548)-1)/COLUMNS('Portfolio Weights Returns'!$B$9:$BJ$69))+1,MOD(ROW(A1548)-1,COLUMNS('Portfolio Weights Returns'!$B$9:$BJ$69))+1)</f>
        <v>-8.8143428121807135E-4</v>
      </c>
      <c r="B1549">
        <v>1.9300000000000001E-2</v>
      </c>
      <c r="C1549" s="59">
        <v>-0.03</v>
      </c>
      <c r="D1549" s="59">
        <v>0.03</v>
      </c>
      <c r="E1549" s="60">
        <f t="shared" si="24"/>
        <v>1</v>
      </c>
      <c r="F1549" t="str" cm="1">
        <f t="array" ref="F1549">IF(A1549=MAX(IF(ROUND($B$2:$B$3722,4)=ROUND(B1549,4),$A$2:$A$3722)),"Efficient","Inefficient")</f>
        <v>Inefficient</v>
      </c>
    </row>
    <row r="1550" spans="1:6" x14ac:dyDescent="0.25">
      <c r="A1550" cm="1">
        <f t="array" ref="A1550">INDEX('Portfolio Weights Returns'!$B$9:$BJ$69,
INT((ROW(A1549)-1)/COLUMNS('Portfolio Weights Returns'!$B$9:$BJ$69))+1,MOD(ROW(A1549)-1,COLUMNS('Portfolio Weights Returns'!$B$9:$BJ$69))+1)</f>
        <v>-8.746531072513922E-4</v>
      </c>
      <c r="B1550">
        <v>1.9300000000000001E-2</v>
      </c>
      <c r="C1550" s="59">
        <v>-0.04</v>
      </c>
      <c r="D1550" s="59">
        <v>0.04</v>
      </c>
      <c r="E1550" s="60">
        <f t="shared" si="24"/>
        <v>1</v>
      </c>
      <c r="F1550" t="str" cm="1">
        <f t="array" ref="F1550">IF(A1550=MAX(IF(ROUND($B$2:$B$3722,4)=ROUND(B1550,4),$A$2:$A$3722)),"Efficient","Inefficient")</f>
        <v>Inefficient</v>
      </c>
    </row>
    <row r="1551" spans="1:6" x14ac:dyDescent="0.25">
      <c r="A1551" cm="1">
        <f t="array" ref="A1551">INDEX('Portfolio Weights Returns'!$B$9:$BJ$69,
INT((ROW(A1550)-1)/COLUMNS('Portfolio Weights Returns'!$B$9:$BJ$69))+1,MOD(ROW(A1550)-1,COLUMNS('Portfolio Weights Returns'!$B$9:$BJ$69))+1)</f>
        <v>-8.6787193328471306E-4</v>
      </c>
      <c r="B1551">
        <v>1.9300000000000001E-2</v>
      </c>
      <c r="C1551" s="59">
        <v>-0.05</v>
      </c>
      <c r="D1551" s="59">
        <v>0.06</v>
      </c>
      <c r="E1551" s="60">
        <f t="shared" si="24"/>
        <v>0.99</v>
      </c>
      <c r="F1551" t="str" cm="1">
        <f t="array" ref="F1551">IF(A1551=MAX(IF(ROUND($B$2:$B$3722,4)=ROUND(B1551,4),$A$2:$A$3722)),"Efficient","Inefficient")</f>
        <v>Inefficient</v>
      </c>
    </row>
    <row r="1552" spans="1:6" x14ac:dyDescent="0.25">
      <c r="A1552" cm="1">
        <f t="array" ref="A1552">INDEX('Portfolio Weights Returns'!$B$9:$BJ$69,
INT((ROW(A1551)-1)/COLUMNS('Portfolio Weights Returns'!$B$9:$BJ$69))+1,MOD(ROW(A1551)-1,COLUMNS('Portfolio Weights Returns'!$B$9:$BJ$69))+1)</f>
        <v>-8.6109075931803392E-4</v>
      </c>
      <c r="B1552">
        <v>1.9300000000000001E-2</v>
      </c>
      <c r="C1552" s="59">
        <v>-0.06</v>
      </c>
      <c r="D1552" s="59">
        <v>7.0000000000000007E-2</v>
      </c>
      <c r="E1552" s="60">
        <f t="shared" si="24"/>
        <v>0.99</v>
      </c>
      <c r="F1552" t="str" cm="1">
        <f t="array" ref="F1552">IF(A1552=MAX(IF(ROUND($B$2:$B$3722,4)=ROUND(B1552,4),$A$2:$A$3722)),"Efficient","Inefficient")</f>
        <v>Inefficient</v>
      </c>
    </row>
    <row r="1553" spans="1:6" x14ac:dyDescent="0.25">
      <c r="A1553" cm="1">
        <f t="array" ref="A1553">INDEX('Portfolio Weights Returns'!$B$9:$BJ$69,
INT((ROW(A1552)-1)/COLUMNS('Portfolio Weights Returns'!$B$9:$BJ$69))+1,MOD(ROW(A1552)-1,COLUMNS('Portfolio Weights Returns'!$B$9:$BJ$69))+1)</f>
        <v>-8.5430958535135477E-4</v>
      </c>
      <c r="B1553">
        <v>1.9300000000000001E-2</v>
      </c>
      <c r="C1553" s="59">
        <v>-0.06</v>
      </c>
      <c r="D1553" s="59">
        <v>0.08</v>
      </c>
      <c r="E1553" s="60">
        <f t="shared" si="24"/>
        <v>0.98</v>
      </c>
      <c r="F1553" t="str" cm="1">
        <f t="array" ref="F1553">IF(A1553=MAX(IF(ROUND($B$2:$B$3722,4)=ROUND(B1553,4),$A$2:$A$3722)),"Efficient","Inefficient")</f>
        <v>Inefficient</v>
      </c>
    </row>
    <row r="1554" spans="1:6" x14ac:dyDescent="0.25">
      <c r="A1554" cm="1">
        <f t="array" ref="A1554">INDEX('Portfolio Weights Returns'!$B$9:$BJ$69,
INT((ROW(A1553)-1)/COLUMNS('Portfolio Weights Returns'!$B$9:$BJ$69))+1,MOD(ROW(A1553)-1,COLUMNS('Portfolio Weights Returns'!$B$9:$BJ$69))+1)</f>
        <v>-8.4752841138467574E-4</v>
      </c>
      <c r="B1554">
        <v>1.9300000000000001E-2</v>
      </c>
      <c r="C1554" s="59">
        <v>-7.0000000000000007E-2</v>
      </c>
      <c r="D1554" s="59">
        <v>0.09</v>
      </c>
      <c r="E1554" s="60">
        <f t="shared" si="24"/>
        <v>0.98</v>
      </c>
      <c r="F1554" t="str" cm="1">
        <f t="array" ref="F1554">IF(A1554=MAX(IF(ROUND($B$2:$B$3722,4)=ROUND(B1554,4),$A$2:$A$3722)),"Efficient","Inefficient")</f>
        <v>Inefficient</v>
      </c>
    </row>
    <row r="1555" spans="1:6" x14ac:dyDescent="0.25">
      <c r="A1555" cm="1">
        <f t="array" ref="A1555">INDEX('Portfolio Weights Returns'!$B$9:$BJ$69,
INT((ROW(A1554)-1)/COLUMNS('Portfolio Weights Returns'!$B$9:$BJ$69))+1,MOD(ROW(A1554)-1,COLUMNS('Portfolio Weights Returns'!$B$9:$BJ$69))+1)</f>
        <v>-8.4074723741799659E-4</v>
      </c>
      <c r="B1555">
        <v>1.9300000000000001E-2</v>
      </c>
      <c r="C1555" s="59">
        <v>-7.0000000000000007E-2</v>
      </c>
      <c r="D1555" s="59">
        <v>0.1</v>
      </c>
      <c r="E1555" s="60">
        <f t="shared" si="24"/>
        <v>0.97</v>
      </c>
      <c r="F1555" t="str" cm="1">
        <f t="array" ref="F1555">IF(A1555=MAX(IF(ROUND($B$2:$B$3722,4)=ROUND(B1555,4),$A$2:$A$3722)),"Efficient","Inefficient")</f>
        <v>Inefficient</v>
      </c>
    </row>
    <row r="1556" spans="1:6" x14ac:dyDescent="0.25">
      <c r="A1556" cm="1">
        <f t="array" ref="A1556">INDEX('Portfolio Weights Returns'!$B$9:$BJ$69,
INT((ROW(A1555)-1)/COLUMNS('Portfolio Weights Returns'!$B$9:$BJ$69))+1,MOD(ROW(A1555)-1,COLUMNS('Portfolio Weights Returns'!$B$9:$BJ$69))+1)</f>
        <v>-8.3396606345131756E-4</v>
      </c>
      <c r="B1556">
        <v>1.9300000000000001E-2</v>
      </c>
      <c r="C1556" s="59">
        <v>-0.08</v>
      </c>
      <c r="D1556" s="59">
        <v>0.12</v>
      </c>
      <c r="E1556" s="60">
        <f t="shared" si="24"/>
        <v>0.96</v>
      </c>
      <c r="F1556" t="str" cm="1">
        <f t="array" ref="F1556">IF(A1556=MAX(IF(ROUND($B$2:$B$3722,4)=ROUND(B1556,4),$A$2:$A$3722)),"Efficient","Inefficient")</f>
        <v>Inefficient</v>
      </c>
    </row>
    <row r="1557" spans="1:6" x14ac:dyDescent="0.25">
      <c r="A1557" cm="1">
        <f t="array" ref="A1557">INDEX('Portfolio Weights Returns'!$B$9:$BJ$69,
INT((ROW(A1556)-1)/COLUMNS('Portfolio Weights Returns'!$B$9:$BJ$69))+1,MOD(ROW(A1556)-1,COLUMNS('Portfolio Weights Returns'!$B$9:$BJ$69))+1)</f>
        <v>-8.2718488948463841E-4</v>
      </c>
      <c r="B1557">
        <v>1.9300000000000001E-2</v>
      </c>
      <c r="C1557" s="59">
        <v>-0.08</v>
      </c>
      <c r="D1557" s="59">
        <v>0.13</v>
      </c>
      <c r="E1557" s="60">
        <f t="shared" si="24"/>
        <v>0.95</v>
      </c>
      <c r="F1557" t="str" cm="1">
        <f t="array" ref="F1557">IF(A1557=MAX(IF(ROUND($B$2:$B$3722,4)=ROUND(B1557,4),$A$2:$A$3722)),"Efficient","Inefficient")</f>
        <v>Inefficient</v>
      </c>
    </row>
    <row r="1558" spans="1:6" x14ac:dyDescent="0.25">
      <c r="A1558" cm="1">
        <f t="array" ref="A1558">INDEX('Portfolio Weights Returns'!$B$9:$BJ$69,
INT((ROW(A1557)-1)/COLUMNS('Portfolio Weights Returns'!$B$9:$BJ$69))+1,MOD(ROW(A1557)-1,COLUMNS('Portfolio Weights Returns'!$B$9:$BJ$69))+1)</f>
        <v>-8.2040371551795937E-4</v>
      </c>
      <c r="B1558">
        <v>1.9300000000000001E-2</v>
      </c>
      <c r="C1558" s="59">
        <v>-0.08</v>
      </c>
      <c r="D1558" s="59">
        <v>0.14000000000000001</v>
      </c>
      <c r="E1558" s="60">
        <f t="shared" si="24"/>
        <v>0.94</v>
      </c>
      <c r="F1558" t="str" cm="1">
        <f t="array" ref="F1558">IF(A1558=MAX(IF(ROUND($B$2:$B$3722,4)=ROUND(B1558,4),$A$2:$A$3722)),"Efficient","Inefficient")</f>
        <v>Inefficient</v>
      </c>
    </row>
    <row r="1559" spans="1:6" x14ac:dyDescent="0.25">
      <c r="A1559" cm="1">
        <f t="array" ref="A1559">INDEX('Portfolio Weights Returns'!$B$9:$BJ$69,
INT((ROW(A1558)-1)/COLUMNS('Portfolio Weights Returns'!$B$9:$BJ$69))+1,MOD(ROW(A1558)-1,COLUMNS('Portfolio Weights Returns'!$B$9:$BJ$69))+1)</f>
        <v>-8.1362254155128012E-4</v>
      </c>
      <c r="B1559">
        <v>1.9300000000000001E-2</v>
      </c>
      <c r="C1559" s="59">
        <v>-0.08</v>
      </c>
      <c r="D1559" s="59">
        <v>0.2</v>
      </c>
      <c r="E1559" s="60">
        <f t="shared" si="24"/>
        <v>0.88</v>
      </c>
      <c r="F1559" t="str" cm="1">
        <f t="array" ref="F1559">IF(A1559=MAX(IF(ROUND($B$2:$B$3722,4)=ROUND(B1559,4),$A$2:$A$3722)),"Efficient","Inefficient")</f>
        <v>Inefficient</v>
      </c>
    </row>
    <row r="1560" spans="1:6" x14ac:dyDescent="0.25">
      <c r="A1560" cm="1">
        <f t="array" ref="A1560">INDEX('Portfolio Weights Returns'!$B$9:$BJ$69,
INT((ROW(A1559)-1)/COLUMNS('Portfolio Weights Returns'!$B$9:$BJ$69))+1,MOD(ROW(A1559)-1,COLUMNS('Portfolio Weights Returns'!$B$9:$BJ$69))+1)</f>
        <v>-8.0684136758460098E-4</v>
      </c>
      <c r="B1560">
        <v>1.9300000000000001E-2</v>
      </c>
      <c r="C1560" s="59">
        <v>-0.08</v>
      </c>
      <c r="D1560" s="59">
        <v>0.21</v>
      </c>
      <c r="E1560" s="60">
        <f t="shared" si="24"/>
        <v>0.87</v>
      </c>
      <c r="F1560" t="str" cm="1">
        <f t="array" ref="F1560">IF(A1560=MAX(IF(ROUND($B$2:$B$3722,4)=ROUND(B1560,4),$A$2:$A$3722)),"Efficient","Inefficient")</f>
        <v>Inefficient</v>
      </c>
    </row>
    <row r="1561" spans="1:6" x14ac:dyDescent="0.25">
      <c r="A1561" cm="1">
        <f t="array" ref="A1561">INDEX('Portfolio Weights Returns'!$B$9:$BJ$69,
INT((ROW(A1560)-1)/COLUMNS('Portfolio Weights Returns'!$B$9:$BJ$69))+1,MOD(ROW(A1560)-1,COLUMNS('Portfolio Weights Returns'!$B$9:$BJ$69))+1)</f>
        <v>-8.0006019361792194E-4</v>
      </c>
      <c r="B1561">
        <v>1.9300000000000001E-2</v>
      </c>
      <c r="C1561" s="59">
        <v>-0.08</v>
      </c>
      <c r="D1561" s="59">
        <v>0.22</v>
      </c>
      <c r="E1561" s="60">
        <f t="shared" si="24"/>
        <v>0.86</v>
      </c>
      <c r="F1561" t="str" cm="1">
        <f t="array" ref="F1561">IF(A1561=MAX(IF(ROUND($B$2:$B$3722,4)=ROUND(B1561,4),$A$2:$A$3722)),"Efficient","Inefficient")</f>
        <v>Inefficient</v>
      </c>
    </row>
    <row r="1562" spans="1:6" x14ac:dyDescent="0.25">
      <c r="A1562" cm="1">
        <f t="array" ref="A1562">INDEX('Portfolio Weights Returns'!$B$9:$BJ$69,
INT((ROW(A1561)-1)/COLUMNS('Portfolio Weights Returns'!$B$9:$BJ$69))+1,MOD(ROW(A1561)-1,COLUMNS('Portfolio Weights Returns'!$B$9:$BJ$69))+1)</f>
        <v>-7.932790196512428E-4</v>
      </c>
      <c r="B1562">
        <v>1.9300000000000001E-2</v>
      </c>
      <c r="C1562" s="59">
        <v>-0.08</v>
      </c>
      <c r="D1562" s="59">
        <v>0.23</v>
      </c>
      <c r="E1562" s="60">
        <f t="shared" si="24"/>
        <v>0.85</v>
      </c>
      <c r="F1562" t="str" cm="1">
        <f t="array" ref="F1562">IF(A1562=MAX(IF(ROUND($B$2:$B$3722,4)=ROUND(B1562,4),$A$2:$A$3722)),"Efficient","Inefficient")</f>
        <v>Inefficient</v>
      </c>
    </row>
    <row r="1563" spans="1:6" x14ac:dyDescent="0.25">
      <c r="A1563" cm="1">
        <f t="array" ref="A1563">INDEX('Portfolio Weights Returns'!$B$9:$BJ$69,
INT((ROW(A1562)-1)/COLUMNS('Portfolio Weights Returns'!$B$9:$BJ$69))+1,MOD(ROW(A1562)-1,COLUMNS('Portfolio Weights Returns'!$B$9:$BJ$69))+1)</f>
        <v>-7.8649784568456376E-4</v>
      </c>
      <c r="B1563">
        <v>1.9300000000000001E-2</v>
      </c>
      <c r="C1563" s="59">
        <v>-7.0000000000000007E-2</v>
      </c>
      <c r="D1563" s="59">
        <v>0.24</v>
      </c>
      <c r="E1563" s="60">
        <f t="shared" si="24"/>
        <v>0.83000000000000007</v>
      </c>
      <c r="F1563" t="str" cm="1">
        <f t="array" ref="F1563">IF(A1563=MAX(IF(ROUND($B$2:$B$3722,4)=ROUND(B1563,4),$A$2:$A$3722)),"Efficient","Inefficient")</f>
        <v>Inefficient</v>
      </c>
    </row>
    <row r="1564" spans="1:6" x14ac:dyDescent="0.25">
      <c r="A1564" cm="1">
        <f t="array" ref="A1564">INDEX('Portfolio Weights Returns'!$B$9:$BJ$69,
INT((ROW(A1563)-1)/COLUMNS('Portfolio Weights Returns'!$B$9:$BJ$69))+1,MOD(ROW(A1563)-1,COLUMNS('Portfolio Weights Returns'!$B$9:$BJ$69))+1)</f>
        <v>-7.7971667171788462E-4</v>
      </c>
      <c r="B1564">
        <v>1.9300000000000001E-2</v>
      </c>
      <c r="C1564" s="59">
        <v>-7.0000000000000007E-2</v>
      </c>
      <c r="D1564" s="59">
        <v>0.25</v>
      </c>
      <c r="E1564" s="60">
        <f t="shared" si="24"/>
        <v>0.82000000000000006</v>
      </c>
      <c r="F1564" t="str" cm="1">
        <f t="array" ref="F1564">IF(A1564=MAX(IF(ROUND($B$2:$B$3722,4)=ROUND(B1564,4),$A$2:$A$3722)),"Efficient","Inefficient")</f>
        <v>Inefficient</v>
      </c>
    </row>
    <row r="1565" spans="1:6" x14ac:dyDescent="0.25">
      <c r="A1565" cm="1">
        <f t="array" ref="A1565">INDEX('Portfolio Weights Returns'!$B$9:$BJ$69,
INT((ROW(A1564)-1)/COLUMNS('Portfolio Weights Returns'!$B$9:$BJ$69))+1,MOD(ROW(A1564)-1,COLUMNS('Portfolio Weights Returns'!$B$9:$BJ$69))+1)</f>
        <v>-7.7293549775120558E-4</v>
      </c>
      <c r="B1565">
        <v>1.9300000000000001E-2</v>
      </c>
      <c r="C1565" s="59">
        <v>-0.06</v>
      </c>
      <c r="D1565" s="59">
        <v>0.26</v>
      </c>
      <c r="E1565" s="60">
        <f t="shared" si="24"/>
        <v>0.8</v>
      </c>
      <c r="F1565" t="str" cm="1">
        <f t="array" ref="F1565">IF(A1565=MAX(IF(ROUND($B$2:$B$3722,4)=ROUND(B1565,4),$A$2:$A$3722)),"Efficient","Inefficient")</f>
        <v>Inefficient</v>
      </c>
    </row>
    <row r="1566" spans="1:6" x14ac:dyDescent="0.25">
      <c r="A1566" cm="1">
        <f t="array" ref="A1566">INDEX('Portfolio Weights Returns'!$B$9:$BJ$69,
INT((ROW(A1565)-1)/COLUMNS('Portfolio Weights Returns'!$B$9:$BJ$69))+1,MOD(ROW(A1565)-1,COLUMNS('Portfolio Weights Returns'!$B$9:$BJ$69))+1)</f>
        <v>-7.6615432378452644E-4</v>
      </c>
      <c r="B1566">
        <v>1.9300000000000001E-2</v>
      </c>
      <c r="C1566" s="59">
        <v>-0.05</v>
      </c>
      <c r="D1566" s="59">
        <v>0.27</v>
      </c>
      <c r="E1566" s="60">
        <f t="shared" si="24"/>
        <v>0.78</v>
      </c>
      <c r="F1566" t="str" cm="1">
        <f t="array" ref="F1566">IF(A1566=MAX(IF(ROUND($B$2:$B$3722,4)=ROUND(B1566,4),$A$2:$A$3722)),"Efficient","Inefficient")</f>
        <v>Inefficient</v>
      </c>
    </row>
    <row r="1567" spans="1:6" x14ac:dyDescent="0.25">
      <c r="A1567" cm="1">
        <f t="array" ref="A1567">INDEX('Portfolio Weights Returns'!$B$9:$BJ$69,
INT((ROW(A1566)-1)/COLUMNS('Portfolio Weights Returns'!$B$9:$BJ$69))+1,MOD(ROW(A1566)-1,COLUMNS('Portfolio Weights Returns'!$B$9:$BJ$69))+1)</f>
        <v>-7.593731498178474E-4</v>
      </c>
      <c r="B1567">
        <v>1.9300000000000001E-2</v>
      </c>
      <c r="C1567" s="59">
        <v>-0.05</v>
      </c>
      <c r="D1567" s="59">
        <v>0.28000000000000003</v>
      </c>
      <c r="E1567" s="60">
        <f t="shared" si="24"/>
        <v>0.77</v>
      </c>
      <c r="F1567" t="str" cm="1">
        <f t="array" ref="F1567">IF(A1567=MAX(IF(ROUND($B$2:$B$3722,4)=ROUND(B1567,4),$A$2:$A$3722)),"Efficient","Inefficient")</f>
        <v>Inefficient</v>
      </c>
    </row>
    <row r="1568" spans="1:6" x14ac:dyDescent="0.25">
      <c r="A1568" cm="1">
        <f t="array" ref="A1568">INDEX('Portfolio Weights Returns'!$B$9:$BJ$69,
INT((ROW(A1567)-1)/COLUMNS('Portfolio Weights Returns'!$B$9:$BJ$69))+1,MOD(ROW(A1567)-1,COLUMNS('Portfolio Weights Returns'!$B$9:$BJ$69))+1)</f>
        <v>-7.5259197585116826E-4</v>
      </c>
      <c r="B1568">
        <v>1.9300000000000001E-2</v>
      </c>
      <c r="C1568" s="59">
        <v>-0.04</v>
      </c>
      <c r="D1568" s="59">
        <v>0.28999999999999998</v>
      </c>
      <c r="E1568" s="60">
        <f t="shared" si="24"/>
        <v>0.75</v>
      </c>
      <c r="F1568" t="str" cm="1">
        <f t="array" ref="F1568">IF(A1568=MAX(IF(ROUND($B$2:$B$3722,4)=ROUND(B1568,4),$A$2:$A$3722)),"Efficient","Inefficient")</f>
        <v>Inefficient</v>
      </c>
    </row>
    <row r="1569" spans="1:6" x14ac:dyDescent="0.25">
      <c r="A1569" cm="1">
        <f t="array" ref="A1569">INDEX('Portfolio Weights Returns'!$B$9:$BJ$69,
INT((ROW(A1568)-1)/COLUMNS('Portfolio Weights Returns'!$B$9:$BJ$69))+1,MOD(ROW(A1568)-1,COLUMNS('Portfolio Weights Returns'!$B$9:$BJ$69))+1)</f>
        <v>-7.4581080188448911E-4</v>
      </c>
      <c r="B1569">
        <v>1.9300000000000001E-2</v>
      </c>
      <c r="C1569" s="59">
        <v>-0.03</v>
      </c>
      <c r="D1569" s="59">
        <v>0.3</v>
      </c>
      <c r="E1569" s="60">
        <f t="shared" si="24"/>
        <v>0.73</v>
      </c>
      <c r="F1569" t="str" cm="1">
        <f t="array" ref="F1569">IF(A1569=MAX(IF(ROUND($B$2:$B$3722,4)=ROUND(B1569,4),$A$2:$A$3722)),"Efficient","Inefficient")</f>
        <v>Efficient</v>
      </c>
    </row>
    <row r="1570" spans="1:6" x14ac:dyDescent="0.25">
      <c r="A1570" cm="1">
        <f t="array" ref="A1570">INDEX('Portfolio Weights Returns'!$B$9:$BJ$69,
INT((ROW(A1569)-1)/COLUMNS('Portfolio Weights Returns'!$B$9:$BJ$69))+1,MOD(ROW(A1569)-1,COLUMNS('Portfolio Weights Returns'!$B$9:$BJ$69))+1)</f>
        <v>-7.3902962791781008E-4</v>
      </c>
      <c r="B1570">
        <v>1.9400000000000001E-2</v>
      </c>
      <c r="C1570" s="59">
        <v>0.3</v>
      </c>
      <c r="D1570" s="59">
        <v>-0.24</v>
      </c>
      <c r="E1570" s="60">
        <f t="shared" si="24"/>
        <v>0.94</v>
      </c>
      <c r="F1570" t="str" cm="1">
        <f t="array" ref="F1570">IF(A1570=MAX(IF(ROUND($B$2:$B$3722,4)=ROUND(B1570,4),$A$2:$A$3722)),"Efficient","Inefficient")</f>
        <v>Inefficient</v>
      </c>
    </row>
    <row r="1571" spans="1:6" x14ac:dyDescent="0.25">
      <c r="A1571" cm="1">
        <f t="array" ref="A1571">INDEX('Portfolio Weights Returns'!$B$9:$BJ$69,
INT((ROW(A1570)-1)/COLUMNS('Portfolio Weights Returns'!$B$9:$BJ$69))+1,MOD(ROW(A1570)-1,COLUMNS('Portfolio Weights Returns'!$B$9:$BJ$69))+1)</f>
        <v>-7.3224845395113093E-4</v>
      </c>
      <c r="B1571">
        <v>1.9400000000000001E-2</v>
      </c>
      <c r="C1571" s="59">
        <v>0.28000000000000003</v>
      </c>
      <c r="D1571" s="59">
        <v>-0.23</v>
      </c>
      <c r="E1571" s="60">
        <f t="shared" si="24"/>
        <v>0.95</v>
      </c>
      <c r="F1571" t="str" cm="1">
        <f t="array" ref="F1571">IF(A1571=MAX(IF(ROUND($B$2:$B$3722,4)=ROUND(B1571,4),$A$2:$A$3722)),"Efficient","Inefficient")</f>
        <v>Inefficient</v>
      </c>
    </row>
    <row r="1572" spans="1:6" x14ac:dyDescent="0.25">
      <c r="A1572" cm="1">
        <f t="array" ref="A1572">INDEX('Portfolio Weights Returns'!$B$9:$BJ$69,
INT((ROW(A1571)-1)/COLUMNS('Portfolio Weights Returns'!$B$9:$BJ$69))+1,MOD(ROW(A1571)-1,COLUMNS('Portfolio Weights Returns'!$B$9:$BJ$69))+1)</f>
        <v>-7.2546727998445179E-4</v>
      </c>
      <c r="B1572">
        <v>1.9400000000000001E-2</v>
      </c>
      <c r="C1572" s="59">
        <v>0.26</v>
      </c>
      <c r="D1572" s="59">
        <v>-0.22</v>
      </c>
      <c r="E1572" s="60">
        <f t="shared" si="24"/>
        <v>0.96</v>
      </c>
      <c r="F1572" t="str" cm="1">
        <f t="array" ref="F1572">IF(A1572=MAX(IF(ROUND($B$2:$B$3722,4)=ROUND(B1572,4),$A$2:$A$3722)),"Efficient","Inefficient")</f>
        <v>Inefficient</v>
      </c>
    </row>
    <row r="1573" spans="1:6" x14ac:dyDescent="0.25">
      <c r="A1573" cm="1">
        <f t="array" ref="A1573">INDEX('Portfolio Weights Returns'!$B$9:$BJ$69,
INT((ROW(A1572)-1)/COLUMNS('Portfolio Weights Returns'!$B$9:$BJ$69))+1,MOD(ROW(A1572)-1,COLUMNS('Portfolio Weights Returns'!$B$9:$BJ$69))+1)</f>
        <v>-7.1868610601777264E-4</v>
      </c>
      <c r="B1573">
        <v>1.9400000000000001E-2</v>
      </c>
      <c r="C1573" s="59">
        <v>0.23</v>
      </c>
      <c r="D1573" s="59">
        <v>-0.2</v>
      </c>
      <c r="E1573" s="60">
        <f t="shared" si="24"/>
        <v>0.97</v>
      </c>
      <c r="F1573" t="str" cm="1">
        <f t="array" ref="F1573">IF(A1573=MAX(IF(ROUND($B$2:$B$3722,4)=ROUND(B1573,4),$A$2:$A$3722)),"Efficient","Inefficient")</f>
        <v>Inefficient</v>
      </c>
    </row>
    <row r="1574" spans="1:6" x14ac:dyDescent="0.25">
      <c r="A1574" cm="1">
        <f t="array" ref="A1574">INDEX('Portfolio Weights Returns'!$B$9:$BJ$69,
INT((ROW(A1573)-1)/COLUMNS('Portfolio Weights Returns'!$B$9:$BJ$69))+1,MOD(ROW(A1573)-1,COLUMNS('Portfolio Weights Returns'!$B$9:$BJ$69))+1)</f>
        <v>-7.1190493205109361E-4</v>
      </c>
      <c r="B1574">
        <v>1.9400000000000001E-2</v>
      </c>
      <c r="C1574" s="59">
        <v>0.21</v>
      </c>
      <c r="D1574" s="59">
        <v>-0.19</v>
      </c>
      <c r="E1574" s="60">
        <f t="shared" si="24"/>
        <v>0.98</v>
      </c>
      <c r="F1574" t="str" cm="1">
        <f t="array" ref="F1574">IF(A1574=MAX(IF(ROUND($B$2:$B$3722,4)=ROUND(B1574,4),$A$2:$A$3722)),"Efficient","Inefficient")</f>
        <v>Inefficient</v>
      </c>
    </row>
    <row r="1575" spans="1:6" x14ac:dyDescent="0.25">
      <c r="A1575" cm="1">
        <f t="array" ref="A1575">INDEX('Portfolio Weights Returns'!$B$9:$BJ$69,
INT((ROW(A1574)-1)/COLUMNS('Portfolio Weights Returns'!$B$9:$BJ$69))+1,MOD(ROW(A1574)-1,COLUMNS('Portfolio Weights Returns'!$B$9:$BJ$69))+1)</f>
        <v>-7.0512375808441457E-4</v>
      </c>
      <c r="B1575">
        <v>1.9400000000000001E-2</v>
      </c>
      <c r="C1575" s="59">
        <v>0.19</v>
      </c>
      <c r="D1575" s="59">
        <v>-0.18</v>
      </c>
      <c r="E1575" s="60">
        <f t="shared" si="24"/>
        <v>0.99</v>
      </c>
      <c r="F1575" t="str" cm="1">
        <f t="array" ref="F1575">IF(A1575=MAX(IF(ROUND($B$2:$B$3722,4)=ROUND(B1575,4),$A$2:$A$3722)),"Efficient","Inefficient")</f>
        <v>Inefficient</v>
      </c>
    </row>
    <row r="1576" spans="1:6" x14ac:dyDescent="0.25">
      <c r="A1576" cm="1">
        <f t="array" ref="A1576">INDEX('Portfolio Weights Returns'!$B$9:$BJ$69,
INT((ROW(A1575)-1)/COLUMNS('Portfolio Weights Returns'!$B$9:$BJ$69))+1,MOD(ROW(A1575)-1,COLUMNS('Portfolio Weights Returns'!$B$9:$BJ$69))+1)</f>
        <v>-6.9834258411773553E-4</v>
      </c>
      <c r="B1576">
        <v>1.9400000000000001E-2</v>
      </c>
      <c r="C1576" s="59">
        <v>0.18</v>
      </c>
      <c r="D1576" s="59">
        <v>-0.17</v>
      </c>
      <c r="E1576" s="60">
        <f t="shared" si="24"/>
        <v>0.99</v>
      </c>
      <c r="F1576" t="str" cm="1">
        <f t="array" ref="F1576">IF(A1576=MAX(IF(ROUND($B$2:$B$3722,4)=ROUND(B1576,4),$A$2:$A$3722)),"Efficient","Inefficient")</f>
        <v>Inefficient</v>
      </c>
    </row>
    <row r="1577" spans="1:6" x14ac:dyDescent="0.25">
      <c r="A1577" cm="1">
        <f t="array" ref="A1577">INDEX('Portfolio Weights Returns'!$B$9:$BJ$69,
INT((ROW(A1576)-1)/COLUMNS('Portfolio Weights Returns'!$B$9:$BJ$69))+1,MOD(ROW(A1576)-1,COLUMNS('Portfolio Weights Returns'!$B$9:$BJ$69))+1)</f>
        <v>-6.9156141015105628E-4</v>
      </c>
      <c r="B1577">
        <v>1.9400000000000001E-2</v>
      </c>
      <c r="C1577" s="59">
        <v>0.16</v>
      </c>
      <c r="D1577" s="59">
        <v>-0.16</v>
      </c>
      <c r="E1577" s="60">
        <f t="shared" si="24"/>
        <v>0.99999999999999989</v>
      </c>
      <c r="F1577" t="str" cm="1">
        <f t="array" ref="F1577">IF(A1577=MAX(IF(ROUND($B$2:$B$3722,4)=ROUND(B1577,4),$A$2:$A$3722)),"Efficient","Inefficient")</f>
        <v>Inefficient</v>
      </c>
    </row>
    <row r="1578" spans="1:6" x14ac:dyDescent="0.25">
      <c r="A1578" cm="1">
        <f t="array" ref="A1578">INDEX('Portfolio Weights Returns'!$B$9:$BJ$69,
INT((ROW(A1577)-1)/COLUMNS('Portfolio Weights Returns'!$B$9:$BJ$69))+1,MOD(ROW(A1577)-1,COLUMNS('Portfolio Weights Returns'!$B$9:$BJ$69))+1)</f>
        <v>-6.8478023618437724E-4</v>
      </c>
      <c r="B1578">
        <v>1.9400000000000001E-2</v>
      </c>
      <c r="C1578" s="59">
        <v>0.15</v>
      </c>
      <c r="D1578" s="59">
        <v>-0.15</v>
      </c>
      <c r="E1578" s="60">
        <f t="shared" si="24"/>
        <v>0.99999999999999989</v>
      </c>
      <c r="F1578" t="str" cm="1">
        <f t="array" ref="F1578">IF(A1578=MAX(IF(ROUND($B$2:$B$3722,4)=ROUND(B1578,4),$A$2:$A$3722)),"Efficient","Inefficient")</f>
        <v>Inefficient</v>
      </c>
    </row>
    <row r="1579" spans="1:6" x14ac:dyDescent="0.25">
      <c r="A1579" cm="1">
        <f t="array" ref="A1579">INDEX('Portfolio Weights Returns'!$B$9:$BJ$69,
INT((ROW(A1578)-1)/COLUMNS('Portfolio Weights Returns'!$B$9:$BJ$69))+1,MOD(ROW(A1578)-1,COLUMNS('Portfolio Weights Returns'!$B$9:$BJ$69))+1)</f>
        <v>-6.779990622176981E-4</v>
      </c>
      <c r="B1579">
        <v>1.9400000000000001E-2</v>
      </c>
      <c r="C1579" s="59">
        <v>0.12</v>
      </c>
      <c r="D1579" s="59">
        <v>-0.13</v>
      </c>
      <c r="E1579" s="60">
        <f t="shared" si="24"/>
        <v>1.0099999999999998</v>
      </c>
      <c r="F1579" t="str" cm="1">
        <f t="array" ref="F1579">IF(A1579=MAX(IF(ROUND($B$2:$B$3722,4)=ROUND(B1579,4),$A$2:$A$3722)),"Efficient","Inefficient")</f>
        <v>Inefficient</v>
      </c>
    </row>
    <row r="1580" spans="1:6" x14ac:dyDescent="0.25">
      <c r="A1580" cm="1">
        <f t="array" ref="A1580">INDEX('Portfolio Weights Returns'!$B$9:$BJ$69,
INT((ROW(A1579)-1)/COLUMNS('Portfolio Weights Returns'!$B$9:$BJ$69))+1,MOD(ROW(A1579)-1,COLUMNS('Portfolio Weights Returns'!$B$9:$BJ$69))+1)</f>
        <v>-6.7121788825101896E-4</v>
      </c>
      <c r="B1580">
        <v>1.9400000000000001E-2</v>
      </c>
      <c r="C1580" s="59">
        <v>0.11</v>
      </c>
      <c r="D1580" s="59">
        <v>-0.12</v>
      </c>
      <c r="E1580" s="60">
        <f t="shared" si="24"/>
        <v>1.01</v>
      </c>
      <c r="F1580" t="str" cm="1">
        <f t="array" ref="F1580">IF(A1580=MAX(IF(ROUND($B$2:$B$3722,4)=ROUND(B1580,4),$A$2:$A$3722)),"Efficient","Inefficient")</f>
        <v>Inefficient</v>
      </c>
    </row>
    <row r="1581" spans="1:6" x14ac:dyDescent="0.25">
      <c r="A1581" cm="1">
        <f t="array" ref="A1581">INDEX('Portfolio Weights Returns'!$B$9:$BJ$69,
INT((ROW(A1580)-1)/COLUMNS('Portfolio Weights Returns'!$B$9:$BJ$69))+1,MOD(ROW(A1580)-1,COLUMNS('Portfolio Weights Returns'!$B$9:$BJ$69))+1)</f>
        <v>-6.6443671428433992E-4</v>
      </c>
      <c r="B1581">
        <v>1.9400000000000001E-2</v>
      </c>
      <c r="C1581" s="59">
        <v>0.08</v>
      </c>
      <c r="D1581" s="59">
        <v>-0.1</v>
      </c>
      <c r="E1581" s="60">
        <f t="shared" si="24"/>
        <v>1.02</v>
      </c>
      <c r="F1581" t="str" cm="1">
        <f t="array" ref="F1581">IF(A1581=MAX(IF(ROUND($B$2:$B$3722,4)=ROUND(B1581,4),$A$2:$A$3722)),"Efficient","Inefficient")</f>
        <v>Inefficient</v>
      </c>
    </row>
    <row r="1582" spans="1:6" x14ac:dyDescent="0.25">
      <c r="A1582" cm="1">
        <f t="array" ref="A1582">INDEX('Portfolio Weights Returns'!$B$9:$BJ$69,
INT((ROW(A1581)-1)/COLUMNS('Portfolio Weights Returns'!$B$9:$BJ$69))+1,MOD(ROW(A1581)-1,COLUMNS('Portfolio Weights Returns'!$B$9:$BJ$69))+1)</f>
        <v>-6.5765554031766078E-4</v>
      </c>
      <c r="B1582">
        <v>1.9400000000000001E-2</v>
      </c>
      <c r="C1582" s="59">
        <v>7.0000000000000007E-2</v>
      </c>
      <c r="D1582" s="59">
        <v>-0.09</v>
      </c>
      <c r="E1582" s="60">
        <f t="shared" si="24"/>
        <v>1.02</v>
      </c>
      <c r="F1582" t="str" cm="1">
        <f t="array" ref="F1582">IF(A1582=MAX(IF(ROUND($B$2:$B$3722,4)=ROUND(B1582,4),$A$2:$A$3722)),"Efficient","Inefficient")</f>
        <v>Inefficient</v>
      </c>
    </row>
    <row r="1583" spans="1:6" x14ac:dyDescent="0.25">
      <c r="A1583" cm="1">
        <f t="array" ref="A1583">INDEX('Portfolio Weights Returns'!$B$9:$BJ$69,
INT((ROW(A1582)-1)/COLUMNS('Portfolio Weights Returns'!$B$9:$BJ$69))+1,MOD(ROW(A1582)-1,COLUMNS('Portfolio Weights Returns'!$B$9:$BJ$69))+1)</f>
        <v>-6.5087436635098174E-4</v>
      </c>
      <c r="B1583">
        <v>1.9400000000000001E-2</v>
      </c>
      <c r="C1583" s="59">
        <v>0.06</v>
      </c>
      <c r="D1583" s="59">
        <v>-0.08</v>
      </c>
      <c r="E1583" s="60">
        <f t="shared" si="24"/>
        <v>1.02</v>
      </c>
      <c r="F1583" t="str" cm="1">
        <f t="array" ref="F1583">IF(A1583=MAX(IF(ROUND($B$2:$B$3722,4)=ROUND(B1583,4),$A$2:$A$3722)),"Efficient","Inefficient")</f>
        <v>Inefficient</v>
      </c>
    </row>
    <row r="1584" spans="1:6" x14ac:dyDescent="0.25">
      <c r="A1584" cm="1">
        <f t="array" ref="A1584">INDEX('Portfolio Weights Returns'!$B$9:$BJ$69,
INT((ROW(A1583)-1)/COLUMNS('Portfolio Weights Returns'!$B$9:$BJ$69))+1,MOD(ROW(A1583)-1,COLUMNS('Portfolio Weights Returns'!$B$9:$BJ$69))+1)</f>
        <v>-6.4409319238430184E-4</v>
      </c>
      <c r="B1584">
        <v>1.9400000000000001E-2</v>
      </c>
      <c r="C1584" s="59">
        <v>0.05</v>
      </c>
      <c r="D1584" s="59">
        <v>-7.0000000000000007E-2</v>
      </c>
      <c r="E1584" s="60">
        <f t="shared" si="24"/>
        <v>1.02</v>
      </c>
      <c r="F1584" t="str" cm="1">
        <f t="array" ref="F1584">IF(A1584=MAX(IF(ROUND($B$2:$B$3722,4)=ROUND(B1584,4),$A$2:$A$3722)),"Efficient","Inefficient")</f>
        <v>Inefficient</v>
      </c>
    </row>
    <row r="1585" spans="1:6" x14ac:dyDescent="0.25">
      <c r="A1585" cm="1">
        <f t="array" ref="A1585">INDEX('Portfolio Weights Returns'!$B$9:$BJ$69,
INT((ROW(A1584)-1)/COLUMNS('Portfolio Weights Returns'!$B$9:$BJ$69))+1,MOD(ROW(A1584)-1,COLUMNS('Portfolio Weights Returns'!$B$9:$BJ$69))+1)</f>
        <v>-6.373120184176228E-4</v>
      </c>
      <c r="B1585">
        <v>1.9400000000000001E-2</v>
      </c>
      <c r="C1585" s="59">
        <v>0.04</v>
      </c>
      <c r="D1585" s="59">
        <v>-0.06</v>
      </c>
      <c r="E1585" s="60">
        <f t="shared" si="24"/>
        <v>1.02</v>
      </c>
      <c r="F1585" t="str" cm="1">
        <f t="array" ref="F1585">IF(A1585=MAX(IF(ROUND($B$2:$B$3722,4)=ROUND(B1585,4),$A$2:$A$3722)),"Efficient","Inefficient")</f>
        <v>Inefficient</v>
      </c>
    </row>
    <row r="1586" spans="1:6" x14ac:dyDescent="0.25">
      <c r="A1586" cm="1">
        <f t="array" ref="A1586">INDEX('Portfolio Weights Returns'!$B$9:$BJ$69,
INT((ROW(A1585)-1)/COLUMNS('Portfolio Weights Returns'!$B$9:$BJ$69))+1,MOD(ROW(A1585)-1,COLUMNS('Portfolio Weights Returns'!$B$9:$BJ$69))+1)</f>
        <v>-6.3053084445094376E-4</v>
      </c>
      <c r="B1586">
        <v>1.9400000000000001E-2</v>
      </c>
      <c r="C1586" s="59">
        <v>0.03</v>
      </c>
      <c r="D1586" s="59">
        <v>-0.05</v>
      </c>
      <c r="E1586" s="60">
        <f t="shared" si="24"/>
        <v>1.02</v>
      </c>
      <c r="F1586" t="str" cm="1">
        <f t="array" ref="F1586">IF(A1586=MAX(IF(ROUND($B$2:$B$3722,4)=ROUND(B1586,4),$A$2:$A$3722)),"Efficient","Inefficient")</f>
        <v>Inefficient</v>
      </c>
    </row>
    <row r="1587" spans="1:6" x14ac:dyDescent="0.25">
      <c r="A1587" cm="1">
        <f t="array" ref="A1587">INDEX('Portfolio Weights Returns'!$B$9:$BJ$69,
INT((ROW(A1586)-1)/COLUMNS('Portfolio Weights Returns'!$B$9:$BJ$69))+1,MOD(ROW(A1586)-1,COLUMNS('Portfolio Weights Returns'!$B$9:$BJ$69))+1)</f>
        <v>-6.2374967048426462E-4</v>
      </c>
      <c r="B1587">
        <v>1.9400000000000001E-2</v>
      </c>
      <c r="C1587" s="59">
        <v>0.02</v>
      </c>
      <c r="D1587" s="59">
        <v>-0.04</v>
      </c>
      <c r="E1587" s="60">
        <f t="shared" si="24"/>
        <v>1.02</v>
      </c>
      <c r="F1587" t="str" cm="1">
        <f t="array" ref="F1587">IF(A1587=MAX(IF(ROUND($B$2:$B$3722,4)=ROUND(B1587,4),$A$2:$A$3722)),"Efficient","Inefficient")</f>
        <v>Efficient</v>
      </c>
    </row>
    <row r="1588" spans="1:6" x14ac:dyDescent="0.25">
      <c r="A1588" cm="1">
        <f t="array" ref="A1588">INDEX('Portfolio Weights Returns'!$B$9:$BJ$69,
INT((ROW(A1587)-1)/COLUMNS('Portfolio Weights Returns'!$B$9:$BJ$69))+1,MOD(ROW(A1587)-1,COLUMNS('Portfolio Weights Returns'!$B$9:$BJ$69))+1)</f>
        <v>-1.0240459006395565E-3</v>
      </c>
      <c r="B1588">
        <v>1.9400000000000001E-2</v>
      </c>
      <c r="C1588" s="59">
        <v>0.01</v>
      </c>
      <c r="D1588" s="59">
        <v>-0.03</v>
      </c>
      <c r="E1588" s="60">
        <f t="shared" si="24"/>
        <v>1.02</v>
      </c>
      <c r="F1588" t="str" cm="1">
        <f t="array" ref="F1588">IF(A1588=MAX(IF(ROUND($B$2:$B$3722,4)=ROUND(B1588,4),$A$2:$A$3722)),"Efficient","Inefficient")</f>
        <v>Inefficient</v>
      </c>
    </row>
    <row r="1589" spans="1:6" x14ac:dyDescent="0.25">
      <c r="A1589" cm="1">
        <f t="array" ref="A1589">INDEX('Portfolio Weights Returns'!$B$9:$BJ$69,
INT((ROW(A1588)-1)/COLUMNS('Portfolio Weights Returns'!$B$9:$BJ$69))+1,MOD(ROW(A1588)-1,COLUMNS('Portfolio Weights Returns'!$B$9:$BJ$69))+1)</f>
        <v>-1.0172647266728774E-3</v>
      </c>
      <c r="B1589">
        <v>1.9400000000000001E-2</v>
      </c>
      <c r="C1589" s="59">
        <v>0</v>
      </c>
      <c r="D1589" s="59">
        <v>-0.02</v>
      </c>
      <c r="E1589" s="60">
        <f t="shared" si="24"/>
        <v>1.02</v>
      </c>
      <c r="F1589" t="str" cm="1">
        <f t="array" ref="F1589">IF(A1589=MAX(IF(ROUND($B$2:$B$3722,4)=ROUND(B1589,4),$A$2:$A$3722)),"Efficient","Inefficient")</f>
        <v>Inefficient</v>
      </c>
    </row>
    <row r="1590" spans="1:6" x14ac:dyDescent="0.25">
      <c r="A1590" cm="1">
        <f t="array" ref="A1590">INDEX('Portfolio Weights Returns'!$B$9:$BJ$69,
INT((ROW(A1589)-1)/COLUMNS('Portfolio Weights Returns'!$B$9:$BJ$69))+1,MOD(ROW(A1589)-1,COLUMNS('Portfolio Weights Returns'!$B$9:$BJ$69))+1)</f>
        <v>-1.0104835527061983E-3</v>
      </c>
      <c r="B1590">
        <v>1.9400000000000001E-2</v>
      </c>
      <c r="C1590" s="59">
        <v>-0.01</v>
      </c>
      <c r="D1590" s="59">
        <v>-0.01</v>
      </c>
      <c r="E1590" s="60">
        <f t="shared" si="24"/>
        <v>1.02</v>
      </c>
      <c r="F1590" t="str" cm="1">
        <f t="array" ref="F1590">IF(A1590=MAX(IF(ROUND($B$2:$B$3722,4)=ROUND(B1590,4),$A$2:$A$3722)),"Efficient","Inefficient")</f>
        <v>Inefficient</v>
      </c>
    </row>
    <row r="1591" spans="1:6" x14ac:dyDescent="0.25">
      <c r="A1591" cm="1">
        <f t="array" ref="A1591">INDEX('Portfolio Weights Returns'!$B$9:$BJ$69,
INT((ROW(A1590)-1)/COLUMNS('Portfolio Weights Returns'!$B$9:$BJ$69))+1,MOD(ROW(A1590)-1,COLUMNS('Portfolio Weights Returns'!$B$9:$BJ$69))+1)</f>
        <v>-1.0037023787395189E-3</v>
      </c>
      <c r="B1591">
        <v>1.9400000000000001E-2</v>
      </c>
      <c r="C1591" s="59">
        <v>-0.02</v>
      </c>
      <c r="D1591" s="59">
        <v>0</v>
      </c>
      <c r="E1591" s="60">
        <f t="shared" si="24"/>
        <v>1.02</v>
      </c>
      <c r="F1591" t="str" cm="1">
        <f t="array" ref="F1591">IF(A1591=MAX(IF(ROUND($B$2:$B$3722,4)=ROUND(B1591,4),$A$2:$A$3722)),"Efficient","Inefficient")</f>
        <v>Inefficient</v>
      </c>
    </row>
    <row r="1592" spans="1:6" x14ac:dyDescent="0.25">
      <c r="A1592" cm="1">
        <f t="array" ref="A1592">INDEX('Portfolio Weights Returns'!$B$9:$BJ$69,
INT((ROW(A1591)-1)/COLUMNS('Portfolio Weights Returns'!$B$9:$BJ$69))+1,MOD(ROW(A1591)-1,COLUMNS('Portfolio Weights Returns'!$B$9:$BJ$69))+1)</f>
        <v>-9.9692120477283975E-4</v>
      </c>
      <c r="B1592">
        <v>1.9400000000000001E-2</v>
      </c>
      <c r="C1592" s="59">
        <v>-0.03</v>
      </c>
      <c r="D1592" s="59">
        <v>0.02</v>
      </c>
      <c r="E1592" s="60">
        <f t="shared" si="24"/>
        <v>1.01</v>
      </c>
      <c r="F1592" t="str" cm="1">
        <f t="array" ref="F1592">IF(A1592=MAX(IF(ROUND($B$2:$B$3722,4)=ROUND(B1592,4),$A$2:$A$3722)),"Efficient","Inefficient")</f>
        <v>Inefficient</v>
      </c>
    </row>
    <row r="1593" spans="1:6" x14ac:dyDescent="0.25">
      <c r="A1593" cm="1">
        <f t="array" ref="A1593">INDEX('Portfolio Weights Returns'!$B$9:$BJ$69,
INT((ROW(A1592)-1)/COLUMNS('Portfolio Weights Returns'!$B$9:$BJ$69))+1,MOD(ROW(A1592)-1,COLUMNS('Portfolio Weights Returns'!$B$9:$BJ$69))+1)</f>
        <v>-9.9014003080616082E-4</v>
      </c>
      <c r="B1593">
        <v>1.9400000000000001E-2</v>
      </c>
      <c r="C1593" s="59">
        <v>-0.04</v>
      </c>
      <c r="D1593" s="59">
        <v>0.03</v>
      </c>
      <c r="E1593" s="60">
        <f t="shared" si="24"/>
        <v>1.01</v>
      </c>
      <c r="F1593" t="str" cm="1">
        <f t="array" ref="F1593">IF(A1593=MAX(IF(ROUND($B$2:$B$3722,4)=ROUND(B1593,4),$A$2:$A$3722)),"Efficient","Inefficient")</f>
        <v>Inefficient</v>
      </c>
    </row>
    <row r="1594" spans="1:6" x14ac:dyDescent="0.25">
      <c r="A1594" cm="1">
        <f t="array" ref="A1594">INDEX('Portfolio Weights Returns'!$B$9:$BJ$69,
INT((ROW(A1593)-1)/COLUMNS('Portfolio Weights Returns'!$B$9:$BJ$69))+1,MOD(ROW(A1593)-1,COLUMNS('Portfolio Weights Returns'!$B$9:$BJ$69))+1)</f>
        <v>-9.8335885683948168E-4</v>
      </c>
      <c r="B1594">
        <v>1.9400000000000001E-2</v>
      </c>
      <c r="C1594" s="59">
        <v>-0.05</v>
      </c>
      <c r="D1594" s="59">
        <v>0.04</v>
      </c>
      <c r="E1594" s="60">
        <f t="shared" si="24"/>
        <v>1.01</v>
      </c>
      <c r="F1594" t="str" cm="1">
        <f t="array" ref="F1594">IF(A1594=MAX(IF(ROUND($B$2:$B$3722,4)=ROUND(B1594,4),$A$2:$A$3722)),"Efficient","Inefficient")</f>
        <v>Inefficient</v>
      </c>
    </row>
    <row r="1595" spans="1:6" x14ac:dyDescent="0.25">
      <c r="A1595" cm="1">
        <f t="array" ref="A1595">INDEX('Portfolio Weights Returns'!$B$9:$BJ$69,
INT((ROW(A1594)-1)/COLUMNS('Portfolio Weights Returns'!$B$9:$BJ$69))+1,MOD(ROW(A1594)-1,COLUMNS('Portfolio Weights Returns'!$B$9:$BJ$69))+1)</f>
        <v>-9.7657768287280253E-4</v>
      </c>
      <c r="B1595">
        <v>1.9400000000000001E-2</v>
      </c>
      <c r="C1595" s="59">
        <v>-0.05</v>
      </c>
      <c r="D1595" s="59">
        <v>0.05</v>
      </c>
      <c r="E1595" s="60">
        <f t="shared" si="24"/>
        <v>1</v>
      </c>
      <c r="F1595" t="str" cm="1">
        <f t="array" ref="F1595">IF(A1595=MAX(IF(ROUND($B$2:$B$3722,4)=ROUND(B1595,4),$A$2:$A$3722)),"Efficient","Inefficient")</f>
        <v>Inefficient</v>
      </c>
    </row>
    <row r="1596" spans="1:6" x14ac:dyDescent="0.25">
      <c r="A1596" cm="1">
        <f t="array" ref="A1596">INDEX('Portfolio Weights Returns'!$B$9:$BJ$69,
INT((ROW(A1595)-1)/COLUMNS('Portfolio Weights Returns'!$B$9:$BJ$69))+1,MOD(ROW(A1595)-1,COLUMNS('Portfolio Weights Returns'!$B$9:$BJ$69))+1)</f>
        <v>-9.697965089061235E-4</v>
      </c>
      <c r="B1596">
        <v>1.9400000000000001E-2</v>
      </c>
      <c r="C1596" s="59">
        <v>-0.06</v>
      </c>
      <c r="D1596" s="59">
        <v>0.06</v>
      </c>
      <c r="E1596" s="60">
        <f t="shared" si="24"/>
        <v>1</v>
      </c>
      <c r="F1596" t="str" cm="1">
        <f t="array" ref="F1596">IF(A1596=MAX(IF(ROUND($B$2:$B$3722,4)=ROUND(B1596,4),$A$2:$A$3722)),"Efficient","Inefficient")</f>
        <v>Inefficient</v>
      </c>
    </row>
    <row r="1597" spans="1:6" x14ac:dyDescent="0.25">
      <c r="A1597" cm="1">
        <f t="array" ref="A1597">INDEX('Portfolio Weights Returns'!$B$9:$BJ$69,
INT((ROW(A1596)-1)/COLUMNS('Portfolio Weights Returns'!$B$9:$BJ$69))+1,MOD(ROW(A1596)-1,COLUMNS('Portfolio Weights Returns'!$B$9:$BJ$69))+1)</f>
        <v>-9.6301533493944435E-4</v>
      </c>
      <c r="B1597">
        <v>1.9400000000000001E-2</v>
      </c>
      <c r="C1597" s="59">
        <v>-7.0000000000000007E-2</v>
      </c>
      <c r="D1597" s="59">
        <v>0.08</v>
      </c>
      <c r="E1597" s="60">
        <f t="shared" si="24"/>
        <v>0.99</v>
      </c>
      <c r="F1597" t="str" cm="1">
        <f t="array" ref="F1597">IF(A1597=MAX(IF(ROUND($B$2:$B$3722,4)=ROUND(B1597,4),$A$2:$A$3722)),"Efficient","Inefficient")</f>
        <v>Inefficient</v>
      </c>
    </row>
    <row r="1598" spans="1:6" x14ac:dyDescent="0.25">
      <c r="A1598" cm="1">
        <f t="array" ref="A1598">INDEX('Portfolio Weights Returns'!$B$9:$BJ$69,
INT((ROW(A1597)-1)/COLUMNS('Portfolio Weights Returns'!$B$9:$BJ$69))+1,MOD(ROW(A1597)-1,COLUMNS('Portfolio Weights Returns'!$B$9:$BJ$69))+1)</f>
        <v>-9.5623416097276532E-4</v>
      </c>
      <c r="B1598">
        <v>1.9400000000000001E-2</v>
      </c>
      <c r="C1598" s="59">
        <v>-0.08</v>
      </c>
      <c r="D1598" s="59">
        <v>0.1</v>
      </c>
      <c r="E1598" s="60">
        <f t="shared" si="24"/>
        <v>0.98</v>
      </c>
      <c r="F1598" t="str" cm="1">
        <f t="array" ref="F1598">IF(A1598=MAX(IF(ROUND($B$2:$B$3722,4)=ROUND(B1598,4),$A$2:$A$3722)),"Efficient","Inefficient")</f>
        <v>Inefficient</v>
      </c>
    </row>
    <row r="1599" spans="1:6" x14ac:dyDescent="0.25">
      <c r="A1599" cm="1">
        <f t="array" ref="A1599">INDEX('Portfolio Weights Returns'!$B$9:$BJ$69,
INT((ROW(A1598)-1)/COLUMNS('Portfolio Weights Returns'!$B$9:$BJ$69))+1,MOD(ROW(A1598)-1,COLUMNS('Portfolio Weights Returns'!$B$9:$BJ$69))+1)</f>
        <v>-9.4945298700608617E-4</v>
      </c>
      <c r="B1599">
        <v>1.9400000000000001E-2</v>
      </c>
      <c r="C1599" s="59">
        <v>-0.08</v>
      </c>
      <c r="D1599" s="59">
        <v>0.11</v>
      </c>
      <c r="E1599" s="60">
        <f t="shared" si="24"/>
        <v>0.97</v>
      </c>
      <c r="F1599" t="str" cm="1">
        <f t="array" ref="F1599">IF(A1599=MAX(IF(ROUND($B$2:$B$3722,4)=ROUND(B1599,4),$A$2:$A$3722)),"Efficient","Inefficient")</f>
        <v>Inefficient</v>
      </c>
    </row>
    <row r="1600" spans="1:6" x14ac:dyDescent="0.25">
      <c r="A1600" cm="1">
        <f t="array" ref="A1600">INDEX('Portfolio Weights Returns'!$B$9:$BJ$69,
INT((ROW(A1599)-1)/COLUMNS('Portfolio Weights Returns'!$B$9:$BJ$69))+1,MOD(ROW(A1599)-1,COLUMNS('Portfolio Weights Returns'!$B$9:$BJ$69))+1)</f>
        <v>-9.4267181303940703E-4</v>
      </c>
      <c r="B1600">
        <v>1.9400000000000001E-2</v>
      </c>
      <c r="C1600" s="59">
        <v>-0.09</v>
      </c>
      <c r="D1600" s="59">
        <v>0.13</v>
      </c>
      <c r="E1600" s="60">
        <f t="shared" si="24"/>
        <v>0.96</v>
      </c>
      <c r="F1600" t="str" cm="1">
        <f t="array" ref="F1600">IF(A1600=MAX(IF(ROUND($B$2:$B$3722,4)=ROUND(B1600,4),$A$2:$A$3722)),"Efficient","Inefficient")</f>
        <v>Inefficient</v>
      </c>
    </row>
    <row r="1601" spans="1:6" x14ac:dyDescent="0.25">
      <c r="A1601" cm="1">
        <f t="array" ref="A1601">INDEX('Portfolio Weights Returns'!$B$9:$BJ$69,
INT((ROW(A1600)-1)/COLUMNS('Portfolio Weights Returns'!$B$9:$BJ$69))+1,MOD(ROW(A1600)-1,COLUMNS('Portfolio Weights Returns'!$B$9:$BJ$69))+1)</f>
        <v>-9.3589063907272788E-4</v>
      </c>
      <c r="B1601">
        <v>1.9400000000000001E-2</v>
      </c>
      <c r="C1601" s="59">
        <v>-0.09</v>
      </c>
      <c r="D1601" s="59">
        <v>0.14000000000000001</v>
      </c>
      <c r="E1601" s="60">
        <f t="shared" si="24"/>
        <v>0.95</v>
      </c>
      <c r="F1601" t="str" cm="1">
        <f t="array" ref="F1601">IF(A1601=MAX(IF(ROUND($B$2:$B$3722,4)=ROUND(B1601,4),$A$2:$A$3722)),"Efficient","Inefficient")</f>
        <v>Inefficient</v>
      </c>
    </row>
    <row r="1602" spans="1:6" x14ac:dyDescent="0.25">
      <c r="A1602" cm="1">
        <f t="array" ref="A1602">INDEX('Portfolio Weights Returns'!$B$9:$BJ$69,
INT((ROW(A1601)-1)/COLUMNS('Portfolio Weights Returns'!$B$9:$BJ$69))+1,MOD(ROW(A1601)-1,COLUMNS('Portfolio Weights Returns'!$B$9:$BJ$69))+1)</f>
        <v>-9.2910946510604874E-4</v>
      </c>
      <c r="B1602">
        <v>1.9400000000000001E-2</v>
      </c>
      <c r="C1602" s="59">
        <v>-0.09</v>
      </c>
      <c r="D1602" s="59">
        <v>0.15</v>
      </c>
      <c r="E1602" s="60">
        <f t="shared" ref="E1602:E1665" si="25">1-D1602-C1602</f>
        <v>0.94</v>
      </c>
      <c r="F1602" t="str" cm="1">
        <f t="array" ref="F1602">IF(A1602=MAX(IF(ROUND($B$2:$B$3722,4)=ROUND(B1602,4),$A$2:$A$3722)),"Efficient","Inefficient")</f>
        <v>Inefficient</v>
      </c>
    </row>
    <row r="1603" spans="1:6" x14ac:dyDescent="0.25">
      <c r="A1603" cm="1">
        <f t="array" ref="A1603">INDEX('Portfolio Weights Returns'!$B$9:$BJ$69,
INT((ROW(A1602)-1)/COLUMNS('Portfolio Weights Returns'!$B$9:$BJ$69))+1,MOD(ROW(A1602)-1,COLUMNS('Portfolio Weights Returns'!$B$9:$BJ$69))+1)</f>
        <v>-9.223282911393697E-4</v>
      </c>
      <c r="B1603">
        <v>1.9400000000000001E-2</v>
      </c>
      <c r="C1603" s="59">
        <v>-0.09</v>
      </c>
      <c r="D1603" s="59">
        <v>0.16</v>
      </c>
      <c r="E1603" s="60">
        <f t="shared" si="25"/>
        <v>0.92999999999999994</v>
      </c>
      <c r="F1603" t="str" cm="1">
        <f t="array" ref="F1603">IF(A1603=MAX(IF(ROUND($B$2:$B$3722,4)=ROUND(B1603,4),$A$2:$A$3722)),"Efficient","Inefficient")</f>
        <v>Inefficient</v>
      </c>
    </row>
    <row r="1604" spans="1:6" x14ac:dyDescent="0.25">
      <c r="A1604" cm="1">
        <f t="array" ref="A1604">INDEX('Portfolio Weights Returns'!$B$9:$BJ$69,
INT((ROW(A1603)-1)/COLUMNS('Portfolio Weights Returns'!$B$9:$BJ$69))+1,MOD(ROW(A1603)-1,COLUMNS('Portfolio Weights Returns'!$B$9:$BJ$69))+1)</f>
        <v>-9.1554711717269077E-4</v>
      </c>
      <c r="B1604">
        <v>1.9400000000000001E-2</v>
      </c>
      <c r="C1604" s="59">
        <v>-0.09</v>
      </c>
      <c r="D1604" s="59">
        <v>0.17</v>
      </c>
      <c r="E1604" s="60">
        <f t="shared" si="25"/>
        <v>0.91999999999999993</v>
      </c>
      <c r="F1604" t="str" cm="1">
        <f t="array" ref="F1604">IF(A1604=MAX(IF(ROUND($B$2:$B$3722,4)=ROUND(B1604,4),$A$2:$A$3722)),"Efficient","Inefficient")</f>
        <v>Inefficient</v>
      </c>
    </row>
    <row r="1605" spans="1:6" x14ac:dyDescent="0.25">
      <c r="A1605" cm="1">
        <f t="array" ref="A1605">INDEX('Portfolio Weights Returns'!$B$9:$BJ$69,
INT((ROW(A1604)-1)/COLUMNS('Portfolio Weights Returns'!$B$9:$BJ$69))+1,MOD(ROW(A1604)-1,COLUMNS('Portfolio Weights Returns'!$B$9:$BJ$69))+1)</f>
        <v>-9.0876594320601152E-4</v>
      </c>
      <c r="B1605">
        <v>1.9400000000000001E-2</v>
      </c>
      <c r="C1605" s="59">
        <v>-0.09</v>
      </c>
      <c r="D1605" s="59">
        <v>0.18</v>
      </c>
      <c r="E1605" s="60">
        <f t="shared" si="25"/>
        <v>0.91</v>
      </c>
      <c r="F1605" t="str" cm="1">
        <f t="array" ref="F1605">IF(A1605=MAX(IF(ROUND($B$2:$B$3722,4)=ROUND(B1605,4),$A$2:$A$3722)),"Efficient","Inefficient")</f>
        <v>Inefficient</v>
      </c>
    </row>
    <row r="1606" spans="1:6" x14ac:dyDescent="0.25">
      <c r="A1606" cm="1">
        <f t="array" ref="A1606">INDEX('Portfolio Weights Returns'!$B$9:$BJ$69,
INT((ROW(A1605)-1)/COLUMNS('Portfolio Weights Returns'!$B$9:$BJ$69))+1,MOD(ROW(A1605)-1,COLUMNS('Portfolio Weights Returns'!$B$9:$BJ$69))+1)</f>
        <v>-9.0198476923933249E-4</v>
      </c>
      <c r="B1606">
        <v>1.9400000000000001E-2</v>
      </c>
      <c r="C1606" s="59">
        <v>-0.09</v>
      </c>
      <c r="D1606" s="59">
        <v>0.19</v>
      </c>
      <c r="E1606" s="60">
        <f t="shared" si="25"/>
        <v>0.9</v>
      </c>
      <c r="F1606" t="str" cm="1">
        <f t="array" ref="F1606">IF(A1606=MAX(IF(ROUND($B$2:$B$3722,4)=ROUND(B1606,4),$A$2:$A$3722)),"Efficient","Inefficient")</f>
        <v>Inefficient</v>
      </c>
    </row>
    <row r="1607" spans="1:6" x14ac:dyDescent="0.25">
      <c r="A1607" cm="1">
        <f t="array" ref="A1607">INDEX('Portfolio Weights Returns'!$B$9:$BJ$69,
INT((ROW(A1606)-1)/COLUMNS('Portfolio Weights Returns'!$B$9:$BJ$69))+1,MOD(ROW(A1606)-1,COLUMNS('Portfolio Weights Returns'!$B$9:$BJ$69))+1)</f>
        <v>-8.9520359527265345E-4</v>
      </c>
      <c r="B1607">
        <v>1.9400000000000001E-2</v>
      </c>
      <c r="C1607" s="59">
        <v>-0.09</v>
      </c>
      <c r="D1607" s="59">
        <v>0.2</v>
      </c>
      <c r="E1607" s="60">
        <f t="shared" si="25"/>
        <v>0.89</v>
      </c>
      <c r="F1607" t="str" cm="1">
        <f t="array" ref="F1607">IF(A1607=MAX(IF(ROUND($B$2:$B$3722,4)=ROUND(B1607,4),$A$2:$A$3722)),"Efficient","Inefficient")</f>
        <v>Inefficient</v>
      </c>
    </row>
    <row r="1608" spans="1:6" x14ac:dyDescent="0.25">
      <c r="A1608" cm="1">
        <f t="array" ref="A1608">INDEX('Portfolio Weights Returns'!$B$9:$BJ$69,
INT((ROW(A1607)-1)/COLUMNS('Portfolio Weights Returns'!$B$9:$BJ$69))+1,MOD(ROW(A1607)-1,COLUMNS('Portfolio Weights Returns'!$B$9:$BJ$69))+1)</f>
        <v>-8.8842242130597431E-4</v>
      </c>
      <c r="B1608">
        <v>1.9400000000000001E-2</v>
      </c>
      <c r="C1608" s="59">
        <v>-0.09</v>
      </c>
      <c r="D1608" s="59">
        <v>0.21</v>
      </c>
      <c r="E1608" s="60">
        <f t="shared" si="25"/>
        <v>0.88</v>
      </c>
      <c r="F1608" t="str" cm="1">
        <f t="array" ref="F1608">IF(A1608=MAX(IF(ROUND($B$2:$B$3722,4)=ROUND(B1608,4),$A$2:$A$3722)),"Efficient","Inefficient")</f>
        <v>Inefficient</v>
      </c>
    </row>
    <row r="1609" spans="1:6" x14ac:dyDescent="0.25">
      <c r="A1609" cm="1">
        <f t="array" ref="A1609">INDEX('Portfolio Weights Returns'!$B$9:$BJ$69,
INT((ROW(A1608)-1)/COLUMNS('Portfolio Weights Returns'!$B$9:$BJ$69))+1,MOD(ROW(A1608)-1,COLUMNS('Portfolio Weights Returns'!$B$9:$BJ$69))+1)</f>
        <v>-8.8164124733929516E-4</v>
      </c>
      <c r="B1609">
        <v>1.9400000000000001E-2</v>
      </c>
      <c r="C1609" s="59">
        <v>-0.09</v>
      </c>
      <c r="D1609" s="59">
        <v>0.22</v>
      </c>
      <c r="E1609" s="60">
        <f t="shared" si="25"/>
        <v>0.87</v>
      </c>
      <c r="F1609" t="str" cm="1">
        <f t="array" ref="F1609">IF(A1609=MAX(IF(ROUND($B$2:$B$3722,4)=ROUND(B1609,4),$A$2:$A$3722)),"Efficient","Inefficient")</f>
        <v>Inefficient</v>
      </c>
    </row>
    <row r="1610" spans="1:6" x14ac:dyDescent="0.25">
      <c r="A1610" cm="1">
        <f t="array" ref="A1610">INDEX('Portfolio Weights Returns'!$B$9:$BJ$69,
INT((ROW(A1609)-1)/COLUMNS('Portfolio Weights Returns'!$B$9:$BJ$69))+1,MOD(ROW(A1609)-1,COLUMNS('Portfolio Weights Returns'!$B$9:$BJ$69))+1)</f>
        <v>-8.7486007337261612E-4</v>
      </c>
      <c r="B1610">
        <v>1.9400000000000001E-2</v>
      </c>
      <c r="C1610" s="59">
        <v>-0.08</v>
      </c>
      <c r="D1610" s="59">
        <v>0.24</v>
      </c>
      <c r="E1610" s="60">
        <f t="shared" si="25"/>
        <v>0.84</v>
      </c>
      <c r="F1610" t="str" cm="1">
        <f t="array" ref="F1610">IF(A1610=MAX(IF(ROUND($B$2:$B$3722,4)=ROUND(B1610,4),$A$2:$A$3722)),"Efficient","Inefficient")</f>
        <v>Inefficient</v>
      </c>
    </row>
    <row r="1611" spans="1:6" x14ac:dyDescent="0.25">
      <c r="A1611" cm="1">
        <f t="array" ref="A1611">INDEX('Portfolio Weights Returns'!$B$9:$BJ$69,
INT((ROW(A1610)-1)/COLUMNS('Portfolio Weights Returns'!$B$9:$BJ$69))+1,MOD(ROW(A1610)-1,COLUMNS('Portfolio Weights Returns'!$B$9:$BJ$69))+1)</f>
        <v>-8.6807889940593698E-4</v>
      </c>
      <c r="B1611">
        <v>1.9400000000000001E-2</v>
      </c>
      <c r="C1611" s="59">
        <v>-0.08</v>
      </c>
      <c r="D1611" s="59">
        <v>0.25</v>
      </c>
      <c r="E1611" s="60">
        <f t="shared" si="25"/>
        <v>0.83</v>
      </c>
      <c r="F1611" t="str" cm="1">
        <f t="array" ref="F1611">IF(A1611=MAX(IF(ROUND($B$2:$B$3722,4)=ROUND(B1611,4),$A$2:$A$3722)),"Efficient","Inefficient")</f>
        <v>Inefficient</v>
      </c>
    </row>
    <row r="1612" spans="1:6" x14ac:dyDescent="0.25">
      <c r="A1612" cm="1">
        <f t="array" ref="A1612">INDEX('Portfolio Weights Returns'!$B$9:$BJ$69,
INT((ROW(A1611)-1)/COLUMNS('Portfolio Weights Returns'!$B$9:$BJ$69))+1,MOD(ROW(A1611)-1,COLUMNS('Portfolio Weights Returns'!$B$9:$BJ$69))+1)</f>
        <v>-8.6129772543925784E-4</v>
      </c>
      <c r="B1612">
        <v>1.9400000000000001E-2</v>
      </c>
      <c r="C1612" s="59">
        <v>-7.0000000000000007E-2</v>
      </c>
      <c r="D1612" s="59">
        <v>0.26</v>
      </c>
      <c r="E1612" s="60">
        <f t="shared" si="25"/>
        <v>0.81</v>
      </c>
      <c r="F1612" t="str" cm="1">
        <f t="array" ref="F1612">IF(A1612=MAX(IF(ROUND($B$2:$B$3722,4)=ROUND(B1612,4),$A$2:$A$3722)),"Efficient","Inefficient")</f>
        <v>Inefficient</v>
      </c>
    </row>
    <row r="1613" spans="1:6" x14ac:dyDescent="0.25">
      <c r="A1613" cm="1">
        <f t="array" ref="A1613">INDEX('Portfolio Weights Returns'!$B$9:$BJ$69,
INT((ROW(A1612)-1)/COLUMNS('Portfolio Weights Returns'!$B$9:$BJ$69))+1,MOD(ROW(A1612)-1,COLUMNS('Portfolio Weights Returns'!$B$9:$BJ$69))+1)</f>
        <v>-8.5451655147257869E-4</v>
      </c>
      <c r="B1613">
        <v>1.9400000000000001E-2</v>
      </c>
      <c r="C1613" s="59">
        <v>-0.06</v>
      </c>
      <c r="D1613" s="59">
        <v>0.27</v>
      </c>
      <c r="E1613" s="60">
        <f t="shared" si="25"/>
        <v>0.79</v>
      </c>
      <c r="F1613" t="str" cm="1">
        <f t="array" ref="F1613">IF(A1613=MAX(IF(ROUND($B$2:$B$3722,4)=ROUND(B1613,4),$A$2:$A$3722)),"Efficient","Inefficient")</f>
        <v>Inefficient</v>
      </c>
    </row>
    <row r="1614" spans="1:6" x14ac:dyDescent="0.25">
      <c r="A1614" cm="1">
        <f t="array" ref="A1614">INDEX('Portfolio Weights Returns'!$B$9:$BJ$69,
INT((ROW(A1613)-1)/COLUMNS('Portfolio Weights Returns'!$B$9:$BJ$69))+1,MOD(ROW(A1613)-1,COLUMNS('Portfolio Weights Returns'!$B$9:$BJ$69))+1)</f>
        <v>-8.4773537750589966E-4</v>
      </c>
      <c r="B1614">
        <v>1.9400000000000001E-2</v>
      </c>
      <c r="C1614" s="59">
        <v>-0.06</v>
      </c>
      <c r="D1614" s="59">
        <v>0.28000000000000003</v>
      </c>
      <c r="E1614" s="60">
        <f t="shared" si="25"/>
        <v>0.78</v>
      </c>
      <c r="F1614" t="str" cm="1">
        <f t="array" ref="F1614">IF(A1614=MAX(IF(ROUND($B$2:$B$3722,4)=ROUND(B1614,4),$A$2:$A$3722)),"Efficient","Inefficient")</f>
        <v>Inefficient</v>
      </c>
    </row>
    <row r="1615" spans="1:6" x14ac:dyDescent="0.25">
      <c r="A1615" cm="1">
        <f t="array" ref="A1615">INDEX('Portfolio Weights Returns'!$B$9:$BJ$69,
INT((ROW(A1614)-1)/COLUMNS('Portfolio Weights Returns'!$B$9:$BJ$69))+1,MOD(ROW(A1614)-1,COLUMNS('Portfolio Weights Returns'!$B$9:$BJ$69))+1)</f>
        <v>-8.4095420353922051E-4</v>
      </c>
      <c r="B1615">
        <v>1.9400000000000001E-2</v>
      </c>
      <c r="C1615" s="59">
        <v>-0.05</v>
      </c>
      <c r="D1615" s="59">
        <v>0.28999999999999998</v>
      </c>
      <c r="E1615" s="60">
        <f t="shared" si="25"/>
        <v>0.76</v>
      </c>
      <c r="F1615" t="str" cm="1">
        <f t="array" ref="F1615">IF(A1615=MAX(IF(ROUND($B$2:$B$3722,4)=ROUND(B1615,4),$A$2:$A$3722)),"Efficient","Inefficient")</f>
        <v>Inefficient</v>
      </c>
    </row>
    <row r="1616" spans="1:6" x14ac:dyDescent="0.25">
      <c r="A1616" cm="1">
        <f t="array" ref="A1616">INDEX('Portfolio Weights Returns'!$B$9:$BJ$69,
INT((ROW(A1615)-1)/COLUMNS('Portfolio Weights Returns'!$B$9:$BJ$69))+1,MOD(ROW(A1615)-1,COLUMNS('Portfolio Weights Returns'!$B$9:$BJ$69))+1)</f>
        <v>-8.3417302957254148E-4</v>
      </c>
      <c r="B1616">
        <v>1.9400000000000001E-2</v>
      </c>
      <c r="C1616" s="59">
        <v>-0.04</v>
      </c>
      <c r="D1616" s="59">
        <v>0.3</v>
      </c>
      <c r="E1616" s="60">
        <f t="shared" si="25"/>
        <v>0.74</v>
      </c>
      <c r="F1616" t="str" cm="1">
        <f t="array" ref="F1616">IF(A1616=MAX(IF(ROUND($B$2:$B$3722,4)=ROUND(B1616,4),$A$2:$A$3722)),"Efficient","Inefficient")</f>
        <v>Inefficient</v>
      </c>
    </row>
    <row r="1617" spans="1:6" x14ac:dyDescent="0.25">
      <c r="A1617" cm="1">
        <f t="array" ref="A1617">INDEX('Portfolio Weights Returns'!$B$9:$BJ$69,
INT((ROW(A1616)-1)/COLUMNS('Portfolio Weights Returns'!$B$9:$BJ$69))+1,MOD(ROW(A1616)-1,COLUMNS('Portfolio Weights Returns'!$B$9:$BJ$69))+1)</f>
        <v>-8.2739185560586233E-4</v>
      </c>
      <c r="B1617">
        <v>1.95E-2</v>
      </c>
      <c r="C1617" s="59">
        <v>0.28999999999999998</v>
      </c>
      <c r="D1617" s="59">
        <v>-0.24</v>
      </c>
      <c r="E1617" s="60">
        <f t="shared" si="25"/>
        <v>0.95</v>
      </c>
      <c r="F1617" t="str" cm="1">
        <f t="array" ref="F1617">IF(A1617=MAX(IF(ROUND($B$2:$B$3722,4)=ROUND(B1617,4),$A$2:$A$3722)),"Efficient","Inefficient")</f>
        <v>Inefficient</v>
      </c>
    </row>
    <row r="1618" spans="1:6" x14ac:dyDescent="0.25">
      <c r="A1618" cm="1">
        <f t="array" ref="A1618">INDEX('Portfolio Weights Returns'!$B$9:$BJ$69,
INT((ROW(A1617)-1)/COLUMNS('Portfolio Weights Returns'!$B$9:$BJ$69))+1,MOD(ROW(A1617)-1,COLUMNS('Portfolio Weights Returns'!$B$9:$BJ$69))+1)</f>
        <v>-8.2061068163918319E-4</v>
      </c>
      <c r="B1618">
        <v>1.95E-2</v>
      </c>
      <c r="C1618" s="59">
        <v>0.27</v>
      </c>
      <c r="D1618" s="59">
        <v>-0.23</v>
      </c>
      <c r="E1618" s="60">
        <f t="shared" si="25"/>
        <v>0.96</v>
      </c>
      <c r="F1618" t="str" cm="1">
        <f t="array" ref="F1618">IF(A1618=MAX(IF(ROUND($B$2:$B$3722,4)=ROUND(B1618,4),$A$2:$A$3722)),"Efficient","Inefficient")</f>
        <v>Inefficient</v>
      </c>
    </row>
    <row r="1619" spans="1:6" x14ac:dyDescent="0.25">
      <c r="A1619" cm="1">
        <f t="array" ref="A1619">INDEX('Portfolio Weights Returns'!$B$9:$BJ$69,
INT((ROW(A1618)-1)/COLUMNS('Portfolio Weights Returns'!$B$9:$BJ$69))+1,MOD(ROW(A1618)-1,COLUMNS('Portfolio Weights Returns'!$B$9:$BJ$69))+1)</f>
        <v>-8.1382950767250404E-4</v>
      </c>
      <c r="B1619">
        <v>1.95E-2</v>
      </c>
      <c r="C1619" s="59">
        <v>0.24</v>
      </c>
      <c r="D1619" s="59">
        <v>-0.21</v>
      </c>
      <c r="E1619" s="60">
        <f t="shared" si="25"/>
        <v>0.97</v>
      </c>
      <c r="F1619" t="str" cm="1">
        <f t="array" ref="F1619">IF(A1619=MAX(IF(ROUND($B$2:$B$3722,4)=ROUND(B1619,4),$A$2:$A$3722)),"Efficient","Inefficient")</f>
        <v>Inefficient</v>
      </c>
    </row>
    <row r="1620" spans="1:6" x14ac:dyDescent="0.25">
      <c r="A1620" cm="1">
        <f t="array" ref="A1620">INDEX('Portfolio Weights Returns'!$B$9:$BJ$69,
INT((ROW(A1619)-1)/COLUMNS('Portfolio Weights Returns'!$B$9:$BJ$69))+1,MOD(ROW(A1619)-1,COLUMNS('Portfolio Weights Returns'!$B$9:$BJ$69))+1)</f>
        <v>-8.070483337058249E-4</v>
      </c>
      <c r="B1620">
        <v>1.95E-2</v>
      </c>
      <c r="C1620" s="59">
        <v>0.22</v>
      </c>
      <c r="D1620" s="59">
        <v>-0.2</v>
      </c>
      <c r="E1620" s="60">
        <f t="shared" si="25"/>
        <v>0.98</v>
      </c>
      <c r="F1620" t="str" cm="1">
        <f t="array" ref="F1620">IF(A1620=MAX(IF(ROUND($B$2:$B$3722,4)=ROUND(B1620,4),$A$2:$A$3722)),"Efficient","Inefficient")</f>
        <v>Inefficient</v>
      </c>
    </row>
    <row r="1621" spans="1:6" x14ac:dyDescent="0.25">
      <c r="A1621" cm="1">
        <f t="array" ref="A1621">INDEX('Portfolio Weights Returns'!$B$9:$BJ$69,
INT((ROW(A1620)-1)/COLUMNS('Portfolio Weights Returns'!$B$9:$BJ$69))+1,MOD(ROW(A1620)-1,COLUMNS('Portfolio Weights Returns'!$B$9:$BJ$69))+1)</f>
        <v>-8.0026715973914586E-4</v>
      </c>
      <c r="B1621">
        <v>1.95E-2</v>
      </c>
      <c r="C1621" s="59">
        <v>0.2</v>
      </c>
      <c r="D1621" s="59">
        <v>-0.19</v>
      </c>
      <c r="E1621" s="60">
        <f t="shared" si="25"/>
        <v>0.99</v>
      </c>
      <c r="F1621" t="str" cm="1">
        <f t="array" ref="F1621">IF(A1621=MAX(IF(ROUND($B$2:$B$3722,4)=ROUND(B1621,4),$A$2:$A$3722)),"Efficient","Inefficient")</f>
        <v>Inefficient</v>
      </c>
    </row>
    <row r="1622" spans="1:6" x14ac:dyDescent="0.25">
      <c r="A1622" cm="1">
        <f t="array" ref="A1622">INDEX('Portfolio Weights Returns'!$B$9:$BJ$69,
INT((ROW(A1621)-1)/COLUMNS('Portfolio Weights Returns'!$B$9:$BJ$69))+1,MOD(ROW(A1621)-1,COLUMNS('Portfolio Weights Returns'!$B$9:$BJ$69))+1)</f>
        <v>-7.9348598577246672E-4</v>
      </c>
      <c r="B1622">
        <v>1.95E-2</v>
      </c>
      <c r="C1622" s="59">
        <v>0.17</v>
      </c>
      <c r="D1622" s="59">
        <v>-0.17</v>
      </c>
      <c r="E1622" s="60">
        <f t="shared" si="25"/>
        <v>0.99999999999999989</v>
      </c>
      <c r="F1622" t="str" cm="1">
        <f t="array" ref="F1622">IF(A1622=MAX(IF(ROUND($B$2:$B$3722,4)=ROUND(B1622,4),$A$2:$A$3722)),"Efficient","Inefficient")</f>
        <v>Inefficient</v>
      </c>
    </row>
    <row r="1623" spans="1:6" x14ac:dyDescent="0.25">
      <c r="A1623" cm="1">
        <f t="array" ref="A1623">INDEX('Portfolio Weights Returns'!$B$9:$BJ$69,
INT((ROW(A1622)-1)/COLUMNS('Portfolio Weights Returns'!$B$9:$BJ$69))+1,MOD(ROW(A1622)-1,COLUMNS('Portfolio Weights Returns'!$B$9:$BJ$69))+1)</f>
        <v>-7.8670481180578768E-4</v>
      </c>
      <c r="B1623">
        <v>1.95E-2</v>
      </c>
      <c r="C1623" s="59">
        <v>0.14000000000000001</v>
      </c>
      <c r="D1623" s="59">
        <v>-0.15</v>
      </c>
      <c r="E1623" s="60">
        <f t="shared" si="25"/>
        <v>1.0099999999999998</v>
      </c>
      <c r="F1623" t="str" cm="1">
        <f t="array" ref="F1623">IF(A1623=MAX(IF(ROUND($B$2:$B$3722,4)=ROUND(B1623,4),$A$2:$A$3722)),"Efficient","Inefficient")</f>
        <v>Inefficient</v>
      </c>
    </row>
    <row r="1624" spans="1:6" x14ac:dyDescent="0.25">
      <c r="A1624" cm="1">
        <f t="array" ref="A1624">INDEX('Portfolio Weights Returns'!$B$9:$BJ$69,
INT((ROW(A1623)-1)/COLUMNS('Portfolio Weights Returns'!$B$9:$BJ$69))+1,MOD(ROW(A1623)-1,COLUMNS('Portfolio Weights Returns'!$B$9:$BJ$69))+1)</f>
        <v>-7.7992363783910854E-4</v>
      </c>
      <c r="B1624">
        <v>1.95E-2</v>
      </c>
      <c r="C1624" s="59">
        <v>0.13</v>
      </c>
      <c r="D1624" s="59">
        <v>-0.14000000000000001</v>
      </c>
      <c r="E1624" s="60">
        <f t="shared" si="25"/>
        <v>1.0100000000000002</v>
      </c>
      <c r="F1624" t="str" cm="1">
        <f t="array" ref="F1624">IF(A1624=MAX(IF(ROUND($B$2:$B$3722,4)=ROUND(B1624,4),$A$2:$A$3722)),"Efficient","Inefficient")</f>
        <v>Inefficient</v>
      </c>
    </row>
    <row r="1625" spans="1:6" x14ac:dyDescent="0.25">
      <c r="A1625" cm="1">
        <f t="array" ref="A1625">INDEX('Portfolio Weights Returns'!$B$9:$BJ$69,
INT((ROW(A1624)-1)/COLUMNS('Portfolio Weights Returns'!$B$9:$BJ$69))+1,MOD(ROW(A1624)-1,COLUMNS('Portfolio Weights Returns'!$B$9:$BJ$69))+1)</f>
        <v>-7.731424638724295E-4</v>
      </c>
      <c r="B1625">
        <v>1.95E-2</v>
      </c>
      <c r="C1625" s="59">
        <v>0.11</v>
      </c>
      <c r="D1625" s="59">
        <v>-0.13</v>
      </c>
      <c r="E1625" s="60">
        <f t="shared" si="25"/>
        <v>1.0199999999999998</v>
      </c>
      <c r="F1625" t="str" cm="1">
        <f t="array" ref="F1625">IF(A1625=MAX(IF(ROUND($B$2:$B$3722,4)=ROUND(B1625,4),$A$2:$A$3722)),"Efficient","Inefficient")</f>
        <v>Inefficient</v>
      </c>
    </row>
    <row r="1626" spans="1:6" x14ac:dyDescent="0.25">
      <c r="A1626" cm="1">
        <f t="array" ref="A1626">INDEX('Portfolio Weights Returns'!$B$9:$BJ$69,
INT((ROW(A1625)-1)/COLUMNS('Portfolio Weights Returns'!$B$9:$BJ$69))+1,MOD(ROW(A1625)-1,COLUMNS('Portfolio Weights Returns'!$B$9:$BJ$69))+1)</f>
        <v>-7.6636128990575036E-4</v>
      </c>
      <c r="B1626">
        <v>1.95E-2</v>
      </c>
      <c r="C1626" s="59">
        <v>0.1</v>
      </c>
      <c r="D1626" s="59">
        <v>-0.12</v>
      </c>
      <c r="E1626" s="60">
        <f t="shared" si="25"/>
        <v>1.02</v>
      </c>
      <c r="F1626" t="str" cm="1">
        <f t="array" ref="F1626">IF(A1626=MAX(IF(ROUND($B$2:$B$3722,4)=ROUND(B1626,4),$A$2:$A$3722)),"Efficient","Inefficient")</f>
        <v>Inefficient</v>
      </c>
    </row>
    <row r="1627" spans="1:6" x14ac:dyDescent="0.25">
      <c r="A1627" cm="1">
        <f t="array" ref="A1627">INDEX('Portfolio Weights Returns'!$B$9:$BJ$69,
INT((ROW(A1626)-1)/COLUMNS('Portfolio Weights Returns'!$B$9:$BJ$69))+1,MOD(ROW(A1626)-1,COLUMNS('Portfolio Weights Returns'!$B$9:$BJ$69))+1)</f>
        <v>-7.5958011593907132E-4</v>
      </c>
      <c r="B1627">
        <v>1.95E-2</v>
      </c>
      <c r="C1627" s="59">
        <v>0.09</v>
      </c>
      <c r="D1627" s="59">
        <v>-0.11</v>
      </c>
      <c r="E1627" s="60">
        <f t="shared" si="25"/>
        <v>1.02</v>
      </c>
      <c r="F1627" t="str" cm="1">
        <f t="array" ref="F1627">IF(A1627=MAX(IF(ROUND($B$2:$B$3722,4)=ROUND(B1627,4),$A$2:$A$3722)),"Efficient","Inefficient")</f>
        <v>Inefficient</v>
      </c>
    </row>
    <row r="1628" spans="1:6" x14ac:dyDescent="0.25">
      <c r="A1628" cm="1">
        <f t="array" ref="A1628">INDEX('Portfolio Weights Returns'!$B$9:$BJ$69,
INT((ROW(A1627)-1)/COLUMNS('Portfolio Weights Returns'!$B$9:$BJ$69))+1,MOD(ROW(A1627)-1,COLUMNS('Portfolio Weights Returns'!$B$9:$BJ$69))+1)</f>
        <v>-7.5279894197239218E-4</v>
      </c>
      <c r="B1628">
        <v>1.95E-2</v>
      </c>
      <c r="C1628" s="59">
        <v>0.06</v>
      </c>
      <c r="D1628" s="59">
        <v>-0.09</v>
      </c>
      <c r="E1628" s="60">
        <f t="shared" si="25"/>
        <v>1.03</v>
      </c>
      <c r="F1628" t="str" cm="1">
        <f t="array" ref="F1628">IF(A1628=MAX(IF(ROUND($B$2:$B$3722,4)=ROUND(B1628,4),$A$2:$A$3722)),"Efficient","Inefficient")</f>
        <v>Inefficient</v>
      </c>
    </row>
    <row r="1629" spans="1:6" x14ac:dyDescent="0.25">
      <c r="A1629" cm="1">
        <f t="array" ref="A1629">INDEX('Portfolio Weights Returns'!$B$9:$BJ$69,
INT((ROW(A1628)-1)/COLUMNS('Portfolio Weights Returns'!$B$9:$BJ$69))+1,MOD(ROW(A1628)-1,COLUMNS('Portfolio Weights Returns'!$B$9:$BJ$69))+1)</f>
        <v>-7.4601776800571303E-4</v>
      </c>
      <c r="B1629">
        <v>1.95E-2</v>
      </c>
      <c r="C1629" s="59">
        <v>0.05</v>
      </c>
      <c r="D1629" s="59">
        <v>-0.08</v>
      </c>
      <c r="E1629" s="60">
        <f t="shared" si="25"/>
        <v>1.03</v>
      </c>
      <c r="F1629" t="str" cm="1">
        <f t="array" ref="F1629">IF(A1629=MAX(IF(ROUND($B$2:$B$3722,4)=ROUND(B1629,4),$A$2:$A$3722)),"Efficient","Inefficient")</f>
        <v>Inefficient</v>
      </c>
    </row>
    <row r="1630" spans="1:6" x14ac:dyDescent="0.25">
      <c r="A1630" cm="1">
        <f t="array" ref="A1630">INDEX('Portfolio Weights Returns'!$B$9:$BJ$69,
INT((ROW(A1629)-1)/COLUMNS('Portfolio Weights Returns'!$B$9:$BJ$69))+1,MOD(ROW(A1629)-1,COLUMNS('Portfolio Weights Returns'!$B$9:$BJ$69))+1)</f>
        <v>-7.39236594039034E-4</v>
      </c>
      <c r="B1630">
        <v>1.95E-2</v>
      </c>
      <c r="C1630" s="59">
        <v>0.04</v>
      </c>
      <c r="D1630" s="59">
        <v>-7.0000000000000007E-2</v>
      </c>
      <c r="E1630" s="60">
        <f t="shared" si="25"/>
        <v>1.03</v>
      </c>
      <c r="F1630" t="str" cm="1">
        <f t="array" ref="F1630">IF(A1630=MAX(IF(ROUND($B$2:$B$3722,4)=ROUND(B1630,4),$A$2:$A$3722)),"Efficient","Inefficient")</f>
        <v>Inefficient</v>
      </c>
    </row>
    <row r="1631" spans="1:6" x14ac:dyDescent="0.25">
      <c r="A1631" cm="1">
        <f t="array" ref="A1631">INDEX('Portfolio Weights Returns'!$B$9:$BJ$69,
INT((ROW(A1630)-1)/COLUMNS('Portfolio Weights Returns'!$B$9:$BJ$69))+1,MOD(ROW(A1630)-1,COLUMNS('Portfolio Weights Returns'!$B$9:$BJ$69))+1)</f>
        <v>-7.3245542007235485E-4</v>
      </c>
      <c r="B1631">
        <v>1.95E-2</v>
      </c>
      <c r="C1631" s="59">
        <v>0.03</v>
      </c>
      <c r="D1631" s="59">
        <v>-0.06</v>
      </c>
      <c r="E1631" s="60">
        <f t="shared" si="25"/>
        <v>1.03</v>
      </c>
      <c r="F1631" t="str" cm="1">
        <f t="array" ref="F1631">IF(A1631=MAX(IF(ROUND($B$2:$B$3722,4)=ROUND(B1631,4),$A$2:$A$3722)),"Efficient","Inefficient")</f>
        <v>Inefficient</v>
      </c>
    </row>
    <row r="1632" spans="1:6" x14ac:dyDescent="0.25">
      <c r="A1632" cm="1">
        <f t="array" ref="A1632">INDEX('Portfolio Weights Returns'!$B$9:$BJ$69,
INT((ROW(A1631)-1)/COLUMNS('Portfolio Weights Returns'!$B$9:$BJ$69))+1,MOD(ROW(A1631)-1,COLUMNS('Portfolio Weights Returns'!$B$9:$BJ$69))+1)</f>
        <v>-7.2567424610567571E-4</v>
      </c>
      <c r="B1632">
        <v>1.95E-2</v>
      </c>
      <c r="C1632" s="59">
        <v>0.02</v>
      </c>
      <c r="D1632" s="59">
        <v>-0.05</v>
      </c>
      <c r="E1632" s="60">
        <f t="shared" si="25"/>
        <v>1.03</v>
      </c>
      <c r="F1632" t="str" cm="1">
        <f t="array" ref="F1632">IF(A1632=MAX(IF(ROUND($B$2:$B$3722,4)=ROUND(B1632,4),$A$2:$A$3722)),"Efficient","Inefficient")</f>
        <v>Inefficient</v>
      </c>
    </row>
    <row r="1633" spans="1:6" x14ac:dyDescent="0.25">
      <c r="A1633" cm="1">
        <f t="array" ref="A1633">INDEX('Portfolio Weights Returns'!$B$9:$BJ$69,
INT((ROW(A1632)-1)/COLUMNS('Portfolio Weights Returns'!$B$9:$BJ$69))+1,MOD(ROW(A1632)-1,COLUMNS('Portfolio Weights Returns'!$B$9:$BJ$69))+1)</f>
        <v>-7.1889307213899656E-4</v>
      </c>
      <c r="B1633">
        <v>1.95E-2</v>
      </c>
      <c r="C1633" s="59">
        <v>0.01</v>
      </c>
      <c r="D1633" s="59">
        <v>-0.04</v>
      </c>
      <c r="E1633" s="60">
        <f t="shared" si="25"/>
        <v>1.03</v>
      </c>
      <c r="F1633" t="str" cm="1">
        <f t="array" ref="F1633">IF(A1633=MAX(IF(ROUND($B$2:$B$3722,4)=ROUND(B1633,4),$A$2:$A$3722)),"Efficient","Inefficient")</f>
        <v>Inefficient</v>
      </c>
    </row>
    <row r="1634" spans="1:6" x14ac:dyDescent="0.25">
      <c r="A1634" cm="1">
        <f t="array" ref="A1634">INDEX('Portfolio Weights Returns'!$B$9:$BJ$69,
INT((ROW(A1633)-1)/COLUMNS('Portfolio Weights Returns'!$B$9:$BJ$69))+1,MOD(ROW(A1633)-1,COLUMNS('Portfolio Weights Returns'!$B$9:$BJ$69))+1)</f>
        <v>-7.1211189817231753E-4</v>
      </c>
      <c r="B1634">
        <v>1.95E-2</v>
      </c>
      <c r="C1634" s="59">
        <v>0</v>
      </c>
      <c r="D1634" s="59">
        <v>-0.03</v>
      </c>
      <c r="E1634" s="60">
        <f t="shared" si="25"/>
        <v>1.03</v>
      </c>
      <c r="F1634" t="str" cm="1">
        <f t="array" ref="F1634">IF(A1634=MAX(IF(ROUND($B$2:$B$3722,4)=ROUND(B1634,4),$A$2:$A$3722)),"Efficient","Inefficient")</f>
        <v>Inefficient</v>
      </c>
    </row>
    <row r="1635" spans="1:6" x14ac:dyDescent="0.25">
      <c r="A1635" cm="1">
        <f t="array" ref="A1635">INDEX('Portfolio Weights Returns'!$B$9:$BJ$69,
INT((ROW(A1634)-1)/COLUMNS('Portfolio Weights Returns'!$B$9:$BJ$69))+1,MOD(ROW(A1634)-1,COLUMNS('Portfolio Weights Returns'!$B$9:$BJ$69))+1)</f>
        <v>-7.0533072420563838E-4</v>
      </c>
      <c r="B1635">
        <v>1.95E-2</v>
      </c>
      <c r="C1635" s="59">
        <v>-0.01</v>
      </c>
      <c r="D1635" s="59">
        <v>-0.02</v>
      </c>
      <c r="E1635" s="60">
        <f t="shared" si="25"/>
        <v>1.03</v>
      </c>
      <c r="F1635" t="str" cm="1">
        <f t="array" ref="F1635">IF(A1635=MAX(IF(ROUND($B$2:$B$3722,4)=ROUND(B1635,4),$A$2:$A$3722)),"Efficient","Inefficient")</f>
        <v>Inefficient</v>
      </c>
    </row>
    <row r="1636" spans="1:6" x14ac:dyDescent="0.25">
      <c r="A1636" cm="1">
        <f t="array" ref="A1636">INDEX('Portfolio Weights Returns'!$B$9:$BJ$69,
INT((ROW(A1635)-1)/COLUMNS('Portfolio Weights Returns'!$B$9:$BJ$69))+1,MOD(ROW(A1635)-1,COLUMNS('Portfolio Weights Returns'!$B$9:$BJ$69))+1)</f>
        <v>-6.9854955023895945E-4</v>
      </c>
      <c r="B1636">
        <v>1.95E-2</v>
      </c>
      <c r="C1636" s="59">
        <v>-0.03</v>
      </c>
      <c r="D1636" s="59">
        <v>0.01</v>
      </c>
      <c r="E1636" s="60">
        <f t="shared" si="25"/>
        <v>1.02</v>
      </c>
      <c r="F1636" t="str" cm="1">
        <f t="array" ref="F1636">IF(A1636=MAX(IF(ROUND($B$2:$B$3722,4)=ROUND(B1636,4),$A$2:$A$3722)),"Efficient","Inefficient")</f>
        <v>Inefficient</v>
      </c>
    </row>
    <row r="1637" spans="1:6" x14ac:dyDescent="0.25">
      <c r="A1637" cm="1">
        <f t="array" ref="A1637">INDEX('Portfolio Weights Returns'!$B$9:$BJ$69,
INT((ROW(A1636)-1)/COLUMNS('Portfolio Weights Returns'!$B$9:$BJ$69))+1,MOD(ROW(A1636)-1,COLUMNS('Portfolio Weights Returns'!$B$9:$BJ$69))+1)</f>
        <v>-6.917683762722802E-4</v>
      </c>
      <c r="B1637">
        <v>1.95E-2</v>
      </c>
      <c r="C1637" s="59">
        <v>-0.04</v>
      </c>
      <c r="D1637" s="59">
        <v>0.02</v>
      </c>
      <c r="E1637" s="60">
        <f t="shared" si="25"/>
        <v>1.02</v>
      </c>
      <c r="F1637" t="str" cm="1">
        <f t="array" ref="F1637">IF(A1637=MAX(IF(ROUND($B$2:$B$3722,4)=ROUND(B1637,4),$A$2:$A$3722)),"Efficient","Inefficient")</f>
        <v>Inefficient</v>
      </c>
    </row>
    <row r="1638" spans="1:6" x14ac:dyDescent="0.25">
      <c r="A1638" cm="1">
        <f t="array" ref="A1638">INDEX('Portfolio Weights Returns'!$B$9:$BJ$69,
INT((ROW(A1637)-1)/COLUMNS('Portfolio Weights Returns'!$B$9:$BJ$69))+1,MOD(ROW(A1637)-1,COLUMNS('Portfolio Weights Returns'!$B$9:$BJ$69))+1)</f>
        <v>-6.8498720230560106E-4</v>
      </c>
      <c r="B1638">
        <v>1.95E-2</v>
      </c>
      <c r="C1638" s="59">
        <v>-0.05</v>
      </c>
      <c r="D1638" s="59">
        <v>0.03</v>
      </c>
      <c r="E1638" s="60">
        <f t="shared" si="25"/>
        <v>1.02</v>
      </c>
      <c r="F1638" t="str" cm="1">
        <f t="array" ref="F1638">IF(A1638=MAX(IF(ROUND($B$2:$B$3722,4)=ROUND(B1638,4),$A$2:$A$3722)),"Efficient","Inefficient")</f>
        <v>Inefficient</v>
      </c>
    </row>
    <row r="1639" spans="1:6" x14ac:dyDescent="0.25">
      <c r="A1639" cm="1">
        <f t="array" ref="A1639">INDEX('Portfolio Weights Returns'!$B$9:$BJ$69,
INT((ROW(A1638)-1)/COLUMNS('Portfolio Weights Returns'!$B$9:$BJ$69))+1,MOD(ROW(A1638)-1,COLUMNS('Portfolio Weights Returns'!$B$9:$BJ$69))+1)</f>
        <v>-6.7820602833892202E-4</v>
      </c>
      <c r="B1639">
        <v>1.95E-2</v>
      </c>
      <c r="C1639" s="59">
        <v>-0.06</v>
      </c>
      <c r="D1639" s="59">
        <v>0.05</v>
      </c>
      <c r="E1639" s="60">
        <f t="shared" si="25"/>
        <v>1.01</v>
      </c>
      <c r="F1639" t="str" cm="1">
        <f t="array" ref="F1639">IF(A1639=MAX(IF(ROUND($B$2:$B$3722,4)=ROUND(B1639,4),$A$2:$A$3722)),"Efficient","Inefficient")</f>
        <v>Inefficient</v>
      </c>
    </row>
    <row r="1640" spans="1:6" x14ac:dyDescent="0.25">
      <c r="A1640" cm="1">
        <f t="array" ref="A1640">INDEX('Portfolio Weights Returns'!$B$9:$BJ$69,
INT((ROW(A1639)-1)/COLUMNS('Portfolio Weights Returns'!$B$9:$BJ$69))+1,MOD(ROW(A1639)-1,COLUMNS('Portfolio Weights Returns'!$B$9:$BJ$69))+1)</f>
        <v>-6.7142485437224288E-4</v>
      </c>
      <c r="B1640">
        <v>1.95E-2</v>
      </c>
      <c r="C1640" s="59">
        <v>-7.0000000000000007E-2</v>
      </c>
      <c r="D1640" s="59">
        <v>7.0000000000000007E-2</v>
      </c>
      <c r="E1640" s="60">
        <f t="shared" si="25"/>
        <v>1</v>
      </c>
      <c r="F1640" t="str" cm="1">
        <f t="array" ref="F1640">IF(A1640=MAX(IF(ROUND($B$2:$B$3722,4)=ROUND(B1640,4),$A$2:$A$3722)),"Efficient","Inefficient")</f>
        <v>Inefficient</v>
      </c>
    </row>
    <row r="1641" spans="1:6" x14ac:dyDescent="0.25">
      <c r="A1641" cm="1">
        <f t="array" ref="A1641">INDEX('Portfolio Weights Returns'!$B$9:$BJ$69,
INT((ROW(A1640)-1)/COLUMNS('Portfolio Weights Returns'!$B$9:$BJ$69))+1,MOD(ROW(A1640)-1,COLUMNS('Portfolio Weights Returns'!$B$9:$BJ$69))+1)</f>
        <v>-6.6464368040556384E-4</v>
      </c>
      <c r="B1641">
        <v>1.95E-2</v>
      </c>
      <c r="C1641" s="59">
        <v>-0.08</v>
      </c>
      <c r="D1641" s="59">
        <v>0.09</v>
      </c>
      <c r="E1641" s="60">
        <f t="shared" si="25"/>
        <v>0.99</v>
      </c>
      <c r="F1641" t="str" cm="1">
        <f t="array" ref="F1641">IF(A1641=MAX(IF(ROUND($B$2:$B$3722,4)=ROUND(B1641,4),$A$2:$A$3722)),"Efficient","Inefficient")</f>
        <v>Inefficient</v>
      </c>
    </row>
    <row r="1642" spans="1:6" x14ac:dyDescent="0.25">
      <c r="A1642" cm="1">
        <f t="array" ref="A1642">INDEX('Portfolio Weights Returns'!$B$9:$BJ$69,
INT((ROW(A1641)-1)/COLUMNS('Portfolio Weights Returns'!$B$9:$BJ$69))+1,MOD(ROW(A1641)-1,COLUMNS('Portfolio Weights Returns'!$B$9:$BJ$69))+1)</f>
        <v>-6.578625064388847E-4</v>
      </c>
      <c r="B1642">
        <v>1.95E-2</v>
      </c>
      <c r="C1642" s="59">
        <v>-0.09</v>
      </c>
      <c r="D1642" s="59">
        <v>0.11</v>
      </c>
      <c r="E1642" s="60">
        <f t="shared" si="25"/>
        <v>0.98</v>
      </c>
      <c r="F1642" t="str" cm="1">
        <f t="array" ref="F1642">IF(A1642=MAX(IF(ROUND($B$2:$B$3722,4)=ROUND(B1642,4),$A$2:$A$3722)),"Efficient","Inefficient")</f>
        <v>Inefficient</v>
      </c>
    </row>
    <row r="1643" spans="1:6" x14ac:dyDescent="0.25">
      <c r="A1643" cm="1">
        <f t="array" ref="A1643">INDEX('Portfolio Weights Returns'!$B$9:$BJ$69,
INT((ROW(A1642)-1)/COLUMNS('Portfolio Weights Returns'!$B$9:$BJ$69))+1,MOD(ROW(A1642)-1,COLUMNS('Portfolio Weights Returns'!$B$9:$BJ$69))+1)</f>
        <v>-6.5108133247220566E-4</v>
      </c>
      <c r="B1643">
        <v>1.95E-2</v>
      </c>
      <c r="C1643" s="59">
        <v>-0.09</v>
      </c>
      <c r="D1643" s="59">
        <v>0.12</v>
      </c>
      <c r="E1643" s="60">
        <f t="shared" si="25"/>
        <v>0.97</v>
      </c>
      <c r="F1643" t="str" cm="1">
        <f t="array" ref="F1643">IF(A1643=MAX(IF(ROUND($B$2:$B$3722,4)=ROUND(B1643,4),$A$2:$A$3722)),"Efficient","Inefficient")</f>
        <v>Inefficient</v>
      </c>
    </row>
    <row r="1644" spans="1:6" x14ac:dyDescent="0.25">
      <c r="A1644" cm="1">
        <f t="array" ref="A1644">INDEX('Portfolio Weights Returns'!$B$9:$BJ$69,
INT((ROW(A1643)-1)/COLUMNS('Portfolio Weights Returns'!$B$9:$BJ$69))+1,MOD(ROW(A1643)-1,COLUMNS('Portfolio Weights Returns'!$B$9:$BJ$69))+1)</f>
        <v>-6.4430015850552641E-4</v>
      </c>
      <c r="B1644">
        <v>1.95E-2</v>
      </c>
      <c r="C1644" s="59">
        <v>-0.1</v>
      </c>
      <c r="D1644" s="59">
        <v>0.14000000000000001</v>
      </c>
      <c r="E1644" s="60">
        <f t="shared" si="25"/>
        <v>0.96</v>
      </c>
      <c r="F1644" t="str" cm="1">
        <f t="array" ref="F1644">IF(A1644=MAX(IF(ROUND($B$2:$B$3722,4)=ROUND(B1644,4),$A$2:$A$3722)),"Efficient","Inefficient")</f>
        <v>Inefficient</v>
      </c>
    </row>
    <row r="1645" spans="1:6" x14ac:dyDescent="0.25">
      <c r="A1645" cm="1">
        <f t="array" ref="A1645">INDEX('Portfolio Weights Returns'!$B$9:$BJ$69,
INT((ROW(A1644)-1)/COLUMNS('Portfolio Weights Returns'!$B$9:$BJ$69))+1,MOD(ROW(A1644)-1,COLUMNS('Portfolio Weights Returns'!$B$9:$BJ$69))+1)</f>
        <v>-6.3751898453884672E-4</v>
      </c>
      <c r="B1645">
        <v>1.95E-2</v>
      </c>
      <c r="C1645" s="59">
        <v>-0.1</v>
      </c>
      <c r="D1645" s="59">
        <v>0.15</v>
      </c>
      <c r="E1645" s="60">
        <f t="shared" si="25"/>
        <v>0.95</v>
      </c>
      <c r="F1645" t="str" cm="1">
        <f t="array" ref="F1645">IF(A1645=MAX(IF(ROUND($B$2:$B$3722,4)=ROUND(B1645,4),$A$2:$A$3722)),"Efficient","Inefficient")</f>
        <v>Inefficient</v>
      </c>
    </row>
    <row r="1646" spans="1:6" x14ac:dyDescent="0.25">
      <c r="A1646" cm="1">
        <f t="array" ref="A1646">INDEX('Portfolio Weights Returns'!$B$9:$BJ$69,
INT((ROW(A1645)-1)/COLUMNS('Portfolio Weights Returns'!$B$9:$BJ$69))+1,MOD(ROW(A1645)-1,COLUMNS('Portfolio Weights Returns'!$B$9:$BJ$69))+1)</f>
        <v>-6.3073781057216758E-4</v>
      </c>
      <c r="B1646">
        <v>1.95E-2</v>
      </c>
      <c r="C1646" s="59">
        <v>-0.1</v>
      </c>
      <c r="D1646" s="59">
        <v>0.16</v>
      </c>
      <c r="E1646" s="60">
        <f t="shared" si="25"/>
        <v>0.94</v>
      </c>
      <c r="F1646" t="str" cm="1">
        <f t="array" ref="F1646">IF(A1646=MAX(IF(ROUND($B$2:$B$3722,4)=ROUND(B1646,4),$A$2:$A$3722)),"Efficient","Inefficient")</f>
        <v>Inefficient</v>
      </c>
    </row>
    <row r="1647" spans="1:6" x14ac:dyDescent="0.25">
      <c r="A1647" cm="1">
        <f t="array" ref="A1647">INDEX('Portfolio Weights Returns'!$B$9:$BJ$69,
INT((ROW(A1646)-1)/COLUMNS('Portfolio Weights Returns'!$B$9:$BJ$69))+1,MOD(ROW(A1646)-1,COLUMNS('Portfolio Weights Returns'!$B$9:$BJ$69))+1)</f>
        <v>-6.2395663660548854E-4</v>
      </c>
      <c r="B1647">
        <v>1.95E-2</v>
      </c>
      <c r="C1647" s="59">
        <v>-0.1</v>
      </c>
      <c r="D1647" s="59">
        <v>0.17</v>
      </c>
      <c r="E1647" s="60">
        <f t="shared" si="25"/>
        <v>0.92999999999999994</v>
      </c>
      <c r="F1647" t="str" cm="1">
        <f t="array" ref="F1647">IF(A1647=MAX(IF(ROUND($B$2:$B$3722,4)=ROUND(B1647,4),$A$2:$A$3722)),"Efficient","Inefficient")</f>
        <v>Inefficient</v>
      </c>
    </row>
    <row r="1648" spans="1:6" x14ac:dyDescent="0.25">
      <c r="A1648" cm="1">
        <f t="array" ref="A1648">INDEX('Portfolio Weights Returns'!$B$9:$BJ$69,
INT((ROW(A1647)-1)/COLUMNS('Portfolio Weights Returns'!$B$9:$BJ$69))+1,MOD(ROW(A1647)-1,COLUMNS('Portfolio Weights Returns'!$B$9:$BJ$69))+1)</f>
        <v>-6.171754626388094E-4</v>
      </c>
      <c r="B1648">
        <v>1.95E-2</v>
      </c>
      <c r="C1648" s="59">
        <v>-0.1</v>
      </c>
      <c r="D1648" s="59">
        <v>0.18</v>
      </c>
      <c r="E1648" s="60">
        <f t="shared" si="25"/>
        <v>0.92</v>
      </c>
      <c r="F1648" t="str" cm="1">
        <f t="array" ref="F1648">IF(A1648=MAX(IF(ROUND($B$2:$B$3722,4)=ROUND(B1648,4),$A$2:$A$3722)),"Efficient","Inefficient")</f>
        <v>Efficient</v>
      </c>
    </row>
    <row r="1649" spans="1:6" x14ac:dyDescent="0.25">
      <c r="A1649" cm="1">
        <f t="array" ref="A1649">INDEX('Portfolio Weights Returns'!$B$9:$BJ$69,
INT((ROW(A1648)-1)/COLUMNS('Portfolio Weights Returns'!$B$9:$BJ$69))+1,MOD(ROW(A1648)-1,COLUMNS('Portfolio Weights Returns'!$B$9:$BJ$69))+1)</f>
        <v>-1.0174716927941012E-3</v>
      </c>
      <c r="B1649">
        <v>1.95E-2</v>
      </c>
      <c r="C1649" s="59">
        <v>-0.1</v>
      </c>
      <c r="D1649" s="59">
        <v>0.19</v>
      </c>
      <c r="E1649" s="60">
        <f t="shared" si="25"/>
        <v>0.91</v>
      </c>
      <c r="F1649" t="str" cm="1">
        <f t="array" ref="F1649">IF(A1649=MAX(IF(ROUND($B$2:$B$3722,4)=ROUND(B1649,4),$A$2:$A$3722)),"Efficient","Inefficient")</f>
        <v>Inefficient</v>
      </c>
    </row>
    <row r="1650" spans="1:6" x14ac:dyDescent="0.25">
      <c r="A1650" cm="1">
        <f t="array" ref="A1650">INDEX('Portfolio Weights Returns'!$B$9:$BJ$69,
INT((ROW(A1649)-1)/COLUMNS('Portfolio Weights Returns'!$B$9:$BJ$69))+1,MOD(ROW(A1649)-1,COLUMNS('Portfolio Weights Returns'!$B$9:$BJ$69))+1)</f>
        <v>-1.0106905188274221E-3</v>
      </c>
      <c r="B1650">
        <v>1.95E-2</v>
      </c>
      <c r="C1650" s="59">
        <v>-0.1</v>
      </c>
      <c r="D1650" s="59">
        <v>0.2</v>
      </c>
      <c r="E1650" s="60">
        <f t="shared" si="25"/>
        <v>0.9</v>
      </c>
      <c r="F1650" t="str" cm="1">
        <f t="array" ref="F1650">IF(A1650=MAX(IF(ROUND($B$2:$B$3722,4)=ROUND(B1650,4),$A$2:$A$3722)),"Efficient","Inefficient")</f>
        <v>Inefficient</v>
      </c>
    </row>
    <row r="1651" spans="1:6" x14ac:dyDescent="0.25">
      <c r="A1651" cm="1">
        <f t="array" ref="A1651">INDEX('Portfolio Weights Returns'!$B$9:$BJ$69,
INT((ROW(A1650)-1)/COLUMNS('Portfolio Weights Returns'!$B$9:$BJ$69))+1,MOD(ROW(A1650)-1,COLUMNS('Portfolio Weights Returns'!$B$9:$BJ$69))+1)</f>
        <v>-1.0039093448607429E-3</v>
      </c>
      <c r="B1651">
        <v>1.95E-2</v>
      </c>
      <c r="C1651" s="59">
        <v>-0.1</v>
      </c>
      <c r="D1651" s="59">
        <v>0.21</v>
      </c>
      <c r="E1651" s="60">
        <f t="shared" si="25"/>
        <v>0.89</v>
      </c>
      <c r="F1651" t="str" cm="1">
        <f t="array" ref="F1651">IF(A1651=MAX(IF(ROUND($B$2:$B$3722,4)=ROUND(B1651,4),$A$2:$A$3722)),"Efficient","Inefficient")</f>
        <v>Inefficient</v>
      </c>
    </row>
    <row r="1652" spans="1:6" x14ac:dyDescent="0.25">
      <c r="A1652" cm="1">
        <f t="array" ref="A1652">INDEX('Portfolio Weights Returns'!$B$9:$BJ$69,
INT((ROW(A1651)-1)/COLUMNS('Portfolio Weights Returns'!$B$9:$BJ$69))+1,MOD(ROW(A1651)-1,COLUMNS('Portfolio Weights Returns'!$B$9:$BJ$69))+1)</f>
        <v>-9.9712817089406378E-4</v>
      </c>
      <c r="B1652">
        <v>1.95E-2</v>
      </c>
      <c r="C1652" s="59">
        <v>-0.1</v>
      </c>
      <c r="D1652" s="59">
        <v>0.22</v>
      </c>
      <c r="E1652" s="60">
        <f t="shared" si="25"/>
        <v>0.88</v>
      </c>
      <c r="F1652" t="str" cm="1">
        <f t="array" ref="F1652">IF(A1652=MAX(IF(ROUND($B$2:$B$3722,4)=ROUND(B1652,4),$A$2:$A$3722)),"Efficient","Inefficient")</f>
        <v>Inefficient</v>
      </c>
    </row>
    <row r="1653" spans="1:6" x14ac:dyDescent="0.25">
      <c r="A1653" cm="1">
        <f t="array" ref="A1653">INDEX('Portfolio Weights Returns'!$B$9:$BJ$69,
INT((ROW(A1652)-1)/COLUMNS('Portfolio Weights Returns'!$B$9:$BJ$69))+1,MOD(ROW(A1652)-1,COLUMNS('Portfolio Weights Returns'!$B$9:$BJ$69))+1)</f>
        <v>-9.9034699692738463E-4</v>
      </c>
      <c r="B1653">
        <v>1.95E-2</v>
      </c>
      <c r="C1653" s="59">
        <v>-0.09</v>
      </c>
      <c r="D1653" s="59">
        <v>0.23</v>
      </c>
      <c r="E1653" s="60">
        <f t="shared" si="25"/>
        <v>0.86</v>
      </c>
      <c r="F1653" t="str" cm="1">
        <f t="array" ref="F1653">IF(A1653=MAX(IF(ROUND($B$2:$B$3722,4)=ROUND(B1653,4),$A$2:$A$3722)),"Efficient","Inefficient")</f>
        <v>Inefficient</v>
      </c>
    </row>
    <row r="1654" spans="1:6" x14ac:dyDescent="0.25">
      <c r="A1654" cm="1">
        <f t="array" ref="A1654">INDEX('Portfolio Weights Returns'!$B$9:$BJ$69,
INT((ROW(A1653)-1)/COLUMNS('Portfolio Weights Returns'!$B$9:$BJ$69))+1,MOD(ROW(A1653)-1,COLUMNS('Portfolio Weights Returns'!$B$9:$BJ$69))+1)</f>
        <v>-9.8356582296070549E-4</v>
      </c>
      <c r="B1654">
        <v>1.95E-2</v>
      </c>
      <c r="C1654" s="59">
        <v>-0.09</v>
      </c>
      <c r="D1654" s="59">
        <v>0.24</v>
      </c>
      <c r="E1654" s="60">
        <f t="shared" si="25"/>
        <v>0.85</v>
      </c>
      <c r="F1654" t="str" cm="1">
        <f t="array" ref="F1654">IF(A1654=MAX(IF(ROUND($B$2:$B$3722,4)=ROUND(B1654,4),$A$2:$A$3722)),"Efficient","Inefficient")</f>
        <v>Inefficient</v>
      </c>
    </row>
    <row r="1655" spans="1:6" x14ac:dyDescent="0.25">
      <c r="A1655" cm="1">
        <f t="array" ref="A1655">INDEX('Portfolio Weights Returns'!$B$9:$BJ$69,
INT((ROW(A1654)-1)/COLUMNS('Portfolio Weights Returns'!$B$9:$BJ$69))+1,MOD(ROW(A1654)-1,COLUMNS('Portfolio Weights Returns'!$B$9:$BJ$69))+1)</f>
        <v>-9.7678464899402656E-4</v>
      </c>
      <c r="B1655">
        <v>1.95E-2</v>
      </c>
      <c r="C1655" s="59">
        <v>-0.08</v>
      </c>
      <c r="D1655" s="59">
        <v>0.26</v>
      </c>
      <c r="E1655" s="60">
        <f t="shared" si="25"/>
        <v>0.82</v>
      </c>
      <c r="F1655" t="str" cm="1">
        <f t="array" ref="F1655">IF(A1655=MAX(IF(ROUND($B$2:$B$3722,4)=ROUND(B1655,4),$A$2:$A$3722)),"Efficient","Inefficient")</f>
        <v>Inefficient</v>
      </c>
    </row>
    <row r="1656" spans="1:6" x14ac:dyDescent="0.25">
      <c r="A1656" cm="1">
        <f t="array" ref="A1656">INDEX('Portfolio Weights Returns'!$B$9:$BJ$69,
INT((ROW(A1655)-1)/COLUMNS('Portfolio Weights Returns'!$B$9:$BJ$69))+1,MOD(ROW(A1655)-1,COLUMNS('Portfolio Weights Returns'!$B$9:$BJ$69))+1)</f>
        <v>-9.7000347502734742E-4</v>
      </c>
      <c r="B1656">
        <v>1.95E-2</v>
      </c>
      <c r="C1656" s="59">
        <v>-7.0000000000000007E-2</v>
      </c>
      <c r="D1656" s="59">
        <v>0.27</v>
      </c>
      <c r="E1656" s="60">
        <f t="shared" si="25"/>
        <v>0.8</v>
      </c>
      <c r="F1656" t="str" cm="1">
        <f t="array" ref="F1656">IF(A1656=MAX(IF(ROUND($B$2:$B$3722,4)=ROUND(B1656,4),$A$2:$A$3722)),"Efficient","Inefficient")</f>
        <v>Inefficient</v>
      </c>
    </row>
    <row r="1657" spans="1:6" x14ac:dyDescent="0.25">
      <c r="A1657" cm="1">
        <f t="array" ref="A1657">INDEX('Portfolio Weights Returns'!$B$9:$BJ$69,
INT((ROW(A1656)-1)/COLUMNS('Portfolio Weights Returns'!$B$9:$BJ$69))+1,MOD(ROW(A1656)-1,COLUMNS('Portfolio Weights Returns'!$B$9:$BJ$69))+1)</f>
        <v>-9.6322230106066827E-4</v>
      </c>
      <c r="B1657">
        <v>1.95E-2</v>
      </c>
      <c r="C1657" s="59">
        <v>-7.0000000000000007E-2</v>
      </c>
      <c r="D1657" s="59">
        <v>0.28000000000000003</v>
      </c>
      <c r="E1657" s="60">
        <f t="shared" si="25"/>
        <v>0.79</v>
      </c>
      <c r="F1657" t="str" cm="1">
        <f t="array" ref="F1657">IF(A1657=MAX(IF(ROUND($B$2:$B$3722,4)=ROUND(B1657,4),$A$2:$A$3722)),"Efficient","Inefficient")</f>
        <v>Inefficient</v>
      </c>
    </row>
    <row r="1658" spans="1:6" x14ac:dyDescent="0.25">
      <c r="A1658" cm="1">
        <f t="array" ref="A1658">INDEX('Portfolio Weights Returns'!$B$9:$BJ$69,
INT((ROW(A1657)-1)/COLUMNS('Portfolio Weights Returns'!$B$9:$BJ$69))+1,MOD(ROW(A1657)-1,COLUMNS('Portfolio Weights Returns'!$B$9:$BJ$69))+1)</f>
        <v>-9.5644112709398913E-4</v>
      </c>
      <c r="B1658">
        <v>1.95E-2</v>
      </c>
      <c r="C1658" s="59">
        <v>-0.06</v>
      </c>
      <c r="D1658" s="59">
        <v>0.28999999999999998</v>
      </c>
      <c r="E1658" s="60">
        <f t="shared" si="25"/>
        <v>0.77</v>
      </c>
      <c r="F1658" t="str" cm="1">
        <f t="array" ref="F1658">IF(A1658=MAX(IF(ROUND($B$2:$B$3722,4)=ROUND(B1658,4),$A$2:$A$3722)),"Efficient","Inefficient")</f>
        <v>Inefficient</v>
      </c>
    </row>
    <row r="1659" spans="1:6" x14ac:dyDescent="0.25">
      <c r="A1659" cm="1">
        <f t="array" ref="A1659">INDEX('Portfolio Weights Returns'!$B$9:$BJ$69,
INT((ROW(A1658)-1)/COLUMNS('Portfolio Weights Returns'!$B$9:$BJ$69))+1,MOD(ROW(A1658)-1,COLUMNS('Portfolio Weights Returns'!$B$9:$BJ$69))+1)</f>
        <v>-9.4965995312731009E-4</v>
      </c>
      <c r="B1659">
        <v>1.95E-2</v>
      </c>
      <c r="C1659" s="59">
        <v>-0.05</v>
      </c>
      <c r="D1659" s="59">
        <v>0.3</v>
      </c>
      <c r="E1659" s="60">
        <f t="shared" si="25"/>
        <v>0.75</v>
      </c>
      <c r="F1659" t="str" cm="1">
        <f t="array" ref="F1659">IF(A1659=MAX(IF(ROUND($B$2:$B$3722,4)=ROUND(B1659,4),$A$2:$A$3722)),"Efficient","Inefficient")</f>
        <v>Inefficient</v>
      </c>
    </row>
    <row r="1660" spans="1:6" x14ac:dyDescent="0.25">
      <c r="A1660" cm="1">
        <f t="array" ref="A1660">INDEX('Portfolio Weights Returns'!$B$9:$BJ$69,
INT((ROW(A1659)-1)/COLUMNS('Portfolio Weights Returns'!$B$9:$BJ$69))+1,MOD(ROW(A1659)-1,COLUMNS('Portfolio Weights Returns'!$B$9:$BJ$69))+1)</f>
        <v>-9.4287877916063095E-4</v>
      </c>
      <c r="B1660">
        <v>1.9599999999999999E-2</v>
      </c>
      <c r="C1660" s="59">
        <v>0.3</v>
      </c>
      <c r="D1660" s="59">
        <v>-0.25</v>
      </c>
      <c r="E1660" s="60">
        <f t="shared" si="25"/>
        <v>0.95</v>
      </c>
      <c r="F1660" t="str" cm="1">
        <f t="array" ref="F1660">IF(A1660=MAX(IF(ROUND($B$2:$B$3722,4)=ROUND(B1660,4),$A$2:$A$3722)),"Efficient","Inefficient")</f>
        <v>Inefficient</v>
      </c>
    </row>
    <row r="1661" spans="1:6" x14ac:dyDescent="0.25">
      <c r="A1661" cm="1">
        <f t="array" ref="A1661">INDEX('Portfolio Weights Returns'!$B$9:$BJ$69,
INT((ROW(A1660)-1)/COLUMNS('Portfolio Weights Returns'!$B$9:$BJ$69))+1,MOD(ROW(A1660)-1,COLUMNS('Portfolio Weights Returns'!$B$9:$BJ$69))+1)</f>
        <v>-9.360976051939518E-4</v>
      </c>
      <c r="B1661">
        <v>1.9599999999999999E-2</v>
      </c>
      <c r="C1661" s="59">
        <v>0.28000000000000003</v>
      </c>
      <c r="D1661" s="59">
        <v>-0.24</v>
      </c>
      <c r="E1661" s="60">
        <f t="shared" si="25"/>
        <v>0.96</v>
      </c>
      <c r="F1661" t="str" cm="1">
        <f t="array" ref="F1661">IF(A1661=MAX(IF(ROUND($B$2:$B$3722,4)=ROUND(B1661,4),$A$2:$A$3722)),"Efficient","Inefficient")</f>
        <v>Inefficient</v>
      </c>
    </row>
    <row r="1662" spans="1:6" x14ac:dyDescent="0.25">
      <c r="A1662" cm="1">
        <f t="array" ref="A1662">INDEX('Portfolio Weights Returns'!$B$9:$BJ$69,
INT((ROW(A1661)-1)/COLUMNS('Portfolio Weights Returns'!$B$9:$BJ$69))+1,MOD(ROW(A1661)-1,COLUMNS('Portfolio Weights Returns'!$B$9:$BJ$69))+1)</f>
        <v>-9.2931643122727266E-4</v>
      </c>
      <c r="B1662">
        <v>1.9599999999999999E-2</v>
      </c>
      <c r="C1662" s="59">
        <v>0.25</v>
      </c>
      <c r="D1662" s="59">
        <v>-0.22</v>
      </c>
      <c r="E1662" s="60">
        <f t="shared" si="25"/>
        <v>0.97</v>
      </c>
      <c r="F1662" t="str" cm="1">
        <f t="array" ref="F1662">IF(A1662=MAX(IF(ROUND($B$2:$B$3722,4)=ROUND(B1662,4),$A$2:$A$3722)),"Efficient","Inefficient")</f>
        <v>Inefficient</v>
      </c>
    </row>
    <row r="1663" spans="1:6" x14ac:dyDescent="0.25">
      <c r="A1663" cm="1">
        <f t="array" ref="A1663">INDEX('Portfolio Weights Returns'!$B$9:$BJ$69,
INT((ROW(A1662)-1)/COLUMNS('Portfolio Weights Returns'!$B$9:$BJ$69))+1,MOD(ROW(A1662)-1,COLUMNS('Portfolio Weights Returns'!$B$9:$BJ$69))+1)</f>
        <v>-9.2253525726059362E-4</v>
      </c>
      <c r="B1663">
        <v>1.9599999999999999E-2</v>
      </c>
      <c r="C1663" s="59">
        <v>0.23</v>
      </c>
      <c r="D1663" s="59">
        <v>-0.21</v>
      </c>
      <c r="E1663" s="60">
        <f t="shared" si="25"/>
        <v>0.98</v>
      </c>
      <c r="F1663" t="str" cm="1">
        <f t="array" ref="F1663">IF(A1663=MAX(IF(ROUND($B$2:$B$3722,4)=ROUND(B1663,4),$A$2:$A$3722)),"Efficient","Inefficient")</f>
        <v>Inefficient</v>
      </c>
    </row>
    <row r="1664" spans="1:6" x14ac:dyDescent="0.25">
      <c r="A1664" cm="1">
        <f t="array" ref="A1664">INDEX('Portfolio Weights Returns'!$B$9:$BJ$69,
INT((ROW(A1663)-1)/COLUMNS('Portfolio Weights Returns'!$B$9:$BJ$69))+1,MOD(ROW(A1663)-1,COLUMNS('Portfolio Weights Returns'!$B$9:$BJ$69))+1)</f>
        <v>-9.1575408329391448E-4</v>
      </c>
      <c r="B1664">
        <v>1.9599999999999999E-2</v>
      </c>
      <c r="C1664" s="59">
        <v>0.21</v>
      </c>
      <c r="D1664" s="59">
        <v>-0.2</v>
      </c>
      <c r="E1664" s="60">
        <f t="shared" si="25"/>
        <v>0.99</v>
      </c>
      <c r="F1664" t="str" cm="1">
        <f t="array" ref="F1664">IF(A1664=MAX(IF(ROUND($B$2:$B$3722,4)=ROUND(B1664,4),$A$2:$A$3722)),"Efficient","Inefficient")</f>
        <v>Inefficient</v>
      </c>
    </row>
    <row r="1665" spans="1:6" x14ac:dyDescent="0.25">
      <c r="A1665" cm="1">
        <f t="array" ref="A1665">INDEX('Portfolio Weights Returns'!$B$9:$BJ$69,
INT((ROW(A1664)-1)/COLUMNS('Portfolio Weights Returns'!$B$9:$BJ$69))+1,MOD(ROW(A1664)-1,COLUMNS('Portfolio Weights Returns'!$B$9:$BJ$69))+1)</f>
        <v>-9.0897290932723555E-4</v>
      </c>
      <c r="B1665">
        <v>1.9599999999999999E-2</v>
      </c>
      <c r="C1665" s="59">
        <v>0.18</v>
      </c>
      <c r="D1665" s="59">
        <v>-0.18</v>
      </c>
      <c r="E1665" s="60">
        <f t="shared" si="25"/>
        <v>1</v>
      </c>
      <c r="F1665" t="str" cm="1">
        <f t="array" ref="F1665">IF(A1665=MAX(IF(ROUND($B$2:$B$3722,4)=ROUND(B1665,4),$A$2:$A$3722)),"Efficient","Inefficient")</f>
        <v>Inefficient</v>
      </c>
    </row>
    <row r="1666" spans="1:6" x14ac:dyDescent="0.25">
      <c r="A1666" cm="1">
        <f t="array" ref="A1666">INDEX('Portfolio Weights Returns'!$B$9:$BJ$69,
INT((ROW(A1665)-1)/COLUMNS('Portfolio Weights Returns'!$B$9:$BJ$69))+1,MOD(ROW(A1665)-1,COLUMNS('Portfolio Weights Returns'!$B$9:$BJ$69))+1)</f>
        <v>-9.021917353605563E-4</v>
      </c>
      <c r="B1666">
        <v>1.9599999999999999E-2</v>
      </c>
      <c r="C1666" s="59">
        <v>0.16</v>
      </c>
      <c r="D1666" s="59">
        <v>-0.17</v>
      </c>
      <c r="E1666" s="60">
        <f t="shared" ref="E1666:E1729" si="26">1-D1666-C1666</f>
        <v>1.01</v>
      </c>
      <c r="F1666" t="str" cm="1">
        <f t="array" ref="F1666">IF(A1666=MAX(IF(ROUND($B$2:$B$3722,4)=ROUND(B1666,4),$A$2:$A$3722)),"Efficient","Inefficient")</f>
        <v>Inefficient</v>
      </c>
    </row>
    <row r="1667" spans="1:6" x14ac:dyDescent="0.25">
      <c r="A1667" cm="1">
        <f t="array" ref="A1667">INDEX('Portfolio Weights Returns'!$B$9:$BJ$69,
INT((ROW(A1666)-1)/COLUMNS('Portfolio Weights Returns'!$B$9:$BJ$69))+1,MOD(ROW(A1666)-1,COLUMNS('Portfolio Weights Returns'!$B$9:$BJ$69))+1)</f>
        <v>-8.9541056139387726E-4</v>
      </c>
      <c r="B1667">
        <v>1.9599999999999999E-2</v>
      </c>
      <c r="C1667" s="59">
        <v>0.15</v>
      </c>
      <c r="D1667" s="59">
        <v>-0.16</v>
      </c>
      <c r="E1667" s="60">
        <f t="shared" si="26"/>
        <v>1.01</v>
      </c>
      <c r="F1667" t="str" cm="1">
        <f t="array" ref="F1667">IF(A1667=MAX(IF(ROUND($B$2:$B$3722,4)=ROUND(B1667,4),$A$2:$A$3722)),"Efficient","Inefficient")</f>
        <v>Inefficient</v>
      </c>
    </row>
    <row r="1668" spans="1:6" x14ac:dyDescent="0.25">
      <c r="A1668" cm="1">
        <f t="array" ref="A1668">INDEX('Portfolio Weights Returns'!$B$9:$BJ$69,
INT((ROW(A1667)-1)/COLUMNS('Portfolio Weights Returns'!$B$9:$BJ$69))+1,MOD(ROW(A1667)-1,COLUMNS('Portfolio Weights Returns'!$B$9:$BJ$69))+1)</f>
        <v>-8.8862938742719823E-4</v>
      </c>
      <c r="B1668">
        <v>1.9599999999999999E-2</v>
      </c>
      <c r="C1668" s="59">
        <v>0.12</v>
      </c>
      <c r="D1668" s="59">
        <v>-0.14000000000000001</v>
      </c>
      <c r="E1668" s="60">
        <f t="shared" si="26"/>
        <v>1.02</v>
      </c>
      <c r="F1668" t="str" cm="1">
        <f t="array" ref="F1668">IF(A1668=MAX(IF(ROUND($B$2:$B$3722,4)=ROUND(B1668,4),$A$2:$A$3722)),"Efficient","Inefficient")</f>
        <v>Inefficient</v>
      </c>
    </row>
    <row r="1669" spans="1:6" x14ac:dyDescent="0.25">
      <c r="A1669" cm="1">
        <f t="array" ref="A1669">INDEX('Portfolio Weights Returns'!$B$9:$BJ$69,
INT((ROW(A1668)-1)/COLUMNS('Portfolio Weights Returns'!$B$9:$BJ$69))+1,MOD(ROW(A1668)-1,COLUMNS('Portfolio Weights Returns'!$B$9:$BJ$69))+1)</f>
        <v>-8.8184821346051908E-4</v>
      </c>
      <c r="B1669">
        <v>1.9599999999999999E-2</v>
      </c>
      <c r="C1669" s="59">
        <v>0.09</v>
      </c>
      <c r="D1669" s="59">
        <v>-0.12</v>
      </c>
      <c r="E1669" s="60">
        <f t="shared" si="26"/>
        <v>1.03</v>
      </c>
      <c r="F1669" t="str" cm="1">
        <f t="array" ref="F1669">IF(A1669=MAX(IF(ROUND($B$2:$B$3722,4)=ROUND(B1669,4),$A$2:$A$3722)),"Efficient","Inefficient")</f>
        <v>Inefficient</v>
      </c>
    </row>
    <row r="1670" spans="1:6" x14ac:dyDescent="0.25">
      <c r="A1670" cm="1">
        <f t="array" ref="A1670">INDEX('Portfolio Weights Returns'!$B$9:$BJ$69,
INT((ROW(A1669)-1)/COLUMNS('Portfolio Weights Returns'!$B$9:$BJ$69))+1,MOD(ROW(A1669)-1,COLUMNS('Portfolio Weights Returns'!$B$9:$BJ$69))+1)</f>
        <v>-8.7506703949384004E-4</v>
      </c>
      <c r="B1670">
        <v>1.9599999999999999E-2</v>
      </c>
      <c r="C1670" s="59">
        <v>0.08</v>
      </c>
      <c r="D1670" s="59">
        <v>-0.11</v>
      </c>
      <c r="E1670" s="60">
        <f t="shared" si="26"/>
        <v>1.03</v>
      </c>
      <c r="F1670" t="str" cm="1">
        <f t="array" ref="F1670">IF(A1670=MAX(IF(ROUND($B$2:$B$3722,4)=ROUND(B1670,4),$A$2:$A$3722)),"Efficient","Inefficient")</f>
        <v>Inefficient</v>
      </c>
    </row>
    <row r="1671" spans="1:6" x14ac:dyDescent="0.25">
      <c r="A1671" cm="1">
        <f t="array" ref="A1671">INDEX('Portfolio Weights Returns'!$B$9:$BJ$69,
INT((ROW(A1670)-1)/COLUMNS('Portfolio Weights Returns'!$B$9:$BJ$69))+1,MOD(ROW(A1670)-1,COLUMNS('Portfolio Weights Returns'!$B$9:$BJ$69))+1)</f>
        <v>-8.682858655271609E-4</v>
      </c>
      <c r="B1671">
        <v>1.9599999999999999E-2</v>
      </c>
      <c r="C1671" s="59">
        <v>7.0000000000000007E-2</v>
      </c>
      <c r="D1671" s="59">
        <v>-0.1</v>
      </c>
      <c r="E1671" s="60">
        <f t="shared" si="26"/>
        <v>1.03</v>
      </c>
      <c r="F1671" t="str" cm="1">
        <f t="array" ref="F1671">IF(A1671=MAX(IF(ROUND($B$2:$B$3722,4)=ROUND(B1671,4),$A$2:$A$3722)),"Efficient","Inefficient")</f>
        <v>Inefficient</v>
      </c>
    </row>
    <row r="1672" spans="1:6" x14ac:dyDescent="0.25">
      <c r="A1672" cm="1">
        <f t="array" ref="A1672">INDEX('Portfolio Weights Returns'!$B$9:$BJ$69,
INT((ROW(A1671)-1)/COLUMNS('Portfolio Weights Returns'!$B$9:$BJ$69))+1,MOD(ROW(A1671)-1,COLUMNS('Portfolio Weights Returns'!$B$9:$BJ$69))+1)</f>
        <v>-8.6150469156048176E-4</v>
      </c>
      <c r="B1672">
        <v>1.9599999999999999E-2</v>
      </c>
      <c r="C1672" s="59">
        <v>-0.02</v>
      </c>
      <c r="D1672" s="59">
        <v>-0.01</v>
      </c>
      <c r="E1672" s="60">
        <f t="shared" si="26"/>
        <v>1.03</v>
      </c>
      <c r="F1672" t="str" cm="1">
        <f t="array" ref="F1672">IF(A1672=MAX(IF(ROUND($B$2:$B$3722,4)=ROUND(B1672,4),$A$2:$A$3722)),"Efficient","Inefficient")</f>
        <v>Inefficient</v>
      </c>
    </row>
    <row r="1673" spans="1:6" x14ac:dyDescent="0.25">
      <c r="A1673" cm="1">
        <f t="array" ref="A1673">INDEX('Portfolio Weights Returns'!$B$9:$BJ$69,
INT((ROW(A1672)-1)/COLUMNS('Portfolio Weights Returns'!$B$9:$BJ$69))+1,MOD(ROW(A1672)-1,COLUMNS('Portfolio Weights Returns'!$B$9:$BJ$69))+1)</f>
        <v>-8.5472351759380261E-4</v>
      </c>
      <c r="B1673">
        <v>1.9599999999999999E-2</v>
      </c>
      <c r="C1673" s="59">
        <v>-0.03</v>
      </c>
      <c r="D1673" s="59">
        <v>0</v>
      </c>
      <c r="E1673" s="60">
        <f t="shared" si="26"/>
        <v>1.03</v>
      </c>
      <c r="F1673" t="str" cm="1">
        <f t="array" ref="F1673">IF(A1673=MAX(IF(ROUND($B$2:$B$3722,4)=ROUND(B1673,4),$A$2:$A$3722)),"Efficient","Inefficient")</f>
        <v>Inefficient</v>
      </c>
    </row>
    <row r="1674" spans="1:6" x14ac:dyDescent="0.25">
      <c r="A1674" cm="1">
        <f t="array" ref="A1674">INDEX('Portfolio Weights Returns'!$B$9:$BJ$69,
INT((ROW(A1673)-1)/COLUMNS('Portfolio Weights Returns'!$B$9:$BJ$69))+1,MOD(ROW(A1673)-1,COLUMNS('Portfolio Weights Returns'!$B$9:$BJ$69))+1)</f>
        <v>-8.4794234362712358E-4</v>
      </c>
      <c r="B1674">
        <v>1.9599999999999999E-2</v>
      </c>
      <c r="C1674" s="59">
        <v>-0.04</v>
      </c>
      <c r="D1674" s="59">
        <v>0.01</v>
      </c>
      <c r="E1674" s="60">
        <f t="shared" si="26"/>
        <v>1.03</v>
      </c>
      <c r="F1674" t="str" cm="1">
        <f t="array" ref="F1674">IF(A1674=MAX(IF(ROUND($B$2:$B$3722,4)=ROUND(B1674,4),$A$2:$A$3722)),"Efficient","Inefficient")</f>
        <v>Inefficient</v>
      </c>
    </row>
    <row r="1675" spans="1:6" x14ac:dyDescent="0.25">
      <c r="A1675" cm="1">
        <f t="array" ref="A1675">INDEX('Portfolio Weights Returns'!$B$9:$BJ$69,
INT((ROW(A1674)-1)/COLUMNS('Portfolio Weights Returns'!$B$9:$BJ$69))+1,MOD(ROW(A1674)-1,COLUMNS('Portfolio Weights Returns'!$B$9:$BJ$69))+1)</f>
        <v>-8.4116116966044443E-4</v>
      </c>
      <c r="B1675">
        <v>1.9599999999999999E-2</v>
      </c>
      <c r="C1675" s="59">
        <v>-0.05</v>
      </c>
      <c r="D1675" s="59">
        <v>0.02</v>
      </c>
      <c r="E1675" s="60">
        <f t="shared" si="26"/>
        <v>1.03</v>
      </c>
      <c r="F1675" t="str" cm="1">
        <f t="array" ref="F1675">IF(A1675=MAX(IF(ROUND($B$2:$B$3722,4)=ROUND(B1675,4),$A$2:$A$3722)),"Efficient","Inefficient")</f>
        <v>Inefficient</v>
      </c>
    </row>
    <row r="1676" spans="1:6" x14ac:dyDescent="0.25">
      <c r="A1676" cm="1">
        <f t="array" ref="A1676">INDEX('Portfolio Weights Returns'!$B$9:$BJ$69,
INT((ROW(A1675)-1)/COLUMNS('Portfolio Weights Returns'!$B$9:$BJ$69))+1,MOD(ROW(A1675)-1,COLUMNS('Portfolio Weights Returns'!$B$9:$BJ$69))+1)</f>
        <v>-8.343799956937654E-4</v>
      </c>
      <c r="B1676">
        <v>1.9599999999999999E-2</v>
      </c>
      <c r="C1676" s="59">
        <v>-0.06</v>
      </c>
      <c r="D1676" s="59">
        <v>0.04</v>
      </c>
      <c r="E1676" s="60">
        <f t="shared" si="26"/>
        <v>1.02</v>
      </c>
      <c r="F1676" t="str" cm="1">
        <f t="array" ref="F1676">IF(A1676=MAX(IF(ROUND($B$2:$B$3722,4)=ROUND(B1676,4),$A$2:$A$3722)),"Efficient","Inefficient")</f>
        <v>Inefficient</v>
      </c>
    </row>
    <row r="1677" spans="1:6" x14ac:dyDescent="0.25">
      <c r="A1677" cm="1">
        <f t="array" ref="A1677">INDEX('Portfolio Weights Returns'!$B$9:$BJ$69,
INT((ROW(A1676)-1)/COLUMNS('Portfolio Weights Returns'!$B$9:$BJ$69))+1,MOD(ROW(A1676)-1,COLUMNS('Portfolio Weights Returns'!$B$9:$BJ$69))+1)</f>
        <v>-8.2759882172708625E-4</v>
      </c>
      <c r="B1677">
        <v>1.9599999999999999E-2</v>
      </c>
      <c r="C1677" s="59">
        <v>-7.0000000000000007E-2</v>
      </c>
      <c r="D1677" s="59">
        <v>0.06</v>
      </c>
      <c r="E1677" s="60">
        <f t="shared" si="26"/>
        <v>1.01</v>
      </c>
      <c r="F1677" t="str" cm="1">
        <f t="array" ref="F1677">IF(A1677=MAX(IF(ROUND($B$2:$B$3722,4)=ROUND(B1677,4),$A$2:$A$3722)),"Efficient","Inefficient")</f>
        <v>Inefficient</v>
      </c>
    </row>
    <row r="1678" spans="1:6" x14ac:dyDescent="0.25">
      <c r="A1678" cm="1">
        <f t="array" ref="A1678">INDEX('Portfolio Weights Returns'!$B$9:$BJ$69,
INT((ROW(A1677)-1)/COLUMNS('Portfolio Weights Returns'!$B$9:$BJ$69))+1,MOD(ROW(A1677)-1,COLUMNS('Portfolio Weights Returns'!$B$9:$BJ$69))+1)</f>
        <v>-8.2081764776040711E-4</v>
      </c>
      <c r="B1678">
        <v>1.9599999999999999E-2</v>
      </c>
      <c r="C1678" s="59">
        <v>-0.08</v>
      </c>
      <c r="D1678" s="59">
        <v>7.0000000000000007E-2</v>
      </c>
      <c r="E1678" s="60">
        <f t="shared" si="26"/>
        <v>1.01</v>
      </c>
      <c r="F1678" t="str" cm="1">
        <f t="array" ref="F1678">IF(A1678=MAX(IF(ROUND($B$2:$B$3722,4)=ROUND(B1678,4),$A$2:$A$3722)),"Efficient","Inefficient")</f>
        <v>Inefficient</v>
      </c>
    </row>
    <row r="1679" spans="1:6" x14ac:dyDescent="0.25">
      <c r="A1679" cm="1">
        <f t="array" ref="A1679">INDEX('Portfolio Weights Returns'!$B$9:$BJ$69,
INT((ROW(A1678)-1)/COLUMNS('Portfolio Weights Returns'!$B$9:$BJ$69))+1,MOD(ROW(A1678)-1,COLUMNS('Portfolio Weights Returns'!$B$9:$BJ$69))+1)</f>
        <v>-8.1403647379372796E-4</v>
      </c>
      <c r="B1679">
        <v>1.9599999999999999E-2</v>
      </c>
      <c r="C1679" s="59">
        <v>-0.08</v>
      </c>
      <c r="D1679" s="59">
        <v>0.08</v>
      </c>
      <c r="E1679" s="60">
        <f t="shared" si="26"/>
        <v>1</v>
      </c>
      <c r="F1679" t="str" cm="1">
        <f t="array" ref="F1679">IF(A1679=MAX(IF(ROUND($B$2:$B$3722,4)=ROUND(B1679,4),$A$2:$A$3722)),"Efficient","Inefficient")</f>
        <v>Inefficient</v>
      </c>
    </row>
    <row r="1680" spans="1:6" x14ac:dyDescent="0.25">
      <c r="A1680" cm="1">
        <f t="array" ref="A1680">INDEX('Portfolio Weights Returns'!$B$9:$BJ$69,
INT((ROW(A1679)-1)/COLUMNS('Portfolio Weights Returns'!$B$9:$BJ$69))+1,MOD(ROW(A1679)-1,COLUMNS('Portfolio Weights Returns'!$B$9:$BJ$69))+1)</f>
        <v>-8.0725529982704882E-4</v>
      </c>
      <c r="B1680">
        <v>1.9599999999999999E-2</v>
      </c>
      <c r="C1680" s="59">
        <v>-0.09</v>
      </c>
      <c r="D1680" s="59">
        <v>0.09</v>
      </c>
      <c r="E1680" s="60">
        <f t="shared" si="26"/>
        <v>1</v>
      </c>
      <c r="F1680" t="str" cm="1">
        <f t="array" ref="F1680">IF(A1680=MAX(IF(ROUND($B$2:$B$3722,4)=ROUND(B1680,4),$A$2:$A$3722)),"Efficient","Inefficient")</f>
        <v>Inefficient</v>
      </c>
    </row>
    <row r="1681" spans="1:6" x14ac:dyDescent="0.25">
      <c r="A1681" cm="1">
        <f t="array" ref="A1681">INDEX('Portfolio Weights Returns'!$B$9:$BJ$69,
INT((ROW(A1680)-1)/COLUMNS('Portfolio Weights Returns'!$B$9:$BJ$69))+1,MOD(ROW(A1680)-1,COLUMNS('Portfolio Weights Returns'!$B$9:$BJ$69))+1)</f>
        <v>-8.0047412586036978E-4</v>
      </c>
      <c r="B1681">
        <v>1.9599999999999999E-2</v>
      </c>
      <c r="C1681" s="59">
        <v>-0.09</v>
      </c>
      <c r="D1681" s="59">
        <v>0.1</v>
      </c>
      <c r="E1681" s="60">
        <f t="shared" si="26"/>
        <v>0.99</v>
      </c>
      <c r="F1681" t="str" cm="1">
        <f t="array" ref="F1681">IF(A1681=MAX(IF(ROUND($B$2:$B$3722,4)=ROUND(B1681,4),$A$2:$A$3722)),"Efficient","Inefficient")</f>
        <v>Inefficient</v>
      </c>
    </row>
    <row r="1682" spans="1:6" x14ac:dyDescent="0.25">
      <c r="A1682" cm="1">
        <f t="array" ref="A1682">INDEX('Portfolio Weights Returns'!$B$9:$BJ$69,
INT((ROW(A1681)-1)/COLUMNS('Portfolio Weights Returns'!$B$9:$BJ$69))+1,MOD(ROW(A1681)-1,COLUMNS('Portfolio Weights Returns'!$B$9:$BJ$69))+1)</f>
        <v>-7.9369295189369064E-4</v>
      </c>
      <c r="B1682">
        <v>1.9599999999999999E-2</v>
      </c>
      <c r="C1682" s="59">
        <v>-0.1</v>
      </c>
      <c r="D1682" s="59">
        <v>0.12</v>
      </c>
      <c r="E1682" s="60">
        <f t="shared" si="26"/>
        <v>0.98</v>
      </c>
      <c r="F1682" t="str" cm="1">
        <f t="array" ref="F1682">IF(A1682=MAX(IF(ROUND($B$2:$B$3722,4)=ROUND(B1682,4),$A$2:$A$3722)),"Efficient","Inefficient")</f>
        <v>Inefficient</v>
      </c>
    </row>
    <row r="1683" spans="1:6" x14ac:dyDescent="0.25">
      <c r="A1683" cm="1">
        <f t="array" ref="A1683">INDEX('Portfolio Weights Returns'!$B$9:$BJ$69,
INT((ROW(A1682)-1)/COLUMNS('Portfolio Weights Returns'!$B$9:$BJ$69))+1,MOD(ROW(A1682)-1,COLUMNS('Portfolio Weights Returns'!$B$9:$BJ$69))+1)</f>
        <v>-7.869117779270116E-4</v>
      </c>
      <c r="B1683">
        <v>1.9599999999999999E-2</v>
      </c>
      <c r="C1683" s="59">
        <v>-0.1</v>
      </c>
      <c r="D1683" s="59">
        <v>0.13</v>
      </c>
      <c r="E1683" s="60">
        <f t="shared" si="26"/>
        <v>0.97</v>
      </c>
      <c r="F1683" t="str" cm="1">
        <f t="array" ref="F1683">IF(A1683=MAX(IF(ROUND($B$2:$B$3722,4)=ROUND(B1683,4),$A$2:$A$3722)),"Efficient","Inefficient")</f>
        <v>Inefficient</v>
      </c>
    </row>
    <row r="1684" spans="1:6" x14ac:dyDescent="0.25">
      <c r="A1684" cm="1">
        <f t="array" ref="A1684">INDEX('Portfolio Weights Returns'!$B$9:$BJ$69,
INT((ROW(A1683)-1)/COLUMNS('Portfolio Weights Returns'!$B$9:$BJ$69))+1,MOD(ROW(A1683)-1,COLUMNS('Portfolio Weights Returns'!$B$9:$BJ$69))+1)</f>
        <v>-7.8013060396033246E-4</v>
      </c>
      <c r="B1684">
        <v>1.9599999999999999E-2</v>
      </c>
      <c r="C1684" s="59">
        <v>-0.11</v>
      </c>
      <c r="D1684" s="59">
        <v>0.16</v>
      </c>
      <c r="E1684" s="60">
        <f t="shared" si="26"/>
        <v>0.95</v>
      </c>
      <c r="F1684" t="str" cm="1">
        <f t="array" ref="F1684">IF(A1684=MAX(IF(ROUND($B$2:$B$3722,4)=ROUND(B1684,4),$A$2:$A$3722)),"Efficient","Inefficient")</f>
        <v>Inefficient</v>
      </c>
    </row>
    <row r="1685" spans="1:6" x14ac:dyDescent="0.25">
      <c r="A1685" cm="1">
        <f t="array" ref="A1685">INDEX('Portfolio Weights Returns'!$B$9:$BJ$69,
INT((ROW(A1684)-1)/COLUMNS('Portfolio Weights Returns'!$B$9:$BJ$69))+1,MOD(ROW(A1684)-1,COLUMNS('Portfolio Weights Returns'!$B$9:$BJ$69))+1)</f>
        <v>-7.7334942999365342E-4</v>
      </c>
      <c r="B1685">
        <v>1.9599999999999999E-2</v>
      </c>
      <c r="C1685" s="59">
        <v>-0.11</v>
      </c>
      <c r="D1685" s="59">
        <v>0.17</v>
      </c>
      <c r="E1685" s="60">
        <f t="shared" si="26"/>
        <v>0.94</v>
      </c>
      <c r="F1685" t="str" cm="1">
        <f t="array" ref="F1685">IF(A1685=MAX(IF(ROUND($B$2:$B$3722,4)=ROUND(B1685,4),$A$2:$A$3722)),"Efficient","Inefficient")</f>
        <v>Inefficient</v>
      </c>
    </row>
    <row r="1686" spans="1:6" x14ac:dyDescent="0.25">
      <c r="A1686" cm="1">
        <f t="array" ref="A1686">INDEX('Portfolio Weights Returns'!$B$9:$BJ$69,
INT((ROW(A1685)-1)/COLUMNS('Portfolio Weights Returns'!$B$9:$BJ$69))+1,MOD(ROW(A1685)-1,COLUMNS('Portfolio Weights Returns'!$B$9:$BJ$69))+1)</f>
        <v>-7.6656825602697417E-4</v>
      </c>
      <c r="B1686">
        <v>1.9599999999999999E-2</v>
      </c>
      <c r="C1686" s="59">
        <v>-0.11</v>
      </c>
      <c r="D1686" s="59">
        <v>0.18</v>
      </c>
      <c r="E1686" s="60">
        <f t="shared" si="26"/>
        <v>0.93</v>
      </c>
      <c r="F1686" t="str" cm="1">
        <f t="array" ref="F1686">IF(A1686=MAX(IF(ROUND($B$2:$B$3722,4)=ROUND(B1686,4),$A$2:$A$3722)),"Efficient","Inefficient")</f>
        <v>Inefficient</v>
      </c>
    </row>
    <row r="1687" spans="1:6" x14ac:dyDescent="0.25">
      <c r="A1687" cm="1">
        <f t="array" ref="A1687">INDEX('Portfolio Weights Returns'!$B$9:$BJ$69,
INT((ROW(A1686)-1)/COLUMNS('Portfolio Weights Returns'!$B$9:$BJ$69))+1,MOD(ROW(A1686)-1,COLUMNS('Portfolio Weights Returns'!$B$9:$BJ$69))+1)</f>
        <v>-7.5978708206029513E-4</v>
      </c>
      <c r="B1687">
        <v>1.9599999999999999E-2</v>
      </c>
      <c r="C1687" s="59">
        <v>-0.11</v>
      </c>
      <c r="D1687" s="59">
        <v>0.19</v>
      </c>
      <c r="E1687" s="60">
        <f t="shared" si="26"/>
        <v>0.92</v>
      </c>
      <c r="F1687" t="str" cm="1">
        <f t="array" ref="F1687">IF(A1687=MAX(IF(ROUND($B$2:$B$3722,4)=ROUND(B1687,4),$A$2:$A$3722)),"Efficient","Inefficient")</f>
        <v>Inefficient</v>
      </c>
    </row>
    <row r="1688" spans="1:6" x14ac:dyDescent="0.25">
      <c r="A1688" cm="1">
        <f t="array" ref="A1688">INDEX('Portfolio Weights Returns'!$B$9:$BJ$69,
INT((ROW(A1687)-1)/COLUMNS('Portfolio Weights Returns'!$B$9:$BJ$69))+1,MOD(ROW(A1687)-1,COLUMNS('Portfolio Weights Returns'!$B$9:$BJ$69))+1)</f>
        <v>-7.530059080936161E-4</v>
      </c>
      <c r="B1688">
        <v>1.9599999999999999E-2</v>
      </c>
      <c r="C1688" s="59">
        <v>-0.11</v>
      </c>
      <c r="D1688" s="59">
        <v>0.2</v>
      </c>
      <c r="E1688" s="60">
        <f t="shared" si="26"/>
        <v>0.91</v>
      </c>
      <c r="F1688" t="str" cm="1">
        <f t="array" ref="F1688">IF(A1688=MAX(IF(ROUND($B$2:$B$3722,4)=ROUND(B1688,4),$A$2:$A$3722)),"Efficient","Inefficient")</f>
        <v>Inefficient</v>
      </c>
    </row>
    <row r="1689" spans="1:6" x14ac:dyDescent="0.25">
      <c r="A1689" cm="1">
        <f t="array" ref="A1689">INDEX('Portfolio Weights Returns'!$B$9:$BJ$69,
INT((ROW(A1688)-1)/COLUMNS('Portfolio Weights Returns'!$B$9:$BJ$69))+1,MOD(ROW(A1688)-1,COLUMNS('Portfolio Weights Returns'!$B$9:$BJ$69))+1)</f>
        <v>-7.4622473412693695E-4</v>
      </c>
      <c r="B1689">
        <v>1.9599999999999999E-2</v>
      </c>
      <c r="C1689" s="59">
        <v>-0.11</v>
      </c>
      <c r="D1689" s="59">
        <v>0.21</v>
      </c>
      <c r="E1689" s="60">
        <f t="shared" si="26"/>
        <v>0.9</v>
      </c>
      <c r="F1689" t="str" cm="1">
        <f t="array" ref="F1689">IF(A1689=MAX(IF(ROUND($B$2:$B$3722,4)=ROUND(B1689,4),$A$2:$A$3722)),"Efficient","Inefficient")</f>
        <v>Inefficient</v>
      </c>
    </row>
    <row r="1690" spans="1:6" x14ac:dyDescent="0.25">
      <c r="A1690" cm="1">
        <f t="array" ref="A1690">INDEX('Portfolio Weights Returns'!$B$9:$BJ$69,
INT((ROW(A1689)-1)/COLUMNS('Portfolio Weights Returns'!$B$9:$BJ$69))+1,MOD(ROW(A1689)-1,COLUMNS('Portfolio Weights Returns'!$B$9:$BJ$69))+1)</f>
        <v>-7.3944356016025792E-4</v>
      </c>
      <c r="B1690">
        <v>1.9599999999999999E-2</v>
      </c>
      <c r="C1690" s="59">
        <v>-0.1</v>
      </c>
      <c r="D1690" s="59">
        <v>0.23</v>
      </c>
      <c r="E1690" s="60">
        <f t="shared" si="26"/>
        <v>0.87</v>
      </c>
      <c r="F1690" t="str" cm="1">
        <f t="array" ref="F1690">IF(A1690=MAX(IF(ROUND($B$2:$B$3722,4)=ROUND(B1690,4),$A$2:$A$3722)),"Efficient","Inefficient")</f>
        <v>Inefficient</v>
      </c>
    </row>
    <row r="1691" spans="1:6" x14ac:dyDescent="0.25">
      <c r="A1691" cm="1">
        <f t="array" ref="A1691">INDEX('Portfolio Weights Returns'!$B$9:$BJ$69,
INT((ROW(A1690)-1)/COLUMNS('Portfolio Weights Returns'!$B$9:$BJ$69))+1,MOD(ROW(A1690)-1,COLUMNS('Portfolio Weights Returns'!$B$9:$BJ$69))+1)</f>
        <v>-7.3266238619357877E-4</v>
      </c>
      <c r="B1691">
        <v>1.9599999999999999E-2</v>
      </c>
      <c r="C1691" s="59">
        <v>-0.1</v>
      </c>
      <c r="D1691" s="59">
        <v>0.24</v>
      </c>
      <c r="E1691" s="60">
        <f t="shared" si="26"/>
        <v>0.86</v>
      </c>
      <c r="F1691" t="str" cm="1">
        <f t="array" ref="F1691">IF(A1691=MAX(IF(ROUND($B$2:$B$3722,4)=ROUND(B1691,4),$A$2:$A$3722)),"Efficient","Inefficient")</f>
        <v>Inefficient</v>
      </c>
    </row>
    <row r="1692" spans="1:6" x14ac:dyDescent="0.25">
      <c r="A1692" cm="1">
        <f t="array" ref="A1692">INDEX('Portfolio Weights Returns'!$B$9:$BJ$69,
INT((ROW(A1691)-1)/COLUMNS('Portfolio Weights Returns'!$B$9:$BJ$69))+1,MOD(ROW(A1691)-1,COLUMNS('Portfolio Weights Returns'!$B$9:$BJ$69))+1)</f>
        <v>-7.2588121222689963E-4</v>
      </c>
      <c r="B1692">
        <v>1.9599999999999999E-2</v>
      </c>
      <c r="C1692" s="59">
        <v>-0.09</v>
      </c>
      <c r="D1692" s="59">
        <v>0.25</v>
      </c>
      <c r="E1692" s="60">
        <f t="shared" si="26"/>
        <v>0.84</v>
      </c>
      <c r="F1692" t="str" cm="1">
        <f t="array" ref="F1692">IF(A1692=MAX(IF(ROUND($B$2:$B$3722,4)=ROUND(B1692,4),$A$2:$A$3722)),"Efficient","Inefficient")</f>
        <v>Inefficient</v>
      </c>
    </row>
    <row r="1693" spans="1:6" x14ac:dyDescent="0.25">
      <c r="A1693" cm="1">
        <f t="array" ref="A1693">INDEX('Portfolio Weights Returns'!$B$9:$BJ$69,
INT((ROW(A1692)-1)/COLUMNS('Portfolio Weights Returns'!$B$9:$BJ$69))+1,MOD(ROW(A1692)-1,COLUMNS('Portfolio Weights Returns'!$B$9:$BJ$69))+1)</f>
        <v>-7.1910003826022048E-4</v>
      </c>
      <c r="B1693">
        <v>1.9599999999999999E-2</v>
      </c>
      <c r="C1693" s="59">
        <v>-0.09</v>
      </c>
      <c r="D1693" s="59">
        <v>0.26</v>
      </c>
      <c r="E1693" s="60">
        <f t="shared" si="26"/>
        <v>0.83</v>
      </c>
      <c r="F1693" t="str" cm="1">
        <f t="array" ref="F1693">IF(A1693=MAX(IF(ROUND($B$2:$B$3722,4)=ROUND(B1693,4),$A$2:$A$3722)),"Efficient","Inefficient")</f>
        <v>Inefficient</v>
      </c>
    </row>
    <row r="1694" spans="1:6" x14ac:dyDescent="0.25">
      <c r="A1694" cm="1">
        <f t="array" ref="A1694">INDEX('Portfolio Weights Returns'!$B$9:$BJ$69,
INT((ROW(A1693)-1)/COLUMNS('Portfolio Weights Returns'!$B$9:$BJ$69))+1,MOD(ROW(A1693)-1,COLUMNS('Portfolio Weights Returns'!$B$9:$BJ$69))+1)</f>
        <v>-7.1231886429354145E-4</v>
      </c>
      <c r="B1694">
        <v>1.9599999999999999E-2</v>
      </c>
      <c r="C1694" s="59">
        <v>-0.08</v>
      </c>
      <c r="D1694" s="59">
        <v>0.27</v>
      </c>
      <c r="E1694" s="60">
        <f t="shared" si="26"/>
        <v>0.80999999999999994</v>
      </c>
      <c r="F1694" t="str" cm="1">
        <f t="array" ref="F1694">IF(A1694=MAX(IF(ROUND($B$2:$B$3722,4)=ROUND(B1694,4),$A$2:$A$3722)),"Efficient","Inefficient")</f>
        <v>Inefficient</v>
      </c>
    </row>
    <row r="1695" spans="1:6" x14ac:dyDescent="0.25">
      <c r="A1695" cm="1">
        <f t="array" ref="A1695">INDEX('Portfolio Weights Returns'!$B$9:$BJ$69,
INT((ROW(A1694)-1)/COLUMNS('Portfolio Weights Returns'!$B$9:$BJ$69))+1,MOD(ROW(A1694)-1,COLUMNS('Portfolio Weights Returns'!$B$9:$BJ$69))+1)</f>
        <v>-7.055376903268623E-4</v>
      </c>
      <c r="B1695">
        <v>1.9599999999999999E-2</v>
      </c>
      <c r="C1695" s="59">
        <v>-0.08</v>
      </c>
      <c r="D1695" s="59">
        <v>0.28000000000000003</v>
      </c>
      <c r="E1695" s="60">
        <f t="shared" si="26"/>
        <v>0.79999999999999993</v>
      </c>
      <c r="F1695" t="str" cm="1">
        <f t="array" ref="F1695">IF(A1695=MAX(IF(ROUND($B$2:$B$3722,4)=ROUND(B1695,4),$A$2:$A$3722)),"Efficient","Inefficient")</f>
        <v>Inefficient</v>
      </c>
    </row>
    <row r="1696" spans="1:6" x14ac:dyDescent="0.25">
      <c r="A1696" cm="1">
        <f t="array" ref="A1696">INDEX('Portfolio Weights Returns'!$B$9:$BJ$69,
INT((ROW(A1695)-1)/COLUMNS('Portfolio Weights Returns'!$B$9:$BJ$69))+1,MOD(ROW(A1695)-1,COLUMNS('Portfolio Weights Returns'!$B$9:$BJ$69))+1)</f>
        <v>-6.9875651636018327E-4</v>
      </c>
      <c r="B1696">
        <v>1.9599999999999999E-2</v>
      </c>
      <c r="C1696" s="59">
        <v>-7.0000000000000007E-2</v>
      </c>
      <c r="D1696" s="59">
        <v>0.28999999999999998</v>
      </c>
      <c r="E1696" s="60">
        <f t="shared" si="26"/>
        <v>0.78</v>
      </c>
      <c r="F1696" t="str" cm="1">
        <f t="array" ref="F1696">IF(A1696=MAX(IF(ROUND($B$2:$B$3722,4)=ROUND(B1696,4),$A$2:$A$3722)),"Efficient","Inefficient")</f>
        <v>Inefficient</v>
      </c>
    </row>
    <row r="1697" spans="1:6" x14ac:dyDescent="0.25">
      <c r="A1697" cm="1">
        <f t="array" ref="A1697">INDEX('Portfolio Weights Returns'!$B$9:$BJ$69,
INT((ROW(A1696)-1)/COLUMNS('Portfolio Weights Returns'!$B$9:$BJ$69))+1,MOD(ROW(A1696)-1,COLUMNS('Portfolio Weights Returns'!$B$9:$BJ$69))+1)</f>
        <v>-6.9197534239350412E-4</v>
      </c>
      <c r="B1697">
        <v>1.9599999999999999E-2</v>
      </c>
      <c r="C1697" s="59">
        <v>-0.06</v>
      </c>
      <c r="D1697" s="59">
        <v>0.3</v>
      </c>
      <c r="E1697" s="60">
        <f t="shared" si="26"/>
        <v>0.76</v>
      </c>
      <c r="F1697" t="str" cm="1">
        <f t="array" ref="F1697">IF(A1697=MAX(IF(ROUND($B$2:$B$3722,4)=ROUND(B1697,4),$A$2:$A$3722)),"Efficient","Inefficient")</f>
        <v>Efficient</v>
      </c>
    </row>
    <row r="1698" spans="1:6" x14ac:dyDescent="0.25">
      <c r="A1698" cm="1">
        <f t="array" ref="A1698">INDEX('Portfolio Weights Returns'!$B$9:$BJ$69,
INT((ROW(A1697)-1)/COLUMNS('Portfolio Weights Returns'!$B$9:$BJ$69))+1,MOD(ROW(A1697)-1,COLUMNS('Portfolio Weights Returns'!$B$9:$BJ$69))+1)</f>
        <v>-6.8519416842682498E-4</v>
      </c>
      <c r="B1698">
        <v>1.9699999999999999E-2</v>
      </c>
      <c r="C1698" s="59">
        <v>0.26</v>
      </c>
      <c r="D1698" s="59">
        <v>-0.23</v>
      </c>
      <c r="E1698" s="60">
        <f t="shared" si="26"/>
        <v>0.97</v>
      </c>
      <c r="F1698" t="str" cm="1">
        <f t="array" ref="F1698">IF(A1698=MAX(IF(ROUND($B$2:$B$3722,4)=ROUND(B1698,4),$A$2:$A$3722)),"Efficient","Inefficient")</f>
        <v>Inefficient</v>
      </c>
    </row>
    <row r="1699" spans="1:6" x14ac:dyDescent="0.25">
      <c r="A1699" cm="1">
        <f t="array" ref="A1699">INDEX('Portfolio Weights Returns'!$B$9:$BJ$69,
INT((ROW(A1698)-1)/COLUMNS('Portfolio Weights Returns'!$B$9:$BJ$69))+1,MOD(ROW(A1698)-1,COLUMNS('Portfolio Weights Returns'!$B$9:$BJ$69))+1)</f>
        <v>-6.7841299446014594E-4</v>
      </c>
      <c r="B1699">
        <v>1.9699999999999999E-2</v>
      </c>
      <c r="C1699" s="59">
        <v>0.24</v>
      </c>
      <c r="D1699" s="59">
        <v>-0.22</v>
      </c>
      <c r="E1699" s="60">
        <f t="shared" si="26"/>
        <v>0.98</v>
      </c>
      <c r="F1699" t="str" cm="1">
        <f t="array" ref="F1699">IF(A1699=MAX(IF(ROUND($B$2:$B$3722,4)=ROUND(B1699,4),$A$2:$A$3722)),"Efficient","Inefficient")</f>
        <v>Inefficient</v>
      </c>
    </row>
    <row r="1700" spans="1:6" x14ac:dyDescent="0.25">
      <c r="A1700" cm="1">
        <f t="array" ref="A1700">INDEX('Portfolio Weights Returns'!$B$9:$BJ$69,
INT((ROW(A1699)-1)/COLUMNS('Portfolio Weights Returns'!$B$9:$BJ$69))+1,MOD(ROW(A1699)-1,COLUMNS('Portfolio Weights Returns'!$B$9:$BJ$69))+1)</f>
        <v>-6.716318204934668E-4</v>
      </c>
      <c r="B1700">
        <v>1.9699999999999999E-2</v>
      </c>
      <c r="C1700" s="59">
        <v>0.22</v>
      </c>
      <c r="D1700" s="59">
        <v>-0.21</v>
      </c>
      <c r="E1700" s="60">
        <f t="shared" si="26"/>
        <v>0.99</v>
      </c>
      <c r="F1700" t="str" cm="1">
        <f t="array" ref="F1700">IF(A1700=MAX(IF(ROUND($B$2:$B$3722,4)=ROUND(B1700,4),$A$2:$A$3722)),"Efficient","Inefficient")</f>
        <v>Inefficient</v>
      </c>
    </row>
    <row r="1701" spans="1:6" x14ac:dyDescent="0.25">
      <c r="A1701" cm="1">
        <f t="array" ref="A1701">INDEX('Portfolio Weights Returns'!$B$9:$BJ$69,
INT((ROW(A1700)-1)/COLUMNS('Portfolio Weights Returns'!$B$9:$BJ$69))+1,MOD(ROW(A1700)-1,COLUMNS('Portfolio Weights Returns'!$B$9:$BJ$69))+1)</f>
        <v>-6.6485064652678776E-4</v>
      </c>
      <c r="B1701">
        <v>1.9699999999999999E-2</v>
      </c>
      <c r="C1701" s="59">
        <v>0.2</v>
      </c>
      <c r="D1701" s="59">
        <v>-0.2</v>
      </c>
      <c r="E1701" s="60">
        <f t="shared" si="26"/>
        <v>1</v>
      </c>
      <c r="F1701" t="str" cm="1">
        <f t="array" ref="F1701">IF(A1701=MAX(IF(ROUND($B$2:$B$3722,4)=ROUND(B1701,4),$A$2:$A$3722)),"Efficient","Inefficient")</f>
        <v>Inefficient</v>
      </c>
    </row>
    <row r="1702" spans="1:6" x14ac:dyDescent="0.25">
      <c r="A1702" cm="1">
        <f t="array" ref="A1702">INDEX('Portfolio Weights Returns'!$B$9:$BJ$69,
INT((ROW(A1701)-1)/COLUMNS('Portfolio Weights Returns'!$B$9:$BJ$69))+1,MOD(ROW(A1701)-1,COLUMNS('Portfolio Weights Returns'!$B$9:$BJ$69))+1)</f>
        <v>-6.5806947256010862E-4</v>
      </c>
      <c r="B1702">
        <v>1.9699999999999999E-2</v>
      </c>
      <c r="C1702" s="59">
        <v>0.19</v>
      </c>
      <c r="D1702" s="59">
        <v>-0.19</v>
      </c>
      <c r="E1702" s="60">
        <f t="shared" si="26"/>
        <v>1</v>
      </c>
      <c r="F1702" t="str" cm="1">
        <f t="array" ref="F1702">IF(A1702=MAX(IF(ROUND($B$2:$B$3722,4)=ROUND(B1702,4),$A$2:$A$3722)),"Efficient","Inefficient")</f>
        <v>Inefficient</v>
      </c>
    </row>
    <row r="1703" spans="1:6" x14ac:dyDescent="0.25">
      <c r="A1703" cm="1">
        <f t="array" ref="A1703">INDEX('Portfolio Weights Returns'!$B$9:$BJ$69,
INT((ROW(A1702)-1)/COLUMNS('Portfolio Weights Returns'!$B$9:$BJ$69))+1,MOD(ROW(A1702)-1,COLUMNS('Portfolio Weights Returns'!$B$9:$BJ$69))+1)</f>
        <v>-6.5128829859342958E-4</v>
      </c>
      <c r="B1703">
        <v>1.9699999999999999E-2</v>
      </c>
      <c r="C1703" s="59">
        <v>0.17</v>
      </c>
      <c r="D1703" s="59">
        <v>-0.18</v>
      </c>
      <c r="E1703" s="60">
        <f t="shared" si="26"/>
        <v>1.01</v>
      </c>
      <c r="F1703" t="str" cm="1">
        <f t="array" ref="F1703">IF(A1703=MAX(IF(ROUND($B$2:$B$3722,4)=ROUND(B1703,4),$A$2:$A$3722)),"Efficient","Inefficient")</f>
        <v>Inefficient</v>
      </c>
    </row>
    <row r="1704" spans="1:6" x14ac:dyDescent="0.25">
      <c r="A1704" cm="1">
        <f t="array" ref="A1704">INDEX('Portfolio Weights Returns'!$B$9:$BJ$69,
INT((ROW(A1703)-1)/COLUMNS('Portfolio Weights Returns'!$B$9:$BJ$69))+1,MOD(ROW(A1703)-1,COLUMNS('Portfolio Weights Returns'!$B$9:$BJ$69))+1)</f>
        <v>-6.4450712462675033E-4</v>
      </c>
      <c r="B1704">
        <v>1.9699999999999999E-2</v>
      </c>
      <c r="C1704" s="59">
        <v>0.14000000000000001</v>
      </c>
      <c r="D1704" s="59">
        <v>-0.16</v>
      </c>
      <c r="E1704" s="60">
        <f t="shared" si="26"/>
        <v>1.02</v>
      </c>
      <c r="F1704" t="str" cm="1">
        <f t="array" ref="F1704">IF(A1704=MAX(IF(ROUND($B$2:$B$3722,4)=ROUND(B1704,4),$A$2:$A$3722)),"Efficient","Inefficient")</f>
        <v>Inefficient</v>
      </c>
    </row>
    <row r="1705" spans="1:6" x14ac:dyDescent="0.25">
      <c r="A1705" cm="1">
        <f t="array" ref="A1705">INDEX('Portfolio Weights Returns'!$B$9:$BJ$69,
INT((ROW(A1704)-1)/COLUMNS('Portfolio Weights Returns'!$B$9:$BJ$69))+1,MOD(ROW(A1704)-1,COLUMNS('Portfolio Weights Returns'!$B$9:$BJ$69))+1)</f>
        <v>-6.3772595066007129E-4</v>
      </c>
      <c r="B1705">
        <v>1.9699999999999999E-2</v>
      </c>
      <c r="C1705" s="59">
        <v>0.13</v>
      </c>
      <c r="D1705" s="59">
        <v>-0.15</v>
      </c>
      <c r="E1705" s="60">
        <f t="shared" si="26"/>
        <v>1.02</v>
      </c>
      <c r="F1705" t="str" cm="1">
        <f t="array" ref="F1705">IF(A1705=MAX(IF(ROUND($B$2:$B$3722,4)=ROUND(B1705,4),$A$2:$A$3722)),"Efficient","Inefficient")</f>
        <v>Inefficient</v>
      </c>
    </row>
    <row r="1706" spans="1:6" x14ac:dyDescent="0.25">
      <c r="A1706" cm="1">
        <f t="array" ref="A1706">INDEX('Portfolio Weights Returns'!$B$9:$BJ$69,
INT((ROW(A1705)-1)/COLUMNS('Portfolio Weights Returns'!$B$9:$BJ$69))+1,MOD(ROW(A1705)-1,COLUMNS('Portfolio Weights Returns'!$B$9:$BJ$69))+1)</f>
        <v>-6.309447766933915E-4</v>
      </c>
      <c r="B1706">
        <v>1.9699999999999999E-2</v>
      </c>
      <c r="C1706" s="59">
        <v>0.11</v>
      </c>
      <c r="D1706" s="59">
        <v>-0.14000000000000001</v>
      </c>
      <c r="E1706" s="60">
        <f t="shared" si="26"/>
        <v>1.03</v>
      </c>
      <c r="F1706" t="str" cm="1">
        <f t="array" ref="F1706">IF(A1706=MAX(IF(ROUND($B$2:$B$3722,4)=ROUND(B1706,4),$A$2:$A$3722)),"Efficient","Inefficient")</f>
        <v>Inefficient</v>
      </c>
    </row>
    <row r="1707" spans="1:6" x14ac:dyDescent="0.25">
      <c r="A1707" cm="1">
        <f t="array" ref="A1707">INDEX('Portfolio Weights Returns'!$B$9:$BJ$69,
INT((ROW(A1706)-1)/COLUMNS('Portfolio Weights Returns'!$B$9:$BJ$69))+1,MOD(ROW(A1706)-1,COLUMNS('Portfolio Weights Returns'!$B$9:$BJ$69))+1)</f>
        <v>-6.2416360272671246E-4</v>
      </c>
      <c r="B1707">
        <v>1.9699999999999999E-2</v>
      </c>
      <c r="C1707" s="59">
        <v>0.1</v>
      </c>
      <c r="D1707" s="59">
        <v>-0.13</v>
      </c>
      <c r="E1707" s="60">
        <f t="shared" si="26"/>
        <v>1.0299999999999998</v>
      </c>
      <c r="F1707" t="str" cm="1">
        <f t="array" ref="F1707">IF(A1707=MAX(IF(ROUND($B$2:$B$3722,4)=ROUND(B1707,4),$A$2:$A$3722)),"Efficient","Inefficient")</f>
        <v>Inefficient</v>
      </c>
    </row>
    <row r="1708" spans="1:6" x14ac:dyDescent="0.25">
      <c r="A1708" cm="1">
        <f t="array" ref="A1708">INDEX('Portfolio Weights Returns'!$B$9:$BJ$69,
INT((ROW(A1707)-1)/COLUMNS('Portfolio Weights Returns'!$B$9:$BJ$69))+1,MOD(ROW(A1707)-1,COLUMNS('Portfolio Weights Returns'!$B$9:$BJ$69))+1)</f>
        <v>-6.1738242876003332E-4</v>
      </c>
      <c r="B1708">
        <v>1.9699999999999999E-2</v>
      </c>
      <c r="C1708" s="59">
        <v>0.06</v>
      </c>
      <c r="D1708" s="59">
        <v>-0.1</v>
      </c>
      <c r="E1708" s="60">
        <f t="shared" si="26"/>
        <v>1.04</v>
      </c>
      <c r="F1708" t="str" cm="1">
        <f t="array" ref="F1708">IF(A1708=MAX(IF(ROUND($B$2:$B$3722,4)=ROUND(B1708,4),$A$2:$A$3722)),"Efficient","Inefficient")</f>
        <v>Inefficient</v>
      </c>
    </row>
    <row r="1709" spans="1:6" x14ac:dyDescent="0.25">
      <c r="A1709" cm="1">
        <f t="array" ref="A1709">INDEX('Portfolio Weights Returns'!$B$9:$BJ$69,
INT((ROW(A1708)-1)/COLUMNS('Portfolio Weights Returns'!$B$9:$BJ$69))+1,MOD(ROW(A1708)-1,COLUMNS('Portfolio Weights Returns'!$B$9:$BJ$69))+1)</f>
        <v>-6.1060125479335417E-4</v>
      </c>
      <c r="B1709">
        <v>1.9699999999999999E-2</v>
      </c>
      <c r="C1709" s="59">
        <v>0.05</v>
      </c>
      <c r="D1709" s="59">
        <v>-0.09</v>
      </c>
      <c r="E1709" s="60">
        <f t="shared" si="26"/>
        <v>1.04</v>
      </c>
      <c r="F1709" t="str" cm="1">
        <f t="array" ref="F1709">IF(A1709=MAX(IF(ROUND($B$2:$B$3722,4)=ROUND(B1709,4),$A$2:$A$3722)),"Efficient","Inefficient")</f>
        <v>Efficient</v>
      </c>
    </row>
    <row r="1710" spans="1:6" x14ac:dyDescent="0.25">
      <c r="A1710" cm="1">
        <f t="array" ref="A1710">INDEX('Portfolio Weights Returns'!$B$9:$BJ$69,
INT((ROW(A1709)-1)/COLUMNS('Portfolio Weights Returns'!$B$9:$BJ$69))+1,MOD(ROW(A1709)-1,COLUMNS('Portfolio Weights Returns'!$B$9:$BJ$69))+1)</f>
        <v>-1.0108974849486461E-3</v>
      </c>
      <c r="B1710">
        <v>1.9699999999999999E-2</v>
      </c>
      <c r="C1710" s="59">
        <v>0.04</v>
      </c>
      <c r="D1710" s="59">
        <v>-0.08</v>
      </c>
      <c r="E1710" s="60">
        <f t="shared" si="26"/>
        <v>1.04</v>
      </c>
      <c r="F1710" t="str" cm="1">
        <f t="array" ref="F1710">IF(A1710=MAX(IF(ROUND($B$2:$B$3722,4)=ROUND(B1710,4),$A$2:$A$3722)),"Efficient","Inefficient")</f>
        <v>Inefficient</v>
      </c>
    </row>
    <row r="1711" spans="1:6" x14ac:dyDescent="0.25">
      <c r="A1711" cm="1">
        <f t="array" ref="A1711">INDEX('Portfolio Weights Returns'!$B$9:$BJ$69,
INT((ROW(A1710)-1)/COLUMNS('Portfolio Weights Returns'!$B$9:$BJ$69))+1,MOD(ROW(A1710)-1,COLUMNS('Portfolio Weights Returns'!$B$9:$BJ$69))+1)</f>
        <v>-1.0041163109819667E-3</v>
      </c>
      <c r="B1711">
        <v>1.9699999999999999E-2</v>
      </c>
      <c r="C1711" s="59">
        <v>0.03</v>
      </c>
      <c r="D1711" s="59">
        <v>-7.0000000000000007E-2</v>
      </c>
      <c r="E1711" s="60">
        <f t="shared" si="26"/>
        <v>1.04</v>
      </c>
      <c r="F1711" t="str" cm="1">
        <f t="array" ref="F1711">IF(A1711=MAX(IF(ROUND($B$2:$B$3722,4)=ROUND(B1711,4),$A$2:$A$3722)),"Efficient","Inefficient")</f>
        <v>Inefficient</v>
      </c>
    </row>
    <row r="1712" spans="1:6" x14ac:dyDescent="0.25">
      <c r="A1712" cm="1">
        <f t="array" ref="A1712">INDEX('Portfolio Weights Returns'!$B$9:$BJ$69,
INT((ROW(A1711)-1)/COLUMNS('Portfolio Weights Returns'!$B$9:$BJ$69))+1,MOD(ROW(A1711)-1,COLUMNS('Portfolio Weights Returns'!$B$9:$BJ$69))+1)</f>
        <v>-9.9733513701528759E-4</v>
      </c>
      <c r="B1712">
        <v>1.9699999999999999E-2</v>
      </c>
      <c r="C1712" s="59">
        <v>0.02</v>
      </c>
      <c r="D1712" s="59">
        <v>-0.06</v>
      </c>
      <c r="E1712" s="60">
        <f t="shared" si="26"/>
        <v>1.04</v>
      </c>
      <c r="F1712" t="str" cm="1">
        <f t="array" ref="F1712">IF(A1712=MAX(IF(ROUND($B$2:$B$3722,4)=ROUND(B1712,4),$A$2:$A$3722)),"Efficient","Inefficient")</f>
        <v>Inefficient</v>
      </c>
    </row>
    <row r="1713" spans="1:6" x14ac:dyDescent="0.25">
      <c r="A1713" cm="1">
        <f t="array" ref="A1713">INDEX('Portfolio Weights Returns'!$B$9:$BJ$69,
INT((ROW(A1712)-1)/COLUMNS('Portfolio Weights Returns'!$B$9:$BJ$69))+1,MOD(ROW(A1712)-1,COLUMNS('Portfolio Weights Returns'!$B$9:$BJ$69))+1)</f>
        <v>-9.9055396304860866E-4</v>
      </c>
      <c r="B1713">
        <v>1.9699999999999999E-2</v>
      </c>
      <c r="C1713" s="59">
        <v>0.01</v>
      </c>
      <c r="D1713" s="59">
        <v>-0.05</v>
      </c>
      <c r="E1713" s="60">
        <f t="shared" si="26"/>
        <v>1.04</v>
      </c>
      <c r="F1713" t="str" cm="1">
        <f t="array" ref="F1713">IF(A1713=MAX(IF(ROUND($B$2:$B$3722,4)=ROUND(B1713,4),$A$2:$A$3722)),"Efficient","Inefficient")</f>
        <v>Inefficient</v>
      </c>
    </row>
    <row r="1714" spans="1:6" x14ac:dyDescent="0.25">
      <c r="A1714" cm="1">
        <f t="array" ref="A1714">INDEX('Portfolio Weights Returns'!$B$9:$BJ$69,
INT((ROW(A1713)-1)/COLUMNS('Portfolio Weights Returns'!$B$9:$BJ$69))+1,MOD(ROW(A1713)-1,COLUMNS('Portfolio Weights Returns'!$B$9:$BJ$69))+1)</f>
        <v>-9.8377278908192952E-4</v>
      </c>
      <c r="B1714">
        <v>1.9699999999999999E-2</v>
      </c>
      <c r="C1714" s="59">
        <v>0</v>
      </c>
      <c r="D1714" s="59">
        <v>-0.04</v>
      </c>
      <c r="E1714" s="60">
        <f t="shared" si="26"/>
        <v>1.04</v>
      </c>
      <c r="F1714" t="str" cm="1">
        <f t="array" ref="F1714">IF(A1714=MAX(IF(ROUND($B$2:$B$3722,4)=ROUND(B1714,4),$A$2:$A$3722)),"Efficient","Inefficient")</f>
        <v>Inefficient</v>
      </c>
    </row>
    <row r="1715" spans="1:6" x14ac:dyDescent="0.25">
      <c r="A1715" cm="1">
        <f t="array" ref="A1715">INDEX('Portfolio Weights Returns'!$B$9:$BJ$69,
INT((ROW(A1714)-1)/COLUMNS('Portfolio Weights Returns'!$B$9:$BJ$69))+1,MOD(ROW(A1714)-1,COLUMNS('Portfolio Weights Returns'!$B$9:$BJ$69))+1)</f>
        <v>-9.7699161511525037E-4</v>
      </c>
      <c r="B1715">
        <v>1.9699999999999999E-2</v>
      </c>
      <c r="C1715" s="59">
        <v>-0.01</v>
      </c>
      <c r="D1715" s="59">
        <v>-0.03</v>
      </c>
      <c r="E1715" s="60">
        <f t="shared" si="26"/>
        <v>1.04</v>
      </c>
      <c r="F1715" t="str" cm="1">
        <f t="array" ref="F1715">IF(A1715=MAX(IF(ROUND($B$2:$B$3722,4)=ROUND(B1715,4),$A$2:$A$3722)),"Efficient","Inefficient")</f>
        <v>Inefficient</v>
      </c>
    </row>
    <row r="1716" spans="1:6" x14ac:dyDescent="0.25">
      <c r="A1716" cm="1">
        <f t="array" ref="A1716">INDEX('Portfolio Weights Returns'!$B$9:$BJ$69,
INT((ROW(A1715)-1)/COLUMNS('Portfolio Weights Returns'!$B$9:$BJ$69))+1,MOD(ROW(A1715)-1,COLUMNS('Portfolio Weights Returns'!$B$9:$BJ$69))+1)</f>
        <v>-9.7021044114857123E-4</v>
      </c>
      <c r="B1716">
        <v>1.9699999999999999E-2</v>
      </c>
      <c r="C1716" s="59">
        <v>-0.02</v>
      </c>
      <c r="D1716" s="59">
        <v>-0.02</v>
      </c>
      <c r="E1716" s="60">
        <f t="shared" si="26"/>
        <v>1.04</v>
      </c>
      <c r="F1716" t="str" cm="1">
        <f t="array" ref="F1716">IF(A1716=MAX(IF(ROUND($B$2:$B$3722,4)=ROUND(B1716,4),$A$2:$A$3722)),"Efficient","Inefficient")</f>
        <v>Inefficient</v>
      </c>
    </row>
    <row r="1717" spans="1:6" x14ac:dyDescent="0.25">
      <c r="A1717" cm="1">
        <f t="array" ref="A1717">INDEX('Portfolio Weights Returns'!$B$9:$BJ$69,
INT((ROW(A1716)-1)/COLUMNS('Portfolio Weights Returns'!$B$9:$BJ$69))+1,MOD(ROW(A1716)-1,COLUMNS('Portfolio Weights Returns'!$B$9:$BJ$69))+1)</f>
        <v>-9.6342926718189219E-4</v>
      </c>
      <c r="B1717">
        <v>1.9699999999999999E-2</v>
      </c>
      <c r="C1717" s="59">
        <v>-0.03</v>
      </c>
      <c r="D1717" s="59">
        <v>-0.01</v>
      </c>
      <c r="E1717" s="60">
        <f t="shared" si="26"/>
        <v>1.04</v>
      </c>
      <c r="F1717" t="str" cm="1">
        <f t="array" ref="F1717">IF(A1717=MAX(IF(ROUND($B$2:$B$3722,4)=ROUND(B1717,4),$A$2:$A$3722)),"Efficient","Inefficient")</f>
        <v>Inefficient</v>
      </c>
    </row>
    <row r="1718" spans="1:6" x14ac:dyDescent="0.25">
      <c r="A1718" cm="1">
        <f t="array" ref="A1718">INDEX('Portfolio Weights Returns'!$B$9:$BJ$69,
INT((ROW(A1717)-1)/COLUMNS('Portfolio Weights Returns'!$B$9:$BJ$69))+1,MOD(ROW(A1717)-1,COLUMNS('Portfolio Weights Returns'!$B$9:$BJ$69))+1)</f>
        <v>-9.5664809321521305E-4</v>
      </c>
      <c r="B1718">
        <v>1.9699999999999999E-2</v>
      </c>
      <c r="C1718" s="59">
        <v>-0.04</v>
      </c>
      <c r="D1718" s="59">
        <v>0</v>
      </c>
      <c r="E1718" s="60">
        <f t="shared" si="26"/>
        <v>1.04</v>
      </c>
      <c r="F1718" t="str" cm="1">
        <f t="array" ref="F1718">IF(A1718=MAX(IF(ROUND($B$2:$B$3722,4)=ROUND(B1718,4),$A$2:$A$3722)),"Efficient","Inefficient")</f>
        <v>Inefficient</v>
      </c>
    </row>
    <row r="1719" spans="1:6" x14ac:dyDescent="0.25">
      <c r="A1719" cm="1">
        <f t="array" ref="A1719">INDEX('Portfolio Weights Returns'!$B$9:$BJ$69,
INT((ROW(A1718)-1)/COLUMNS('Portfolio Weights Returns'!$B$9:$BJ$69))+1,MOD(ROW(A1718)-1,COLUMNS('Portfolio Weights Returns'!$B$9:$BJ$69))+1)</f>
        <v>-9.4986691924853401E-4</v>
      </c>
      <c r="B1719">
        <v>1.9699999999999999E-2</v>
      </c>
      <c r="C1719" s="59">
        <v>-0.06</v>
      </c>
      <c r="D1719" s="59">
        <v>0.03</v>
      </c>
      <c r="E1719" s="60">
        <f t="shared" si="26"/>
        <v>1.03</v>
      </c>
      <c r="F1719" t="str" cm="1">
        <f t="array" ref="F1719">IF(A1719=MAX(IF(ROUND($B$2:$B$3722,4)=ROUND(B1719,4),$A$2:$A$3722)),"Efficient","Inefficient")</f>
        <v>Inefficient</v>
      </c>
    </row>
    <row r="1720" spans="1:6" x14ac:dyDescent="0.25">
      <c r="A1720" cm="1">
        <f t="array" ref="A1720">INDEX('Portfolio Weights Returns'!$B$9:$BJ$69,
INT((ROW(A1719)-1)/COLUMNS('Portfolio Weights Returns'!$B$9:$BJ$69))+1,MOD(ROW(A1719)-1,COLUMNS('Portfolio Weights Returns'!$B$9:$BJ$69))+1)</f>
        <v>-9.4308574528185487E-4</v>
      </c>
      <c r="B1720">
        <v>1.9699999999999999E-2</v>
      </c>
      <c r="C1720" s="59">
        <v>-7.0000000000000007E-2</v>
      </c>
      <c r="D1720" s="59">
        <v>0.04</v>
      </c>
      <c r="E1720" s="60">
        <f t="shared" si="26"/>
        <v>1.03</v>
      </c>
      <c r="F1720" t="str" cm="1">
        <f t="array" ref="F1720">IF(A1720=MAX(IF(ROUND($B$2:$B$3722,4)=ROUND(B1720,4),$A$2:$A$3722)),"Efficient","Inefficient")</f>
        <v>Inefficient</v>
      </c>
    </row>
    <row r="1721" spans="1:6" x14ac:dyDescent="0.25">
      <c r="A1721" cm="1">
        <f t="array" ref="A1721">INDEX('Portfolio Weights Returns'!$B$9:$BJ$69,
INT((ROW(A1720)-1)/COLUMNS('Portfolio Weights Returns'!$B$9:$BJ$69))+1,MOD(ROW(A1720)-1,COLUMNS('Portfolio Weights Returns'!$B$9:$BJ$69))+1)</f>
        <v>-9.3630457131517572E-4</v>
      </c>
      <c r="B1721">
        <v>1.9699999999999999E-2</v>
      </c>
      <c r="C1721" s="59">
        <v>-7.0000000000000007E-2</v>
      </c>
      <c r="D1721" s="59">
        <v>0.05</v>
      </c>
      <c r="E1721" s="60">
        <f t="shared" si="26"/>
        <v>1.02</v>
      </c>
      <c r="F1721" t="str" cm="1">
        <f t="array" ref="F1721">IF(A1721=MAX(IF(ROUND($B$2:$B$3722,4)=ROUND(B1721,4),$A$2:$A$3722)),"Efficient","Inefficient")</f>
        <v>Inefficient</v>
      </c>
    </row>
    <row r="1722" spans="1:6" x14ac:dyDescent="0.25">
      <c r="A1722" cm="1">
        <f t="array" ref="A1722">INDEX('Portfolio Weights Returns'!$B$9:$BJ$69,
INT((ROW(A1721)-1)/COLUMNS('Portfolio Weights Returns'!$B$9:$BJ$69))+1,MOD(ROW(A1721)-1,COLUMNS('Portfolio Weights Returns'!$B$9:$BJ$69))+1)</f>
        <v>-9.2952339734849658E-4</v>
      </c>
      <c r="B1722">
        <v>1.9699999999999999E-2</v>
      </c>
      <c r="C1722" s="59">
        <v>-0.08</v>
      </c>
      <c r="D1722" s="59">
        <v>0.06</v>
      </c>
      <c r="E1722" s="60">
        <f t="shared" si="26"/>
        <v>1.02</v>
      </c>
      <c r="F1722" t="str" cm="1">
        <f t="array" ref="F1722">IF(A1722=MAX(IF(ROUND($B$2:$B$3722,4)=ROUND(B1722,4),$A$2:$A$3722)),"Efficient","Inefficient")</f>
        <v>Inefficient</v>
      </c>
    </row>
    <row r="1723" spans="1:6" x14ac:dyDescent="0.25">
      <c r="A1723" cm="1">
        <f t="array" ref="A1723">INDEX('Portfolio Weights Returns'!$B$9:$BJ$69,
INT((ROW(A1722)-1)/COLUMNS('Portfolio Weights Returns'!$B$9:$BJ$69))+1,MOD(ROW(A1722)-1,COLUMNS('Portfolio Weights Returns'!$B$9:$BJ$69))+1)</f>
        <v>-9.2274222338181754E-4</v>
      </c>
      <c r="B1723">
        <v>1.9699999999999999E-2</v>
      </c>
      <c r="C1723" s="59">
        <v>-0.09</v>
      </c>
      <c r="D1723" s="59">
        <v>0.08</v>
      </c>
      <c r="E1723" s="60">
        <f t="shared" si="26"/>
        <v>1.01</v>
      </c>
      <c r="F1723" t="str" cm="1">
        <f t="array" ref="F1723">IF(A1723=MAX(IF(ROUND($B$2:$B$3722,4)=ROUND(B1723,4),$A$2:$A$3722)),"Efficient","Inefficient")</f>
        <v>Inefficient</v>
      </c>
    </row>
    <row r="1724" spans="1:6" x14ac:dyDescent="0.25">
      <c r="A1724" cm="1">
        <f t="array" ref="A1724">INDEX('Portfolio Weights Returns'!$B$9:$BJ$69,
INT((ROW(A1723)-1)/COLUMNS('Portfolio Weights Returns'!$B$9:$BJ$69))+1,MOD(ROW(A1723)-1,COLUMNS('Portfolio Weights Returns'!$B$9:$BJ$69))+1)</f>
        <v>-9.159610494151384E-4</v>
      </c>
      <c r="B1724">
        <v>1.9699999999999999E-2</v>
      </c>
      <c r="C1724" s="59">
        <v>-0.1</v>
      </c>
      <c r="D1724" s="59">
        <v>0.1</v>
      </c>
      <c r="E1724" s="60">
        <f t="shared" si="26"/>
        <v>1</v>
      </c>
      <c r="F1724" t="str" cm="1">
        <f t="array" ref="F1724">IF(A1724=MAX(IF(ROUND($B$2:$B$3722,4)=ROUND(B1724,4),$A$2:$A$3722)),"Efficient","Inefficient")</f>
        <v>Inefficient</v>
      </c>
    </row>
    <row r="1725" spans="1:6" x14ac:dyDescent="0.25">
      <c r="A1725" cm="1">
        <f t="array" ref="A1725">INDEX('Portfolio Weights Returns'!$B$9:$BJ$69,
INT((ROW(A1724)-1)/COLUMNS('Portfolio Weights Returns'!$B$9:$BJ$69))+1,MOD(ROW(A1724)-1,COLUMNS('Portfolio Weights Returns'!$B$9:$BJ$69))+1)</f>
        <v>-9.0917987544845936E-4</v>
      </c>
      <c r="B1725">
        <v>1.9699999999999999E-2</v>
      </c>
      <c r="C1725" s="59">
        <v>-0.1</v>
      </c>
      <c r="D1725" s="59">
        <v>0.11</v>
      </c>
      <c r="E1725" s="60">
        <f t="shared" si="26"/>
        <v>0.99</v>
      </c>
      <c r="F1725" t="str" cm="1">
        <f t="array" ref="F1725">IF(A1725=MAX(IF(ROUND($B$2:$B$3722,4)=ROUND(B1725,4),$A$2:$A$3722)),"Efficient","Inefficient")</f>
        <v>Inefficient</v>
      </c>
    </row>
    <row r="1726" spans="1:6" x14ac:dyDescent="0.25">
      <c r="A1726" cm="1">
        <f t="array" ref="A1726">INDEX('Portfolio Weights Returns'!$B$9:$BJ$69,
INT((ROW(A1725)-1)/COLUMNS('Portfolio Weights Returns'!$B$9:$BJ$69))+1,MOD(ROW(A1725)-1,COLUMNS('Portfolio Weights Returns'!$B$9:$BJ$69))+1)</f>
        <v>-9.0239870148178033E-4</v>
      </c>
      <c r="B1726">
        <v>1.9699999999999999E-2</v>
      </c>
      <c r="C1726" s="59">
        <v>-0.11</v>
      </c>
      <c r="D1726" s="59">
        <v>0.13</v>
      </c>
      <c r="E1726" s="60">
        <f t="shared" si="26"/>
        <v>0.98</v>
      </c>
      <c r="F1726" t="str" cm="1">
        <f t="array" ref="F1726">IF(A1726=MAX(IF(ROUND($B$2:$B$3722,4)=ROUND(B1726,4),$A$2:$A$3722)),"Efficient","Inefficient")</f>
        <v>Inefficient</v>
      </c>
    </row>
    <row r="1727" spans="1:6" x14ac:dyDescent="0.25">
      <c r="A1727" cm="1">
        <f t="array" ref="A1727">INDEX('Portfolio Weights Returns'!$B$9:$BJ$69,
INT((ROW(A1726)-1)/COLUMNS('Portfolio Weights Returns'!$B$9:$BJ$69))+1,MOD(ROW(A1726)-1,COLUMNS('Portfolio Weights Returns'!$B$9:$BJ$69))+1)</f>
        <v>-8.9561752751510107E-4</v>
      </c>
      <c r="B1727">
        <v>1.9699999999999999E-2</v>
      </c>
      <c r="C1727" s="59">
        <v>-0.11</v>
      </c>
      <c r="D1727" s="59">
        <v>0.14000000000000001</v>
      </c>
      <c r="E1727" s="60">
        <f t="shared" si="26"/>
        <v>0.97</v>
      </c>
      <c r="F1727" t="str" cm="1">
        <f t="array" ref="F1727">IF(A1727=MAX(IF(ROUND($B$2:$B$3722,4)=ROUND(B1727,4),$A$2:$A$3722)),"Efficient","Inefficient")</f>
        <v>Inefficient</v>
      </c>
    </row>
    <row r="1728" spans="1:6" x14ac:dyDescent="0.25">
      <c r="A1728" cm="1">
        <f t="array" ref="A1728">INDEX('Portfolio Weights Returns'!$B$9:$BJ$69,
INT((ROW(A1727)-1)/COLUMNS('Portfolio Weights Returns'!$B$9:$BJ$69))+1,MOD(ROW(A1727)-1,COLUMNS('Portfolio Weights Returns'!$B$9:$BJ$69))+1)</f>
        <v>-8.8883635354842215E-4</v>
      </c>
      <c r="B1728">
        <v>1.9699999999999999E-2</v>
      </c>
      <c r="C1728" s="59">
        <v>-0.11</v>
      </c>
      <c r="D1728" s="59">
        <v>0.15</v>
      </c>
      <c r="E1728" s="60">
        <f t="shared" si="26"/>
        <v>0.96</v>
      </c>
      <c r="F1728" t="str" cm="1">
        <f t="array" ref="F1728">IF(A1728=MAX(IF(ROUND($B$2:$B$3722,4)=ROUND(B1728,4),$A$2:$A$3722)),"Efficient","Inefficient")</f>
        <v>Inefficient</v>
      </c>
    </row>
    <row r="1729" spans="1:6" x14ac:dyDescent="0.25">
      <c r="A1729" cm="1">
        <f t="array" ref="A1729">INDEX('Portfolio Weights Returns'!$B$9:$BJ$69,
INT((ROW(A1728)-1)/COLUMNS('Portfolio Weights Returns'!$B$9:$BJ$69))+1,MOD(ROW(A1728)-1,COLUMNS('Portfolio Weights Returns'!$B$9:$BJ$69))+1)</f>
        <v>-8.82055179581743E-4</v>
      </c>
      <c r="B1729">
        <v>1.9699999999999999E-2</v>
      </c>
      <c r="C1729" s="59">
        <v>-0.12</v>
      </c>
      <c r="D1729" s="59">
        <v>0.18</v>
      </c>
      <c r="E1729" s="60">
        <f t="shared" si="26"/>
        <v>0.94000000000000006</v>
      </c>
      <c r="F1729" t="str" cm="1">
        <f t="array" ref="F1729">IF(A1729=MAX(IF(ROUND($B$2:$B$3722,4)=ROUND(B1729,4),$A$2:$A$3722)),"Efficient","Inefficient")</f>
        <v>Inefficient</v>
      </c>
    </row>
    <row r="1730" spans="1:6" x14ac:dyDescent="0.25">
      <c r="A1730" cm="1">
        <f t="array" ref="A1730">INDEX('Portfolio Weights Returns'!$B$9:$BJ$69,
INT((ROW(A1729)-1)/COLUMNS('Portfolio Weights Returns'!$B$9:$BJ$69))+1,MOD(ROW(A1729)-1,COLUMNS('Portfolio Weights Returns'!$B$9:$BJ$69))+1)</f>
        <v>-8.7527400561506396E-4</v>
      </c>
      <c r="B1730">
        <v>1.9699999999999999E-2</v>
      </c>
      <c r="C1730" s="59">
        <v>-0.12</v>
      </c>
      <c r="D1730" s="59">
        <v>0.19</v>
      </c>
      <c r="E1730" s="60">
        <f t="shared" ref="E1730:E1793" si="27">1-D1730-C1730</f>
        <v>0.93</v>
      </c>
      <c r="F1730" t="str" cm="1">
        <f t="array" ref="F1730">IF(A1730=MAX(IF(ROUND($B$2:$B$3722,4)=ROUND(B1730,4),$A$2:$A$3722)),"Efficient","Inefficient")</f>
        <v>Inefficient</v>
      </c>
    </row>
    <row r="1731" spans="1:6" x14ac:dyDescent="0.25">
      <c r="A1731" cm="1">
        <f t="array" ref="A1731">INDEX('Portfolio Weights Returns'!$B$9:$BJ$69,
INT((ROW(A1730)-1)/COLUMNS('Portfolio Weights Returns'!$B$9:$BJ$69))+1,MOD(ROW(A1730)-1,COLUMNS('Portfolio Weights Returns'!$B$9:$BJ$69))+1)</f>
        <v>-8.6849283164838482E-4</v>
      </c>
      <c r="B1731">
        <v>1.9699999999999999E-2</v>
      </c>
      <c r="C1731" s="59">
        <v>-0.11</v>
      </c>
      <c r="D1731" s="59">
        <v>0.22</v>
      </c>
      <c r="E1731" s="60">
        <f t="shared" si="27"/>
        <v>0.89</v>
      </c>
      <c r="F1731" t="str" cm="1">
        <f t="array" ref="F1731">IF(A1731=MAX(IF(ROUND($B$2:$B$3722,4)=ROUND(B1731,4),$A$2:$A$3722)),"Efficient","Inefficient")</f>
        <v>Inefficient</v>
      </c>
    </row>
    <row r="1732" spans="1:6" x14ac:dyDescent="0.25">
      <c r="A1732" cm="1">
        <f t="array" ref="A1732">INDEX('Portfolio Weights Returns'!$B$9:$BJ$69,
INT((ROW(A1731)-1)/COLUMNS('Portfolio Weights Returns'!$B$9:$BJ$69))+1,MOD(ROW(A1731)-1,COLUMNS('Portfolio Weights Returns'!$B$9:$BJ$69))+1)</f>
        <v>-8.6171165768170568E-4</v>
      </c>
      <c r="B1732">
        <v>1.9699999999999999E-2</v>
      </c>
      <c r="C1732" s="59">
        <v>-0.11</v>
      </c>
      <c r="D1732" s="59">
        <v>0.23</v>
      </c>
      <c r="E1732" s="60">
        <f t="shared" si="27"/>
        <v>0.88</v>
      </c>
      <c r="F1732" t="str" cm="1">
        <f t="array" ref="F1732">IF(A1732=MAX(IF(ROUND($B$2:$B$3722,4)=ROUND(B1732,4),$A$2:$A$3722)),"Efficient","Inefficient")</f>
        <v>Inefficient</v>
      </c>
    </row>
    <row r="1733" spans="1:6" x14ac:dyDescent="0.25">
      <c r="A1733" cm="1">
        <f t="array" ref="A1733">INDEX('Portfolio Weights Returns'!$B$9:$BJ$69,
INT((ROW(A1732)-1)/COLUMNS('Portfolio Weights Returns'!$B$9:$BJ$69))+1,MOD(ROW(A1732)-1,COLUMNS('Portfolio Weights Returns'!$B$9:$BJ$69))+1)</f>
        <v>-8.5493048371502653E-4</v>
      </c>
      <c r="B1733">
        <v>1.9699999999999999E-2</v>
      </c>
      <c r="C1733" s="59">
        <v>-0.11</v>
      </c>
      <c r="D1733" s="59">
        <v>0.24</v>
      </c>
      <c r="E1733" s="60">
        <f t="shared" si="27"/>
        <v>0.87</v>
      </c>
      <c r="F1733" t="str" cm="1">
        <f t="array" ref="F1733">IF(A1733=MAX(IF(ROUND($B$2:$B$3722,4)=ROUND(B1733,4),$A$2:$A$3722)),"Efficient","Inefficient")</f>
        <v>Inefficient</v>
      </c>
    </row>
    <row r="1734" spans="1:6" x14ac:dyDescent="0.25">
      <c r="A1734" cm="1">
        <f t="array" ref="A1734">INDEX('Portfolio Weights Returns'!$B$9:$BJ$69,
INT((ROW(A1733)-1)/COLUMNS('Portfolio Weights Returns'!$B$9:$BJ$69))+1,MOD(ROW(A1733)-1,COLUMNS('Portfolio Weights Returns'!$B$9:$BJ$69))+1)</f>
        <v>-8.481493097483475E-4</v>
      </c>
      <c r="B1734">
        <v>1.9699999999999999E-2</v>
      </c>
      <c r="C1734" s="59">
        <v>-0.1</v>
      </c>
      <c r="D1734" s="59">
        <v>0.25</v>
      </c>
      <c r="E1734" s="60">
        <f t="shared" si="27"/>
        <v>0.85</v>
      </c>
      <c r="F1734" t="str" cm="1">
        <f t="array" ref="F1734">IF(A1734=MAX(IF(ROUND($B$2:$B$3722,4)=ROUND(B1734,4),$A$2:$A$3722)),"Efficient","Inefficient")</f>
        <v>Inefficient</v>
      </c>
    </row>
    <row r="1735" spans="1:6" x14ac:dyDescent="0.25">
      <c r="A1735" cm="1">
        <f t="array" ref="A1735">INDEX('Portfolio Weights Returns'!$B$9:$BJ$69,
INT((ROW(A1734)-1)/COLUMNS('Portfolio Weights Returns'!$B$9:$BJ$69))+1,MOD(ROW(A1734)-1,COLUMNS('Portfolio Weights Returns'!$B$9:$BJ$69))+1)</f>
        <v>-8.4136813578166835E-4</v>
      </c>
      <c r="B1735">
        <v>1.9699999999999999E-2</v>
      </c>
      <c r="C1735" s="59">
        <v>-0.1</v>
      </c>
      <c r="D1735" s="59">
        <v>0.26</v>
      </c>
      <c r="E1735" s="60">
        <f t="shared" si="27"/>
        <v>0.84</v>
      </c>
      <c r="F1735" t="str" cm="1">
        <f t="array" ref="F1735">IF(A1735=MAX(IF(ROUND($B$2:$B$3722,4)=ROUND(B1735,4),$A$2:$A$3722)),"Efficient","Inefficient")</f>
        <v>Inefficient</v>
      </c>
    </row>
    <row r="1736" spans="1:6" x14ac:dyDescent="0.25">
      <c r="A1736" cm="1">
        <f t="array" ref="A1736">INDEX('Portfolio Weights Returns'!$B$9:$BJ$69,
INT((ROW(A1735)-1)/COLUMNS('Portfolio Weights Returns'!$B$9:$BJ$69))+1,MOD(ROW(A1735)-1,COLUMNS('Portfolio Weights Returns'!$B$9:$BJ$69))+1)</f>
        <v>-8.3458696181498921E-4</v>
      </c>
      <c r="B1736">
        <v>1.9699999999999999E-2</v>
      </c>
      <c r="C1736" s="59">
        <v>-0.09</v>
      </c>
      <c r="D1736" s="59">
        <v>0.27</v>
      </c>
      <c r="E1736" s="60">
        <f t="shared" si="27"/>
        <v>0.82</v>
      </c>
      <c r="F1736" t="str" cm="1">
        <f t="array" ref="F1736">IF(A1736=MAX(IF(ROUND($B$2:$B$3722,4)=ROUND(B1736,4),$A$2:$A$3722)),"Efficient","Inefficient")</f>
        <v>Inefficient</v>
      </c>
    </row>
    <row r="1737" spans="1:6" x14ac:dyDescent="0.25">
      <c r="A1737" cm="1">
        <f t="array" ref="A1737">INDEX('Portfolio Weights Returns'!$B$9:$BJ$69,
INT((ROW(A1736)-1)/COLUMNS('Portfolio Weights Returns'!$B$9:$BJ$69))+1,MOD(ROW(A1736)-1,COLUMNS('Portfolio Weights Returns'!$B$9:$BJ$69))+1)</f>
        <v>-8.2780578784831017E-4</v>
      </c>
      <c r="B1737">
        <v>1.9699999999999999E-2</v>
      </c>
      <c r="C1737" s="59">
        <v>-0.09</v>
      </c>
      <c r="D1737" s="59">
        <v>0.28000000000000003</v>
      </c>
      <c r="E1737" s="60">
        <f t="shared" si="27"/>
        <v>0.80999999999999994</v>
      </c>
      <c r="F1737" t="str" cm="1">
        <f t="array" ref="F1737">IF(A1737=MAX(IF(ROUND($B$2:$B$3722,4)=ROUND(B1737,4),$A$2:$A$3722)),"Efficient","Inefficient")</f>
        <v>Inefficient</v>
      </c>
    </row>
    <row r="1738" spans="1:6" x14ac:dyDescent="0.25">
      <c r="A1738" cm="1">
        <f t="array" ref="A1738">INDEX('Portfolio Weights Returns'!$B$9:$BJ$69,
INT((ROW(A1737)-1)/COLUMNS('Portfolio Weights Returns'!$B$9:$BJ$69))+1,MOD(ROW(A1737)-1,COLUMNS('Portfolio Weights Returns'!$B$9:$BJ$69))+1)</f>
        <v>-8.2102461388163103E-4</v>
      </c>
      <c r="B1738">
        <v>1.9699999999999999E-2</v>
      </c>
      <c r="C1738" s="59">
        <v>-0.08</v>
      </c>
      <c r="D1738" s="59">
        <v>0.28999999999999998</v>
      </c>
      <c r="E1738" s="60">
        <f t="shared" si="27"/>
        <v>0.78999999999999992</v>
      </c>
      <c r="F1738" t="str" cm="1">
        <f t="array" ref="F1738">IF(A1738=MAX(IF(ROUND($B$2:$B$3722,4)=ROUND(B1738,4),$A$2:$A$3722)),"Efficient","Inefficient")</f>
        <v>Inefficient</v>
      </c>
    </row>
    <row r="1739" spans="1:6" x14ac:dyDescent="0.25">
      <c r="A1739" cm="1">
        <f t="array" ref="A1739">INDEX('Portfolio Weights Returns'!$B$9:$BJ$69,
INT((ROW(A1738)-1)/COLUMNS('Portfolio Weights Returns'!$B$9:$BJ$69))+1,MOD(ROW(A1738)-1,COLUMNS('Portfolio Weights Returns'!$B$9:$BJ$69))+1)</f>
        <v>-8.1424343991495188E-4</v>
      </c>
      <c r="B1739">
        <v>1.9699999999999999E-2</v>
      </c>
      <c r="C1739" s="59">
        <v>-7.0000000000000007E-2</v>
      </c>
      <c r="D1739" s="59">
        <v>0.3</v>
      </c>
      <c r="E1739" s="60">
        <f t="shared" si="27"/>
        <v>0.77</v>
      </c>
      <c r="F1739" t="str" cm="1">
        <f t="array" ref="F1739">IF(A1739=MAX(IF(ROUND($B$2:$B$3722,4)=ROUND(B1739,4),$A$2:$A$3722)),"Efficient","Inefficient")</f>
        <v>Inefficient</v>
      </c>
    </row>
    <row r="1740" spans="1:6" x14ac:dyDescent="0.25">
      <c r="A1740" cm="1">
        <f t="array" ref="A1740">INDEX('Portfolio Weights Returns'!$B$9:$BJ$69,
INT((ROW(A1739)-1)/COLUMNS('Portfolio Weights Returns'!$B$9:$BJ$69))+1,MOD(ROW(A1739)-1,COLUMNS('Portfolio Weights Returns'!$B$9:$BJ$69))+1)</f>
        <v>-8.0746226594827274E-4</v>
      </c>
      <c r="B1740">
        <v>1.9800000000000002E-2</v>
      </c>
      <c r="C1740" s="59">
        <v>0.28999999999999998</v>
      </c>
      <c r="D1740" s="59">
        <v>-0.25</v>
      </c>
      <c r="E1740" s="60">
        <f t="shared" si="27"/>
        <v>0.96</v>
      </c>
      <c r="F1740" t="str" cm="1">
        <f t="array" ref="F1740">IF(A1740=MAX(IF(ROUND($B$2:$B$3722,4)=ROUND(B1740,4),$A$2:$A$3722)),"Efficient","Inefficient")</f>
        <v>Inefficient</v>
      </c>
    </row>
    <row r="1741" spans="1:6" x14ac:dyDescent="0.25">
      <c r="A1741" cm="1">
        <f t="array" ref="A1741">INDEX('Portfolio Weights Returns'!$B$9:$BJ$69,
INT((ROW(A1740)-1)/COLUMNS('Portfolio Weights Returns'!$B$9:$BJ$69))+1,MOD(ROW(A1740)-1,COLUMNS('Portfolio Weights Returns'!$B$9:$BJ$69))+1)</f>
        <v>-8.006810919815937E-4</v>
      </c>
      <c r="B1741">
        <v>1.9800000000000002E-2</v>
      </c>
      <c r="C1741" s="59">
        <v>0.27</v>
      </c>
      <c r="D1741" s="59">
        <v>-0.24</v>
      </c>
      <c r="E1741" s="60">
        <f t="shared" si="27"/>
        <v>0.97</v>
      </c>
      <c r="F1741" t="str" cm="1">
        <f t="array" ref="F1741">IF(A1741=MAX(IF(ROUND($B$2:$B$3722,4)=ROUND(B1741,4),$A$2:$A$3722)),"Efficient","Inefficient")</f>
        <v>Inefficient</v>
      </c>
    </row>
    <row r="1742" spans="1:6" x14ac:dyDescent="0.25">
      <c r="A1742" cm="1">
        <f t="array" ref="A1742">INDEX('Portfolio Weights Returns'!$B$9:$BJ$69,
INT((ROW(A1741)-1)/COLUMNS('Portfolio Weights Returns'!$B$9:$BJ$69))+1,MOD(ROW(A1741)-1,COLUMNS('Portfolio Weights Returns'!$B$9:$BJ$69))+1)</f>
        <v>-7.9389991801491456E-4</v>
      </c>
      <c r="B1742">
        <v>1.9800000000000002E-2</v>
      </c>
      <c r="C1742" s="59">
        <v>0.25</v>
      </c>
      <c r="D1742" s="59">
        <v>-0.23</v>
      </c>
      <c r="E1742" s="60">
        <f t="shared" si="27"/>
        <v>0.98</v>
      </c>
      <c r="F1742" t="str" cm="1">
        <f t="array" ref="F1742">IF(A1742=MAX(IF(ROUND($B$2:$B$3722,4)=ROUND(B1742,4),$A$2:$A$3722)),"Efficient","Inefficient")</f>
        <v>Inefficient</v>
      </c>
    </row>
    <row r="1743" spans="1:6" x14ac:dyDescent="0.25">
      <c r="A1743" cm="1">
        <f t="array" ref="A1743">INDEX('Portfolio Weights Returns'!$B$9:$BJ$69,
INT((ROW(A1742)-1)/COLUMNS('Portfolio Weights Returns'!$B$9:$BJ$69))+1,MOD(ROW(A1742)-1,COLUMNS('Portfolio Weights Returns'!$B$9:$BJ$69))+1)</f>
        <v>-7.8711874404823552E-4</v>
      </c>
      <c r="B1743">
        <v>1.9800000000000002E-2</v>
      </c>
      <c r="C1743" s="59">
        <v>0.23</v>
      </c>
      <c r="D1743" s="59">
        <v>-0.22</v>
      </c>
      <c r="E1743" s="60">
        <f t="shared" si="27"/>
        <v>0.99</v>
      </c>
      <c r="F1743" t="str" cm="1">
        <f t="array" ref="F1743">IF(A1743=MAX(IF(ROUND($B$2:$B$3722,4)=ROUND(B1743,4),$A$2:$A$3722)),"Efficient","Inefficient")</f>
        <v>Inefficient</v>
      </c>
    </row>
    <row r="1744" spans="1:6" x14ac:dyDescent="0.25">
      <c r="A1744" cm="1">
        <f t="array" ref="A1744">INDEX('Portfolio Weights Returns'!$B$9:$BJ$69,
INT((ROW(A1743)-1)/COLUMNS('Portfolio Weights Returns'!$B$9:$BJ$69))+1,MOD(ROW(A1743)-1,COLUMNS('Portfolio Weights Returns'!$B$9:$BJ$69))+1)</f>
        <v>-7.8033757008155638E-4</v>
      </c>
      <c r="B1744">
        <v>1.9800000000000002E-2</v>
      </c>
      <c r="C1744" s="59">
        <v>0.21</v>
      </c>
      <c r="D1744" s="59">
        <v>-0.21</v>
      </c>
      <c r="E1744" s="60">
        <f t="shared" si="27"/>
        <v>1</v>
      </c>
      <c r="F1744" t="str" cm="1">
        <f t="array" ref="F1744">IF(A1744=MAX(IF(ROUND($B$2:$B$3722,4)=ROUND(B1744,4),$A$2:$A$3722)),"Efficient","Inefficient")</f>
        <v>Inefficient</v>
      </c>
    </row>
    <row r="1745" spans="1:6" x14ac:dyDescent="0.25">
      <c r="A1745" cm="1">
        <f t="array" ref="A1745">INDEX('Portfolio Weights Returns'!$B$9:$BJ$69,
INT((ROW(A1744)-1)/COLUMNS('Portfolio Weights Returns'!$B$9:$BJ$69))+1,MOD(ROW(A1744)-1,COLUMNS('Portfolio Weights Returns'!$B$9:$BJ$69))+1)</f>
        <v>-7.7355639611487723E-4</v>
      </c>
      <c r="B1745">
        <v>1.9800000000000002E-2</v>
      </c>
      <c r="C1745" s="59">
        <v>0.18</v>
      </c>
      <c r="D1745" s="59">
        <v>-0.19</v>
      </c>
      <c r="E1745" s="60">
        <f t="shared" si="27"/>
        <v>1.01</v>
      </c>
      <c r="F1745" t="str" cm="1">
        <f t="array" ref="F1745">IF(A1745=MAX(IF(ROUND($B$2:$B$3722,4)=ROUND(B1745,4),$A$2:$A$3722)),"Efficient","Inefficient")</f>
        <v>Inefficient</v>
      </c>
    </row>
    <row r="1746" spans="1:6" x14ac:dyDescent="0.25">
      <c r="A1746" cm="1">
        <f t="array" ref="A1746">INDEX('Portfolio Weights Returns'!$B$9:$BJ$69,
INT((ROW(A1745)-1)/COLUMNS('Portfolio Weights Returns'!$B$9:$BJ$69))+1,MOD(ROW(A1745)-1,COLUMNS('Portfolio Weights Returns'!$B$9:$BJ$69))+1)</f>
        <v>-7.6677522214819809E-4</v>
      </c>
      <c r="B1746">
        <v>1.9800000000000002E-2</v>
      </c>
      <c r="C1746" s="59">
        <v>0.15</v>
      </c>
      <c r="D1746" s="59">
        <v>-0.17</v>
      </c>
      <c r="E1746" s="60">
        <f t="shared" si="27"/>
        <v>1.02</v>
      </c>
      <c r="F1746" t="str" cm="1">
        <f t="array" ref="F1746">IF(A1746=MAX(IF(ROUND($B$2:$B$3722,4)=ROUND(B1746,4),$A$2:$A$3722)),"Efficient","Inefficient")</f>
        <v>Inefficient</v>
      </c>
    </row>
    <row r="1747" spans="1:6" x14ac:dyDescent="0.25">
      <c r="A1747" cm="1">
        <f t="array" ref="A1747">INDEX('Portfolio Weights Returns'!$B$9:$BJ$69,
INT((ROW(A1746)-1)/COLUMNS('Portfolio Weights Returns'!$B$9:$BJ$69))+1,MOD(ROW(A1746)-1,COLUMNS('Portfolio Weights Returns'!$B$9:$BJ$69))+1)</f>
        <v>-7.5999404818151894E-4</v>
      </c>
      <c r="B1747">
        <v>1.9800000000000002E-2</v>
      </c>
      <c r="C1747" s="59">
        <v>0.12</v>
      </c>
      <c r="D1747" s="59">
        <v>-0.15</v>
      </c>
      <c r="E1747" s="60">
        <f t="shared" si="27"/>
        <v>1.0299999999999998</v>
      </c>
      <c r="F1747" t="str" cm="1">
        <f t="array" ref="F1747">IF(A1747=MAX(IF(ROUND($B$2:$B$3722,4)=ROUND(B1747,4),$A$2:$A$3722)),"Efficient","Inefficient")</f>
        <v>Inefficient</v>
      </c>
    </row>
    <row r="1748" spans="1:6" x14ac:dyDescent="0.25">
      <c r="A1748" cm="1">
        <f t="array" ref="A1748">INDEX('Portfolio Weights Returns'!$B$9:$BJ$69,
INT((ROW(A1747)-1)/COLUMNS('Portfolio Weights Returns'!$B$9:$BJ$69))+1,MOD(ROW(A1747)-1,COLUMNS('Portfolio Weights Returns'!$B$9:$BJ$69))+1)</f>
        <v>-7.5321287421484002E-4</v>
      </c>
      <c r="B1748">
        <v>1.9800000000000002E-2</v>
      </c>
      <c r="C1748" s="59">
        <v>0.09</v>
      </c>
      <c r="D1748" s="59">
        <v>-0.13</v>
      </c>
      <c r="E1748" s="60">
        <f t="shared" si="27"/>
        <v>1.0399999999999998</v>
      </c>
      <c r="F1748" t="str" cm="1">
        <f t="array" ref="F1748">IF(A1748=MAX(IF(ROUND($B$2:$B$3722,4)=ROUND(B1748,4),$A$2:$A$3722)),"Efficient","Inefficient")</f>
        <v>Inefficient</v>
      </c>
    </row>
    <row r="1749" spans="1:6" x14ac:dyDescent="0.25">
      <c r="A1749" cm="1">
        <f t="array" ref="A1749">INDEX('Portfolio Weights Returns'!$B$9:$BJ$69,
INT((ROW(A1748)-1)/COLUMNS('Portfolio Weights Returns'!$B$9:$BJ$69))+1,MOD(ROW(A1748)-1,COLUMNS('Portfolio Weights Returns'!$B$9:$BJ$69))+1)</f>
        <v>-7.4643170024816087E-4</v>
      </c>
      <c r="B1749">
        <v>1.9800000000000002E-2</v>
      </c>
      <c r="C1749" s="59">
        <v>0.08</v>
      </c>
      <c r="D1749" s="59">
        <v>-0.12</v>
      </c>
      <c r="E1749" s="60">
        <f t="shared" si="27"/>
        <v>1.04</v>
      </c>
      <c r="F1749" t="str" cm="1">
        <f t="array" ref="F1749">IF(A1749=MAX(IF(ROUND($B$2:$B$3722,4)=ROUND(B1749,4),$A$2:$A$3722)),"Efficient","Inefficient")</f>
        <v>Inefficient</v>
      </c>
    </row>
    <row r="1750" spans="1:6" x14ac:dyDescent="0.25">
      <c r="A1750" cm="1">
        <f t="array" ref="A1750">INDEX('Portfolio Weights Returns'!$B$9:$BJ$69,
INT((ROW(A1749)-1)/COLUMNS('Portfolio Weights Returns'!$B$9:$BJ$69))+1,MOD(ROW(A1749)-1,COLUMNS('Portfolio Weights Returns'!$B$9:$BJ$69))+1)</f>
        <v>-7.3965052628148184E-4</v>
      </c>
      <c r="B1750">
        <v>1.9800000000000002E-2</v>
      </c>
      <c r="C1750" s="59">
        <v>7.0000000000000007E-2</v>
      </c>
      <c r="D1750" s="59">
        <v>-0.11</v>
      </c>
      <c r="E1750" s="60">
        <f t="shared" si="27"/>
        <v>1.04</v>
      </c>
      <c r="F1750" t="str" cm="1">
        <f t="array" ref="F1750">IF(A1750=MAX(IF(ROUND($B$2:$B$3722,4)=ROUND(B1750,4),$A$2:$A$3722)),"Efficient","Inefficient")</f>
        <v>Inefficient</v>
      </c>
    </row>
    <row r="1751" spans="1:6" x14ac:dyDescent="0.25">
      <c r="A1751" cm="1">
        <f t="array" ref="A1751">INDEX('Portfolio Weights Returns'!$B$9:$BJ$69,
INT((ROW(A1750)-1)/COLUMNS('Portfolio Weights Returns'!$B$9:$BJ$69))+1,MOD(ROW(A1750)-1,COLUMNS('Portfolio Weights Returns'!$B$9:$BJ$69))+1)</f>
        <v>-7.3286935231480269E-4</v>
      </c>
      <c r="B1751">
        <v>1.9800000000000002E-2</v>
      </c>
      <c r="C1751" s="59">
        <v>0.04</v>
      </c>
      <c r="D1751" s="59">
        <v>-0.09</v>
      </c>
      <c r="E1751" s="60">
        <f t="shared" si="27"/>
        <v>1.05</v>
      </c>
      <c r="F1751" t="str" cm="1">
        <f t="array" ref="F1751">IF(A1751=MAX(IF(ROUND($B$2:$B$3722,4)=ROUND(B1751,4),$A$2:$A$3722)),"Efficient","Inefficient")</f>
        <v>Inefficient</v>
      </c>
    </row>
    <row r="1752" spans="1:6" x14ac:dyDescent="0.25">
      <c r="A1752" cm="1">
        <f t="array" ref="A1752">INDEX('Portfolio Weights Returns'!$B$9:$BJ$69,
INT((ROW(A1751)-1)/COLUMNS('Portfolio Weights Returns'!$B$9:$BJ$69))+1,MOD(ROW(A1751)-1,COLUMNS('Portfolio Weights Returns'!$B$9:$BJ$69))+1)</f>
        <v>-7.2608817834812355E-4</v>
      </c>
      <c r="B1752">
        <v>1.9800000000000002E-2</v>
      </c>
      <c r="C1752" s="59">
        <v>0.03</v>
      </c>
      <c r="D1752" s="59">
        <v>-0.08</v>
      </c>
      <c r="E1752" s="60">
        <f t="shared" si="27"/>
        <v>1.05</v>
      </c>
      <c r="F1752" t="str" cm="1">
        <f t="array" ref="F1752">IF(A1752=MAX(IF(ROUND($B$2:$B$3722,4)=ROUND(B1752,4),$A$2:$A$3722)),"Efficient","Inefficient")</f>
        <v>Inefficient</v>
      </c>
    </row>
    <row r="1753" spans="1:6" x14ac:dyDescent="0.25">
      <c r="A1753" cm="1">
        <f t="array" ref="A1753">INDEX('Portfolio Weights Returns'!$B$9:$BJ$69,
INT((ROW(A1752)-1)/COLUMNS('Portfolio Weights Returns'!$B$9:$BJ$69))+1,MOD(ROW(A1752)-1,COLUMNS('Portfolio Weights Returns'!$B$9:$BJ$69))+1)</f>
        <v>-7.193070043814444E-4</v>
      </c>
      <c r="B1753">
        <v>1.9800000000000002E-2</v>
      </c>
      <c r="C1753" s="59">
        <v>0.02</v>
      </c>
      <c r="D1753" s="59">
        <v>-7.0000000000000007E-2</v>
      </c>
      <c r="E1753" s="60">
        <f t="shared" si="27"/>
        <v>1.05</v>
      </c>
      <c r="F1753" t="str" cm="1">
        <f t="array" ref="F1753">IF(A1753=MAX(IF(ROUND($B$2:$B$3722,4)=ROUND(B1753,4),$A$2:$A$3722)),"Efficient","Inefficient")</f>
        <v>Inefficient</v>
      </c>
    </row>
    <row r="1754" spans="1:6" x14ac:dyDescent="0.25">
      <c r="A1754" cm="1">
        <f t="array" ref="A1754">INDEX('Portfolio Weights Returns'!$B$9:$BJ$69,
INT((ROW(A1753)-1)/COLUMNS('Portfolio Weights Returns'!$B$9:$BJ$69))+1,MOD(ROW(A1753)-1,COLUMNS('Portfolio Weights Returns'!$B$9:$BJ$69))+1)</f>
        <v>-7.1252583041476537E-4</v>
      </c>
      <c r="B1754">
        <v>1.9800000000000002E-2</v>
      </c>
      <c r="C1754" s="59">
        <v>0.01</v>
      </c>
      <c r="D1754" s="59">
        <v>-0.06</v>
      </c>
      <c r="E1754" s="60">
        <f t="shared" si="27"/>
        <v>1.05</v>
      </c>
      <c r="F1754" t="str" cm="1">
        <f t="array" ref="F1754">IF(A1754=MAX(IF(ROUND($B$2:$B$3722,4)=ROUND(B1754,4),$A$2:$A$3722)),"Efficient","Inefficient")</f>
        <v>Inefficient</v>
      </c>
    </row>
    <row r="1755" spans="1:6" x14ac:dyDescent="0.25">
      <c r="A1755" cm="1">
        <f t="array" ref="A1755">INDEX('Portfolio Weights Returns'!$B$9:$BJ$69,
INT((ROW(A1754)-1)/COLUMNS('Portfolio Weights Returns'!$B$9:$BJ$69))+1,MOD(ROW(A1754)-1,COLUMNS('Portfolio Weights Returns'!$B$9:$BJ$69))+1)</f>
        <v>-7.0574465644808622E-4</v>
      </c>
      <c r="B1755">
        <v>1.9800000000000002E-2</v>
      </c>
      <c r="C1755" s="59">
        <v>0</v>
      </c>
      <c r="D1755" s="59">
        <v>-0.05</v>
      </c>
      <c r="E1755" s="60">
        <f t="shared" si="27"/>
        <v>1.05</v>
      </c>
      <c r="F1755" t="str" cm="1">
        <f t="array" ref="F1755">IF(A1755=MAX(IF(ROUND($B$2:$B$3722,4)=ROUND(B1755,4),$A$2:$A$3722)),"Efficient","Inefficient")</f>
        <v>Inefficient</v>
      </c>
    </row>
    <row r="1756" spans="1:6" x14ac:dyDescent="0.25">
      <c r="A1756" cm="1">
        <f t="array" ref="A1756">INDEX('Portfolio Weights Returns'!$B$9:$BJ$69,
INT((ROW(A1755)-1)/COLUMNS('Portfolio Weights Returns'!$B$9:$BJ$69))+1,MOD(ROW(A1755)-1,COLUMNS('Portfolio Weights Returns'!$B$9:$BJ$69))+1)</f>
        <v>-6.9896348248140708E-4</v>
      </c>
      <c r="B1756">
        <v>1.9800000000000002E-2</v>
      </c>
      <c r="C1756" s="59">
        <v>-0.01</v>
      </c>
      <c r="D1756" s="59">
        <v>-0.04</v>
      </c>
      <c r="E1756" s="60">
        <f t="shared" si="27"/>
        <v>1.05</v>
      </c>
      <c r="F1756" t="str" cm="1">
        <f t="array" ref="F1756">IF(A1756=MAX(IF(ROUND($B$2:$B$3722,4)=ROUND(B1756,4),$A$2:$A$3722)),"Efficient","Inefficient")</f>
        <v>Inefficient</v>
      </c>
    </row>
    <row r="1757" spans="1:6" x14ac:dyDescent="0.25">
      <c r="A1757" cm="1">
        <f t="array" ref="A1757">INDEX('Portfolio Weights Returns'!$B$9:$BJ$69,
INT((ROW(A1756)-1)/COLUMNS('Portfolio Weights Returns'!$B$9:$BJ$69))+1,MOD(ROW(A1756)-1,COLUMNS('Portfolio Weights Returns'!$B$9:$BJ$69))+1)</f>
        <v>-6.9218230851472804E-4</v>
      </c>
      <c r="B1757">
        <v>1.9800000000000002E-2</v>
      </c>
      <c r="C1757" s="59">
        <v>-0.02</v>
      </c>
      <c r="D1757" s="59">
        <v>-0.03</v>
      </c>
      <c r="E1757" s="60">
        <f t="shared" si="27"/>
        <v>1.05</v>
      </c>
      <c r="F1757" t="str" cm="1">
        <f t="array" ref="F1757">IF(A1757=MAX(IF(ROUND($B$2:$B$3722,4)=ROUND(B1757,4),$A$2:$A$3722)),"Efficient","Inefficient")</f>
        <v>Inefficient</v>
      </c>
    </row>
    <row r="1758" spans="1:6" x14ac:dyDescent="0.25">
      <c r="A1758" cm="1">
        <f t="array" ref="A1758">INDEX('Portfolio Weights Returns'!$B$9:$BJ$69,
INT((ROW(A1757)-1)/COLUMNS('Portfolio Weights Returns'!$B$9:$BJ$69))+1,MOD(ROW(A1757)-1,COLUMNS('Portfolio Weights Returns'!$B$9:$BJ$69))+1)</f>
        <v>-6.854011345480489E-4</v>
      </c>
      <c r="B1758">
        <v>1.9800000000000002E-2</v>
      </c>
      <c r="C1758" s="59">
        <v>-0.03</v>
      </c>
      <c r="D1758" s="59">
        <v>-0.02</v>
      </c>
      <c r="E1758" s="60">
        <f t="shared" si="27"/>
        <v>1.05</v>
      </c>
      <c r="F1758" t="str" cm="1">
        <f t="array" ref="F1758">IF(A1758=MAX(IF(ROUND($B$2:$B$3722,4)=ROUND(B1758,4),$A$2:$A$3722)),"Efficient","Inefficient")</f>
        <v>Inefficient</v>
      </c>
    </row>
    <row r="1759" spans="1:6" x14ac:dyDescent="0.25">
      <c r="A1759" cm="1">
        <f t="array" ref="A1759">INDEX('Portfolio Weights Returns'!$B$9:$BJ$69,
INT((ROW(A1758)-1)/COLUMNS('Portfolio Weights Returns'!$B$9:$BJ$69))+1,MOD(ROW(A1758)-1,COLUMNS('Portfolio Weights Returns'!$B$9:$BJ$69))+1)</f>
        <v>-6.7861996058136986E-4</v>
      </c>
      <c r="B1759">
        <v>1.9800000000000002E-2</v>
      </c>
      <c r="C1759" s="59">
        <v>-0.05</v>
      </c>
      <c r="D1759" s="59">
        <v>0.01</v>
      </c>
      <c r="E1759" s="60">
        <f t="shared" si="27"/>
        <v>1.04</v>
      </c>
      <c r="F1759" t="str" cm="1">
        <f t="array" ref="F1759">IF(A1759=MAX(IF(ROUND($B$2:$B$3722,4)=ROUND(B1759,4),$A$2:$A$3722)),"Efficient","Inefficient")</f>
        <v>Inefficient</v>
      </c>
    </row>
    <row r="1760" spans="1:6" x14ac:dyDescent="0.25">
      <c r="A1760" cm="1">
        <f t="array" ref="A1760">INDEX('Portfolio Weights Returns'!$B$9:$BJ$69,
INT((ROW(A1759)-1)/COLUMNS('Portfolio Weights Returns'!$B$9:$BJ$69))+1,MOD(ROW(A1759)-1,COLUMNS('Portfolio Weights Returns'!$B$9:$BJ$69))+1)</f>
        <v>-6.7183878661469072E-4</v>
      </c>
      <c r="B1760">
        <v>1.9800000000000002E-2</v>
      </c>
      <c r="C1760" s="59">
        <v>-0.06</v>
      </c>
      <c r="D1760" s="59">
        <v>0.02</v>
      </c>
      <c r="E1760" s="60">
        <f t="shared" si="27"/>
        <v>1.04</v>
      </c>
      <c r="F1760" t="str" cm="1">
        <f t="array" ref="F1760">IF(A1760=MAX(IF(ROUND($B$2:$B$3722,4)=ROUND(B1760,4),$A$2:$A$3722)),"Efficient","Inefficient")</f>
        <v>Inefficient</v>
      </c>
    </row>
    <row r="1761" spans="1:6" x14ac:dyDescent="0.25">
      <c r="A1761" cm="1">
        <f t="array" ref="A1761">INDEX('Portfolio Weights Returns'!$B$9:$BJ$69,
INT((ROW(A1760)-1)/COLUMNS('Portfolio Weights Returns'!$B$9:$BJ$69))+1,MOD(ROW(A1760)-1,COLUMNS('Portfolio Weights Returns'!$B$9:$BJ$69))+1)</f>
        <v>-6.6505761264801168E-4</v>
      </c>
      <c r="B1761">
        <v>1.9800000000000002E-2</v>
      </c>
      <c r="C1761" s="59">
        <v>-7.0000000000000007E-2</v>
      </c>
      <c r="D1761" s="59">
        <v>0.03</v>
      </c>
      <c r="E1761" s="60">
        <f t="shared" si="27"/>
        <v>1.04</v>
      </c>
      <c r="F1761" t="str" cm="1">
        <f t="array" ref="F1761">IF(A1761=MAX(IF(ROUND($B$2:$B$3722,4)=ROUND(B1761,4),$A$2:$A$3722)),"Efficient","Inefficient")</f>
        <v>Inefficient</v>
      </c>
    </row>
    <row r="1762" spans="1:6" x14ac:dyDescent="0.25">
      <c r="A1762" cm="1">
        <f t="array" ref="A1762">INDEX('Portfolio Weights Returns'!$B$9:$BJ$69,
INT((ROW(A1761)-1)/COLUMNS('Portfolio Weights Returns'!$B$9:$BJ$69))+1,MOD(ROW(A1761)-1,COLUMNS('Portfolio Weights Returns'!$B$9:$BJ$69))+1)</f>
        <v>-6.5827643868133254E-4</v>
      </c>
      <c r="B1762">
        <v>1.9800000000000002E-2</v>
      </c>
      <c r="C1762" s="59">
        <v>-0.08</v>
      </c>
      <c r="D1762" s="59">
        <v>0.05</v>
      </c>
      <c r="E1762" s="60">
        <f t="shared" si="27"/>
        <v>1.03</v>
      </c>
      <c r="F1762" t="str" cm="1">
        <f t="array" ref="F1762">IF(A1762=MAX(IF(ROUND($B$2:$B$3722,4)=ROUND(B1762,4),$A$2:$A$3722)),"Efficient","Inefficient")</f>
        <v>Inefficient</v>
      </c>
    </row>
    <row r="1763" spans="1:6" x14ac:dyDescent="0.25">
      <c r="A1763" cm="1">
        <f t="array" ref="A1763">INDEX('Portfolio Weights Returns'!$B$9:$BJ$69,
INT((ROW(A1762)-1)/COLUMNS('Portfolio Weights Returns'!$B$9:$BJ$69))+1,MOD(ROW(A1762)-1,COLUMNS('Portfolio Weights Returns'!$B$9:$BJ$69))+1)</f>
        <v>-6.514952647146535E-4</v>
      </c>
      <c r="B1763">
        <v>1.9800000000000002E-2</v>
      </c>
      <c r="C1763" s="59">
        <v>-0.09</v>
      </c>
      <c r="D1763" s="59">
        <v>7.0000000000000007E-2</v>
      </c>
      <c r="E1763" s="60">
        <f t="shared" si="27"/>
        <v>1.02</v>
      </c>
      <c r="F1763" t="str" cm="1">
        <f t="array" ref="F1763">IF(A1763=MAX(IF(ROUND($B$2:$B$3722,4)=ROUND(B1763,4),$A$2:$A$3722)),"Efficient","Inefficient")</f>
        <v>Inefficient</v>
      </c>
    </row>
    <row r="1764" spans="1:6" x14ac:dyDescent="0.25">
      <c r="A1764" cm="1">
        <f t="array" ref="A1764">INDEX('Portfolio Weights Returns'!$B$9:$BJ$69,
INT((ROW(A1763)-1)/COLUMNS('Portfolio Weights Returns'!$B$9:$BJ$69))+1,MOD(ROW(A1763)-1,COLUMNS('Portfolio Weights Returns'!$B$9:$BJ$69))+1)</f>
        <v>-6.4471409074797425E-4</v>
      </c>
      <c r="B1764">
        <v>1.9800000000000002E-2</v>
      </c>
      <c r="C1764" s="59">
        <v>-0.1</v>
      </c>
      <c r="D1764" s="59">
        <v>0.08</v>
      </c>
      <c r="E1764" s="60">
        <f t="shared" si="27"/>
        <v>1.02</v>
      </c>
      <c r="F1764" t="str" cm="1">
        <f t="array" ref="F1764">IF(A1764=MAX(IF(ROUND($B$2:$B$3722,4)=ROUND(B1764,4),$A$2:$A$3722)),"Efficient","Inefficient")</f>
        <v>Inefficient</v>
      </c>
    </row>
    <row r="1765" spans="1:6" x14ac:dyDescent="0.25">
      <c r="A1765" cm="1">
        <f t="array" ref="A1765">INDEX('Portfolio Weights Returns'!$B$9:$BJ$69,
INT((ROW(A1764)-1)/COLUMNS('Portfolio Weights Returns'!$B$9:$BJ$69))+1,MOD(ROW(A1764)-1,COLUMNS('Portfolio Weights Returns'!$B$9:$BJ$69))+1)</f>
        <v>-6.379329167812951E-4</v>
      </c>
      <c r="B1765">
        <v>1.9800000000000002E-2</v>
      </c>
      <c r="C1765" s="59">
        <v>-0.1</v>
      </c>
      <c r="D1765" s="59">
        <v>0.09</v>
      </c>
      <c r="E1765" s="60">
        <f t="shared" si="27"/>
        <v>1.01</v>
      </c>
      <c r="F1765" t="str" cm="1">
        <f t="array" ref="F1765">IF(A1765=MAX(IF(ROUND($B$2:$B$3722,4)=ROUND(B1765,4),$A$2:$A$3722)),"Efficient","Inefficient")</f>
        <v>Inefficient</v>
      </c>
    </row>
    <row r="1766" spans="1:6" x14ac:dyDescent="0.25">
      <c r="A1766" cm="1">
        <f t="array" ref="A1766">INDEX('Portfolio Weights Returns'!$B$9:$BJ$69,
INT((ROW(A1765)-1)/COLUMNS('Portfolio Weights Returns'!$B$9:$BJ$69))+1,MOD(ROW(A1765)-1,COLUMNS('Portfolio Weights Returns'!$B$9:$BJ$69))+1)</f>
        <v>-6.3115174281461607E-4</v>
      </c>
      <c r="B1766">
        <v>1.9800000000000002E-2</v>
      </c>
      <c r="C1766" s="59">
        <v>-0.11</v>
      </c>
      <c r="D1766" s="59">
        <v>0.11</v>
      </c>
      <c r="E1766" s="60">
        <f t="shared" si="27"/>
        <v>1</v>
      </c>
      <c r="F1766" t="str" cm="1">
        <f t="array" ref="F1766">IF(A1766=MAX(IF(ROUND($B$2:$B$3722,4)=ROUND(B1766,4),$A$2:$A$3722)),"Efficient","Inefficient")</f>
        <v>Inefficient</v>
      </c>
    </row>
    <row r="1767" spans="1:6" x14ac:dyDescent="0.25">
      <c r="A1767" cm="1">
        <f t="array" ref="A1767">INDEX('Portfolio Weights Returns'!$B$9:$BJ$69,
INT((ROW(A1766)-1)/COLUMNS('Portfolio Weights Returns'!$B$9:$BJ$69))+1,MOD(ROW(A1766)-1,COLUMNS('Portfolio Weights Returns'!$B$9:$BJ$69))+1)</f>
        <v>-6.2437056884793627E-4</v>
      </c>
      <c r="B1767">
        <v>1.9800000000000002E-2</v>
      </c>
      <c r="C1767" s="59">
        <v>-0.11</v>
      </c>
      <c r="D1767" s="59">
        <v>0.12</v>
      </c>
      <c r="E1767" s="60">
        <f t="shared" si="27"/>
        <v>0.99</v>
      </c>
      <c r="F1767" t="str" cm="1">
        <f t="array" ref="F1767">IF(A1767=MAX(IF(ROUND($B$2:$B$3722,4)=ROUND(B1767,4),$A$2:$A$3722)),"Efficient","Inefficient")</f>
        <v>Inefficient</v>
      </c>
    </row>
    <row r="1768" spans="1:6" x14ac:dyDescent="0.25">
      <c r="A1768" cm="1">
        <f t="array" ref="A1768">INDEX('Portfolio Weights Returns'!$B$9:$BJ$69,
INT((ROW(A1767)-1)/COLUMNS('Portfolio Weights Returns'!$B$9:$BJ$69))+1,MOD(ROW(A1767)-1,COLUMNS('Portfolio Weights Returns'!$B$9:$BJ$69))+1)</f>
        <v>-6.1758939488125724E-4</v>
      </c>
      <c r="B1768">
        <v>1.9800000000000002E-2</v>
      </c>
      <c r="C1768" s="59">
        <v>-0.12</v>
      </c>
      <c r="D1768" s="59">
        <v>0.14000000000000001</v>
      </c>
      <c r="E1768" s="60">
        <f t="shared" si="27"/>
        <v>0.98</v>
      </c>
      <c r="F1768" t="str" cm="1">
        <f t="array" ref="F1768">IF(A1768=MAX(IF(ROUND($B$2:$B$3722,4)=ROUND(B1768,4),$A$2:$A$3722)),"Efficient","Inefficient")</f>
        <v>Inefficient</v>
      </c>
    </row>
    <row r="1769" spans="1:6" x14ac:dyDescent="0.25">
      <c r="A1769" cm="1">
        <f t="array" ref="A1769">INDEX('Portfolio Weights Returns'!$B$9:$BJ$69,
INT((ROW(A1768)-1)/COLUMNS('Portfolio Weights Returns'!$B$9:$BJ$69))+1,MOD(ROW(A1768)-1,COLUMNS('Portfolio Weights Returns'!$B$9:$BJ$69))+1)</f>
        <v>-6.1080822091457809E-4</v>
      </c>
      <c r="B1769">
        <v>1.9800000000000002E-2</v>
      </c>
      <c r="C1769" s="59">
        <v>-0.12</v>
      </c>
      <c r="D1769" s="59">
        <v>0.15</v>
      </c>
      <c r="E1769" s="60">
        <f t="shared" si="27"/>
        <v>0.97</v>
      </c>
      <c r="F1769" t="str" cm="1">
        <f t="array" ref="F1769">IF(A1769=MAX(IF(ROUND($B$2:$B$3722,4)=ROUND(B1769,4),$A$2:$A$3722)),"Efficient","Inefficient")</f>
        <v>Inefficient</v>
      </c>
    </row>
    <row r="1770" spans="1:6" x14ac:dyDescent="0.25">
      <c r="A1770" cm="1">
        <f t="array" ref="A1770">INDEX('Portfolio Weights Returns'!$B$9:$BJ$69,
INT((ROW(A1769)-1)/COLUMNS('Portfolio Weights Returns'!$B$9:$BJ$69))+1,MOD(ROW(A1769)-1,COLUMNS('Portfolio Weights Returns'!$B$9:$BJ$69))+1)</f>
        <v>-6.0402704694789906E-4</v>
      </c>
      <c r="B1770">
        <v>1.9800000000000002E-2</v>
      </c>
      <c r="C1770" s="59">
        <v>-0.12</v>
      </c>
      <c r="D1770" s="59">
        <v>0.16</v>
      </c>
      <c r="E1770" s="60">
        <f t="shared" si="27"/>
        <v>0.96</v>
      </c>
      <c r="F1770" t="str" cm="1">
        <f t="array" ref="F1770">IF(A1770=MAX(IF(ROUND($B$2:$B$3722,4)=ROUND(B1770,4),$A$2:$A$3722)),"Efficient","Inefficient")</f>
        <v>Efficient</v>
      </c>
    </row>
    <row r="1771" spans="1:6" x14ac:dyDescent="0.25">
      <c r="A1771" cm="1">
        <f t="array" ref="A1771">INDEX('Portfolio Weights Returns'!$B$9:$BJ$69,
INT((ROW(A1770)-1)/COLUMNS('Portfolio Weights Returns'!$B$9:$BJ$69))+1,MOD(ROW(A1770)-1,COLUMNS('Portfolio Weights Returns'!$B$9:$BJ$69))+1)</f>
        <v>-1.0043232771031908E-3</v>
      </c>
      <c r="B1771">
        <v>1.9800000000000002E-2</v>
      </c>
      <c r="C1771" s="59">
        <v>-0.12</v>
      </c>
      <c r="D1771" s="59">
        <v>0.17</v>
      </c>
      <c r="E1771" s="60">
        <f t="shared" si="27"/>
        <v>0.95</v>
      </c>
      <c r="F1771" t="str" cm="1">
        <f t="array" ref="F1771">IF(A1771=MAX(IF(ROUND($B$2:$B$3722,4)=ROUND(B1771,4),$A$2:$A$3722)),"Efficient","Inefficient")</f>
        <v>Inefficient</v>
      </c>
    </row>
    <row r="1772" spans="1:6" x14ac:dyDescent="0.25">
      <c r="A1772" cm="1">
        <f t="array" ref="A1772">INDEX('Portfolio Weights Returns'!$B$9:$BJ$69,
INT((ROW(A1771)-1)/COLUMNS('Portfolio Weights Returns'!$B$9:$BJ$69))+1,MOD(ROW(A1771)-1,COLUMNS('Portfolio Weights Returns'!$B$9:$BJ$69))+1)</f>
        <v>-9.9754210313651162E-4</v>
      </c>
      <c r="B1772">
        <v>1.9800000000000002E-2</v>
      </c>
      <c r="C1772" s="59">
        <v>-0.12</v>
      </c>
      <c r="D1772" s="59">
        <v>0.2</v>
      </c>
      <c r="E1772" s="60">
        <f t="shared" si="27"/>
        <v>0.92</v>
      </c>
      <c r="F1772" t="str" cm="1">
        <f t="array" ref="F1772">IF(A1772=MAX(IF(ROUND($B$2:$B$3722,4)=ROUND(B1772,4),$A$2:$A$3722)),"Efficient","Inefficient")</f>
        <v>Inefficient</v>
      </c>
    </row>
    <row r="1773" spans="1:6" x14ac:dyDescent="0.25">
      <c r="A1773" cm="1">
        <f t="array" ref="A1773">INDEX('Portfolio Weights Returns'!$B$9:$BJ$69,
INT((ROW(A1772)-1)/COLUMNS('Portfolio Weights Returns'!$B$9:$BJ$69))+1,MOD(ROW(A1772)-1,COLUMNS('Portfolio Weights Returns'!$B$9:$BJ$69))+1)</f>
        <v>-9.9076092916983247E-4</v>
      </c>
      <c r="B1773">
        <v>1.9800000000000002E-2</v>
      </c>
      <c r="C1773" s="59">
        <v>-0.12</v>
      </c>
      <c r="D1773" s="59">
        <v>0.21</v>
      </c>
      <c r="E1773" s="60">
        <f t="shared" si="27"/>
        <v>0.91</v>
      </c>
      <c r="F1773" t="str" cm="1">
        <f t="array" ref="F1773">IF(A1773=MAX(IF(ROUND($B$2:$B$3722,4)=ROUND(B1773,4),$A$2:$A$3722)),"Efficient","Inefficient")</f>
        <v>Inefficient</v>
      </c>
    </row>
    <row r="1774" spans="1:6" x14ac:dyDescent="0.25">
      <c r="A1774" cm="1">
        <f t="array" ref="A1774">INDEX('Portfolio Weights Returns'!$B$9:$BJ$69,
INT((ROW(A1773)-1)/COLUMNS('Portfolio Weights Returns'!$B$9:$BJ$69))+1,MOD(ROW(A1773)-1,COLUMNS('Portfolio Weights Returns'!$B$9:$BJ$69))+1)</f>
        <v>-9.8397975520315333E-4</v>
      </c>
      <c r="B1774">
        <v>1.9800000000000002E-2</v>
      </c>
      <c r="C1774" s="59">
        <v>-0.12</v>
      </c>
      <c r="D1774" s="59">
        <v>0.22</v>
      </c>
      <c r="E1774" s="60">
        <f t="shared" si="27"/>
        <v>0.9</v>
      </c>
      <c r="F1774" t="str" cm="1">
        <f t="array" ref="F1774">IF(A1774=MAX(IF(ROUND($B$2:$B$3722,4)=ROUND(B1774,4),$A$2:$A$3722)),"Efficient","Inefficient")</f>
        <v>Inefficient</v>
      </c>
    </row>
    <row r="1775" spans="1:6" x14ac:dyDescent="0.25">
      <c r="A1775" cm="1">
        <f t="array" ref="A1775">INDEX('Portfolio Weights Returns'!$B$9:$BJ$69,
INT((ROW(A1774)-1)/COLUMNS('Portfolio Weights Returns'!$B$9:$BJ$69))+1,MOD(ROW(A1774)-1,COLUMNS('Portfolio Weights Returns'!$B$9:$BJ$69))+1)</f>
        <v>-9.7719858123647418E-4</v>
      </c>
      <c r="B1775">
        <v>1.9800000000000002E-2</v>
      </c>
      <c r="C1775" s="59">
        <v>-0.12</v>
      </c>
      <c r="D1775" s="59">
        <v>0.23</v>
      </c>
      <c r="E1775" s="60">
        <f t="shared" si="27"/>
        <v>0.89</v>
      </c>
      <c r="F1775" t="str" cm="1">
        <f t="array" ref="F1775">IF(A1775=MAX(IF(ROUND($B$2:$B$3722,4)=ROUND(B1775,4),$A$2:$A$3722)),"Efficient","Inefficient")</f>
        <v>Inefficient</v>
      </c>
    </row>
    <row r="1776" spans="1:6" x14ac:dyDescent="0.25">
      <c r="A1776" cm="1">
        <f t="array" ref="A1776">INDEX('Portfolio Weights Returns'!$B$9:$BJ$69,
INT((ROW(A1775)-1)/COLUMNS('Portfolio Weights Returns'!$B$9:$BJ$69))+1,MOD(ROW(A1775)-1,COLUMNS('Portfolio Weights Returns'!$B$9:$BJ$69))+1)</f>
        <v>-9.7041740726979515E-4</v>
      </c>
      <c r="B1776">
        <v>1.9800000000000002E-2</v>
      </c>
      <c r="C1776" s="59">
        <v>-0.11</v>
      </c>
      <c r="D1776" s="59">
        <v>0.25</v>
      </c>
      <c r="E1776" s="60">
        <f t="shared" si="27"/>
        <v>0.86</v>
      </c>
      <c r="F1776" t="str" cm="1">
        <f t="array" ref="F1776">IF(A1776=MAX(IF(ROUND($B$2:$B$3722,4)=ROUND(B1776,4),$A$2:$A$3722)),"Efficient","Inefficient")</f>
        <v>Inefficient</v>
      </c>
    </row>
    <row r="1777" spans="1:6" x14ac:dyDescent="0.25">
      <c r="A1777" cm="1">
        <f t="array" ref="A1777">INDEX('Portfolio Weights Returns'!$B$9:$BJ$69,
INT((ROW(A1776)-1)/COLUMNS('Portfolio Weights Returns'!$B$9:$BJ$69))+1,MOD(ROW(A1776)-1,COLUMNS('Portfolio Weights Returns'!$B$9:$BJ$69))+1)</f>
        <v>-9.6363623330311611E-4</v>
      </c>
      <c r="B1777">
        <v>1.9800000000000002E-2</v>
      </c>
      <c r="C1777" s="59">
        <v>-0.11</v>
      </c>
      <c r="D1777" s="59">
        <v>0.26</v>
      </c>
      <c r="E1777" s="60">
        <f t="shared" si="27"/>
        <v>0.85</v>
      </c>
      <c r="F1777" t="str" cm="1">
        <f t="array" ref="F1777">IF(A1777=MAX(IF(ROUND($B$2:$B$3722,4)=ROUND(B1777,4),$A$2:$A$3722)),"Efficient","Inefficient")</f>
        <v>Inefficient</v>
      </c>
    </row>
    <row r="1778" spans="1:6" x14ac:dyDescent="0.25">
      <c r="A1778" cm="1">
        <f t="array" ref="A1778">INDEX('Portfolio Weights Returns'!$B$9:$BJ$69,
INT((ROW(A1777)-1)/COLUMNS('Portfolio Weights Returns'!$B$9:$BJ$69))+1,MOD(ROW(A1777)-1,COLUMNS('Portfolio Weights Returns'!$B$9:$BJ$69))+1)</f>
        <v>-9.5685505933643697E-4</v>
      </c>
      <c r="B1778">
        <v>1.9800000000000002E-2</v>
      </c>
      <c r="C1778" s="59">
        <v>-0.1</v>
      </c>
      <c r="D1778" s="59">
        <v>0.27</v>
      </c>
      <c r="E1778" s="60">
        <f t="shared" si="27"/>
        <v>0.83</v>
      </c>
      <c r="F1778" t="str" cm="1">
        <f t="array" ref="F1778">IF(A1778=MAX(IF(ROUND($B$2:$B$3722,4)=ROUND(B1778,4),$A$2:$A$3722)),"Efficient","Inefficient")</f>
        <v>Inefficient</v>
      </c>
    </row>
    <row r="1779" spans="1:6" x14ac:dyDescent="0.25">
      <c r="A1779" cm="1">
        <f t="array" ref="A1779">INDEX('Portfolio Weights Returns'!$B$9:$BJ$69,
INT((ROW(A1778)-1)/COLUMNS('Portfolio Weights Returns'!$B$9:$BJ$69))+1,MOD(ROW(A1778)-1,COLUMNS('Portfolio Weights Returns'!$B$9:$BJ$69))+1)</f>
        <v>-9.5007388536975793E-4</v>
      </c>
      <c r="B1779">
        <v>1.9800000000000002E-2</v>
      </c>
      <c r="C1779" s="59">
        <v>-0.09</v>
      </c>
      <c r="D1779" s="59">
        <v>0.28999999999999998</v>
      </c>
      <c r="E1779" s="60">
        <f t="shared" si="27"/>
        <v>0.79999999999999993</v>
      </c>
      <c r="F1779" t="str" cm="1">
        <f t="array" ref="F1779">IF(A1779=MAX(IF(ROUND($B$2:$B$3722,4)=ROUND(B1779,4),$A$2:$A$3722)),"Efficient","Inefficient")</f>
        <v>Inefficient</v>
      </c>
    </row>
    <row r="1780" spans="1:6" x14ac:dyDescent="0.25">
      <c r="A1780" cm="1">
        <f t="array" ref="A1780">INDEX('Portfolio Weights Returns'!$B$9:$BJ$69,
INT((ROW(A1779)-1)/COLUMNS('Portfolio Weights Returns'!$B$9:$BJ$69))+1,MOD(ROW(A1779)-1,COLUMNS('Portfolio Weights Returns'!$B$9:$BJ$69))+1)</f>
        <v>-9.4329271140307879E-4</v>
      </c>
      <c r="B1780">
        <v>1.9800000000000002E-2</v>
      </c>
      <c r="C1780" s="59">
        <v>-0.08</v>
      </c>
      <c r="D1780" s="59">
        <v>0.3</v>
      </c>
      <c r="E1780" s="60">
        <f t="shared" si="27"/>
        <v>0.77999999999999992</v>
      </c>
      <c r="F1780" t="str" cm="1">
        <f t="array" ref="F1780">IF(A1780=MAX(IF(ROUND($B$2:$B$3722,4)=ROUND(B1780,4),$A$2:$A$3722)),"Efficient","Inefficient")</f>
        <v>Inefficient</v>
      </c>
    </row>
    <row r="1781" spans="1:6" x14ac:dyDescent="0.25">
      <c r="A1781" cm="1">
        <f t="array" ref="A1781">INDEX('Portfolio Weights Returns'!$B$9:$BJ$69,
INT((ROW(A1780)-1)/COLUMNS('Portfolio Weights Returns'!$B$9:$BJ$69))+1,MOD(ROW(A1780)-1,COLUMNS('Portfolio Weights Returns'!$B$9:$BJ$69))+1)</f>
        <v>-9.3651153743639964E-4</v>
      </c>
      <c r="B1781">
        <v>1.9900000000000001E-2</v>
      </c>
      <c r="C1781" s="59">
        <v>0.3</v>
      </c>
      <c r="D1781" s="59">
        <v>-0.26</v>
      </c>
      <c r="E1781" s="60">
        <f t="shared" si="27"/>
        <v>0.96</v>
      </c>
      <c r="F1781" t="str" cm="1">
        <f t="array" ref="F1781">IF(A1781=MAX(IF(ROUND($B$2:$B$3722,4)=ROUND(B1781,4),$A$2:$A$3722)),"Efficient","Inefficient")</f>
        <v>Inefficient</v>
      </c>
    </row>
    <row r="1782" spans="1:6" x14ac:dyDescent="0.25">
      <c r="A1782" cm="1">
        <f t="array" ref="A1782">INDEX('Portfolio Weights Returns'!$B$9:$BJ$69,
INT((ROW(A1781)-1)/COLUMNS('Portfolio Weights Returns'!$B$9:$BJ$69))+1,MOD(ROW(A1781)-1,COLUMNS('Portfolio Weights Returns'!$B$9:$BJ$69))+1)</f>
        <v>-9.297303634697205E-4</v>
      </c>
      <c r="B1782">
        <v>1.9900000000000001E-2</v>
      </c>
      <c r="C1782" s="59">
        <v>0.28000000000000003</v>
      </c>
      <c r="D1782" s="59">
        <v>-0.25</v>
      </c>
      <c r="E1782" s="60">
        <f t="shared" si="27"/>
        <v>0.97</v>
      </c>
      <c r="F1782" t="str" cm="1">
        <f t="array" ref="F1782">IF(A1782=MAX(IF(ROUND($B$2:$B$3722,4)=ROUND(B1782,4),$A$2:$A$3722)),"Efficient","Inefficient")</f>
        <v>Inefficient</v>
      </c>
    </row>
    <row r="1783" spans="1:6" x14ac:dyDescent="0.25">
      <c r="A1783" cm="1">
        <f t="array" ref="A1783">INDEX('Portfolio Weights Returns'!$B$9:$BJ$69,
INT((ROW(A1782)-1)/COLUMNS('Portfolio Weights Returns'!$B$9:$BJ$69))+1,MOD(ROW(A1782)-1,COLUMNS('Portfolio Weights Returns'!$B$9:$BJ$69))+1)</f>
        <v>-9.2294918950304146E-4</v>
      </c>
      <c r="B1783">
        <v>1.9900000000000001E-2</v>
      </c>
      <c r="C1783" s="59">
        <v>0.26</v>
      </c>
      <c r="D1783" s="59">
        <v>-0.24</v>
      </c>
      <c r="E1783" s="60">
        <f t="shared" si="27"/>
        <v>0.98</v>
      </c>
      <c r="F1783" t="str" cm="1">
        <f t="array" ref="F1783">IF(A1783=MAX(IF(ROUND($B$2:$B$3722,4)=ROUND(B1783,4),$A$2:$A$3722)),"Efficient","Inefficient")</f>
        <v>Inefficient</v>
      </c>
    </row>
    <row r="1784" spans="1:6" x14ac:dyDescent="0.25">
      <c r="A1784" cm="1">
        <f t="array" ref="A1784">INDEX('Portfolio Weights Returns'!$B$9:$BJ$69,
INT((ROW(A1783)-1)/COLUMNS('Portfolio Weights Returns'!$B$9:$BJ$69))+1,MOD(ROW(A1783)-1,COLUMNS('Portfolio Weights Returns'!$B$9:$BJ$69))+1)</f>
        <v>-9.1616801553636232E-4</v>
      </c>
      <c r="B1784">
        <v>1.9900000000000001E-2</v>
      </c>
      <c r="C1784" s="59">
        <v>0.24</v>
      </c>
      <c r="D1784" s="59">
        <v>-0.23</v>
      </c>
      <c r="E1784" s="60">
        <f t="shared" si="27"/>
        <v>0.99</v>
      </c>
      <c r="F1784" t="str" cm="1">
        <f t="array" ref="F1784">IF(A1784=MAX(IF(ROUND($B$2:$B$3722,4)=ROUND(B1784,4),$A$2:$A$3722)),"Efficient","Inefficient")</f>
        <v>Inefficient</v>
      </c>
    </row>
    <row r="1785" spans="1:6" x14ac:dyDescent="0.25">
      <c r="A1785" cm="1">
        <f t="array" ref="A1785">INDEX('Portfolio Weights Returns'!$B$9:$BJ$69,
INT((ROW(A1784)-1)/COLUMNS('Portfolio Weights Returns'!$B$9:$BJ$69))+1,MOD(ROW(A1784)-1,COLUMNS('Portfolio Weights Returns'!$B$9:$BJ$69))+1)</f>
        <v>-9.0938684156968317E-4</v>
      </c>
      <c r="B1785">
        <v>1.9900000000000001E-2</v>
      </c>
      <c r="C1785" s="59">
        <v>0.22</v>
      </c>
      <c r="D1785" s="59">
        <v>-0.22</v>
      </c>
      <c r="E1785" s="60">
        <f t="shared" si="27"/>
        <v>1</v>
      </c>
      <c r="F1785" t="str" cm="1">
        <f t="array" ref="F1785">IF(A1785=MAX(IF(ROUND($B$2:$B$3722,4)=ROUND(B1785,4),$A$2:$A$3722)),"Efficient","Inefficient")</f>
        <v>Inefficient</v>
      </c>
    </row>
    <row r="1786" spans="1:6" x14ac:dyDescent="0.25">
      <c r="A1786" cm="1">
        <f t="array" ref="A1786">INDEX('Portfolio Weights Returns'!$B$9:$BJ$69,
INT((ROW(A1785)-1)/COLUMNS('Portfolio Weights Returns'!$B$9:$BJ$69))+1,MOD(ROW(A1785)-1,COLUMNS('Portfolio Weights Returns'!$B$9:$BJ$69))+1)</f>
        <v>-9.0260566760300414E-4</v>
      </c>
      <c r="B1786">
        <v>1.9900000000000001E-2</v>
      </c>
      <c r="C1786" s="59">
        <v>0.19</v>
      </c>
      <c r="D1786" s="59">
        <v>-0.2</v>
      </c>
      <c r="E1786" s="60">
        <f t="shared" si="27"/>
        <v>1.01</v>
      </c>
      <c r="F1786" t="str" cm="1">
        <f t="array" ref="F1786">IF(A1786=MAX(IF(ROUND($B$2:$B$3722,4)=ROUND(B1786,4),$A$2:$A$3722)),"Efficient","Inefficient")</f>
        <v>Inefficient</v>
      </c>
    </row>
    <row r="1787" spans="1:6" x14ac:dyDescent="0.25">
      <c r="A1787" cm="1">
        <f t="array" ref="A1787">INDEX('Portfolio Weights Returns'!$B$9:$BJ$69,
INT((ROW(A1786)-1)/COLUMNS('Portfolio Weights Returns'!$B$9:$BJ$69))+1,MOD(ROW(A1786)-1,COLUMNS('Portfolio Weights Returns'!$B$9:$BJ$69))+1)</f>
        <v>-8.958244936363251E-4</v>
      </c>
      <c r="B1787">
        <v>1.9900000000000001E-2</v>
      </c>
      <c r="C1787" s="59">
        <v>0.17</v>
      </c>
      <c r="D1787" s="59">
        <v>-0.19</v>
      </c>
      <c r="E1787" s="60">
        <f t="shared" si="27"/>
        <v>1.02</v>
      </c>
      <c r="F1787" t="str" cm="1">
        <f t="array" ref="F1787">IF(A1787=MAX(IF(ROUND($B$2:$B$3722,4)=ROUND(B1787,4),$A$2:$A$3722)),"Efficient","Inefficient")</f>
        <v>Inefficient</v>
      </c>
    </row>
    <row r="1788" spans="1:6" x14ac:dyDescent="0.25">
      <c r="A1788" cm="1">
        <f t="array" ref="A1788">INDEX('Portfolio Weights Returns'!$B$9:$BJ$69,
INT((ROW(A1787)-1)/COLUMNS('Portfolio Weights Returns'!$B$9:$BJ$69))+1,MOD(ROW(A1787)-1,COLUMNS('Portfolio Weights Returns'!$B$9:$BJ$69))+1)</f>
        <v>-8.8904331966964585E-4</v>
      </c>
      <c r="B1788">
        <v>1.9900000000000001E-2</v>
      </c>
      <c r="C1788" s="59">
        <v>0.16</v>
      </c>
      <c r="D1788" s="59">
        <v>-0.18</v>
      </c>
      <c r="E1788" s="60">
        <f t="shared" si="27"/>
        <v>1.02</v>
      </c>
      <c r="F1788" t="str" cm="1">
        <f t="array" ref="F1788">IF(A1788=MAX(IF(ROUND($B$2:$B$3722,4)=ROUND(B1788,4),$A$2:$A$3722)),"Efficient","Inefficient")</f>
        <v>Inefficient</v>
      </c>
    </row>
    <row r="1789" spans="1:6" x14ac:dyDescent="0.25">
      <c r="A1789" cm="1">
        <f t="array" ref="A1789">INDEX('Portfolio Weights Returns'!$B$9:$BJ$69,
INT((ROW(A1788)-1)/COLUMNS('Portfolio Weights Returns'!$B$9:$BJ$69))+1,MOD(ROW(A1788)-1,COLUMNS('Portfolio Weights Returns'!$B$9:$BJ$69))+1)</f>
        <v>-8.8226214570296692E-4</v>
      </c>
      <c r="B1789">
        <v>1.9900000000000001E-2</v>
      </c>
      <c r="C1789" s="59">
        <v>0.14000000000000001</v>
      </c>
      <c r="D1789" s="59">
        <v>-0.17</v>
      </c>
      <c r="E1789" s="60">
        <f t="shared" si="27"/>
        <v>1.0299999999999998</v>
      </c>
      <c r="F1789" t="str" cm="1">
        <f t="array" ref="F1789">IF(A1789=MAX(IF(ROUND($B$2:$B$3722,4)=ROUND(B1789,4),$A$2:$A$3722)),"Efficient","Inefficient")</f>
        <v>Inefficient</v>
      </c>
    </row>
    <row r="1790" spans="1:6" x14ac:dyDescent="0.25">
      <c r="A1790" cm="1">
        <f t="array" ref="A1790">INDEX('Portfolio Weights Returns'!$B$9:$BJ$69,
INT((ROW(A1789)-1)/COLUMNS('Portfolio Weights Returns'!$B$9:$BJ$69))+1,MOD(ROW(A1789)-1,COLUMNS('Portfolio Weights Returns'!$B$9:$BJ$69))+1)</f>
        <v>-8.7548097173628789E-4</v>
      </c>
      <c r="B1790">
        <v>1.9900000000000001E-2</v>
      </c>
      <c r="C1790" s="59">
        <v>0.13</v>
      </c>
      <c r="D1790" s="59">
        <v>-0.16</v>
      </c>
      <c r="E1790" s="60">
        <f t="shared" si="27"/>
        <v>1.0299999999999998</v>
      </c>
      <c r="F1790" t="str" cm="1">
        <f t="array" ref="F1790">IF(A1790=MAX(IF(ROUND($B$2:$B$3722,4)=ROUND(B1790,4),$A$2:$A$3722)),"Efficient","Inefficient")</f>
        <v>Inefficient</v>
      </c>
    </row>
    <row r="1791" spans="1:6" x14ac:dyDescent="0.25">
      <c r="A1791" cm="1">
        <f t="array" ref="A1791">INDEX('Portfolio Weights Returns'!$B$9:$BJ$69,
INT((ROW(A1790)-1)/COLUMNS('Portfolio Weights Returns'!$B$9:$BJ$69))+1,MOD(ROW(A1790)-1,COLUMNS('Portfolio Weights Returns'!$B$9:$BJ$69))+1)</f>
        <v>-8.6869979776960874E-4</v>
      </c>
      <c r="B1791">
        <v>1.9900000000000001E-2</v>
      </c>
      <c r="C1791" s="59">
        <v>0.11</v>
      </c>
      <c r="D1791" s="59">
        <v>-0.15</v>
      </c>
      <c r="E1791" s="60">
        <f t="shared" si="27"/>
        <v>1.0399999999999998</v>
      </c>
      <c r="F1791" t="str" cm="1">
        <f t="array" ref="F1791">IF(A1791=MAX(IF(ROUND($B$2:$B$3722,4)=ROUND(B1791,4),$A$2:$A$3722)),"Efficient","Inefficient")</f>
        <v>Inefficient</v>
      </c>
    </row>
    <row r="1792" spans="1:6" x14ac:dyDescent="0.25">
      <c r="A1792" cm="1">
        <f t="array" ref="A1792">INDEX('Portfolio Weights Returns'!$B$9:$BJ$69,
INT((ROW(A1791)-1)/COLUMNS('Portfolio Weights Returns'!$B$9:$BJ$69))+1,MOD(ROW(A1791)-1,COLUMNS('Portfolio Weights Returns'!$B$9:$BJ$69))+1)</f>
        <v>-8.619186238029296E-4</v>
      </c>
      <c r="B1792">
        <v>1.9900000000000001E-2</v>
      </c>
      <c r="C1792" s="59">
        <v>0.1</v>
      </c>
      <c r="D1792" s="59">
        <v>-0.14000000000000001</v>
      </c>
      <c r="E1792" s="60">
        <f t="shared" si="27"/>
        <v>1.04</v>
      </c>
      <c r="F1792" t="str" cm="1">
        <f t="array" ref="F1792">IF(A1792=MAX(IF(ROUND($B$2:$B$3722,4)=ROUND(B1792,4),$A$2:$A$3722)),"Efficient","Inefficient")</f>
        <v>Inefficient</v>
      </c>
    </row>
    <row r="1793" spans="1:6" x14ac:dyDescent="0.25">
      <c r="A1793" cm="1">
        <f t="array" ref="A1793">INDEX('Portfolio Weights Returns'!$B$9:$BJ$69,
INT((ROW(A1792)-1)/COLUMNS('Portfolio Weights Returns'!$B$9:$BJ$69))+1,MOD(ROW(A1792)-1,COLUMNS('Portfolio Weights Returns'!$B$9:$BJ$69))+1)</f>
        <v>-8.5513744983625045E-4</v>
      </c>
      <c r="B1793">
        <v>1.9900000000000001E-2</v>
      </c>
      <c r="C1793" s="59">
        <v>7.0000000000000007E-2</v>
      </c>
      <c r="D1793" s="59">
        <v>-0.12</v>
      </c>
      <c r="E1793" s="60">
        <f t="shared" si="27"/>
        <v>1.05</v>
      </c>
      <c r="F1793" t="str" cm="1">
        <f t="array" ref="F1793">IF(A1793=MAX(IF(ROUND($B$2:$B$3722,4)=ROUND(B1793,4),$A$2:$A$3722)),"Efficient","Inefficient")</f>
        <v>Inefficient</v>
      </c>
    </row>
    <row r="1794" spans="1:6" x14ac:dyDescent="0.25">
      <c r="A1794" cm="1">
        <f t="array" ref="A1794">INDEX('Portfolio Weights Returns'!$B$9:$BJ$69,
INT((ROW(A1793)-1)/COLUMNS('Portfolio Weights Returns'!$B$9:$BJ$69))+1,MOD(ROW(A1793)-1,COLUMNS('Portfolio Weights Returns'!$B$9:$BJ$69))+1)</f>
        <v>-8.4835627586957131E-4</v>
      </c>
      <c r="B1794">
        <v>1.9900000000000001E-2</v>
      </c>
      <c r="C1794" s="59">
        <v>0.06</v>
      </c>
      <c r="D1794" s="59">
        <v>-0.11</v>
      </c>
      <c r="E1794" s="60">
        <f t="shared" ref="E1794:E1857" si="28">1-D1794-C1794</f>
        <v>1.05</v>
      </c>
      <c r="F1794" t="str" cm="1">
        <f t="array" ref="F1794">IF(A1794=MAX(IF(ROUND($B$2:$B$3722,4)=ROUND(B1794,4),$A$2:$A$3722)),"Efficient","Inefficient")</f>
        <v>Inefficient</v>
      </c>
    </row>
    <row r="1795" spans="1:6" x14ac:dyDescent="0.25">
      <c r="A1795" cm="1">
        <f t="array" ref="A1795">INDEX('Portfolio Weights Returns'!$B$9:$BJ$69,
INT((ROW(A1794)-1)/COLUMNS('Portfolio Weights Returns'!$B$9:$BJ$69))+1,MOD(ROW(A1794)-1,COLUMNS('Portfolio Weights Returns'!$B$9:$BJ$69))+1)</f>
        <v>-8.4157510190289227E-4</v>
      </c>
      <c r="B1795">
        <v>1.9900000000000001E-2</v>
      </c>
      <c r="C1795" s="59">
        <v>0.05</v>
      </c>
      <c r="D1795" s="59">
        <v>-0.1</v>
      </c>
      <c r="E1795" s="60">
        <f t="shared" si="28"/>
        <v>1.05</v>
      </c>
      <c r="F1795" t="str" cm="1">
        <f t="array" ref="F1795">IF(A1795=MAX(IF(ROUND($B$2:$B$3722,4)=ROUND(B1795,4),$A$2:$A$3722)),"Efficient","Inefficient")</f>
        <v>Inefficient</v>
      </c>
    </row>
    <row r="1796" spans="1:6" x14ac:dyDescent="0.25">
      <c r="A1796" cm="1">
        <f t="array" ref="A1796">INDEX('Portfolio Weights Returns'!$B$9:$BJ$69,
INT((ROW(A1795)-1)/COLUMNS('Portfolio Weights Returns'!$B$9:$BJ$69))+1,MOD(ROW(A1795)-1,COLUMNS('Portfolio Weights Returns'!$B$9:$BJ$69))+1)</f>
        <v>-8.3479392793621313E-4</v>
      </c>
      <c r="B1796">
        <v>1.9900000000000001E-2</v>
      </c>
      <c r="C1796" s="59">
        <v>-0.04</v>
      </c>
      <c r="D1796" s="59">
        <v>-0.01</v>
      </c>
      <c r="E1796" s="60">
        <f t="shared" si="28"/>
        <v>1.05</v>
      </c>
      <c r="F1796" t="str" cm="1">
        <f t="array" ref="F1796">IF(A1796=MAX(IF(ROUND($B$2:$B$3722,4)=ROUND(B1796,4),$A$2:$A$3722)),"Efficient","Inefficient")</f>
        <v>Inefficient</v>
      </c>
    </row>
    <row r="1797" spans="1:6" x14ac:dyDescent="0.25">
      <c r="A1797" cm="1">
        <f t="array" ref="A1797">INDEX('Portfolio Weights Returns'!$B$9:$BJ$69,
INT((ROW(A1796)-1)/COLUMNS('Portfolio Weights Returns'!$B$9:$BJ$69))+1,MOD(ROW(A1796)-1,COLUMNS('Portfolio Weights Returns'!$B$9:$BJ$69))+1)</f>
        <v>-8.2801275396953409E-4</v>
      </c>
      <c r="B1797">
        <v>1.9900000000000001E-2</v>
      </c>
      <c r="C1797" s="59">
        <v>-0.05</v>
      </c>
      <c r="D1797" s="59">
        <v>0</v>
      </c>
      <c r="E1797" s="60">
        <f t="shared" si="28"/>
        <v>1.05</v>
      </c>
      <c r="F1797" t="str" cm="1">
        <f t="array" ref="F1797">IF(A1797=MAX(IF(ROUND($B$2:$B$3722,4)=ROUND(B1797,4),$A$2:$A$3722)),"Efficient","Inefficient")</f>
        <v>Inefficient</v>
      </c>
    </row>
    <row r="1798" spans="1:6" x14ac:dyDescent="0.25">
      <c r="A1798" cm="1">
        <f t="array" ref="A1798">INDEX('Portfolio Weights Returns'!$B$9:$BJ$69,
INT((ROW(A1797)-1)/COLUMNS('Portfolio Weights Returns'!$B$9:$BJ$69))+1,MOD(ROW(A1797)-1,COLUMNS('Portfolio Weights Returns'!$B$9:$BJ$69))+1)</f>
        <v>-8.2123158000285495E-4</v>
      </c>
      <c r="B1798">
        <v>1.9900000000000001E-2</v>
      </c>
      <c r="C1798" s="59">
        <v>-0.06</v>
      </c>
      <c r="D1798" s="59">
        <v>0.01</v>
      </c>
      <c r="E1798" s="60">
        <f t="shared" si="28"/>
        <v>1.05</v>
      </c>
      <c r="F1798" t="str" cm="1">
        <f t="array" ref="F1798">IF(A1798=MAX(IF(ROUND($B$2:$B$3722,4)=ROUND(B1798,4),$A$2:$A$3722)),"Efficient","Inefficient")</f>
        <v>Inefficient</v>
      </c>
    </row>
    <row r="1799" spans="1:6" x14ac:dyDescent="0.25">
      <c r="A1799" cm="1">
        <f t="array" ref="A1799">INDEX('Portfolio Weights Returns'!$B$9:$BJ$69,
INT((ROW(A1798)-1)/COLUMNS('Portfolio Weights Returns'!$B$9:$BJ$69))+1,MOD(ROW(A1798)-1,COLUMNS('Portfolio Weights Returns'!$B$9:$BJ$69))+1)</f>
        <v>-8.144504060361758E-4</v>
      </c>
      <c r="B1799">
        <v>1.9900000000000001E-2</v>
      </c>
      <c r="C1799" s="59">
        <v>-7.0000000000000007E-2</v>
      </c>
      <c r="D1799" s="59">
        <v>0.02</v>
      </c>
      <c r="E1799" s="60">
        <f t="shared" si="28"/>
        <v>1.05</v>
      </c>
      <c r="F1799" t="str" cm="1">
        <f t="array" ref="F1799">IF(A1799=MAX(IF(ROUND($B$2:$B$3722,4)=ROUND(B1799,4),$A$2:$A$3722)),"Efficient","Inefficient")</f>
        <v>Inefficient</v>
      </c>
    </row>
    <row r="1800" spans="1:6" x14ac:dyDescent="0.25">
      <c r="A1800" cm="1">
        <f t="array" ref="A1800">INDEX('Portfolio Weights Returns'!$B$9:$BJ$69,
INT((ROW(A1799)-1)/COLUMNS('Portfolio Weights Returns'!$B$9:$BJ$69))+1,MOD(ROW(A1799)-1,COLUMNS('Portfolio Weights Returns'!$B$9:$BJ$69))+1)</f>
        <v>-8.0766923206949666E-4</v>
      </c>
      <c r="B1800">
        <v>1.9900000000000001E-2</v>
      </c>
      <c r="C1800" s="59">
        <v>-0.08</v>
      </c>
      <c r="D1800" s="59">
        <v>0.04</v>
      </c>
      <c r="E1800" s="60">
        <f t="shared" si="28"/>
        <v>1.04</v>
      </c>
      <c r="F1800" t="str" cm="1">
        <f t="array" ref="F1800">IF(A1800=MAX(IF(ROUND($B$2:$B$3722,4)=ROUND(B1800,4),$A$2:$A$3722)),"Efficient","Inefficient")</f>
        <v>Inefficient</v>
      </c>
    </row>
    <row r="1801" spans="1:6" x14ac:dyDescent="0.25">
      <c r="A1801" cm="1">
        <f t="array" ref="A1801">INDEX('Portfolio Weights Returns'!$B$9:$BJ$69,
INT((ROW(A1800)-1)/COLUMNS('Portfolio Weights Returns'!$B$9:$BJ$69))+1,MOD(ROW(A1800)-1,COLUMNS('Portfolio Weights Returns'!$B$9:$BJ$69))+1)</f>
        <v>-8.0088805810281762E-4</v>
      </c>
      <c r="B1801">
        <v>1.9900000000000001E-2</v>
      </c>
      <c r="C1801" s="59">
        <v>-0.09</v>
      </c>
      <c r="D1801" s="59">
        <v>0.05</v>
      </c>
      <c r="E1801" s="60">
        <f t="shared" si="28"/>
        <v>1.04</v>
      </c>
      <c r="F1801" t="str" cm="1">
        <f t="array" ref="F1801">IF(A1801=MAX(IF(ROUND($B$2:$B$3722,4)=ROUND(B1801,4),$A$2:$A$3722)),"Efficient","Inefficient")</f>
        <v>Inefficient</v>
      </c>
    </row>
    <row r="1802" spans="1:6" x14ac:dyDescent="0.25">
      <c r="A1802" cm="1">
        <f t="array" ref="A1802">INDEX('Portfolio Weights Returns'!$B$9:$BJ$69,
INT((ROW(A1801)-1)/COLUMNS('Portfolio Weights Returns'!$B$9:$BJ$69))+1,MOD(ROW(A1801)-1,COLUMNS('Portfolio Weights Returns'!$B$9:$BJ$69))+1)</f>
        <v>-7.9410688413613848E-4</v>
      </c>
      <c r="B1802">
        <v>1.9900000000000001E-2</v>
      </c>
      <c r="C1802" s="59">
        <v>-0.09</v>
      </c>
      <c r="D1802" s="59">
        <v>0.06</v>
      </c>
      <c r="E1802" s="60">
        <f t="shared" si="28"/>
        <v>1.03</v>
      </c>
      <c r="F1802" t="str" cm="1">
        <f t="array" ref="F1802">IF(A1802=MAX(IF(ROUND($B$2:$B$3722,4)=ROUND(B1802,4),$A$2:$A$3722)),"Efficient","Inefficient")</f>
        <v>Inefficient</v>
      </c>
    </row>
    <row r="1803" spans="1:6" x14ac:dyDescent="0.25">
      <c r="A1803" cm="1">
        <f t="array" ref="A1803">INDEX('Portfolio Weights Returns'!$B$9:$BJ$69,
INT((ROW(A1802)-1)/COLUMNS('Portfolio Weights Returns'!$B$9:$BJ$69))+1,MOD(ROW(A1802)-1,COLUMNS('Portfolio Weights Returns'!$B$9:$BJ$69))+1)</f>
        <v>-7.8732571016945944E-4</v>
      </c>
      <c r="B1803">
        <v>1.9900000000000001E-2</v>
      </c>
      <c r="C1803" s="59">
        <v>-0.1</v>
      </c>
      <c r="D1803" s="59">
        <v>7.0000000000000007E-2</v>
      </c>
      <c r="E1803" s="60">
        <f t="shared" si="28"/>
        <v>1.03</v>
      </c>
      <c r="F1803" t="str" cm="1">
        <f t="array" ref="F1803">IF(A1803=MAX(IF(ROUND($B$2:$B$3722,4)=ROUND(B1803,4),$A$2:$A$3722)),"Efficient","Inefficient")</f>
        <v>Inefficient</v>
      </c>
    </row>
    <row r="1804" spans="1:6" x14ac:dyDescent="0.25">
      <c r="A1804" cm="1">
        <f t="array" ref="A1804">INDEX('Portfolio Weights Returns'!$B$9:$BJ$69,
INT((ROW(A1803)-1)/COLUMNS('Portfolio Weights Returns'!$B$9:$BJ$69))+1,MOD(ROW(A1803)-1,COLUMNS('Portfolio Weights Returns'!$B$9:$BJ$69))+1)</f>
        <v>-7.805445362027803E-4</v>
      </c>
      <c r="B1804">
        <v>1.9900000000000001E-2</v>
      </c>
      <c r="C1804" s="59">
        <v>-0.11</v>
      </c>
      <c r="D1804" s="59">
        <v>0.09</v>
      </c>
      <c r="E1804" s="60">
        <f t="shared" si="28"/>
        <v>1.02</v>
      </c>
      <c r="F1804" t="str" cm="1">
        <f t="array" ref="F1804">IF(A1804=MAX(IF(ROUND($B$2:$B$3722,4)=ROUND(B1804,4),$A$2:$A$3722)),"Efficient","Inefficient")</f>
        <v>Inefficient</v>
      </c>
    </row>
    <row r="1805" spans="1:6" x14ac:dyDescent="0.25">
      <c r="A1805" cm="1">
        <f t="array" ref="A1805">INDEX('Portfolio Weights Returns'!$B$9:$BJ$69,
INT((ROW(A1804)-1)/COLUMNS('Portfolio Weights Returns'!$B$9:$BJ$69))+1,MOD(ROW(A1804)-1,COLUMNS('Portfolio Weights Returns'!$B$9:$BJ$69))+1)</f>
        <v>-7.7376336223610115E-4</v>
      </c>
      <c r="B1805">
        <v>1.9900000000000001E-2</v>
      </c>
      <c r="C1805" s="59">
        <v>-0.11</v>
      </c>
      <c r="D1805" s="59">
        <v>0.1</v>
      </c>
      <c r="E1805" s="60">
        <f t="shared" si="28"/>
        <v>1.01</v>
      </c>
      <c r="F1805" t="str" cm="1">
        <f t="array" ref="F1805">IF(A1805=MAX(IF(ROUND($B$2:$B$3722,4)=ROUND(B1805,4),$A$2:$A$3722)),"Efficient","Inefficient")</f>
        <v>Inefficient</v>
      </c>
    </row>
    <row r="1806" spans="1:6" x14ac:dyDescent="0.25">
      <c r="A1806" cm="1">
        <f t="array" ref="A1806">INDEX('Portfolio Weights Returns'!$B$9:$BJ$69,
INT((ROW(A1805)-1)/COLUMNS('Portfolio Weights Returns'!$B$9:$BJ$69))+1,MOD(ROW(A1805)-1,COLUMNS('Portfolio Weights Returns'!$B$9:$BJ$69))+1)</f>
        <v>-7.6698218826942201E-4</v>
      </c>
      <c r="B1806">
        <v>1.9900000000000001E-2</v>
      </c>
      <c r="C1806" s="59">
        <v>-0.12</v>
      </c>
      <c r="D1806" s="59">
        <v>0.12</v>
      </c>
      <c r="E1806" s="60">
        <f t="shared" si="28"/>
        <v>1</v>
      </c>
      <c r="F1806" t="str" cm="1">
        <f t="array" ref="F1806">IF(A1806=MAX(IF(ROUND($B$2:$B$3722,4)=ROUND(B1806,4),$A$2:$A$3722)),"Efficient","Inefficient")</f>
        <v>Inefficient</v>
      </c>
    </row>
    <row r="1807" spans="1:6" x14ac:dyDescent="0.25">
      <c r="A1807" cm="1">
        <f t="array" ref="A1807">INDEX('Portfolio Weights Returns'!$B$9:$BJ$69,
INT((ROW(A1806)-1)/COLUMNS('Portfolio Weights Returns'!$B$9:$BJ$69))+1,MOD(ROW(A1806)-1,COLUMNS('Portfolio Weights Returns'!$B$9:$BJ$69))+1)</f>
        <v>-7.6020101430274286E-4</v>
      </c>
      <c r="B1807">
        <v>1.9900000000000001E-2</v>
      </c>
      <c r="C1807" s="59">
        <v>-0.12</v>
      </c>
      <c r="D1807" s="59">
        <v>0.13</v>
      </c>
      <c r="E1807" s="60">
        <f t="shared" si="28"/>
        <v>0.99</v>
      </c>
      <c r="F1807" t="str" cm="1">
        <f t="array" ref="F1807">IF(A1807=MAX(IF(ROUND($B$2:$B$3722,4)=ROUND(B1807,4),$A$2:$A$3722)),"Efficient","Inefficient")</f>
        <v>Inefficient</v>
      </c>
    </row>
    <row r="1808" spans="1:6" x14ac:dyDescent="0.25">
      <c r="A1808" cm="1">
        <f t="array" ref="A1808">INDEX('Portfolio Weights Returns'!$B$9:$BJ$69,
INT((ROW(A1807)-1)/COLUMNS('Portfolio Weights Returns'!$B$9:$BJ$69))+1,MOD(ROW(A1807)-1,COLUMNS('Portfolio Weights Returns'!$B$9:$BJ$69))+1)</f>
        <v>-7.5341984033606383E-4</v>
      </c>
      <c r="B1808">
        <v>1.9900000000000001E-2</v>
      </c>
      <c r="C1808" s="59">
        <v>-0.13</v>
      </c>
      <c r="D1808" s="59">
        <v>0.15</v>
      </c>
      <c r="E1808" s="60">
        <f t="shared" si="28"/>
        <v>0.98</v>
      </c>
      <c r="F1808" t="str" cm="1">
        <f t="array" ref="F1808">IF(A1808=MAX(IF(ROUND($B$2:$B$3722,4)=ROUND(B1808,4),$A$2:$A$3722)),"Efficient","Inefficient")</f>
        <v>Inefficient</v>
      </c>
    </row>
    <row r="1809" spans="1:6" x14ac:dyDescent="0.25">
      <c r="A1809" cm="1">
        <f t="array" ref="A1809">INDEX('Portfolio Weights Returns'!$B$9:$BJ$69,
INT((ROW(A1808)-1)/COLUMNS('Portfolio Weights Returns'!$B$9:$BJ$69))+1,MOD(ROW(A1808)-1,COLUMNS('Portfolio Weights Returns'!$B$9:$BJ$69))+1)</f>
        <v>-7.4663866636938479E-4</v>
      </c>
      <c r="B1809">
        <v>1.9900000000000001E-2</v>
      </c>
      <c r="C1809" s="59">
        <v>-0.13</v>
      </c>
      <c r="D1809" s="59">
        <v>0.16</v>
      </c>
      <c r="E1809" s="60">
        <f t="shared" si="28"/>
        <v>0.97</v>
      </c>
      <c r="F1809" t="str" cm="1">
        <f t="array" ref="F1809">IF(A1809=MAX(IF(ROUND($B$2:$B$3722,4)=ROUND(B1809,4),$A$2:$A$3722)),"Efficient","Inefficient")</f>
        <v>Inefficient</v>
      </c>
    </row>
    <row r="1810" spans="1:6" x14ac:dyDescent="0.25">
      <c r="A1810" cm="1">
        <f t="array" ref="A1810">INDEX('Portfolio Weights Returns'!$B$9:$BJ$69,
INT((ROW(A1809)-1)/COLUMNS('Portfolio Weights Returns'!$B$9:$BJ$69))+1,MOD(ROW(A1809)-1,COLUMNS('Portfolio Weights Returns'!$B$9:$BJ$69))+1)</f>
        <v>-7.3985749240270576E-4</v>
      </c>
      <c r="B1810">
        <v>1.9900000000000001E-2</v>
      </c>
      <c r="C1810" s="59">
        <v>-0.13</v>
      </c>
      <c r="D1810" s="59">
        <v>0.17</v>
      </c>
      <c r="E1810" s="60">
        <f t="shared" si="28"/>
        <v>0.96</v>
      </c>
      <c r="F1810" t="str" cm="1">
        <f t="array" ref="F1810">IF(A1810=MAX(IF(ROUND($B$2:$B$3722,4)=ROUND(B1810,4),$A$2:$A$3722)),"Efficient","Inefficient")</f>
        <v>Inefficient</v>
      </c>
    </row>
    <row r="1811" spans="1:6" x14ac:dyDescent="0.25">
      <c r="A1811" cm="1">
        <f t="array" ref="A1811">INDEX('Portfolio Weights Returns'!$B$9:$BJ$69,
INT((ROW(A1810)-1)/COLUMNS('Portfolio Weights Returns'!$B$9:$BJ$69))+1,MOD(ROW(A1810)-1,COLUMNS('Portfolio Weights Returns'!$B$9:$BJ$69))+1)</f>
        <v>-7.3307631843602661E-4</v>
      </c>
      <c r="B1811">
        <v>1.9900000000000001E-2</v>
      </c>
      <c r="C1811" s="59">
        <v>-0.13</v>
      </c>
      <c r="D1811" s="59">
        <v>0.18</v>
      </c>
      <c r="E1811" s="60">
        <f t="shared" si="28"/>
        <v>0.95000000000000007</v>
      </c>
      <c r="F1811" t="str" cm="1">
        <f t="array" ref="F1811">IF(A1811=MAX(IF(ROUND($B$2:$B$3722,4)=ROUND(B1811,4),$A$2:$A$3722)),"Efficient","Inefficient")</f>
        <v>Inefficient</v>
      </c>
    </row>
    <row r="1812" spans="1:6" x14ac:dyDescent="0.25">
      <c r="A1812" cm="1">
        <f t="array" ref="A1812">INDEX('Portfolio Weights Returns'!$B$9:$BJ$69,
INT((ROW(A1811)-1)/COLUMNS('Portfolio Weights Returns'!$B$9:$BJ$69))+1,MOD(ROW(A1811)-1,COLUMNS('Portfolio Weights Returns'!$B$9:$BJ$69))+1)</f>
        <v>-7.2629514446934747E-4</v>
      </c>
      <c r="B1812">
        <v>1.9900000000000001E-2</v>
      </c>
      <c r="C1812" s="59">
        <v>-0.13</v>
      </c>
      <c r="D1812" s="59">
        <v>0.19</v>
      </c>
      <c r="E1812" s="60">
        <f t="shared" si="28"/>
        <v>0.94000000000000006</v>
      </c>
      <c r="F1812" t="str" cm="1">
        <f t="array" ref="F1812">IF(A1812=MAX(IF(ROUND($B$2:$B$3722,4)=ROUND(B1812,4),$A$2:$A$3722)),"Efficient","Inefficient")</f>
        <v>Inefficient</v>
      </c>
    </row>
    <row r="1813" spans="1:6" x14ac:dyDescent="0.25">
      <c r="A1813" cm="1">
        <f t="array" ref="A1813">INDEX('Portfolio Weights Returns'!$B$9:$BJ$69,
INT((ROW(A1812)-1)/COLUMNS('Portfolio Weights Returns'!$B$9:$BJ$69))+1,MOD(ROW(A1812)-1,COLUMNS('Portfolio Weights Returns'!$B$9:$BJ$69))+1)</f>
        <v>-7.1951397050266832E-4</v>
      </c>
      <c r="B1813">
        <v>1.9900000000000001E-2</v>
      </c>
      <c r="C1813" s="59">
        <v>-0.13</v>
      </c>
      <c r="D1813" s="59">
        <v>0.2</v>
      </c>
      <c r="E1813" s="60">
        <f t="shared" si="28"/>
        <v>0.93</v>
      </c>
      <c r="F1813" t="str" cm="1">
        <f t="array" ref="F1813">IF(A1813=MAX(IF(ROUND($B$2:$B$3722,4)=ROUND(B1813,4),$A$2:$A$3722)),"Efficient","Inefficient")</f>
        <v>Inefficient</v>
      </c>
    </row>
    <row r="1814" spans="1:6" x14ac:dyDescent="0.25">
      <c r="A1814" cm="1">
        <f t="array" ref="A1814">INDEX('Portfolio Weights Returns'!$B$9:$BJ$69,
INT((ROW(A1813)-1)/COLUMNS('Portfolio Weights Returns'!$B$9:$BJ$69))+1,MOD(ROW(A1813)-1,COLUMNS('Portfolio Weights Returns'!$B$9:$BJ$69))+1)</f>
        <v>-7.1273279653598918E-4</v>
      </c>
      <c r="B1814">
        <v>1.9900000000000001E-2</v>
      </c>
      <c r="C1814" s="59">
        <v>-0.13</v>
      </c>
      <c r="D1814" s="59">
        <v>0.21</v>
      </c>
      <c r="E1814" s="60">
        <f t="shared" si="28"/>
        <v>0.92</v>
      </c>
      <c r="F1814" t="str" cm="1">
        <f t="array" ref="F1814">IF(A1814=MAX(IF(ROUND($B$2:$B$3722,4)=ROUND(B1814,4),$A$2:$A$3722)),"Efficient","Inefficient")</f>
        <v>Inefficient</v>
      </c>
    </row>
    <row r="1815" spans="1:6" x14ac:dyDescent="0.25">
      <c r="A1815" cm="1">
        <f t="array" ref="A1815">INDEX('Portfolio Weights Returns'!$B$9:$BJ$69,
INT((ROW(A1814)-1)/COLUMNS('Portfolio Weights Returns'!$B$9:$BJ$69))+1,MOD(ROW(A1814)-1,COLUMNS('Portfolio Weights Returns'!$B$9:$BJ$69))+1)</f>
        <v>-7.0595162256931014E-4</v>
      </c>
      <c r="B1815">
        <v>1.9900000000000001E-2</v>
      </c>
      <c r="C1815" s="59">
        <v>-0.13</v>
      </c>
      <c r="D1815" s="59">
        <v>0.22</v>
      </c>
      <c r="E1815" s="60">
        <f t="shared" si="28"/>
        <v>0.91</v>
      </c>
      <c r="F1815" t="str" cm="1">
        <f t="array" ref="F1815">IF(A1815=MAX(IF(ROUND($B$2:$B$3722,4)=ROUND(B1815,4),$A$2:$A$3722)),"Efficient","Inefficient")</f>
        <v>Inefficient</v>
      </c>
    </row>
    <row r="1816" spans="1:6" x14ac:dyDescent="0.25">
      <c r="A1816" cm="1">
        <f t="array" ref="A1816">INDEX('Portfolio Weights Returns'!$B$9:$BJ$69,
INT((ROW(A1815)-1)/COLUMNS('Portfolio Weights Returns'!$B$9:$BJ$69))+1,MOD(ROW(A1815)-1,COLUMNS('Portfolio Weights Returns'!$B$9:$BJ$69))+1)</f>
        <v>-6.99170448602631E-4</v>
      </c>
      <c r="B1816">
        <v>1.9900000000000001E-2</v>
      </c>
      <c r="C1816" s="59">
        <v>-0.13</v>
      </c>
      <c r="D1816" s="59">
        <v>0.23</v>
      </c>
      <c r="E1816" s="60">
        <f t="shared" si="28"/>
        <v>0.9</v>
      </c>
      <c r="F1816" t="str" cm="1">
        <f t="array" ref="F1816">IF(A1816=MAX(IF(ROUND($B$2:$B$3722,4)=ROUND(B1816,4),$A$2:$A$3722)),"Efficient","Inefficient")</f>
        <v>Inefficient</v>
      </c>
    </row>
    <row r="1817" spans="1:6" x14ac:dyDescent="0.25">
      <c r="A1817" cm="1">
        <f t="array" ref="A1817">INDEX('Portfolio Weights Returns'!$B$9:$BJ$69,
INT((ROW(A1816)-1)/COLUMNS('Portfolio Weights Returns'!$B$9:$BJ$69))+1,MOD(ROW(A1816)-1,COLUMNS('Portfolio Weights Returns'!$B$9:$BJ$69))+1)</f>
        <v>-6.9238927463595196E-4</v>
      </c>
      <c r="B1817">
        <v>1.9900000000000001E-2</v>
      </c>
      <c r="C1817" s="59">
        <v>-0.12</v>
      </c>
      <c r="D1817" s="59">
        <v>0.24</v>
      </c>
      <c r="E1817" s="60">
        <f t="shared" si="28"/>
        <v>0.88</v>
      </c>
      <c r="F1817" t="str" cm="1">
        <f t="array" ref="F1817">IF(A1817=MAX(IF(ROUND($B$2:$B$3722,4)=ROUND(B1817,4),$A$2:$A$3722)),"Efficient","Inefficient")</f>
        <v>Inefficient</v>
      </c>
    </row>
    <row r="1818" spans="1:6" x14ac:dyDescent="0.25">
      <c r="A1818" cm="1">
        <f t="array" ref="A1818">INDEX('Portfolio Weights Returns'!$B$9:$BJ$69,
INT((ROW(A1817)-1)/COLUMNS('Portfolio Weights Returns'!$B$9:$BJ$69))+1,MOD(ROW(A1817)-1,COLUMNS('Portfolio Weights Returns'!$B$9:$BJ$69))+1)</f>
        <v>-6.8560810066927271E-4</v>
      </c>
      <c r="B1818">
        <v>1.9900000000000001E-2</v>
      </c>
      <c r="C1818" s="59">
        <v>-0.12</v>
      </c>
      <c r="D1818" s="59">
        <v>0.25</v>
      </c>
      <c r="E1818" s="60">
        <f t="shared" si="28"/>
        <v>0.87</v>
      </c>
      <c r="F1818" t="str" cm="1">
        <f t="array" ref="F1818">IF(A1818=MAX(IF(ROUND($B$2:$B$3722,4)=ROUND(B1818,4),$A$2:$A$3722)),"Efficient","Inefficient")</f>
        <v>Inefficient</v>
      </c>
    </row>
    <row r="1819" spans="1:6" x14ac:dyDescent="0.25">
      <c r="A1819" cm="1">
        <f t="array" ref="A1819">INDEX('Portfolio Weights Returns'!$B$9:$BJ$69,
INT((ROW(A1818)-1)/COLUMNS('Portfolio Weights Returns'!$B$9:$BJ$69))+1,MOD(ROW(A1818)-1,COLUMNS('Portfolio Weights Returns'!$B$9:$BJ$69))+1)</f>
        <v>-6.7882692670259378E-4</v>
      </c>
      <c r="B1819">
        <v>1.9900000000000001E-2</v>
      </c>
      <c r="C1819" s="59">
        <v>-0.11</v>
      </c>
      <c r="D1819" s="59">
        <v>0.27</v>
      </c>
      <c r="E1819" s="60">
        <f t="shared" si="28"/>
        <v>0.84</v>
      </c>
      <c r="F1819" t="str" cm="1">
        <f t="array" ref="F1819">IF(A1819=MAX(IF(ROUND($B$2:$B$3722,4)=ROUND(B1819,4),$A$2:$A$3722)),"Efficient","Inefficient")</f>
        <v>Inefficient</v>
      </c>
    </row>
    <row r="1820" spans="1:6" x14ac:dyDescent="0.25">
      <c r="A1820" cm="1">
        <f t="array" ref="A1820">INDEX('Portfolio Weights Returns'!$B$9:$BJ$69,
INT((ROW(A1819)-1)/COLUMNS('Portfolio Weights Returns'!$B$9:$BJ$69))+1,MOD(ROW(A1819)-1,COLUMNS('Portfolio Weights Returns'!$B$9:$BJ$69))+1)</f>
        <v>-6.7204575273591464E-4</v>
      </c>
      <c r="B1820">
        <v>1.9900000000000001E-2</v>
      </c>
      <c r="C1820" s="59">
        <v>-0.1</v>
      </c>
      <c r="D1820" s="59">
        <v>0.28000000000000003</v>
      </c>
      <c r="E1820" s="60">
        <f t="shared" si="28"/>
        <v>0.82</v>
      </c>
      <c r="F1820" t="str" cm="1">
        <f t="array" ref="F1820">IF(A1820=MAX(IF(ROUND($B$2:$B$3722,4)=ROUND(B1820,4),$A$2:$A$3722)),"Efficient","Inefficient")</f>
        <v>Inefficient</v>
      </c>
    </row>
    <row r="1821" spans="1:6" x14ac:dyDescent="0.25">
      <c r="A1821" cm="1">
        <f t="array" ref="A1821">INDEX('Portfolio Weights Returns'!$B$9:$BJ$69,
INT((ROW(A1820)-1)/COLUMNS('Portfolio Weights Returns'!$B$9:$BJ$69))+1,MOD(ROW(A1820)-1,COLUMNS('Portfolio Weights Returns'!$B$9:$BJ$69))+1)</f>
        <v>-6.652645787692356E-4</v>
      </c>
      <c r="B1821">
        <v>1.9900000000000001E-2</v>
      </c>
      <c r="C1821" s="59">
        <v>-0.1</v>
      </c>
      <c r="D1821" s="59">
        <v>0.28999999999999998</v>
      </c>
      <c r="E1821" s="60">
        <f t="shared" si="28"/>
        <v>0.80999999999999994</v>
      </c>
      <c r="F1821" t="str" cm="1">
        <f t="array" ref="F1821">IF(A1821=MAX(IF(ROUND($B$2:$B$3722,4)=ROUND(B1821,4),$A$2:$A$3722)),"Efficient","Inefficient")</f>
        <v>Inefficient</v>
      </c>
    </row>
    <row r="1822" spans="1:6" x14ac:dyDescent="0.25">
      <c r="A1822" cm="1">
        <f t="array" ref="A1822">INDEX('Portfolio Weights Returns'!$B$9:$BJ$69,
INT((ROW(A1821)-1)/COLUMNS('Portfolio Weights Returns'!$B$9:$BJ$69))+1,MOD(ROW(A1821)-1,COLUMNS('Portfolio Weights Returns'!$B$9:$BJ$69))+1)</f>
        <v>-6.5848340480255646E-4</v>
      </c>
      <c r="B1822">
        <v>1.9900000000000001E-2</v>
      </c>
      <c r="C1822" s="59">
        <v>-0.09</v>
      </c>
      <c r="D1822" s="59">
        <v>0.3</v>
      </c>
      <c r="E1822" s="60">
        <f t="shared" si="28"/>
        <v>0.78999999999999992</v>
      </c>
      <c r="F1822" t="str" cm="1">
        <f t="array" ref="F1822">IF(A1822=MAX(IF(ROUND($B$2:$B$3722,4)=ROUND(B1822,4),$A$2:$A$3722)),"Efficient","Inefficient")</f>
        <v>Efficient</v>
      </c>
    </row>
    <row r="1823" spans="1:6" x14ac:dyDescent="0.25">
      <c r="A1823" cm="1">
        <f t="array" ref="A1823">INDEX('Portfolio Weights Returns'!$B$9:$BJ$69,
INT((ROW(A1822)-1)/COLUMNS('Portfolio Weights Returns'!$B$9:$BJ$69))+1,MOD(ROW(A1822)-1,COLUMNS('Portfolio Weights Returns'!$B$9:$BJ$69))+1)</f>
        <v>-6.5170223083587742E-4</v>
      </c>
      <c r="B1823">
        <v>0.02</v>
      </c>
      <c r="C1823" s="59">
        <v>0.28999999999999998</v>
      </c>
      <c r="D1823" s="59">
        <v>-0.26</v>
      </c>
      <c r="E1823" s="60">
        <f t="shared" si="28"/>
        <v>0.97</v>
      </c>
      <c r="F1823" t="str" cm="1">
        <f t="array" ref="F1823">IF(A1823=MAX(IF(ROUND($B$2:$B$3722,4)=ROUND(B1823,4),$A$2:$A$3722)),"Efficient","Inefficient")</f>
        <v>Inefficient</v>
      </c>
    </row>
    <row r="1824" spans="1:6" x14ac:dyDescent="0.25">
      <c r="A1824" cm="1">
        <f t="array" ref="A1824">INDEX('Portfolio Weights Returns'!$B$9:$BJ$69,
INT((ROW(A1823)-1)/COLUMNS('Portfolio Weights Returns'!$B$9:$BJ$69))+1,MOD(ROW(A1823)-1,COLUMNS('Portfolio Weights Returns'!$B$9:$BJ$69))+1)</f>
        <v>-6.4492105686919817E-4</v>
      </c>
      <c r="B1824">
        <v>0.02</v>
      </c>
      <c r="C1824" s="59">
        <v>0.27</v>
      </c>
      <c r="D1824" s="59">
        <v>-0.25</v>
      </c>
      <c r="E1824" s="60">
        <f t="shared" si="28"/>
        <v>0.98</v>
      </c>
      <c r="F1824" t="str" cm="1">
        <f t="array" ref="F1824">IF(A1824=MAX(IF(ROUND($B$2:$B$3722,4)=ROUND(B1824,4),$A$2:$A$3722)),"Efficient","Inefficient")</f>
        <v>Inefficient</v>
      </c>
    </row>
    <row r="1825" spans="1:6" x14ac:dyDescent="0.25">
      <c r="A1825" cm="1">
        <f t="array" ref="A1825">INDEX('Portfolio Weights Returns'!$B$9:$BJ$69,
INT((ROW(A1824)-1)/COLUMNS('Portfolio Weights Returns'!$B$9:$BJ$69))+1,MOD(ROW(A1824)-1,COLUMNS('Portfolio Weights Returns'!$B$9:$BJ$69))+1)</f>
        <v>-6.3813988290251902E-4</v>
      </c>
      <c r="B1825">
        <v>0.02</v>
      </c>
      <c r="C1825" s="59">
        <v>0.25</v>
      </c>
      <c r="D1825" s="59">
        <v>-0.24</v>
      </c>
      <c r="E1825" s="60">
        <f t="shared" si="28"/>
        <v>0.99</v>
      </c>
      <c r="F1825" t="str" cm="1">
        <f t="array" ref="F1825">IF(A1825=MAX(IF(ROUND($B$2:$B$3722,4)=ROUND(B1825,4),$A$2:$A$3722)),"Efficient","Inefficient")</f>
        <v>Inefficient</v>
      </c>
    </row>
    <row r="1826" spans="1:6" x14ac:dyDescent="0.25">
      <c r="A1826" cm="1">
        <f t="array" ref="A1826">INDEX('Portfolio Weights Returns'!$B$9:$BJ$69,
INT((ROW(A1825)-1)/COLUMNS('Portfolio Weights Returns'!$B$9:$BJ$69))+1,MOD(ROW(A1825)-1,COLUMNS('Portfolio Weights Returns'!$B$9:$BJ$69))+1)</f>
        <v>-6.3135870893583999E-4</v>
      </c>
      <c r="B1826">
        <v>0.02</v>
      </c>
      <c r="C1826" s="59">
        <v>0.23</v>
      </c>
      <c r="D1826" s="59">
        <v>-0.23</v>
      </c>
      <c r="E1826" s="60">
        <f t="shared" si="28"/>
        <v>1</v>
      </c>
      <c r="F1826" t="str" cm="1">
        <f t="array" ref="F1826">IF(A1826=MAX(IF(ROUND($B$2:$B$3722,4)=ROUND(B1826,4),$A$2:$A$3722)),"Efficient","Inefficient")</f>
        <v>Inefficient</v>
      </c>
    </row>
    <row r="1827" spans="1:6" x14ac:dyDescent="0.25">
      <c r="A1827" cm="1">
        <f t="array" ref="A1827">INDEX('Portfolio Weights Returns'!$B$9:$BJ$69,
INT((ROW(A1826)-1)/COLUMNS('Portfolio Weights Returns'!$B$9:$BJ$69))+1,MOD(ROW(A1826)-1,COLUMNS('Portfolio Weights Returns'!$B$9:$BJ$69))+1)</f>
        <v>-6.2457753496916084E-4</v>
      </c>
      <c r="B1827">
        <v>0.02</v>
      </c>
      <c r="C1827" s="59">
        <v>0.2</v>
      </c>
      <c r="D1827" s="59">
        <v>-0.21</v>
      </c>
      <c r="E1827" s="60">
        <f t="shared" si="28"/>
        <v>1.01</v>
      </c>
      <c r="F1827" t="str" cm="1">
        <f t="array" ref="F1827">IF(A1827=MAX(IF(ROUND($B$2:$B$3722,4)=ROUND(B1827,4),$A$2:$A$3722)),"Efficient","Inefficient")</f>
        <v>Inefficient</v>
      </c>
    </row>
    <row r="1828" spans="1:6" x14ac:dyDescent="0.25">
      <c r="A1828" cm="1">
        <f t="array" ref="A1828">INDEX('Portfolio Weights Returns'!$B$9:$BJ$69,
INT((ROW(A1827)-1)/COLUMNS('Portfolio Weights Returns'!$B$9:$BJ$69))+1,MOD(ROW(A1827)-1,COLUMNS('Portfolio Weights Returns'!$B$9:$BJ$69))+1)</f>
        <v>-6.1779636100248116E-4</v>
      </c>
      <c r="B1828">
        <v>0.02</v>
      </c>
      <c r="C1828" s="59">
        <v>0.18</v>
      </c>
      <c r="D1828" s="59">
        <v>-0.2</v>
      </c>
      <c r="E1828" s="60">
        <f t="shared" si="28"/>
        <v>1.02</v>
      </c>
      <c r="F1828" t="str" cm="1">
        <f t="array" ref="F1828">IF(A1828=MAX(IF(ROUND($B$2:$B$3722,4)=ROUND(B1828,4),$A$2:$A$3722)),"Efficient","Inefficient")</f>
        <v>Inefficient</v>
      </c>
    </row>
    <row r="1829" spans="1:6" x14ac:dyDescent="0.25">
      <c r="A1829" cm="1">
        <f t="array" ref="A1829">INDEX('Portfolio Weights Returns'!$B$9:$BJ$69,
INT((ROW(A1828)-1)/COLUMNS('Portfolio Weights Returns'!$B$9:$BJ$69))+1,MOD(ROW(A1828)-1,COLUMNS('Portfolio Weights Returns'!$B$9:$BJ$69))+1)</f>
        <v>-6.110151870358019E-4</v>
      </c>
      <c r="B1829">
        <v>0.02</v>
      </c>
      <c r="C1829" s="59">
        <v>0.15</v>
      </c>
      <c r="D1829" s="59">
        <v>-0.18</v>
      </c>
      <c r="E1829" s="60">
        <f t="shared" si="28"/>
        <v>1.03</v>
      </c>
      <c r="F1829" t="str" cm="1">
        <f t="array" ref="F1829">IF(A1829=MAX(IF(ROUND($B$2:$B$3722,4)=ROUND(B1829,4),$A$2:$A$3722)),"Efficient","Inefficient")</f>
        <v>Inefficient</v>
      </c>
    </row>
    <row r="1830" spans="1:6" x14ac:dyDescent="0.25">
      <c r="A1830" cm="1">
        <f t="array" ref="A1830">INDEX('Portfolio Weights Returns'!$B$9:$BJ$69,
INT((ROW(A1829)-1)/COLUMNS('Portfolio Weights Returns'!$B$9:$BJ$69))+1,MOD(ROW(A1829)-1,COLUMNS('Portfolio Weights Returns'!$B$9:$BJ$69))+1)</f>
        <v>-6.0423401306912298E-4</v>
      </c>
      <c r="B1830">
        <v>0.02</v>
      </c>
      <c r="C1830" s="59">
        <v>0.12</v>
      </c>
      <c r="D1830" s="59">
        <v>-0.16</v>
      </c>
      <c r="E1830" s="60">
        <f t="shared" si="28"/>
        <v>1.04</v>
      </c>
      <c r="F1830" t="str" cm="1">
        <f t="array" ref="F1830">IF(A1830=MAX(IF(ROUND($B$2:$B$3722,4)=ROUND(B1830,4),$A$2:$A$3722)),"Efficient","Inefficient")</f>
        <v>Inefficient</v>
      </c>
    </row>
    <row r="1831" spans="1:6" x14ac:dyDescent="0.25">
      <c r="A1831" cm="1">
        <f t="array" ref="A1831">INDEX('Portfolio Weights Returns'!$B$9:$BJ$69,
INT((ROW(A1830)-1)/COLUMNS('Portfolio Weights Returns'!$B$9:$BJ$69))+1,MOD(ROW(A1830)-1,COLUMNS('Portfolio Weights Returns'!$B$9:$BJ$69))+1)</f>
        <v>-5.9745283910244383E-4</v>
      </c>
      <c r="B1831">
        <v>0.02</v>
      </c>
      <c r="C1831" s="59">
        <v>0.09</v>
      </c>
      <c r="D1831" s="59">
        <v>-0.14000000000000001</v>
      </c>
      <c r="E1831" s="60">
        <f t="shared" si="28"/>
        <v>1.05</v>
      </c>
      <c r="F1831" t="str" cm="1">
        <f t="array" ref="F1831">IF(A1831=MAX(IF(ROUND($B$2:$B$3722,4)=ROUND(B1831,4),$A$2:$A$3722)),"Efficient","Inefficient")</f>
        <v>Efficient</v>
      </c>
    </row>
    <row r="1832" spans="1:6" x14ac:dyDescent="0.25">
      <c r="A1832" cm="1">
        <f t="array" ref="A1832">INDEX('Portfolio Weights Returns'!$B$9:$BJ$69,
INT((ROW(A1831)-1)/COLUMNS('Portfolio Weights Returns'!$B$9:$BJ$69))+1,MOD(ROW(A1831)-1,COLUMNS('Portfolio Weights Returns'!$B$9:$BJ$69))+1)</f>
        <v>-9.9774906925773543E-4</v>
      </c>
      <c r="B1832">
        <v>0.02</v>
      </c>
      <c r="C1832" s="59">
        <v>0.08</v>
      </c>
      <c r="D1832" s="59">
        <v>-0.13</v>
      </c>
      <c r="E1832" s="60">
        <f t="shared" si="28"/>
        <v>1.0499999999999998</v>
      </c>
      <c r="F1832" t="str" cm="1">
        <f t="array" ref="F1832">IF(A1832=MAX(IF(ROUND($B$2:$B$3722,4)=ROUND(B1832,4),$A$2:$A$3722)),"Efficient","Inefficient")</f>
        <v>Inefficient</v>
      </c>
    </row>
    <row r="1833" spans="1:6" x14ac:dyDescent="0.25">
      <c r="A1833" cm="1">
        <f t="array" ref="A1833">INDEX('Portfolio Weights Returns'!$B$9:$BJ$69,
INT((ROW(A1832)-1)/COLUMNS('Portfolio Weights Returns'!$B$9:$BJ$69))+1,MOD(ROW(A1832)-1,COLUMNS('Portfolio Weights Returns'!$B$9:$BJ$69))+1)</f>
        <v>-9.9096789529105628E-4</v>
      </c>
      <c r="B1833">
        <v>0.02</v>
      </c>
      <c r="C1833" s="59">
        <v>0.05</v>
      </c>
      <c r="D1833" s="59">
        <v>-0.11</v>
      </c>
      <c r="E1833" s="60">
        <f t="shared" si="28"/>
        <v>1.06</v>
      </c>
      <c r="F1833" t="str" cm="1">
        <f t="array" ref="F1833">IF(A1833=MAX(IF(ROUND($B$2:$B$3722,4)=ROUND(B1833,4),$A$2:$A$3722)),"Efficient","Inefficient")</f>
        <v>Inefficient</v>
      </c>
    </row>
    <row r="1834" spans="1:6" x14ac:dyDescent="0.25">
      <c r="A1834" cm="1">
        <f t="array" ref="A1834">INDEX('Portfolio Weights Returns'!$B$9:$BJ$69,
INT((ROW(A1833)-1)/COLUMNS('Portfolio Weights Returns'!$B$9:$BJ$69))+1,MOD(ROW(A1833)-1,COLUMNS('Portfolio Weights Returns'!$B$9:$BJ$69))+1)</f>
        <v>-9.8418672132437736E-4</v>
      </c>
      <c r="B1834">
        <v>0.02</v>
      </c>
      <c r="C1834" s="59">
        <v>0.04</v>
      </c>
      <c r="D1834" s="59">
        <v>-0.1</v>
      </c>
      <c r="E1834" s="60">
        <f t="shared" si="28"/>
        <v>1.06</v>
      </c>
      <c r="F1834" t="str" cm="1">
        <f t="array" ref="F1834">IF(A1834=MAX(IF(ROUND($B$2:$B$3722,4)=ROUND(B1834,4),$A$2:$A$3722)),"Efficient","Inefficient")</f>
        <v>Inefficient</v>
      </c>
    </row>
    <row r="1835" spans="1:6" x14ac:dyDescent="0.25">
      <c r="A1835" cm="1">
        <f t="array" ref="A1835">INDEX('Portfolio Weights Returns'!$B$9:$BJ$69,
INT((ROW(A1834)-1)/COLUMNS('Portfolio Weights Returns'!$B$9:$BJ$69))+1,MOD(ROW(A1834)-1,COLUMNS('Portfolio Weights Returns'!$B$9:$BJ$69))+1)</f>
        <v>-9.7740554735769821E-4</v>
      </c>
      <c r="B1835">
        <v>0.02</v>
      </c>
      <c r="C1835" s="59">
        <v>0.03</v>
      </c>
      <c r="D1835" s="59">
        <v>-0.09</v>
      </c>
      <c r="E1835" s="60">
        <f t="shared" si="28"/>
        <v>1.06</v>
      </c>
      <c r="F1835" t="str" cm="1">
        <f t="array" ref="F1835">IF(A1835=MAX(IF(ROUND($B$2:$B$3722,4)=ROUND(B1835,4),$A$2:$A$3722)),"Efficient","Inefficient")</f>
        <v>Inefficient</v>
      </c>
    </row>
    <row r="1836" spans="1:6" x14ac:dyDescent="0.25">
      <c r="A1836" cm="1">
        <f t="array" ref="A1836">INDEX('Portfolio Weights Returns'!$B$9:$BJ$69,
INT((ROW(A1835)-1)/COLUMNS('Portfolio Weights Returns'!$B$9:$BJ$69))+1,MOD(ROW(A1835)-1,COLUMNS('Portfolio Weights Returns'!$B$9:$BJ$69))+1)</f>
        <v>-9.7062437339101907E-4</v>
      </c>
      <c r="B1836">
        <v>0.02</v>
      </c>
      <c r="C1836" s="59">
        <v>0.02</v>
      </c>
      <c r="D1836" s="59">
        <v>-0.08</v>
      </c>
      <c r="E1836" s="60">
        <f t="shared" si="28"/>
        <v>1.06</v>
      </c>
      <c r="F1836" t="str" cm="1">
        <f t="array" ref="F1836">IF(A1836=MAX(IF(ROUND($B$2:$B$3722,4)=ROUND(B1836,4),$A$2:$A$3722)),"Efficient","Inefficient")</f>
        <v>Inefficient</v>
      </c>
    </row>
    <row r="1837" spans="1:6" x14ac:dyDescent="0.25">
      <c r="A1837" cm="1">
        <f t="array" ref="A1837">INDEX('Portfolio Weights Returns'!$B$9:$BJ$69,
INT((ROW(A1836)-1)/COLUMNS('Portfolio Weights Returns'!$B$9:$BJ$69))+1,MOD(ROW(A1836)-1,COLUMNS('Portfolio Weights Returns'!$B$9:$BJ$69))+1)</f>
        <v>-9.6384319942434003E-4</v>
      </c>
      <c r="B1837">
        <v>0.02</v>
      </c>
      <c r="C1837" s="59">
        <v>0.01</v>
      </c>
      <c r="D1837" s="59">
        <v>-7.0000000000000007E-2</v>
      </c>
      <c r="E1837" s="60">
        <f t="shared" si="28"/>
        <v>1.06</v>
      </c>
      <c r="F1837" t="str" cm="1">
        <f t="array" ref="F1837">IF(A1837=MAX(IF(ROUND($B$2:$B$3722,4)=ROUND(B1837,4),$A$2:$A$3722)),"Efficient","Inefficient")</f>
        <v>Inefficient</v>
      </c>
    </row>
    <row r="1838" spans="1:6" x14ac:dyDescent="0.25">
      <c r="A1838" cm="1">
        <f t="array" ref="A1838">INDEX('Portfolio Weights Returns'!$B$9:$BJ$69,
INT((ROW(A1837)-1)/COLUMNS('Portfolio Weights Returns'!$B$9:$BJ$69))+1,MOD(ROW(A1837)-1,COLUMNS('Portfolio Weights Returns'!$B$9:$BJ$69))+1)</f>
        <v>-9.5706202545766089E-4</v>
      </c>
      <c r="B1838">
        <v>0.02</v>
      </c>
      <c r="C1838" s="59">
        <v>0</v>
      </c>
      <c r="D1838" s="59">
        <v>-0.06</v>
      </c>
      <c r="E1838" s="60">
        <f t="shared" si="28"/>
        <v>1.06</v>
      </c>
      <c r="F1838" t="str" cm="1">
        <f t="array" ref="F1838">IF(A1838=MAX(IF(ROUND($B$2:$B$3722,4)=ROUND(B1838,4),$A$2:$A$3722)),"Efficient","Inefficient")</f>
        <v>Inefficient</v>
      </c>
    </row>
    <row r="1839" spans="1:6" x14ac:dyDescent="0.25">
      <c r="A1839" cm="1">
        <f t="array" ref="A1839">INDEX('Portfolio Weights Returns'!$B$9:$BJ$69,
INT((ROW(A1838)-1)/COLUMNS('Portfolio Weights Returns'!$B$9:$BJ$69))+1,MOD(ROW(A1838)-1,COLUMNS('Portfolio Weights Returns'!$B$9:$BJ$69))+1)</f>
        <v>-9.5028085149098185E-4</v>
      </c>
      <c r="B1839">
        <v>0.02</v>
      </c>
      <c r="C1839" s="59">
        <v>-0.01</v>
      </c>
      <c r="D1839" s="59">
        <v>-0.05</v>
      </c>
      <c r="E1839" s="60">
        <f t="shared" si="28"/>
        <v>1.06</v>
      </c>
      <c r="F1839" t="str" cm="1">
        <f t="array" ref="F1839">IF(A1839=MAX(IF(ROUND($B$2:$B$3722,4)=ROUND(B1839,4),$A$2:$A$3722)),"Efficient","Inefficient")</f>
        <v>Inefficient</v>
      </c>
    </row>
    <row r="1840" spans="1:6" x14ac:dyDescent="0.25">
      <c r="A1840" cm="1">
        <f t="array" ref="A1840">INDEX('Portfolio Weights Returns'!$B$9:$BJ$69,
INT((ROW(A1839)-1)/COLUMNS('Portfolio Weights Returns'!$B$9:$BJ$69))+1,MOD(ROW(A1839)-1,COLUMNS('Portfolio Weights Returns'!$B$9:$BJ$69))+1)</f>
        <v>-9.4349967752430271E-4</v>
      </c>
      <c r="B1840">
        <v>0.02</v>
      </c>
      <c r="C1840" s="59">
        <v>-0.02</v>
      </c>
      <c r="D1840" s="59">
        <v>-0.04</v>
      </c>
      <c r="E1840" s="60">
        <f t="shared" si="28"/>
        <v>1.06</v>
      </c>
      <c r="F1840" t="str" cm="1">
        <f t="array" ref="F1840">IF(A1840=MAX(IF(ROUND($B$2:$B$3722,4)=ROUND(B1840,4),$A$2:$A$3722)),"Efficient","Inefficient")</f>
        <v>Inefficient</v>
      </c>
    </row>
    <row r="1841" spans="1:6" x14ac:dyDescent="0.25">
      <c r="A1841" cm="1">
        <f t="array" ref="A1841">INDEX('Portfolio Weights Returns'!$B$9:$BJ$69,
INT((ROW(A1840)-1)/COLUMNS('Portfolio Weights Returns'!$B$9:$BJ$69))+1,MOD(ROW(A1840)-1,COLUMNS('Portfolio Weights Returns'!$B$9:$BJ$69))+1)</f>
        <v>-9.3671850355762356E-4</v>
      </c>
      <c r="B1841">
        <v>0.02</v>
      </c>
      <c r="C1841" s="59">
        <v>-0.03</v>
      </c>
      <c r="D1841" s="59">
        <v>-0.03</v>
      </c>
      <c r="E1841" s="60">
        <f t="shared" si="28"/>
        <v>1.06</v>
      </c>
      <c r="F1841" t="str" cm="1">
        <f t="array" ref="F1841">IF(A1841=MAX(IF(ROUND($B$2:$B$3722,4)=ROUND(B1841,4),$A$2:$A$3722)),"Efficient","Inefficient")</f>
        <v>Inefficient</v>
      </c>
    </row>
    <row r="1842" spans="1:6" x14ac:dyDescent="0.25">
      <c r="A1842" cm="1">
        <f t="array" ref="A1842">INDEX('Portfolio Weights Returns'!$B$9:$BJ$69,
INT((ROW(A1841)-1)/COLUMNS('Portfolio Weights Returns'!$B$9:$BJ$69))+1,MOD(ROW(A1841)-1,COLUMNS('Portfolio Weights Returns'!$B$9:$BJ$69))+1)</f>
        <v>-9.2993732959094442E-4</v>
      </c>
      <c r="B1842">
        <v>0.02</v>
      </c>
      <c r="C1842" s="59">
        <v>-0.04</v>
      </c>
      <c r="D1842" s="59">
        <v>-0.02</v>
      </c>
      <c r="E1842" s="60">
        <f t="shared" si="28"/>
        <v>1.06</v>
      </c>
      <c r="F1842" t="str" cm="1">
        <f t="array" ref="F1842">IF(A1842=MAX(IF(ROUND($B$2:$B$3722,4)=ROUND(B1842,4),$A$2:$A$3722)),"Efficient","Inefficient")</f>
        <v>Inefficient</v>
      </c>
    </row>
    <row r="1843" spans="1:6" x14ac:dyDescent="0.25">
      <c r="A1843" cm="1">
        <f t="array" ref="A1843">INDEX('Portfolio Weights Returns'!$B$9:$BJ$69,
INT((ROW(A1842)-1)/COLUMNS('Portfolio Weights Returns'!$B$9:$BJ$69))+1,MOD(ROW(A1842)-1,COLUMNS('Portfolio Weights Returns'!$B$9:$BJ$69))+1)</f>
        <v>-9.2315615562426527E-4</v>
      </c>
      <c r="B1843">
        <v>0.02</v>
      </c>
      <c r="C1843" s="59">
        <v>-0.05</v>
      </c>
      <c r="D1843" s="59">
        <v>-0.01</v>
      </c>
      <c r="E1843" s="60">
        <f t="shared" si="28"/>
        <v>1.06</v>
      </c>
      <c r="F1843" t="str" cm="1">
        <f t="array" ref="F1843">IF(A1843=MAX(IF(ROUND($B$2:$B$3722,4)=ROUND(B1843,4),$A$2:$A$3722)),"Efficient","Inefficient")</f>
        <v>Inefficient</v>
      </c>
    </row>
    <row r="1844" spans="1:6" x14ac:dyDescent="0.25">
      <c r="A1844" cm="1">
        <f t="array" ref="A1844">INDEX('Portfolio Weights Returns'!$B$9:$BJ$69,
INT((ROW(A1843)-1)/COLUMNS('Portfolio Weights Returns'!$B$9:$BJ$69))+1,MOD(ROW(A1843)-1,COLUMNS('Portfolio Weights Returns'!$B$9:$BJ$69))+1)</f>
        <v>-9.1637498165758624E-4</v>
      </c>
      <c r="B1844">
        <v>0.02</v>
      </c>
      <c r="C1844" s="59">
        <v>-0.06</v>
      </c>
      <c r="D1844" s="59">
        <v>0</v>
      </c>
      <c r="E1844" s="60">
        <f t="shared" si="28"/>
        <v>1.06</v>
      </c>
      <c r="F1844" t="str" cm="1">
        <f t="array" ref="F1844">IF(A1844=MAX(IF(ROUND($B$2:$B$3722,4)=ROUND(B1844,4),$A$2:$A$3722)),"Efficient","Inefficient")</f>
        <v>Inefficient</v>
      </c>
    </row>
    <row r="1845" spans="1:6" x14ac:dyDescent="0.25">
      <c r="A1845" cm="1">
        <f t="array" ref="A1845">INDEX('Portfolio Weights Returns'!$B$9:$BJ$69,
INT((ROW(A1844)-1)/COLUMNS('Portfolio Weights Returns'!$B$9:$BJ$69))+1,MOD(ROW(A1844)-1,COLUMNS('Portfolio Weights Returns'!$B$9:$BJ$69))+1)</f>
        <v>-9.0959380769090709E-4</v>
      </c>
      <c r="B1845">
        <v>0.02</v>
      </c>
      <c r="C1845" s="59">
        <v>-0.08</v>
      </c>
      <c r="D1845" s="59">
        <v>0.03</v>
      </c>
      <c r="E1845" s="60">
        <f t="shared" si="28"/>
        <v>1.05</v>
      </c>
      <c r="F1845" t="str" cm="1">
        <f t="array" ref="F1845">IF(A1845=MAX(IF(ROUND($B$2:$B$3722,4)=ROUND(B1845,4),$A$2:$A$3722)),"Efficient","Inefficient")</f>
        <v>Inefficient</v>
      </c>
    </row>
    <row r="1846" spans="1:6" x14ac:dyDescent="0.25">
      <c r="A1846" cm="1">
        <f t="array" ref="A1846">INDEX('Portfolio Weights Returns'!$B$9:$BJ$69,
INT((ROW(A1845)-1)/COLUMNS('Portfolio Weights Returns'!$B$9:$BJ$69))+1,MOD(ROW(A1845)-1,COLUMNS('Portfolio Weights Returns'!$B$9:$BJ$69))+1)</f>
        <v>-9.0281263372422806E-4</v>
      </c>
      <c r="B1846">
        <v>0.02</v>
      </c>
      <c r="C1846" s="59">
        <v>-0.09</v>
      </c>
      <c r="D1846" s="59">
        <v>0.04</v>
      </c>
      <c r="E1846" s="60">
        <f t="shared" si="28"/>
        <v>1.05</v>
      </c>
      <c r="F1846" t="str" cm="1">
        <f t="array" ref="F1846">IF(A1846=MAX(IF(ROUND($B$2:$B$3722,4)=ROUND(B1846,4),$A$2:$A$3722)),"Efficient","Inefficient")</f>
        <v>Inefficient</v>
      </c>
    </row>
    <row r="1847" spans="1:6" x14ac:dyDescent="0.25">
      <c r="A1847" cm="1">
        <f t="array" ref="A1847">INDEX('Portfolio Weights Returns'!$B$9:$BJ$69,
INT((ROW(A1846)-1)/COLUMNS('Portfolio Weights Returns'!$B$9:$BJ$69))+1,MOD(ROW(A1846)-1,COLUMNS('Portfolio Weights Returns'!$B$9:$BJ$69))+1)</f>
        <v>-8.9603145975754891E-4</v>
      </c>
      <c r="B1847">
        <v>0.02</v>
      </c>
      <c r="C1847" s="59">
        <v>-0.1</v>
      </c>
      <c r="D1847" s="59">
        <v>0.06</v>
      </c>
      <c r="E1847" s="60">
        <f t="shared" si="28"/>
        <v>1.04</v>
      </c>
      <c r="F1847" t="str" cm="1">
        <f t="array" ref="F1847">IF(A1847=MAX(IF(ROUND($B$2:$B$3722,4)=ROUND(B1847,4),$A$2:$A$3722)),"Efficient","Inefficient")</f>
        <v>Inefficient</v>
      </c>
    </row>
    <row r="1848" spans="1:6" x14ac:dyDescent="0.25">
      <c r="A1848" cm="1">
        <f t="array" ref="A1848">INDEX('Portfolio Weights Returns'!$B$9:$BJ$69,
INT((ROW(A1847)-1)/COLUMNS('Portfolio Weights Returns'!$B$9:$BJ$69))+1,MOD(ROW(A1847)-1,COLUMNS('Portfolio Weights Returns'!$B$9:$BJ$69))+1)</f>
        <v>-8.8925028579086999E-4</v>
      </c>
      <c r="B1848">
        <v>0.02</v>
      </c>
      <c r="C1848" s="59">
        <v>-0.11</v>
      </c>
      <c r="D1848" s="59">
        <v>0.08</v>
      </c>
      <c r="E1848" s="60">
        <f t="shared" si="28"/>
        <v>1.03</v>
      </c>
      <c r="F1848" t="str" cm="1">
        <f t="array" ref="F1848">IF(A1848=MAX(IF(ROUND($B$2:$B$3722,4)=ROUND(B1848,4),$A$2:$A$3722)),"Efficient","Inefficient")</f>
        <v>Inefficient</v>
      </c>
    </row>
    <row r="1849" spans="1:6" x14ac:dyDescent="0.25">
      <c r="A1849" cm="1">
        <f t="array" ref="A1849">INDEX('Portfolio Weights Returns'!$B$9:$BJ$69,
INT((ROW(A1848)-1)/COLUMNS('Portfolio Weights Returns'!$B$9:$BJ$69))+1,MOD(ROW(A1848)-1,COLUMNS('Portfolio Weights Returns'!$B$9:$BJ$69))+1)</f>
        <v>-8.8246911182419062E-4</v>
      </c>
      <c r="B1849">
        <v>0.02</v>
      </c>
      <c r="C1849" s="59">
        <v>-0.12</v>
      </c>
      <c r="D1849" s="59">
        <v>0.1</v>
      </c>
      <c r="E1849" s="60">
        <f t="shared" si="28"/>
        <v>1.02</v>
      </c>
      <c r="F1849" t="str" cm="1">
        <f t="array" ref="F1849">IF(A1849=MAX(IF(ROUND($B$2:$B$3722,4)=ROUND(B1849,4),$A$2:$A$3722)),"Efficient","Inefficient")</f>
        <v>Inefficient</v>
      </c>
    </row>
    <row r="1850" spans="1:6" x14ac:dyDescent="0.25">
      <c r="A1850" cm="1">
        <f t="array" ref="A1850">INDEX('Portfolio Weights Returns'!$B$9:$BJ$69,
INT((ROW(A1849)-1)/COLUMNS('Portfolio Weights Returns'!$B$9:$BJ$69))+1,MOD(ROW(A1849)-1,COLUMNS('Portfolio Weights Returns'!$B$9:$BJ$69))+1)</f>
        <v>-8.7568793785751181E-4</v>
      </c>
      <c r="B1850">
        <v>0.02</v>
      </c>
      <c r="C1850" s="59">
        <v>-0.12</v>
      </c>
      <c r="D1850" s="59">
        <v>0.11</v>
      </c>
      <c r="E1850" s="60">
        <f t="shared" si="28"/>
        <v>1.01</v>
      </c>
      <c r="F1850" t="str" cm="1">
        <f t="array" ref="F1850">IF(A1850=MAX(IF(ROUND($B$2:$B$3722,4)=ROUND(B1850,4),$A$2:$A$3722)),"Efficient","Inefficient")</f>
        <v>Inefficient</v>
      </c>
    </row>
    <row r="1851" spans="1:6" x14ac:dyDescent="0.25">
      <c r="A1851" cm="1">
        <f t="array" ref="A1851">INDEX('Portfolio Weights Returns'!$B$9:$BJ$69,
INT((ROW(A1850)-1)/COLUMNS('Portfolio Weights Returns'!$B$9:$BJ$69))+1,MOD(ROW(A1850)-1,COLUMNS('Portfolio Weights Returns'!$B$9:$BJ$69))+1)</f>
        <v>-8.6890676389083266E-4</v>
      </c>
      <c r="B1851">
        <v>0.02</v>
      </c>
      <c r="C1851" s="59">
        <v>-0.13</v>
      </c>
      <c r="D1851" s="59">
        <v>0.12</v>
      </c>
      <c r="E1851" s="60">
        <f t="shared" si="28"/>
        <v>1.01</v>
      </c>
      <c r="F1851" t="str" cm="1">
        <f t="array" ref="F1851">IF(A1851=MAX(IF(ROUND($B$2:$B$3722,4)=ROUND(B1851,4),$A$2:$A$3722)),"Efficient","Inefficient")</f>
        <v>Inefficient</v>
      </c>
    </row>
    <row r="1852" spans="1:6" x14ac:dyDescent="0.25">
      <c r="A1852" cm="1">
        <f t="array" ref="A1852">INDEX('Portfolio Weights Returns'!$B$9:$BJ$69,
INT((ROW(A1851)-1)/COLUMNS('Portfolio Weights Returns'!$B$9:$BJ$69))+1,MOD(ROW(A1851)-1,COLUMNS('Portfolio Weights Returns'!$B$9:$BJ$69))+1)</f>
        <v>-8.6212558992415341E-4</v>
      </c>
      <c r="B1852">
        <v>0.02</v>
      </c>
      <c r="C1852" s="59">
        <v>-0.13</v>
      </c>
      <c r="D1852" s="59">
        <v>0.13</v>
      </c>
      <c r="E1852" s="60">
        <f t="shared" si="28"/>
        <v>1</v>
      </c>
      <c r="F1852" t="str" cm="1">
        <f t="array" ref="F1852">IF(A1852=MAX(IF(ROUND($B$2:$B$3722,4)=ROUND(B1852,4),$A$2:$A$3722)),"Efficient","Inefficient")</f>
        <v>Inefficient</v>
      </c>
    </row>
    <row r="1853" spans="1:6" x14ac:dyDescent="0.25">
      <c r="A1853" cm="1">
        <f t="array" ref="A1853">INDEX('Portfolio Weights Returns'!$B$9:$BJ$69,
INT((ROW(A1852)-1)/COLUMNS('Portfolio Weights Returns'!$B$9:$BJ$69))+1,MOD(ROW(A1852)-1,COLUMNS('Portfolio Weights Returns'!$B$9:$BJ$69))+1)</f>
        <v>-8.5534441595747437E-4</v>
      </c>
      <c r="B1853">
        <v>0.02</v>
      </c>
      <c r="C1853" s="59">
        <v>-0.13</v>
      </c>
      <c r="D1853" s="59">
        <v>0.14000000000000001</v>
      </c>
      <c r="E1853" s="60">
        <f t="shared" si="28"/>
        <v>0.99</v>
      </c>
      <c r="F1853" t="str" cm="1">
        <f t="array" ref="F1853">IF(A1853=MAX(IF(ROUND($B$2:$B$3722,4)=ROUND(B1853,4),$A$2:$A$3722)),"Efficient","Inefficient")</f>
        <v>Inefficient</v>
      </c>
    </row>
    <row r="1854" spans="1:6" x14ac:dyDescent="0.25">
      <c r="A1854" cm="1">
        <f t="array" ref="A1854">INDEX('Portfolio Weights Returns'!$B$9:$BJ$69,
INT((ROW(A1853)-1)/COLUMNS('Portfolio Weights Returns'!$B$9:$BJ$69))+1,MOD(ROW(A1853)-1,COLUMNS('Portfolio Weights Returns'!$B$9:$BJ$69))+1)</f>
        <v>-8.4856324199079523E-4</v>
      </c>
      <c r="B1854">
        <v>0.02</v>
      </c>
      <c r="C1854" s="59">
        <v>-0.14000000000000001</v>
      </c>
      <c r="D1854" s="59">
        <v>0.16</v>
      </c>
      <c r="E1854" s="60">
        <f t="shared" si="28"/>
        <v>0.98</v>
      </c>
      <c r="F1854" t="str" cm="1">
        <f t="array" ref="F1854">IF(A1854=MAX(IF(ROUND($B$2:$B$3722,4)=ROUND(B1854,4),$A$2:$A$3722)),"Efficient","Inefficient")</f>
        <v>Inefficient</v>
      </c>
    </row>
    <row r="1855" spans="1:6" x14ac:dyDescent="0.25">
      <c r="A1855" cm="1">
        <f t="array" ref="A1855">INDEX('Portfolio Weights Returns'!$B$9:$BJ$69,
INT((ROW(A1854)-1)/COLUMNS('Portfolio Weights Returns'!$B$9:$BJ$69))+1,MOD(ROW(A1854)-1,COLUMNS('Portfolio Weights Returns'!$B$9:$BJ$69))+1)</f>
        <v>-8.4178206802411619E-4</v>
      </c>
      <c r="B1855">
        <v>0.02</v>
      </c>
      <c r="C1855" s="59">
        <v>-0.14000000000000001</v>
      </c>
      <c r="D1855" s="59">
        <v>0.17</v>
      </c>
      <c r="E1855" s="60">
        <f t="shared" si="28"/>
        <v>0.97</v>
      </c>
      <c r="F1855" t="str" cm="1">
        <f t="array" ref="F1855">IF(A1855=MAX(IF(ROUND($B$2:$B$3722,4)=ROUND(B1855,4),$A$2:$A$3722)),"Efficient","Inefficient")</f>
        <v>Inefficient</v>
      </c>
    </row>
    <row r="1856" spans="1:6" x14ac:dyDescent="0.25">
      <c r="A1856" cm="1">
        <f t="array" ref="A1856">INDEX('Portfolio Weights Returns'!$B$9:$BJ$69,
INT((ROW(A1855)-1)/COLUMNS('Portfolio Weights Returns'!$B$9:$BJ$69))+1,MOD(ROW(A1855)-1,COLUMNS('Portfolio Weights Returns'!$B$9:$BJ$69))+1)</f>
        <v>-8.3500089405743705E-4</v>
      </c>
      <c r="B1856">
        <v>0.02</v>
      </c>
      <c r="C1856" s="59">
        <v>-0.14000000000000001</v>
      </c>
      <c r="D1856" s="59">
        <v>0.18</v>
      </c>
      <c r="E1856" s="60">
        <f t="shared" si="28"/>
        <v>0.96000000000000008</v>
      </c>
      <c r="F1856" t="str" cm="1">
        <f t="array" ref="F1856">IF(A1856=MAX(IF(ROUND($B$2:$B$3722,4)=ROUND(B1856,4),$A$2:$A$3722)),"Efficient","Inefficient")</f>
        <v>Inefficient</v>
      </c>
    </row>
    <row r="1857" spans="1:6" x14ac:dyDescent="0.25">
      <c r="A1857" cm="1">
        <f t="array" ref="A1857">INDEX('Portfolio Weights Returns'!$B$9:$BJ$69,
INT((ROW(A1856)-1)/COLUMNS('Portfolio Weights Returns'!$B$9:$BJ$69))+1,MOD(ROW(A1856)-1,COLUMNS('Portfolio Weights Returns'!$B$9:$BJ$69))+1)</f>
        <v>-8.2821972009075801E-4</v>
      </c>
      <c r="B1857">
        <v>0.02</v>
      </c>
      <c r="C1857" s="59">
        <v>-0.14000000000000001</v>
      </c>
      <c r="D1857" s="59">
        <v>0.19</v>
      </c>
      <c r="E1857" s="60">
        <f t="shared" si="28"/>
        <v>0.95000000000000007</v>
      </c>
      <c r="F1857" t="str" cm="1">
        <f t="array" ref="F1857">IF(A1857=MAX(IF(ROUND($B$2:$B$3722,4)=ROUND(B1857,4),$A$2:$A$3722)),"Efficient","Inefficient")</f>
        <v>Inefficient</v>
      </c>
    </row>
    <row r="1858" spans="1:6" x14ac:dyDescent="0.25">
      <c r="A1858" cm="1">
        <f t="array" ref="A1858">INDEX('Portfolio Weights Returns'!$B$9:$BJ$69,
INT((ROW(A1857)-1)/COLUMNS('Portfolio Weights Returns'!$B$9:$BJ$69))+1,MOD(ROW(A1857)-1,COLUMNS('Portfolio Weights Returns'!$B$9:$BJ$69))+1)</f>
        <v>-8.2143854612407887E-4</v>
      </c>
      <c r="B1858">
        <v>0.02</v>
      </c>
      <c r="C1858" s="59">
        <v>-0.14000000000000001</v>
      </c>
      <c r="D1858" s="59">
        <v>0.2</v>
      </c>
      <c r="E1858" s="60">
        <f t="shared" ref="E1858:E1921" si="29">1-D1858-C1858</f>
        <v>0.94000000000000006</v>
      </c>
      <c r="F1858" t="str" cm="1">
        <f t="array" ref="F1858">IF(A1858=MAX(IF(ROUND($B$2:$B$3722,4)=ROUND(B1858,4),$A$2:$A$3722)),"Efficient","Inefficient")</f>
        <v>Inefficient</v>
      </c>
    </row>
    <row r="1859" spans="1:6" x14ac:dyDescent="0.25">
      <c r="A1859" cm="1">
        <f t="array" ref="A1859">INDEX('Portfolio Weights Returns'!$B$9:$BJ$69,
INT((ROW(A1858)-1)/COLUMNS('Portfolio Weights Returns'!$B$9:$BJ$69))+1,MOD(ROW(A1858)-1,COLUMNS('Portfolio Weights Returns'!$B$9:$BJ$69))+1)</f>
        <v>-8.1465737215739972E-4</v>
      </c>
      <c r="B1859">
        <v>0.02</v>
      </c>
      <c r="C1859" s="59">
        <v>-0.14000000000000001</v>
      </c>
      <c r="D1859" s="59">
        <v>0.21</v>
      </c>
      <c r="E1859" s="60">
        <f t="shared" si="29"/>
        <v>0.93</v>
      </c>
      <c r="F1859" t="str" cm="1">
        <f t="array" ref="F1859">IF(A1859=MAX(IF(ROUND($B$2:$B$3722,4)=ROUND(B1859,4),$A$2:$A$3722)),"Efficient","Inefficient")</f>
        <v>Inefficient</v>
      </c>
    </row>
    <row r="1860" spans="1:6" x14ac:dyDescent="0.25">
      <c r="A1860" cm="1">
        <f t="array" ref="A1860">INDEX('Portfolio Weights Returns'!$B$9:$BJ$69,
INT((ROW(A1859)-1)/COLUMNS('Portfolio Weights Returns'!$B$9:$BJ$69))+1,MOD(ROW(A1859)-1,COLUMNS('Portfolio Weights Returns'!$B$9:$BJ$69))+1)</f>
        <v>-8.0787619819072058E-4</v>
      </c>
      <c r="B1860">
        <v>0.02</v>
      </c>
      <c r="C1860" s="59">
        <v>-0.14000000000000001</v>
      </c>
      <c r="D1860" s="59">
        <v>0.22</v>
      </c>
      <c r="E1860" s="60">
        <f t="shared" si="29"/>
        <v>0.92</v>
      </c>
      <c r="F1860" t="str" cm="1">
        <f t="array" ref="F1860">IF(A1860=MAX(IF(ROUND($B$2:$B$3722,4)=ROUND(B1860,4),$A$2:$A$3722)),"Efficient","Inefficient")</f>
        <v>Inefficient</v>
      </c>
    </row>
    <row r="1861" spans="1:6" x14ac:dyDescent="0.25">
      <c r="A1861" cm="1">
        <f t="array" ref="A1861">INDEX('Portfolio Weights Returns'!$B$9:$BJ$69,
INT((ROW(A1860)-1)/COLUMNS('Portfolio Weights Returns'!$B$9:$BJ$69))+1,MOD(ROW(A1860)-1,COLUMNS('Portfolio Weights Returns'!$B$9:$BJ$69))+1)</f>
        <v>-8.0109502422404154E-4</v>
      </c>
      <c r="B1861">
        <v>0.02</v>
      </c>
      <c r="C1861" s="59">
        <v>-0.13</v>
      </c>
      <c r="D1861" s="59">
        <v>0.24</v>
      </c>
      <c r="E1861" s="60">
        <f t="shared" si="29"/>
        <v>0.89</v>
      </c>
      <c r="F1861" t="str" cm="1">
        <f t="array" ref="F1861">IF(A1861=MAX(IF(ROUND($B$2:$B$3722,4)=ROUND(B1861,4),$A$2:$A$3722)),"Efficient","Inefficient")</f>
        <v>Inefficient</v>
      </c>
    </row>
    <row r="1862" spans="1:6" x14ac:dyDescent="0.25">
      <c r="A1862" cm="1">
        <f t="array" ref="A1862">INDEX('Portfolio Weights Returns'!$B$9:$BJ$69,
INT((ROW(A1861)-1)/COLUMNS('Portfolio Weights Returns'!$B$9:$BJ$69))+1,MOD(ROW(A1861)-1,COLUMNS('Portfolio Weights Returns'!$B$9:$BJ$69))+1)</f>
        <v>-7.943138502573624E-4</v>
      </c>
      <c r="B1862">
        <v>0.02</v>
      </c>
      <c r="C1862" s="59">
        <v>-0.13</v>
      </c>
      <c r="D1862" s="59">
        <v>0.25</v>
      </c>
      <c r="E1862" s="60">
        <f t="shared" si="29"/>
        <v>0.88</v>
      </c>
      <c r="F1862" t="str" cm="1">
        <f t="array" ref="F1862">IF(A1862=MAX(IF(ROUND($B$2:$B$3722,4)=ROUND(B1862,4),$A$2:$A$3722)),"Efficient","Inefficient")</f>
        <v>Inefficient</v>
      </c>
    </row>
    <row r="1863" spans="1:6" x14ac:dyDescent="0.25">
      <c r="A1863" cm="1">
        <f t="array" ref="A1863">INDEX('Portfolio Weights Returns'!$B$9:$BJ$69,
INT((ROW(A1862)-1)/COLUMNS('Portfolio Weights Returns'!$B$9:$BJ$69))+1,MOD(ROW(A1862)-1,COLUMNS('Portfolio Weights Returns'!$B$9:$BJ$69))+1)</f>
        <v>-7.8753267629068325E-4</v>
      </c>
      <c r="B1863">
        <v>0.02</v>
      </c>
      <c r="C1863" s="59">
        <v>-0.12</v>
      </c>
      <c r="D1863" s="59">
        <v>0.26</v>
      </c>
      <c r="E1863" s="60">
        <f t="shared" si="29"/>
        <v>0.86</v>
      </c>
      <c r="F1863" t="str" cm="1">
        <f t="array" ref="F1863">IF(A1863=MAX(IF(ROUND($B$2:$B$3722,4)=ROUND(B1863,4),$A$2:$A$3722)),"Efficient","Inefficient")</f>
        <v>Inefficient</v>
      </c>
    </row>
    <row r="1864" spans="1:6" x14ac:dyDescent="0.25">
      <c r="A1864" cm="1">
        <f t="array" ref="A1864">INDEX('Portfolio Weights Returns'!$B$9:$BJ$69,
INT((ROW(A1863)-1)/COLUMNS('Portfolio Weights Returns'!$B$9:$BJ$69))+1,MOD(ROW(A1863)-1,COLUMNS('Portfolio Weights Returns'!$B$9:$BJ$69))+1)</f>
        <v>-7.8075150232400422E-4</v>
      </c>
      <c r="B1864">
        <v>0.02</v>
      </c>
      <c r="C1864" s="59">
        <v>-0.12</v>
      </c>
      <c r="D1864" s="59">
        <v>0.27</v>
      </c>
      <c r="E1864" s="60">
        <f t="shared" si="29"/>
        <v>0.85</v>
      </c>
      <c r="F1864" t="str" cm="1">
        <f t="array" ref="F1864">IF(A1864=MAX(IF(ROUND($B$2:$B$3722,4)=ROUND(B1864,4),$A$2:$A$3722)),"Efficient","Inefficient")</f>
        <v>Inefficient</v>
      </c>
    </row>
    <row r="1865" spans="1:6" x14ac:dyDescent="0.25">
      <c r="A1865" cm="1">
        <f t="array" ref="A1865">INDEX('Portfolio Weights Returns'!$B$9:$BJ$69,
INT((ROW(A1864)-1)/COLUMNS('Portfolio Weights Returns'!$B$9:$BJ$69))+1,MOD(ROW(A1864)-1,COLUMNS('Portfolio Weights Returns'!$B$9:$BJ$69))+1)</f>
        <v>-7.7397032835732507E-4</v>
      </c>
      <c r="B1865">
        <v>0.02</v>
      </c>
      <c r="C1865" s="59">
        <v>-0.11</v>
      </c>
      <c r="D1865" s="59">
        <v>0.28000000000000003</v>
      </c>
      <c r="E1865" s="60">
        <f t="shared" si="29"/>
        <v>0.83</v>
      </c>
      <c r="F1865" t="str" cm="1">
        <f t="array" ref="F1865">IF(A1865=MAX(IF(ROUND($B$2:$B$3722,4)=ROUND(B1865,4),$A$2:$A$3722)),"Efficient","Inefficient")</f>
        <v>Inefficient</v>
      </c>
    </row>
    <row r="1866" spans="1:6" x14ac:dyDescent="0.25">
      <c r="A1866" cm="1">
        <f t="array" ref="A1866">INDEX('Portfolio Weights Returns'!$B$9:$BJ$69,
INT((ROW(A1865)-1)/COLUMNS('Portfolio Weights Returns'!$B$9:$BJ$69))+1,MOD(ROW(A1865)-1,COLUMNS('Portfolio Weights Returns'!$B$9:$BJ$69))+1)</f>
        <v>-7.6718915439064593E-4</v>
      </c>
      <c r="B1866">
        <v>0.02</v>
      </c>
      <c r="C1866" s="59">
        <v>-0.11</v>
      </c>
      <c r="D1866" s="59">
        <v>0.28999999999999998</v>
      </c>
      <c r="E1866" s="60">
        <f t="shared" si="29"/>
        <v>0.82</v>
      </c>
      <c r="F1866" t="str" cm="1">
        <f t="array" ref="F1866">IF(A1866=MAX(IF(ROUND($B$2:$B$3722,4)=ROUND(B1866,4),$A$2:$A$3722)),"Efficient","Inefficient")</f>
        <v>Inefficient</v>
      </c>
    </row>
    <row r="1867" spans="1:6" x14ac:dyDescent="0.25">
      <c r="A1867" cm="1">
        <f t="array" ref="A1867">INDEX('Portfolio Weights Returns'!$B$9:$BJ$69,
INT((ROW(A1866)-1)/COLUMNS('Portfolio Weights Returns'!$B$9:$BJ$69))+1,MOD(ROW(A1866)-1,COLUMNS('Portfolio Weights Returns'!$B$9:$BJ$69))+1)</f>
        <v>-7.6040798042396678E-4</v>
      </c>
      <c r="B1867">
        <v>0.02</v>
      </c>
      <c r="C1867" s="59">
        <v>-0.1</v>
      </c>
      <c r="D1867" s="59">
        <v>0.3</v>
      </c>
      <c r="E1867" s="60">
        <f t="shared" si="29"/>
        <v>0.79999999999999993</v>
      </c>
      <c r="F1867" t="str" cm="1">
        <f t="array" ref="F1867">IF(A1867=MAX(IF(ROUND($B$2:$B$3722,4)=ROUND(B1867,4),$A$2:$A$3722)),"Efficient","Inefficient")</f>
        <v>Inefficient</v>
      </c>
    </row>
    <row r="1868" spans="1:6" x14ac:dyDescent="0.25">
      <c r="A1868" cm="1">
        <f t="array" ref="A1868">INDEX('Portfolio Weights Returns'!$B$9:$BJ$69,
INT((ROW(A1867)-1)/COLUMNS('Portfolio Weights Returns'!$B$9:$BJ$69))+1,MOD(ROW(A1867)-1,COLUMNS('Portfolio Weights Returns'!$B$9:$BJ$69))+1)</f>
        <v>-7.5362680645728775E-4</v>
      </c>
      <c r="B1868">
        <v>2.01E-2</v>
      </c>
      <c r="C1868" s="59">
        <v>0.3</v>
      </c>
      <c r="D1868" s="59">
        <v>-0.27</v>
      </c>
      <c r="E1868" s="60">
        <f t="shared" si="29"/>
        <v>0.97</v>
      </c>
      <c r="F1868" t="str" cm="1">
        <f t="array" ref="F1868">IF(A1868=MAX(IF(ROUND($B$2:$B$3722,4)=ROUND(B1868,4),$A$2:$A$3722)),"Efficient","Inefficient")</f>
        <v>Inefficient</v>
      </c>
    </row>
    <row r="1869" spans="1:6" x14ac:dyDescent="0.25">
      <c r="A1869" cm="1">
        <f t="array" ref="A1869">INDEX('Portfolio Weights Returns'!$B$9:$BJ$69,
INT((ROW(A1868)-1)/COLUMNS('Portfolio Weights Returns'!$B$9:$BJ$69))+1,MOD(ROW(A1868)-1,COLUMNS('Portfolio Weights Returns'!$B$9:$BJ$69))+1)</f>
        <v>-7.468456324906086E-4</v>
      </c>
      <c r="B1869">
        <v>2.01E-2</v>
      </c>
      <c r="C1869" s="59">
        <v>0.28000000000000003</v>
      </c>
      <c r="D1869" s="59">
        <v>-0.26</v>
      </c>
      <c r="E1869" s="60">
        <f t="shared" si="29"/>
        <v>0.98</v>
      </c>
      <c r="F1869" t="str" cm="1">
        <f t="array" ref="F1869">IF(A1869=MAX(IF(ROUND($B$2:$B$3722,4)=ROUND(B1869,4),$A$2:$A$3722)),"Efficient","Inefficient")</f>
        <v>Inefficient</v>
      </c>
    </row>
    <row r="1870" spans="1:6" x14ac:dyDescent="0.25">
      <c r="A1870" cm="1">
        <f t="array" ref="A1870">INDEX('Portfolio Weights Returns'!$B$9:$BJ$69,
INT((ROW(A1869)-1)/COLUMNS('Portfolio Weights Returns'!$B$9:$BJ$69))+1,MOD(ROW(A1869)-1,COLUMNS('Portfolio Weights Returns'!$B$9:$BJ$69))+1)</f>
        <v>-7.4006445852392968E-4</v>
      </c>
      <c r="B1870">
        <v>2.01E-2</v>
      </c>
      <c r="C1870" s="59">
        <v>0.26</v>
      </c>
      <c r="D1870" s="59">
        <v>-0.25</v>
      </c>
      <c r="E1870" s="60">
        <f t="shared" si="29"/>
        <v>0.99</v>
      </c>
      <c r="F1870" t="str" cm="1">
        <f t="array" ref="F1870">IF(A1870=MAX(IF(ROUND($B$2:$B$3722,4)=ROUND(B1870,4),$A$2:$A$3722)),"Efficient","Inefficient")</f>
        <v>Inefficient</v>
      </c>
    </row>
    <row r="1871" spans="1:6" x14ac:dyDescent="0.25">
      <c r="A1871" cm="1">
        <f t="array" ref="A1871">INDEX('Portfolio Weights Returns'!$B$9:$BJ$69,
INT((ROW(A1870)-1)/COLUMNS('Portfolio Weights Returns'!$B$9:$BJ$69))+1,MOD(ROW(A1870)-1,COLUMNS('Portfolio Weights Returns'!$B$9:$BJ$69))+1)</f>
        <v>-7.3328328455725053E-4</v>
      </c>
      <c r="B1871">
        <v>2.01E-2</v>
      </c>
      <c r="C1871" s="59">
        <v>0.24</v>
      </c>
      <c r="D1871" s="59">
        <v>-0.24</v>
      </c>
      <c r="E1871" s="60">
        <f t="shared" si="29"/>
        <v>1</v>
      </c>
      <c r="F1871" t="str" cm="1">
        <f t="array" ref="F1871">IF(A1871=MAX(IF(ROUND($B$2:$B$3722,4)=ROUND(B1871,4),$A$2:$A$3722)),"Efficient","Inefficient")</f>
        <v>Inefficient</v>
      </c>
    </row>
    <row r="1872" spans="1:6" x14ac:dyDescent="0.25">
      <c r="A1872" cm="1">
        <f t="array" ref="A1872">INDEX('Portfolio Weights Returns'!$B$9:$BJ$69,
INT((ROW(A1871)-1)/COLUMNS('Portfolio Weights Returns'!$B$9:$BJ$69))+1,MOD(ROW(A1871)-1,COLUMNS('Portfolio Weights Returns'!$B$9:$BJ$69))+1)</f>
        <v>-7.2650211059057139E-4</v>
      </c>
      <c r="B1872">
        <v>2.01E-2</v>
      </c>
      <c r="C1872" s="59">
        <v>0.21</v>
      </c>
      <c r="D1872" s="59">
        <v>-0.22</v>
      </c>
      <c r="E1872" s="60">
        <f t="shared" si="29"/>
        <v>1.01</v>
      </c>
      <c r="F1872" t="str" cm="1">
        <f t="array" ref="F1872">IF(A1872=MAX(IF(ROUND($B$2:$B$3722,4)=ROUND(B1872,4),$A$2:$A$3722)),"Efficient","Inefficient")</f>
        <v>Inefficient</v>
      </c>
    </row>
    <row r="1873" spans="1:6" x14ac:dyDescent="0.25">
      <c r="A1873" cm="1">
        <f t="array" ref="A1873">INDEX('Portfolio Weights Returns'!$B$9:$BJ$69,
INT((ROW(A1872)-1)/COLUMNS('Portfolio Weights Returns'!$B$9:$BJ$69))+1,MOD(ROW(A1872)-1,COLUMNS('Portfolio Weights Returns'!$B$9:$BJ$69))+1)</f>
        <v>-7.1972093662389224E-4</v>
      </c>
      <c r="B1873">
        <v>2.01E-2</v>
      </c>
      <c r="C1873" s="59">
        <v>0.19</v>
      </c>
      <c r="D1873" s="59">
        <v>-0.21</v>
      </c>
      <c r="E1873" s="60">
        <f t="shared" si="29"/>
        <v>1.02</v>
      </c>
      <c r="F1873" t="str" cm="1">
        <f t="array" ref="F1873">IF(A1873=MAX(IF(ROUND($B$2:$B$3722,4)=ROUND(B1873,4),$A$2:$A$3722)),"Efficient","Inefficient")</f>
        <v>Inefficient</v>
      </c>
    </row>
    <row r="1874" spans="1:6" x14ac:dyDescent="0.25">
      <c r="A1874" cm="1">
        <f t="array" ref="A1874">INDEX('Portfolio Weights Returns'!$B$9:$BJ$69,
INT((ROW(A1873)-1)/COLUMNS('Portfolio Weights Returns'!$B$9:$BJ$69))+1,MOD(ROW(A1873)-1,COLUMNS('Portfolio Weights Returns'!$B$9:$BJ$69))+1)</f>
        <v>-7.129397626572131E-4</v>
      </c>
      <c r="B1874">
        <v>2.01E-2</v>
      </c>
      <c r="C1874" s="59">
        <v>0.16</v>
      </c>
      <c r="D1874" s="59">
        <v>-0.19</v>
      </c>
      <c r="E1874" s="60">
        <f t="shared" si="29"/>
        <v>1.03</v>
      </c>
      <c r="F1874" t="str" cm="1">
        <f t="array" ref="F1874">IF(A1874=MAX(IF(ROUND($B$2:$B$3722,4)=ROUND(B1874,4),$A$2:$A$3722)),"Efficient","Inefficient")</f>
        <v>Inefficient</v>
      </c>
    </row>
    <row r="1875" spans="1:6" x14ac:dyDescent="0.25">
      <c r="A1875" cm="1">
        <f t="array" ref="A1875">INDEX('Portfolio Weights Returns'!$B$9:$BJ$69,
INT((ROW(A1874)-1)/COLUMNS('Portfolio Weights Returns'!$B$9:$BJ$69))+1,MOD(ROW(A1874)-1,COLUMNS('Portfolio Weights Returns'!$B$9:$BJ$69))+1)</f>
        <v>-7.0615858869053406E-4</v>
      </c>
      <c r="B1875">
        <v>2.01E-2</v>
      </c>
      <c r="C1875" s="59">
        <v>0.14000000000000001</v>
      </c>
      <c r="D1875" s="59">
        <v>-0.18</v>
      </c>
      <c r="E1875" s="60">
        <f t="shared" si="29"/>
        <v>1.04</v>
      </c>
      <c r="F1875" t="str" cm="1">
        <f t="array" ref="F1875">IF(A1875=MAX(IF(ROUND($B$2:$B$3722,4)=ROUND(B1875,4),$A$2:$A$3722)),"Efficient","Inefficient")</f>
        <v>Inefficient</v>
      </c>
    </row>
    <row r="1876" spans="1:6" x14ac:dyDescent="0.25">
      <c r="A1876" cm="1">
        <f t="array" ref="A1876">INDEX('Portfolio Weights Returns'!$B$9:$BJ$69,
INT((ROW(A1875)-1)/COLUMNS('Portfolio Weights Returns'!$B$9:$BJ$69))+1,MOD(ROW(A1875)-1,COLUMNS('Portfolio Weights Returns'!$B$9:$BJ$69))+1)</f>
        <v>-6.9937741472385492E-4</v>
      </c>
      <c r="B1876">
        <v>2.01E-2</v>
      </c>
      <c r="C1876" s="59">
        <v>0.13</v>
      </c>
      <c r="D1876" s="59">
        <v>-0.17</v>
      </c>
      <c r="E1876" s="60">
        <f t="shared" si="29"/>
        <v>1.04</v>
      </c>
      <c r="F1876" t="str" cm="1">
        <f t="array" ref="F1876">IF(A1876=MAX(IF(ROUND($B$2:$B$3722,4)=ROUND(B1876,4),$A$2:$A$3722)),"Efficient","Inefficient")</f>
        <v>Inefficient</v>
      </c>
    </row>
    <row r="1877" spans="1:6" x14ac:dyDescent="0.25">
      <c r="A1877" cm="1">
        <f t="array" ref="A1877">INDEX('Portfolio Weights Returns'!$B$9:$BJ$69,
INT((ROW(A1876)-1)/COLUMNS('Portfolio Weights Returns'!$B$9:$BJ$69))+1,MOD(ROW(A1876)-1,COLUMNS('Portfolio Weights Returns'!$B$9:$BJ$69))+1)</f>
        <v>-6.9259624075717588E-4</v>
      </c>
      <c r="B1877">
        <v>2.01E-2</v>
      </c>
      <c r="C1877" s="59">
        <v>0.11</v>
      </c>
      <c r="D1877" s="59">
        <v>-0.16</v>
      </c>
      <c r="E1877" s="60">
        <f t="shared" si="29"/>
        <v>1.0499999999999998</v>
      </c>
      <c r="F1877" t="str" cm="1">
        <f t="array" ref="F1877">IF(A1877=MAX(IF(ROUND($B$2:$B$3722,4)=ROUND(B1877,4),$A$2:$A$3722)),"Efficient","Inefficient")</f>
        <v>Inefficient</v>
      </c>
    </row>
    <row r="1878" spans="1:6" x14ac:dyDescent="0.25">
      <c r="A1878" cm="1">
        <f t="array" ref="A1878">INDEX('Portfolio Weights Returns'!$B$9:$BJ$69,
INT((ROW(A1877)-1)/COLUMNS('Portfolio Weights Returns'!$B$9:$BJ$69))+1,MOD(ROW(A1877)-1,COLUMNS('Portfolio Weights Returns'!$B$9:$BJ$69))+1)</f>
        <v>-6.8581506679049663E-4</v>
      </c>
      <c r="B1878">
        <v>2.01E-2</v>
      </c>
      <c r="C1878" s="59">
        <v>0.1</v>
      </c>
      <c r="D1878" s="59">
        <v>-0.15</v>
      </c>
      <c r="E1878" s="60">
        <f t="shared" si="29"/>
        <v>1.0499999999999998</v>
      </c>
      <c r="F1878" t="str" cm="1">
        <f t="array" ref="F1878">IF(A1878=MAX(IF(ROUND($B$2:$B$3722,4)=ROUND(B1878,4),$A$2:$A$3722)),"Efficient","Inefficient")</f>
        <v>Inefficient</v>
      </c>
    </row>
    <row r="1879" spans="1:6" x14ac:dyDescent="0.25">
      <c r="A1879" cm="1">
        <f t="array" ref="A1879">INDEX('Portfolio Weights Returns'!$B$9:$BJ$69,
INT((ROW(A1878)-1)/COLUMNS('Portfolio Weights Returns'!$B$9:$BJ$69))+1,MOD(ROW(A1878)-1,COLUMNS('Portfolio Weights Returns'!$B$9:$BJ$69))+1)</f>
        <v>-6.7903389282381759E-4</v>
      </c>
      <c r="B1879">
        <v>2.01E-2</v>
      </c>
      <c r="C1879" s="59">
        <v>7.0000000000000007E-2</v>
      </c>
      <c r="D1879" s="59">
        <v>-0.13</v>
      </c>
      <c r="E1879" s="60">
        <f t="shared" si="29"/>
        <v>1.0599999999999998</v>
      </c>
      <c r="F1879" t="str" cm="1">
        <f t="array" ref="F1879">IF(A1879=MAX(IF(ROUND($B$2:$B$3722,4)=ROUND(B1879,4),$A$2:$A$3722)),"Efficient","Inefficient")</f>
        <v>Inefficient</v>
      </c>
    </row>
    <row r="1880" spans="1:6" x14ac:dyDescent="0.25">
      <c r="A1880" cm="1">
        <f t="array" ref="A1880">INDEX('Portfolio Weights Returns'!$B$9:$BJ$69,
INT((ROW(A1879)-1)/COLUMNS('Portfolio Weights Returns'!$B$9:$BJ$69))+1,MOD(ROW(A1879)-1,COLUMNS('Portfolio Weights Returns'!$B$9:$BJ$69))+1)</f>
        <v>-6.7225271885713856E-4</v>
      </c>
      <c r="B1880">
        <v>2.01E-2</v>
      </c>
      <c r="C1880" s="59">
        <v>0.06</v>
      </c>
      <c r="D1880" s="59">
        <v>-0.12</v>
      </c>
      <c r="E1880" s="60">
        <f t="shared" si="29"/>
        <v>1.06</v>
      </c>
      <c r="F1880" t="str" cm="1">
        <f t="array" ref="F1880">IF(A1880=MAX(IF(ROUND($B$2:$B$3722,4)=ROUND(B1880,4),$A$2:$A$3722)),"Efficient","Inefficient")</f>
        <v>Inefficient</v>
      </c>
    </row>
    <row r="1881" spans="1:6" x14ac:dyDescent="0.25">
      <c r="A1881" cm="1">
        <f t="array" ref="A1881">INDEX('Portfolio Weights Returns'!$B$9:$BJ$69,
INT((ROW(A1880)-1)/COLUMNS('Portfolio Weights Returns'!$B$9:$BJ$69))+1,MOD(ROW(A1880)-1,COLUMNS('Portfolio Weights Returns'!$B$9:$BJ$69))+1)</f>
        <v>-6.6547154489045952E-4</v>
      </c>
      <c r="B1881">
        <v>2.01E-2</v>
      </c>
      <c r="C1881" s="59">
        <v>0.02</v>
      </c>
      <c r="D1881" s="59">
        <v>-0.09</v>
      </c>
      <c r="E1881" s="60">
        <f t="shared" si="29"/>
        <v>1.07</v>
      </c>
      <c r="F1881" t="str" cm="1">
        <f t="array" ref="F1881">IF(A1881=MAX(IF(ROUND($B$2:$B$3722,4)=ROUND(B1881,4),$A$2:$A$3722)),"Efficient","Inefficient")</f>
        <v>Inefficient</v>
      </c>
    </row>
    <row r="1882" spans="1:6" x14ac:dyDescent="0.25">
      <c r="A1882" cm="1">
        <f t="array" ref="A1882">INDEX('Portfolio Weights Returns'!$B$9:$BJ$69,
INT((ROW(A1881)-1)/COLUMNS('Portfolio Weights Returns'!$B$9:$BJ$69))+1,MOD(ROW(A1881)-1,COLUMNS('Portfolio Weights Returns'!$B$9:$BJ$69))+1)</f>
        <v>-6.5869037092378038E-4</v>
      </c>
      <c r="B1882">
        <v>2.01E-2</v>
      </c>
      <c r="C1882" s="59">
        <v>0.01</v>
      </c>
      <c r="D1882" s="59">
        <v>-0.08</v>
      </c>
      <c r="E1882" s="60">
        <f t="shared" si="29"/>
        <v>1.07</v>
      </c>
      <c r="F1882" t="str" cm="1">
        <f t="array" ref="F1882">IF(A1882=MAX(IF(ROUND($B$2:$B$3722,4)=ROUND(B1882,4),$A$2:$A$3722)),"Efficient","Inefficient")</f>
        <v>Inefficient</v>
      </c>
    </row>
    <row r="1883" spans="1:6" x14ac:dyDescent="0.25">
      <c r="A1883" cm="1">
        <f t="array" ref="A1883">INDEX('Portfolio Weights Returns'!$B$9:$BJ$69,
INT((ROW(A1882)-1)/COLUMNS('Portfolio Weights Returns'!$B$9:$BJ$69))+1,MOD(ROW(A1882)-1,COLUMNS('Portfolio Weights Returns'!$B$9:$BJ$69))+1)</f>
        <v>-6.5190919695710123E-4</v>
      </c>
      <c r="B1883">
        <v>2.01E-2</v>
      </c>
      <c r="C1883" s="59">
        <v>0</v>
      </c>
      <c r="D1883" s="59">
        <v>-7.0000000000000007E-2</v>
      </c>
      <c r="E1883" s="60">
        <f t="shared" si="29"/>
        <v>1.07</v>
      </c>
      <c r="F1883" t="str" cm="1">
        <f t="array" ref="F1883">IF(A1883=MAX(IF(ROUND($B$2:$B$3722,4)=ROUND(B1883,4),$A$2:$A$3722)),"Efficient","Inefficient")</f>
        <v>Inefficient</v>
      </c>
    </row>
    <row r="1884" spans="1:6" x14ac:dyDescent="0.25">
      <c r="A1884" cm="1">
        <f t="array" ref="A1884">INDEX('Portfolio Weights Returns'!$B$9:$BJ$69,
INT((ROW(A1883)-1)/COLUMNS('Portfolio Weights Returns'!$B$9:$BJ$69))+1,MOD(ROW(A1883)-1,COLUMNS('Portfolio Weights Returns'!$B$9:$BJ$69))+1)</f>
        <v>-6.4512802299042209E-4</v>
      </c>
      <c r="B1884">
        <v>2.01E-2</v>
      </c>
      <c r="C1884" s="59">
        <v>-0.01</v>
      </c>
      <c r="D1884" s="59">
        <v>-0.06</v>
      </c>
      <c r="E1884" s="60">
        <f t="shared" si="29"/>
        <v>1.07</v>
      </c>
      <c r="F1884" t="str" cm="1">
        <f t="array" ref="F1884">IF(A1884=MAX(IF(ROUND($B$2:$B$3722,4)=ROUND(B1884,4),$A$2:$A$3722)),"Efficient","Inefficient")</f>
        <v>Inefficient</v>
      </c>
    </row>
    <row r="1885" spans="1:6" x14ac:dyDescent="0.25">
      <c r="A1885" cm="1">
        <f t="array" ref="A1885">INDEX('Portfolio Weights Returns'!$B$9:$BJ$69,
INT((ROW(A1884)-1)/COLUMNS('Portfolio Weights Returns'!$B$9:$BJ$69))+1,MOD(ROW(A1884)-1,COLUMNS('Portfolio Weights Returns'!$B$9:$BJ$69))+1)</f>
        <v>-6.3834684902374294E-4</v>
      </c>
      <c r="B1885">
        <v>2.01E-2</v>
      </c>
      <c r="C1885" s="59">
        <v>-0.02</v>
      </c>
      <c r="D1885" s="59">
        <v>-0.05</v>
      </c>
      <c r="E1885" s="60">
        <f t="shared" si="29"/>
        <v>1.07</v>
      </c>
      <c r="F1885" t="str" cm="1">
        <f t="array" ref="F1885">IF(A1885=MAX(IF(ROUND($B$2:$B$3722,4)=ROUND(B1885,4),$A$2:$A$3722)),"Efficient","Inefficient")</f>
        <v>Inefficient</v>
      </c>
    </row>
    <row r="1886" spans="1:6" x14ac:dyDescent="0.25">
      <c r="A1886" cm="1">
        <f t="array" ref="A1886">INDEX('Portfolio Weights Returns'!$B$9:$BJ$69,
INT((ROW(A1885)-1)/COLUMNS('Portfolio Weights Returns'!$B$9:$BJ$69))+1,MOD(ROW(A1885)-1,COLUMNS('Portfolio Weights Returns'!$B$9:$BJ$69))+1)</f>
        <v>-6.3156567505706391E-4</v>
      </c>
      <c r="B1886">
        <v>2.01E-2</v>
      </c>
      <c r="C1886" s="59">
        <v>-0.03</v>
      </c>
      <c r="D1886" s="59">
        <v>-0.04</v>
      </c>
      <c r="E1886" s="60">
        <f t="shared" si="29"/>
        <v>1.07</v>
      </c>
      <c r="F1886" t="str" cm="1">
        <f t="array" ref="F1886">IF(A1886=MAX(IF(ROUND($B$2:$B$3722,4)=ROUND(B1886,4),$A$2:$A$3722)),"Efficient","Inefficient")</f>
        <v>Inefficient</v>
      </c>
    </row>
    <row r="1887" spans="1:6" x14ac:dyDescent="0.25">
      <c r="A1887" cm="1">
        <f t="array" ref="A1887">INDEX('Portfolio Weights Returns'!$B$9:$BJ$69,
INT((ROW(A1886)-1)/COLUMNS('Portfolio Weights Returns'!$B$9:$BJ$69))+1,MOD(ROW(A1886)-1,COLUMNS('Portfolio Weights Returns'!$B$9:$BJ$69))+1)</f>
        <v>-6.2478450109038476E-4</v>
      </c>
      <c r="B1887">
        <v>2.01E-2</v>
      </c>
      <c r="C1887" s="59">
        <v>-0.04</v>
      </c>
      <c r="D1887" s="59">
        <v>-0.03</v>
      </c>
      <c r="E1887" s="60">
        <f t="shared" si="29"/>
        <v>1.07</v>
      </c>
      <c r="F1887" t="str" cm="1">
        <f t="array" ref="F1887">IF(A1887=MAX(IF(ROUND($B$2:$B$3722,4)=ROUND(B1887,4),$A$2:$A$3722)),"Efficient","Inefficient")</f>
        <v>Inefficient</v>
      </c>
    </row>
    <row r="1888" spans="1:6" x14ac:dyDescent="0.25">
      <c r="A1888" cm="1">
        <f t="array" ref="A1888">INDEX('Portfolio Weights Returns'!$B$9:$BJ$69,
INT((ROW(A1887)-1)/COLUMNS('Portfolio Weights Returns'!$B$9:$BJ$69))+1,MOD(ROW(A1887)-1,COLUMNS('Portfolio Weights Returns'!$B$9:$BJ$69))+1)</f>
        <v>-6.1800332712370573E-4</v>
      </c>
      <c r="B1888">
        <v>2.01E-2</v>
      </c>
      <c r="C1888" s="59">
        <v>-0.05</v>
      </c>
      <c r="D1888" s="59">
        <v>-0.02</v>
      </c>
      <c r="E1888" s="60">
        <f t="shared" si="29"/>
        <v>1.07</v>
      </c>
      <c r="F1888" t="str" cm="1">
        <f t="array" ref="F1888">IF(A1888=MAX(IF(ROUND($B$2:$B$3722,4)=ROUND(B1888,4),$A$2:$A$3722)),"Efficient","Inefficient")</f>
        <v>Inefficient</v>
      </c>
    </row>
    <row r="1889" spans="1:6" x14ac:dyDescent="0.25">
      <c r="A1889" cm="1">
        <f t="array" ref="A1889">INDEX('Portfolio Weights Returns'!$B$9:$BJ$69,
INT((ROW(A1888)-1)/COLUMNS('Portfolio Weights Returns'!$B$9:$BJ$69))+1,MOD(ROW(A1888)-1,COLUMNS('Portfolio Weights Returns'!$B$9:$BJ$69))+1)</f>
        <v>-6.1122215315702582E-4</v>
      </c>
      <c r="B1889">
        <v>2.01E-2</v>
      </c>
      <c r="C1889" s="59">
        <v>-7.0000000000000007E-2</v>
      </c>
      <c r="D1889" s="59">
        <v>0.01</v>
      </c>
      <c r="E1889" s="60">
        <f t="shared" si="29"/>
        <v>1.06</v>
      </c>
      <c r="F1889" t="str" cm="1">
        <f t="array" ref="F1889">IF(A1889=MAX(IF(ROUND($B$2:$B$3722,4)=ROUND(B1889,4),$A$2:$A$3722)),"Efficient","Inefficient")</f>
        <v>Inefficient</v>
      </c>
    </row>
    <row r="1890" spans="1:6" x14ac:dyDescent="0.25">
      <c r="A1890" cm="1">
        <f t="array" ref="A1890">INDEX('Portfolio Weights Returns'!$B$9:$BJ$69,
INT((ROW(A1889)-1)/COLUMNS('Portfolio Weights Returns'!$B$9:$BJ$69))+1,MOD(ROW(A1889)-1,COLUMNS('Portfolio Weights Returns'!$B$9:$BJ$69))+1)</f>
        <v>-6.0444097919034679E-4</v>
      </c>
      <c r="B1890">
        <v>2.01E-2</v>
      </c>
      <c r="C1890" s="59">
        <v>-0.08</v>
      </c>
      <c r="D1890" s="59">
        <v>0.02</v>
      </c>
      <c r="E1890" s="60">
        <f t="shared" si="29"/>
        <v>1.06</v>
      </c>
      <c r="F1890" t="str" cm="1">
        <f t="array" ref="F1890">IF(A1890=MAX(IF(ROUND($B$2:$B$3722,4)=ROUND(B1890,4),$A$2:$A$3722)),"Efficient","Inefficient")</f>
        <v>Inefficient</v>
      </c>
    </row>
    <row r="1891" spans="1:6" x14ac:dyDescent="0.25">
      <c r="A1891" cm="1">
        <f t="array" ref="A1891">INDEX('Portfolio Weights Returns'!$B$9:$BJ$69,
INT((ROW(A1890)-1)/COLUMNS('Portfolio Weights Returns'!$B$9:$BJ$69))+1,MOD(ROW(A1890)-1,COLUMNS('Portfolio Weights Returns'!$B$9:$BJ$69))+1)</f>
        <v>-5.9765980522366775E-4</v>
      </c>
      <c r="B1891">
        <v>2.01E-2</v>
      </c>
      <c r="C1891" s="59">
        <v>-0.09</v>
      </c>
      <c r="D1891" s="59">
        <v>0.03</v>
      </c>
      <c r="E1891" s="60">
        <f t="shared" si="29"/>
        <v>1.06</v>
      </c>
      <c r="F1891" t="str" cm="1">
        <f t="array" ref="F1891">IF(A1891=MAX(IF(ROUND($B$2:$B$3722,4)=ROUND(B1891,4),$A$2:$A$3722)),"Efficient","Inefficient")</f>
        <v>Inefficient</v>
      </c>
    </row>
    <row r="1892" spans="1:6" x14ac:dyDescent="0.25">
      <c r="A1892" cm="1">
        <f t="array" ref="A1892">INDEX('Portfolio Weights Returns'!$B$9:$BJ$69,
INT((ROW(A1891)-1)/COLUMNS('Portfolio Weights Returns'!$B$9:$BJ$69))+1,MOD(ROW(A1891)-1,COLUMNS('Portfolio Weights Returns'!$B$9:$BJ$69))+1)</f>
        <v>-5.9087863125698871E-4</v>
      </c>
      <c r="B1892">
        <v>2.01E-2</v>
      </c>
      <c r="C1892" s="59">
        <v>-0.1</v>
      </c>
      <c r="D1892" s="59">
        <v>0.05</v>
      </c>
      <c r="E1892" s="60">
        <f t="shared" si="29"/>
        <v>1.05</v>
      </c>
      <c r="F1892" t="str" cm="1">
        <f t="array" ref="F1892">IF(A1892=MAX(IF(ROUND($B$2:$B$3722,4)=ROUND(B1892,4),$A$2:$A$3722)),"Efficient","Inefficient")</f>
        <v>Efficient</v>
      </c>
    </row>
    <row r="1893" spans="1:6" x14ac:dyDescent="0.25">
      <c r="A1893" cm="1">
        <f t="array" ref="A1893">INDEX('Portfolio Weights Returns'!$B$9:$BJ$69,
INT((ROW(A1892)-1)/COLUMNS('Portfolio Weights Returns'!$B$9:$BJ$69))+1,MOD(ROW(A1892)-1,COLUMNS('Portfolio Weights Returns'!$B$9:$BJ$69))+1)</f>
        <v>-9.9117486141228031E-4</v>
      </c>
      <c r="B1893">
        <v>2.01E-2</v>
      </c>
      <c r="C1893" s="59">
        <v>-0.11</v>
      </c>
      <c r="D1893" s="59">
        <v>7.0000000000000007E-2</v>
      </c>
      <c r="E1893" s="60">
        <f t="shared" si="29"/>
        <v>1.04</v>
      </c>
      <c r="F1893" t="str" cm="1">
        <f t="array" ref="F1893">IF(A1893=MAX(IF(ROUND($B$2:$B$3722,4)=ROUND(B1893,4),$A$2:$A$3722)),"Efficient","Inefficient")</f>
        <v>Inefficient</v>
      </c>
    </row>
    <row r="1894" spans="1:6" x14ac:dyDescent="0.25">
      <c r="A1894" cm="1">
        <f t="array" ref="A1894">INDEX('Portfolio Weights Returns'!$B$9:$BJ$69,
INT((ROW(A1893)-1)/COLUMNS('Portfolio Weights Returns'!$B$9:$BJ$69))+1,MOD(ROW(A1893)-1,COLUMNS('Portfolio Weights Returns'!$B$9:$BJ$69))+1)</f>
        <v>-9.8439368744560117E-4</v>
      </c>
      <c r="B1894">
        <v>2.01E-2</v>
      </c>
      <c r="C1894" s="59">
        <v>-0.12</v>
      </c>
      <c r="D1894" s="59">
        <v>0.08</v>
      </c>
      <c r="E1894" s="60">
        <f t="shared" si="29"/>
        <v>1.04</v>
      </c>
      <c r="F1894" t="str" cm="1">
        <f t="array" ref="F1894">IF(A1894=MAX(IF(ROUND($B$2:$B$3722,4)=ROUND(B1894,4),$A$2:$A$3722)),"Efficient","Inefficient")</f>
        <v>Inefficient</v>
      </c>
    </row>
    <row r="1895" spans="1:6" x14ac:dyDescent="0.25">
      <c r="A1895" cm="1">
        <f t="array" ref="A1895">INDEX('Portfolio Weights Returns'!$B$9:$BJ$69,
INT((ROW(A1894)-1)/COLUMNS('Portfolio Weights Returns'!$B$9:$BJ$69))+1,MOD(ROW(A1894)-1,COLUMNS('Portfolio Weights Returns'!$B$9:$BJ$69))+1)</f>
        <v>-9.7761251347892202E-4</v>
      </c>
      <c r="B1895">
        <v>2.01E-2</v>
      </c>
      <c r="C1895" s="59">
        <v>-0.12</v>
      </c>
      <c r="D1895" s="59">
        <v>0.09</v>
      </c>
      <c r="E1895" s="60">
        <f t="shared" si="29"/>
        <v>1.03</v>
      </c>
      <c r="F1895" t="str" cm="1">
        <f t="array" ref="F1895">IF(A1895=MAX(IF(ROUND($B$2:$B$3722,4)=ROUND(B1895,4),$A$2:$A$3722)),"Efficient","Inefficient")</f>
        <v>Inefficient</v>
      </c>
    </row>
    <row r="1896" spans="1:6" x14ac:dyDescent="0.25">
      <c r="A1896" cm="1">
        <f t="array" ref="A1896">INDEX('Portfolio Weights Returns'!$B$9:$BJ$69,
INT((ROW(A1895)-1)/COLUMNS('Portfolio Weights Returns'!$B$9:$BJ$69))+1,MOD(ROW(A1895)-1,COLUMNS('Portfolio Weights Returns'!$B$9:$BJ$69))+1)</f>
        <v>-9.7083133951224299E-4</v>
      </c>
      <c r="B1896">
        <v>2.01E-2</v>
      </c>
      <c r="C1896" s="59">
        <v>-0.13</v>
      </c>
      <c r="D1896" s="59">
        <v>0.11</v>
      </c>
      <c r="E1896" s="60">
        <f t="shared" si="29"/>
        <v>1.02</v>
      </c>
      <c r="F1896" t="str" cm="1">
        <f t="array" ref="F1896">IF(A1896=MAX(IF(ROUND($B$2:$B$3722,4)=ROUND(B1896,4),$A$2:$A$3722)),"Efficient","Inefficient")</f>
        <v>Inefficient</v>
      </c>
    </row>
    <row r="1897" spans="1:6" x14ac:dyDescent="0.25">
      <c r="A1897" cm="1">
        <f t="array" ref="A1897">INDEX('Portfolio Weights Returns'!$B$9:$BJ$69,
INT((ROW(A1896)-1)/COLUMNS('Portfolio Weights Returns'!$B$9:$BJ$69))+1,MOD(ROW(A1896)-1,COLUMNS('Portfolio Weights Returns'!$B$9:$BJ$69))+1)</f>
        <v>-9.6405016554556395E-4</v>
      </c>
      <c r="B1897">
        <v>2.01E-2</v>
      </c>
      <c r="C1897" s="59">
        <v>-0.14000000000000001</v>
      </c>
      <c r="D1897" s="59">
        <v>0.13</v>
      </c>
      <c r="E1897" s="60">
        <f t="shared" si="29"/>
        <v>1.01</v>
      </c>
      <c r="F1897" t="str" cm="1">
        <f t="array" ref="F1897">IF(A1897=MAX(IF(ROUND($B$2:$B$3722,4)=ROUND(B1897,4),$A$2:$A$3722)),"Efficient","Inefficient")</f>
        <v>Inefficient</v>
      </c>
    </row>
    <row r="1898" spans="1:6" x14ac:dyDescent="0.25">
      <c r="A1898" cm="1">
        <f t="array" ref="A1898">INDEX('Portfolio Weights Returns'!$B$9:$BJ$69,
INT((ROW(A1897)-1)/COLUMNS('Portfolio Weights Returns'!$B$9:$BJ$69))+1,MOD(ROW(A1897)-1,COLUMNS('Portfolio Weights Returns'!$B$9:$BJ$69))+1)</f>
        <v>-9.5726899157888481E-4</v>
      </c>
      <c r="B1898">
        <v>2.01E-2</v>
      </c>
      <c r="C1898" s="59">
        <v>-0.14000000000000001</v>
      </c>
      <c r="D1898" s="59">
        <v>0.14000000000000001</v>
      </c>
      <c r="E1898" s="60">
        <f t="shared" si="29"/>
        <v>1</v>
      </c>
      <c r="F1898" t="str" cm="1">
        <f t="array" ref="F1898">IF(A1898=MAX(IF(ROUND($B$2:$B$3722,4)=ROUND(B1898,4),$A$2:$A$3722)),"Efficient","Inefficient")</f>
        <v>Inefficient</v>
      </c>
    </row>
    <row r="1899" spans="1:6" x14ac:dyDescent="0.25">
      <c r="A1899" cm="1">
        <f t="array" ref="A1899">INDEX('Portfolio Weights Returns'!$B$9:$BJ$69,
INT((ROW(A1898)-1)/COLUMNS('Portfolio Weights Returns'!$B$9:$BJ$69))+1,MOD(ROW(A1898)-1,COLUMNS('Portfolio Weights Returns'!$B$9:$BJ$69))+1)</f>
        <v>-9.5048781761220577E-4</v>
      </c>
      <c r="B1899">
        <v>2.01E-2</v>
      </c>
      <c r="C1899" s="59">
        <v>-0.14000000000000001</v>
      </c>
      <c r="D1899" s="59">
        <v>0.15</v>
      </c>
      <c r="E1899" s="60">
        <f t="shared" si="29"/>
        <v>0.99</v>
      </c>
      <c r="F1899" t="str" cm="1">
        <f t="array" ref="F1899">IF(A1899=MAX(IF(ROUND($B$2:$B$3722,4)=ROUND(B1899,4),$A$2:$A$3722)),"Efficient","Inefficient")</f>
        <v>Inefficient</v>
      </c>
    </row>
    <row r="1900" spans="1:6" x14ac:dyDescent="0.25">
      <c r="A1900" cm="1">
        <f t="array" ref="A1900">INDEX('Portfolio Weights Returns'!$B$9:$BJ$69,
INT((ROW(A1899)-1)/COLUMNS('Portfolio Weights Returns'!$B$9:$BJ$69))+1,MOD(ROW(A1899)-1,COLUMNS('Portfolio Weights Returns'!$B$9:$BJ$69))+1)</f>
        <v>-9.4370664364552663E-4</v>
      </c>
      <c r="B1900">
        <v>2.01E-2</v>
      </c>
      <c r="C1900" s="59">
        <v>-0.14000000000000001</v>
      </c>
      <c r="D1900" s="59">
        <v>0.23</v>
      </c>
      <c r="E1900" s="60">
        <f t="shared" si="29"/>
        <v>0.91</v>
      </c>
      <c r="F1900" t="str" cm="1">
        <f t="array" ref="F1900">IF(A1900=MAX(IF(ROUND($B$2:$B$3722,4)=ROUND(B1900,4),$A$2:$A$3722)),"Efficient","Inefficient")</f>
        <v>Inefficient</v>
      </c>
    </row>
    <row r="1901" spans="1:6" x14ac:dyDescent="0.25">
      <c r="A1901" cm="1">
        <f t="array" ref="A1901">INDEX('Portfolio Weights Returns'!$B$9:$BJ$69,
INT((ROW(A1900)-1)/COLUMNS('Portfolio Weights Returns'!$B$9:$BJ$69))+1,MOD(ROW(A1900)-1,COLUMNS('Portfolio Weights Returns'!$B$9:$BJ$69))+1)</f>
        <v>-9.3692546967884737E-4</v>
      </c>
      <c r="B1901">
        <v>2.01E-2</v>
      </c>
      <c r="C1901" s="59">
        <v>-0.14000000000000001</v>
      </c>
      <c r="D1901" s="59">
        <v>0.24</v>
      </c>
      <c r="E1901" s="60">
        <f t="shared" si="29"/>
        <v>0.9</v>
      </c>
      <c r="F1901" t="str" cm="1">
        <f t="array" ref="F1901">IF(A1901=MAX(IF(ROUND($B$2:$B$3722,4)=ROUND(B1901,4),$A$2:$A$3722)),"Efficient","Inefficient")</f>
        <v>Inefficient</v>
      </c>
    </row>
    <row r="1902" spans="1:6" x14ac:dyDescent="0.25">
      <c r="A1902" cm="1">
        <f t="array" ref="A1902">INDEX('Portfolio Weights Returns'!$B$9:$BJ$69,
INT((ROW(A1901)-1)/COLUMNS('Portfolio Weights Returns'!$B$9:$BJ$69))+1,MOD(ROW(A1901)-1,COLUMNS('Portfolio Weights Returns'!$B$9:$BJ$69))+1)</f>
        <v>-9.3014429571216834E-4</v>
      </c>
      <c r="B1902">
        <v>2.01E-2</v>
      </c>
      <c r="C1902" s="59">
        <v>-0.14000000000000001</v>
      </c>
      <c r="D1902" s="59">
        <v>0.25</v>
      </c>
      <c r="E1902" s="60">
        <f t="shared" si="29"/>
        <v>0.89</v>
      </c>
      <c r="F1902" t="str" cm="1">
        <f t="array" ref="F1902">IF(A1902=MAX(IF(ROUND($B$2:$B$3722,4)=ROUND(B1902,4),$A$2:$A$3722)),"Efficient","Inefficient")</f>
        <v>Inefficient</v>
      </c>
    </row>
    <row r="1903" spans="1:6" x14ac:dyDescent="0.25">
      <c r="A1903" cm="1">
        <f t="array" ref="A1903">INDEX('Portfolio Weights Returns'!$B$9:$BJ$69,
INT((ROW(A1902)-1)/COLUMNS('Portfolio Weights Returns'!$B$9:$BJ$69))+1,MOD(ROW(A1902)-1,COLUMNS('Portfolio Weights Returns'!$B$9:$BJ$69))+1)</f>
        <v>-9.2336312174548919E-4</v>
      </c>
      <c r="B1903">
        <v>2.01E-2</v>
      </c>
      <c r="C1903" s="59">
        <v>-0.13</v>
      </c>
      <c r="D1903" s="59">
        <v>0.26</v>
      </c>
      <c r="E1903" s="60">
        <f t="shared" si="29"/>
        <v>0.87</v>
      </c>
      <c r="F1903" t="str" cm="1">
        <f t="array" ref="F1903">IF(A1903=MAX(IF(ROUND($B$2:$B$3722,4)=ROUND(B1903,4),$A$2:$A$3722)),"Efficient","Inefficient")</f>
        <v>Inefficient</v>
      </c>
    </row>
    <row r="1904" spans="1:6" x14ac:dyDescent="0.25">
      <c r="A1904" cm="1">
        <f t="array" ref="A1904">INDEX('Portfolio Weights Returns'!$B$9:$BJ$69,
INT((ROW(A1903)-1)/COLUMNS('Portfolio Weights Returns'!$B$9:$BJ$69))+1,MOD(ROW(A1903)-1,COLUMNS('Portfolio Weights Returns'!$B$9:$BJ$69))+1)</f>
        <v>-9.1658194777881016E-4</v>
      </c>
      <c r="B1904">
        <v>2.01E-2</v>
      </c>
      <c r="C1904" s="59">
        <v>-0.13</v>
      </c>
      <c r="D1904" s="59">
        <v>0.27</v>
      </c>
      <c r="E1904" s="60">
        <f t="shared" si="29"/>
        <v>0.86</v>
      </c>
      <c r="F1904" t="str" cm="1">
        <f t="array" ref="F1904">IF(A1904=MAX(IF(ROUND($B$2:$B$3722,4)=ROUND(B1904,4),$A$2:$A$3722)),"Efficient","Inefficient")</f>
        <v>Inefficient</v>
      </c>
    </row>
    <row r="1905" spans="1:6" x14ac:dyDescent="0.25">
      <c r="A1905" cm="1">
        <f t="array" ref="A1905">INDEX('Portfolio Weights Returns'!$B$9:$BJ$69,
INT((ROW(A1904)-1)/COLUMNS('Portfolio Weights Returns'!$B$9:$BJ$69))+1,MOD(ROW(A1904)-1,COLUMNS('Portfolio Weights Returns'!$B$9:$BJ$69))+1)</f>
        <v>-9.0980077381213101E-4</v>
      </c>
      <c r="B1905">
        <v>2.01E-2</v>
      </c>
      <c r="C1905" s="59">
        <v>-0.12</v>
      </c>
      <c r="D1905" s="59">
        <v>0.28000000000000003</v>
      </c>
      <c r="E1905" s="60">
        <f t="shared" si="29"/>
        <v>0.84</v>
      </c>
      <c r="F1905" t="str" cm="1">
        <f t="array" ref="F1905">IF(A1905=MAX(IF(ROUND($B$2:$B$3722,4)=ROUND(B1905,4),$A$2:$A$3722)),"Efficient","Inefficient")</f>
        <v>Inefficient</v>
      </c>
    </row>
    <row r="1906" spans="1:6" x14ac:dyDescent="0.25">
      <c r="A1906" cm="1">
        <f t="array" ref="A1906">INDEX('Portfolio Weights Returns'!$B$9:$BJ$69,
INT((ROW(A1905)-1)/COLUMNS('Portfolio Weights Returns'!$B$9:$BJ$69))+1,MOD(ROW(A1905)-1,COLUMNS('Portfolio Weights Returns'!$B$9:$BJ$69))+1)</f>
        <v>-9.0301959984545198E-4</v>
      </c>
      <c r="B1906">
        <v>2.01E-2</v>
      </c>
      <c r="C1906" s="59">
        <v>-0.12</v>
      </c>
      <c r="D1906" s="59">
        <v>0.28999999999999998</v>
      </c>
      <c r="E1906" s="60">
        <f t="shared" si="29"/>
        <v>0.83</v>
      </c>
      <c r="F1906" t="str" cm="1">
        <f t="array" ref="F1906">IF(A1906=MAX(IF(ROUND($B$2:$B$3722,4)=ROUND(B1906,4),$A$2:$A$3722)),"Efficient","Inefficient")</f>
        <v>Inefficient</v>
      </c>
    </row>
    <row r="1907" spans="1:6" x14ac:dyDescent="0.25">
      <c r="A1907" cm="1">
        <f t="array" ref="A1907">INDEX('Portfolio Weights Returns'!$B$9:$BJ$69,
INT((ROW(A1906)-1)/COLUMNS('Portfolio Weights Returns'!$B$9:$BJ$69))+1,MOD(ROW(A1906)-1,COLUMNS('Portfolio Weights Returns'!$B$9:$BJ$69))+1)</f>
        <v>-8.9623842587877283E-4</v>
      </c>
      <c r="B1907">
        <v>2.01E-2</v>
      </c>
      <c r="C1907" s="59">
        <v>-0.11</v>
      </c>
      <c r="D1907" s="59">
        <v>0.3</v>
      </c>
      <c r="E1907" s="60">
        <f t="shared" si="29"/>
        <v>0.80999999999999994</v>
      </c>
      <c r="F1907" t="str" cm="1">
        <f t="array" ref="F1907">IF(A1907=MAX(IF(ROUND($B$2:$B$3722,4)=ROUND(B1907,4),$A$2:$A$3722)),"Efficient","Inefficient")</f>
        <v>Inefficient</v>
      </c>
    </row>
    <row r="1908" spans="1:6" x14ac:dyDescent="0.25">
      <c r="A1908" cm="1">
        <f t="array" ref="A1908">INDEX('Portfolio Weights Returns'!$B$9:$BJ$69,
INT((ROW(A1907)-1)/COLUMNS('Portfolio Weights Returns'!$B$9:$BJ$69))+1,MOD(ROW(A1907)-1,COLUMNS('Portfolio Weights Returns'!$B$9:$BJ$69))+1)</f>
        <v>-8.8945725191209369E-4</v>
      </c>
      <c r="B1908">
        <v>2.0199999999999999E-2</v>
      </c>
      <c r="C1908" s="59">
        <v>0.28999999999999998</v>
      </c>
      <c r="D1908" s="59">
        <v>-0.27</v>
      </c>
      <c r="E1908" s="60">
        <f t="shared" si="29"/>
        <v>0.98</v>
      </c>
      <c r="F1908" t="str" cm="1">
        <f t="array" ref="F1908">IF(A1908=MAX(IF(ROUND($B$2:$B$3722,4)=ROUND(B1908,4),$A$2:$A$3722)),"Efficient","Inefficient")</f>
        <v>Inefficient</v>
      </c>
    </row>
    <row r="1909" spans="1:6" x14ac:dyDescent="0.25">
      <c r="A1909" cm="1">
        <f t="array" ref="A1909">INDEX('Portfolio Weights Returns'!$B$9:$BJ$69,
INT((ROW(A1908)-1)/COLUMNS('Portfolio Weights Returns'!$B$9:$BJ$69))+1,MOD(ROW(A1908)-1,COLUMNS('Portfolio Weights Returns'!$B$9:$BJ$69))+1)</f>
        <v>-8.8267607794541476E-4</v>
      </c>
      <c r="B1909">
        <v>2.0199999999999999E-2</v>
      </c>
      <c r="C1909" s="59">
        <v>0.27</v>
      </c>
      <c r="D1909" s="59">
        <v>-0.26</v>
      </c>
      <c r="E1909" s="60">
        <f t="shared" si="29"/>
        <v>0.99</v>
      </c>
      <c r="F1909" t="str" cm="1">
        <f t="array" ref="F1909">IF(A1909=MAX(IF(ROUND($B$2:$B$3722,4)=ROUND(B1909,4),$A$2:$A$3722)),"Efficient","Inefficient")</f>
        <v>Inefficient</v>
      </c>
    </row>
    <row r="1910" spans="1:6" x14ac:dyDescent="0.25">
      <c r="A1910" cm="1">
        <f t="array" ref="A1910">INDEX('Portfolio Weights Returns'!$B$9:$BJ$69,
INT((ROW(A1909)-1)/COLUMNS('Portfolio Weights Returns'!$B$9:$BJ$69))+1,MOD(ROW(A1909)-1,COLUMNS('Portfolio Weights Returns'!$B$9:$BJ$69))+1)</f>
        <v>-8.7589490397873551E-4</v>
      </c>
      <c r="B1910">
        <v>2.0199999999999999E-2</v>
      </c>
      <c r="C1910" s="59">
        <v>0.22</v>
      </c>
      <c r="D1910" s="59">
        <v>-0.23</v>
      </c>
      <c r="E1910" s="60">
        <f t="shared" si="29"/>
        <v>1.01</v>
      </c>
      <c r="F1910" t="str" cm="1">
        <f t="array" ref="F1910">IF(A1910=MAX(IF(ROUND($B$2:$B$3722,4)=ROUND(B1910,4),$A$2:$A$3722)),"Efficient","Inefficient")</f>
        <v>Inefficient</v>
      </c>
    </row>
    <row r="1911" spans="1:6" x14ac:dyDescent="0.25">
      <c r="A1911" cm="1">
        <f t="array" ref="A1911">INDEX('Portfolio Weights Returns'!$B$9:$BJ$69,
INT((ROW(A1910)-1)/COLUMNS('Portfolio Weights Returns'!$B$9:$BJ$69))+1,MOD(ROW(A1910)-1,COLUMNS('Portfolio Weights Returns'!$B$9:$BJ$69))+1)</f>
        <v>-8.6911373001205658E-4</v>
      </c>
      <c r="B1911">
        <v>2.0199999999999999E-2</v>
      </c>
      <c r="C1911" s="59">
        <v>0.2</v>
      </c>
      <c r="D1911" s="59">
        <v>-0.22</v>
      </c>
      <c r="E1911" s="60">
        <f t="shared" si="29"/>
        <v>1.02</v>
      </c>
      <c r="F1911" t="str" cm="1">
        <f t="array" ref="F1911">IF(A1911=MAX(IF(ROUND($B$2:$B$3722,4)=ROUND(B1911,4),$A$2:$A$3722)),"Efficient","Inefficient")</f>
        <v>Inefficient</v>
      </c>
    </row>
    <row r="1912" spans="1:6" x14ac:dyDescent="0.25">
      <c r="A1912" cm="1">
        <f t="array" ref="A1912">INDEX('Portfolio Weights Returns'!$B$9:$BJ$69,
INT((ROW(A1911)-1)/COLUMNS('Portfolio Weights Returns'!$B$9:$BJ$69))+1,MOD(ROW(A1911)-1,COLUMNS('Portfolio Weights Returns'!$B$9:$BJ$69))+1)</f>
        <v>-8.6233255604537733E-4</v>
      </c>
      <c r="B1912">
        <v>2.0199999999999999E-2</v>
      </c>
      <c r="C1912" s="59">
        <v>0.18</v>
      </c>
      <c r="D1912" s="59">
        <v>-0.21</v>
      </c>
      <c r="E1912" s="60">
        <f t="shared" si="29"/>
        <v>1.03</v>
      </c>
      <c r="F1912" t="str" cm="1">
        <f t="array" ref="F1912">IF(A1912=MAX(IF(ROUND($B$2:$B$3722,4)=ROUND(B1912,4),$A$2:$A$3722)),"Efficient","Inefficient")</f>
        <v>Inefficient</v>
      </c>
    </row>
    <row r="1913" spans="1:6" x14ac:dyDescent="0.25">
      <c r="A1913" cm="1">
        <f t="array" ref="A1913">INDEX('Portfolio Weights Returns'!$B$9:$BJ$69,
INT((ROW(A1912)-1)/COLUMNS('Portfolio Weights Returns'!$B$9:$BJ$69))+1,MOD(ROW(A1912)-1,COLUMNS('Portfolio Weights Returns'!$B$9:$BJ$69))+1)</f>
        <v>-8.5555138207869829E-4</v>
      </c>
      <c r="B1913">
        <v>2.0199999999999999E-2</v>
      </c>
      <c r="C1913" s="59">
        <v>0.17</v>
      </c>
      <c r="D1913" s="59">
        <v>-0.2</v>
      </c>
      <c r="E1913" s="60">
        <f t="shared" si="29"/>
        <v>1.03</v>
      </c>
      <c r="F1913" t="str" cm="1">
        <f t="array" ref="F1913">IF(A1913=MAX(IF(ROUND($B$2:$B$3722,4)=ROUND(B1913,4),$A$2:$A$3722)),"Efficient","Inefficient")</f>
        <v>Inefficient</v>
      </c>
    </row>
    <row r="1914" spans="1:6" x14ac:dyDescent="0.25">
      <c r="A1914" cm="1">
        <f t="array" ref="A1914">INDEX('Portfolio Weights Returns'!$B$9:$BJ$69,
INT((ROW(A1913)-1)/COLUMNS('Portfolio Weights Returns'!$B$9:$BJ$69))+1,MOD(ROW(A1913)-1,COLUMNS('Portfolio Weights Returns'!$B$9:$BJ$69))+1)</f>
        <v>-8.4877020811201915E-4</v>
      </c>
      <c r="B1914">
        <v>2.0199999999999999E-2</v>
      </c>
      <c r="C1914" s="59">
        <v>0.15</v>
      </c>
      <c r="D1914" s="59">
        <v>-0.19</v>
      </c>
      <c r="E1914" s="60">
        <f t="shared" si="29"/>
        <v>1.04</v>
      </c>
      <c r="F1914" t="str" cm="1">
        <f t="array" ref="F1914">IF(A1914=MAX(IF(ROUND($B$2:$B$3722,4)=ROUND(B1914,4),$A$2:$A$3722)),"Efficient","Inefficient")</f>
        <v>Inefficient</v>
      </c>
    </row>
    <row r="1915" spans="1:6" x14ac:dyDescent="0.25">
      <c r="A1915" cm="1">
        <f t="array" ref="A1915">INDEX('Portfolio Weights Returns'!$B$9:$BJ$69,
INT((ROW(A1914)-1)/COLUMNS('Portfolio Weights Returns'!$B$9:$BJ$69))+1,MOD(ROW(A1914)-1,COLUMNS('Portfolio Weights Returns'!$B$9:$BJ$69))+1)</f>
        <v>-8.4198903414534011E-4</v>
      </c>
      <c r="B1915">
        <v>2.0199999999999999E-2</v>
      </c>
      <c r="C1915" s="59">
        <v>0.12</v>
      </c>
      <c r="D1915" s="59">
        <v>-0.17</v>
      </c>
      <c r="E1915" s="60">
        <f t="shared" si="29"/>
        <v>1.0499999999999998</v>
      </c>
      <c r="F1915" t="str" cm="1">
        <f t="array" ref="F1915">IF(A1915=MAX(IF(ROUND($B$2:$B$3722,4)=ROUND(B1915,4),$A$2:$A$3722)),"Efficient","Inefficient")</f>
        <v>Inefficient</v>
      </c>
    </row>
    <row r="1916" spans="1:6" x14ac:dyDescent="0.25">
      <c r="A1916" cm="1">
        <f t="array" ref="A1916">INDEX('Portfolio Weights Returns'!$B$9:$BJ$69,
INT((ROW(A1915)-1)/COLUMNS('Portfolio Weights Returns'!$B$9:$BJ$69))+1,MOD(ROW(A1915)-1,COLUMNS('Portfolio Weights Returns'!$B$9:$BJ$69))+1)</f>
        <v>-8.3520786017866097E-4</v>
      </c>
      <c r="B1916">
        <v>2.0199999999999999E-2</v>
      </c>
      <c r="C1916" s="59">
        <v>0.09</v>
      </c>
      <c r="D1916" s="59">
        <v>-0.15</v>
      </c>
      <c r="E1916" s="60">
        <f t="shared" si="29"/>
        <v>1.0599999999999998</v>
      </c>
      <c r="F1916" t="str" cm="1">
        <f t="array" ref="F1916">IF(A1916=MAX(IF(ROUND($B$2:$B$3722,4)=ROUND(B1916,4),$A$2:$A$3722)),"Efficient","Inefficient")</f>
        <v>Inefficient</v>
      </c>
    </row>
    <row r="1917" spans="1:6" x14ac:dyDescent="0.25">
      <c r="A1917" cm="1">
        <f t="array" ref="A1917">INDEX('Portfolio Weights Returns'!$B$9:$BJ$69,
INT((ROW(A1916)-1)/COLUMNS('Portfolio Weights Returns'!$B$9:$BJ$69))+1,MOD(ROW(A1916)-1,COLUMNS('Portfolio Weights Returns'!$B$9:$BJ$69))+1)</f>
        <v>-8.2842668621198193E-4</v>
      </c>
      <c r="B1917">
        <v>2.0199999999999999E-2</v>
      </c>
      <c r="C1917" s="59">
        <v>0.08</v>
      </c>
      <c r="D1917" s="59">
        <v>-0.14000000000000001</v>
      </c>
      <c r="E1917" s="60">
        <f t="shared" si="29"/>
        <v>1.06</v>
      </c>
      <c r="F1917" t="str" cm="1">
        <f t="array" ref="F1917">IF(A1917=MAX(IF(ROUND($B$2:$B$3722,4)=ROUND(B1917,4),$A$2:$A$3722)),"Efficient","Inefficient")</f>
        <v>Inefficient</v>
      </c>
    </row>
    <row r="1918" spans="1:6" x14ac:dyDescent="0.25">
      <c r="A1918" cm="1">
        <f t="array" ref="A1918">INDEX('Portfolio Weights Returns'!$B$9:$BJ$69,
INT((ROW(A1917)-1)/COLUMNS('Portfolio Weights Returns'!$B$9:$BJ$69))+1,MOD(ROW(A1917)-1,COLUMNS('Portfolio Weights Returns'!$B$9:$BJ$69))+1)</f>
        <v>-8.2164551224530279E-4</v>
      </c>
      <c r="B1918">
        <v>2.0199999999999999E-2</v>
      </c>
      <c r="C1918" s="59">
        <v>0.05</v>
      </c>
      <c r="D1918" s="59">
        <v>-0.12</v>
      </c>
      <c r="E1918" s="60">
        <f t="shared" si="29"/>
        <v>1.07</v>
      </c>
      <c r="F1918" t="str" cm="1">
        <f t="array" ref="F1918">IF(A1918=MAX(IF(ROUND($B$2:$B$3722,4)=ROUND(B1918,4),$A$2:$A$3722)),"Efficient","Inefficient")</f>
        <v>Inefficient</v>
      </c>
    </row>
    <row r="1919" spans="1:6" x14ac:dyDescent="0.25">
      <c r="A1919" cm="1">
        <f t="array" ref="A1919">INDEX('Portfolio Weights Returns'!$B$9:$BJ$69,
INT((ROW(A1918)-1)/COLUMNS('Portfolio Weights Returns'!$B$9:$BJ$69))+1,MOD(ROW(A1918)-1,COLUMNS('Portfolio Weights Returns'!$B$9:$BJ$69))+1)</f>
        <v>-8.1486433827862364E-4</v>
      </c>
      <c r="B1919">
        <v>2.0199999999999999E-2</v>
      </c>
      <c r="C1919" s="59">
        <v>0.04</v>
      </c>
      <c r="D1919" s="59">
        <v>-0.11</v>
      </c>
      <c r="E1919" s="60">
        <f t="shared" si="29"/>
        <v>1.07</v>
      </c>
      <c r="F1919" t="str" cm="1">
        <f t="array" ref="F1919">IF(A1919=MAX(IF(ROUND($B$2:$B$3722,4)=ROUND(B1919,4),$A$2:$A$3722)),"Efficient","Inefficient")</f>
        <v>Inefficient</v>
      </c>
    </row>
    <row r="1920" spans="1:6" x14ac:dyDescent="0.25">
      <c r="A1920" cm="1">
        <f t="array" ref="A1920">INDEX('Portfolio Weights Returns'!$B$9:$BJ$69,
INT((ROW(A1919)-1)/COLUMNS('Portfolio Weights Returns'!$B$9:$BJ$69))+1,MOD(ROW(A1919)-1,COLUMNS('Portfolio Weights Returns'!$B$9:$BJ$69))+1)</f>
        <v>-8.080831643119445E-4</v>
      </c>
      <c r="B1920">
        <v>2.0199999999999999E-2</v>
      </c>
      <c r="C1920" s="59">
        <v>0.03</v>
      </c>
      <c r="D1920" s="59">
        <v>-0.1</v>
      </c>
      <c r="E1920" s="60">
        <f t="shared" si="29"/>
        <v>1.07</v>
      </c>
      <c r="F1920" t="str" cm="1">
        <f t="array" ref="F1920">IF(A1920=MAX(IF(ROUND($B$2:$B$3722,4)=ROUND(B1920,4),$A$2:$A$3722)),"Efficient","Inefficient")</f>
        <v>Inefficient</v>
      </c>
    </row>
    <row r="1921" spans="1:6" x14ac:dyDescent="0.25">
      <c r="A1921" cm="1">
        <f t="array" ref="A1921">INDEX('Portfolio Weights Returns'!$B$9:$BJ$69,
INT((ROW(A1920)-1)/COLUMNS('Portfolio Weights Returns'!$B$9:$BJ$69))+1,MOD(ROW(A1920)-1,COLUMNS('Portfolio Weights Returns'!$B$9:$BJ$69))+1)</f>
        <v>-8.0130199034526535E-4</v>
      </c>
      <c r="B1921">
        <v>2.0199999999999999E-2</v>
      </c>
      <c r="C1921" s="59">
        <v>-0.06</v>
      </c>
      <c r="D1921" s="59">
        <v>-0.01</v>
      </c>
      <c r="E1921" s="60">
        <f t="shared" si="29"/>
        <v>1.07</v>
      </c>
      <c r="F1921" t="str" cm="1">
        <f t="array" ref="F1921">IF(A1921=MAX(IF(ROUND($B$2:$B$3722,4)=ROUND(B1921,4),$A$2:$A$3722)),"Efficient","Inefficient")</f>
        <v>Inefficient</v>
      </c>
    </row>
    <row r="1922" spans="1:6" x14ac:dyDescent="0.25">
      <c r="A1922" cm="1">
        <f t="array" ref="A1922">INDEX('Portfolio Weights Returns'!$B$9:$BJ$69,
INT((ROW(A1921)-1)/COLUMNS('Portfolio Weights Returns'!$B$9:$BJ$69))+1,MOD(ROW(A1921)-1,COLUMNS('Portfolio Weights Returns'!$B$9:$BJ$69))+1)</f>
        <v>-7.9452081637858632E-4</v>
      </c>
      <c r="B1922">
        <v>2.0199999999999999E-2</v>
      </c>
      <c r="C1922" s="59">
        <v>-7.0000000000000007E-2</v>
      </c>
      <c r="D1922" s="59">
        <v>0</v>
      </c>
      <c r="E1922" s="60">
        <f t="shared" ref="E1922:E1985" si="30">1-D1922-C1922</f>
        <v>1.07</v>
      </c>
      <c r="F1922" t="str" cm="1">
        <f t="array" ref="F1922">IF(A1922=MAX(IF(ROUND($B$2:$B$3722,4)=ROUND(B1922,4),$A$2:$A$3722)),"Efficient","Inefficient")</f>
        <v>Inefficient</v>
      </c>
    </row>
    <row r="1923" spans="1:6" x14ac:dyDescent="0.25">
      <c r="A1923" cm="1">
        <f t="array" ref="A1923">INDEX('Portfolio Weights Returns'!$B$9:$BJ$69,
INT((ROW(A1922)-1)/COLUMNS('Portfolio Weights Returns'!$B$9:$BJ$69))+1,MOD(ROW(A1922)-1,COLUMNS('Portfolio Weights Returns'!$B$9:$BJ$69))+1)</f>
        <v>-7.8773964241190717E-4</v>
      </c>
      <c r="B1923">
        <v>2.0199999999999999E-2</v>
      </c>
      <c r="C1923" s="59">
        <v>-0.08</v>
      </c>
      <c r="D1923" s="59">
        <v>0.01</v>
      </c>
      <c r="E1923" s="60">
        <f t="shared" si="30"/>
        <v>1.07</v>
      </c>
      <c r="F1923" t="str" cm="1">
        <f t="array" ref="F1923">IF(A1923=MAX(IF(ROUND($B$2:$B$3722,4)=ROUND(B1923,4),$A$2:$A$3722)),"Efficient","Inefficient")</f>
        <v>Inefficient</v>
      </c>
    </row>
    <row r="1924" spans="1:6" x14ac:dyDescent="0.25">
      <c r="A1924" cm="1">
        <f t="array" ref="A1924">INDEX('Portfolio Weights Returns'!$B$9:$BJ$69,
INT((ROW(A1923)-1)/COLUMNS('Portfolio Weights Returns'!$B$9:$BJ$69))+1,MOD(ROW(A1923)-1,COLUMNS('Portfolio Weights Returns'!$B$9:$BJ$69))+1)</f>
        <v>-7.8095846844522814E-4</v>
      </c>
      <c r="B1924">
        <v>2.0199999999999999E-2</v>
      </c>
      <c r="C1924" s="59">
        <v>-0.1</v>
      </c>
      <c r="D1924" s="59">
        <v>0.04</v>
      </c>
      <c r="E1924" s="60">
        <f t="shared" si="30"/>
        <v>1.06</v>
      </c>
      <c r="F1924" t="str" cm="1">
        <f t="array" ref="F1924">IF(A1924=MAX(IF(ROUND($B$2:$B$3722,4)=ROUND(B1924,4),$A$2:$A$3722)),"Efficient","Inefficient")</f>
        <v>Inefficient</v>
      </c>
    </row>
    <row r="1925" spans="1:6" x14ac:dyDescent="0.25">
      <c r="A1925" cm="1">
        <f t="array" ref="A1925">INDEX('Portfolio Weights Returns'!$B$9:$BJ$69,
INT((ROW(A1924)-1)/COLUMNS('Portfolio Weights Returns'!$B$9:$BJ$69))+1,MOD(ROW(A1924)-1,COLUMNS('Portfolio Weights Returns'!$B$9:$BJ$69))+1)</f>
        <v>-7.7417729447854899E-4</v>
      </c>
      <c r="B1925">
        <v>2.0199999999999999E-2</v>
      </c>
      <c r="C1925" s="59">
        <v>-0.11</v>
      </c>
      <c r="D1925" s="59">
        <v>0.06</v>
      </c>
      <c r="E1925" s="60">
        <f t="shared" si="30"/>
        <v>1.05</v>
      </c>
      <c r="F1925" t="str" cm="1">
        <f t="array" ref="F1925">IF(A1925=MAX(IF(ROUND($B$2:$B$3722,4)=ROUND(B1925,4),$A$2:$A$3722)),"Efficient","Inefficient")</f>
        <v>Inefficient</v>
      </c>
    </row>
    <row r="1926" spans="1:6" x14ac:dyDescent="0.25">
      <c r="A1926" cm="1">
        <f t="array" ref="A1926">INDEX('Portfolio Weights Returns'!$B$9:$BJ$69,
INT((ROW(A1925)-1)/COLUMNS('Portfolio Weights Returns'!$B$9:$BJ$69))+1,MOD(ROW(A1925)-1,COLUMNS('Portfolio Weights Returns'!$B$9:$BJ$69))+1)</f>
        <v>-7.6739612051186985E-4</v>
      </c>
      <c r="B1926">
        <v>2.0199999999999999E-2</v>
      </c>
      <c r="C1926" s="59">
        <v>-0.12</v>
      </c>
      <c r="D1926" s="59">
        <v>7.0000000000000007E-2</v>
      </c>
      <c r="E1926" s="60">
        <f t="shared" si="30"/>
        <v>1.0499999999999998</v>
      </c>
      <c r="F1926" t="str" cm="1">
        <f t="array" ref="F1926">IF(A1926=MAX(IF(ROUND($B$2:$B$3722,4)=ROUND(B1926,4),$A$2:$A$3722)),"Efficient","Inefficient")</f>
        <v>Inefficient</v>
      </c>
    </row>
    <row r="1927" spans="1:6" x14ac:dyDescent="0.25">
      <c r="A1927" cm="1">
        <f t="array" ref="A1927">INDEX('Portfolio Weights Returns'!$B$9:$BJ$69,
INT((ROW(A1926)-1)/COLUMNS('Portfolio Weights Returns'!$B$9:$BJ$69))+1,MOD(ROW(A1926)-1,COLUMNS('Portfolio Weights Returns'!$B$9:$BJ$69))+1)</f>
        <v>-7.606149465451907E-4</v>
      </c>
      <c r="B1927">
        <v>2.0199999999999999E-2</v>
      </c>
      <c r="C1927" s="59">
        <v>-0.13</v>
      </c>
      <c r="D1927" s="59">
        <v>0.09</v>
      </c>
      <c r="E1927" s="60">
        <f t="shared" si="30"/>
        <v>1.04</v>
      </c>
      <c r="F1927" t="str" cm="1">
        <f t="array" ref="F1927">IF(A1927=MAX(IF(ROUND($B$2:$B$3722,4)=ROUND(B1927,4),$A$2:$A$3722)),"Efficient","Inefficient")</f>
        <v>Inefficient</v>
      </c>
    </row>
    <row r="1928" spans="1:6" x14ac:dyDescent="0.25">
      <c r="A1928" cm="1">
        <f t="array" ref="A1928">INDEX('Portfolio Weights Returns'!$B$9:$BJ$69,
INT((ROW(A1927)-1)/COLUMNS('Portfolio Weights Returns'!$B$9:$BJ$69))+1,MOD(ROW(A1927)-1,COLUMNS('Portfolio Weights Returns'!$B$9:$BJ$69))+1)</f>
        <v>-7.5383377257851167E-4</v>
      </c>
      <c r="B1928">
        <v>2.0199999999999999E-2</v>
      </c>
      <c r="C1928" s="59">
        <v>-0.13</v>
      </c>
      <c r="D1928" s="59">
        <v>0.1</v>
      </c>
      <c r="E1928" s="60">
        <f t="shared" si="30"/>
        <v>1.03</v>
      </c>
      <c r="F1928" t="str" cm="1">
        <f t="array" ref="F1928">IF(A1928=MAX(IF(ROUND($B$2:$B$3722,4)=ROUND(B1928,4),$A$2:$A$3722)),"Efficient","Inefficient")</f>
        <v>Inefficient</v>
      </c>
    </row>
    <row r="1929" spans="1:6" x14ac:dyDescent="0.25">
      <c r="A1929" cm="1">
        <f t="array" ref="A1929">INDEX('Portfolio Weights Returns'!$B$9:$BJ$69,
INT((ROW(A1928)-1)/COLUMNS('Portfolio Weights Returns'!$B$9:$BJ$69))+1,MOD(ROW(A1928)-1,COLUMNS('Portfolio Weights Returns'!$B$9:$BJ$69))+1)</f>
        <v>-7.4705259861183252E-4</v>
      </c>
      <c r="B1929">
        <v>2.0199999999999999E-2</v>
      </c>
      <c r="C1929" s="59">
        <v>-0.14000000000000001</v>
      </c>
      <c r="D1929" s="59">
        <v>0.11</v>
      </c>
      <c r="E1929" s="60">
        <f t="shared" si="30"/>
        <v>1.03</v>
      </c>
      <c r="F1929" t="str" cm="1">
        <f t="array" ref="F1929">IF(A1929=MAX(IF(ROUND($B$2:$B$3722,4)=ROUND(B1929,4),$A$2:$A$3722)),"Efficient","Inefficient")</f>
        <v>Inefficient</v>
      </c>
    </row>
    <row r="1930" spans="1:6" x14ac:dyDescent="0.25">
      <c r="A1930" cm="1">
        <f t="array" ref="A1930">INDEX('Portfolio Weights Returns'!$B$9:$BJ$69,
INT((ROW(A1929)-1)/COLUMNS('Portfolio Weights Returns'!$B$9:$BJ$69))+1,MOD(ROW(A1929)-1,COLUMNS('Portfolio Weights Returns'!$B$9:$BJ$69))+1)</f>
        <v>-7.4027142464515349E-4</v>
      </c>
      <c r="B1930">
        <v>2.0199999999999999E-2</v>
      </c>
      <c r="C1930" s="59">
        <v>-0.14000000000000001</v>
      </c>
      <c r="D1930" s="59">
        <v>0.12</v>
      </c>
      <c r="E1930" s="60">
        <f t="shared" si="30"/>
        <v>1.02</v>
      </c>
      <c r="F1930" t="str" cm="1">
        <f t="array" ref="F1930">IF(A1930=MAX(IF(ROUND($B$2:$B$3722,4)=ROUND(B1930,4),$A$2:$A$3722)),"Efficient","Inefficient")</f>
        <v>Inefficient</v>
      </c>
    </row>
    <row r="1931" spans="1:6" x14ac:dyDescent="0.25">
      <c r="A1931" cm="1">
        <f t="array" ref="A1931">INDEX('Portfolio Weights Returns'!$B$9:$BJ$69,
INT((ROW(A1930)-1)/COLUMNS('Portfolio Weights Returns'!$B$9:$BJ$69))+1,MOD(ROW(A1930)-1,COLUMNS('Portfolio Weights Returns'!$B$9:$BJ$69))+1)</f>
        <v>-7.3349025067847445E-4</v>
      </c>
      <c r="B1931">
        <v>2.0199999999999999E-2</v>
      </c>
      <c r="C1931" s="59">
        <v>-0.15</v>
      </c>
      <c r="D1931" s="59">
        <v>0.15</v>
      </c>
      <c r="E1931" s="60">
        <f t="shared" si="30"/>
        <v>1</v>
      </c>
      <c r="F1931" t="str" cm="1">
        <f t="array" ref="F1931">IF(A1931=MAX(IF(ROUND($B$2:$B$3722,4)=ROUND(B1931,4),$A$2:$A$3722)),"Efficient","Inefficient")</f>
        <v>Inefficient</v>
      </c>
    </row>
    <row r="1932" spans="1:6" x14ac:dyDescent="0.25">
      <c r="A1932" cm="1">
        <f t="array" ref="A1932">INDEX('Portfolio Weights Returns'!$B$9:$BJ$69,
INT((ROW(A1931)-1)/COLUMNS('Portfolio Weights Returns'!$B$9:$BJ$69))+1,MOD(ROW(A1931)-1,COLUMNS('Portfolio Weights Returns'!$B$9:$BJ$69))+1)</f>
        <v>-7.267090767117952E-4</v>
      </c>
      <c r="B1932">
        <v>2.0199999999999999E-2</v>
      </c>
      <c r="C1932" s="59">
        <v>-0.15</v>
      </c>
      <c r="D1932" s="59">
        <v>0.16</v>
      </c>
      <c r="E1932" s="60">
        <f t="shared" si="30"/>
        <v>0.99</v>
      </c>
      <c r="F1932" t="str" cm="1">
        <f t="array" ref="F1932">IF(A1932=MAX(IF(ROUND($B$2:$B$3722,4)=ROUND(B1932,4),$A$2:$A$3722)),"Efficient","Inefficient")</f>
        <v>Inefficient</v>
      </c>
    </row>
    <row r="1933" spans="1:6" x14ac:dyDescent="0.25">
      <c r="A1933" cm="1">
        <f t="array" ref="A1933">INDEX('Portfolio Weights Returns'!$B$9:$BJ$69,
INT((ROW(A1932)-1)/COLUMNS('Portfolio Weights Returns'!$B$9:$BJ$69))+1,MOD(ROW(A1932)-1,COLUMNS('Portfolio Weights Returns'!$B$9:$BJ$69))+1)</f>
        <v>-7.1992790274511616E-4</v>
      </c>
      <c r="B1933">
        <v>2.0199999999999999E-2</v>
      </c>
      <c r="C1933" s="59">
        <v>-0.15</v>
      </c>
      <c r="D1933" s="59">
        <v>0.17</v>
      </c>
      <c r="E1933" s="60">
        <f t="shared" si="30"/>
        <v>0.98</v>
      </c>
      <c r="F1933" t="str" cm="1">
        <f t="array" ref="F1933">IF(A1933=MAX(IF(ROUND($B$2:$B$3722,4)=ROUND(B1933,4),$A$2:$A$3722)),"Efficient","Inefficient")</f>
        <v>Inefficient</v>
      </c>
    </row>
    <row r="1934" spans="1:6" x14ac:dyDescent="0.25">
      <c r="A1934" cm="1">
        <f t="array" ref="A1934">INDEX('Portfolio Weights Returns'!$B$9:$BJ$69,
INT((ROW(A1933)-1)/COLUMNS('Portfolio Weights Returns'!$B$9:$BJ$69))+1,MOD(ROW(A1933)-1,COLUMNS('Portfolio Weights Returns'!$B$9:$BJ$69))+1)</f>
        <v>-7.1314672877843702E-4</v>
      </c>
      <c r="B1934">
        <v>2.0199999999999999E-2</v>
      </c>
      <c r="C1934" s="59">
        <v>-0.15</v>
      </c>
      <c r="D1934" s="59">
        <v>0.18</v>
      </c>
      <c r="E1934" s="60">
        <f t="shared" si="30"/>
        <v>0.97000000000000008</v>
      </c>
      <c r="F1934" t="str" cm="1">
        <f t="array" ref="F1934">IF(A1934=MAX(IF(ROUND($B$2:$B$3722,4)=ROUND(B1934,4),$A$2:$A$3722)),"Efficient","Inefficient")</f>
        <v>Inefficient</v>
      </c>
    </row>
    <row r="1935" spans="1:6" x14ac:dyDescent="0.25">
      <c r="A1935" cm="1">
        <f t="array" ref="A1935">INDEX('Portfolio Weights Returns'!$B$9:$BJ$69,
INT((ROW(A1934)-1)/COLUMNS('Portfolio Weights Returns'!$B$9:$BJ$69))+1,MOD(ROW(A1934)-1,COLUMNS('Portfolio Weights Returns'!$B$9:$BJ$69))+1)</f>
        <v>-7.0636555481175798E-4</v>
      </c>
      <c r="B1935">
        <v>2.0199999999999999E-2</v>
      </c>
      <c r="C1935" s="59">
        <v>-0.15</v>
      </c>
      <c r="D1935" s="59">
        <v>0.19</v>
      </c>
      <c r="E1935" s="60">
        <f t="shared" si="30"/>
        <v>0.96000000000000008</v>
      </c>
      <c r="F1935" t="str" cm="1">
        <f t="array" ref="F1935">IF(A1935=MAX(IF(ROUND($B$2:$B$3722,4)=ROUND(B1935,4),$A$2:$A$3722)),"Efficient","Inefficient")</f>
        <v>Inefficient</v>
      </c>
    </row>
    <row r="1936" spans="1:6" x14ac:dyDescent="0.25">
      <c r="A1936" cm="1">
        <f t="array" ref="A1936">INDEX('Portfolio Weights Returns'!$B$9:$BJ$69,
INT((ROW(A1935)-1)/COLUMNS('Portfolio Weights Returns'!$B$9:$BJ$69))+1,MOD(ROW(A1935)-1,COLUMNS('Portfolio Weights Returns'!$B$9:$BJ$69))+1)</f>
        <v>-6.9958438084507884E-4</v>
      </c>
      <c r="B1936">
        <v>2.0199999999999999E-2</v>
      </c>
      <c r="C1936" s="59">
        <v>-0.15</v>
      </c>
      <c r="D1936" s="59">
        <v>0.2</v>
      </c>
      <c r="E1936" s="60">
        <f t="shared" si="30"/>
        <v>0.95000000000000007</v>
      </c>
      <c r="F1936" t="str" cm="1">
        <f t="array" ref="F1936">IF(A1936=MAX(IF(ROUND($B$2:$B$3722,4)=ROUND(B1936,4),$A$2:$A$3722)),"Efficient","Inefficient")</f>
        <v>Inefficient</v>
      </c>
    </row>
    <row r="1937" spans="1:9" x14ac:dyDescent="0.25">
      <c r="A1937" cm="1">
        <f t="array" ref="A1937">INDEX('Portfolio Weights Returns'!$B$9:$BJ$69,
INT((ROW(A1936)-1)/COLUMNS('Portfolio Weights Returns'!$B$9:$BJ$69))+1,MOD(ROW(A1936)-1,COLUMNS('Portfolio Weights Returns'!$B$9:$BJ$69))+1)</f>
        <v>-6.928032068783998E-4</v>
      </c>
      <c r="B1937">
        <v>2.0199999999999999E-2</v>
      </c>
      <c r="C1937" s="59">
        <v>-0.15</v>
      </c>
      <c r="D1937" s="59">
        <v>0.21</v>
      </c>
      <c r="E1937" s="60">
        <f t="shared" si="30"/>
        <v>0.94000000000000006</v>
      </c>
      <c r="F1937" t="str" cm="1">
        <f t="array" ref="F1937">IF(A1937=MAX(IF(ROUND($B$2:$B$3722,4)=ROUND(B1937,4),$A$2:$A$3722)),"Efficient","Inefficient")</f>
        <v>Inefficient</v>
      </c>
    </row>
    <row r="1938" spans="1:9" x14ac:dyDescent="0.25">
      <c r="A1938" cm="1">
        <f t="array" ref="A1938">INDEX('Portfolio Weights Returns'!$B$9:$BJ$69,
INT((ROW(A1937)-1)/COLUMNS('Portfolio Weights Returns'!$B$9:$BJ$69))+1,MOD(ROW(A1937)-1,COLUMNS('Portfolio Weights Returns'!$B$9:$BJ$69))+1)</f>
        <v>-6.8602203291172055E-4</v>
      </c>
      <c r="B1938">
        <v>2.0199999999999999E-2</v>
      </c>
      <c r="C1938" s="59">
        <v>-0.15</v>
      </c>
      <c r="D1938" s="59">
        <v>0.22</v>
      </c>
      <c r="E1938" s="60">
        <f t="shared" si="30"/>
        <v>0.93</v>
      </c>
      <c r="F1938" t="str" cm="1">
        <f t="array" ref="F1938">IF(A1938=MAX(IF(ROUND($B$2:$B$3722,4)=ROUND(B1938,4),$A$2:$A$3722)),"Efficient","Inefficient")</f>
        <v>Inefficient</v>
      </c>
    </row>
    <row r="1939" spans="1:9" x14ac:dyDescent="0.25">
      <c r="A1939" cm="1">
        <f t="array" ref="A1939">INDEX('Portfolio Weights Returns'!$B$9:$BJ$69,
INT((ROW(A1938)-1)/COLUMNS('Portfolio Weights Returns'!$B$9:$BJ$69))+1,MOD(ROW(A1938)-1,COLUMNS('Portfolio Weights Returns'!$B$9:$BJ$69))+1)</f>
        <v>-6.7924085894504151E-4</v>
      </c>
      <c r="B1939">
        <v>2.0199999999999999E-2</v>
      </c>
      <c r="C1939" s="59">
        <v>-0.15</v>
      </c>
      <c r="D1939" s="59">
        <v>0.23</v>
      </c>
      <c r="E1939" s="60">
        <f t="shared" si="30"/>
        <v>0.92</v>
      </c>
      <c r="F1939" t="str" cm="1">
        <f t="array" ref="F1939">IF(A1939=MAX(IF(ROUND($B$2:$B$3722,4)=ROUND(B1939,4),$A$2:$A$3722)),"Efficient","Inefficient")</f>
        <v>Inefficient</v>
      </c>
    </row>
    <row r="1940" spans="1:9" x14ac:dyDescent="0.25">
      <c r="A1940" cm="1">
        <f t="array" ref="A1940">INDEX('Portfolio Weights Returns'!$B$9:$BJ$69,
INT((ROW(A1939)-1)/COLUMNS('Portfolio Weights Returns'!$B$9:$BJ$69))+1,MOD(ROW(A1939)-1,COLUMNS('Portfolio Weights Returns'!$B$9:$BJ$69))+1)</f>
        <v>-6.7245968497836237E-4</v>
      </c>
      <c r="B1940">
        <v>2.0199999999999999E-2</v>
      </c>
      <c r="C1940" s="59">
        <v>-0.15</v>
      </c>
      <c r="D1940" s="59">
        <v>0.24</v>
      </c>
      <c r="E1940" s="60">
        <f t="shared" si="30"/>
        <v>0.91</v>
      </c>
      <c r="F1940" t="str" cm="1">
        <f t="array" ref="F1940">IF(A1940=MAX(IF(ROUND($B$2:$B$3722,4)=ROUND(B1940,4),$A$2:$A$3722)),"Efficient","Inefficient")</f>
        <v>Inefficient</v>
      </c>
    </row>
    <row r="1941" spans="1:9" x14ac:dyDescent="0.25">
      <c r="A1941" cm="1">
        <f t="array" ref="A1941">INDEX('Portfolio Weights Returns'!$B$9:$BJ$69,
INT((ROW(A1940)-1)/COLUMNS('Portfolio Weights Returns'!$B$9:$BJ$69))+1,MOD(ROW(A1940)-1,COLUMNS('Portfolio Weights Returns'!$B$9:$BJ$69))+1)</f>
        <v>-6.6567851101168333E-4</v>
      </c>
      <c r="B1941">
        <v>2.0199999999999999E-2</v>
      </c>
      <c r="C1941" s="59">
        <v>-0.14000000000000001</v>
      </c>
      <c r="D1941" s="59">
        <v>0.26</v>
      </c>
      <c r="E1941" s="60">
        <f t="shared" si="30"/>
        <v>0.88</v>
      </c>
      <c r="F1941" t="str" cm="1">
        <f t="array" ref="F1941">IF(A1941=MAX(IF(ROUND($B$2:$B$3722,4)=ROUND(B1941,4),$A$2:$A$3722)),"Efficient","Inefficient")</f>
        <v>Inefficient</v>
      </c>
    </row>
    <row r="1942" spans="1:9" x14ac:dyDescent="0.25">
      <c r="A1942" cm="1">
        <f t="array" ref="A1942">INDEX('Portfolio Weights Returns'!$B$9:$BJ$69,
INT((ROW(A1941)-1)/COLUMNS('Portfolio Weights Returns'!$B$9:$BJ$69))+1,MOD(ROW(A1941)-1,COLUMNS('Portfolio Weights Returns'!$B$9:$BJ$69))+1)</f>
        <v>-6.588973370450043E-4</v>
      </c>
      <c r="B1942">
        <v>2.0199999999999999E-2</v>
      </c>
      <c r="C1942" s="59">
        <v>-0.14000000000000001</v>
      </c>
      <c r="D1942" s="59">
        <v>0.27</v>
      </c>
      <c r="E1942" s="60">
        <f t="shared" si="30"/>
        <v>0.87</v>
      </c>
      <c r="F1942" t="str" cm="1">
        <f t="array" ref="F1942">IF(A1942=MAX(IF(ROUND($B$2:$B$3722,4)=ROUND(B1942,4),$A$2:$A$3722)),"Efficient","Inefficient")</f>
        <v>Inefficient</v>
      </c>
    </row>
    <row r="1943" spans="1:9" x14ac:dyDescent="0.25">
      <c r="A1943" cm="1">
        <f t="array" ref="A1943">INDEX('Portfolio Weights Returns'!$B$9:$BJ$69,
INT((ROW(A1942)-1)/COLUMNS('Portfolio Weights Returns'!$B$9:$BJ$69))+1,MOD(ROW(A1942)-1,COLUMNS('Portfolio Weights Returns'!$B$9:$BJ$69))+1)</f>
        <v>-6.5211616307832515E-4</v>
      </c>
      <c r="B1943">
        <v>2.0199999999999999E-2</v>
      </c>
      <c r="C1943" s="59">
        <v>-0.13</v>
      </c>
      <c r="D1943" s="59">
        <v>0.28000000000000003</v>
      </c>
      <c r="E1943" s="60">
        <f t="shared" si="30"/>
        <v>0.85</v>
      </c>
      <c r="F1943" t="str" cm="1">
        <f t="array" ref="F1943">IF(A1943=MAX(IF(ROUND($B$2:$B$3722,4)=ROUND(B1943,4),$A$2:$A$3722)),"Efficient","Inefficient")</f>
        <v>Inefficient</v>
      </c>
    </row>
    <row r="1944" spans="1:9" x14ac:dyDescent="0.25">
      <c r="A1944" cm="1">
        <f t="array" ref="A1944">INDEX('Portfolio Weights Returns'!$B$9:$BJ$69,
INT((ROW(A1943)-1)/COLUMNS('Portfolio Weights Returns'!$B$9:$BJ$69))+1,MOD(ROW(A1943)-1,COLUMNS('Portfolio Weights Returns'!$B$9:$BJ$69))+1)</f>
        <v>-6.4533498911164601E-4</v>
      </c>
      <c r="B1944">
        <v>2.0199999999999999E-2</v>
      </c>
      <c r="C1944" s="59">
        <v>-0.12</v>
      </c>
      <c r="D1944" s="59">
        <v>0.3</v>
      </c>
      <c r="E1944" s="60">
        <f t="shared" si="30"/>
        <v>0.82</v>
      </c>
      <c r="F1944" t="str" cm="1">
        <f t="array" ref="F1944">IF(A1944=MAX(IF(ROUND($B$2:$B$3722,4)=ROUND(B1944,4),$A$2:$A$3722)),"Efficient","Inefficient")</f>
        <v>Efficient</v>
      </c>
    </row>
    <row r="1945" spans="1:9" x14ac:dyDescent="0.25">
      <c r="A1945" cm="1">
        <f t="array" ref="A1945">INDEX('Portfolio Weights Returns'!$B$9:$BJ$69,
INT((ROW(A1944)-1)/COLUMNS('Portfolio Weights Returns'!$B$9:$BJ$69))+1,MOD(ROW(A1944)-1,COLUMNS('Portfolio Weights Returns'!$B$9:$BJ$69))+1)</f>
        <v>-6.3855381514496686E-4</v>
      </c>
      <c r="B1945">
        <v>2.0299999999999999E-2</v>
      </c>
      <c r="C1945" s="59">
        <v>0.25</v>
      </c>
      <c r="D1945" s="59">
        <v>-0.25</v>
      </c>
      <c r="E1945" s="60">
        <f t="shared" si="30"/>
        <v>1</v>
      </c>
      <c r="F1945" t="str" cm="1">
        <f t="array" ref="F1945">IF(A1945=MAX(IF(ROUND($B$2:$B$3722,4)=ROUND(B1945,4),$A$2:$A$3722)),"Efficient","Inefficient")</f>
        <v>Inefficient</v>
      </c>
    </row>
    <row r="1946" spans="1:9" x14ac:dyDescent="0.25">
      <c r="A1946" cm="1">
        <f t="array" ref="A1946">INDEX('Portfolio Weights Returns'!$B$9:$BJ$69,
INT((ROW(A1945)-1)/COLUMNS('Portfolio Weights Returns'!$B$9:$BJ$69))+1,MOD(ROW(A1945)-1,COLUMNS('Portfolio Weights Returns'!$B$9:$BJ$69))+1)</f>
        <v>-6.3177264117828783E-4</v>
      </c>
      <c r="B1946">
        <v>2.0299999999999999E-2</v>
      </c>
      <c r="C1946" s="59">
        <v>0.23</v>
      </c>
      <c r="D1946" s="59">
        <v>-0.24</v>
      </c>
      <c r="E1946" s="60">
        <f t="shared" si="30"/>
        <v>1.01</v>
      </c>
      <c r="F1946" t="str" cm="1">
        <f t="array" ref="F1946">IF(A1946=MAX(IF(ROUND($B$2:$B$3722,4)=ROUND(B1946,4),$A$2:$A$3722)),"Efficient","Inefficient")</f>
        <v>Inefficient</v>
      </c>
    </row>
    <row r="1947" spans="1:9" x14ac:dyDescent="0.25">
      <c r="A1947" cm="1">
        <f t="array" ref="A1947">INDEX('Portfolio Weights Returns'!$B$9:$BJ$69,
INT((ROW(A1946)-1)/COLUMNS('Portfolio Weights Returns'!$B$9:$BJ$69))+1,MOD(ROW(A1946)-1,COLUMNS('Portfolio Weights Returns'!$B$9:$BJ$69))+1)</f>
        <v>-6.2499146721160868E-4</v>
      </c>
      <c r="B1947">
        <v>2.0299999999999999E-2</v>
      </c>
      <c r="C1947" s="59">
        <v>0.21</v>
      </c>
      <c r="D1947" s="59">
        <v>-0.23</v>
      </c>
      <c r="E1947" s="60">
        <f t="shared" si="30"/>
        <v>1.02</v>
      </c>
      <c r="F1947" t="str" cm="1">
        <f t="array" ref="F1947">IF(A1947=MAX(IF(ROUND($B$2:$B$3722,4)=ROUND(B1947,4),$A$2:$A$3722)),"Efficient","Inefficient")</f>
        <v>Inefficient</v>
      </c>
    </row>
    <row r="1948" spans="1:9" x14ac:dyDescent="0.25">
      <c r="A1948" cm="1">
        <f t="array" ref="A1948">INDEX('Portfolio Weights Returns'!$B$9:$BJ$69,
INT((ROW(A1947)-1)/COLUMNS('Portfolio Weights Returns'!$B$9:$BJ$69))+1,MOD(ROW(A1947)-1,COLUMNS('Portfolio Weights Returns'!$B$9:$BJ$69))+1)</f>
        <v>-6.1821029324492965E-4</v>
      </c>
      <c r="B1948">
        <v>2.0299999999999999E-2</v>
      </c>
      <c r="C1948" s="59">
        <v>0.19</v>
      </c>
      <c r="D1948" s="59">
        <v>-0.22</v>
      </c>
      <c r="E1948" s="60">
        <f t="shared" si="30"/>
        <v>1.03</v>
      </c>
      <c r="F1948" t="str" cm="1">
        <f t="array" ref="F1948">IF(A1948=MAX(IF(ROUND($B$2:$B$3722,4)=ROUND(B1948,4),$A$2:$A$3722)),"Efficient","Inefficient")</f>
        <v>Inefficient</v>
      </c>
    </row>
    <row r="1949" spans="1:9" x14ac:dyDescent="0.25">
      <c r="A1949" cm="1">
        <f t="array" ref="A1949">INDEX('Portfolio Weights Returns'!$B$9:$BJ$69,
INT((ROW(A1948)-1)/COLUMNS('Portfolio Weights Returns'!$B$9:$BJ$69))+1,MOD(ROW(A1948)-1,COLUMNS('Portfolio Weights Returns'!$B$9:$BJ$69))+1)</f>
        <v>-6.114291192782505E-4</v>
      </c>
      <c r="B1949">
        <v>2.0299999999999999E-2</v>
      </c>
      <c r="C1949" s="59">
        <v>0.16</v>
      </c>
      <c r="D1949" s="59">
        <v>-0.2</v>
      </c>
      <c r="E1949" s="60">
        <f t="shared" si="30"/>
        <v>1.04</v>
      </c>
      <c r="F1949" t="str" cm="1">
        <f t="array" ref="F1949">IF(A1949=MAX(IF(ROUND($B$2:$B$3722,4)=ROUND(B1949,4),$A$2:$A$3722)),"Efficient","Inefficient")</f>
        <v>Inefficient</v>
      </c>
    </row>
    <row r="1950" spans="1:9" x14ac:dyDescent="0.25">
      <c r="A1950" cm="1">
        <f t="array" ref="A1950">INDEX('Portfolio Weights Returns'!$B$9:$BJ$69,
INT((ROW(A1949)-1)/COLUMNS('Portfolio Weights Returns'!$B$9:$BJ$69))+1,MOD(ROW(A1949)-1,COLUMNS('Portfolio Weights Returns'!$B$9:$BJ$69))+1)</f>
        <v>-6.0464794531157071E-4</v>
      </c>
      <c r="B1950">
        <v>2.0299999999999999E-2</v>
      </c>
      <c r="C1950" s="59">
        <v>0.14000000000000001</v>
      </c>
      <c r="D1950" s="59">
        <v>-0.19</v>
      </c>
      <c r="E1950" s="60">
        <f t="shared" si="30"/>
        <v>1.0499999999999998</v>
      </c>
      <c r="F1950" t="str" cm="1">
        <f t="array" ref="F1950">IF(A1950=MAX(IF(ROUND($B$2:$B$3722,4)=ROUND(B1950,4),$A$2:$A$3722)),"Efficient","Inefficient")</f>
        <v>Inefficient</v>
      </c>
      <c r="H1950" cm="1">
        <f t="array" ref="H1950">INDEX('Portfolio Weights Returns'!$B$9:$BJ$69,
INT((ROW(H1949)-1)/COLUMNS('Portfolio Weights Returns'!$B$9:$BJ$69))+1,MOD(ROW(H1949)-1,COLUMNS('Portfolio Weights Returns'!$B$9:$BJ$69))+1)</f>
        <v>-6.0464794531157071E-4</v>
      </c>
      <c r="I1950">
        <v>2.0299999999999999E-2</v>
      </c>
    </row>
    <row r="1951" spans="1:9" x14ac:dyDescent="0.25">
      <c r="A1951" cm="1">
        <f t="array" ref="A1951">INDEX('Portfolio Weights Returns'!$B$9:$BJ$69,
INT((ROW(A1950)-1)/COLUMNS('Portfolio Weights Returns'!$B$9:$BJ$69))+1,MOD(ROW(A1950)-1,COLUMNS('Portfolio Weights Returns'!$B$9:$BJ$69))+1)</f>
        <v>-5.9786677134489156E-4</v>
      </c>
      <c r="B1951">
        <v>2.0299999999999999E-2</v>
      </c>
      <c r="C1951" s="59">
        <v>0.13</v>
      </c>
      <c r="D1951" s="59">
        <v>-0.18</v>
      </c>
      <c r="E1951" s="60">
        <f t="shared" si="30"/>
        <v>1.0499999999999998</v>
      </c>
      <c r="F1951" t="str" cm="1">
        <f t="array" ref="F1951">IF(A1951=MAX(IF(ROUND($B$2:$B$3722,4)=ROUND(B1951,4),$A$2:$A$3722)),"Efficient","Inefficient")</f>
        <v>Inefficient</v>
      </c>
    </row>
    <row r="1952" spans="1:9" x14ac:dyDescent="0.25">
      <c r="A1952" cm="1">
        <f t="array" ref="A1952">INDEX('Portfolio Weights Returns'!$B$9:$BJ$69,
INT((ROW(A1951)-1)/COLUMNS('Portfolio Weights Returns'!$B$9:$BJ$69))+1,MOD(ROW(A1951)-1,COLUMNS('Portfolio Weights Returns'!$B$9:$BJ$69))+1)</f>
        <v>-5.9108559737821253E-4</v>
      </c>
      <c r="B1952">
        <v>2.0299999999999999E-2</v>
      </c>
      <c r="C1952" s="59">
        <v>0.11</v>
      </c>
      <c r="D1952" s="59">
        <v>-0.17</v>
      </c>
      <c r="E1952" s="60">
        <f t="shared" si="30"/>
        <v>1.0599999999999998</v>
      </c>
      <c r="F1952" t="str" cm="1">
        <f t="array" ref="F1952">IF(A1952=MAX(IF(ROUND($B$2:$B$3722,4)=ROUND(B1952,4),$A$2:$A$3722)),"Efficient","Inefficient")</f>
        <v>Inefficient</v>
      </c>
    </row>
    <row r="1953" spans="1:6" x14ac:dyDescent="0.25">
      <c r="A1953" cm="1">
        <f t="array" ref="A1953">INDEX('Portfolio Weights Returns'!$B$9:$BJ$69,
INT((ROW(A1952)-1)/COLUMNS('Portfolio Weights Returns'!$B$9:$BJ$69))+1,MOD(ROW(A1952)-1,COLUMNS('Portfolio Weights Returns'!$B$9:$BJ$69))+1)</f>
        <v>-5.8430442341153349E-4</v>
      </c>
      <c r="B1953">
        <v>2.0299999999999999E-2</v>
      </c>
      <c r="C1953" s="59">
        <v>0.1</v>
      </c>
      <c r="D1953" s="59">
        <v>-0.16</v>
      </c>
      <c r="E1953" s="60">
        <f t="shared" si="30"/>
        <v>1.0599999999999998</v>
      </c>
      <c r="F1953" t="str" cm="1">
        <f t="array" ref="F1953">IF(A1953=MAX(IF(ROUND($B$2:$B$3722,4)=ROUND(B1953,4),$A$2:$A$3722)),"Efficient","Inefficient")</f>
        <v>Efficient</v>
      </c>
    </row>
    <row r="1954" spans="1:6" x14ac:dyDescent="0.25">
      <c r="A1954" cm="1">
        <f t="array" ref="A1954">INDEX('Portfolio Weights Returns'!$B$9:$BJ$69,
INT((ROW(A1953)-1)/COLUMNS('Portfolio Weights Returns'!$B$9:$BJ$69))+1,MOD(ROW(A1953)-1,COLUMNS('Portfolio Weights Returns'!$B$9:$BJ$69))+1)</f>
        <v>-9.846006535668252E-4</v>
      </c>
      <c r="B1954">
        <v>2.0299999999999999E-2</v>
      </c>
      <c r="C1954" s="59">
        <v>7.0000000000000007E-2</v>
      </c>
      <c r="D1954" s="59">
        <v>-0.14000000000000001</v>
      </c>
      <c r="E1954" s="60">
        <f t="shared" si="30"/>
        <v>1.07</v>
      </c>
      <c r="F1954" t="str" cm="1">
        <f t="array" ref="F1954">IF(A1954=MAX(IF(ROUND($B$2:$B$3722,4)=ROUND(B1954,4),$A$2:$A$3722)),"Efficient","Inefficient")</f>
        <v>Inefficient</v>
      </c>
    </row>
    <row r="1955" spans="1:6" x14ac:dyDescent="0.25">
      <c r="A1955" cm="1">
        <f t="array" ref="A1955">INDEX('Portfolio Weights Returns'!$B$9:$BJ$69,
INT((ROW(A1954)-1)/COLUMNS('Portfolio Weights Returns'!$B$9:$BJ$69))+1,MOD(ROW(A1954)-1,COLUMNS('Portfolio Weights Returns'!$B$9:$BJ$69))+1)</f>
        <v>-9.7781947960014605E-4</v>
      </c>
      <c r="B1955">
        <v>2.0299999999999999E-2</v>
      </c>
      <c r="C1955" s="59">
        <v>0.06</v>
      </c>
      <c r="D1955" s="59">
        <v>-0.13</v>
      </c>
      <c r="E1955" s="60">
        <f t="shared" si="30"/>
        <v>1.0699999999999998</v>
      </c>
      <c r="F1955" t="str" cm="1">
        <f t="array" ref="F1955">IF(A1955=MAX(IF(ROUND($B$2:$B$3722,4)=ROUND(B1955,4),$A$2:$A$3722)),"Efficient","Inefficient")</f>
        <v>Inefficient</v>
      </c>
    </row>
    <row r="1956" spans="1:6" x14ac:dyDescent="0.25">
      <c r="A1956" cm="1">
        <f t="array" ref="A1956">INDEX('Portfolio Weights Returns'!$B$9:$BJ$69,
INT((ROW(A1955)-1)/COLUMNS('Portfolio Weights Returns'!$B$9:$BJ$69))+1,MOD(ROW(A1955)-1,COLUMNS('Portfolio Weights Returns'!$B$9:$BJ$69))+1)</f>
        <v>-9.7103830563346691E-4</v>
      </c>
      <c r="B1956">
        <v>2.0299999999999999E-2</v>
      </c>
      <c r="C1956" s="59">
        <v>0.03</v>
      </c>
      <c r="D1956" s="59">
        <v>-0.11</v>
      </c>
      <c r="E1956" s="60">
        <f t="shared" si="30"/>
        <v>1.08</v>
      </c>
      <c r="F1956" t="str" cm="1">
        <f t="array" ref="F1956">IF(A1956=MAX(IF(ROUND($B$2:$B$3722,4)=ROUND(B1956,4),$A$2:$A$3722)),"Efficient","Inefficient")</f>
        <v>Inefficient</v>
      </c>
    </row>
    <row r="1957" spans="1:6" x14ac:dyDescent="0.25">
      <c r="A1957" cm="1">
        <f t="array" ref="A1957">INDEX('Portfolio Weights Returns'!$B$9:$BJ$69,
INT((ROW(A1956)-1)/COLUMNS('Portfolio Weights Returns'!$B$9:$BJ$69))+1,MOD(ROW(A1956)-1,COLUMNS('Portfolio Weights Returns'!$B$9:$BJ$69))+1)</f>
        <v>-9.6425713166678787E-4</v>
      </c>
      <c r="B1957">
        <v>2.0299999999999999E-2</v>
      </c>
      <c r="C1957" s="59">
        <v>0.02</v>
      </c>
      <c r="D1957" s="59">
        <v>-0.1</v>
      </c>
      <c r="E1957" s="60">
        <f t="shared" si="30"/>
        <v>1.08</v>
      </c>
      <c r="F1957" t="str" cm="1">
        <f t="array" ref="F1957">IF(A1957=MAX(IF(ROUND($B$2:$B$3722,4)=ROUND(B1957,4),$A$2:$A$3722)),"Efficient","Inefficient")</f>
        <v>Inefficient</v>
      </c>
    </row>
    <row r="1958" spans="1:6" x14ac:dyDescent="0.25">
      <c r="A1958" cm="1">
        <f t="array" ref="A1958">INDEX('Portfolio Weights Returns'!$B$9:$BJ$69,
INT((ROW(A1957)-1)/COLUMNS('Portfolio Weights Returns'!$B$9:$BJ$69))+1,MOD(ROW(A1957)-1,COLUMNS('Portfolio Weights Returns'!$B$9:$BJ$69))+1)</f>
        <v>-9.5747595770010873E-4</v>
      </c>
      <c r="B1958">
        <v>2.0299999999999999E-2</v>
      </c>
      <c r="C1958" s="59">
        <v>0.01</v>
      </c>
      <c r="D1958" s="59">
        <v>-0.09</v>
      </c>
      <c r="E1958" s="60">
        <f t="shared" si="30"/>
        <v>1.08</v>
      </c>
      <c r="F1958" t="str" cm="1">
        <f t="array" ref="F1958">IF(A1958=MAX(IF(ROUND($B$2:$B$3722,4)=ROUND(B1958,4),$A$2:$A$3722)),"Efficient","Inefficient")</f>
        <v>Inefficient</v>
      </c>
    </row>
    <row r="1959" spans="1:6" x14ac:dyDescent="0.25">
      <c r="A1959" cm="1">
        <f t="array" ref="A1959">INDEX('Portfolio Weights Returns'!$B$9:$BJ$69,
INT((ROW(A1958)-1)/COLUMNS('Portfolio Weights Returns'!$B$9:$BJ$69))+1,MOD(ROW(A1958)-1,COLUMNS('Portfolio Weights Returns'!$B$9:$BJ$69))+1)</f>
        <v>-9.5069478373342969E-4</v>
      </c>
      <c r="B1959">
        <v>2.0299999999999999E-2</v>
      </c>
      <c r="C1959" s="59">
        <v>0</v>
      </c>
      <c r="D1959" s="59">
        <v>-0.08</v>
      </c>
      <c r="E1959" s="60">
        <f t="shared" si="30"/>
        <v>1.08</v>
      </c>
      <c r="F1959" t="str" cm="1">
        <f t="array" ref="F1959">IF(A1959=MAX(IF(ROUND($B$2:$B$3722,4)=ROUND(B1959,4),$A$2:$A$3722)),"Efficient","Inefficient")</f>
        <v>Inefficient</v>
      </c>
    </row>
    <row r="1960" spans="1:6" x14ac:dyDescent="0.25">
      <c r="A1960" cm="1">
        <f t="array" ref="A1960">INDEX('Portfolio Weights Returns'!$B$9:$BJ$69,
INT((ROW(A1959)-1)/COLUMNS('Portfolio Weights Returns'!$B$9:$BJ$69))+1,MOD(ROW(A1959)-1,COLUMNS('Portfolio Weights Returns'!$B$9:$BJ$69))+1)</f>
        <v>-9.4391360976675055E-4</v>
      </c>
      <c r="B1960">
        <v>2.0299999999999999E-2</v>
      </c>
      <c r="C1960" s="59">
        <v>-0.01</v>
      </c>
      <c r="D1960" s="59">
        <v>-7.0000000000000007E-2</v>
      </c>
      <c r="E1960" s="60">
        <f t="shared" si="30"/>
        <v>1.08</v>
      </c>
      <c r="F1960" t="str" cm="1">
        <f t="array" ref="F1960">IF(A1960=MAX(IF(ROUND($B$2:$B$3722,4)=ROUND(B1960,4),$A$2:$A$3722)),"Efficient","Inefficient")</f>
        <v>Inefficient</v>
      </c>
    </row>
    <row r="1961" spans="1:6" x14ac:dyDescent="0.25">
      <c r="A1961" cm="1">
        <f t="array" ref="A1961">INDEX('Portfolio Weights Returns'!$B$9:$BJ$69,
INT((ROW(A1960)-1)/COLUMNS('Portfolio Weights Returns'!$B$9:$BJ$69))+1,MOD(ROW(A1960)-1,COLUMNS('Portfolio Weights Returns'!$B$9:$BJ$69))+1)</f>
        <v>-9.3713243580007129E-4</v>
      </c>
      <c r="B1961">
        <v>2.0299999999999999E-2</v>
      </c>
      <c r="C1961" s="59">
        <v>-0.02</v>
      </c>
      <c r="D1961" s="59">
        <v>-0.06</v>
      </c>
      <c r="E1961" s="60">
        <f t="shared" si="30"/>
        <v>1.08</v>
      </c>
      <c r="F1961" t="str" cm="1">
        <f t="array" ref="F1961">IF(A1961=MAX(IF(ROUND($B$2:$B$3722,4)=ROUND(B1961,4),$A$2:$A$3722)),"Efficient","Inefficient")</f>
        <v>Inefficient</v>
      </c>
    </row>
    <row r="1962" spans="1:6" x14ac:dyDescent="0.25">
      <c r="A1962" cm="1">
        <f t="array" ref="A1962">INDEX('Portfolio Weights Returns'!$B$9:$BJ$69,
INT((ROW(A1961)-1)/COLUMNS('Portfolio Weights Returns'!$B$9:$BJ$69))+1,MOD(ROW(A1961)-1,COLUMNS('Portfolio Weights Returns'!$B$9:$BJ$69))+1)</f>
        <v>-9.3035126183339226E-4</v>
      </c>
      <c r="B1962">
        <v>2.0299999999999999E-2</v>
      </c>
      <c r="C1962" s="59">
        <v>-0.03</v>
      </c>
      <c r="D1962" s="59">
        <v>-0.05</v>
      </c>
      <c r="E1962" s="60">
        <f t="shared" si="30"/>
        <v>1.08</v>
      </c>
      <c r="F1962" t="str" cm="1">
        <f t="array" ref="F1962">IF(A1962=MAX(IF(ROUND($B$2:$B$3722,4)=ROUND(B1962,4),$A$2:$A$3722)),"Efficient","Inefficient")</f>
        <v>Inefficient</v>
      </c>
    </row>
    <row r="1963" spans="1:6" x14ac:dyDescent="0.25">
      <c r="A1963" cm="1">
        <f t="array" ref="A1963">INDEX('Portfolio Weights Returns'!$B$9:$BJ$69,
INT((ROW(A1962)-1)/COLUMNS('Portfolio Weights Returns'!$B$9:$BJ$69))+1,MOD(ROW(A1962)-1,COLUMNS('Portfolio Weights Returns'!$B$9:$BJ$69))+1)</f>
        <v>-9.2357008786671311E-4</v>
      </c>
      <c r="B1963">
        <v>2.0299999999999999E-2</v>
      </c>
      <c r="C1963" s="59">
        <v>-0.04</v>
      </c>
      <c r="D1963" s="59">
        <v>-0.04</v>
      </c>
      <c r="E1963" s="60">
        <f t="shared" si="30"/>
        <v>1.08</v>
      </c>
      <c r="F1963" t="str" cm="1">
        <f t="array" ref="F1963">IF(A1963=MAX(IF(ROUND($B$2:$B$3722,4)=ROUND(B1963,4),$A$2:$A$3722)),"Efficient","Inefficient")</f>
        <v>Inefficient</v>
      </c>
    </row>
    <row r="1964" spans="1:6" x14ac:dyDescent="0.25">
      <c r="A1964" cm="1">
        <f t="array" ref="A1964">INDEX('Portfolio Weights Returns'!$B$9:$BJ$69,
INT((ROW(A1963)-1)/COLUMNS('Portfolio Weights Returns'!$B$9:$BJ$69))+1,MOD(ROW(A1963)-1,COLUMNS('Portfolio Weights Returns'!$B$9:$BJ$69))+1)</f>
        <v>-9.1678891390003408E-4</v>
      </c>
      <c r="B1964">
        <v>2.0299999999999999E-2</v>
      </c>
      <c r="C1964" s="59">
        <v>-0.05</v>
      </c>
      <c r="D1964" s="59">
        <v>-0.03</v>
      </c>
      <c r="E1964" s="60">
        <f t="shared" si="30"/>
        <v>1.08</v>
      </c>
      <c r="F1964" t="str" cm="1">
        <f t="array" ref="F1964">IF(A1964=MAX(IF(ROUND($B$2:$B$3722,4)=ROUND(B1964,4),$A$2:$A$3722)),"Efficient","Inefficient")</f>
        <v>Inefficient</v>
      </c>
    </row>
    <row r="1965" spans="1:6" x14ac:dyDescent="0.25">
      <c r="A1965" cm="1">
        <f t="array" ref="A1965">INDEX('Portfolio Weights Returns'!$B$9:$BJ$69,
INT((ROW(A1964)-1)/COLUMNS('Portfolio Weights Returns'!$B$9:$BJ$69))+1,MOD(ROW(A1964)-1,COLUMNS('Portfolio Weights Returns'!$B$9:$BJ$69))+1)</f>
        <v>-9.1000773993335493E-4</v>
      </c>
      <c r="B1965">
        <v>2.0299999999999999E-2</v>
      </c>
      <c r="C1965" s="59">
        <v>-0.06</v>
      </c>
      <c r="D1965" s="59">
        <v>-0.02</v>
      </c>
      <c r="E1965" s="60">
        <f t="shared" si="30"/>
        <v>1.08</v>
      </c>
      <c r="F1965" t="str" cm="1">
        <f t="array" ref="F1965">IF(A1965=MAX(IF(ROUND($B$2:$B$3722,4)=ROUND(B1965,4),$A$2:$A$3722)),"Efficient","Inefficient")</f>
        <v>Inefficient</v>
      </c>
    </row>
    <row r="1966" spans="1:6" x14ac:dyDescent="0.25">
      <c r="A1966" cm="1">
        <f t="array" ref="A1966">INDEX('Portfolio Weights Returns'!$B$9:$BJ$69,
INT((ROW(A1965)-1)/COLUMNS('Portfolio Weights Returns'!$B$9:$BJ$69))+1,MOD(ROW(A1965)-1,COLUMNS('Portfolio Weights Returns'!$B$9:$BJ$69))+1)</f>
        <v>-9.032265659666759E-4</v>
      </c>
      <c r="B1966">
        <v>2.0299999999999999E-2</v>
      </c>
      <c r="C1966" s="59">
        <v>-7.0000000000000007E-2</v>
      </c>
      <c r="D1966" s="59">
        <v>-0.01</v>
      </c>
      <c r="E1966" s="60">
        <f t="shared" si="30"/>
        <v>1.08</v>
      </c>
      <c r="F1966" t="str" cm="1">
        <f t="array" ref="F1966">IF(A1966=MAX(IF(ROUND($B$2:$B$3722,4)=ROUND(B1966,4),$A$2:$A$3722)),"Efficient","Inefficient")</f>
        <v>Inefficient</v>
      </c>
    </row>
    <row r="1967" spans="1:6" x14ac:dyDescent="0.25">
      <c r="A1967" cm="1">
        <f t="array" ref="A1967">INDEX('Portfolio Weights Returns'!$B$9:$BJ$69,
INT((ROW(A1966)-1)/COLUMNS('Portfolio Weights Returns'!$B$9:$BJ$69))+1,MOD(ROW(A1966)-1,COLUMNS('Portfolio Weights Returns'!$B$9:$BJ$69))+1)</f>
        <v>-8.9644539199999675E-4</v>
      </c>
      <c r="B1967">
        <v>2.0299999999999999E-2</v>
      </c>
      <c r="C1967" s="59">
        <v>-0.08</v>
      </c>
      <c r="D1967" s="59">
        <v>0</v>
      </c>
      <c r="E1967" s="60">
        <f t="shared" si="30"/>
        <v>1.08</v>
      </c>
      <c r="F1967" t="str" cm="1">
        <f t="array" ref="F1967">IF(A1967=MAX(IF(ROUND($B$2:$B$3722,4)=ROUND(B1967,4),$A$2:$A$3722)),"Efficient","Inefficient")</f>
        <v>Inefficient</v>
      </c>
    </row>
    <row r="1968" spans="1:6" x14ac:dyDescent="0.25">
      <c r="A1968" cm="1">
        <f t="array" ref="A1968">INDEX('Portfolio Weights Returns'!$B$9:$BJ$69,
INT((ROW(A1967)-1)/COLUMNS('Portfolio Weights Returns'!$B$9:$BJ$69))+1,MOD(ROW(A1967)-1,COLUMNS('Portfolio Weights Returns'!$B$9:$BJ$69))+1)</f>
        <v>-8.8966421803331761E-4</v>
      </c>
      <c r="B1968">
        <v>2.0299999999999999E-2</v>
      </c>
      <c r="C1968" s="59">
        <v>-0.09</v>
      </c>
      <c r="D1968" s="59">
        <v>0.02</v>
      </c>
      <c r="E1968" s="60">
        <f t="shared" si="30"/>
        <v>1.07</v>
      </c>
      <c r="F1968" t="str" cm="1">
        <f t="array" ref="F1968">IF(A1968=MAX(IF(ROUND($B$2:$B$3722,4)=ROUND(B1968,4),$A$2:$A$3722)),"Efficient","Inefficient")</f>
        <v>Inefficient</v>
      </c>
    </row>
    <row r="1969" spans="1:6" x14ac:dyDescent="0.25">
      <c r="A1969" cm="1">
        <f t="array" ref="A1969">INDEX('Portfolio Weights Returns'!$B$9:$BJ$69,
INT((ROW(A1968)-1)/COLUMNS('Portfolio Weights Returns'!$B$9:$BJ$69))+1,MOD(ROW(A1968)-1,COLUMNS('Portfolio Weights Returns'!$B$9:$BJ$69))+1)</f>
        <v>-8.8288304406663846E-4</v>
      </c>
      <c r="B1969">
        <v>2.0299999999999999E-2</v>
      </c>
      <c r="C1969" s="59">
        <v>-0.1</v>
      </c>
      <c r="D1969" s="59">
        <v>0.03</v>
      </c>
      <c r="E1969" s="60">
        <f t="shared" si="30"/>
        <v>1.07</v>
      </c>
      <c r="F1969" t="str" cm="1">
        <f t="array" ref="F1969">IF(A1969=MAX(IF(ROUND($B$2:$B$3722,4)=ROUND(B1969,4),$A$2:$A$3722)),"Efficient","Inefficient")</f>
        <v>Inefficient</v>
      </c>
    </row>
    <row r="1970" spans="1:6" x14ac:dyDescent="0.25">
      <c r="A1970" cm="1">
        <f t="array" ref="A1970">INDEX('Portfolio Weights Returns'!$B$9:$BJ$69,
INT((ROW(A1969)-1)/COLUMNS('Portfolio Weights Returns'!$B$9:$BJ$69))+1,MOD(ROW(A1969)-1,COLUMNS('Portfolio Weights Returns'!$B$9:$BJ$69))+1)</f>
        <v>-8.7610187009995954E-4</v>
      </c>
      <c r="B1970">
        <v>2.0299999999999999E-2</v>
      </c>
      <c r="C1970" s="59">
        <v>-0.11</v>
      </c>
      <c r="D1970" s="59">
        <v>0.04</v>
      </c>
      <c r="E1970" s="60">
        <f t="shared" si="30"/>
        <v>1.07</v>
      </c>
      <c r="F1970" t="str" cm="1">
        <f t="array" ref="F1970">IF(A1970=MAX(IF(ROUND($B$2:$B$3722,4)=ROUND(B1970,4),$A$2:$A$3722)),"Efficient","Inefficient")</f>
        <v>Inefficient</v>
      </c>
    </row>
    <row r="1971" spans="1:6" x14ac:dyDescent="0.25">
      <c r="A1971" cm="1">
        <f t="array" ref="A1971">INDEX('Portfolio Weights Returns'!$B$9:$BJ$69,
INT((ROW(A1970)-1)/COLUMNS('Portfolio Weights Returns'!$B$9:$BJ$69))+1,MOD(ROW(A1970)-1,COLUMNS('Portfolio Weights Returns'!$B$9:$BJ$69))+1)</f>
        <v>-8.6932069613328028E-4</v>
      </c>
      <c r="B1971">
        <v>2.0299999999999999E-2</v>
      </c>
      <c r="C1971" s="59">
        <v>-0.11</v>
      </c>
      <c r="D1971" s="59">
        <v>0.05</v>
      </c>
      <c r="E1971" s="60">
        <f t="shared" si="30"/>
        <v>1.06</v>
      </c>
      <c r="F1971" t="str" cm="1">
        <f t="array" ref="F1971">IF(A1971=MAX(IF(ROUND($B$2:$B$3722,4)=ROUND(B1971,4),$A$2:$A$3722)),"Efficient","Inefficient")</f>
        <v>Inefficient</v>
      </c>
    </row>
    <row r="1972" spans="1:6" x14ac:dyDescent="0.25">
      <c r="A1972" cm="1">
        <f t="array" ref="A1972">INDEX('Portfolio Weights Returns'!$B$9:$BJ$69,
INT((ROW(A1971)-1)/COLUMNS('Portfolio Weights Returns'!$B$9:$BJ$69))+1,MOD(ROW(A1971)-1,COLUMNS('Portfolio Weights Returns'!$B$9:$BJ$69))+1)</f>
        <v>-8.6253952216660125E-4</v>
      </c>
      <c r="B1972">
        <v>2.0299999999999999E-2</v>
      </c>
      <c r="C1972" s="59">
        <v>-0.12</v>
      </c>
      <c r="D1972" s="59">
        <v>0.06</v>
      </c>
      <c r="E1972" s="60">
        <f t="shared" si="30"/>
        <v>1.06</v>
      </c>
      <c r="F1972" t="str" cm="1">
        <f t="array" ref="F1972">IF(A1972=MAX(IF(ROUND($B$2:$B$3722,4)=ROUND(B1972,4),$A$2:$A$3722)),"Efficient","Inefficient")</f>
        <v>Inefficient</v>
      </c>
    </row>
    <row r="1973" spans="1:6" x14ac:dyDescent="0.25">
      <c r="A1973" cm="1">
        <f t="array" ref="A1973">INDEX('Portfolio Weights Returns'!$B$9:$BJ$69,
INT((ROW(A1972)-1)/COLUMNS('Portfolio Weights Returns'!$B$9:$BJ$69))+1,MOD(ROW(A1972)-1,COLUMNS('Portfolio Weights Returns'!$B$9:$BJ$69))+1)</f>
        <v>-8.5575834819992221E-4</v>
      </c>
      <c r="B1973">
        <v>2.0299999999999999E-2</v>
      </c>
      <c r="C1973" s="59">
        <v>-0.13</v>
      </c>
      <c r="D1973" s="59">
        <v>0.08</v>
      </c>
      <c r="E1973" s="60">
        <f t="shared" si="30"/>
        <v>1.05</v>
      </c>
      <c r="F1973" t="str" cm="1">
        <f t="array" ref="F1973">IF(A1973=MAX(IF(ROUND($B$2:$B$3722,4)=ROUND(B1973,4),$A$2:$A$3722)),"Efficient","Inefficient")</f>
        <v>Inefficient</v>
      </c>
    </row>
    <row r="1974" spans="1:6" x14ac:dyDescent="0.25">
      <c r="A1974" cm="1">
        <f t="array" ref="A1974">INDEX('Portfolio Weights Returns'!$B$9:$BJ$69,
INT((ROW(A1973)-1)/COLUMNS('Portfolio Weights Returns'!$B$9:$BJ$69))+1,MOD(ROW(A1973)-1,COLUMNS('Portfolio Weights Returns'!$B$9:$BJ$69))+1)</f>
        <v>-8.4897717423324307E-4</v>
      </c>
      <c r="B1974">
        <v>2.0299999999999999E-2</v>
      </c>
      <c r="C1974" s="59">
        <v>-0.14000000000000001</v>
      </c>
      <c r="D1974" s="59">
        <v>0.1</v>
      </c>
      <c r="E1974" s="60">
        <f t="shared" si="30"/>
        <v>1.04</v>
      </c>
      <c r="F1974" t="str" cm="1">
        <f t="array" ref="F1974">IF(A1974=MAX(IF(ROUND($B$2:$B$3722,4)=ROUND(B1974,4),$A$2:$A$3722)),"Efficient","Inefficient")</f>
        <v>Inefficient</v>
      </c>
    </row>
    <row r="1975" spans="1:6" x14ac:dyDescent="0.25">
      <c r="A1975" cm="1">
        <f t="array" ref="A1975">INDEX('Portfolio Weights Returns'!$B$9:$BJ$69,
INT((ROW(A1974)-1)/COLUMNS('Portfolio Weights Returns'!$B$9:$BJ$69))+1,MOD(ROW(A1974)-1,COLUMNS('Portfolio Weights Returns'!$B$9:$BJ$69))+1)</f>
        <v>-8.4219600026656403E-4</v>
      </c>
      <c r="B1975">
        <v>2.0299999999999999E-2</v>
      </c>
      <c r="C1975" s="59">
        <v>-0.15</v>
      </c>
      <c r="D1975" s="59">
        <v>0.12</v>
      </c>
      <c r="E1975" s="60">
        <f t="shared" si="30"/>
        <v>1.03</v>
      </c>
      <c r="F1975" t="str" cm="1">
        <f t="array" ref="F1975">IF(A1975=MAX(IF(ROUND($B$2:$B$3722,4)=ROUND(B1975,4),$A$2:$A$3722)),"Efficient","Inefficient")</f>
        <v>Inefficient</v>
      </c>
    </row>
    <row r="1976" spans="1:6" x14ac:dyDescent="0.25">
      <c r="A1976" cm="1">
        <f t="array" ref="A1976">INDEX('Portfolio Weights Returns'!$B$9:$BJ$69,
INT((ROW(A1975)-1)/COLUMNS('Portfolio Weights Returns'!$B$9:$BJ$69))+1,MOD(ROW(A1975)-1,COLUMNS('Portfolio Weights Returns'!$B$9:$BJ$69))+1)</f>
        <v>-8.3541482629988489E-4</v>
      </c>
      <c r="B1976">
        <v>2.0299999999999999E-2</v>
      </c>
      <c r="C1976" s="59">
        <v>-0.15</v>
      </c>
      <c r="D1976" s="59">
        <v>0.13</v>
      </c>
      <c r="E1976" s="60">
        <f t="shared" si="30"/>
        <v>1.02</v>
      </c>
      <c r="F1976" t="str" cm="1">
        <f t="array" ref="F1976">IF(A1976=MAX(IF(ROUND($B$2:$B$3722,4)=ROUND(B1976,4),$A$2:$A$3722)),"Efficient","Inefficient")</f>
        <v>Inefficient</v>
      </c>
    </row>
    <row r="1977" spans="1:6" x14ac:dyDescent="0.25">
      <c r="A1977" cm="1">
        <f t="array" ref="A1977">INDEX('Portfolio Weights Returns'!$B$9:$BJ$69,
INT((ROW(A1976)-1)/COLUMNS('Portfolio Weights Returns'!$B$9:$BJ$69))+1,MOD(ROW(A1976)-1,COLUMNS('Portfolio Weights Returns'!$B$9:$BJ$69))+1)</f>
        <v>-8.2863365233320585E-4</v>
      </c>
      <c r="B1977">
        <v>2.0299999999999999E-2</v>
      </c>
      <c r="C1977" s="59">
        <v>-0.15</v>
      </c>
      <c r="D1977" s="59">
        <v>0.14000000000000001</v>
      </c>
      <c r="E1977" s="60">
        <f t="shared" si="30"/>
        <v>1.01</v>
      </c>
      <c r="F1977" t="str" cm="1">
        <f t="array" ref="F1977">IF(A1977=MAX(IF(ROUND($B$2:$B$3722,4)=ROUND(B1977,4),$A$2:$A$3722)),"Efficient","Inefficient")</f>
        <v>Inefficient</v>
      </c>
    </row>
    <row r="1978" spans="1:6" x14ac:dyDescent="0.25">
      <c r="A1978" cm="1">
        <f t="array" ref="A1978">INDEX('Portfolio Weights Returns'!$B$9:$BJ$69,
INT((ROW(A1977)-1)/COLUMNS('Portfolio Weights Returns'!$B$9:$BJ$69))+1,MOD(ROW(A1977)-1,COLUMNS('Portfolio Weights Returns'!$B$9:$BJ$69))+1)</f>
        <v>-8.2185247836652671E-4</v>
      </c>
      <c r="B1978">
        <v>2.0299999999999999E-2</v>
      </c>
      <c r="C1978" s="59">
        <v>-0.16</v>
      </c>
      <c r="D1978" s="59">
        <v>0.16</v>
      </c>
      <c r="E1978" s="60">
        <f t="shared" si="30"/>
        <v>1</v>
      </c>
      <c r="F1978" t="str" cm="1">
        <f t="array" ref="F1978">IF(A1978=MAX(IF(ROUND($B$2:$B$3722,4)=ROUND(B1978,4),$A$2:$A$3722)),"Efficient","Inefficient")</f>
        <v>Inefficient</v>
      </c>
    </row>
    <row r="1979" spans="1:6" x14ac:dyDescent="0.25">
      <c r="A1979" cm="1">
        <f t="array" ref="A1979">INDEX('Portfolio Weights Returns'!$B$9:$BJ$69,
INT((ROW(A1978)-1)/COLUMNS('Portfolio Weights Returns'!$B$9:$BJ$69))+1,MOD(ROW(A1978)-1,COLUMNS('Portfolio Weights Returns'!$B$9:$BJ$69))+1)</f>
        <v>-8.1507130439984756E-4</v>
      </c>
      <c r="B1979">
        <v>2.0299999999999999E-2</v>
      </c>
      <c r="C1979" s="59">
        <v>-0.16</v>
      </c>
      <c r="D1979" s="59">
        <v>0.17</v>
      </c>
      <c r="E1979" s="60">
        <f t="shared" si="30"/>
        <v>0.99</v>
      </c>
      <c r="F1979" t="str" cm="1">
        <f t="array" ref="F1979">IF(A1979=MAX(IF(ROUND($B$2:$B$3722,4)=ROUND(B1979,4),$A$2:$A$3722)),"Efficient","Inefficient")</f>
        <v>Inefficient</v>
      </c>
    </row>
    <row r="1980" spans="1:6" x14ac:dyDescent="0.25">
      <c r="A1980" cm="1">
        <f t="array" ref="A1980">INDEX('Portfolio Weights Returns'!$B$9:$BJ$69,
INT((ROW(A1979)-1)/COLUMNS('Portfolio Weights Returns'!$B$9:$BJ$69))+1,MOD(ROW(A1979)-1,COLUMNS('Portfolio Weights Returns'!$B$9:$BJ$69))+1)</f>
        <v>-8.0829013043316842E-4</v>
      </c>
      <c r="B1980">
        <v>2.0299999999999999E-2</v>
      </c>
      <c r="C1980" s="59">
        <v>-0.16</v>
      </c>
      <c r="D1980" s="59">
        <v>0.18</v>
      </c>
      <c r="E1980" s="60">
        <f t="shared" si="30"/>
        <v>0.98000000000000009</v>
      </c>
      <c r="F1980" t="str" cm="1">
        <f t="array" ref="F1980">IF(A1980=MAX(IF(ROUND($B$2:$B$3722,4)=ROUND(B1980,4),$A$2:$A$3722)),"Efficient","Inefficient")</f>
        <v>Inefficient</v>
      </c>
    </row>
    <row r="1981" spans="1:6" x14ac:dyDescent="0.25">
      <c r="A1981" cm="1">
        <f t="array" ref="A1981">INDEX('Portfolio Weights Returns'!$B$9:$BJ$69,
INT((ROW(A1980)-1)/COLUMNS('Portfolio Weights Returns'!$B$9:$BJ$69))+1,MOD(ROW(A1980)-1,COLUMNS('Portfolio Weights Returns'!$B$9:$BJ$69))+1)</f>
        <v>-8.0150895646648927E-4</v>
      </c>
      <c r="B1981">
        <v>2.0299999999999999E-2</v>
      </c>
      <c r="C1981" s="59">
        <v>-0.16</v>
      </c>
      <c r="D1981" s="59">
        <v>0.19</v>
      </c>
      <c r="E1981" s="60">
        <f t="shared" si="30"/>
        <v>0.97000000000000008</v>
      </c>
      <c r="F1981" t="str" cm="1">
        <f t="array" ref="F1981">IF(A1981=MAX(IF(ROUND($B$2:$B$3722,4)=ROUND(B1981,4),$A$2:$A$3722)),"Efficient","Inefficient")</f>
        <v>Inefficient</v>
      </c>
    </row>
    <row r="1982" spans="1:6" x14ac:dyDescent="0.25">
      <c r="A1982" cm="1">
        <f t="array" ref="A1982">INDEX('Portfolio Weights Returns'!$B$9:$BJ$69,
INT((ROW(A1981)-1)/COLUMNS('Portfolio Weights Returns'!$B$9:$BJ$69))+1,MOD(ROW(A1981)-1,COLUMNS('Portfolio Weights Returns'!$B$9:$BJ$69))+1)</f>
        <v>-7.9472778249981024E-4</v>
      </c>
      <c r="B1982">
        <v>2.0299999999999999E-2</v>
      </c>
      <c r="C1982" s="59">
        <v>-0.16</v>
      </c>
      <c r="D1982" s="59">
        <v>0.2</v>
      </c>
      <c r="E1982" s="60">
        <f t="shared" si="30"/>
        <v>0.96000000000000008</v>
      </c>
      <c r="F1982" t="str" cm="1">
        <f t="array" ref="F1982">IF(A1982=MAX(IF(ROUND($B$2:$B$3722,4)=ROUND(B1982,4),$A$2:$A$3722)),"Efficient","Inefficient")</f>
        <v>Inefficient</v>
      </c>
    </row>
    <row r="1983" spans="1:6" x14ac:dyDescent="0.25">
      <c r="A1983" cm="1">
        <f t="array" ref="A1983">INDEX('Portfolio Weights Returns'!$B$9:$BJ$69,
INT((ROW(A1982)-1)/COLUMNS('Portfolio Weights Returns'!$B$9:$BJ$69))+1,MOD(ROW(A1982)-1,COLUMNS('Portfolio Weights Returns'!$B$9:$BJ$69))+1)</f>
        <v>-7.8794660853313109E-4</v>
      </c>
      <c r="B1983">
        <v>2.0299999999999999E-2</v>
      </c>
      <c r="C1983" s="59">
        <v>-0.16</v>
      </c>
      <c r="D1983" s="59">
        <v>0.21</v>
      </c>
      <c r="E1983" s="60">
        <f t="shared" si="30"/>
        <v>0.95000000000000007</v>
      </c>
      <c r="F1983" t="str" cm="1">
        <f t="array" ref="F1983">IF(A1983=MAX(IF(ROUND($B$2:$B$3722,4)=ROUND(B1983,4),$A$2:$A$3722)),"Efficient","Inefficient")</f>
        <v>Inefficient</v>
      </c>
    </row>
    <row r="1984" spans="1:6" x14ac:dyDescent="0.25">
      <c r="A1984" cm="1">
        <f t="array" ref="A1984">INDEX('Portfolio Weights Returns'!$B$9:$BJ$69,
INT((ROW(A1983)-1)/COLUMNS('Portfolio Weights Returns'!$B$9:$BJ$69))+1,MOD(ROW(A1983)-1,COLUMNS('Portfolio Weights Returns'!$B$9:$BJ$69))+1)</f>
        <v>-7.8116543456645206E-4</v>
      </c>
      <c r="B1984">
        <v>2.0299999999999999E-2</v>
      </c>
      <c r="C1984" s="59">
        <v>-0.16</v>
      </c>
      <c r="D1984" s="59">
        <v>0.22</v>
      </c>
      <c r="E1984" s="60">
        <f t="shared" si="30"/>
        <v>0.94000000000000006</v>
      </c>
      <c r="F1984" t="str" cm="1">
        <f t="array" ref="F1984">IF(A1984=MAX(IF(ROUND($B$2:$B$3722,4)=ROUND(B1984,4),$A$2:$A$3722)),"Efficient","Inefficient")</f>
        <v>Inefficient</v>
      </c>
    </row>
    <row r="1985" spans="1:6" x14ac:dyDescent="0.25">
      <c r="A1985" cm="1">
        <f t="array" ref="A1985">INDEX('Portfolio Weights Returns'!$B$9:$BJ$69,
INT((ROW(A1984)-1)/COLUMNS('Portfolio Weights Returns'!$B$9:$BJ$69))+1,MOD(ROW(A1984)-1,COLUMNS('Portfolio Weights Returns'!$B$9:$BJ$69))+1)</f>
        <v>-7.7438426059977291E-4</v>
      </c>
      <c r="B1985">
        <v>2.0299999999999999E-2</v>
      </c>
      <c r="C1985" s="59">
        <v>-0.16</v>
      </c>
      <c r="D1985" s="59">
        <v>0.23</v>
      </c>
      <c r="E1985" s="60">
        <f t="shared" si="30"/>
        <v>0.93</v>
      </c>
      <c r="F1985" t="str" cm="1">
        <f t="array" ref="F1985">IF(A1985=MAX(IF(ROUND($B$2:$B$3722,4)=ROUND(B1985,4),$A$2:$A$3722)),"Efficient","Inefficient")</f>
        <v>Inefficient</v>
      </c>
    </row>
    <row r="1986" spans="1:6" x14ac:dyDescent="0.25">
      <c r="A1986" cm="1">
        <f t="array" ref="A1986">INDEX('Portfolio Weights Returns'!$B$9:$BJ$69,
INT((ROW(A1985)-1)/COLUMNS('Portfolio Weights Returns'!$B$9:$BJ$69))+1,MOD(ROW(A1985)-1,COLUMNS('Portfolio Weights Returns'!$B$9:$BJ$69))+1)</f>
        <v>-7.6760308663309377E-4</v>
      </c>
      <c r="B1986">
        <v>2.0299999999999999E-2</v>
      </c>
      <c r="C1986" s="59">
        <v>-0.15</v>
      </c>
      <c r="D1986" s="59">
        <v>0.25</v>
      </c>
      <c r="E1986" s="60">
        <f t="shared" ref="E1986:E2049" si="31">1-D1986-C1986</f>
        <v>0.9</v>
      </c>
      <c r="F1986" t="str" cm="1">
        <f t="array" ref="F1986">IF(A1986=MAX(IF(ROUND($B$2:$B$3722,4)=ROUND(B1986,4),$A$2:$A$3722)),"Efficient","Inefficient")</f>
        <v>Inefficient</v>
      </c>
    </row>
    <row r="1987" spans="1:6" x14ac:dyDescent="0.25">
      <c r="A1987" cm="1">
        <f t="array" ref="A1987">INDEX('Portfolio Weights Returns'!$B$9:$BJ$69,
INT((ROW(A1986)-1)/COLUMNS('Portfolio Weights Returns'!$B$9:$BJ$69))+1,MOD(ROW(A1986)-1,COLUMNS('Portfolio Weights Returns'!$B$9:$BJ$69))+1)</f>
        <v>-7.6082191266641462E-4</v>
      </c>
      <c r="B1987">
        <v>2.0299999999999999E-2</v>
      </c>
      <c r="C1987" s="59">
        <v>-0.15</v>
      </c>
      <c r="D1987" s="59">
        <v>0.26</v>
      </c>
      <c r="E1987" s="60">
        <f t="shared" si="31"/>
        <v>0.89</v>
      </c>
      <c r="F1987" t="str" cm="1">
        <f t="array" ref="F1987">IF(A1987=MAX(IF(ROUND($B$2:$B$3722,4)=ROUND(B1987,4),$A$2:$A$3722)),"Efficient","Inefficient")</f>
        <v>Inefficient</v>
      </c>
    </row>
    <row r="1988" spans="1:6" x14ac:dyDescent="0.25">
      <c r="A1988" cm="1">
        <f t="array" ref="A1988">INDEX('Portfolio Weights Returns'!$B$9:$BJ$69,
INT((ROW(A1987)-1)/COLUMNS('Portfolio Weights Returns'!$B$9:$BJ$69))+1,MOD(ROW(A1987)-1,COLUMNS('Portfolio Weights Returns'!$B$9:$BJ$69))+1)</f>
        <v>-7.5404073869973559E-4</v>
      </c>
      <c r="B1988">
        <v>2.0299999999999999E-2</v>
      </c>
      <c r="C1988" s="59">
        <v>-0.14000000000000001</v>
      </c>
      <c r="D1988" s="59">
        <v>0.28000000000000003</v>
      </c>
      <c r="E1988" s="60">
        <f t="shared" si="31"/>
        <v>0.86</v>
      </c>
      <c r="F1988" t="str" cm="1">
        <f t="array" ref="F1988">IF(A1988=MAX(IF(ROUND($B$2:$B$3722,4)=ROUND(B1988,4),$A$2:$A$3722)),"Efficient","Inefficient")</f>
        <v>Inefficient</v>
      </c>
    </row>
    <row r="1989" spans="1:6" x14ac:dyDescent="0.25">
      <c r="A1989" cm="1">
        <f t="array" ref="A1989">INDEX('Portfolio Weights Returns'!$B$9:$BJ$69,
INT((ROW(A1988)-1)/COLUMNS('Portfolio Weights Returns'!$B$9:$BJ$69))+1,MOD(ROW(A1988)-1,COLUMNS('Portfolio Weights Returns'!$B$9:$BJ$69))+1)</f>
        <v>-7.4725956473305644E-4</v>
      </c>
      <c r="B1989">
        <v>2.0299999999999999E-2</v>
      </c>
      <c r="C1989" s="59">
        <v>-0.13</v>
      </c>
      <c r="D1989" s="59">
        <v>0.28999999999999998</v>
      </c>
      <c r="E1989" s="60">
        <f t="shared" si="31"/>
        <v>0.84</v>
      </c>
      <c r="F1989" t="str" cm="1">
        <f t="array" ref="F1989">IF(A1989=MAX(IF(ROUND($B$2:$B$3722,4)=ROUND(B1989,4),$A$2:$A$3722)),"Efficient","Inefficient")</f>
        <v>Inefficient</v>
      </c>
    </row>
    <row r="1990" spans="1:6" x14ac:dyDescent="0.25">
      <c r="A1990" cm="1">
        <f t="array" ref="A1990">INDEX('Portfolio Weights Returns'!$B$9:$BJ$69,
INT((ROW(A1989)-1)/COLUMNS('Portfolio Weights Returns'!$B$9:$BJ$69))+1,MOD(ROW(A1989)-1,COLUMNS('Portfolio Weights Returns'!$B$9:$BJ$69))+1)</f>
        <v>-7.404783907663773E-4</v>
      </c>
      <c r="B1990">
        <v>2.0299999999999999E-2</v>
      </c>
      <c r="C1990" s="59">
        <v>-0.13</v>
      </c>
      <c r="D1990" s="59">
        <v>0.3</v>
      </c>
      <c r="E1990" s="60">
        <f t="shared" si="31"/>
        <v>0.83</v>
      </c>
      <c r="F1990" t="str" cm="1">
        <f t="array" ref="F1990">IF(A1990=MAX(IF(ROUND($B$2:$B$3722,4)=ROUND(B1990,4),$A$2:$A$3722)),"Efficient","Inefficient")</f>
        <v>Inefficient</v>
      </c>
    </row>
    <row r="1991" spans="1:6" x14ac:dyDescent="0.25">
      <c r="A1991" cm="1">
        <f t="array" ref="A1991">INDEX('Portfolio Weights Returns'!$B$9:$BJ$69,
INT((ROW(A1990)-1)/COLUMNS('Portfolio Weights Returns'!$B$9:$BJ$69))+1,MOD(ROW(A1990)-1,COLUMNS('Portfolio Weights Returns'!$B$9:$BJ$69))+1)</f>
        <v>-7.3369721679969826E-4</v>
      </c>
      <c r="B1991">
        <v>2.0400000000000001E-2</v>
      </c>
      <c r="C1991" s="59">
        <v>0.3</v>
      </c>
      <c r="D1991" s="59">
        <v>-0.28000000000000003</v>
      </c>
      <c r="E1991" s="60">
        <f t="shared" si="31"/>
        <v>0.98</v>
      </c>
      <c r="F1991" t="str" cm="1">
        <f t="array" ref="F1991">IF(A1991=MAX(IF(ROUND($B$2:$B$3722,4)=ROUND(B1991,4),$A$2:$A$3722)),"Efficient","Inefficient")</f>
        <v>Inefficient</v>
      </c>
    </row>
    <row r="1992" spans="1:6" x14ac:dyDescent="0.25">
      <c r="A1992" cm="1">
        <f t="array" ref="A1992">INDEX('Portfolio Weights Returns'!$B$9:$BJ$69,
INT((ROW(A1991)-1)/COLUMNS('Portfolio Weights Returns'!$B$9:$BJ$69))+1,MOD(ROW(A1991)-1,COLUMNS('Portfolio Weights Returns'!$B$9:$BJ$69))+1)</f>
        <v>-7.2691604283301912E-4</v>
      </c>
      <c r="B1992">
        <v>2.0400000000000001E-2</v>
      </c>
      <c r="C1992" s="59">
        <v>0.28000000000000003</v>
      </c>
      <c r="D1992" s="59">
        <v>-0.27</v>
      </c>
      <c r="E1992" s="60">
        <f t="shared" si="31"/>
        <v>0.99</v>
      </c>
      <c r="F1992" t="str" cm="1">
        <f t="array" ref="F1992">IF(A1992=MAX(IF(ROUND($B$2:$B$3722,4)=ROUND(B1992,4),$A$2:$A$3722)),"Efficient","Inefficient")</f>
        <v>Inefficient</v>
      </c>
    </row>
    <row r="1993" spans="1:6" x14ac:dyDescent="0.25">
      <c r="A1993" cm="1">
        <f t="array" ref="A1993">INDEX('Portfolio Weights Returns'!$B$9:$BJ$69,
INT((ROW(A1992)-1)/COLUMNS('Portfolio Weights Returns'!$B$9:$BJ$69))+1,MOD(ROW(A1992)-1,COLUMNS('Portfolio Weights Returns'!$B$9:$BJ$69))+1)</f>
        <v>-7.2013486886634008E-4</v>
      </c>
      <c r="B1993">
        <v>2.0400000000000001E-2</v>
      </c>
      <c r="C1993" s="59">
        <v>0.26</v>
      </c>
      <c r="D1993" s="59">
        <v>-0.26</v>
      </c>
      <c r="E1993" s="60">
        <f t="shared" si="31"/>
        <v>1</v>
      </c>
      <c r="F1993" t="str" cm="1">
        <f t="array" ref="F1993">IF(A1993=MAX(IF(ROUND($B$2:$B$3722,4)=ROUND(B1993,4),$A$2:$A$3722)),"Efficient","Inefficient")</f>
        <v>Inefficient</v>
      </c>
    </row>
    <row r="1994" spans="1:6" x14ac:dyDescent="0.25">
      <c r="A1994" cm="1">
        <f t="array" ref="A1994">INDEX('Portfolio Weights Returns'!$B$9:$BJ$69,
INT((ROW(A1993)-1)/COLUMNS('Portfolio Weights Returns'!$B$9:$BJ$69))+1,MOD(ROW(A1993)-1,COLUMNS('Portfolio Weights Returns'!$B$9:$BJ$69))+1)</f>
        <v>-7.1335369489966094E-4</v>
      </c>
      <c r="B1994">
        <v>2.0400000000000001E-2</v>
      </c>
      <c r="C1994" s="59">
        <v>0.24</v>
      </c>
      <c r="D1994" s="59">
        <v>-0.25</v>
      </c>
      <c r="E1994" s="60">
        <f t="shared" si="31"/>
        <v>1.01</v>
      </c>
      <c r="F1994" t="str" cm="1">
        <f t="array" ref="F1994">IF(A1994=MAX(IF(ROUND($B$2:$B$3722,4)=ROUND(B1994,4),$A$2:$A$3722)),"Efficient","Inefficient")</f>
        <v>Inefficient</v>
      </c>
    </row>
    <row r="1995" spans="1:6" x14ac:dyDescent="0.25">
      <c r="A1995" cm="1">
        <f t="array" ref="A1995">INDEX('Portfolio Weights Returns'!$B$9:$BJ$69,
INT((ROW(A1994)-1)/COLUMNS('Portfolio Weights Returns'!$B$9:$BJ$69))+1,MOD(ROW(A1994)-1,COLUMNS('Portfolio Weights Returns'!$B$9:$BJ$69))+1)</f>
        <v>-7.065725209329819E-4</v>
      </c>
      <c r="B1995">
        <v>2.0400000000000001E-2</v>
      </c>
      <c r="C1995" s="59">
        <v>0.22</v>
      </c>
      <c r="D1995" s="59">
        <v>-0.24</v>
      </c>
      <c r="E1995" s="60">
        <f t="shared" si="31"/>
        <v>1.02</v>
      </c>
      <c r="F1995" t="str" cm="1">
        <f t="array" ref="F1995">IF(A1995=MAX(IF(ROUND($B$2:$B$3722,4)=ROUND(B1995,4),$A$2:$A$3722)),"Efficient","Inefficient")</f>
        <v>Inefficient</v>
      </c>
    </row>
    <row r="1996" spans="1:6" x14ac:dyDescent="0.25">
      <c r="A1996" cm="1">
        <f t="array" ref="A1996">INDEX('Portfolio Weights Returns'!$B$9:$BJ$69,
INT((ROW(A1995)-1)/COLUMNS('Portfolio Weights Returns'!$B$9:$BJ$69))+1,MOD(ROW(A1995)-1,COLUMNS('Portfolio Weights Returns'!$B$9:$BJ$69))+1)</f>
        <v>-6.9979134696630276E-4</v>
      </c>
      <c r="B1996">
        <v>2.0400000000000001E-2</v>
      </c>
      <c r="C1996" s="59">
        <v>0.2</v>
      </c>
      <c r="D1996" s="59">
        <v>-0.23</v>
      </c>
      <c r="E1996" s="60">
        <f t="shared" si="31"/>
        <v>1.03</v>
      </c>
      <c r="F1996" t="str" cm="1">
        <f t="array" ref="F1996">IF(A1996=MAX(IF(ROUND($B$2:$B$3722,4)=ROUND(B1996,4),$A$2:$A$3722)),"Efficient","Inefficient")</f>
        <v>Inefficient</v>
      </c>
    </row>
    <row r="1997" spans="1:6" x14ac:dyDescent="0.25">
      <c r="A1997" cm="1">
        <f t="array" ref="A1997">INDEX('Portfolio Weights Returns'!$B$9:$BJ$69,
INT((ROW(A1996)-1)/COLUMNS('Portfolio Weights Returns'!$B$9:$BJ$69))+1,MOD(ROW(A1996)-1,COLUMNS('Portfolio Weights Returns'!$B$9:$BJ$69))+1)</f>
        <v>-6.9301017299962372E-4</v>
      </c>
      <c r="B1997">
        <v>2.0400000000000001E-2</v>
      </c>
      <c r="C1997" s="59">
        <v>0.17</v>
      </c>
      <c r="D1997" s="59">
        <v>-0.21</v>
      </c>
      <c r="E1997" s="60">
        <f t="shared" si="31"/>
        <v>1.04</v>
      </c>
      <c r="F1997" t="str" cm="1">
        <f t="array" ref="F1997">IF(A1997=MAX(IF(ROUND($B$2:$B$3722,4)=ROUND(B1997,4),$A$2:$A$3722)),"Efficient","Inefficient")</f>
        <v>Inefficient</v>
      </c>
    </row>
    <row r="1998" spans="1:6" x14ac:dyDescent="0.25">
      <c r="A1998" cm="1">
        <f t="array" ref="A1998">INDEX('Portfolio Weights Returns'!$B$9:$BJ$69,
INT((ROW(A1997)-1)/COLUMNS('Portfolio Weights Returns'!$B$9:$BJ$69))+1,MOD(ROW(A1997)-1,COLUMNS('Portfolio Weights Returns'!$B$9:$BJ$69))+1)</f>
        <v>-6.8622899903294447E-4</v>
      </c>
      <c r="B1998">
        <v>2.0400000000000001E-2</v>
      </c>
      <c r="C1998" s="59">
        <v>0.15</v>
      </c>
      <c r="D1998" s="59">
        <v>-0.2</v>
      </c>
      <c r="E1998" s="60">
        <f t="shared" si="31"/>
        <v>1.05</v>
      </c>
      <c r="F1998" t="str" cm="1">
        <f t="array" ref="F1998">IF(A1998=MAX(IF(ROUND($B$2:$B$3722,4)=ROUND(B1998,4),$A$2:$A$3722)),"Efficient","Inefficient")</f>
        <v>Inefficient</v>
      </c>
    </row>
    <row r="1999" spans="1:6" x14ac:dyDescent="0.25">
      <c r="A1999" cm="1">
        <f t="array" ref="A1999">INDEX('Portfolio Weights Returns'!$B$9:$BJ$69,
INT((ROW(A1998)-1)/COLUMNS('Portfolio Weights Returns'!$B$9:$BJ$69))+1,MOD(ROW(A1998)-1,COLUMNS('Portfolio Weights Returns'!$B$9:$BJ$69))+1)</f>
        <v>-6.7944782506626532E-4</v>
      </c>
      <c r="B1999">
        <v>2.0400000000000001E-2</v>
      </c>
      <c r="C1999" s="59">
        <v>0.12</v>
      </c>
      <c r="D1999" s="59">
        <v>-0.18</v>
      </c>
      <c r="E1999" s="60">
        <f t="shared" si="31"/>
        <v>1.06</v>
      </c>
      <c r="F1999" t="str" cm="1">
        <f t="array" ref="F1999">IF(A1999=MAX(IF(ROUND($B$2:$B$3722,4)=ROUND(B1999,4),$A$2:$A$3722)),"Efficient","Inefficient")</f>
        <v>Inefficient</v>
      </c>
    </row>
    <row r="2000" spans="1:6" x14ac:dyDescent="0.25">
      <c r="A2000" cm="1">
        <f t="array" ref="A2000">INDEX('Portfolio Weights Returns'!$B$9:$BJ$69,
INT((ROW(A1999)-1)/COLUMNS('Portfolio Weights Returns'!$B$9:$BJ$69))+1,MOD(ROW(A1999)-1,COLUMNS('Portfolio Weights Returns'!$B$9:$BJ$69))+1)</f>
        <v>-6.7266665109958629E-4</v>
      </c>
      <c r="B2000">
        <v>2.0400000000000001E-2</v>
      </c>
      <c r="C2000" s="59">
        <v>0.09</v>
      </c>
      <c r="D2000" s="59">
        <v>-0.16</v>
      </c>
      <c r="E2000" s="60">
        <f t="shared" si="31"/>
        <v>1.0699999999999998</v>
      </c>
      <c r="F2000" t="str" cm="1">
        <f t="array" ref="F2000">IF(A2000=MAX(IF(ROUND($B$2:$B$3722,4)=ROUND(B2000,4),$A$2:$A$3722)),"Efficient","Inefficient")</f>
        <v>Inefficient</v>
      </c>
    </row>
    <row r="2001" spans="1:6" x14ac:dyDescent="0.25">
      <c r="A2001" cm="1">
        <f t="array" ref="A2001">INDEX('Portfolio Weights Returns'!$B$9:$BJ$69,
INT((ROW(A2000)-1)/COLUMNS('Portfolio Weights Returns'!$B$9:$BJ$69))+1,MOD(ROW(A2000)-1,COLUMNS('Portfolio Weights Returns'!$B$9:$BJ$69))+1)</f>
        <v>-6.6588547713290714E-4</v>
      </c>
      <c r="B2001">
        <v>2.0400000000000001E-2</v>
      </c>
      <c r="C2001" s="59">
        <v>0.08</v>
      </c>
      <c r="D2001" s="59">
        <v>-0.15</v>
      </c>
      <c r="E2001" s="60">
        <f t="shared" si="31"/>
        <v>1.0699999999999998</v>
      </c>
      <c r="F2001" t="str" cm="1">
        <f t="array" ref="F2001">IF(A2001=MAX(IF(ROUND($B$2:$B$3722,4)=ROUND(B2001,4),$A$2:$A$3722)),"Efficient","Inefficient")</f>
        <v>Inefficient</v>
      </c>
    </row>
    <row r="2002" spans="1:6" x14ac:dyDescent="0.25">
      <c r="A2002" cm="1">
        <f t="array" ref="A2002">INDEX('Portfolio Weights Returns'!$B$9:$BJ$69,
INT((ROW(A2001)-1)/COLUMNS('Portfolio Weights Returns'!$B$9:$BJ$69))+1,MOD(ROW(A2001)-1,COLUMNS('Portfolio Weights Returns'!$B$9:$BJ$69))+1)</f>
        <v>-6.5910430316622822E-4</v>
      </c>
      <c r="B2002">
        <v>2.0400000000000001E-2</v>
      </c>
      <c r="C2002" s="59">
        <v>0.05</v>
      </c>
      <c r="D2002" s="59">
        <v>-0.13</v>
      </c>
      <c r="E2002" s="60">
        <f t="shared" si="31"/>
        <v>1.0799999999999998</v>
      </c>
      <c r="F2002" t="str" cm="1">
        <f t="array" ref="F2002">IF(A2002=MAX(IF(ROUND($B$2:$B$3722,4)=ROUND(B2002,4),$A$2:$A$3722)),"Efficient","Inefficient")</f>
        <v>Inefficient</v>
      </c>
    </row>
    <row r="2003" spans="1:6" x14ac:dyDescent="0.25">
      <c r="A2003" cm="1">
        <f t="array" ref="A2003">INDEX('Portfolio Weights Returns'!$B$9:$BJ$69,
INT((ROW(A2002)-1)/COLUMNS('Portfolio Weights Returns'!$B$9:$BJ$69))+1,MOD(ROW(A2002)-1,COLUMNS('Portfolio Weights Returns'!$B$9:$BJ$69))+1)</f>
        <v>-6.5232312919954907E-4</v>
      </c>
      <c r="B2003">
        <v>2.0400000000000001E-2</v>
      </c>
      <c r="C2003" s="59">
        <v>0.04</v>
      </c>
      <c r="D2003" s="59">
        <v>-0.12</v>
      </c>
      <c r="E2003" s="60">
        <f t="shared" si="31"/>
        <v>1.08</v>
      </c>
      <c r="F2003" t="str" cm="1">
        <f t="array" ref="F2003">IF(A2003=MAX(IF(ROUND($B$2:$B$3722,4)=ROUND(B2003,4),$A$2:$A$3722)),"Efficient","Inefficient")</f>
        <v>Inefficient</v>
      </c>
    </row>
    <row r="2004" spans="1:6" x14ac:dyDescent="0.25">
      <c r="A2004" cm="1">
        <f t="array" ref="A2004">INDEX('Portfolio Weights Returns'!$B$9:$BJ$69,
INT((ROW(A2003)-1)/COLUMNS('Portfolio Weights Returns'!$B$9:$BJ$69))+1,MOD(ROW(A2003)-1,COLUMNS('Portfolio Weights Returns'!$B$9:$BJ$69))+1)</f>
        <v>-6.4554195523286993E-4</v>
      </c>
      <c r="B2004">
        <v>2.0400000000000001E-2</v>
      </c>
      <c r="C2004" s="59">
        <v>0</v>
      </c>
      <c r="D2004" s="59">
        <v>-0.09</v>
      </c>
      <c r="E2004" s="60">
        <f t="shared" si="31"/>
        <v>1.0900000000000001</v>
      </c>
      <c r="F2004" t="str" cm="1">
        <f t="array" ref="F2004">IF(A2004=MAX(IF(ROUND($B$2:$B$3722,4)=ROUND(B2004,4),$A$2:$A$3722)),"Efficient","Inefficient")</f>
        <v>Inefficient</v>
      </c>
    </row>
    <row r="2005" spans="1:6" x14ac:dyDescent="0.25">
      <c r="A2005" cm="1">
        <f t="array" ref="A2005">INDEX('Portfolio Weights Returns'!$B$9:$BJ$69,
INT((ROW(A2004)-1)/COLUMNS('Portfolio Weights Returns'!$B$9:$BJ$69))+1,MOD(ROW(A2004)-1,COLUMNS('Portfolio Weights Returns'!$B$9:$BJ$69))+1)</f>
        <v>-6.3876078126619078E-4</v>
      </c>
      <c r="B2005">
        <v>2.0400000000000001E-2</v>
      </c>
      <c r="C2005" s="59">
        <v>-0.01</v>
      </c>
      <c r="D2005" s="59">
        <v>-0.08</v>
      </c>
      <c r="E2005" s="60">
        <f t="shared" si="31"/>
        <v>1.0900000000000001</v>
      </c>
      <c r="F2005" t="str" cm="1">
        <f t="array" ref="F2005">IF(A2005=MAX(IF(ROUND($B$2:$B$3722,4)=ROUND(B2005,4),$A$2:$A$3722)),"Efficient","Inefficient")</f>
        <v>Inefficient</v>
      </c>
    </row>
    <row r="2006" spans="1:6" x14ac:dyDescent="0.25">
      <c r="A2006" cm="1">
        <f t="array" ref="A2006">INDEX('Portfolio Weights Returns'!$B$9:$BJ$69,
INT((ROW(A2005)-1)/COLUMNS('Portfolio Weights Returns'!$B$9:$BJ$69))+1,MOD(ROW(A2005)-1,COLUMNS('Portfolio Weights Returns'!$B$9:$BJ$69))+1)</f>
        <v>-6.3197960729951175E-4</v>
      </c>
      <c r="B2006">
        <v>2.0400000000000001E-2</v>
      </c>
      <c r="C2006" s="59">
        <v>-0.02</v>
      </c>
      <c r="D2006" s="59">
        <v>-7.0000000000000007E-2</v>
      </c>
      <c r="E2006" s="60">
        <f t="shared" si="31"/>
        <v>1.0900000000000001</v>
      </c>
      <c r="F2006" t="str" cm="1">
        <f t="array" ref="F2006">IF(A2006=MAX(IF(ROUND($B$2:$B$3722,4)=ROUND(B2006,4),$A$2:$A$3722)),"Efficient","Inefficient")</f>
        <v>Inefficient</v>
      </c>
    </row>
    <row r="2007" spans="1:6" x14ac:dyDescent="0.25">
      <c r="A2007" cm="1">
        <f t="array" ref="A2007">INDEX('Portfolio Weights Returns'!$B$9:$BJ$69,
INT((ROW(A2006)-1)/COLUMNS('Portfolio Weights Returns'!$B$9:$BJ$69))+1,MOD(ROW(A2006)-1,COLUMNS('Portfolio Weights Returns'!$B$9:$BJ$69))+1)</f>
        <v>-6.251984333328326E-4</v>
      </c>
      <c r="B2007">
        <v>2.0400000000000001E-2</v>
      </c>
      <c r="C2007" s="59">
        <v>-0.03</v>
      </c>
      <c r="D2007" s="59">
        <v>-0.06</v>
      </c>
      <c r="E2007" s="60">
        <f t="shared" si="31"/>
        <v>1.0900000000000001</v>
      </c>
      <c r="F2007" t="str" cm="1">
        <f t="array" ref="F2007">IF(A2007=MAX(IF(ROUND($B$2:$B$3722,4)=ROUND(B2007,4),$A$2:$A$3722)),"Efficient","Inefficient")</f>
        <v>Inefficient</v>
      </c>
    </row>
    <row r="2008" spans="1:6" x14ac:dyDescent="0.25">
      <c r="A2008" cm="1">
        <f t="array" ref="A2008">INDEX('Portfolio Weights Returns'!$B$9:$BJ$69,
INT((ROW(A2007)-1)/COLUMNS('Portfolio Weights Returns'!$B$9:$BJ$69))+1,MOD(ROW(A2007)-1,COLUMNS('Portfolio Weights Returns'!$B$9:$BJ$69))+1)</f>
        <v>-6.1841725936615357E-4</v>
      </c>
      <c r="B2008">
        <v>2.0400000000000001E-2</v>
      </c>
      <c r="C2008" s="59">
        <v>-0.04</v>
      </c>
      <c r="D2008" s="59">
        <v>-0.05</v>
      </c>
      <c r="E2008" s="60">
        <f t="shared" si="31"/>
        <v>1.0900000000000001</v>
      </c>
      <c r="F2008" t="str" cm="1">
        <f t="array" ref="F2008">IF(A2008=MAX(IF(ROUND($B$2:$B$3722,4)=ROUND(B2008,4),$A$2:$A$3722)),"Efficient","Inefficient")</f>
        <v>Inefficient</v>
      </c>
    </row>
    <row r="2009" spans="1:6" x14ac:dyDescent="0.25">
      <c r="A2009" cm="1">
        <f t="array" ref="A2009">INDEX('Portfolio Weights Returns'!$B$9:$BJ$69,
INT((ROW(A2008)-1)/COLUMNS('Portfolio Weights Returns'!$B$9:$BJ$69))+1,MOD(ROW(A2008)-1,COLUMNS('Portfolio Weights Returns'!$B$9:$BJ$69))+1)</f>
        <v>-6.1163608539947442E-4</v>
      </c>
      <c r="B2009">
        <v>2.0400000000000001E-2</v>
      </c>
      <c r="C2009" s="59">
        <v>-0.05</v>
      </c>
      <c r="D2009" s="59">
        <v>-0.04</v>
      </c>
      <c r="E2009" s="60">
        <f t="shared" si="31"/>
        <v>1.0900000000000001</v>
      </c>
      <c r="F2009" t="str" cm="1">
        <f t="array" ref="F2009">IF(A2009=MAX(IF(ROUND($B$2:$B$3722,4)=ROUND(B2009,4),$A$2:$A$3722)),"Efficient","Inefficient")</f>
        <v>Inefficient</v>
      </c>
    </row>
    <row r="2010" spans="1:6" x14ac:dyDescent="0.25">
      <c r="A2010" cm="1">
        <f t="array" ref="A2010">INDEX('Portfolio Weights Returns'!$B$9:$BJ$69,
INT((ROW(A2009)-1)/COLUMNS('Portfolio Weights Returns'!$B$9:$BJ$69))+1,MOD(ROW(A2009)-1,COLUMNS('Portfolio Weights Returns'!$B$9:$BJ$69))+1)</f>
        <v>-6.0485491143279528E-4</v>
      </c>
      <c r="B2010">
        <v>2.0400000000000001E-2</v>
      </c>
      <c r="C2010" s="59">
        <v>-0.06</v>
      </c>
      <c r="D2010" s="59">
        <v>-0.03</v>
      </c>
      <c r="E2010" s="60">
        <f t="shared" si="31"/>
        <v>1.0900000000000001</v>
      </c>
      <c r="F2010" t="str" cm="1">
        <f t="array" ref="F2010">IF(A2010=MAX(IF(ROUND($B$2:$B$3722,4)=ROUND(B2010,4),$A$2:$A$3722)),"Efficient","Inefficient")</f>
        <v>Inefficient</v>
      </c>
    </row>
    <row r="2011" spans="1:6" x14ac:dyDescent="0.25">
      <c r="A2011" cm="1">
        <f t="array" ref="A2011">INDEX('Portfolio Weights Returns'!$B$9:$BJ$69,
INT((ROW(A2010)-1)/COLUMNS('Portfolio Weights Returns'!$B$9:$BJ$69))+1,MOD(ROW(A2010)-1,COLUMNS('Portfolio Weights Returns'!$B$9:$BJ$69))+1)</f>
        <v>-5.9807373746611548E-4</v>
      </c>
      <c r="B2011">
        <v>2.0400000000000001E-2</v>
      </c>
      <c r="C2011" s="59">
        <v>-7.0000000000000007E-2</v>
      </c>
      <c r="D2011" s="59">
        <v>-0.02</v>
      </c>
      <c r="E2011" s="60">
        <f t="shared" si="31"/>
        <v>1.0900000000000001</v>
      </c>
      <c r="F2011" t="str" cm="1">
        <f t="array" ref="F2011">IF(A2011=MAX(IF(ROUND($B$2:$B$3722,4)=ROUND(B2011,4),$A$2:$A$3722)),"Efficient","Inefficient")</f>
        <v>Inefficient</v>
      </c>
    </row>
    <row r="2012" spans="1:6" x14ac:dyDescent="0.25">
      <c r="A2012" cm="1">
        <f t="array" ref="A2012">INDEX('Portfolio Weights Returns'!$B$9:$BJ$69,
INT((ROW(A2011)-1)/COLUMNS('Portfolio Weights Returns'!$B$9:$BJ$69))+1,MOD(ROW(A2011)-1,COLUMNS('Portfolio Weights Returns'!$B$9:$BJ$69))+1)</f>
        <v>-5.9129256349943634E-4</v>
      </c>
      <c r="B2012">
        <v>2.0400000000000001E-2</v>
      </c>
      <c r="C2012" s="59">
        <v>-0.09</v>
      </c>
      <c r="D2012" s="59">
        <v>0.01</v>
      </c>
      <c r="E2012" s="60">
        <f t="shared" si="31"/>
        <v>1.08</v>
      </c>
      <c r="F2012" t="str" cm="1">
        <f t="array" ref="F2012">IF(A2012=MAX(IF(ROUND($B$2:$B$3722,4)=ROUND(B2012,4),$A$2:$A$3722)),"Efficient","Inefficient")</f>
        <v>Inefficient</v>
      </c>
    </row>
    <row r="2013" spans="1:6" x14ac:dyDescent="0.25">
      <c r="A2013" cm="1">
        <f t="array" ref="A2013">INDEX('Portfolio Weights Returns'!$B$9:$BJ$69,
INT((ROW(A2012)-1)/COLUMNS('Portfolio Weights Returns'!$B$9:$BJ$69))+1,MOD(ROW(A2012)-1,COLUMNS('Portfolio Weights Returns'!$B$9:$BJ$69))+1)</f>
        <v>-5.8451138953275741E-4</v>
      </c>
      <c r="B2013">
        <v>2.0400000000000001E-2</v>
      </c>
      <c r="C2013" s="59">
        <v>-0.1</v>
      </c>
      <c r="D2013" s="59">
        <v>0.02</v>
      </c>
      <c r="E2013" s="60">
        <f t="shared" si="31"/>
        <v>1.08</v>
      </c>
      <c r="F2013" t="str" cm="1">
        <f t="array" ref="F2013">IF(A2013=MAX(IF(ROUND($B$2:$B$3722,4)=ROUND(B2013,4),$A$2:$A$3722)),"Efficient","Inefficient")</f>
        <v>Inefficient</v>
      </c>
    </row>
    <row r="2014" spans="1:6" x14ac:dyDescent="0.25">
      <c r="A2014" cm="1">
        <f t="array" ref="A2014">INDEX('Portfolio Weights Returns'!$B$9:$BJ$69,
INT((ROW(A2013)-1)/COLUMNS('Portfolio Weights Returns'!$B$9:$BJ$69))+1,MOD(ROW(A2013)-1,COLUMNS('Portfolio Weights Returns'!$B$9:$BJ$69))+1)</f>
        <v>-5.7773021556607816E-4</v>
      </c>
      <c r="B2014">
        <v>2.0400000000000001E-2</v>
      </c>
      <c r="C2014" s="59">
        <v>-0.12</v>
      </c>
      <c r="D2014" s="59">
        <v>0.05</v>
      </c>
      <c r="E2014" s="60">
        <f t="shared" si="31"/>
        <v>1.0699999999999998</v>
      </c>
      <c r="F2014" t="str" cm="1">
        <f t="array" ref="F2014">IF(A2014=MAX(IF(ROUND($B$2:$B$3722,4)=ROUND(B2014,4),$A$2:$A$3722)),"Efficient","Inefficient")</f>
        <v>Efficient</v>
      </c>
    </row>
    <row r="2015" spans="1:6" x14ac:dyDescent="0.25">
      <c r="A2015" cm="1">
        <f t="array" ref="A2015">INDEX('Portfolio Weights Returns'!$B$9:$BJ$69,
INT((ROW(A2014)-1)/COLUMNS('Portfolio Weights Returns'!$B$9:$BJ$69))+1,MOD(ROW(A2014)-1,COLUMNS('Portfolio Weights Returns'!$B$9:$BJ$69))+1)</f>
        <v>-9.7802644572136986E-4</v>
      </c>
      <c r="B2015">
        <v>2.0400000000000001E-2</v>
      </c>
      <c r="C2015" s="59">
        <v>-0.13</v>
      </c>
      <c r="D2015" s="59">
        <v>7.0000000000000007E-2</v>
      </c>
      <c r="E2015" s="60">
        <f t="shared" si="31"/>
        <v>1.06</v>
      </c>
      <c r="F2015" t="str" cm="1">
        <f t="array" ref="F2015">IF(A2015=MAX(IF(ROUND($B$2:$B$3722,4)=ROUND(B2015,4),$A$2:$A$3722)),"Efficient","Inefficient")</f>
        <v>Inefficient</v>
      </c>
    </row>
    <row r="2016" spans="1:6" x14ac:dyDescent="0.25">
      <c r="A2016" cm="1">
        <f t="array" ref="A2016">INDEX('Portfolio Weights Returns'!$B$9:$BJ$69,
INT((ROW(A2015)-1)/COLUMNS('Portfolio Weights Returns'!$B$9:$BJ$69))+1,MOD(ROW(A2015)-1,COLUMNS('Portfolio Weights Returns'!$B$9:$BJ$69))+1)</f>
        <v>-9.7124527175469083E-4</v>
      </c>
      <c r="B2016">
        <v>2.0400000000000001E-2</v>
      </c>
      <c r="C2016" s="59">
        <v>-0.14000000000000001</v>
      </c>
      <c r="D2016" s="59">
        <v>0.08</v>
      </c>
      <c r="E2016" s="60">
        <f t="shared" si="31"/>
        <v>1.06</v>
      </c>
      <c r="F2016" t="str" cm="1">
        <f t="array" ref="F2016">IF(A2016=MAX(IF(ROUND($B$2:$B$3722,4)=ROUND(B2016,4),$A$2:$A$3722)),"Efficient","Inefficient")</f>
        <v>Inefficient</v>
      </c>
    </row>
    <row r="2017" spans="1:6" x14ac:dyDescent="0.25">
      <c r="A2017" cm="1">
        <f t="array" ref="A2017">INDEX('Portfolio Weights Returns'!$B$9:$BJ$69,
INT((ROW(A2016)-1)/COLUMNS('Portfolio Weights Returns'!$B$9:$BJ$69))+1,MOD(ROW(A2016)-1,COLUMNS('Portfolio Weights Returns'!$B$9:$BJ$69))+1)</f>
        <v>-9.6446409778801179E-4</v>
      </c>
      <c r="B2017">
        <v>2.0400000000000001E-2</v>
      </c>
      <c r="C2017" s="59">
        <v>-0.14000000000000001</v>
      </c>
      <c r="D2017" s="59">
        <v>0.09</v>
      </c>
      <c r="E2017" s="60">
        <f t="shared" si="31"/>
        <v>1.05</v>
      </c>
      <c r="F2017" t="str" cm="1">
        <f t="array" ref="F2017">IF(A2017=MAX(IF(ROUND($B$2:$B$3722,4)=ROUND(B2017,4),$A$2:$A$3722)),"Efficient","Inefficient")</f>
        <v>Inefficient</v>
      </c>
    </row>
    <row r="2018" spans="1:6" x14ac:dyDescent="0.25">
      <c r="A2018" cm="1">
        <f t="array" ref="A2018">INDEX('Portfolio Weights Returns'!$B$9:$BJ$69,
INT((ROW(A2017)-1)/COLUMNS('Portfolio Weights Returns'!$B$9:$BJ$69))+1,MOD(ROW(A2017)-1,COLUMNS('Portfolio Weights Returns'!$B$9:$BJ$69))+1)</f>
        <v>-9.5768292382133265E-4</v>
      </c>
      <c r="B2018">
        <v>2.0400000000000001E-2</v>
      </c>
      <c r="C2018" s="59">
        <v>-0.15</v>
      </c>
      <c r="D2018" s="59">
        <v>0.11</v>
      </c>
      <c r="E2018" s="60">
        <f t="shared" si="31"/>
        <v>1.04</v>
      </c>
      <c r="F2018" t="str" cm="1">
        <f t="array" ref="F2018">IF(A2018=MAX(IF(ROUND($B$2:$B$3722,4)=ROUND(B2018,4),$A$2:$A$3722)),"Efficient","Inefficient")</f>
        <v>Inefficient</v>
      </c>
    </row>
    <row r="2019" spans="1:6" x14ac:dyDescent="0.25">
      <c r="A2019" cm="1">
        <f t="array" ref="A2019">INDEX('Portfolio Weights Returns'!$B$9:$BJ$69,
INT((ROW(A2018)-1)/COLUMNS('Portfolio Weights Returns'!$B$9:$BJ$69))+1,MOD(ROW(A2018)-1,COLUMNS('Portfolio Weights Returns'!$B$9:$BJ$69))+1)</f>
        <v>-9.509017498546535E-4</v>
      </c>
      <c r="B2019">
        <v>2.0400000000000001E-2</v>
      </c>
      <c r="C2019" s="59">
        <v>-0.16</v>
      </c>
      <c r="D2019" s="59">
        <v>0.13</v>
      </c>
      <c r="E2019" s="60">
        <f t="shared" si="31"/>
        <v>1.03</v>
      </c>
      <c r="F2019" t="str" cm="1">
        <f t="array" ref="F2019">IF(A2019=MAX(IF(ROUND($B$2:$B$3722,4)=ROUND(B2019,4),$A$2:$A$3722)),"Efficient","Inefficient")</f>
        <v>Inefficient</v>
      </c>
    </row>
    <row r="2020" spans="1:6" x14ac:dyDescent="0.25">
      <c r="A2020" cm="1">
        <f t="array" ref="A2020">INDEX('Portfolio Weights Returns'!$B$9:$BJ$69,
INT((ROW(A2019)-1)/COLUMNS('Portfolio Weights Returns'!$B$9:$BJ$69))+1,MOD(ROW(A2019)-1,COLUMNS('Portfolio Weights Returns'!$B$9:$BJ$69))+1)</f>
        <v>-9.4412057588797447E-4</v>
      </c>
      <c r="B2020">
        <v>2.0400000000000001E-2</v>
      </c>
      <c r="C2020" s="59">
        <v>-0.16</v>
      </c>
      <c r="D2020" s="59">
        <v>0.14000000000000001</v>
      </c>
      <c r="E2020" s="60">
        <f t="shared" si="31"/>
        <v>1.02</v>
      </c>
      <c r="F2020" t="str" cm="1">
        <f t="array" ref="F2020">IF(A2020=MAX(IF(ROUND($B$2:$B$3722,4)=ROUND(B2020,4),$A$2:$A$3722)),"Efficient","Inefficient")</f>
        <v>Inefficient</v>
      </c>
    </row>
    <row r="2021" spans="1:6" x14ac:dyDescent="0.25">
      <c r="A2021" cm="1">
        <f t="array" ref="A2021">INDEX('Portfolio Weights Returns'!$B$9:$BJ$69,
INT((ROW(A2020)-1)/COLUMNS('Portfolio Weights Returns'!$B$9:$BJ$69))+1,MOD(ROW(A2020)-1,COLUMNS('Portfolio Weights Returns'!$B$9:$BJ$69))+1)</f>
        <v>-9.3733940192129521E-4</v>
      </c>
      <c r="B2021">
        <v>2.0400000000000001E-2</v>
      </c>
      <c r="C2021" s="59">
        <v>-0.16</v>
      </c>
      <c r="D2021" s="59">
        <v>0.15</v>
      </c>
      <c r="E2021" s="60">
        <f t="shared" si="31"/>
        <v>1.01</v>
      </c>
      <c r="F2021" t="str" cm="1">
        <f t="array" ref="F2021">IF(A2021=MAX(IF(ROUND($B$2:$B$3722,4)=ROUND(B2021,4),$A$2:$A$3722)),"Efficient","Inefficient")</f>
        <v>Inefficient</v>
      </c>
    </row>
    <row r="2022" spans="1:6" x14ac:dyDescent="0.25">
      <c r="A2022" cm="1">
        <f t="array" ref="A2022">INDEX('Portfolio Weights Returns'!$B$9:$BJ$69,
INT((ROW(A2021)-1)/COLUMNS('Portfolio Weights Returns'!$B$9:$BJ$69))+1,MOD(ROW(A2021)-1,COLUMNS('Portfolio Weights Returns'!$B$9:$BJ$69))+1)</f>
        <v>-9.3055822795461618E-4</v>
      </c>
      <c r="B2022">
        <v>2.0400000000000001E-2</v>
      </c>
      <c r="C2022" s="59">
        <v>-0.17</v>
      </c>
      <c r="D2022" s="59">
        <v>0.18</v>
      </c>
      <c r="E2022" s="60">
        <f t="shared" si="31"/>
        <v>0.9900000000000001</v>
      </c>
      <c r="F2022" t="str" cm="1">
        <f t="array" ref="F2022">IF(A2022=MAX(IF(ROUND($B$2:$B$3722,4)=ROUND(B2022,4),$A$2:$A$3722)),"Efficient","Inefficient")</f>
        <v>Inefficient</v>
      </c>
    </row>
    <row r="2023" spans="1:6" x14ac:dyDescent="0.25">
      <c r="A2023" cm="1">
        <f t="array" ref="A2023">INDEX('Portfolio Weights Returns'!$B$9:$BJ$69,
INT((ROW(A2022)-1)/COLUMNS('Portfolio Weights Returns'!$B$9:$BJ$69))+1,MOD(ROW(A2022)-1,COLUMNS('Portfolio Weights Returns'!$B$9:$BJ$69))+1)</f>
        <v>-9.2377705398793703E-4</v>
      </c>
      <c r="B2023">
        <v>2.0400000000000001E-2</v>
      </c>
      <c r="C2023" s="59">
        <v>-0.17</v>
      </c>
      <c r="D2023" s="59">
        <v>0.19</v>
      </c>
      <c r="E2023" s="60">
        <f t="shared" si="31"/>
        <v>0.98000000000000009</v>
      </c>
      <c r="F2023" t="str" cm="1">
        <f t="array" ref="F2023">IF(A2023=MAX(IF(ROUND($B$2:$B$3722,4)=ROUND(B2023,4),$A$2:$A$3722)),"Efficient","Inefficient")</f>
        <v>Inefficient</v>
      </c>
    </row>
    <row r="2024" spans="1:6" x14ac:dyDescent="0.25">
      <c r="A2024" cm="1">
        <f t="array" ref="A2024">INDEX('Portfolio Weights Returns'!$B$9:$BJ$69,
INT((ROW(A2023)-1)/COLUMNS('Portfolio Weights Returns'!$B$9:$BJ$69))+1,MOD(ROW(A2023)-1,COLUMNS('Portfolio Weights Returns'!$B$9:$BJ$69))+1)</f>
        <v>-9.16995880021258E-4</v>
      </c>
      <c r="B2024">
        <v>2.0400000000000001E-2</v>
      </c>
      <c r="C2024" s="59">
        <v>-0.17</v>
      </c>
      <c r="D2024" s="59">
        <v>0.2</v>
      </c>
      <c r="E2024" s="60">
        <f t="shared" si="31"/>
        <v>0.97000000000000008</v>
      </c>
      <c r="F2024" t="str" cm="1">
        <f t="array" ref="F2024">IF(A2024=MAX(IF(ROUND($B$2:$B$3722,4)=ROUND(B2024,4),$A$2:$A$3722)),"Efficient","Inefficient")</f>
        <v>Inefficient</v>
      </c>
    </row>
    <row r="2025" spans="1:6" x14ac:dyDescent="0.25">
      <c r="A2025" cm="1">
        <f t="array" ref="A2025">INDEX('Portfolio Weights Returns'!$B$9:$BJ$69,
INT((ROW(A2024)-1)/COLUMNS('Portfolio Weights Returns'!$B$9:$BJ$69))+1,MOD(ROW(A2024)-1,COLUMNS('Portfolio Weights Returns'!$B$9:$BJ$69))+1)</f>
        <v>-9.1021470605457885E-4</v>
      </c>
      <c r="B2025">
        <v>2.0400000000000001E-2</v>
      </c>
      <c r="C2025" s="59">
        <v>-0.17</v>
      </c>
      <c r="D2025" s="59">
        <v>0.21</v>
      </c>
      <c r="E2025" s="60">
        <f t="shared" si="31"/>
        <v>0.96000000000000008</v>
      </c>
      <c r="F2025" t="str" cm="1">
        <f t="array" ref="F2025">IF(A2025=MAX(IF(ROUND($B$2:$B$3722,4)=ROUND(B2025,4),$A$2:$A$3722)),"Efficient","Inefficient")</f>
        <v>Inefficient</v>
      </c>
    </row>
    <row r="2026" spans="1:6" x14ac:dyDescent="0.25">
      <c r="A2026" cm="1">
        <f t="array" ref="A2026">INDEX('Portfolio Weights Returns'!$B$9:$BJ$69,
INT((ROW(A2025)-1)/COLUMNS('Portfolio Weights Returns'!$B$9:$BJ$69))+1,MOD(ROW(A2025)-1,COLUMNS('Portfolio Weights Returns'!$B$9:$BJ$69))+1)</f>
        <v>-9.0343353208789982E-4</v>
      </c>
      <c r="B2026">
        <v>2.0400000000000001E-2</v>
      </c>
      <c r="C2026" s="59">
        <v>-0.17</v>
      </c>
      <c r="D2026" s="59">
        <v>0.22</v>
      </c>
      <c r="E2026" s="60">
        <f t="shared" si="31"/>
        <v>0.95000000000000007</v>
      </c>
      <c r="F2026" t="str" cm="1">
        <f t="array" ref="F2026">IF(A2026=MAX(IF(ROUND($B$2:$B$3722,4)=ROUND(B2026,4),$A$2:$A$3722)),"Efficient","Inefficient")</f>
        <v>Inefficient</v>
      </c>
    </row>
    <row r="2027" spans="1:6" x14ac:dyDescent="0.25">
      <c r="A2027" cm="1">
        <f t="array" ref="A2027">INDEX('Portfolio Weights Returns'!$B$9:$BJ$69,
INT((ROW(A2026)-1)/COLUMNS('Portfolio Weights Returns'!$B$9:$BJ$69))+1,MOD(ROW(A2026)-1,COLUMNS('Portfolio Weights Returns'!$B$9:$BJ$69))+1)</f>
        <v>-8.9665235812122067E-4</v>
      </c>
      <c r="B2027">
        <v>2.0400000000000001E-2</v>
      </c>
      <c r="C2027" s="59">
        <v>-0.16</v>
      </c>
      <c r="D2027" s="59">
        <v>0.24</v>
      </c>
      <c r="E2027" s="60">
        <f t="shared" si="31"/>
        <v>0.92</v>
      </c>
      <c r="F2027" t="str" cm="1">
        <f t="array" ref="F2027">IF(A2027=MAX(IF(ROUND($B$2:$B$3722,4)=ROUND(B2027,4),$A$2:$A$3722)),"Efficient","Inefficient")</f>
        <v>Inefficient</v>
      </c>
    </row>
    <row r="2028" spans="1:6" x14ac:dyDescent="0.25">
      <c r="A2028" cm="1">
        <f t="array" ref="A2028">INDEX('Portfolio Weights Returns'!$B$9:$BJ$69,
INT((ROW(A2027)-1)/COLUMNS('Portfolio Weights Returns'!$B$9:$BJ$69))+1,MOD(ROW(A2027)-1,COLUMNS('Portfolio Weights Returns'!$B$9:$BJ$69))+1)</f>
        <v>-8.8987118415454142E-4</v>
      </c>
      <c r="B2028">
        <v>2.0400000000000001E-2</v>
      </c>
      <c r="C2028" s="59">
        <v>-0.16</v>
      </c>
      <c r="D2028" s="59">
        <v>0.25</v>
      </c>
      <c r="E2028" s="60">
        <f t="shared" si="31"/>
        <v>0.91</v>
      </c>
      <c r="F2028" t="str" cm="1">
        <f t="array" ref="F2028">IF(A2028=MAX(IF(ROUND($B$2:$B$3722,4)=ROUND(B2028,4),$A$2:$A$3722)),"Efficient","Inefficient")</f>
        <v>Inefficient</v>
      </c>
    </row>
    <row r="2029" spans="1:6" x14ac:dyDescent="0.25">
      <c r="A2029" cm="1">
        <f t="array" ref="A2029">INDEX('Portfolio Weights Returns'!$B$9:$BJ$69,
INT((ROW(A2028)-1)/COLUMNS('Portfolio Weights Returns'!$B$9:$BJ$69))+1,MOD(ROW(A2028)-1,COLUMNS('Portfolio Weights Returns'!$B$9:$BJ$69))+1)</f>
        <v>-8.8309001018786238E-4</v>
      </c>
      <c r="B2029">
        <v>2.0400000000000001E-2</v>
      </c>
      <c r="C2029" s="59">
        <v>-0.16</v>
      </c>
      <c r="D2029" s="59">
        <v>0.26</v>
      </c>
      <c r="E2029" s="60">
        <f t="shared" si="31"/>
        <v>0.9</v>
      </c>
      <c r="F2029" t="str" cm="1">
        <f t="array" ref="F2029">IF(A2029=MAX(IF(ROUND($B$2:$B$3722,4)=ROUND(B2029,4),$A$2:$A$3722)),"Efficient","Inefficient")</f>
        <v>Inefficient</v>
      </c>
    </row>
    <row r="2030" spans="1:6" x14ac:dyDescent="0.25">
      <c r="A2030" cm="1">
        <f t="array" ref="A2030">INDEX('Portfolio Weights Returns'!$B$9:$BJ$69,
INT((ROW(A2029)-1)/COLUMNS('Portfolio Weights Returns'!$B$9:$BJ$69))+1,MOD(ROW(A2029)-1,COLUMNS('Portfolio Weights Returns'!$B$9:$BJ$69))+1)</f>
        <v>-8.7630883622118324E-4</v>
      </c>
      <c r="B2030">
        <v>2.0400000000000001E-2</v>
      </c>
      <c r="C2030" s="59">
        <v>-0.15</v>
      </c>
      <c r="D2030" s="59">
        <v>0.27</v>
      </c>
      <c r="E2030" s="60">
        <f t="shared" si="31"/>
        <v>0.88</v>
      </c>
      <c r="F2030" t="str" cm="1">
        <f t="array" ref="F2030">IF(A2030=MAX(IF(ROUND($B$2:$B$3722,4)=ROUND(B2030,4),$A$2:$A$3722)),"Efficient","Inefficient")</f>
        <v>Inefficient</v>
      </c>
    </row>
    <row r="2031" spans="1:6" x14ac:dyDescent="0.25">
      <c r="A2031" cm="1">
        <f t="array" ref="A2031">INDEX('Portfolio Weights Returns'!$B$9:$BJ$69,
INT((ROW(A2030)-1)/COLUMNS('Portfolio Weights Returns'!$B$9:$BJ$69))+1,MOD(ROW(A2030)-1,COLUMNS('Portfolio Weights Returns'!$B$9:$BJ$69))+1)</f>
        <v>-8.6952766225450442E-4</v>
      </c>
      <c r="B2031">
        <v>2.0400000000000001E-2</v>
      </c>
      <c r="C2031" s="59">
        <v>-0.15</v>
      </c>
      <c r="D2031" s="59">
        <v>0.28000000000000003</v>
      </c>
      <c r="E2031" s="60">
        <f t="shared" si="31"/>
        <v>0.87</v>
      </c>
      <c r="F2031" t="str" cm="1">
        <f t="array" ref="F2031">IF(A2031=MAX(IF(ROUND($B$2:$B$3722,4)=ROUND(B2031,4),$A$2:$A$3722)),"Efficient","Inefficient")</f>
        <v>Inefficient</v>
      </c>
    </row>
    <row r="2032" spans="1:6" x14ac:dyDescent="0.25">
      <c r="A2032" cm="1">
        <f t="array" ref="A2032">INDEX('Portfolio Weights Returns'!$B$9:$BJ$69,
INT((ROW(A2031)-1)/COLUMNS('Portfolio Weights Returns'!$B$9:$BJ$69))+1,MOD(ROW(A2031)-1,COLUMNS('Portfolio Weights Returns'!$B$9:$BJ$69))+1)</f>
        <v>-8.6274648828782506E-4</v>
      </c>
      <c r="B2032">
        <v>2.0400000000000001E-2</v>
      </c>
      <c r="C2032" s="59">
        <v>-0.14000000000000001</v>
      </c>
      <c r="D2032" s="59">
        <v>0.28999999999999998</v>
      </c>
      <c r="E2032" s="60">
        <f t="shared" si="31"/>
        <v>0.85</v>
      </c>
      <c r="F2032" t="str" cm="1">
        <f t="array" ref="F2032">IF(A2032=MAX(IF(ROUND($B$2:$B$3722,4)=ROUND(B2032,4),$A$2:$A$3722)),"Efficient","Inefficient")</f>
        <v>Inefficient</v>
      </c>
    </row>
    <row r="2033" spans="1:6" x14ac:dyDescent="0.25">
      <c r="A2033" cm="1">
        <f t="array" ref="A2033">INDEX('Portfolio Weights Returns'!$B$9:$BJ$69,
INT((ROW(A2032)-1)/COLUMNS('Portfolio Weights Returns'!$B$9:$BJ$69))+1,MOD(ROW(A2032)-1,COLUMNS('Portfolio Weights Returns'!$B$9:$BJ$69))+1)</f>
        <v>-8.5596531432114613E-4</v>
      </c>
      <c r="B2033">
        <v>2.0400000000000001E-2</v>
      </c>
      <c r="C2033" s="59">
        <v>-0.14000000000000001</v>
      </c>
      <c r="D2033" s="59">
        <v>0.3</v>
      </c>
      <c r="E2033" s="60">
        <f t="shared" si="31"/>
        <v>0.84</v>
      </c>
      <c r="F2033" t="str" cm="1">
        <f t="array" ref="F2033">IF(A2033=MAX(IF(ROUND($B$2:$B$3722,4)=ROUND(B2033,4),$A$2:$A$3722)),"Efficient","Inefficient")</f>
        <v>Inefficient</v>
      </c>
    </row>
    <row r="2034" spans="1:6" x14ac:dyDescent="0.25">
      <c r="A2034" cm="1">
        <f t="array" ref="A2034">INDEX('Portfolio Weights Returns'!$B$9:$BJ$69,
INT((ROW(A2033)-1)/COLUMNS('Portfolio Weights Returns'!$B$9:$BJ$69))+1,MOD(ROW(A2033)-1,COLUMNS('Portfolio Weights Returns'!$B$9:$BJ$69))+1)</f>
        <v>-8.4918414035446699E-4</v>
      </c>
      <c r="B2034">
        <v>2.0500000000000001E-2</v>
      </c>
      <c r="C2034" s="59">
        <v>0.28999999999999998</v>
      </c>
      <c r="D2034" s="59">
        <v>-0.28000000000000003</v>
      </c>
      <c r="E2034" s="60">
        <f t="shared" si="31"/>
        <v>0.99</v>
      </c>
      <c r="F2034" t="str" cm="1">
        <f t="array" ref="F2034">IF(A2034=MAX(IF(ROUND($B$2:$B$3722,4)=ROUND(B2034,4),$A$2:$A$3722)),"Efficient","Inefficient")</f>
        <v>Inefficient</v>
      </c>
    </row>
    <row r="2035" spans="1:6" x14ac:dyDescent="0.25">
      <c r="A2035" cm="1">
        <f t="array" ref="A2035">INDEX('Portfolio Weights Returns'!$B$9:$BJ$69,
INT((ROW(A2034)-1)/COLUMNS('Portfolio Weights Returns'!$B$9:$BJ$69))+1,MOD(ROW(A2034)-1,COLUMNS('Portfolio Weights Returns'!$B$9:$BJ$69))+1)</f>
        <v>-8.4240296638778795E-4</v>
      </c>
      <c r="B2035">
        <v>2.0500000000000001E-2</v>
      </c>
      <c r="C2035" s="59">
        <v>0.27</v>
      </c>
      <c r="D2035" s="59">
        <v>-0.27</v>
      </c>
      <c r="E2035" s="60">
        <f t="shared" si="31"/>
        <v>1</v>
      </c>
      <c r="F2035" t="str" cm="1">
        <f t="array" ref="F2035">IF(A2035=MAX(IF(ROUND($B$2:$B$3722,4)=ROUND(B2035,4),$A$2:$A$3722)),"Efficient","Inefficient")</f>
        <v>Inefficient</v>
      </c>
    </row>
    <row r="2036" spans="1:6" x14ac:dyDescent="0.25">
      <c r="A2036" cm="1">
        <f t="array" ref="A2036">INDEX('Portfolio Weights Returns'!$B$9:$BJ$69,
INT((ROW(A2035)-1)/COLUMNS('Portfolio Weights Returns'!$B$9:$BJ$69))+1,MOD(ROW(A2035)-1,COLUMNS('Portfolio Weights Returns'!$B$9:$BJ$69))+1)</f>
        <v>-8.3562179242110881E-4</v>
      </c>
      <c r="B2036">
        <v>2.0500000000000001E-2</v>
      </c>
      <c r="C2036" s="59">
        <v>0.25</v>
      </c>
      <c r="D2036" s="59">
        <v>-0.26</v>
      </c>
      <c r="E2036" s="60">
        <f t="shared" si="31"/>
        <v>1.01</v>
      </c>
      <c r="F2036" t="str" cm="1">
        <f t="array" ref="F2036">IF(A2036=MAX(IF(ROUND($B$2:$B$3722,4)=ROUND(B2036,4),$A$2:$A$3722)),"Efficient","Inefficient")</f>
        <v>Inefficient</v>
      </c>
    </row>
    <row r="2037" spans="1:6" x14ac:dyDescent="0.25">
      <c r="A2037" cm="1">
        <f t="array" ref="A2037">INDEX('Portfolio Weights Returns'!$B$9:$BJ$69,
INT((ROW(A2036)-1)/COLUMNS('Portfolio Weights Returns'!$B$9:$BJ$69))+1,MOD(ROW(A2036)-1,COLUMNS('Portfolio Weights Returns'!$B$9:$BJ$69))+1)</f>
        <v>-8.2884061845442977E-4</v>
      </c>
      <c r="B2037">
        <v>2.0500000000000001E-2</v>
      </c>
      <c r="C2037" s="59">
        <v>0.23</v>
      </c>
      <c r="D2037" s="59">
        <v>-0.25</v>
      </c>
      <c r="E2037" s="60">
        <f t="shared" si="31"/>
        <v>1.02</v>
      </c>
      <c r="F2037" t="str" cm="1">
        <f t="array" ref="F2037">IF(A2037=MAX(IF(ROUND($B$2:$B$3722,4)=ROUND(B2037,4),$A$2:$A$3722)),"Efficient","Inefficient")</f>
        <v>Inefficient</v>
      </c>
    </row>
    <row r="2038" spans="1:6" x14ac:dyDescent="0.25">
      <c r="A2038" cm="1">
        <f t="array" ref="A2038">INDEX('Portfolio Weights Returns'!$B$9:$BJ$69,
INT((ROW(A2037)-1)/COLUMNS('Portfolio Weights Returns'!$B$9:$BJ$69))+1,MOD(ROW(A2037)-1,COLUMNS('Portfolio Weights Returns'!$B$9:$BJ$69))+1)</f>
        <v>-8.2205944448775063E-4</v>
      </c>
      <c r="B2038">
        <v>2.0500000000000001E-2</v>
      </c>
      <c r="C2038" s="59">
        <v>0.21</v>
      </c>
      <c r="D2038" s="59">
        <v>-0.24</v>
      </c>
      <c r="E2038" s="60">
        <f t="shared" si="31"/>
        <v>1.03</v>
      </c>
      <c r="F2038" t="str" cm="1">
        <f t="array" ref="F2038">IF(A2038=MAX(IF(ROUND($B$2:$B$3722,4)=ROUND(B2038,4),$A$2:$A$3722)),"Efficient","Inefficient")</f>
        <v>Inefficient</v>
      </c>
    </row>
    <row r="2039" spans="1:6" x14ac:dyDescent="0.25">
      <c r="A2039" cm="1">
        <f t="array" ref="A2039">INDEX('Portfolio Weights Returns'!$B$9:$BJ$69,
INT((ROW(A2038)-1)/COLUMNS('Portfolio Weights Returns'!$B$9:$BJ$69))+1,MOD(ROW(A2038)-1,COLUMNS('Portfolio Weights Returns'!$B$9:$BJ$69))+1)</f>
        <v>-8.1527827052107137E-4</v>
      </c>
      <c r="B2039">
        <v>2.0500000000000001E-2</v>
      </c>
      <c r="C2039" s="59">
        <v>0.18</v>
      </c>
      <c r="D2039" s="59">
        <v>-0.22</v>
      </c>
      <c r="E2039" s="60">
        <f t="shared" si="31"/>
        <v>1.04</v>
      </c>
      <c r="F2039" t="str" cm="1">
        <f t="array" ref="F2039">IF(A2039=MAX(IF(ROUND($B$2:$B$3722,4)=ROUND(B2039,4),$A$2:$A$3722)),"Efficient","Inefficient")</f>
        <v>Inefficient</v>
      </c>
    </row>
    <row r="2040" spans="1:6" x14ac:dyDescent="0.25">
      <c r="A2040" cm="1">
        <f t="array" ref="A2040">INDEX('Portfolio Weights Returns'!$B$9:$BJ$69,
INT((ROW(A2039)-1)/COLUMNS('Portfolio Weights Returns'!$B$9:$BJ$69))+1,MOD(ROW(A2039)-1,COLUMNS('Portfolio Weights Returns'!$B$9:$BJ$69))+1)</f>
        <v>-8.0849709655439234E-4</v>
      </c>
      <c r="B2040">
        <v>2.0500000000000001E-2</v>
      </c>
      <c r="C2040" s="59">
        <v>0.16</v>
      </c>
      <c r="D2040" s="59">
        <v>-0.21</v>
      </c>
      <c r="E2040" s="60">
        <f t="shared" si="31"/>
        <v>1.05</v>
      </c>
      <c r="F2040" t="str" cm="1">
        <f t="array" ref="F2040">IF(A2040=MAX(IF(ROUND($B$2:$B$3722,4)=ROUND(B2040,4),$A$2:$A$3722)),"Efficient","Inefficient")</f>
        <v>Inefficient</v>
      </c>
    </row>
    <row r="2041" spans="1:6" x14ac:dyDescent="0.25">
      <c r="A2041" cm="1">
        <f t="array" ref="A2041">INDEX('Portfolio Weights Returns'!$B$9:$BJ$69,
INT((ROW(A2040)-1)/COLUMNS('Portfolio Weights Returns'!$B$9:$BJ$69))+1,MOD(ROW(A2040)-1,COLUMNS('Portfolio Weights Returns'!$B$9:$BJ$69))+1)</f>
        <v>-8.0171592258771319E-4</v>
      </c>
      <c r="B2041">
        <v>2.0500000000000001E-2</v>
      </c>
      <c r="C2041" s="59">
        <v>0.13</v>
      </c>
      <c r="D2041" s="59">
        <v>-0.19</v>
      </c>
      <c r="E2041" s="60">
        <f t="shared" si="31"/>
        <v>1.06</v>
      </c>
      <c r="F2041" t="str" cm="1">
        <f t="array" ref="F2041">IF(A2041=MAX(IF(ROUND($B$2:$B$3722,4)=ROUND(B2041,4),$A$2:$A$3722)),"Efficient","Inefficient")</f>
        <v>Inefficient</v>
      </c>
    </row>
    <row r="2042" spans="1:6" x14ac:dyDescent="0.25">
      <c r="A2042" cm="1">
        <f t="array" ref="A2042">INDEX('Portfolio Weights Returns'!$B$9:$BJ$69,
INT((ROW(A2041)-1)/COLUMNS('Portfolio Weights Returns'!$B$9:$BJ$69))+1,MOD(ROW(A2041)-1,COLUMNS('Portfolio Weights Returns'!$B$9:$BJ$69))+1)</f>
        <v>-7.9493474862103416E-4</v>
      </c>
      <c r="B2042">
        <v>2.0500000000000001E-2</v>
      </c>
      <c r="C2042" s="59">
        <v>0.1</v>
      </c>
      <c r="D2042" s="59">
        <v>-0.17</v>
      </c>
      <c r="E2042" s="60">
        <f t="shared" si="31"/>
        <v>1.0699999999999998</v>
      </c>
      <c r="F2042" t="str" cm="1">
        <f t="array" ref="F2042">IF(A2042=MAX(IF(ROUND($B$2:$B$3722,4)=ROUND(B2042,4),$A$2:$A$3722)),"Efficient","Inefficient")</f>
        <v>Inefficient</v>
      </c>
    </row>
    <row r="2043" spans="1:6" x14ac:dyDescent="0.25">
      <c r="A2043" cm="1">
        <f t="array" ref="A2043">INDEX('Portfolio Weights Returns'!$B$9:$BJ$69,
INT((ROW(A2042)-1)/COLUMNS('Portfolio Weights Returns'!$B$9:$BJ$69))+1,MOD(ROW(A2042)-1,COLUMNS('Portfolio Weights Returns'!$B$9:$BJ$69))+1)</f>
        <v>-7.8815357465435501E-4</v>
      </c>
      <c r="B2043">
        <v>2.0500000000000001E-2</v>
      </c>
      <c r="C2043" s="59">
        <v>7.0000000000000007E-2</v>
      </c>
      <c r="D2043" s="59">
        <v>-0.15</v>
      </c>
      <c r="E2043" s="60">
        <f t="shared" si="31"/>
        <v>1.0799999999999998</v>
      </c>
      <c r="F2043" t="str" cm="1">
        <f t="array" ref="F2043">IF(A2043=MAX(IF(ROUND($B$2:$B$3722,4)=ROUND(B2043,4),$A$2:$A$3722)),"Efficient","Inefficient")</f>
        <v>Inefficient</v>
      </c>
    </row>
    <row r="2044" spans="1:6" x14ac:dyDescent="0.25">
      <c r="A2044" cm="1">
        <f t="array" ref="A2044">INDEX('Portfolio Weights Returns'!$B$9:$BJ$69,
INT((ROW(A2043)-1)/COLUMNS('Portfolio Weights Returns'!$B$9:$BJ$69))+1,MOD(ROW(A2043)-1,COLUMNS('Portfolio Weights Returns'!$B$9:$BJ$69))+1)</f>
        <v>-7.8137240068767598E-4</v>
      </c>
      <c r="B2044">
        <v>2.0500000000000001E-2</v>
      </c>
      <c r="C2044" s="59">
        <v>0.06</v>
      </c>
      <c r="D2044" s="59">
        <v>-0.14000000000000001</v>
      </c>
      <c r="E2044" s="60">
        <f t="shared" si="31"/>
        <v>1.08</v>
      </c>
      <c r="F2044" t="str" cm="1">
        <f t="array" ref="F2044">IF(A2044=MAX(IF(ROUND($B$2:$B$3722,4)=ROUND(B2044,4),$A$2:$A$3722)),"Efficient","Inefficient")</f>
        <v>Inefficient</v>
      </c>
    </row>
    <row r="2045" spans="1:6" x14ac:dyDescent="0.25">
      <c r="A2045" cm="1">
        <f t="array" ref="A2045">INDEX('Portfolio Weights Returns'!$B$9:$BJ$69,
INT((ROW(A2044)-1)/COLUMNS('Portfolio Weights Returns'!$B$9:$BJ$69))+1,MOD(ROW(A2044)-1,COLUMNS('Portfolio Weights Returns'!$B$9:$BJ$69))+1)</f>
        <v>-7.7459122672099683E-4</v>
      </c>
      <c r="B2045">
        <v>2.0500000000000001E-2</v>
      </c>
      <c r="C2045" s="59">
        <v>0.03</v>
      </c>
      <c r="D2045" s="59">
        <v>-0.12</v>
      </c>
      <c r="E2045" s="60">
        <f t="shared" si="31"/>
        <v>1.0900000000000001</v>
      </c>
      <c r="F2045" t="str" cm="1">
        <f t="array" ref="F2045">IF(A2045=MAX(IF(ROUND($B$2:$B$3722,4)=ROUND(B2045,4),$A$2:$A$3722)),"Efficient","Inefficient")</f>
        <v>Inefficient</v>
      </c>
    </row>
    <row r="2046" spans="1:6" x14ac:dyDescent="0.25">
      <c r="A2046" cm="1">
        <f t="array" ref="A2046">INDEX('Portfolio Weights Returns'!$B$9:$BJ$69,
INT((ROW(A2045)-1)/COLUMNS('Portfolio Weights Returns'!$B$9:$BJ$69))+1,MOD(ROW(A2045)-1,COLUMNS('Portfolio Weights Returns'!$B$9:$BJ$69))+1)</f>
        <v>-7.6781005275431769E-4</v>
      </c>
      <c r="B2046">
        <v>2.0500000000000001E-2</v>
      </c>
      <c r="C2046" s="59">
        <v>0.02</v>
      </c>
      <c r="D2046" s="59">
        <v>-0.11</v>
      </c>
      <c r="E2046" s="60">
        <f t="shared" si="31"/>
        <v>1.0900000000000001</v>
      </c>
      <c r="F2046" t="str" cm="1">
        <f t="array" ref="F2046">IF(A2046=MAX(IF(ROUND($B$2:$B$3722,4)=ROUND(B2046,4),$A$2:$A$3722)),"Efficient","Inefficient")</f>
        <v>Inefficient</v>
      </c>
    </row>
    <row r="2047" spans="1:6" x14ac:dyDescent="0.25">
      <c r="A2047" cm="1">
        <f t="array" ref="A2047">INDEX('Portfolio Weights Returns'!$B$9:$BJ$69,
INT((ROW(A2046)-1)/COLUMNS('Portfolio Weights Returns'!$B$9:$BJ$69))+1,MOD(ROW(A2046)-1,COLUMNS('Portfolio Weights Returns'!$B$9:$BJ$69))+1)</f>
        <v>-7.6102887878763854E-4</v>
      </c>
      <c r="B2047">
        <v>2.0500000000000001E-2</v>
      </c>
      <c r="C2047" s="59">
        <v>0.01</v>
      </c>
      <c r="D2047" s="59">
        <v>-0.1</v>
      </c>
      <c r="E2047" s="60">
        <f t="shared" si="31"/>
        <v>1.0900000000000001</v>
      </c>
      <c r="F2047" t="str" cm="1">
        <f t="array" ref="F2047">IF(A2047=MAX(IF(ROUND($B$2:$B$3722,4)=ROUND(B2047,4),$A$2:$A$3722)),"Efficient","Inefficient")</f>
        <v>Inefficient</v>
      </c>
    </row>
    <row r="2048" spans="1:6" x14ac:dyDescent="0.25">
      <c r="A2048" cm="1">
        <f t="array" ref="A2048">INDEX('Portfolio Weights Returns'!$B$9:$BJ$69,
INT((ROW(A2047)-1)/COLUMNS('Portfolio Weights Returns'!$B$9:$BJ$69))+1,MOD(ROW(A2047)-1,COLUMNS('Portfolio Weights Returns'!$B$9:$BJ$69))+1)</f>
        <v>-7.542477048209594E-4</v>
      </c>
      <c r="B2048">
        <v>2.0500000000000001E-2</v>
      </c>
      <c r="C2048" s="59">
        <v>-0.08</v>
      </c>
      <c r="D2048" s="59">
        <v>-0.01</v>
      </c>
      <c r="E2048" s="60">
        <f t="shared" si="31"/>
        <v>1.0900000000000001</v>
      </c>
      <c r="F2048" t="str" cm="1">
        <f t="array" ref="F2048">IF(A2048=MAX(IF(ROUND($B$2:$B$3722,4)=ROUND(B2048,4),$A$2:$A$3722)),"Efficient","Inefficient")</f>
        <v>Inefficient</v>
      </c>
    </row>
    <row r="2049" spans="1:6" x14ac:dyDescent="0.25">
      <c r="A2049" cm="1">
        <f t="array" ref="A2049">INDEX('Portfolio Weights Returns'!$B$9:$BJ$69,
INT((ROW(A2048)-1)/COLUMNS('Portfolio Weights Returns'!$B$9:$BJ$69))+1,MOD(ROW(A2048)-1,COLUMNS('Portfolio Weights Returns'!$B$9:$BJ$69))+1)</f>
        <v>-7.4746653085428036E-4</v>
      </c>
      <c r="B2049">
        <v>2.0500000000000001E-2</v>
      </c>
      <c r="C2049" s="59">
        <v>-0.09</v>
      </c>
      <c r="D2049" s="59">
        <v>0</v>
      </c>
      <c r="E2049" s="60">
        <f t="shared" si="31"/>
        <v>1.0900000000000001</v>
      </c>
      <c r="F2049" t="str" cm="1">
        <f t="array" ref="F2049">IF(A2049=MAX(IF(ROUND($B$2:$B$3722,4)=ROUND(B2049,4),$A$2:$A$3722)),"Efficient","Inefficient")</f>
        <v>Inefficient</v>
      </c>
    </row>
    <row r="2050" spans="1:6" x14ac:dyDescent="0.25">
      <c r="A2050" cm="1">
        <f t="array" ref="A2050">INDEX('Portfolio Weights Returns'!$B$9:$BJ$69,
INT((ROW(A2049)-1)/COLUMNS('Portfolio Weights Returns'!$B$9:$BJ$69))+1,MOD(ROW(A2049)-1,COLUMNS('Portfolio Weights Returns'!$B$9:$BJ$69))+1)</f>
        <v>-7.4068535688760122E-4</v>
      </c>
      <c r="B2050">
        <v>2.0500000000000001E-2</v>
      </c>
      <c r="C2050" s="59">
        <v>-0.1</v>
      </c>
      <c r="D2050" s="59">
        <v>0.01</v>
      </c>
      <c r="E2050" s="60">
        <f t="shared" ref="E2050:E2113" si="32">1-D2050-C2050</f>
        <v>1.0900000000000001</v>
      </c>
      <c r="F2050" t="str" cm="1">
        <f t="array" ref="F2050">IF(A2050=MAX(IF(ROUND($B$2:$B$3722,4)=ROUND(B2050,4),$A$2:$A$3722)),"Efficient","Inefficient")</f>
        <v>Inefficient</v>
      </c>
    </row>
    <row r="2051" spans="1:6" x14ac:dyDescent="0.25">
      <c r="A2051" cm="1">
        <f t="array" ref="A2051">INDEX('Portfolio Weights Returns'!$B$9:$BJ$69,
INT((ROW(A2050)-1)/COLUMNS('Portfolio Weights Returns'!$B$9:$BJ$69))+1,MOD(ROW(A2050)-1,COLUMNS('Portfolio Weights Returns'!$B$9:$BJ$69))+1)</f>
        <v>-7.3390418292092218E-4</v>
      </c>
      <c r="B2051">
        <v>2.0500000000000001E-2</v>
      </c>
      <c r="C2051" s="59">
        <v>-0.11</v>
      </c>
      <c r="D2051" s="59">
        <v>0.03</v>
      </c>
      <c r="E2051" s="60">
        <f t="shared" si="32"/>
        <v>1.08</v>
      </c>
      <c r="F2051" t="str" cm="1">
        <f t="array" ref="F2051">IF(A2051=MAX(IF(ROUND($B$2:$B$3722,4)=ROUND(B2051,4),$A$2:$A$3722)),"Efficient","Inefficient")</f>
        <v>Inefficient</v>
      </c>
    </row>
    <row r="2052" spans="1:6" x14ac:dyDescent="0.25">
      <c r="A2052" cm="1">
        <f t="array" ref="A2052">INDEX('Portfolio Weights Returns'!$B$9:$BJ$69,
INT((ROW(A2051)-1)/COLUMNS('Portfolio Weights Returns'!$B$9:$BJ$69))+1,MOD(ROW(A2051)-1,COLUMNS('Portfolio Weights Returns'!$B$9:$BJ$69))+1)</f>
        <v>-7.2712300895424304E-4</v>
      </c>
      <c r="B2052">
        <v>2.0500000000000001E-2</v>
      </c>
      <c r="C2052" s="59">
        <v>-0.12</v>
      </c>
      <c r="D2052" s="59">
        <v>0.04</v>
      </c>
      <c r="E2052" s="60">
        <f t="shared" si="32"/>
        <v>1.08</v>
      </c>
      <c r="F2052" t="str" cm="1">
        <f t="array" ref="F2052">IF(A2052=MAX(IF(ROUND($B$2:$B$3722,4)=ROUND(B2052,4),$A$2:$A$3722)),"Efficient","Inefficient")</f>
        <v>Inefficient</v>
      </c>
    </row>
    <row r="2053" spans="1:6" x14ac:dyDescent="0.25">
      <c r="A2053" cm="1">
        <f t="array" ref="A2053">INDEX('Portfolio Weights Returns'!$B$9:$BJ$69,
INT((ROW(A2052)-1)/COLUMNS('Portfolio Weights Returns'!$B$9:$BJ$69))+1,MOD(ROW(A2052)-1,COLUMNS('Portfolio Weights Returns'!$B$9:$BJ$69))+1)</f>
        <v>-7.20341834987564E-4</v>
      </c>
      <c r="B2053">
        <v>2.0500000000000001E-2</v>
      </c>
      <c r="C2053" s="59">
        <v>-0.13</v>
      </c>
      <c r="D2053" s="59">
        <v>0.06</v>
      </c>
      <c r="E2053" s="60">
        <f t="shared" si="32"/>
        <v>1.0699999999999998</v>
      </c>
      <c r="F2053" t="str" cm="1">
        <f t="array" ref="F2053">IF(A2053=MAX(IF(ROUND($B$2:$B$3722,4)=ROUND(B2053,4),$A$2:$A$3722)),"Efficient","Inefficient")</f>
        <v>Inefficient</v>
      </c>
    </row>
    <row r="2054" spans="1:6" x14ac:dyDescent="0.25">
      <c r="A2054" cm="1">
        <f t="array" ref="A2054">INDEX('Portfolio Weights Returns'!$B$9:$BJ$69,
INT((ROW(A2053)-1)/COLUMNS('Portfolio Weights Returns'!$B$9:$BJ$69))+1,MOD(ROW(A2053)-1,COLUMNS('Portfolio Weights Returns'!$B$9:$BJ$69))+1)</f>
        <v>-7.1356066102088486E-4</v>
      </c>
      <c r="B2054">
        <v>2.0500000000000001E-2</v>
      </c>
      <c r="C2054" s="59">
        <v>-0.14000000000000001</v>
      </c>
      <c r="D2054" s="59">
        <v>7.0000000000000007E-2</v>
      </c>
      <c r="E2054" s="60">
        <f t="shared" si="32"/>
        <v>1.0699999999999998</v>
      </c>
      <c r="F2054" t="str" cm="1">
        <f t="array" ref="F2054">IF(A2054=MAX(IF(ROUND($B$2:$B$3722,4)=ROUND(B2054,4),$A$2:$A$3722)),"Efficient","Inefficient")</f>
        <v>Inefficient</v>
      </c>
    </row>
    <row r="2055" spans="1:6" x14ac:dyDescent="0.25">
      <c r="A2055" cm="1">
        <f t="array" ref="A2055">INDEX('Portfolio Weights Returns'!$B$9:$BJ$69,
INT((ROW(A2054)-1)/COLUMNS('Portfolio Weights Returns'!$B$9:$BJ$69))+1,MOD(ROW(A2054)-1,COLUMNS('Portfolio Weights Returns'!$B$9:$BJ$69))+1)</f>
        <v>-7.0677948705420582E-4</v>
      </c>
      <c r="B2055">
        <v>2.0500000000000001E-2</v>
      </c>
      <c r="C2055" s="59">
        <v>-0.15</v>
      </c>
      <c r="D2055" s="59">
        <v>0.09</v>
      </c>
      <c r="E2055" s="60">
        <f t="shared" si="32"/>
        <v>1.06</v>
      </c>
      <c r="F2055" t="str" cm="1">
        <f t="array" ref="F2055">IF(A2055=MAX(IF(ROUND($B$2:$B$3722,4)=ROUND(B2055,4),$A$2:$A$3722)),"Efficient","Inefficient")</f>
        <v>Inefficient</v>
      </c>
    </row>
    <row r="2056" spans="1:6" x14ac:dyDescent="0.25">
      <c r="A2056" cm="1">
        <f t="array" ref="A2056">INDEX('Portfolio Weights Returns'!$B$9:$BJ$69,
INT((ROW(A2055)-1)/COLUMNS('Portfolio Weights Returns'!$B$9:$BJ$69))+1,MOD(ROW(A2055)-1,COLUMNS('Portfolio Weights Returns'!$B$9:$BJ$69))+1)</f>
        <v>-6.9999831308752668E-4</v>
      </c>
      <c r="B2056">
        <v>2.0500000000000001E-2</v>
      </c>
      <c r="C2056" s="59">
        <v>-0.15</v>
      </c>
      <c r="D2056" s="59">
        <v>0.1</v>
      </c>
      <c r="E2056" s="60">
        <f t="shared" si="32"/>
        <v>1.05</v>
      </c>
      <c r="F2056" t="str" cm="1">
        <f t="array" ref="F2056">IF(A2056=MAX(IF(ROUND($B$2:$B$3722,4)=ROUND(B2056,4),$A$2:$A$3722)),"Efficient","Inefficient")</f>
        <v>Inefficient</v>
      </c>
    </row>
    <row r="2057" spans="1:6" x14ac:dyDescent="0.25">
      <c r="A2057" cm="1">
        <f t="array" ref="A2057">INDEX('Portfolio Weights Returns'!$B$9:$BJ$69,
INT((ROW(A2056)-1)/COLUMNS('Portfolio Weights Returns'!$B$9:$BJ$69))+1,MOD(ROW(A2056)-1,COLUMNS('Portfolio Weights Returns'!$B$9:$BJ$69))+1)</f>
        <v>-6.9321713912084753E-4</v>
      </c>
      <c r="B2057">
        <v>2.0500000000000001E-2</v>
      </c>
      <c r="C2057" s="59">
        <v>-0.16</v>
      </c>
      <c r="D2057" s="59">
        <v>0.11</v>
      </c>
      <c r="E2057" s="60">
        <f t="shared" si="32"/>
        <v>1.05</v>
      </c>
      <c r="F2057" t="str" cm="1">
        <f t="array" ref="F2057">IF(A2057=MAX(IF(ROUND($B$2:$B$3722,4)=ROUND(B2057,4),$A$2:$A$3722)),"Efficient","Inefficient")</f>
        <v>Inefficient</v>
      </c>
    </row>
    <row r="2058" spans="1:6" x14ac:dyDescent="0.25">
      <c r="A2058" cm="1">
        <f t="array" ref="A2058">INDEX('Portfolio Weights Returns'!$B$9:$BJ$69,
INT((ROW(A2057)-1)/COLUMNS('Portfolio Weights Returns'!$B$9:$BJ$69))+1,MOD(ROW(A2057)-1,COLUMNS('Portfolio Weights Returns'!$B$9:$BJ$69))+1)</f>
        <v>-6.8643596515416839E-4</v>
      </c>
      <c r="B2058">
        <v>2.0500000000000001E-2</v>
      </c>
      <c r="C2058" s="59">
        <v>-0.16</v>
      </c>
      <c r="D2058" s="59">
        <v>0.12</v>
      </c>
      <c r="E2058" s="60">
        <f t="shared" si="32"/>
        <v>1.04</v>
      </c>
      <c r="F2058" t="str" cm="1">
        <f t="array" ref="F2058">IF(A2058=MAX(IF(ROUND($B$2:$B$3722,4)=ROUND(B2058,4),$A$2:$A$3722)),"Efficient","Inefficient")</f>
        <v>Inefficient</v>
      </c>
    </row>
    <row r="2059" spans="1:6" x14ac:dyDescent="0.25">
      <c r="A2059" cm="1">
        <f t="array" ref="A2059">INDEX('Portfolio Weights Returns'!$B$9:$BJ$69,
INT((ROW(A2058)-1)/COLUMNS('Portfolio Weights Returns'!$B$9:$BJ$69))+1,MOD(ROW(A2058)-1,COLUMNS('Portfolio Weights Returns'!$B$9:$BJ$69))+1)</f>
        <v>-6.7965479118748924E-4</v>
      </c>
      <c r="B2059">
        <v>2.0500000000000001E-2</v>
      </c>
      <c r="C2059" s="59">
        <v>-0.17</v>
      </c>
      <c r="D2059" s="59">
        <v>0.14000000000000001</v>
      </c>
      <c r="E2059" s="60">
        <f t="shared" si="32"/>
        <v>1.03</v>
      </c>
      <c r="F2059" t="str" cm="1">
        <f t="array" ref="F2059">IF(A2059=MAX(IF(ROUND($B$2:$B$3722,4)=ROUND(B2059,4),$A$2:$A$3722)),"Efficient","Inefficient")</f>
        <v>Inefficient</v>
      </c>
    </row>
    <row r="2060" spans="1:6" x14ac:dyDescent="0.25">
      <c r="A2060" cm="1">
        <f t="array" ref="A2060">INDEX('Portfolio Weights Returns'!$B$9:$BJ$69,
INT((ROW(A2059)-1)/COLUMNS('Portfolio Weights Returns'!$B$9:$BJ$69))+1,MOD(ROW(A2059)-1,COLUMNS('Portfolio Weights Returns'!$B$9:$BJ$69))+1)</f>
        <v>-6.7287361722081021E-4</v>
      </c>
      <c r="B2060">
        <v>2.0500000000000001E-2</v>
      </c>
      <c r="C2060" s="59">
        <v>-0.17</v>
      </c>
      <c r="D2060" s="59">
        <v>0.15</v>
      </c>
      <c r="E2060" s="60">
        <f t="shared" si="32"/>
        <v>1.02</v>
      </c>
      <c r="F2060" t="str" cm="1">
        <f t="array" ref="F2060">IF(A2060=MAX(IF(ROUND($B$2:$B$3722,4)=ROUND(B2060,4),$A$2:$A$3722)),"Efficient","Inefficient")</f>
        <v>Inefficient</v>
      </c>
    </row>
    <row r="2061" spans="1:6" x14ac:dyDescent="0.25">
      <c r="A2061" cm="1">
        <f t="array" ref="A2061">INDEX('Portfolio Weights Returns'!$B$9:$BJ$69,
INT((ROW(A2060)-1)/COLUMNS('Portfolio Weights Returns'!$B$9:$BJ$69))+1,MOD(ROW(A2060)-1,COLUMNS('Portfolio Weights Returns'!$B$9:$BJ$69))+1)</f>
        <v>-6.6609244325413106E-4</v>
      </c>
      <c r="B2061">
        <v>2.0500000000000001E-2</v>
      </c>
      <c r="C2061" s="59">
        <v>-0.17</v>
      </c>
      <c r="D2061" s="59">
        <v>0.16</v>
      </c>
      <c r="E2061" s="60">
        <f t="shared" si="32"/>
        <v>1.01</v>
      </c>
      <c r="F2061" t="str" cm="1">
        <f t="array" ref="F2061">IF(A2061=MAX(IF(ROUND($B$2:$B$3722,4)=ROUND(B2061,4),$A$2:$A$3722)),"Efficient","Inefficient")</f>
        <v>Inefficient</v>
      </c>
    </row>
    <row r="2062" spans="1:6" x14ac:dyDescent="0.25">
      <c r="A2062" cm="1">
        <f t="array" ref="A2062">INDEX('Portfolio Weights Returns'!$B$9:$BJ$69,
INT((ROW(A2061)-1)/COLUMNS('Portfolio Weights Returns'!$B$9:$BJ$69))+1,MOD(ROW(A2061)-1,COLUMNS('Portfolio Weights Returns'!$B$9:$BJ$69))+1)</f>
        <v>-6.5931126928745203E-4</v>
      </c>
      <c r="B2062">
        <v>2.0500000000000001E-2</v>
      </c>
      <c r="C2062" s="59">
        <v>-0.17</v>
      </c>
      <c r="D2062" s="59">
        <v>0.17</v>
      </c>
      <c r="E2062" s="60">
        <f t="shared" si="32"/>
        <v>1</v>
      </c>
      <c r="F2062" t="str" cm="1">
        <f t="array" ref="F2062">IF(A2062=MAX(IF(ROUND($B$2:$B$3722,4)=ROUND(B2062,4),$A$2:$A$3722)),"Efficient","Inefficient")</f>
        <v>Inefficient</v>
      </c>
    </row>
    <row r="2063" spans="1:6" x14ac:dyDescent="0.25">
      <c r="A2063" cm="1">
        <f t="array" ref="A2063">INDEX('Portfolio Weights Returns'!$B$9:$BJ$69,
INT((ROW(A2062)-1)/COLUMNS('Portfolio Weights Returns'!$B$9:$BJ$69))+1,MOD(ROW(A2062)-1,COLUMNS('Portfolio Weights Returns'!$B$9:$BJ$69))+1)</f>
        <v>-6.5253009532077299E-4</v>
      </c>
      <c r="B2063">
        <v>2.0500000000000001E-2</v>
      </c>
      <c r="C2063" s="59">
        <v>-0.17</v>
      </c>
      <c r="D2063" s="59">
        <v>0.23</v>
      </c>
      <c r="E2063" s="60">
        <f t="shared" si="32"/>
        <v>0.94000000000000006</v>
      </c>
      <c r="F2063" t="str" cm="1">
        <f t="array" ref="F2063">IF(A2063=MAX(IF(ROUND($B$2:$B$3722,4)=ROUND(B2063,4),$A$2:$A$3722)),"Efficient","Inefficient")</f>
        <v>Inefficient</v>
      </c>
    </row>
    <row r="2064" spans="1:6" x14ac:dyDescent="0.25">
      <c r="A2064" cm="1">
        <f t="array" ref="A2064">INDEX('Portfolio Weights Returns'!$B$9:$BJ$69,
INT((ROW(A2063)-1)/COLUMNS('Portfolio Weights Returns'!$B$9:$BJ$69))+1,MOD(ROW(A2063)-1,COLUMNS('Portfolio Weights Returns'!$B$9:$BJ$69))+1)</f>
        <v>-6.4574892135409385E-4</v>
      </c>
      <c r="B2064">
        <v>2.0500000000000001E-2</v>
      </c>
      <c r="C2064" s="59">
        <v>-0.17</v>
      </c>
      <c r="D2064" s="59">
        <v>0.24</v>
      </c>
      <c r="E2064" s="60">
        <f t="shared" si="32"/>
        <v>0.93</v>
      </c>
      <c r="F2064" t="str" cm="1">
        <f t="array" ref="F2064">IF(A2064=MAX(IF(ROUND($B$2:$B$3722,4)=ROUND(B2064,4),$A$2:$A$3722)),"Efficient","Inefficient")</f>
        <v>Inefficient</v>
      </c>
    </row>
    <row r="2065" spans="1:6" x14ac:dyDescent="0.25">
      <c r="A2065" cm="1">
        <f t="array" ref="A2065">INDEX('Portfolio Weights Returns'!$B$9:$BJ$69,
INT((ROW(A2064)-1)/COLUMNS('Portfolio Weights Returns'!$B$9:$BJ$69))+1,MOD(ROW(A2064)-1,COLUMNS('Portfolio Weights Returns'!$B$9:$BJ$69))+1)</f>
        <v>-6.389677473874147E-4</v>
      </c>
      <c r="B2065">
        <v>2.0500000000000001E-2</v>
      </c>
      <c r="C2065" s="59">
        <v>-0.17</v>
      </c>
      <c r="D2065" s="59">
        <v>0.25</v>
      </c>
      <c r="E2065" s="60">
        <f t="shared" si="32"/>
        <v>0.92</v>
      </c>
      <c r="F2065" t="str" cm="1">
        <f t="array" ref="F2065">IF(A2065=MAX(IF(ROUND($B$2:$B$3722,4)=ROUND(B2065,4),$A$2:$A$3722)),"Efficient","Inefficient")</f>
        <v>Inefficient</v>
      </c>
    </row>
    <row r="2066" spans="1:6" x14ac:dyDescent="0.25">
      <c r="A2066" cm="1">
        <f t="array" ref="A2066">INDEX('Portfolio Weights Returns'!$B$9:$BJ$69,
INT((ROW(A2065)-1)/COLUMNS('Portfolio Weights Returns'!$B$9:$BJ$69))+1,MOD(ROW(A2065)-1,COLUMNS('Portfolio Weights Returns'!$B$9:$BJ$69))+1)</f>
        <v>-6.3218657342073567E-4</v>
      </c>
      <c r="B2066">
        <v>2.0500000000000001E-2</v>
      </c>
      <c r="C2066" s="59">
        <v>-0.16</v>
      </c>
      <c r="D2066" s="59">
        <v>0.27</v>
      </c>
      <c r="E2066" s="60">
        <f t="shared" si="32"/>
        <v>0.89</v>
      </c>
      <c r="F2066" t="str" cm="1">
        <f t="array" ref="F2066">IF(A2066=MAX(IF(ROUND($B$2:$B$3722,4)=ROUND(B2066,4),$A$2:$A$3722)),"Efficient","Inefficient")</f>
        <v>Inefficient</v>
      </c>
    </row>
    <row r="2067" spans="1:6" x14ac:dyDescent="0.25">
      <c r="A2067" cm="1">
        <f t="array" ref="A2067">INDEX('Portfolio Weights Returns'!$B$9:$BJ$69,
INT((ROW(A2066)-1)/COLUMNS('Portfolio Weights Returns'!$B$9:$BJ$69))+1,MOD(ROW(A2066)-1,COLUMNS('Portfolio Weights Returns'!$B$9:$BJ$69))+1)</f>
        <v>-6.2540539945405652E-4</v>
      </c>
      <c r="B2067">
        <v>2.0500000000000001E-2</v>
      </c>
      <c r="C2067" s="59">
        <v>-0.16</v>
      </c>
      <c r="D2067" s="59">
        <v>0.28000000000000003</v>
      </c>
      <c r="E2067" s="60">
        <f t="shared" si="32"/>
        <v>0.88</v>
      </c>
      <c r="F2067" t="str" cm="1">
        <f t="array" ref="F2067">IF(A2067=MAX(IF(ROUND($B$2:$B$3722,4)=ROUND(B2067,4),$A$2:$A$3722)),"Efficient","Inefficient")</f>
        <v>Inefficient</v>
      </c>
    </row>
    <row r="2068" spans="1:6" x14ac:dyDescent="0.25">
      <c r="A2068" cm="1">
        <f t="array" ref="A2068">INDEX('Portfolio Weights Returns'!$B$9:$BJ$69,
INT((ROW(A2067)-1)/COLUMNS('Portfolio Weights Returns'!$B$9:$BJ$69))+1,MOD(ROW(A2067)-1,COLUMNS('Portfolio Weights Returns'!$B$9:$BJ$69))+1)</f>
        <v>-6.1862422548737738E-4</v>
      </c>
      <c r="B2068">
        <v>2.0500000000000001E-2</v>
      </c>
      <c r="C2068" s="59">
        <v>-0.15</v>
      </c>
      <c r="D2068" s="59">
        <v>0.28999999999999998</v>
      </c>
      <c r="E2068" s="60">
        <f t="shared" si="32"/>
        <v>0.86</v>
      </c>
      <c r="F2068" t="str" cm="1">
        <f t="array" ref="F2068">IF(A2068=MAX(IF(ROUND($B$2:$B$3722,4)=ROUND(B2068,4),$A$2:$A$3722)),"Efficient","Inefficient")</f>
        <v>Efficient</v>
      </c>
    </row>
    <row r="2069" spans="1:6" x14ac:dyDescent="0.25">
      <c r="A2069" cm="1">
        <f t="array" ref="A2069">INDEX('Portfolio Weights Returns'!$B$9:$BJ$69,
INT((ROW(A2068)-1)/COLUMNS('Portfolio Weights Returns'!$B$9:$BJ$69))+1,MOD(ROW(A2068)-1,COLUMNS('Portfolio Weights Returns'!$B$9:$BJ$69))+1)</f>
        <v>-6.1184305152069834E-4</v>
      </c>
      <c r="B2069">
        <v>2.06E-2</v>
      </c>
      <c r="C2069" s="59">
        <v>0.3</v>
      </c>
      <c r="D2069" s="59">
        <v>-0.28999999999999998</v>
      </c>
      <c r="E2069" s="60">
        <f t="shared" si="32"/>
        <v>0.99</v>
      </c>
      <c r="F2069" t="str" cm="1">
        <f t="array" ref="F2069">IF(A2069=MAX(IF(ROUND($B$2:$B$3722,4)=ROUND(B2069,4),$A$2:$A$3722)),"Efficient","Inefficient")</f>
        <v>Inefficient</v>
      </c>
    </row>
    <row r="2070" spans="1:6" x14ac:dyDescent="0.25">
      <c r="A2070" cm="1">
        <f t="array" ref="A2070">INDEX('Portfolio Weights Returns'!$B$9:$BJ$69,
INT((ROW(A2069)-1)/COLUMNS('Portfolio Weights Returns'!$B$9:$BJ$69))+1,MOD(ROW(A2069)-1,COLUMNS('Portfolio Weights Returns'!$B$9:$BJ$69))+1)</f>
        <v>-6.050618775540192E-4</v>
      </c>
      <c r="B2070">
        <v>2.06E-2</v>
      </c>
      <c r="C2070" s="59">
        <v>0.28000000000000003</v>
      </c>
      <c r="D2070" s="59">
        <v>-0.28000000000000003</v>
      </c>
      <c r="E2070" s="60">
        <f t="shared" si="32"/>
        <v>1</v>
      </c>
      <c r="F2070" t="str" cm="1">
        <f t="array" ref="F2070">IF(A2070=MAX(IF(ROUND($B$2:$B$3722,4)=ROUND(B2070,4),$A$2:$A$3722)),"Efficient","Inefficient")</f>
        <v>Inefficient</v>
      </c>
    </row>
    <row r="2071" spans="1:6" x14ac:dyDescent="0.25">
      <c r="A2071" cm="1">
        <f t="array" ref="A2071">INDEX('Portfolio Weights Returns'!$B$9:$BJ$69,
INT((ROW(A2070)-1)/COLUMNS('Portfolio Weights Returns'!$B$9:$BJ$69))+1,MOD(ROW(A2070)-1,COLUMNS('Portfolio Weights Returns'!$B$9:$BJ$69))+1)</f>
        <v>-5.9828070358734005E-4</v>
      </c>
      <c r="B2071">
        <v>2.06E-2</v>
      </c>
      <c r="C2071" s="59">
        <v>0.26</v>
      </c>
      <c r="D2071" s="59">
        <v>-0.27</v>
      </c>
      <c r="E2071" s="60">
        <f t="shared" si="32"/>
        <v>1.01</v>
      </c>
      <c r="F2071" t="str" cm="1">
        <f t="array" ref="F2071">IF(A2071=MAX(IF(ROUND($B$2:$B$3722,4)=ROUND(B2071,4),$A$2:$A$3722)),"Efficient","Inefficient")</f>
        <v>Inefficient</v>
      </c>
    </row>
    <row r="2072" spans="1:6" x14ac:dyDescent="0.25">
      <c r="A2072" cm="1">
        <f t="array" ref="A2072">INDEX('Portfolio Weights Returns'!$B$9:$BJ$69,
INT((ROW(A2071)-1)/COLUMNS('Portfolio Weights Returns'!$B$9:$BJ$69))+1,MOD(ROW(A2071)-1,COLUMNS('Portfolio Weights Returns'!$B$9:$BJ$69))+1)</f>
        <v>-5.9149952962066026E-4</v>
      </c>
      <c r="B2072">
        <v>2.06E-2</v>
      </c>
      <c r="C2072" s="59">
        <v>0.24</v>
      </c>
      <c r="D2072" s="59">
        <v>-0.26</v>
      </c>
      <c r="E2072" s="60">
        <f t="shared" si="32"/>
        <v>1.02</v>
      </c>
      <c r="F2072" t="str" cm="1">
        <f t="array" ref="F2072">IF(A2072=MAX(IF(ROUND($B$2:$B$3722,4)=ROUND(B2072,4),$A$2:$A$3722)),"Efficient","Inefficient")</f>
        <v>Inefficient</v>
      </c>
    </row>
    <row r="2073" spans="1:6" x14ac:dyDescent="0.25">
      <c r="A2073" cm="1">
        <f t="array" ref="A2073">INDEX('Portfolio Weights Returns'!$B$9:$BJ$69,
INT((ROW(A2072)-1)/COLUMNS('Portfolio Weights Returns'!$B$9:$BJ$69))+1,MOD(ROW(A2072)-1,COLUMNS('Portfolio Weights Returns'!$B$9:$BJ$69))+1)</f>
        <v>-5.8471835565398122E-4</v>
      </c>
      <c r="B2073">
        <v>2.06E-2</v>
      </c>
      <c r="C2073" s="59">
        <v>0.22</v>
      </c>
      <c r="D2073" s="59">
        <v>-0.25</v>
      </c>
      <c r="E2073" s="60">
        <f t="shared" si="32"/>
        <v>1.03</v>
      </c>
      <c r="F2073" t="str" cm="1">
        <f t="array" ref="F2073">IF(A2073=MAX(IF(ROUND($B$2:$B$3722,4)=ROUND(B2073,4),$A$2:$A$3722)),"Efficient","Inefficient")</f>
        <v>Inefficient</v>
      </c>
    </row>
    <row r="2074" spans="1:6" x14ac:dyDescent="0.25">
      <c r="A2074" cm="1">
        <f t="array" ref="A2074">INDEX('Portfolio Weights Returns'!$B$9:$BJ$69,
INT((ROW(A2073)-1)/COLUMNS('Portfolio Weights Returns'!$B$9:$BJ$69))+1,MOD(ROW(A2073)-1,COLUMNS('Portfolio Weights Returns'!$B$9:$BJ$69))+1)</f>
        <v>-5.7793718168730208E-4</v>
      </c>
      <c r="B2074">
        <v>2.06E-2</v>
      </c>
      <c r="C2074" s="59">
        <v>0.19</v>
      </c>
      <c r="D2074" s="59">
        <v>-0.23</v>
      </c>
      <c r="E2074" s="60">
        <f t="shared" si="32"/>
        <v>1.04</v>
      </c>
      <c r="F2074" t="str" cm="1">
        <f t="array" ref="F2074">IF(A2074=MAX(IF(ROUND($B$2:$B$3722,4)=ROUND(B2074,4),$A$2:$A$3722)),"Efficient","Inefficient")</f>
        <v>Inefficient</v>
      </c>
    </row>
    <row r="2075" spans="1:6" x14ac:dyDescent="0.25">
      <c r="A2075" cm="1">
        <f t="array" ref="A2075">INDEX('Portfolio Weights Returns'!$B$9:$BJ$69,
INT((ROW(A2074)-1)/COLUMNS('Portfolio Weights Returns'!$B$9:$BJ$69))+1,MOD(ROW(A2074)-1,COLUMNS('Portfolio Weights Returns'!$B$9:$BJ$69))+1)</f>
        <v>-5.7115600772062304E-4</v>
      </c>
      <c r="B2075">
        <v>2.06E-2</v>
      </c>
      <c r="C2075" s="59">
        <v>0.17</v>
      </c>
      <c r="D2075" s="59">
        <v>-0.22</v>
      </c>
      <c r="E2075" s="60">
        <f t="shared" si="32"/>
        <v>1.05</v>
      </c>
      <c r="F2075" t="str" cm="1">
        <f t="array" ref="F2075">IF(A2075=MAX(IF(ROUND($B$2:$B$3722,4)=ROUND(B2075,4),$A$2:$A$3722)),"Efficient","Inefficient")</f>
        <v>Efficient</v>
      </c>
    </row>
    <row r="2076" spans="1:6" x14ac:dyDescent="0.25">
      <c r="A2076" cm="1">
        <f t="array" ref="A2076">INDEX('Portfolio Weights Returns'!$B$9:$BJ$69,
INT((ROW(A2075)-1)/COLUMNS('Portfolio Weights Returns'!$B$9:$BJ$69))+1,MOD(ROW(A2075)-1,COLUMNS('Portfolio Weights Returns'!$B$9:$BJ$69))+1)</f>
        <v>-9.7145223787591475E-4</v>
      </c>
      <c r="B2076">
        <v>2.06E-2</v>
      </c>
      <c r="C2076" s="59">
        <v>0.15</v>
      </c>
      <c r="D2076" s="59">
        <v>-0.21</v>
      </c>
      <c r="E2076" s="60">
        <f t="shared" si="32"/>
        <v>1.06</v>
      </c>
      <c r="F2076" t="str" cm="1">
        <f t="array" ref="F2076">IF(A2076=MAX(IF(ROUND($B$2:$B$3722,4)=ROUND(B2076,4),$A$2:$A$3722)),"Efficient","Inefficient")</f>
        <v>Inefficient</v>
      </c>
    </row>
    <row r="2077" spans="1:6" x14ac:dyDescent="0.25">
      <c r="A2077" cm="1">
        <f t="array" ref="A2077">INDEX('Portfolio Weights Returns'!$B$9:$BJ$69,
INT((ROW(A2076)-1)/COLUMNS('Portfolio Weights Returns'!$B$9:$BJ$69))+1,MOD(ROW(A2076)-1,COLUMNS('Portfolio Weights Returns'!$B$9:$BJ$69))+1)</f>
        <v>-9.646710639092356E-4</v>
      </c>
      <c r="B2077">
        <v>2.06E-2</v>
      </c>
      <c r="C2077" s="59">
        <v>0.14000000000000001</v>
      </c>
      <c r="D2077" s="59">
        <v>-0.2</v>
      </c>
      <c r="E2077" s="60">
        <f t="shared" si="32"/>
        <v>1.06</v>
      </c>
      <c r="F2077" t="str" cm="1">
        <f t="array" ref="F2077">IF(A2077=MAX(IF(ROUND($B$2:$B$3722,4)=ROUND(B2077,4),$A$2:$A$3722)),"Efficient","Inefficient")</f>
        <v>Inefficient</v>
      </c>
    </row>
    <row r="2078" spans="1:6" x14ac:dyDescent="0.25">
      <c r="A2078" cm="1">
        <f t="array" ref="A2078">INDEX('Portfolio Weights Returns'!$B$9:$BJ$69,
INT((ROW(A2077)-1)/COLUMNS('Portfolio Weights Returns'!$B$9:$BJ$69))+1,MOD(ROW(A2077)-1,COLUMNS('Portfolio Weights Returns'!$B$9:$BJ$69))+1)</f>
        <v>-9.5788988994255657E-4</v>
      </c>
      <c r="B2078">
        <v>2.06E-2</v>
      </c>
      <c r="C2078" s="59">
        <v>0.12</v>
      </c>
      <c r="D2078" s="59">
        <v>-0.19</v>
      </c>
      <c r="E2078" s="60">
        <f t="shared" si="32"/>
        <v>1.0699999999999998</v>
      </c>
      <c r="F2078" t="str" cm="1">
        <f t="array" ref="F2078">IF(A2078=MAX(IF(ROUND($B$2:$B$3722,4)=ROUND(B2078,4),$A$2:$A$3722)),"Efficient","Inefficient")</f>
        <v>Inefficient</v>
      </c>
    </row>
    <row r="2079" spans="1:6" x14ac:dyDescent="0.25">
      <c r="A2079" cm="1">
        <f t="array" ref="A2079">INDEX('Portfolio Weights Returns'!$B$9:$BJ$69,
INT((ROW(A2078)-1)/COLUMNS('Portfolio Weights Returns'!$B$9:$BJ$69))+1,MOD(ROW(A2078)-1,COLUMNS('Portfolio Weights Returns'!$B$9:$BJ$69))+1)</f>
        <v>-9.5110871597587742E-4</v>
      </c>
      <c r="B2079">
        <v>2.06E-2</v>
      </c>
      <c r="C2079" s="59">
        <v>0.11</v>
      </c>
      <c r="D2079" s="59">
        <v>-0.18</v>
      </c>
      <c r="E2079" s="60">
        <f t="shared" si="32"/>
        <v>1.0699999999999998</v>
      </c>
      <c r="F2079" t="str" cm="1">
        <f t="array" ref="F2079">IF(A2079=MAX(IF(ROUND($B$2:$B$3722,4)=ROUND(B2079,4),$A$2:$A$3722)),"Efficient","Inefficient")</f>
        <v>Inefficient</v>
      </c>
    </row>
    <row r="2080" spans="1:6" x14ac:dyDescent="0.25">
      <c r="A2080" cm="1">
        <f t="array" ref="A2080">INDEX('Portfolio Weights Returns'!$B$9:$BJ$69,
INT((ROW(A2079)-1)/COLUMNS('Portfolio Weights Returns'!$B$9:$BJ$69))+1,MOD(ROW(A2079)-1,COLUMNS('Portfolio Weights Returns'!$B$9:$BJ$69))+1)</f>
        <v>-9.4432754200919839E-4</v>
      </c>
      <c r="B2080">
        <v>2.06E-2</v>
      </c>
      <c r="C2080" s="59">
        <v>0.09</v>
      </c>
      <c r="D2080" s="59">
        <v>-0.17</v>
      </c>
      <c r="E2080" s="60">
        <f t="shared" si="32"/>
        <v>1.0799999999999998</v>
      </c>
      <c r="F2080" t="str" cm="1">
        <f t="array" ref="F2080">IF(A2080=MAX(IF(ROUND($B$2:$B$3722,4)=ROUND(B2080,4),$A$2:$A$3722)),"Efficient","Inefficient")</f>
        <v>Inefficient</v>
      </c>
    </row>
    <row r="2081" spans="1:6" x14ac:dyDescent="0.25">
      <c r="A2081" cm="1">
        <f t="array" ref="A2081">INDEX('Portfolio Weights Returns'!$B$9:$BJ$69,
INT((ROW(A2080)-1)/COLUMNS('Portfolio Weights Returns'!$B$9:$BJ$69))+1,MOD(ROW(A2080)-1,COLUMNS('Portfolio Weights Returns'!$B$9:$BJ$69))+1)</f>
        <v>-9.3754636804251913E-4</v>
      </c>
      <c r="B2081">
        <v>2.06E-2</v>
      </c>
      <c r="C2081" s="59">
        <v>0.08</v>
      </c>
      <c r="D2081" s="59">
        <v>-0.16</v>
      </c>
      <c r="E2081" s="60">
        <f t="shared" si="32"/>
        <v>1.0799999999999998</v>
      </c>
      <c r="F2081" t="str" cm="1">
        <f t="array" ref="F2081">IF(A2081=MAX(IF(ROUND($B$2:$B$3722,4)=ROUND(B2081,4),$A$2:$A$3722)),"Efficient","Inefficient")</f>
        <v>Inefficient</v>
      </c>
    </row>
    <row r="2082" spans="1:6" x14ac:dyDescent="0.25">
      <c r="A2082" cm="1">
        <f t="array" ref="A2082">INDEX('Portfolio Weights Returns'!$B$9:$BJ$69,
INT((ROW(A2081)-1)/COLUMNS('Portfolio Weights Returns'!$B$9:$BJ$69))+1,MOD(ROW(A2081)-1,COLUMNS('Portfolio Weights Returns'!$B$9:$BJ$69))+1)</f>
        <v>-9.307651940758401E-4</v>
      </c>
      <c r="B2082">
        <v>2.06E-2</v>
      </c>
      <c r="C2082" s="59">
        <v>0.05</v>
      </c>
      <c r="D2082" s="59">
        <v>-0.14000000000000001</v>
      </c>
      <c r="E2082" s="60">
        <f t="shared" si="32"/>
        <v>1.0900000000000001</v>
      </c>
      <c r="F2082" t="str" cm="1">
        <f t="array" ref="F2082">IF(A2082=MAX(IF(ROUND($B$2:$B$3722,4)=ROUND(B2082,4),$A$2:$A$3722)),"Efficient","Inefficient")</f>
        <v>Inefficient</v>
      </c>
    </row>
    <row r="2083" spans="1:6" x14ac:dyDescent="0.25">
      <c r="A2083" cm="1">
        <f t="array" ref="A2083">INDEX('Portfolio Weights Returns'!$B$9:$BJ$69,
INT((ROW(A2082)-1)/COLUMNS('Portfolio Weights Returns'!$B$9:$BJ$69))+1,MOD(ROW(A2082)-1,COLUMNS('Portfolio Weights Returns'!$B$9:$BJ$69))+1)</f>
        <v>-9.2398402010916095E-4</v>
      </c>
      <c r="B2083">
        <v>2.06E-2</v>
      </c>
      <c r="C2083" s="59">
        <v>0.04</v>
      </c>
      <c r="D2083" s="59">
        <v>-0.13</v>
      </c>
      <c r="E2083" s="60">
        <f t="shared" si="32"/>
        <v>1.0899999999999999</v>
      </c>
      <c r="F2083" t="str" cm="1">
        <f t="array" ref="F2083">IF(A2083=MAX(IF(ROUND($B$2:$B$3722,4)=ROUND(B2083,4),$A$2:$A$3722)),"Efficient","Inefficient")</f>
        <v>Inefficient</v>
      </c>
    </row>
    <row r="2084" spans="1:6" x14ac:dyDescent="0.25">
      <c r="A2084" cm="1">
        <f t="array" ref="A2084">INDEX('Portfolio Weights Returns'!$B$9:$BJ$69,
INT((ROW(A2083)-1)/COLUMNS('Portfolio Weights Returns'!$B$9:$BJ$69))+1,MOD(ROW(A2083)-1,COLUMNS('Portfolio Weights Returns'!$B$9:$BJ$69))+1)</f>
        <v>-9.1720284614248192E-4</v>
      </c>
      <c r="B2084">
        <v>2.06E-2</v>
      </c>
      <c r="C2084" s="59">
        <v>0.01</v>
      </c>
      <c r="D2084" s="59">
        <v>-0.11</v>
      </c>
      <c r="E2084" s="60">
        <f t="shared" si="32"/>
        <v>1.1000000000000001</v>
      </c>
      <c r="F2084" t="str" cm="1">
        <f t="array" ref="F2084">IF(A2084=MAX(IF(ROUND($B$2:$B$3722,4)=ROUND(B2084,4),$A$2:$A$3722)),"Efficient","Inefficient")</f>
        <v>Inefficient</v>
      </c>
    </row>
    <row r="2085" spans="1:6" x14ac:dyDescent="0.25">
      <c r="A2085" cm="1">
        <f t="array" ref="A2085">INDEX('Portfolio Weights Returns'!$B$9:$BJ$69,
INT((ROW(A2084)-1)/COLUMNS('Portfolio Weights Returns'!$B$9:$BJ$69))+1,MOD(ROW(A2084)-1,COLUMNS('Portfolio Weights Returns'!$B$9:$BJ$69))+1)</f>
        <v>-9.1042167217580277E-4</v>
      </c>
      <c r="B2085">
        <v>2.06E-2</v>
      </c>
      <c r="C2085" s="59">
        <v>0</v>
      </c>
      <c r="D2085" s="59">
        <v>-0.1</v>
      </c>
      <c r="E2085" s="60">
        <f t="shared" si="32"/>
        <v>1.1000000000000001</v>
      </c>
      <c r="F2085" t="str" cm="1">
        <f t="array" ref="F2085">IF(A2085=MAX(IF(ROUND($B$2:$B$3722,4)=ROUND(B2085,4),$A$2:$A$3722)),"Efficient","Inefficient")</f>
        <v>Inefficient</v>
      </c>
    </row>
    <row r="2086" spans="1:6" x14ac:dyDescent="0.25">
      <c r="A2086" cm="1">
        <f t="array" ref="A2086">INDEX('Portfolio Weights Returns'!$B$9:$BJ$69,
INT((ROW(A2085)-1)/COLUMNS('Portfolio Weights Returns'!$B$9:$BJ$69))+1,MOD(ROW(A2085)-1,COLUMNS('Portfolio Weights Returns'!$B$9:$BJ$69))+1)</f>
        <v>-9.0364049820912374E-4</v>
      </c>
      <c r="B2086">
        <v>2.06E-2</v>
      </c>
      <c r="C2086" s="59">
        <v>-0.01</v>
      </c>
      <c r="D2086" s="59">
        <v>-0.09</v>
      </c>
      <c r="E2086" s="60">
        <f t="shared" si="32"/>
        <v>1.1000000000000001</v>
      </c>
      <c r="F2086" t="str" cm="1">
        <f t="array" ref="F2086">IF(A2086=MAX(IF(ROUND($B$2:$B$3722,4)=ROUND(B2086,4),$A$2:$A$3722)),"Efficient","Inefficient")</f>
        <v>Inefficient</v>
      </c>
    </row>
    <row r="2087" spans="1:6" x14ac:dyDescent="0.25">
      <c r="A2087" cm="1">
        <f t="array" ref="A2087">INDEX('Portfolio Weights Returns'!$B$9:$BJ$69,
INT((ROW(A2086)-1)/COLUMNS('Portfolio Weights Returns'!$B$9:$BJ$69))+1,MOD(ROW(A2086)-1,COLUMNS('Portfolio Weights Returns'!$B$9:$BJ$69))+1)</f>
        <v>-8.9685932424244459E-4</v>
      </c>
      <c r="B2087">
        <v>2.06E-2</v>
      </c>
      <c r="C2087" s="59">
        <v>-0.02</v>
      </c>
      <c r="D2087" s="59">
        <v>-0.08</v>
      </c>
      <c r="E2087" s="60">
        <f t="shared" si="32"/>
        <v>1.1000000000000001</v>
      </c>
      <c r="F2087" t="str" cm="1">
        <f t="array" ref="F2087">IF(A2087=MAX(IF(ROUND($B$2:$B$3722,4)=ROUND(B2087,4),$A$2:$A$3722)),"Efficient","Inefficient")</f>
        <v>Inefficient</v>
      </c>
    </row>
    <row r="2088" spans="1:6" x14ac:dyDescent="0.25">
      <c r="A2088" cm="1">
        <f t="array" ref="A2088">INDEX('Portfolio Weights Returns'!$B$9:$BJ$69,
INT((ROW(A2087)-1)/COLUMNS('Portfolio Weights Returns'!$B$9:$BJ$69))+1,MOD(ROW(A2087)-1,COLUMNS('Portfolio Weights Returns'!$B$9:$BJ$69))+1)</f>
        <v>-8.9007815027576534E-4</v>
      </c>
      <c r="B2088">
        <v>2.06E-2</v>
      </c>
      <c r="C2088" s="59">
        <v>-0.03</v>
      </c>
      <c r="D2088" s="59">
        <v>-7.0000000000000007E-2</v>
      </c>
      <c r="E2088" s="60">
        <f t="shared" si="32"/>
        <v>1.1000000000000001</v>
      </c>
      <c r="F2088" t="str" cm="1">
        <f t="array" ref="F2088">IF(A2088=MAX(IF(ROUND($B$2:$B$3722,4)=ROUND(B2088,4),$A$2:$A$3722)),"Efficient","Inefficient")</f>
        <v>Inefficient</v>
      </c>
    </row>
    <row r="2089" spans="1:6" x14ac:dyDescent="0.25">
      <c r="A2089" cm="1">
        <f t="array" ref="A2089">INDEX('Portfolio Weights Returns'!$B$9:$BJ$69,
INT((ROW(A2088)-1)/COLUMNS('Portfolio Weights Returns'!$B$9:$BJ$69))+1,MOD(ROW(A2088)-1,COLUMNS('Portfolio Weights Returns'!$B$9:$BJ$69))+1)</f>
        <v>-8.832969763090863E-4</v>
      </c>
      <c r="B2089">
        <v>2.06E-2</v>
      </c>
      <c r="C2089" s="59">
        <v>-0.04</v>
      </c>
      <c r="D2089" s="59">
        <v>-0.06</v>
      </c>
      <c r="E2089" s="60">
        <f t="shared" si="32"/>
        <v>1.1000000000000001</v>
      </c>
      <c r="F2089" t="str" cm="1">
        <f t="array" ref="F2089">IF(A2089=MAX(IF(ROUND($B$2:$B$3722,4)=ROUND(B2089,4),$A$2:$A$3722)),"Efficient","Inefficient")</f>
        <v>Inefficient</v>
      </c>
    </row>
    <row r="2090" spans="1:6" x14ac:dyDescent="0.25">
      <c r="A2090" cm="1">
        <f t="array" ref="A2090">INDEX('Portfolio Weights Returns'!$B$9:$BJ$69,
INT((ROW(A2089)-1)/COLUMNS('Portfolio Weights Returns'!$B$9:$BJ$69))+1,MOD(ROW(A2089)-1,COLUMNS('Portfolio Weights Returns'!$B$9:$BJ$69))+1)</f>
        <v>-8.7651580234240716E-4</v>
      </c>
      <c r="B2090">
        <v>2.06E-2</v>
      </c>
      <c r="C2090" s="59">
        <v>-0.05</v>
      </c>
      <c r="D2090" s="59">
        <v>-0.05</v>
      </c>
      <c r="E2090" s="60">
        <f t="shared" si="32"/>
        <v>1.1000000000000001</v>
      </c>
      <c r="F2090" t="str" cm="1">
        <f t="array" ref="F2090">IF(A2090=MAX(IF(ROUND($B$2:$B$3722,4)=ROUND(B2090,4),$A$2:$A$3722)),"Efficient","Inefficient")</f>
        <v>Inefficient</v>
      </c>
    </row>
    <row r="2091" spans="1:6" x14ac:dyDescent="0.25">
      <c r="A2091" cm="1">
        <f t="array" ref="A2091">INDEX('Portfolio Weights Returns'!$B$9:$BJ$69,
INT((ROW(A2090)-1)/COLUMNS('Portfolio Weights Returns'!$B$9:$BJ$69))+1,MOD(ROW(A2090)-1,COLUMNS('Portfolio Weights Returns'!$B$9:$BJ$69))+1)</f>
        <v>-8.6973462837572812E-4</v>
      </c>
      <c r="B2091">
        <v>2.06E-2</v>
      </c>
      <c r="C2091" s="59">
        <v>-0.06</v>
      </c>
      <c r="D2091" s="59">
        <v>-0.04</v>
      </c>
      <c r="E2091" s="60">
        <f t="shared" si="32"/>
        <v>1.1000000000000001</v>
      </c>
      <c r="F2091" t="str" cm="1">
        <f t="array" ref="F2091">IF(A2091=MAX(IF(ROUND($B$2:$B$3722,4)=ROUND(B2091,4),$A$2:$A$3722)),"Efficient","Inefficient")</f>
        <v>Inefficient</v>
      </c>
    </row>
    <row r="2092" spans="1:6" x14ac:dyDescent="0.25">
      <c r="A2092" cm="1">
        <f t="array" ref="A2092">INDEX('Portfolio Weights Returns'!$B$9:$BJ$69,
INT((ROW(A2091)-1)/COLUMNS('Portfolio Weights Returns'!$B$9:$BJ$69))+1,MOD(ROW(A2091)-1,COLUMNS('Portfolio Weights Returns'!$B$9:$BJ$69))+1)</f>
        <v>-8.6295345440904909E-4</v>
      </c>
      <c r="B2092">
        <v>2.06E-2</v>
      </c>
      <c r="C2092" s="59">
        <v>-7.0000000000000007E-2</v>
      </c>
      <c r="D2092" s="59">
        <v>-0.03</v>
      </c>
      <c r="E2092" s="60">
        <f t="shared" si="32"/>
        <v>1.1000000000000001</v>
      </c>
      <c r="F2092" t="str" cm="1">
        <f t="array" ref="F2092">IF(A2092=MAX(IF(ROUND($B$2:$B$3722,4)=ROUND(B2092,4),$A$2:$A$3722)),"Efficient","Inefficient")</f>
        <v>Inefficient</v>
      </c>
    </row>
    <row r="2093" spans="1:6" x14ac:dyDescent="0.25">
      <c r="A2093" cm="1">
        <f t="array" ref="A2093">INDEX('Portfolio Weights Returns'!$B$9:$BJ$69,
INT((ROW(A2092)-1)/COLUMNS('Portfolio Weights Returns'!$B$9:$BJ$69))+1,MOD(ROW(A2092)-1,COLUMNS('Portfolio Weights Returns'!$B$9:$BJ$69))+1)</f>
        <v>-8.5617228044236994E-4</v>
      </c>
      <c r="B2093">
        <v>2.06E-2</v>
      </c>
      <c r="C2093" s="59">
        <v>-0.08</v>
      </c>
      <c r="D2093" s="59">
        <v>-0.02</v>
      </c>
      <c r="E2093" s="60">
        <f t="shared" si="32"/>
        <v>1.1000000000000001</v>
      </c>
      <c r="F2093" t="str" cm="1">
        <f t="array" ref="F2093">IF(A2093=MAX(IF(ROUND($B$2:$B$3722,4)=ROUND(B2093,4),$A$2:$A$3722)),"Efficient","Inefficient")</f>
        <v>Inefficient</v>
      </c>
    </row>
    <row r="2094" spans="1:6" x14ac:dyDescent="0.25">
      <c r="A2094" cm="1">
        <f t="array" ref="A2094">INDEX('Portfolio Weights Returns'!$B$9:$BJ$69,
INT((ROW(A2093)-1)/COLUMNS('Portfolio Weights Returns'!$B$9:$BJ$69))+1,MOD(ROW(A2093)-1,COLUMNS('Portfolio Weights Returns'!$B$9:$BJ$69))+1)</f>
        <v>-8.4939110647569091E-4</v>
      </c>
      <c r="B2094">
        <v>2.06E-2</v>
      </c>
      <c r="C2094" s="59">
        <v>-0.09</v>
      </c>
      <c r="D2094" s="59">
        <v>-0.01</v>
      </c>
      <c r="E2094" s="60">
        <f t="shared" si="32"/>
        <v>1.1000000000000001</v>
      </c>
      <c r="F2094" t="str" cm="1">
        <f t="array" ref="F2094">IF(A2094=MAX(IF(ROUND($B$2:$B$3722,4)=ROUND(B2094,4),$A$2:$A$3722)),"Efficient","Inefficient")</f>
        <v>Inefficient</v>
      </c>
    </row>
    <row r="2095" spans="1:6" x14ac:dyDescent="0.25">
      <c r="A2095" cm="1">
        <f t="array" ref="A2095">INDEX('Portfolio Weights Returns'!$B$9:$BJ$69,
INT((ROW(A2094)-1)/COLUMNS('Portfolio Weights Returns'!$B$9:$BJ$69))+1,MOD(ROW(A2094)-1,COLUMNS('Portfolio Weights Returns'!$B$9:$BJ$69))+1)</f>
        <v>-8.4260993250901187E-4</v>
      </c>
      <c r="B2095">
        <v>2.06E-2</v>
      </c>
      <c r="C2095" s="59">
        <v>-0.1</v>
      </c>
      <c r="D2095" s="59">
        <v>0</v>
      </c>
      <c r="E2095" s="60">
        <f t="shared" si="32"/>
        <v>1.1000000000000001</v>
      </c>
      <c r="F2095" t="str" cm="1">
        <f t="array" ref="F2095">IF(A2095=MAX(IF(ROUND($B$2:$B$3722,4)=ROUND(B2095,4),$A$2:$A$3722)),"Efficient","Inefficient")</f>
        <v>Inefficient</v>
      </c>
    </row>
    <row r="2096" spans="1:6" x14ac:dyDescent="0.25">
      <c r="A2096" cm="1">
        <f t="array" ref="A2096">INDEX('Portfolio Weights Returns'!$B$9:$BJ$69,
INT((ROW(A2095)-1)/COLUMNS('Portfolio Weights Returns'!$B$9:$BJ$69))+1,MOD(ROW(A2095)-1,COLUMNS('Portfolio Weights Returns'!$B$9:$BJ$69))+1)</f>
        <v>-8.3582875854233273E-4</v>
      </c>
      <c r="B2096">
        <v>2.06E-2</v>
      </c>
      <c r="C2096" s="59">
        <v>-0.11</v>
      </c>
      <c r="D2096" s="59">
        <v>0.02</v>
      </c>
      <c r="E2096" s="60">
        <f t="shared" si="32"/>
        <v>1.0900000000000001</v>
      </c>
      <c r="F2096" t="str" cm="1">
        <f t="array" ref="F2096">IF(A2096=MAX(IF(ROUND($B$2:$B$3722,4)=ROUND(B2096,4),$A$2:$A$3722)),"Efficient","Inefficient")</f>
        <v>Inefficient</v>
      </c>
    </row>
    <row r="2097" spans="1:6" x14ac:dyDescent="0.25">
      <c r="A2097" cm="1">
        <f t="array" ref="A2097">INDEX('Portfolio Weights Returns'!$B$9:$BJ$69,
INT((ROW(A2096)-1)/COLUMNS('Portfolio Weights Returns'!$B$9:$BJ$69))+1,MOD(ROW(A2096)-1,COLUMNS('Portfolio Weights Returns'!$B$9:$BJ$69))+1)</f>
        <v>-8.2904758457565358E-4</v>
      </c>
      <c r="B2097">
        <v>2.06E-2</v>
      </c>
      <c r="C2097" s="59">
        <v>-0.12</v>
      </c>
      <c r="D2097" s="59">
        <v>0.03</v>
      </c>
      <c r="E2097" s="60">
        <f t="shared" si="32"/>
        <v>1.0899999999999999</v>
      </c>
      <c r="F2097" t="str" cm="1">
        <f t="array" ref="F2097">IF(A2097=MAX(IF(ROUND($B$2:$B$3722,4)=ROUND(B2097,4),$A$2:$A$3722)),"Efficient","Inefficient")</f>
        <v>Inefficient</v>
      </c>
    </row>
    <row r="2098" spans="1:6" x14ac:dyDescent="0.25">
      <c r="A2098" cm="1">
        <f t="array" ref="A2098">INDEX('Portfolio Weights Returns'!$B$9:$BJ$69,
INT((ROW(A2097)-1)/COLUMNS('Portfolio Weights Returns'!$B$9:$BJ$69))+1,MOD(ROW(A2097)-1,COLUMNS('Portfolio Weights Returns'!$B$9:$BJ$69))+1)</f>
        <v>-8.2226641060897455E-4</v>
      </c>
      <c r="B2098">
        <v>2.06E-2</v>
      </c>
      <c r="C2098" s="59">
        <v>-0.13</v>
      </c>
      <c r="D2098" s="59">
        <v>0.05</v>
      </c>
      <c r="E2098" s="60">
        <f t="shared" si="32"/>
        <v>1.08</v>
      </c>
      <c r="F2098" t="str" cm="1">
        <f t="array" ref="F2098">IF(A2098=MAX(IF(ROUND($B$2:$B$3722,4)=ROUND(B2098,4),$A$2:$A$3722)),"Efficient","Inefficient")</f>
        <v>Inefficient</v>
      </c>
    </row>
    <row r="2099" spans="1:6" x14ac:dyDescent="0.25">
      <c r="A2099" cm="1">
        <f t="array" ref="A2099">INDEX('Portfolio Weights Returns'!$B$9:$BJ$69,
INT((ROW(A2098)-1)/COLUMNS('Portfolio Weights Returns'!$B$9:$BJ$69))+1,MOD(ROW(A2098)-1,COLUMNS('Portfolio Weights Returns'!$B$9:$BJ$69))+1)</f>
        <v>-8.1548523664229529E-4</v>
      </c>
      <c r="B2099">
        <v>2.06E-2</v>
      </c>
      <c r="C2099" s="59">
        <v>-0.14000000000000001</v>
      </c>
      <c r="D2099" s="59">
        <v>0.06</v>
      </c>
      <c r="E2099" s="60">
        <f t="shared" si="32"/>
        <v>1.08</v>
      </c>
      <c r="F2099" t="str" cm="1">
        <f t="array" ref="F2099">IF(A2099=MAX(IF(ROUND($B$2:$B$3722,4)=ROUND(B2099,4),$A$2:$A$3722)),"Efficient","Inefficient")</f>
        <v>Inefficient</v>
      </c>
    </row>
    <row r="2100" spans="1:6" x14ac:dyDescent="0.25">
      <c r="A2100" cm="1">
        <f t="array" ref="A2100">INDEX('Portfolio Weights Returns'!$B$9:$BJ$69,
INT((ROW(A2099)-1)/COLUMNS('Portfolio Weights Returns'!$B$9:$BJ$69))+1,MOD(ROW(A2099)-1,COLUMNS('Portfolio Weights Returns'!$B$9:$BJ$69))+1)</f>
        <v>-8.0870406267561626E-4</v>
      </c>
      <c r="B2100">
        <v>2.06E-2</v>
      </c>
      <c r="C2100" s="59">
        <v>-0.15</v>
      </c>
      <c r="D2100" s="59">
        <v>0.08</v>
      </c>
      <c r="E2100" s="60">
        <f t="shared" si="32"/>
        <v>1.07</v>
      </c>
      <c r="F2100" t="str" cm="1">
        <f t="array" ref="F2100">IF(A2100=MAX(IF(ROUND($B$2:$B$3722,4)=ROUND(B2100,4),$A$2:$A$3722)),"Efficient","Inefficient")</f>
        <v>Inefficient</v>
      </c>
    </row>
    <row r="2101" spans="1:6" x14ac:dyDescent="0.25">
      <c r="A2101" cm="1">
        <f t="array" ref="A2101">INDEX('Portfolio Weights Returns'!$B$9:$BJ$69,
INT((ROW(A2100)-1)/COLUMNS('Portfolio Weights Returns'!$B$9:$BJ$69))+1,MOD(ROW(A2100)-1,COLUMNS('Portfolio Weights Returns'!$B$9:$BJ$69))+1)</f>
        <v>-8.0192288870893711E-4</v>
      </c>
      <c r="B2101">
        <v>2.06E-2</v>
      </c>
      <c r="C2101" s="59">
        <v>-0.16</v>
      </c>
      <c r="D2101" s="59">
        <v>0.1</v>
      </c>
      <c r="E2101" s="60">
        <f t="shared" si="32"/>
        <v>1.06</v>
      </c>
      <c r="F2101" t="str" cm="1">
        <f t="array" ref="F2101">IF(A2101=MAX(IF(ROUND($B$2:$B$3722,4)=ROUND(B2101,4),$A$2:$A$3722)),"Efficient","Inefficient")</f>
        <v>Inefficient</v>
      </c>
    </row>
    <row r="2102" spans="1:6" x14ac:dyDescent="0.25">
      <c r="A2102" cm="1">
        <f t="array" ref="A2102">INDEX('Portfolio Weights Returns'!$B$9:$BJ$69,
INT((ROW(A2101)-1)/COLUMNS('Portfolio Weights Returns'!$B$9:$BJ$69))+1,MOD(ROW(A2101)-1,COLUMNS('Portfolio Weights Returns'!$B$9:$BJ$69))+1)</f>
        <v>-7.9514171474225808E-4</v>
      </c>
      <c r="B2102">
        <v>2.06E-2</v>
      </c>
      <c r="C2102" s="59">
        <v>-0.17</v>
      </c>
      <c r="D2102" s="59">
        <v>0.12</v>
      </c>
      <c r="E2102" s="60">
        <f t="shared" si="32"/>
        <v>1.05</v>
      </c>
      <c r="F2102" t="str" cm="1">
        <f t="array" ref="F2102">IF(A2102=MAX(IF(ROUND($B$2:$B$3722,4)=ROUND(B2102,4),$A$2:$A$3722)),"Efficient","Inefficient")</f>
        <v>Inefficient</v>
      </c>
    </row>
    <row r="2103" spans="1:6" x14ac:dyDescent="0.25">
      <c r="A2103" cm="1">
        <f t="array" ref="A2103">INDEX('Portfolio Weights Returns'!$B$9:$BJ$69,
INT((ROW(A2102)-1)/COLUMNS('Portfolio Weights Returns'!$B$9:$BJ$69))+1,MOD(ROW(A2102)-1,COLUMNS('Portfolio Weights Returns'!$B$9:$BJ$69))+1)</f>
        <v>-7.8836054077557893E-4</v>
      </c>
      <c r="B2103">
        <v>2.06E-2</v>
      </c>
      <c r="C2103" s="59">
        <v>-0.17</v>
      </c>
      <c r="D2103" s="59">
        <v>0.13</v>
      </c>
      <c r="E2103" s="60">
        <f t="shared" si="32"/>
        <v>1.04</v>
      </c>
      <c r="F2103" t="str" cm="1">
        <f t="array" ref="F2103">IF(A2103=MAX(IF(ROUND($B$2:$B$3722,4)=ROUND(B2103,4),$A$2:$A$3722)),"Efficient","Inefficient")</f>
        <v>Inefficient</v>
      </c>
    </row>
    <row r="2104" spans="1:6" x14ac:dyDescent="0.25">
      <c r="A2104" cm="1">
        <f t="array" ref="A2104">INDEX('Portfolio Weights Returns'!$B$9:$BJ$69,
INT((ROW(A2103)-1)/COLUMNS('Portfolio Weights Returns'!$B$9:$BJ$69))+1,MOD(ROW(A2103)-1,COLUMNS('Portfolio Weights Returns'!$B$9:$BJ$69))+1)</f>
        <v>-7.815793668088999E-4</v>
      </c>
      <c r="B2104">
        <v>2.06E-2</v>
      </c>
      <c r="C2104" s="59">
        <v>-0.18</v>
      </c>
      <c r="D2104" s="59">
        <v>0.16</v>
      </c>
      <c r="E2104" s="60">
        <f t="shared" si="32"/>
        <v>1.02</v>
      </c>
      <c r="F2104" t="str" cm="1">
        <f t="array" ref="F2104">IF(A2104=MAX(IF(ROUND($B$2:$B$3722,4)=ROUND(B2104,4),$A$2:$A$3722)),"Efficient","Inefficient")</f>
        <v>Inefficient</v>
      </c>
    </row>
    <row r="2105" spans="1:6" x14ac:dyDescent="0.25">
      <c r="A2105" cm="1">
        <f t="array" ref="A2105">INDEX('Portfolio Weights Returns'!$B$9:$BJ$69,
INT((ROW(A2104)-1)/COLUMNS('Portfolio Weights Returns'!$B$9:$BJ$69))+1,MOD(ROW(A2104)-1,COLUMNS('Portfolio Weights Returns'!$B$9:$BJ$69))+1)</f>
        <v>-7.7479819284222075E-4</v>
      </c>
      <c r="B2105">
        <v>2.06E-2</v>
      </c>
      <c r="C2105" s="59">
        <v>-0.18</v>
      </c>
      <c r="D2105" s="59">
        <v>0.17</v>
      </c>
      <c r="E2105" s="60">
        <f t="shared" si="32"/>
        <v>1.01</v>
      </c>
      <c r="F2105" t="str" cm="1">
        <f t="array" ref="F2105">IF(A2105=MAX(IF(ROUND($B$2:$B$3722,4)=ROUND(B2105,4),$A$2:$A$3722)),"Efficient","Inefficient")</f>
        <v>Inefficient</v>
      </c>
    </row>
    <row r="2106" spans="1:6" x14ac:dyDescent="0.25">
      <c r="A2106" cm="1">
        <f t="array" ref="A2106">INDEX('Portfolio Weights Returns'!$B$9:$BJ$69,
INT((ROW(A2105)-1)/COLUMNS('Portfolio Weights Returns'!$B$9:$BJ$69))+1,MOD(ROW(A2105)-1,COLUMNS('Portfolio Weights Returns'!$B$9:$BJ$69))+1)</f>
        <v>-7.6801701887554161E-4</v>
      </c>
      <c r="B2106">
        <v>2.06E-2</v>
      </c>
      <c r="C2106" s="59">
        <v>-0.18</v>
      </c>
      <c r="D2106" s="59">
        <v>0.18</v>
      </c>
      <c r="E2106" s="60">
        <f t="shared" si="32"/>
        <v>1</v>
      </c>
      <c r="F2106" t="str" cm="1">
        <f t="array" ref="F2106">IF(A2106=MAX(IF(ROUND($B$2:$B$3722,4)=ROUND(B2106,4),$A$2:$A$3722)),"Efficient","Inefficient")</f>
        <v>Inefficient</v>
      </c>
    </row>
    <row r="2107" spans="1:6" x14ac:dyDescent="0.25">
      <c r="A2107" cm="1">
        <f t="array" ref="A2107">INDEX('Portfolio Weights Returns'!$B$9:$BJ$69,
INT((ROW(A2106)-1)/COLUMNS('Portfolio Weights Returns'!$B$9:$BJ$69))+1,MOD(ROW(A2106)-1,COLUMNS('Portfolio Weights Returns'!$B$9:$BJ$69))+1)</f>
        <v>-7.6123584490886246E-4</v>
      </c>
      <c r="B2107">
        <v>2.06E-2</v>
      </c>
      <c r="C2107" s="59">
        <v>-0.18</v>
      </c>
      <c r="D2107" s="59">
        <v>0.19</v>
      </c>
      <c r="E2107" s="60">
        <f t="shared" si="32"/>
        <v>0.99</v>
      </c>
      <c r="F2107" t="str" cm="1">
        <f t="array" ref="F2107">IF(A2107=MAX(IF(ROUND($B$2:$B$3722,4)=ROUND(B2107,4),$A$2:$A$3722)),"Efficient","Inefficient")</f>
        <v>Inefficient</v>
      </c>
    </row>
    <row r="2108" spans="1:6" x14ac:dyDescent="0.25">
      <c r="A2108" cm="1">
        <f t="array" ref="A2108">INDEX('Portfolio Weights Returns'!$B$9:$BJ$69,
INT((ROW(A2107)-1)/COLUMNS('Portfolio Weights Returns'!$B$9:$BJ$69))+1,MOD(ROW(A2107)-1,COLUMNS('Portfolio Weights Returns'!$B$9:$BJ$69))+1)</f>
        <v>-7.5445467094218332E-4</v>
      </c>
      <c r="B2108">
        <v>2.06E-2</v>
      </c>
      <c r="C2108" s="59">
        <v>-0.18</v>
      </c>
      <c r="D2108" s="59">
        <v>0.2</v>
      </c>
      <c r="E2108" s="60">
        <f t="shared" si="32"/>
        <v>0.98</v>
      </c>
      <c r="F2108" t="str" cm="1">
        <f t="array" ref="F2108">IF(A2108=MAX(IF(ROUND($B$2:$B$3722,4)=ROUND(B2108,4),$A$2:$A$3722)),"Efficient","Inefficient")</f>
        <v>Inefficient</v>
      </c>
    </row>
    <row r="2109" spans="1:6" x14ac:dyDescent="0.25">
      <c r="A2109" cm="1">
        <f t="array" ref="A2109">INDEX('Portfolio Weights Returns'!$B$9:$BJ$69,
INT((ROW(A2108)-1)/COLUMNS('Portfolio Weights Returns'!$B$9:$BJ$69))+1,MOD(ROW(A2108)-1,COLUMNS('Portfolio Weights Returns'!$B$9:$BJ$69))+1)</f>
        <v>-7.4767349697550428E-4</v>
      </c>
      <c r="B2109">
        <v>2.06E-2</v>
      </c>
      <c r="C2109" s="59">
        <v>-0.18</v>
      </c>
      <c r="D2109" s="59">
        <v>0.21</v>
      </c>
      <c r="E2109" s="60">
        <f t="shared" si="32"/>
        <v>0.97</v>
      </c>
      <c r="F2109" t="str" cm="1">
        <f t="array" ref="F2109">IF(A2109=MAX(IF(ROUND($B$2:$B$3722,4)=ROUND(B2109,4),$A$2:$A$3722)),"Efficient","Inefficient")</f>
        <v>Inefficient</v>
      </c>
    </row>
    <row r="2110" spans="1:6" x14ac:dyDescent="0.25">
      <c r="A2110" cm="1">
        <f t="array" ref="A2110">INDEX('Portfolio Weights Returns'!$B$9:$BJ$69,
INT((ROW(A2109)-1)/COLUMNS('Portfolio Weights Returns'!$B$9:$BJ$69))+1,MOD(ROW(A2109)-1,COLUMNS('Portfolio Weights Returns'!$B$9:$BJ$69))+1)</f>
        <v>-7.4089232300882514E-4</v>
      </c>
      <c r="B2110">
        <v>2.06E-2</v>
      </c>
      <c r="C2110" s="59">
        <v>-0.18</v>
      </c>
      <c r="D2110" s="59">
        <v>0.22</v>
      </c>
      <c r="E2110" s="60">
        <f t="shared" si="32"/>
        <v>0.96</v>
      </c>
      <c r="F2110" t="str" cm="1">
        <f t="array" ref="F2110">IF(A2110=MAX(IF(ROUND($B$2:$B$3722,4)=ROUND(B2110,4),$A$2:$A$3722)),"Efficient","Inefficient")</f>
        <v>Inefficient</v>
      </c>
    </row>
    <row r="2111" spans="1:6" x14ac:dyDescent="0.25">
      <c r="A2111" cm="1">
        <f t="array" ref="A2111">INDEX('Portfolio Weights Returns'!$B$9:$BJ$69,
INT((ROW(A2110)-1)/COLUMNS('Portfolio Weights Returns'!$B$9:$BJ$69))+1,MOD(ROW(A2110)-1,COLUMNS('Portfolio Weights Returns'!$B$9:$BJ$69))+1)</f>
        <v>-7.341111490421461E-4</v>
      </c>
      <c r="B2111">
        <v>2.06E-2</v>
      </c>
      <c r="C2111" s="59">
        <v>-0.18</v>
      </c>
      <c r="D2111" s="59">
        <v>0.23</v>
      </c>
      <c r="E2111" s="60">
        <f t="shared" si="32"/>
        <v>0.95</v>
      </c>
      <c r="F2111" t="str" cm="1">
        <f t="array" ref="F2111">IF(A2111=MAX(IF(ROUND($B$2:$B$3722,4)=ROUND(B2111,4),$A$2:$A$3722)),"Efficient","Inefficient")</f>
        <v>Inefficient</v>
      </c>
    </row>
    <row r="2112" spans="1:6" x14ac:dyDescent="0.25">
      <c r="A2112" cm="1">
        <f t="array" ref="A2112">INDEX('Portfolio Weights Returns'!$B$9:$BJ$69,
INT((ROW(A2111)-1)/COLUMNS('Portfolio Weights Returns'!$B$9:$BJ$69))+1,MOD(ROW(A2111)-1,COLUMNS('Portfolio Weights Returns'!$B$9:$BJ$69))+1)</f>
        <v>-7.2732997507546696E-4</v>
      </c>
      <c r="B2112">
        <v>2.06E-2</v>
      </c>
      <c r="C2112" s="59">
        <v>-0.18</v>
      </c>
      <c r="D2112" s="59">
        <v>0.24</v>
      </c>
      <c r="E2112" s="60">
        <f t="shared" si="32"/>
        <v>0.94</v>
      </c>
      <c r="F2112" t="str" cm="1">
        <f t="array" ref="F2112">IF(A2112=MAX(IF(ROUND($B$2:$B$3722,4)=ROUND(B2112,4),$A$2:$A$3722)),"Efficient","Inefficient")</f>
        <v>Inefficient</v>
      </c>
    </row>
    <row r="2113" spans="1:6" x14ac:dyDescent="0.25">
      <c r="A2113" cm="1">
        <f t="array" ref="A2113">INDEX('Portfolio Weights Returns'!$B$9:$BJ$69,
INT((ROW(A2112)-1)/COLUMNS('Portfolio Weights Returns'!$B$9:$BJ$69))+1,MOD(ROW(A2112)-1,COLUMNS('Portfolio Weights Returns'!$B$9:$BJ$69))+1)</f>
        <v>-7.2054880110878781E-4</v>
      </c>
      <c r="B2113">
        <v>2.06E-2</v>
      </c>
      <c r="C2113" s="59">
        <v>-0.18</v>
      </c>
      <c r="D2113" s="59">
        <v>0.25</v>
      </c>
      <c r="E2113" s="60">
        <f t="shared" si="32"/>
        <v>0.92999999999999994</v>
      </c>
      <c r="F2113" t="str" cm="1">
        <f t="array" ref="F2113">IF(A2113=MAX(IF(ROUND($B$2:$B$3722,4)=ROUND(B2113,4),$A$2:$A$3722)),"Efficient","Inefficient")</f>
        <v>Inefficient</v>
      </c>
    </row>
    <row r="2114" spans="1:6" x14ac:dyDescent="0.25">
      <c r="A2114" cm="1">
        <f t="array" ref="A2114">INDEX('Portfolio Weights Returns'!$B$9:$BJ$69,
INT((ROW(A2113)-1)/COLUMNS('Portfolio Weights Returns'!$B$9:$BJ$69))+1,MOD(ROW(A2113)-1,COLUMNS('Portfolio Weights Returns'!$B$9:$BJ$69))+1)</f>
        <v>-7.1376762714210878E-4</v>
      </c>
      <c r="B2114">
        <v>2.06E-2</v>
      </c>
      <c r="C2114" s="59">
        <v>-0.17</v>
      </c>
      <c r="D2114" s="59">
        <v>0.26</v>
      </c>
      <c r="E2114" s="60">
        <f t="shared" ref="E2114:E2177" si="33">1-D2114-C2114</f>
        <v>0.91</v>
      </c>
      <c r="F2114" t="str" cm="1">
        <f t="array" ref="F2114">IF(A2114=MAX(IF(ROUND($B$2:$B$3722,4)=ROUND(B2114,4),$A$2:$A$3722)),"Efficient","Inefficient")</f>
        <v>Inefficient</v>
      </c>
    </row>
    <row r="2115" spans="1:6" x14ac:dyDescent="0.25">
      <c r="A2115" cm="1">
        <f t="array" ref="A2115">INDEX('Portfolio Weights Returns'!$B$9:$BJ$69,
INT((ROW(A2114)-1)/COLUMNS('Portfolio Weights Returns'!$B$9:$BJ$69))+1,MOD(ROW(A2114)-1,COLUMNS('Portfolio Weights Returns'!$B$9:$BJ$69))+1)</f>
        <v>-7.0698645317542974E-4</v>
      </c>
      <c r="B2115">
        <v>2.06E-2</v>
      </c>
      <c r="C2115" s="59">
        <v>-0.17</v>
      </c>
      <c r="D2115" s="59">
        <v>0.27</v>
      </c>
      <c r="E2115" s="60">
        <f t="shared" si="33"/>
        <v>0.9</v>
      </c>
      <c r="F2115" t="str" cm="1">
        <f t="array" ref="F2115">IF(A2115=MAX(IF(ROUND($B$2:$B$3722,4)=ROUND(B2115,4),$A$2:$A$3722)),"Efficient","Inefficient")</f>
        <v>Inefficient</v>
      </c>
    </row>
    <row r="2116" spans="1:6" x14ac:dyDescent="0.25">
      <c r="A2116" cm="1">
        <f t="array" ref="A2116">INDEX('Portfolio Weights Returns'!$B$9:$BJ$69,
INT((ROW(A2115)-1)/COLUMNS('Portfolio Weights Returns'!$B$9:$BJ$69))+1,MOD(ROW(A2115)-1,COLUMNS('Portfolio Weights Returns'!$B$9:$BJ$69))+1)</f>
        <v>-7.002052792087506E-4</v>
      </c>
      <c r="B2116">
        <v>2.06E-2</v>
      </c>
      <c r="C2116" s="59">
        <v>-0.16</v>
      </c>
      <c r="D2116" s="59">
        <v>0.28999999999999998</v>
      </c>
      <c r="E2116" s="60">
        <f t="shared" si="33"/>
        <v>0.87</v>
      </c>
      <c r="F2116" t="str" cm="1">
        <f t="array" ref="F2116">IF(A2116=MAX(IF(ROUND($B$2:$B$3722,4)=ROUND(B2116,4),$A$2:$A$3722)),"Efficient","Inefficient")</f>
        <v>Inefficient</v>
      </c>
    </row>
    <row r="2117" spans="1:6" x14ac:dyDescent="0.25">
      <c r="A2117" cm="1">
        <f t="array" ref="A2117">INDEX('Portfolio Weights Returns'!$B$9:$BJ$69,
INT((ROW(A2116)-1)/COLUMNS('Portfolio Weights Returns'!$B$9:$BJ$69))+1,MOD(ROW(A2116)-1,COLUMNS('Portfolio Weights Returns'!$B$9:$BJ$69))+1)</f>
        <v>-6.9342410524207145E-4</v>
      </c>
      <c r="B2117">
        <v>2.06E-2</v>
      </c>
      <c r="C2117" s="59">
        <v>-0.15</v>
      </c>
      <c r="D2117" s="59">
        <v>0.3</v>
      </c>
      <c r="E2117" s="60">
        <f t="shared" si="33"/>
        <v>0.85</v>
      </c>
      <c r="F2117" t="str" cm="1">
        <f t="array" ref="F2117">IF(A2117=MAX(IF(ROUND($B$2:$B$3722,4)=ROUND(B2117,4),$A$2:$A$3722)),"Efficient","Inefficient")</f>
        <v>Inefficient</v>
      </c>
    </row>
    <row r="2118" spans="1:6" x14ac:dyDescent="0.25">
      <c r="A2118" cm="1">
        <f t="array" ref="A2118">INDEX('Portfolio Weights Returns'!$B$9:$BJ$69,
INT((ROW(A2117)-1)/COLUMNS('Portfolio Weights Returns'!$B$9:$BJ$69))+1,MOD(ROW(A2117)-1,COLUMNS('Portfolio Weights Returns'!$B$9:$BJ$69))+1)</f>
        <v>-6.8664293127539231E-4</v>
      </c>
      <c r="B2118">
        <v>2.07E-2</v>
      </c>
      <c r="C2118" s="59">
        <v>0.27</v>
      </c>
      <c r="D2118" s="59">
        <v>-0.28000000000000003</v>
      </c>
      <c r="E2118" s="60">
        <f t="shared" si="33"/>
        <v>1.01</v>
      </c>
      <c r="F2118" t="str" cm="1">
        <f t="array" ref="F2118">IF(A2118=MAX(IF(ROUND($B$2:$B$3722,4)=ROUND(B2118,4),$A$2:$A$3722)),"Efficient","Inefficient")</f>
        <v>Inefficient</v>
      </c>
    </row>
    <row r="2119" spans="1:6" x14ac:dyDescent="0.25">
      <c r="A2119" cm="1">
        <f t="array" ref="A2119">INDEX('Portfolio Weights Returns'!$B$9:$BJ$69,
INT((ROW(A2118)-1)/COLUMNS('Portfolio Weights Returns'!$B$9:$BJ$69))+1,MOD(ROW(A2118)-1,COLUMNS('Portfolio Weights Returns'!$B$9:$BJ$69))+1)</f>
        <v>-6.7986175730871316E-4</v>
      </c>
      <c r="B2119">
        <v>2.07E-2</v>
      </c>
      <c r="C2119" s="59">
        <v>0.25</v>
      </c>
      <c r="D2119" s="59">
        <v>-0.27</v>
      </c>
      <c r="E2119" s="60">
        <f t="shared" si="33"/>
        <v>1.02</v>
      </c>
      <c r="F2119" t="str" cm="1">
        <f t="array" ref="F2119">IF(A2119=MAX(IF(ROUND($B$2:$B$3722,4)=ROUND(B2119,4),$A$2:$A$3722)),"Efficient","Inefficient")</f>
        <v>Inefficient</v>
      </c>
    </row>
    <row r="2120" spans="1:6" x14ac:dyDescent="0.25">
      <c r="A2120" cm="1">
        <f t="array" ref="A2120">INDEX('Portfolio Weights Returns'!$B$9:$BJ$69,
INT((ROW(A2119)-1)/COLUMNS('Portfolio Weights Returns'!$B$9:$BJ$69))+1,MOD(ROW(A2119)-1,COLUMNS('Portfolio Weights Returns'!$B$9:$BJ$69))+1)</f>
        <v>-6.7308058334203413E-4</v>
      </c>
      <c r="B2120">
        <v>2.07E-2</v>
      </c>
      <c r="C2120" s="59">
        <v>0.2</v>
      </c>
      <c r="D2120" s="59">
        <v>-0.24</v>
      </c>
      <c r="E2120" s="60">
        <f t="shared" si="33"/>
        <v>1.04</v>
      </c>
      <c r="F2120" t="str" cm="1">
        <f t="array" ref="F2120">IF(A2120=MAX(IF(ROUND($B$2:$B$3722,4)=ROUND(B2120,4),$A$2:$A$3722)),"Efficient","Inefficient")</f>
        <v>Inefficient</v>
      </c>
    </row>
    <row r="2121" spans="1:6" x14ac:dyDescent="0.25">
      <c r="A2121" cm="1">
        <f t="array" ref="A2121">INDEX('Portfolio Weights Returns'!$B$9:$BJ$69,
INT((ROW(A2120)-1)/COLUMNS('Portfolio Weights Returns'!$B$9:$BJ$69))+1,MOD(ROW(A2120)-1,COLUMNS('Portfolio Weights Returns'!$B$9:$BJ$69))+1)</f>
        <v>-6.6629940937535498E-4</v>
      </c>
      <c r="B2121">
        <v>2.07E-2</v>
      </c>
      <c r="C2121" s="59">
        <v>0.18</v>
      </c>
      <c r="D2121" s="59">
        <v>-0.23</v>
      </c>
      <c r="E2121" s="60">
        <f t="shared" si="33"/>
        <v>1.05</v>
      </c>
      <c r="F2121" t="str" cm="1">
        <f t="array" ref="F2121">IF(A2121=MAX(IF(ROUND($B$2:$B$3722,4)=ROUND(B2121,4),$A$2:$A$3722)),"Efficient","Inefficient")</f>
        <v>Inefficient</v>
      </c>
    </row>
    <row r="2122" spans="1:6" x14ac:dyDescent="0.25">
      <c r="A2122" cm="1">
        <f t="array" ref="A2122">INDEX('Portfolio Weights Returns'!$B$9:$BJ$69,
INT((ROW(A2121)-1)/COLUMNS('Portfolio Weights Returns'!$B$9:$BJ$69))+1,MOD(ROW(A2121)-1,COLUMNS('Portfolio Weights Returns'!$B$9:$BJ$69))+1)</f>
        <v>-6.5951823540867595E-4</v>
      </c>
      <c r="B2122">
        <v>2.07E-2</v>
      </c>
      <c r="C2122" s="59">
        <v>0.16</v>
      </c>
      <c r="D2122" s="59">
        <v>-0.22</v>
      </c>
      <c r="E2122" s="60">
        <f t="shared" si="33"/>
        <v>1.06</v>
      </c>
      <c r="F2122" t="str" cm="1">
        <f t="array" ref="F2122">IF(A2122=MAX(IF(ROUND($B$2:$B$3722,4)=ROUND(B2122,4),$A$2:$A$3722)),"Efficient","Inefficient")</f>
        <v>Inefficient</v>
      </c>
    </row>
    <row r="2123" spans="1:6" x14ac:dyDescent="0.25">
      <c r="A2123" cm="1">
        <f t="array" ref="A2123">INDEX('Portfolio Weights Returns'!$B$9:$BJ$69,
INT((ROW(A2122)-1)/COLUMNS('Portfolio Weights Returns'!$B$9:$BJ$69))+1,MOD(ROW(A2122)-1,COLUMNS('Portfolio Weights Returns'!$B$9:$BJ$69))+1)</f>
        <v>-6.527370614419968E-4</v>
      </c>
      <c r="B2123">
        <v>2.07E-2</v>
      </c>
      <c r="C2123" s="59">
        <v>0.13</v>
      </c>
      <c r="D2123" s="59">
        <v>-0.2</v>
      </c>
      <c r="E2123" s="60">
        <f t="shared" si="33"/>
        <v>1.0699999999999998</v>
      </c>
      <c r="F2123" t="str" cm="1">
        <f t="array" ref="F2123">IF(A2123=MAX(IF(ROUND($B$2:$B$3722,4)=ROUND(B2123,4),$A$2:$A$3722)),"Efficient","Inefficient")</f>
        <v>Inefficient</v>
      </c>
    </row>
    <row r="2124" spans="1:6" x14ac:dyDescent="0.25">
      <c r="A2124" cm="1">
        <f t="array" ref="A2124">INDEX('Portfolio Weights Returns'!$B$9:$BJ$69,
INT((ROW(A2123)-1)/COLUMNS('Portfolio Weights Returns'!$B$9:$BJ$69))+1,MOD(ROW(A2123)-1,COLUMNS('Portfolio Weights Returns'!$B$9:$BJ$69))+1)</f>
        <v>-6.4595588747531777E-4</v>
      </c>
      <c r="B2124">
        <v>2.07E-2</v>
      </c>
      <c r="C2124" s="59">
        <v>0.1</v>
      </c>
      <c r="D2124" s="59">
        <v>-0.18</v>
      </c>
      <c r="E2124" s="60">
        <f t="shared" si="33"/>
        <v>1.0799999999999998</v>
      </c>
      <c r="F2124" t="str" cm="1">
        <f t="array" ref="F2124">IF(A2124=MAX(IF(ROUND($B$2:$B$3722,4)=ROUND(B2124,4),$A$2:$A$3722)),"Efficient","Inefficient")</f>
        <v>Inefficient</v>
      </c>
    </row>
    <row r="2125" spans="1:6" x14ac:dyDescent="0.25">
      <c r="A2125" cm="1">
        <f t="array" ref="A2125">INDEX('Portfolio Weights Returns'!$B$9:$BJ$69,
INT((ROW(A2124)-1)/COLUMNS('Portfolio Weights Returns'!$B$9:$BJ$69))+1,MOD(ROW(A2124)-1,COLUMNS('Portfolio Weights Returns'!$B$9:$BJ$69))+1)</f>
        <v>-6.3917471350863862E-4</v>
      </c>
      <c r="B2125">
        <v>2.07E-2</v>
      </c>
      <c r="C2125" s="59">
        <v>7.0000000000000007E-2</v>
      </c>
      <c r="D2125" s="59">
        <v>-0.16</v>
      </c>
      <c r="E2125" s="60">
        <f t="shared" si="33"/>
        <v>1.0899999999999999</v>
      </c>
      <c r="F2125" t="str" cm="1">
        <f t="array" ref="F2125">IF(A2125=MAX(IF(ROUND($B$2:$B$3722,4)=ROUND(B2125,4),$A$2:$A$3722)),"Efficient","Inefficient")</f>
        <v>Inefficient</v>
      </c>
    </row>
    <row r="2126" spans="1:6" x14ac:dyDescent="0.25">
      <c r="A2126" cm="1">
        <f t="array" ref="A2126">INDEX('Portfolio Weights Returns'!$B$9:$BJ$69,
INT((ROW(A2125)-1)/COLUMNS('Portfolio Weights Returns'!$B$9:$BJ$69))+1,MOD(ROW(A2125)-1,COLUMNS('Portfolio Weights Returns'!$B$9:$BJ$69))+1)</f>
        <v>-6.3239353954195948E-4</v>
      </c>
      <c r="B2126">
        <v>2.07E-2</v>
      </c>
      <c r="C2126" s="59">
        <v>0.06</v>
      </c>
      <c r="D2126" s="59">
        <v>-0.15</v>
      </c>
      <c r="E2126" s="60">
        <f t="shared" si="33"/>
        <v>1.0899999999999999</v>
      </c>
      <c r="F2126" t="str" cm="1">
        <f t="array" ref="F2126">IF(A2126=MAX(IF(ROUND($B$2:$B$3722,4)=ROUND(B2126,4),$A$2:$A$3722)),"Efficient","Inefficient")</f>
        <v>Inefficient</v>
      </c>
    </row>
    <row r="2127" spans="1:6" x14ac:dyDescent="0.25">
      <c r="A2127" cm="1">
        <f t="array" ref="A2127">INDEX('Portfolio Weights Returns'!$B$9:$BJ$69,
INT((ROW(A2126)-1)/COLUMNS('Portfolio Weights Returns'!$B$9:$BJ$69))+1,MOD(ROW(A2126)-1,COLUMNS('Portfolio Weights Returns'!$B$9:$BJ$69))+1)</f>
        <v>-6.2561236557528044E-4</v>
      </c>
      <c r="B2127">
        <v>2.07E-2</v>
      </c>
      <c r="C2127" s="59">
        <v>0.03</v>
      </c>
      <c r="D2127" s="59">
        <v>-0.13</v>
      </c>
      <c r="E2127" s="60">
        <f t="shared" si="33"/>
        <v>1.0999999999999999</v>
      </c>
      <c r="F2127" t="str" cm="1">
        <f t="array" ref="F2127">IF(A2127=MAX(IF(ROUND($B$2:$B$3722,4)=ROUND(B2127,4),$A$2:$A$3722)),"Efficient","Inefficient")</f>
        <v>Inefficient</v>
      </c>
    </row>
    <row r="2128" spans="1:6" x14ac:dyDescent="0.25">
      <c r="A2128" cm="1">
        <f t="array" ref="A2128">INDEX('Portfolio Weights Returns'!$B$9:$BJ$69,
INT((ROW(A2127)-1)/COLUMNS('Portfolio Weights Returns'!$B$9:$BJ$69))+1,MOD(ROW(A2127)-1,COLUMNS('Portfolio Weights Returns'!$B$9:$BJ$69))+1)</f>
        <v>-6.188311916086013E-4</v>
      </c>
      <c r="B2128">
        <v>2.07E-2</v>
      </c>
      <c r="C2128" s="59">
        <v>0.02</v>
      </c>
      <c r="D2128" s="59">
        <v>-0.12</v>
      </c>
      <c r="E2128" s="60">
        <f t="shared" si="33"/>
        <v>1.1000000000000001</v>
      </c>
      <c r="F2128" t="str" cm="1">
        <f t="array" ref="F2128">IF(A2128=MAX(IF(ROUND($B$2:$B$3722,4)=ROUND(B2128,4),$A$2:$A$3722)),"Efficient","Inefficient")</f>
        <v>Inefficient</v>
      </c>
    </row>
    <row r="2129" spans="1:6" x14ac:dyDescent="0.25">
      <c r="A2129" cm="1">
        <f t="array" ref="A2129">INDEX('Portfolio Weights Returns'!$B$9:$BJ$69,
INT((ROW(A2128)-1)/COLUMNS('Portfolio Weights Returns'!$B$9:$BJ$69))+1,MOD(ROW(A2128)-1,COLUMNS('Portfolio Weights Returns'!$B$9:$BJ$69))+1)</f>
        <v>-6.1205001764192226E-4</v>
      </c>
      <c r="B2129">
        <v>2.07E-2</v>
      </c>
      <c r="C2129" s="59">
        <v>-0.02</v>
      </c>
      <c r="D2129" s="59">
        <v>-0.09</v>
      </c>
      <c r="E2129" s="60">
        <f t="shared" si="33"/>
        <v>1.1100000000000001</v>
      </c>
      <c r="F2129" t="str" cm="1">
        <f t="array" ref="F2129">IF(A2129=MAX(IF(ROUND($B$2:$B$3722,4)=ROUND(B2129,4),$A$2:$A$3722)),"Efficient","Inefficient")</f>
        <v>Inefficient</v>
      </c>
    </row>
    <row r="2130" spans="1:6" x14ac:dyDescent="0.25">
      <c r="A2130" cm="1">
        <f t="array" ref="A2130">INDEX('Portfolio Weights Returns'!$B$9:$BJ$69,
INT((ROW(A2129)-1)/COLUMNS('Portfolio Weights Returns'!$B$9:$BJ$69))+1,MOD(ROW(A2129)-1,COLUMNS('Portfolio Weights Returns'!$B$9:$BJ$69))+1)</f>
        <v>-6.0526884367524312E-4</v>
      </c>
      <c r="B2130">
        <v>2.07E-2</v>
      </c>
      <c r="C2130" s="59">
        <v>-0.03</v>
      </c>
      <c r="D2130" s="59">
        <v>-0.08</v>
      </c>
      <c r="E2130" s="60">
        <f t="shared" si="33"/>
        <v>1.1100000000000001</v>
      </c>
      <c r="F2130" t="str" cm="1">
        <f t="array" ref="F2130">IF(A2130=MAX(IF(ROUND($B$2:$B$3722,4)=ROUND(B2130,4),$A$2:$A$3722)),"Efficient","Inefficient")</f>
        <v>Inefficient</v>
      </c>
    </row>
    <row r="2131" spans="1:6" x14ac:dyDescent="0.25">
      <c r="A2131" cm="1">
        <f t="array" ref="A2131">INDEX('Portfolio Weights Returns'!$B$9:$BJ$69,
INT((ROW(A2130)-1)/COLUMNS('Portfolio Weights Returns'!$B$9:$BJ$69))+1,MOD(ROW(A2130)-1,COLUMNS('Portfolio Weights Returns'!$B$9:$BJ$69))+1)</f>
        <v>-5.9848766970856397E-4</v>
      </c>
      <c r="B2131">
        <v>2.07E-2</v>
      </c>
      <c r="C2131" s="59">
        <v>-0.04</v>
      </c>
      <c r="D2131" s="59">
        <v>-7.0000000000000007E-2</v>
      </c>
      <c r="E2131" s="60">
        <f t="shared" si="33"/>
        <v>1.1100000000000001</v>
      </c>
      <c r="F2131" t="str" cm="1">
        <f t="array" ref="F2131">IF(A2131=MAX(IF(ROUND($B$2:$B$3722,4)=ROUND(B2131,4),$A$2:$A$3722)),"Efficient","Inefficient")</f>
        <v>Inefficient</v>
      </c>
    </row>
    <row r="2132" spans="1:6" x14ac:dyDescent="0.25">
      <c r="A2132" cm="1">
        <f t="array" ref="A2132">INDEX('Portfolio Weights Returns'!$B$9:$BJ$69,
INT((ROW(A2131)-1)/COLUMNS('Portfolio Weights Returns'!$B$9:$BJ$69))+1,MOD(ROW(A2131)-1,COLUMNS('Portfolio Weights Returns'!$B$9:$BJ$69))+1)</f>
        <v>-5.9170649574188483E-4</v>
      </c>
      <c r="B2132">
        <v>2.07E-2</v>
      </c>
      <c r="C2132" s="59">
        <v>-0.05</v>
      </c>
      <c r="D2132" s="59">
        <v>-0.06</v>
      </c>
      <c r="E2132" s="60">
        <f t="shared" si="33"/>
        <v>1.1100000000000001</v>
      </c>
      <c r="F2132" t="str" cm="1">
        <f t="array" ref="F2132">IF(A2132=MAX(IF(ROUND($B$2:$B$3722,4)=ROUND(B2132,4),$A$2:$A$3722)),"Efficient","Inefficient")</f>
        <v>Inefficient</v>
      </c>
    </row>
    <row r="2133" spans="1:6" x14ac:dyDescent="0.25">
      <c r="A2133" cm="1">
        <f t="array" ref="A2133">INDEX('Portfolio Weights Returns'!$B$9:$BJ$69,
INT((ROW(A2132)-1)/COLUMNS('Portfolio Weights Returns'!$B$9:$BJ$69))+1,MOD(ROW(A2132)-1,COLUMNS('Portfolio Weights Returns'!$B$9:$BJ$69))+1)</f>
        <v>-5.8492532177520514E-4</v>
      </c>
      <c r="B2133">
        <v>2.07E-2</v>
      </c>
      <c r="C2133" s="59">
        <v>-0.06</v>
      </c>
      <c r="D2133" s="59">
        <v>-0.05</v>
      </c>
      <c r="E2133" s="60">
        <f t="shared" si="33"/>
        <v>1.1100000000000001</v>
      </c>
      <c r="F2133" t="str" cm="1">
        <f t="array" ref="F2133">IF(A2133=MAX(IF(ROUND($B$2:$B$3722,4)=ROUND(B2133,4),$A$2:$A$3722)),"Efficient","Inefficient")</f>
        <v>Inefficient</v>
      </c>
    </row>
    <row r="2134" spans="1:6" x14ac:dyDescent="0.25">
      <c r="A2134" cm="1">
        <f t="array" ref="A2134">INDEX('Portfolio Weights Returns'!$B$9:$BJ$69,
INT((ROW(A2133)-1)/COLUMNS('Portfolio Weights Returns'!$B$9:$BJ$69))+1,MOD(ROW(A2133)-1,COLUMNS('Portfolio Weights Returns'!$B$9:$BJ$69))+1)</f>
        <v>-5.78144147808526E-4</v>
      </c>
      <c r="B2134">
        <v>2.07E-2</v>
      </c>
      <c r="C2134" s="59">
        <v>-7.0000000000000007E-2</v>
      </c>
      <c r="D2134" s="59">
        <v>-0.04</v>
      </c>
      <c r="E2134" s="60">
        <f t="shared" si="33"/>
        <v>1.1100000000000001</v>
      </c>
      <c r="F2134" t="str" cm="1">
        <f t="array" ref="F2134">IF(A2134=MAX(IF(ROUND($B$2:$B$3722,4)=ROUND(B2134,4),$A$2:$A$3722)),"Efficient","Inefficient")</f>
        <v>Inefficient</v>
      </c>
    </row>
    <row r="2135" spans="1:6" x14ac:dyDescent="0.25">
      <c r="A2135" cm="1">
        <f t="array" ref="A2135">INDEX('Portfolio Weights Returns'!$B$9:$BJ$69,
INT((ROW(A2134)-1)/COLUMNS('Portfolio Weights Returns'!$B$9:$BJ$69))+1,MOD(ROW(A2134)-1,COLUMNS('Portfolio Weights Returns'!$B$9:$BJ$69))+1)</f>
        <v>-5.7136297384184696E-4</v>
      </c>
      <c r="B2135">
        <v>2.07E-2</v>
      </c>
      <c r="C2135" s="59">
        <v>-0.08</v>
      </c>
      <c r="D2135" s="59">
        <v>-0.03</v>
      </c>
      <c r="E2135" s="60">
        <f t="shared" si="33"/>
        <v>1.1100000000000001</v>
      </c>
      <c r="F2135" t="str" cm="1">
        <f t="array" ref="F2135">IF(A2135=MAX(IF(ROUND($B$2:$B$3722,4)=ROUND(B2135,4),$A$2:$A$3722)),"Efficient","Inefficient")</f>
        <v>Inefficient</v>
      </c>
    </row>
    <row r="2136" spans="1:6" x14ac:dyDescent="0.25">
      <c r="A2136" cm="1">
        <f t="array" ref="A2136">INDEX('Portfolio Weights Returns'!$B$9:$BJ$69,
INT((ROW(A2135)-1)/COLUMNS('Portfolio Weights Returns'!$B$9:$BJ$69))+1,MOD(ROW(A2135)-1,COLUMNS('Portfolio Weights Returns'!$B$9:$BJ$69))+1)</f>
        <v>-5.6458179987516782E-4</v>
      </c>
      <c r="B2136">
        <v>2.07E-2</v>
      </c>
      <c r="C2136" s="59">
        <v>-0.11</v>
      </c>
      <c r="D2136" s="59">
        <v>0.01</v>
      </c>
      <c r="E2136" s="60">
        <f t="shared" si="33"/>
        <v>1.1000000000000001</v>
      </c>
      <c r="F2136" t="str" cm="1">
        <f t="array" ref="F2136">IF(A2136=MAX(IF(ROUND($B$2:$B$3722,4)=ROUND(B2136,4),$A$2:$A$3722)),"Efficient","Inefficient")</f>
        <v>Efficient</v>
      </c>
    </row>
    <row r="2137" spans="1:6" x14ac:dyDescent="0.25">
      <c r="A2137" cm="1">
        <f t="array" ref="A2137">INDEX('Portfolio Weights Returns'!$B$9:$BJ$69,
INT((ROW(A2136)-1)/COLUMNS('Portfolio Weights Returns'!$B$9:$BJ$69))+1,MOD(ROW(A2136)-1,COLUMNS('Portfolio Weights Returns'!$B$9:$BJ$69))+1)</f>
        <v>-9.6487803003045952E-4</v>
      </c>
      <c r="B2137">
        <v>2.07E-2</v>
      </c>
      <c r="C2137" s="59">
        <v>-0.12</v>
      </c>
      <c r="D2137" s="59">
        <v>0.02</v>
      </c>
      <c r="E2137" s="60">
        <f t="shared" si="33"/>
        <v>1.1000000000000001</v>
      </c>
      <c r="F2137" t="str" cm="1">
        <f t="array" ref="F2137">IF(A2137=MAX(IF(ROUND($B$2:$B$3722,4)=ROUND(B2137,4),$A$2:$A$3722)),"Efficient","Inefficient")</f>
        <v>Inefficient</v>
      </c>
    </row>
    <row r="2138" spans="1:6" x14ac:dyDescent="0.25">
      <c r="A2138" cm="1">
        <f t="array" ref="A2138">INDEX('Portfolio Weights Returns'!$B$9:$BJ$69,
INT((ROW(A2137)-1)/COLUMNS('Portfolio Weights Returns'!$B$9:$BJ$69))+1,MOD(ROW(A2137)-1,COLUMNS('Portfolio Weights Returns'!$B$9:$BJ$69))+1)</f>
        <v>-9.5809685606378049E-4</v>
      </c>
      <c r="B2138">
        <v>2.07E-2</v>
      </c>
      <c r="C2138" s="59">
        <v>-0.13</v>
      </c>
      <c r="D2138" s="59">
        <v>0.04</v>
      </c>
      <c r="E2138" s="60">
        <f t="shared" si="33"/>
        <v>1.0899999999999999</v>
      </c>
      <c r="F2138" t="str" cm="1">
        <f t="array" ref="F2138">IF(A2138=MAX(IF(ROUND($B$2:$B$3722,4)=ROUND(B2138,4),$A$2:$A$3722)),"Efficient","Inefficient")</f>
        <v>Inefficient</v>
      </c>
    </row>
    <row r="2139" spans="1:6" x14ac:dyDescent="0.25">
      <c r="A2139" cm="1">
        <f t="array" ref="A2139">INDEX('Portfolio Weights Returns'!$B$9:$BJ$69,
INT((ROW(A2138)-1)/COLUMNS('Portfolio Weights Returns'!$B$9:$BJ$69))+1,MOD(ROW(A2138)-1,COLUMNS('Portfolio Weights Returns'!$B$9:$BJ$69))+1)</f>
        <v>-9.5131568209710134E-4</v>
      </c>
      <c r="B2139">
        <v>2.07E-2</v>
      </c>
      <c r="C2139" s="59">
        <v>-0.14000000000000001</v>
      </c>
      <c r="D2139" s="59">
        <v>0.05</v>
      </c>
      <c r="E2139" s="60">
        <f t="shared" si="33"/>
        <v>1.0899999999999999</v>
      </c>
      <c r="F2139" t="str" cm="1">
        <f t="array" ref="F2139">IF(A2139=MAX(IF(ROUND($B$2:$B$3722,4)=ROUND(B2139,4),$A$2:$A$3722)),"Efficient","Inefficient")</f>
        <v>Inefficient</v>
      </c>
    </row>
    <row r="2140" spans="1:6" x14ac:dyDescent="0.25">
      <c r="A2140" cm="1">
        <f t="array" ref="A2140">INDEX('Portfolio Weights Returns'!$B$9:$BJ$69,
INT((ROW(A2139)-1)/COLUMNS('Portfolio Weights Returns'!$B$9:$BJ$69))+1,MOD(ROW(A2139)-1,COLUMNS('Portfolio Weights Returns'!$B$9:$BJ$69))+1)</f>
        <v>-9.4453450813042231E-4</v>
      </c>
      <c r="B2140">
        <v>2.07E-2</v>
      </c>
      <c r="C2140" s="59">
        <v>-0.15</v>
      </c>
      <c r="D2140" s="59">
        <v>7.0000000000000007E-2</v>
      </c>
      <c r="E2140" s="60">
        <f t="shared" si="33"/>
        <v>1.0799999999999998</v>
      </c>
      <c r="F2140" t="str" cm="1">
        <f t="array" ref="F2140">IF(A2140=MAX(IF(ROUND($B$2:$B$3722,4)=ROUND(B2140,4),$A$2:$A$3722)),"Efficient","Inefficient")</f>
        <v>Inefficient</v>
      </c>
    </row>
    <row r="2141" spans="1:6" x14ac:dyDescent="0.25">
      <c r="A2141" cm="1">
        <f t="array" ref="A2141">INDEX('Portfolio Weights Returns'!$B$9:$BJ$69,
INT((ROW(A2140)-1)/COLUMNS('Portfolio Weights Returns'!$B$9:$BJ$69))+1,MOD(ROW(A2140)-1,COLUMNS('Portfolio Weights Returns'!$B$9:$BJ$69))+1)</f>
        <v>-9.3775333416374305E-4</v>
      </c>
      <c r="B2141">
        <v>2.07E-2</v>
      </c>
      <c r="C2141" s="59">
        <v>-0.16</v>
      </c>
      <c r="D2141" s="59">
        <v>0.09</v>
      </c>
      <c r="E2141" s="60">
        <f t="shared" si="33"/>
        <v>1.07</v>
      </c>
      <c r="F2141" t="str" cm="1">
        <f t="array" ref="F2141">IF(A2141=MAX(IF(ROUND($B$2:$B$3722,4)=ROUND(B2141,4),$A$2:$A$3722)),"Efficient","Inefficient")</f>
        <v>Inefficient</v>
      </c>
    </row>
    <row r="2142" spans="1:6" x14ac:dyDescent="0.25">
      <c r="A2142" cm="1">
        <f t="array" ref="A2142">INDEX('Portfolio Weights Returns'!$B$9:$BJ$69,
INT((ROW(A2141)-1)/COLUMNS('Portfolio Weights Returns'!$B$9:$BJ$69))+1,MOD(ROW(A2141)-1,COLUMNS('Portfolio Weights Returns'!$B$9:$BJ$69))+1)</f>
        <v>-9.3097216019706402E-4</v>
      </c>
      <c r="B2142">
        <v>2.07E-2</v>
      </c>
      <c r="C2142" s="59">
        <v>-0.17</v>
      </c>
      <c r="D2142" s="59">
        <v>0.11</v>
      </c>
      <c r="E2142" s="60">
        <f t="shared" si="33"/>
        <v>1.06</v>
      </c>
      <c r="F2142" t="str" cm="1">
        <f t="array" ref="F2142">IF(A2142=MAX(IF(ROUND($B$2:$B$3722,4)=ROUND(B2142,4),$A$2:$A$3722)),"Efficient","Inefficient")</f>
        <v>Inefficient</v>
      </c>
    </row>
    <row r="2143" spans="1:6" x14ac:dyDescent="0.25">
      <c r="A2143" cm="1">
        <f t="array" ref="A2143">INDEX('Portfolio Weights Returns'!$B$9:$BJ$69,
INT((ROW(A2142)-1)/COLUMNS('Portfolio Weights Returns'!$B$9:$BJ$69))+1,MOD(ROW(A2142)-1,COLUMNS('Portfolio Weights Returns'!$B$9:$BJ$69))+1)</f>
        <v>-9.2419098623038487E-4</v>
      </c>
      <c r="B2143">
        <v>2.07E-2</v>
      </c>
      <c r="C2143" s="59">
        <v>-0.18</v>
      </c>
      <c r="D2143" s="59">
        <v>0.13</v>
      </c>
      <c r="E2143" s="60">
        <f t="shared" si="33"/>
        <v>1.05</v>
      </c>
      <c r="F2143" t="str" cm="1">
        <f t="array" ref="F2143">IF(A2143=MAX(IF(ROUND($B$2:$B$3722,4)=ROUND(B2143,4),$A$2:$A$3722)),"Efficient","Inefficient")</f>
        <v>Inefficient</v>
      </c>
    </row>
    <row r="2144" spans="1:6" x14ac:dyDescent="0.25">
      <c r="A2144" cm="1">
        <f t="array" ref="A2144">INDEX('Portfolio Weights Returns'!$B$9:$BJ$69,
INT((ROW(A2143)-1)/COLUMNS('Portfolio Weights Returns'!$B$9:$BJ$69))+1,MOD(ROW(A2143)-1,COLUMNS('Portfolio Weights Returns'!$B$9:$BJ$69))+1)</f>
        <v>-9.1740981226370584E-4</v>
      </c>
      <c r="B2144">
        <v>2.07E-2</v>
      </c>
      <c r="C2144" s="59">
        <v>-0.18</v>
      </c>
      <c r="D2144" s="59">
        <v>0.14000000000000001</v>
      </c>
      <c r="E2144" s="60">
        <f t="shared" si="33"/>
        <v>1.04</v>
      </c>
      <c r="F2144" t="str" cm="1">
        <f t="array" ref="F2144">IF(A2144=MAX(IF(ROUND($B$2:$B$3722,4)=ROUND(B2144,4),$A$2:$A$3722)),"Efficient","Inefficient")</f>
        <v>Inefficient</v>
      </c>
    </row>
    <row r="2145" spans="1:6" x14ac:dyDescent="0.25">
      <c r="A2145" cm="1">
        <f t="array" ref="A2145">INDEX('Portfolio Weights Returns'!$B$9:$BJ$69,
INT((ROW(A2144)-1)/COLUMNS('Portfolio Weights Returns'!$B$9:$BJ$69))+1,MOD(ROW(A2144)-1,COLUMNS('Portfolio Weights Returns'!$B$9:$BJ$69))+1)</f>
        <v>-9.1062863829702669E-4</v>
      </c>
      <c r="B2145">
        <v>2.07E-2</v>
      </c>
      <c r="C2145" s="59">
        <v>-0.18</v>
      </c>
      <c r="D2145" s="59">
        <v>0.15</v>
      </c>
      <c r="E2145" s="60">
        <f t="shared" si="33"/>
        <v>1.03</v>
      </c>
      <c r="F2145" t="str" cm="1">
        <f t="array" ref="F2145">IF(A2145=MAX(IF(ROUND($B$2:$B$3722,4)=ROUND(B2145,4),$A$2:$A$3722)),"Efficient","Inefficient")</f>
        <v>Inefficient</v>
      </c>
    </row>
    <row r="2146" spans="1:6" x14ac:dyDescent="0.25">
      <c r="A2146" cm="1">
        <f t="array" ref="A2146">INDEX('Portfolio Weights Returns'!$B$9:$BJ$69,
INT((ROW(A2145)-1)/COLUMNS('Portfolio Weights Returns'!$B$9:$BJ$69))+1,MOD(ROW(A2145)-1,COLUMNS('Portfolio Weights Returns'!$B$9:$BJ$69))+1)</f>
        <v>-9.0384746433034755E-4</v>
      </c>
      <c r="B2146">
        <v>2.07E-2</v>
      </c>
      <c r="C2146" s="59">
        <v>-0.19</v>
      </c>
      <c r="D2146" s="59">
        <v>0.17</v>
      </c>
      <c r="E2146" s="60">
        <f t="shared" si="33"/>
        <v>1.02</v>
      </c>
      <c r="F2146" t="str" cm="1">
        <f t="array" ref="F2146">IF(A2146=MAX(IF(ROUND($B$2:$B$3722,4)=ROUND(B2146,4),$A$2:$A$3722)),"Efficient","Inefficient")</f>
        <v>Inefficient</v>
      </c>
    </row>
    <row r="2147" spans="1:6" x14ac:dyDescent="0.25">
      <c r="A2147" cm="1">
        <f t="array" ref="A2147">INDEX('Portfolio Weights Returns'!$B$9:$BJ$69,
INT((ROW(A2146)-1)/COLUMNS('Portfolio Weights Returns'!$B$9:$BJ$69))+1,MOD(ROW(A2146)-1,COLUMNS('Portfolio Weights Returns'!$B$9:$BJ$69))+1)</f>
        <v>-8.9706629036366851E-4</v>
      </c>
      <c r="B2147">
        <v>2.07E-2</v>
      </c>
      <c r="C2147" s="59">
        <v>-0.19</v>
      </c>
      <c r="D2147" s="59">
        <v>0.18</v>
      </c>
      <c r="E2147" s="60">
        <f t="shared" si="33"/>
        <v>1.01</v>
      </c>
      <c r="F2147" t="str" cm="1">
        <f t="array" ref="F2147">IF(A2147=MAX(IF(ROUND($B$2:$B$3722,4)=ROUND(B2147,4),$A$2:$A$3722)),"Efficient","Inefficient")</f>
        <v>Inefficient</v>
      </c>
    </row>
    <row r="2148" spans="1:6" x14ac:dyDescent="0.25">
      <c r="A2148" cm="1">
        <f t="array" ref="A2148">INDEX('Portfolio Weights Returns'!$B$9:$BJ$69,
INT((ROW(A2147)-1)/COLUMNS('Portfolio Weights Returns'!$B$9:$BJ$69))+1,MOD(ROW(A2147)-1,COLUMNS('Portfolio Weights Returns'!$B$9:$BJ$69))+1)</f>
        <v>-8.9028511639698926E-4</v>
      </c>
      <c r="B2148">
        <v>2.07E-2</v>
      </c>
      <c r="C2148" s="59">
        <v>-0.19</v>
      </c>
      <c r="D2148" s="59">
        <v>0.19</v>
      </c>
      <c r="E2148" s="60">
        <f t="shared" si="33"/>
        <v>1</v>
      </c>
      <c r="F2148" t="str" cm="1">
        <f t="array" ref="F2148">IF(A2148=MAX(IF(ROUND($B$2:$B$3722,4)=ROUND(B2148,4),$A$2:$A$3722)),"Efficient","Inefficient")</f>
        <v>Inefficient</v>
      </c>
    </row>
    <row r="2149" spans="1:6" x14ac:dyDescent="0.25">
      <c r="A2149" cm="1">
        <f t="array" ref="A2149">INDEX('Portfolio Weights Returns'!$B$9:$BJ$69,
INT((ROW(A2148)-1)/COLUMNS('Portfolio Weights Returns'!$B$9:$BJ$69))+1,MOD(ROW(A2148)-1,COLUMNS('Portfolio Weights Returns'!$B$9:$BJ$69))+1)</f>
        <v>-8.8350394243031022E-4</v>
      </c>
      <c r="B2149">
        <v>2.07E-2</v>
      </c>
      <c r="C2149" s="59">
        <v>-0.19</v>
      </c>
      <c r="D2149" s="59">
        <v>0.2</v>
      </c>
      <c r="E2149" s="60">
        <f t="shared" si="33"/>
        <v>0.99</v>
      </c>
      <c r="F2149" t="str" cm="1">
        <f t="array" ref="F2149">IF(A2149=MAX(IF(ROUND($B$2:$B$3722,4)=ROUND(B2149,4),$A$2:$A$3722)),"Efficient","Inefficient")</f>
        <v>Inefficient</v>
      </c>
    </row>
    <row r="2150" spans="1:6" x14ac:dyDescent="0.25">
      <c r="A2150" cm="1">
        <f t="array" ref="A2150">INDEX('Portfolio Weights Returns'!$B$9:$BJ$69,
INT((ROW(A2149)-1)/COLUMNS('Portfolio Weights Returns'!$B$9:$BJ$69))+1,MOD(ROW(A2149)-1,COLUMNS('Portfolio Weights Returns'!$B$9:$BJ$69))+1)</f>
        <v>-8.7672276846363108E-4</v>
      </c>
      <c r="B2150">
        <v>2.07E-2</v>
      </c>
      <c r="C2150" s="59">
        <v>-0.19</v>
      </c>
      <c r="D2150" s="59">
        <v>0.21</v>
      </c>
      <c r="E2150" s="60">
        <f t="shared" si="33"/>
        <v>0.98</v>
      </c>
      <c r="F2150" t="str" cm="1">
        <f t="array" ref="F2150">IF(A2150=MAX(IF(ROUND($B$2:$B$3722,4)=ROUND(B2150,4),$A$2:$A$3722)),"Efficient","Inefficient")</f>
        <v>Inefficient</v>
      </c>
    </row>
    <row r="2151" spans="1:6" x14ac:dyDescent="0.25">
      <c r="A2151" cm="1">
        <f t="array" ref="A2151">INDEX('Portfolio Weights Returns'!$B$9:$BJ$69,
INT((ROW(A2150)-1)/COLUMNS('Portfolio Weights Returns'!$B$9:$BJ$69))+1,MOD(ROW(A2150)-1,COLUMNS('Portfolio Weights Returns'!$B$9:$BJ$69))+1)</f>
        <v>-8.6994159449695204E-4</v>
      </c>
      <c r="B2151">
        <v>2.07E-2</v>
      </c>
      <c r="C2151" s="59">
        <v>-0.19</v>
      </c>
      <c r="D2151" s="59">
        <v>0.22</v>
      </c>
      <c r="E2151" s="60">
        <f t="shared" si="33"/>
        <v>0.97</v>
      </c>
      <c r="F2151" t="str" cm="1">
        <f t="array" ref="F2151">IF(A2151=MAX(IF(ROUND($B$2:$B$3722,4)=ROUND(B2151,4),$A$2:$A$3722)),"Efficient","Inefficient")</f>
        <v>Inefficient</v>
      </c>
    </row>
    <row r="2152" spans="1:6" x14ac:dyDescent="0.25">
      <c r="A2152" cm="1">
        <f t="array" ref="A2152">INDEX('Portfolio Weights Returns'!$B$9:$BJ$69,
INT((ROW(A2151)-1)/COLUMNS('Portfolio Weights Returns'!$B$9:$BJ$69))+1,MOD(ROW(A2151)-1,COLUMNS('Portfolio Weights Returns'!$B$9:$BJ$69))+1)</f>
        <v>-8.631604205302729E-4</v>
      </c>
      <c r="B2152">
        <v>2.07E-2</v>
      </c>
      <c r="C2152" s="59">
        <v>-0.19</v>
      </c>
      <c r="D2152" s="59">
        <v>0.23</v>
      </c>
      <c r="E2152" s="60">
        <f t="shared" si="33"/>
        <v>0.96</v>
      </c>
      <c r="F2152" t="str" cm="1">
        <f t="array" ref="F2152">IF(A2152=MAX(IF(ROUND($B$2:$B$3722,4)=ROUND(B2152,4),$A$2:$A$3722)),"Efficient","Inefficient")</f>
        <v>Inefficient</v>
      </c>
    </row>
    <row r="2153" spans="1:6" x14ac:dyDescent="0.25">
      <c r="A2153" cm="1">
        <f t="array" ref="A2153">INDEX('Portfolio Weights Returns'!$B$9:$BJ$69,
INT((ROW(A2152)-1)/COLUMNS('Portfolio Weights Returns'!$B$9:$BJ$69))+1,MOD(ROW(A2152)-1,COLUMNS('Portfolio Weights Returns'!$B$9:$BJ$69))+1)</f>
        <v>-8.5637924656359397E-4</v>
      </c>
      <c r="B2153">
        <v>2.07E-2</v>
      </c>
      <c r="C2153" s="59">
        <v>-0.19</v>
      </c>
      <c r="D2153" s="59">
        <v>0.24</v>
      </c>
      <c r="E2153" s="60">
        <f t="shared" si="33"/>
        <v>0.95</v>
      </c>
      <c r="F2153" t="str" cm="1">
        <f t="array" ref="F2153">IF(A2153=MAX(IF(ROUND($B$2:$B$3722,4)=ROUND(B2153,4),$A$2:$A$3722)),"Efficient","Inefficient")</f>
        <v>Inefficient</v>
      </c>
    </row>
    <row r="2154" spans="1:6" x14ac:dyDescent="0.25">
      <c r="A2154" cm="1">
        <f t="array" ref="A2154">INDEX('Portfolio Weights Returns'!$B$9:$BJ$69,
INT((ROW(A2153)-1)/COLUMNS('Portfolio Weights Returns'!$B$9:$BJ$69))+1,MOD(ROW(A2153)-1,COLUMNS('Portfolio Weights Returns'!$B$9:$BJ$69))+1)</f>
        <v>-8.4959807259691472E-4</v>
      </c>
      <c r="B2154">
        <v>2.07E-2</v>
      </c>
      <c r="C2154" s="59">
        <v>-0.18</v>
      </c>
      <c r="D2154" s="59">
        <v>0.26</v>
      </c>
      <c r="E2154" s="60">
        <f t="shared" si="33"/>
        <v>0.91999999999999993</v>
      </c>
      <c r="F2154" t="str" cm="1">
        <f t="array" ref="F2154">IF(A2154=MAX(IF(ROUND($B$2:$B$3722,4)=ROUND(B2154,4),$A$2:$A$3722)),"Efficient","Inefficient")</f>
        <v>Inefficient</v>
      </c>
    </row>
    <row r="2155" spans="1:6" x14ac:dyDescent="0.25">
      <c r="A2155" cm="1">
        <f t="array" ref="A2155">INDEX('Portfolio Weights Returns'!$B$9:$BJ$69,
INT((ROW(A2154)-1)/COLUMNS('Portfolio Weights Returns'!$B$9:$BJ$69))+1,MOD(ROW(A2154)-1,COLUMNS('Portfolio Weights Returns'!$B$9:$BJ$69))+1)</f>
        <v>-8.4281689863023579E-4</v>
      </c>
      <c r="B2155">
        <v>2.07E-2</v>
      </c>
      <c r="C2155" s="59">
        <v>-0.18</v>
      </c>
      <c r="D2155" s="59">
        <v>0.27</v>
      </c>
      <c r="E2155" s="60">
        <f t="shared" si="33"/>
        <v>0.90999999999999992</v>
      </c>
      <c r="F2155" t="str" cm="1">
        <f t="array" ref="F2155">IF(A2155=MAX(IF(ROUND($B$2:$B$3722,4)=ROUND(B2155,4),$A$2:$A$3722)),"Efficient","Inefficient")</f>
        <v>Inefficient</v>
      </c>
    </row>
    <row r="2156" spans="1:6" x14ac:dyDescent="0.25">
      <c r="A2156" cm="1">
        <f t="array" ref="A2156">INDEX('Portfolio Weights Returns'!$B$9:$BJ$69,
INT((ROW(A2155)-1)/COLUMNS('Portfolio Weights Returns'!$B$9:$BJ$69))+1,MOD(ROW(A2155)-1,COLUMNS('Portfolio Weights Returns'!$B$9:$BJ$69))+1)</f>
        <v>-8.3603572466355665E-4</v>
      </c>
      <c r="B2156">
        <v>2.07E-2</v>
      </c>
      <c r="C2156" s="59">
        <v>-0.17</v>
      </c>
      <c r="D2156" s="59">
        <v>0.28000000000000003</v>
      </c>
      <c r="E2156" s="60">
        <f t="shared" si="33"/>
        <v>0.89</v>
      </c>
      <c r="F2156" t="str" cm="1">
        <f t="array" ref="F2156">IF(A2156=MAX(IF(ROUND($B$2:$B$3722,4)=ROUND(B2156,4),$A$2:$A$3722)),"Efficient","Inefficient")</f>
        <v>Inefficient</v>
      </c>
    </row>
    <row r="2157" spans="1:6" x14ac:dyDescent="0.25">
      <c r="A2157" cm="1">
        <f t="array" ref="A2157">INDEX('Portfolio Weights Returns'!$B$9:$BJ$69,
INT((ROW(A2156)-1)/COLUMNS('Portfolio Weights Returns'!$B$9:$BJ$69))+1,MOD(ROW(A2156)-1,COLUMNS('Portfolio Weights Returns'!$B$9:$BJ$69))+1)</f>
        <v>-8.292545506968775E-4</v>
      </c>
      <c r="B2157">
        <v>2.07E-2</v>
      </c>
      <c r="C2157" s="59">
        <v>-0.17</v>
      </c>
      <c r="D2157" s="59">
        <v>0.28999999999999998</v>
      </c>
      <c r="E2157" s="60">
        <f t="shared" si="33"/>
        <v>0.88</v>
      </c>
      <c r="F2157" t="str" cm="1">
        <f t="array" ref="F2157">IF(A2157=MAX(IF(ROUND($B$2:$B$3722,4)=ROUND(B2157,4),$A$2:$A$3722)),"Efficient","Inefficient")</f>
        <v>Inefficient</v>
      </c>
    </row>
    <row r="2158" spans="1:6" x14ac:dyDescent="0.25">
      <c r="A2158" cm="1">
        <f t="array" ref="A2158">INDEX('Portfolio Weights Returns'!$B$9:$BJ$69,
INT((ROW(A2157)-1)/COLUMNS('Portfolio Weights Returns'!$B$9:$BJ$69))+1,MOD(ROW(A2157)-1,COLUMNS('Portfolio Weights Returns'!$B$9:$BJ$69))+1)</f>
        <v>-8.2247337673019847E-4</v>
      </c>
      <c r="B2158">
        <v>2.07E-2</v>
      </c>
      <c r="C2158" s="59">
        <v>-0.16</v>
      </c>
      <c r="D2158" s="59">
        <v>0.3</v>
      </c>
      <c r="E2158" s="60">
        <f t="shared" si="33"/>
        <v>0.86</v>
      </c>
      <c r="F2158" t="str" cm="1">
        <f t="array" ref="F2158">IF(A2158=MAX(IF(ROUND($B$2:$B$3722,4)=ROUND(B2158,4),$A$2:$A$3722)),"Efficient","Inefficient")</f>
        <v>Inefficient</v>
      </c>
    </row>
    <row r="2159" spans="1:6" x14ac:dyDescent="0.25">
      <c r="A2159" cm="1">
        <f t="array" ref="A2159">INDEX('Portfolio Weights Returns'!$B$9:$BJ$69,
INT((ROW(A2158)-1)/COLUMNS('Portfolio Weights Returns'!$B$9:$BJ$69))+1,MOD(ROW(A2158)-1,COLUMNS('Portfolio Weights Returns'!$B$9:$BJ$69))+1)</f>
        <v>-8.1569220276351921E-4</v>
      </c>
      <c r="B2159">
        <v>2.0799999999999999E-2</v>
      </c>
      <c r="C2159" s="59">
        <v>0.28999999999999998</v>
      </c>
      <c r="D2159" s="59">
        <v>-0.28999999999999998</v>
      </c>
      <c r="E2159" s="60">
        <f t="shared" si="33"/>
        <v>1</v>
      </c>
      <c r="F2159" t="str" cm="1">
        <f t="array" ref="F2159">IF(A2159=MAX(IF(ROUND($B$2:$B$3722,4)=ROUND(B2159,4),$A$2:$A$3722)),"Efficient","Inefficient")</f>
        <v>Inefficient</v>
      </c>
    </row>
    <row r="2160" spans="1:6" x14ac:dyDescent="0.25">
      <c r="A2160" cm="1">
        <f t="array" ref="A2160">INDEX('Portfolio Weights Returns'!$B$9:$BJ$69,
INT((ROW(A2159)-1)/COLUMNS('Portfolio Weights Returns'!$B$9:$BJ$69))+1,MOD(ROW(A2159)-1,COLUMNS('Portfolio Weights Returns'!$B$9:$BJ$69))+1)</f>
        <v>-8.0891102879684018E-4</v>
      </c>
      <c r="B2160">
        <v>2.0799999999999999E-2</v>
      </c>
      <c r="C2160" s="59">
        <v>0.23</v>
      </c>
      <c r="D2160" s="59">
        <v>-0.26</v>
      </c>
      <c r="E2160" s="60">
        <f t="shared" si="33"/>
        <v>1.03</v>
      </c>
      <c r="F2160" t="str" cm="1">
        <f t="array" ref="F2160">IF(A2160=MAX(IF(ROUND($B$2:$B$3722,4)=ROUND(B2160,4),$A$2:$A$3722)),"Efficient","Inefficient")</f>
        <v>Inefficient</v>
      </c>
    </row>
    <row r="2161" spans="1:6" x14ac:dyDescent="0.25">
      <c r="A2161" cm="1">
        <f t="array" ref="A2161">INDEX('Portfolio Weights Returns'!$B$9:$BJ$69,
INT((ROW(A2160)-1)/COLUMNS('Portfolio Weights Returns'!$B$9:$BJ$69))+1,MOD(ROW(A2160)-1,COLUMNS('Portfolio Weights Returns'!$B$9:$BJ$69))+1)</f>
        <v>-8.0212985483016103E-4</v>
      </c>
      <c r="B2161">
        <v>2.0799999999999999E-2</v>
      </c>
      <c r="C2161" s="59">
        <v>0.21</v>
      </c>
      <c r="D2161" s="59">
        <v>-0.25</v>
      </c>
      <c r="E2161" s="60">
        <f t="shared" si="33"/>
        <v>1.04</v>
      </c>
      <c r="F2161" t="str" cm="1">
        <f t="array" ref="F2161">IF(A2161=MAX(IF(ROUND($B$2:$B$3722,4)=ROUND(B2161,4),$A$2:$A$3722)),"Efficient","Inefficient")</f>
        <v>Inefficient</v>
      </c>
    </row>
    <row r="2162" spans="1:6" x14ac:dyDescent="0.25">
      <c r="A2162" cm="1">
        <f t="array" ref="A2162">INDEX('Portfolio Weights Returns'!$B$9:$BJ$69,
INT((ROW(A2161)-1)/COLUMNS('Portfolio Weights Returns'!$B$9:$BJ$69))+1,MOD(ROW(A2161)-1,COLUMNS('Portfolio Weights Returns'!$B$9:$BJ$69))+1)</f>
        <v>-7.95348680863482E-4</v>
      </c>
      <c r="B2162">
        <v>2.0799999999999999E-2</v>
      </c>
      <c r="C2162" s="59">
        <v>0.19</v>
      </c>
      <c r="D2162" s="59">
        <v>-0.24</v>
      </c>
      <c r="E2162" s="60">
        <f t="shared" si="33"/>
        <v>1.05</v>
      </c>
      <c r="F2162" t="str" cm="1">
        <f t="array" ref="F2162">IF(A2162=MAX(IF(ROUND($B$2:$B$3722,4)=ROUND(B2162,4),$A$2:$A$3722)),"Efficient","Inefficient")</f>
        <v>Inefficient</v>
      </c>
    </row>
    <row r="2163" spans="1:6" x14ac:dyDescent="0.25">
      <c r="A2163" cm="1">
        <f t="array" ref="A2163">INDEX('Portfolio Weights Returns'!$B$9:$BJ$69,
INT((ROW(A2162)-1)/COLUMNS('Portfolio Weights Returns'!$B$9:$BJ$69))+1,MOD(ROW(A2162)-1,COLUMNS('Portfolio Weights Returns'!$B$9:$BJ$69))+1)</f>
        <v>-7.8856750689680285E-4</v>
      </c>
      <c r="B2163">
        <v>2.0799999999999999E-2</v>
      </c>
      <c r="C2163" s="59">
        <v>0.17</v>
      </c>
      <c r="D2163" s="59">
        <v>-0.23</v>
      </c>
      <c r="E2163" s="60">
        <f t="shared" si="33"/>
        <v>1.06</v>
      </c>
      <c r="F2163" t="str" cm="1">
        <f t="array" ref="F2163">IF(A2163=MAX(IF(ROUND($B$2:$B$3722,4)=ROUND(B2163,4),$A$2:$A$3722)),"Efficient","Inefficient")</f>
        <v>Inefficient</v>
      </c>
    </row>
    <row r="2164" spans="1:6" x14ac:dyDescent="0.25">
      <c r="A2164" cm="1">
        <f t="array" ref="A2164">INDEX('Portfolio Weights Returns'!$B$9:$BJ$69,
INT((ROW(A2163)-1)/COLUMNS('Portfolio Weights Returns'!$B$9:$BJ$69))+1,MOD(ROW(A2163)-1,COLUMNS('Portfolio Weights Returns'!$B$9:$BJ$69))+1)</f>
        <v>-7.8178633293012382E-4</v>
      </c>
      <c r="B2164">
        <v>2.0799999999999999E-2</v>
      </c>
      <c r="C2164" s="59">
        <v>0.14000000000000001</v>
      </c>
      <c r="D2164" s="59">
        <v>-0.21</v>
      </c>
      <c r="E2164" s="60">
        <f t="shared" si="33"/>
        <v>1.0699999999999998</v>
      </c>
      <c r="F2164" t="str" cm="1">
        <f t="array" ref="F2164">IF(A2164=MAX(IF(ROUND($B$2:$B$3722,4)=ROUND(B2164,4),$A$2:$A$3722)),"Efficient","Inefficient")</f>
        <v>Inefficient</v>
      </c>
    </row>
    <row r="2165" spans="1:6" x14ac:dyDescent="0.25">
      <c r="A2165" cm="1">
        <f t="array" ref="A2165">INDEX('Portfolio Weights Returns'!$B$9:$BJ$69,
INT((ROW(A2164)-1)/COLUMNS('Portfolio Weights Returns'!$B$9:$BJ$69))+1,MOD(ROW(A2164)-1,COLUMNS('Portfolio Weights Returns'!$B$9:$BJ$69))+1)</f>
        <v>-7.7500515896344467E-4</v>
      </c>
      <c r="B2165">
        <v>2.0799999999999999E-2</v>
      </c>
      <c r="C2165" s="59">
        <v>0.12</v>
      </c>
      <c r="D2165" s="59">
        <v>-0.2</v>
      </c>
      <c r="E2165" s="60">
        <f t="shared" si="33"/>
        <v>1.08</v>
      </c>
      <c r="F2165" t="str" cm="1">
        <f t="array" ref="F2165">IF(A2165=MAX(IF(ROUND($B$2:$B$3722,4)=ROUND(B2165,4),$A$2:$A$3722)),"Efficient","Inefficient")</f>
        <v>Inefficient</v>
      </c>
    </row>
    <row r="2166" spans="1:6" x14ac:dyDescent="0.25">
      <c r="A2166" cm="1">
        <f t="array" ref="A2166">INDEX('Portfolio Weights Returns'!$B$9:$BJ$69,
INT((ROW(A2165)-1)/COLUMNS('Portfolio Weights Returns'!$B$9:$BJ$69))+1,MOD(ROW(A2165)-1,COLUMNS('Portfolio Weights Returns'!$B$9:$BJ$69))+1)</f>
        <v>-7.6822398499676542E-4</v>
      </c>
      <c r="B2166">
        <v>2.0799999999999999E-2</v>
      </c>
      <c r="C2166" s="59">
        <v>0.11</v>
      </c>
      <c r="D2166" s="59">
        <v>-0.19</v>
      </c>
      <c r="E2166" s="60">
        <f t="shared" si="33"/>
        <v>1.0799999999999998</v>
      </c>
      <c r="F2166" t="str" cm="1">
        <f t="array" ref="F2166">IF(A2166=MAX(IF(ROUND($B$2:$B$3722,4)=ROUND(B2166,4),$A$2:$A$3722)),"Efficient","Inefficient")</f>
        <v>Inefficient</v>
      </c>
    </row>
    <row r="2167" spans="1:6" x14ac:dyDescent="0.25">
      <c r="A2167" cm="1">
        <f t="array" ref="A2167">INDEX('Portfolio Weights Returns'!$B$9:$BJ$69,
INT((ROW(A2166)-1)/COLUMNS('Portfolio Weights Returns'!$B$9:$BJ$69))+1,MOD(ROW(A2166)-1,COLUMNS('Portfolio Weights Returns'!$B$9:$BJ$69))+1)</f>
        <v>-7.6144281103008638E-4</v>
      </c>
      <c r="B2167">
        <v>2.0799999999999999E-2</v>
      </c>
      <c r="C2167" s="59">
        <v>0.09</v>
      </c>
      <c r="D2167" s="59">
        <v>-0.18</v>
      </c>
      <c r="E2167" s="60">
        <f t="shared" si="33"/>
        <v>1.0899999999999999</v>
      </c>
      <c r="F2167" t="str" cm="1">
        <f t="array" ref="F2167">IF(A2167=MAX(IF(ROUND($B$2:$B$3722,4)=ROUND(B2167,4),$A$2:$A$3722)),"Efficient","Inefficient")</f>
        <v>Inefficient</v>
      </c>
    </row>
    <row r="2168" spans="1:6" x14ac:dyDescent="0.25">
      <c r="A2168" cm="1">
        <f t="array" ref="A2168">INDEX('Portfolio Weights Returns'!$B$9:$BJ$69,
INT((ROW(A2167)-1)/COLUMNS('Portfolio Weights Returns'!$B$9:$BJ$69))+1,MOD(ROW(A2167)-1,COLUMNS('Portfolio Weights Returns'!$B$9:$BJ$69))+1)</f>
        <v>-7.5466163706340724E-4</v>
      </c>
      <c r="B2168">
        <v>2.0799999999999999E-2</v>
      </c>
      <c r="C2168" s="59">
        <v>0.08</v>
      </c>
      <c r="D2168" s="59">
        <v>-0.17</v>
      </c>
      <c r="E2168" s="60">
        <f t="shared" si="33"/>
        <v>1.0899999999999999</v>
      </c>
      <c r="F2168" t="str" cm="1">
        <f t="array" ref="F2168">IF(A2168=MAX(IF(ROUND($B$2:$B$3722,4)=ROUND(B2168,4),$A$2:$A$3722)),"Efficient","Inefficient")</f>
        <v>Inefficient</v>
      </c>
    </row>
    <row r="2169" spans="1:6" x14ac:dyDescent="0.25">
      <c r="A2169" cm="1">
        <f t="array" ref="A2169">INDEX('Portfolio Weights Returns'!$B$9:$BJ$69,
INT((ROW(A2168)-1)/COLUMNS('Portfolio Weights Returns'!$B$9:$BJ$69))+1,MOD(ROW(A2168)-1,COLUMNS('Portfolio Weights Returns'!$B$9:$BJ$69))+1)</f>
        <v>-7.478804630967282E-4</v>
      </c>
      <c r="B2169">
        <v>2.0799999999999999E-2</v>
      </c>
      <c r="C2169" s="59">
        <v>0.05</v>
      </c>
      <c r="D2169" s="59">
        <v>-0.15</v>
      </c>
      <c r="E2169" s="60">
        <f t="shared" si="33"/>
        <v>1.0999999999999999</v>
      </c>
      <c r="F2169" t="str" cm="1">
        <f t="array" ref="F2169">IF(A2169=MAX(IF(ROUND($B$2:$B$3722,4)=ROUND(B2169,4),$A$2:$A$3722)),"Efficient","Inefficient")</f>
        <v>Inefficient</v>
      </c>
    </row>
    <row r="2170" spans="1:6" x14ac:dyDescent="0.25">
      <c r="A2170" cm="1">
        <f t="array" ref="A2170">INDEX('Portfolio Weights Returns'!$B$9:$BJ$69,
INT((ROW(A2169)-1)/COLUMNS('Portfolio Weights Returns'!$B$9:$BJ$69))+1,MOD(ROW(A2169)-1,COLUMNS('Portfolio Weights Returns'!$B$9:$BJ$69))+1)</f>
        <v>-7.4109928913004906E-4</v>
      </c>
      <c r="B2170">
        <v>2.0799999999999999E-2</v>
      </c>
      <c r="C2170" s="59">
        <v>0.04</v>
      </c>
      <c r="D2170" s="59">
        <v>-0.14000000000000001</v>
      </c>
      <c r="E2170" s="60">
        <f t="shared" si="33"/>
        <v>1.1000000000000001</v>
      </c>
      <c r="F2170" t="str" cm="1">
        <f t="array" ref="F2170">IF(A2170=MAX(IF(ROUND($B$2:$B$3722,4)=ROUND(B2170,4),$A$2:$A$3722)),"Efficient","Inefficient")</f>
        <v>Inefficient</v>
      </c>
    </row>
    <row r="2171" spans="1:6" x14ac:dyDescent="0.25">
      <c r="A2171" cm="1">
        <f t="array" ref="A2171">INDEX('Portfolio Weights Returns'!$B$9:$BJ$69,
INT((ROW(A2170)-1)/COLUMNS('Portfolio Weights Returns'!$B$9:$BJ$69))+1,MOD(ROW(A2170)-1,COLUMNS('Portfolio Weights Returns'!$B$9:$BJ$69))+1)</f>
        <v>-7.3431811516337002E-4</v>
      </c>
      <c r="B2171">
        <v>2.0799999999999999E-2</v>
      </c>
      <c r="C2171" s="59">
        <v>0.01</v>
      </c>
      <c r="D2171" s="59">
        <v>-0.12</v>
      </c>
      <c r="E2171" s="60">
        <f t="shared" si="33"/>
        <v>1.1100000000000001</v>
      </c>
      <c r="F2171" t="str" cm="1">
        <f t="array" ref="F2171">IF(A2171=MAX(IF(ROUND($B$2:$B$3722,4)=ROUND(B2171,4),$A$2:$A$3722)),"Efficient","Inefficient")</f>
        <v>Inefficient</v>
      </c>
    </row>
    <row r="2172" spans="1:6" x14ac:dyDescent="0.25">
      <c r="A2172" cm="1">
        <f t="array" ref="A2172">INDEX('Portfolio Weights Returns'!$B$9:$BJ$69,
INT((ROW(A2171)-1)/COLUMNS('Portfolio Weights Returns'!$B$9:$BJ$69))+1,MOD(ROW(A2171)-1,COLUMNS('Portfolio Weights Returns'!$B$9:$BJ$69))+1)</f>
        <v>-7.2753694119669088E-4</v>
      </c>
      <c r="B2172">
        <v>2.0799999999999999E-2</v>
      </c>
      <c r="C2172" s="59">
        <v>0</v>
      </c>
      <c r="D2172" s="59">
        <v>-0.11</v>
      </c>
      <c r="E2172" s="60">
        <f t="shared" si="33"/>
        <v>1.1100000000000001</v>
      </c>
      <c r="F2172" t="str" cm="1">
        <f t="array" ref="F2172">IF(A2172=MAX(IF(ROUND($B$2:$B$3722,4)=ROUND(B2172,4),$A$2:$A$3722)),"Efficient","Inefficient")</f>
        <v>Inefficient</v>
      </c>
    </row>
    <row r="2173" spans="1:6" x14ac:dyDescent="0.25">
      <c r="A2173" cm="1">
        <f t="array" ref="A2173">INDEX('Portfolio Weights Returns'!$B$9:$BJ$69,
INT((ROW(A2172)-1)/COLUMNS('Portfolio Weights Returns'!$B$9:$BJ$69))+1,MOD(ROW(A2172)-1,COLUMNS('Portfolio Weights Returns'!$B$9:$BJ$69))+1)</f>
        <v>-7.2075576723001173E-4</v>
      </c>
      <c r="B2173">
        <v>2.0799999999999999E-2</v>
      </c>
      <c r="C2173" s="59">
        <v>-0.01</v>
      </c>
      <c r="D2173" s="59">
        <v>-0.1</v>
      </c>
      <c r="E2173" s="60">
        <f t="shared" si="33"/>
        <v>1.1100000000000001</v>
      </c>
      <c r="F2173" t="str" cm="1">
        <f t="array" ref="F2173">IF(A2173=MAX(IF(ROUND($B$2:$B$3722,4)=ROUND(B2173,4),$A$2:$A$3722)),"Efficient","Inefficient")</f>
        <v>Inefficient</v>
      </c>
    </row>
    <row r="2174" spans="1:6" x14ac:dyDescent="0.25">
      <c r="A2174" cm="1">
        <f t="array" ref="A2174">INDEX('Portfolio Weights Returns'!$B$9:$BJ$69,
INT((ROW(A2173)-1)/COLUMNS('Portfolio Weights Returns'!$B$9:$BJ$69))+1,MOD(ROW(A2173)-1,COLUMNS('Portfolio Weights Returns'!$B$9:$BJ$69))+1)</f>
        <v>-7.1397459326333259E-4</v>
      </c>
      <c r="B2174">
        <v>2.0799999999999999E-2</v>
      </c>
      <c r="C2174" s="59">
        <v>-0.09</v>
      </c>
      <c r="D2174" s="59">
        <v>-0.02</v>
      </c>
      <c r="E2174" s="60">
        <f t="shared" si="33"/>
        <v>1.1100000000000001</v>
      </c>
      <c r="F2174" t="str" cm="1">
        <f t="array" ref="F2174">IF(A2174=MAX(IF(ROUND($B$2:$B$3722,4)=ROUND(B2174,4),$A$2:$A$3722)),"Efficient","Inefficient")</f>
        <v>Inefficient</v>
      </c>
    </row>
    <row r="2175" spans="1:6" x14ac:dyDescent="0.25">
      <c r="A2175" cm="1">
        <f t="array" ref="A2175">INDEX('Portfolio Weights Returns'!$B$9:$BJ$69,
INT((ROW(A2174)-1)/COLUMNS('Portfolio Weights Returns'!$B$9:$BJ$69))+1,MOD(ROW(A2174)-1,COLUMNS('Portfolio Weights Returns'!$B$9:$BJ$69))+1)</f>
        <v>-7.0719341929665366E-4</v>
      </c>
      <c r="B2175">
        <v>2.0799999999999999E-2</v>
      </c>
      <c r="C2175" s="59">
        <v>-0.1</v>
      </c>
      <c r="D2175" s="59">
        <v>-0.01</v>
      </c>
      <c r="E2175" s="60">
        <f t="shared" si="33"/>
        <v>1.1100000000000001</v>
      </c>
      <c r="F2175" t="str" cm="1">
        <f t="array" ref="F2175">IF(A2175=MAX(IF(ROUND($B$2:$B$3722,4)=ROUND(B2175,4),$A$2:$A$3722)),"Efficient","Inefficient")</f>
        <v>Inefficient</v>
      </c>
    </row>
    <row r="2176" spans="1:6" x14ac:dyDescent="0.25">
      <c r="A2176" cm="1">
        <f t="array" ref="A2176">INDEX('Portfolio Weights Returns'!$B$9:$BJ$69,
INT((ROW(A2175)-1)/COLUMNS('Portfolio Weights Returns'!$B$9:$BJ$69))+1,MOD(ROW(A2175)-1,COLUMNS('Portfolio Weights Returns'!$B$9:$BJ$69))+1)</f>
        <v>-7.0041224532997452E-4</v>
      </c>
      <c r="B2176">
        <v>2.0799999999999999E-2</v>
      </c>
      <c r="C2176" s="59">
        <v>-0.11</v>
      </c>
      <c r="D2176" s="59">
        <v>0</v>
      </c>
      <c r="E2176" s="60">
        <f t="shared" si="33"/>
        <v>1.1100000000000001</v>
      </c>
      <c r="F2176" t="str" cm="1">
        <f t="array" ref="F2176">IF(A2176=MAX(IF(ROUND($B$2:$B$3722,4)=ROUND(B2176,4),$A$2:$A$3722)),"Efficient","Inefficient")</f>
        <v>Inefficient</v>
      </c>
    </row>
    <row r="2177" spans="1:6" x14ac:dyDescent="0.25">
      <c r="A2177" cm="1">
        <f t="array" ref="A2177">INDEX('Portfolio Weights Returns'!$B$9:$BJ$69,
INT((ROW(A2176)-1)/COLUMNS('Portfolio Weights Returns'!$B$9:$BJ$69))+1,MOD(ROW(A2176)-1,COLUMNS('Portfolio Weights Returns'!$B$9:$BJ$69))+1)</f>
        <v>-6.9363107136329537E-4</v>
      </c>
      <c r="B2177">
        <v>2.0799999999999999E-2</v>
      </c>
      <c r="C2177" s="59">
        <v>-0.12</v>
      </c>
      <c r="D2177" s="59">
        <v>0.01</v>
      </c>
      <c r="E2177" s="60">
        <f t="shared" si="33"/>
        <v>1.1099999999999999</v>
      </c>
      <c r="F2177" t="str" cm="1">
        <f t="array" ref="F2177">IF(A2177=MAX(IF(ROUND($B$2:$B$3722,4)=ROUND(B2177,4),$A$2:$A$3722)),"Efficient","Inefficient")</f>
        <v>Inefficient</v>
      </c>
    </row>
    <row r="2178" spans="1:6" x14ac:dyDescent="0.25">
      <c r="A2178" cm="1">
        <f t="array" ref="A2178">INDEX('Portfolio Weights Returns'!$B$9:$BJ$69,
INT((ROW(A2177)-1)/COLUMNS('Portfolio Weights Returns'!$B$9:$BJ$69))+1,MOD(ROW(A2177)-1,COLUMNS('Portfolio Weights Returns'!$B$9:$BJ$69))+1)</f>
        <v>-6.8684989739661623E-4</v>
      </c>
      <c r="B2178">
        <v>2.0799999999999999E-2</v>
      </c>
      <c r="C2178" s="59">
        <v>-0.13</v>
      </c>
      <c r="D2178" s="59">
        <v>0.03</v>
      </c>
      <c r="E2178" s="60">
        <f t="shared" ref="E2178:E2241" si="34">1-D2178-C2178</f>
        <v>1.1000000000000001</v>
      </c>
      <c r="F2178" t="str" cm="1">
        <f t="array" ref="F2178">IF(A2178=MAX(IF(ROUND($B$2:$B$3722,4)=ROUND(B2178,4),$A$2:$A$3722)),"Efficient","Inefficient")</f>
        <v>Inefficient</v>
      </c>
    </row>
    <row r="2179" spans="1:6" x14ac:dyDescent="0.25">
      <c r="A2179" cm="1">
        <f t="array" ref="A2179">INDEX('Portfolio Weights Returns'!$B$9:$BJ$69,
INT((ROW(A2178)-1)/COLUMNS('Portfolio Weights Returns'!$B$9:$BJ$69))+1,MOD(ROW(A2178)-1,COLUMNS('Portfolio Weights Returns'!$B$9:$BJ$69))+1)</f>
        <v>-6.8006872342993708E-4</v>
      </c>
      <c r="B2179">
        <v>2.0799999999999999E-2</v>
      </c>
      <c r="C2179" s="59">
        <v>-0.14000000000000001</v>
      </c>
      <c r="D2179" s="59">
        <v>0.04</v>
      </c>
      <c r="E2179" s="60">
        <f t="shared" si="34"/>
        <v>1.1000000000000001</v>
      </c>
      <c r="F2179" t="str" cm="1">
        <f t="array" ref="F2179">IF(A2179=MAX(IF(ROUND($B$2:$B$3722,4)=ROUND(B2179,4),$A$2:$A$3722)),"Efficient","Inefficient")</f>
        <v>Inefficient</v>
      </c>
    </row>
    <row r="2180" spans="1:6" x14ac:dyDescent="0.25">
      <c r="A2180" cm="1">
        <f t="array" ref="A2180">INDEX('Portfolio Weights Returns'!$B$9:$BJ$69,
INT((ROW(A2179)-1)/COLUMNS('Portfolio Weights Returns'!$B$9:$BJ$69))+1,MOD(ROW(A2179)-1,COLUMNS('Portfolio Weights Returns'!$B$9:$BJ$69))+1)</f>
        <v>-6.7328754946325805E-4</v>
      </c>
      <c r="B2180">
        <v>2.0799999999999999E-2</v>
      </c>
      <c r="C2180" s="59">
        <v>-0.15</v>
      </c>
      <c r="D2180" s="59">
        <v>0.06</v>
      </c>
      <c r="E2180" s="60">
        <f t="shared" si="34"/>
        <v>1.0899999999999999</v>
      </c>
      <c r="F2180" t="str" cm="1">
        <f t="array" ref="F2180">IF(A2180=MAX(IF(ROUND($B$2:$B$3722,4)=ROUND(B2180,4),$A$2:$A$3722)),"Efficient","Inefficient")</f>
        <v>Inefficient</v>
      </c>
    </row>
    <row r="2181" spans="1:6" x14ac:dyDescent="0.25">
      <c r="A2181" cm="1">
        <f t="array" ref="A2181">INDEX('Portfolio Weights Returns'!$B$9:$BJ$69,
INT((ROW(A2180)-1)/COLUMNS('Portfolio Weights Returns'!$B$9:$BJ$69))+1,MOD(ROW(A2180)-1,COLUMNS('Portfolio Weights Returns'!$B$9:$BJ$69))+1)</f>
        <v>-6.665063754965789E-4</v>
      </c>
      <c r="B2181">
        <v>2.0799999999999999E-2</v>
      </c>
      <c r="C2181" s="59">
        <v>-0.16</v>
      </c>
      <c r="D2181" s="59">
        <v>7.0000000000000007E-2</v>
      </c>
      <c r="E2181" s="60">
        <f t="shared" si="34"/>
        <v>1.0899999999999999</v>
      </c>
      <c r="F2181" t="str" cm="1">
        <f t="array" ref="F2181">IF(A2181=MAX(IF(ROUND($B$2:$B$3722,4)=ROUND(B2181,4),$A$2:$A$3722)),"Efficient","Inefficient")</f>
        <v>Inefficient</v>
      </c>
    </row>
    <row r="2182" spans="1:6" x14ac:dyDescent="0.25">
      <c r="A2182" cm="1">
        <f t="array" ref="A2182">INDEX('Portfolio Weights Returns'!$B$9:$BJ$69,
INT((ROW(A2181)-1)/COLUMNS('Portfolio Weights Returns'!$B$9:$BJ$69))+1,MOD(ROW(A2181)-1,COLUMNS('Portfolio Weights Returns'!$B$9:$BJ$69))+1)</f>
        <v>-6.5972520152989987E-4</v>
      </c>
      <c r="B2182">
        <v>2.0799999999999999E-2</v>
      </c>
      <c r="C2182" s="59">
        <v>-0.16</v>
      </c>
      <c r="D2182" s="59">
        <v>0.08</v>
      </c>
      <c r="E2182" s="60">
        <f t="shared" si="34"/>
        <v>1.08</v>
      </c>
      <c r="F2182" t="str" cm="1">
        <f t="array" ref="F2182">IF(A2182=MAX(IF(ROUND($B$2:$B$3722,4)=ROUND(B2182,4),$A$2:$A$3722)),"Efficient","Inefficient")</f>
        <v>Inefficient</v>
      </c>
    </row>
    <row r="2183" spans="1:6" x14ac:dyDescent="0.25">
      <c r="A2183" cm="1">
        <f t="array" ref="A2183">INDEX('Portfolio Weights Returns'!$B$9:$BJ$69,
INT((ROW(A2182)-1)/COLUMNS('Portfolio Weights Returns'!$B$9:$BJ$69))+1,MOD(ROW(A2182)-1,COLUMNS('Portfolio Weights Returns'!$B$9:$BJ$69))+1)</f>
        <v>-6.5294402756322072E-4</v>
      </c>
      <c r="B2183">
        <v>2.0799999999999999E-2</v>
      </c>
      <c r="C2183" s="59">
        <v>-0.17</v>
      </c>
      <c r="D2183" s="59">
        <v>0.09</v>
      </c>
      <c r="E2183" s="60">
        <f t="shared" si="34"/>
        <v>1.08</v>
      </c>
      <c r="F2183" t="str" cm="1">
        <f t="array" ref="F2183">IF(A2183=MAX(IF(ROUND($B$2:$B$3722,4)=ROUND(B2183,4),$A$2:$A$3722)),"Efficient","Inefficient")</f>
        <v>Inefficient</v>
      </c>
    </row>
    <row r="2184" spans="1:6" x14ac:dyDescent="0.25">
      <c r="A2184" cm="1">
        <f t="array" ref="A2184">INDEX('Portfolio Weights Returns'!$B$9:$BJ$69,
INT((ROW(A2183)-1)/COLUMNS('Portfolio Weights Returns'!$B$9:$BJ$69))+1,MOD(ROW(A2183)-1,COLUMNS('Portfolio Weights Returns'!$B$9:$BJ$69))+1)</f>
        <v>-6.4616285359654169E-4</v>
      </c>
      <c r="B2184">
        <v>2.0799999999999999E-2</v>
      </c>
      <c r="C2184" s="59">
        <v>-0.17</v>
      </c>
      <c r="D2184" s="59">
        <v>0.1</v>
      </c>
      <c r="E2184" s="60">
        <f t="shared" si="34"/>
        <v>1.07</v>
      </c>
      <c r="F2184" t="str" cm="1">
        <f t="array" ref="F2184">IF(A2184=MAX(IF(ROUND($B$2:$B$3722,4)=ROUND(B2184,4),$A$2:$A$3722)),"Efficient","Inefficient")</f>
        <v>Inefficient</v>
      </c>
    </row>
    <row r="2185" spans="1:6" x14ac:dyDescent="0.25">
      <c r="A2185" cm="1">
        <f t="array" ref="A2185">INDEX('Portfolio Weights Returns'!$B$9:$BJ$69,
INT((ROW(A2184)-1)/COLUMNS('Portfolio Weights Returns'!$B$9:$BJ$69))+1,MOD(ROW(A2184)-1,COLUMNS('Portfolio Weights Returns'!$B$9:$BJ$69))+1)</f>
        <v>-6.3938167962986254E-4</v>
      </c>
      <c r="B2185">
        <v>2.0799999999999999E-2</v>
      </c>
      <c r="C2185" s="59">
        <v>-0.18</v>
      </c>
      <c r="D2185" s="59">
        <v>0.11</v>
      </c>
      <c r="E2185" s="60">
        <f t="shared" si="34"/>
        <v>1.07</v>
      </c>
      <c r="F2185" t="str" cm="1">
        <f t="array" ref="F2185">IF(A2185=MAX(IF(ROUND($B$2:$B$3722,4)=ROUND(B2185,4),$A$2:$A$3722)),"Efficient","Inefficient")</f>
        <v>Inefficient</v>
      </c>
    </row>
    <row r="2186" spans="1:6" x14ac:dyDescent="0.25">
      <c r="A2186" cm="1">
        <f t="array" ref="A2186">INDEX('Portfolio Weights Returns'!$B$9:$BJ$69,
INT((ROW(A2185)-1)/COLUMNS('Portfolio Weights Returns'!$B$9:$BJ$69))+1,MOD(ROW(A2185)-1,COLUMNS('Portfolio Weights Returns'!$B$9:$BJ$69))+1)</f>
        <v>-6.326005056631834E-4</v>
      </c>
      <c r="B2186">
        <v>2.0799999999999999E-2</v>
      </c>
      <c r="C2186" s="59">
        <v>-0.18</v>
      </c>
      <c r="D2186" s="59">
        <v>0.12</v>
      </c>
      <c r="E2186" s="60">
        <f t="shared" si="34"/>
        <v>1.06</v>
      </c>
      <c r="F2186" t="str" cm="1">
        <f t="array" ref="F2186">IF(A2186=MAX(IF(ROUND($B$2:$B$3722,4)=ROUND(B2186,4),$A$2:$A$3722)),"Efficient","Inefficient")</f>
        <v>Inefficient</v>
      </c>
    </row>
    <row r="2187" spans="1:6" x14ac:dyDescent="0.25">
      <c r="A2187" cm="1">
        <f t="array" ref="A2187">INDEX('Portfolio Weights Returns'!$B$9:$BJ$69,
INT((ROW(A2186)-1)/COLUMNS('Portfolio Weights Returns'!$B$9:$BJ$69))+1,MOD(ROW(A2186)-1,COLUMNS('Portfolio Weights Returns'!$B$9:$BJ$69))+1)</f>
        <v>-6.2581933169650436E-4</v>
      </c>
      <c r="B2187">
        <v>2.0799999999999999E-2</v>
      </c>
      <c r="C2187" s="59">
        <v>-0.19</v>
      </c>
      <c r="D2187" s="59">
        <v>0.14000000000000001</v>
      </c>
      <c r="E2187" s="60">
        <f t="shared" si="34"/>
        <v>1.05</v>
      </c>
      <c r="F2187" t="str" cm="1">
        <f t="array" ref="F2187">IF(A2187=MAX(IF(ROUND($B$2:$B$3722,4)=ROUND(B2187,4),$A$2:$A$3722)),"Efficient","Inefficient")</f>
        <v>Inefficient</v>
      </c>
    </row>
    <row r="2188" spans="1:6" x14ac:dyDescent="0.25">
      <c r="A2188" cm="1">
        <f t="array" ref="A2188">INDEX('Portfolio Weights Returns'!$B$9:$BJ$69,
INT((ROW(A2187)-1)/COLUMNS('Portfolio Weights Returns'!$B$9:$BJ$69))+1,MOD(ROW(A2187)-1,COLUMNS('Portfolio Weights Returns'!$B$9:$BJ$69))+1)</f>
        <v>-6.1903815772982522E-4</v>
      </c>
      <c r="B2188">
        <v>2.0799999999999999E-2</v>
      </c>
      <c r="C2188" s="59">
        <v>-0.19</v>
      </c>
      <c r="D2188" s="59">
        <v>0.15</v>
      </c>
      <c r="E2188" s="60">
        <f t="shared" si="34"/>
        <v>1.04</v>
      </c>
      <c r="F2188" t="str" cm="1">
        <f t="array" ref="F2188">IF(A2188=MAX(IF(ROUND($B$2:$B$3722,4)=ROUND(B2188,4),$A$2:$A$3722)),"Efficient","Inefficient")</f>
        <v>Inefficient</v>
      </c>
    </row>
    <row r="2189" spans="1:6" x14ac:dyDescent="0.25">
      <c r="A2189" cm="1">
        <f t="array" ref="A2189">INDEX('Portfolio Weights Returns'!$B$9:$BJ$69,
INT((ROW(A2188)-1)/COLUMNS('Portfolio Weights Returns'!$B$9:$BJ$69))+1,MOD(ROW(A2188)-1,COLUMNS('Portfolio Weights Returns'!$B$9:$BJ$69))+1)</f>
        <v>-6.1225698376314618E-4</v>
      </c>
      <c r="B2189">
        <v>2.0799999999999999E-2</v>
      </c>
      <c r="C2189" s="59">
        <v>-0.19</v>
      </c>
      <c r="D2189" s="59">
        <v>0.16</v>
      </c>
      <c r="E2189" s="60">
        <f t="shared" si="34"/>
        <v>1.03</v>
      </c>
      <c r="F2189" t="str" cm="1">
        <f t="array" ref="F2189">IF(A2189=MAX(IF(ROUND($B$2:$B$3722,4)=ROUND(B2189,4),$A$2:$A$3722)),"Efficient","Inefficient")</f>
        <v>Inefficient</v>
      </c>
    </row>
    <row r="2190" spans="1:6" x14ac:dyDescent="0.25">
      <c r="A2190" cm="1">
        <f t="array" ref="A2190">INDEX('Portfolio Weights Returns'!$B$9:$BJ$69,
INT((ROW(A2189)-1)/COLUMNS('Portfolio Weights Returns'!$B$9:$BJ$69))+1,MOD(ROW(A2189)-1,COLUMNS('Portfolio Weights Returns'!$B$9:$BJ$69))+1)</f>
        <v>-6.0547580979646704E-4</v>
      </c>
      <c r="B2190">
        <v>2.0799999999999999E-2</v>
      </c>
      <c r="C2190" s="59">
        <v>-0.2</v>
      </c>
      <c r="D2190" s="59">
        <v>0.19</v>
      </c>
      <c r="E2190" s="60">
        <f t="shared" si="34"/>
        <v>1.01</v>
      </c>
      <c r="F2190" t="str" cm="1">
        <f t="array" ref="F2190">IF(A2190=MAX(IF(ROUND($B$2:$B$3722,4)=ROUND(B2190,4),$A$2:$A$3722)),"Efficient","Inefficient")</f>
        <v>Inefficient</v>
      </c>
    </row>
    <row r="2191" spans="1:6" x14ac:dyDescent="0.25">
      <c r="A2191" cm="1">
        <f t="array" ref="A2191">INDEX('Portfolio Weights Returns'!$B$9:$BJ$69,
INT((ROW(A2190)-1)/COLUMNS('Portfolio Weights Returns'!$B$9:$BJ$69))+1,MOD(ROW(A2190)-1,COLUMNS('Portfolio Weights Returns'!$B$9:$BJ$69))+1)</f>
        <v>-5.9869463582978789E-4</v>
      </c>
      <c r="B2191">
        <v>2.0799999999999999E-2</v>
      </c>
      <c r="C2191" s="59">
        <v>-0.2</v>
      </c>
      <c r="D2191" s="59">
        <v>0.2</v>
      </c>
      <c r="E2191" s="60">
        <f t="shared" si="34"/>
        <v>1</v>
      </c>
      <c r="F2191" t="str" cm="1">
        <f t="array" ref="F2191">IF(A2191=MAX(IF(ROUND($B$2:$B$3722,4)=ROUND(B2191,4),$A$2:$A$3722)),"Efficient","Inefficient")</f>
        <v>Inefficient</v>
      </c>
    </row>
    <row r="2192" spans="1:6" x14ac:dyDescent="0.25">
      <c r="A2192" cm="1">
        <f t="array" ref="A2192">INDEX('Portfolio Weights Returns'!$B$9:$BJ$69,
INT((ROW(A2191)-1)/COLUMNS('Portfolio Weights Returns'!$B$9:$BJ$69))+1,MOD(ROW(A2191)-1,COLUMNS('Portfolio Weights Returns'!$B$9:$BJ$69))+1)</f>
        <v>-5.9191346186310875E-4</v>
      </c>
      <c r="B2192">
        <v>2.0799999999999999E-2</v>
      </c>
      <c r="C2192" s="59">
        <v>-0.2</v>
      </c>
      <c r="D2192" s="59">
        <v>0.21</v>
      </c>
      <c r="E2192" s="60">
        <f t="shared" si="34"/>
        <v>0.99</v>
      </c>
      <c r="F2192" t="str" cm="1">
        <f t="array" ref="F2192">IF(A2192=MAX(IF(ROUND($B$2:$B$3722,4)=ROUND(B2192,4),$A$2:$A$3722)),"Efficient","Inefficient")</f>
        <v>Inefficient</v>
      </c>
    </row>
    <row r="2193" spans="1:6" x14ac:dyDescent="0.25">
      <c r="A2193" cm="1">
        <f t="array" ref="A2193">INDEX('Portfolio Weights Returns'!$B$9:$BJ$69,
INT((ROW(A2192)-1)/COLUMNS('Portfolio Weights Returns'!$B$9:$BJ$69))+1,MOD(ROW(A2192)-1,COLUMNS('Portfolio Weights Returns'!$B$9:$BJ$69))+1)</f>
        <v>-5.8513228789642971E-4</v>
      </c>
      <c r="B2193">
        <v>2.0799999999999999E-2</v>
      </c>
      <c r="C2193" s="59">
        <v>-0.2</v>
      </c>
      <c r="D2193" s="59">
        <v>0.22</v>
      </c>
      <c r="E2193" s="60">
        <f t="shared" si="34"/>
        <v>0.98</v>
      </c>
      <c r="F2193" t="str" cm="1">
        <f t="array" ref="F2193">IF(A2193=MAX(IF(ROUND($B$2:$B$3722,4)=ROUND(B2193,4),$A$2:$A$3722)),"Efficient","Inefficient")</f>
        <v>Inefficient</v>
      </c>
    </row>
    <row r="2194" spans="1:6" x14ac:dyDescent="0.25">
      <c r="A2194" cm="1">
        <f t="array" ref="A2194">INDEX('Portfolio Weights Returns'!$B$9:$BJ$69,
INT((ROW(A2193)-1)/COLUMNS('Portfolio Weights Returns'!$B$9:$BJ$69))+1,MOD(ROW(A2193)-1,COLUMNS('Portfolio Weights Returns'!$B$9:$BJ$69))+1)</f>
        <v>-5.7835111392974992E-4</v>
      </c>
      <c r="B2194">
        <v>2.0799999999999999E-2</v>
      </c>
      <c r="C2194" s="59">
        <v>-0.19</v>
      </c>
      <c r="D2194" s="59">
        <v>0.25</v>
      </c>
      <c r="E2194" s="60">
        <f t="shared" si="34"/>
        <v>0.94</v>
      </c>
      <c r="F2194" t="str" cm="1">
        <f t="array" ref="F2194">IF(A2194=MAX(IF(ROUND($B$2:$B$3722,4)=ROUND(B2194,4),$A$2:$A$3722)),"Efficient","Inefficient")</f>
        <v>Inefficient</v>
      </c>
    </row>
    <row r="2195" spans="1:6" x14ac:dyDescent="0.25">
      <c r="A2195" cm="1">
        <f t="array" ref="A2195">INDEX('Portfolio Weights Returns'!$B$9:$BJ$69,
INT((ROW(A2194)-1)/COLUMNS('Portfolio Weights Returns'!$B$9:$BJ$69))+1,MOD(ROW(A2194)-1,COLUMNS('Portfolio Weights Returns'!$B$9:$BJ$69))+1)</f>
        <v>-5.7156993996307088E-4</v>
      </c>
      <c r="B2195">
        <v>2.0799999999999999E-2</v>
      </c>
      <c r="C2195" s="59">
        <v>-0.19</v>
      </c>
      <c r="D2195" s="59">
        <v>0.26</v>
      </c>
      <c r="E2195" s="60">
        <f t="shared" si="34"/>
        <v>0.92999999999999994</v>
      </c>
      <c r="F2195" t="str" cm="1">
        <f t="array" ref="F2195">IF(A2195=MAX(IF(ROUND($B$2:$B$3722,4)=ROUND(B2195,4),$A$2:$A$3722)),"Efficient","Inefficient")</f>
        <v>Inefficient</v>
      </c>
    </row>
    <row r="2196" spans="1:6" x14ac:dyDescent="0.25">
      <c r="A2196" cm="1">
        <f t="array" ref="A2196">INDEX('Portfolio Weights Returns'!$B$9:$BJ$69,
INT((ROW(A2195)-1)/COLUMNS('Portfolio Weights Returns'!$B$9:$BJ$69))+1,MOD(ROW(A2195)-1,COLUMNS('Portfolio Weights Returns'!$B$9:$BJ$69))+1)</f>
        <v>-5.6478876599639174E-4</v>
      </c>
      <c r="B2196">
        <v>2.0799999999999999E-2</v>
      </c>
      <c r="C2196" s="59">
        <v>-0.18</v>
      </c>
      <c r="D2196" s="59">
        <v>0.28000000000000003</v>
      </c>
      <c r="E2196" s="60">
        <f t="shared" si="34"/>
        <v>0.89999999999999991</v>
      </c>
      <c r="F2196" t="str" cm="1">
        <f t="array" ref="F2196">IF(A2196=MAX(IF(ROUND($B$2:$B$3722,4)=ROUND(B2196,4),$A$2:$A$3722)),"Efficient","Inefficient")</f>
        <v>Inefficient</v>
      </c>
    </row>
    <row r="2197" spans="1:6" x14ac:dyDescent="0.25">
      <c r="A2197" cm="1">
        <f t="array" ref="A2197">INDEX('Portfolio Weights Returns'!$B$9:$BJ$69,
INT((ROW(A2196)-1)/COLUMNS('Portfolio Weights Returns'!$B$9:$BJ$69))+1,MOD(ROW(A2196)-1,COLUMNS('Portfolio Weights Returns'!$B$9:$BJ$69))+1)</f>
        <v>-5.5800759202971259E-4</v>
      </c>
      <c r="B2197">
        <v>2.0799999999999999E-2</v>
      </c>
      <c r="C2197" s="59">
        <v>-0.18</v>
      </c>
      <c r="D2197" s="59">
        <v>0.28999999999999998</v>
      </c>
      <c r="E2197" s="60">
        <f t="shared" si="34"/>
        <v>0.8899999999999999</v>
      </c>
      <c r="F2197" t="str" cm="1">
        <f t="array" ref="F2197">IF(A2197=MAX(IF(ROUND($B$2:$B$3722,4)=ROUND(B2197,4),$A$2:$A$3722)),"Efficient","Inefficient")</f>
        <v>Efficient</v>
      </c>
    </row>
    <row r="2198" spans="1:6" x14ac:dyDescent="0.25">
      <c r="A2198" cm="1">
        <f t="array" ref="A2198">INDEX('Portfolio Weights Returns'!$B$9:$BJ$69,
INT((ROW(A2197)-1)/COLUMNS('Portfolio Weights Returns'!$B$9:$BJ$69))+1,MOD(ROW(A2197)-1,COLUMNS('Portfolio Weights Returns'!$B$9:$BJ$69))+1)</f>
        <v>-9.5830382218500441E-4</v>
      </c>
      <c r="B2198">
        <v>2.0799999999999999E-2</v>
      </c>
      <c r="C2198" s="59">
        <v>-0.17</v>
      </c>
      <c r="D2198" s="59">
        <v>0.3</v>
      </c>
      <c r="E2198" s="60">
        <f t="shared" si="34"/>
        <v>0.87</v>
      </c>
      <c r="F2198" t="str" cm="1">
        <f t="array" ref="F2198">IF(A2198=MAX(IF(ROUND($B$2:$B$3722,4)=ROUND(B2198,4),$A$2:$A$3722)),"Efficient","Inefficient")</f>
        <v>Inefficient</v>
      </c>
    </row>
    <row r="2199" spans="1:6" x14ac:dyDescent="0.25">
      <c r="A2199" cm="1">
        <f t="array" ref="A2199">INDEX('Portfolio Weights Returns'!$B$9:$BJ$69,
INT((ROW(A2198)-1)/COLUMNS('Portfolio Weights Returns'!$B$9:$BJ$69))+1,MOD(ROW(A2198)-1,COLUMNS('Portfolio Weights Returns'!$B$9:$BJ$69))+1)</f>
        <v>-9.5152264821832526E-4</v>
      </c>
      <c r="B2199">
        <v>2.0899999999999998E-2</v>
      </c>
      <c r="C2199" s="59">
        <v>0.3</v>
      </c>
      <c r="D2199" s="59">
        <v>-0.3</v>
      </c>
      <c r="E2199" s="60">
        <f t="shared" si="34"/>
        <v>1</v>
      </c>
      <c r="F2199" t="str" cm="1">
        <f t="array" ref="F2199">IF(A2199=MAX(IF(ROUND($B$2:$B$3722,4)=ROUND(B2199,4),$A$2:$A$3722)),"Efficient","Inefficient")</f>
        <v>Inefficient</v>
      </c>
    </row>
    <row r="2200" spans="1:6" x14ac:dyDescent="0.25">
      <c r="A2200" cm="1">
        <f t="array" ref="A2200">INDEX('Portfolio Weights Returns'!$B$9:$BJ$69,
INT((ROW(A2199)-1)/COLUMNS('Portfolio Weights Returns'!$B$9:$BJ$69))+1,MOD(ROW(A2199)-1,COLUMNS('Portfolio Weights Returns'!$B$9:$BJ$69))+1)</f>
        <v>-9.4474147425164623E-4</v>
      </c>
      <c r="B2200">
        <v>2.0899999999999998E-2</v>
      </c>
      <c r="C2200" s="59">
        <v>0.28000000000000003</v>
      </c>
      <c r="D2200" s="59">
        <v>-0.28999999999999998</v>
      </c>
      <c r="E2200" s="60">
        <f t="shared" si="34"/>
        <v>1.01</v>
      </c>
      <c r="F2200" t="str" cm="1">
        <f t="array" ref="F2200">IF(A2200=MAX(IF(ROUND($B$2:$B$3722,4)=ROUND(B2200,4),$A$2:$A$3722)),"Efficient","Inefficient")</f>
        <v>Inefficient</v>
      </c>
    </row>
    <row r="2201" spans="1:6" x14ac:dyDescent="0.25">
      <c r="A2201" cm="1">
        <f t="array" ref="A2201">INDEX('Portfolio Weights Returns'!$B$9:$BJ$69,
INT((ROW(A2200)-1)/COLUMNS('Portfolio Weights Returns'!$B$9:$BJ$69))+1,MOD(ROW(A2200)-1,COLUMNS('Portfolio Weights Returns'!$B$9:$BJ$69))+1)</f>
        <v>-9.3796030028496697E-4</v>
      </c>
      <c r="B2201">
        <v>2.0899999999999998E-2</v>
      </c>
      <c r="C2201" s="59">
        <v>0.26</v>
      </c>
      <c r="D2201" s="59">
        <v>-0.28000000000000003</v>
      </c>
      <c r="E2201" s="60">
        <f t="shared" si="34"/>
        <v>1.02</v>
      </c>
      <c r="F2201" t="str" cm="1">
        <f t="array" ref="F2201">IF(A2201=MAX(IF(ROUND($B$2:$B$3722,4)=ROUND(B2201,4),$A$2:$A$3722)),"Efficient","Inefficient")</f>
        <v>Inefficient</v>
      </c>
    </row>
    <row r="2202" spans="1:6" x14ac:dyDescent="0.25">
      <c r="A2202" cm="1">
        <f t="array" ref="A2202">INDEX('Portfolio Weights Returns'!$B$9:$BJ$69,
INT((ROW(A2201)-1)/COLUMNS('Portfolio Weights Returns'!$B$9:$BJ$69))+1,MOD(ROW(A2201)-1,COLUMNS('Portfolio Weights Returns'!$B$9:$BJ$69))+1)</f>
        <v>-9.3117912631828794E-4</v>
      </c>
      <c r="B2202">
        <v>2.0899999999999998E-2</v>
      </c>
      <c r="C2202" s="59">
        <v>0.24</v>
      </c>
      <c r="D2202" s="59">
        <v>-0.27</v>
      </c>
      <c r="E2202" s="60">
        <f t="shared" si="34"/>
        <v>1.03</v>
      </c>
      <c r="F2202" t="str" cm="1">
        <f t="array" ref="F2202">IF(A2202=MAX(IF(ROUND($B$2:$B$3722,4)=ROUND(B2202,4),$A$2:$A$3722)),"Efficient","Inefficient")</f>
        <v>Inefficient</v>
      </c>
    </row>
    <row r="2203" spans="1:6" x14ac:dyDescent="0.25">
      <c r="A2203" cm="1">
        <f t="array" ref="A2203">INDEX('Portfolio Weights Returns'!$B$9:$BJ$69,
INT((ROW(A2202)-1)/COLUMNS('Portfolio Weights Returns'!$B$9:$BJ$69))+1,MOD(ROW(A2202)-1,COLUMNS('Portfolio Weights Returns'!$B$9:$BJ$69))+1)</f>
        <v>-9.2439795235160879E-4</v>
      </c>
      <c r="B2203">
        <v>2.0899999999999998E-2</v>
      </c>
      <c r="C2203" s="59">
        <v>0.22</v>
      </c>
      <c r="D2203" s="59">
        <v>-0.26</v>
      </c>
      <c r="E2203" s="60">
        <f t="shared" si="34"/>
        <v>1.04</v>
      </c>
      <c r="F2203" t="str" cm="1">
        <f t="array" ref="F2203">IF(A2203=MAX(IF(ROUND($B$2:$B$3722,4)=ROUND(B2203,4),$A$2:$A$3722)),"Efficient","Inefficient")</f>
        <v>Inefficient</v>
      </c>
    </row>
    <row r="2204" spans="1:6" x14ac:dyDescent="0.25">
      <c r="A2204" cm="1">
        <f t="array" ref="A2204">INDEX('Portfolio Weights Returns'!$B$9:$BJ$69,
INT((ROW(A2203)-1)/COLUMNS('Portfolio Weights Returns'!$B$9:$BJ$69))+1,MOD(ROW(A2203)-1,COLUMNS('Portfolio Weights Returns'!$B$9:$BJ$69))+1)</f>
        <v>-9.1761677838492965E-4</v>
      </c>
      <c r="B2204">
        <v>2.0899999999999998E-2</v>
      </c>
      <c r="C2204" s="59">
        <v>0.2</v>
      </c>
      <c r="D2204" s="59">
        <v>-0.25</v>
      </c>
      <c r="E2204" s="60">
        <f t="shared" si="34"/>
        <v>1.05</v>
      </c>
      <c r="F2204" t="str" cm="1">
        <f t="array" ref="F2204">IF(A2204=MAX(IF(ROUND($B$2:$B$3722,4)=ROUND(B2204,4),$A$2:$A$3722)),"Efficient","Inefficient")</f>
        <v>Inefficient</v>
      </c>
    </row>
    <row r="2205" spans="1:6" x14ac:dyDescent="0.25">
      <c r="A2205" cm="1">
        <f t="array" ref="A2205">INDEX('Portfolio Weights Returns'!$B$9:$BJ$69,
INT((ROW(A2204)-1)/COLUMNS('Portfolio Weights Returns'!$B$9:$BJ$69))+1,MOD(ROW(A2204)-1,COLUMNS('Portfolio Weights Returns'!$B$9:$BJ$69))+1)</f>
        <v>-9.1083560441825061E-4</v>
      </c>
      <c r="B2205">
        <v>2.0899999999999998E-2</v>
      </c>
      <c r="C2205" s="59">
        <v>0.18</v>
      </c>
      <c r="D2205" s="59">
        <v>-0.24</v>
      </c>
      <c r="E2205" s="60">
        <f t="shared" si="34"/>
        <v>1.06</v>
      </c>
      <c r="F2205" t="str" cm="1">
        <f t="array" ref="F2205">IF(A2205=MAX(IF(ROUND($B$2:$B$3722,4)=ROUND(B2205,4),$A$2:$A$3722)),"Efficient","Inefficient")</f>
        <v>Inefficient</v>
      </c>
    </row>
    <row r="2206" spans="1:6" x14ac:dyDescent="0.25">
      <c r="A2206" cm="1">
        <f t="array" ref="A2206">INDEX('Portfolio Weights Returns'!$B$9:$BJ$69,
INT((ROW(A2205)-1)/COLUMNS('Portfolio Weights Returns'!$B$9:$BJ$69))+1,MOD(ROW(A2205)-1,COLUMNS('Portfolio Weights Returns'!$B$9:$BJ$69))+1)</f>
        <v>-9.0405443045157147E-4</v>
      </c>
      <c r="B2206">
        <v>2.0899999999999998E-2</v>
      </c>
      <c r="C2206" s="59">
        <v>0.15</v>
      </c>
      <c r="D2206" s="59">
        <v>-0.22</v>
      </c>
      <c r="E2206" s="60">
        <f t="shared" si="34"/>
        <v>1.07</v>
      </c>
      <c r="F2206" t="str" cm="1">
        <f t="array" ref="F2206">IF(A2206=MAX(IF(ROUND($B$2:$B$3722,4)=ROUND(B2206,4),$A$2:$A$3722)),"Efficient","Inefficient")</f>
        <v>Inefficient</v>
      </c>
    </row>
    <row r="2207" spans="1:6" x14ac:dyDescent="0.25">
      <c r="A2207" cm="1">
        <f t="array" ref="A2207">INDEX('Portfolio Weights Returns'!$B$9:$BJ$69,
INT((ROW(A2206)-1)/COLUMNS('Portfolio Weights Returns'!$B$9:$BJ$69))+1,MOD(ROW(A2206)-1,COLUMNS('Portfolio Weights Returns'!$B$9:$BJ$69))+1)</f>
        <v>-8.9727325648489243E-4</v>
      </c>
      <c r="B2207">
        <v>2.0899999999999998E-2</v>
      </c>
      <c r="C2207" s="59">
        <v>0.13</v>
      </c>
      <c r="D2207" s="59">
        <v>-0.21</v>
      </c>
      <c r="E2207" s="60">
        <f t="shared" si="34"/>
        <v>1.08</v>
      </c>
      <c r="F2207" t="str" cm="1">
        <f t="array" ref="F2207">IF(A2207=MAX(IF(ROUND($B$2:$B$3722,4)=ROUND(B2207,4),$A$2:$A$3722)),"Efficient","Inefficient")</f>
        <v>Inefficient</v>
      </c>
    </row>
    <row r="2208" spans="1:6" x14ac:dyDescent="0.25">
      <c r="A2208" cm="1">
        <f t="array" ref="A2208">INDEX('Portfolio Weights Returns'!$B$9:$BJ$69,
INT((ROW(A2207)-1)/COLUMNS('Portfolio Weights Returns'!$B$9:$BJ$69))+1,MOD(ROW(A2207)-1,COLUMNS('Portfolio Weights Returns'!$B$9:$BJ$69))+1)</f>
        <v>-8.9049208251821318E-4</v>
      </c>
      <c r="B2208">
        <v>2.0899999999999998E-2</v>
      </c>
      <c r="C2208" s="59">
        <v>0.1</v>
      </c>
      <c r="D2208" s="59">
        <v>-0.19</v>
      </c>
      <c r="E2208" s="60">
        <f t="shared" si="34"/>
        <v>1.0899999999999999</v>
      </c>
      <c r="F2208" t="str" cm="1">
        <f t="array" ref="F2208">IF(A2208=MAX(IF(ROUND($B$2:$B$3722,4)=ROUND(B2208,4),$A$2:$A$3722)),"Efficient","Inefficient")</f>
        <v>Inefficient</v>
      </c>
    </row>
    <row r="2209" spans="1:6" x14ac:dyDescent="0.25">
      <c r="A2209" cm="1">
        <f t="array" ref="A2209">INDEX('Portfolio Weights Returns'!$B$9:$BJ$69,
INT((ROW(A2208)-1)/COLUMNS('Portfolio Weights Returns'!$B$9:$BJ$69))+1,MOD(ROW(A2208)-1,COLUMNS('Portfolio Weights Returns'!$B$9:$BJ$69))+1)</f>
        <v>-8.8371090855153414E-4</v>
      </c>
      <c r="B2209">
        <v>2.0899999999999998E-2</v>
      </c>
      <c r="C2209" s="59">
        <v>7.0000000000000007E-2</v>
      </c>
      <c r="D2209" s="59">
        <v>-0.17</v>
      </c>
      <c r="E2209" s="60">
        <f t="shared" si="34"/>
        <v>1.0999999999999999</v>
      </c>
      <c r="F2209" t="str" cm="1">
        <f t="array" ref="F2209">IF(A2209=MAX(IF(ROUND($B$2:$B$3722,4)=ROUND(B2209,4),$A$2:$A$3722)),"Efficient","Inefficient")</f>
        <v>Inefficient</v>
      </c>
    </row>
    <row r="2210" spans="1:6" x14ac:dyDescent="0.25">
      <c r="A2210" cm="1">
        <f t="array" ref="A2210">INDEX('Portfolio Weights Returns'!$B$9:$BJ$69,
INT((ROW(A2209)-1)/COLUMNS('Portfolio Weights Returns'!$B$9:$BJ$69))+1,MOD(ROW(A2209)-1,COLUMNS('Portfolio Weights Returns'!$B$9:$BJ$69))+1)</f>
        <v>-8.76929734584855E-4</v>
      </c>
      <c r="B2210">
        <v>2.0899999999999998E-2</v>
      </c>
      <c r="C2210" s="59">
        <v>0.06</v>
      </c>
      <c r="D2210" s="59">
        <v>-0.16</v>
      </c>
      <c r="E2210" s="60">
        <f t="shared" si="34"/>
        <v>1.0999999999999999</v>
      </c>
      <c r="F2210" t="str" cm="1">
        <f t="array" ref="F2210">IF(A2210=MAX(IF(ROUND($B$2:$B$3722,4)=ROUND(B2210,4),$A$2:$A$3722)),"Efficient","Inefficient")</f>
        <v>Inefficient</v>
      </c>
    </row>
    <row r="2211" spans="1:6" x14ac:dyDescent="0.25">
      <c r="A2211" cm="1">
        <f t="array" ref="A2211">INDEX('Portfolio Weights Returns'!$B$9:$BJ$69,
INT((ROW(A2210)-1)/COLUMNS('Portfolio Weights Returns'!$B$9:$BJ$69))+1,MOD(ROW(A2210)-1,COLUMNS('Portfolio Weights Returns'!$B$9:$BJ$69))+1)</f>
        <v>-8.7014856061817596E-4</v>
      </c>
      <c r="B2211">
        <v>2.0899999999999998E-2</v>
      </c>
      <c r="C2211" s="59">
        <v>0.03</v>
      </c>
      <c r="D2211" s="59">
        <v>-0.14000000000000001</v>
      </c>
      <c r="E2211" s="60">
        <f t="shared" si="34"/>
        <v>1.1100000000000001</v>
      </c>
      <c r="F2211" t="str" cm="1">
        <f t="array" ref="F2211">IF(A2211=MAX(IF(ROUND($B$2:$B$3722,4)=ROUND(B2211,4),$A$2:$A$3722)),"Efficient","Inefficient")</f>
        <v>Inefficient</v>
      </c>
    </row>
    <row r="2212" spans="1:6" x14ac:dyDescent="0.25">
      <c r="A2212" cm="1">
        <f t="array" ref="A2212">INDEX('Portfolio Weights Returns'!$B$9:$BJ$69,
INT((ROW(A2211)-1)/COLUMNS('Portfolio Weights Returns'!$B$9:$BJ$69))+1,MOD(ROW(A2211)-1,COLUMNS('Portfolio Weights Returns'!$B$9:$BJ$69))+1)</f>
        <v>-8.6336738665149682E-4</v>
      </c>
      <c r="B2212">
        <v>2.0899999999999998E-2</v>
      </c>
      <c r="C2212" s="59">
        <v>0.02</v>
      </c>
      <c r="D2212" s="59">
        <v>-0.13</v>
      </c>
      <c r="E2212" s="60">
        <f t="shared" si="34"/>
        <v>1.1099999999999999</v>
      </c>
      <c r="F2212" t="str" cm="1">
        <f t="array" ref="F2212">IF(A2212=MAX(IF(ROUND($B$2:$B$3722,4)=ROUND(B2212,4),$A$2:$A$3722)),"Efficient","Inefficient")</f>
        <v>Inefficient</v>
      </c>
    </row>
    <row r="2213" spans="1:6" x14ac:dyDescent="0.25">
      <c r="A2213" cm="1">
        <f t="array" ref="A2213">INDEX('Portfolio Weights Returns'!$B$9:$BJ$69,
INT((ROW(A2212)-1)/COLUMNS('Portfolio Weights Returns'!$B$9:$BJ$69))+1,MOD(ROW(A2212)-1,COLUMNS('Portfolio Weights Returns'!$B$9:$BJ$69))+1)</f>
        <v>-8.5658621268481778E-4</v>
      </c>
      <c r="B2213">
        <v>2.0899999999999998E-2</v>
      </c>
      <c r="C2213" s="59">
        <v>-0.02</v>
      </c>
      <c r="D2213" s="59">
        <v>-0.1</v>
      </c>
      <c r="E2213" s="60">
        <f t="shared" si="34"/>
        <v>1.1200000000000001</v>
      </c>
      <c r="F2213" t="str" cm="1">
        <f t="array" ref="F2213">IF(A2213=MAX(IF(ROUND($B$2:$B$3722,4)=ROUND(B2213,4),$A$2:$A$3722)),"Efficient","Inefficient")</f>
        <v>Inefficient</v>
      </c>
    </row>
    <row r="2214" spans="1:6" x14ac:dyDescent="0.25">
      <c r="A2214" cm="1">
        <f t="array" ref="A2214">INDEX('Portfolio Weights Returns'!$B$9:$BJ$69,
INT((ROW(A2213)-1)/COLUMNS('Portfolio Weights Returns'!$B$9:$BJ$69))+1,MOD(ROW(A2213)-1,COLUMNS('Portfolio Weights Returns'!$B$9:$BJ$69))+1)</f>
        <v>-8.4980503871813875E-4</v>
      </c>
      <c r="B2214">
        <v>2.0899999999999998E-2</v>
      </c>
      <c r="C2214" s="59">
        <v>-0.03</v>
      </c>
      <c r="D2214" s="59">
        <v>-0.09</v>
      </c>
      <c r="E2214" s="60">
        <f t="shared" si="34"/>
        <v>1.1200000000000001</v>
      </c>
      <c r="F2214" t="str" cm="1">
        <f t="array" ref="F2214">IF(A2214=MAX(IF(ROUND($B$2:$B$3722,4)=ROUND(B2214,4),$A$2:$A$3722)),"Efficient","Inefficient")</f>
        <v>Inefficient</v>
      </c>
    </row>
    <row r="2215" spans="1:6" x14ac:dyDescent="0.25">
      <c r="A2215" cm="1">
        <f t="array" ref="A2215">INDEX('Portfolio Weights Returns'!$B$9:$BJ$69,
INT((ROW(A2214)-1)/COLUMNS('Portfolio Weights Returns'!$B$9:$BJ$69))+1,MOD(ROW(A2214)-1,COLUMNS('Portfolio Weights Returns'!$B$9:$BJ$69))+1)</f>
        <v>-8.4302386475145939E-4</v>
      </c>
      <c r="B2215">
        <v>2.0899999999999998E-2</v>
      </c>
      <c r="C2215" s="59">
        <v>-0.04</v>
      </c>
      <c r="D2215" s="59">
        <v>-0.08</v>
      </c>
      <c r="E2215" s="60">
        <f t="shared" si="34"/>
        <v>1.1200000000000001</v>
      </c>
      <c r="F2215" t="str" cm="1">
        <f t="array" ref="F2215">IF(A2215=MAX(IF(ROUND($B$2:$B$3722,4)=ROUND(B2215,4),$A$2:$A$3722)),"Efficient","Inefficient")</f>
        <v>Inefficient</v>
      </c>
    </row>
    <row r="2216" spans="1:6" x14ac:dyDescent="0.25">
      <c r="A2216" cm="1">
        <f t="array" ref="A2216">INDEX('Portfolio Weights Returns'!$B$9:$BJ$69,
INT((ROW(A2215)-1)/COLUMNS('Portfolio Weights Returns'!$B$9:$BJ$69))+1,MOD(ROW(A2215)-1,COLUMNS('Portfolio Weights Returns'!$B$9:$BJ$69))+1)</f>
        <v>-8.3624269078478057E-4</v>
      </c>
      <c r="B2216">
        <v>2.0899999999999998E-2</v>
      </c>
      <c r="C2216" s="59">
        <v>-0.05</v>
      </c>
      <c r="D2216" s="59">
        <v>-7.0000000000000007E-2</v>
      </c>
      <c r="E2216" s="60">
        <f t="shared" si="34"/>
        <v>1.1200000000000001</v>
      </c>
      <c r="F2216" t="str" cm="1">
        <f t="array" ref="F2216">IF(A2216=MAX(IF(ROUND($B$2:$B$3722,4)=ROUND(B2216,4),$A$2:$A$3722)),"Efficient","Inefficient")</f>
        <v>Inefficient</v>
      </c>
    </row>
    <row r="2217" spans="1:6" x14ac:dyDescent="0.25">
      <c r="A2217" cm="1">
        <f t="array" ref="A2217">INDEX('Portfolio Weights Returns'!$B$9:$BJ$69,
INT((ROW(A2216)-1)/COLUMNS('Portfolio Weights Returns'!$B$9:$BJ$69))+1,MOD(ROW(A2216)-1,COLUMNS('Portfolio Weights Returns'!$B$9:$BJ$69))+1)</f>
        <v>-8.2946151681810142E-4</v>
      </c>
      <c r="B2217">
        <v>2.0899999999999998E-2</v>
      </c>
      <c r="C2217" s="59">
        <v>-0.06</v>
      </c>
      <c r="D2217" s="59">
        <v>-0.06</v>
      </c>
      <c r="E2217" s="60">
        <f t="shared" si="34"/>
        <v>1.1200000000000001</v>
      </c>
      <c r="F2217" t="str" cm="1">
        <f t="array" ref="F2217">IF(A2217=MAX(IF(ROUND($B$2:$B$3722,4)=ROUND(B2217,4),$A$2:$A$3722)),"Efficient","Inefficient")</f>
        <v>Inefficient</v>
      </c>
    </row>
    <row r="2218" spans="1:6" x14ac:dyDescent="0.25">
      <c r="A2218" cm="1">
        <f t="array" ref="A2218">INDEX('Portfolio Weights Returns'!$B$9:$BJ$69,
INT((ROW(A2217)-1)/COLUMNS('Portfolio Weights Returns'!$B$9:$BJ$69))+1,MOD(ROW(A2217)-1,COLUMNS('Portfolio Weights Returns'!$B$9:$BJ$69))+1)</f>
        <v>-8.2268034285142239E-4</v>
      </c>
      <c r="B2218">
        <v>2.0899999999999998E-2</v>
      </c>
      <c r="C2218" s="59">
        <v>-7.0000000000000007E-2</v>
      </c>
      <c r="D2218" s="59">
        <v>-0.05</v>
      </c>
      <c r="E2218" s="60">
        <f t="shared" si="34"/>
        <v>1.1200000000000001</v>
      </c>
      <c r="F2218" t="str" cm="1">
        <f t="array" ref="F2218">IF(A2218=MAX(IF(ROUND($B$2:$B$3722,4)=ROUND(B2218,4),$A$2:$A$3722)),"Efficient","Inefficient")</f>
        <v>Inefficient</v>
      </c>
    </row>
    <row r="2219" spans="1:6" x14ac:dyDescent="0.25">
      <c r="A2219" cm="1">
        <f t="array" ref="A2219">INDEX('Portfolio Weights Returns'!$B$9:$BJ$69,
INT((ROW(A2218)-1)/COLUMNS('Portfolio Weights Returns'!$B$9:$BJ$69))+1,MOD(ROW(A2218)-1,COLUMNS('Portfolio Weights Returns'!$B$9:$BJ$69))+1)</f>
        <v>-8.1589916888474313E-4</v>
      </c>
      <c r="B2219">
        <v>2.0899999999999998E-2</v>
      </c>
      <c r="C2219" s="59">
        <v>-0.08</v>
      </c>
      <c r="D2219" s="59">
        <v>-0.04</v>
      </c>
      <c r="E2219" s="60">
        <f t="shared" si="34"/>
        <v>1.1200000000000001</v>
      </c>
      <c r="F2219" t="str" cm="1">
        <f t="array" ref="F2219">IF(A2219=MAX(IF(ROUND($B$2:$B$3722,4)=ROUND(B2219,4),$A$2:$A$3722)),"Efficient","Inefficient")</f>
        <v>Inefficient</v>
      </c>
    </row>
    <row r="2220" spans="1:6" x14ac:dyDescent="0.25">
      <c r="A2220" cm="1">
        <f t="array" ref="A2220">INDEX('Portfolio Weights Returns'!$B$9:$BJ$69,
INT((ROW(A2219)-1)/COLUMNS('Portfolio Weights Returns'!$B$9:$BJ$69))+1,MOD(ROW(A2219)-1,COLUMNS('Portfolio Weights Returns'!$B$9:$BJ$69))+1)</f>
        <v>-8.091179949180641E-4</v>
      </c>
      <c r="B2220">
        <v>2.0899999999999998E-2</v>
      </c>
      <c r="C2220" s="59">
        <v>-0.09</v>
      </c>
      <c r="D2220" s="59">
        <v>-0.03</v>
      </c>
      <c r="E2220" s="60">
        <f t="shared" si="34"/>
        <v>1.1200000000000001</v>
      </c>
      <c r="F2220" t="str" cm="1">
        <f t="array" ref="F2220">IF(A2220=MAX(IF(ROUND($B$2:$B$3722,4)=ROUND(B2220,4),$A$2:$A$3722)),"Efficient","Inefficient")</f>
        <v>Inefficient</v>
      </c>
    </row>
    <row r="2221" spans="1:6" x14ac:dyDescent="0.25">
      <c r="A2221" cm="1">
        <f t="array" ref="A2221">INDEX('Portfolio Weights Returns'!$B$9:$BJ$69,
INT((ROW(A2220)-1)/COLUMNS('Portfolio Weights Returns'!$B$9:$BJ$69))+1,MOD(ROW(A2220)-1,COLUMNS('Portfolio Weights Returns'!$B$9:$BJ$69))+1)</f>
        <v>-8.0233682095138495E-4</v>
      </c>
      <c r="B2221">
        <v>2.0899999999999998E-2</v>
      </c>
      <c r="C2221" s="59">
        <v>-0.1</v>
      </c>
      <c r="D2221" s="59">
        <v>-0.02</v>
      </c>
      <c r="E2221" s="60">
        <f t="shared" si="34"/>
        <v>1.1200000000000001</v>
      </c>
      <c r="F2221" t="str" cm="1">
        <f t="array" ref="F2221">IF(A2221=MAX(IF(ROUND($B$2:$B$3722,4)=ROUND(B2221,4),$A$2:$A$3722)),"Efficient","Inefficient")</f>
        <v>Inefficient</v>
      </c>
    </row>
    <row r="2222" spans="1:6" x14ac:dyDescent="0.25">
      <c r="A2222" cm="1">
        <f t="array" ref="A2222">INDEX('Portfolio Weights Returns'!$B$9:$BJ$69,
INT((ROW(A2221)-1)/COLUMNS('Portfolio Weights Returns'!$B$9:$BJ$69))+1,MOD(ROW(A2221)-1,COLUMNS('Portfolio Weights Returns'!$B$9:$BJ$69))+1)</f>
        <v>-7.9555564698470592E-4</v>
      </c>
      <c r="B2222">
        <v>2.0899999999999998E-2</v>
      </c>
      <c r="C2222" s="59">
        <v>-0.11</v>
      </c>
      <c r="D2222" s="59">
        <v>-0.01</v>
      </c>
      <c r="E2222" s="60">
        <f t="shared" si="34"/>
        <v>1.1200000000000001</v>
      </c>
      <c r="F2222" t="str" cm="1">
        <f t="array" ref="F2222">IF(A2222=MAX(IF(ROUND($B$2:$B$3722,4)=ROUND(B2222,4),$A$2:$A$3722)),"Efficient","Inefficient")</f>
        <v>Inefficient</v>
      </c>
    </row>
    <row r="2223" spans="1:6" x14ac:dyDescent="0.25">
      <c r="A2223" cm="1">
        <f t="array" ref="A2223">INDEX('Portfolio Weights Returns'!$B$9:$BJ$69,
INT((ROW(A2222)-1)/COLUMNS('Portfolio Weights Returns'!$B$9:$BJ$69))+1,MOD(ROW(A2222)-1,COLUMNS('Portfolio Weights Returns'!$B$9:$BJ$69))+1)</f>
        <v>-7.8877447301802677E-4</v>
      </c>
      <c r="B2223">
        <v>2.0899999999999998E-2</v>
      </c>
      <c r="C2223" s="59">
        <v>-0.13</v>
      </c>
      <c r="D2223" s="59">
        <v>0.02</v>
      </c>
      <c r="E2223" s="60">
        <f t="shared" si="34"/>
        <v>1.1099999999999999</v>
      </c>
      <c r="F2223" t="str" cm="1">
        <f t="array" ref="F2223">IF(A2223=MAX(IF(ROUND($B$2:$B$3722,4)=ROUND(B2223,4),$A$2:$A$3722)),"Efficient","Inefficient")</f>
        <v>Inefficient</v>
      </c>
    </row>
    <row r="2224" spans="1:6" x14ac:dyDescent="0.25">
      <c r="A2224" cm="1">
        <f t="array" ref="A2224">INDEX('Portfolio Weights Returns'!$B$9:$BJ$69,
INT((ROW(A2223)-1)/COLUMNS('Portfolio Weights Returns'!$B$9:$BJ$69))+1,MOD(ROW(A2223)-1,COLUMNS('Portfolio Weights Returns'!$B$9:$BJ$69))+1)</f>
        <v>-7.8199329905134763E-4</v>
      </c>
      <c r="B2224">
        <v>2.0899999999999998E-2</v>
      </c>
      <c r="C2224" s="59">
        <v>-0.14000000000000001</v>
      </c>
      <c r="D2224" s="59">
        <v>0.03</v>
      </c>
      <c r="E2224" s="60">
        <f t="shared" si="34"/>
        <v>1.1099999999999999</v>
      </c>
      <c r="F2224" t="str" cm="1">
        <f t="array" ref="F2224">IF(A2224=MAX(IF(ROUND($B$2:$B$3722,4)=ROUND(B2224,4),$A$2:$A$3722)),"Efficient","Inefficient")</f>
        <v>Inefficient</v>
      </c>
    </row>
    <row r="2225" spans="1:6" x14ac:dyDescent="0.25">
      <c r="A2225" cm="1">
        <f t="array" ref="A2225">INDEX('Portfolio Weights Returns'!$B$9:$BJ$69,
INT((ROW(A2224)-1)/COLUMNS('Portfolio Weights Returns'!$B$9:$BJ$69))+1,MOD(ROW(A2224)-1,COLUMNS('Portfolio Weights Returns'!$B$9:$BJ$69))+1)</f>
        <v>-7.7521212508466859E-4</v>
      </c>
      <c r="B2225">
        <v>2.0899999999999998E-2</v>
      </c>
      <c r="C2225" s="59">
        <v>-0.15</v>
      </c>
      <c r="D2225" s="59">
        <v>0.05</v>
      </c>
      <c r="E2225" s="60">
        <f t="shared" si="34"/>
        <v>1.0999999999999999</v>
      </c>
      <c r="F2225" t="str" cm="1">
        <f t="array" ref="F2225">IF(A2225=MAX(IF(ROUND($B$2:$B$3722,4)=ROUND(B2225,4),$A$2:$A$3722)),"Efficient","Inefficient")</f>
        <v>Inefficient</v>
      </c>
    </row>
    <row r="2226" spans="1:6" x14ac:dyDescent="0.25">
      <c r="A2226" cm="1">
        <f t="array" ref="A2226">INDEX('Portfolio Weights Returns'!$B$9:$BJ$69,
INT((ROW(A2225)-1)/COLUMNS('Portfolio Weights Returns'!$B$9:$BJ$69))+1,MOD(ROW(A2225)-1,COLUMNS('Portfolio Weights Returns'!$B$9:$BJ$69))+1)</f>
        <v>-7.6843095111798934E-4</v>
      </c>
      <c r="B2226">
        <v>2.0899999999999998E-2</v>
      </c>
      <c r="C2226" s="59">
        <v>-0.16</v>
      </c>
      <c r="D2226" s="59">
        <v>0.06</v>
      </c>
      <c r="E2226" s="60">
        <f t="shared" si="34"/>
        <v>1.0999999999999999</v>
      </c>
      <c r="F2226" t="str" cm="1">
        <f t="array" ref="F2226">IF(A2226=MAX(IF(ROUND($B$2:$B$3722,4)=ROUND(B2226,4),$A$2:$A$3722)),"Efficient","Inefficient")</f>
        <v>Inefficient</v>
      </c>
    </row>
    <row r="2227" spans="1:6" x14ac:dyDescent="0.25">
      <c r="A2227" cm="1">
        <f t="array" ref="A2227">INDEX('Portfolio Weights Returns'!$B$9:$BJ$69,
INT((ROW(A2226)-1)/COLUMNS('Portfolio Weights Returns'!$B$9:$BJ$69))+1,MOD(ROW(A2226)-1,COLUMNS('Portfolio Weights Returns'!$B$9:$BJ$69))+1)</f>
        <v>-7.616497771513103E-4</v>
      </c>
      <c r="B2227">
        <v>2.0899999999999998E-2</v>
      </c>
      <c r="C2227" s="59">
        <v>-0.17</v>
      </c>
      <c r="D2227" s="59">
        <v>0.08</v>
      </c>
      <c r="E2227" s="60">
        <f t="shared" si="34"/>
        <v>1.0900000000000001</v>
      </c>
      <c r="F2227" t="str" cm="1">
        <f t="array" ref="F2227">IF(A2227=MAX(IF(ROUND($B$2:$B$3722,4)=ROUND(B2227,4),$A$2:$A$3722)),"Efficient","Inefficient")</f>
        <v>Inefficient</v>
      </c>
    </row>
    <row r="2228" spans="1:6" x14ac:dyDescent="0.25">
      <c r="A2228" cm="1">
        <f t="array" ref="A2228">INDEX('Portfolio Weights Returns'!$B$9:$BJ$69,
INT((ROW(A2227)-1)/COLUMNS('Portfolio Weights Returns'!$B$9:$BJ$69))+1,MOD(ROW(A2227)-1,COLUMNS('Portfolio Weights Returns'!$B$9:$BJ$69))+1)</f>
        <v>-7.5486860318463116E-4</v>
      </c>
      <c r="B2228">
        <v>2.0899999999999998E-2</v>
      </c>
      <c r="C2228" s="59">
        <v>-0.18</v>
      </c>
      <c r="D2228" s="59">
        <v>0.1</v>
      </c>
      <c r="E2228" s="60">
        <f t="shared" si="34"/>
        <v>1.08</v>
      </c>
      <c r="F2228" t="str" cm="1">
        <f t="array" ref="F2228">IF(A2228=MAX(IF(ROUND($B$2:$B$3722,4)=ROUND(B2228,4),$A$2:$A$3722)),"Efficient","Inefficient")</f>
        <v>Inefficient</v>
      </c>
    </row>
    <row r="2229" spans="1:6" x14ac:dyDescent="0.25">
      <c r="A2229" cm="1">
        <f t="array" ref="A2229">INDEX('Portfolio Weights Returns'!$B$9:$BJ$69,
INT((ROW(A2228)-1)/COLUMNS('Portfolio Weights Returns'!$B$9:$BJ$69))+1,MOD(ROW(A2228)-1,COLUMNS('Portfolio Weights Returns'!$B$9:$BJ$69))+1)</f>
        <v>-7.4808742921795212E-4</v>
      </c>
      <c r="B2229">
        <v>2.0899999999999998E-2</v>
      </c>
      <c r="C2229" s="59">
        <v>-0.19</v>
      </c>
      <c r="D2229" s="59">
        <v>0.12</v>
      </c>
      <c r="E2229" s="60">
        <f t="shared" si="34"/>
        <v>1.07</v>
      </c>
      <c r="F2229" t="str" cm="1">
        <f t="array" ref="F2229">IF(A2229=MAX(IF(ROUND($B$2:$B$3722,4)=ROUND(B2229,4),$A$2:$A$3722)),"Efficient","Inefficient")</f>
        <v>Inefficient</v>
      </c>
    </row>
    <row r="2230" spans="1:6" x14ac:dyDescent="0.25">
      <c r="A2230" cm="1">
        <f t="array" ref="A2230">INDEX('Portfolio Weights Returns'!$B$9:$BJ$69,
INT((ROW(A2229)-1)/COLUMNS('Portfolio Weights Returns'!$B$9:$BJ$69))+1,MOD(ROW(A2229)-1,COLUMNS('Portfolio Weights Returns'!$B$9:$BJ$69))+1)</f>
        <v>-7.4130625525127298E-4</v>
      </c>
      <c r="B2230">
        <v>2.0899999999999998E-2</v>
      </c>
      <c r="C2230" s="59">
        <v>-0.19</v>
      </c>
      <c r="D2230" s="59">
        <v>0.13</v>
      </c>
      <c r="E2230" s="60">
        <f t="shared" si="34"/>
        <v>1.06</v>
      </c>
      <c r="F2230" t="str" cm="1">
        <f t="array" ref="F2230">IF(A2230=MAX(IF(ROUND($B$2:$B$3722,4)=ROUND(B2230,4),$A$2:$A$3722)),"Efficient","Inefficient")</f>
        <v>Inefficient</v>
      </c>
    </row>
    <row r="2231" spans="1:6" x14ac:dyDescent="0.25">
      <c r="A2231" cm="1">
        <f t="array" ref="A2231">INDEX('Portfolio Weights Returns'!$B$9:$BJ$69,
INT((ROW(A2230)-1)/COLUMNS('Portfolio Weights Returns'!$B$9:$BJ$69))+1,MOD(ROW(A2230)-1,COLUMNS('Portfolio Weights Returns'!$B$9:$BJ$69))+1)</f>
        <v>-7.3452508128459394E-4</v>
      </c>
      <c r="B2231">
        <v>2.0899999999999998E-2</v>
      </c>
      <c r="C2231" s="59">
        <v>-0.2</v>
      </c>
      <c r="D2231" s="59">
        <v>0.15</v>
      </c>
      <c r="E2231" s="60">
        <f t="shared" si="34"/>
        <v>1.05</v>
      </c>
      <c r="F2231" t="str" cm="1">
        <f t="array" ref="F2231">IF(A2231=MAX(IF(ROUND($B$2:$B$3722,4)=ROUND(B2231,4),$A$2:$A$3722)),"Efficient","Inefficient")</f>
        <v>Inefficient</v>
      </c>
    </row>
    <row r="2232" spans="1:6" x14ac:dyDescent="0.25">
      <c r="A2232" cm="1">
        <f t="array" ref="A2232">INDEX('Portfolio Weights Returns'!$B$9:$BJ$69,
INT((ROW(A2231)-1)/COLUMNS('Portfolio Weights Returns'!$B$9:$BJ$69))+1,MOD(ROW(A2231)-1,COLUMNS('Portfolio Weights Returns'!$B$9:$BJ$69))+1)</f>
        <v>-7.277439073179148E-4</v>
      </c>
      <c r="B2232">
        <v>2.0899999999999998E-2</v>
      </c>
      <c r="C2232" s="59">
        <v>-0.2</v>
      </c>
      <c r="D2232" s="59">
        <v>0.16</v>
      </c>
      <c r="E2232" s="60">
        <f t="shared" si="34"/>
        <v>1.04</v>
      </c>
      <c r="F2232" t="str" cm="1">
        <f t="array" ref="F2232">IF(A2232=MAX(IF(ROUND($B$2:$B$3722,4)=ROUND(B2232,4),$A$2:$A$3722)),"Efficient","Inefficient")</f>
        <v>Inefficient</v>
      </c>
    </row>
    <row r="2233" spans="1:6" x14ac:dyDescent="0.25">
      <c r="A2233" cm="1">
        <f t="array" ref="A2233">INDEX('Portfolio Weights Returns'!$B$9:$BJ$69,
INT((ROW(A2232)-1)/COLUMNS('Portfolio Weights Returns'!$B$9:$BJ$69))+1,MOD(ROW(A2232)-1,COLUMNS('Portfolio Weights Returns'!$B$9:$BJ$69))+1)</f>
        <v>-7.2096273335123565E-4</v>
      </c>
      <c r="B2233">
        <v>2.0899999999999998E-2</v>
      </c>
      <c r="C2233" s="59">
        <v>-0.2</v>
      </c>
      <c r="D2233" s="59">
        <v>0.17</v>
      </c>
      <c r="E2233" s="60">
        <f t="shared" si="34"/>
        <v>1.03</v>
      </c>
      <c r="F2233" t="str" cm="1">
        <f t="array" ref="F2233">IF(A2233=MAX(IF(ROUND($B$2:$B$3722,4)=ROUND(B2233,4),$A$2:$A$3722)),"Efficient","Inefficient")</f>
        <v>Inefficient</v>
      </c>
    </row>
    <row r="2234" spans="1:6" x14ac:dyDescent="0.25">
      <c r="A2234" cm="1">
        <f t="array" ref="A2234">INDEX('Portfolio Weights Returns'!$B$9:$BJ$69,
INT((ROW(A2233)-1)/COLUMNS('Portfolio Weights Returns'!$B$9:$BJ$69))+1,MOD(ROW(A2233)-1,COLUMNS('Portfolio Weights Returns'!$B$9:$BJ$69))+1)</f>
        <v>-7.1418155938455651E-4</v>
      </c>
      <c r="B2234">
        <v>2.0899999999999998E-2</v>
      </c>
      <c r="C2234" s="59">
        <v>-0.2</v>
      </c>
      <c r="D2234" s="59">
        <v>0.18</v>
      </c>
      <c r="E2234" s="60">
        <f t="shared" si="34"/>
        <v>1.02</v>
      </c>
      <c r="F2234" t="str" cm="1">
        <f t="array" ref="F2234">IF(A2234=MAX(IF(ROUND($B$2:$B$3722,4)=ROUND(B2234,4),$A$2:$A$3722)),"Efficient","Inefficient")</f>
        <v>Inefficient</v>
      </c>
    </row>
    <row r="2235" spans="1:6" x14ac:dyDescent="0.25">
      <c r="A2235" cm="1">
        <f t="array" ref="A2235">INDEX('Portfolio Weights Returns'!$B$9:$BJ$69,
INT((ROW(A2234)-1)/COLUMNS('Portfolio Weights Returns'!$B$9:$BJ$69))+1,MOD(ROW(A2234)-1,COLUMNS('Portfolio Weights Returns'!$B$9:$BJ$69))+1)</f>
        <v>-7.0740038541787737E-4</v>
      </c>
      <c r="B2235">
        <v>2.0899999999999998E-2</v>
      </c>
      <c r="C2235" s="59">
        <v>-0.2</v>
      </c>
      <c r="D2235" s="59">
        <v>0.23</v>
      </c>
      <c r="E2235" s="60">
        <f t="shared" si="34"/>
        <v>0.97</v>
      </c>
      <c r="F2235" t="str" cm="1">
        <f t="array" ref="F2235">IF(A2235=MAX(IF(ROUND($B$2:$B$3722,4)=ROUND(B2235,4),$A$2:$A$3722)),"Efficient","Inefficient")</f>
        <v>Inefficient</v>
      </c>
    </row>
    <row r="2236" spans="1:6" x14ac:dyDescent="0.25">
      <c r="A2236" cm="1">
        <f t="array" ref="A2236">INDEX('Portfolio Weights Returns'!$B$9:$BJ$69,
INT((ROW(A2235)-1)/COLUMNS('Portfolio Weights Returns'!$B$9:$BJ$69))+1,MOD(ROW(A2235)-1,COLUMNS('Portfolio Weights Returns'!$B$9:$BJ$69))+1)</f>
        <v>-7.0061921145119855E-4</v>
      </c>
      <c r="B2236">
        <v>2.0899999999999998E-2</v>
      </c>
      <c r="C2236" s="59">
        <v>-0.2</v>
      </c>
      <c r="D2236" s="59">
        <v>0.24</v>
      </c>
      <c r="E2236" s="60">
        <f t="shared" si="34"/>
        <v>0.96</v>
      </c>
      <c r="F2236" t="str" cm="1">
        <f t="array" ref="F2236">IF(A2236=MAX(IF(ROUND($B$2:$B$3722,4)=ROUND(B2236,4),$A$2:$A$3722)),"Efficient","Inefficient")</f>
        <v>Inefficient</v>
      </c>
    </row>
    <row r="2237" spans="1:6" x14ac:dyDescent="0.25">
      <c r="A2237" cm="1">
        <f t="array" ref="A2237">INDEX('Portfolio Weights Returns'!$B$9:$BJ$69,
INT((ROW(A2236)-1)/COLUMNS('Portfolio Weights Returns'!$B$9:$BJ$69))+1,MOD(ROW(A2236)-1,COLUMNS('Portfolio Weights Returns'!$B$9:$BJ$69))+1)</f>
        <v>-6.9383803748451929E-4</v>
      </c>
      <c r="B2237">
        <v>2.0899999999999998E-2</v>
      </c>
      <c r="C2237" s="59">
        <v>-0.2</v>
      </c>
      <c r="D2237" s="59">
        <v>0.25</v>
      </c>
      <c r="E2237" s="60">
        <f t="shared" si="34"/>
        <v>0.95</v>
      </c>
      <c r="F2237" t="str" cm="1">
        <f t="array" ref="F2237">IF(A2237=MAX(IF(ROUND($B$2:$B$3722,4)=ROUND(B2237,4),$A$2:$A$3722)),"Efficient","Inefficient")</f>
        <v>Inefficient</v>
      </c>
    </row>
    <row r="2238" spans="1:6" x14ac:dyDescent="0.25">
      <c r="A2238" cm="1">
        <f t="array" ref="A2238">INDEX('Portfolio Weights Returns'!$B$9:$BJ$69,
INT((ROW(A2237)-1)/COLUMNS('Portfolio Weights Returns'!$B$9:$BJ$69))+1,MOD(ROW(A2237)-1,COLUMNS('Portfolio Weights Returns'!$B$9:$BJ$69))+1)</f>
        <v>-6.8705686351784026E-4</v>
      </c>
      <c r="B2238">
        <v>2.0899999999999998E-2</v>
      </c>
      <c r="C2238" s="59">
        <v>-0.2</v>
      </c>
      <c r="D2238" s="59">
        <v>0.26</v>
      </c>
      <c r="E2238" s="60">
        <f t="shared" si="34"/>
        <v>0.94</v>
      </c>
      <c r="F2238" t="str" cm="1">
        <f t="array" ref="F2238">IF(A2238=MAX(IF(ROUND($B$2:$B$3722,4)=ROUND(B2238,4),$A$2:$A$3722)),"Efficient","Inefficient")</f>
        <v>Inefficient</v>
      </c>
    </row>
    <row r="2239" spans="1:6" x14ac:dyDescent="0.25">
      <c r="A2239" cm="1">
        <f t="array" ref="A2239">INDEX('Portfolio Weights Returns'!$B$9:$BJ$69,
INT((ROW(A2238)-1)/COLUMNS('Portfolio Weights Returns'!$B$9:$BJ$69))+1,MOD(ROW(A2238)-1,COLUMNS('Portfolio Weights Returns'!$B$9:$BJ$69))+1)</f>
        <v>-6.8027568955116111E-4</v>
      </c>
      <c r="B2239">
        <v>2.0899999999999998E-2</v>
      </c>
      <c r="C2239" s="59">
        <v>-0.19</v>
      </c>
      <c r="D2239" s="59">
        <v>0.27</v>
      </c>
      <c r="E2239" s="60">
        <f t="shared" si="34"/>
        <v>0.91999999999999993</v>
      </c>
      <c r="F2239" t="str" cm="1">
        <f t="array" ref="F2239">IF(A2239=MAX(IF(ROUND($B$2:$B$3722,4)=ROUND(B2239,4),$A$2:$A$3722)),"Efficient","Inefficient")</f>
        <v>Inefficient</v>
      </c>
    </row>
    <row r="2240" spans="1:6" x14ac:dyDescent="0.25">
      <c r="A2240" cm="1">
        <f t="array" ref="A2240">INDEX('Portfolio Weights Returns'!$B$9:$BJ$69,
INT((ROW(A2239)-1)/COLUMNS('Portfolio Weights Returns'!$B$9:$BJ$69))+1,MOD(ROW(A2239)-1,COLUMNS('Portfolio Weights Returns'!$B$9:$BJ$69))+1)</f>
        <v>-6.7349451558448208E-4</v>
      </c>
      <c r="B2240">
        <v>2.0899999999999998E-2</v>
      </c>
      <c r="C2240" s="59">
        <v>-0.19</v>
      </c>
      <c r="D2240" s="59">
        <v>0.28000000000000003</v>
      </c>
      <c r="E2240" s="60">
        <f t="shared" si="34"/>
        <v>0.90999999999999992</v>
      </c>
      <c r="F2240" t="str" cm="1">
        <f t="array" ref="F2240">IF(A2240=MAX(IF(ROUND($B$2:$B$3722,4)=ROUND(B2240,4),$A$2:$A$3722)),"Efficient","Inefficient")</f>
        <v>Inefficient</v>
      </c>
    </row>
    <row r="2241" spans="1:6" x14ac:dyDescent="0.25">
      <c r="A2241" cm="1">
        <f t="array" ref="A2241">INDEX('Portfolio Weights Returns'!$B$9:$BJ$69,
INT((ROW(A2240)-1)/COLUMNS('Portfolio Weights Returns'!$B$9:$BJ$69))+1,MOD(ROW(A2240)-1,COLUMNS('Portfolio Weights Returns'!$B$9:$BJ$69))+1)</f>
        <v>-6.6671334161780293E-4</v>
      </c>
      <c r="B2241">
        <v>2.0899999999999998E-2</v>
      </c>
      <c r="C2241" s="59">
        <v>-0.18</v>
      </c>
      <c r="D2241" s="59">
        <v>0.3</v>
      </c>
      <c r="E2241" s="60">
        <f t="shared" si="34"/>
        <v>0.87999999999999989</v>
      </c>
      <c r="F2241" t="str" cm="1">
        <f t="array" ref="F2241">IF(A2241=MAX(IF(ROUND($B$2:$B$3722,4)=ROUND(B2241,4),$A$2:$A$3722)),"Efficient","Inefficient")</f>
        <v>Efficient</v>
      </c>
    </row>
    <row r="2242" spans="1:6" x14ac:dyDescent="0.25">
      <c r="A2242" cm="1">
        <f t="array" ref="A2242">INDEX('Portfolio Weights Returns'!$B$9:$BJ$69,
INT((ROW(A2241)-1)/COLUMNS('Portfolio Weights Returns'!$B$9:$BJ$69))+1,MOD(ROW(A2241)-1,COLUMNS('Portfolio Weights Returns'!$B$9:$BJ$69))+1)</f>
        <v>-6.599321676511239E-4</v>
      </c>
      <c r="B2242">
        <v>2.1000000000000001E-2</v>
      </c>
      <c r="C2242" s="59">
        <v>0.28999999999999998</v>
      </c>
      <c r="D2242" s="59">
        <v>-0.3</v>
      </c>
      <c r="E2242" s="60">
        <f t="shared" ref="E2242:E2305" si="35">1-D2242-C2242</f>
        <v>1.01</v>
      </c>
      <c r="F2242" t="str" cm="1">
        <f t="array" ref="F2242">IF(A2242=MAX(IF(ROUND($B$2:$B$3722,4)=ROUND(B2242,4),$A$2:$A$3722)),"Efficient","Inefficient")</f>
        <v>Inefficient</v>
      </c>
    </row>
    <row r="2243" spans="1:6" x14ac:dyDescent="0.25">
      <c r="A2243" cm="1">
        <f t="array" ref="A2243">INDEX('Portfolio Weights Returns'!$B$9:$BJ$69,
INT((ROW(A2242)-1)/COLUMNS('Portfolio Weights Returns'!$B$9:$BJ$69))+1,MOD(ROW(A2242)-1,COLUMNS('Portfolio Weights Returns'!$B$9:$BJ$69))+1)</f>
        <v>-6.5315099368444475E-4</v>
      </c>
      <c r="B2243">
        <v>2.1000000000000001E-2</v>
      </c>
      <c r="C2243" s="59">
        <v>0.27</v>
      </c>
      <c r="D2243" s="59">
        <v>-0.28999999999999998</v>
      </c>
      <c r="E2243" s="60">
        <f t="shared" si="35"/>
        <v>1.02</v>
      </c>
      <c r="F2243" t="str" cm="1">
        <f t="array" ref="F2243">IF(A2243=MAX(IF(ROUND($B$2:$B$3722,4)=ROUND(B2243,4),$A$2:$A$3722)),"Efficient","Inefficient")</f>
        <v>Inefficient</v>
      </c>
    </row>
    <row r="2244" spans="1:6" x14ac:dyDescent="0.25">
      <c r="A2244" cm="1">
        <f t="array" ref="A2244">INDEX('Portfolio Weights Returns'!$B$9:$BJ$69,
INT((ROW(A2243)-1)/COLUMNS('Portfolio Weights Returns'!$B$9:$BJ$69))+1,MOD(ROW(A2243)-1,COLUMNS('Portfolio Weights Returns'!$B$9:$BJ$69))+1)</f>
        <v>-6.463698197177655E-4</v>
      </c>
      <c r="B2244">
        <v>2.1000000000000001E-2</v>
      </c>
      <c r="C2244" s="59">
        <v>0.25</v>
      </c>
      <c r="D2244" s="59">
        <v>-0.28000000000000003</v>
      </c>
      <c r="E2244" s="60">
        <f t="shared" si="35"/>
        <v>1.03</v>
      </c>
      <c r="F2244" t="str" cm="1">
        <f t="array" ref="F2244">IF(A2244=MAX(IF(ROUND($B$2:$B$3722,4)=ROUND(B2244,4),$A$2:$A$3722)),"Efficient","Inefficient")</f>
        <v>Inefficient</v>
      </c>
    </row>
    <row r="2245" spans="1:6" x14ac:dyDescent="0.25">
      <c r="A2245" cm="1">
        <f t="array" ref="A2245">INDEX('Portfolio Weights Returns'!$B$9:$BJ$69,
INT((ROW(A2244)-1)/COLUMNS('Portfolio Weights Returns'!$B$9:$BJ$69))+1,MOD(ROW(A2244)-1,COLUMNS('Portfolio Weights Returns'!$B$9:$BJ$69))+1)</f>
        <v>-6.3958864575108646E-4</v>
      </c>
      <c r="B2245">
        <v>2.1000000000000001E-2</v>
      </c>
      <c r="C2245" s="59">
        <v>0.23</v>
      </c>
      <c r="D2245" s="59">
        <v>-0.27</v>
      </c>
      <c r="E2245" s="60">
        <f t="shared" si="35"/>
        <v>1.04</v>
      </c>
      <c r="F2245" t="str" cm="1">
        <f t="array" ref="F2245">IF(A2245=MAX(IF(ROUND($B$2:$B$3722,4)=ROUND(B2245,4),$A$2:$A$3722)),"Efficient","Inefficient")</f>
        <v>Inefficient</v>
      </c>
    </row>
    <row r="2246" spans="1:6" x14ac:dyDescent="0.25">
      <c r="A2246" cm="1">
        <f t="array" ref="A2246">INDEX('Portfolio Weights Returns'!$B$9:$BJ$69,
INT((ROW(A2245)-1)/COLUMNS('Portfolio Weights Returns'!$B$9:$BJ$69))+1,MOD(ROW(A2245)-1,COLUMNS('Portfolio Weights Returns'!$B$9:$BJ$69))+1)</f>
        <v>-6.3280747178440732E-4</v>
      </c>
      <c r="B2246">
        <v>2.1000000000000001E-2</v>
      </c>
      <c r="C2246" s="59">
        <v>0.21</v>
      </c>
      <c r="D2246" s="59">
        <v>-0.26</v>
      </c>
      <c r="E2246" s="60">
        <f t="shared" si="35"/>
        <v>1.05</v>
      </c>
      <c r="F2246" t="str" cm="1">
        <f t="array" ref="F2246">IF(A2246=MAX(IF(ROUND($B$2:$B$3722,4)=ROUND(B2246,4),$A$2:$A$3722)),"Efficient","Inefficient")</f>
        <v>Inefficient</v>
      </c>
    </row>
    <row r="2247" spans="1:6" x14ac:dyDescent="0.25">
      <c r="A2247" cm="1">
        <f t="array" ref="A2247">INDEX('Portfolio Weights Returns'!$B$9:$BJ$69,
INT((ROW(A2246)-1)/COLUMNS('Portfolio Weights Returns'!$B$9:$BJ$69))+1,MOD(ROW(A2246)-1,COLUMNS('Portfolio Weights Returns'!$B$9:$BJ$69))+1)</f>
        <v>-6.2602629781772828E-4</v>
      </c>
      <c r="B2247">
        <v>2.1000000000000001E-2</v>
      </c>
      <c r="C2247" s="59">
        <v>0.19</v>
      </c>
      <c r="D2247" s="59">
        <v>-0.25</v>
      </c>
      <c r="E2247" s="60">
        <f t="shared" si="35"/>
        <v>1.06</v>
      </c>
      <c r="F2247" t="str" cm="1">
        <f t="array" ref="F2247">IF(A2247=MAX(IF(ROUND($B$2:$B$3722,4)=ROUND(B2247,4),$A$2:$A$3722)),"Efficient","Inefficient")</f>
        <v>Inefficient</v>
      </c>
    </row>
    <row r="2248" spans="1:6" x14ac:dyDescent="0.25">
      <c r="A2248" cm="1">
        <f t="array" ref="A2248">INDEX('Portfolio Weights Returns'!$B$9:$BJ$69,
INT((ROW(A2247)-1)/COLUMNS('Portfolio Weights Returns'!$B$9:$BJ$69))+1,MOD(ROW(A2247)-1,COLUMNS('Portfolio Weights Returns'!$B$9:$BJ$69))+1)</f>
        <v>-6.1924512385104914E-4</v>
      </c>
      <c r="B2248">
        <v>2.1000000000000001E-2</v>
      </c>
      <c r="C2248" s="59">
        <v>0.16</v>
      </c>
      <c r="D2248" s="59">
        <v>-0.23</v>
      </c>
      <c r="E2248" s="60">
        <f t="shared" si="35"/>
        <v>1.07</v>
      </c>
      <c r="F2248" t="str" cm="1">
        <f t="array" ref="F2248">IF(A2248=MAX(IF(ROUND($B$2:$B$3722,4)=ROUND(B2248,4),$A$2:$A$3722)),"Efficient","Inefficient")</f>
        <v>Inefficient</v>
      </c>
    </row>
    <row r="2249" spans="1:6" x14ac:dyDescent="0.25">
      <c r="A2249" cm="1">
        <f t="array" ref="A2249">INDEX('Portfolio Weights Returns'!$B$9:$BJ$69,
INT((ROW(A2248)-1)/COLUMNS('Portfolio Weights Returns'!$B$9:$BJ$69))+1,MOD(ROW(A2248)-1,COLUMNS('Portfolio Weights Returns'!$B$9:$BJ$69))+1)</f>
        <v>-6.124639498843701E-4</v>
      </c>
      <c r="B2249">
        <v>2.1000000000000001E-2</v>
      </c>
      <c r="C2249" s="59">
        <v>0.14000000000000001</v>
      </c>
      <c r="D2249" s="59">
        <v>-0.22</v>
      </c>
      <c r="E2249" s="60">
        <f t="shared" si="35"/>
        <v>1.08</v>
      </c>
      <c r="F2249" t="str" cm="1">
        <f t="array" ref="F2249">IF(A2249=MAX(IF(ROUND($B$2:$B$3722,4)=ROUND(B2249,4),$A$2:$A$3722)),"Efficient","Inefficient")</f>
        <v>Inefficient</v>
      </c>
    </row>
    <row r="2250" spans="1:6" x14ac:dyDescent="0.25">
      <c r="A2250" cm="1">
        <f t="array" ref="A2250">INDEX('Portfolio Weights Returns'!$B$9:$BJ$69,
INT((ROW(A2249)-1)/COLUMNS('Portfolio Weights Returns'!$B$9:$BJ$69))+1,MOD(ROW(A2249)-1,COLUMNS('Portfolio Weights Returns'!$B$9:$BJ$69))+1)</f>
        <v>-6.0568277591769096E-4</v>
      </c>
      <c r="B2250">
        <v>2.1000000000000001E-2</v>
      </c>
      <c r="C2250" s="59">
        <v>0.11</v>
      </c>
      <c r="D2250" s="59">
        <v>-0.2</v>
      </c>
      <c r="E2250" s="60">
        <f t="shared" si="35"/>
        <v>1.0899999999999999</v>
      </c>
      <c r="F2250" t="str" cm="1">
        <f t="array" ref="F2250">IF(A2250=MAX(IF(ROUND($B$2:$B$3722,4)=ROUND(B2250,4),$A$2:$A$3722)),"Efficient","Inefficient")</f>
        <v>Inefficient</v>
      </c>
    </row>
    <row r="2251" spans="1:6" x14ac:dyDescent="0.25">
      <c r="A2251" cm="1">
        <f t="array" ref="A2251">INDEX('Portfolio Weights Returns'!$B$9:$BJ$69,
INT((ROW(A2250)-1)/COLUMNS('Portfolio Weights Returns'!$B$9:$BJ$69))+1,MOD(ROW(A2250)-1,COLUMNS('Portfolio Weights Returns'!$B$9:$BJ$69))+1)</f>
        <v>-5.9890160195101181E-4</v>
      </c>
      <c r="B2251">
        <v>2.1000000000000001E-2</v>
      </c>
      <c r="C2251" s="59">
        <v>0.08</v>
      </c>
      <c r="D2251" s="59">
        <v>-0.18</v>
      </c>
      <c r="E2251" s="60">
        <f t="shared" si="35"/>
        <v>1.0999999999999999</v>
      </c>
      <c r="F2251" t="str" cm="1">
        <f t="array" ref="F2251">IF(A2251=MAX(IF(ROUND($B$2:$B$3722,4)=ROUND(B2251,4),$A$2:$A$3722)),"Efficient","Inefficient")</f>
        <v>Inefficient</v>
      </c>
    </row>
    <row r="2252" spans="1:6" x14ac:dyDescent="0.25">
      <c r="A2252" cm="1">
        <f t="array" ref="A2252">INDEX('Portfolio Weights Returns'!$B$9:$BJ$69,
INT((ROW(A2251)-1)/COLUMNS('Portfolio Weights Returns'!$B$9:$BJ$69))+1,MOD(ROW(A2251)-1,COLUMNS('Portfolio Weights Returns'!$B$9:$BJ$69))+1)</f>
        <v>-5.9212042798433267E-4</v>
      </c>
      <c r="B2252">
        <v>2.1000000000000001E-2</v>
      </c>
      <c r="C2252" s="59">
        <v>0.05</v>
      </c>
      <c r="D2252" s="59">
        <v>-0.16</v>
      </c>
      <c r="E2252" s="60">
        <f t="shared" si="35"/>
        <v>1.1099999999999999</v>
      </c>
      <c r="F2252" t="str" cm="1">
        <f t="array" ref="F2252">IF(A2252=MAX(IF(ROUND($B$2:$B$3722,4)=ROUND(B2252,4),$A$2:$A$3722)),"Efficient","Inefficient")</f>
        <v>Inefficient</v>
      </c>
    </row>
    <row r="2253" spans="1:6" x14ac:dyDescent="0.25">
      <c r="A2253" cm="1">
        <f t="array" ref="A2253">INDEX('Portfolio Weights Returns'!$B$9:$BJ$69,
INT((ROW(A2252)-1)/COLUMNS('Portfolio Weights Returns'!$B$9:$BJ$69))+1,MOD(ROW(A2252)-1,COLUMNS('Portfolio Weights Returns'!$B$9:$BJ$69))+1)</f>
        <v>-5.8533925401765352E-4</v>
      </c>
      <c r="B2253">
        <v>2.1000000000000001E-2</v>
      </c>
      <c r="C2253" s="59">
        <v>0.04</v>
      </c>
      <c r="D2253" s="59">
        <v>-0.15</v>
      </c>
      <c r="E2253" s="60">
        <f t="shared" si="35"/>
        <v>1.1099999999999999</v>
      </c>
      <c r="F2253" t="str" cm="1">
        <f t="array" ref="F2253">IF(A2253=MAX(IF(ROUND($B$2:$B$3722,4)=ROUND(B2253,4),$A$2:$A$3722)),"Efficient","Inefficient")</f>
        <v>Inefficient</v>
      </c>
    </row>
    <row r="2254" spans="1:6" x14ac:dyDescent="0.25">
      <c r="A2254" cm="1">
        <f t="array" ref="A2254">INDEX('Portfolio Weights Returns'!$B$9:$BJ$69,
INT((ROW(A2253)-1)/COLUMNS('Portfolio Weights Returns'!$B$9:$BJ$69))+1,MOD(ROW(A2253)-1,COLUMNS('Portfolio Weights Returns'!$B$9:$BJ$69))+1)</f>
        <v>-5.7855808005097449E-4</v>
      </c>
      <c r="B2254">
        <v>2.1000000000000001E-2</v>
      </c>
      <c r="C2254" s="59">
        <v>0.01</v>
      </c>
      <c r="D2254" s="59">
        <v>-0.13</v>
      </c>
      <c r="E2254" s="60">
        <f t="shared" si="35"/>
        <v>1.1199999999999999</v>
      </c>
      <c r="F2254" t="str" cm="1">
        <f t="array" ref="F2254">IF(A2254=MAX(IF(ROUND($B$2:$B$3722,4)=ROUND(B2254,4),$A$2:$A$3722)),"Efficient","Inefficient")</f>
        <v>Inefficient</v>
      </c>
    </row>
    <row r="2255" spans="1:6" x14ac:dyDescent="0.25">
      <c r="A2255" cm="1">
        <f t="array" ref="A2255">INDEX('Portfolio Weights Returns'!$B$9:$BJ$69,
INT((ROW(A2254)-1)/COLUMNS('Portfolio Weights Returns'!$B$9:$BJ$69))+1,MOD(ROW(A2254)-1,COLUMNS('Portfolio Weights Returns'!$B$9:$BJ$69))+1)</f>
        <v>-5.7177690608429469E-4</v>
      </c>
      <c r="B2255">
        <v>2.1000000000000001E-2</v>
      </c>
      <c r="C2255" s="59">
        <v>0</v>
      </c>
      <c r="D2255" s="59">
        <v>-0.12</v>
      </c>
      <c r="E2255" s="60">
        <f t="shared" si="35"/>
        <v>1.1200000000000001</v>
      </c>
      <c r="F2255" t="str" cm="1">
        <f t="array" ref="F2255">IF(A2255=MAX(IF(ROUND($B$2:$B$3722,4)=ROUND(B2255,4),$A$2:$A$3722)),"Efficient","Inefficient")</f>
        <v>Inefficient</v>
      </c>
    </row>
    <row r="2256" spans="1:6" x14ac:dyDescent="0.25">
      <c r="A2256" cm="1">
        <f t="array" ref="A2256">INDEX('Portfolio Weights Returns'!$B$9:$BJ$69,
INT((ROW(A2255)-1)/COLUMNS('Portfolio Weights Returns'!$B$9:$BJ$69))+1,MOD(ROW(A2255)-1,COLUMNS('Portfolio Weights Returns'!$B$9:$BJ$69))+1)</f>
        <v>-5.6499573211761566E-4</v>
      </c>
      <c r="B2256">
        <v>2.1000000000000001E-2</v>
      </c>
      <c r="C2256" s="59">
        <v>-0.01</v>
      </c>
      <c r="D2256" s="59">
        <v>-0.11</v>
      </c>
      <c r="E2256" s="60">
        <f t="shared" si="35"/>
        <v>1.1200000000000001</v>
      </c>
      <c r="F2256" t="str" cm="1">
        <f t="array" ref="F2256">IF(A2256=MAX(IF(ROUND($B$2:$B$3722,4)=ROUND(B2256,4),$A$2:$A$3722)),"Efficient","Inefficient")</f>
        <v>Inefficient</v>
      </c>
    </row>
    <row r="2257" spans="1:6" x14ac:dyDescent="0.25">
      <c r="A2257" cm="1">
        <f t="array" ref="A2257">INDEX('Portfolio Weights Returns'!$B$9:$BJ$69,
INT((ROW(A2256)-1)/COLUMNS('Portfolio Weights Returns'!$B$9:$BJ$69))+1,MOD(ROW(A2256)-1,COLUMNS('Portfolio Weights Returns'!$B$9:$BJ$69))+1)</f>
        <v>-5.5821455815093651E-4</v>
      </c>
      <c r="B2257">
        <v>2.1000000000000001E-2</v>
      </c>
      <c r="C2257" s="59">
        <v>-0.05</v>
      </c>
      <c r="D2257" s="59">
        <v>-0.08</v>
      </c>
      <c r="E2257" s="60">
        <f t="shared" si="35"/>
        <v>1.1300000000000001</v>
      </c>
      <c r="F2257" t="str" cm="1">
        <f t="array" ref="F2257">IF(A2257=MAX(IF(ROUND($B$2:$B$3722,4)=ROUND(B2257,4),$A$2:$A$3722)),"Efficient","Inefficient")</f>
        <v>Inefficient</v>
      </c>
    </row>
    <row r="2258" spans="1:6" x14ac:dyDescent="0.25">
      <c r="A2258" cm="1">
        <f t="array" ref="A2258">INDEX('Portfolio Weights Returns'!$B$9:$BJ$69,
INT((ROW(A2257)-1)/COLUMNS('Portfolio Weights Returns'!$B$9:$BJ$69))+1,MOD(ROW(A2257)-1,COLUMNS('Portfolio Weights Returns'!$B$9:$BJ$69))+1)</f>
        <v>-5.5143338418425748E-4</v>
      </c>
      <c r="B2258">
        <v>2.1000000000000001E-2</v>
      </c>
      <c r="C2258" s="59">
        <v>-0.06</v>
      </c>
      <c r="D2258" s="59">
        <v>-7.0000000000000007E-2</v>
      </c>
      <c r="E2258" s="60">
        <f t="shared" si="35"/>
        <v>1.1300000000000001</v>
      </c>
      <c r="F2258" t="str" cm="1">
        <f t="array" ref="F2258">IF(A2258=MAX(IF(ROUND($B$2:$B$3722,4)=ROUND(B2258,4),$A$2:$A$3722)),"Efficient","Inefficient")</f>
        <v>Efficient</v>
      </c>
    </row>
    <row r="2259" spans="1:6" x14ac:dyDescent="0.25">
      <c r="A2259" cm="1">
        <f t="array" ref="A2259">INDEX('Portfolio Weights Returns'!$B$9:$BJ$69,
INT((ROW(A2258)-1)/COLUMNS('Portfolio Weights Returns'!$B$9:$BJ$69))+1,MOD(ROW(A2258)-1,COLUMNS('Portfolio Weights Returns'!$B$9:$BJ$69))+1)</f>
        <v>-9.5172961433954918E-4</v>
      </c>
      <c r="B2259">
        <v>2.1000000000000001E-2</v>
      </c>
      <c r="C2259" s="59">
        <v>-7.0000000000000007E-2</v>
      </c>
      <c r="D2259" s="59">
        <v>-0.06</v>
      </c>
      <c r="E2259" s="60">
        <f t="shared" si="35"/>
        <v>1.1300000000000001</v>
      </c>
      <c r="F2259" t="str" cm="1">
        <f t="array" ref="F2259">IF(A2259=MAX(IF(ROUND($B$2:$B$3722,4)=ROUND(B2259,4),$A$2:$A$3722)),"Efficient","Inefficient")</f>
        <v>Inefficient</v>
      </c>
    </row>
    <row r="2260" spans="1:6" x14ac:dyDescent="0.25">
      <c r="A2260" cm="1">
        <f t="array" ref="A2260">INDEX('Portfolio Weights Returns'!$B$9:$BJ$69,
INT((ROW(A2259)-1)/COLUMNS('Portfolio Weights Returns'!$B$9:$BJ$69))+1,MOD(ROW(A2259)-1,COLUMNS('Portfolio Weights Returns'!$B$9:$BJ$69))+1)</f>
        <v>-9.4494844037287015E-4</v>
      </c>
      <c r="B2260">
        <v>2.1000000000000001E-2</v>
      </c>
      <c r="C2260" s="59">
        <v>-0.08</v>
      </c>
      <c r="D2260" s="59">
        <v>-0.05</v>
      </c>
      <c r="E2260" s="60">
        <f t="shared" si="35"/>
        <v>1.1300000000000001</v>
      </c>
      <c r="F2260" t="str" cm="1">
        <f t="array" ref="F2260">IF(A2260=MAX(IF(ROUND($B$2:$B$3722,4)=ROUND(B2260,4),$A$2:$A$3722)),"Efficient","Inefficient")</f>
        <v>Inefficient</v>
      </c>
    </row>
    <row r="2261" spans="1:6" x14ac:dyDescent="0.25">
      <c r="A2261" cm="1">
        <f t="array" ref="A2261">INDEX('Portfolio Weights Returns'!$B$9:$BJ$69,
INT((ROW(A2260)-1)/COLUMNS('Portfolio Weights Returns'!$B$9:$BJ$69))+1,MOD(ROW(A2260)-1,COLUMNS('Portfolio Weights Returns'!$B$9:$BJ$69))+1)</f>
        <v>-9.3816726640619089E-4</v>
      </c>
      <c r="B2261">
        <v>2.1000000000000001E-2</v>
      </c>
      <c r="C2261" s="59">
        <v>-0.09</v>
      </c>
      <c r="D2261" s="59">
        <v>-0.04</v>
      </c>
      <c r="E2261" s="60">
        <f t="shared" si="35"/>
        <v>1.1300000000000001</v>
      </c>
      <c r="F2261" t="str" cm="1">
        <f t="array" ref="F2261">IF(A2261=MAX(IF(ROUND($B$2:$B$3722,4)=ROUND(B2261,4),$A$2:$A$3722)),"Efficient","Inefficient")</f>
        <v>Inefficient</v>
      </c>
    </row>
    <row r="2262" spans="1:6" x14ac:dyDescent="0.25">
      <c r="A2262" cm="1">
        <f t="array" ref="A2262">INDEX('Portfolio Weights Returns'!$B$9:$BJ$69,
INT((ROW(A2261)-1)/COLUMNS('Portfolio Weights Returns'!$B$9:$BJ$69))+1,MOD(ROW(A2261)-1,COLUMNS('Portfolio Weights Returns'!$B$9:$BJ$69))+1)</f>
        <v>-9.3138609243951186E-4</v>
      </c>
      <c r="B2262">
        <v>2.1000000000000001E-2</v>
      </c>
      <c r="C2262" s="59">
        <v>-0.12</v>
      </c>
      <c r="D2262" s="59">
        <v>0</v>
      </c>
      <c r="E2262" s="60">
        <f t="shared" si="35"/>
        <v>1.1200000000000001</v>
      </c>
      <c r="F2262" t="str" cm="1">
        <f t="array" ref="F2262">IF(A2262=MAX(IF(ROUND($B$2:$B$3722,4)=ROUND(B2262,4),$A$2:$A$3722)),"Efficient","Inefficient")</f>
        <v>Inefficient</v>
      </c>
    </row>
    <row r="2263" spans="1:6" x14ac:dyDescent="0.25">
      <c r="A2263" cm="1">
        <f t="array" ref="A2263">INDEX('Portfolio Weights Returns'!$B$9:$BJ$69,
INT((ROW(A2262)-1)/COLUMNS('Portfolio Weights Returns'!$B$9:$BJ$69))+1,MOD(ROW(A2262)-1,COLUMNS('Portfolio Weights Returns'!$B$9:$BJ$69))+1)</f>
        <v>-9.2460491847283271E-4</v>
      </c>
      <c r="B2263">
        <v>2.1000000000000001E-2</v>
      </c>
      <c r="C2263" s="59">
        <v>-0.13</v>
      </c>
      <c r="D2263" s="59">
        <v>0.01</v>
      </c>
      <c r="E2263" s="60">
        <f t="shared" si="35"/>
        <v>1.1200000000000001</v>
      </c>
      <c r="F2263" t="str" cm="1">
        <f t="array" ref="F2263">IF(A2263=MAX(IF(ROUND($B$2:$B$3722,4)=ROUND(B2263,4),$A$2:$A$3722)),"Efficient","Inefficient")</f>
        <v>Inefficient</v>
      </c>
    </row>
    <row r="2264" spans="1:6" x14ac:dyDescent="0.25">
      <c r="A2264" cm="1">
        <f t="array" ref="A2264">INDEX('Portfolio Weights Returns'!$B$9:$BJ$69,
INT((ROW(A2263)-1)/COLUMNS('Portfolio Weights Returns'!$B$9:$BJ$69))+1,MOD(ROW(A2263)-1,COLUMNS('Portfolio Weights Returns'!$B$9:$BJ$69))+1)</f>
        <v>-9.1782374450615357E-4</v>
      </c>
      <c r="B2264">
        <v>2.1000000000000001E-2</v>
      </c>
      <c r="C2264" s="59">
        <v>-0.14000000000000001</v>
      </c>
      <c r="D2264" s="59">
        <v>0.02</v>
      </c>
      <c r="E2264" s="60">
        <f t="shared" si="35"/>
        <v>1.1200000000000001</v>
      </c>
      <c r="F2264" t="str" cm="1">
        <f t="array" ref="F2264">IF(A2264=MAX(IF(ROUND($B$2:$B$3722,4)=ROUND(B2264,4),$A$2:$A$3722)),"Efficient","Inefficient")</f>
        <v>Inefficient</v>
      </c>
    </row>
    <row r="2265" spans="1:6" x14ac:dyDescent="0.25">
      <c r="A2265" cm="1">
        <f t="array" ref="A2265">INDEX('Portfolio Weights Returns'!$B$9:$BJ$69,
INT((ROW(A2264)-1)/COLUMNS('Portfolio Weights Returns'!$B$9:$BJ$69))+1,MOD(ROW(A2264)-1,COLUMNS('Portfolio Weights Returns'!$B$9:$BJ$69))+1)</f>
        <v>-9.1104257053947453E-4</v>
      </c>
      <c r="B2265">
        <v>2.1000000000000001E-2</v>
      </c>
      <c r="C2265" s="59">
        <v>-0.15</v>
      </c>
      <c r="D2265" s="59">
        <v>0.04</v>
      </c>
      <c r="E2265" s="60">
        <f t="shared" si="35"/>
        <v>1.1099999999999999</v>
      </c>
      <c r="F2265" t="str" cm="1">
        <f t="array" ref="F2265">IF(A2265=MAX(IF(ROUND($B$2:$B$3722,4)=ROUND(B2265,4),$A$2:$A$3722)),"Efficient","Inefficient")</f>
        <v>Inefficient</v>
      </c>
    </row>
    <row r="2266" spans="1:6" x14ac:dyDescent="0.25">
      <c r="A2266" cm="1">
        <f t="array" ref="A2266">INDEX('Portfolio Weights Returns'!$B$9:$BJ$69,
INT((ROW(A2265)-1)/COLUMNS('Portfolio Weights Returns'!$B$9:$BJ$69))+1,MOD(ROW(A2265)-1,COLUMNS('Portfolio Weights Returns'!$B$9:$BJ$69))+1)</f>
        <v>-9.0426139657279539E-4</v>
      </c>
      <c r="B2266">
        <v>2.1000000000000001E-2</v>
      </c>
      <c r="C2266" s="59">
        <v>-0.16</v>
      </c>
      <c r="D2266" s="59">
        <v>0.05</v>
      </c>
      <c r="E2266" s="60">
        <f t="shared" si="35"/>
        <v>1.1099999999999999</v>
      </c>
      <c r="F2266" t="str" cm="1">
        <f t="array" ref="F2266">IF(A2266=MAX(IF(ROUND($B$2:$B$3722,4)=ROUND(B2266,4),$A$2:$A$3722)),"Efficient","Inefficient")</f>
        <v>Inefficient</v>
      </c>
    </row>
    <row r="2267" spans="1:6" x14ac:dyDescent="0.25">
      <c r="A2267" cm="1">
        <f t="array" ref="A2267">INDEX('Portfolio Weights Returns'!$B$9:$BJ$69,
INT((ROW(A2266)-1)/COLUMNS('Portfolio Weights Returns'!$B$9:$BJ$69))+1,MOD(ROW(A2266)-1,COLUMNS('Portfolio Weights Returns'!$B$9:$BJ$69))+1)</f>
        <v>-8.9748022260611635E-4</v>
      </c>
      <c r="B2267">
        <v>2.1000000000000001E-2</v>
      </c>
      <c r="C2267" s="59">
        <v>-0.17</v>
      </c>
      <c r="D2267" s="59">
        <v>7.0000000000000007E-2</v>
      </c>
      <c r="E2267" s="60">
        <f t="shared" si="35"/>
        <v>1.0999999999999999</v>
      </c>
      <c r="F2267" t="str" cm="1">
        <f t="array" ref="F2267">IF(A2267=MAX(IF(ROUND($B$2:$B$3722,4)=ROUND(B2267,4),$A$2:$A$3722)),"Efficient","Inefficient")</f>
        <v>Inefficient</v>
      </c>
    </row>
    <row r="2268" spans="1:6" x14ac:dyDescent="0.25">
      <c r="A2268" cm="1">
        <f t="array" ref="A2268">INDEX('Portfolio Weights Returns'!$B$9:$BJ$69,
INT((ROW(A2267)-1)/COLUMNS('Portfolio Weights Returns'!$B$9:$BJ$69))+1,MOD(ROW(A2267)-1,COLUMNS('Portfolio Weights Returns'!$B$9:$BJ$69))+1)</f>
        <v>-8.906990486394371E-4</v>
      </c>
      <c r="B2268">
        <v>2.1000000000000001E-2</v>
      </c>
      <c r="C2268" s="59">
        <v>-0.18</v>
      </c>
      <c r="D2268" s="59">
        <v>0.09</v>
      </c>
      <c r="E2268" s="60">
        <f t="shared" si="35"/>
        <v>1.0900000000000001</v>
      </c>
      <c r="F2268" t="str" cm="1">
        <f t="array" ref="F2268">IF(A2268=MAX(IF(ROUND($B$2:$B$3722,4)=ROUND(B2268,4),$A$2:$A$3722)),"Efficient","Inefficient")</f>
        <v>Inefficient</v>
      </c>
    </row>
    <row r="2269" spans="1:6" x14ac:dyDescent="0.25">
      <c r="A2269" cm="1">
        <f t="array" ref="A2269">INDEX('Portfolio Weights Returns'!$B$9:$BJ$69,
INT((ROW(A2268)-1)/COLUMNS('Portfolio Weights Returns'!$B$9:$BJ$69))+1,MOD(ROW(A2268)-1,COLUMNS('Portfolio Weights Returns'!$B$9:$BJ$69))+1)</f>
        <v>-8.8391787467275806E-4</v>
      </c>
      <c r="B2269">
        <v>2.1000000000000001E-2</v>
      </c>
      <c r="C2269" s="59">
        <v>-0.19</v>
      </c>
      <c r="D2269" s="59">
        <v>0.11</v>
      </c>
      <c r="E2269" s="60">
        <f t="shared" si="35"/>
        <v>1.08</v>
      </c>
      <c r="F2269" t="str" cm="1">
        <f t="array" ref="F2269">IF(A2269=MAX(IF(ROUND($B$2:$B$3722,4)=ROUND(B2269,4),$A$2:$A$3722)),"Efficient","Inefficient")</f>
        <v>Inefficient</v>
      </c>
    </row>
    <row r="2270" spans="1:6" x14ac:dyDescent="0.25">
      <c r="A2270" cm="1">
        <f t="array" ref="A2270">INDEX('Portfolio Weights Returns'!$B$9:$BJ$69,
INT((ROW(A2269)-1)/COLUMNS('Portfolio Weights Returns'!$B$9:$BJ$69))+1,MOD(ROW(A2269)-1,COLUMNS('Portfolio Weights Returns'!$B$9:$BJ$69))+1)</f>
        <v>-8.7713670070607892E-4</v>
      </c>
      <c r="B2270">
        <v>2.1000000000000001E-2</v>
      </c>
      <c r="C2270" s="59">
        <v>-0.2</v>
      </c>
      <c r="D2270" s="59">
        <v>0.13</v>
      </c>
      <c r="E2270" s="60">
        <f t="shared" si="35"/>
        <v>1.07</v>
      </c>
      <c r="F2270" t="str" cm="1">
        <f t="array" ref="F2270">IF(A2270=MAX(IF(ROUND($B$2:$B$3722,4)=ROUND(B2270,4),$A$2:$A$3722)),"Efficient","Inefficient")</f>
        <v>Inefficient</v>
      </c>
    </row>
    <row r="2271" spans="1:6" x14ac:dyDescent="0.25">
      <c r="A2271" cm="1">
        <f t="array" ref="A2271">INDEX('Portfolio Weights Returns'!$B$9:$BJ$69,
INT((ROW(A2270)-1)/COLUMNS('Portfolio Weights Returns'!$B$9:$BJ$69))+1,MOD(ROW(A2270)-1,COLUMNS('Portfolio Weights Returns'!$B$9:$BJ$69))+1)</f>
        <v>-8.7035552673939988E-4</v>
      </c>
      <c r="B2271">
        <v>2.1000000000000001E-2</v>
      </c>
      <c r="C2271" s="59">
        <v>-0.2</v>
      </c>
      <c r="D2271" s="59">
        <v>0.14000000000000001</v>
      </c>
      <c r="E2271" s="60">
        <f t="shared" si="35"/>
        <v>1.06</v>
      </c>
      <c r="F2271" t="str" cm="1">
        <f t="array" ref="F2271">IF(A2271=MAX(IF(ROUND($B$2:$B$3722,4)=ROUND(B2271,4),$A$2:$A$3722)),"Efficient","Inefficient")</f>
        <v>Inefficient</v>
      </c>
    </row>
    <row r="2272" spans="1:6" x14ac:dyDescent="0.25">
      <c r="A2272" cm="1">
        <f t="array" ref="A2272">INDEX('Portfolio Weights Returns'!$B$9:$BJ$69,
INT((ROW(A2271)-1)/COLUMNS('Portfolio Weights Returns'!$B$9:$BJ$69))+1,MOD(ROW(A2271)-1,COLUMNS('Portfolio Weights Returns'!$B$9:$BJ$69))+1)</f>
        <v>-8.6357435277272074E-4</v>
      </c>
      <c r="B2272">
        <v>2.1000000000000001E-2</v>
      </c>
      <c r="C2272" s="59">
        <v>-0.21</v>
      </c>
      <c r="D2272" s="59">
        <v>0.17</v>
      </c>
      <c r="E2272" s="60">
        <f t="shared" si="35"/>
        <v>1.04</v>
      </c>
      <c r="F2272" t="str" cm="1">
        <f t="array" ref="F2272">IF(A2272=MAX(IF(ROUND($B$2:$B$3722,4)=ROUND(B2272,4),$A$2:$A$3722)),"Efficient","Inefficient")</f>
        <v>Inefficient</v>
      </c>
    </row>
    <row r="2273" spans="1:6" x14ac:dyDescent="0.25">
      <c r="A2273" cm="1">
        <f t="array" ref="A2273">INDEX('Portfolio Weights Returns'!$B$9:$BJ$69,
INT((ROW(A2272)-1)/COLUMNS('Portfolio Weights Returns'!$B$9:$BJ$69))+1,MOD(ROW(A2272)-1,COLUMNS('Portfolio Weights Returns'!$B$9:$BJ$69))+1)</f>
        <v>-8.567931788060416E-4</v>
      </c>
      <c r="B2273">
        <v>2.1000000000000001E-2</v>
      </c>
      <c r="C2273" s="59">
        <v>-0.21</v>
      </c>
      <c r="D2273" s="59">
        <v>0.18</v>
      </c>
      <c r="E2273" s="60">
        <f t="shared" si="35"/>
        <v>1.03</v>
      </c>
      <c r="F2273" t="str" cm="1">
        <f t="array" ref="F2273">IF(A2273=MAX(IF(ROUND($B$2:$B$3722,4)=ROUND(B2273,4),$A$2:$A$3722)),"Efficient","Inefficient")</f>
        <v>Inefficient</v>
      </c>
    </row>
    <row r="2274" spans="1:6" x14ac:dyDescent="0.25">
      <c r="A2274" cm="1">
        <f t="array" ref="A2274">INDEX('Portfolio Weights Returns'!$B$9:$BJ$69,
INT((ROW(A2273)-1)/COLUMNS('Portfolio Weights Returns'!$B$9:$BJ$69))+1,MOD(ROW(A2273)-1,COLUMNS('Portfolio Weights Returns'!$B$9:$BJ$69))+1)</f>
        <v>-8.5001200483936256E-4</v>
      </c>
      <c r="B2274">
        <v>2.1000000000000001E-2</v>
      </c>
      <c r="C2274" s="59">
        <v>-0.21</v>
      </c>
      <c r="D2274" s="59">
        <v>0.19</v>
      </c>
      <c r="E2274" s="60">
        <f t="shared" si="35"/>
        <v>1.02</v>
      </c>
      <c r="F2274" t="str" cm="1">
        <f t="array" ref="F2274">IF(A2274=MAX(IF(ROUND($B$2:$B$3722,4)=ROUND(B2274,4),$A$2:$A$3722)),"Efficient","Inefficient")</f>
        <v>Inefficient</v>
      </c>
    </row>
    <row r="2275" spans="1:6" x14ac:dyDescent="0.25">
      <c r="A2275" cm="1">
        <f t="array" ref="A2275">INDEX('Portfolio Weights Returns'!$B$9:$BJ$69,
INT((ROW(A2274)-1)/COLUMNS('Portfolio Weights Returns'!$B$9:$BJ$69))+1,MOD(ROW(A2274)-1,COLUMNS('Portfolio Weights Returns'!$B$9:$BJ$69))+1)</f>
        <v>-8.4323083087268352E-4</v>
      </c>
      <c r="B2275">
        <v>2.1000000000000001E-2</v>
      </c>
      <c r="C2275" s="59">
        <v>-0.21</v>
      </c>
      <c r="D2275" s="59">
        <v>0.2</v>
      </c>
      <c r="E2275" s="60">
        <f t="shared" si="35"/>
        <v>1.01</v>
      </c>
      <c r="F2275" t="str" cm="1">
        <f t="array" ref="F2275">IF(A2275=MAX(IF(ROUND($B$2:$B$3722,4)=ROUND(B2275,4),$A$2:$A$3722)),"Efficient","Inefficient")</f>
        <v>Inefficient</v>
      </c>
    </row>
    <row r="2276" spans="1:6" x14ac:dyDescent="0.25">
      <c r="A2276" cm="1">
        <f t="array" ref="A2276">INDEX('Portfolio Weights Returns'!$B$9:$BJ$69,
INT((ROW(A2275)-1)/COLUMNS('Portfolio Weights Returns'!$B$9:$BJ$69))+1,MOD(ROW(A2275)-1,COLUMNS('Portfolio Weights Returns'!$B$9:$BJ$69))+1)</f>
        <v>-8.3644965690600427E-4</v>
      </c>
      <c r="B2276">
        <v>2.1000000000000001E-2</v>
      </c>
      <c r="C2276" s="59">
        <v>-0.21</v>
      </c>
      <c r="D2276" s="59">
        <v>0.21</v>
      </c>
      <c r="E2276" s="60">
        <f t="shared" si="35"/>
        <v>1</v>
      </c>
      <c r="F2276" t="str" cm="1">
        <f t="array" ref="F2276">IF(A2276=MAX(IF(ROUND($B$2:$B$3722,4)=ROUND(B2276,4),$A$2:$A$3722)),"Efficient","Inefficient")</f>
        <v>Inefficient</v>
      </c>
    </row>
    <row r="2277" spans="1:6" x14ac:dyDescent="0.25">
      <c r="A2277" cm="1">
        <f t="array" ref="A2277">INDEX('Portfolio Weights Returns'!$B$9:$BJ$69,
INT((ROW(A2276)-1)/COLUMNS('Portfolio Weights Returns'!$B$9:$BJ$69))+1,MOD(ROW(A2276)-1,COLUMNS('Portfolio Weights Returns'!$B$9:$BJ$69))+1)</f>
        <v>-8.2966848293932534E-4</v>
      </c>
      <c r="B2277">
        <v>2.1000000000000001E-2</v>
      </c>
      <c r="C2277" s="59">
        <v>-0.21</v>
      </c>
      <c r="D2277" s="59">
        <v>0.22</v>
      </c>
      <c r="E2277" s="60">
        <f t="shared" si="35"/>
        <v>0.99</v>
      </c>
      <c r="F2277" t="str" cm="1">
        <f t="array" ref="F2277">IF(A2277=MAX(IF(ROUND($B$2:$B$3722,4)=ROUND(B2277,4),$A$2:$A$3722)),"Efficient","Inefficient")</f>
        <v>Inefficient</v>
      </c>
    </row>
    <row r="2278" spans="1:6" x14ac:dyDescent="0.25">
      <c r="A2278" cm="1">
        <f t="array" ref="A2278">INDEX('Portfolio Weights Returns'!$B$9:$BJ$69,
INT((ROW(A2277)-1)/COLUMNS('Portfolio Weights Returns'!$B$9:$BJ$69))+1,MOD(ROW(A2277)-1,COLUMNS('Portfolio Weights Returns'!$B$9:$BJ$69))+1)</f>
        <v>-8.2288730897264631E-4</v>
      </c>
      <c r="B2278">
        <v>2.1000000000000001E-2</v>
      </c>
      <c r="C2278" s="59">
        <v>-0.21</v>
      </c>
      <c r="D2278" s="59">
        <v>0.23</v>
      </c>
      <c r="E2278" s="60">
        <f t="shared" si="35"/>
        <v>0.98</v>
      </c>
      <c r="F2278" t="str" cm="1">
        <f t="array" ref="F2278">IF(A2278=MAX(IF(ROUND($B$2:$B$3722,4)=ROUND(B2278,4),$A$2:$A$3722)),"Efficient","Inefficient")</f>
        <v>Inefficient</v>
      </c>
    </row>
    <row r="2279" spans="1:6" x14ac:dyDescent="0.25">
      <c r="A2279" cm="1">
        <f t="array" ref="A2279">INDEX('Portfolio Weights Returns'!$B$9:$BJ$69,
INT((ROW(A2278)-1)/COLUMNS('Portfolio Weights Returns'!$B$9:$BJ$69))+1,MOD(ROW(A2278)-1,COLUMNS('Portfolio Weights Returns'!$B$9:$BJ$69))+1)</f>
        <v>-8.1610613500596705E-4</v>
      </c>
      <c r="B2279">
        <v>2.1000000000000001E-2</v>
      </c>
      <c r="C2279" s="59">
        <v>-0.21</v>
      </c>
      <c r="D2279" s="59">
        <v>0.24</v>
      </c>
      <c r="E2279" s="60">
        <f t="shared" si="35"/>
        <v>0.97</v>
      </c>
      <c r="F2279" t="str" cm="1">
        <f t="array" ref="F2279">IF(A2279=MAX(IF(ROUND($B$2:$B$3722,4)=ROUND(B2279,4),$A$2:$A$3722)),"Efficient","Inefficient")</f>
        <v>Inefficient</v>
      </c>
    </row>
    <row r="2280" spans="1:6" x14ac:dyDescent="0.25">
      <c r="A2280" cm="1">
        <f t="array" ref="A2280">INDEX('Portfolio Weights Returns'!$B$9:$BJ$69,
INT((ROW(A2279)-1)/COLUMNS('Portfolio Weights Returns'!$B$9:$BJ$69))+1,MOD(ROW(A2279)-1,COLUMNS('Portfolio Weights Returns'!$B$9:$BJ$69))+1)</f>
        <v>-8.0932496103928802E-4</v>
      </c>
      <c r="B2280">
        <v>2.1000000000000001E-2</v>
      </c>
      <c r="C2280" s="59">
        <v>-0.21</v>
      </c>
      <c r="D2280" s="59">
        <v>0.25</v>
      </c>
      <c r="E2280" s="60">
        <f t="shared" si="35"/>
        <v>0.96</v>
      </c>
      <c r="F2280" t="str" cm="1">
        <f t="array" ref="F2280">IF(A2280=MAX(IF(ROUND($B$2:$B$3722,4)=ROUND(B2280,4),$A$2:$A$3722)),"Efficient","Inefficient")</f>
        <v>Inefficient</v>
      </c>
    </row>
    <row r="2281" spans="1:6" x14ac:dyDescent="0.25">
      <c r="A2281" cm="1">
        <f t="array" ref="A2281">INDEX('Portfolio Weights Returns'!$B$9:$BJ$69,
INT((ROW(A2280)-1)/COLUMNS('Portfolio Weights Returns'!$B$9:$BJ$69))+1,MOD(ROW(A2280)-1,COLUMNS('Portfolio Weights Returns'!$B$9:$BJ$69))+1)</f>
        <v>-8.0254378707260887E-4</v>
      </c>
      <c r="B2281">
        <v>2.1000000000000001E-2</v>
      </c>
      <c r="C2281" s="59">
        <v>-0.2</v>
      </c>
      <c r="D2281" s="59">
        <v>0.27</v>
      </c>
      <c r="E2281" s="60">
        <f t="shared" si="35"/>
        <v>0.92999999999999994</v>
      </c>
      <c r="F2281" t="str" cm="1">
        <f t="array" ref="F2281">IF(A2281=MAX(IF(ROUND($B$2:$B$3722,4)=ROUND(B2281,4),$A$2:$A$3722)),"Efficient","Inefficient")</f>
        <v>Inefficient</v>
      </c>
    </row>
    <row r="2282" spans="1:6" x14ac:dyDescent="0.25">
      <c r="A2282" cm="1">
        <f t="array" ref="A2282">INDEX('Portfolio Weights Returns'!$B$9:$BJ$69,
INT((ROW(A2281)-1)/COLUMNS('Portfolio Weights Returns'!$B$9:$BJ$69))+1,MOD(ROW(A2281)-1,COLUMNS('Portfolio Weights Returns'!$B$9:$BJ$69))+1)</f>
        <v>-7.9576261310592984E-4</v>
      </c>
      <c r="B2282">
        <v>2.1000000000000001E-2</v>
      </c>
      <c r="C2282" s="59">
        <v>-0.2</v>
      </c>
      <c r="D2282" s="59">
        <v>0.28000000000000003</v>
      </c>
      <c r="E2282" s="60">
        <f t="shared" si="35"/>
        <v>0.91999999999999993</v>
      </c>
      <c r="F2282" t="str" cm="1">
        <f t="array" ref="F2282">IF(A2282=MAX(IF(ROUND($B$2:$B$3722,4)=ROUND(B2282,4),$A$2:$A$3722)),"Efficient","Inefficient")</f>
        <v>Inefficient</v>
      </c>
    </row>
    <row r="2283" spans="1:6" x14ac:dyDescent="0.25">
      <c r="A2283" cm="1">
        <f t="array" ref="A2283">INDEX('Portfolio Weights Returns'!$B$9:$BJ$69,
INT((ROW(A2282)-1)/COLUMNS('Portfolio Weights Returns'!$B$9:$BJ$69))+1,MOD(ROW(A2282)-1,COLUMNS('Portfolio Weights Returns'!$B$9:$BJ$69))+1)</f>
        <v>-7.8898143913925069E-4</v>
      </c>
      <c r="B2283">
        <v>2.1000000000000001E-2</v>
      </c>
      <c r="C2283" s="59">
        <v>-0.19</v>
      </c>
      <c r="D2283" s="59">
        <v>0.28999999999999998</v>
      </c>
      <c r="E2283" s="60">
        <f t="shared" si="35"/>
        <v>0.89999999999999991</v>
      </c>
      <c r="F2283" t="str" cm="1">
        <f t="array" ref="F2283">IF(A2283=MAX(IF(ROUND($B$2:$B$3722,4)=ROUND(B2283,4),$A$2:$A$3722)),"Efficient","Inefficient")</f>
        <v>Inefficient</v>
      </c>
    </row>
    <row r="2284" spans="1:6" x14ac:dyDescent="0.25">
      <c r="A2284" cm="1">
        <f t="array" ref="A2284">INDEX('Portfolio Weights Returns'!$B$9:$BJ$69,
INT((ROW(A2283)-1)/COLUMNS('Portfolio Weights Returns'!$B$9:$BJ$69))+1,MOD(ROW(A2283)-1,COLUMNS('Portfolio Weights Returns'!$B$9:$BJ$69))+1)</f>
        <v>-7.8220026517257155E-4</v>
      </c>
      <c r="B2284">
        <v>2.1000000000000001E-2</v>
      </c>
      <c r="C2284" s="59">
        <v>-0.19</v>
      </c>
      <c r="D2284" s="59">
        <v>0.3</v>
      </c>
      <c r="E2284" s="60">
        <f t="shared" si="35"/>
        <v>0.8899999999999999</v>
      </c>
      <c r="F2284" t="str" cm="1">
        <f t="array" ref="F2284">IF(A2284=MAX(IF(ROUND($B$2:$B$3722,4)=ROUND(B2284,4),$A$2:$A$3722)),"Efficient","Inefficient")</f>
        <v>Inefficient</v>
      </c>
    </row>
    <row r="2285" spans="1:6" x14ac:dyDescent="0.25">
      <c r="A2285" cm="1">
        <f t="array" ref="A2285">INDEX('Portfolio Weights Returns'!$B$9:$BJ$69,
INT((ROW(A2284)-1)/COLUMNS('Portfolio Weights Returns'!$B$9:$BJ$69))+1,MOD(ROW(A2284)-1,COLUMNS('Portfolio Weights Returns'!$B$9:$BJ$69))+1)</f>
        <v>-7.7541909120589251E-4</v>
      </c>
      <c r="B2285">
        <v>2.1100000000000001E-2</v>
      </c>
      <c r="C2285" s="59">
        <v>0.28000000000000003</v>
      </c>
      <c r="D2285" s="59">
        <v>-0.3</v>
      </c>
      <c r="E2285" s="60">
        <f t="shared" si="35"/>
        <v>1.02</v>
      </c>
      <c r="F2285" t="str" cm="1">
        <f t="array" ref="F2285">IF(A2285=MAX(IF(ROUND($B$2:$B$3722,4)=ROUND(B2285,4),$A$2:$A$3722)),"Efficient","Inefficient")</f>
        <v>Inefficient</v>
      </c>
    </row>
    <row r="2286" spans="1:6" x14ac:dyDescent="0.25">
      <c r="A2286" cm="1">
        <f t="array" ref="A2286">INDEX('Portfolio Weights Returns'!$B$9:$BJ$69,
INT((ROW(A2285)-1)/COLUMNS('Portfolio Weights Returns'!$B$9:$BJ$69))+1,MOD(ROW(A2285)-1,COLUMNS('Portfolio Weights Returns'!$B$9:$BJ$69))+1)</f>
        <v>-7.6863791723921326E-4</v>
      </c>
      <c r="B2286">
        <v>2.1100000000000001E-2</v>
      </c>
      <c r="C2286" s="59">
        <v>0.26</v>
      </c>
      <c r="D2286" s="59">
        <v>-0.28999999999999998</v>
      </c>
      <c r="E2286" s="60">
        <f t="shared" si="35"/>
        <v>1.03</v>
      </c>
      <c r="F2286" t="str" cm="1">
        <f t="array" ref="F2286">IF(A2286=MAX(IF(ROUND($B$2:$B$3722,4)=ROUND(B2286,4),$A$2:$A$3722)),"Efficient","Inefficient")</f>
        <v>Inefficient</v>
      </c>
    </row>
    <row r="2287" spans="1:6" x14ac:dyDescent="0.25">
      <c r="A2287" cm="1">
        <f t="array" ref="A2287">INDEX('Portfolio Weights Returns'!$B$9:$BJ$69,
INT((ROW(A2286)-1)/COLUMNS('Portfolio Weights Returns'!$B$9:$BJ$69))+1,MOD(ROW(A2286)-1,COLUMNS('Portfolio Weights Returns'!$B$9:$BJ$69))+1)</f>
        <v>-7.6185674327253422E-4</v>
      </c>
      <c r="B2287">
        <v>2.1100000000000001E-2</v>
      </c>
      <c r="C2287" s="59">
        <v>0.24</v>
      </c>
      <c r="D2287" s="59">
        <v>-0.28000000000000003</v>
      </c>
      <c r="E2287" s="60">
        <f t="shared" si="35"/>
        <v>1.04</v>
      </c>
      <c r="F2287" t="str" cm="1">
        <f t="array" ref="F2287">IF(A2287=MAX(IF(ROUND($B$2:$B$3722,4)=ROUND(B2287,4),$A$2:$A$3722)),"Efficient","Inefficient")</f>
        <v>Inefficient</v>
      </c>
    </row>
    <row r="2288" spans="1:6" x14ac:dyDescent="0.25">
      <c r="A2288" cm="1">
        <f t="array" ref="A2288">INDEX('Portfolio Weights Returns'!$B$9:$BJ$69,
INT((ROW(A2287)-1)/COLUMNS('Portfolio Weights Returns'!$B$9:$BJ$69))+1,MOD(ROW(A2287)-1,COLUMNS('Portfolio Weights Returns'!$B$9:$BJ$69))+1)</f>
        <v>-7.5507556930585508E-4</v>
      </c>
      <c r="B2288">
        <v>2.1100000000000001E-2</v>
      </c>
      <c r="C2288" s="59">
        <v>0.22</v>
      </c>
      <c r="D2288" s="59">
        <v>-0.27</v>
      </c>
      <c r="E2288" s="60">
        <f t="shared" si="35"/>
        <v>1.05</v>
      </c>
      <c r="F2288" t="str" cm="1">
        <f t="array" ref="F2288">IF(A2288=MAX(IF(ROUND($B$2:$B$3722,4)=ROUND(B2288,4),$A$2:$A$3722)),"Efficient","Inefficient")</f>
        <v>Inefficient</v>
      </c>
    </row>
    <row r="2289" spans="1:6" x14ac:dyDescent="0.25">
      <c r="A2289" cm="1">
        <f t="array" ref="A2289">INDEX('Portfolio Weights Returns'!$B$9:$BJ$69,
INT((ROW(A2288)-1)/COLUMNS('Portfolio Weights Returns'!$B$9:$BJ$69))+1,MOD(ROW(A2288)-1,COLUMNS('Portfolio Weights Returns'!$B$9:$BJ$69))+1)</f>
        <v>-7.4829439533917604E-4</v>
      </c>
      <c r="B2289">
        <v>2.1100000000000001E-2</v>
      </c>
      <c r="C2289" s="59">
        <v>0.17</v>
      </c>
      <c r="D2289" s="59">
        <v>-0.24</v>
      </c>
      <c r="E2289" s="60">
        <f t="shared" si="35"/>
        <v>1.07</v>
      </c>
      <c r="F2289" t="str" cm="1">
        <f t="array" ref="F2289">IF(A2289=MAX(IF(ROUND($B$2:$B$3722,4)=ROUND(B2289,4),$A$2:$A$3722)),"Efficient","Inefficient")</f>
        <v>Inefficient</v>
      </c>
    </row>
    <row r="2290" spans="1:6" x14ac:dyDescent="0.25">
      <c r="A2290" cm="1">
        <f t="array" ref="A2290">INDEX('Portfolio Weights Returns'!$B$9:$BJ$69,
INT((ROW(A2289)-1)/COLUMNS('Portfolio Weights Returns'!$B$9:$BJ$69))+1,MOD(ROW(A2289)-1,COLUMNS('Portfolio Weights Returns'!$B$9:$BJ$69))+1)</f>
        <v>-7.415132213724969E-4</v>
      </c>
      <c r="B2290">
        <v>2.1100000000000001E-2</v>
      </c>
      <c r="C2290" s="59">
        <v>0.15</v>
      </c>
      <c r="D2290" s="59">
        <v>-0.23</v>
      </c>
      <c r="E2290" s="60">
        <f t="shared" si="35"/>
        <v>1.08</v>
      </c>
      <c r="F2290" t="str" cm="1">
        <f t="array" ref="F2290">IF(A2290=MAX(IF(ROUND($B$2:$B$3722,4)=ROUND(B2290,4),$A$2:$A$3722)),"Efficient","Inefficient")</f>
        <v>Inefficient</v>
      </c>
    </row>
    <row r="2291" spans="1:6" x14ac:dyDescent="0.25">
      <c r="A2291" cm="1">
        <f t="array" ref="A2291">INDEX('Portfolio Weights Returns'!$B$9:$BJ$69,
INT((ROW(A2290)-1)/COLUMNS('Portfolio Weights Returns'!$B$9:$BJ$69))+1,MOD(ROW(A2290)-1,COLUMNS('Portfolio Weights Returns'!$B$9:$BJ$69))+1)</f>
        <v>-7.3473204740581786E-4</v>
      </c>
      <c r="B2291">
        <v>2.1100000000000001E-2</v>
      </c>
      <c r="C2291" s="59">
        <v>0.12</v>
      </c>
      <c r="D2291" s="59">
        <v>-0.21</v>
      </c>
      <c r="E2291" s="60">
        <f t="shared" si="35"/>
        <v>1.0899999999999999</v>
      </c>
      <c r="F2291" t="str" cm="1">
        <f t="array" ref="F2291">IF(A2291=MAX(IF(ROUND($B$2:$B$3722,4)=ROUND(B2291,4),$A$2:$A$3722)),"Efficient","Inefficient")</f>
        <v>Inefficient</v>
      </c>
    </row>
    <row r="2292" spans="1:6" x14ac:dyDescent="0.25">
      <c r="A2292" cm="1">
        <f t="array" ref="A2292">INDEX('Portfolio Weights Returns'!$B$9:$BJ$69,
INT((ROW(A2291)-1)/COLUMNS('Portfolio Weights Returns'!$B$9:$BJ$69))+1,MOD(ROW(A2291)-1,COLUMNS('Portfolio Weights Returns'!$B$9:$BJ$69))+1)</f>
        <v>-7.2795087343913872E-4</v>
      </c>
      <c r="B2292">
        <v>2.1100000000000001E-2</v>
      </c>
      <c r="C2292" s="59">
        <v>0.1</v>
      </c>
      <c r="D2292" s="59">
        <v>-0.2</v>
      </c>
      <c r="E2292" s="60">
        <f t="shared" si="35"/>
        <v>1.0999999999999999</v>
      </c>
      <c r="F2292" t="str" cm="1">
        <f t="array" ref="F2292">IF(A2292=MAX(IF(ROUND($B$2:$B$3722,4)=ROUND(B2292,4),$A$2:$A$3722)),"Efficient","Inefficient")</f>
        <v>Inefficient</v>
      </c>
    </row>
    <row r="2293" spans="1:6" x14ac:dyDescent="0.25">
      <c r="A2293" cm="1">
        <f t="array" ref="A2293">INDEX('Portfolio Weights Returns'!$B$9:$BJ$69,
INT((ROW(A2292)-1)/COLUMNS('Portfolio Weights Returns'!$B$9:$BJ$69))+1,MOD(ROW(A2292)-1,COLUMNS('Portfolio Weights Returns'!$B$9:$BJ$69))+1)</f>
        <v>-7.2116969947245947E-4</v>
      </c>
      <c r="B2293">
        <v>2.1100000000000001E-2</v>
      </c>
      <c r="C2293" s="59">
        <v>0.09</v>
      </c>
      <c r="D2293" s="59">
        <v>-0.19</v>
      </c>
      <c r="E2293" s="60">
        <f t="shared" si="35"/>
        <v>1.0999999999999999</v>
      </c>
      <c r="F2293" t="str" cm="1">
        <f t="array" ref="F2293">IF(A2293=MAX(IF(ROUND($B$2:$B$3722,4)=ROUND(B2293,4),$A$2:$A$3722)),"Efficient","Inefficient")</f>
        <v>Inefficient</v>
      </c>
    </row>
    <row r="2294" spans="1:6" x14ac:dyDescent="0.25">
      <c r="A2294" cm="1">
        <f t="array" ref="A2294">INDEX('Portfolio Weights Returns'!$B$9:$BJ$69,
INT((ROW(A2293)-1)/COLUMNS('Portfolio Weights Returns'!$B$9:$BJ$69))+1,MOD(ROW(A2293)-1,COLUMNS('Portfolio Weights Returns'!$B$9:$BJ$69))+1)</f>
        <v>-7.1438852550578043E-4</v>
      </c>
      <c r="B2294">
        <v>2.1100000000000001E-2</v>
      </c>
      <c r="C2294" s="59">
        <v>7.0000000000000007E-2</v>
      </c>
      <c r="D2294" s="59">
        <v>-0.18</v>
      </c>
      <c r="E2294" s="60">
        <f t="shared" si="35"/>
        <v>1.1099999999999999</v>
      </c>
      <c r="F2294" t="str" cm="1">
        <f t="array" ref="F2294">IF(A2294=MAX(IF(ROUND($B$2:$B$3722,4)=ROUND(B2294,4),$A$2:$A$3722)),"Efficient","Inefficient")</f>
        <v>Inefficient</v>
      </c>
    </row>
    <row r="2295" spans="1:6" x14ac:dyDescent="0.25">
      <c r="A2295" cm="1">
        <f t="array" ref="A2295">INDEX('Portfolio Weights Returns'!$B$9:$BJ$69,
INT((ROW(A2294)-1)/COLUMNS('Portfolio Weights Returns'!$B$9:$BJ$69))+1,MOD(ROW(A2294)-1,COLUMNS('Portfolio Weights Returns'!$B$9:$BJ$69))+1)</f>
        <v>-7.0760735153910129E-4</v>
      </c>
      <c r="B2295">
        <v>2.1100000000000001E-2</v>
      </c>
      <c r="C2295" s="59">
        <v>0.06</v>
      </c>
      <c r="D2295" s="59">
        <v>-0.17</v>
      </c>
      <c r="E2295" s="60">
        <f t="shared" si="35"/>
        <v>1.1099999999999999</v>
      </c>
      <c r="F2295" t="str" cm="1">
        <f t="array" ref="F2295">IF(A2295=MAX(IF(ROUND($B$2:$B$3722,4)=ROUND(B2295,4),$A$2:$A$3722)),"Efficient","Inefficient")</f>
        <v>Inefficient</v>
      </c>
    </row>
    <row r="2296" spans="1:6" x14ac:dyDescent="0.25">
      <c r="A2296" cm="1">
        <f t="array" ref="A2296">INDEX('Portfolio Weights Returns'!$B$9:$BJ$69,
INT((ROW(A2295)-1)/COLUMNS('Portfolio Weights Returns'!$B$9:$BJ$69))+1,MOD(ROW(A2295)-1,COLUMNS('Portfolio Weights Returns'!$B$9:$BJ$69))+1)</f>
        <v>-7.0082617757242225E-4</v>
      </c>
      <c r="B2296">
        <v>2.1100000000000001E-2</v>
      </c>
      <c r="C2296" s="59">
        <v>0.03</v>
      </c>
      <c r="D2296" s="59">
        <v>-0.15</v>
      </c>
      <c r="E2296" s="60">
        <f t="shared" si="35"/>
        <v>1.1199999999999999</v>
      </c>
      <c r="F2296" t="str" cm="1">
        <f t="array" ref="F2296">IF(A2296=MAX(IF(ROUND($B$2:$B$3722,4)=ROUND(B2296,4),$A$2:$A$3722)),"Efficient","Inefficient")</f>
        <v>Inefficient</v>
      </c>
    </row>
    <row r="2297" spans="1:6" x14ac:dyDescent="0.25">
      <c r="A2297" cm="1">
        <f t="array" ref="A2297">INDEX('Portfolio Weights Returns'!$B$9:$BJ$69,
INT((ROW(A2296)-1)/COLUMNS('Portfolio Weights Returns'!$B$9:$BJ$69))+1,MOD(ROW(A2296)-1,COLUMNS('Portfolio Weights Returns'!$B$9:$BJ$69))+1)</f>
        <v>-6.9404500360574321E-4</v>
      </c>
      <c r="B2297">
        <v>2.1100000000000001E-2</v>
      </c>
      <c r="C2297" s="59">
        <v>0.02</v>
      </c>
      <c r="D2297" s="59">
        <v>-0.14000000000000001</v>
      </c>
      <c r="E2297" s="60">
        <f t="shared" si="35"/>
        <v>1.1200000000000001</v>
      </c>
      <c r="F2297" t="str" cm="1">
        <f t="array" ref="F2297">IF(A2297=MAX(IF(ROUND($B$2:$B$3722,4)=ROUND(B2297,4),$A$2:$A$3722)),"Efficient","Inefficient")</f>
        <v>Inefficient</v>
      </c>
    </row>
    <row r="2298" spans="1:6" x14ac:dyDescent="0.25">
      <c r="A2298" cm="1">
        <f t="array" ref="A2298">INDEX('Portfolio Weights Returns'!$B$9:$BJ$69,
INT((ROW(A2297)-1)/COLUMNS('Portfolio Weights Returns'!$B$9:$BJ$69))+1,MOD(ROW(A2297)-1,COLUMNS('Portfolio Weights Returns'!$B$9:$BJ$69))+1)</f>
        <v>-6.8726382963906418E-4</v>
      </c>
      <c r="B2298">
        <v>2.1100000000000001E-2</v>
      </c>
      <c r="C2298" s="59">
        <v>-0.01</v>
      </c>
      <c r="D2298" s="59">
        <v>-0.12</v>
      </c>
      <c r="E2298" s="60">
        <f t="shared" si="35"/>
        <v>1.1300000000000001</v>
      </c>
      <c r="F2298" t="str" cm="1">
        <f t="array" ref="F2298">IF(A2298=MAX(IF(ROUND($B$2:$B$3722,4)=ROUND(B2298,4),$A$2:$A$3722)),"Efficient","Inefficient")</f>
        <v>Inefficient</v>
      </c>
    </row>
    <row r="2299" spans="1:6" x14ac:dyDescent="0.25">
      <c r="A2299" cm="1">
        <f t="array" ref="A2299">INDEX('Portfolio Weights Returns'!$B$9:$BJ$69,
INT((ROW(A2298)-1)/COLUMNS('Portfolio Weights Returns'!$B$9:$BJ$69))+1,MOD(ROW(A2298)-1,COLUMNS('Portfolio Weights Returns'!$B$9:$BJ$69))+1)</f>
        <v>-6.8048265567238503E-4</v>
      </c>
      <c r="B2299">
        <v>2.1100000000000001E-2</v>
      </c>
      <c r="C2299" s="59">
        <v>-0.02</v>
      </c>
      <c r="D2299" s="59">
        <v>-0.11</v>
      </c>
      <c r="E2299" s="60">
        <f t="shared" si="35"/>
        <v>1.1300000000000001</v>
      </c>
      <c r="F2299" t="str" cm="1">
        <f t="array" ref="F2299">IF(A2299=MAX(IF(ROUND($B$2:$B$3722,4)=ROUND(B2299,4),$A$2:$A$3722)),"Efficient","Inefficient")</f>
        <v>Inefficient</v>
      </c>
    </row>
    <row r="2300" spans="1:6" x14ac:dyDescent="0.25">
      <c r="A2300" cm="1">
        <f t="array" ref="A2300">INDEX('Portfolio Weights Returns'!$B$9:$BJ$69,
INT((ROW(A2299)-1)/COLUMNS('Portfolio Weights Returns'!$B$9:$BJ$69))+1,MOD(ROW(A2299)-1,COLUMNS('Portfolio Weights Returns'!$B$9:$BJ$69))+1)</f>
        <v>-6.73701481705706E-4</v>
      </c>
      <c r="B2300">
        <v>2.1100000000000001E-2</v>
      </c>
      <c r="C2300" s="59">
        <v>-0.03</v>
      </c>
      <c r="D2300" s="59">
        <v>-0.1</v>
      </c>
      <c r="E2300" s="60">
        <f t="shared" si="35"/>
        <v>1.1300000000000001</v>
      </c>
      <c r="F2300" t="str" cm="1">
        <f t="array" ref="F2300">IF(A2300=MAX(IF(ROUND($B$2:$B$3722,4)=ROUND(B2300,4),$A$2:$A$3722)),"Efficient","Inefficient")</f>
        <v>Inefficient</v>
      </c>
    </row>
    <row r="2301" spans="1:6" x14ac:dyDescent="0.25">
      <c r="A2301" cm="1">
        <f t="array" ref="A2301">INDEX('Portfolio Weights Returns'!$B$9:$BJ$69,
INT((ROW(A2300)-1)/COLUMNS('Portfolio Weights Returns'!$B$9:$BJ$69))+1,MOD(ROW(A2300)-1,COLUMNS('Portfolio Weights Returns'!$B$9:$BJ$69))+1)</f>
        <v>-6.6692030773902685E-4</v>
      </c>
      <c r="B2301">
        <v>2.1100000000000001E-2</v>
      </c>
      <c r="C2301" s="59">
        <v>-0.04</v>
      </c>
      <c r="D2301" s="59">
        <v>-0.09</v>
      </c>
      <c r="E2301" s="60">
        <f t="shared" si="35"/>
        <v>1.1300000000000001</v>
      </c>
      <c r="F2301" t="str" cm="1">
        <f t="array" ref="F2301">IF(A2301=MAX(IF(ROUND($B$2:$B$3722,4)=ROUND(B2301,4),$A$2:$A$3722)),"Efficient","Inefficient")</f>
        <v>Inefficient</v>
      </c>
    </row>
    <row r="2302" spans="1:6" x14ac:dyDescent="0.25">
      <c r="A2302" cm="1">
        <f t="array" ref="A2302">INDEX('Portfolio Weights Returns'!$B$9:$BJ$69,
INT((ROW(A2301)-1)/COLUMNS('Portfolio Weights Returns'!$B$9:$BJ$69))+1,MOD(ROW(A2301)-1,COLUMNS('Portfolio Weights Returns'!$B$9:$BJ$69))+1)</f>
        <v>-6.6013913377234771E-4</v>
      </c>
      <c r="B2302">
        <v>2.1100000000000001E-2</v>
      </c>
      <c r="C2302" s="59">
        <v>-0.1</v>
      </c>
      <c r="D2302" s="59">
        <v>-0.03</v>
      </c>
      <c r="E2302" s="60">
        <f t="shared" si="35"/>
        <v>1.1300000000000001</v>
      </c>
      <c r="F2302" t="str" cm="1">
        <f t="array" ref="F2302">IF(A2302=MAX(IF(ROUND($B$2:$B$3722,4)=ROUND(B2302,4),$A$2:$A$3722)),"Efficient","Inefficient")</f>
        <v>Inefficient</v>
      </c>
    </row>
    <row r="2303" spans="1:6" x14ac:dyDescent="0.25">
      <c r="A2303" cm="1">
        <f t="array" ref="A2303">INDEX('Portfolio Weights Returns'!$B$9:$BJ$69,
INT((ROW(A2302)-1)/COLUMNS('Portfolio Weights Returns'!$B$9:$BJ$69))+1,MOD(ROW(A2302)-1,COLUMNS('Portfolio Weights Returns'!$B$9:$BJ$69))+1)</f>
        <v>-6.5335795980566867E-4</v>
      </c>
      <c r="B2303">
        <v>2.1100000000000001E-2</v>
      </c>
      <c r="C2303" s="59">
        <v>-0.11</v>
      </c>
      <c r="D2303" s="59">
        <v>-0.02</v>
      </c>
      <c r="E2303" s="60">
        <f t="shared" si="35"/>
        <v>1.1300000000000001</v>
      </c>
      <c r="F2303" t="str" cm="1">
        <f t="array" ref="F2303">IF(A2303=MAX(IF(ROUND($B$2:$B$3722,4)=ROUND(B2303,4),$A$2:$A$3722)),"Efficient","Inefficient")</f>
        <v>Inefficient</v>
      </c>
    </row>
    <row r="2304" spans="1:6" x14ac:dyDescent="0.25">
      <c r="A2304" cm="1">
        <f t="array" ref="A2304">INDEX('Portfolio Weights Returns'!$B$9:$BJ$69,
INT((ROW(A2303)-1)/COLUMNS('Portfolio Weights Returns'!$B$9:$BJ$69))+1,MOD(ROW(A2303)-1,COLUMNS('Portfolio Weights Returns'!$B$9:$BJ$69))+1)</f>
        <v>-6.4657678583898942E-4</v>
      </c>
      <c r="B2304">
        <v>2.1100000000000001E-2</v>
      </c>
      <c r="C2304" s="59">
        <v>-0.12</v>
      </c>
      <c r="D2304" s="59">
        <v>-0.01</v>
      </c>
      <c r="E2304" s="60">
        <f t="shared" si="35"/>
        <v>1.1299999999999999</v>
      </c>
      <c r="F2304" t="str" cm="1">
        <f t="array" ref="F2304">IF(A2304=MAX(IF(ROUND($B$2:$B$3722,4)=ROUND(B2304,4),$A$2:$A$3722)),"Efficient","Inefficient")</f>
        <v>Inefficient</v>
      </c>
    </row>
    <row r="2305" spans="1:6" x14ac:dyDescent="0.25">
      <c r="A2305" cm="1">
        <f t="array" ref="A2305">INDEX('Portfolio Weights Returns'!$B$9:$BJ$69,
INT((ROW(A2304)-1)/COLUMNS('Portfolio Weights Returns'!$B$9:$BJ$69))+1,MOD(ROW(A2304)-1,COLUMNS('Portfolio Weights Returns'!$B$9:$BJ$69))+1)</f>
        <v>-6.3979561187231038E-4</v>
      </c>
      <c r="B2305">
        <v>2.1100000000000001E-2</v>
      </c>
      <c r="C2305" s="59">
        <v>-0.13</v>
      </c>
      <c r="D2305" s="59">
        <v>0</v>
      </c>
      <c r="E2305" s="60">
        <f t="shared" si="35"/>
        <v>1.1299999999999999</v>
      </c>
      <c r="F2305" t="str" cm="1">
        <f t="array" ref="F2305">IF(A2305=MAX(IF(ROUND($B$2:$B$3722,4)=ROUND(B2305,4),$A$2:$A$3722)),"Efficient","Inefficient")</f>
        <v>Inefficient</v>
      </c>
    </row>
    <row r="2306" spans="1:6" x14ac:dyDescent="0.25">
      <c r="A2306" cm="1">
        <f t="array" ref="A2306">INDEX('Portfolio Weights Returns'!$B$9:$BJ$69,
INT((ROW(A2305)-1)/COLUMNS('Portfolio Weights Returns'!$B$9:$BJ$69))+1,MOD(ROW(A2305)-1,COLUMNS('Portfolio Weights Returns'!$B$9:$BJ$69))+1)</f>
        <v>-6.3301443790563124E-4</v>
      </c>
      <c r="B2306">
        <v>2.1100000000000001E-2</v>
      </c>
      <c r="C2306" s="59">
        <v>-0.15</v>
      </c>
      <c r="D2306" s="59">
        <v>0.03</v>
      </c>
      <c r="E2306" s="60">
        <f t="shared" ref="E2306:E2369" si="36">1-D2306-C2306</f>
        <v>1.1199999999999999</v>
      </c>
      <c r="F2306" t="str" cm="1">
        <f t="array" ref="F2306">IF(A2306=MAX(IF(ROUND($B$2:$B$3722,4)=ROUND(B2306,4),$A$2:$A$3722)),"Efficient","Inefficient")</f>
        <v>Inefficient</v>
      </c>
    </row>
    <row r="2307" spans="1:6" x14ac:dyDescent="0.25">
      <c r="A2307" cm="1">
        <f t="array" ref="A2307">INDEX('Portfolio Weights Returns'!$B$9:$BJ$69,
INT((ROW(A2306)-1)/COLUMNS('Portfolio Weights Returns'!$B$9:$BJ$69))+1,MOD(ROW(A2306)-1,COLUMNS('Portfolio Weights Returns'!$B$9:$BJ$69))+1)</f>
        <v>-6.262332639389522E-4</v>
      </c>
      <c r="B2307">
        <v>2.1100000000000001E-2</v>
      </c>
      <c r="C2307" s="59">
        <v>-0.16</v>
      </c>
      <c r="D2307" s="59">
        <v>0.04</v>
      </c>
      <c r="E2307" s="60">
        <f t="shared" si="36"/>
        <v>1.1199999999999999</v>
      </c>
      <c r="F2307" t="str" cm="1">
        <f t="array" ref="F2307">IF(A2307=MAX(IF(ROUND($B$2:$B$3722,4)=ROUND(B2307,4),$A$2:$A$3722)),"Efficient","Inefficient")</f>
        <v>Inefficient</v>
      </c>
    </row>
    <row r="2308" spans="1:6" x14ac:dyDescent="0.25">
      <c r="A2308" cm="1">
        <f t="array" ref="A2308">INDEX('Portfolio Weights Returns'!$B$9:$BJ$69,
INT((ROW(A2307)-1)/COLUMNS('Portfolio Weights Returns'!$B$9:$BJ$69))+1,MOD(ROW(A2307)-1,COLUMNS('Portfolio Weights Returns'!$B$9:$BJ$69))+1)</f>
        <v>-6.1945208997227306E-4</v>
      </c>
      <c r="B2308">
        <v>2.1100000000000001E-2</v>
      </c>
      <c r="C2308" s="59">
        <v>-0.17</v>
      </c>
      <c r="D2308" s="59">
        <v>0.06</v>
      </c>
      <c r="E2308" s="60">
        <f t="shared" si="36"/>
        <v>1.1099999999999999</v>
      </c>
      <c r="F2308" t="str" cm="1">
        <f t="array" ref="F2308">IF(A2308=MAX(IF(ROUND($B$2:$B$3722,4)=ROUND(B2308,4),$A$2:$A$3722)),"Efficient","Inefficient")</f>
        <v>Inefficient</v>
      </c>
    </row>
    <row r="2309" spans="1:6" x14ac:dyDescent="0.25">
      <c r="A2309" cm="1">
        <f t="array" ref="A2309">INDEX('Portfolio Weights Returns'!$B$9:$BJ$69,
INT((ROW(A2308)-1)/COLUMNS('Portfolio Weights Returns'!$B$9:$BJ$69))+1,MOD(ROW(A2308)-1,COLUMNS('Portfolio Weights Returns'!$B$9:$BJ$69))+1)</f>
        <v>-6.1267091600559402E-4</v>
      </c>
      <c r="B2309">
        <v>2.1100000000000001E-2</v>
      </c>
      <c r="C2309" s="59">
        <v>-0.18</v>
      </c>
      <c r="D2309" s="59">
        <v>0.08</v>
      </c>
      <c r="E2309" s="60">
        <f t="shared" si="36"/>
        <v>1.1000000000000001</v>
      </c>
      <c r="F2309" t="str" cm="1">
        <f t="array" ref="F2309">IF(A2309=MAX(IF(ROUND($B$2:$B$3722,4)=ROUND(B2309,4),$A$2:$A$3722)),"Efficient","Inefficient")</f>
        <v>Inefficient</v>
      </c>
    </row>
    <row r="2310" spans="1:6" x14ac:dyDescent="0.25">
      <c r="A2310" cm="1">
        <f t="array" ref="A2310">INDEX('Portfolio Weights Returns'!$B$9:$BJ$69,
INT((ROW(A2309)-1)/COLUMNS('Portfolio Weights Returns'!$B$9:$BJ$69))+1,MOD(ROW(A2309)-1,COLUMNS('Portfolio Weights Returns'!$B$9:$BJ$69))+1)</f>
        <v>-6.0588974203891488E-4</v>
      </c>
      <c r="B2310">
        <v>2.1100000000000001E-2</v>
      </c>
      <c r="C2310" s="59">
        <v>-0.19</v>
      </c>
      <c r="D2310" s="59">
        <v>0.09</v>
      </c>
      <c r="E2310" s="60">
        <f t="shared" si="36"/>
        <v>1.1000000000000001</v>
      </c>
      <c r="F2310" t="str" cm="1">
        <f t="array" ref="F2310">IF(A2310=MAX(IF(ROUND($B$2:$B$3722,4)=ROUND(B2310,4),$A$2:$A$3722)),"Efficient","Inefficient")</f>
        <v>Inefficient</v>
      </c>
    </row>
    <row r="2311" spans="1:6" x14ac:dyDescent="0.25">
      <c r="A2311" cm="1">
        <f t="array" ref="A2311">INDEX('Portfolio Weights Returns'!$B$9:$BJ$69,
INT((ROW(A2310)-1)/COLUMNS('Portfolio Weights Returns'!$B$9:$BJ$69))+1,MOD(ROW(A2310)-1,COLUMNS('Portfolio Weights Returns'!$B$9:$BJ$69))+1)</f>
        <v>-5.9910856807223562E-4</v>
      </c>
      <c r="B2311">
        <v>2.1100000000000001E-2</v>
      </c>
      <c r="C2311" s="59">
        <v>-0.19</v>
      </c>
      <c r="D2311" s="59">
        <v>0.1</v>
      </c>
      <c r="E2311" s="60">
        <f t="shared" si="36"/>
        <v>1.0900000000000001</v>
      </c>
      <c r="F2311" t="str" cm="1">
        <f t="array" ref="F2311">IF(A2311=MAX(IF(ROUND($B$2:$B$3722,4)=ROUND(B2311,4),$A$2:$A$3722)),"Efficient","Inefficient")</f>
        <v>Inefficient</v>
      </c>
    </row>
    <row r="2312" spans="1:6" x14ac:dyDescent="0.25">
      <c r="A2312" cm="1">
        <f t="array" ref="A2312">INDEX('Portfolio Weights Returns'!$B$9:$BJ$69,
INT((ROW(A2311)-1)/COLUMNS('Portfolio Weights Returns'!$B$9:$BJ$69))+1,MOD(ROW(A2311)-1,COLUMNS('Portfolio Weights Returns'!$B$9:$BJ$69))+1)</f>
        <v>-5.9232739410555659E-4</v>
      </c>
      <c r="B2312">
        <v>2.1100000000000001E-2</v>
      </c>
      <c r="C2312" s="59">
        <v>-0.2</v>
      </c>
      <c r="D2312" s="59">
        <v>0.12</v>
      </c>
      <c r="E2312" s="60">
        <f t="shared" si="36"/>
        <v>1.08</v>
      </c>
      <c r="F2312" t="str" cm="1">
        <f t="array" ref="F2312">IF(A2312=MAX(IF(ROUND($B$2:$B$3722,4)=ROUND(B2312,4),$A$2:$A$3722)),"Efficient","Inefficient")</f>
        <v>Inefficient</v>
      </c>
    </row>
    <row r="2313" spans="1:6" x14ac:dyDescent="0.25">
      <c r="A2313" cm="1">
        <f t="array" ref="A2313">INDEX('Portfolio Weights Returns'!$B$9:$BJ$69,
INT((ROW(A2312)-1)/COLUMNS('Portfolio Weights Returns'!$B$9:$BJ$69))+1,MOD(ROW(A2312)-1,COLUMNS('Portfolio Weights Returns'!$B$9:$BJ$69))+1)</f>
        <v>-5.8554622013887744E-4</v>
      </c>
      <c r="B2313">
        <v>2.1100000000000001E-2</v>
      </c>
      <c r="C2313" s="59">
        <v>-0.21</v>
      </c>
      <c r="D2313" s="59">
        <v>0.14000000000000001</v>
      </c>
      <c r="E2313" s="60">
        <f t="shared" si="36"/>
        <v>1.07</v>
      </c>
      <c r="F2313" t="str" cm="1">
        <f t="array" ref="F2313">IF(A2313=MAX(IF(ROUND($B$2:$B$3722,4)=ROUND(B2313,4),$A$2:$A$3722)),"Efficient","Inefficient")</f>
        <v>Inefficient</v>
      </c>
    </row>
    <row r="2314" spans="1:6" x14ac:dyDescent="0.25">
      <c r="A2314" cm="1">
        <f t="array" ref="A2314">INDEX('Portfolio Weights Returns'!$B$9:$BJ$69,
INT((ROW(A2313)-1)/COLUMNS('Portfolio Weights Returns'!$B$9:$BJ$69))+1,MOD(ROW(A2313)-1,COLUMNS('Portfolio Weights Returns'!$B$9:$BJ$69))+1)</f>
        <v>-5.7876504617219841E-4</v>
      </c>
      <c r="B2314">
        <v>2.1100000000000001E-2</v>
      </c>
      <c r="C2314" s="59">
        <v>-0.21</v>
      </c>
      <c r="D2314" s="59">
        <v>0.15</v>
      </c>
      <c r="E2314" s="60">
        <f t="shared" si="36"/>
        <v>1.06</v>
      </c>
      <c r="F2314" t="str" cm="1">
        <f t="array" ref="F2314">IF(A2314=MAX(IF(ROUND($B$2:$B$3722,4)=ROUND(B2314,4),$A$2:$A$3722)),"Efficient","Inefficient")</f>
        <v>Inefficient</v>
      </c>
    </row>
    <row r="2315" spans="1:6" x14ac:dyDescent="0.25">
      <c r="A2315" cm="1">
        <f t="array" ref="A2315">INDEX('Portfolio Weights Returns'!$B$9:$BJ$69,
INT((ROW(A2314)-1)/COLUMNS('Portfolio Weights Returns'!$B$9:$BJ$69))+1,MOD(ROW(A2314)-1,COLUMNS('Portfolio Weights Returns'!$B$9:$BJ$69))+1)</f>
        <v>-5.7198387220551926E-4</v>
      </c>
      <c r="B2315">
        <v>2.1100000000000001E-2</v>
      </c>
      <c r="C2315" s="59">
        <v>-0.21</v>
      </c>
      <c r="D2315" s="59">
        <v>0.16</v>
      </c>
      <c r="E2315" s="60">
        <f t="shared" si="36"/>
        <v>1.05</v>
      </c>
      <c r="F2315" t="str" cm="1">
        <f t="array" ref="F2315">IF(A2315=MAX(IF(ROUND($B$2:$B$3722,4)=ROUND(B2315,4),$A$2:$A$3722)),"Efficient","Inefficient")</f>
        <v>Inefficient</v>
      </c>
    </row>
    <row r="2316" spans="1:6" x14ac:dyDescent="0.25">
      <c r="A2316" cm="1">
        <f t="array" ref="A2316">INDEX('Portfolio Weights Returns'!$B$9:$BJ$69,
INT((ROW(A2315)-1)/COLUMNS('Portfolio Weights Returns'!$B$9:$BJ$69))+1,MOD(ROW(A2315)-1,COLUMNS('Portfolio Weights Returns'!$B$9:$BJ$69))+1)</f>
        <v>-5.6520269823883958E-4</v>
      </c>
      <c r="B2316">
        <v>2.1100000000000001E-2</v>
      </c>
      <c r="C2316" s="59">
        <v>-0.22</v>
      </c>
      <c r="D2316" s="59">
        <v>0.19</v>
      </c>
      <c r="E2316" s="60">
        <f t="shared" si="36"/>
        <v>1.03</v>
      </c>
      <c r="F2316" t="str" cm="1">
        <f t="array" ref="F2316">IF(A2316=MAX(IF(ROUND($B$2:$B$3722,4)=ROUND(B2316,4),$A$2:$A$3722)),"Efficient","Inefficient")</f>
        <v>Inefficient</v>
      </c>
    </row>
    <row r="2317" spans="1:6" x14ac:dyDescent="0.25">
      <c r="A2317" cm="1">
        <f t="array" ref="A2317">INDEX('Portfolio Weights Returns'!$B$9:$BJ$69,
INT((ROW(A2316)-1)/COLUMNS('Portfolio Weights Returns'!$B$9:$BJ$69))+1,MOD(ROW(A2316)-1,COLUMNS('Portfolio Weights Returns'!$B$9:$BJ$69))+1)</f>
        <v>-5.5842152427216043E-4</v>
      </c>
      <c r="B2317">
        <v>2.1100000000000001E-2</v>
      </c>
      <c r="C2317" s="59">
        <v>-0.22</v>
      </c>
      <c r="D2317" s="59">
        <v>0.2</v>
      </c>
      <c r="E2317" s="60">
        <f t="shared" si="36"/>
        <v>1.02</v>
      </c>
      <c r="F2317" t="str" cm="1">
        <f t="array" ref="F2317">IF(A2317=MAX(IF(ROUND($B$2:$B$3722,4)=ROUND(B2317,4),$A$2:$A$3722)),"Efficient","Inefficient")</f>
        <v>Inefficient</v>
      </c>
    </row>
    <row r="2318" spans="1:6" x14ac:dyDescent="0.25">
      <c r="A2318" cm="1">
        <f t="array" ref="A2318">INDEX('Portfolio Weights Returns'!$B$9:$BJ$69,
INT((ROW(A2317)-1)/COLUMNS('Portfolio Weights Returns'!$B$9:$BJ$69))+1,MOD(ROW(A2317)-1,COLUMNS('Portfolio Weights Returns'!$B$9:$BJ$69))+1)</f>
        <v>-5.516403503054814E-4</v>
      </c>
      <c r="B2318">
        <v>2.1100000000000001E-2</v>
      </c>
      <c r="C2318" s="59">
        <v>-0.22</v>
      </c>
      <c r="D2318" s="59">
        <v>0.21</v>
      </c>
      <c r="E2318" s="60">
        <f t="shared" si="36"/>
        <v>1.01</v>
      </c>
      <c r="F2318" t="str" cm="1">
        <f t="array" ref="F2318">IF(A2318=MAX(IF(ROUND($B$2:$B$3722,4)=ROUND(B2318,4),$A$2:$A$3722)),"Efficient","Inefficient")</f>
        <v>Inefficient</v>
      </c>
    </row>
    <row r="2319" spans="1:6" x14ac:dyDescent="0.25">
      <c r="A2319" cm="1">
        <f t="array" ref="A2319">INDEX('Portfolio Weights Returns'!$B$9:$BJ$69,
INT((ROW(A2318)-1)/COLUMNS('Portfolio Weights Returns'!$B$9:$BJ$69))+1,MOD(ROW(A2318)-1,COLUMNS('Portfolio Weights Returns'!$B$9:$BJ$69))+1)</f>
        <v>-5.4485917633880225E-4</v>
      </c>
      <c r="B2319">
        <v>2.1100000000000001E-2</v>
      </c>
      <c r="C2319" s="59">
        <v>-0.22</v>
      </c>
      <c r="D2319" s="59">
        <v>0.22</v>
      </c>
      <c r="E2319" s="60">
        <f t="shared" si="36"/>
        <v>1</v>
      </c>
      <c r="F2319" t="str" cm="1">
        <f t="array" ref="F2319">IF(A2319=MAX(IF(ROUND($B$2:$B$3722,4)=ROUND(B2319,4),$A$2:$A$3722)),"Efficient","Inefficient")</f>
        <v>Efficient</v>
      </c>
    </row>
    <row r="2320" spans="1:6" x14ac:dyDescent="0.25">
      <c r="A2320" cm="1">
        <f t="array" ref="A2320">INDEX('Portfolio Weights Returns'!$B$9:$BJ$69,
INT((ROW(A2319)-1)/COLUMNS('Portfolio Weights Returns'!$B$9:$BJ$69))+1,MOD(ROW(A2319)-1,COLUMNS('Portfolio Weights Returns'!$B$9:$BJ$69))+1)</f>
        <v>-9.4515540649409407E-4</v>
      </c>
      <c r="B2320">
        <v>2.1100000000000001E-2</v>
      </c>
      <c r="C2320" s="59">
        <v>-0.22</v>
      </c>
      <c r="D2320" s="59">
        <v>0.23</v>
      </c>
      <c r="E2320" s="60">
        <f t="shared" si="36"/>
        <v>0.99</v>
      </c>
      <c r="F2320" t="str" cm="1">
        <f t="array" ref="F2320">IF(A2320=MAX(IF(ROUND($B$2:$B$3722,4)=ROUND(B2320,4),$A$2:$A$3722)),"Efficient","Inefficient")</f>
        <v>Inefficient</v>
      </c>
    </row>
    <row r="2321" spans="1:6" x14ac:dyDescent="0.25">
      <c r="A2321" cm="1">
        <f t="array" ref="A2321">INDEX('Portfolio Weights Returns'!$B$9:$BJ$69,
INT((ROW(A2320)-1)/COLUMNS('Portfolio Weights Returns'!$B$9:$BJ$69))+1,MOD(ROW(A2320)-1,COLUMNS('Portfolio Weights Returns'!$B$9:$BJ$69))+1)</f>
        <v>-9.3837423252741481E-4</v>
      </c>
      <c r="B2321">
        <v>2.1100000000000001E-2</v>
      </c>
      <c r="C2321" s="59">
        <v>-0.22</v>
      </c>
      <c r="D2321" s="59">
        <v>0.24</v>
      </c>
      <c r="E2321" s="60">
        <f t="shared" si="36"/>
        <v>0.98</v>
      </c>
      <c r="F2321" t="str" cm="1">
        <f t="array" ref="F2321">IF(A2321=MAX(IF(ROUND($B$2:$B$3722,4)=ROUND(B2321,4),$A$2:$A$3722)),"Efficient","Inefficient")</f>
        <v>Inefficient</v>
      </c>
    </row>
    <row r="2322" spans="1:6" x14ac:dyDescent="0.25">
      <c r="A2322" cm="1">
        <f t="array" ref="A2322">INDEX('Portfolio Weights Returns'!$B$9:$BJ$69,
INT((ROW(A2321)-1)/COLUMNS('Portfolio Weights Returns'!$B$9:$BJ$69))+1,MOD(ROW(A2321)-1,COLUMNS('Portfolio Weights Returns'!$B$9:$BJ$69))+1)</f>
        <v>-9.3159305856073567E-4</v>
      </c>
      <c r="B2322">
        <v>2.1100000000000001E-2</v>
      </c>
      <c r="C2322" s="59">
        <v>-0.21</v>
      </c>
      <c r="D2322" s="59">
        <v>0.26</v>
      </c>
      <c r="E2322" s="60">
        <f t="shared" si="36"/>
        <v>0.95</v>
      </c>
      <c r="F2322" t="str" cm="1">
        <f t="array" ref="F2322">IF(A2322=MAX(IF(ROUND($B$2:$B$3722,4)=ROUND(B2322,4),$A$2:$A$3722)),"Efficient","Inefficient")</f>
        <v>Inefficient</v>
      </c>
    </row>
    <row r="2323" spans="1:6" x14ac:dyDescent="0.25">
      <c r="A2323" cm="1">
        <f t="array" ref="A2323">INDEX('Portfolio Weights Returns'!$B$9:$BJ$69,
INT((ROW(A2322)-1)/COLUMNS('Portfolio Weights Returns'!$B$9:$BJ$69))+1,MOD(ROW(A2322)-1,COLUMNS('Portfolio Weights Returns'!$B$9:$BJ$69))+1)</f>
        <v>-9.2481188459405663E-4</v>
      </c>
      <c r="B2323">
        <v>2.1100000000000001E-2</v>
      </c>
      <c r="C2323" s="59">
        <v>-0.21</v>
      </c>
      <c r="D2323" s="59">
        <v>0.27</v>
      </c>
      <c r="E2323" s="60">
        <f t="shared" si="36"/>
        <v>0.94</v>
      </c>
      <c r="F2323" t="str" cm="1">
        <f t="array" ref="F2323">IF(A2323=MAX(IF(ROUND($B$2:$B$3722,4)=ROUND(B2323,4),$A$2:$A$3722)),"Efficient","Inefficient")</f>
        <v>Inefficient</v>
      </c>
    </row>
    <row r="2324" spans="1:6" x14ac:dyDescent="0.25">
      <c r="A2324" cm="1">
        <f t="array" ref="A2324">INDEX('Portfolio Weights Returns'!$B$9:$BJ$69,
INT((ROW(A2323)-1)/COLUMNS('Portfolio Weights Returns'!$B$9:$BJ$69))+1,MOD(ROW(A2323)-1,COLUMNS('Portfolio Weights Returns'!$B$9:$BJ$69))+1)</f>
        <v>-9.1803071062737749E-4</v>
      </c>
      <c r="B2324">
        <v>2.1100000000000001E-2</v>
      </c>
      <c r="C2324" s="59">
        <v>-0.2</v>
      </c>
      <c r="D2324" s="59">
        <v>0.28999999999999998</v>
      </c>
      <c r="E2324" s="60">
        <f t="shared" si="36"/>
        <v>0.90999999999999992</v>
      </c>
      <c r="F2324" t="str" cm="1">
        <f t="array" ref="F2324">IF(A2324=MAX(IF(ROUND($B$2:$B$3722,4)=ROUND(B2324,4),$A$2:$A$3722)),"Efficient","Inefficient")</f>
        <v>Inefficient</v>
      </c>
    </row>
    <row r="2325" spans="1:6" x14ac:dyDescent="0.25">
      <c r="A2325" cm="1">
        <f t="array" ref="A2325">INDEX('Portfolio Weights Returns'!$B$9:$BJ$69,
INT((ROW(A2324)-1)/COLUMNS('Portfolio Weights Returns'!$B$9:$BJ$69))+1,MOD(ROW(A2324)-1,COLUMNS('Portfolio Weights Returns'!$B$9:$BJ$69))+1)</f>
        <v>-9.1124953666069845E-4</v>
      </c>
      <c r="B2325">
        <v>2.1100000000000001E-2</v>
      </c>
      <c r="C2325" s="59">
        <v>-0.2</v>
      </c>
      <c r="D2325" s="59">
        <v>0.3</v>
      </c>
      <c r="E2325" s="60">
        <f t="shared" si="36"/>
        <v>0.89999999999999991</v>
      </c>
      <c r="F2325" t="str" cm="1">
        <f t="array" ref="F2325">IF(A2325=MAX(IF(ROUND($B$2:$B$3722,4)=ROUND(B2325,4),$A$2:$A$3722)),"Efficient","Inefficient")</f>
        <v>Inefficient</v>
      </c>
    </row>
    <row r="2326" spans="1:6" x14ac:dyDescent="0.25">
      <c r="A2326" cm="1">
        <f t="array" ref="A2326">INDEX('Portfolio Weights Returns'!$B$9:$BJ$69,
INT((ROW(A2325)-1)/COLUMNS('Portfolio Weights Returns'!$B$9:$BJ$69))+1,MOD(ROW(A2325)-1,COLUMNS('Portfolio Weights Returns'!$B$9:$BJ$69))+1)</f>
        <v>-9.0446836269401931E-4</v>
      </c>
      <c r="B2326">
        <v>2.12E-2</v>
      </c>
      <c r="C2326" s="59">
        <v>0.2</v>
      </c>
      <c r="D2326" s="59">
        <v>-0.26</v>
      </c>
      <c r="E2326" s="60">
        <f t="shared" si="36"/>
        <v>1.06</v>
      </c>
      <c r="F2326" t="str" cm="1">
        <f t="array" ref="F2326">IF(A2326=MAX(IF(ROUND($B$2:$B$3722,4)=ROUND(B2326,4),$A$2:$A$3722)),"Efficient","Inefficient")</f>
        <v>Inefficient</v>
      </c>
    </row>
    <row r="2327" spans="1:6" x14ac:dyDescent="0.25">
      <c r="A2327" cm="1">
        <f t="array" ref="A2327">INDEX('Portfolio Weights Returns'!$B$9:$BJ$69,
INT((ROW(A2326)-1)/COLUMNS('Portfolio Weights Returns'!$B$9:$BJ$69))+1,MOD(ROW(A2326)-1,COLUMNS('Portfolio Weights Returns'!$B$9:$BJ$69))+1)</f>
        <v>-8.9768718872734027E-4</v>
      </c>
      <c r="B2327">
        <v>2.12E-2</v>
      </c>
      <c r="C2327" s="59">
        <v>0.18</v>
      </c>
      <c r="D2327" s="59">
        <v>-0.25</v>
      </c>
      <c r="E2327" s="60">
        <f t="shared" si="36"/>
        <v>1.07</v>
      </c>
      <c r="F2327" t="str" cm="1">
        <f t="array" ref="F2327">IF(A2327=MAX(IF(ROUND($B$2:$B$3722,4)=ROUND(B2327,4),$A$2:$A$3722)),"Efficient","Inefficient")</f>
        <v>Inefficient</v>
      </c>
    </row>
    <row r="2328" spans="1:6" x14ac:dyDescent="0.25">
      <c r="A2328" cm="1">
        <f t="array" ref="A2328">INDEX('Portfolio Weights Returns'!$B$9:$BJ$69,
INT((ROW(A2327)-1)/COLUMNS('Portfolio Weights Returns'!$B$9:$BJ$69))+1,MOD(ROW(A2327)-1,COLUMNS('Portfolio Weights Returns'!$B$9:$BJ$69))+1)</f>
        <v>-8.9090601476066102E-4</v>
      </c>
      <c r="B2328">
        <v>2.12E-2</v>
      </c>
      <c r="C2328" s="59">
        <v>0.16</v>
      </c>
      <c r="D2328" s="59">
        <v>-0.24</v>
      </c>
      <c r="E2328" s="60">
        <f t="shared" si="36"/>
        <v>1.08</v>
      </c>
      <c r="F2328" t="str" cm="1">
        <f t="array" ref="F2328">IF(A2328=MAX(IF(ROUND($B$2:$B$3722,4)=ROUND(B2328,4),$A$2:$A$3722)),"Efficient","Inefficient")</f>
        <v>Inefficient</v>
      </c>
    </row>
    <row r="2329" spans="1:6" x14ac:dyDescent="0.25">
      <c r="A2329" cm="1">
        <f t="array" ref="A2329">INDEX('Portfolio Weights Returns'!$B$9:$BJ$69,
INT((ROW(A2328)-1)/COLUMNS('Portfolio Weights Returns'!$B$9:$BJ$69))+1,MOD(ROW(A2328)-1,COLUMNS('Portfolio Weights Returns'!$B$9:$BJ$69))+1)</f>
        <v>-8.8412484079398198E-4</v>
      </c>
      <c r="B2329">
        <v>2.12E-2</v>
      </c>
      <c r="C2329" s="59">
        <v>0.13</v>
      </c>
      <c r="D2329" s="59">
        <v>-0.22</v>
      </c>
      <c r="E2329" s="60">
        <f t="shared" si="36"/>
        <v>1.0899999999999999</v>
      </c>
      <c r="F2329" t="str" cm="1">
        <f t="array" ref="F2329">IF(A2329=MAX(IF(ROUND($B$2:$B$3722,4)=ROUND(B2329,4),$A$2:$A$3722)),"Efficient","Inefficient")</f>
        <v>Inefficient</v>
      </c>
    </row>
    <row r="2330" spans="1:6" x14ac:dyDescent="0.25">
      <c r="A2330" cm="1">
        <f t="array" ref="A2330">INDEX('Portfolio Weights Returns'!$B$9:$BJ$69,
INT((ROW(A2329)-1)/COLUMNS('Portfolio Weights Returns'!$B$9:$BJ$69))+1,MOD(ROW(A2329)-1,COLUMNS('Portfolio Weights Returns'!$B$9:$BJ$69))+1)</f>
        <v>-8.7734366682730284E-4</v>
      </c>
      <c r="B2330">
        <v>2.12E-2</v>
      </c>
      <c r="C2330" s="59">
        <v>0.11</v>
      </c>
      <c r="D2330" s="59">
        <v>-0.21</v>
      </c>
      <c r="E2330" s="60">
        <f t="shared" si="36"/>
        <v>1.0999999999999999</v>
      </c>
      <c r="F2330" t="str" cm="1">
        <f t="array" ref="F2330">IF(A2330=MAX(IF(ROUND($B$2:$B$3722,4)=ROUND(B2330,4),$A$2:$A$3722)),"Efficient","Inefficient")</f>
        <v>Inefficient</v>
      </c>
    </row>
    <row r="2331" spans="1:6" x14ac:dyDescent="0.25">
      <c r="A2331" cm="1">
        <f t="array" ref="A2331">INDEX('Portfolio Weights Returns'!$B$9:$BJ$69,
INT((ROW(A2330)-1)/COLUMNS('Portfolio Weights Returns'!$B$9:$BJ$69))+1,MOD(ROW(A2330)-1,COLUMNS('Portfolio Weights Returns'!$B$9:$BJ$69))+1)</f>
        <v>-8.705624928606237E-4</v>
      </c>
      <c r="B2331">
        <v>2.12E-2</v>
      </c>
      <c r="C2331" s="59">
        <v>0.08</v>
      </c>
      <c r="D2331" s="59">
        <v>-0.19</v>
      </c>
      <c r="E2331" s="60">
        <f t="shared" si="36"/>
        <v>1.1099999999999999</v>
      </c>
      <c r="F2331" t="str" cm="1">
        <f t="array" ref="F2331">IF(A2331=MAX(IF(ROUND($B$2:$B$3722,4)=ROUND(B2331,4),$A$2:$A$3722)),"Efficient","Inefficient")</f>
        <v>Inefficient</v>
      </c>
    </row>
    <row r="2332" spans="1:6" x14ac:dyDescent="0.25">
      <c r="A2332" cm="1">
        <f t="array" ref="A2332">INDEX('Portfolio Weights Returns'!$B$9:$BJ$69,
INT((ROW(A2331)-1)/COLUMNS('Portfolio Weights Returns'!$B$9:$BJ$69))+1,MOD(ROW(A2331)-1,COLUMNS('Portfolio Weights Returns'!$B$9:$BJ$69))+1)</f>
        <v>-8.6378131889394466E-4</v>
      </c>
      <c r="B2332">
        <v>2.12E-2</v>
      </c>
      <c r="C2332" s="59">
        <v>0.05</v>
      </c>
      <c r="D2332" s="59">
        <v>-0.17</v>
      </c>
      <c r="E2332" s="60">
        <f t="shared" si="36"/>
        <v>1.1199999999999999</v>
      </c>
      <c r="F2332" t="str" cm="1">
        <f t="array" ref="F2332">IF(A2332=MAX(IF(ROUND($B$2:$B$3722,4)=ROUND(B2332,4),$A$2:$A$3722)),"Efficient","Inefficient")</f>
        <v>Inefficient</v>
      </c>
    </row>
    <row r="2333" spans="1:6" x14ac:dyDescent="0.25">
      <c r="A2333" cm="1">
        <f t="array" ref="A2333">INDEX('Portfolio Weights Returns'!$B$9:$BJ$69,
INT((ROW(A2332)-1)/COLUMNS('Portfolio Weights Returns'!$B$9:$BJ$69))+1,MOD(ROW(A2332)-1,COLUMNS('Portfolio Weights Returns'!$B$9:$BJ$69))+1)</f>
        <v>-8.5700014492726552E-4</v>
      </c>
      <c r="B2333">
        <v>2.12E-2</v>
      </c>
      <c r="C2333" s="59">
        <v>0.04</v>
      </c>
      <c r="D2333" s="59">
        <v>-0.16</v>
      </c>
      <c r="E2333" s="60">
        <f t="shared" si="36"/>
        <v>1.1199999999999999</v>
      </c>
      <c r="F2333" t="str" cm="1">
        <f t="array" ref="F2333">IF(A2333=MAX(IF(ROUND($B$2:$B$3722,4)=ROUND(B2333,4),$A$2:$A$3722)),"Efficient","Inefficient")</f>
        <v>Inefficient</v>
      </c>
    </row>
    <row r="2334" spans="1:6" x14ac:dyDescent="0.25">
      <c r="A2334" cm="1">
        <f t="array" ref="A2334">INDEX('Portfolio Weights Returns'!$B$9:$BJ$69,
INT((ROW(A2333)-1)/COLUMNS('Portfolio Weights Returns'!$B$9:$BJ$69))+1,MOD(ROW(A2333)-1,COLUMNS('Portfolio Weights Returns'!$B$9:$BJ$69))+1)</f>
        <v>-8.5021897096058648E-4</v>
      </c>
      <c r="B2334">
        <v>2.12E-2</v>
      </c>
      <c r="C2334" s="59">
        <v>0.01</v>
      </c>
      <c r="D2334" s="59">
        <v>-0.14000000000000001</v>
      </c>
      <c r="E2334" s="60">
        <f t="shared" si="36"/>
        <v>1.1300000000000001</v>
      </c>
      <c r="F2334" t="str" cm="1">
        <f t="array" ref="F2334">IF(A2334=MAX(IF(ROUND($B$2:$B$3722,4)=ROUND(B2334,4),$A$2:$A$3722)),"Efficient","Inefficient")</f>
        <v>Inefficient</v>
      </c>
    </row>
    <row r="2335" spans="1:6" x14ac:dyDescent="0.25">
      <c r="A2335" cm="1">
        <f t="array" ref="A2335">INDEX('Portfolio Weights Returns'!$B$9:$BJ$69,
INT((ROW(A2334)-1)/COLUMNS('Portfolio Weights Returns'!$B$9:$BJ$69))+1,MOD(ROW(A2334)-1,COLUMNS('Portfolio Weights Returns'!$B$9:$BJ$69))+1)</f>
        <v>-8.4343779699390723E-4</v>
      </c>
      <c r="B2335">
        <v>2.12E-2</v>
      </c>
      <c r="C2335" s="59">
        <v>0</v>
      </c>
      <c r="D2335" s="59">
        <v>-0.13</v>
      </c>
      <c r="E2335" s="60">
        <f t="shared" si="36"/>
        <v>1.1299999999999999</v>
      </c>
      <c r="F2335" t="str" cm="1">
        <f t="array" ref="F2335">IF(A2335=MAX(IF(ROUND($B$2:$B$3722,4)=ROUND(B2335,4),$A$2:$A$3722)),"Efficient","Inefficient")</f>
        <v>Inefficient</v>
      </c>
    </row>
    <row r="2336" spans="1:6" x14ac:dyDescent="0.25">
      <c r="A2336" cm="1">
        <f t="array" ref="A2336">INDEX('Portfolio Weights Returns'!$B$9:$BJ$69,
INT((ROW(A2335)-1)/COLUMNS('Portfolio Weights Returns'!$B$9:$BJ$69))+1,MOD(ROW(A2335)-1,COLUMNS('Portfolio Weights Returns'!$B$9:$BJ$69))+1)</f>
        <v>-8.3665662302722841E-4</v>
      </c>
      <c r="B2336">
        <v>2.12E-2</v>
      </c>
      <c r="C2336" s="59">
        <v>-0.04</v>
      </c>
      <c r="D2336" s="59">
        <v>-0.1</v>
      </c>
      <c r="E2336" s="60">
        <f t="shared" si="36"/>
        <v>1.1400000000000001</v>
      </c>
      <c r="F2336" t="str" cm="1">
        <f t="array" ref="F2336">IF(A2336=MAX(IF(ROUND($B$2:$B$3722,4)=ROUND(B2336,4),$A$2:$A$3722)),"Efficient","Inefficient")</f>
        <v>Inefficient</v>
      </c>
    </row>
    <row r="2337" spans="1:6" x14ac:dyDescent="0.25">
      <c r="A2337" cm="1">
        <f t="array" ref="A2337">INDEX('Portfolio Weights Returns'!$B$9:$BJ$69,
INT((ROW(A2336)-1)/COLUMNS('Portfolio Weights Returns'!$B$9:$BJ$69))+1,MOD(ROW(A2336)-1,COLUMNS('Portfolio Weights Returns'!$B$9:$BJ$69))+1)</f>
        <v>-8.2987544906054905E-4</v>
      </c>
      <c r="B2337">
        <v>2.12E-2</v>
      </c>
      <c r="C2337" s="59">
        <v>-0.05</v>
      </c>
      <c r="D2337" s="59">
        <v>-0.09</v>
      </c>
      <c r="E2337" s="60">
        <f t="shared" si="36"/>
        <v>1.1400000000000001</v>
      </c>
      <c r="F2337" t="str" cm="1">
        <f t="array" ref="F2337">IF(A2337=MAX(IF(ROUND($B$2:$B$3722,4)=ROUND(B2337,4),$A$2:$A$3722)),"Efficient","Inefficient")</f>
        <v>Inefficient</v>
      </c>
    </row>
    <row r="2338" spans="1:6" x14ac:dyDescent="0.25">
      <c r="A2338" cm="1">
        <f t="array" ref="A2338">INDEX('Portfolio Weights Returns'!$B$9:$BJ$69,
INT((ROW(A2337)-1)/COLUMNS('Portfolio Weights Returns'!$B$9:$BJ$69))+1,MOD(ROW(A2337)-1,COLUMNS('Portfolio Weights Returns'!$B$9:$BJ$69))+1)</f>
        <v>-8.2309427509387023E-4</v>
      </c>
      <c r="B2338">
        <v>2.12E-2</v>
      </c>
      <c r="C2338" s="59">
        <v>-0.06</v>
      </c>
      <c r="D2338" s="59">
        <v>-0.08</v>
      </c>
      <c r="E2338" s="60">
        <f t="shared" si="36"/>
        <v>1.1400000000000001</v>
      </c>
      <c r="F2338" t="str" cm="1">
        <f t="array" ref="F2338">IF(A2338=MAX(IF(ROUND($B$2:$B$3722,4)=ROUND(B2338,4),$A$2:$A$3722)),"Efficient","Inefficient")</f>
        <v>Inefficient</v>
      </c>
    </row>
    <row r="2339" spans="1:6" x14ac:dyDescent="0.25">
      <c r="A2339" cm="1">
        <f t="array" ref="A2339">INDEX('Portfolio Weights Returns'!$B$9:$BJ$69,
INT((ROW(A2338)-1)/COLUMNS('Portfolio Weights Returns'!$B$9:$BJ$69))+1,MOD(ROW(A2338)-1,COLUMNS('Portfolio Weights Returns'!$B$9:$BJ$69))+1)</f>
        <v>-8.1631310112719097E-4</v>
      </c>
      <c r="B2339">
        <v>2.12E-2</v>
      </c>
      <c r="C2339" s="59">
        <v>-7.0000000000000007E-2</v>
      </c>
      <c r="D2339" s="59">
        <v>-7.0000000000000007E-2</v>
      </c>
      <c r="E2339" s="60">
        <f t="shared" si="36"/>
        <v>1.1400000000000001</v>
      </c>
      <c r="F2339" t="str" cm="1">
        <f t="array" ref="F2339">IF(A2339=MAX(IF(ROUND($B$2:$B$3722,4)=ROUND(B2339,4),$A$2:$A$3722)),"Efficient","Inefficient")</f>
        <v>Inefficient</v>
      </c>
    </row>
    <row r="2340" spans="1:6" x14ac:dyDescent="0.25">
      <c r="A2340" cm="1">
        <f t="array" ref="A2340">INDEX('Portfolio Weights Returns'!$B$9:$BJ$69,
INT((ROW(A2339)-1)/COLUMNS('Portfolio Weights Returns'!$B$9:$BJ$69))+1,MOD(ROW(A2339)-1,COLUMNS('Portfolio Weights Returns'!$B$9:$BJ$69))+1)</f>
        <v>-8.0953192716051194E-4</v>
      </c>
      <c r="B2340">
        <v>2.12E-2</v>
      </c>
      <c r="C2340" s="59">
        <v>-0.08</v>
      </c>
      <c r="D2340" s="59">
        <v>-0.06</v>
      </c>
      <c r="E2340" s="60">
        <f t="shared" si="36"/>
        <v>1.1400000000000001</v>
      </c>
      <c r="F2340" t="str" cm="1">
        <f t="array" ref="F2340">IF(A2340=MAX(IF(ROUND($B$2:$B$3722,4)=ROUND(B2340,4),$A$2:$A$3722)),"Efficient","Inefficient")</f>
        <v>Inefficient</v>
      </c>
    </row>
    <row r="2341" spans="1:6" x14ac:dyDescent="0.25">
      <c r="A2341" cm="1">
        <f t="array" ref="A2341">INDEX('Portfolio Weights Returns'!$B$9:$BJ$69,
INT((ROW(A2340)-1)/COLUMNS('Portfolio Weights Returns'!$B$9:$BJ$69))+1,MOD(ROW(A2340)-1,COLUMNS('Portfolio Weights Returns'!$B$9:$BJ$69))+1)</f>
        <v>-8.0275075319383279E-4</v>
      </c>
      <c r="B2341">
        <v>2.12E-2</v>
      </c>
      <c r="C2341" s="59">
        <v>-0.09</v>
      </c>
      <c r="D2341" s="59">
        <v>-0.05</v>
      </c>
      <c r="E2341" s="60">
        <f t="shared" si="36"/>
        <v>1.1400000000000001</v>
      </c>
      <c r="F2341" t="str" cm="1">
        <f t="array" ref="F2341">IF(A2341=MAX(IF(ROUND($B$2:$B$3722,4)=ROUND(B2341,4),$A$2:$A$3722)),"Efficient","Inefficient")</f>
        <v>Inefficient</v>
      </c>
    </row>
    <row r="2342" spans="1:6" x14ac:dyDescent="0.25">
      <c r="A2342" cm="1">
        <f t="array" ref="A2342">INDEX('Portfolio Weights Returns'!$B$9:$BJ$69,
INT((ROW(A2341)-1)/COLUMNS('Portfolio Weights Returns'!$B$9:$BJ$69))+1,MOD(ROW(A2341)-1,COLUMNS('Portfolio Weights Returns'!$B$9:$BJ$69))+1)</f>
        <v>-7.9596957922715365E-4</v>
      </c>
      <c r="B2342">
        <v>2.12E-2</v>
      </c>
      <c r="C2342" s="59">
        <v>-0.1</v>
      </c>
      <c r="D2342" s="59">
        <v>-0.04</v>
      </c>
      <c r="E2342" s="60">
        <f t="shared" si="36"/>
        <v>1.1400000000000001</v>
      </c>
      <c r="F2342" t="str" cm="1">
        <f t="array" ref="F2342">IF(A2342=MAX(IF(ROUND($B$2:$B$3722,4)=ROUND(B2342,4),$A$2:$A$3722)),"Efficient","Inefficient")</f>
        <v>Inefficient</v>
      </c>
    </row>
    <row r="2343" spans="1:6" x14ac:dyDescent="0.25">
      <c r="A2343" cm="1">
        <f t="array" ref="A2343">INDEX('Portfolio Weights Returns'!$B$9:$BJ$69,
INT((ROW(A2342)-1)/COLUMNS('Portfolio Weights Returns'!$B$9:$BJ$69))+1,MOD(ROW(A2342)-1,COLUMNS('Portfolio Weights Returns'!$B$9:$BJ$69))+1)</f>
        <v>-7.8918840526047472E-4</v>
      </c>
      <c r="B2343">
        <v>2.12E-2</v>
      </c>
      <c r="C2343" s="59">
        <v>-0.11</v>
      </c>
      <c r="D2343" s="59">
        <v>-0.03</v>
      </c>
      <c r="E2343" s="60">
        <f t="shared" si="36"/>
        <v>1.1400000000000001</v>
      </c>
      <c r="F2343" t="str" cm="1">
        <f t="array" ref="F2343">IF(A2343=MAX(IF(ROUND($B$2:$B$3722,4)=ROUND(B2343,4),$A$2:$A$3722)),"Efficient","Inefficient")</f>
        <v>Inefficient</v>
      </c>
    </row>
    <row r="2344" spans="1:6" x14ac:dyDescent="0.25">
      <c r="A2344" cm="1">
        <f t="array" ref="A2344">INDEX('Portfolio Weights Returns'!$B$9:$BJ$69,
INT((ROW(A2343)-1)/COLUMNS('Portfolio Weights Returns'!$B$9:$BJ$69))+1,MOD(ROW(A2343)-1,COLUMNS('Portfolio Weights Returns'!$B$9:$BJ$69))+1)</f>
        <v>-7.8240723129379558E-4</v>
      </c>
      <c r="B2344">
        <v>2.12E-2</v>
      </c>
      <c r="C2344" s="59">
        <v>-0.12</v>
      </c>
      <c r="D2344" s="59">
        <v>-0.02</v>
      </c>
      <c r="E2344" s="60">
        <f t="shared" si="36"/>
        <v>1.1400000000000001</v>
      </c>
      <c r="F2344" t="str" cm="1">
        <f t="array" ref="F2344">IF(A2344=MAX(IF(ROUND($B$2:$B$3722,4)=ROUND(B2344,4),$A$2:$A$3722)),"Efficient","Inefficient")</f>
        <v>Inefficient</v>
      </c>
    </row>
    <row r="2345" spans="1:6" x14ac:dyDescent="0.25">
      <c r="A2345" cm="1">
        <f t="array" ref="A2345">INDEX('Portfolio Weights Returns'!$B$9:$BJ$69,
INT((ROW(A2344)-1)/COLUMNS('Portfolio Weights Returns'!$B$9:$BJ$69))+1,MOD(ROW(A2344)-1,COLUMNS('Portfolio Weights Returns'!$B$9:$BJ$69))+1)</f>
        <v>-7.7562605732711643E-4</v>
      </c>
      <c r="B2345">
        <v>2.12E-2</v>
      </c>
      <c r="C2345" s="59">
        <v>-0.14000000000000001</v>
      </c>
      <c r="D2345" s="59">
        <v>0.01</v>
      </c>
      <c r="E2345" s="60">
        <f t="shared" si="36"/>
        <v>1.1299999999999999</v>
      </c>
      <c r="F2345" t="str" cm="1">
        <f t="array" ref="F2345">IF(A2345=MAX(IF(ROUND($B$2:$B$3722,4)=ROUND(B2345,4),$A$2:$A$3722)),"Efficient","Inefficient")</f>
        <v>Inefficient</v>
      </c>
    </row>
    <row r="2346" spans="1:6" x14ac:dyDescent="0.25">
      <c r="A2346" cm="1">
        <f t="array" ref="A2346">INDEX('Portfolio Weights Returns'!$B$9:$BJ$69,
INT((ROW(A2345)-1)/COLUMNS('Portfolio Weights Returns'!$B$9:$BJ$69))+1,MOD(ROW(A2345)-1,COLUMNS('Portfolio Weights Returns'!$B$9:$BJ$69))+1)</f>
        <v>-7.6884488336043729E-4</v>
      </c>
      <c r="B2346">
        <v>2.12E-2</v>
      </c>
      <c r="C2346" s="59">
        <v>-0.15</v>
      </c>
      <c r="D2346" s="59">
        <v>0.02</v>
      </c>
      <c r="E2346" s="60">
        <f t="shared" si="36"/>
        <v>1.1299999999999999</v>
      </c>
      <c r="F2346" t="str" cm="1">
        <f t="array" ref="F2346">IF(A2346=MAX(IF(ROUND($B$2:$B$3722,4)=ROUND(B2346,4),$A$2:$A$3722)),"Efficient","Inefficient")</f>
        <v>Inefficient</v>
      </c>
    </row>
    <row r="2347" spans="1:6" x14ac:dyDescent="0.25">
      <c r="A2347" cm="1">
        <f t="array" ref="A2347">INDEX('Portfolio Weights Returns'!$B$9:$BJ$69,
INT((ROW(A2346)-1)/COLUMNS('Portfolio Weights Returns'!$B$9:$BJ$69))+1,MOD(ROW(A2346)-1,COLUMNS('Portfolio Weights Returns'!$B$9:$BJ$69))+1)</f>
        <v>-7.6206370939375825E-4</v>
      </c>
      <c r="B2347">
        <v>2.12E-2</v>
      </c>
      <c r="C2347" s="59">
        <v>-0.16</v>
      </c>
      <c r="D2347" s="59">
        <v>0.03</v>
      </c>
      <c r="E2347" s="60">
        <f t="shared" si="36"/>
        <v>1.1299999999999999</v>
      </c>
      <c r="F2347" t="str" cm="1">
        <f t="array" ref="F2347">IF(A2347=MAX(IF(ROUND($B$2:$B$3722,4)=ROUND(B2347,4),$A$2:$A$3722)),"Efficient","Inefficient")</f>
        <v>Inefficient</v>
      </c>
    </row>
    <row r="2348" spans="1:6" x14ac:dyDescent="0.25">
      <c r="A2348" cm="1">
        <f t="array" ref="A2348">INDEX('Portfolio Weights Returns'!$B$9:$BJ$69,
INT((ROW(A2347)-1)/COLUMNS('Portfolio Weights Returns'!$B$9:$BJ$69))+1,MOD(ROW(A2347)-1,COLUMNS('Portfolio Weights Returns'!$B$9:$BJ$69))+1)</f>
        <v>-7.5528253542707911E-4</v>
      </c>
      <c r="B2348">
        <v>2.12E-2</v>
      </c>
      <c r="C2348" s="59">
        <v>-0.17</v>
      </c>
      <c r="D2348" s="59">
        <v>0.05</v>
      </c>
      <c r="E2348" s="60">
        <f t="shared" si="36"/>
        <v>1.1199999999999999</v>
      </c>
      <c r="F2348" t="str" cm="1">
        <f t="array" ref="F2348">IF(A2348=MAX(IF(ROUND($B$2:$B$3722,4)=ROUND(B2348,4),$A$2:$A$3722)),"Efficient","Inefficient")</f>
        <v>Inefficient</v>
      </c>
    </row>
    <row r="2349" spans="1:6" x14ac:dyDescent="0.25">
      <c r="A2349" cm="1">
        <f t="array" ref="A2349">INDEX('Portfolio Weights Returns'!$B$9:$BJ$69,
INT((ROW(A2348)-1)/COLUMNS('Portfolio Weights Returns'!$B$9:$BJ$69))+1,MOD(ROW(A2348)-1,COLUMNS('Portfolio Weights Returns'!$B$9:$BJ$69))+1)</f>
        <v>-7.4850136146040007E-4</v>
      </c>
      <c r="B2349">
        <v>2.12E-2</v>
      </c>
      <c r="C2349" s="59">
        <v>-0.18</v>
      </c>
      <c r="D2349" s="59">
        <v>0.06</v>
      </c>
      <c r="E2349" s="60">
        <f t="shared" si="36"/>
        <v>1.1199999999999999</v>
      </c>
      <c r="F2349" t="str" cm="1">
        <f t="array" ref="F2349">IF(A2349=MAX(IF(ROUND($B$2:$B$3722,4)=ROUND(B2349,4),$A$2:$A$3722)),"Efficient","Inefficient")</f>
        <v>Inefficient</v>
      </c>
    </row>
    <row r="2350" spans="1:6" x14ac:dyDescent="0.25">
      <c r="A2350" cm="1">
        <f t="array" ref="A2350">INDEX('Portfolio Weights Returns'!$B$9:$BJ$69,
INT((ROW(A2349)-1)/COLUMNS('Portfolio Weights Returns'!$B$9:$BJ$69))+1,MOD(ROW(A2349)-1,COLUMNS('Portfolio Weights Returns'!$B$9:$BJ$69))+1)</f>
        <v>-7.4172018749372093E-4</v>
      </c>
      <c r="B2350">
        <v>2.12E-2</v>
      </c>
      <c r="C2350" s="59">
        <v>-0.18</v>
      </c>
      <c r="D2350" s="59">
        <v>7.0000000000000007E-2</v>
      </c>
      <c r="E2350" s="60">
        <f t="shared" si="36"/>
        <v>1.1099999999999999</v>
      </c>
      <c r="F2350" t="str" cm="1">
        <f t="array" ref="F2350">IF(A2350=MAX(IF(ROUND($B$2:$B$3722,4)=ROUND(B2350,4),$A$2:$A$3722)),"Efficient","Inefficient")</f>
        <v>Inefficient</v>
      </c>
    </row>
    <row r="2351" spans="1:6" x14ac:dyDescent="0.25">
      <c r="A2351" cm="1">
        <f t="array" ref="A2351">INDEX('Portfolio Weights Returns'!$B$9:$BJ$69,
INT((ROW(A2350)-1)/COLUMNS('Portfolio Weights Returns'!$B$9:$BJ$69))+1,MOD(ROW(A2350)-1,COLUMNS('Portfolio Weights Returns'!$B$9:$BJ$69))+1)</f>
        <v>-7.3493901352704178E-4</v>
      </c>
      <c r="B2351">
        <v>2.12E-2</v>
      </c>
      <c r="C2351" s="59">
        <v>-0.19</v>
      </c>
      <c r="D2351" s="59">
        <v>0.08</v>
      </c>
      <c r="E2351" s="60">
        <f t="shared" si="36"/>
        <v>1.1100000000000001</v>
      </c>
      <c r="F2351" t="str" cm="1">
        <f t="array" ref="F2351">IF(A2351=MAX(IF(ROUND($B$2:$B$3722,4)=ROUND(B2351,4),$A$2:$A$3722)),"Efficient","Inefficient")</f>
        <v>Inefficient</v>
      </c>
    </row>
    <row r="2352" spans="1:6" x14ac:dyDescent="0.25">
      <c r="A2352" cm="1">
        <f t="array" ref="A2352">INDEX('Portfolio Weights Returns'!$B$9:$BJ$69,
INT((ROW(A2351)-1)/COLUMNS('Portfolio Weights Returns'!$B$9:$BJ$69))+1,MOD(ROW(A2351)-1,COLUMNS('Portfolio Weights Returns'!$B$9:$BJ$69))+1)</f>
        <v>-7.2815783956036264E-4</v>
      </c>
      <c r="B2352">
        <v>2.12E-2</v>
      </c>
      <c r="C2352" s="59">
        <v>-0.2</v>
      </c>
      <c r="D2352" s="59">
        <v>0.1</v>
      </c>
      <c r="E2352" s="60">
        <f t="shared" si="36"/>
        <v>1.1000000000000001</v>
      </c>
      <c r="F2352" t="str" cm="1">
        <f t="array" ref="F2352">IF(A2352=MAX(IF(ROUND($B$2:$B$3722,4)=ROUND(B2352,4),$A$2:$A$3722)),"Efficient","Inefficient")</f>
        <v>Inefficient</v>
      </c>
    </row>
    <row r="2353" spans="1:6" x14ac:dyDescent="0.25">
      <c r="A2353" cm="1">
        <f t="array" ref="A2353">INDEX('Portfolio Weights Returns'!$B$9:$BJ$69,
INT((ROW(A2352)-1)/COLUMNS('Portfolio Weights Returns'!$B$9:$BJ$69))+1,MOD(ROW(A2352)-1,COLUMNS('Portfolio Weights Returns'!$B$9:$BJ$69))+1)</f>
        <v>-7.2137666559368349E-4</v>
      </c>
      <c r="B2353">
        <v>2.12E-2</v>
      </c>
      <c r="C2353" s="59">
        <v>-0.2</v>
      </c>
      <c r="D2353" s="59">
        <v>0.11</v>
      </c>
      <c r="E2353" s="60">
        <f t="shared" si="36"/>
        <v>1.0900000000000001</v>
      </c>
      <c r="F2353" t="str" cm="1">
        <f t="array" ref="F2353">IF(A2353=MAX(IF(ROUND($B$2:$B$3722,4)=ROUND(B2353,4),$A$2:$A$3722)),"Efficient","Inefficient")</f>
        <v>Inefficient</v>
      </c>
    </row>
    <row r="2354" spans="1:6" x14ac:dyDescent="0.25">
      <c r="A2354" cm="1">
        <f t="array" ref="A2354">INDEX('Portfolio Weights Returns'!$B$9:$BJ$69,
INT((ROW(A2353)-1)/COLUMNS('Portfolio Weights Returns'!$B$9:$BJ$69))+1,MOD(ROW(A2353)-1,COLUMNS('Portfolio Weights Returns'!$B$9:$BJ$69))+1)</f>
        <v>-7.1459549162700446E-4</v>
      </c>
      <c r="B2354">
        <v>2.12E-2</v>
      </c>
      <c r="C2354" s="59">
        <v>-0.21</v>
      </c>
      <c r="D2354" s="59">
        <v>0.12</v>
      </c>
      <c r="E2354" s="60">
        <f t="shared" si="36"/>
        <v>1.0900000000000001</v>
      </c>
      <c r="F2354" t="str" cm="1">
        <f t="array" ref="F2354">IF(A2354=MAX(IF(ROUND($B$2:$B$3722,4)=ROUND(B2354,4),$A$2:$A$3722)),"Efficient","Inefficient")</f>
        <v>Inefficient</v>
      </c>
    </row>
    <row r="2355" spans="1:6" x14ac:dyDescent="0.25">
      <c r="A2355" cm="1">
        <f t="array" ref="A2355">INDEX('Portfolio Weights Returns'!$B$9:$BJ$69,
INT((ROW(A2354)-1)/COLUMNS('Portfolio Weights Returns'!$B$9:$BJ$69))+1,MOD(ROW(A2354)-1,COLUMNS('Portfolio Weights Returns'!$B$9:$BJ$69))+1)</f>
        <v>-7.0781431766032531E-4</v>
      </c>
      <c r="B2355">
        <v>2.12E-2</v>
      </c>
      <c r="C2355" s="59">
        <v>-0.21</v>
      </c>
      <c r="D2355" s="59">
        <v>0.13</v>
      </c>
      <c r="E2355" s="60">
        <f t="shared" si="36"/>
        <v>1.08</v>
      </c>
      <c r="F2355" t="str" cm="1">
        <f t="array" ref="F2355">IF(A2355=MAX(IF(ROUND($B$2:$B$3722,4)=ROUND(B2355,4),$A$2:$A$3722)),"Efficient","Inefficient")</f>
        <v>Inefficient</v>
      </c>
    </row>
    <row r="2356" spans="1:6" x14ac:dyDescent="0.25">
      <c r="A2356" cm="1">
        <f t="array" ref="A2356">INDEX('Portfolio Weights Returns'!$B$9:$BJ$69,
INT((ROW(A2355)-1)/COLUMNS('Portfolio Weights Returns'!$B$9:$BJ$69))+1,MOD(ROW(A2355)-1,COLUMNS('Portfolio Weights Returns'!$B$9:$BJ$69))+1)</f>
        <v>-7.0103314369364628E-4</v>
      </c>
      <c r="B2356">
        <v>2.12E-2</v>
      </c>
      <c r="C2356" s="59">
        <v>-0.22</v>
      </c>
      <c r="D2356" s="59">
        <v>0.15</v>
      </c>
      <c r="E2356" s="60">
        <f t="shared" si="36"/>
        <v>1.07</v>
      </c>
      <c r="F2356" t="str" cm="1">
        <f t="array" ref="F2356">IF(A2356=MAX(IF(ROUND($B$2:$B$3722,4)=ROUND(B2356,4),$A$2:$A$3722)),"Efficient","Inefficient")</f>
        <v>Inefficient</v>
      </c>
    </row>
    <row r="2357" spans="1:6" x14ac:dyDescent="0.25">
      <c r="A2357" cm="1">
        <f t="array" ref="A2357">INDEX('Portfolio Weights Returns'!$B$9:$BJ$69,
INT((ROW(A2356)-1)/COLUMNS('Portfolio Weights Returns'!$B$9:$BJ$69))+1,MOD(ROW(A2356)-1,COLUMNS('Portfolio Weights Returns'!$B$9:$BJ$69))+1)</f>
        <v>-6.9425196972696713E-4</v>
      </c>
      <c r="B2357">
        <v>2.12E-2</v>
      </c>
      <c r="C2357" s="59">
        <v>-0.22</v>
      </c>
      <c r="D2357" s="59">
        <v>0.16</v>
      </c>
      <c r="E2357" s="60">
        <f t="shared" si="36"/>
        <v>1.06</v>
      </c>
      <c r="F2357" t="str" cm="1">
        <f t="array" ref="F2357">IF(A2357=MAX(IF(ROUND($B$2:$B$3722,4)=ROUND(B2357,4),$A$2:$A$3722)),"Efficient","Inefficient")</f>
        <v>Inefficient</v>
      </c>
    </row>
    <row r="2358" spans="1:6" x14ac:dyDescent="0.25">
      <c r="A2358" cm="1">
        <f t="array" ref="A2358">INDEX('Portfolio Weights Returns'!$B$9:$BJ$69,
INT((ROW(A2357)-1)/COLUMNS('Portfolio Weights Returns'!$B$9:$BJ$69))+1,MOD(ROW(A2357)-1,COLUMNS('Portfolio Weights Returns'!$B$9:$BJ$69))+1)</f>
        <v>-6.874707957602881E-4</v>
      </c>
      <c r="B2358">
        <v>2.12E-2</v>
      </c>
      <c r="C2358" s="59">
        <v>-0.22</v>
      </c>
      <c r="D2358" s="59">
        <v>0.17</v>
      </c>
      <c r="E2358" s="60">
        <f t="shared" si="36"/>
        <v>1.05</v>
      </c>
      <c r="F2358" t="str" cm="1">
        <f t="array" ref="F2358">IF(A2358=MAX(IF(ROUND($B$2:$B$3722,4)=ROUND(B2358,4),$A$2:$A$3722)),"Efficient","Inefficient")</f>
        <v>Inefficient</v>
      </c>
    </row>
    <row r="2359" spans="1:6" x14ac:dyDescent="0.25">
      <c r="A2359" cm="1">
        <f t="array" ref="A2359">INDEX('Portfolio Weights Returns'!$B$9:$BJ$69,
INT((ROW(A2358)-1)/COLUMNS('Portfolio Weights Returns'!$B$9:$BJ$69))+1,MOD(ROW(A2358)-1,COLUMNS('Portfolio Weights Returns'!$B$9:$BJ$69))+1)</f>
        <v>-6.8068962179360895E-4</v>
      </c>
      <c r="B2359">
        <v>2.12E-2</v>
      </c>
      <c r="C2359" s="59">
        <v>-0.22</v>
      </c>
      <c r="D2359" s="59">
        <v>0.18</v>
      </c>
      <c r="E2359" s="60">
        <f t="shared" si="36"/>
        <v>1.04</v>
      </c>
      <c r="F2359" t="str" cm="1">
        <f t="array" ref="F2359">IF(A2359=MAX(IF(ROUND($B$2:$B$3722,4)=ROUND(B2359,4),$A$2:$A$3722)),"Efficient","Inefficient")</f>
        <v>Inefficient</v>
      </c>
    </row>
    <row r="2360" spans="1:6" x14ac:dyDescent="0.25">
      <c r="A2360" cm="1">
        <f t="array" ref="A2360">INDEX('Portfolio Weights Returns'!$B$9:$BJ$69,
INT((ROW(A2359)-1)/COLUMNS('Portfolio Weights Returns'!$B$9:$BJ$69))+1,MOD(ROW(A2359)-1,COLUMNS('Portfolio Weights Returns'!$B$9:$BJ$69))+1)</f>
        <v>-6.7390844782692981E-4</v>
      </c>
      <c r="B2360">
        <v>2.12E-2</v>
      </c>
      <c r="C2360" s="59">
        <v>-0.22</v>
      </c>
      <c r="D2360" s="59">
        <v>0.25</v>
      </c>
      <c r="E2360" s="60">
        <f t="shared" si="36"/>
        <v>0.97</v>
      </c>
      <c r="F2360" t="str" cm="1">
        <f t="array" ref="F2360">IF(A2360=MAX(IF(ROUND($B$2:$B$3722,4)=ROUND(B2360,4),$A$2:$A$3722)),"Efficient","Inefficient")</f>
        <v>Inefficient</v>
      </c>
    </row>
    <row r="2361" spans="1:6" x14ac:dyDescent="0.25">
      <c r="A2361" cm="1">
        <f t="array" ref="A2361">INDEX('Portfolio Weights Returns'!$B$9:$BJ$69,
INT((ROW(A2360)-1)/COLUMNS('Portfolio Weights Returns'!$B$9:$BJ$69))+1,MOD(ROW(A2360)-1,COLUMNS('Portfolio Weights Returns'!$B$9:$BJ$69))+1)</f>
        <v>-6.6712727386025077E-4</v>
      </c>
      <c r="B2361">
        <v>2.12E-2</v>
      </c>
      <c r="C2361" s="59">
        <v>-0.22</v>
      </c>
      <c r="D2361" s="59">
        <v>0.26</v>
      </c>
      <c r="E2361" s="60">
        <f t="shared" si="36"/>
        <v>0.96</v>
      </c>
      <c r="F2361" t="str" cm="1">
        <f t="array" ref="F2361">IF(A2361=MAX(IF(ROUND($B$2:$B$3722,4)=ROUND(B2361,4),$A$2:$A$3722)),"Efficient","Inefficient")</f>
        <v>Inefficient</v>
      </c>
    </row>
    <row r="2362" spans="1:6" x14ac:dyDescent="0.25">
      <c r="A2362" cm="1">
        <f t="array" ref="A2362">INDEX('Portfolio Weights Returns'!$B$9:$BJ$69,
INT((ROW(A2361)-1)/COLUMNS('Portfolio Weights Returns'!$B$9:$BJ$69))+1,MOD(ROW(A2361)-1,COLUMNS('Portfolio Weights Returns'!$B$9:$BJ$69))+1)</f>
        <v>-6.6034609989357163E-4</v>
      </c>
      <c r="B2362">
        <v>2.12E-2</v>
      </c>
      <c r="C2362" s="59">
        <v>-0.22</v>
      </c>
      <c r="D2362" s="59">
        <v>0.27</v>
      </c>
      <c r="E2362" s="60">
        <f t="shared" si="36"/>
        <v>0.95</v>
      </c>
      <c r="F2362" t="str" cm="1">
        <f t="array" ref="F2362">IF(A2362=MAX(IF(ROUND($B$2:$B$3722,4)=ROUND(B2362,4),$A$2:$A$3722)),"Efficient","Inefficient")</f>
        <v>Inefficient</v>
      </c>
    </row>
    <row r="2363" spans="1:6" x14ac:dyDescent="0.25">
      <c r="A2363" cm="1">
        <f t="array" ref="A2363">INDEX('Portfolio Weights Returns'!$B$9:$BJ$69,
INT((ROW(A2362)-1)/COLUMNS('Portfolio Weights Returns'!$B$9:$BJ$69))+1,MOD(ROW(A2362)-1,COLUMNS('Portfolio Weights Returns'!$B$9:$BJ$69))+1)</f>
        <v>-6.5356492592689259E-4</v>
      </c>
      <c r="B2363">
        <v>2.12E-2</v>
      </c>
      <c r="C2363" s="59">
        <v>-0.21</v>
      </c>
      <c r="D2363" s="59">
        <v>0.28000000000000003</v>
      </c>
      <c r="E2363" s="60">
        <f t="shared" si="36"/>
        <v>0.92999999999999994</v>
      </c>
      <c r="F2363" t="str" cm="1">
        <f t="array" ref="F2363">IF(A2363=MAX(IF(ROUND($B$2:$B$3722,4)=ROUND(B2363,4),$A$2:$A$3722)),"Efficient","Inefficient")</f>
        <v>Inefficient</v>
      </c>
    </row>
    <row r="2364" spans="1:6" x14ac:dyDescent="0.25">
      <c r="A2364" cm="1">
        <f t="array" ref="A2364">INDEX('Portfolio Weights Returns'!$B$9:$BJ$69,
INT((ROW(A2363)-1)/COLUMNS('Portfolio Weights Returns'!$B$9:$BJ$69))+1,MOD(ROW(A2363)-1,COLUMNS('Portfolio Weights Returns'!$B$9:$BJ$69))+1)</f>
        <v>-6.4678375196021334E-4</v>
      </c>
      <c r="B2364">
        <v>2.12E-2</v>
      </c>
      <c r="C2364" s="59">
        <v>-0.21</v>
      </c>
      <c r="D2364" s="59">
        <v>0.28999999999999998</v>
      </c>
      <c r="E2364" s="60">
        <f t="shared" si="36"/>
        <v>0.91999999999999993</v>
      </c>
      <c r="F2364" t="str" cm="1">
        <f t="array" ref="F2364">IF(A2364=MAX(IF(ROUND($B$2:$B$3722,4)=ROUND(B2364,4),$A$2:$A$3722)),"Efficient","Inefficient")</f>
        <v>Efficient</v>
      </c>
    </row>
    <row r="2365" spans="1:6" x14ac:dyDescent="0.25">
      <c r="A2365" cm="1">
        <f t="array" ref="A2365">INDEX('Portfolio Weights Returns'!$B$9:$BJ$69,
INT((ROW(A2364)-1)/COLUMNS('Portfolio Weights Returns'!$B$9:$BJ$69))+1,MOD(ROW(A2364)-1,COLUMNS('Portfolio Weights Returns'!$B$9:$BJ$69))+1)</f>
        <v>-6.400025779935343E-4</v>
      </c>
      <c r="B2365">
        <v>2.1299999999999999E-2</v>
      </c>
      <c r="C2365" s="59">
        <v>0.27</v>
      </c>
      <c r="D2365" s="59">
        <v>-0.3</v>
      </c>
      <c r="E2365" s="60">
        <f t="shared" si="36"/>
        <v>1.03</v>
      </c>
      <c r="F2365" t="str" cm="1">
        <f t="array" ref="F2365">IF(A2365=MAX(IF(ROUND($B$2:$B$3722,4)=ROUND(B2365,4),$A$2:$A$3722)),"Efficient","Inefficient")</f>
        <v>Inefficient</v>
      </c>
    </row>
    <row r="2366" spans="1:6" x14ac:dyDescent="0.25">
      <c r="A2366" cm="1">
        <f t="array" ref="A2366">INDEX('Portfolio Weights Returns'!$B$9:$BJ$69,
INT((ROW(A2365)-1)/COLUMNS('Portfolio Weights Returns'!$B$9:$BJ$69))+1,MOD(ROW(A2365)-1,COLUMNS('Portfolio Weights Returns'!$B$9:$BJ$69))+1)</f>
        <v>-6.3322140402685516E-4</v>
      </c>
      <c r="B2366">
        <v>2.1299999999999999E-2</v>
      </c>
      <c r="C2366" s="59">
        <v>0.25</v>
      </c>
      <c r="D2366" s="59">
        <v>-0.28999999999999998</v>
      </c>
      <c r="E2366" s="60">
        <f t="shared" si="36"/>
        <v>1.04</v>
      </c>
      <c r="F2366" t="str" cm="1">
        <f t="array" ref="F2366">IF(A2366=MAX(IF(ROUND($B$2:$B$3722,4)=ROUND(B2366,4),$A$2:$A$3722)),"Efficient","Inefficient")</f>
        <v>Inefficient</v>
      </c>
    </row>
    <row r="2367" spans="1:6" x14ac:dyDescent="0.25">
      <c r="A2367" cm="1">
        <f t="array" ref="A2367">INDEX('Portfolio Weights Returns'!$B$9:$BJ$69,
INT((ROW(A2366)-1)/COLUMNS('Portfolio Weights Returns'!$B$9:$BJ$69))+1,MOD(ROW(A2366)-1,COLUMNS('Portfolio Weights Returns'!$B$9:$BJ$69))+1)</f>
        <v>-6.2644023006017612E-4</v>
      </c>
      <c r="B2367">
        <v>2.1299999999999999E-2</v>
      </c>
      <c r="C2367" s="59">
        <v>0.23</v>
      </c>
      <c r="D2367" s="59">
        <v>-0.28000000000000003</v>
      </c>
      <c r="E2367" s="60">
        <f t="shared" si="36"/>
        <v>1.05</v>
      </c>
      <c r="F2367" t="str" cm="1">
        <f t="array" ref="F2367">IF(A2367=MAX(IF(ROUND($B$2:$B$3722,4)=ROUND(B2367,4),$A$2:$A$3722)),"Efficient","Inefficient")</f>
        <v>Inefficient</v>
      </c>
    </row>
    <row r="2368" spans="1:6" x14ac:dyDescent="0.25">
      <c r="A2368" cm="1">
        <f t="array" ref="A2368">INDEX('Portfolio Weights Returns'!$B$9:$BJ$69,
INT((ROW(A2367)-1)/COLUMNS('Portfolio Weights Returns'!$B$9:$BJ$69))+1,MOD(ROW(A2367)-1,COLUMNS('Portfolio Weights Returns'!$B$9:$BJ$69))+1)</f>
        <v>-6.1965905609349709E-4</v>
      </c>
      <c r="B2368">
        <v>2.1299999999999999E-2</v>
      </c>
      <c r="C2368" s="59">
        <v>0.21</v>
      </c>
      <c r="D2368" s="59">
        <v>-0.27</v>
      </c>
      <c r="E2368" s="60">
        <f t="shared" si="36"/>
        <v>1.06</v>
      </c>
      <c r="F2368" t="str" cm="1">
        <f t="array" ref="F2368">IF(A2368=MAX(IF(ROUND($B$2:$B$3722,4)=ROUND(B2368,4),$A$2:$A$3722)),"Efficient","Inefficient")</f>
        <v>Inefficient</v>
      </c>
    </row>
    <row r="2369" spans="1:6" x14ac:dyDescent="0.25">
      <c r="A2369" cm="1">
        <f t="array" ref="A2369">INDEX('Portfolio Weights Returns'!$B$9:$BJ$69,
INT((ROW(A2368)-1)/COLUMNS('Portfolio Weights Returns'!$B$9:$BJ$69))+1,MOD(ROW(A2368)-1,COLUMNS('Portfolio Weights Returns'!$B$9:$BJ$69))+1)</f>
        <v>-6.1287788212681805E-4</v>
      </c>
      <c r="B2369">
        <v>2.1299999999999999E-2</v>
      </c>
      <c r="C2369" s="59">
        <v>0.19</v>
      </c>
      <c r="D2369" s="59">
        <v>-0.26</v>
      </c>
      <c r="E2369" s="60">
        <f t="shared" si="36"/>
        <v>1.07</v>
      </c>
      <c r="F2369" t="str" cm="1">
        <f t="array" ref="F2369">IF(A2369=MAX(IF(ROUND($B$2:$B$3722,4)=ROUND(B2369,4),$A$2:$A$3722)),"Efficient","Inefficient")</f>
        <v>Inefficient</v>
      </c>
    </row>
    <row r="2370" spans="1:6" x14ac:dyDescent="0.25">
      <c r="A2370" cm="1">
        <f t="array" ref="A2370">INDEX('Portfolio Weights Returns'!$B$9:$BJ$69,
INT((ROW(A2369)-1)/COLUMNS('Portfolio Weights Returns'!$B$9:$BJ$69))+1,MOD(ROW(A2369)-1,COLUMNS('Portfolio Weights Returns'!$B$9:$BJ$69))+1)</f>
        <v>-6.060967081601388E-4</v>
      </c>
      <c r="B2370">
        <v>2.1299999999999999E-2</v>
      </c>
      <c r="C2370" s="59">
        <v>0.17</v>
      </c>
      <c r="D2370" s="59">
        <v>-0.25</v>
      </c>
      <c r="E2370" s="60">
        <f t="shared" ref="E2370:E2433" si="37">1-D2370-C2370</f>
        <v>1.08</v>
      </c>
      <c r="F2370" t="str" cm="1">
        <f t="array" ref="F2370">IF(A2370=MAX(IF(ROUND($B$2:$B$3722,4)=ROUND(B2370,4),$A$2:$A$3722)),"Efficient","Inefficient")</f>
        <v>Inefficient</v>
      </c>
    </row>
    <row r="2371" spans="1:6" x14ac:dyDescent="0.25">
      <c r="A2371" cm="1">
        <f t="array" ref="A2371">INDEX('Portfolio Weights Returns'!$B$9:$BJ$69,
INT((ROW(A2370)-1)/COLUMNS('Portfolio Weights Returns'!$B$9:$BJ$69))+1,MOD(ROW(A2370)-1,COLUMNS('Portfolio Weights Returns'!$B$9:$BJ$69))+1)</f>
        <v>-5.9931553419345965E-4</v>
      </c>
      <c r="B2371">
        <v>2.1299999999999999E-2</v>
      </c>
      <c r="C2371" s="59">
        <v>0.15</v>
      </c>
      <c r="D2371" s="59">
        <v>-0.24</v>
      </c>
      <c r="E2371" s="60">
        <f t="shared" si="37"/>
        <v>1.0900000000000001</v>
      </c>
      <c r="F2371" t="str" cm="1">
        <f t="array" ref="F2371">IF(A2371=MAX(IF(ROUND($B$2:$B$3722,4)=ROUND(B2371,4),$A$2:$A$3722)),"Efficient","Inefficient")</f>
        <v>Inefficient</v>
      </c>
    </row>
    <row r="2372" spans="1:6" x14ac:dyDescent="0.25">
      <c r="A2372" cm="1">
        <f t="array" ref="A2372">INDEX('Portfolio Weights Returns'!$B$9:$BJ$69,
INT((ROW(A2371)-1)/COLUMNS('Portfolio Weights Returns'!$B$9:$BJ$69))+1,MOD(ROW(A2371)-1,COLUMNS('Portfolio Weights Returns'!$B$9:$BJ$69))+1)</f>
        <v>-5.9253436022678062E-4</v>
      </c>
      <c r="B2372">
        <v>2.1299999999999999E-2</v>
      </c>
      <c r="C2372" s="59">
        <v>0.14000000000000001</v>
      </c>
      <c r="D2372" s="59">
        <v>-0.23</v>
      </c>
      <c r="E2372" s="60">
        <f t="shared" si="37"/>
        <v>1.0899999999999999</v>
      </c>
      <c r="F2372" t="str" cm="1">
        <f t="array" ref="F2372">IF(A2372=MAX(IF(ROUND($B$2:$B$3722,4)=ROUND(B2372,4),$A$2:$A$3722)),"Efficient","Inefficient")</f>
        <v>Inefficient</v>
      </c>
    </row>
    <row r="2373" spans="1:6" x14ac:dyDescent="0.25">
      <c r="A2373" cm="1">
        <f t="array" ref="A2373">INDEX('Portfolio Weights Returns'!$B$9:$BJ$69,
INT((ROW(A2372)-1)/COLUMNS('Portfolio Weights Returns'!$B$9:$BJ$69))+1,MOD(ROW(A2372)-1,COLUMNS('Portfolio Weights Returns'!$B$9:$BJ$69))+1)</f>
        <v>-5.8575318626010147E-4</v>
      </c>
      <c r="B2373">
        <v>2.1299999999999999E-2</v>
      </c>
      <c r="C2373" s="59">
        <v>0.12</v>
      </c>
      <c r="D2373" s="59">
        <v>-0.22</v>
      </c>
      <c r="E2373" s="60">
        <f t="shared" si="37"/>
        <v>1.1000000000000001</v>
      </c>
      <c r="F2373" t="str" cm="1">
        <f t="array" ref="F2373">IF(A2373=MAX(IF(ROUND($B$2:$B$3722,4)=ROUND(B2373,4),$A$2:$A$3722)),"Efficient","Inefficient")</f>
        <v>Inefficient</v>
      </c>
    </row>
    <row r="2374" spans="1:6" x14ac:dyDescent="0.25">
      <c r="A2374" cm="1">
        <f t="array" ref="A2374">INDEX('Portfolio Weights Returns'!$B$9:$BJ$69,
INT((ROW(A2373)-1)/COLUMNS('Portfolio Weights Returns'!$B$9:$BJ$69))+1,MOD(ROW(A2373)-1,COLUMNS('Portfolio Weights Returns'!$B$9:$BJ$69))+1)</f>
        <v>-5.7897201229342244E-4</v>
      </c>
      <c r="B2374">
        <v>2.1299999999999999E-2</v>
      </c>
      <c r="C2374" s="59">
        <v>0.09</v>
      </c>
      <c r="D2374" s="59">
        <v>-0.2</v>
      </c>
      <c r="E2374" s="60">
        <f t="shared" si="37"/>
        <v>1.1099999999999999</v>
      </c>
      <c r="F2374" t="str" cm="1">
        <f t="array" ref="F2374">IF(A2374=MAX(IF(ROUND($B$2:$B$3722,4)=ROUND(B2374,4),$A$2:$A$3722)),"Efficient","Inefficient")</f>
        <v>Inefficient</v>
      </c>
    </row>
    <row r="2375" spans="1:6" x14ac:dyDescent="0.25">
      <c r="A2375" cm="1">
        <f t="array" ref="A2375">INDEX('Portfolio Weights Returns'!$B$9:$BJ$69,
INT((ROW(A2374)-1)/COLUMNS('Portfolio Weights Returns'!$B$9:$BJ$69))+1,MOD(ROW(A2374)-1,COLUMNS('Portfolio Weights Returns'!$B$9:$BJ$69))+1)</f>
        <v>-5.7219083832674329E-4</v>
      </c>
      <c r="B2375">
        <v>2.1299999999999999E-2</v>
      </c>
      <c r="C2375" s="59">
        <v>0.06</v>
      </c>
      <c r="D2375" s="59">
        <v>-0.18</v>
      </c>
      <c r="E2375" s="60">
        <f t="shared" si="37"/>
        <v>1.1199999999999999</v>
      </c>
      <c r="F2375" t="str" cm="1">
        <f t="array" ref="F2375">IF(A2375=MAX(IF(ROUND($B$2:$B$3722,4)=ROUND(B2375,4),$A$2:$A$3722)),"Efficient","Inefficient")</f>
        <v>Inefficient</v>
      </c>
    </row>
    <row r="2376" spans="1:6" x14ac:dyDescent="0.25">
      <c r="A2376" cm="1">
        <f t="array" ref="A2376">INDEX('Portfolio Weights Returns'!$B$9:$BJ$69,
INT((ROW(A2375)-1)/COLUMNS('Portfolio Weights Returns'!$B$9:$BJ$69))+1,MOD(ROW(A2375)-1,COLUMNS('Portfolio Weights Returns'!$B$9:$BJ$69))+1)</f>
        <v>-5.6540966436006426E-4</v>
      </c>
      <c r="B2376">
        <v>2.1299999999999999E-2</v>
      </c>
      <c r="C2376" s="59">
        <v>0.03</v>
      </c>
      <c r="D2376" s="59">
        <v>-0.16</v>
      </c>
      <c r="E2376" s="60">
        <f t="shared" si="37"/>
        <v>1.1299999999999999</v>
      </c>
      <c r="F2376" t="str" cm="1">
        <f t="array" ref="F2376">IF(A2376=MAX(IF(ROUND($B$2:$B$3722,4)=ROUND(B2376,4),$A$2:$A$3722)),"Efficient","Inefficient")</f>
        <v>Inefficient</v>
      </c>
    </row>
    <row r="2377" spans="1:6" x14ac:dyDescent="0.25">
      <c r="A2377" cm="1">
        <f t="array" ref="A2377">INDEX('Portfolio Weights Returns'!$B$9:$BJ$69,
INT((ROW(A2376)-1)/COLUMNS('Portfolio Weights Returns'!$B$9:$BJ$69))+1,MOD(ROW(A2376)-1,COLUMNS('Portfolio Weights Returns'!$B$9:$BJ$69))+1)</f>
        <v>-5.5862849039338435E-4</v>
      </c>
      <c r="B2377">
        <v>2.1299999999999999E-2</v>
      </c>
      <c r="C2377" s="59">
        <v>0.02</v>
      </c>
      <c r="D2377" s="59">
        <v>-0.15</v>
      </c>
      <c r="E2377" s="60">
        <f t="shared" si="37"/>
        <v>1.1299999999999999</v>
      </c>
      <c r="F2377" t="str" cm="1">
        <f t="array" ref="F2377">IF(A2377=MAX(IF(ROUND($B$2:$B$3722,4)=ROUND(B2377,4),$A$2:$A$3722)),"Efficient","Inefficient")</f>
        <v>Inefficient</v>
      </c>
    </row>
    <row r="2378" spans="1:6" x14ac:dyDescent="0.25">
      <c r="A2378" cm="1">
        <f t="array" ref="A2378">INDEX('Portfolio Weights Returns'!$B$9:$BJ$69,
INT((ROW(A2377)-1)/COLUMNS('Portfolio Weights Returns'!$B$9:$BJ$69))+1,MOD(ROW(A2377)-1,COLUMNS('Portfolio Weights Returns'!$B$9:$BJ$69))+1)</f>
        <v>-5.5184731642670532E-4</v>
      </c>
      <c r="B2378">
        <v>2.1299999999999999E-2</v>
      </c>
      <c r="C2378" s="59">
        <v>-0.01</v>
      </c>
      <c r="D2378" s="59">
        <v>-0.13</v>
      </c>
      <c r="E2378" s="60">
        <f t="shared" si="37"/>
        <v>1.1399999999999999</v>
      </c>
      <c r="F2378" t="str" cm="1">
        <f t="array" ref="F2378">IF(A2378=MAX(IF(ROUND($B$2:$B$3722,4)=ROUND(B2378,4),$A$2:$A$3722)),"Efficient","Inefficient")</f>
        <v>Inefficient</v>
      </c>
    </row>
    <row r="2379" spans="1:6" x14ac:dyDescent="0.25">
      <c r="A2379" cm="1">
        <f t="array" ref="A2379">INDEX('Portfolio Weights Returns'!$B$9:$BJ$69,
INT((ROW(A2378)-1)/COLUMNS('Portfolio Weights Returns'!$B$9:$BJ$69))+1,MOD(ROW(A2378)-1,COLUMNS('Portfolio Weights Returns'!$B$9:$BJ$69))+1)</f>
        <v>-5.4506614246002628E-4</v>
      </c>
      <c r="B2379">
        <v>2.1299999999999999E-2</v>
      </c>
      <c r="C2379" s="59">
        <v>-0.02</v>
      </c>
      <c r="D2379" s="59">
        <v>-0.12</v>
      </c>
      <c r="E2379" s="60">
        <f t="shared" si="37"/>
        <v>1.1400000000000001</v>
      </c>
      <c r="F2379" t="str" cm="1">
        <f t="array" ref="F2379">IF(A2379=MAX(IF(ROUND($B$2:$B$3722,4)=ROUND(B2379,4),$A$2:$A$3722)),"Efficient","Inefficient")</f>
        <v>Inefficient</v>
      </c>
    </row>
    <row r="2380" spans="1:6" x14ac:dyDescent="0.25">
      <c r="A2380" cm="1">
        <f t="array" ref="A2380">INDEX('Portfolio Weights Returns'!$B$9:$BJ$69,
INT((ROW(A2379)-1)/COLUMNS('Portfolio Weights Returns'!$B$9:$BJ$69))+1,MOD(ROW(A2379)-1,COLUMNS('Portfolio Weights Returns'!$B$9:$BJ$69))+1)</f>
        <v>-5.3828496849334714E-4</v>
      </c>
      <c r="B2380">
        <v>2.1299999999999999E-2</v>
      </c>
      <c r="C2380" s="59">
        <v>-0.03</v>
      </c>
      <c r="D2380" s="59">
        <v>-0.11</v>
      </c>
      <c r="E2380" s="60">
        <f t="shared" si="37"/>
        <v>1.1400000000000001</v>
      </c>
      <c r="F2380" t="str" cm="1">
        <f t="array" ref="F2380">IF(A2380=MAX(IF(ROUND($B$2:$B$3722,4)=ROUND(B2380,4),$A$2:$A$3722)),"Efficient","Inefficient")</f>
        <v>Efficient</v>
      </c>
    </row>
    <row r="2381" spans="1:6" x14ac:dyDescent="0.25">
      <c r="A2381" cm="1">
        <f t="array" ref="A2381">INDEX('Portfolio Weights Returns'!$B$9:$BJ$69,
INT((ROW(A2380)-1)/COLUMNS('Portfolio Weights Returns'!$B$9:$BJ$69))+1,MOD(ROW(A2380)-1,COLUMNS('Portfolio Weights Returns'!$B$9:$BJ$69))+1)</f>
        <v>-9.3858119864863873E-4</v>
      </c>
      <c r="B2381">
        <v>2.1299999999999999E-2</v>
      </c>
      <c r="C2381" s="59">
        <v>-0.09</v>
      </c>
      <c r="D2381" s="59">
        <v>-0.06</v>
      </c>
      <c r="E2381" s="60">
        <f t="shared" si="37"/>
        <v>1.1500000000000001</v>
      </c>
      <c r="F2381" t="str" cm="1">
        <f t="array" ref="F2381">IF(A2381=MAX(IF(ROUND($B$2:$B$3722,4)=ROUND(B2381,4),$A$2:$A$3722)),"Efficient","Inefficient")</f>
        <v>Inefficient</v>
      </c>
    </row>
    <row r="2382" spans="1:6" x14ac:dyDescent="0.25">
      <c r="A2382" cm="1">
        <f t="array" ref="A2382">INDEX('Portfolio Weights Returns'!$B$9:$BJ$69,
INT((ROW(A2381)-1)/COLUMNS('Portfolio Weights Returns'!$B$9:$BJ$69))+1,MOD(ROW(A2381)-1,COLUMNS('Portfolio Weights Returns'!$B$9:$BJ$69))+1)</f>
        <v>-9.3180002468195959E-4</v>
      </c>
      <c r="B2382">
        <v>2.1299999999999999E-2</v>
      </c>
      <c r="C2382" s="59">
        <v>-0.13</v>
      </c>
      <c r="D2382" s="59">
        <v>-0.01</v>
      </c>
      <c r="E2382" s="60">
        <f t="shared" si="37"/>
        <v>1.1400000000000001</v>
      </c>
      <c r="F2382" t="str" cm="1">
        <f t="array" ref="F2382">IF(A2382=MAX(IF(ROUND($B$2:$B$3722,4)=ROUND(B2382,4),$A$2:$A$3722)),"Efficient","Inefficient")</f>
        <v>Inefficient</v>
      </c>
    </row>
    <row r="2383" spans="1:6" x14ac:dyDescent="0.25">
      <c r="A2383" cm="1">
        <f t="array" ref="A2383">INDEX('Portfolio Weights Returns'!$B$9:$BJ$69,
INT((ROW(A2382)-1)/COLUMNS('Portfolio Weights Returns'!$B$9:$BJ$69))+1,MOD(ROW(A2382)-1,COLUMNS('Portfolio Weights Returns'!$B$9:$BJ$69))+1)</f>
        <v>-9.2501885071528055E-4</v>
      </c>
      <c r="B2383">
        <v>2.1299999999999999E-2</v>
      </c>
      <c r="C2383" s="59">
        <v>-0.14000000000000001</v>
      </c>
      <c r="D2383" s="59">
        <v>0</v>
      </c>
      <c r="E2383" s="60">
        <f t="shared" si="37"/>
        <v>1.1400000000000001</v>
      </c>
      <c r="F2383" t="str" cm="1">
        <f t="array" ref="F2383">IF(A2383=MAX(IF(ROUND($B$2:$B$3722,4)=ROUND(B2383,4),$A$2:$A$3722)),"Efficient","Inefficient")</f>
        <v>Inefficient</v>
      </c>
    </row>
    <row r="2384" spans="1:6" x14ac:dyDescent="0.25">
      <c r="A2384" cm="1">
        <f t="array" ref="A2384">INDEX('Portfolio Weights Returns'!$B$9:$BJ$69,
INT((ROW(A2383)-1)/COLUMNS('Portfolio Weights Returns'!$B$9:$BJ$69))+1,MOD(ROW(A2383)-1,COLUMNS('Portfolio Weights Returns'!$B$9:$BJ$69))+1)</f>
        <v>-9.1823767674860141E-4</v>
      </c>
      <c r="B2384">
        <v>2.1299999999999999E-2</v>
      </c>
      <c r="C2384" s="59">
        <v>-0.15</v>
      </c>
      <c r="D2384" s="59">
        <v>0.01</v>
      </c>
      <c r="E2384" s="60">
        <f t="shared" si="37"/>
        <v>1.1399999999999999</v>
      </c>
      <c r="F2384" t="str" cm="1">
        <f t="array" ref="F2384">IF(A2384=MAX(IF(ROUND($B$2:$B$3722,4)=ROUND(B2384,4),$A$2:$A$3722)),"Efficient","Inefficient")</f>
        <v>Inefficient</v>
      </c>
    </row>
    <row r="2385" spans="1:6" x14ac:dyDescent="0.25">
      <c r="A2385" cm="1">
        <f t="array" ref="A2385">INDEX('Portfolio Weights Returns'!$B$9:$BJ$69,
INT((ROW(A2384)-1)/COLUMNS('Portfolio Weights Returns'!$B$9:$BJ$69))+1,MOD(ROW(A2384)-1,COLUMNS('Portfolio Weights Returns'!$B$9:$BJ$69))+1)</f>
        <v>-9.1145650278192237E-4</v>
      </c>
      <c r="B2385">
        <v>2.1299999999999999E-2</v>
      </c>
      <c r="C2385" s="59">
        <v>-0.17</v>
      </c>
      <c r="D2385" s="59">
        <v>0.04</v>
      </c>
      <c r="E2385" s="60">
        <f t="shared" si="37"/>
        <v>1.1299999999999999</v>
      </c>
      <c r="F2385" t="str" cm="1">
        <f t="array" ref="F2385">IF(A2385=MAX(IF(ROUND($B$2:$B$3722,4)=ROUND(B2385,4),$A$2:$A$3722)),"Efficient","Inefficient")</f>
        <v>Inefficient</v>
      </c>
    </row>
    <row r="2386" spans="1:6" x14ac:dyDescent="0.25">
      <c r="A2386" cm="1">
        <f t="array" ref="A2386">INDEX('Portfolio Weights Returns'!$B$9:$BJ$69,
INT((ROW(A2385)-1)/COLUMNS('Portfolio Weights Returns'!$B$9:$BJ$69))+1,MOD(ROW(A2385)-1,COLUMNS('Portfolio Weights Returns'!$B$9:$BJ$69))+1)</f>
        <v>-9.0467532881524323E-4</v>
      </c>
      <c r="B2386">
        <v>2.1299999999999999E-2</v>
      </c>
      <c r="C2386" s="59">
        <v>-0.18</v>
      </c>
      <c r="D2386" s="59">
        <v>0.05</v>
      </c>
      <c r="E2386" s="60">
        <f t="shared" si="37"/>
        <v>1.1299999999999999</v>
      </c>
      <c r="F2386" t="str" cm="1">
        <f t="array" ref="F2386">IF(A2386=MAX(IF(ROUND($B$2:$B$3722,4)=ROUND(B2386,4),$A$2:$A$3722)),"Efficient","Inefficient")</f>
        <v>Inefficient</v>
      </c>
    </row>
    <row r="2387" spans="1:6" x14ac:dyDescent="0.25">
      <c r="A2387" cm="1">
        <f t="array" ref="A2387">INDEX('Portfolio Weights Returns'!$B$9:$BJ$69,
INT((ROW(A2386)-1)/COLUMNS('Portfolio Weights Returns'!$B$9:$BJ$69))+1,MOD(ROW(A2386)-1,COLUMNS('Portfolio Weights Returns'!$B$9:$BJ$69))+1)</f>
        <v>-8.9789415484856419E-4</v>
      </c>
      <c r="B2387">
        <v>2.1299999999999999E-2</v>
      </c>
      <c r="C2387" s="59">
        <v>-0.19</v>
      </c>
      <c r="D2387" s="59">
        <v>7.0000000000000007E-2</v>
      </c>
      <c r="E2387" s="60">
        <f t="shared" si="37"/>
        <v>1.1199999999999999</v>
      </c>
      <c r="F2387" t="str" cm="1">
        <f t="array" ref="F2387">IF(A2387=MAX(IF(ROUND($B$2:$B$3722,4)=ROUND(B2387,4),$A$2:$A$3722)),"Efficient","Inefficient")</f>
        <v>Inefficient</v>
      </c>
    </row>
    <row r="2388" spans="1:6" x14ac:dyDescent="0.25">
      <c r="A2388" cm="1">
        <f t="array" ref="A2388">INDEX('Portfolio Weights Returns'!$B$9:$BJ$69,
INT((ROW(A2387)-1)/COLUMNS('Portfolio Weights Returns'!$B$9:$BJ$69))+1,MOD(ROW(A2387)-1,COLUMNS('Portfolio Weights Returns'!$B$9:$BJ$69))+1)</f>
        <v>-8.9111298088188494E-4</v>
      </c>
      <c r="B2388">
        <v>2.1299999999999999E-2</v>
      </c>
      <c r="C2388" s="59">
        <v>-0.2</v>
      </c>
      <c r="D2388" s="59">
        <v>0.09</v>
      </c>
      <c r="E2388" s="60">
        <f t="shared" si="37"/>
        <v>1.1100000000000001</v>
      </c>
      <c r="F2388" t="str" cm="1">
        <f t="array" ref="F2388">IF(A2388=MAX(IF(ROUND($B$2:$B$3722,4)=ROUND(B2388,4),$A$2:$A$3722)),"Efficient","Inefficient")</f>
        <v>Inefficient</v>
      </c>
    </row>
    <row r="2389" spans="1:6" x14ac:dyDescent="0.25">
      <c r="A2389" cm="1">
        <f t="array" ref="A2389">INDEX('Portfolio Weights Returns'!$B$9:$BJ$69,
INT((ROW(A2388)-1)/COLUMNS('Portfolio Weights Returns'!$B$9:$BJ$69))+1,MOD(ROW(A2388)-1,COLUMNS('Portfolio Weights Returns'!$B$9:$BJ$69))+1)</f>
        <v>-8.843318069152059E-4</v>
      </c>
      <c r="B2389">
        <v>2.1299999999999999E-2</v>
      </c>
      <c r="C2389" s="59">
        <v>-0.21</v>
      </c>
      <c r="D2389" s="59">
        <v>0.11</v>
      </c>
      <c r="E2389" s="60">
        <f t="shared" si="37"/>
        <v>1.1000000000000001</v>
      </c>
      <c r="F2389" t="str" cm="1">
        <f t="array" ref="F2389">IF(A2389=MAX(IF(ROUND($B$2:$B$3722,4)=ROUND(B2389,4),$A$2:$A$3722)),"Efficient","Inefficient")</f>
        <v>Inefficient</v>
      </c>
    </row>
    <row r="2390" spans="1:6" x14ac:dyDescent="0.25">
      <c r="A2390" cm="1">
        <f t="array" ref="A2390">INDEX('Portfolio Weights Returns'!$B$9:$BJ$69,
INT((ROW(A2389)-1)/COLUMNS('Portfolio Weights Returns'!$B$9:$BJ$69))+1,MOD(ROW(A2389)-1,COLUMNS('Portfolio Weights Returns'!$B$9:$BJ$69))+1)</f>
        <v>-8.7755063294852676E-4</v>
      </c>
      <c r="B2390">
        <v>2.1299999999999999E-2</v>
      </c>
      <c r="C2390" s="59">
        <v>-0.22</v>
      </c>
      <c r="D2390" s="59">
        <v>0.13</v>
      </c>
      <c r="E2390" s="60">
        <f t="shared" si="37"/>
        <v>1.0900000000000001</v>
      </c>
      <c r="F2390" t="str" cm="1">
        <f t="array" ref="F2390">IF(A2390=MAX(IF(ROUND($B$2:$B$3722,4)=ROUND(B2390,4),$A$2:$A$3722)),"Efficient","Inefficient")</f>
        <v>Inefficient</v>
      </c>
    </row>
    <row r="2391" spans="1:6" x14ac:dyDescent="0.25">
      <c r="A2391" cm="1">
        <f t="array" ref="A2391">INDEX('Portfolio Weights Returns'!$B$9:$BJ$69,
INT((ROW(A2390)-1)/COLUMNS('Portfolio Weights Returns'!$B$9:$BJ$69))+1,MOD(ROW(A2390)-1,COLUMNS('Portfolio Weights Returns'!$B$9:$BJ$69))+1)</f>
        <v>-8.7076945898184762E-4</v>
      </c>
      <c r="B2391">
        <v>2.1299999999999999E-2</v>
      </c>
      <c r="C2391" s="59">
        <v>-0.22</v>
      </c>
      <c r="D2391" s="59">
        <v>0.14000000000000001</v>
      </c>
      <c r="E2391" s="60">
        <f t="shared" si="37"/>
        <v>1.08</v>
      </c>
      <c r="F2391" t="str" cm="1">
        <f t="array" ref="F2391">IF(A2391=MAX(IF(ROUND($B$2:$B$3722,4)=ROUND(B2391,4),$A$2:$A$3722)),"Efficient","Inefficient")</f>
        <v>Inefficient</v>
      </c>
    </row>
    <row r="2392" spans="1:6" x14ac:dyDescent="0.25">
      <c r="A2392" cm="1">
        <f t="array" ref="A2392">INDEX('Portfolio Weights Returns'!$B$9:$BJ$69,
INT((ROW(A2391)-1)/COLUMNS('Portfolio Weights Returns'!$B$9:$BJ$69))+1,MOD(ROW(A2391)-1,COLUMNS('Portfolio Weights Returns'!$B$9:$BJ$69))+1)</f>
        <v>-8.6398828501516858E-4</v>
      </c>
      <c r="B2392">
        <v>2.1299999999999999E-2</v>
      </c>
      <c r="C2392" s="59">
        <v>-0.23</v>
      </c>
      <c r="D2392" s="59">
        <v>0.17</v>
      </c>
      <c r="E2392" s="60">
        <f t="shared" si="37"/>
        <v>1.06</v>
      </c>
      <c r="F2392" t="str" cm="1">
        <f t="array" ref="F2392">IF(A2392=MAX(IF(ROUND($B$2:$B$3722,4)=ROUND(B2392,4),$A$2:$A$3722)),"Efficient","Inefficient")</f>
        <v>Inefficient</v>
      </c>
    </row>
    <row r="2393" spans="1:6" x14ac:dyDescent="0.25">
      <c r="A2393" cm="1">
        <f t="array" ref="A2393">INDEX('Portfolio Weights Returns'!$B$9:$BJ$69,
INT((ROW(A2392)-1)/COLUMNS('Portfolio Weights Returns'!$B$9:$BJ$69))+1,MOD(ROW(A2392)-1,COLUMNS('Portfolio Weights Returns'!$B$9:$BJ$69))+1)</f>
        <v>-8.5720711104848944E-4</v>
      </c>
      <c r="B2393">
        <v>2.1299999999999999E-2</v>
      </c>
      <c r="C2393" s="59">
        <v>-0.23</v>
      </c>
      <c r="D2393" s="59">
        <v>0.18</v>
      </c>
      <c r="E2393" s="60">
        <f t="shared" si="37"/>
        <v>1.05</v>
      </c>
      <c r="F2393" t="str" cm="1">
        <f t="array" ref="F2393">IF(A2393=MAX(IF(ROUND($B$2:$B$3722,4)=ROUND(B2393,4),$A$2:$A$3722)),"Efficient","Inefficient")</f>
        <v>Inefficient</v>
      </c>
    </row>
    <row r="2394" spans="1:6" x14ac:dyDescent="0.25">
      <c r="A2394" cm="1">
        <f t="array" ref="A2394">INDEX('Portfolio Weights Returns'!$B$9:$BJ$69,
INT((ROW(A2393)-1)/COLUMNS('Portfolio Weights Returns'!$B$9:$BJ$69))+1,MOD(ROW(A2393)-1,COLUMNS('Portfolio Weights Returns'!$B$9:$BJ$69))+1)</f>
        <v>-8.504259370818104E-4</v>
      </c>
      <c r="B2394">
        <v>2.1299999999999999E-2</v>
      </c>
      <c r="C2394" s="59">
        <v>-0.23</v>
      </c>
      <c r="D2394" s="59">
        <v>0.19</v>
      </c>
      <c r="E2394" s="60">
        <f t="shared" si="37"/>
        <v>1.04</v>
      </c>
      <c r="F2394" t="str" cm="1">
        <f t="array" ref="F2394">IF(A2394=MAX(IF(ROUND($B$2:$B$3722,4)=ROUND(B2394,4),$A$2:$A$3722)),"Efficient","Inefficient")</f>
        <v>Inefficient</v>
      </c>
    </row>
    <row r="2395" spans="1:6" x14ac:dyDescent="0.25">
      <c r="A2395" cm="1">
        <f t="array" ref="A2395">INDEX('Portfolio Weights Returns'!$B$9:$BJ$69,
INT((ROW(A2394)-1)/COLUMNS('Portfolio Weights Returns'!$B$9:$BJ$69))+1,MOD(ROW(A2394)-1,COLUMNS('Portfolio Weights Returns'!$B$9:$BJ$69))+1)</f>
        <v>-8.4364476311513115E-4</v>
      </c>
      <c r="B2395">
        <v>2.1299999999999999E-2</v>
      </c>
      <c r="C2395" s="59">
        <v>-0.23</v>
      </c>
      <c r="D2395" s="59">
        <v>0.2</v>
      </c>
      <c r="E2395" s="60">
        <f t="shared" si="37"/>
        <v>1.03</v>
      </c>
      <c r="F2395" t="str" cm="1">
        <f t="array" ref="F2395">IF(A2395=MAX(IF(ROUND($B$2:$B$3722,4)=ROUND(B2395,4),$A$2:$A$3722)),"Efficient","Inefficient")</f>
        <v>Inefficient</v>
      </c>
    </row>
    <row r="2396" spans="1:6" x14ac:dyDescent="0.25">
      <c r="A2396" cm="1">
        <f t="array" ref="A2396">INDEX('Portfolio Weights Returns'!$B$9:$BJ$69,
INT((ROW(A2395)-1)/COLUMNS('Portfolio Weights Returns'!$B$9:$BJ$69))+1,MOD(ROW(A2395)-1,COLUMNS('Portfolio Weights Returns'!$B$9:$BJ$69))+1)</f>
        <v>-8.3686358914845211E-4</v>
      </c>
      <c r="B2396">
        <v>2.1299999999999999E-2</v>
      </c>
      <c r="C2396" s="59">
        <v>-0.23</v>
      </c>
      <c r="D2396" s="59">
        <v>0.21</v>
      </c>
      <c r="E2396" s="60">
        <f t="shared" si="37"/>
        <v>1.02</v>
      </c>
      <c r="F2396" t="str" cm="1">
        <f t="array" ref="F2396">IF(A2396=MAX(IF(ROUND($B$2:$B$3722,4)=ROUND(B2396,4),$A$2:$A$3722)),"Efficient","Inefficient")</f>
        <v>Inefficient</v>
      </c>
    </row>
    <row r="2397" spans="1:6" x14ac:dyDescent="0.25">
      <c r="A2397" cm="1">
        <f t="array" ref="A2397">INDEX('Portfolio Weights Returns'!$B$9:$BJ$69,
INT((ROW(A2396)-1)/COLUMNS('Portfolio Weights Returns'!$B$9:$BJ$69))+1,MOD(ROW(A2396)-1,COLUMNS('Portfolio Weights Returns'!$B$9:$BJ$69))+1)</f>
        <v>-8.3008241518177318E-4</v>
      </c>
      <c r="B2397">
        <v>2.1299999999999999E-2</v>
      </c>
      <c r="C2397" s="59">
        <v>-0.23</v>
      </c>
      <c r="D2397" s="59">
        <v>0.22</v>
      </c>
      <c r="E2397" s="60">
        <f t="shared" si="37"/>
        <v>1.01</v>
      </c>
      <c r="F2397" t="str" cm="1">
        <f t="array" ref="F2397">IF(A2397=MAX(IF(ROUND($B$2:$B$3722,4)=ROUND(B2397,4),$A$2:$A$3722)),"Efficient","Inefficient")</f>
        <v>Inefficient</v>
      </c>
    </row>
    <row r="2398" spans="1:6" x14ac:dyDescent="0.25">
      <c r="A2398" cm="1">
        <f t="array" ref="A2398">INDEX('Portfolio Weights Returns'!$B$9:$BJ$69,
INT((ROW(A2397)-1)/COLUMNS('Portfolio Weights Returns'!$B$9:$BJ$69))+1,MOD(ROW(A2397)-1,COLUMNS('Portfolio Weights Returns'!$B$9:$BJ$69))+1)</f>
        <v>-8.2330124121509393E-4</v>
      </c>
      <c r="B2398">
        <v>2.1299999999999999E-2</v>
      </c>
      <c r="C2398" s="59">
        <v>-0.23</v>
      </c>
      <c r="D2398" s="59">
        <v>0.23</v>
      </c>
      <c r="E2398" s="60">
        <f t="shared" si="37"/>
        <v>1</v>
      </c>
      <c r="F2398" t="str" cm="1">
        <f t="array" ref="F2398">IF(A2398=MAX(IF(ROUND($B$2:$B$3722,4)=ROUND(B2398,4),$A$2:$A$3722)),"Efficient","Inefficient")</f>
        <v>Inefficient</v>
      </c>
    </row>
    <row r="2399" spans="1:6" x14ac:dyDescent="0.25">
      <c r="A2399" cm="1">
        <f t="array" ref="A2399">INDEX('Portfolio Weights Returns'!$B$9:$BJ$69,
INT((ROW(A2398)-1)/COLUMNS('Portfolio Weights Returns'!$B$9:$BJ$69))+1,MOD(ROW(A2398)-1,COLUMNS('Portfolio Weights Returns'!$B$9:$BJ$69))+1)</f>
        <v>-8.1652006724841489E-4</v>
      </c>
      <c r="B2399">
        <v>2.1299999999999999E-2</v>
      </c>
      <c r="C2399" s="59">
        <v>-0.23</v>
      </c>
      <c r="D2399" s="59">
        <v>0.24</v>
      </c>
      <c r="E2399" s="60">
        <f t="shared" si="37"/>
        <v>0.99</v>
      </c>
      <c r="F2399" t="str" cm="1">
        <f t="array" ref="F2399">IF(A2399=MAX(IF(ROUND($B$2:$B$3722,4)=ROUND(B2399,4),$A$2:$A$3722)),"Efficient","Inefficient")</f>
        <v>Inefficient</v>
      </c>
    </row>
    <row r="2400" spans="1:6" x14ac:dyDescent="0.25">
      <c r="A2400" cm="1">
        <f t="array" ref="A2400">INDEX('Portfolio Weights Returns'!$B$9:$BJ$69,
INT((ROW(A2399)-1)/COLUMNS('Portfolio Weights Returns'!$B$9:$BJ$69))+1,MOD(ROW(A2399)-1,COLUMNS('Portfolio Weights Returns'!$B$9:$BJ$69))+1)</f>
        <v>-8.0973889328173575E-4</v>
      </c>
      <c r="B2400">
        <v>2.1299999999999999E-2</v>
      </c>
      <c r="C2400" s="59">
        <v>-0.23</v>
      </c>
      <c r="D2400" s="59">
        <v>0.25</v>
      </c>
      <c r="E2400" s="60">
        <f t="shared" si="37"/>
        <v>0.98</v>
      </c>
      <c r="F2400" t="str" cm="1">
        <f t="array" ref="F2400">IF(A2400=MAX(IF(ROUND($B$2:$B$3722,4)=ROUND(B2400,4),$A$2:$A$3722)),"Efficient","Inefficient")</f>
        <v>Inefficient</v>
      </c>
    </row>
    <row r="2401" spans="1:6" x14ac:dyDescent="0.25">
      <c r="A2401" cm="1">
        <f t="array" ref="A2401">INDEX('Portfolio Weights Returns'!$B$9:$BJ$69,
INT((ROW(A2400)-1)/COLUMNS('Portfolio Weights Returns'!$B$9:$BJ$69))+1,MOD(ROW(A2400)-1,COLUMNS('Portfolio Weights Returns'!$B$9:$BJ$69))+1)</f>
        <v>-8.0295771931505671E-4</v>
      </c>
      <c r="B2401">
        <v>2.1299999999999999E-2</v>
      </c>
      <c r="C2401" s="59">
        <v>-0.23</v>
      </c>
      <c r="D2401" s="59">
        <v>0.26</v>
      </c>
      <c r="E2401" s="60">
        <f t="shared" si="37"/>
        <v>0.97</v>
      </c>
      <c r="F2401" t="str" cm="1">
        <f t="array" ref="F2401">IF(A2401=MAX(IF(ROUND($B$2:$B$3722,4)=ROUND(B2401,4),$A$2:$A$3722)),"Efficient","Inefficient")</f>
        <v>Inefficient</v>
      </c>
    </row>
    <row r="2402" spans="1:6" x14ac:dyDescent="0.25">
      <c r="A2402" cm="1">
        <f t="array" ref="A2402">INDEX('Portfolio Weights Returns'!$B$9:$BJ$69,
INT((ROW(A2401)-1)/COLUMNS('Portfolio Weights Returns'!$B$9:$BJ$69))+1,MOD(ROW(A2401)-1,COLUMNS('Portfolio Weights Returns'!$B$9:$BJ$69))+1)</f>
        <v>-7.9617654534837757E-4</v>
      </c>
      <c r="B2402">
        <v>2.1299999999999999E-2</v>
      </c>
      <c r="C2402" s="59">
        <v>-0.22</v>
      </c>
      <c r="D2402" s="59">
        <v>0.28000000000000003</v>
      </c>
      <c r="E2402" s="60">
        <f t="shared" si="37"/>
        <v>0.94</v>
      </c>
      <c r="F2402" t="str" cm="1">
        <f t="array" ref="F2402">IF(A2402=MAX(IF(ROUND($B$2:$B$3722,4)=ROUND(B2402,4),$A$2:$A$3722)),"Efficient","Inefficient")</f>
        <v>Inefficient</v>
      </c>
    </row>
    <row r="2403" spans="1:6" x14ac:dyDescent="0.25">
      <c r="A2403" cm="1">
        <f t="array" ref="A2403">INDEX('Portfolio Weights Returns'!$B$9:$BJ$69,
INT((ROW(A2402)-1)/COLUMNS('Portfolio Weights Returns'!$B$9:$BJ$69))+1,MOD(ROW(A2402)-1,COLUMNS('Portfolio Weights Returns'!$B$9:$BJ$69))+1)</f>
        <v>-7.8939537138169864E-4</v>
      </c>
      <c r="B2403">
        <v>2.1299999999999999E-2</v>
      </c>
      <c r="C2403" s="59">
        <v>-0.22</v>
      </c>
      <c r="D2403" s="59">
        <v>0.28999999999999998</v>
      </c>
      <c r="E2403" s="60">
        <f t="shared" si="37"/>
        <v>0.92999999999999994</v>
      </c>
      <c r="F2403" t="str" cm="1">
        <f t="array" ref="F2403">IF(A2403=MAX(IF(ROUND($B$2:$B$3722,4)=ROUND(B2403,4),$A$2:$A$3722)),"Efficient","Inefficient")</f>
        <v>Inefficient</v>
      </c>
    </row>
    <row r="2404" spans="1:6" x14ac:dyDescent="0.25">
      <c r="A2404" cm="1">
        <f t="array" ref="A2404">INDEX('Portfolio Weights Returns'!$B$9:$BJ$69,
INT((ROW(A2403)-1)/COLUMNS('Portfolio Weights Returns'!$B$9:$BJ$69))+1,MOD(ROW(A2403)-1,COLUMNS('Portfolio Weights Returns'!$B$9:$BJ$69))+1)</f>
        <v>-7.826141974150195E-4</v>
      </c>
      <c r="B2404">
        <v>2.1299999999999999E-2</v>
      </c>
      <c r="C2404" s="59">
        <v>-0.21</v>
      </c>
      <c r="D2404" s="59">
        <v>0.3</v>
      </c>
      <c r="E2404" s="60">
        <f t="shared" si="37"/>
        <v>0.90999999999999992</v>
      </c>
      <c r="F2404" t="str" cm="1">
        <f t="array" ref="F2404">IF(A2404=MAX(IF(ROUND($B$2:$B$3722,4)=ROUND(B2404,4),$A$2:$A$3722)),"Efficient","Inefficient")</f>
        <v>Inefficient</v>
      </c>
    </row>
    <row r="2405" spans="1:6" x14ac:dyDescent="0.25">
      <c r="A2405" cm="1">
        <f t="array" ref="A2405">INDEX('Portfolio Weights Returns'!$B$9:$BJ$69,
INT((ROW(A2404)-1)/COLUMNS('Portfolio Weights Returns'!$B$9:$BJ$69))+1,MOD(ROW(A2404)-1,COLUMNS('Portfolio Weights Returns'!$B$9:$BJ$69))+1)</f>
        <v>-7.7583302344834035E-4</v>
      </c>
      <c r="B2405">
        <v>2.1399999999999999E-2</v>
      </c>
      <c r="C2405" s="59">
        <v>0.26</v>
      </c>
      <c r="D2405" s="59">
        <v>-0.3</v>
      </c>
      <c r="E2405" s="60">
        <f t="shared" si="37"/>
        <v>1.04</v>
      </c>
      <c r="F2405" t="str" cm="1">
        <f t="array" ref="F2405">IF(A2405=MAX(IF(ROUND($B$2:$B$3722,4)=ROUND(B2405,4),$A$2:$A$3722)),"Efficient","Inefficient")</f>
        <v>Inefficient</v>
      </c>
    </row>
    <row r="2406" spans="1:6" x14ac:dyDescent="0.25">
      <c r="A2406" cm="1">
        <f t="array" ref="A2406">INDEX('Portfolio Weights Returns'!$B$9:$BJ$69,
INT((ROW(A2405)-1)/COLUMNS('Portfolio Weights Returns'!$B$9:$BJ$69))+1,MOD(ROW(A2405)-1,COLUMNS('Portfolio Weights Returns'!$B$9:$BJ$69))+1)</f>
        <v>-7.6905184948166121E-4</v>
      </c>
      <c r="B2406">
        <v>2.1399999999999999E-2</v>
      </c>
      <c r="C2406" s="59">
        <v>0.24</v>
      </c>
      <c r="D2406" s="59">
        <v>-0.28999999999999998</v>
      </c>
      <c r="E2406" s="60">
        <f t="shared" si="37"/>
        <v>1.05</v>
      </c>
      <c r="F2406" t="str" cm="1">
        <f t="array" ref="F2406">IF(A2406=MAX(IF(ROUND($B$2:$B$3722,4)=ROUND(B2406,4),$A$2:$A$3722)),"Efficient","Inefficient")</f>
        <v>Inefficient</v>
      </c>
    </row>
    <row r="2407" spans="1:6" x14ac:dyDescent="0.25">
      <c r="A2407" cm="1">
        <f t="array" ref="A2407">INDEX('Portfolio Weights Returns'!$B$9:$BJ$69,
INT((ROW(A2406)-1)/COLUMNS('Portfolio Weights Returns'!$B$9:$BJ$69))+1,MOD(ROW(A2406)-1,COLUMNS('Portfolio Weights Returns'!$B$9:$BJ$69))+1)</f>
        <v>-7.6227067551498217E-4</v>
      </c>
      <c r="B2407">
        <v>2.1399999999999999E-2</v>
      </c>
      <c r="C2407" s="59">
        <v>0.22</v>
      </c>
      <c r="D2407" s="59">
        <v>-0.28000000000000003</v>
      </c>
      <c r="E2407" s="60">
        <f t="shared" si="37"/>
        <v>1.06</v>
      </c>
      <c r="F2407" t="str" cm="1">
        <f t="array" ref="F2407">IF(A2407=MAX(IF(ROUND($B$2:$B$3722,4)=ROUND(B2407,4),$A$2:$A$3722)),"Efficient","Inefficient")</f>
        <v>Inefficient</v>
      </c>
    </row>
    <row r="2408" spans="1:6" x14ac:dyDescent="0.25">
      <c r="A2408" cm="1">
        <f t="array" ref="A2408">INDEX('Portfolio Weights Returns'!$B$9:$BJ$69,
INT((ROW(A2407)-1)/COLUMNS('Portfolio Weights Returns'!$B$9:$BJ$69))+1,MOD(ROW(A2407)-1,COLUMNS('Portfolio Weights Returns'!$B$9:$BJ$69))+1)</f>
        <v>-7.5548950154830303E-4</v>
      </c>
      <c r="B2408">
        <v>2.1399999999999999E-2</v>
      </c>
      <c r="C2408" s="59">
        <v>0.2</v>
      </c>
      <c r="D2408" s="59">
        <v>-0.27</v>
      </c>
      <c r="E2408" s="60">
        <f t="shared" si="37"/>
        <v>1.07</v>
      </c>
      <c r="F2408" t="str" cm="1">
        <f t="array" ref="F2408">IF(A2408=MAX(IF(ROUND($B$2:$B$3722,4)=ROUND(B2408,4),$A$2:$A$3722)),"Efficient","Inefficient")</f>
        <v>Inefficient</v>
      </c>
    </row>
    <row r="2409" spans="1:6" x14ac:dyDescent="0.25">
      <c r="A2409" cm="1">
        <f t="array" ref="A2409">INDEX('Portfolio Weights Returns'!$B$9:$BJ$69,
INT((ROW(A2408)-1)/COLUMNS('Portfolio Weights Returns'!$B$9:$BJ$69))+1,MOD(ROW(A2408)-1,COLUMNS('Portfolio Weights Returns'!$B$9:$BJ$69))+1)</f>
        <v>-7.4870832758162399E-4</v>
      </c>
      <c r="B2409">
        <v>2.1399999999999999E-2</v>
      </c>
      <c r="C2409" s="59">
        <v>0.18</v>
      </c>
      <c r="D2409" s="59">
        <v>-0.26</v>
      </c>
      <c r="E2409" s="60">
        <f t="shared" si="37"/>
        <v>1.08</v>
      </c>
      <c r="F2409" t="str" cm="1">
        <f t="array" ref="F2409">IF(A2409=MAX(IF(ROUND($B$2:$B$3722,4)=ROUND(B2409,4),$A$2:$A$3722)),"Efficient","Inefficient")</f>
        <v>Inefficient</v>
      </c>
    </row>
    <row r="2410" spans="1:6" x14ac:dyDescent="0.25">
      <c r="A2410" cm="1">
        <f t="array" ref="A2410">INDEX('Portfolio Weights Returns'!$B$9:$BJ$69,
INT((ROW(A2409)-1)/COLUMNS('Portfolio Weights Returns'!$B$9:$BJ$69))+1,MOD(ROW(A2409)-1,COLUMNS('Portfolio Weights Returns'!$B$9:$BJ$69))+1)</f>
        <v>-7.4192715361494485E-4</v>
      </c>
      <c r="B2410">
        <v>2.1399999999999999E-2</v>
      </c>
      <c r="C2410" s="59">
        <v>0.13</v>
      </c>
      <c r="D2410" s="59">
        <v>-0.23</v>
      </c>
      <c r="E2410" s="60">
        <f t="shared" si="37"/>
        <v>1.1000000000000001</v>
      </c>
      <c r="F2410" t="str" cm="1">
        <f t="array" ref="F2410">IF(A2410=MAX(IF(ROUND($B$2:$B$3722,4)=ROUND(B2410,4),$A$2:$A$3722)),"Efficient","Inefficient")</f>
        <v>Inefficient</v>
      </c>
    </row>
    <row r="2411" spans="1:6" x14ac:dyDescent="0.25">
      <c r="A2411" cm="1">
        <f t="array" ref="A2411">INDEX('Portfolio Weights Returns'!$B$9:$BJ$69,
INT((ROW(A2410)-1)/COLUMNS('Portfolio Weights Returns'!$B$9:$BJ$69))+1,MOD(ROW(A2410)-1,COLUMNS('Portfolio Weights Returns'!$B$9:$BJ$69))+1)</f>
        <v>-7.351459796482657E-4</v>
      </c>
      <c r="B2411">
        <v>2.1399999999999999E-2</v>
      </c>
      <c r="C2411" s="59">
        <v>0.11</v>
      </c>
      <c r="D2411" s="59">
        <v>-0.22</v>
      </c>
      <c r="E2411" s="60">
        <f t="shared" si="37"/>
        <v>1.1099999999999999</v>
      </c>
      <c r="F2411" t="str" cm="1">
        <f t="array" ref="F2411">IF(A2411=MAX(IF(ROUND($B$2:$B$3722,4)=ROUND(B2411,4),$A$2:$A$3722)),"Efficient","Inefficient")</f>
        <v>Inefficient</v>
      </c>
    </row>
    <row r="2412" spans="1:6" x14ac:dyDescent="0.25">
      <c r="A2412" cm="1">
        <f t="array" ref="A2412">INDEX('Portfolio Weights Returns'!$B$9:$BJ$69,
INT((ROW(A2411)-1)/COLUMNS('Portfolio Weights Returns'!$B$9:$BJ$69))+1,MOD(ROW(A2411)-1,COLUMNS('Portfolio Weights Returns'!$B$9:$BJ$69))+1)</f>
        <v>-7.2836480568158656E-4</v>
      </c>
      <c r="B2412">
        <v>2.1399999999999999E-2</v>
      </c>
      <c r="C2412" s="59">
        <v>0.1</v>
      </c>
      <c r="D2412" s="59">
        <v>-0.21</v>
      </c>
      <c r="E2412" s="60">
        <f t="shared" si="37"/>
        <v>1.1099999999999999</v>
      </c>
      <c r="F2412" t="str" cm="1">
        <f t="array" ref="F2412">IF(A2412=MAX(IF(ROUND($B$2:$B$3722,4)=ROUND(B2412,4),$A$2:$A$3722)),"Efficient","Inefficient")</f>
        <v>Inefficient</v>
      </c>
    </row>
    <row r="2413" spans="1:6" x14ac:dyDescent="0.25">
      <c r="A2413" cm="1">
        <f t="array" ref="A2413">INDEX('Portfolio Weights Returns'!$B$9:$BJ$69,
INT((ROW(A2412)-1)/COLUMNS('Portfolio Weights Returns'!$B$9:$BJ$69))+1,MOD(ROW(A2412)-1,COLUMNS('Portfolio Weights Returns'!$B$9:$BJ$69))+1)</f>
        <v>-7.2158363171490741E-4</v>
      </c>
      <c r="B2413">
        <v>2.1399999999999999E-2</v>
      </c>
      <c r="C2413" s="59">
        <v>0.08</v>
      </c>
      <c r="D2413" s="59">
        <v>-0.2</v>
      </c>
      <c r="E2413" s="60">
        <f t="shared" si="37"/>
        <v>1.1199999999999999</v>
      </c>
      <c r="F2413" t="str" cm="1">
        <f t="array" ref="F2413">IF(A2413=MAX(IF(ROUND($B$2:$B$3722,4)=ROUND(B2413,4),$A$2:$A$3722)),"Efficient","Inefficient")</f>
        <v>Inefficient</v>
      </c>
    </row>
    <row r="2414" spans="1:6" x14ac:dyDescent="0.25">
      <c r="A2414" cm="1">
        <f t="array" ref="A2414">INDEX('Portfolio Weights Returns'!$B$9:$BJ$69,
INT((ROW(A2413)-1)/COLUMNS('Portfolio Weights Returns'!$B$9:$BJ$69))+1,MOD(ROW(A2413)-1,COLUMNS('Portfolio Weights Returns'!$B$9:$BJ$69))+1)</f>
        <v>-7.1480245774822838E-4</v>
      </c>
      <c r="B2414">
        <v>2.1399999999999999E-2</v>
      </c>
      <c r="C2414" s="59">
        <v>7.0000000000000007E-2</v>
      </c>
      <c r="D2414" s="59">
        <v>-0.19</v>
      </c>
      <c r="E2414" s="60">
        <f t="shared" si="37"/>
        <v>1.1199999999999999</v>
      </c>
      <c r="F2414" t="str" cm="1">
        <f t="array" ref="F2414">IF(A2414=MAX(IF(ROUND($B$2:$B$3722,4)=ROUND(B2414,4),$A$2:$A$3722)),"Efficient","Inefficient")</f>
        <v>Inefficient</v>
      </c>
    </row>
    <row r="2415" spans="1:6" x14ac:dyDescent="0.25">
      <c r="A2415" cm="1">
        <f t="array" ref="A2415">INDEX('Portfolio Weights Returns'!$B$9:$BJ$69,
INT((ROW(A2414)-1)/COLUMNS('Portfolio Weights Returns'!$B$9:$BJ$69))+1,MOD(ROW(A2414)-1,COLUMNS('Portfolio Weights Returns'!$B$9:$BJ$69))+1)</f>
        <v>-7.0802128378154923E-4</v>
      </c>
      <c r="B2415">
        <v>2.1399999999999999E-2</v>
      </c>
      <c r="C2415" s="59">
        <v>0.05</v>
      </c>
      <c r="D2415" s="59">
        <v>-0.18</v>
      </c>
      <c r="E2415" s="60">
        <f t="shared" si="37"/>
        <v>1.1299999999999999</v>
      </c>
      <c r="F2415" t="str" cm="1">
        <f t="array" ref="F2415">IF(A2415=MAX(IF(ROUND($B$2:$B$3722,4)=ROUND(B2415,4),$A$2:$A$3722)),"Efficient","Inefficient")</f>
        <v>Inefficient</v>
      </c>
    </row>
    <row r="2416" spans="1:6" x14ac:dyDescent="0.25">
      <c r="A2416" cm="1">
        <f t="array" ref="A2416">INDEX('Portfolio Weights Returns'!$B$9:$BJ$69,
INT((ROW(A2415)-1)/COLUMNS('Portfolio Weights Returns'!$B$9:$BJ$69))+1,MOD(ROW(A2415)-1,COLUMNS('Portfolio Weights Returns'!$B$9:$BJ$69))+1)</f>
        <v>-7.012401098148702E-4</v>
      </c>
      <c r="B2416">
        <v>2.1399999999999999E-2</v>
      </c>
      <c r="C2416" s="59">
        <v>0.04</v>
      </c>
      <c r="D2416" s="59">
        <v>-0.17</v>
      </c>
      <c r="E2416" s="60">
        <f t="shared" si="37"/>
        <v>1.1299999999999999</v>
      </c>
      <c r="F2416" t="str" cm="1">
        <f t="array" ref="F2416">IF(A2416=MAX(IF(ROUND($B$2:$B$3722,4)=ROUND(B2416,4),$A$2:$A$3722)),"Efficient","Inefficient")</f>
        <v>Inefficient</v>
      </c>
    </row>
    <row r="2417" spans="1:6" x14ac:dyDescent="0.25">
      <c r="A2417" cm="1">
        <f t="array" ref="A2417">INDEX('Portfolio Weights Returns'!$B$9:$BJ$69,
INT((ROW(A2416)-1)/COLUMNS('Portfolio Weights Returns'!$B$9:$BJ$69))+1,MOD(ROW(A2416)-1,COLUMNS('Portfolio Weights Returns'!$B$9:$BJ$69))+1)</f>
        <v>-6.9445893584819105E-4</v>
      </c>
      <c r="B2417">
        <v>2.1399999999999999E-2</v>
      </c>
      <c r="C2417" s="59">
        <v>0.01</v>
      </c>
      <c r="D2417" s="59">
        <v>-0.15</v>
      </c>
      <c r="E2417" s="60">
        <f t="shared" si="37"/>
        <v>1.1399999999999999</v>
      </c>
      <c r="F2417" t="str" cm="1">
        <f t="array" ref="F2417">IF(A2417=MAX(IF(ROUND($B$2:$B$3722,4)=ROUND(B2417,4),$A$2:$A$3722)),"Efficient","Inefficient")</f>
        <v>Inefficient</v>
      </c>
    </row>
    <row r="2418" spans="1:6" x14ac:dyDescent="0.25">
      <c r="A2418" cm="1">
        <f t="array" ref="A2418">INDEX('Portfolio Weights Returns'!$B$9:$BJ$69,
INT((ROW(A2417)-1)/COLUMNS('Portfolio Weights Returns'!$B$9:$BJ$69))+1,MOD(ROW(A2417)-1,COLUMNS('Portfolio Weights Returns'!$B$9:$BJ$69))+1)</f>
        <v>-6.8767776188151191E-4</v>
      </c>
      <c r="B2418">
        <v>2.1399999999999999E-2</v>
      </c>
      <c r="C2418" s="59">
        <v>0</v>
      </c>
      <c r="D2418" s="59">
        <v>-0.14000000000000001</v>
      </c>
      <c r="E2418" s="60">
        <f t="shared" si="37"/>
        <v>1.1400000000000001</v>
      </c>
      <c r="F2418" t="str" cm="1">
        <f t="array" ref="F2418">IF(A2418=MAX(IF(ROUND($B$2:$B$3722,4)=ROUND(B2418,4),$A$2:$A$3722)),"Efficient","Inefficient")</f>
        <v>Inefficient</v>
      </c>
    </row>
    <row r="2419" spans="1:6" x14ac:dyDescent="0.25">
      <c r="A2419" cm="1">
        <f t="array" ref="A2419">INDEX('Portfolio Weights Returns'!$B$9:$BJ$69,
INT((ROW(A2418)-1)/COLUMNS('Portfolio Weights Returns'!$B$9:$BJ$69))+1,MOD(ROW(A2418)-1,COLUMNS('Portfolio Weights Returns'!$B$9:$BJ$69))+1)</f>
        <v>-6.8089658791483287E-4</v>
      </c>
      <c r="B2419">
        <v>2.1399999999999999E-2</v>
      </c>
      <c r="C2419" s="59">
        <v>-0.03</v>
      </c>
      <c r="D2419" s="59">
        <v>-0.12</v>
      </c>
      <c r="E2419" s="60">
        <f t="shared" si="37"/>
        <v>1.1500000000000001</v>
      </c>
      <c r="F2419" t="str" cm="1">
        <f t="array" ref="F2419">IF(A2419=MAX(IF(ROUND($B$2:$B$3722,4)=ROUND(B2419,4),$A$2:$A$3722)),"Efficient","Inefficient")</f>
        <v>Inefficient</v>
      </c>
    </row>
    <row r="2420" spans="1:6" x14ac:dyDescent="0.25">
      <c r="A2420" cm="1">
        <f t="array" ref="A2420">INDEX('Portfolio Weights Returns'!$B$9:$BJ$69,
INT((ROW(A2419)-1)/COLUMNS('Portfolio Weights Returns'!$B$9:$BJ$69))+1,MOD(ROW(A2419)-1,COLUMNS('Portfolio Weights Returns'!$B$9:$BJ$69))+1)</f>
        <v>-6.7411541394815373E-4</v>
      </c>
      <c r="B2420">
        <v>2.1399999999999999E-2</v>
      </c>
      <c r="C2420" s="59">
        <v>-0.04</v>
      </c>
      <c r="D2420" s="59">
        <v>-0.11</v>
      </c>
      <c r="E2420" s="60">
        <f t="shared" si="37"/>
        <v>1.1500000000000001</v>
      </c>
      <c r="F2420" t="str" cm="1">
        <f t="array" ref="F2420">IF(A2420=MAX(IF(ROUND($B$2:$B$3722,4)=ROUND(B2420,4),$A$2:$A$3722)),"Efficient","Inefficient")</f>
        <v>Inefficient</v>
      </c>
    </row>
    <row r="2421" spans="1:6" x14ac:dyDescent="0.25">
      <c r="A2421" cm="1">
        <f t="array" ref="A2421">INDEX('Portfolio Weights Returns'!$B$9:$BJ$69,
INT((ROW(A2420)-1)/COLUMNS('Portfolio Weights Returns'!$B$9:$BJ$69))+1,MOD(ROW(A2420)-1,COLUMNS('Portfolio Weights Returns'!$B$9:$BJ$69))+1)</f>
        <v>-6.6733423998147469E-4</v>
      </c>
      <c r="B2421">
        <v>2.1399999999999999E-2</v>
      </c>
      <c r="C2421" s="59">
        <v>-0.05</v>
      </c>
      <c r="D2421" s="59">
        <v>-0.1</v>
      </c>
      <c r="E2421" s="60">
        <f t="shared" si="37"/>
        <v>1.1500000000000001</v>
      </c>
      <c r="F2421" t="str" cm="1">
        <f t="array" ref="F2421">IF(A2421=MAX(IF(ROUND($B$2:$B$3722,4)=ROUND(B2421,4),$A$2:$A$3722)),"Efficient","Inefficient")</f>
        <v>Inefficient</v>
      </c>
    </row>
    <row r="2422" spans="1:6" x14ac:dyDescent="0.25">
      <c r="A2422" cm="1">
        <f t="array" ref="A2422">INDEX('Portfolio Weights Returns'!$B$9:$BJ$69,
INT((ROW(A2421)-1)/COLUMNS('Portfolio Weights Returns'!$B$9:$BJ$69))+1,MOD(ROW(A2421)-1,COLUMNS('Portfolio Weights Returns'!$B$9:$BJ$69))+1)</f>
        <v>-6.6055306601479555E-4</v>
      </c>
      <c r="B2422">
        <v>2.1399999999999999E-2</v>
      </c>
      <c r="C2422" s="59">
        <v>-0.06</v>
      </c>
      <c r="D2422" s="59">
        <v>-0.09</v>
      </c>
      <c r="E2422" s="60">
        <f t="shared" si="37"/>
        <v>1.1500000000000001</v>
      </c>
      <c r="F2422" t="str" cm="1">
        <f t="array" ref="F2422">IF(A2422=MAX(IF(ROUND($B$2:$B$3722,4)=ROUND(B2422,4),$A$2:$A$3722)),"Efficient","Inefficient")</f>
        <v>Inefficient</v>
      </c>
    </row>
    <row r="2423" spans="1:6" x14ac:dyDescent="0.25">
      <c r="A2423" cm="1">
        <f t="array" ref="A2423">INDEX('Portfolio Weights Returns'!$B$9:$BJ$69,
INT((ROW(A2422)-1)/COLUMNS('Portfolio Weights Returns'!$B$9:$BJ$69))+1,MOD(ROW(A2422)-1,COLUMNS('Portfolio Weights Returns'!$B$9:$BJ$69))+1)</f>
        <v>-6.5377189204811651E-4</v>
      </c>
      <c r="B2423">
        <v>2.1399999999999999E-2</v>
      </c>
      <c r="C2423" s="59">
        <v>-7.0000000000000007E-2</v>
      </c>
      <c r="D2423" s="59">
        <v>-0.08</v>
      </c>
      <c r="E2423" s="60">
        <f t="shared" si="37"/>
        <v>1.1500000000000001</v>
      </c>
      <c r="F2423" t="str" cm="1">
        <f t="array" ref="F2423">IF(A2423=MAX(IF(ROUND($B$2:$B$3722,4)=ROUND(B2423,4),$A$2:$A$3722)),"Efficient","Inefficient")</f>
        <v>Inefficient</v>
      </c>
    </row>
    <row r="2424" spans="1:6" x14ac:dyDescent="0.25">
      <c r="A2424" cm="1">
        <f t="array" ref="A2424">INDEX('Portfolio Weights Returns'!$B$9:$BJ$69,
INT((ROW(A2423)-1)/COLUMNS('Portfolio Weights Returns'!$B$9:$BJ$69))+1,MOD(ROW(A2423)-1,COLUMNS('Portfolio Weights Returns'!$B$9:$BJ$69))+1)</f>
        <v>-6.4699071808143726E-4</v>
      </c>
      <c r="B2424">
        <v>2.1399999999999999E-2</v>
      </c>
      <c r="C2424" s="59">
        <v>-0.08</v>
      </c>
      <c r="D2424" s="59">
        <v>-7.0000000000000007E-2</v>
      </c>
      <c r="E2424" s="60">
        <f t="shared" si="37"/>
        <v>1.1500000000000001</v>
      </c>
      <c r="F2424" t="str" cm="1">
        <f t="array" ref="F2424">IF(A2424=MAX(IF(ROUND($B$2:$B$3722,4)=ROUND(B2424,4),$A$2:$A$3722)),"Efficient","Inefficient")</f>
        <v>Inefficient</v>
      </c>
    </row>
    <row r="2425" spans="1:6" x14ac:dyDescent="0.25">
      <c r="A2425" cm="1">
        <f t="array" ref="A2425">INDEX('Portfolio Weights Returns'!$B$9:$BJ$69,
INT((ROW(A2424)-1)/COLUMNS('Portfolio Weights Returns'!$B$9:$BJ$69))+1,MOD(ROW(A2424)-1,COLUMNS('Portfolio Weights Returns'!$B$9:$BJ$69))+1)</f>
        <v>-6.4020954411475822E-4</v>
      </c>
      <c r="B2425">
        <v>2.1399999999999999E-2</v>
      </c>
      <c r="C2425" s="59">
        <v>-0.1</v>
      </c>
      <c r="D2425" s="59">
        <v>-0.05</v>
      </c>
      <c r="E2425" s="60">
        <f t="shared" si="37"/>
        <v>1.1500000000000001</v>
      </c>
      <c r="F2425" t="str" cm="1">
        <f t="array" ref="F2425">IF(A2425=MAX(IF(ROUND($B$2:$B$3722,4)=ROUND(B2425,4),$A$2:$A$3722)),"Efficient","Inefficient")</f>
        <v>Inefficient</v>
      </c>
    </row>
    <row r="2426" spans="1:6" x14ac:dyDescent="0.25">
      <c r="A2426" cm="1">
        <f t="array" ref="A2426">INDEX('Portfolio Weights Returns'!$B$9:$BJ$69,
INT((ROW(A2425)-1)/COLUMNS('Portfolio Weights Returns'!$B$9:$BJ$69))+1,MOD(ROW(A2425)-1,COLUMNS('Portfolio Weights Returns'!$B$9:$BJ$69))+1)</f>
        <v>-6.3342837014807908E-4</v>
      </c>
      <c r="B2426">
        <v>2.1399999999999999E-2</v>
      </c>
      <c r="C2426" s="59">
        <v>-0.11</v>
      </c>
      <c r="D2426" s="59">
        <v>-0.04</v>
      </c>
      <c r="E2426" s="60">
        <f t="shared" si="37"/>
        <v>1.1500000000000001</v>
      </c>
      <c r="F2426" t="str" cm="1">
        <f t="array" ref="F2426">IF(A2426=MAX(IF(ROUND($B$2:$B$3722,4)=ROUND(B2426,4),$A$2:$A$3722)),"Efficient","Inefficient")</f>
        <v>Inefficient</v>
      </c>
    </row>
    <row r="2427" spans="1:6" x14ac:dyDescent="0.25">
      <c r="A2427" cm="1">
        <f t="array" ref="A2427">INDEX('Portfolio Weights Returns'!$B$9:$BJ$69,
INT((ROW(A2426)-1)/COLUMNS('Portfolio Weights Returns'!$B$9:$BJ$69))+1,MOD(ROW(A2426)-1,COLUMNS('Portfolio Weights Returns'!$B$9:$BJ$69))+1)</f>
        <v>-6.2664719618140004E-4</v>
      </c>
      <c r="B2427">
        <v>2.1399999999999999E-2</v>
      </c>
      <c r="C2427" s="59">
        <v>-0.12</v>
      </c>
      <c r="D2427" s="59">
        <v>-0.03</v>
      </c>
      <c r="E2427" s="60">
        <f t="shared" si="37"/>
        <v>1.1499999999999999</v>
      </c>
      <c r="F2427" t="str" cm="1">
        <f t="array" ref="F2427">IF(A2427=MAX(IF(ROUND($B$2:$B$3722,4)=ROUND(B2427,4),$A$2:$A$3722)),"Efficient","Inefficient")</f>
        <v>Inefficient</v>
      </c>
    </row>
    <row r="2428" spans="1:6" x14ac:dyDescent="0.25">
      <c r="A2428" cm="1">
        <f t="array" ref="A2428">INDEX('Portfolio Weights Returns'!$B$9:$BJ$69,
INT((ROW(A2427)-1)/COLUMNS('Portfolio Weights Returns'!$B$9:$BJ$69))+1,MOD(ROW(A2427)-1,COLUMNS('Portfolio Weights Returns'!$B$9:$BJ$69))+1)</f>
        <v>-6.198660222147209E-4</v>
      </c>
      <c r="B2428">
        <v>2.1399999999999999E-2</v>
      </c>
      <c r="C2428" s="59">
        <v>-0.13</v>
      </c>
      <c r="D2428" s="59">
        <v>-0.02</v>
      </c>
      <c r="E2428" s="60">
        <f t="shared" si="37"/>
        <v>1.1499999999999999</v>
      </c>
      <c r="F2428" t="str" cm="1">
        <f t="array" ref="F2428">IF(A2428=MAX(IF(ROUND($B$2:$B$3722,4)=ROUND(B2428,4),$A$2:$A$3722)),"Efficient","Inefficient")</f>
        <v>Inefficient</v>
      </c>
    </row>
    <row r="2429" spans="1:6" x14ac:dyDescent="0.25">
      <c r="A2429" cm="1">
        <f t="array" ref="A2429">INDEX('Portfolio Weights Returns'!$B$9:$BJ$69,
INT((ROW(A2428)-1)/COLUMNS('Portfolio Weights Returns'!$B$9:$BJ$69))+1,MOD(ROW(A2428)-1,COLUMNS('Portfolio Weights Returns'!$B$9:$BJ$69))+1)</f>
        <v>-6.1308484824804186E-4</v>
      </c>
      <c r="B2429">
        <v>2.1399999999999999E-2</v>
      </c>
      <c r="C2429" s="59">
        <v>-0.14000000000000001</v>
      </c>
      <c r="D2429" s="59">
        <v>-0.01</v>
      </c>
      <c r="E2429" s="60">
        <f t="shared" si="37"/>
        <v>1.1499999999999999</v>
      </c>
      <c r="F2429" t="str" cm="1">
        <f t="array" ref="F2429">IF(A2429=MAX(IF(ROUND($B$2:$B$3722,4)=ROUND(B2429,4),$A$2:$A$3722)),"Efficient","Inefficient")</f>
        <v>Inefficient</v>
      </c>
    </row>
    <row r="2430" spans="1:6" x14ac:dyDescent="0.25">
      <c r="A2430" cm="1">
        <f t="array" ref="A2430">INDEX('Portfolio Weights Returns'!$B$9:$BJ$69,
INT((ROW(A2429)-1)/COLUMNS('Portfolio Weights Returns'!$B$9:$BJ$69))+1,MOD(ROW(A2429)-1,COLUMNS('Portfolio Weights Returns'!$B$9:$BJ$69))+1)</f>
        <v>-6.0630367428136272E-4</v>
      </c>
      <c r="B2430">
        <v>2.1399999999999999E-2</v>
      </c>
      <c r="C2430" s="59">
        <v>-0.15</v>
      </c>
      <c r="D2430" s="59">
        <v>0</v>
      </c>
      <c r="E2430" s="60">
        <f t="shared" si="37"/>
        <v>1.1499999999999999</v>
      </c>
      <c r="F2430" t="str" cm="1">
        <f t="array" ref="F2430">IF(A2430=MAX(IF(ROUND($B$2:$B$3722,4)=ROUND(B2430,4),$A$2:$A$3722)),"Efficient","Inefficient")</f>
        <v>Inefficient</v>
      </c>
    </row>
    <row r="2431" spans="1:6" x14ac:dyDescent="0.25">
      <c r="A2431" cm="1">
        <f t="array" ref="A2431">INDEX('Portfolio Weights Returns'!$B$9:$BJ$69,
INT((ROW(A2430)-1)/COLUMNS('Portfolio Weights Returns'!$B$9:$BJ$69))+1,MOD(ROW(A2430)-1,COLUMNS('Portfolio Weights Returns'!$B$9:$BJ$69))+1)</f>
        <v>-5.9952250031468357E-4</v>
      </c>
      <c r="B2431">
        <v>2.1399999999999999E-2</v>
      </c>
      <c r="C2431" s="59">
        <v>-0.16</v>
      </c>
      <c r="D2431" s="59">
        <v>0.02</v>
      </c>
      <c r="E2431" s="60">
        <f t="shared" si="37"/>
        <v>1.1399999999999999</v>
      </c>
      <c r="F2431" t="str" cm="1">
        <f t="array" ref="F2431">IF(A2431=MAX(IF(ROUND($B$2:$B$3722,4)=ROUND(B2431,4),$A$2:$A$3722)),"Efficient","Inefficient")</f>
        <v>Inefficient</v>
      </c>
    </row>
    <row r="2432" spans="1:6" x14ac:dyDescent="0.25">
      <c r="A2432" cm="1">
        <f t="array" ref="A2432">INDEX('Portfolio Weights Returns'!$B$9:$BJ$69,
INT((ROW(A2431)-1)/COLUMNS('Portfolio Weights Returns'!$B$9:$BJ$69))+1,MOD(ROW(A2431)-1,COLUMNS('Portfolio Weights Returns'!$B$9:$BJ$69))+1)</f>
        <v>-5.9274132634800454E-4</v>
      </c>
      <c r="B2432">
        <v>2.1399999999999999E-2</v>
      </c>
      <c r="C2432" s="59">
        <v>-0.17</v>
      </c>
      <c r="D2432" s="59">
        <v>0.03</v>
      </c>
      <c r="E2432" s="60">
        <f t="shared" si="37"/>
        <v>1.1399999999999999</v>
      </c>
      <c r="F2432" t="str" cm="1">
        <f t="array" ref="F2432">IF(A2432=MAX(IF(ROUND($B$2:$B$3722,4)=ROUND(B2432,4),$A$2:$A$3722)),"Efficient","Inefficient")</f>
        <v>Inefficient</v>
      </c>
    </row>
    <row r="2433" spans="1:6" x14ac:dyDescent="0.25">
      <c r="A2433" cm="1">
        <f t="array" ref="A2433">INDEX('Portfolio Weights Returns'!$B$9:$BJ$69,
INT((ROW(A2432)-1)/COLUMNS('Portfolio Weights Returns'!$B$9:$BJ$69))+1,MOD(ROW(A2432)-1,COLUMNS('Portfolio Weights Returns'!$B$9:$BJ$69))+1)</f>
        <v>-5.8596015238132539E-4</v>
      </c>
      <c r="B2433">
        <v>2.1399999999999999E-2</v>
      </c>
      <c r="C2433" s="59">
        <v>-0.19</v>
      </c>
      <c r="D2433" s="59">
        <v>0.06</v>
      </c>
      <c r="E2433" s="60">
        <f t="shared" si="37"/>
        <v>1.1299999999999999</v>
      </c>
      <c r="F2433" t="str" cm="1">
        <f t="array" ref="F2433">IF(A2433=MAX(IF(ROUND($B$2:$B$3722,4)=ROUND(B2433,4),$A$2:$A$3722)),"Efficient","Inefficient")</f>
        <v>Inefficient</v>
      </c>
    </row>
    <row r="2434" spans="1:6" x14ac:dyDescent="0.25">
      <c r="A2434" cm="1">
        <f t="array" ref="A2434">INDEX('Portfolio Weights Returns'!$B$9:$BJ$69,
INT((ROW(A2433)-1)/COLUMNS('Portfolio Weights Returns'!$B$9:$BJ$69))+1,MOD(ROW(A2433)-1,COLUMNS('Portfolio Weights Returns'!$B$9:$BJ$69))+1)</f>
        <v>-5.7917897841464636E-4</v>
      </c>
      <c r="B2434">
        <v>2.1399999999999999E-2</v>
      </c>
      <c r="C2434" s="59">
        <v>-0.2</v>
      </c>
      <c r="D2434" s="59">
        <v>0.08</v>
      </c>
      <c r="E2434" s="60">
        <f t="shared" ref="E2434:E2497" si="38">1-D2434-C2434</f>
        <v>1.1200000000000001</v>
      </c>
      <c r="F2434" t="str" cm="1">
        <f t="array" ref="F2434">IF(A2434=MAX(IF(ROUND($B$2:$B$3722,4)=ROUND(B2434,4),$A$2:$A$3722)),"Efficient","Inefficient")</f>
        <v>Inefficient</v>
      </c>
    </row>
    <row r="2435" spans="1:6" x14ac:dyDescent="0.25">
      <c r="A2435" cm="1">
        <f t="array" ref="A2435">INDEX('Portfolio Weights Returns'!$B$9:$BJ$69,
INT((ROW(A2434)-1)/COLUMNS('Portfolio Weights Returns'!$B$9:$BJ$69))+1,MOD(ROW(A2434)-1,COLUMNS('Portfolio Weights Returns'!$B$9:$BJ$69))+1)</f>
        <v>-5.7239780444796721E-4</v>
      </c>
      <c r="B2435">
        <v>2.1399999999999999E-2</v>
      </c>
      <c r="C2435" s="59">
        <v>-0.21</v>
      </c>
      <c r="D2435" s="59">
        <v>0.1</v>
      </c>
      <c r="E2435" s="60">
        <f t="shared" si="38"/>
        <v>1.1100000000000001</v>
      </c>
      <c r="F2435" t="str" cm="1">
        <f t="array" ref="F2435">IF(A2435=MAX(IF(ROUND($B$2:$B$3722,4)=ROUND(B2435,4),$A$2:$A$3722)),"Efficient","Inefficient")</f>
        <v>Inefficient</v>
      </c>
    </row>
    <row r="2436" spans="1:6" x14ac:dyDescent="0.25">
      <c r="A2436" cm="1">
        <f t="array" ref="A2436">INDEX('Portfolio Weights Returns'!$B$9:$BJ$69,
INT((ROW(A2435)-1)/COLUMNS('Portfolio Weights Returns'!$B$9:$BJ$69))+1,MOD(ROW(A2435)-1,COLUMNS('Portfolio Weights Returns'!$B$9:$BJ$69))+1)</f>
        <v>-5.6561663048128818E-4</v>
      </c>
      <c r="B2436">
        <v>2.1399999999999999E-2</v>
      </c>
      <c r="C2436" s="59">
        <v>-0.22</v>
      </c>
      <c r="D2436" s="59">
        <v>0.12</v>
      </c>
      <c r="E2436" s="60">
        <f t="shared" si="38"/>
        <v>1.1000000000000001</v>
      </c>
      <c r="F2436" t="str" cm="1">
        <f t="array" ref="F2436">IF(A2436=MAX(IF(ROUND($B$2:$B$3722,4)=ROUND(B2436,4),$A$2:$A$3722)),"Efficient","Inefficient")</f>
        <v>Inefficient</v>
      </c>
    </row>
    <row r="2437" spans="1:6" x14ac:dyDescent="0.25">
      <c r="A2437" cm="1">
        <f t="array" ref="A2437">INDEX('Portfolio Weights Returns'!$B$9:$BJ$69,
INT((ROW(A2436)-1)/COLUMNS('Portfolio Weights Returns'!$B$9:$BJ$69))+1,MOD(ROW(A2436)-1,COLUMNS('Portfolio Weights Returns'!$B$9:$BJ$69))+1)</f>
        <v>-5.5883545651460892E-4</v>
      </c>
      <c r="B2437">
        <v>2.1399999999999999E-2</v>
      </c>
      <c r="C2437" s="59">
        <v>-0.23</v>
      </c>
      <c r="D2437" s="59">
        <v>0.14000000000000001</v>
      </c>
      <c r="E2437" s="60">
        <f t="shared" si="38"/>
        <v>1.0900000000000001</v>
      </c>
      <c r="F2437" t="str" cm="1">
        <f t="array" ref="F2437">IF(A2437=MAX(IF(ROUND($B$2:$B$3722,4)=ROUND(B2437,4),$A$2:$A$3722)),"Efficient","Inefficient")</f>
        <v>Inefficient</v>
      </c>
    </row>
    <row r="2438" spans="1:6" x14ac:dyDescent="0.25">
      <c r="A2438" cm="1">
        <f t="array" ref="A2438">INDEX('Portfolio Weights Returns'!$B$9:$BJ$69,
INT((ROW(A2437)-1)/COLUMNS('Portfolio Weights Returns'!$B$9:$BJ$69))+1,MOD(ROW(A2437)-1,COLUMNS('Portfolio Weights Returns'!$B$9:$BJ$69))+1)</f>
        <v>-5.5205428254792924E-4</v>
      </c>
      <c r="B2438">
        <v>2.1399999999999999E-2</v>
      </c>
      <c r="C2438" s="59">
        <v>-0.23</v>
      </c>
      <c r="D2438" s="59">
        <v>0.15</v>
      </c>
      <c r="E2438" s="60">
        <f t="shared" si="38"/>
        <v>1.08</v>
      </c>
      <c r="F2438" t="str" cm="1">
        <f t="array" ref="F2438">IF(A2438=MAX(IF(ROUND($B$2:$B$3722,4)=ROUND(B2438,4),$A$2:$A$3722)),"Efficient","Inefficient")</f>
        <v>Inefficient</v>
      </c>
    </row>
    <row r="2439" spans="1:6" x14ac:dyDescent="0.25">
      <c r="A2439" cm="1">
        <f t="array" ref="A2439">INDEX('Portfolio Weights Returns'!$B$9:$BJ$69,
INT((ROW(A2438)-1)/COLUMNS('Portfolio Weights Returns'!$B$9:$BJ$69))+1,MOD(ROW(A2438)-1,COLUMNS('Portfolio Weights Returns'!$B$9:$BJ$69))+1)</f>
        <v>-5.4527310858125009E-4</v>
      </c>
      <c r="B2439">
        <v>2.1399999999999999E-2</v>
      </c>
      <c r="C2439" s="59">
        <v>-0.23</v>
      </c>
      <c r="D2439" s="59">
        <v>0.16</v>
      </c>
      <c r="E2439" s="60">
        <f t="shared" si="38"/>
        <v>1.07</v>
      </c>
      <c r="F2439" t="str" cm="1">
        <f t="array" ref="F2439">IF(A2439=MAX(IF(ROUND($B$2:$B$3722,4)=ROUND(B2439,4),$A$2:$A$3722)),"Efficient","Inefficient")</f>
        <v>Inefficient</v>
      </c>
    </row>
    <row r="2440" spans="1:6" x14ac:dyDescent="0.25">
      <c r="A2440" cm="1">
        <f t="array" ref="A2440">INDEX('Portfolio Weights Returns'!$B$9:$BJ$69,
INT((ROW(A2439)-1)/COLUMNS('Portfolio Weights Returns'!$B$9:$BJ$69))+1,MOD(ROW(A2439)-1,COLUMNS('Portfolio Weights Returns'!$B$9:$BJ$69))+1)</f>
        <v>-5.3849193461457095E-4</v>
      </c>
      <c r="B2440">
        <v>2.1399999999999999E-2</v>
      </c>
      <c r="C2440" s="59">
        <v>-0.24</v>
      </c>
      <c r="D2440" s="59">
        <v>0.18</v>
      </c>
      <c r="E2440" s="60">
        <f t="shared" si="38"/>
        <v>1.06</v>
      </c>
      <c r="F2440" t="str" cm="1">
        <f t="array" ref="F2440">IF(A2440=MAX(IF(ROUND($B$2:$B$3722,4)=ROUND(B2440,4),$A$2:$A$3722)),"Efficient","Inefficient")</f>
        <v>Inefficient</v>
      </c>
    </row>
    <row r="2441" spans="1:6" x14ac:dyDescent="0.25">
      <c r="A2441" cm="1">
        <f t="array" ref="A2441">INDEX('Portfolio Weights Returns'!$B$9:$BJ$69,
INT((ROW(A2440)-1)/COLUMNS('Portfolio Weights Returns'!$B$9:$BJ$69))+1,MOD(ROW(A2440)-1,COLUMNS('Portfolio Weights Returns'!$B$9:$BJ$69))+1)</f>
        <v>-5.3171076064789191E-4</v>
      </c>
      <c r="B2441">
        <v>2.1399999999999999E-2</v>
      </c>
      <c r="C2441" s="59">
        <v>-0.24</v>
      </c>
      <c r="D2441" s="59">
        <v>0.19</v>
      </c>
      <c r="E2441" s="60">
        <f t="shared" si="38"/>
        <v>1.05</v>
      </c>
      <c r="F2441" t="str" cm="1">
        <f t="array" ref="F2441">IF(A2441=MAX(IF(ROUND($B$2:$B$3722,4)=ROUND(B2441,4),$A$2:$A$3722)),"Efficient","Inefficient")</f>
        <v>Efficient</v>
      </c>
    </row>
    <row r="2442" spans="1:6" x14ac:dyDescent="0.25">
      <c r="A2442" cm="1">
        <f t="array" ref="A2442">INDEX('Portfolio Weights Returns'!$B$9:$BJ$69,
INT((ROW(A2441)-1)/COLUMNS('Portfolio Weights Returns'!$B$9:$BJ$69))+1,MOD(ROW(A2441)-1,COLUMNS('Portfolio Weights Returns'!$B$9:$BJ$69))+1)</f>
        <v>-9.3200699080318351E-4</v>
      </c>
      <c r="B2442">
        <v>2.1399999999999999E-2</v>
      </c>
      <c r="C2442" s="59">
        <v>-0.24</v>
      </c>
      <c r="D2442" s="59">
        <v>0.2</v>
      </c>
      <c r="E2442" s="60">
        <f t="shared" si="38"/>
        <v>1.04</v>
      </c>
      <c r="F2442" t="str" cm="1">
        <f t="array" ref="F2442">IF(A2442=MAX(IF(ROUND($B$2:$B$3722,4)=ROUND(B2442,4),$A$2:$A$3722)),"Efficient","Inefficient")</f>
        <v>Inefficient</v>
      </c>
    </row>
    <row r="2443" spans="1:6" x14ac:dyDescent="0.25">
      <c r="A2443" cm="1">
        <f t="array" ref="A2443">INDEX('Portfolio Weights Returns'!$B$9:$BJ$69,
INT((ROW(A2442)-1)/COLUMNS('Portfolio Weights Returns'!$B$9:$BJ$69))+1,MOD(ROW(A2442)-1,COLUMNS('Portfolio Weights Returns'!$B$9:$BJ$69))+1)</f>
        <v>-9.2522581683650447E-4</v>
      </c>
      <c r="B2443">
        <v>2.1399999999999999E-2</v>
      </c>
      <c r="C2443" s="59">
        <v>-0.24</v>
      </c>
      <c r="D2443" s="59">
        <v>0.21</v>
      </c>
      <c r="E2443" s="60">
        <f t="shared" si="38"/>
        <v>1.03</v>
      </c>
      <c r="F2443" t="str" cm="1">
        <f t="array" ref="F2443">IF(A2443=MAX(IF(ROUND($B$2:$B$3722,4)=ROUND(B2443,4),$A$2:$A$3722)),"Efficient","Inefficient")</f>
        <v>Inefficient</v>
      </c>
    </row>
    <row r="2444" spans="1:6" x14ac:dyDescent="0.25">
      <c r="A2444" cm="1">
        <f t="array" ref="A2444">INDEX('Portfolio Weights Returns'!$B$9:$BJ$69,
INT((ROW(A2443)-1)/COLUMNS('Portfolio Weights Returns'!$B$9:$BJ$69))+1,MOD(ROW(A2443)-1,COLUMNS('Portfolio Weights Returns'!$B$9:$BJ$69))+1)</f>
        <v>-9.1844464286982533E-4</v>
      </c>
      <c r="B2444">
        <v>2.1399999999999999E-2</v>
      </c>
      <c r="C2444" s="59">
        <v>-0.24</v>
      </c>
      <c r="D2444" s="59">
        <v>0.22</v>
      </c>
      <c r="E2444" s="60">
        <f t="shared" si="38"/>
        <v>1.02</v>
      </c>
      <c r="F2444" t="str" cm="1">
        <f t="array" ref="F2444">IF(A2444=MAX(IF(ROUND($B$2:$B$3722,4)=ROUND(B2444,4),$A$2:$A$3722)),"Efficient","Inefficient")</f>
        <v>Inefficient</v>
      </c>
    </row>
    <row r="2445" spans="1:6" x14ac:dyDescent="0.25">
      <c r="A2445" cm="1">
        <f t="array" ref="A2445">INDEX('Portfolio Weights Returns'!$B$9:$BJ$69,
INT((ROW(A2444)-1)/COLUMNS('Portfolio Weights Returns'!$B$9:$BJ$69))+1,MOD(ROW(A2444)-1,COLUMNS('Portfolio Weights Returns'!$B$9:$BJ$69))+1)</f>
        <v>-9.1166346890314629E-4</v>
      </c>
      <c r="B2445">
        <v>2.1399999999999999E-2</v>
      </c>
      <c r="C2445" s="59">
        <v>-0.24</v>
      </c>
      <c r="D2445" s="59">
        <v>0.23</v>
      </c>
      <c r="E2445" s="60">
        <f t="shared" si="38"/>
        <v>1.01</v>
      </c>
      <c r="F2445" t="str" cm="1">
        <f t="array" ref="F2445">IF(A2445=MAX(IF(ROUND($B$2:$B$3722,4)=ROUND(B2445,4),$A$2:$A$3722)),"Efficient","Inefficient")</f>
        <v>Inefficient</v>
      </c>
    </row>
    <row r="2446" spans="1:6" x14ac:dyDescent="0.25">
      <c r="A2446" cm="1">
        <f t="array" ref="A2446">INDEX('Portfolio Weights Returns'!$B$9:$BJ$69,
INT((ROW(A2445)-1)/COLUMNS('Portfolio Weights Returns'!$B$9:$BJ$69))+1,MOD(ROW(A2445)-1,COLUMNS('Portfolio Weights Returns'!$B$9:$BJ$69))+1)</f>
        <v>-9.0488229493646715E-4</v>
      </c>
      <c r="B2446">
        <v>2.1399999999999999E-2</v>
      </c>
      <c r="C2446" s="59">
        <v>-0.24</v>
      </c>
      <c r="D2446" s="59">
        <v>0.24</v>
      </c>
      <c r="E2446" s="60">
        <f t="shared" si="38"/>
        <v>1</v>
      </c>
      <c r="F2446" t="str" cm="1">
        <f t="array" ref="F2446">IF(A2446=MAX(IF(ROUND($B$2:$B$3722,4)=ROUND(B2446,4),$A$2:$A$3722)),"Efficient","Inefficient")</f>
        <v>Inefficient</v>
      </c>
    </row>
    <row r="2447" spans="1:6" x14ac:dyDescent="0.25">
      <c r="A2447" cm="1">
        <f t="array" ref="A2447">INDEX('Portfolio Weights Returns'!$B$9:$BJ$69,
INT((ROW(A2446)-1)/COLUMNS('Portfolio Weights Returns'!$B$9:$BJ$69))+1,MOD(ROW(A2446)-1,COLUMNS('Portfolio Weights Returns'!$B$9:$BJ$69))+1)</f>
        <v>-8.9810112096978811E-4</v>
      </c>
      <c r="B2447">
        <v>2.1399999999999999E-2</v>
      </c>
      <c r="C2447" s="59">
        <v>-0.24</v>
      </c>
      <c r="D2447" s="59">
        <v>0.25</v>
      </c>
      <c r="E2447" s="60">
        <f t="shared" si="38"/>
        <v>0.99</v>
      </c>
      <c r="F2447" t="str" cm="1">
        <f t="array" ref="F2447">IF(A2447=MAX(IF(ROUND($B$2:$B$3722,4)=ROUND(B2447,4),$A$2:$A$3722)),"Efficient","Inefficient")</f>
        <v>Inefficient</v>
      </c>
    </row>
    <row r="2448" spans="1:6" x14ac:dyDescent="0.25">
      <c r="A2448" cm="1">
        <f t="array" ref="A2448">INDEX('Portfolio Weights Returns'!$B$9:$BJ$69,
INT((ROW(A2447)-1)/COLUMNS('Portfolio Weights Returns'!$B$9:$BJ$69))+1,MOD(ROW(A2447)-1,COLUMNS('Portfolio Weights Returns'!$B$9:$BJ$69))+1)</f>
        <v>-8.9131994700310886E-4</v>
      </c>
      <c r="B2448">
        <v>2.1399999999999999E-2</v>
      </c>
      <c r="C2448" s="59">
        <v>-0.23</v>
      </c>
      <c r="D2448" s="59">
        <v>0.27</v>
      </c>
      <c r="E2448" s="60">
        <f t="shared" si="38"/>
        <v>0.96</v>
      </c>
      <c r="F2448" t="str" cm="1">
        <f t="array" ref="F2448">IF(A2448=MAX(IF(ROUND($B$2:$B$3722,4)=ROUND(B2448,4),$A$2:$A$3722)),"Efficient","Inefficient")</f>
        <v>Inefficient</v>
      </c>
    </row>
    <row r="2449" spans="1:6" x14ac:dyDescent="0.25">
      <c r="A2449" cm="1">
        <f t="array" ref="A2449">INDEX('Portfolio Weights Returns'!$B$9:$BJ$69,
INT((ROW(A2448)-1)/COLUMNS('Portfolio Weights Returns'!$B$9:$BJ$69))+1,MOD(ROW(A2448)-1,COLUMNS('Portfolio Weights Returns'!$B$9:$BJ$69))+1)</f>
        <v>-8.8453877303642972E-4</v>
      </c>
      <c r="B2449">
        <v>2.1399999999999999E-2</v>
      </c>
      <c r="C2449" s="59">
        <v>-0.23</v>
      </c>
      <c r="D2449" s="59">
        <v>0.28000000000000003</v>
      </c>
      <c r="E2449" s="60">
        <f t="shared" si="38"/>
        <v>0.95</v>
      </c>
      <c r="F2449" t="str" cm="1">
        <f t="array" ref="F2449">IF(A2449=MAX(IF(ROUND($B$2:$B$3722,4)=ROUND(B2449,4),$A$2:$A$3722)),"Efficient","Inefficient")</f>
        <v>Inefficient</v>
      </c>
    </row>
    <row r="2450" spans="1:6" x14ac:dyDescent="0.25">
      <c r="A2450" cm="1">
        <f t="array" ref="A2450">INDEX('Portfolio Weights Returns'!$B$9:$BJ$69,
INT((ROW(A2449)-1)/COLUMNS('Portfolio Weights Returns'!$B$9:$BJ$69))+1,MOD(ROW(A2449)-1,COLUMNS('Portfolio Weights Returns'!$B$9:$BJ$69))+1)</f>
        <v>-8.7775759906975068E-4</v>
      </c>
      <c r="B2450">
        <v>2.1399999999999999E-2</v>
      </c>
      <c r="C2450" s="59">
        <v>-0.22</v>
      </c>
      <c r="D2450" s="59">
        <v>0.3</v>
      </c>
      <c r="E2450" s="60">
        <f t="shared" si="38"/>
        <v>0.91999999999999993</v>
      </c>
      <c r="F2450" t="str" cm="1">
        <f t="array" ref="F2450">IF(A2450=MAX(IF(ROUND($B$2:$B$3722,4)=ROUND(B2450,4),$A$2:$A$3722)),"Efficient","Inefficient")</f>
        <v>Inefficient</v>
      </c>
    </row>
    <row r="2451" spans="1:6" x14ac:dyDescent="0.25">
      <c r="A2451" cm="1">
        <f t="array" ref="A2451">INDEX('Portfolio Weights Returns'!$B$9:$BJ$69,
INT((ROW(A2450)-1)/COLUMNS('Portfolio Weights Returns'!$B$9:$BJ$69))+1,MOD(ROW(A2450)-1,COLUMNS('Portfolio Weights Returns'!$B$9:$BJ$69))+1)</f>
        <v>-8.7097642510307154E-4</v>
      </c>
      <c r="B2451">
        <v>2.1499999999999998E-2</v>
      </c>
      <c r="C2451" s="59">
        <v>0.25</v>
      </c>
      <c r="D2451" s="59">
        <v>-0.3</v>
      </c>
      <c r="E2451" s="60">
        <f t="shared" si="38"/>
        <v>1.05</v>
      </c>
      <c r="F2451" t="str" cm="1">
        <f t="array" ref="F2451">IF(A2451=MAX(IF(ROUND($B$2:$B$3722,4)=ROUND(B2451,4),$A$2:$A$3722)),"Efficient","Inefficient")</f>
        <v>Inefficient</v>
      </c>
    </row>
    <row r="2452" spans="1:6" x14ac:dyDescent="0.25">
      <c r="A2452" cm="1">
        <f t="array" ref="A2452">INDEX('Portfolio Weights Returns'!$B$9:$BJ$69,
INT((ROW(A2451)-1)/COLUMNS('Portfolio Weights Returns'!$B$9:$BJ$69))+1,MOD(ROW(A2451)-1,COLUMNS('Portfolio Weights Returns'!$B$9:$BJ$69))+1)</f>
        <v>-8.641952511363925E-4</v>
      </c>
      <c r="B2452">
        <v>2.1499999999999998E-2</v>
      </c>
      <c r="C2452" s="59">
        <v>0.23</v>
      </c>
      <c r="D2452" s="59">
        <v>-0.28999999999999998</v>
      </c>
      <c r="E2452" s="60">
        <f t="shared" si="38"/>
        <v>1.06</v>
      </c>
      <c r="F2452" t="str" cm="1">
        <f t="array" ref="F2452">IF(A2452=MAX(IF(ROUND($B$2:$B$3722,4)=ROUND(B2452,4),$A$2:$A$3722)),"Efficient","Inefficient")</f>
        <v>Inefficient</v>
      </c>
    </row>
    <row r="2453" spans="1:6" x14ac:dyDescent="0.25">
      <c r="A2453" cm="1">
        <f t="array" ref="A2453">INDEX('Portfolio Weights Returns'!$B$9:$BJ$69,
INT((ROW(A2452)-1)/COLUMNS('Portfolio Weights Returns'!$B$9:$BJ$69))+1,MOD(ROW(A2452)-1,COLUMNS('Portfolio Weights Returns'!$B$9:$BJ$69))+1)</f>
        <v>-8.5741407716971336E-4</v>
      </c>
      <c r="B2453">
        <v>2.1499999999999998E-2</v>
      </c>
      <c r="C2453" s="59">
        <v>0.21</v>
      </c>
      <c r="D2453" s="59">
        <v>-0.28000000000000003</v>
      </c>
      <c r="E2453" s="60">
        <f t="shared" si="38"/>
        <v>1.07</v>
      </c>
      <c r="F2453" t="str" cm="1">
        <f t="array" ref="F2453">IF(A2453=MAX(IF(ROUND($B$2:$B$3722,4)=ROUND(B2453,4),$A$2:$A$3722)),"Efficient","Inefficient")</f>
        <v>Inefficient</v>
      </c>
    </row>
    <row r="2454" spans="1:6" x14ac:dyDescent="0.25">
      <c r="A2454" cm="1">
        <f t="array" ref="A2454">INDEX('Portfolio Weights Returns'!$B$9:$BJ$69,
INT((ROW(A2453)-1)/COLUMNS('Portfolio Weights Returns'!$B$9:$BJ$69))+1,MOD(ROW(A2453)-1,COLUMNS('Portfolio Weights Returns'!$B$9:$BJ$69))+1)</f>
        <v>-8.5063290320303432E-4</v>
      </c>
      <c r="B2454">
        <v>2.1499999999999998E-2</v>
      </c>
      <c r="C2454" s="59">
        <v>0.19</v>
      </c>
      <c r="D2454" s="59">
        <v>-0.27</v>
      </c>
      <c r="E2454" s="60">
        <f t="shared" si="38"/>
        <v>1.08</v>
      </c>
      <c r="F2454" t="str" cm="1">
        <f t="array" ref="F2454">IF(A2454=MAX(IF(ROUND($B$2:$B$3722,4)=ROUND(B2454,4),$A$2:$A$3722)),"Efficient","Inefficient")</f>
        <v>Inefficient</v>
      </c>
    </row>
    <row r="2455" spans="1:6" x14ac:dyDescent="0.25">
      <c r="A2455" cm="1">
        <f t="array" ref="A2455">INDEX('Portfolio Weights Returns'!$B$9:$BJ$69,
INT((ROW(A2454)-1)/COLUMNS('Portfolio Weights Returns'!$B$9:$BJ$69))+1,MOD(ROW(A2454)-1,COLUMNS('Portfolio Weights Returns'!$B$9:$BJ$69))+1)</f>
        <v>-8.4385172923635507E-4</v>
      </c>
      <c r="B2455">
        <v>2.1499999999999998E-2</v>
      </c>
      <c r="C2455" s="59">
        <v>0.16</v>
      </c>
      <c r="D2455" s="59">
        <v>-0.25</v>
      </c>
      <c r="E2455" s="60">
        <f t="shared" si="38"/>
        <v>1.0900000000000001</v>
      </c>
      <c r="F2455" t="str" cm="1">
        <f t="array" ref="F2455">IF(A2455=MAX(IF(ROUND($B$2:$B$3722,4)=ROUND(B2455,4),$A$2:$A$3722)),"Efficient","Inefficient")</f>
        <v>Inefficient</v>
      </c>
    </row>
    <row r="2456" spans="1:6" x14ac:dyDescent="0.25">
      <c r="A2456" cm="1">
        <f t="array" ref="A2456">INDEX('Portfolio Weights Returns'!$B$9:$BJ$69,
INT((ROW(A2455)-1)/COLUMNS('Portfolio Weights Returns'!$B$9:$BJ$69))+1,MOD(ROW(A2455)-1,COLUMNS('Portfolio Weights Returns'!$B$9:$BJ$69))+1)</f>
        <v>-8.3707055526967603E-4</v>
      </c>
      <c r="B2456">
        <v>2.1499999999999998E-2</v>
      </c>
      <c r="C2456" s="59">
        <v>0.14000000000000001</v>
      </c>
      <c r="D2456" s="59">
        <v>-0.24</v>
      </c>
      <c r="E2456" s="60">
        <f t="shared" si="38"/>
        <v>1.1000000000000001</v>
      </c>
      <c r="F2456" t="str" cm="1">
        <f t="array" ref="F2456">IF(A2456=MAX(IF(ROUND($B$2:$B$3722,4)=ROUND(B2456,4),$A$2:$A$3722)),"Efficient","Inefficient")</f>
        <v>Inefficient</v>
      </c>
    </row>
    <row r="2457" spans="1:6" x14ac:dyDescent="0.25">
      <c r="A2457" cm="1">
        <f t="array" ref="A2457">INDEX('Portfolio Weights Returns'!$B$9:$BJ$69,
INT((ROW(A2456)-1)/COLUMNS('Portfolio Weights Returns'!$B$9:$BJ$69))+1,MOD(ROW(A2456)-1,COLUMNS('Portfolio Weights Returns'!$B$9:$BJ$69))+1)</f>
        <v>-8.3028938130299689E-4</v>
      </c>
      <c r="B2457">
        <v>2.1499999999999998E-2</v>
      </c>
      <c r="C2457" s="59">
        <v>0.12</v>
      </c>
      <c r="D2457" s="59">
        <v>-0.23</v>
      </c>
      <c r="E2457" s="60">
        <f t="shared" si="38"/>
        <v>1.1099999999999999</v>
      </c>
      <c r="F2457" t="str" cm="1">
        <f t="array" ref="F2457">IF(A2457=MAX(IF(ROUND($B$2:$B$3722,4)=ROUND(B2457,4),$A$2:$A$3722)),"Efficient","Inefficient")</f>
        <v>Inefficient</v>
      </c>
    </row>
    <row r="2458" spans="1:6" x14ac:dyDescent="0.25">
      <c r="A2458" cm="1">
        <f t="array" ref="A2458">INDEX('Portfolio Weights Returns'!$B$9:$BJ$69,
INT((ROW(A2457)-1)/COLUMNS('Portfolio Weights Returns'!$B$9:$BJ$69))+1,MOD(ROW(A2457)-1,COLUMNS('Portfolio Weights Returns'!$B$9:$BJ$69))+1)</f>
        <v>-8.2350820733631796E-4</v>
      </c>
      <c r="B2458">
        <v>2.1499999999999998E-2</v>
      </c>
      <c r="C2458" s="59">
        <v>0.09</v>
      </c>
      <c r="D2458" s="59">
        <v>-0.21</v>
      </c>
      <c r="E2458" s="60">
        <f t="shared" si="38"/>
        <v>1.1199999999999999</v>
      </c>
      <c r="F2458" t="str" cm="1">
        <f t="array" ref="F2458">IF(A2458=MAX(IF(ROUND($B$2:$B$3722,4)=ROUND(B2458,4),$A$2:$A$3722)),"Efficient","Inefficient")</f>
        <v>Inefficient</v>
      </c>
    </row>
    <row r="2459" spans="1:6" x14ac:dyDescent="0.25">
      <c r="A2459" cm="1">
        <f t="array" ref="A2459">INDEX('Portfolio Weights Returns'!$B$9:$BJ$69,
INT((ROW(A2458)-1)/COLUMNS('Portfolio Weights Returns'!$B$9:$BJ$69))+1,MOD(ROW(A2458)-1,COLUMNS('Portfolio Weights Returns'!$B$9:$BJ$69))+1)</f>
        <v>-8.1672703336963871E-4</v>
      </c>
      <c r="B2459">
        <v>2.1499999999999998E-2</v>
      </c>
      <c r="C2459" s="59">
        <v>0.06</v>
      </c>
      <c r="D2459" s="59">
        <v>-0.19</v>
      </c>
      <c r="E2459" s="60">
        <f t="shared" si="38"/>
        <v>1.1299999999999999</v>
      </c>
      <c r="F2459" t="str" cm="1">
        <f t="array" ref="F2459">IF(A2459=MAX(IF(ROUND($B$2:$B$3722,4)=ROUND(B2459,4),$A$2:$A$3722)),"Efficient","Inefficient")</f>
        <v>Inefficient</v>
      </c>
    </row>
    <row r="2460" spans="1:6" x14ac:dyDescent="0.25">
      <c r="A2460" cm="1">
        <f t="array" ref="A2460">INDEX('Portfolio Weights Returns'!$B$9:$BJ$69,
INT((ROW(A2459)-1)/COLUMNS('Portfolio Weights Returns'!$B$9:$BJ$69))+1,MOD(ROW(A2459)-1,COLUMNS('Portfolio Weights Returns'!$B$9:$BJ$69))+1)</f>
        <v>-8.0994585940295967E-4</v>
      </c>
      <c r="B2460">
        <v>2.1499999999999998E-2</v>
      </c>
      <c r="C2460" s="59">
        <v>0.03</v>
      </c>
      <c r="D2460" s="59">
        <v>-0.17</v>
      </c>
      <c r="E2460" s="60">
        <f t="shared" si="38"/>
        <v>1.1399999999999999</v>
      </c>
      <c r="F2460" t="str" cm="1">
        <f t="array" ref="F2460">IF(A2460=MAX(IF(ROUND($B$2:$B$3722,4)=ROUND(B2460,4),$A$2:$A$3722)),"Efficient","Inefficient")</f>
        <v>Inefficient</v>
      </c>
    </row>
    <row r="2461" spans="1:6" x14ac:dyDescent="0.25">
      <c r="A2461" cm="1">
        <f t="array" ref="A2461">INDEX('Portfolio Weights Returns'!$B$9:$BJ$69,
INT((ROW(A2460)-1)/COLUMNS('Portfolio Weights Returns'!$B$9:$BJ$69))+1,MOD(ROW(A2460)-1,COLUMNS('Portfolio Weights Returns'!$B$9:$BJ$69))+1)</f>
        <v>-8.0316468543628063E-4</v>
      </c>
      <c r="B2461">
        <v>2.1499999999999998E-2</v>
      </c>
      <c r="C2461" s="59">
        <v>0.02</v>
      </c>
      <c r="D2461" s="59">
        <v>-0.16</v>
      </c>
      <c r="E2461" s="60">
        <f t="shared" si="38"/>
        <v>1.1399999999999999</v>
      </c>
      <c r="F2461" t="str" cm="1">
        <f t="array" ref="F2461">IF(A2461=MAX(IF(ROUND($B$2:$B$3722,4)=ROUND(B2461,4),$A$2:$A$3722)),"Efficient","Inefficient")</f>
        <v>Inefficient</v>
      </c>
    </row>
    <row r="2462" spans="1:6" x14ac:dyDescent="0.25">
      <c r="A2462" cm="1">
        <f t="array" ref="A2462">INDEX('Portfolio Weights Returns'!$B$9:$BJ$69,
INT((ROW(A2461)-1)/COLUMNS('Portfolio Weights Returns'!$B$9:$BJ$69))+1,MOD(ROW(A2461)-1,COLUMNS('Portfolio Weights Returns'!$B$9:$BJ$69))+1)</f>
        <v>-7.9638351146960149E-4</v>
      </c>
      <c r="B2462">
        <v>2.1499999999999998E-2</v>
      </c>
      <c r="C2462" s="59">
        <v>-0.01</v>
      </c>
      <c r="D2462" s="59">
        <v>-0.14000000000000001</v>
      </c>
      <c r="E2462" s="60">
        <f t="shared" si="38"/>
        <v>1.1500000000000001</v>
      </c>
      <c r="F2462" t="str" cm="1">
        <f t="array" ref="F2462">IF(A2462=MAX(IF(ROUND($B$2:$B$3722,4)=ROUND(B2462,4),$A$2:$A$3722)),"Efficient","Inefficient")</f>
        <v>Inefficient</v>
      </c>
    </row>
    <row r="2463" spans="1:6" x14ac:dyDescent="0.25">
      <c r="A2463" cm="1">
        <f t="array" ref="A2463">INDEX('Portfolio Weights Returns'!$B$9:$BJ$69,
INT((ROW(A2462)-1)/COLUMNS('Portfolio Weights Returns'!$B$9:$BJ$69))+1,MOD(ROW(A2462)-1,COLUMNS('Portfolio Weights Returns'!$B$9:$BJ$69))+1)</f>
        <v>-7.8960233750292256E-4</v>
      </c>
      <c r="B2463">
        <v>2.1499999999999998E-2</v>
      </c>
      <c r="C2463" s="59">
        <v>-0.02</v>
      </c>
      <c r="D2463" s="59">
        <v>-0.13</v>
      </c>
      <c r="E2463" s="60">
        <f t="shared" si="38"/>
        <v>1.1499999999999999</v>
      </c>
      <c r="F2463" t="str" cm="1">
        <f t="array" ref="F2463">IF(A2463=MAX(IF(ROUND($B$2:$B$3722,4)=ROUND(B2463,4),$A$2:$A$3722)),"Efficient","Inefficient")</f>
        <v>Inefficient</v>
      </c>
    </row>
    <row r="2464" spans="1:6" x14ac:dyDescent="0.25">
      <c r="A2464" cm="1">
        <f t="array" ref="A2464">INDEX('Portfolio Weights Returns'!$B$9:$BJ$69,
INT((ROW(A2463)-1)/COLUMNS('Portfolio Weights Returns'!$B$9:$BJ$69))+1,MOD(ROW(A2463)-1,COLUMNS('Portfolio Weights Returns'!$B$9:$BJ$69))+1)</f>
        <v>-7.8282116353624342E-4</v>
      </c>
      <c r="B2464">
        <v>2.1499999999999998E-2</v>
      </c>
      <c r="C2464" s="59">
        <v>-7.0000000000000007E-2</v>
      </c>
      <c r="D2464" s="59">
        <v>-0.09</v>
      </c>
      <c r="E2464" s="60">
        <f t="shared" si="38"/>
        <v>1.1600000000000001</v>
      </c>
      <c r="F2464" t="str" cm="1">
        <f t="array" ref="F2464">IF(A2464=MAX(IF(ROUND($B$2:$B$3722,4)=ROUND(B2464,4),$A$2:$A$3722)),"Efficient","Inefficient")</f>
        <v>Inefficient</v>
      </c>
    </row>
    <row r="2465" spans="1:6" x14ac:dyDescent="0.25">
      <c r="A2465" cm="1">
        <f t="array" ref="A2465">INDEX('Portfolio Weights Returns'!$B$9:$BJ$69,
INT((ROW(A2464)-1)/COLUMNS('Portfolio Weights Returns'!$B$9:$BJ$69))+1,MOD(ROW(A2464)-1,COLUMNS('Portfolio Weights Returns'!$B$9:$BJ$69))+1)</f>
        <v>-7.7603998956956427E-4</v>
      </c>
      <c r="B2465">
        <v>2.1499999999999998E-2</v>
      </c>
      <c r="C2465" s="59">
        <v>-0.08</v>
      </c>
      <c r="D2465" s="59">
        <v>-0.08</v>
      </c>
      <c r="E2465" s="60">
        <f t="shared" si="38"/>
        <v>1.1600000000000001</v>
      </c>
      <c r="F2465" t="str" cm="1">
        <f t="array" ref="F2465">IF(A2465=MAX(IF(ROUND($B$2:$B$3722,4)=ROUND(B2465,4),$A$2:$A$3722)),"Efficient","Inefficient")</f>
        <v>Inefficient</v>
      </c>
    </row>
    <row r="2466" spans="1:6" x14ac:dyDescent="0.25">
      <c r="A2466" cm="1">
        <f t="array" ref="A2466">INDEX('Portfolio Weights Returns'!$B$9:$BJ$69,
INT((ROW(A2465)-1)/COLUMNS('Portfolio Weights Returns'!$B$9:$BJ$69))+1,MOD(ROW(A2465)-1,COLUMNS('Portfolio Weights Returns'!$B$9:$BJ$69))+1)</f>
        <v>-7.6925881560288513E-4</v>
      </c>
      <c r="B2466">
        <v>2.1499999999999998E-2</v>
      </c>
      <c r="C2466" s="59">
        <v>-0.09</v>
      </c>
      <c r="D2466" s="59">
        <v>-7.0000000000000007E-2</v>
      </c>
      <c r="E2466" s="60">
        <f t="shared" si="38"/>
        <v>1.1600000000000001</v>
      </c>
      <c r="F2466" t="str" cm="1">
        <f t="array" ref="F2466">IF(A2466=MAX(IF(ROUND($B$2:$B$3722,4)=ROUND(B2466,4),$A$2:$A$3722)),"Efficient","Inefficient")</f>
        <v>Inefficient</v>
      </c>
    </row>
    <row r="2467" spans="1:6" x14ac:dyDescent="0.25">
      <c r="A2467" cm="1">
        <f t="array" ref="A2467">INDEX('Portfolio Weights Returns'!$B$9:$BJ$69,
INT((ROW(A2466)-1)/COLUMNS('Portfolio Weights Returns'!$B$9:$BJ$69))+1,MOD(ROW(A2466)-1,COLUMNS('Portfolio Weights Returns'!$B$9:$BJ$69))+1)</f>
        <v>-7.6247764163620609E-4</v>
      </c>
      <c r="B2467">
        <v>2.1499999999999998E-2</v>
      </c>
      <c r="C2467" s="59">
        <v>-0.1</v>
      </c>
      <c r="D2467" s="59">
        <v>-0.06</v>
      </c>
      <c r="E2467" s="60">
        <f t="shared" si="38"/>
        <v>1.1600000000000001</v>
      </c>
      <c r="F2467" t="str" cm="1">
        <f t="array" ref="F2467">IF(A2467=MAX(IF(ROUND($B$2:$B$3722,4)=ROUND(B2467,4),$A$2:$A$3722)),"Efficient","Inefficient")</f>
        <v>Inefficient</v>
      </c>
    </row>
    <row r="2468" spans="1:6" x14ac:dyDescent="0.25">
      <c r="A2468" cm="1">
        <f t="array" ref="A2468">INDEX('Portfolio Weights Returns'!$B$9:$BJ$69,
INT((ROW(A2467)-1)/COLUMNS('Portfolio Weights Returns'!$B$9:$BJ$69))+1,MOD(ROW(A2467)-1,COLUMNS('Portfolio Weights Returns'!$B$9:$BJ$69))+1)</f>
        <v>-7.5569646766952695E-4</v>
      </c>
      <c r="B2468">
        <v>2.1499999999999998E-2</v>
      </c>
      <c r="C2468" s="59">
        <v>-0.11</v>
      </c>
      <c r="D2468" s="59">
        <v>-0.05</v>
      </c>
      <c r="E2468" s="60">
        <f t="shared" si="38"/>
        <v>1.1600000000000001</v>
      </c>
      <c r="F2468" t="str" cm="1">
        <f t="array" ref="F2468">IF(A2468=MAX(IF(ROUND($B$2:$B$3722,4)=ROUND(B2468,4),$A$2:$A$3722)),"Efficient","Inefficient")</f>
        <v>Inefficient</v>
      </c>
    </row>
    <row r="2469" spans="1:6" x14ac:dyDescent="0.25">
      <c r="A2469" cm="1">
        <f t="array" ref="A2469">INDEX('Portfolio Weights Returns'!$B$9:$BJ$69,
INT((ROW(A2468)-1)/COLUMNS('Portfolio Weights Returns'!$B$9:$BJ$69))+1,MOD(ROW(A2468)-1,COLUMNS('Portfolio Weights Returns'!$B$9:$BJ$69))+1)</f>
        <v>-7.489152937028478E-4</v>
      </c>
      <c r="B2469">
        <v>2.1499999999999998E-2</v>
      </c>
      <c r="C2469" s="59">
        <v>-0.12</v>
      </c>
      <c r="D2469" s="59">
        <v>-0.04</v>
      </c>
      <c r="E2469" s="60">
        <f t="shared" si="38"/>
        <v>1.1600000000000001</v>
      </c>
      <c r="F2469" t="str" cm="1">
        <f t="array" ref="F2469">IF(A2469=MAX(IF(ROUND($B$2:$B$3722,4)=ROUND(B2469,4),$A$2:$A$3722)),"Efficient","Inefficient")</f>
        <v>Inefficient</v>
      </c>
    </row>
    <row r="2470" spans="1:6" x14ac:dyDescent="0.25">
      <c r="A2470" cm="1">
        <f t="array" ref="A2470">INDEX('Portfolio Weights Returns'!$B$9:$BJ$69,
INT((ROW(A2469)-1)/COLUMNS('Portfolio Weights Returns'!$B$9:$BJ$69))+1,MOD(ROW(A2469)-1,COLUMNS('Portfolio Weights Returns'!$B$9:$BJ$69))+1)</f>
        <v>-7.4213411973616877E-4</v>
      </c>
      <c r="B2470">
        <v>2.1499999999999998E-2</v>
      </c>
      <c r="C2470" s="59">
        <v>-0.13</v>
      </c>
      <c r="D2470" s="59">
        <v>-0.03</v>
      </c>
      <c r="E2470" s="60">
        <f t="shared" si="38"/>
        <v>1.1600000000000001</v>
      </c>
      <c r="F2470" t="str" cm="1">
        <f t="array" ref="F2470">IF(A2470=MAX(IF(ROUND($B$2:$B$3722,4)=ROUND(B2470,4),$A$2:$A$3722)),"Efficient","Inefficient")</f>
        <v>Inefficient</v>
      </c>
    </row>
    <row r="2471" spans="1:6" x14ac:dyDescent="0.25">
      <c r="A2471" cm="1">
        <f t="array" ref="A2471">INDEX('Portfolio Weights Returns'!$B$9:$BJ$69,
INT((ROW(A2470)-1)/COLUMNS('Portfolio Weights Returns'!$B$9:$BJ$69))+1,MOD(ROW(A2470)-1,COLUMNS('Portfolio Weights Returns'!$B$9:$BJ$69))+1)</f>
        <v>-7.3535294576948962E-4</v>
      </c>
      <c r="B2471">
        <v>2.1499999999999998E-2</v>
      </c>
      <c r="C2471" s="59">
        <v>-0.16</v>
      </c>
      <c r="D2471" s="59">
        <v>0.01</v>
      </c>
      <c r="E2471" s="60">
        <f t="shared" si="38"/>
        <v>1.1499999999999999</v>
      </c>
      <c r="F2471" t="str" cm="1">
        <f t="array" ref="F2471">IF(A2471=MAX(IF(ROUND($B$2:$B$3722,4)=ROUND(B2471,4),$A$2:$A$3722)),"Efficient","Inefficient")</f>
        <v>Inefficient</v>
      </c>
    </row>
    <row r="2472" spans="1:6" x14ac:dyDescent="0.25">
      <c r="A2472" cm="1">
        <f t="array" ref="A2472">INDEX('Portfolio Weights Returns'!$B$9:$BJ$69,
INT((ROW(A2471)-1)/COLUMNS('Portfolio Weights Returns'!$B$9:$BJ$69))+1,MOD(ROW(A2471)-1,COLUMNS('Portfolio Weights Returns'!$B$9:$BJ$69))+1)</f>
        <v>-7.2857177180281048E-4</v>
      </c>
      <c r="B2472">
        <v>2.1499999999999998E-2</v>
      </c>
      <c r="C2472" s="59">
        <v>-0.17</v>
      </c>
      <c r="D2472" s="59">
        <v>0.02</v>
      </c>
      <c r="E2472" s="60">
        <f t="shared" si="38"/>
        <v>1.1499999999999999</v>
      </c>
      <c r="F2472" t="str" cm="1">
        <f t="array" ref="F2472">IF(A2472=MAX(IF(ROUND($B$2:$B$3722,4)=ROUND(B2472,4),$A$2:$A$3722)),"Efficient","Inefficient")</f>
        <v>Inefficient</v>
      </c>
    </row>
    <row r="2473" spans="1:6" x14ac:dyDescent="0.25">
      <c r="A2473" cm="1">
        <f t="array" ref="A2473">INDEX('Portfolio Weights Returns'!$B$9:$BJ$69,
INT((ROW(A2472)-1)/COLUMNS('Portfolio Weights Returns'!$B$9:$BJ$69))+1,MOD(ROW(A2472)-1,COLUMNS('Portfolio Weights Returns'!$B$9:$BJ$69))+1)</f>
        <v>-7.2179059783613133E-4</v>
      </c>
      <c r="B2473">
        <v>2.1499999999999998E-2</v>
      </c>
      <c r="C2473" s="59">
        <v>-0.18</v>
      </c>
      <c r="D2473" s="59">
        <v>0.04</v>
      </c>
      <c r="E2473" s="60">
        <f t="shared" si="38"/>
        <v>1.1399999999999999</v>
      </c>
      <c r="F2473" t="str" cm="1">
        <f t="array" ref="F2473">IF(A2473=MAX(IF(ROUND($B$2:$B$3722,4)=ROUND(B2473,4),$A$2:$A$3722)),"Efficient","Inefficient")</f>
        <v>Inefficient</v>
      </c>
    </row>
    <row r="2474" spans="1:6" x14ac:dyDescent="0.25">
      <c r="A2474" cm="1">
        <f t="array" ref="A2474">INDEX('Portfolio Weights Returns'!$B$9:$BJ$69,
INT((ROW(A2473)-1)/COLUMNS('Portfolio Weights Returns'!$B$9:$BJ$69))+1,MOD(ROW(A2473)-1,COLUMNS('Portfolio Weights Returns'!$B$9:$BJ$69))+1)</f>
        <v>-7.150094238694523E-4</v>
      </c>
      <c r="B2474">
        <v>2.1499999999999998E-2</v>
      </c>
      <c r="C2474" s="59">
        <v>-0.19</v>
      </c>
      <c r="D2474" s="59">
        <v>0.05</v>
      </c>
      <c r="E2474" s="60">
        <f t="shared" si="38"/>
        <v>1.1399999999999999</v>
      </c>
      <c r="F2474" t="str" cm="1">
        <f t="array" ref="F2474">IF(A2474=MAX(IF(ROUND($B$2:$B$3722,4)=ROUND(B2474,4),$A$2:$A$3722)),"Efficient","Inefficient")</f>
        <v>Inefficient</v>
      </c>
    </row>
    <row r="2475" spans="1:6" x14ac:dyDescent="0.25">
      <c r="A2475" cm="1">
        <f t="array" ref="A2475">INDEX('Portfolio Weights Returns'!$B$9:$BJ$69,
INT((ROW(A2474)-1)/COLUMNS('Portfolio Weights Returns'!$B$9:$BJ$69))+1,MOD(ROW(A2474)-1,COLUMNS('Portfolio Weights Returns'!$B$9:$BJ$69))+1)</f>
        <v>-7.0822824990277315E-4</v>
      </c>
      <c r="B2475">
        <v>2.1499999999999998E-2</v>
      </c>
      <c r="C2475" s="59">
        <v>-0.2</v>
      </c>
      <c r="D2475" s="59">
        <v>7.0000000000000007E-2</v>
      </c>
      <c r="E2475" s="60">
        <f t="shared" si="38"/>
        <v>1.1299999999999999</v>
      </c>
      <c r="F2475" t="str" cm="1">
        <f t="array" ref="F2475">IF(A2475=MAX(IF(ROUND($B$2:$B$3722,4)=ROUND(B2475,4),$A$2:$A$3722)),"Efficient","Inefficient")</f>
        <v>Inefficient</v>
      </c>
    </row>
    <row r="2476" spans="1:6" x14ac:dyDescent="0.25">
      <c r="A2476" cm="1">
        <f t="array" ref="A2476">INDEX('Portfolio Weights Returns'!$B$9:$BJ$69,
INT((ROW(A2475)-1)/COLUMNS('Portfolio Weights Returns'!$B$9:$BJ$69))+1,MOD(ROW(A2475)-1,COLUMNS('Portfolio Weights Returns'!$B$9:$BJ$69))+1)</f>
        <v>-7.0144707593609412E-4</v>
      </c>
      <c r="B2476">
        <v>2.1499999999999998E-2</v>
      </c>
      <c r="C2476" s="59">
        <v>-0.21</v>
      </c>
      <c r="D2476" s="59">
        <v>0.08</v>
      </c>
      <c r="E2476" s="60">
        <f t="shared" si="38"/>
        <v>1.1300000000000001</v>
      </c>
      <c r="F2476" t="str" cm="1">
        <f t="array" ref="F2476">IF(A2476=MAX(IF(ROUND($B$2:$B$3722,4)=ROUND(B2476,4),$A$2:$A$3722)),"Efficient","Inefficient")</f>
        <v>Inefficient</v>
      </c>
    </row>
    <row r="2477" spans="1:6" x14ac:dyDescent="0.25">
      <c r="A2477" cm="1">
        <f t="array" ref="A2477">INDEX('Portfolio Weights Returns'!$B$9:$BJ$69,
INT((ROW(A2476)-1)/COLUMNS('Portfolio Weights Returns'!$B$9:$BJ$69))+1,MOD(ROW(A2476)-1,COLUMNS('Portfolio Weights Returns'!$B$9:$BJ$69))+1)</f>
        <v>-6.9466590196941497E-4</v>
      </c>
      <c r="B2477">
        <v>2.1499999999999998E-2</v>
      </c>
      <c r="C2477" s="59">
        <v>-0.21</v>
      </c>
      <c r="D2477" s="59">
        <v>0.09</v>
      </c>
      <c r="E2477" s="60">
        <f t="shared" si="38"/>
        <v>1.1200000000000001</v>
      </c>
      <c r="F2477" t="str" cm="1">
        <f t="array" ref="F2477">IF(A2477=MAX(IF(ROUND($B$2:$B$3722,4)=ROUND(B2477,4),$A$2:$A$3722)),"Efficient","Inefficient")</f>
        <v>Inefficient</v>
      </c>
    </row>
    <row r="2478" spans="1:6" x14ac:dyDescent="0.25">
      <c r="A2478" cm="1">
        <f t="array" ref="A2478">INDEX('Portfolio Weights Returns'!$B$9:$BJ$69,
INT((ROW(A2477)-1)/COLUMNS('Portfolio Weights Returns'!$B$9:$BJ$69))+1,MOD(ROW(A2477)-1,COLUMNS('Portfolio Weights Returns'!$B$9:$BJ$69))+1)</f>
        <v>-6.8788472800273572E-4</v>
      </c>
      <c r="B2478">
        <v>2.1499999999999998E-2</v>
      </c>
      <c r="C2478" s="59">
        <v>-0.22</v>
      </c>
      <c r="D2478" s="59">
        <v>0.1</v>
      </c>
      <c r="E2478" s="60">
        <f t="shared" si="38"/>
        <v>1.1200000000000001</v>
      </c>
      <c r="F2478" t="str" cm="1">
        <f t="array" ref="F2478">IF(A2478=MAX(IF(ROUND($B$2:$B$3722,4)=ROUND(B2478,4),$A$2:$A$3722)),"Efficient","Inefficient")</f>
        <v>Inefficient</v>
      </c>
    </row>
    <row r="2479" spans="1:6" x14ac:dyDescent="0.25">
      <c r="A2479" cm="1">
        <f t="array" ref="A2479">INDEX('Portfolio Weights Returns'!$B$9:$BJ$69,
INT((ROW(A2478)-1)/COLUMNS('Portfolio Weights Returns'!$B$9:$BJ$69))+1,MOD(ROW(A2478)-1,COLUMNS('Portfolio Weights Returns'!$B$9:$BJ$69))+1)</f>
        <v>-6.8110355403605668E-4</v>
      </c>
      <c r="B2479">
        <v>2.1499999999999998E-2</v>
      </c>
      <c r="C2479" s="59">
        <v>-0.22</v>
      </c>
      <c r="D2479" s="59">
        <v>0.11</v>
      </c>
      <c r="E2479" s="60">
        <f t="shared" si="38"/>
        <v>1.1100000000000001</v>
      </c>
      <c r="F2479" t="str" cm="1">
        <f t="array" ref="F2479">IF(A2479=MAX(IF(ROUND($B$2:$B$3722,4)=ROUND(B2479,4),$A$2:$A$3722)),"Efficient","Inefficient")</f>
        <v>Inefficient</v>
      </c>
    </row>
    <row r="2480" spans="1:6" x14ac:dyDescent="0.25">
      <c r="A2480" cm="1">
        <f t="array" ref="A2480">INDEX('Portfolio Weights Returns'!$B$9:$BJ$69,
INT((ROW(A2479)-1)/COLUMNS('Portfolio Weights Returns'!$B$9:$BJ$69))+1,MOD(ROW(A2479)-1,COLUMNS('Portfolio Weights Returns'!$B$9:$BJ$69))+1)</f>
        <v>-6.7432238006937765E-4</v>
      </c>
      <c r="B2480">
        <v>2.1499999999999998E-2</v>
      </c>
      <c r="C2480" s="59">
        <v>-0.23</v>
      </c>
      <c r="D2480" s="59">
        <v>0.13</v>
      </c>
      <c r="E2480" s="60">
        <f t="shared" si="38"/>
        <v>1.1000000000000001</v>
      </c>
      <c r="F2480" t="str" cm="1">
        <f t="array" ref="F2480">IF(A2480=MAX(IF(ROUND($B$2:$B$3722,4)=ROUND(B2480,4),$A$2:$A$3722)),"Efficient","Inefficient")</f>
        <v>Inefficient</v>
      </c>
    </row>
    <row r="2481" spans="1:6" x14ac:dyDescent="0.25">
      <c r="A2481" cm="1">
        <f t="array" ref="A2481">INDEX('Portfolio Weights Returns'!$B$9:$BJ$69,
INT((ROW(A2480)-1)/COLUMNS('Portfolio Weights Returns'!$B$9:$BJ$69))+1,MOD(ROW(A2480)-1,COLUMNS('Portfolio Weights Returns'!$B$9:$BJ$69))+1)</f>
        <v>-6.6754120610269861E-4</v>
      </c>
      <c r="B2481">
        <v>2.1499999999999998E-2</v>
      </c>
      <c r="C2481" s="59">
        <v>-0.24</v>
      </c>
      <c r="D2481" s="59">
        <v>0.16</v>
      </c>
      <c r="E2481" s="60">
        <f t="shared" si="38"/>
        <v>1.08</v>
      </c>
      <c r="F2481" t="str" cm="1">
        <f t="array" ref="F2481">IF(A2481=MAX(IF(ROUND($B$2:$B$3722,4)=ROUND(B2481,4),$A$2:$A$3722)),"Efficient","Inefficient")</f>
        <v>Inefficient</v>
      </c>
    </row>
    <row r="2482" spans="1:6" x14ac:dyDescent="0.25">
      <c r="A2482" cm="1">
        <f t="array" ref="A2482">INDEX('Portfolio Weights Returns'!$B$9:$BJ$69,
INT((ROW(A2481)-1)/COLUMNS('Portfolio Weights Returns'!$B$9:$BJ$69))+1,MOD(ROW(A2481)-1,COLUMNS('Portfolio Weights Returns'!$B$9:$BJ$69))+1)</f>
        <v>-6.6076003213601947E-4</v>
      </c>
      <c r="B2482">
        <v>2.1499999999999998E-2</v>
      </c>
      <c r="C2482" s="59">
        <v>-0.24</v>
      </c>
      <c r="D2482" s="59">
        <v>0.17</v>
      </c>
      <c r="E2482" s="60">
        <f t="shared" si="38"/>
        <v>1.0699999999999998</v>
      </c>
      <c r="F2482" t="str" cm="1">
        <f t="array" ref="F2482">IF(A2482=MAX(IF(ROUND($B$2:$B$3722,4)=ROUND(B2482,4),$A$2:$A$3722)),"Efficient","Inefficient")</f>
        <v>Inefficient</v>
      </c>
    </row>
    <row r="2483" spans="1:6" x14ac:dyDescent="0.25">
      <c r="A2483" cm="1">
        <f t="array" ref="A2483">INDEX('Portfolio Weights Returns'!$B$9:$BJ$69,
INT((ROW(A2482)-1)/COLUMNS('Portfolio Weights Returns'!$B$9:$BJ$69))+1,MOD(ROW(A2482)-1,COLUMNS('Portfolio Weights Returns'!$B$9:$BJ$69))+1)</f>
        <v>-6.5397885816934043E-4</v>
      </c>
      <c r="B2483">
        <v>2.1499999999999998E-2</v>
      </c>
      <c r="C2483" s="59">
        <v>-0.25</v>
      </c>
      <c r="D2483" s="59">
        <v>0.22</v>
      </c>
      <c r="E2483" s="60">
        <f t="shared" si="38"/>
        <v>1.03</v>
      </c>
      <c r="F2483" t="str" cm="1">
        <f t="array" ref="F2483">IF(A2483=MAX(IF(ROUND($B$2:$B$3722,4)=ROUND(B2483,4),$A$2:$A$3722)),"Efficient","Inefficient")</f>
        <v>Inefficient</v>
      </c>
    </row>
    <row r="2484" spans="1:6" x14ac:dyDescent="0.25">
      <c r="A2484" cm="1">
        <f t="array" ref="A2484">INDEX('Portfolio Weights Returns'!$B$9:$BJ$69,
INT((ROW(A2483)-1)/COLUMNS('Portfolio Weights Returns'!$B$9:$BJ$69))+1,MOD(ROW(A2483)-1,COLUMNS('Portfolio Weights Returns'!$B$9:$BJ$69))+1)</f>
        <v>-6.4719768420266118E-4</v>
      </c>
      <c r="B2484">
        <v>2.1499999999999998E-2</v>
      </c>
      <c r="C2484" s="59">
        <v>-0.24</v>
      </c>
      <c r="D2484" s="59">
        <v>0.26</v>
      </c>
      <c r="E2484" s="60">
        <f t="shared" si="38"/>
        <v>0.98</v>
      </c>
      <c r="F2484" t="str" cm="1">
        <f t="array" ref="F2484">IF(A2484=MAX(IF(ROUND($B$2:$B$3722,4)=ROUND(B2484,4),$A$2:$A$3722)),"Efficient","Inefficient")</f>
        <v>Inefficient</v>
      </c>
    </row>
    <row r="2485" spans="1:6" x14ac:dyDescent="0.25">
      <c r="A2485" cm="1">
        <f t="array" ref="A2485">INDEX('Portfolio Weights Returns'!$B$9:$BJ$69,
INT((ROW(A2484)-1)/COLUMNS('Portfolio Weights Returns'!$B$9:$BJ$69))+1,MOD(ROW(A2484)-1,COLUMNS('Portfolio Weights Returns'!$B$9:$BJ$69))+1)</f>
        <v>-6.4041651023598214E-4</v>
      </c>
      <c r="B2485">
        <v>2.1499999999999998E-2</v>
      </c>
      <c r="C2485" s="59">
        <v>-0.24</v>
      </c>
      <c r="D2485" s="59">
        <v>0.27</v>
      </c>
      <c r="E2485" s="60">
        <f t="shared" si="38"/>
        <v>0.97</v>
      </c>
      <c r="F2485" t="str" cm="1">
        <f t="array" ref="F2485">IF(A2485=MAX(IF(ROUND($B$2:$B$3722,4)=ROUND(B2485,4),$A$2:$A$3722)),"Efficient","Inefficient")</f>
        <v>Inefficient</v>
      </c>
    </row>
    <row r="2486" spans="1:6" x14ac:dyDescent="0.25">
      <c r="A2486" cm="1">
        <f t="array" ref="A2486">INDEX('Portfolio Weights Returns'!$B$9:$BJ$69,
INT((ROW(A2485)-1)/COLUMNS('Portfolio Weights Returns'!$B$9:$BJ$69))+1,MOD(ROW(A2485)-1,COLUMNS('Portfolio Weights Returns'!$B$9:$BJ$69))+1)</f>
        <v>-6.33635336269303E-4</v>
      </c>
      <c r="B2486">
        <v>2.1499999999999998E-2</v>
      </c>
      <c r="C2486" s="59">
        <v>-0.24</v>
      </c>
      <c r="D2486" s="59">
        <v>0.28000000000000003</v>
      </c>
      <c r="E2486" s="60">
        <f t="shared" si="38"/>
        <v>0.96</v>
      </c>
      <c r="F2486" t="str" cm="1">
        <f t="array" ref="F2486">IF(A2486=MAX(IF(ROUND($B$2:$B$3722,4)=ROUND(B2486,4),$A$2:$A$3722)),"Efficient","Inefficient")</f>
        <v>Inefficient</v>
      </c>
    </row>
    <row r="2487" spans="1:6" x14ac:dyDescent="0.25">
      <c r="A2487" cm="1">
        <f t="array" ref="A2487">INDEX('Portfolio Weights Returns'!$B$9:$BJ$69,
INT((ROW(A2486)-1)/COLUMNS('Portfolio Weights Returns'!$B$9:$BJ$69))+1,MOD(ROW(A2486)-1,COLUMNS('Portfolio Weights Returns'!$B$9:$BJ$69))+1)</f>
        <v>-6.2685416230262385E-4</v>
      </c>
      <c r="B2487">
        <v>2.1499999999999998E-2</v>
      </c>
      <c r="C2487" s="59">
        <v>-0.23</v>
      </c>
      <c r="D2487" s="59">
        <v>0.28999999999999998</v>
      </c>
      <c r="E2487" s="60">
        <f t="shared" si="38"/>
        <v>0.94</v>
      </c>
      <c r="F2487" t="str" cm="1">
        <f t="array" ref="F2487">IF(A2487=MAX(IF(ROUND($B$2:$B$3722,4)=ROUND(B2487,4),$A$2:$A$3722)),"Efficient","Inefficient")</f>
        <v>Inefficient</v>
      </c>
    </row>
    <row r="2488" spans="1:6" x14ac:dyDescent="0.25">
      <c r="A2488" cm="1">
        <f t="array" ref="A2488">INDEX('Portfolio Weights Returns'!$B$9:$BJ$69,
INT((ROW(A2487)-1)/COLUMNS('Portfolio Weights Returns'!$B$9:$BJ$69))+1,MOD(ROW(A2487)-1,COLUMNS('Portfolio Weights Returns'!$B$9:$BJ$69))+1)</f>
        <v>-6.2007298833594482E-4</v>
      </c>
      <c r="B2488">
        <v>2.1499999999999998E-2</v>
      </c>
      <c r="C2488" s="59">
        <v>-0.23</v>
      </c>
      <c r="D2488" s="59">
        <v>0.3</v>
      </c>
      <c r="E2488" s="60">
        <f t="shared" si="38"/>
        <v>0.92999999999999994</v>
      </c>
      <c r="F2488" t="str" cm="1">
        <f t="array" ref="F2488">IF(A2488=MAX(IF(ROUND($B$2:$B$3722,4)=ROUND(B2488,4),$A$2:$A$3722)),"Efficient","Inefficient")</f>
        <v>Efficient</v>
      </c>
    </row>
    <row r="2489" spans="1:6" x14ac:dyDescent="0.25">
      <c r="A2489" cm="1">
        <f t="array" ref="A2489">INDEX('Portfolio Weights Returns'!$B$9:$BJ$69,
INT((ROW(A2488)-1)/COLUMNS('Portfolio Weights Returns'!$B$9:$BJ$69))+1,MOD(ROW(A2488)-1,COLUMNS('Portfolio Weights Returns'!$B$9:$BJ$69))+1)</f>
        <v>-6.1329181436926567E-4</v>
      </c>
      <c r="B2489">
        <v>2.1600000000000001E-2</v>
      </c>
      <c r="C2489" s="59">
        <v>0.24</v>
      </c>
      <c r="D2489" s="59">
        <v>-0.3</v>
      </c>
      <c r="E2489" s="60">
        <f t="shared" si="38"/>
        <v>1.06</v>
      </c>
      <c r="F2489" t="str" cm="1">
        <f t="array" ref="F2489">IF(A2489=MAX(IF(ROUND($B$2:$B$3722,4)=ROUND(B2489,4),$A$2:$A$3722)),"Efficient","Inefficient")</f>
        <v>Inefficient</v>
      </c>
    </row>
    <row r="2490" spans="1:6" x14ac:dyDescent="0.25">
      <c r="A2490" cm="1">
        <f t="array" ref="A2490">INDEX('Portfolio Weights Returns'!$B$9:$BJ$69,
INT((ROW(A2489)-1)/COLUMNS('Portfolio Weights Returns'!$B$9:$BJ$69))+1,MOD(ROW(A2489)-1,COLUMNS('Portfolio Weights Returns'!$B$9:$BJ$69))+1)</f>
        <v>-6.0651064040258664E-4</v>
      </c>
      <c r="B2490">
        <v>2.1600000000000001E-2</v>
      </c>
      <c r="C2490" s="59">
        <v>0.22</v>
      </c>
      <c r="D2490" s="59">
        <v>-0.28999999999999998</v>
      </c>
      <c r="E2490" s="60">
        <f t="shared" si="38"/>
        <v>1.07</v>
      </c>
      <c r="F2490" t="str" cm="1">
        <f t="array" ref="F2490">IF(A2490=MAX(IF(ROUND($B$2:$B$3722,4)=ROUND(B2490,4),$A$2:$A$3722)),"Efficient","Inefficient")</f>
        <v>Inefficient</v>
      </c>
    </row>
    <row r="2491" spans="1:6" x14ac:dyDescent="0.25">
      <c r="A2491" cm="1">
        <f t="array" ref="A2491">INDEX('Portfolio Weights Returns'!$B$9:$BJ$69,
INT((ROW(A2490)-1)/COLUMNS('Portfolio Weights Returns'!$B$9:$BJ$69))+1,MOD(ROW(A2490)-1,COLUMNS('Portfolio Weights Returns'!$B$9:$BJ$69))+1)</f>
        <v>-5.9972946643590749E-4</v>
      </c>
      <c r="B2491">
        <v>2.1600000000000001E-2</v>
      </c>
      <c r="C2491" s="59">
        <v>0.17</v>
      </c>
      <c r="D2491" s="59">
        <v>-0.26</v>
      </c>
      <c r="E2491" s="60">
        <f t="shared" si="38"/>
        <v>1.0900000000000001</v>
      </c>
      <c r="F2491" t="str" cm="1">
        <f t="array" ref="F2491">IF(A2491=MAX(IF(ROUND($B$2:$B$3722,4)=ROUND(B2491,4),$A$2:$A$3722)),"Efficient","Inefficient")</f>
        <v>Inefficient</v>
      </c>
    </row>
    <row r="2492" spans="1:6" x14ac:dyDescent="0.25">
      <c r="A2492" cm="1">
        <f t="array" ref="A2492">INDEX('Portfolio Weights Returns'!$B$9:$BJ$69,
INT((ROW(A2491)-1)/COLUMNS('Portfolio Weights Returns'!$B$9:$BJ$69))+1,MOD(ROW(A2491)-1,COLUMNS('Portfolio Weights Returns'!$B$9:$BJ$69))+1)</f>
        <v>-5.9294829246922846E-4</v>
      </c>
      <c r="B2492">
        <v>2.1600000000000001E-2</v>
      </c>
      <c r="C2492" s="59">
        <v>0.15</v>
      </c>
      <c r="D2492" s="59">
        <v>-0.25</v>
      </c>
      <c r="E2492" s="60">
        <f t="shared" si="38"/>
        <v>1.1000000000000001</v>
      </c>
      <c r="F2492" t="str" cm="1">
        <f t="array" ref="F2492">IF(A2492=MAX(IF(ROUND($B$2:$B$3722,4)=ROUND(B2492,4),$A$2:$A$3722)),"Efficient","Inefficient")</f>
        <v>Inefficient</v>
      </c>
    </row>
    <row r="2493" spans="1:6" x14ac:dyDescent="0.25">
      <c r="A2493" cm="1">
        <f t="array" ref="A2493">INDEX('Portfolio Weights Returns'!$B$9:$BJ$69,
INT((ROW(A2492)-1)/COLUMNS('Portfolio Weights Returns'!$B$9:$BJ$69))+1,MOD(ROW(A2492)-1,COLUMNS('Portfolio Weights Returns'!$B$9:$BJ$69))+1)</f>
        <v>-5.8616711850254931E-4</v>
      </c>
      <c r="B2493">
        <v>2.1600000000000001E-2</v>
      </c>
      <c r="C2493" s="59">
        <v>0.13</v>
      </c>
      <c r="D2493" s="59">
        <v>-0.24</v>
      </c>
      <c r="E2493" s="60">
        <f t="shared" si="38"/>
        <v>1.1099999999999999</v>
      </c>
      <c r="F2493" t="str" cm="1">
        <f t="array" ref="F2493">IF(A2493=MAX(IF(ROUND($B$2:$B$3722,4)=ROUND(B2493,4),$A$2:$A$3722)),"Efficient","Inefficient")</f>
        <v>Inefficient</v>
      </c>
    </row>
    <row r="2494" spans="1:6" x14ac:dyDescent="0.25">
      <c r="A2494" cm="1">
        <f t="array" ref="A2494">INDEX('Portfolio Weights Returns'!$B$9:$BJ$69,
INT((ROW(A2493)-1)/COLUMNS('Portfolio Weights Returns'!$B$9:$BJ$69))+1,MOD(ROW(A2493)-1,COLUMNS('Portfolio Weights Returns'!$B$9:$BJ$69))+1)</f>
        <v>-5.7938594453587028E-4</v>
      </c>
      <c r="B2494">
        <v>2.1600000000000001E-2</v>
      </c>
      <c r="C2494" s="59">
        <v>0.1</v>
      </c>
      <c r="D2494" s="59">
        <v>-0.22</v>
      </c>
      <c r="E2494" s="60">
        <f t="shared" si="38"/>
        <v>1.1199999999999999</v>
      </c>
      <c r="F2494" t="str" cm="1">
        <f t="array" ref="F2494">IF(A2494=MAX(IF(ROUND($B$2:$B$3722,4)=ROUND(B2494,4),$A$2:$A$3722)),"Efficient","Inefficient")</f>
        <v>Inefficient</v>
      </c>
    </row>
    <row r="2495" spans="1:6" x14ac:dyDescent="0.25">
      <c r="A2495" cm="1">
        <f t="array" ref="A2495">INDEX('Portfolio Weights Returns'!$B$9:$BJ$69,
INT((ROW(A2494)-1)/COLUMNS('Portfolio Weights Returns'!$B$9:$BJ$69))+1,MOD(ROW(A2494)-1,COLUMNS('Portfolio Weights Returns'!$B$9:$BJ$69))+1)</f>
        <v>-5.7260477056919113E-4</v>
      </c>
      <c r="B2495">
        <v>2.1600000000000001E-2</v>
      </c>
      <c r="C2495" s="59">
        <v>7.0000000000000007E-2</v>
      </c>
      <c r="D2495" s="59">
        <v>-0.2</v>
      </c>
      <c r="E2495" s="60">
        <f t="shared" si="38"/>
        <v>1.1299999999999999</v>
      </c>
      <c r="F2495" t="str" cm="1">
        <f t="array" ref="F2495">IF(A2495=MAX(IF(ROUND($B$2:$B$3722,4)=ROUND(B2495,4),$A$2:$A$3722)),"Efficient","Inefficient")</f>
        <v>Inefficient</v>
      </c>
    </row>
    <row r="2496" spans="1:6" x14ac:dyDescent="0.25">
      <c r="A2496" cm="1">
        <f t="array" ref="A2496">INDEX('Portfolio Weights Returns'!$B$9:$BJ$69,
INT((ROW(A2495)-1)/COLUMNS('Portfolio Weights Returns'!$B$9:$BJ$69))+1,MOD(ROW(A2495)-1,COLUMNS('Portfolio Weights Returns'!$B$9:$BJ$69))+1)</f>
        <v>-5.6582359660251199E-4</v>
      </c>
      <c r="B2496">
        <v>2.1600000000000001E-2</v>
      </c>
      <c r="C2496" s="59">
        <v>0.04</v>
      </c>
      <c r="D2496" s="59">
        <v>-0.18</v>
      </c>
      <c r="E2496" s="60">
        <f t="shared" si="38"/>
        <v>1.1399999999999999</v>
      </c>
      <c r="F2496" t="str" cm="1">
        <f t="array" ref="F2496">IF(A2496=MAX(IF(ROUND($B$2:$B$3722,4)=ROUND(B2496,4),$A$2:$A$3722)),"Efficient","Inefficient")</f>
        <v>Inefficient</v>
      </c>
    </row>
    <row r="2497" spans="1:6" x14ac:dyDescent="0.25">
      <c r="A2497" cm="1">
        <f t="array" ref="A2497">INDEX('Portfolio Weights Returns'!$B$9:$BJ$69,
INT((ROW(A2496)-1)/COLUMNS('Portfolio Weights Returns'!$B$9:$BJ$69))+1,MOD(ROW(A2496)-1,COLUMNS('Portfolio Weights Returns'!$B$9:$BJ$69))+1)</f>
        <v>-5.5904242263583284E-4</v>
      </c>
      <c r="B2497">
        <v>2.1600000000000001E-2</v>
      </c>
      <c r="C2497" s="59">
        <v>0.01</v>
      </c>
      <c r="D2497" s="59">
        <v>-0.16</v>
      </c>
      <c r="E2497" s="60">
        <f t="shared" si="38"/>
        <v>1.1499999999999999</v>
      </c>
      <c r="F2497" t="str" cm="1">
        <f t="array" ref="F2497">IF(A2497=MAX(IF(ROUND($B$2:$B$3722,4)=ROUND(B2497,4),$A$2:$A$3722)),"Efficient","Inefficient")</f>
        <v>Inefficient</v>
      </c>
    </row>
    <row r="2498" spans="1:6" x14ac:dyDescent="0.25">
      <c r="A2498" cm="1">
        <f t="array" ref="A2498">INDEX('Portfolio Weights Returns'!$B$9:$BJ$69,
INT((ROW(A2497)-1)/COLUMNS('Portfolio Weights Returns'!$B$9:$BJ$69))+1,MOD(ROW(A2497)-1,COLUMNS('Portfolio Weights Returns'!$B$9:$BJ$69))+1)</f>
        <v>-5.522612486691537E-4</v>
      </c>
      <c r="B2498">
        <v>2.1600000000000001E-2</v>
      </c>
      <c r="C2498" s="59">
        <v>0</v>
      </c>
      <c r="D2498" s="59">
        <v>-0.15</v>
      </c>
      <c r="E2498" s="60">
        <f t="shared" ref="E2498:E2561" si="39">1-D2498-C2498</f>
        <v>1.1499999999999999</v>
      </c>
      <c r="F2498" t="str" cm="1">
        <f t="array" ref="F2498">IF(A2498=MAX(IF(ROUND($B$2:$B$3722,4)=ROUND(B2498,4),$A$2:$A$3722)),"Efficient","Inefficient")</f>
        <v>Inefficient</v>
      </c>
    </row>
    <row r="2499" spans="1:6" x14ac:dyDescent="0.25">
      <c r="A2499" cm="1">
        <f t="array" ref="A2499">INDEX('Portfolio Weights Returns'!$B$9:$BJ$69,
INT((ROW(A2498)-1)/COLUMNS('Portfolio Weights Returns'!$B$9:$BJ$69))+1,MOD(ROW(A2498)-1,COLUMNS('Portfolio Weights Returns'!$B$9:$BJ$69))+1)</f>
        <v>-5.4548007470247401E-4</v>
      </c>
      <c r="B2499">
        <v>2.1600000000000001E-2</v>
      </c>
      <c r="C2499" s="59">
        <v>-0.03</v>
      </c>
      <c r="D2499" s="59">
        <v>-0.13</v>
      </c>
      <c r="E2499" s="60">
        <f t="shared" si="39"/>
        <v>1.1599999999999999</v>
      </c>
      <c r="F2499" t="str" cm="1">
        <f t="array" ref="F2499">IF(A2499=MAX(IF(ROUND($B$2:$B$3722,4)=ROUND(B2499,4),$A$2:$A$3722)),"Efficient","Inefficient")</f>
        <v>Inefficient</v>
      </c>
    </row>
    <row r="2500" spans="1:6" x14ac:dyDescent="0.25">
      <c r="A2500" cm="1">
        <f t="array" ref="A2500">INDEX('Portfolio Weights Returns'!$B$9:$BJ$69,
INT((ROW(A2499)-1)/COLUMNS('Portfolio Weights Returns'!$B$9:$BJ$69))+1,MOD(ROW(A2499)-1,COLUMNS('Portfolio Weights Returns'!$B$9:$BJ$69))+1)</f>
        <v>-5.3869890073579498E-4</v>
      </c>
      <c r="B2500">
        <v>2.1600000000000001E-2</v>
      </c>
      <c r="C2500" s="59">
        <v>-0.04</v>
      </c>
      <c r="D2500" s="59">
        <v>-0.12</v>
      </c>
      <c r="E2500" s="60">
        <f t="shared" si="39"/>
        <v>1.1600000000000001</v>
      </c>
      <c r="F2500" t="str" cm="1">
        <f t="array" ref="F2500">IF(A2500=MAX(IF(ROUND($B$2:$B$3722,4)=ROUND(B2500,4),$A$2:$A$3722)),"Efficient","Inefficient")</f>
        <v>Inefficient</v>
      </c>
    </row>
    <row r="2501" spans="1:6" x14ac:dyDescent="0.25">
      <c r="A2501" cm="1">
        <f t="array" ref="A2501">INDEX('Portfolio Weights Returns'!$B$9:$BJ$69,
INT((ROW(A2500)-1)/COLUMNS('Portfolio Weights Returns'!$B$9:$BJ$69))+1,MOD(ROW(A2500)-1,COLUMNS('Portfolio Weights Returns'!$B$9:$BJ$69))+1)</f>
        <v>-5.3191772676911583E-4</v>
      </c>
      <c r="B2501">
        <v>2.1600000000000001E-2</v>
      </c>
      <c r="C2501" s="59">
        <v>-0.05</v>
      </c>
      <c r="D2501" s="59">
        <v>-0.11</v>
      </c>
      <c r="E2501" s="60">
        <f t="shared" si="39"/>
        <v>1.1600000000000001</v>
      </c>
      <c r="F2501" t="str" cm="1">
        <f t="array" ref="F2501">IF(A2501=MAX(IF(ROUND($B$2:$B$3722,4)=ROUND(B2501,4),$A$2:$A$3722)),"Efficient","Inefficient")</f>
        <v>Inefficient</v>
      </c>
    </row>
    <row r="2502" spans="1:6" x14ac:dyDescent="0.25">
      <c r="A2502" cm="1">
        <f t="array" ref="A2502">INDEX('Portfolio Weights Returns'!$B$9:$BJ$69,
INT((ROW(A2501)-1)/COLUMNS('Portfolio Weights Returns'!$B$9:$BJ$69))+1,MOD(ROW(A2501)-1,COLUMNS('Portfolio Weights Returns'!$B$9:$BJ$69))+1)</f>
        <v>-5.2513655280243669E-4</v>
      </c>
      <c r="B2502">
        <v>2.1600000000000001E-2</v>
      </c>
      <c r="C2502" s="59">
        <v>-0.06</v>
      </c>
      <c r="D2502" s="59">
        <v>-0.1</v>
      </c>
      <c r="E2502" s="60">
        <f t="shared" si="39"/>
        <v>1.1600000000000001</v>
      </c>
      <c r="F2502" t="str" cm="1">
        <f t="array" ref="F2502">IF(A2502=MAX(IF(ROUND($B$2:$B$3722,4)=ROUND(B2502,4),$A$2:$A$3722)),"Efficient","Inefficient")</f>
        <v>Efficient</v>
      </c>
    </row>
    <row r="2503" spans="1:6" x14ac:dyDescent="0.25">
      <c r="A2503" cm="1">
        <f t="array" ref="A2503">INDEX('Portfolio Weights Returns'!$B$9:$BJ$69,
INT((ROW(A2502)-1)/COLUMNS('Portfolio Weights Returns'!$B$9:$BJ$69))+1,MOD(ROW(A2502)-1,COLUMNS('Portfolio Weights Returns'!$B$9:$BJ$69))+1)</f>
        <v>-9.2543278295772839E-4</v>
      </c>
      <c r="B2503">
        <v>2.1600000000000001E-2</v>
      </c>
      <c r="C2503" s="59">
        <v>-0.14000000000000001</v>
      </c>
      <c r="D2503" s="59">
        <v>-0.02</v>
      </c>
      <c r="E2503" s="60">
        <f t="shared" si="39"/>
        <v>1.1600000000000001</v>
      </c>
      <c r="F2503" t="str" cm="1">
        <f t="array" ref="F2503">IF(A2503=MAX(IF(ROUND($B$2:$B$3722,4)=ROUND(B2503,4),$A$2:$A$3722)),"Efficient","Inefficient")</f>
        <v>Inefficient</v>
      </c>
    </row>
    <row r="2504" spans="1:6" x14ac:dyDescent="0.25">
      <c r="A2504" cm="1">
        <f t="array" ref="A2504">INDEX('Portfolio Weights Returns'!$B$9:$BJ$69,
INT((ROW(A2503)-1)/COLUMNS('Portfolio Weights Returns'!$B$9:$BJ$69))+1,MOD(ROW(A2503)-1,COLUMNS('Portfolio Weights Returns'!$B$9:$BJ$69))+1)</f>
        <v>-9.1865160899104925E-4</v>
      </c>
      <c r="B2504">
        <v>2.1600000000000001E-2</v>
      </c>
      <c r="C2504" s="59">
        <v>-0.15</v>
      </c>
      <c r="D2504" s="59">
        <v>-0.01</v>
      </c>
      <c r="E2504" s="60">
        <f t="shared" si="39"/>
        <v>1.1599999999999999</v>
      </c>
      <c r="F2504" t="str" cm="1">
        <f t="array" ref="F2504">IF(A2504=MAX(IF(ROUND($B$2:$B$3722,4)=ROUND(B2504,4),$A$2:$A$3722)),"Efficient","Inefficient")</f>
        <v>Inefficient</v>
      </c>
    </row>
    <row r="2505" spans="1:6" x14ac:dyDescent="0.25">
      <c r="A2505" cm="1">
        <f t="array" ref="A2505">INDEX('Portfolio Weights Returns'!$B$9:$BJ$69,
INT((ROW(A2504)-1)/COLUMNS('Portfolio Weights Returns'!$B$9:$BJ$69))+1,MOD(ROW(A2504)-1,COLUMNS('Portfolio Weights Returns'!$B$9:$BJ$69))+1)</f>
        <v>-9.1187043502437021E-4</v>
      </c>
      <c r="B2505">
        <v>2.1600000000000001E-2</v>
      </c>
      <c r="C2505" s="59">
        <v>-0.16</v>
      </c>
      <c r="D2505" s="59">
        <v>0</v>
      </c>
      <c r="E2505" s="60">
        <f t="shared" si="39"/>
        <v>1.1599999999999999</v>
      </c>
      <c r="F2505" t="str" cm="1">
        <f t="array" ref="F2505">IF(A2505=MAX(IF(ROUND($B$2:$B$3722,4)=ROUND(B2505,4),$A$2:$A$3722)),"Efficient","Inefficient")</f>
        <v>Inefficient</v>
      </c>
    </row>
    <row r="2506" spans="1:6" x14ac:dyDescent="0.25">
      <c r="A2506" cm="1">
        <f t="array" ref="A2506">INDEX('Portfolio Weights Returns'!$B$9:$BJ$69,
INT((ROW(A2505)-1)/COLUMNS('Portfolio Weights Returns'!$B$9:$BJ$69))+1,MOD(ROW(A2505)-1,COLUMNS('Portfolio Weights Returns'!$B$9:$BJ$69))+1)</f>
        <v>-9.0508926105769107E-4</v>
      </c>
      <c r="B2506">
        <v>2.1600000000000001E-2</v>
      </c>
      <c r="C2506" s="59">
        <v>-0.17</v>
      </c>
      <c r="D2506" s="59">
        <v>0.01</v>
      </c>
      <c r="E2506" s="60">
        <f t="shared" si="39"/>
        <v>1.1599999999999999</v>
      </c>
      <c r="F2506" t="str" cm="1">
        <f t="array" ref="F2506">IF(A2506=MAX(IF(ROUND($B$2:$B$3722,4)=ROUND(B2506,4),$A$2:$A$3722)),"Efficient","Inefficient")</f>
        <v>Inefficient</v>
      </c>
    </row>
    <row r="2507" spans="1:6" x14ac:dyDescent="0.25">
      <c r="A2507" cm="1">
        <f t="array" ref="A2507">INDEX('Portfolio Weights Returns'!$B$9:$BJ$69,
INT((ROW(A2506)-1)/COLUMNS('Portfolio Weights Returns'!$B$9:$BJ$69))+1,MOD(ROW(A2506)-1,COLUMNS('Portfolio Weights Returns'!$B$9:$BJ$69))+1)</f>
        <v>-8.9830808709101193E-4</v>
      </c>
      <c r="B2507">
        <v>2.1600000000000001E-2</v>
      </c>
      <c r="C2507" s="59">
        <v>-0.18</v>
      </c>
      <c r="D2507" s="59">
        <v>0.03</v>
      </c>
      <c r="E2507" s="60">
        <f t="shared" si="39"/>
        <v>1.1499999999999999</v>
      </c>
      <c r="F2507" t="str" cm="1">
        <f t="array" ref="F2507">IF(A2507=MAX(IF(ROUND($B$2:$B$3722,4)=ROUND(B2507,4),$A$2:$A$3722)),"Efficient","Inefficient")</f>
        <v>Inefficient</v>
      </c>
    </row>
    <row r="2508" spans="1:6" x14ac:dyDescent="0.25">
      <c r="A2508" cm="1">
        <f t="array" ref="A2508">INDEX('Portfolio Weights Returns'!$B$9:$BJ$69,
INT((ROW(A2507)-1)/COLUMNS('Portfolio Weights Returns'!$B$9:$BJ$69))+1,MOD(ROW(A2507)-1,COLUMNS('Portfolio Weights Returns'!$B$9:$BJ$69))+1)</f>
        <v>-8.9152691312433278E-4</v>
      </c>
      <c r="B2508">
        <v>2.1600000000000001E-2</v>
      </c>
      <c r="C2508" s="59">
        <v>-0.19</v>
      </c>
      <c r="D2508" s="59">
        <v>0.04</v>
      </c>
      <c r="E2508" s="60">
        <f t="shared" si="39"/>
        <v>1.1499999999999999</v>
      </c>
      <c r="F2508" t="str" cm="1">
        <f t="array" ref="F2508">IF(A2508=MAX(IF(ROUND($B$2:$B$3722,4)=ROUND(B2508,4),$A$2:$A$3722)),"Efficient","Inefficient")</f>
        <v>Inefficient</v>
      </c>
    </row>
    <row r="2509" spans="1:6" x14ac:dyDescent="0.25">
      <c r="A2509" cm="1">
        <f t="array" ref="A2509">INDEX('Portfolio Weights Returns'!$B$9:$BJ$69,
INT((ROW(A2508)-1)/COLUMNS('Portfolio Weights Returns'!$B$9:$BJ$69))+1,MOD(ROW(A2508)-1,COLUMNS('Portfolio Weights Returns'!$B$9:$BJ$69))+1)</f>
        <v>-8.8474573915765364E-4</v>
      </c>
      <c r="B2509">
        <v>2.1600000000000001E-2</v>
      </c>
      <c r="C2509" s="59">
        <v>-0.2</v>
      </c>
      <c r="D2509" s="59">
        <v>0.06</v>
      </c>
      <c r="E2509" s="60">
        <f t="shared" si="39"/>
        <v>1.1399999999999999</v>
      </c>
      <c r="F2509" t="str" cm="1">
        <f t="array" ref="F2509">IF(A2509=MAX(IF(ROUND($B$2:$B$3722,4)=ROUND(B2509,4),$A$2:$A$3722)),"Efficient","Inefficient")</f>
        <v>Inefficient</v>
      </c>
    </row>
    <row r="2510" spans="1:6" x14ac:dyDescent="0.25">
      <c r="A2510" cm="1">
        <f t="array" ref="A2510">INDEX('Portfolio Weights Returns'!$B$9:$BJ$69,
INT((ROW(A2509)-1)/COLUMNS('Portfolio Weights Returns'!$B$9:$BJ$69))+1,MOD(ROW(A2509)-1,COLUMNS('Portfolio Weights Returns'!$B$9:$BJ$69))+1)</f>
        <v>-8.779645651909746E-4</v>
      </c>
      <c r="B2510">
        <v>2.1600000000000001E-2</v>
      </c>
      <c r="C2510" s="59">
        <v>-0.21</v>
      </c>
      <c r="D2510" s="59">
        <v>7.0000000000000007E-2</v>
      </c>
      <c r="E2510" s="60">
        <f t="shared" si="39"/>
        <v>1.1399999999999999</v>
      </c>
      <c r="F2510" t="str" cm="1">
        <f t="array" ref="F2510">IF(A2510=MAX(IF(ROUND($B$2:$B$3722,4)=ROUND(B2510,4),$A$2:$A$3722)),"Efficient","Inefficient")</f>
        <v>Inefficient</v>
      </c>
    </row>
    <row r="2511" spans="1:6" x14ac:dyDescent="0.25">
      <c r="A2511" cm="1">
        <f t="array" ref="A2511">INDEX('Portfolio Weights Returns'!$B$9:$BJ$69,
INT((ROW(A2510)-1)/COLUMNS('Portfolio Weights Returns'!$B$9:$BJ$69))+1,MOD(ROW(A2510)-1,COLUMNS('Portfolio Weights Returns'!$B$9:$BJ$69))+1)</f>
        <v>-8.7118339122429546E-4</v>
      </c>
      <c r="B2511">
        <v>2.1600000000000001E-2</v>
      </c>
      <c r="C2511" s="59">
        <v>-0.22</v>
      </c>
      <c r="D2511" s="59">
        <v>0.09</v>
      </c>
      <c r="E2511" s="60">
        <f t="shared" si="39"/>
        <v>1.1300000000000001</v>
      </c>
      <c r="F2511" t="str" cm="1">
        <f t="array" ref="F2511">IF(A2511=MAX(IF(ROUND($B$2:$B$3722,4)=ROUND(B2511,4),$A$2:$A$3722)),"Efficient","Inefficient")</f>
        <v>Inefficient</v>
      </c>
    </row>
    <row r="2512" spans="1:6" x14ac:dyDescent="0.25">
      <c r="A2512" cm="1">
        <f t="array" ref="A2512">INDEX('Portfolio Weights Returns'!$B$9:$BJ$69,
INT((ROW(A2511)-1)/COLUMNS('Portfolio Weights Returns'!$B$9:$BJ$69))+1,MOD(ROW(A2511)-1,COLUMNS('Portfolio Weights Returns'!$B$9:$BJ$69))+1)</f>
        <v>-8.6440221725761642E-4</v>
      </c>
      <c r="B2512">
        <v>2.1600000000000001E-2</v>
      </c>
      <c r="C2512" s="59">
        <v>-0.23</v>
      </c>
      <c r="D2512" s="59">
        <v>0.11</v>
      </c>
      <c r="E2512" s="60">
        <f t="shared" si="39"/>
        <v>1.1200000000000001</v>
      </c>
      <c r="F2512" t="str" cm="1">
        <f t="array" ref="F2512">IF(A2512=MAX(IF(ROUND($B$2:$B$3722,4)=ROUND(B2512,4),$A$2:$A$3722)),"Efficient","Inefficient")</f>
        <v>Inefficient</v>
      </c>
    </row>
    <row r="2513" spans="1:6" x14ac:dyDescent="0.25">
      <c r="A2513" cm="1">
        <f t="array" ref="A2513">INDEX('Portfolio Weights Returns'!$B$9:$BJ$69,
INT((ROW(A2512)-1)/COLUMNS('Portfolio Weights Returns'!$B$9:$BJ$69))+1,MOD(ROW(A2512)-1,COLUMNS('Portfolio Weights Returns'!$B$9:$BJ$69))+1)</f>
        <v>-8.5762104329093728E-4</v>
      </c>
      <c r="B2513">
        <v>2.1600000000000001E-2</v>
      </c>
      <c r="C2513" s="59">
        <v>-0.23</v>
      </c>
      <c r="D2513" s="59">
        <v>0.12</v>
      </c>
      <c r="E2513" s="60">
        <f t="shared" si="39"/>
        <v>1.1100000000000001</v>
      </c>
      <c r="F2513" t="str" cm="1">
        <f t="array" ref="F2513">IF(A2513=MAX(IF(ROUND($B$2:$B$3722,4)=ROUND(B2513,4),$A$2:$A$3722)),"Efficient","Inefficient")</f>
        <v>Inefficient</v>
      </c>
    </row>
    <row r="2514" spans="1:6" x14ac:dyDescent="0.25">
      <c r="A2514" cm="1">
        <f t="array" ref="A2514">INDEX('Portfolio Weights Returns'!$B$9:$BJ$69,
INT((ROW(A2513)-1)/COLUMNS('Portfolio Weights Returns'!$B$9:$BJ$69))+1,MOD(ROW(A2513)-1,COLUMNS('Portfolio Weights Returns'!$B$9:$BJ$69))+1)</f>
        <v>-8.5083986932425824E-4</v>
      </c>
      <c r="B2514">
        <v>2.1600000000000001E-2</v>
      </c>
      <c r="C2514" s="59">
        <v>-0.24</v>
      </c>
      <c r="D2514" s="59">
        <v>0.14000000000000001</v>
      </c>
      <c r="E2514" s="60">
        <f t="shared" si="39"/>
        <v>1.1000000000000001</v>
      </c>
      <c r="F2514" t="str" cm="1">
        <f t="array" ref="F2514">IF(A2514=MAX(IF(ROUND($B$2:$B$3722,4)=ROUND(B2514,4),$A$2:$A$3722)),"Efficient","Inefficient")</f>
        <v>Inefficient</v>
      </c>
    </row>
    <row r="2515" spans="1:6" x14ac:dyDescent="0.25">
      <c r="A2515" cm="1">
        <f t="array" ref="A2515">INDEX('Portfolio Weights Returns'!$B$9:$BJ$69,
INT((ROW(A2514)-1)/COLUMNS('Portfolio Weights Returns'!$B$9:$BJ$69))+1,MOD(ROW(A2514)-1,COLUMNS('Portfolio Weights Returns'!$B$9:$BJ$69))+1)</f>
        <v>-8.4405869535757899E-4</v>
      </c>
      <c r="B2515">
        <v>2.1600000000000001E-2</v>
      </c>
      <c r="C2515" s="59">
        <v>-0.24</v>
      </c>
      <c r="D2515" s="59">
        <v>0.15</v>
      </c>
      <c r="E2515" s="60">
        <f t="shared" si="39"/>
        <v>1.0899999999999999</v>
      </c>
      <c r="F2515" t="str" cm="1">
        <f t="array" ref="F2515">IF(A2515=MAX(IF(ROUND($B$2:$B$3722,4)=ROUND(B2515,4),$A$2:$A$3722)),"Efficient","Inefficient")</f>
        <v>Inefficient</v>
      </c>
    </row>
    <row r="2516" spans="1:6" x14ac:dyDescent="0.25">
      <c r="A2516" cm="1">
        <f t="array" ref="A2516">INDEX('Portfolio Weights Returns'!$B$9:$BJ$69,
INT((ROW(A2515)-1)/COLUMNS('Portfolio Weights Returns'!$B$9:$BJ$69))+1,MOD(ROW(A2515)-1,COLUMNS('Portfolio Weights Returns'!$B$9:$BJ$69))+1)</f>
        <v>-8.3727752139089984E-4</v>
      </c>
      <c r="B2516">
        <v>2.1600000000000001E-2</v>
      </c>
      <c r="C2516" s="59">
        <v>-0.25</v>
      </c>
      <c r="D2516" s="59">
        <v>0.17</v>
      </c>
      <c r="E2516" s="60">
        <f t="shared" si="39"/>
        <v>1.08</v>
      </c>
      <c r="F2516" t="str" cm="1">
        <f t="array" ref="F2516">IF(A2516=MAX(IF(ROUND($B$2:$B$3722,4)=ROUND(B2516,4),$A$2:$A$3722)),"Efficient","Inefficient")</f>
        <v>Inefficient</v>
      </c>
    </row>
    <row r="2517" spans="1:6" x14ac:dyDescent="0.25">
      <c r="A2517" cm="1">
        <f t="array" ref="A2517">INDEX('Portfolio Weights Returns'!$B$9:$BJ$69,
INT((ROW(A2516)-1)/COLUMNS('Portfolio Weights Returns'!$B$9:$BJ$69))+1,MOD(ROW(A2516)-1,COLUMNS('Portfolio Weights Returns'!$B$9:$BJ$69))+1)</f>
        <v>-8.3049634742422081E-4</v>
      </c>
      <c r="B2517">
        <v>2.1600000000000001E-2</v>
      </c>
      <c r="C2517" s="59">
        <v>-0.25</v>
      </c>
      <c r="D2517" s="59">
        <v>0.18</v>
      </c>
      <c r="E2517" s="60">
        <f t="shared" si="39"/>
        <v>1.07</v>
      </c>
      <c r="F2517" t="str" cm="1">
        <f t="array" ref="F2517">IF(A2517=MAX(IF(ROUND($B$2:$B$3722,4)=ROUND(B2517,4),$A$2:$A$3722)),"Efficient","Inefficient")</f>
        <v>Inefficient</v>
      </c>
    </row>
    <row r="2518" spans="1:6" x14ac:dyDescent="0.25">
      <c r="A2518" cm="1">
        <f t="array" ref="A2518">INDEX('Portfolio Weights Returns'!$B$9:$BJ$69,
INT((ROW(A2517)-1)/COLUMNS('Portfolio Weights Returns'!$B$9:$BJ$69))+1,MOD(ROW(A2517)-1,COLUMNS('Portfolio Weights Returns'!$B$9:$BJ$69))+1)</f>
        <v>-8.2371517345754166E-4</v>
      </c>
      <c r="B2518">
        <v>2.1600000000000001E-2</v>
      </c>
      <c r="C2518" s="59">
        <v>-0.25</v>
      </c>
      <c r="D2518" s="59">
        <v>0.19</v>
      </c>
      <c r="E2518" s="60">
        <f t="shared" si="39"/>
        <v>1.06</v>
      </c>
      <c r="F2518" t="str" cm="1">
        <f t="array" ref="F2518">IF(A2518=MAX(IF(ROUND($B$2:$B$3722,4)=ROUND(B2518,4),$A$2:$A$3722)),"Efficient","Inefficient")</f>
        <v>Inefficient</v>
      </c>
    </row>
    <row r="2519" spans="1:6" x14ac:dyDescent="0.25">
      <c r="A2519" cm="1">
        <f t="array" ref="A2519">INDEX('Portfolio Weights Returns'!$B$9:$BJ$69,
INT((ROW(A2518)-1)/COLUMNS('Portfolio Weights Returns'!$B$9:$BJ$69))+1,MOD(ROW(A2518)-1,COLUMNS('Portfolio Weights Returns'!$B$9:$BJ$69))+1)</f>
        <v>-8.1693399949086273E-4</v>
      </c>
      <c r="B2519">
        <v>2.1600000000000001E-2</v>
      </c>
      <c r="C2519" s="59">
        <v>-0.25</v>
      </c>
      <c r="D2519" s="59">
        <v>0.2</v>
      </c>
      <c r="E2519" s="60">
        <f t="shared" si="39"/>
        <v>1.05</v>
      </c>
      <c r="F2519" t="str" cm="1">
        <f t="array" ref="F2519">IF(A2519=MAX(IF(ROUND($B$2:$B$3722,4)=ROUND(B2519,4),$A$2:$A$3722)),"Efficient","Inefficient")</f>
        <v>Inefficient</v>
      </c>
    </row>
    <row r="2520" spans="1:6" x14ac:dyDescent="0.25">
      <c r="A2520" cm="1">
        <f t="array" ref="A2520">INDEX('Portfolio Weights Returns'!$B$9:$BJ$69,
INT((ROW(A2519)-1)/COLUMNS('Portfolio Weights Returns'!$B$9:$BJ$69))+1,MOD(ROW(A2519)-1,COLUMNS('Portfolio Weights Returns'!$B$9:$BJ$69))+1)</f>
        <v>-8.1015282552418348E-4</v>
      </c>
      <c r="B2520">
        <v>2.1600000000000001E-2</v>
      </c>
      <c r="C2520" s="59">
        <v>-0.25</v>
      </c>
      <c r="D2520" s="59">
        <v>0.21</v>
      </c>
      <c r="E2520" s="60">
        <f t="shared" si="39"/>
        <v>1.04</v>
      </c>
      <c r="F2520" t="str" cm="1">
        <f t="array" ref="F2520">IF(A2520=MAX(IF(ROUND($B$2:$B$3722,4)=ROUND(B2520,4),$A$2:$A$3722)),"Efficient","Inefficient")</f>
        <v>Inefficient</v>
      </c>
    </row>
    <row r="2521" spans="1:6" x14ac:dyDescent="0.25">
      <c r="A2521" cm="1">
        <f t="array" ref="A2521">INDEX('Portfolio Weights Returns'!$B$9:$BJ$69,
INT((ROW(A2520)-1)/COLUMNS('Portfolio Weights Returns'!$B$9:$BJ$69))+1,MOD(ROW(A2520)-1,COLUMNS('Portfolio Weights Returns'!$B$9:$BJ$69))+1)</f>
        <v>-8.0337165155750455E-4</v>
      </c>
      <c r="B2521">
        <v>2.1600000000000001E-2</v>
      </c>
      <c r="C2521" s="59">
        <v>-0.25</v>
      </c>
      <c r="D2521" s="59">
        <v>0.23</v>
      </c>
      <c r="E2521" s="60">
        <f t="shared" si="39"/>
        <v>1.02</v>
      </c>
      <c r="F2521" t="str" cm="1">
        <f t="array" ref="F2521">IF(A2521=MAX(IF(ROUND($B$2:$B$3722,4)=ROUND(B2521,4),$A$2:$A$3722)),"Efficient","Inefficient")</f>
        <v>Inefficient</v>
      </c>
    </row>
    <row r="2522" spans="1:6" x14ac:dyDescent="0.25">
      <c r="A2522" cm="1">
        <f t="array" ref="A2522">INDEX('Portfolio Weights Returns'!$B$9:$BJ$69,
INT((ROW(A2521)-1)/COLUMNS('Portfolio Weights Returns'!$B$9:$BJ$69))+1,MOD(ROW(A2521)-1,COLUMNS('Portfolio Weights Returns'!$B$9:$BJ$69))+1)</f>
        <v>-7.9659047759082541E-4</v>
      </c>
      <c r="B2522">
        <v>2.1600000000000001E-2</v>
      </c>
      <c r="C2522" s="59">
        <v>-0.25</v>
      </c>
      <c r="D2522" s="59">
        <v>0.24</v>
      </c>
      <c r="E2522" s="60">
        <f t="shared" si="39"/>
        <v>1.01</v>
      </c>
      <c r="F2522" t="str" cm="1">
        <f t="array" ref="F2522">IF(A2522=MAX(IF(ROUND($B$2:$B$3722,4)=ROUND(B2522,4),$A$2:$A$3722)),"Efficient","Inefficient")</f>
        <v>Inefficient</v>
      </c>
    </row>
    <row r="2523" spans="1:6" x14ac:dyDescent="0.25">
      <c r="A2523" cm="1">
        <f t="array" ref="A2523">INDEX('Portfolio Weights Returns'!$B$9:$BJ$69,
INT((ROW(A2522)-1)/COLUMNS('Portfolio Weights Returns'!$B$9:$BJ$69))+1,MOD(ROW(A2522)-1,COLUMNS('Portfolio Weights Returns'!$B$9:$BJ$69))+1)</f>
        <v>-7.8980930362414648E-4</v>
      </c>
      <c r="B2523">
        <v>2.1600000000000001E-2</v>
      </c>
      <c r="C2523" s="59">
        <v>-0.25</v>
      </c>
      <c r="D2523" s="59">
        <v>0.25</v>
      </c>
      <c r="E2523" s="60">
        <f t="shared" si="39"/>
        <v>1</v>
      </c>
      <c r="F2523" t="str" cm="1">
        <f t="array" ref="F2523">IF(A2523=MAX(IF(ROUND($B$2:$B$3722,4)=ROUND(B2523,4),$A$2:$A$3722)),"Efficient","Inefficient")</f>
        <v>Inefficient</v>
      </c>
    </row>
    <row r="2524" spans="1:6" x14ac:dyDescent="0.25">
      <c r="A2524" cm="1">
        <f t="array" ref="A2524">INDEX('Portfolio Weights Returns'!$B$9:$BJ$69,
INT((ROW(A2523)-1)/COLUMNS('Portfolio Weights Returns'!$B$9:$BJ$69))+1,MOD(ROW(A2523)-1,COLUMNS('Portfolio Weights Returns'!$B$9:$BJ$69))+1)</f>
        <v>-7.8302812965746734E-4</v>
      </c>
      <c r="B2524">
        <v>2.1600000000000001E-2</v>
      </c>
      <c r="C2524" s="59">
        <v>-0.25</v>
      </c>
      <c r="D2524" s="59">
        <v>0.26</v>
      </c>
      <c r="E2524" s="60">
        <f t="shared" si="39"/>
        <v>0.99</v>
      </c>
      <c r="F2524" t="str" cm="1">
        <f t="array" ref="F2524">IF(A2524=MAX(IF(ROUND($B$2:$B$3722,4)=ROUND(B2524,4),$A$2:$A$3722)),"Efficient","Inefficient")</f>
        <v>Inefficient</v>
      </c>
    </row>
    <row r="2525" spans="1:6" x14ac:dyDescent="0.25">
      <c r="A2525" cm="1">
        <f t="array" ref="A2525">INDEX('Portfolio Weights Returns'!$B$9:$BJ$69,
INT((ROW(A2524)-1)/COLUMNS('Portfolio Weights Returns'!$B$9:$BJ$69))+1,MOD(ROW(A2524)-1,COLUMNS('Portfolio Weights Returns'!$B$9:$BJ$69))+1)</f>
        <v>-7.7624695569078819E-4</v>
      </c>
      <c r="B2525">
        <v>2.1600000000000001E-2</v>
      </c>
      <c r="C2525" s="59">
        <v>-0.25</v>
      </c>
      <c r="D2525" s="59">
        <v>0.27</v>
      </c>
      <c r="E2525" s="60">
        <f t="shared" si="39"/>
        <v>0.98</v>
      </c>
      <c r="F2525" t="str" cm="1">
        <f t="array" ref="F2525">IF(A2525=MAX(IF(ROUND($B$2:$B$3722,4)=ROUND(B2525,4),$A$2:$A$3722)),"Efficient","Inefficient")</f>
        <v>Inefficient</v>
      </c>
    </row>
    <row r="2526" spans="1:6" x14ac:dyDescent="0.25">
      <c r="A2526" cm="1">
        <f t="array" ref="A2526">INDEX('Portfolio Weights Returns'!$B$9:$BJ$69,
INT((ROW(A2525)-1)/COLUMNS('Portfolio Weights Returns'!$B$9:$BJ$69))+1,MOD(ROW(A2525)-1,COLUMNS('Portfolio Weights Returns'!$B$9:$BJ$69))+1)</f>
        <v>-7.6946578172410905E-4</v>
      </c>
      <c r="B2526">
        <v>2.1600000000000001E-2</v>
      </c>
      <c r="C2526" s="59">
        <v>-0.24</v>
      </c>
      <c r="D2526" s="59">
        <v>0.28999999999999998</v>
      </c>
      <c r="E2526" s="60">
        <f t="shared" si="39"/>
        <v>0.95</v>
      </c>
      <c r="F2526" t="str" cm="1">
        <f t="array" ref="F2526">IF(A2526=MAX(IF(ROUND($B$2:$B$3722,4)=ROUND(B2526,4),$A$2:$A$3722)),"Efficient","Inefficient")</f>
        <v>Inefficient</v>
      </c>
    </row>
    <row r="2527" spans="1:6" x14ac:dyDescent="0.25">
      <c r="A2527" cm="1">
        <f t="array" ref="A2527">INDEX('Portfolio Weights Returns'!$B$9:$BJ$69,
INT((ROW(A2526)-1)/COLUMNS('Portfolio Weights Returns'!$B$9:$BJ$69))+1,MOD(ROW(A2526)-1,COLUMNS('Portfolio Weights Returns'!$B$9:$BJ$69))+1)</f>
        <v>-7.626846077574299E-4</v>
      </c>
      <c r="B2527">
        <v>2.1600000000000001E-2</v>
      </c>
      <c r="C2527" s="59">
        <v>-0.24</v>
      </c>
      <c r="D2527" s="59">
        <v>0.3</v>
      </c>
      <c r="E2527" s="60">
        <f t="shared" si="39"/>
        <v>0.94</v>
      </c>
      <c r="F2527" t="str" cm="1">
        <f t="array" ref="F2527">IF(A2527=MAX(IF(ROUND($B$2:$B$3722,4)=ROUND(B2527,4),$A$2:$A$3722)),"Efficient","Inefficient")</f>
        <v>Inefficient</v>
      </c>
    </row>
    <row r="2528" spans="1:6" x14ac:dyDescent="0.25">
      <c r="A2528" cm="1">
        <f t="array" ref="A2528">INDEX('Portfolio Weights Returns'!$B$9:$BJ$69,
INT((ROW(A2527)-1)/COLUMNS('Portfolio Weights Returns'!$B$9:$BJ$69))+1,MOD(ROW(A2527)-1,COLUMNS('Portfolio Weights Returns'!$B$9:$BJ$69))+1)</f>
        <v>-7.5590343379075087E-4</v>
      </c>
      <c r="B2528">
        <v>2.1700000000000001E-2</v>
      </c>
      <c r="C2528" s="59">
        <v>0.2</v>
      </c>
      <c r="D2528" s="59">
        <v>-0.28000000000000003</v>
      </c>
      <c r="E2528" s="60">
        <f t="shared" si="39"/>
        <v>1.08</v>
      </c>
      <c r="F2528" t="str" cm="1">
        <f t="array" ref="F2528">IF(A2528=MAX(IF(ROUND($B$2:$B$3722,4)=ROUND(B2528,4),$A$2:$A$3722)),"Efficient","Inefficient")</f>
        <v>Inefficient</v>
      </c>
    </row>
    <row r="2529" spans="1:6" x14ac:dyDescent="0.25">
      <c r="A2529" cm="1">
        <f t="array" ref="A2529">INDEX('Portfolio Weights Returns'!$B$9:$BJ$69,
INT((ROW(A2528)-1)/COLUMNS('Portfolio Weights Returns'!$B$9:$BJ$69))+1,MOD(ROW(A2528)-1,COLUMNS('Portfolio Weights Returns'!$B$9:$BJ$69))+1)</f>
        <v>-7.4912225982407172E-4</v>
      </c>
      <c r="B2529">
        <v>2.1700000000000001E-2</v>
      </c>
      <c r="C2529" s="59">
        <v>0.18</v>
      </c>
      <c r="D2529" s="59">
        <v>-0.27</v>
      </c>
      <c r="E2529" s="60">
        <f t="shared" si="39"/>
        <v>1.0900000000000001</v>
      </c>
      <c r="F2529" t="str" cm="1">
        <f t="array" ref="F2529">IF(A2529=MAX(IF(ROUND($B$2:$B$3722,4)=ROUND(B2529,4),$A$2:$A$3722)),"Efficient","Inefficient")</f>
        <v>Inefficient</v>
      </c>
    </row>
    <row r="2530" spans="1:6" x14ac:dyDescent="0.25">
      <c r="A2530" cm="1">
        <f t="array" ref="A2530">INDEX('Portfolio Weights Returns'!$B$9:$BJ$69,
INT((ROW(A2529)-1)/COLUMNS('Portfolio Weights Returns'!$B$9:$BJ$69))+1,MOD(ROW(A2529)-1,COLUMNS('Portfolio Weights Returns'!$B$9:$BJ$69))+1)</f>
        <v>-7.4234108585739269E-4</v>
      </c>
      <c r="B2530">
        <v>2.1700000000000001E-2</v>
      </c>
      <c r="C2530" s="59">
        <v>0.16</v>
      </c>
      <c r="D2530" s="59">
        <v>-0.26</v>
      </c>
      <c r="E2530" s="60">
        <f t="shared" si="39"/>
        <v>1.1000000000000001</v>
      </c>
      <c r="F2530" t="str" cm="1">
        <f t="array" ref="F2530">IF(A2530=MAX(IF(ROUND($B$2:$B$3722,4)=ROUND(B2530,4),$A$2:$A$3722)),"Efficient","Inefficient")</f>
        <v>Inefficient</v>
      </c>
    </row>
    <row r="2531" spans="1:6" x14ac:dyDescent="0.25">
      <c r="A2531" cm="1">
        <f t="array" ref="A2531">INDEX('Portfolio Weights Returns'!$B$9:$BJ$69,
INT((ROW(A2530)-1)/COLUMNS('Portfolio Weights Returns'!$B$9:$BJ$69))+1,MOD(ROW(A2530)-1,COLUMNS('Portfolio Weights Returns'!$B$9:$BJ$69))+1)</f>
        <v>-7.3555991189071354E-4</v>
      </c>
      <c r="B2531">
        <v>2.1700000000000001E-2</v>
      </c>
      <c r="C2531" s="59">
        <v>0.14000000000000001</v>
      </c>
      <c r="D2531" s="59">
        <v>-0.25</v>
      </c>
      <c r="E2531" s="60">
        <f t="shared" si="39"/>
        <v>1.1099999999999999</v>
      </c>
      <c r="F2531" t="str" cm="1">
        <f t="array" ref="F2531">IF(A2531=MAX(IF(ROUND($B$2:$B$3722,4)=ROUND(B2531,4),$A$2:$A$3722)),"Efficient","Inefficient")</f>
        <v>Inefficient</v>
      </c>
    </row>
    <row r="2532" spans="1:6" x14ac:dyDescent="0.25">
      <c r="A2532" cm="1">
        <f t="array" ref="A2532">INDEX('Portfolio Weights Returns'!$B$9:$BJ$69,
INT((ROW(A2531)-1)/COLUMNS('Portfolio Weights Returns'!$B$9:$BJ$69))+1,MOD(ROW(A2531)-1,COLUMNS('Portfolio Weights Returns'!$B$9:$BJ$69))+1)</f>
        <v>-7.287787379240344E-4</v>
      </c>
      <c r="B2532">
        <v>2.1700000000000001E-2</v>
      </c>
      <c r="C2532" s="59">
        <v>0.11</v>
      </c>
      <c r="D2532" s="59">
        <v>-0.23</v>
      </c>
      <c r="E2532" s="60">
        <f t="shared" si="39"/>
        <v>1.1199999999999999</v>
      </c>
      <c r="F2532" t="str" cm="1">
        <f t="array" ref="F2532">IF(A2532=MAX(IF(ROUND($B$2:$B$3722,4)=ROUND(B2532,4),$A$2:$A$3722)),"Efficient","Inefficient")</f>
        <v>Inefficient</v>
      </c>
    </row>
    <row r="2533" spans="1:6" x14ac:dyDescent="0.25">
      <c r="A2533" cm="1">
        <f t="array" ref="A2533">INDEX('Portfolio Weights Returns'!$B$9:$BJ$69,
INT((ROW(A2532)-1)/COLUMNS('Portfolio Weights Returns'!$B$9:$BJ$69))+1,MOD(ROW(A2532)-1,COLUMNS('Portfolio Weights Returns'!$B$9:$BJ$69))+1)</f>
        <v>-7.2199756395735525E-4</v>
      </c>
      <c r="B2533">
        <v>2.1700000000000001E-2</v>
      </c>
      <c r="C2533" s="59">
        <v>0.09</v>
      </c>
      <c r="D2533" s="59">
        <v>-0.22</v>
      </c>
      <c r="E2533" s="60">
        <f t="shared" si="39"/>
        <v>1.1299999999999999</v>
      </c>
      <c r="F2533" t="str" cm="1">
        <f t="array" ref="F2533">IF(A2533=MAX(IF(ROUND($B$2:$B$3722,4)=ROUND(B2533,4),$A$2:$A$3722)),"Efficient","Inefficient")</f>
        <v>Inefficient</v>
      </c>
    </row>
    <row r="2534" spans="1:6" x14ac:dyDescent="0.25">
      <c r="A2534" cm="1">
        <f t="array" ref="A2534">INDEX('Portfolio Weights Returns'!$B$9:$BJ$69,
INT((ROW(A2533)-1)/COLUMNS('Portfolio Weights Returns'!$B$9:$BJ$69))+1,MOD(ROW(A2533)-1,COLUMNS('Portfolio Weights Returns'!$B$9:$BJ$69))+1)</f>
        <v>-7.1521638999067622E-4</v>
      </c>
      <c r="B2534">
        <v>2.1700000000000001E-2</v>
      </c>
      <c r="C2534" s="59">
        <v>0.08</v>
      </c>
      <c r="D2534" s="59">
        <v>-0.21</v>
      </c>
      <c r="E2534" s="60">
        <f t="shared" si="39"/>
        <v>1.1299999999999999</v>
      </c>
      <c r="F2534" t="str" cm="1">
        <f t="array" ref="F2534">IF(A2534=MAX(IF(ROUND($B$2:$B$3722,4)=ROUND(B2534,4),$A$2:$A$3722)),"Efficient","Inefficient")</f>
        <v>Inefficient</v>
      </c>
    </row>
    <row r="2535" spans="1:6" x14ac:dyDescent="0.25">
      <c r="A2535" cm="1">
        <f t="array" ref="A2535">INDEX('Portfolio Weights Returns'!$B$9:$BJ$69,
INT((ROW(A2534)-1)/COLUMNS('Portfolio Weights Returns'!$B$9:$BJ$69))+1,MOD(ROW(A2534)-1,COLUMNS('Portfolio Weights Returns'!$B$9:$BJ$69))+1)</f>
        <v>-7.0843521602399707E-4</v>
      </c>
      <c r="B2535">
        <v>2.1700000000000001E-2</v>
      </c>
      <c r="C2535" s="59">
        <v>0.06</v>
      </c>
      <c r="D2535" s="59">
        <v>-0.2</v>
      </c>
      <c r="E2535" s="60">
        <f t="shared" si="39"/>
        <v>1.1399999999999999</v>
      </c>
      <c r="F2535" t="str" cm="1">
        <f t="array" ref="F2535">IF(A2535=MAX(IF(ROUND($B$2:$B$3722,4)=ROUND(B2535,4),$A$2:$A$3722)),"Efficient","Inefficient")</f>
        <v>Inefficient</v>
      </c>
    </row>
    <row r="2536" spans="1:6" x14ac:dyDescent="0.25">
      <c r="A2536" cm="1">
        <f t="array" ref="A2536">INDEX('Portfolio Weights Returns'!$B$9:$BJ$69,
INT((ROW(A2535)-1)/COLUMNS('Portfolio Weights Returns'!$B$9:$BJ$69))+1,MOD(ROW(A2535)-1,COLUMNS('Portfolio Weights Returns'!$B$9:$BJ$69))+1)</f>
        <v>-7.0165404205731804E-4</v>
      </c>
      <c r="B2536">
        <v>2.1700000000000001E-2</v>
      </c>
      <c r="C2536" s="59">
        <v>0.05</v>
      </c>
      <c r="D2536" s="59">
        <v>-0.19</v>
      </c>
      <c r="E2536" s="60">
        <f t="shared" si="39"/>
        <v>1.1399999999999999</v>
      </c>
      <c r="F2536" t="str" cm="1">
        <f t="array" ref="F2536">IF(A2536=MAX(IF(ROUND($B$2:$B$3722,4)=ROUND(B2536,4),$A$2:$A$3722)),"Efficient","Inefficient")</f>
        <v>Inefficient</v>
      </c>
    </row>
    <row r="2537" spans="1:6" x14ac:dyDescent="0.25">
      <c r="A2537" cm="1">
        <f t="array" ref="A2537">INDEX('Portfolio Weights Returns'!$B$9:$BJ$69,
INT((ROW(A2536)-1)/COLUMNS('Portfolio Weights Returns'!$B$9:$BJ$69))+1,MOD(ROW(A2536)-1,COLUMNS('Portfolio Weights Returns'!$B$9:$BJ$69))+1)</f>
        <v>-6.9487286809063889E-4</v>
      </c>
      <c r="B2537">
        <v>2.1700000000000001E-2</v>
      </c>
      <c r="C2537" s="59">
        <v>0.03</v>
      </c>
      <c r="D2537" s="59">
        <v>-0.18</v>
      </c>
      <c r="E2537" s="60">
        <f t="shared" si="39"/>
        <v>1.1499999999999999</v>
      </c>
      <c r="F2537" t="str" cm="1">
        <f t="array" ref="F2537">IF(A2537=MAX(IF(ROUND($B$2:$B$3722,4)=ROUND(B2537,4),$A$2:$A$3722)),"Efficient","Inefficient")</f>
        <v>Inefficient</v>
      </c>
    </row>
    <row r="2538" spans="1:6" x14ac:dyDescent="0.25">
      <c r="A2538" cm="1">
        <f t="array" ref="A2538">INDEX('Portfolio Weights Returns'!$B$9:$BJ$69,
INT((ROW(A2537)-1)/COLUMNS('Portfolio Weights Returns'!$B$9:$BJ$69))+1,MOD(ROW(A2537)-1,COLUMNS('Portfolio Weights Returns'!$B$9:$BJ$69))+1)</f>
        <v>-6.8809169412395964E-4</v>
      </c>
      <c r="B2538">
        <v>2.1700000000000001E-2</v>
      </c>
      <c r="C2538" s="59">
        <v>0.02</v>
      </c>
      <c r="D2538" s="59">
        <v>-0.17</v>
      </c>
      <c r="E2538" s="60">
        <f t="shared" si="39"/>
        <v>1.1499999999999999</v>
      </c>
      <c r="F2538" t="str" cm="1">
        <f t="array" ref="F2538">IF(A2538=MAX(IF(ROUND($B$2:$B$3722,4)=ROUND(B2538,4),$A$2:$A$3722)),"Efficient","Inefficient")</f>
        <v>Inefficient</v>
      </c>
    </row>
    <row r="2539" spans="1:6" x14ac:dyDescent="0.25">
      <c r="A2539" cm="1">
        <f t="array" ref="A2539">INDEX('Portfolio Weights Returns'!$B$9:$BJ$69,
INT((ROW(A2538)-1)/COLUMNS('Portfolio Weights Returns'!$B$9:$BJ$69))+1,MOD(ROW(A2538)-1,COLUMNS('Portfolio Weights Returns'!$B$9:$BJ$69))+1)</f>
        <v>-6.813105201572806E-4</v>
      </c>
      <c r="B2539">
        <v>2.1700000000000001E-2</v>
      </c>
      <c r="C2539" s="59">
        <v>-0.01</v>
      </c>
      <c r="D2539" s="59">
        <v>-0.15</v>
      </c>
      <c r="E2539" s="60">
        <f t="shared" si="39"/>
        <v>1.1599999999999999</v>
      </c>
      <c r="F2539" t="str" cm="1">
        <f t="array" ref="F2539">IF(A2539=MAX(IF(ROUND($B$2:$B$3722,4)=ROUND(B2539,4),$A$2:$A$3722)),"Efficient","Inefficient")</f>
        <v>Inefficient</v>
      </c>
    </row>
    <row r="2540" spans="1:6" x14ac:dyDescent="0.25">
      <c r="A2540" cm="1">
        <f t="array" ref="A2540">INDEX('Portfolio Weights Returns'!$B$9:$BJ$69,
INT((ROW(A2539)-1)/COLUMNS('Portfolio Weights Returns'!$B$9:$BJ$69))+1,MOD(ROW(A2539)-1,COLUMNS('Portfolio Weights Returns'!$B$9:$BJ$69))+1)</f>
        <v>-6.7452934619060146E-4</v>
      </c>
      <c r="B2540">
        <v>2.1700000000000001E-2</v>
      </c>
      <c r="C2540" s="59">
        <v>-0.02</v>
      </c>
      <c r="D2540" s="59">
        <v>-0.14000000000000001</v>
      </c>
      <c r="E2540" s="60">
        <f t="shared" si="39"/>
        <v>1.1600000000000001</v>
      </c>
      <c r="F2540" t="str" cm="1">
        <f t="array" ref="F2540">IF(A2540=MAX(IF(ROUND($B$2:$B$3722,4)=ROUND(B2540,4),$A$2:$A$3722)),"Efficient","Inefficient")</f>
        <v>Inefficient</v>
      </c>
    </row>
    <row r="2541" spans="1:6" x14ac:dyDescent="0.25">
      <c r="A2541" cm="1">
        <f t="array" ref="A2541">INDEX('Portfolio Weights Returns'!$B$9:$BJ$69,
INT((ROW(A2540)-1)/COLUMNS('Portfolio Weights Returns'!$B$9:$BJ$69))+1,MOD(ROW(A2540)-1,COLUMNS('Portfolio Weights Returns'!$B$9:$BJ$69))+1)</f>
        <v>-6.6774817222392253E-4</v>
      </c>
      <c r="B2541">
        <v>2.1700000000000001E-2</v>
      </c>
      <c r="C2541" s="59">
        <v>-0.06</v>
      </c>
      <c r="D2541" s="59">
        <v>-0.11</v>
      </c>
      <c r="E2541" s="60">
        <f t="shared" si="39"/>
        <v>1.1700000000000002</v>
      </c>
      <c r="F2541" t="str" cm="1">
        <f t="array" ref="F2541">IF(A2541=MAX(IF(ROUND($B$2:$B$3722,4)=ROUND(B2541,4),$A$2:$A$3722)),"Efficient","Inefficient")</f>
        <v>Inefficient</v>
      </c>
    </row>
    <row r="2542" spans="1:6" x14ac:dyDescent="0.25">
      <c r="A2542" cm="1">
        <f t="array" ref="A2542">INDEX('Portfolio Weights Returns'!$B$9:$BJ$69,
INT((ROW(A2541)-1)/COLUMNS('Portfolio Weights Returns'!$B$9:$BJ$69))+1,MOD(ROW(A2541)-1,COLUMNS('Portfolio Weights Returns'!$B$9:$BJ$69))+1)</f>
        <v>-6.6096699825724339E-4</v>
      </c>
      <c r="B2542">
        <v>2.1700000000000001E-2</v>
      </c>
      <c r="C2542" s="59">
        <v>-7.0000000000000007E-2</v>
      </c>
      <c r="D2542" s="59">
        <v>-0.1</v>
      </c>
      <c r="E2542" s="60">
        <f t="shared" si="39"/>
        <v>1.1700000000000002</v>
      </c>
      <c r="F2542" t="str" cm="1">
        <f t="array" ref="F2542">IF(A2542=MAX(IF(ROUND($B$2:$B$3722,4)=ROUND(B2542,4),$A$2:$A$3722)),"Efficient","Inefficient")</f>
        <v>Inefficient</v>
      </c>
    </row>
    <row r="2543" spans="1:6" x14ac:dyDescent="0.25">
      <c r="A2543" cm="1">
        <f t="array" ref="A2543">INDEX('Portfolio Weights Returns'!$B$9:$BJ$69,
INT((ROW(A2542)-1)/COLUMNS('Portfolio Weights Returns'!$B$9:$BJ$69))+1,MOD(ROW(A2542)-1,COLUMNS('Portfolio Weights Returns'!$B$9:$BJ$69))+1)</f>
        <v>-6.5418582429056435E-4</v>
      </c>
      <c r="B2543">
        <v>2.1700000000000001E-2</v>
      </c>
      <c r="C2543" s="59">
        <v>-0.08</v>
      </c>
      <c r="D2543" s="59">
        <v>-0.09</v>
      </c>
      <c r="E2543" s="60">
        <f t="shared" si="39"/>
        <v>1.1700000000000002</v>
      </c>
      <c r="F2543" t="str" cm="1">
        <f t="array" ref="F2543">IF(A2543=MAX(IF(ROUND($B$2:$B$3722,4)=ROUND(B2543,4),$A$2:$A$3722)),"Efficient","Inefficient")</f>
        <v>Inefficient</v>
      </c>
    </row>
    <row r="2544" spans="1:6" x14ac:dyDescent="0.25">
      <c r="A2544" cm="1">
        <f t="array" ref="A2544">INDEX('Portfolio Weights Returns'!$B$9:$BJ$69,
INT((ROW(A2543)-1)/COLUMNS('Portfolio Weights Returns'!$B$9:$BJ$69))+1,MOD(ROW(A2543)-1,COLUMNS('Portfolio Weights Returns'!$B$9:$BJ$69))+1)</f>
        <v>-6.474046503238851E-4</v>
      </c>
      <c r="B2544">
        <v>2.1700000000000001E-2</v>
      </c>
      <c r="C2544" s="59">
        <v>-0.09</v>
      </c>
      <c r="D2544" s="59">
        <v>-0.08</v>
      </c>
      <c r="E2544" s="60">
        <f t="shared" si="39"/>
        <v>1.1700000000000002</v>
      </c>
      <c r="F2544" t="str" cm="1">
        <f t="array" ref="F2544">IF(A2544=MAX(IF(ROUND($B$2:$B$3722,4)=ROUND(B2544,4),$A$2:$A$3722)),"Efficient","Inefficient")</f>
        <v>Inefficient</v>
      </c>
    </row>
    <row r="2545" spans="1:6" x14ac:dyDescent="0.25">
      <c r="A2545" cm="1">
        <f t="array" ref="A2545">INDEX('Portfolio Weights Returns'!$B$9:$BJ$69,
INT((ROW(A2544)-1)/COLUMNS('Portfolio Weights Returns'!$B$9:$BJ$69))+1,MOD(ROW(A2544)-1,COLUMNS('Portfolio Weights Returns'!$B$9:$BJ$69))+1)</f>
        <v>-6.4062347635720606E-4</v>
      </c>
      <c r="B2545">
        <v>2.1700000000000001E-2</v>
      </c>
      <c r="C2545" s="59">
        <v>-0.1</v>
      </c>
      <c r="D2545" s="59">
        <v>-7.0000000000000007E-2</v>
      </c>
      <c r="E2545" s="60">
        <f t="shared" si="39"/>
        <v>1.1700000000000002</v>
      </c>
      <c r="F2545" t="str" cm="1">
        <f t="array" ref="F2545">IF(A2545=MAX(IF(ROUND($B$2:$B$3722,4)=ROUND(B2545,4),$A$2:$A$3722)),"Efficient","Inefficient")</f>
        <v>Inefficient</v>
      </c>
    </row>
    <row r="2546" spans="1:6" x14ac:dyDescent="0.25">
      <c r="A2546" cm="1">
        <f t="array" ref="A2546">INDEX('Portfolio Weights Returns'!$B$9:$BJ$69,
INT((ROW(A2545)-1)/COLUMNS('Portfolio Weights Returns'!$B$9:$BJ$69))+1,MOD(ROW(A2545)-1,COLUMNS('Portfolio Weights Returns'!$B$9:$BJ$69))+1)</f>
        <v>-6.3384230239052692E-4</v>
      </c>
      <c r="B2546">
        <v>2.1700000000000001E-2</v>
      </c>
      <c r="C2546" s="59">
        <v>-0.11</v>
      </c>
      <c r="D2546" s="59">
        <v>-0.06</v>
      </c>
      <c r="E2546" s="60">
        <f t="shared" si="39"/>
        <v>1.1700000000000002</v>
      </c>
      <c r="F2546" t="str" cm="1">
        <f t="array" ref="F2546">IF(A2546=MAX(IF(ROUND($B$2:$B$3722,4)=ROUND(B2546,4),$A$2:$A$3722)),"Efficient","Inefficient")</f>
        <v>Inefficient</v>
      </c>
    </row>
    <row r="2547" spans="1:6" x14ac:dyDescent="0.25">
      <c r="A2547" cm="1">
        <f t="array" ref="A2547">INDEX('Portfolio Weights Returns'!$B$9:$BJ$69,
INT((ROW(A2546)-1)/COLUMNS('Portfolio Weights Returns'!$B$9:$BJ$69))+1,MOD(ROW(A2546)-1,COLUMNS('Portfolio Weights Returns'!$B$9:$BJ$69))+1)</f>
        <v>-6.2706112842384777E-4</v>
      </c>
      <c r="B2547">
        <v>2.1700000000000001E-2</v>
      </c>
      <c r="C2547" s="59">
        <v>-0.12</v>
      </c>
      <c r="D2547" s="59">
        <v>-0.05</v>
      </c>
      <c r="E2547" s="60">
        <f t="shared" si="39"/>
        <v>1.17</v>
      </c>
      <c r="F2547" t="str" cm="1">
        <f t="array" ref="F2547">IF(A2547=MAX(IF(ROUND($B$2:$B$3722,4)=ROUND(B2547,4),$A$2:$A$3722)),"Efficient","Inefficient")</f>
        <v>Inefficient</v>
      </c>
    </row>
    <row r="2548" spans="1:6" x14ac:dyDescent="0.25">
      <c r="A2548" cm="1">
        <f t="array" ref="A2548">INDEX('Portfolio Weights Returns'!$B$9:$BJ$69,
INT((ROW(A2547)-1)/COLUMNS('Portfolio Weights Returns'!$B$9:$BJ$69))+1,MOD(ROW(A2547)-1,COLUMNS('Portfolio Weights Returns'!$B$9:$BJ$69))+1)</f>
        <v>-6.2027995445716874E-4</v>
      </c>
      <c r="B2548">
        <v>2.1700000000000001E-2</v>
      </c>
      <c r="C2548" s="59">
        <v>-0.13</v>
      </c>
      <c r="D2548" s="59">
        <v>-0.04</v>
      </c>
      <c r="E2548" s="60">
        <f t="shared" si="39"/>
        <v>1.17</v>
      </c>
      <c r="F2548" t="str" cm="1">
        <f t="array" ref="F2548">IF(A2548=MAX(IF(ROUND($B$2:$B$3722,4)=ROUND(B2548,4),$A$2:$A$3722)),"Efficient","Inefficient")</f>
        <v>Inefficient</v>
      </c>
    </row>
    <row r="2549" spans="1:6" x14ac:dyDescent="0.25">
      <c r="A2549" cm="1">
        <f t="array" ref="A2549">INDEX('Portfolio Weights Returns'!$B$9:$BJ$69,
INT((ROW(A2548)-1)/COLUMNS('Portfolio Weights Returns'!$B$9:$BJ$69))+1,MOD(ROW(A2548)-1,COLUMNS('Portfolio Weights Returns'!$B$9:$BJ$69))+1)</f>
        <v>-6.1349878049048959E-4</v>
      </c>
      <c r="B2549">
        <v>2.1700000000000001E-2</v>
      </c>
      <c r="C2549" s="59">
        <v>-0.14000000000000001</v>
      </c>
      <c r="D2549" s="59">
        <v>-0.03</v>
      </c>
      <c r="E2549" s="60">
        <f t="shared" si="39"/>
        <v>1.17</v>
      </c>
      <c r="F2549" t="str" cm="1">
        <f t="array" ref="F2549">IF(A2549=MAX(IF(ROUND($B$2:$B$3722,4)=ROUND(B2549,4),$A$2:$A$3722)),"Efficient","Inefficient")</f>
        <v>Inefficient</v>
      </c>
    </row>
    <row r="2550" spans="1:6" x14ac:dyDescent="0.25">
      <c r="A2550" cm="1">
        <f t="array" ref="A2550">INDEX('Portfolio Weights Returns'!$B$9:$BJ$69,
INT((ROW(A2549)-1)/COLUMNS('Portfolio Weights Returns'!$B$9:$BJ$69))+1,MOD(ROW(A2549)-1,COLUMNS('Portfolio Weights Returns'!$B$9:$BJ$69))+1)</f>
        <v>-6.0671760652381056E-4</v>
      </c>
      <c r="B2550">
        <v>2.1700000000000001E-2</v>
      </c>
      <c r="C2550" s="59">
        <v>-0.15</v>
      </c>
      <c r="D2550" s="59">
        <v>-0.02</v>
      </c>
      <c r="E2550" s="60">
        <f t="shared" si="39"/>
        <v>1.17</v>
      </c>
      <c r="F2550" t="str" cm="1">
        <f t="array" ref="F2550">IF(A2550=MAX(IF(ROUND($B$2:$B$3722,4)=ROUND(B2550,4),$A$2:$A$3722)),"Efficient","Inefficient")</f>
        <v>Inefficient</v>
      </c>
    </row>
    <row r="2551" spans="1:6" x14ac:dyDescent="0.25">
      <c r="A2551" cm="1">
        <f t="array" ref="A2551">INDEX('Portfolio Weights Returns'!$B$9:$BJ$69,
INT((ROW(A2550)-1)/COLUMNS('Portfolio Weights Returns'!$B$9:$BJ$69))+1,MOD(ROW(A2550)-1,COLUMNS('Portfolio Weights Returns'!$B$9:$BJ$69))+1)</f>
        <v>-5.9993643255713141E-4</v>
      </c>
      <c r="B2551">
        <v>2.1700000000000001E-2</v>
      </c>
      <c r="C2551" s="59">
        <v>-0.16</v>
      </c>
      <c r="D2551" s="59">
        <v>-0.01</v>
      </c>
      <c r="E2551" s="60">
        <f t="shared" si="39"/>
        <v>1.17</v>
      </c>
      <c r="F2551" t="str" cm="1">
        <f t="array" ref="F2551">IF(A2551=MAX(IF(ROUND($B$2:$B$3722,4)=ROUND(B2551,4),$A$2:$A$3722)),"Efficient","Inefficient")</f>
        <v>Inefficient</v>
      </c>
    </row>
    <row r="2552" spans="1:6" x14ac:dyDescent="0.25">
      <c r="A2552" cm="1">
        <f t="array" ref="A2552">INDEX('Portfolio Weights Returns'!$B$9:$BJ$69,
INT((ROW(A2551)-1)/COLUMNS('Portfolio Weights Returns'!$B$9:$BJ$69))+1,MOD(ROW(A2551)-1,COLUMNS('Portfolio Weights Returns'!$B$9:$BJ$69))+1)</f>
        <v>-5.9315525859045238E-4</v>
      </c>
      <c r="B2552">
        <v>2.1700000000000001E-2</v>
      </c>
      <c r="C2552" s="59">
        <v>-0.18</v>
      </c>
      <c r="D2552" s="59">
        <v>0.02</v>
      </c>
      <c r="E2552" s="60">
        <f t="shared" si="39"/>
        <v>1.1599999999999999</v>
      </c>
      <c r="F2552" t="str" cm="1">
        <f t="array" ref="F2552">IF(A2552=MAX(IF(ROUND($B$2:$B$3722,4)=ROUND(B2552,4),$A$2:$A$3722)),"Efficient","Inefficient")</f>
        <v>Inefficient</v>
      </c>
    </row>
    <row r="2553" spans="1:6" x14ac:dyDescent="0.25">
      <c r="A2553" cm="1">
        <f t="array" ref="A2553">INDEX('Portfolio Weights Returns'!$B$9:$BJ$69,
INT((ROW(A2552)-1)/COLUMNS('Portfolio Weights Returns'!$B$9:$BJ$69))+1,MOD(ROW(A2552)-1,COLUMNS('Portfolio Weights Returns'!$B$9:$BJ$69))+1)</f>
        <v>-5.8637408462377323E-4</v>
      </c>
      <c r="B2553">
        <v>2.1700000000000001E-2</v>
      </c>
      <c r="C2553" s="59">
        <v>-0.19</v>
      </c>
      <c r="D2553" s="59">
        <v>0.03</v>
      </c>
      <c r="E2553" s="60">
        <f t="shared" si="39"/>
        <v>1.1599999999999999</v>
      </c>
      <c r="F2553" t="str" cm="1">
        <f t="array" ref="F2553">IF(A2553=MAX(IF(ROUND($B$2:$B$3722,4)=ROUND(B2553,4),$A$2:$A$3722)),"Efficient","Inefficient")</f>
        <v>Inefficient</v>
      </c>
    </row>
    <row r="2554" spans="1:6" x14ac:dyDescent="0.25">
      <c r="A2554" cm="1">
        <f t="array" ref="A2554">INDEX('Portfolio Weights Returns'!$B$9:$BJ$69,
INT((ROW(A2553)-1)/COLUMNS('Portfolio Weights Returns'!$B$9:$BJ$69))+1,MOD(ROW(A2553)-1,COLUMNS('Portfolio Weights Returns'!$B$9:$BJ$69))+1)</f>
        <v>-5.795929106570942E-4</v>
      </c>
      <c r="B2554">
        <v>2.1700000000000001E-2</v>
      </c>
      <c r="C2554" s="59">
        <v>-0.2</v>
      </c>
      <c r="D2554" s="59">
        <v>0.05</v>
      </c>
      <c r="E2554" s="60">
        <f t="shared" si="39"/>
        <v>1.1499999999999999</v>
      </c>
      <c r="F2554" t="str" cm="1">
        <f t="array" ref="F2554">IF(A2554=MAX(IF(ROUND($B$2:$B$3722,4)=ROUND(B2554,4),$A$2:$A$3722)),"Efficient","Inefficient")</f>
        <v>Inefficient</v>
      </c>
    </row>
    <row r="2555" spans="1:6" x14ac:dyDescent="0.25">
      <c r="A2555" cm="1">
        <f t="array" ref="A2555">INDEX('Portfolio Weights Returns'!$B$9:$BJ$69,
INT((ROW(A2554)-1)/COLUMNS('Portfolio Weights Returns'!$B$9:$BJ$69))+1,MOD(ROW(A2554)-1,COLUMNS('Portfolio Weights Returns'!$B$9:$BJ$69))+1)</f>
        <v>-5.7281173669041505E-4</v>
      </c>
      <c r="B2555">
        <v>2.1700000000000001E-2</v>
      </c>
      <c r="C2555" s="59">
        <v>-0.21</v>
      </c>
      <c r="D2555" s="59">
        <v>0.06</v>
      </c>
      <c r="E2555" s="60">
        <f t="shared" si="39"/>
        <v>1.1499999999999999</v>
      </c>
      <c r="F2555" t="str" cm="1">
        <f t="array" ref="F2555">IF(A2555=MAX(IF(ROUND($B$2:$B$3722,4)=ROUND(B2555,4),$A$2:$A$3722)),"Efficient","Inefficient")</f>
        <v>Inefficient</v>
      </c>
    </row>
    <row r="2556" spans="1:6" x14ac:dyDescent="0.25">
      <c r="A2556" cm="1">
        <f t="array" ref="A2556">INDEX('Portfolio Weights Returns'!$B$9:$BJ$69,
INT((ROW(A2555)-1)/COLUMNS('Portfolio Weights Returns'!$B$9:$BJ$69))+1,MOD(ROW(A2555)-1,COLUMNS('Portfolio Weights Returns'!$B$9:$BJ$69))+1)</f>
        <v>-5.6603056272373602E-4</v>
      </c>
      <c r="B2556">
        <v>2.1700000000000001E-2</v>
      </c>
      <c r="C2556" s="59">
        <v>-0.22</v>
      </c>
      <c r="D2556" s="59">
        <v>0.08</v>
      </c>
      <c r="E2556" s="60">
        <f t="shared" si="39"/>
        <v>1.1400000000000001</v>
      </c>
      <c r="F2556" t="str" cm="1">
        <f t="array" ref="F2556">IF(A2556=MAX(IF(ROUND($B$2:$B$3722,4)=ROUND(B2556,4),$A$2:$A$3722)),"Efficient","Inefficient")</f>
        <v>Inefficient</v>
      </c>
    </row>
    <row r="2557" spans="1:6" x14ac:dyDescent="0.25">
      <c r="A2557" cm="1">
        <f t="array" ref="A2557">INDEX('Portfolio Weights Returns'!$B$9:$BJ$69,
INT((ROW(A2556)-1)/COLUMNS('Portfolio Weights Returns'!$B$9:$BJ$69))+1,MOD(ROW(A2556)-1,COLUMNS('Portfolio Weights Returns'!$B$9:$BJ$69))+1)</f>
        <v>-5.5924938875705676E-4</v>
      </c>
      <c r="B2557">
        <v>2.1700000000000001E-2</v>
      </c>
      <c r="C2557" s="59">
        <v>-0.23</v>
      </c>
      <c r="D2557" s="59">
        <v>0.1</v>
      </c>
      <c r="E2557" s="60">
        <f t="shared" si="39"/>
        <v>1.1300000000000001</v>
      </c>
      <c r="F2557" t="str" cm="1">
        <f t="array" ref="F2557">IF(A2557=MAX(IF(ROUND($B$2:$B$3722,4)=ROUND(B2557,4),$A$2:$A$3722)),"Efficient","Inefficient")</f>
        <v>Inefficient</v>
      </c>
    </row>
    <row r="2558" spans="1:6" x14ac:dyDescent="0.25">
      <c r="A2558" cm="1">
        <f t="array" ref="A2558">INDEX('Portfolio Weights Returns'!$B$9:$BJ$69,
INT((ROW(A2557)-1)/COLUMNS('Portfolio Weights Returns'!$B$9:$BJ$69))+1,MOD(ROW(A2557)-1,COLUMNS('Portfolio Weights Returns'!$B$9:$BJ$69))+1)</f>
        <v>-5.5246821479037762E-4</v>
      </c>
      <c r="B2558">
        <v>2.1700000000000001E-2</v>
      </c>
      <c r="C2558" s="59">
        <v>-0.24</v>
      </c>
      <c r="D2558" s="59">
        <v>0.12</v>
      </c>
      <c r="E2558" s="60">
        <f t="shared" si="39"/>
        <v>1.1200000000000001</v>
      </c>
      <c r="F2558" t="str" cm="1">
        <f t="array" ref="F2558">IF(A2558=MAX(IF(ROUND($B$2:$B$3722,4)=ROUND(B2558,4),$A$2:$A$3722)),"Efficient","Inefficient")</f>
        <v>Inefficient</v>
      </c>
    </row>
    <row r="2559" spans="1:6" x14ac:dyDescent="0.25">
      <c r="A2559" cm="1">
        <f t="array" ref="A2559">INDEX('Portfolio Weights Returns'!$B$9:$BJ$69,
INT((ROW(A2558)-1)/COLUMNS('Portfolio Weights Returns'!$B$9:$BJ$69))+1,MOD(ROW(A2558)-1,COLUMNS('Portfolio Weights Returns'!$B$9:$BJ$69))+1)</f>
        <v>-5.4568704082369858E-4</v>
      </c>
      <c r="B2559">
        <v>2.1700000000000001E-2</v>
      </c>
      <c r="C2559" s="59">
        <v>-0.24</v>
      </c>
      <c r="D2559" s="59">
        <v>0.13</v>
      </c>
      <c r="E2559" s="60">
        <f t="shared" si="39"/>
        <v>1.1099999999999999</v>
      </c>
      <c r="F2559" t="str" cm="1">
        <f t="array" ref="F2559">IF(A2559=MAX(IF(ROUND($B$2:$B$3722,4)=ROUND(B2559,4),$A$2:$A$3722)),"Efficient","Inefficient")</f>
        <v>Inefficient</v>
      </c>
    </row>
    <row r="2560" spans="1:6" x14ac:dyDescent="0.25">
      <c r="A2560" cm="1">
        <f t="array" ref="A2560">INDEX('Portfolio Weights Returns'!$B$9:$BJ$69,
INT((ROW(A2559)-1)/COLUMNS('Portfolio Weights Returns'!$B$9:$BJ$69))+1,MOD(ROW(A2559)-1,COLUMNS('Portfolio Weights Returns'!$B$9:$BJ$69))+1)</f>
        <v>-5.3890586685701879E-4</v>
      </c>
      <c r="B2560">
        <v>2.1700000000000001E-2</v>
      </c>
      <c r="C2560" s="59">
        <v>-0.25</v>
      </c>
      <c r="D2560" s="59">
        <v>0.15</v>
      </c>
      <c r="E2560" s="60">
        <f t="shared" si="39"/>
        <v>1.1000000000000001</v>
      </c>
      <c r="F2560" t="str" cm="1">
        <f t="array" ref="F2560">IF(A2560=MAX(IF(ROUND($B$2:$B$3722,4)=ROUND(B2560,4),$A$2:$A$3722)),"Efficient","Inefficient")</f>
        <v>Inefficient</v>
      </c>
    </row>
    <row r="2561" spans="1:6" x14ac:dyDescent="0.25">
      <c r="A2561" cm="1">
        <f t="array" ref="A2561">INDEX('Portfolio Weights Returns'!$B$9:$BJ$69,
INT((ROW(A2560)-1)/COLUMNS('Portfolio Weights Returns'!$B$9:$BJ$69))+1,MOD(ROW(A2560)-1,COLUMNS('Portfolio Weights Returns'!$B$9:$BJ$69))+1)</f>
        <v>-5.3212469289033964E-4</v>
      </c>
      <c r="B2561">
        <v>2.1700000000000001E-2</v>
      </c>
      <c r="C2561" s="59">
        <v>-0.25</v>
      </c>
      <c r="D2561" s="59">
        <v>0.16</v>
      </c>
      <c r="E2561" s="60">
        <f t="shared" si="39"/>
        <v>1.0899999999999999</v>
      </c>
      <c r="F2561" t="str" cm="1">
        <f t="array" ref="F2561">IF(A2561=MAX(IF(ROUND($B$2:$B$3722,4)=ROUND(B2561,4),$A$2:$A$3722)),"Efficient","Inefficient")</f>
        <v>Inefficient</v>
      </c>
    </row>
    <row r="2562" spans="1:6" x14ac:dyDescent="0.25">
      <c r="A2562" cm="1">
        <f t="array" ref="A2562">INDEX('Portfolio Weights Returns'!$B$9:$BJ$69,
INT((ROW(A2561)-1)/COLUMNS('Portfolio Weights Returns'!$B$9:$BJ$69))+1,MOD(ROW(A2561)-1,COLUMNS('Portfolio Weights Returns'!$B$9:$BJ$69))+1)</f>
        <v>-5.2534351892366061E-4</v>
      </c>
      <c r="B2562">
        <v>2.1700000000000001E-2</v>
      </c>
      <c r="C2562" s="59">
        <v>-0.26</v>
      </c>
      <c r="D2562" s="59">
        <v>0.18</v>
      </c>
      <c r="E2562" s="60">
        <f t="shared" ref="E2562:E2625" si="40">1-D2562-C2562</f>
        <v>1.08</v>
      </c>
      <c r="F2562" t="str" cm="1">
        <f t="array" ref="F2562">IF(A2562=MAX(IF(ROUND($B$2:$B$3722,4)=ROUND(B2562,4),$A$2:$A$3722)),"Efficient","Inefficient")</f>
        <v>Inefficient</v>
      </c>
    </row>
    <row r="2563" spans="1:6" x14ac:dyDescent="0.25">
      <c r="A2563" cm="1">
        <f t="array" ref="A2563">INDEX('Portfolio Weights Returns'!$B$9:$BJ$69,
INT((ROW(A2562)-1)/COLUMNS('Portfolio Weights Returns'!$B$9:$BJ$69))+1,MOD(ROW(A2562)-1,COLUMNS('Portfolio Weights Returns'!$B$9:$BJ$69))+1)</f>
        <v>-5.1856234495698157E-4</v>
      </c>
      <c r="B2563">
        <v>2.1700000000000001E-2</v>
      </c>
      <c r="C2563" s="59">
        <v>-0.26</v>
      </c>
      <c r="D2563" s="59">
        <v>0.19</v>
      </c>
      <c r="E2563" s="60">
        <f t="shared" si="40"/>
        <v>1.07</v>
      </c>
      <c r="F2563" t="str" cm="1">
        <f t="array" ref="F2563">IF(A2563=MAX(IF(ROUND($B$2:$B$3722,4)=ROUND(B2563,4),$A$2:$A$3722)),"Efficient","Inefficient")</f>
        <v>Efficient</v>
      </c>
    </row>
    <row r="2564" spans="1:6" x14ac:dyDescent="0.25">
      <c r="A2564" cm="1">
        <f t="array" ref="A2564">INDEX('Portfolio Weights Returns'!$B$9:$BJ$69,
INT((ROW(A2563)-1)/COLUMNS('Portfolio Weights Returns'!$B$9:$BJ$69))+1,MOD(ROW(A2563)-1,COLUMNS('Portfolio Weights Returns'!$B$9:$BJ$69))+1)</f>
        <v>-9.1885857511227339E-4</v>
      </c>
      <c r="B2564">
        <v>2.1700000000000001E-2</v>
      </c>
      <c r="C2564" s="59">
        <v>-0.26</v>
      </c>
      <c r="D2564" s="59">
        <v>0.2</v>
      </c>
      <c r="E2564" s="60">
        <f t="shared" si="40"/>
        <v>1.06</v>
      </c>
      <c r="F2564" t="str" cm="1">
        <f t="array" ref="F2564">IF(A2564=MAX(IF(ROUND($B$2:$B$3722,4)=ROUND(B2564,4),$A$2:$A$3722)),"Efficient","Inefficient")</f>
        <v>Inefficient</v>
      </c>
    </row>
    <row r="2565" spans="1:6" x14ac:dyDescent="0.25">
      <c r="A2565" cm="1">
        <f t="array" ref="A2565">INDEX('Portfolio Weights Returns'!$B$9:$BJ$69,
INT((ROW(A2564)-1)/COLUMNS('Portfolio Weights Returns'!$B$9:$BJ$69))+1,MOD(ROW(A2564)-1,COLUMNS('Portfolio Weights Returns'!$B$9:$BJ$69))+1)</f>
        <v>-9.1207740114559413E-4</v>
      </c>
      <c r="B2565">
        <v>2.1700000000000001E-2</v>
      </c>
      <c r="C2565" s="59">
        <v>-0.26</v>
      </c>
      <c r="D2565" s="59">
        <v>0.21</v>
      </c>
      <c r="E2565" s="60">
        <f t="shared" si="40"/>
        <v>1.05</v>
      </c>
      <c r="F2565" t="str" cm="1">
        <f t="array" ref="F2565">IF(A2565=MAX(IF(ROUND($B$2:$B$3722,4)=ROUND(B2565,4),$A$2:$A$3722)),"Efficient","Inefficient")</f>
        <v>Inefficient</v>
      </c>
    </row>
    <row r="2566" spans="1:6" x14ac:dyDescent="0.25">
      <c r="A2566" cm="1">
        <f t="array" ref="A2566">INDEX('Portfolio Weights Returns'!$B$9:$BJ$69,
INT((ROW(A2565)-1)/COLUMNS('Portfolio Weights Returns'!$B$9:$BJ$69))+1,MOD(ROW(A2565)-1,COLUMNS('Portfolio Weights Returns'!$B$9:$BJ$69))+1)</f>
        <v>-9.052962271789151E-4</v>
      </c>
      <c r="B2566">
        <v>2.1700000000000001E-2</v>
      </c>
      <c r="C2566" s="59">
        <v>-0.26</v>
      </c>
      <c r="D2566" s="59">
        <v>0.22</v>
      </c>
      <c r="E2566" s="60">
        <f t="shared" si="40"/>
        <v>1.04</v>
      </c>
      <c r="F2566" t="str" cm="1">
        <f t="array" ref="F2566">IF(A2566=MAX(IF(ROUND($B$2:$B$3722,4)=ROUND(B2566,4),$A$2:$A$3722)),"Efficient","Inefficient")</f>
        <v>Inefficient</v>
      </c>
    </row>
    <row r="2567" spans="1:6" x14ac:dyDescent="0.25">
      <c r="A2567" cm="1">
        <f t="array" ref="A2567">INDEX('Portfolio Weights Returns'!$B$9:$BJ$69,
INT((ROW(A2566)-1)/COLUMNS('Portfolio Weights Returns'!$B$9:$BJ$69))+1,MOD(ROW(A2566)-1,COLUMNS('Portfolio Weights Returns'!$B$9:$BJ$69))+1)</f>
        <v>-8.9851505321223585E-4</v>
      </c>
      <c r="B2567">
        <v>2.1700000000000001E-2</v>
      </c>
      <c r="C2567" s="59">
        <v>-0.26</v>
      </c>
      <c r="D2567" s="59">
        <v>0.23</v>
      </c>
      <c r="E2567" s="60">
        <f t="shared" si="40"/>
        <v>1.03</v>
      </c>
      <c r="F2567" t="str" cm="1">
        <f t="array" ref="F2567">IF(A2567=MAX(IF(ROUND($B$2:$B$3722,4)=ROUND(B2567,4),$A$2:$A$3722)),"Efficient","Inefficient")</f>
        <v>Inefficient</v>
      </c>
    </row>
    <row r="2568" spans="1:6" x14ac:dyDescent="0.25">
      <c r="A2568" cm="1">
        <f t="array" ref="A2568">INDEX('Portfolio Weights Returns'!$B$9:$BJ$69,
INT((ROW(A2567)-1)/COLUMNS('Portfolio Weights Returns'!$B$9:$BJ$69))+1,MOD(ROW(A2567)-1,COLUMNS('Portfolio Weights Returns'!$B$9:$BJ$69))+1)</f>
        <v>-8.9173387924555692E-4</v>
      </c>
      <c r="B2568">
        <v>2.1700000000000001E-2</v>
      </c>
      <c r="C2568" s="59">
        <v>-0.26</v>
      </c>
      <c r="D2568" s="59">
        <v>0.24</v>
      </c>
      <c r="E2568" s="60">
        <f t="shared" si="40"/>
        <v>1.02</v>
      </c>
      <c r="F2568" t="str" cm="1">
        <f t="array" ref="F2568">IF(A2568=MAX(IF(ROUND($B$2:$B$3722,4)=ROUND(B2568,4),$A$2:$A$3722)),"Efficient","Inefficient")</f>
        <v>Inefficient</v>
      </c>
    </row>
    <row r="2569" spans="1:6" x14ac:dyDescent="0.25">
      <c r="A2569" cm="1">
        <f t="array" ref="A2569">INDEX('Portfolio Weights Returns'!$B$9:$BJ$69,
INT((ROW(A2568)-1)/COLUMNS('Portfolio Weights Returns'!$B$9:$BJ$69))+1,MOD(ROW(A2568)-1,COLUMNS('Portfolio Weights Returns'!$B$9:$BJ$69))+1)</f>
        <v>-8.8495270527887756E-4</v>
      </c>
      <c r="B2569">
        <v>2.1700000000000001E-2</v>
      </c>
      <c r="C2569" s="59">
        <v>-0.26</v>
      </c>
      <c r="D2569" s="59">
        <v>0.25</v>
      </c>
      <c r="E2569" s="60">
        <f t="shared" si="40"/>
        <v>1.01</v>
      </c>
      <c r="F2569" t="str" cm="1">
        <f t="array" ref="F2569">IF(A2569=MAX(IF(ROUND($B$2:$B$3722,4)=ROUND(B2569,4),$A$2:$A$3722)),"Efficient","Inefficient")</f>
        <v>Inefficient</v>
      </c>
    </row>
    <row r="2570" spans="1:6" x14ac:dyDescent="0.25">
      <c r="A2570" cm="1">
        <f t="array" ref="A2570">INDEX('Portfolio Weights Returns'!$B$9:$BJ$69,
INT((ROW(A2569)-1)/COLUMNS('Portfolio Weights Returns'!$B$9:$BJ$69))+1,MOD(ROW(A2569)-1,COLUMNS('Portfolio Weights Returns'!$B$9:$BJ$69))+1)</f>
        <v>-8.7817153131219874E-4</v>
      </c>
      <c r="B2570">
        <v>2.1700000000000001E-2</v>
      </c>
      <c r="C2570" s="59">
        <v>-0.26</v>
      </c>
      <c r="D2570" s="59">
        <v>0.26</v>
      </c>
      <c r="E2570" s="60">
        <f t="shared" si="40"/>
        <v>1</v>
      </c>
      <c r="F2570" t="str" cm="1">
        <f t="array" ref="F2570">IF(A2570=MAX(IF(ROUND($B$2:$B$3722,4)=ROUND(B2570,4),$A$2:$A$3722)),"Efficient","Inefficient")</f>
        <v>Inefficient</v>
      </c>
    </row>
    <row r="2571" spans="1:6" x14ac:dyDescent="0.25">
      <c r="A2571" cm="1">
        <f t="array" ref="A2571">INDEX('Portfolio Weights Returns'!$B$9:$BJ$69,
INT((ROW(A2570)-1)/COLUMNS('Portfolio Weights Returns'!$B$9:$BJ$69))+1,MOD(ROW(A2570)-1,COLUMNS('Portfolio Weights Returns'!$B$9:$BJ$69))+1)</f>
        <v>-8.7139035734551938E-4</v>
      </c>
      <c r="B2571">
        <v>2.1700000000000001E-2</v>
      </c>
      <c r="C2571" s="59">
        <v>-0.25</v>
      </c>
      <c r="D2571" s="59">
        <v>0.28000000000000003</v>
      </c>
      <c r="E2571" s="60">
        <f t="shared" si="40"/>
        <v>0.97</v>
      </c>
      <c r="F2571" t="str" cm="1">
        <f t="array" ref="F2571">IF(A2571=MAX(IF(ROUND($B$2:$B$3722,4)=ROUND(B2571,4),$A$2:$A$3722)),"Efficient","Inefficient")</f>
        <v>Inefficient</v>
      </c>
    </row>
    <row r="2572" spans="1:6" x14ac:dyDescent="0.25">
      <c r="A2572" cm="1">
        <f t="array" ref="A2572">INDEX('Portfolio Weights Returns'!$B$9:$BJ$69,
INT((ROW(A2571)-1)/COLUMNS('Portfolio Weights Returns'!$B$9:$BJ$69))+1,MOD(ROW(A2571)-1,COLUMNS('Portfolio Weights Returns'!$B$9:$BJ$69))+1)</f>
        <v>-8.6460918337884045E-4</v>
      </c>
      <c r="B2572">
        <v>2.1700000000000001E-2</v>
      </c>
      <c r="C2572" s="59">
        <v>-0.25</v>
      </c>
      <c r="D2572" s="59">
        <v>0.28999999999999998</v>
      </c>
      <c r="E2572" s="60">
        <f t="shared" si="40"/>
        <v>0.96</v>
      </c>
      <c r="F2572" t="str" cm="1">
        <f t="array" ref="F2572">IF(A2572=MAX(IF(ROUND($B$2:$B$3722,4)=ROUND(B2572,4),$A$2:$A$3722)),"Efficient","Inefficient")</f>
        <v>Inefficient</v>
      </c>
    </row>
    <row r="2573" spans="1:6" x14ac:dyDescent="0.25">
      <c r="A2573" cm="1">
        <f t="array" ref="A2573">INDEX('Portfolio Weights Returns'!$B$9:$BJ$69,
INT((ROW(A2572)-1)/COLUMNS('Portfolio Weights Returns'!$B$9:$BJ$69))+1,MOD(ROW(A2572)-1,COLUMNS('Portfolio Weights Returns'!$B$9:$BJ$69))+1)</f>
        <v>-8.578280094121612E-4</v>
      </c>
      <c r="B2573">
        <v>2.18E-2</v>
      </c>
      <c r="C2573" s="59">
        <v>0.23</v>
      </c>
      <c r="D2573" s="59">
        <v>-0.3</v>
      </c>
      <c r="E2573" s="60">
        <f t="shared" si="40"/>
        <v>1.07</v>
      </c>
      <c r="F2573" t="str" cm="1">
        <f t="array" ref="F2573">IF(A2573=MAX(IF(ROUND($B$2:$B$3722,4)=ROUND(B2573,4),$A$2:$A$3722)),"Efficient","Inefficient")</f>
        <v>Inefficient</v>
      </c>
    </row>
    <row r="2574" spans="1:6" x14ac:dyDescent="0.25">
      <c r="A2574" cm="1">
        <f t="array" ref="A2574">INDEX('Portfolio Weights Returns'!$B$9:$BJ$69,
INT((ROW(A2573)-1)/COLUMNS('Portfolio Weights Returns'!$B$9:$BJ$69))+1,MOD(ROW(A2573)-1,COLUMNS('Portfolio Weights Returns'!$B$9:$BJ$69))+1)</f>
        <v>-8.5104683544548227E-4</v>
      </c>
      <c r="B2574">
        <v>2.18E-2</v>
      </c>
      <c r="C2574" s="59">
        <v>0.21</v>
      </c>
      <c r="D2574" s="59">
        <v>-0.28999999999999998</v>
      </c>
      <c r="E2574" s="60">
        <f t="shared" si="40"/>
        <v>1.08</v>
      </c>
      <c r="F2574" t="str" cm="1">
        <f t="array" ref="F2574">IF(A2574=MAX(IF(ROUND($B$2:$B$3722,4)=ROUND(B2574,4),$A$2:$A$3722)),"Efficient","Inefficient")</f>
        <v>Inefficient</v>
      </c>
    </row>
    <row r="2575" spans="1:6" x14ac:dyDescent="0.25">
      <c r="A2575" cm="1">
        <f t="array" ref="A2575">INDEX('Portfolio Weights Returns'!$B$9:$BJ$69,
INT((ROW(A2574)-1)/COLUMNS('Portfolio Weights Returns'!$B$9:$BJ$69))+1,MOD(ROW(A2574)-1,COLUMNS('Portfolio Weights Returns'!$B$9:$BJ$69))+1)</f>
        <v>-8.4426566147880291E-4</v>
      </c>
      <c r="B2575">
        <v>2.18E-2</v>
      </c>
      <c r="C2575" s="59">
        <v>0.19</v>
      </c>
      <c r="D2575" s="59">
        <v>-0.28000000000000003</v>
      </c>
      <c r="E2575" s="60">
        <f t="shared" si="40"/>
        <v>1.0900000000000001</v>
      </c>
      <c r="F2575" t="str" cm="1">
        <f t="array" ref="F2575">IF(A2575=MAX(IF(ROUND($B$2:$B$3722,4)=ROUND(B2575,4),$A$2:$A$3722)),"Efficient","Inefficient")</f>
        <v>Inefficient</v>
      </c>
    </row>
    <row r="2576" spans="1:6" x14ac:dyDescent="0.25">
      <c r="A2576" cm="1">
        <f t="array" ref="A2576">INDEX('Portfolio Weights Returns'!$B$9:$BJ$69,
INT((ROW(A2575)-1)/COLUMNS('Portfolio Weights Returns'!$B$9:$BJ$69))+1,MOD(ROW(A2575)-1,COLUMNS('Portfolio Weights Returns'!$B$9:$BJ$69))+1)</f>
        <v>-8.3748448751212398E-4</v>
      </c>
      <c r="B2576">
        <v>2.18E-2</v>
      </c>
      <c r="C2576" s="59">
        <v>0.17</v>
      </c>
      <c r="D2576" s="59">
        <v>-0.27</v>
      </c>
      <c r="E2576" s="60">
        <f t="shared" si="40"/>
        <v>1.1000000000000001</v>
      </c>
      <c r="F2576" t="str" cm="1">
        <f t="array" ref="F2576">IF(A2576=MAX(IF(ROUND($B$2:$B$3722,4)=ROUND(B2576,4),$A$2:$A$3722)),"Efficient","Inefficient")</f>
        <v>Inefficient</v>
      </c>
    </row>
    <row r="2577" spans="1:6" x14ac:dyDescent="0.25">
      <c r="A2577" cm="1">
        <f t="array" ref="A2577">INDEX('Portfolio Weights Returns'!$B$9:$BJ$69,
INT((ROW(A2576)-1)/COLUMNS('Portfolio Weights Returns'!$B$9:$BJ$69))+1,MOD(ROW(A2576)-1,COLUMNS('Portfolio Weights Returns'!$B$9:$BJ$69))+1)</f>
        <v>-8.3070331354544473E-4</v>
      </c>
      <c r="B2577">
        <v>2.18E-2</v>
      </c>
      <c r="C2577" s="59">
        <v>0.15</v>
      </c>
      <c r="D2577" s="59">
        <v>-0.26</v>
      </c>
      <c r="E2577" s="60">
        <f t="shared" si="40"/>
        <v>1.1100000000000001</v>
      </c>
      <c r="F2577" t="str" cm="1">
        <f t="array" ref="F2577">IF(A2577=MAX(IF(ROUND($B$2:$B$3722,4)=ROUND(B2577,4),$A$2:$A$3722)),"Efficient","Inefficient")</f>
        <v>Inefficient</v>
      </c>
    </row>
    <row r="2578" spans="1:6" x14ac:dyDescent="0.25">
      <c r="A2578" cm="1">
        <f t="array" ref="A2578">INDEX('Portfolio Weights Returns'!$B$9:$BJ$69,
INT((ROW(A2577)-1)/COLUMNS('Portfolio Weights Returns'!$B$9:$BJ$69))+1,MOD(ROW(A2577)-1,COLUMNS('Portfolio Weights Returns'!$B$9:$BJ$69))+1)</f>
        <v>-8.239221395787658E-4</v>
      </c>
      <c r="B2578">
        <v>2.18E-2</v>
      </c>
      <c r="C2578" s="59">
        <v>0.12</v>
      </c>
      <c r="D2578" s="59">
        <v>-0.24</v>
      </c>
      <c r="E2578" s="60">
        <f t="shared" si="40"/>
        <v>1.1200000000000001</v>
      </c>
      <c r="F2578" t="str" cm="1">
        <f t="array" ref="F2578">IF(A2578=MAX(IF(ROUND($B$2:$B$3722,4)=ROUND(B2578,4),$A$2:$A$3722)),"Efficient","Inefficient")</f>
        <v>Inefficient</v>
      </c>
    </row>
    <row r="2579" spans="1:6" x14ac:dyDescent="0.25">
      <c r="A2579" cm="1">
        <f t="array" ref="A2579">INDEX('Portfolio Weights Returns'!$B$9:$BJ$69,
INT((ROW(A2578)-1)/COLUMNS('Portfolio Weights Returns'!$B$9:$BJ$69))+1,MOD(ROW(A2578)-1,COLUMNS('Portfolio Weights Returns'!$B$9:$BJ$69))+1)</f>
        <v>-8.1714096561208655E-4</v>
      </c>
      <c r="B2579">
        <v>2.18E-2</v>
      </c>
      <c r="C2579" s="59">
        <v>0.1</v>
      </c>
      <c r="D2579" s="59">
        <v>-0.23</v>
      </c>
      <c r="E2579" s="60">
        <f t="shared" si="40"/>
        <v>1.1299999999999999</v>
      </c>
      <c r="F2579" t="str" cm="1">
        <f t="array" ref="F2579">IF(A2579=MAX(IF(ROUND($B$2:$B$3722,4)=ROUND(B2579,4),$A$2:$A$3722)),"Efficient","Inefficient")</f>
        <v>Inefficient</v>
      </c>
    </row>
    <row r="2580" spans="1:6" x14ac:dyDescent="0.25">
      <c r="A2580" cm="1">
        <f t="array" ref="A2580">INDEX('Portfolio Weights Returns'!$B$9:$BJ$69,
INT((ROW(A2579)-1)/COLUMNS('Portfolio Weights Returns'!$B$9:$BJ$69))+1,MOD(ROW(A2579)-1,COLUMNS('Portfolio Weights Returns'!$B$9:$BJ$69))+1)</f>
        <v>-8.1035979164540751E-4</v>
      </c>
      <c r="B2580">
        <v>2.18E-2</v>
      </c>
      <c r="C2580" s="59">
        <v>7.0000000000000007E-2</v>
      </c>
      <c r="D2580" s="59">
        <v>-0.21</v>
      </c>
      <c r="E2580" s="60">
        <f t="shared" si="40"/>
        <v>1.1399999999999999</v>
      </c>
      <c r="F2580" t="str" cm="1">
        <f t="array" ref="F2580">IF(A2580=MAX(IF(ROUND($B$2:$B$3722,4)=ROUND(B2580,4),$A$2:$A$3722)),"Efficient","Inefficient")</f>
        <v>Inefficient</v>
      </c>
    </row>
    <row r="2581" spans="1:6" x14ac:dyDescent="0.25">
      <c r="A2581" cm="1">
        <f t="array" ref="A2581">INDEX('Portfolio Weights Returns'!$B$9:$BJ$69,
INT((ROW(A2580)-1)/COLUMNS('Portfolio Weights Returns'!$B$9:$BJ$69))+1,MOD(ROW(A2580)-1,COLUMNS('Portfolio Weights Returns'!$B$9:$BJ$69))+1)</f>
        <v>-8.0357861767872837E-4</v>
      </c>
      <c r="B2581">
        <v>2.18E-2</v>
      </c>
      <c r="C2581" s="59">
        <v>0.04</v>
      </c>
      <c r="D2581" s="59">
        <v>-0.19</v>
      </c>
      <c r="E2581" s="60">
        <f t="shared" si="40"/>
        <v>1.1499999999999999</v>
      </c>
      <c r="F2581" t="str" cm="1">
        <f t="array" ref="F2581">IF(A2581=MAX(IF(ROUND($B$2:$B$3722,4)=ROUND(B2581,4),$A$2:$A$3722)),"Efficient","Inefficient")</f>
        <v>Inefficient</v>
      </c>
    </row>
    <row r="2582" spans="1:6" x14ac:dyDescent="0.25">
      <c r="A2582" cm="1">
        <f t="array" ref="A2582">INDEX('Portfolio Weights Returns'!$B$9:$BJ$69,
INT((ROW(A2581)-1)/COLUMNS('Portfolio Weights Returns'!$B$9:$BJ$69))+1,MOD(ROW(A2581)-1,COLUMNS('Portfolio Weights Returns'!$B$9:$BJ$69))+1)</f>
        <v>-7.9679744371204933E-4</v>
      </c>
      <c r="B2582">
        <v>2.18E-2</v>
      </c>
      <c r="C2582" s="59">
        <v>0.01</v>
      </c>
      <c r="D2582" s="59">
        <v>-0.17</v>
      </c>
      <c r="E2582" s="60">
        <f t="shared" si="40"/>
        <v>1.1599999999999999</v>
      </c>
      <c r="F2582" t="str" cm="1">
        <f t="array" ref="F2582">IF(A2582=MAX(IF(ROUND($B$2:$B$3722,4)=ROUND(B2582,4),$A$2:$A$3722)),"Efficient","Inefficient")</f>
        <v>Inefficient</v>
      </c>
    </row>
    <row r="2583" spans="1:6" x14ac:dyDescent="0.25">
      <c r="A2583" cm="1">
        <f t="array" ref="A2583">INDEX('Portfolio Weights Returns'!$B$9:$BJ$69,
INT((ROW(A2582)-1)/COLUMNS('Portfolio Weights Returns'!$B$9:$BJ$69))+1,MOD(ROW(A2582)-1,COLUMNS('Portfolio Weights Returns'!$B$9:$BJ$69))+1)</f>
        <v>-7.900162697453704E-4</v>
      </c>
      <c r="B2583">
        <v>2.18E-2</v>
      </c>
      <c r="C2583" s="59">
        <v>0</v>
      </c>
      <c r="D2583" s="59">
        <v>-0.16</v>
      </c>
      <c r="E2583" s="60">
        <f t="shared" si="40"/>
        <v>1.1599999999999999</v>
      </c>
      <c r="F2583" t="str" cm="1">
        <f t="array" ref="F2583">IF(A2583=MAX(IF(ROUND($B$2:$B$3722,4)=ROUND(B2583,4),$A$2:$A$3722)),"Efficient","Inefficient")</f>
        <v>Inefficient</v>
      </c>
    </row>
    <row r="2584" spans="1:6" x14ac:dyDescent="0.25">
      <c r="A2584" cm="1">
        <f t="array" ref="A2584">INDEX('Portfolio Weights Returns'!$B$9:$BJ$69,
INT((ROW(A2583)-1)/COLUMNS('Portfolio Weights Returns'!$B$9:$BJ$69))+1,MOD(ROW(A2583)-1,COLUMNS('Portfolio Weights Returns'!$B$9:$BJ$69))+1)</f>
        <v>-7.8323509577869126E-4</v>
      </c>
      <c r="B2584">
        <v>2.18E-2</v>
      </c>
      <c r="C2584" s="59">
        <v>-0.03</v>
      </c>
      <c r="D2584" s="59">
        <v>-0.14000000000000001</v>
      </c>
      <c r="E2584" s="60">
        <f t="shared" si="40"/>
        <v>1.1700000000000002</v>
      </c>
      <c r="F2584" t="str" cm="1">
        <f t="array" ref="F2584">IF(A2584=MAX(IF(ROUND($B$2:$B$3722,4)=ROUND(B2584,4),$A$2:$A$3722)),"Efficient","Inefficient")</f>
        <v>Inefficient</v>
      </c>
    </row>
    <row r="2585" spans="1:6" x14ac:dyDescent="0.25">
      <c r="A2585" cm="1">
        <f t="array" ref="A2585">INDEX('Portfolio Weights Returns'!$B$9:$BJ$69,
INT((ROW(A2584)-1)/COLUMNS('Portfolio Weights Returns'!$B$9:$BJ$69))+1,MOD(ROW(A2584)-1,COLUMNS('Portfolio Weights Returns'!$B$9:$BJ$69))+1)</f>
        <v>-7.76453921812012E-4</v>
      </c>
      <c r="B2585">
        <v>2.18E-2</v>
      </c>
      <c r="C2585" s="59">
        <v>-0.04</v>
      </c>
      <c r="D2585" s="59">
        <v>-0.13</v>
      </c>
      <c r="E2585" s="60">
        <f t="shared" si="40"/>
        <v>1.17</v>
      </c>
      <c r="F2585" t="str" cm="1">
        <f t="array" ref="F2585">IF(A2585=MAX(IF(ROUND($B$2:$B$3722,4)=ROUND(B2585,4),$A$2:$A$3722)),"Efficient","Inefficient")</f>
        <v>Inefficient</v>
      </c>
    </row>
    <row r="2586" spans="1:6" x14ac:dyDescent="0.25">
      <c r="A2586" cm="1">
        <f t="array" ref="A2586">INDEX('Portfolio Weights Returns'!$B$9:$BJ$69,
INT((ROW(A2585)-1)/COLUMNS('Portfolio Weights Returns'!$B$9:$BJ$69))+1,MOD(ROW(A2585)-1,COLUMNS('Portfolio Weights Returns'!$B$9:$BJ$69))+1)</f>
        <v>-7.6967274784533297E-4</v>
      </c>
      <c r="B2586">
        <v>2.18E-2</v>
      </c>
      <c r="C2586" s="59">
        <v>-0.05</v>
      </c>
      <c r="D2586" s="59">
        <v>-0.12</v>
      </c>
      <c r="E2586" s="60">
        <f t="shared" si="40"/>
        <v>1.1700000000000002</v>
      </c>
      <c r="F2586" t="str" cm="1">
        <f t="array" ref="F2586">IF(A2586=MAX(IF(ROUND($B$2:$B$3722,4)=ROUND(B2586,4),$A$2:$A$3722)),"Efficient","Inefficient")</f>
        <v>Inefficient</v>
      </c>
    </row>
    <row r="2587" spans="1:6" x14ac:dyDescent="0.25">
      <c r="A2587" cm="1">
        <f t="array" ref="A2587">INDEX('Portfolio Weights Returns'!$B$9:$BJ$69,
INT((ROW(A2586)-1)/COLUMNS('Portfolio Weights Returns'!$B$9:$BJ$69))+1,MOD(ROW(A2586)-1,COLUMNS('Portfolio Weights Returns'!$B$9:$BJ$69))+1)</f>
        <v>-7.6289157387865382E-4</v>
      </c>
      <c r="B2587">
        <v>2.18E-2</v>
      </c>
      <c r="C2587" s="59">
        <v>-0.1</v>
      </c>
      <c r="D2587" s="59">
        <v>-0.08</v>
      </c>
      <c r="E2587" s="60">
        <f t="shared" si="40"/>
        <v>1.1800000000000002</v>
      </c>
      <c r="F2587" t="str" cm="1">
        <f t="array" ref="F2587">IF(A2587=MAX(IF(ROUND($B$2:$B$3722,4)=ROUND(B2587,4),$A$2:$A$3722)),"Efficient","Inefficient")</f>
        <v>Inefficient</v>
      </c>
    </row>
    <row r="2588" spans="1:6" x14ac:dyDescent="0.25">
      <c r="A2588" cm="1">
        <f t="array" ref="A2588">INDEX('Portfolio Weights Returns'!$B$9:$BJ$69,
INT((ROW(A2587)-1)/COLUMNS('Portfolio Weights Returns'!$B$9:$BJ$69))+1,MOD(ROW(A2587)-1,COLUMNS('Portfolio Weights Returns'!$B$9:$BJ$69))+1)</f>
        <v>-7.5611039991197479E-4</v>
      </c>
      <c r="B2588">
        <v>2.18E-2</v>
      </c>
      <c r="C2588" s="59">
        <v>-0.11</v>
      </c>
      <c r="D2588" s="59">
        <v>-7.0000000000000007E-2</v>
      </c>
      <c r="E2588" s="60">
        <f t="shared" si="40"/>
        <v>1.1800000000000002</v>
      </c>
      <c r="F2588" t="str" cm="1">
        <f t="array" ref="F2588">IF(A2588=MAX(IF(ROUND($B$2:$B$3722,4)=ROUND(B2588,4),$A$2:$A$3722)),"Efficient","Inefficient")</f>
        <v>Inefficient</v>
      </c>
    </row>
    <row r="2589" spans="1:6" x14ac:dyDescent="0.25">
      <c r="A2589" cm="1">
        <f t="array" ref="A2589">INDEX('Portfolio Weights Returns'!$B$9:$BJ$69,
INT((ROW(A2588)-1)/COLUMNS('Portfolio Weights Returns'!$B$9:$BJ$69))+1,MOD(ROW(A2588)-1,COLUMNS('Portfolio Weights Returns'!$B$9:$BJ$69))+1)</f>
        <v>-7.4932922594529564E-4</v>
      </c>
      <c r="B2589">
        <v>2.18E-2</v>
      </c>
      <c r="C2589" s="59">
        <v>-0.12</v>
      </c>
      <c r="D2589" s="59">
        <v>-0.06</v>
      </c>
      <c r="E2589" s="60">
        <f t="shared" si="40"/>
        <v>1.1800000000000002</v>
      </c>
      <c r="F2589" t="str" cm="1">
        <f t="array" ref="F2589">IF(A2589=MAX(IF(ROUND($B$2:$B$3722,4)=ROUND(B2589,4),$A$2:$A$3722)),"Efficient","Inefficient")</f>
        <v>Inefficient</v>
      </c>
    </row>
    <row r="2590" spans="1:6" x14ac:dyDescent="0.25">
      <c r="A2590" cm="1">
        <f t="array" ref="A2590">INDEX('Portfolio Weights Returns'!$B$9:$BJ$69,
INT((ROW(A2589)-1)/COLUMNS('Portfolio Weights Returns'!$B$9:$BJ$69))+1,MOD(ROW(A2589)-1,COLUMNS('Portfolio Weights Returns'!$B$9:$BJ$69))+1)</f>
        <v>-7.4254805197861661E-4</v>
      </c>
      <c r="B2590">
        <v>2.18E-2</v>
      </c>
      <c r="C2590" s="59">
        <v>-0.13</v>
      </c>
      <c r="D2590" s="59">
        <v>-0.05</v>
      </c>
      <c r="E2590" s="60">
        <f t="shared" si="40"/>
        <v>1.1800000000000002</v>
      </c>
      <c r="F2590" t="str" cm="1">
        <f t="array" ref="F2590">IF(A2590=MAX(IF(ROUND($B$2:$B$3722,4)=ROUND(B2590,4),$A$2:$A$3722)),"Efficient","Inefficient")</f>
        <v>Inefficient</v>
      </c>
    </row>
    <row r="2591" spans="1:6" x14ac:dyDescent="0.25">
      <c r="A2591" cm="1">
        <f t="array" ref="A2591">INDEX('Portfolio Weights Returns'!$B$9:$BJ$69,
INT((ROW(A2590)-1)/COLUMNS('Portfolio Weights Returns'!$B$9:$BJ$69))+1,MOD(ROW(A2590)-1,COLUMNS('Portfolio Weights Returns'!$B$9:$BJ$69))+1)</f>
        <v>-7.3576687801193746E-4</v>
      </c>
      <c r="B2591">
        <v>2.18E-2</v>
      </c>
      <c r="C2591" s="59">
        <v>-0.14000000000000001</v>
      </c>
      <c r="D2591" s="59">
        <v>-0.04</v>
      </c>
      <c r="E2591" s="60">
        <f t="shared" si="40"/>
        <v>1.1800000000000002</v>
      </c>
      <c r="F2591" t="str" cm="1">
        <f t="array" ref="F2591">IF(A2591=MAX(IF(ROUND($B$2:$B$3722,4)=ROUND(B2591,4),$A$2:$A$3722)),"Efficient","Inefficient")</f>
        <v>Inefficient</v>
      </c>
    </row>
    <row r="2592" spans="1:6" x14ac:dyDescent="0.25">
      <c r="A2592" cm="1">
        <f t="array" ref="A2592">INDEX('Portfolio Weights Returns'!$B$9:$BJ$69,
INT((ROW(A2591)-1)/COLUMNS('Portfolio Weights Returns'!$B$9:$BJ$69))+1,MOD(ROW(A2591)-1,COLUMNS('Portfolio Weights Returns'!$B$9:$BJ$69))+1)</f>
        <v>-7.2898570404525832E-4</v>
      </c>
      <c r="B2592">
        <v>2.18E-2</v>
      </c>
      <c r="C2592" s="59">
        <v>-0.17</v>
      </c>
      <c r="D2592" s="59">
        <v>0</v>
      </c>
      <c r="E2592" s="60">
        <f t="shared" si="40"/>
        <v>1.17</v>
      </c>
      <c r="F2592" t="str" cm="1">
        <f t="array" ref="F2592">IF(A2592=MAX(IF(ROUND($B$2:$B$3722,4)=ROUND(B2592,4),$A$2:$A$3722)),"Efficient","Inefficient")</f>
        <v>Inefficient</v>
      </c>
    </row>
    <row r="2593" spans="1:6" x14ac:dyDescent="0.25">
      <c r="A2593" cm="1">
        <f t="array" ref="A2593">INDEX('Portfolio Weights Returns'!$B$9:$BJ$69,
INT((ROW(A2592)-1)/COLUMNS('Portfolio Weights Returns'!$B$9:$BJ$69))+1,MOD(ROW(A2592)-1,COLUMNS('Portfolio Weights Returns'!$B$9:$BJ$69))+1)</f>
        <v>-7.2220453007857917E-4</v>
      </c>
      <c r="B2593">
        <v>2.18E-2</v>
      </c>
      <c r="C2593" s="59">
        <v>-0.18</v>
      </c>
      <c r="D2593" s="59">
        <v>0.01</v>
      </c>
      <c r="E2593" s="60">
        <f t="shared" si="40"/>
        <v>1.17</v>
      </c>
      <c r="F2593" t="str" cm="1">
        <f t="array" ref="F2593">IF(A2593=MAX(IF(ROUND($B$2:$B$3722,4)=ROUND(B2593,4),$A$2:$A$3722)),"Efficient","Inefficient")</f>
        <v>Inefficient</v>
      </c>
    </row>
    <row r="2594" spans="1:6" x14ac:dyDescent="0.25">
      <c r="A2594" cm="1">
        <f t="array" ref="A2594">INDEX('Portfolio Weights Returns'!$B$9:$BJ$69,
INT((ROW(A2593)-1)/COLUMNS('Portfolio Weights Returns'!$B$9:$BJ$69))+1,MOD(ROW(A2593)-1,COLUMNS('Portfolio Weights Returns'!$B$9:$BJ$69))+1)</f>
        <v>-7.1542335611190014E-4</v>
      </c>
      <c r="B2594">
        <v>2.18E-2</v>
      </c>
      <c r="C2594" s="59">
        <v>-0.19</v>
      </c>
      <c r="D2594" s="59">
        <v>0.02</v>
      </c>
      <c r="E2594" s="60">
        <f t="shared" si="40"/>
        <v>1.17</v>
      </c>
      <c r="F2594" t="str" cm="1">
        <f t="array" ref="F2594">IF(A2594=MAX(IF(ROUND($B$2:$B$3722,4)=ROUND(B2594,4),$A$2:$A$3722)),"Efficient","Inefficient")</f>
        <v>Inefficient</v>
      </c>
    </row>
    <row r="2595" spans="1:6" x14ac:dyDescent="0.25">
      <c r="A2595" cm="1">
        <f t="array" ref="A2595">INDEX('Portfolio Weights Returns'!$B$9:$BJ$69,
INT((ROW(A2594)-1)/COLUMNS('Portfolio Weights Returns'!$B$9:$BJ$69))+1,MOD(ROW(A2594)-1,COLUMNS('Portfolio Weights Returns'!$B$9:$BJ$69))+1)</f>
        <v>-7.0864218214522099E-4</v>
      </c>
      <c r="B2595">
        <v>2.18E-2</v>
      </c>
      <c r="C2595" s="59">
        <v>-0.2</v>
      </c>
      <c r="D2595" s="59">
        <v>0.04</v>
      </c>
      <c r="E2595" s="60">
        <f t="shared" si="40"/>
        <v>1.1599999999999999</v>
      </c>
      <c r="F2595" t="str" cm="1">
        <f t="array" ref="F2595">IF(A2595=MAX(IF(ROUND($B$2:$B$3722,4)=ROUND(B2595,4),$A$2:$A$3722)),"Efficient","Inefficient")</f>
        <v>Inefficient</v>
      </c>
    </row>
    <row r="2596" spans="1:6" x14ac:dyDescent="0.25">
      <c r="A2596" cm="1">
        <f t="array" ref="A2596">INDEX('Portfolio Weights Returns'!$B$9:$BJ$69,
INT((ROW(A2595)-1)/COLUMNS('Portfolio Weights Returns'!$B$9:$BJ$69))+1,MOD(ROW(A2595)-1,COLUMNS('Portfolio Weights Returns'!$B$9:$BJ$69))+1)</f>
        <v>-7.0186100817854185E-4</v>
      </c>
      <c r="B2596">
        <v>2.18E-2</v>
      </c>
      <c r="C2596" s="59">
        <v>-0.21</v>
      </c>
      <c r="D2596" s="59">
        <v>0.05</v>
      </c>
      <c r="E2596" s="60">
        <f t="shared" si="40"/>
        <v>1.1599999999999999</v>
      </c>
      <c r="F2596" t="str" cm="1">
        <f t="array" ref="F2596">IF(A2596=MAX(IF(ROUND($B$2:$B$3722,4)=ROUND(B2596,4),$A$2:$A$3722)),"Efficient","Inefficient")</f>
        <v>Inefficient</v>
      </c>
    </row>
    <row r="2597" spans="1:6" x14ac:dyDescent="0.25">
      <c r="A2597" cm="1">
        <f t="array" ref="A2597">INDEX('Portfolio Weights Returns'!$B$9:$BJ$69,
INT((ROW(A2596)-1)/COLUMNS('Portfolio Weights Returns'!$B$9:$BJ$69))+1,MOD(ROW(A2596)-1,COLUMNS('Portfolio Weights Returns'!$B$9:$BJ$69))+1)</f>
        <v>-6.9507983421186281E-4</v>
      </c>
      <c r="B2597">
        <v>2.18E-2</v>
      </c>
      <c r="C2597" s="59">
        <v>-0.22</v>
      </c>
      <c r="D2597" s="59">
        <v>7.0000000000000007E-2</v>
      </c>
      <c r="E2597" s="60">
        <f t="shared" si="40"/>
        <v>1.1499999999999999</v>
      </c>
      <c r="F2597" t="str" cm="1">
        <f t="array" ref="F2597">IF(A2597=MAX(IF(ROUND($B$2:$B$3722,4)=ROUND(B2597,4),$A$2:$A$3722)),"Efficient","Inefficient")</f>
        <v>Inefficient</v>
      </c>
    </row>
    <row r="2598" spans="1:6" x14ac:dyDescent="0.25">
      <c r="A2598" cm="1">
        <f t="array" ref="A2598">INDEX('Portfolio Weights Returns'!$B$9:$BJ$69,
INT((ROW(A2597)-1)/COLUMNS('Portfolio Weights Returns'!$B$9:$BJ$69))+1,MOD(ROW(A2597)-1,COLUMNS('Portfolio Weights Returns'!$B$9:$BJ$69))+1)</f>
        <v>-6.8829866024518356E-4</v>
      </c>
      <c r="B2598">
        <v>2.18E-2</v>
      </c>
      <c r="C2598" s="59">
        <v>-0.23</v>
      </c>
      <c r="D2598" s="59">
        <v>0.09</v>
      </c>
      <c r="E2598" s="60">
        <f t="shared" si="40"/>
        <v>1.1400000000000001</v>
      </c>
      <c r="F2598" t="str" cm="1">
        <f t="array" ref="F2598">IF(A2598=MAX(IF(ROUND($B$2:$B$3722,4)=ROUND(B2598,4),$A$2:$A$3722)),"Efficient","Inefficient")</f>
        <v>Inefficient</v>
      </c>
    </row>
    <row r="2599" spans="1:6" x14ac:dyDescent="0.25">
      <c r="A2599" cm="1">
        <f t="array" ref="A2599">INDEX('Portfolio Weights Returns'!$B$9:$BJ$69,
INT((ROW(A2598)-1)/COLUMNS('Portfolio Weights Returns'!$B$9:$BJ$69))+1,MOD(ROW(A2598)-1,COLUMNS('Portfolio Weights Returns'!$B$9:$BJ$69))+1)</f>
        <v>-6.8151748627850452E-4</v>
      </c>
      <c r="B2599">
        <v>2.18E-2</v>
      </c>
      <c r="C2599" s="59">
        <v>-0.24</v>
      </c>
      <c r="D2599" s="59">
        <v>0.11</v>
      </c>
      <c r="E2599" s="60">
        <f t="shared" si="40"/>
        <v>1.1299999999999999</v>
      </c>
      <c r="F2599" t="str" cm="1">
        <f t="array" ref="F2599">IF(A2599=MAX(IF(ROUND($B$2:$B$3722,4)=ROUND(B2599,4),$A$2:$A$3722)),"Efficient","Inefficient")</f>
        <v>Inefficient</v>
      </c>
    </row>
    <row r="2600" spans="1:6" x14ac:dyDescent="0.25">
      <c r="A2600" cm="1">
        <f t="array" ref="A2600">INDEX('Portfolio Weights Returns'!$B$9:$BJ$69,
INT((ROW(A2599)-1)/COLUMNS('Portfolio Weights Returns'!$B$9:$BJ$69))+1,MOD(ROW(A2599)-1,COLUMNS('Portfolio Weights Returns'!$B$9:$BJ$69))+1)</f>
        <v>-6.7473631231182538E-4</v>
      </c>
      <c r="B2600">
        <v>2.18E-2</v>
      </c>
      <c r="C2600" s="59">
        <v>-0.25</v>
      </c>
      <c r="D2600" s="59">
        <v>0.13</v>
      </c>
      <c r="E2600" s="60">
        <f t="shared" si="40"/>
        <v>1.1200000000000001</v>
      </c>
      <c r="F2600" t="str" cm="1">
        <f t="array" ref="F2600">IF(A2600=MAX(IF(ROUND($B$2:$B$3722,4)=ROUND(B2600,4),$A$2:$A$3722)),"Efficient","Inefficient")</f>
        <v>Inefficient</v>
      </c>
    </row>
    <row r="2601" spans="1:6" x14ac:dyDescent="0.25">
      <c r="A2601" cm="1">
        <f t="array" ref="A2601">INDEX('Portfolio Weights Returns'!$B$9:$BJ$69,
INT((ROW(A2600)-1)/COLUMNS('Portfolio Weights Returns'!$B$9:$BJ$69))+1,MOD(ROW(A2600)-1,COLUMNS('Portfolio Weights Returns'!$B$9:$BJ$69))+1)</f>
        <v>-6.6795513834514634E-4</v>
      </c>
      <c r="B2601">
        <v>2.18E-2</v>
      </c>
      <c r="C2601" s="59">
        <v>-0.25</v>
      </c>
      <c r="D2601" s="59">
        <v>0.14000000000000001</v>
      </c>
      <c r="E2601" s="60">
        <f t="shared" si="40"/>
        <v>1.1099999999999999</v>
      </c>
      <c r="F2601" t="str" cm="1">
        <f t="array" ref="F2601">IF(A2601=MAX(IF(ROUND($B$2:$B$3722,4)=ROUND(B2601,4),$A$2:$A$3722)),"Efficient","Inefficient")</f>
        <v>Inefficient</v>
      </c>
    </row>
    <row r="2602" spans="1:6" x14ac:dyDescent="0.25">
      <c r="A2602" cm="1">
        <f t="array" ref="A2602">INDEX('Portfolio Weights Returns'!$B$9:$BJ$69,
INT((ROW(A2601)-1)/COLUMNS('Portfolio Weights Returns'!$B$9:$BJ$69))+1,MOD(ROW(A2601)-1,COLUMNS('Portfolio Weights Returns'!$B$9:$BJ$69))+1)</f>
        <v>-6.6117396437846731E-4</v>
      </c>
      <c r="B2602">
        <v>2.18E-2</v>
      </c>
      <c r="C2602" s="59">
        <v>-0.26</v>
      </c>
      <c r="D2602" s="59">
        <v>0.16</v>
      </c>
      <c r="E2602" s="60">
        <f t="shared" si="40"/>
        <v>1.1000000000000001</v>
      </c>
      <c r="F2602" t="str" cm="1">
        <f t="array" ref="F2602">IF(A2602=MAX(IF(ROUND($B$2:$B$3722,4)=ROUND(B2602,4),$A$2:$A$3722)),"Efficient","Inefficient")</f>
        <v>Inefficient</v>
      </c>
    </row>
    <row r="2603" spans="1:6" x14ac:dyDescent="0.25">
      <c r="A2603" cm="1">
        <f t="array" ref="A2603">INDEX('Portfolio Weights Returns'!$B$9:$BJ$69,
INT((ROW(A2602)-1)/COLUMNS('Portfolio Weights Returns'!$B$9:$BJ$69))+1,MOD(ROW(A2602)-1,COLUMNS('Portfolio Weights Returns'!$B$9:$BJ$69))+1)</f>
        <v>-6.5439279041178827E-4</v>
      </c>
      <c r="B2603">
        <v>2.18E-2</v>
      </c>
      <c r="C2603" s="59">
        <v>-0.26</v>
      </c>
      <c r="D2603" s="59">
        <v>0.17</v>
      </c>
      <c r="E2603" s="60">
        <f t="shared" si="40"/>
        <v>1.0899999999999999</v>
      </c>
      <c r="F2603" t="str" cm="1">
        <f t="array" ref="F2603">IF(A2603=MAX(IF(ROUND($B$2:$B$3722,4)=ROUND(B2603,4),$A$2:$A$3722)),"Efficient","Inefficient")</f>
        <v>Inefficient</v>
      </c>
    </row>
    <row r="2604" spans="1:6" x14ac:dyDescent="0.25">
      <c r="A2604" cm="1">
        <f t="array" ref="A2604">INDEX('Portfolio Weights Returns'!$B$9:$BJ$69,
INT((ROW(A2603)-1)/COLUMNS('Portfolio Weights Returns'!$B$9:$BJ$69))+1,MOD(ROW(A2603)-1,COLUMNS('Portfolio Weights Returns'!$B$9:$BJ$69))+1)</f>
        <v>-6.4761161644510902E-4</v>
      </c>
      <c r="B2604">
        <v>2.18E-2</v>
      </c>
      <c r="C2604" s="59">
        <v>-0.27</v>
      </c>
      <c r="D2604" s="59">
        <v>0.21</v>
      </c>
      <c r="E2604" s="60">
        <f t="shared" si="40"/>
        <v>1.06</v>
      </c>
      <c r="F2604" t="str" cm="1">
        <f t="array" ref="F2604">IF(A2604=MAX(IF(ROUND($B$2:$B$3722,4)=ROUND(B2604,4),$A$2:$A$3722)),"Efficient","Inefficient")</f>
        <v>Inefficient</v>
      </c>
    </row>
    <row r="2605" spans="1:6" x14ac:dyDescent="0.25">
      <c r="A2605" cm="1">
        <f t="array" ref="A2605">INDEX('Portfolio Weights Returns'!$B$9:$BJ$69,
INT((ROW(A2604)-1)/COLUMNS('Portfolio Weights Returns'!$B$9:$BJ$69))+1,MOD(ROW(A2604)-1,COLUMNS('Portfolio Weights Returns'!$B$9:$BJ$69))+1)</f>
        <v>-6.4083044247842987E-4</v>
      </c>
      <c r="B2605">
        <v>2.18E-2</v>
      </c>
      <c r="C2605" s="59">
        <v>-0.27</v>
      </c>
      <c r="D2605" s="59">
        <v>0.22</v>
      </c>
      <c r="E2605" s="60">
        <f t="shared" si="40"/>
        <v>1.05</v>
      </c>
      <c r="F2605" t="str" cm="1">
        <f t="array" ref="F2605">IF(A2605=MAX(IF(ROUND($B$2:$B$3722,4)=ROUND(B2605,4),$A$2:$A$3722)),"Efficient","Inefficient")</f>
        <v>Inefficient</v>
      </c>
    </row>
    <row r="2606" spans="1:6" x14ac:dyDescent="0.25">
      <c r="A2606" cm="1">
        <f t="array" ref="A2606">INDEX('Portfolio Weights Returns'!$B$9:$BJ$69,
INT((ROW(A2605)-1)/COLUMNS('Portfolio Weights Returns'!$B$9:$BJ$69))+1,MOD(ROW(A2605)-1,COLUMNS('Portfolio Weights Returns'!$B$9:$BJ$69))+1)</f>
        <v>-6.3404926851175084E-4</v>
      </c>
      <c r="B2606">
        <v>2.18E-2</v>
      </c>
      <c r="C2606" s="59">
        <v>-0.27</v>
      </c>
      <c r="D2606" s="59">
        <v>0.23</v>
      </c>
      <c r="E2606" s="60">
        <f t="shared" si="40"/>
        <v>1.04</v>
      </c>
      <c r="F2606" t="str" cm="1">
        <f t="array" ref="F2606">IF(A2606=MAX(IF(ROUND($B$2:$B$3722,4)=ROUND(B2606,4),$A$2:$A$3722)),"Efficient","Inefficient")</f>
        <v>Inefficient</v>
      </c>
    </row>
    <row r="2607" spans="1:6" x14ac:dyDescent="0.25">
      <c r="A2607" cm="1">
        <f t="array" ref="A2607">INDEX('Portfolio Weights Returns'!$B$9:$BJ$69,
INT((ROW(A2606)-1)/COLUMNS('Portfolio Weights Returns'!$B$9:$BJ$69))+1,MOD(ROW(A2606)-1,COLUMNS('Portfolio Weights Returns'!$B$9:$BJ$69))+1)</f>
        <v>-6.2726809454507169E-4</v>
      </c>
      <c r="B2607">
        <v>2.18E-2</v>
      </c>
      <c r="C2607" s="59">
        <v>-0.27</v>
      </c>
      <c r="D2607" s="59">
        <v>0.24</v>
      </c>
      <c r="E2607" s="60">
        <f t="shared" si="40"/>
        <v>1.03</v>
      </c>
      <c r="F2607" t="str" cm="1">
        <f t="array" ref="F2607">IF(A2607=MAX(IF(ROUND($B$2:$B$3722,4)=ROUND(B2607,4),$A$2:$A$3722)),"Efficient","Inefficient")</f>
        <v>Inefficient</v>
      </c>
    </row>
    <row r="2608" spans="1:6" x14ac:dyDescent="0.25">
      <c r="A2608" cm="1">
        <f t="array" ref="A2608">INDEX('Portfolio Weights Returns'!$B$9:$BJ$69,
INT((ROW(A2607)-1)/COLUMNS('Portfolio Weights Returns'!$B$9:$BJ$69))+1,MOD(ROW(A2607)-1,COLUMNS('Portfolio Weights Returns'!$B$9:$BJ$69))+1)</f>
        <v>-6.2048692057839266E-4</v>
      </c>
      <c r="B2608">
        <v>2.18E-2</v>
      </c>
      <c r="C2608" s="59">
        <v>-0.26</v>
      </c>
      <c r="D2608" s="59">
        <v>0.27</v>
      </c>
      <c r="E2608" s="60">
        <f t="shared" si="40"/>
        <v>0.99</v>
      </c>
      <c r="F2608" t="str" cm="1">
        <f t="array" ref="F2608">IF(A2608=MAX(IF(ROUND($B$2:$B$3722,4)=ROUND(B2608,4),$A$2:$A$3722)),"Efficient","Inefficient")</f>
        <v>Inefficient</v>
      </c>
    </row>
    <row r="2609" spans="1:6" x14ac:dyDescent="0.25">
      <c r="A2609" cm="1">
        <f t="array" ref="A2609">INDEX('Portfolio Weights Returns'!$B$9:$BJ$69,
INT((ROW(A2608)-1)/COLUMNS('Portfolio Weights Returns'!$B$9:$BJ$69))+1,MOD(ROW(A2608)-1,COLUMNS('Portfolio Weights Returns'!$B$9:$BJ$69))+1)</f>
        <v>-6.1370574661171351E-4</v>
      </c>
      <c r="B2609">
        <v>2.18E-2</v>
      </c>
      <c r="C2609" s="59">
        <v>-0.26</v>
      </c>
      <c r="D2609" s="59">
        <v>0.28000000000000003</v>
      </c>
      <c r="E2609" s="60">
        <f t="shared" si="40"/>
        <v>0.98</v>
      </c>
      <c r="F2609" t="str" cm="1">
        <f t="array" ref="F2609">IF(A2609=MAX(IF(ROUND($B$2:$B$3722,4)=ROUND(B2609,4),$A$2:$A$3722)),"Efficient","Inefficient")</f>
        <v>Inefficient</v>
      </c>
    </row>
    <row r="2610" spans="1:6" x14ac:dyDescent="0.25">
      <c r="A2610" cm="1">
        <f t="array" ref="A2610">INDEX('Portfolio Weights Returns'!$B$9:$BJ$69,
INT((ROW(A2609)-1)/COLUMNS('Portfolio Weights Returns'!$B$9:$BJ$69))+1,MOD(ROW(A2609)-1,COLUMNS('Portfolio Weights Returns'!$B$9:$BJ$69))+1)</f>
        <v>-6.0692457264503448E-4</v>
      </c>
      <c r="B2610">
        <v>2.18E-2</v>
      </c>
      <c r="C2610" s="59">
        <v>-0.26</v>
      </c>
      <c r="D2610" s="59">
        <v>0.28999999999999998</v>
      </c>
      <c r="E2610" s="60">
        <f t="shared" si="40"/>
        <v>0.97</v>
      </c>
      <c r="F2610" t="str" cm="1">
        <f t="array" ref="F2610">IF(A2610=MAX(IF(ROUND($B$2:$B$3722,4)=ROUND(B2610,4),$A$2:$A$3722)),"Efficient","Inefficient")</f>
        <v>Inefficient</v>
      </c>
    </row>
    <row r="2611" spans="1:6" x14ac:dyDescent="0.25">
      <c r="A2611" cm="1">
        <f t="array" ref="A2611">INDEX('Portfolio Weights Returns'!$B$9:$BJ$69,
INT((ROW(A2610)-1)/COLUMNS('Portfolio Weights Returns'!$B$9:$BJ$69))+1,MOD(ROW(A2610)-1,COLUMNS('Portfolio Weights Returns'!$B$9:$BJ$69))+1)</f>
        <v>-6.0014339867835523E-4</v>
      </c>
      <c r="B2611">
        <v>2.18E-2</v>
      </c>
      <c r="C2611" s="59">
        <v>-0.25</v>
      </c>
      <c r="D2611" s="59">
        <v>0.3</v>
      </c>
      <c r="E2611" s="60">
        <f t="shared" si="40"/>
        <v>0.95</v>
      </c>
      <c r="F2611" t="str" cm="1">
        <f t="array" ref="F2611">IF(A2611=MAX(IF(ROUND($B$2:$B$3722,4)=ROUND(B2611,4),$A$2:$A$3722)),"Efficient","Inefficient")</f>
        <v>Efficient</v>
      </c>
    </row>
    <row r="2612" spans="1:6" x14ac:dyDescent="0.25">
      <c r="A2612" cm="1">
        <f t="array" ref="A2612">INDEX('Portfolio Weights Returns'!$B$9:$BJ$69,
INT((ROW(A2611)-1)/COLUMNS('Portfolio Weights Returns'!$B$9:$BJ$69))+1,MOD(ROW(A2611)-1,COLUMNS('Portfolio Weights Returns'!$B$9:$BJ$69))+1)</f>
        <v>-5.933622247116763E-4</v>
      </c>
      <c r="B2612">
        <v>2.1899999999999999E-2</v>
      </c>
      <c r="C2612" s="59">
        <v>0.22</v>
      </c>
      <c r="D2612" s="59">
        <v>-0.3</v>
      </c>
      <c r="E2612" s="60">
        <f t="shared" si="40"/>
        <v>1.08</v>
      </c>
      <c r="F2612" t="str" cm="1">
        <f t="array" ref="F2612">IF(A2612=MAX(IF(ROUND($B$2:$B$3722,4)=ROUND(B2612,4),$A$2:$A$3722)),"Efficient","Inefficient")</f>
        <v>Inefficient</v>
      </c>
    </row>
    <row r="2613" spans="1:6" x14ac:dyDescent="0.25">
      <c r="A2613" cm="1">
        <f t="array" ref="A2613">INDEX('Portfolio Weights Returns'!$B$9:$BJ$69,
INT((ROW(A2612)-1)/COLUMNS('Portfolio Weights Returns'!$B$9:$BJ$69))+1,MOD(ROW(A2612)-1,COLUMNS('Portfolio Weights Returns'!$B$9:$BJ$69))+1)</f>
        <v>-5.8658105074499715E-4</v>
      </c>
      <c r="B2613">
        <v>2.1899999999999999E-2</v>
      </c>
      <c r="C2613" s="59">
        <v>0.2</v>
      </c>
      <c r="D2613" s="59">
        <v>-0.28999999999999998</v>
      </c>
      <c r="E2613" s="60">
        <f t="shared" si="40"/>
        <v>1.0900000000000001</v>
      </c>
      <c r="F2613" t="str" cm="1">
        <f t="array" ref="F2613">IF(A2613=MAX(IF(ROUND($B$2:$B$3722,4)=ROUND(B2613,4),$A$2:$A$3722)),"Efficient","Inefficient")</f>
        <v>Inefficient</v>
      </c>
    </row>
    <row r="2614" spans="1:6" x14ac:dyDescent="0.25">
      <c r="A2614" cm="1">
        <f t="array" ref="A2614">INDEX('Portfolio Weights Returns'!$B$9:$BJ$69,
INT((ROW(A2613)-1)/COLUMNS('Portfolio Weights Returns'!$B$9:$BJ$69))+1,MOD(ROW(A2613)-1,COLUMNS('Portfolio Weights Returns'!$B$9:$BJ$69))+1)</f>
        <v>-5.7979987677831812E-4</v>
      </c>
      <c r="B2614">
        <v>2.1899999999999999E-2</v>
      </c>
      <c r="C2614" s="59">
        <v>0.18</v>
      </c>
      <c r="D2614" s="59">
        <v>-0.28000000000000003</v>
      </c>
      <c r="E2614" s="60">
        <f t="shared" si="40"/>
        <v>1.1000000000000001</v>
      </c>
      <c r="F2614" t="str" cm="1">
        <f t="array" ref="F2614">IF(A2614=MAX(IF(ROUND($B$2:$B$3722,4)=ROUND(B2614,4),$A$2:$A$3722)),"Efficient","Inefficient")</f>
        <v>Inefficient</v>
      </c>
    </row>
    <row r="2615" spans="1:6" x14ac:dyDescent="0.25">
      <c r="A2615" cm="1">
        <f t="array" ref="A2615">INDEX('Portfolio Weights Returns'!$B$9:$BJ$69,
INT((ROW(A2614)-1)/COLUMNS('Portfolio Weights Returns'!$B$9:$BJ$69))+1,MOD(ROW(A2614)-1,COLUMNS('Portfolio Weights Returns'!$B$9:$BJ$69))+1)</f>
        <v>-5.7301870281163897E-4</v>
      </c>
      <c r="B2615">
        <v>2.1899999999999999E-2</v>
      </c>
      <c r="C2615" s="59">
        <v>0.16</v>
      </c>
      <c r="D2615" s="59">
        <v>-0.27</v>
      </c>
      <c r="E2615" s="60">
        <f t="shared" si="40"/>
        <v>1.1100000000000001</v>
      </c>
      <c r="F2615" t="str" cm="1">
        <f t="array" ref="F2615">IF(A2615=MAX(IF(ROUND($B$2:$B$3722,4)=ROUND(B2615,4),$A$2:$A$3722)),"Efficient","Inefficient")</f>
        <v>Inefficient</v>
      </c>
    </row>
    <row r="2616" spans="1:6" x14ac:dyDescent="0.25">
      <c r="A2616" cm="1">
        <f t="array" ref="A2616">INDEX('Portfolio Weights Returns'!$B$9:$BJ$69,
INT((ROW(A2615)-1)/COLUMNS('Portfolio Weights Returns'!$B$9:$BJ$69))+1,MOD(ROW(A2615)-1,COLUMNS('Portfolio Weights Returns'!$B$9:$BJ$69))+1)</f>
        <v>-5.6623752884495983E-4</v>
      </c>
      <c r="B2616">
        <v>2.1899999999999999E-2</v>
      </c>
      <c r="C2616" s="59">
        <v>0.13</v>
      </c>
      <c r="D2616" s="59">
        <v>-0.25</v>
      </c>
      <c r="E2616" s="60">
        <f t="shared" si="40"/>
        <v>1.1200000000000001</v>
      </c>
      <c r="F2616" t="str" cm="1">
        <f t="array" ref="F2616">IF(A2616=MAX(IF(ROUND($B$2:$B$3722,4)=ROUND(B2616,4),$A$2:$A$3722)),"Efficient","Inefficient")</f>
        <v>Inefficient</v>
      </c>
    </row>
    <row r="2617" spans="1:6" x14ac:dyDescent="0.25">
      <c r="A2617" cm="1">
        <f t="array" ref="A2617">INDEX('Portfolio Weights Returns'!$B$9:$BJ$69,
INT((ROW(A2616)-1)/COLUMNS('Portfolio Weights Returns'!$B$9:$BJ$69))+1,MOD(ROW(A2616)-1,COLUMNS('Portfolio Weights Returns'!$B$9:$BJ$69))+1)</f>
        <v>-5.5945635487828068E-4</v>
      </c>
      <c r="B2617">
        <v>2.1899999999999999E-2</v>
      </c>
      <c r="C2617" s="59">
        <v>0.11</v>
      </c>
      <c r="D2617" s="59">
        <v>-0.24</v>
      </c>
      <c r="E2617" s="60">
        <f t="shared" si="40"/>
        <v>1.1299999999999999</v>
      </c>
      <c r="F2617" t="str" cm="1">
        <f t="array" ref="F2617">IF(A2617=MAX(IF(ROUND($B$2:$B$3722,4)=ROUND(B2617,4),$A$2:$A$3722)),"Efficient","Inefficient")</f>
        <v>Inefficient</v>
      </c>
    </row>
    <row r="2618" spans="1:6" x14ac:dyDescent="0.25">
      <c r="A2618" cm="1">
        <f t="array" ref="A2618">INDEX('Portfolio Weights Returns'!$B$9:$BJ$69,
INT((ROW(A2617)-1)/COLUMNS('Portfolio Weights Returns'!$B$9:$BJ$69))+1,MOD(ROW(A2617)-1,COLUMNS('Portfolio Weights Returns'!$B$9:$BJ$69))+1)</f>
        <v>-5.5267518091160154E-4</v>
      </c>
      <c r="B2618">
        <v>2.1899999999999999E-2</v>
      </c>
      <c r="C2618" s="59">
        <v>0.08</v>
      </c>
      <c r="D2618" s="59">
        <v>-0.22</v>
      </c>
      <c r="E2618" s="60">
        <f t="shared" si="40"/>
        <v>1.1399999999999999</v>
      </c>
      <c r="F2618" t="str" cm="1">
        <f t="array" ref="F2618">IF(A2618=MAX(IF(ROUND($B$2:$B$3722,4)=ROUND(B2618,4),$A$2:$A$3722)),"Efficient","Inefficient")</f>
        <v>Inefficient</v>
      </c>
    </row>
    <row r="2619" spans="1:6" x14ac:dyDescent="0.25">
      <c r="A2619" cm="1">
        <f t="array" ref="A2619">INDEX('Portfolio Weights Returns'!$B$9:$BJ$69,
INT((ROW(A2618)-1)/COLUMNS('Portfolio Weights Returns'!$B$9:$BJ$69))+1,MOD(ROW(A2618)-1,COLUMNS('Portfolio Weights Returns'!$B$9:$BJ$69))+1)</f>
        <v>-5.458940069449225E-4</v>
      </c>
      <c r="B2619">
        <v>2.1899999999999999E-2</v>
      </c>
      <c r="C2619" s="59">
        <v>0.05</v>
      </c>
      <c r="D2619" s="59">
        <v>-0.2</v>
      </c>
      <c r="E2619" s="60">
        <f t="shared" si="40"/>
        <v>1.1499999999999999</v>
      </c>
      <c r="F2619" t="str" cm="1">
        <f t="array" ref="F2619">IF(A2619=MAX(IF(ROUND($B$2:$B$3722,4)=ROUND(B2619,4),$A$2:$A$3722)),"Efficient","Inefficient")</f>
        <v>Inefficient</v>
      </c>
    </row>
    <row r="2620" spans="1:6" x14ac:dyDescent="0.25">
      <c r="A2620" cm="1">
        <f t="array" ref="A2620">INDEX('Portfolio Weights Returns'!$B$9:$BJ$69,
INT((ROW(A2619)-1)/COLUMNS('Portfolio Weights Returns'!$B$9:$BJ$69))+1,MOD(ROW(A2619)-1,COLUMNS('Portfolio Weights Returns'!$B$9:$BJ$69))+1)</f>
        <v>-5.3911283297824336E-4</v>
      </c>
      <c r="B2620">
        <v>2.1899999999999999E-2</v>
      </c>
      <c r="C2620" s="59">
        <v>0.02</v>
      </c>
      <c r="D2620" s="59">
        <v>-0.18</v>
      </c>
      <c r="E2620" s="60">
        <f t="shared" si="40"/>
        <v>1.1599999999999999</v>
      </c>
      <c r="F2620" t="str" cm="1">
        <f t="array" ref="F2620">IF(A2620=MAX(IF(ROUND($B$2:$B$3722,4)=ROUND(B2620,4),$A$2:$A$3722)),"Efficient","Inefficient")</f>
        <v>Inefficient</v>
      </c>
    </row>
    <row r="2621" spans="1:6" x14ac:dyDescent="0.25">
      <c r="A2621" cm="1">
        <f t="array" ref="A2621">INDEX('Portfolio Weights Returns'!$B$9:$BJ$69,
INT((ROW(A2620)-1)/COLUMNS('Portfolio Weights Returns'!$B$9:$BJ$69))+1,MOD(ROW(A2620)-1,COLUMNS('Portfolio Weights Returns'!$B$9:$BJ$69))+1)</f>
        <v>-5.3233165901156356E-4</v>
      </c>
      <c r="B2621">
        <v>2.1899999999999999E-2</v>
      </c>
      <c r="C2621" s="59">
        <v>-0.01</v>
      </c>
      <c r="D2621" s="59">
        <v>-0.16</v>
      </c>
      <c r="E2621" s="60">
        <f t="shared" si="40"/>
        <v>1.17</v>
      </c>
      <c r="F2621" t="str" cm="1">
        <f t="array" ref="F2621">IF(A2621=MAX(IF(ROUND($B$2:$B$3722,4)=ROUND(B2621,4),$A$2:$A$3722)),"Efficient","Inefficient")</f>
        <v>Inefficient</v>
      </c>
    </row>
    <row r="2622" spans="1:6" x14ac:dyDescent="0.25">
      <c r="A2622" cm="1">
        <f t="array" ref="A2622">INDEX('Portfolio Weights Returns'!$B$9:$BJ$69,
INT((ROW(A2621)-1)/COLUMNS('Portfolio Weights Returns'!$B$9:$BJ$69))+1,MOD(ROW(A2621)-1,COLUMNS('Portfolio Weights Returns'!$B$9:$BJ$69))+1)</f>
        <v>-5.2555048504488453E-4</v>
      </c>
      <c r="B2622">
        <v>2.1899999999999999E-2</v>
      </c>
      <c r="C2622" s="59">
        <v>-0.02</v>
      </c>
      <c r="D2622" s="59">
        <v>-0.15</v>
      </c>
      <c r="E2622" s="60">
        <f t="shared" si="40"/>
        <v>1.17</v>
      </c>
      <c r="F2622" t="str" cm="1">
        <f t="array" ref="F2622">IF(A2622=MAX(IF(ROUND($B$2:$B$3722,4)=ROUND(B2622,4),$A$2:$A$3722)),"Efficient","Inefficient")</f>
        <v>Inefficient</v>
      </c>
    </row>
    <row r="2623" spans="1:6" x14ac:dyDescent="0.25">
      <c r="A2623" cm="1">
        <f t="array" ref="A2623">INDEX('Portfolio Weights Returns'!$B$9:$BJ$69,
INT((ROW(A2622)-1)/COLUMNS('Portfolio Weights Returns'!$B$9:$BJ$69))+1,MOD(ROW(A2622)-1,COLUMNS('Portfolio Weights Returns'!$B$9:$BJ$69))+1)</f>
        <v>-5.1876931107820549E-4</v>
      </c>
      <c r="B2623">
        <v>2.1899999999999999E-2</v>
      </c>
      <c r="C2623" s="59">
        <v>-0.06</v>
      </c>
      <c r="D2623" s="59">
        <v>-0.12</v>
      </c>
      <c r="E2623" s="60">
        <f t="shared" si="40"/>
        <v>1.1800000000000002</v>
      </c>
      <c r="F2623" t="str" cm="1">
        <f t="array" ref="F2623">IF(A2623=MAX(IF(ROUND($B$2:$B$3722,4)=ROUND(B2623,4),$A$2:$A$3722)),"Efficient","Inefficient")</f>
        <v>Inefficient</v>
      </c>
    </row>
    <row r="2624" spans="1:6" x14ac:dyDescent="0.25">
      <c r="A2624" cm="1">
        <f t="array" ref="A2624">INDEX('Portfolio Weights Returns'!$B$9:$BJ$69,
INT((ROW(A2623)-1)/COLUMNS('Portfolio Weights Returns'!$B$9:$BJ$69))+1,MOD(ROW(A2623)-1,COLUMNS('Portfolio Weights Returns'!$B$9:$BJ$69))+1)</f>
        <v>-5.1198813711152635E-4</v>
      </c>
      <c r="B2624">
        <v>2.1899999999999999E-2</v>
      </c>
      <c r="C2624" s="59">
        <v>-7.0000000000000007E-2</v>
      </c>
      <c r="D2624" s="59">
        <v>-0.11</v>
      </c>
      <c r="E2624" s="60">
        <f t="shared" si="40"/>
        <v>1.1800000000000002</v>
      </c>
      <c r="F2624" t="str" cm="1">
        <f t="array" ref="F2624">IF(A2624=MAX(IF(ROUND($B$2:$B$3722,4)=ROUND(B2624,4),$A$2:$A$3722)),"Efficient","Inefficient")</f>
        <v>Efficient</v>
      </c>
    </row>
    <row r="2625" spans="1:6" x14ac:dyDescent="0.25">
      <c r="A2625" cm="1">
        <f t="array" ref="A2625">INDEX('Portfolio Weights Returns'!$B$9:$BJ$69,
INT((ROW(A2624)-1)/COLUMNS('Portfolio Weights Returns'!$B$9:$BJ$69))+1,MOD(ROW(A2624)-1,COLUMNS('Portfolio Weights Returns'!$B$9:$BJ$69))+1)</f>
        <v>-9.1228436726681795E-4</v>
      </c>
      <c r="B2625">
        <v>2.1899999999999999E-2</v>
      </c>
      <c r="C2625" s="59">
        <v>-0.08</v>
      </c>
      <c r="D2625" s="59">
        <v>-0.1</v>
      </c>
      <c r="E2625" s="60">
        <f t="shared" si="40"/>
        <v>1.1800000000000002</v>
      </c>
      <c r="F2625" t="str" cm="1">
        <f t="array" ref="F2625">IF(A2625=MAX(IF(ROUND($B$2:$B$3722,4)=ROUND(B2625,4),$A$2:$A$3722)),"Efficient","Inefficient")</f>
        <v>Inefficient</v>
      </c>
    </row>
    <row r="2626" spans="1:6" x14ac:dyDescent="0.25">
      <c r="A2626" cm="1">
        <f t="array" ref="A2626">INDEX('Portfolio Weights Returns'!$B$9:$BJ$69,
INT((ROW(A2625)-1)/COLUMNS('Portfolio Weights Returns'!$B$9:$BJ$69))+1,MOD(ROW(A2625)-1,COLUMNS('Portfolio Weights Returns'!$B$9:$BJ$69))+1)</f>
        <v>-9.0550319330013902E-4</v>
      </c>
      <c r="B2626">
        <v>2.1899999999999999E-2</v>
      </c>
      <c r="C2626" s="59">
        <v>-0.09</v>
      </c>
      <c r="D2626" s="59">
        <v>-0.09</v>
      </c>
      <c r="E2626" s="60">
        <f t="shared" ref="E2626:E2689" si="41">1-D2626-C2626</f>
        <v>1.1800000000000002</v>
      </c>
      <c r="F2626" t="str" cm="1">
        <f t="array" ref="F2626">IF(A2626=MAX(IF(ROUND($B$2:$B$3722,4)=ROUND(B2626,4),$A$2:$A$3722)),"Efficient","Inefficient")</f>
        <v>Inefficient</v>
      </c>
    </row>
    <row r="2627" spans="1:6" x14ac:dyDescent="0.25">
      <c r="A2627" cm="1">
        <f t="array" ref="A2627">INDEX('Portfolio Weights Returns'!$B$9:$BJ$69,
INT((ROW(A2626)-1)/COLUMNS('Portfolio Weights Returns'!$B$9:$BJ$69))+1,MOD(ROW(A2626)-1,COLUMNS('Portfolio Weights Returns'!$B$9:$BJ$69))+1)</f>
        <v>-8.9872201933345977E-4</v>
      </c>
      <c r="B2627">
        <v>2.1899999999999999E-2</v>
      </c>
      <c r="C2627" s="59">
        <v>-0.15</v>
      </c>
      <c r="D2627" s="59">
        <v>-0.03</v>
      </c>
      <c r="E2627" s="60">
        <f t="shared" si="41"/>
        <v>1.18</v>
      </c>
      <c r="F2627" t="str" cm="1">
        <f t="array" ref="F2627">IF(A2627=MAX(IF(ROUND($B$2:$B$3722,4)=ROUND(B2627,4),$A$2:$A$3722)),"Efficient","Inefficient")</f>
        <v>Inefficient</v>
      </c>
    </row>
    <row r="2628" spans="1:6" x14ac:dyDescent="0.25">
      <c r="A2628" cm="1">
        <f t="array" ref="A2628">INDEX('Portfolio Weights Returns'!$B$9:$BJ$69,
INT((ROW(A2627)-1)/COLUMNS('Portfolio Weights Returns'!$B$9:$BJ$69))+1,MOD(ROW(A2627)-1,COLUMNS('Portfolio Weights Returns'!$B$9:$BJ$69))+1)</f>
        <v>-8.9194084536678084E-4</v>
      </c>
      <c r="B2628">
        <v>2.1899999999999999E-2</v>
      </c>
      <c r="C2628" s="59">
        <v>-0.16</v>
      </c>
      <c r="D2628" s="59">
        <v>-0.02</v>
      </c>
      <c r="E2628" s="60">
        <f t="shared" si="41"/>
        <v>1.18</v>
      </c>
      <c r="F2628" t="str" cm="1">
        <f t="array" ref="F2628">IF(A2628=MAX(IF(ROUND($B$2:$B$3722,4)=ROUND(B2628,4),$A$2:$A$3722)),"Efficient","Inefficient")</f>
        <v>Inefficient</v>
      </c>
    </row>
    <row r="2629" spans="1:6" x14ac:dyDescent="0.25">
      <c r="A2629" cm="1">
        <f t="array" ref="A2629">INDEX('Portfolio Weights Returns'!$B$9:$BJ$69,
INT((ROW(A2628)-1)/COLUMNS('Portfolio Weights Returns'!$B$9:$BJ$69))+1,MOD(ROW(A2628)-1,COLUMNS('Portfolio Weights Returns'!$B$9:$BJ$69))+1)</f>
        <v>-8.8515967140010148E-4</v>
      </c>
      <c r="B2629">
        <v>2.1899999999999999E-2</v>
      </c>
      <c r="C2629" s="59">
        <v>-0.17</v>
      </c>
      <c r="D2629" s="59">
        <v>-0.01</v>
      </c>
      <c r="E2629" s="60">
        <f t="shared" si="41"/>
        <v>1.18</v>
      </c>
      <c r="F2629" t="str" cm="1">
        <f t="array" ref="F2629">IF(A2629=MAX(IF(ROUND($B$2:$B$3722,4)=ROUND(B2629,4),$A$2:$A$3722)),"Efficient","Inefficient")</f>
        <v>Inefficient</v>
      </c>
    </row>
    <row r="2630" spans="1:6" x14ac:dyDescent="0.25">
      <c r="A2630" cm="1">
        <f t="array" ref="A2630">INDEX('Portfolio Weights Returns'!$B$9:$BJ$69,
INT((ROW(A2629)-1)/COLUMNS('Portfolio Weights Returns'!$B$9:$BJ$69))+1,MOD(ROW(A2629)-1,COLUMNS('Portfolio Weights Returns'!$B$9:$BJ$69))+1)</f>
        <v>-8.7837849743342266E-4</v>
      </c>
      <c r="B2630">
        <v>2.1899999999999999E-2</v>
      </c>
      <c r="C2630" s="59">
        <v>-0.18</v>
      </c>
      <c r="D2630" s="59">
        <v>0</v>
      </c>
      <c r="E2630" s="60">
        <f t="shared" si="41"/>
        <v>1.18</v>
      </c>
      <c r="F2630" t="str" cm="1">
        <f t="array" ref="F2630">IF(A2630=MAX(IF(ROUND($B$2:$B$3722,4)=ROUND(B2630,4),$A$2:$A$3722)),"Efficient","Inefficient")</f>
        <v>Inefficient</v>
      </c>
    </row>
    <row r="2631" spans="1:6" x14ac:dyDescent="0.25">
      <c r="A2631" cm="1">
        <f t="array" ref="A2631">INDEX('Portfolio Weights Returns'!$B$9:$BJ$69,
INT((ROW(A2630)-1)/COLUMNS('Portfolio Weights Returns'!$B$9:$BJ$69))+1,MOD(ROW(A2630)-1,COLUMNS('Portfolio Weights Returns'!$B$9:$BJ$69))+1)</f>
        <v>-8.715973234667433E-4</v>
      </c>
      <c r="B2631">
        <v>2.1899999999999999E-2</v>
      </c>
      <c r="C2631" s="59">
        <v>-0.2</v>
      </c>
      <c r="D2631" s="59">
        <v>0.03</v>
      </c>
      <c r="E2631" s="60">
        <f t="shared" si="41"/>
        <v>1.17</v>
      </c>
      <c r="F2631" t="str" cm="1">
        <f t="array" ref="F2631">IF(A2631=MAX(IF(ROUND($B$2:$B$3722,4)=ROUND(B2631,4),$A$2:$A$3722)),"Efficient","Inefficient")</f>
        <v>Inefficient</v>
      </c>
    </row>
    <row r="2632" spans="1:6" x14ac:dyDescent="0.25">
      <c r="A2632" cm="1">
        <f t="array" ref="A2632">INDEX('Portfolio Weights Returns'!$B$9:$BJ$69,
INT((ROW(A2631)-1)/COLUMNS('Portfolio Weights Returns'!$B$9:$BJ$69))+1,MOD(ROW(A2631)-1,COLUMNS('Portfolio Weights Returns'!$B$9:$BJ$69))+1)</f>
        <v>-8.6481614950006437E-4</v>
      </c>
      <c r="B2632">
        <v>2.1899999999999999E-2</v>
      </c>
      <c r="C2632" s="59">
        <v>-0.21</v>
      </c>
      <c r="D2632" s="59">
        <v>0.04</v>
      </c>
      <c r="E2632" s="60">
        <f t="shared" si="41"/>
        <v>1.17</v>
      </c>
      <c r="F2632" t="str" cm="1">
        <f t="array" ref="F2632">IF(A2632=MAX(IF(ROUND($B$2:$B$3722,4)=ROUND(B2632,4),$A$2:$A$3722)),"Efficient","Inefficient")</f>
        <v>Inefficient</v>
      </c>
    </row>
    <row r="2633" spans="1:6" x14ac:dyDescent="0.25">
      <c r="A2633" cm="1">
        <f t="array" ref="A2633">INDEX('Portfolio Weights Returns'!$B$9:$BJ$69,
INT((ROW(A2632)-1)/COLUMNS('Portfolio Weights Returns'!$B$9:$BJ$69))+1,MOD(ROW(A2632)-1,COLUMNS('Portfolio Weights Returns'!$B$9:$BJ$69))+1)</f>
        <v>-8.5803497553338512E-4</v>
      </c>
      <c r="B2633">
        <v>2.1899999999999999E-2</v>
      </c>
      <c r="C2633" s="59">
        <v>-0.22</v>
      </c>
      <c r="D2633" s="59">
        <v>0.06</v>
      </c>
      <c r="E2633" s="60">
        <f t="shared" si="41"/>
        <v>1.1599999999999999</v>
      </c>
      <c r="F2633" t="str" cm="1">
        <f t="array" ref="F2633">IF(A2633=MAX(IF(ROUND($B$2:$B$3722,4)=ROUND(B2633,4),$A$2:$A$3722)),"Efficient","Inefficient")</f>
        <v>Inefficient</v>
      </c>
    </row>
    <row r="2634" spans="1:6" x14ac:dyDescent="0.25">
      <c r="A2634" cm="1">
        <f t="array" ref="A2634">INDEX('Portfolio Weights Returns'!$B$9:$BJ$69,
INT((ROW(A2633)-1)/COLUMNS('Portfolio Weights Returns'!$B$9:$BJ$69))+1,MOD(ROW(A2633)-1,COLUMNS('Portfolio Weights Returns'!$B$9:$BJ$69))+1)</f>
        <v>-8.5125380156670619E-4</v>
      </c>
      <c r="B2634">
        <v>2.1899999999999999E-2</v>
      </c>
      <c r="C2634" s="59">
        <v>-0.23</v>
      </c>
      <c r="D2634" s="59">
        <v>0.08</v>
      </c>
      <c r="E2634" s="60">
        <f t="shared" si="41"/>
        <v>1.1500000000000001</v>
      </c>
      <c r="F2634" t="str" cm="1">
        <f t="array" ref="F2634">IF(A2634=MAX(IF(ROUND($B$2:$B$3722,4)=ROUND(B2634,4),$A$2:$A$3722)),"Efficient","Inefficient")</f>
        <v>Inefficient</v>
      </c>
    </row>
    <row r="2635" spans="1:6" x14ac:dyDescent="0.25">
      <c r="A2635" cm="1">
        <f t="array" ref="A2635">INDEX('Portfolio Weights Returns'!$B$9:$BJ$69,
INT((ROW(A2634)-1)/COLUMNS('Portfolio Weights Returns'!$B$9:$BJ$69))+1,MOD(ROW(A2634)-1,COLUMNS('Portfolio Weights Returns'!$B$9:$BJ$69))+1)</f>
        <v>-8.4447262760002683E-4</v>
      </c>
      <c r="B2635">
        <v>2.1899999999999999E-2</v>
      </c>
      <c r="C2635" s="59">
        <v>-0.24</v>
      </c>
      <c r="D2635" s="59">
        <v>0.09</v>
      </c>
      <c r="E2635" s="60">
        <f t="shared" si="41"/>
        <v>1.1499999999999999</v>
      </c>
      <c r="F2635" t="str" cm="1">
        <f t="array" ref="F2635">IF(A2635=MAX(IF(ROUND($B$2:$B$3722,4)=ROUND(B2635,4),$A$2:$A$3722)),"Efficient","Inefficient")</f>
        <v>Inefficient</v>
      </c>
    </row>
    <row r="2636" spans="1:6" x14ac:dyDescent="0.25">
      <c r="A2636" cm="1">
        <f t="array" ref="A2636">INDEX('Portfolio Weights Returns'!$B$9:$BJ$69,
INT((ROW(A2635)-1)/COLUMNS('Portfolio Weights Returns'!$B$9:$BJ$69))+1,MOD(ROW(A2635)-1,COLUMNS('Portfolio Weights Returns'!$B$9:$BJ$69))+1)</f>
        <v>-8.376914536333479E-4</v>
      </c>
      <c r="B2636">
        <v>2.1899999999999999E-2</v>
      </c>
      <c r="C2636" s="59">
        <v>-0.24</v>
      </c>
      <c r="D2636" s="59">
        <v>0.1</v>
      </c>
      <c r="E2636" s="60">
        <f t="shared" si="41"/>
        <v>1.1400000000000001</v>
      </c>
      <c r="F2636" t="str" cm="1">
        <f t="array" ref="F2636">IF(A2636=MAX(IF(ROUND($B$2:$B$3722,4)=ROUND(B2636,4),$A$2:$A$3722)),"Efficient","Inefficient")</f>
        <v>Inefficient</v>
      </c>
    </row>
    <row r="2637" spans="1:6" x14ac:dyDescent="0.25">
      <c r="A2637" cm="1">
        <f t="array" ref="A2637">INDEX('Portfolio Weights Returns'!$B$9:$BJ$69,
INT((ROW(A2636)-1)/COLUMNS('Portfolio Weights Returns'!$B$9:$BJ$69))+1,MOD(ROW(A2636)-1,COLUMNS('Portfolio Weights Returns'!$B$9:$BJ$69))+1)</f>
        <v>-8.3091027966666865E-4</v>
      </c>
      <c r="B2637">
        <v>2.1899999999999999E-2</v>
      </c>
      <c r="C2637" s="59">
        <v>-0.25</v>
      </c>
      <c r="D2637" s="59">
        <v>0.11</v>
      </c>
      <c r="E2637" s="60">
        <f t="shared" si="41"/>
        <v>1.1400000000000001</v>
      </c>
      <c r="F2637" t="str" cm="1">
        <f t="array" ref="F2637">IF(A2637=MAX(IF(ROUND($B$2:$B$3722,4)=ROUND(B2637,4),$A$2:$A$3722)),"Efficient","Inefficient")</f>
        <v>Inefficient</v>
      </c>
    </row>
    <row r="2638" spans="1:6" x14ac:dyDescent="0.25">
      <c r="A2638" cm="1">
        <f t="array" ref="A2638">INDEX('Portfolio Weights Returns'!$B$9:$BJ$69,
INT((ROW(A2637)-1)/COLUMNS('Portfolio Weights Returns'!$B$9:$BJ$69))+1,MOD(ROW(A2637)-1,COLUMNS('Portfolio Weights Returns'!$B$9:$BJ$69))+1)</f>
        <v>-8.2412910569998972E-4</v>
      </c>
      <c r="B2638">
        <v>2.1899999999999999E-2</v>
      </c>
      <c r="C2638" s="59">
        <v>-0.25</v>
      </c>
      <c r="D2638" s="59">
        <v>0.12</v>
      </c>
      <c r="E2638" s="60">
        <f t="shared" si="41"/>
        <v>1.1299999999999999</v>
      </c>
      <c r="F2638" t="str" cm="1">
        <f t="array" ref="F2638">IF(A2638=MAX(IF(ROUND($B$2:$B$3722,4)=ROUND(B2638,4),$A$2:$A$3722)),"Efficient","Inefficient")</f>
        <v>Inefficient</v>
      </c>
    </row>
    <row r="2639" spans="1:6" x14ac:dyDescent="0.25">
      <c r="A2639" cm="1">
        <f t="array" ref="A2639">INDEX('Portfolio Weights Returns'!$B$9:$BJ$69,
INT((ROW(A2638)-1)/COLUMNS('Portfolio Weights Returns'!$B$9:$BJ$69))+1,MOD(ROW(A2638)-1,COLUMNS('Portfolio Weights Returns'!$B$9:$BJ$69))+1)</f>
        <v>-8.1734793173331047E-4</v>
      </c>
      <c r="B2639">
        <v>2.1899999999999999E-2</v>
      </c>
      <c r="C2639" s="59">
        <v>-0.26</v>
      </c>
      <c r="D2639" s="59">
        <v>0.14000000000000001</v>
      </c>
      <c r="E2639" s="60">
        <f t="shared" si="41"/>
        <v>1.1200000000000001</v>
      </c>
      <c r="F2639" t="str" cm="1">
        <f t="array" ref="F2639">IF(A2639=MAX(IF(ROUND($B$2:$B$3722,4)=ROUND(B2639,4),$A$2:$A$3722)),"Efficient","Inefficient")</f>
        <v>Inefficient</v>
      </c>
    </row>
    <row r="2640" spans="1:6" x14ac:dyDescent="0.25">
      <c r="A2640" cm="1">
        <f t="array" ref="A2640">INDEX('Portfolio Weights Returns'!$B$9:$BJ$69,
INT((ROW(A2639)-1)/COLUMNS('Portfolio Weights Returns'!$B$9:$BJ$69))+1,MOD(ROW(A2639)-1,COLUMNS('Portfolio Weights Returns'!$B$9:$BJ$69))+1)</f>
        <v>-8.1056675776663143E-4</v>
      </c>
      <c r="B2640">
        <v>2.1899999999999999E-2</v>
      </c>
      <c r="C2640" s="59">
        <v>-0.26</v>
      </c>
      <c r="D2640" s="59">
        <v>0.15</v>
      </c>
      <c r="E2640" s="60">
        <f t="shared" si="41"/>
        <v>1.1099999999999999</v>
      </c>
      <c r="F2640" t="str" cm="1">
        <f t="array" ref="F2640">IF(A2640=MAX(IF(ROUND($B$2:$B$3722,4)=ROUND(B2640,4),$A$2:$A$3722)),"Efficient","Inefficient")</f>
        <v>Inefficient</v>
      </c>
    </row>
    <row r="2641" spans="1:6" x14ac:dyDescent="0.25">
      <c r="A2641" cm="1">
        <f t="array" ref="A2641">INDEX('Portfolio Weights Returns'!$B$9:$BJ$69,
INT((ROW(A2640)-1)/COLUMNS('Portfolio Weights Returns'!$B$9:$BJ$69))+1,MOD(ROW(A2640)-1,COLUMNS('Portfolio Weights Returns'!$B$9:$BJ$69))+1)</f>
        <v>-8.0378558379995261E-4</v>
      </c>
      <c r="B2641">
        <v>2.1899999999999999E-2</v>
      </c>
      <c r="C2641" s="59">
        <v>-0.27</v>
      </c>
      <c r="D2641" s="59">
        <v>0.17</v>
      </c>
      <c r="E2641" s="60">
        <f t="shared" si="41"/>
        <v>1.1000000000000001</v>
      </c>
      <c r="F2641" t="str" cm="1">
        <f t="array" ref="F2641">IF(A2641=MAX(IF(ROUND($B$2:$B$3722,4)=ROUND(B2641,4),$A$2:$A$3722)),"Efficient","Inefficient")</f>
        <v>Inefficient</v>
      </c>
    </row>
    <row r="2642" spans="1:6" x14ac:dyDescent="0.25">
      <c r="A2642" cm="1">
        <f t="array" ref="A2642">INDEX('Portfolio Weights Returns'!$B$9:$BJ$69,
INT((ROW(A2641)-1)/COLUMNS('Portfolio Weights Returns'!$B$9:$BJ$69))+1,MOD(ROW(A2641)-1,COLUMNS('Portfolio Weights Returns'!$B$9:$BJ$69))+1)</f>
        <v>-7.9700440983327314E-4</v>
      </c>
      <c r="B2642">
        <v>2.1899999999999999E-2</v>
      </c>
      <c r="C2642" s="59">
        <v>-0.27</v>
      </c>
      <c r="D2642" s="59">
        <v>0.18</v>
      </c>
      <c r="E2642" s="60">
        <f t="shared" si="41"/>
        <v>1.0900000000000001</v>
      </c>
      <c r="F2642" t="str" cm="1">
        <f t="array" ref="F2642">IF(A2642=MAX(IF(ROUND($B$2:$B$3722,4)=ROUND(B2642,4),$A$2:$A$3722)),"Efficient","Inefficient")</f>
        <v>Inefficient</v>
      </c>
    </row>
    <row r="2643" spans="1:6" x14ac:dyDescent="0.25">
      <c r="A2643" cm="1">
        <f t="array" ref="A2643">INDEX('Portfolio Weights Returns'!$B$9:$BJ$69,
INT((ROW(A2642)-1)/COLUMNS('Portfolio Weights Returns'!$B$9:$BJ$69))+1,MOD(ROW(A2642)-1,COLUMNS('Portfolio Weights Returns'!$B$9:$BJ$69))+1)</f>
        <v>-7.9022323586659432E-4</v>
      </c>
      <c r="B2643">
        <v>2.1899999999999999E-2</v>
      </c>
      <c r="C2643" s="59">
        <v>-0.27</v>
      </c>
      <c r="D2643" s="59">
        <v>0.19</v>
      </c>
      <c r="E2643" s="60">
        <f t="shared" si="41"/>
        <v>1.08</v>
      </c>
      <c r="F2643" t="str" cm="1">
        <f t="array" ref="F2643">IF(A2643=MAX(IF(ROUND($B$2:$B$3722,4)=ROUND(B2643,4),$A$2:$A$3722)),"Efficient","Inefficient")</f>
        <v>Inefficient</v>
      </c>
    </row>
    <row r="2644" spans="1:6" x14ac:dyDescent="0.25">
      <c r="A2644" cm="1">
        <f t="array" ref="A2644">INDEX('Portfolio Weights Returns'!$B$9:$BJ$69,
INT((ROW(A2643)-1)/COLUMNS('Portfolio Weights Returns'!$B$9:$BJ$69))+1,MOD(ROW(A2643)-1,COLUMNS('Portfolio Weights Returns'!$B$9:$BJ$69))+1)</f>
        <v>-7.8344206189991518E-4</v>
      </c>
      <c r="B2644">
        <v>2.1899999999999999E-2</v>
      </c>
      <c r="C2644" s="59">
        <v>-0.27</v>
      </c>
      <c r="D2644" s="59">
        <v>0.2</v>
      </c>
      <c r="E2644" s="60">
        <f t="shared" si="41"/>
        <v>1.07</v>
      </c>
      <c r="F2644" t="str" cm="1">
        <f t="array" ref="F2644">IF(A2644=MAX(IF(ROUND($B$2:$B$3722,4)=ROUND(B2644,4),$A$2:$A$3722)),"Efficient","Inefficient")</f>
        <v>Inefficient</v>
      </c>
    </row>
    <row r="2645" spans="1:6" x14ac:dyDescent="0.25">
      <c r="A2645" cm="1">
        <f t="array" ref="A2645">INDEX('Portfolio Weights Returns'!$B$9:$BJ$69,
INT((ROW(A2644)-1)/COLUMNS('Portfolio Weights Returns'!$B$9:$BJ$69))+1,MOD(ROW(A2644)-1,COLUMNS('Portfolio Weights Returns'!$B$9:$BJ$69))+1)</f>
        <v>-7.7666088793323592E-4</v>
      </c>
      <c r="B2645">
        <v>2.1899999999999999E-2</v>
      </c>
      <c r="C2645" s="59">
        <v>-0.27</v>
      </c>
      <c r="D2645" s="59">
        <v>0.25</v>
      </c>
      <c r="E2645" s="60">
        <f t="shared" si="41"/>
        <v>1.02</v>
      </c>
      <c r="F2645" t="str" cm="1">
        <f t="array" ref="F2645">IF(A2645=MAX(IF(ROUND($B$2:$B$3722,4)=ROUND(B2645,4),$A$2:$A$3722)),"Efficient","Inefficient")</f>
        <v>Inefficient</v>
      </c>
    </row>
    <row r="2646" spans="1:6" x14ac:dyDescent="0.25">
      <c r="A2646" cm="1">
        <f t="array" ref="A2646">INDEX('Portfolio Weights Returns'!$B$9:$BJ$69,
INT((ROW(A2645)-1)/COLUMNS('Portfolio Weights Returns'!$B$9:$BJ$69))+1,MOD(ROW(A2645)-1,COLUMNS('Portfolio Weights Returns'!$B$9:$BJ$69))+1)</f>
        <v>-7.6987971396655689E-4</v>
      </c>
      <c r="B2646">
        <v>2.1899999999999999E-2</v>
      </c>
      <c r="C2646" s="59">
        <v>-0.27</v>
      </c>
      <c r="D2646" s="59">
        <v>0.26</v>
      </c>
      <c r="E2646" s="60">
        <f t="shared" si="41"/>
        <v>1.01</v>
      </c>
      <c r="F2646" t="str" cm="1">
        <f t="array" ref="F2646">IF(A2646=MAX(IF(ROUND($B$2:$B$3722,4)=ROUND(B2646,4),$A$2:$A$3722)),"Efficient","Inefficient")</f>
        <v>Inefficient</v>
      </c>
    </row>
    <row r="2647" spans="1:6" x14ac:dyDescent="0.25">
      <c r="A2647" cm="1">
        <f t="array" ref="A2647">INDEX('Portfolio Weights Returns'!$B$9:$BJ$69,
INT((ROW(A2646)-1)/COLUMNS('Portfolio Weights Returns'!$B$9:$BJ$69))+1,MOD(ROW(A2646)-1,COLUMNS('Portfolio Weights Returns'!$B$9:$BJ$69))+1)</f>
        <v>-7.6309853999987774E-4</v>
      </c>
      <c r="B2647">
        <v>2.1899999999999999E-2</v>
      </c>
      <c r="C2647" s="59">
        <v>-0.27</v>
      </c>
      <c r="D2647" s="59">
        <v>0.27</v>
      </c>
      <c r="E2647" s="60">
        <f t="shared" si="41"/>
        <v>1</v>
      </c>
      <c r="F2647" t="str" cm="1">
        <f t="array" ref="F2647">IF(A2647=MAX(IF(ROUND($B$2:$B$3722,4)=ROUND(B2647,4),$A$2:$A$3722)),"Efficient","Inefficient")</f>
        <v>Inefficient</v>
      </c>
    </row>
    <row r="2648" spans="1:6" x14ac:dyDescent="0.25">
      <c r="A2648" cm="1">
        <f t="array" ref="A2648">INDEX('Portfolio Weights Returns'!$B$9:$BJ$69,
INT((ROW(A2647)-1)/COLUMNS('Portfolio Weights Returns'!$B$9:$BJ$69))+1,MOD(ROW(A2647)-1,COLUMNS('Portfolio Weights Returns'!$B$9:$BJ$69))+1)</f>
        <v>-7.5631736603319871E-4</v>
      </c>
      <c r="B2648">
        <v>2.1899999999999999E-2</v>
      </c>
      <c r="C2648" s="59">
        <v>-0.27</v>
      </c>
      <c r="D2648" s="59">
        <v>0.28000000000000003</v>
      </c>
      <c r="E2648" s="60">
        <f t="shared" si="41"/>
        <v>0.99</v>
      </c>
      <c r="F2648" t="str" cm="1">
        <f t="array" ref="F2648">IF(A2648=MAX(IF(ROUND($B$2:$B$3722,4)=ROUND(B2648,4),$A$2:$A$3722)),"Efficient","Inefficient")</f>
        <v>Inefficient</v>
      </c>
    </row>
    <row r="2649" spans="1:6" x14ac:dyDescent="0.25">
      <c r="A2649" cm="1">
        <f t="array" ref="A2649">INDEX('Portfolio Weights Returns'!$B$9:$BJ$69,
INT((ROW(A2648)-1)/COLUMNS('Portfolio Weights Returns'!$B$9:$BJ$69))+1,MOD(ROW(A2648)-1,COLUMNS('Portfolio Weights Returns'!$B$9:$BJ$69))+1)</f>
        <v>-7.4953619206651956E-4</v>
      </c>
      <c r="B2649">
        <v>2.1899999999999999E-2</v>
      </c>
      <c r="C2649" s="59">
        <v>-0.26</v>
      </c>
      <c r="D2649" s="59">
        <v>0.3</v>
      </c>
      <c r="E2649" s="60">
        <f t="shared" si="41"/>
        <v>0.96</v>
      </c>
      <c r="F2649" t="str" cm="1">
        <f t="array" ref="F2649">IF(A2649=MAX(IF(ROUND($B$2:$B$3722,4)=ROUND(B2649,4),$A$2:$A$3722)),"Efficient","Inefficient")</f>
        <v>Inefficient</v>
      </c>
    </row>
    <row r="2650" spans="1:6" x14ac:dyDescent="0.25">
      <c r="A2650" cm="1">
        <f t="array" ref="A2650">INDEX('Portfolio Weights Returns'!$B$9:$BJ$69,
INT((ROW(A2649)-1)/COLUMNS('Portfolio Weights Returns'!$B$9:$BJ$69))+1,MOD(ROW(A2649)-1,COLUMNS('Portfolio Weights Returns'!$B$9:$BJ$69))+1)</f>
        <v>-7.4275501809984053E-4</v>
      </c>
      <c r="B2650">
        <v>2.1999999999999999E-2</v>
      </c>
      <c r="C2650" s="59">
        <v>0.21</v>
      </c>
      <c r="D2650" s="59">
        <v>-0.3</v>
      </c>
      <c r="E2650" s="60">
        <f t="shared" si="41"/>
        <v>1.0900000000000001</v>
      </c>
      <c r="F2650" t="str" cm="1">
        <f t="array" ref="F2650">IF(A2650=MAX(IF(ROUND($B$2:$B$3722,4)=ROUND(B2650,4),$A$2:$A$3722)),"Efficient","Inefficient")</f>
        <v>Inefficient</v>
      </c>
    </row>
    <row r="2651" spans="1:6" x14ac:dyDescent="0.25">
      <c r="A2651" cm="1">
        <f t="array" ref="A2651">INDEX('Portfolio Weights Returns'!$B$9:$BJ$69,
INT((ROW(A2650)-1)/COLUMNS('Portfolio Weights Returns'!$B$9:$BJ$69))+1,MOD(ROW(A2650)-1,COLUMNS('Portfolio Weights Returns'!$B$9:$BJ$69))+1)</f>
        <v>-7.3597384413316138E-4</v>
      </c>
      <c r="B2651">
        <v>2.1999999999999999E-2</v>
      </c>
      <c r="C2651" s="59">
        <v>0.19</v>
      </c>
      <c r="D2651" s="59">
        <v>-0.28999999999999998</v>
      </c>
      <c r="E2651" s="60">
        <f t="shared" si="41"/>
        <v>1.1000000000000001</v>
      </c>
      <c r="F2651" t="str" cm="1">
        <f t="array" ref="F2651">IF(A2651=MAX(IF(ROUND($B$2:$B$3722,4)=ROUND(B2651,4),$A$2:$A$3722)),"Efficient","Inefficient")</f>
        <v>Inefficient</v>
      </c>
    </row>
    <row r="2652" spans="1:6" x14ac:dyDescent="0.25">
      <c r="A2652" cm="1">
        <f t="array" ref="A2652">INDEX('Portfolio Weights Returns'!$B$9:$BJ$69,
INT((ROW(A2651)-1)/COLUMNS('Portfolio Weights Returns'!$B$9:$BJ$69))+1,MOD(ROW(A2651)-1,COLUMNS('Portfolio Weights Returns'!$B$9:$BJ$69))+1)</f>
        <v>-7.2919267016648224E-4</v>
      </c>
      <c r="B2652">
        <v>2.1999999999999999E-2</v>
      </c>
      <c r="C2652" s="59">
        <v>0.14000000000000001</v>
      </c>
      <c r="D2652" s="59">
        <v>-0.26</v>
      </c>
      <c r="E2652" s="60">
        <f t="shared" si="41"/>
        <v>1.1200000000000001</v>
      </c>
      <c r="F2652" t="str" cm="1">
        <f t="array" ref="F2652">IF(A2652=MAX(IF(ROUND($B$2:$B$3722,4)=ROUND(B2652,4),$A$2:$A$3722)),"Efficient","Inefficient")</f>
        <v>Inefficient</v>
      </c>
    </row>
    <row r="2653" spans="1:6" x14ac:dyDescent="0.25">
      <c r="A2653" cm="1">
        <f t="array" ref="A2653">INDEX('Portfolio Weights Returns'!$B$9:$BJ$69,
INT((ROW(A2652)-1)/COLUMNS('Portfolio Weights Returns'!$B$9:$BJ$69))+1,MOD(ROW(A2652)-1,COLUMNS('Portfolio Weights Returns'!$B$9:$BJ$69))+1)</f>
        <v>-7.2241149619980309E-4</v>
      </c>
      <c r="B2653">
        <v>2.1999999999999999E-2</v>
      </c>
      <c r="C2653" s="59">
        <v>0.12</v>
      </c>
      <c r="D2653" s="59">
        <v>-0.25</v>
      </c>
      <c r="E2653" s="60">
        <f t="shared" si="41"/>
        <v>1.1299999999999999</v>
      </c>
      <c r="F2653" t="str" cm="1">
        <f t="array" ref="F2653">IF(A2653=MAX(IF(ROUND($B$2:$B$3722,4)=ROUND(B2653,4),$A$2:$A$3722)),"Efficient","Inefficient")</f>
        <v>Inefficient</v>
      </c>
    </row>
    <row r="2654" spans="1:6" x14ac:dyDescent="0.25">
      <c r="A2654" cm="1">
        <f t="array" ref="A2654">INDEX('Portfolio Weights Returns'!$B$9:$BJ$69,
INT((ROW(A2653)-1)/COLUMNS('Portfolio Weights Returns'!$B$9:$BJ$69))+1,MOD(ROW(A2653)-1,COLUMNS('Portfolio Weights Returns'!$B$9:$BJ$69))+1)</f>
        <v>-7.1563032223312395E-4</v>
      </c>
      <c r="B2654">
        <v>2.1999999999999999E-2</v>
      </c>
      <c r="C2654" s="59">
        <v>0.09</v>
      </c>
      <c r="D2654" s="59">
        <v>-0.23</v>
      </c>
      <c r="E2654" s="60">
        <f t="shared" si="41"/>
        <v>1.1399999999999999</v>
      </c>
      <c r="F2654" t="str" cm="1">
        <f t="array" ref="F2654">IF(A2654=MAX(IF(ROUND($B$2:$B$3722,4)=ROUND(B2654,4),$A$2:$A$3722)),"Efficient","Inefficient")</f>
        <v>Inefficient</v>
      </c>
    </row>
    <row r="2655" spans="1:6" x14ac:dyDescent="0.25">
      <c r="A2655" cm="1">
        <f t="array" ref="A2655">INDEX('Portfolio Weights Returns'!$B$9:$BJ$69,
INT((ROW(A2654)-1)/COLUMNS('Portfolio Weights Returns'!$B$9:$BJ$69))+1,MOD(ROW(A2654)-1,COLUMNS('Portfolio Weights Returns'!$B$9:$BJ$69))+1)</f>
        <v>-7.0884914826644491E-4</v>
      </c>
      <c r="B2655">
        <v>2.1999999999999999E-2</v>
      </c>
      <c r="C2655" s="59">
        <v>7.0000000000000007E-2</v>
      </c>
      <c r="D2655" s="59">
        <v>-0.22</v>
      </c>
      <c r="E2655" s="60">
        <f t="shared" si="41"/>
        <v>1.1499999999999999</v>
      </c>
      <c r="F2655" t="str" cm="1">
        <f t="array" ref="F2655">IF(A2655=MAX(IF(ROUND($B$2:$B$3722,4)=ROUND(B2655,4),$A$2:$A$3722)),"Efficient","Inefficient")</f>
        <v>Inefficient</v>
      </c>
    </row>
    <row r="2656" spans="1:6" x14ac:dyDescent="0.25">
      <c r="A2656" cm="1">
        <f t="array" ref="A2656">INDEX('Portfolio Weights Returns'!$B$9:$BJ$69,
INT((ROW(A2655)-1)/COLUMNS('Portfolio Weights Returns'!$B$9:$BJ$69))+1,MOD(ROW(A2655)-1,COLUMNS('Portfolio Weights Returns'!$B$9:$BJ$69))+1)</f>
        <v>-7.0206797429976577E-4</v>
      </c>
      <c r="B2656">
        <v>2.1999999999999999E-2</v>
      </c>
      <c r="C2656" s="59">
        <v>0.06</v>
      </c>
      <c r="D2656" s="59">
        <v>-0.21</v>
      </c>
      <c r="E2656" s="60">
        <f t="shared" si="41"/>
        <v>1.1499999999999999</v>
      </c>
      <c r="F2656" t="str" cm="1">
        <f t="array" ref="F2656">IF(A2656=MAX(IF(ROUND($B$2:$B$3722,4)=ROUND(B2656,4),$A$2:$A$3722)),"Efficient","Inefficient")</f>
        <v>Inefficient</v>
      </c>
    </row>
    <row r="2657" spans="1:6" x14ac:dyDescent="0.25">
      <c r="A2657" cm="1">
        <f t="array" ref="A2657">INDEX('Portfolio Weights Returns'!$B$9:$BJ$69,
INT((ROW(A2656)-1)/COLUMNS('Portfolio Weights Returns'!$B$9:$BJ$69))+1,MOD(ROW(A2656)-1,COLUMNS('Portfolio Weights Returns'!$B$9:$BJ$69))+1)</f>
        <v>-6.9528680033308673E-4</v>
      </c>
      <c r="B2657">
        <v>2.1999999999999999E-2</v>
      </c>
      <c r="C2657" s="59">
        <v>0.04</v>
      </c>
      <c r="D2657" s="59">
        <v>-0.2</v>
      </c>
      <c r="E2657" s="60">
        <f t="shared" si="41"/>
        <v>1.1599999999999999</v>
      </c>
      <c r="F2657" t="str" cm="1">
        <f t="array" ref="F2657">IF(A2657=MAX(IF(ROUND($B$2:$B$3722,4)=ROUND(B2657,4),$A$2:$A$3722)),"Efficient","Inefficient")</f>
        <v>Inefficient</v>
      </c>
    </row>
    <row r="2658" spans="1:6" x14ac:dyDescent="0.25">
      <c r="A2658" cm="1">
        <f t="array" ref="A2658">INDEX('Portfolio Weights Returns'!$B$9:$BJ$69,
INT((ROW(A2657)-1)/COLUMNS('Portfolio Weights Returns'!$B$9:$BJ$69))+1,MOD(ROW(A2657)-1,COLUMNS('Portfolio Weights Returns'!$B$9:$BJ$69))+1)</f>
        <v>-6.8850562636640748E-4</v>
      </c>
      <c r="B2658">
        <v>2.1999999999999999E-2</v>
      </c>
      <c r="C2658" s="59">
        <v>0.03</v>
      </c>
      <c r="D2658" s="59">
        <v>-0.19</v>
      </c>
      <c r="E2658" s="60">
        <f t="shared" si="41"/>
        <v>1.1599999999999999</v>
      </c>
      <c r="F2658" t="str" cm="1">
        <f t="array" ref="F2658">IF(A2658=MAX(IF(ROUND($B$2:$B$3722,4)=ROUND(B2658,4),$A$2:$A$3722)),"Efficient","Inefficient")</f>
        <v>Inefficient</v>
      </c>
    </row>
    <row r="2659" spans="1:6" x14ac:dyDescent="0.25">
      <c r="A2659" cm="1">
        <f t="array" ref="A2659">INDEX('Portfolio Weights Returns'!$B$9:$BJ$69,
INT((ROW(A2658)-1)/COLUMNS('Portfolio Weights Returns'!$B$9:$BJ$69))+1,MOD(ROW(A2658)-1,COLUMNS('Portfolio Weights Returns'!$B$9:$BJ$69))+1)</f>
        <v>-6.8172445239972844E-4</v>
      </c>
      <c r="B2659">
        <v>2.1999999999999999E-2</v>
      </c>
      <c r="C2659" s="59">
        <v>0.01</v>
      </c>
      <c r="D2659" s="59">
        <v>-0.18</v>
      </c>
      <c r="E2659" s="60">
        <f t="shared" si="41"/>
        <v>1.17</v>
      </c>
      <c r="F2659" t="str" cm="1">
        <f t="array" ref="F2659">IF(A2659=MAX(IF(ROUND($B$2:$B$3722,4)=ROUND(B2659,4),$A$2:$A$3722)),"Efficient","Inefficient")</f>
        <v>Inefficient</v>
      </c>
    </row>
    <row r="2660" spans="1:6" x14ac:dyDescent="0.25">
      <c r="A2660" cm="1">
        <f t="array" ref="A2660">INDEX('Portfolio Weights Returns'!$B$9:$BJ$69,
INT((ROW(A2659)-1)/COLUMNS('Portfolio Weights Returns'!$B$9:$BJ$69))+1,MOD(ROW(A2659)-1,COLUMNS('Portfolio Weights Returns'!$B$9:$BJ$69))+1)</f>
        <v>-6.749432784330493E-4</v>
      </c>
      <c r="B2660">
        <v>2.1999999999999999E-2</v>
      </c>
      <c r="C2660" s="59">
        <v>0</v>
      </c>
      <c r="D2660" s="59">
        <v>-0.17</v>
      </c>
      <c r="E2660" s="60">
        <f t="shared" si="41"/>
        <v>1.17</v>
      </c>
      <c r="F2660" t="str" cm="1">
        <f t="array" ref="F2660">IF(A2660=MAX(IF(ROUND($B$2:$B$3722,4)=ROUND(B2660,4),$A$2:$A$3722)),"Efficient","Inefficient")</f>
        <v>Inefficient</v>
      </c>
    </row>
    <row r="2661" spans="1:6" x14ac:dyDescent="0.25">
      <c r="A2661" cm="1">
        <f t="array" ref="A2661">INDEX('Portfolio Weights Returns'!$B$9:$BJ$69,
INT((ROW(A2660)-1)/COLUMNS('Portfolio Weights Returns'!$B$9:$BJ$69))+1,MOD(ROW(A2660)-1,COLUMNS('Portfolio Weights Returns'!$B$9:$BJ$69))+1)</f>
        <v>-6.6816210446637026E-4</v>
      </c>
      <c r="B2661">
        <v>2.1999999999999999E-2</v>
      </c>
      <c r="C2661" s="59">
        <v>-0.03</v>
      </c>
      <c r="D2661" s="59">
        <v>-0.15</v>
      </c>
      <c r="E2661" s="60">
        <f t="shared" si="41"/>
        <v>1.18</v>
      </c>
      <c r="F2661" t="str" cm="1">
        <f t="array" ref="F2661">IF(A2661=MAX(IF(ROUND($B$2:$B$3722,4)=ROUND(B2661,4),$A$2:$A$3722)),"Efficient","Inefficient")</f>
        <v>Inefficient</v>
      </c>
    </row>
    <row r="2662" spans="1:6" x14ac:dyDescent="0.25">
      <c r="A2662" cm="1">
        <f t="array" ref="A2662">INDEX('Portfolio Weights Returns'!$B$9:$BJ$69,
INT((ROW(A2661)-1)/COLUMNS('Portfolio Weights Returns'!$B$9:$BJ$69))+1,MOD(ROW(A2661)-1,COLUMNS('Portfolio Weights Returns'!$B$9:$BJ$69))+1)</f>
        <v>-6.6138093049969112E-4</v>
      </c>
      <c r="B2662">
        <v>2.1999999999999999E-2</v>
      </c>
      <c r="C2662" s="59">
        <v>-0.04</v>
      </c>
      <c r="D2662" s="59">
        <v>-0.14000000000000001</v>
      </c>
      <c r="E2662" s="60">
        <f t="shared" si="41"/>
        <v>1.1800000000000002</v>
      </c>
      <c r="F2662" t="str" cm="1">
        <f t="array" ref="F2662">IF(A2662=MAX(IF(ROUND($B$2:$B$3722,4)=ROUND(B2662,4),$A$2:$A$3722)),"Efficient","Inefficient")</f>
        <v>Inefficient</v>
      </c>
    </row>
    <row r="2663" spans="1:6" x14ac:dyDescent="0.25">
      <c r="A2663" cm="1">
        <f t="array" ref="A2663">INDEX('Portfolio Weights Returns'!$B$9:$BJ$69,
INT((ROW(A2662)-1)/COLUMNS('Portfolio Weights Returns'!$B$9:$BJ$69))+1,MOD(ROW(A2662)-1,COLUMNS('Portfolio Weights Returns'!$B$9:$BJ$69))+1)</f>
        <v>-6.5459975653301208E-4</v>
      </c>
      <c r="B2663">
        <v>2.1999999999999999E-2</v>
      </c>
      <c r="C2663" s="59">
        <v>-0.05</v>
      </c>
      <c r="D2663" s="59">
        <v>-0.13</v>
      </c>
      <c r="E2663" s="60">
        <f t="shared" si="41"/>
        <v>1.18</v>
      </c>
      <c r="F2663" t="str" cm="1">
        <f t="array" ref="F2663">IF(A2663=MAX(IF(ROUND($B$2:$B$3722,4)=ROUND(B2663,4),$A$2:$A$3722)),"Efficient","Inefficient")</f>
        <v>Inefficient</v>
      </c>
    </row>
    <row r="2664" spans="1:6" x14ac:dyDescent="0.25">
      <c r="A2664" cm="1">
        <f t="array" ref="A2664">INDEX('Portfolio Weights Returns'!$B$9:$BJ$69,
INT((ROW(A2663)-1)/COLUMNS('Portfolio Weights Returns'!$B$9:$BJ$69))+1,MOD(ROW(A2663)-1,COLUMNS('Portfolio Weights Returns'!$B$9:$BJ$69))+1)</f>
        <v>-6.4781858256633294E-4</v>
      </c>
      <c r="B2664">
        <v>2.1999999999999999E-2</v>
      </c>
      <c r="C2664" s="59">
        <v>-0.09</v>
      </c>
      <c r="D2664" s="59">
        <v>-0.1</v>
      </c>
      <c r="E2664" s="60">
        <f t="shared" si="41"/>
        <v>1.1900000000000002</v>
      </c>
      <c r="F2664" t="str" cm="1">
        <f t="array" ref="F2664">IF(A2664=MAX(IF(ROUND($B$2:$B$3722,4)=ROUND(B2664,4),$A$2:$A$3722)),"Efficient","Inefficient")</f>
        <v>Inefficient</v>
      </c>
    </row>
    <row r="2665" spans="1:6" x14ac:dyDescent="0.25">
      <c r="A2665" cm="1">
        <f t="array" ref="A2665">INDEX('Portfolio Weights Returns'!$B$9:$BJ$69,
INT((ROW(A2664)-1)/COLUMNS('Portfolio Weights Returns'!$B$9:$BJ$69))+1,MOD(ROW(A2664)-1,COLUMNS('Portfolio Weights Returns'!$B$9:$BJ$69))+1)</f>
        <v>-6.4103740859965379E-4</v>
      </c>
      <c r="B2665">
        <v>2.1999999999999999E-2</v>
      </c>
      <c r="C2665" s="59">
        <v>-0.1</v>
      </c>
      <c r="D2665" s="59">
        <v>-0.09</v>
      </c>
      <c r="E2665" s="60">
        <f t="shared" si="41"/>
        <v>1.1900000000000002</v>
      </c>
      <c r="F2665" t="str" cm="1">
        <f t="array" ref="F2665">IF(A2665=MAX(IF(ROUND($B$2:$B$3722,4)=ROUND(B2665,4),$A$2:$A$3722)),"Efficient","Inefficient")</f>
        <v>Inefficient</v>
      </c>
    </row>
    <row r="2666" spans="1:6" x14ac:dyDescent="0.25">
      <c r="A2666" cm="1">
        <f t="array" ref="A2666">INDEX('Portfolio Weights Returns'!$B$9:$BJ$69,
INT((ROW(A2665)-1)/COLUMNS('Portfolio Weights Returns'!$B$9:$BJ$69))+1,MOD(ROW(A2665)-1,COLUMNS('Portfolio Weights Returns'!$B$9:$BJ$69))+1)</f>
        <v>-6.3425623463297476E-4</v>
      </c>
      <c r="B2666">
        <v>2.1999999999999999E-2</v>
      </c>
      <c r="C2666" s="59">
        <v>-0.11</v>
      </c>
      <c r="D2666" s="59">
        <v>-0.08</v>
      </c>
      <c r="E2666" s="60">
        <f t="shared" si="41"/>
        <v>1.1900000000000002</v>
      </c>
      <c r="F2666" t="str" cm="1">
        <f t="array" ref="F2666">IF(A2666=MAX(IF(ROUND($B$2:$B$3722,4)=ROUND(B2666,4),$A$2:$A$3722)),"Efficient","Inefficient")</f>
        <v>Inefficient</v>
      </c>
    </row>
    <row r="2667" spans="1:6" x14ac:dyDescent="0.25">
      <c r="A2667" cm="1">
        <f t="array" ref="A2667">INDEX('Portfolio Weights Returns'!$B$9:$BJ$69,
INT((ROW(A2666)-1)/COLUMNS('Portfolio Weights Returns'!$B$9:$BJ$69))+1,MOD(ROW(A2666)-1,COLUMNS('Portfolio Weights Returns'!$B$9:$BJ$69))+1)</f>
        <v>-6.2747506066629561E-4</v>
      </c>
      <c r="B2667">
        <v>2.1999999999999999E-2</v>
      </c>
      <c r="C2667" s="59">
        <v>-0.12</v>
      </c>
      <c r="D2667" s="59">
        <v>-7.0000000000000007E-2</v>
      </c>
      <c r="E2667" s="60">
        <f t="shared" si="41"/>
        <v>1.19</v>
      </c>
      <c r="F2667" t="str" cm="1">
        <f t="array" ref="F2667">IF(A2667=MAX(IF(ROUND($B$2:$B$3722,4)=ROUND(B2667,4),$A$2:$A$3722)),"Efficient","Inefficient")</f>
        <v>Inefficient</v>
      </c>
    </row>
    <row r="2668" spans="1:6" x14ac:dyDescent="0.25">
      <c r="A2668" cm="1">
        <f t="array" ref="A2668">INDEX('Portfolio Weights Returns'!$B$9:$BJ$69,
INT((ROW(A2667)-1)/COLUMNS('Portfolio Weights Returns'!$B$9:$BJ$69))+1,MOD(ROW(A2667)-1,COLUMNS('Portfolio Weights Returns'!$B$9:$BJ$69))+1)</f>
        <v>-6.2069388669961658E-4</v>
      </c>
      <c r="B2668">
        <v>2.1999999999999999E-2</v>
      </c>
      <c r="C2668" s="59">
        <v>-0.13</v>
      </c>
      <c r="D2668" s="59">
        <v>-0.06</v>
      </c>
      <c r="E2668" s="60">
        <f t="shared" si="41"/>
        <v>1.19</v>
      </c>
      <c r="F2668" t="str" cm="1">
        <f t="array" ref="F2668">IF(A2668=MAX(IF(ROUND($B$2:$B$3722,4)=ROUND(B2668,4),$A$2:$A$3722)),"Efficient","Inefficient")</f>
        <v>Inefficient</v>
      </c>
    </row>
    <row r="2669" spans="1:6" x14ac:dyDescent="0.25">
      <c r="A2669" cm="1">
        <f t="array" ref="A2669">INDEX('Portfolio Weights Returns'!$B$9:$BJ$69,
INT((ROW(A2668)-1)/COLUMNS('Portfolio Weights Returns'!$B$9:$BJ$69))+1,MOD(ROW(A2668)-1,COLUMNS('Portfolio Weights Returns'!$B$9:$BJ$69))+1)</f>
        <v>-6.1391271273293743E-4</v>
      </c>
      <c r="B2669">
        <v>2.1999999999999999E-2</v>
      </c>
      <c r="C2669" s="59">
        <v>-0.14000000000000001</v>
      </c>
      <c r="D2669" s="59">
        <v>-0.05</v>
      </c>
      <c r="E2669" s="60">
        <f t="shared" si="41"/>
        <v>1.19</v>
      </c>
      <c r="F2669" t="str" cm="1">
        <f t="array" ref="F2669">IF(A2669=MAX(IF(ROUND($B$2:$B$3722,4)=ROUND(B2669,4),$A$2:$A$3722)),"Efficient","Inefficient")</f>
        <v>Inefficient</v>
      </c>
    </row>
    <row r="2670" spans="1:6" x14ac:dyDescent="0.25">
      <c r="A2670" cm="1">
        <f t="array" ref="A2670">INDEX('Portfolio Weights Returns'!$B$9:$BJ$69,
INT((ROW(A2669)-1)/COLUMNS('Portfolio Weights Returns'!$B$9:$BJ$69))+1,MOD(ROW(A2669)-1,COLUMNS('Portfolio Weights Returns'!$B$9:$BJ$69))+1)</f>
        <v>-6.071315387662584E-4</v>
      </c>
      <c r="B2670">
        <v>2.1999999999999999E-2</v>
      </c>
      <c r="C2670" s="59">
        <v>-0.15</v>
      </c>
      <c r="D2670" s="59">
        <v>-0.04</v>
      </c>
      <c r="E2670" s="60">
        <f t="shared" si="41"/>
        <v>1.19</v>
      </c>
      <c r="F2670" t="str" cm="1">
        <f t="array" ref="F2670">IF(A2670=MAX(IF(ROUND($B$2:$B$3722,4)=ROUND(B2670,4),$A$2:$A$3722)),"Efficient","Inefficient")</f>
        <v>Inefficient</v>
      </c>
    </row>
    <row r="2671" spans="1:6" x14ac:dyDescent="0.25">
      <c r="A2671" cm="1">
        <f t="array" ref="A2671">INDEX('Portfolio Weights Returns'!$B$9:$BJ$69,
INT((ROW(A2670)-1)/COLUMNS('Portfolio Weights Returns'!$B$9:$BJ$69))+1,MOD(ROW(A2670)-1,COLUMNS('Portfolio Weights Returns'!$B$9:$BJ$69))+1)</f>
        <v>-6.0035036479957915E-4</v>
      </c>
      <c r="B2671">
        <v>2.1999999999999999E-2</v>
      </c>
      <c r="C2671" s="59">
        <v>-0.16</v>
      </c>
      <c r="D2671" s="59">
        <v>-0.03</v>
      </c>
      <c r="E2671" s="60">
        <f t="shared" si="41"/>
        <v>1.19</v>
      </c>
      <c r="F2671" t="str" cm="1">
        <f t="array" ref="F2671">IF(A2671=MAX(IF(ROUND($B$2:$B$3722,4)=ROUND(B2671,4),$A$2:$A$3722)),"Efficient","Inefficient")</f>
        <v>Inefficient</v>
      </c>
    </row>
    <row r="2672" spans="1:6" x14ac:dyDescent="0.25">
      <c r="A2672" cm="1">
        <f t="array" ref="A2672">INDEX('Portfolio Weights Returns'!$B$9:$BJ$69,
INT((ROW(A2671)-1)/COLUMNS('Portfolio Weights Returns'!$B$9:$BJ$69))+1,MOD(ROW(A2671)-1,COLUMNS('Portfolio Weights Returns'!$B$9:$BJ$69))+1)</f>
        <v>-5.9356919083290011E-4</v>
      </c>
      <c r="B2672">
        <v>2.1999999999999999E-2</v>
      </c>
      <c r="C2672" s="59">
        <v>-0.17</v>
      </c>
      <c r="D2672" s="59">
        <v>-0.02</v>
      </c>
      <c r="E2672" s="60">
        <f t="shared" si="41"/>
        <v>1.19</v>
      </c>
      <c r="F2672" t="str" cm="1">
        <f t="array" ref="F2672">IF(A2672=MAX(IF(ROUND($B$2:$B$3722,4)=ROUND(B2672,4),$A$2:$A$3722)),"Efficient","Inefficient")</f>
        <v>Inefficient</v>
      </c>
    </row>
    <row r="2673" spans="1:6" x14ac:dyDescent="0.25">
      <c r="A2673" cm="1">
        <f t="array" ref="A2673">INDEX('Portfolio Weights Returns'!$B$9:$BJ$69,
INT((ROW(A2672)-1)/COLUMNS('Portfolio Weights Returns'!$B$9:$BJ$69))+1,MOD(ROW(A2672)-1,COLUMNS('Portfolio Weights Returns'!$B$9:$BJ$69))+1)</f>
        <v>-5.8678801686622107E-4</v>
      </c>
      <c r="B2673">
        <v>2.1999999999999999E-2</v>
      </c>
      <c r="C2673" s="59">
        <v>-0.19</v>
      </c>
      <c r="D2673" s="59">
        <v>0.01</v>
      </c>
      <c r="E2673" s="60">
        <f t="shared" si="41"/>
        <v>1.18</v>
      </c>
      <c r="F2673" t="str" cm="1">
        <f t="array" ref="F2673">IF(A2673=MAX(IF(ROUND($B$2:$B$3722,4)=ROUND(B2673,4),$A$2:$A$3722)),"Efficient","Inefficient")</f>
        <v>Inefficient</v>
      </c>
    </row>
    <row r="2674" spans="1:6" x14ac:dyDescent="0.25">
      <c r="A2674" cm="1">
        <f t="array" ref="A2674">INDEX('Portfolio Weights Returns'!$B$9:$BJ$69,
INT((ROW(A2673)-1)/COLUMNS('Portfolio Weights Returns'!$B$9:$BJ$69))+1,MOD(ROW(A2673)-1,COLUMNS('Portfolio Weights Returns'!$B$9:$BJ$69))+1)</f>
        <v>-5.8000684289954193E-4</v>
      </c>
      <c r="B2674">
        <v>2.1999999999999999E-2</v>
      </c>
      <c r="C2674" s="59">
        <v>-0.2</v>
      </c>
      <c r="D2674" s="59">
        <v>0.02</v>
      </c>
      <c r="E2674" s="60">
        <f t="shared" si="41"/>
        <v>1.18</v>
      </c>
      <c r="F2674" t="str" cm="1">
        <f t="array" ref="F2674">IF(A2674=MAX(IF(ROUND($B$2:$B$3722,4)=ROUND(B2674,4),$A$2:$A$3722)),"Efficient","Inefficient")</f>
        <v>Inefficient</v>
      </c>
    </row>
    <row r="2675" spans="1:6" x14ac:dyDescent="0.25">
      <c r="A2675" cm="1">
        <f t="array" ref="A2675">INDEX('Portfolio Weights Returns'!$B$9:$BJ$69,
INT((ROW(A2674)-1)/COLUMNS('Portfolio Weights Returns'!$B$9:$BJ$69))+1,MOD(ROW(A2674)-1,COLUMNS('Portfolio Weights Returns'!$B$9:$BJ$69))+1)</f>
        <v>-5.7322566893286289E-4</v>
      </c>
      <c r="B2675">
        <v>2.1999999999999999E-2</v>
      </c>
      <c r="C2675" s="59">
        <v>-0.22</v>
      </c>
      <c r="D2675" s="59">
        <v>0.05</v>
      </c>
      <c r="E2675" s="60">
        <f t="shared" si="41"/>
        <v>1.17</v>
      </c>
      <c r="F2675" t="str" cm="1">
        <f t="array" ref="F2675">IF(A2675=MAX(IF(ROUND($B$2:$B$3722,4)=ROUND(B2675,4),$A$2:$A$3722)),"Efficient","Inefficient")</f>
        <v>Inefficient</v>
      </c>
    </row>
    <row r="2676" spans="1:6" x14ac:dyDescent="0.25">
      <c r="A2676" cm="1">
        <f t="array" ref="A2676">INDEX('Portfolio Weights Returns'!$B$9:$BJ$69,
INT((ROW(A2675)-1)/COLUMNS('Portfolio Weights Returns'!$B$9:$BJ$69))+1,MOD(ROW(A2675)-1,COLUMNS('Portfolio Weights Returns'!$B$9:$BJ$69))+1)</f>
        <v>-5.6644449496618375E-4</v>
      </c>
      <c r="B2676">
        <v>2.1999999999999999E-2</v>
      </c>
      <c r="C2676" s="59">
        <v>-0.23</v>
      </c>
      <c r="D2676" s="59">
        <v>7.0000000000000007E-2</v>
      </c>
      <c r="E2676" s="60">
        <f t="shared" si="41"/>
        <v>1.1599999999999999</v>
      </c>
      <c r="F2676" t="str" cm="1">
        <f t="array" ref="F2676">IF(A2676=MAX(IF(ROUND($B$2:$B$3722,4)=ROUND(B2676,4),$A$2:$A$3722)),"Efficient","Inefficient")</f>
        <v>Inefficient</v>
      </c>
    </row>
    <row r="2677" spans="1:6" x14ac:dyDescent="0.25">
      <c r="A2677" cm="1">
        <f t="array" ref="A2677">INDEX('Portfolio Weights Returns'!$B$9:$BJ$69,
INT((ROW(A2676)-1)/COLUMNS('Portfolio Weights Returns'!$B$9:$BJ$69))+1,MOD(ROW(A2676)-1,COLUMNS('Portfolio Weights Returns'!$B$9:$BJ$69))+1)</f>
        <v>-5.596633209995046E-4</v>
      </c>
      <c r="B2677">
        <v>2.1999999999999999E-2</v>
      </c>
      <c r="C2677" s="59">
        <v>-0.24</v>
      </c>
      <c r="D2677" s="59">
        <v>0.08</v>
      </c>
      <c r="E2677" s="60">
        <f t="shared" si="41"/>
        <v>1.1600000000000001</v>
      </c>
      <c r="F2677" t="str" cm="1">
        <f t="array" ref="F2677">IF(A2677=MAX(IF(ROUND($B$2:$B$3722,4)=ROUND(B2677,4),$A$2:$A$3722)),"Efficient","Inefficient")</f>
        <v>Inefficient</v>
      </c>
    </row>
    <row r="2678" spans="1:6" x14ac:dyDescent="0.25">
      <c r="A2678" cm="1">
        <f t="array" ref="A2678">INDEX('Portfolio Weights Returns'!$B$9:$BJ$69,
INT((ROW(A2677)-1)/COLUMNS('Portfolio Weights Returns'!$B$9:$BJ$69))+1,MOD(ROW(A2677)-1,COLUMNS('Portfolio Weights Returns'!$B$9:$BJ$69))+1)</f>
        <v>-5.5288214703282546E-4</v>
      </c>
      <c r="B2678">
        <v>2.1999999999999999E-2</v>
      </c>
      <c r="C2678" s="59">
        <v>-0.25</v>
      </c>
      <c r="D2678" s="59">
        <v>0.1</v>
      </c>
      <c r="E2678" s="60">
        <f t="shared" si="41"/>
        <v>1.1499999999999999</v>
      </c>
      <c r="F2678" t="str" cm="1">
        <f t="array" ref="F2678">IF(A2678=MAX(IF(ROUND($B$2:$B$3722,4)=ROUND(B2678,4),$A$2:$A$3722)),"Efficient","Inefficient")</f>
        <v>Inefficient</v>
      </c>
    </row>
    <row r="2679" spans="1:6" x14ac:dyDescent="0.25">
      <c r="A2679" cm="1">
        <f t="array" ref="A2679">INDEX('Portfolio Weights Returns'!$B$9:$BJ$69,
INT((ROW(A2678)-1)/COLUMNS('Portfolio Weights Returns'!$B$9:$BJ$69))+1,MOD(ROW(A2678)-1,COLUMNS('Portfolio Weights Returns'!$B$9:$BJ$69))+1)</f>
        <v>-5.4610097306614642E-4</v>
      </c>
      <c r="B2679">
        <v>2.1999999999999999E-2</v>
      </c>
      <c r="C2679" s="59">
        <v>-0.26</v>
      </c>
      <c r="D2679" s="59">
        <v>0.12</v>
      </c>
      <c r="E2679" s="60">
        <f t="shared" si="41"/>
        <v>1.1400000000000001</v>
      </c>
      <c r="F2679" t="str" cm="1">
        <f t="array" ref="F2679">IF(A2679=MAX(IF(ROUND($B$2:$B$3722,4)=ROUND(B2679,4),$A$2:$A$3722)),"Efficient","Inefficient")</f>
        <v>Inefficient</v>
      </c>
    </row>
    <row r="2680" spans="1:6" x14ac:dyDescent="0.25">
      <c r="A2680" cm="1">
        <f t="array" ref="A2680">INDEX('Portfolio Weights Returns'!$B$9:$BJ$69,
INT((ROW(A2679)-1)/COLUMNS('Portfolio Weights Returns'!$B$9:$BJ$69))+1,MOD(ROW(A2679)-1,COLUMNS('Portfolio Weights Returns'!$B$9:$BJ$69))+1)</f>
        <v>-5.3931979909946728E-4</v>
      </c>
      <c r="B2680">
        <v>2.1999999999999999E-2</v>
      </c>
      <c r="C2680" s="59">
        <v>-0.26</v>
      </c>
      <c r="D2680" s="59">
        <v>0.13</v>
      </c>
      <c r="E2680" s="60">
        <f t="shared" si="41"/>
        <v>1.1299999999999999</v>
      </c>
      <c r="F2680" t="str" cm="1">
        <f t="array" ref="F2680">IF(A2680=MAX(IF(ROUND($B$2:$B$3722,4)=ROUND(B2680,4),$A$2:$A$3722)),"Efficient","Inefficient")</f>
        <v>Inefficient</v>
      </c>
    </row>
    <row r="2681" spans="1:6" x14ac:dyDescent="0.25">
      <c r="A2681" cm="1">
        <f t="array" ref="A2681">INDEX('Portfolio Weights Returns'!$B$9:$BJ$69,
INT((ROW(A2680)-1)/COLUMNS('Portfolio Weights Returns'!$B$9:$BJ$69))+1,MOD(ROW(A2680)-1,COLUMNS('Portfolio Weights Returns'!$B$9:$BJ$69))+1)</f>
        <v>-5.3253862513278824E-4</v>
      </c>
      <c r="B2681">
        <v>2.1999999999999999E-2</v>
      </c>
      <c r="C2681" s="59">
        <v>-0.27</v>
      </c>
      <c r="D2681" s="59">
        <v>0.15</v>
      </c>
      <c r="E2681" s="60">
        <f t="shared" si="41"/>
        <v>1.1200000000000001</v>
      </c>
      <c r="F2681" t="str" cm="1">
        <f t="array" ref="F2681">IF(A2681=MAX(IF(ROUND($B$2:$B$3722,4)=ROUND(B2681,4),$A$2:$A$3722)),"Efficient","Inefficient")</f>
        <v>Inefficient</v>
      </c>
    </row>
    <row r="2682" spans="1:6" x14ac:dyDescent="0.25">
      <c r="A2682" cm="1">
        <f t="array" ref="A2682">INDEX('Portfolio Weights Returns'!$B$9:$BJ$69,
INT((ROW(A2681)-1)/COLUMNS('Portfolio Weights Returns'!$B$9:$BJ$69))+1,MOD(ROW(A2681)-1,COLUMNS('Portfolio Weights Returns'!$B$9:$BJ$69))+1)</f>
        <v>-5.2575745116610845E-4</v>
      </c>
      <c r="B2682">
        <v>2.1999999999999999E-2</v>
      </c>
      <c r="C2682" s="59">
        <v>-0.27</v>
      </c>
      <c r="D2682" s="59">
        <v>0.16</v>
      </c>
      <c r="E2682" s="60">
        <f t="shared" si="41"/>
        <v>1.1099999999999999</v>
      </c>
      <c r="F2682" t="str" cm="1">
        <f t="array" ref="F2682">IF(A2682=MAX(IF(ROUND($B$2:$B$3722,4)=ROUND(B2682,4),$A$2:$A$3722)),"Efficient","Inefficient")</f>
        <v>Inefficient</v>
      </c>
    </row>
    <row r="2683" spans="1:6" x14ac:dyDescent="0.25">
      <c r="A2683" cm="1">
        <f t="array" ref="A2683">INDEX('Portfolio Weights Returns'!$B$9:$BJ$69,
INT((ROW(A2682)-1)/COLUMNS('Portfolio Weights Returns'!$B$9:$BJ$69))+1,MOD(ROW(A2682)-1,COLUMNS('Portfolio Weights Returns'!$B$9:$BJ$69))+1)</f>
        <v>-5.189762771994293E-4</v>
      </c>
      <c r="B2683">
        <v>2.1999999999999999E-2</v>
      </c>
      <c r="C2683" s="59">
        <v>-0.28000000000000003</v>
      </c>
      <c r="D2683" s="59">
        <v>0.19</v>
      </c>
      <c r="E2683" s="60">
        <f t="shared" si="41"/>
        <v>1.0900000000000001</v>
      </c>
      <c r="F2683" t="str" cm="1">
        <f t="array" ref="F2683">IF(A2683=MAX(IF(ROUND($B$2:$B$3722,4)=ROUND(B2683,4),$A$2:$A$3722)),"Efficient","Inefficient")</f>
        <v>Inefficient</v>
      </c>
    </row>
    <row r="2684" spans="1:6" x14ac:dyDescent="0.25">
      <c r="A2684" cm="1">
        <f t="array" ref="A2684">INDEX('Portfolio Weights Returns'!$B$9:$BJ$69,
INT((ROW(A2683)-1)/COLUMNS('Portfolio Weights Returns'!$B$9:$BJ$69))+1,MOD(ROW(A2683)-1,COLUMNS('Portfolio Weights Returns'!$B$9:$BJ$69))+1)</f>
        <v>-5.1219510323275027E-4</v>
      </c>
      <c r="B2684">
        <v>2.1999999999999999E-2</v>
      </c>
      <c r="C2684" s="59">
        <v>-0.28000000000000003</v>
      </c>
      <c r="D2684" s="59">
        <v>0.2</v>
      </c>
      <c r="E2684" s="60">
        <f t="shared" si="41"/>
        <v>1.08</v>
      </c>
      <c r="F2684" t="str" cm="1">
        <f t="array" ref="F2684">IF(A2684=MAX(IF(ROUND($B$2:$B$3722,4)=ROUND(B2684,4),$A$2:$A$3722)),"Efficient","Inefficient")</f>
        <v>Inefficient</v>
      </c>
    </row>
    <row r="2685" spans="1:6" x14ac:dyDescent="0.25">
      <c r="A2685" cm="1">
        <f t="array" ref="A2685">INDEX('Portfolio Weights Returns'!$B$9:$BJ$69,
INT((ROW(A2684)-1)/COLUMNS('Portfolio Weights Returns'!$B$9:$BJ$69))+1,MOD(ROW(A2684)-1,COLUMNS('Portfolio Weights Returns'!$B$9:$BJ$69))+1)</f>
        <v>-5.0541392926607112E-4</v>
      </c>
      <c r="B2685">
        <v>2.1999999999999999E-2</v>
      </c>
      <c r="C2685" s="59">
        <v>-0.28000000000000003</v>
      </c>
      <c r="D2685" s="59">
        <v>0.21</v>
      </c>
      <c r="E2685" s="60">
        <f t="shared" si="41"/>
        <v>1.07</v>
      </c>
      <c r="F2685" t="str" cm="1">
        <f t="array" ref="F2685">IF(A2685=MAX(IF(ROUND($B$2:$B$3722,4)=ROUND(B2685,4),$A$2:$A$3722)),"Efficient","Inefficient")</f>
        <v>Efficient</v>
      </c>
    </row>
    <row r="2686" spans="1:6" x14ac:dyDescent="0.25">
      <c r="A2686" cm="1">
        <f t="array" ref="A2686">INDEX('Portfolio Weights Returns'!$B$9:$BJ$69,
INT((ROW(A2685)-1)/COLUMNS('Portfolio Weights Returns'!$B$9:$BJ$69))+1,MOD(ROW(A2685)-1,COLUMNS('Portfolio Weights Returns'!$B$9:$BJ$69))+1)</f>
        <v>-9.0571015942136294E-4</v>
      </c>
      <c r="B2686">
        <v>2.1999999999999999E-2</v>
      </c>
      <c r="C2686" s="59">
        <v>-0.28000000000000003</v>
      </c>
      <c r="D2686" s="59">
        <v>0.22</v>
      </c>
      <c r="E2686" s="60">
        <f t="shared" si="41"/>
        <v>1.06</v>
      </c>
      <c r="F2686" t="str" cm="1">
        <f t="array" ref="F2686">IF(A2686=MAX(IF(ROUND($B$2:$B$3722,4)=ROUND(B2686,4),$A$2:$A$3722)),"Efficient","Inefficient")</f>
        <v>Inefficient</v>
      </c>
    </row>
    <row r="2687" spans="1:6" x14ac:dyDescent="0.25">
      <c r="A2687" cm="1">
        <f t="array" ref="A2687">INDEX('Portfolio Weights Returns'!$B$9:$BJ$69,
INT((ROW(A2686)-1)/COLUMNS('Portfolio Weights Returns'!$B$9:$BJ$69))+1,MOD(ROW(A2686)-1,COLUMNS('Portfolio Weights Returns'!$B$9:$BJ$69))+1)</f>
        <v>-8.9892898545468369E-4</v>
      </c>
      <c r="B2687">
        <v>2.1999999999999999E-2</v>
      </c>
      <c r="C2687" s="59">
        <v>-0.28000000000000003</v>
      </c>
      <c r="D2687" s="59">
        <v>0.23</v>
      </c>
      <c r="E2687" s="60">
        <f t="shared" si="41"/>
        <v>1.05</v>
      </c>
      <c r="F2687" t="str" cm="1">
        <f t="array" ref="F2687">IF(A2687=MAX(IF(ROUND($B$2:$B$3722,4)=ROUND(B2687,4),$A$2:$A$3722)),"Efficient","Inefficient")</f>
        <v>Inefficient</v>
      </c>
    </row>
    <row r="2688" spans="1:6" x14ac:dyDescent="0.25">
      <c r="A2688" cm="1">
        <f t="array" ref="A2688">INDEX('Portfolio Weights Returns'!$B$9:$BJ$69,
INT((ROW(A2687)-1)/COLUMNS('Portfolio Weights Returns'!$B$9:$BJ$69))+1,MOD(ROW(A2687)-1,COLUMNS('Portfolio Weights Returns'!$B$9:$BJ$69))+1)</f>
        <v>-8.9214781148800476E-4</v>
      </c>
      <c r="B2688">
        <v>2.1999999999999999E-2</v>
      </c>
      <c r="C2688" s="59">
        <v>-0.28000000000000003</v>
      </c>
      <c r="D2688" s="59">
        <v>0.24</v>
      </c>
      <c r="E2688" s="60">
        <f t="shared" si="41"/>
        <v>1.04</v>
      </c>
      <c r="F2688" t="str" cm="1">
        <f t="array" ref="F2688">IF(A2688=MAX(IF(ROUND($B$2:$B$3722,4)=ROUND(B2688,4),$A$2:$A$3722)),"Efficient","Inefficient")</f>
        <v>Inefficient</v>
      </c>
    </row>
    <row r="2689" spans="1:6" x14ac:dyDescent="0.25">
      <c r="A2689" cm="1">
        <f t="array" ref="A2689">INDEX('Portfolio Weights Returns'!$B$9:$BJ$69,
INT((ROW(A2688)-1)/COLUMNS('Portfolio Weights Returns'!$B$9:$BJ$69))+1,MOD(ROW(A2688)-1,COLUMNS('Portfolio Weights Returns'!$B$9:$BJ$69))+1)</f>
        <v>-8.853666375213254E-4</v>
      </c>
      <c r="B2689">
        <v>2.1999999999999999E-2</v>
      </c>
      <c r="C2689" s="59">
        <v>-0.28000000000000003</v>
      </c>
      <c r="D2689" s="59">
        <v>0.25</v>
      </c>
      <c r="E2689" s="60">
        <f t="shared" si="41"/>
        <v>1.03</v>
      </c>
      <c r="F2689" t="str" cm="1">
        <f t="array" ref="F2689">IF(A2689=MAX(IF(ROUND($B$2:$B$3722,4)=ROUND(B2689,4),$A$2:$A$3722)),"Efficient","Inefficient")</f>
        <v>Inefficient</v>
      </c>
    </row>
    <row r="2690" spans="1:6" x14ac:dyDescent="0.25">
      <c r="A2690" cm="1">
        <f t="array" ref="A2690">INDEX('Portfolio Weights Returns'!$B$9:$BJ$69,
INT((ROW(A2689)-1)/COLUMNS('Portfolio Weights Returns'!$B$9:$BJ$69))+1,MOD(ROW(A2689)-1,COLUMNS('Portfolio Weights Returns'!$B$9:$BJ$69))+1)</f>
        <v>-8.7858546355464658E-4</v>
      </c>
      <c r="B2690">
        <v>2.1999999999999999E-2</v>
      </c>
      <c r="C2690" s="59">
        <v>-0.28000000000000003</v>
      </c>
      <c r="D2690" s="59">
        <v>0.26</v>
      </c>
      <c r="E2690" s="60">
        <f t="shared" ref="E2690:E2753" si="42">1-D2690-C2690</f>
        <v>1.02</v>
      </c>
      <c r="F2690" t="str" cm="1">
        <f t="array" ref="F2690">IF(A2690=MAX(IF(ROUND($B$2:$B$3722,4)=ROUND(B2690,4),$A$2:$A$3722)),"Efficient","Inefficient")</f>
        <v>Inefficient</v>
      </c>
    </row>
    <row r="2691" spans="1:6" x14ac:dyDescent="0.25">
      <c r="A2691" cm="1">
        <f t="array" ref="A2691">INDEX('Portfolio Weights Returns'!$B$9:$BJ$69,
INT((ROW(A2690)-1)/COLUMNS('Portfolio Weights Returns'!$B$9:$BJ$69))+1,MOD(ROW(A2690)-1,COLUMNS('Portfolio Weights Returns'!$B$9:$BJ$69))+1)</f>
        <v>-8.7180428958796722E-4</v>
      </c>
      <c r="B2691">
        <v>2.1999999999999999E-2</v>
      </c>
      <c r="C2691" s="59">
        <v>-0.28000000000000003</v>
      </c>
      <c r="D2691" s="59">
        <v>0.27</v>
      </c>
      <c r="E2691" s="60">
        <f t="shared" si="42"/>
        <v>1.01</v>
      </c>
      <c r="F2691" t="str" cm="1">
        <f t="array" ref="F2691">IF(A2691=MAX(IF(ROUND($B$2:$B$3722,4)=ROUND(B2691,4),$A$2:$A$3722)),"Efficient","Inefficient")</f>
        <v>Inefficient</v>
      </c>
    </row>
    <row r="2692" spans="1:6" x14ac:dyDescent="0.25">
      <c r="A2692" cm="1">
        <f t="array" ref="A2692">INDEX('Portfolio Weights Returns'!$B$9:$BJ$69,
INT((ROW(A2691)-1)/COLUMNS('Portfolio Weights Returns'!$B$9:$BJ$69))+1,MOD(ROW(A2691)-1,COLUMNS('Portfolio Weights Returns'!$B$9:$BJ$69))+1)</f>
        <v>-8.6502311562128829E-4</v>
      </c>
      <c r="B2692">
        <v>2.1999999999999999E-2</v>
      </c>
      <c r="C2692" s="59">
        <v>-0.27</v>
      </c>
      <c r="D2692" s="59">
        <v>0.28999999999999998</v>
      </c>
      <c r="E2692" s="60">
        <f t="shared" si="42"/>
        <v>0.98</v>
      </c>
      <c r="F2692" t="str" cm="1">
        <f t="array" ref="F2692">IF(A2692=MAX(IF(ROUND($B$2:$B$3722,4)=ROUND(B2692,4),$A$2:$A$3722)),"Efficient","Inefficient")</f>
        <v>Inefficient</v>
      </c>
    </row>
    <row r="2693" spans="1:6" x14ac:dyDescent="0.25">
      <c r="A2693" cm="1">
        <f t="array" ref="A2693">INDEX('Portfolio Weights Returns'!$B$9:$BJ$69,
INT((ROW(A2692)-1)/COLUMNS('Portfolio Weights Returns'!$B$9:$BJ$69))+1,MOD(ROW(A2692)-1,COLUMNS('Portfolio Weights Returns'!$B$9:$BJ$69))+1)</f>
        <v>-8.5824194165460904E-4</v>
      </c>
      <c r="B2693">
        <v>2.1999999999999999E-2</v>
      </c>
      <c r="C2693" s="59">
        <v>-0.27</v>
      </c>
      <c r="D2693" s="59">
        <v>0.3</v>
      </c>
      <c r="E2693" s="60">
        <f t="shared" si="42"/>
        <v>0.97</v>
      </c>
      <c r="F2693" t="str" cm="1">
        <f t="array" ref="F2693">IF(A2693=MAX(IF(ROUND($B$2:$B$3722,4)=ROUND(B2693,4),$A$2:$A$3722)),"Efficient","Inefficient")</f>
        <v>Inefficient</v>
      </c>
    </row>
    <row r="2694" spans="1:6" x14ac:dyDescent="0.25">
      <c r="A2694" cm="1">
        <f t="array" ref="A2694">INDEX('Portfolio Weights Returns'!$B$9:$BJ$69,
INT((ROW(A2693)-1)/COLUMNS('Portfolio Weights Returns'!$B$9:$BJ$69))+1,MOD(ROW(A2693)-1,COLUMNS('Portfolio Weights Returns'!$B$9:$BJ$69))+1)</f>
        <v>-8.5146076768793E-4</v>
      </c>
      <c r="B2694">
        <v>2.2100000000000002E-2</v>
      </c>
      <c r="C2694" s="59">
        <v>0.17</v>
      </c>
      <c r="D2694" s="59">
        <v>-0.28000000000000003</v>
      </c>
      <c r="E2694" s="60">
        <f t="shared" si="42"/>
        <v>1.1100000000000001</v>
      </c>
      <c r="F2694" t="str" cm="1">
        <f t="array" ref="F2694">IF(A2694=MAX(IF(ROUND($B$2:$B$3722,4)=ROUND(B2694,4),$A$2:$A$3722)),"Efficient","Inefficient")</f>
        <v>Inefficient</v>
      </c>
    </row>
    <row r="2695" spans="1:6" x14ac:dyDescent="0.25">
      <c r="A2695" cm="1">
        <f t="array" ref="A2695">INDEX('Portfolio Weights Returns'!$B$9:$BJ$69,
INT((ROW(A2694)-1)/COLUMNS('Portfolio Weights Returns'!$B$9:$BJ$69))+1,MOD(ROW(A2694)-1,COLUMNS('Portfolio Weights Returns'!$B$9:$BJ$69))+1)</f>
        <v>-8.4467959372125075E-4</v>
      </c>
      <c r="B2695">
        <v>2.2100000000000002E-2</v>
      </c>
      <c r="C2695" s="59">
        <v>0.15</v>
      </c>
      <c r="D2695" s="59">
        <v>-0.27</v>
      </c>
      <c r="E2695" s="60">
        <f t="shared" si="42"/>
        <v>1.1200000000000001</v>
      </c>
      <c r="F2695" t="str" cm="1">
        <f t="array" ref="F2695">IF(A2695=MAX(IF(ROUND($B$2:$B$3722,4)=ROUND(B2695,4),$A$2:$A$3722)),"Efficient","Inefficient")</f>
        <v>Inefficient</v>
      </c>
    </row>
    <row r="2696" spans="1:6" x14ac:dyDescent="0.25">
      <c r="A2696" cm="1">
        <f t="array" ref="A2696">INDEX('Portfolio Weights Returns'!$B$9:$BJ$69,
INT((ROW(A2695)-1)/COLUMNS('Portfolio Weights Returns'!$B$9:$BJ$69))+1,MOD(ROW(A2695)-1,COLUMNS('Portfolio Weights Returns'!$B$9:$BJ$69))+1)</f>
        <v>-8.3789841975457182E-4</v>
      </c>
      <c r="B2696">
        <v>2.2100000000000002E-2</v>
      </c>
      <c r="C2696" s="59">
        <v>0.13</v>
      </c>
      <c r="D2696" s="59">
        <v>-0.26</v>
      </c>
      <c r="E2696" s="60">
        <f t="shared" si="42"/>
        <v>1.1299999999999999</v>
      </c>
      <c r="F2696" t="str" cm="1">
        <f t="array" ref="F2696">IF(A2696=MAX(IF(ROUND($B$2:$B$3722,4)=ROUND(B2696,4),$A$2:$A$3722)),"Efficient","Inefficient")</f>
        <v>Inefficient</v>
      </c>
    </row>
    <row r="2697" spans="1:6" x14ac:dyDescent="0.25">
      <c r="A2697" cm="1">
        <f t="array" ref="A2697">INDEX('Portfolio Weights Returns'!$B$9:$BJ$69,
INT((ROW(A2696)-1)/COLUMNS('Portfolio Weights Returns'!$B$9:$BJ$69))+1,MOD(ROW(A2696)-1,COLUMNS('Portfolio Weights Returns'!$B$9:$BJ$69))+1)</f>
        <v>-8.3111724578789257E-4</v>
      </c>
      <c r="B2697">
        <v>2.2100000000000002E-2</v>
      </c>
      <c r="C2697" s="59">
        <v>0.1</v>
      </c>
      <c r="D2697" s="59">
        <v>-0.24</v>
      </c>
      <c r="E2697" s="60">
        <f t="shared" si="42"/>
        <v>1.1399999999999999</v>
      </c>
      <c r="F2697" t="str" cm="1">
        <f t="array" ref="F2697">IF(A2697=MAX(IF(ROUND($B$2:$B$3722,4)=ROUND(B2697,4),$A$2:$A$3722)),"Efficient","Inefficient")</f>
        <v>Inefficient</v>
      </c>
    </row>
    <row r="2698" spans="1:6" x14ac:dyDescent="0.25">
      <c r="A2698" cm="1">
        <f t="array" ref="A2698">INDEX('Portfolio Weights Returns'!$B$9:$BJ$69,
INT((ROW(A2697)-1)/COLUMNS('Portfolio Weights Returns'!$B$9:$BJ$69))+1,MOD(ROW(A2697)-1,COLUMNS('Portfolio Weights Returns'!$B$9:$BJ$69))+1)</f>
        <v>-8.2433607182121364E-4</v>
      </c>
      <c r="B2698">
        <v>2.2100000000000002E-2</v>
      </c>
      <c r="C2698" s="59">
        <v>0.08</v>
      </c>
      <c r="D2698" s="59">
        <v>-0.23</v>
      </c>
      <c r="E2698" s="60">
        <f t="shared" si="42"/>
        <v>1.1499999999999999</v>
      </c>
      <c r="F2698" t="str" cm="1">
        <f t="array" ref="F2698">IF(A2698=MAX(IF(ROUND($B$2:$B$3722,4)=ROUND(B2698,4),$A$2:$A$3722)),"Efficient","Inefficient")</f>
        <v>Inefficient</v>
      </c>
    </row>
    <row r="2699" spans="1:6" x14ac:dyDescent="0.25">
      <c r="A2699" cm="1">
        <f t="array" ref="A2699">INDEX('Portfolio Weights Returns'!$B$9:$BJ$69,
INT((ROW(A2698)-1)/COLUMNS('Portfolio Weights Returns'!$B$9:$BJ$69))+1,MOD(ROW(A2698)-1,COLUMNS('Portfolio Weights Returns'!$B$9:$BJ$69))+1)</f>
        <v>-8.1755489785453439E-4</v>
      </c>
      <c r="B2699">
        <v>2.2100000000000002E-2</v>
      </c>
      <c r="C2699" s="59">
        <v>0.05</v>
      </c>
      <c r="D2699" s="59">
        <v>-0.21</v>
      </c>
      <c r="E2699" s="60">
        <f t="shared" si="42"/>
        <v>1.1599999999999999</v>
      </c>
      <c r="F2699" t="str" cm="1">
        <f t="array" ref="F2699">IF(A2699=MAX(IF(ROUND($B$2:$B$3722,4)=ROUND(B2699,4),$A$2:$A$3722)),"Efficient","Inefficient")</f>
        <v>Inefficient</v>
      </c>
    </row>
    <row r="2700" spans="1:6" x14ac:dyDescent="0.25">
      <c r="A2700" cm="1">
        <f t="array" ref="A2700">INDEX('Portfolio Weights Returns'!$B$9:$BJ$69,
INT((ROW(A2699)-1)/COLUMNS('Portfolio Weights Returns'!$B$9:$BJ$69))+1,MOD(ROW(A2699)-1,COLUMNS('Portfolio Weights Returns'!$B$9:$BJ$69))+1)</f>
        <v>-8.1077372388785535E-4</v>
      </c>
      <c r="B2700">
        <v>2.2100000000000002E-2</v>
      </c>
      <c r="C2700" s="59">
        <v>0.02</v>
      </c>
      <c r="D2700" s="59">
        <v>-0.19</v>
      </c>
      <c r="E2700" s="60">
        <f t="shared" si="42"/>
        <v>1.17</v>
      </c>
      <c r="F2700" t="str" cm="1">
        <f t="array" ref="F2700">IF(A2700=MAX(IF(ROUND($B$2:$B$3722,4)=ROUND(B2700,4),$A$2:$A$3722)),"Efficient","Inefficient")</f>
        <v>Inefficient</v>
      </c>
    </row>
    <row r="2701" spans="1:6" x14ac:dyDescent="0.25">
      <c r="A2701" cm="1">
        <f t="array" ref="A2701">INDEX('Portfolio Weights Returns'!$B$9:$BJ$69,
INT((ROW(A2700)-1)/COLUMNS('Portfolio Weights Returns'!$B$9:$BJ$69))+1,MOD(ROW(A2700)-1,COLUMNS('Portfolio Weights Returns'!$B$9:$BJ$69))+1)</f>
        <v>-8.0399254992117621E-4</v>
      </c>
      <c r="B2701">
        <v>2.2100000000000002E-2</v>
      </c>
      <c r="C2701" s="59">
        <v>-0.01</v>
      </c>
      <c r="D2701" s="59">
        <v>-0.17</v>
      </c>
      <c r="E2701" s="60">
        <f t="shared" si="42"/>
        <v>1.18</v>
      </c>
      <c r="F2701" t="str" cm="1">
        <f t="array" ref="F2701">IF(A2701=MAX(IF(ROUND($B$2:$B$3722,4)=ROUND(B2701,4),$A$2:$A$3722)),"Efficient","Inefficient")</f>
        <v>Inefficient</v>
      </c>
    </row>
    <row r="2702" spans="1:6" x14ac:dyDescent="0.25">
      <c r="A2702" cm="1">
        <f t="array" ref="A2702">INDEX('Portfolio Weights Returns'!$B$9:$BJ$69,
INT((ROW(A2701)-1)/COLUMNS('Portfolio Weights Returns'!$B$9:$BJ$69))+1,MOD(ROW(A2701)-1,COLUMNS('Portfolio Weights Returns'!$B$9:$BJ$69))+1)</f>
        <v>-7.9721137595449717E-4</v>
      </c>
      <c r="B2702">
        <v>2.2100000000000002E-2</v>
      </c>
      <c r="C2702" s="59">
        <v>-0.02</v>
      </c>
      <c r="D2702" s="59">
        <v>-0.16</v>
      </c>
      <c r="E2702" s="60">
        <f t="shared" si="42"/>
        <v>1.18</v>
      </c>
      <c r="F2702" t="str" cm="1">
        <f t="array" ref="F2702">IF(A2702=MAX(IF(ROUND($B$2:$B$3722,4)=ROUND(B2702,4),$A$2:$A$3722)),"Efficient","Inefficient")</f>
        <v>Inefficient</v>
      </c>
    </row>
    <row r="2703" spans="1:6" x14ac:dyDescent="0.25">
      <c r="A2703" cm="1">
        <f t="array" ref="A2703">INDEX('Portfolio Weights Returns'!$B$9:$BJ$69,
INT((ROW(A2702)-1)/COLUMNS('Portfolio Weights Returns'!$B$9:$BJ$69))+1,MOD(ROW(A2702)-1,COLUMNS('Portfolio Weights Returns'!$B$9:$BJ$69))+1)</f>
        <v>-7.9043020198781792E-4</v>
      </c>
      <c r="B2703">
        <v>2.2100000000000002E-2</v>
      </c>
      <c r="C2703" s="59">
        <v>-0.06</v>
      </c>
      <c r="D2703" s="59">
        <v>-0.13</v>
      </c>
      <c r="E2703" s="60">
        <f t="shared" si="42"/>
        <v>1.19</v>
      </c>
      <c r="F2703" t="str" cm="1">
        <f t="array" ref="F2703">IF(A2703=MAX(IF(ROUND($B$2:$B$3722,4)=ROUND(B2703,4),$A$2:$A$3722)),"Efficient","Inefficient")</f>
        <v>Inefficient</v>
      </c>
    </row>
    <row r="2704" spans="1:6" x14ac:dyDescent="0.25">
      <c r="A2704" cm="1">
        <f t="array" ref="A2704">INDEX('Portfolio Weights Returns'!$B$9:$BJ$69,
INT((ROW(A2703)-1)/COLUMNS('Portfolio Weights Returns'!$B$9:$BJ$69))+1,MOD(ROW(A2703)-1,COLUMNS('Portfolio Weights Returns'!$B$9:$BJ$69))+1)</f>
        <v>-7.836490280211391E-4</v>
      </c>
      <c r="B2704">
        <v>2.2100000000000002E-2</v>
      </c>
      <c r="C2704" s="59">
        <v>-7.0000000000000007E-2</v>
      </c>
      <c r="D2704" s="59">
        <v>-0.12</v>
      </c>
      <c r="E2704" s="60">
        <f t="shared" si="42"/>
        <v>1.1900000000000002</v>
      </c>
      <c r="F2704" t="str" cm="1">
        <f t="array" ref="F2704">IF(A2704=MAX(IF(ROUND($B$2:$B$3722,4)=ROUND(B2704,4),$A$2:$A$3722)),"Efficient","Inefficient")</f>
        <v>Inefficient</v>
      </c>
    </row>
    <row r="2705" spans="1:6" x14ac:dyDescent="0.25">
      <c r="A2705" cm="1">
        <f t="array" ref="A2705">INDEX('Portfolio Weights Returns'!$B$9:$BJ$69,
INT((ROW(A2704)-1)/COLUMNS('Portfolio Weights Returns'!$B$9:$BJ$69))+1,MOD(ROW(A2704)-1,COLUMNS('Portfolio Weights Returns'!$B$9:$BJ$69))+1)</f>
        <v>-7.7686785405445984E-4</v>
      </c>
      <c r="B2705">
        <v>2.2100000000000002E-2</v>
      </c>
      <c r="C2705" s="59">
        <v>-0.08</v>
      </c>
      <c r="D2705" s="59">
        <v>-0.11</v>
      </c>
      <c r="E2705" s="60">
        <f t="shared" si="42"/>
        <v>1.1900000000000002</v>
      </c>
      <c r="F2705" t="str" cm="1">
        <f t="array" ref="F2705">IF(A2705=MAX(IF(ROUND($B$2:$B$3722,4)=ROUND(B2705,4),$A$2:$A$3722)),"Efficient","Inefficient")</f>
        <v>Inefficient</v>
      </c>
    </row>
    <row r="2706" spans="1:6" x14ac:dyDescent="0.25">
      <c r="A2706" cm="1">
        <f t="array" ref="A2706">INDEX('Portfolio Weights Returns'!$B$9:$BJ$69,
INT((ROW(A2705)-1)/COLUMNS('Portfolio Weights Returns'!$B$9:$BJ$69))+1,MOD(ROW(A2705)-1,COLUMNS('Portfolio Weights Returns'!$B$9:$BJ$69))+1)</f>
        <v>-7.7008668008778081E-4</v>
      </c>
      <c r="B2706">
        <v>2.2100000000000002E-2</v>
      </c>
      <c r="C2706" s="59">
        <v>-0.18</v>
      </c>
      <c r="D2706" s="59">
        <v>-0.01</v>
      </c>
      <c r="E2706" s="60">
        <f t="shared" si="42"/>
        <v>1.19</v>
      </c>
      <c r="F2706" t="str" cm="1">
        <f t="array" ref="F2706">IF(A2706=MAX(IF(ROUND($B$2:$B$3722,4)=ROUND(B2706,4),$A$2:$A$3722)),"Efficient","Inefficient")</f>
        <v>Inefficient</v>
      </c>
    </row>
    <row r="2707" spans="1:6" x14ac:dyDescent="0.25">
      <c r="A2707" cm="1">
        <f t="array" ref="A2707">INDEX('Portfolio Weights Returns'!$B$9:$BJ$69,
INT((ROW(A2706)-1)/COLUMNS('Portfolio Weights Returns'!$B$9:$BJ$69))+1,MOD(ROW(A2706)-1,COLUMNS('Portfolio Weights Returns'!$B$9:$BJ$69))+1)</f>
        <v>-7.6330550612110166E-4</v>
      </c>
      <c r="B2707">
        <v>2.2100000000000002E-2</v>
      </c>
      <c r="C2707" s="59">
        <v>-0.19</v>
      </c>
      <c r="D2707" s="59">
        <v>0</v>
      </c>
      <c r="E2707" s="60">
        <f t="shared" si="42"/>
        <v>1.19</v>
      </c>
      <c r="F2707" t="str" cm="1">
        <f t="array" ref="F2707">IF(A2707=MAX(IF(ROUND($B$2:$B$3722,4)=ROUND(B2707,4),$A$2:$A$3722)),"Efficient","Inefficient")</f>
        <v>Inefficient</v>
      </c>
    </row>
    <row r="2708" spans="1:6" x14ac:dyDescent="0.25">
      <c r="A2708" cm="1">
        <f t="array" ref="A2708">INDEX('Portfolio Weights Returns'!$B$9:$BJ$69,
INT((ROW(A2707)-1)/COLUMNS('Portfolio Weights Returns'!$B$9:$BJ$69))+1,MOD(ROW(A2707)-1,COLUMNS('Portfolio Weights Returns'!$B$9:$BJ$69))+1)</f>
        <v>-7.5652433215442263E-4</v>
      </c>
      <c r="B2708">
        <v>2.2100000000000002E-2</v>
      </c>
      <c r="C2708" s="59">
        <v>-0.2</v>
      </c>
      <c r="D2708" s="59">
        <v>0.01</v>
      </c>
      <c r="E2708" s="60">
        <f t="shared" si="42"/>
        <v>1.19</v>
      </c>
      <c r="F2708" t="str" cm="1">
        <f t="array" ref="F2708">IF(A2708=MAX(IF(ROUND($B$2:$B$3722,4)=ROUND(B2708,4),$A$2:$A$3722)),"Efficient","Inefficient")</f>
        <v>Inefficient</v>
      </c>
    </row>
    <row r="2709" spans="1:6" x14ac:dyDescent="0.25">
      <c r="A2709" cm="1">
        <f t="array" ref="A2709">INDEX('Portfolio Weights Returns'!$B$9:$BJ$69,
INT((ROW(A2708)-1)/COLUMNS('Portfolio Weights Returns'!$B$9:$BJ$69))+1,MOD(ROW(A2708)-1,COLUMNS('Portfolio Weights Returns'!$B$9:$BJ$69))+1)</f>
        <v>-7.4974315818774348E-4</v>
      </c>
      <c r="B2709">
        <v>2.2100000000000002E-2</v>
      </c>
      <c r="C2709" s="59">
        <v>-0.21</v>
      </c>
      <c r="D2709" s="59">
        <v>0.03</v>
      </c>
      <c r="E2709" s="60">
        <f t="shared" si="42"/>
        <v>1.18</v>
      </c>
      <c r="F2709" t="str" cm="1">
        <f t="array" ref="F2709">IF(A2709=MAX(IF(ROUND($B$2:$B$3722,4)=ROUND(B2709,4),$A$2:$A$3722)),"Efficient","Inefficient")</f>
        <v>Inefficient</v>
      </c>
    </row>
    <row r="2710" spans="1:6" x14ac:dyDescent="0.25">
      <c r="A2710" cm="1">
        <f t="array" ref="A2710">INDEX('Portfolio Weights Returns'!$B$9:$BJ$69,
INT((ROW(A2709)-1)/COLUMNS('Portfolio Weights Returns'!$B$9:$BJ$69))+1,MOD(ROW(A2709)-1,COLUMNS('Portfolio Weights Returns'!$B$9:$BJ$69))+1)</f>
        <v>-7.4296198422106445E-4</v>
      </c>
      <c r="B2710">
        <v>2.2100000000000002E-2</v>
      </c>
      <c r="C2710" s="59">
        <v>-0.22</v>
      </c>
      <c r="D2710" s="59">
        <v>0.04</v>
      </c>
      <c r="E2710" s="60">
        <f t="shared" si="42"/>
        <v>1.18</v>
      </c>
      <c r="F2710" t="str" cm="1">
        <f t="array" ref="F2710">IF(A2710=MAX(IF(ROUND($B$2:$B$3722,4)=ROUND(B2710,4),$A$2:$A$3722)),"Efficient","Inefficient")</f>
        <v>Inefficient</v>
      </c>
    </row>
    <row r="2711" spans="1:6" x14ac:dyDescent="0.25">
      <c r="A2711" cm="1">
        <f t="array" ref="A2711">INDEX('Portfolio Weights Returns'!$B$9:$BJ$69,
INT((ROW(A2710)-1)/COLUMNS('Portfolio Weights Returns'!$B$9:$BJ$69))+1,MOD(ROW(A2710)-1,COLUMNS('Portfolio Weights Returns'!$B$9:$BJ$69))+1)</f>
        <v>-7.361808102543853E-4</v>
      </c>
      <c r="B2711">
        <v>2.2100000000000002E-2</v>
      </c>
      <c r="C2711" s="59">
        <v>-0.23</v>
      </c>
      <c r="D2711" s="59">
        <v>0.06</v>
      </c>
      <c r="E2711" s="60">
        <f t="shared" si="42"/>
        <v>1.17</v>
      </c>
      <c r="F2711" t="str" cm="1">
        <f t="array" ref="F2711">IF(A2711=MAX(IF(ROUND($B$2:$B$3722,4)=ROUND(B2711,4),$A$2:$A$3722)),"Efficient","Inefficient")</f>
        <v>Inefficient</v>
      </c>
    </row>
    <row r="2712" spans="1:6" x14ac:dyDescent="0.25">
      <c r="A2712" cm="1">
        <f t="array" ref="A2712">INDEX('Portfolio Weights Returns'!$B$9:$BJ$69,
INT((ROW(A2711)-1)/COLUMNS('Portfolio Weights Returns'!$B$9:$BJ$69))+1,MOD(ROW(A2711)-1,COLUMNS('Portfolio Weights Returns'!$B$9:$BJ$69))+1)</f>
        <v>-7.2939963628770616E-4</v>
      </c>
      <c r="B2712">
        <v>2.2100000000000002E-2</v>
      </c>
      <c r="C2712" s="59">
        <v>-0.24</v>
      </c>
      <c r="D2712" s="59">
        <v>7.0000000000000007E-2</v>
      </c>
      <c r="E2712" s="60">
        <f t="shared" si="42"/>
        <v>1.17</v>
      </c>
      <c r="F2712" t="str" cm="1">
        <f t="array" ref="F2712">IF(A2712=MAX(IF(ROUND($B$2:$B$3722,4)=ROUND(B2712,4),$A$2:$A$3722)),"Efficient","Inefficient")</f>
        <v>Inefficient</v>
      </c>
    </row>
    <row r="2713" spans="1:6" x14ac:dyDescent="0.25">
      <c r="A2713" cm="1">
        <f t="array" ref="A2713">INDEX('Portfolio Weights Returns'!$B$9:$BJ$69,
INT((ROW(A2712)-1)/COLUMNS('Portfolio Weights Returns'!$B$9:$BJ$69))+1,MOD(ROW(A2712)-1,COLUMNS('Portfolio Weights Returns'!$B$9:$BJ$69))+1)</f>
        <v>-7.2261846232102701E-4</v>
      </c>
      <c r="B2713">
        <v>2.2100000000000002E-2</v>
      </c>
      <c r="C2713" s="59">
        <v>-0.25</v>
      </c>
      <c r="D2713" s="59">
        <v>0.09</v>
      </c>
      <c r="E2713" s="60">
        <f t="shared" si="42"/>
        <v>1.1600000000000001</v>
      </c>
      <c r="F2713" t="str" cm="1">
        <f t="array" ref="F2713">IF(A2713=MAX(IF(ROUND($B$2:$B$3722,4)=ROUND(B2713,4),$A$2:$A$3722)),"Efficient","Inefficient")</f>
        <v>Inefficient</v>
      </c>
    </row>
    <row r="2714" spans="1:6" x14ac:dyDescent="0.25">
      <c r="A2714" cm="1">
        <f t="array" ref="A2714">INDEX('Portfolio Weights Returns'!$B$9:$BJ$69,
INT((ROW(A2713)-1)/COLUMNS('Portfolio Weights Returns'!$B$9:$BJ$69))+1,MOD(ROW(A2713)-1,COLUMNS('Portfolio Weights Returns'!$B$9:$BJ$69))+1)</f>
        <v>-7.1583728835434787E-4</v>
      </c>
      <c r="B2714">
        <v>2.2100000000000002E-2</v>
      </c>
      <c r="C2714" s="59">
        <v>-0.26</v>
      </c>
      <c r="D2714" s="59">
        <v>0.11</v>
      </c>
      <c r="E2714" s="60">
        <f t="shared" si="42"/>
        <v>1.1499999999999999</v>
      </c>
      <c r="F2714" t="str" cm="1">
        <f t="array" ref="F2714">IF(A2714=MAX(IF(ROUND($B$2:$B$3722,4)=ROUND(B2714,4),$A$2:$A$3722)),"Efficient","Inefficient")</f>
        <v>Inefficient</v>
      </c>
    </row>
    <row r="2715" spans="1:6" x14ac:dyDescent="0.25">
      <c r="A2715" cm="1">
        <f t="array" ref="A2715">INDEX('Portfolio Weights Returns'!$B$9:$BJ$69,
INT((ROW(A2714)-1)/COLUMNS('Portfolio Weights Returns'!$B$9:$BJ$69))+1,MOD(ROW(A2714)-1,COLUMNS('Portfolio Weights Returns'!$B$9:$BJ$69))+1)</f>
        <v>-7.0905611438766883E-4</v>
      </c>
      <c r="B2715">
        <v>2.2100000000000002E-2</v>
      </c>
      <c r="C2715" s="59">
        <v>-0.27</v>
      </c>
      <c r="D2715" s="59">
        <v>0.13</v>
      </c>
      <c r="E2715" s="60">
        <f t="shared" si="42"/>
        <v>1.1400000000000001</v>
      </c>
      <c r="F2715" t="str" cm="1">
        <f t="array" ref="F2715">IF(A2715=MAX(IF(ROUND($B$2:$B$3722,4)=ROUND(B2715,4),$A$2:$A$3722)),"Efficient","Inefficient")</f>
        <v>Inefficient</v>
      </c>
    </row>
    <row r="2716" spans="1:6" x14ac:dyDescent="0.25">
      <c r="A2716" cm="1">
        <f t="array" ref="A2716">INDEX('Portfolio Weights Returns'!$B$9:$BJ$69,
INT((ROW(A2715)-1)/COLUMNS('Portfolio Weights Returns'!$B$9:$BJ$69))+1,MOD(ROW(A2715)-1,COLUMNS('Portfolio Weights Returns'!$B$9:$BJ$69))+1)</f>
        <v>-7.0227494042098969E-4</v>
      </c>
      <c r="B2716">
        <v>2.2100000000000002E-2</v>
      </c>
      <c r="C2716" s="59">
        <v>-0.27</v>
      </c>
      <c r="D2716" s="59">
        <v>0.14000000000000001</v>
      </c>
      <c r="E2716" s="60">
        <f t="shared" si="42"/>
        <v>1.1299999999999999</v>
      </c>
      <c r="F2716" t="str" cm="1">
        <f t="array" ref="F2716">IF(A2716=MAX(IF(ROUND($B$2:$B$3722,4)=ROUND(B2716,4),$A$2:$A$3722)),"Efficient","Inefficient")</f>
        <v>Inefficient</v>
      </c>
    </row>
    <row r="2717" spans="1:6" x14ac:dyDescent="0.25">
      <c r="A2717" cm="1">
        <f t="array" ref="A2717">INDEX('Portfolio Weights Returns'!$B$9:$BJ$69,
INT((ROW(A2716)-1)/COLUMNS('Portfolio Weights Returns'!$B$9:$BJ$69))+1,MOD(ROW(A2716)-1,COLUMNS('Portfolio Weights Returns'!$B$9:$BJ$69))+1)</f>
        <v>-6.9549376645431065E-4</v>
      </c>
      <c r="B2717">
        <v>2.2100000000000002E-2</v>
      </c>
      <c r="C2717" s="59">
        <v>-0.28000000000000003</v>
      </c>
      <c r="D2717" s="59">
        <v>0.16</v>
      </c>
      <c r="E2717" s="60">
        <f t="shared" si="42"/>
        <v>1.1200000000000001</v>
      </c>
      <c r="F2717" t="str" cm="1">
        <f t="array" ref="F2717">IF(A2717=MAX(IF(ROUND($B$2:$B$3722,4)=ROUND(B2717,4),$A$2:$A$3722)),"Efficient","Inefficient")</f>
        <v>Inefficient</v>
      </c>
    </row>
    <row r="2718" spans="1:6" x14ac:dyDescent="0.25">
      <c r="A2718" cm="1">
        <f t="array" ref="A2718">INDEX('Portfolio Weights Returns'!$B$9:$BJ$69,
INT((ROW(A2717)-1)/COLUMNS('Portfolio Weights Returns'!$B$9:$BJ$69))+1,MOD(ROW(A2717)-1,COLUMNS('Portfolio Weights Returns'!$B$9:$BJ$69))+1)</f>
        <v>-6.887125924876314E-4</v>
      </c>
      <c r="B2718">
        <v>2.2100000000000002E-2</v>
      </c>
      <c r="C2718" s="59">
        <v>-0.28000000000000003</v>
      </c>
      <c r="D2718" s="59">
        <v>0.17</v>
      </c>
      <c r="E2718" s="60">
        <f t="shared" si="42"/>
        <v>1.1099999999999999</v>
      </c>
      <c r="F2718" t="str" cm="1">
        <f t="array" ref="F2718">IF(A2718=MAX(IF(ROUND($B$2:$B$3722,4)=ROUND(B2718,4),$A$2:$A$3722)),"Efficient","Inefficient")</f>
        <v>Inefficient</v>
      </c>
    </row>
    <row r="2719" spans="1:6" x14ac:dyDescent="0.25">
      <c r="A2719" cm="1">
        <f t="array" ref="A2719">INDEX('Portfolio Weights Returns'!$B$9:$BJ$69,
INT((ROW(A2718)-1)/COLUMNS('Portfolio Weights Returns'!$B$9:$BJ$69))+1,MOD(ROW(A2718)-1,COLUMNS('Portfolio Weights Returns'!$B$9:$BJ$69))+1)</f>
        <v>-6.8193141852095236E-4</v>
      </c>
      <c r="B2719">
        <v>2.2100000000000002E-2</v>
      </c>
      <c r="C2719" s="59">
        <v>-0.28000000000000003</v>
      </c>
      <c r="D2719" s="59">
        <v>0.18</v>
      </c>
      <c r="E2719" s="60">
        <f t="shared" si="42"/>
        <v>1.1000000000000001</v>
      </c>
      <c r="F2719" t="str" cm="1">
        <f t="array" ref="F2719">IF(A2719=MAX(IF(ROUND($B$2:$B$3722,4)=ROUND(B2719,4),$A$2:$A$3722)),"Efficient","Inefficient")</f>
        <v>Inefficient</v>
      </c>
    </row>
    <row r="2720" spans="1:6" x14ac:dyDescent="0.25">
      <c r="A2720" cm="1">
        <f t="array" ref="A2720">INDEX('Portfolio Weights Returns'!$B$9:$BJ$69,
INT((ROW(A2719)-1)/COLUMNS('Portfolio Weights Returns'!$B$9:$BJ$69))+1,MOD(ROW(A2719)-1,COLUMNS('Portfolio Weights Returns'!$B$9:$BJ$69))+1)</f>
        <v>-6.7515024455427322E-4</v>
      </c>
      <c r="B2720">
        <v>2.2100000000000002E-2</v>
      </c>
      <c r="C2720" s="59">
        <v>-0.28999999999999998</v>
      </c>
      <c r="D2720" s="59">
        <v>0.21</v>
      </c>
      <c r="E2720" s="60">
        <f t="shared" si="42"/>
        <v>1.08</v>
      </c>
      <c r="F2720" t="str" cm="1">
        <f t="array" ref="F2720">IF(A2720=MAX(IF(ROUND($B$2:$B$3722,4)=ROUND(B2720,4),$A$2:$A$3722)),"Efficient","Inefficient")</f>
        <v>Inefficient</v>
      </c>
    </row>
    <row r="2721" spans="1:6" x14ac:dyDescent="0.25">
      <c r="A2721" cm="1">
        <f t="array" ref="A2721">INDEX('Portfolio Weights Returns'!$B$9:$BJ$69,
INT((ROW(A2720)-1)/COLUMNS('Portfolio Weights Returns'!$B$9:$BJ$69))+1,MOD(ROW(A2720)-1,COLUMNS('Portfolio Weights Returns'!$B$9:$BJ$69))+1)</f>
        <v>-6.6836907058759418E-4</v>
      </c>
      <c r="B2721">
        <v>2.2100000000000002E-2</v>
      </c>
      <c r="C2721" s="59">
        <v>-0.28999999999999998</v>
      </c>
      <c r="D2721" s="59">
        <v>0.22</v>
      </c>
      <c r="E2721" s="60">
        <f t="shared" si="42"/>
        <v>1.07</v>
      </c>
      <c r="F2721" t="str" cm="1">
        <f t="array" ref="F2721">IF(A2721=MAX(IF(ROUND($B$2:$B$3722,4)=ROUND(B2721,4),$A$2:$A$3722)),"Efficient","Inefficient")</f>
        <v>Inefficient</v>
      </c>
    </row>
    <row r="2722" spans="1:6" x14ac:dyDescent="0.25">
      <c r="A2722" cm="1">
        <f t="array" ref="A2722">INDEX('Portfolio Weights Returns'!$B$9:$BJ$69,
INT((ROW(A2721)-1)/COLUMNS('Portfolio Weights Returns'!$B$9:$BJ$69))+1,MOD(ROW(A2721)-1,COLUMNS('Portfolio Weights Returns'!$B$9:$BJ$69))+1)</f>
        <v>-6.6158789662091504E-4</v>
      </c>
      <c r="B2722">
        <v>2.2100000000000002E-2</v>
      </c>
      <c r="C2722" s="59">
        <v>-0.28999999999999998</v>
      </c>
      <c r="D2722" s="59">
        <v>0.23</v>
      </c>
      <c r="E2722" s="60">
        <f t="shared" si="42"/>
        <v>1.06</v>
      </c>
      <c r="F2722" t="str" cm="1">
        <f t="array" ref="F2722">IF(A2722=MAX(IF(ROUND($B$2:$B$3722,4)=ROUND(B2722,4),$A$2:$A$3722)),"Efficient","Inefficient")</f>
        <v>Inefficient</v>
      </c>
    </row>
    <row r="2723" spans="1:6" x14ac:dyDescent="0.25">
      <c r="A2723" cm="1">
        <f t="array" ref="A2723">INDEX('Portfolio Weights Returns'!$B$9:$BJ$69,
INT((ROW(A2722)-1)/COLUMNS('Portfolio Weights Returns'!$B$9:$BJ$69))+1,MOD(ROW(A2722)-1,COLUMNS('Portfolio Weights Returns'!$B$9:$BJ$69))+1)</f>
        <v>-6.548067226542359E-4</v>
      </c>
      <c r="B2723">
        <v>2.2100000000000002E-2</v>
      </c>
      <c r="C2723" s="59">
        <v>-0.28999999999999998</v>
      </c>
      <c r="D2723" s="59">
        <v>0.24</v>
      </c>
      <c r="E2723" s="60">
        <f t="shared" si="42"/>
        <v>1.05</v>
      </c>
      <c r="F2723" t="str" cm="1">
        <f t="array" ref="F2723">IF(A2723=MAX(IF(ROUND($B$2:$B$3722,4)=ROUND(B2723,4),$A$2:$A$3722)),"Efficient","Inefficient")</f>
        <v>Inefficient</v>
      </c>
    </row>
    <row r="2724" spans="1:6" x14ac:dyDescent="0.25">
      <c r="A2724" cm="1">
        <f t="array" ref="A2724">INDEX('Portfolio Weights Returns'!$B$9:$BJ$69,
INT((ROW(A2723)-1)/COLUMNS('Portfolio Weights Returns'!$B$9:$BJ$69))+1,MOD(ROW(A2723)-1,COLUMNS('Portfolio Weights Returns'!$B$9:$BJ$69))+1)</f>
        <v>-6.4802554868755686E-4</v>
      </c>
      <c r="B2724">
        <v>2.2100000000000002E-2</v>
      </c>
      <c r="C2724" s="59">
        <v>-0.28999999999999998</v>
      </c>
      <c r="D2724" s="59">
        <v>0.25</v>
      </c>
      <c r="E2724" s="60">
        <f t="shared" si="42"/>
        <v>1.04</v>
      </c>
      <c r="F2724" t="str" cm="1">
        <f t="array" ref="F2724">IF(A2724=MAX(IF(ROUND($B$2:$B$3722,4)=ROUND(B2724,4),$A$2:$A$3722)),"Efficient","Inefficient")</f>
        <v>Inefficient</v>
      </c>
    </row>
    <row r="2725" spans="1:6" x14ac:dyDescent="0.25">
      <c r="A2725" cm="1">
        <f t="array" ref="A2725">INDEX('Portfolio Weights Returns'!$B$9:$BJ$69,
INT((ROW(A2724)-1)/COLUMNS('Portfolio Weights Returns'!$B$9:$BJ$69))+1,MOD(ROW(A2724)-1,COLUMNS('Portfolio Weights Returns'!$B$9:$BJ$69))+1)</f>
        <v>-6.4124437472087771E-4</v>
      </c>
      <c r="B2725">
        <v>2.2100000000000002E-2</v>
      </c>
      <c r="C2725" s="59">
        <v>-0.28000000000000003</v>
      </c>
      <c r="D2725" s="59">
        <v>0.28000000000000003</v>
      </c>
      <c r="E2725" s="60">
        <f t="shared" si="42"/>
        <v>1</v>
      </c>
      <c r="F2725" t="str" cm="1">
        <f t="array" ref="F2725">IF(A2725=MAX(IF(ROUND($B$2:$B$3722,4)=ROUND(B2725,4),$A$2:$A$3722)),"Efficient","Inefficient")</f>
        <v>Inefficient</v>
      </c>
    </row>
    <row r="2726" spans="1:6" x14ac:dyDescent="0.25">
      <c r="A2726" cm="1">
        <f t="array" ref="A2726">INDEX('Portfolio Weights Returns'!$B$9:$BJ$69,
INT((ROW(A2725)-1)/COLUMNS('Portfolio Weights Returns'!$B$9:$BJ$69))+1,MOD(ROW(A2725)-1,COLUMNS('Portfolio Weights Returns'!$B$9:$BJ$69))+1)</f>
        <v>-6.3446320075419868E-4</v>
      </c>
      <c r="B2726">
        <v>2.2100000000000002E-2</v>
      </c>
      <c r="C2726" s="59">
        <v>-0.28000000000000003</v>
      </c>
      <c r="D2726" s="59">
        <v>0.28999999999999998</v>
      </c>
      <c r="E2726" s="60">
        <f t="shared" si="42"/>
        <v>0.99</v>
      </c>
      <c r="F2726" t="str" cm="1">
        <f t="array" ref="F2726">IF(A2726=MAX(IF(ROUND($B$2:$B$3722,4)=ROUND(B2726,4),$A$2:$A$3722)),"Efficient","Inefficient")</f>
        <v>Efficient</v>
      </c>
    </row>
    <row r="2727" spans="1:6" x14ac:dyDescent="0.25">
      <c r="A2727" cm="1">
        <f t="array" ref="A2727">INDEX('Portfolio Weights Returns'!$B$9:$BJ$69,
INT((ROW(A2726)-1)/COLUMNS('Portfolio Weights Returns'!$B$9:$BJ$69))+1,MOD(ROW(A2726)-1,COLUMNS('Portfolio Weights Returns'!$B$9:$BJ$69))+1)</f>
        <v>-6.2768202678751953E-4</v>
      </c>
      <c r="B2727">
        <v>2.2200000000000001E-2</v>
      </c>
      <c r="C2727" s="59">
        <v>0.2</v>
      </c>
      <c r="D2727" s="59">
        <v>-0.3</v>
      </c>
      <c r="E2727" s="60">
        <f t="shared" si="42"/>
        <v>1.1000000000000001</v>
      </c>
      <c r="F2727" t="str" cm="1">
        <f t="array" ref="F2727">IF(A2727=MAX(IF(ROUND($B$2:$B$3722,4)=ROUND(B2727,4),$A$2:$A$3722)),"Efficient","Inefficient")</f>
        <v>Inefficient</v>
      </c>
    </row>
    <row r="2728" spans="1:6" x14ac:dyDescent="0.25">
      <c r="A2728" cm="1">
        <f t="array" ref="A2728">INDEX('Portfolio Weights Returns'!$B$9:$BJ$69,
INT((ROW(A2727)-1)/COLUMNS('Portfolio Weights Returns'!$B$9:$BJ$69))+1,MOD(ROW(A2727)-1,COLUMNS('Portfolio Weights Returns'!$B$9:$BJ$69))+1)</f>
        <v>-6.209008528208405E-4</v>
      </c>
      <c r="B2728">
        <v>2.2200000000000001E-2</v>
      </c>
      <c r="C2728" s="59">
        <v>0.18</v>
      </c>
      <c r="D2728" s="59">
        <v>-0.28999999999999998</v>
      </c>
      <c r="E2728" s="60">
        <f t="shared" si="42"/>
        <v>1.1100000000000001</v>
      </c>
      <c r="F2728" t="str" cm="1">
        <f t="array" ref="F2728">IF(A2728=MAX(IF(ROUND($B$2:$B$3722,4)=ROUND(B2728,4),$A$2:$A$3722)),"Efficient","Inefficient")</f>
        <v>Inefficient</v>
      </c>
    </row>
    <row r="2729" spans="1:6" x14ac:dyDescent="0.25">
      <c r="A2729" cm="1">
        <f t="array" ref="A2729">INDEX('Portfolio Weights Returns'!$B$9:$BJ$69,
INT((ROW(A2728)-1)/COLUMNS('Portfolio Weights Returns'!$B$9:$BJ$69))+1,MOD(ROW(A2728)-1,COLUMNS('Portfolio Weights Returns'!$B$9:$BJ$69))+1)</f>
        <v>-6.1411967885416135E-4</v>
      </c>
      <c r="B2729">
        <v>2.2200000000000001E-2</v>
      </c>
      <c r="C2729" s="59">
        <v>0.16</v>
      </c>
      <c r="D2729" s="59">
        <v>-0.28000000000000003</v>
      </c>
      <c r="E2729" s="60">
        <f t="shared" si="42"/>
        <v>1.1200000000000001</v>
      </c>
      <c r="F2729" t="str" cm="1">
        <f t="array" ref="F2729">IF(A2729=MAX(IF(ROUND($B$2:$B$3722,4)=ROUND(B2729,4),$A$2:$A$3722)),"Efficient","Inefficient")</f>
        <v>Inefficient</v>
      </c>
    </row>
    <row r="2730" spans="1:6" x14ac:dyDescent="0.25">
      <c r="A2730" cm="1">
        <f t="array" ref="A2730">INDEX('Portfolio Weights Returns'!$B$9:$BJ$69,
INT((ROW(A2729)-1)/COLUMNS('Portfolio Weights Returns'!$B$9:$BJ$69))+1,MOD(ROW(A2729)-1,COLUMNS('Portfolio Weights Returns'!$B$9:$BJ$69))+1)</f>
        <v>-6.0733850488748232E-4</v>
      </c>
      <c r="B2730">
        <v>2.2200000000000001E-2</v>
      </c>
      <c r="C2730" s="59">
        <v>0.14000000000000001</v>
      </c>
      <c r="D2730" s="59">
        <v>-0.27</v>
      </c>
      <c r="E2730" s="60">
        <f t="shared" si="42"/>
        <v>1.1299999999999999</v>
      </c>
      <c r="F2730" t="str" cm="1">
        <f t="array" ref="F2730">IF(A2730=MAX(IF(ROUND($B$2:$B$3722,4)=ROUND(B2730,4),$A$2:$A$3722)),"Efficient","Inefficient")</f>
        <v>Inefficient</v>
      </c>
    </row>
    <row r="2731" spans="1:6" x14ac:dyDescent="0.25">
      <c r="A2731" cm="1">
        <f t="array" ref="A2731">INDEX('Portfolio Weights Returns'!$B$9:$BJ$69,
INT((ROW(A2730)-1)/COLUMNS('Portfolio Weights Returns'!$B$9:$BJ$69))+1,MOD(ROW(A2730)-1,COLUMNS('Portfolio Weights Returns'!$B$9:$BJ$69))+1)</f>
        <v>-6.0055733092080307E-4</v>
      </c>
      <c r="B2731">
        <v>2.2200000000000001E-2</v>
      </c>
      <c r="C2731" s="59">
        <v>0.11</v>
      </c>
      <c r="D2731" s="59">
        <v>-0.25</v>
      </c>
      <c r="E2731" s="60">
        <f t="shared" si="42"/>
        <v>1.1399999999999999</v>
      </c>
      <c r="F2731" t="str" cm="1">
        <f t="array" ref="F2731">IF(A2731=MAX(IF(ROUND($B$2:$B$3722,4)=ROUND(B2731,4),$A$2:$A$3722)),"Efficient","Inefficient")</f>
        <v>Inefficient</v>
      </c>
    </row>
    <row r="2732" spans="1:6" x14ac:dyDescent="0.25">
      <c r="A2732" cm="1">
        <f t="array" ref="A2732">INDEX('Portfolio Weights Returns'!$B$9:$BJ$69,
INT((ROW(A2731)-1)/COLUMNS('Portfolio Weights Returns'!$B$9:$BJ$69))+1,MOD(ROW(A2731)-1,COLUMNS('Portfolio Weights Returns'!$B$9:$BJ$69))+1)</f>
        <v>-5.9377615695412403E-4</v>
      </c>
      <c r="B2732">
        <v>2.2200000000000001E-2</v>
      </c>
      <c r="C2732" s="59">
        <v>0.09</v>
      </c>
      <c r="D2732" s="59">
        <v>-0.24</v>
      </c>
      <c r="E2732" s="60">
        <f t="shared" si="42"/>
        <v>1.1499999999999999</v>
      </c>
      <c r="F2732" t="str" cm="1">
        <f t="array" ref="F2732">IF(A2732=MAX(IF(ROUND($B$2:$B$3722,4)=ROUND(B2732,4),$A$2:$A$3722)),"Efficient","Inefficient")</f>
        <v>Inefficient</v>
      </c>
    </row>
    <row r="2733" spans="1:6" x14ac:dyDescent="0.25">
      <c r="A2733" cm="1">
        <f t="array" ref="A2733">INDEX('Portfolio Weights Returns'!$B$9:$BJ$69,
INT((ROW(A2732)-1)/COLUMNS('Portfolio Weights Returns'!$B$9:$BJ$69))+1,MOD(ROW(A2732)-1,COLUMNS('Portfolio Weights Returns'!$B$9:$BJ$69))+1)</f>
        <v>-5.8699498298744488E-4</v>
      </c>
      <c r="B2733">
        <v>2.2200000000000001E-2</v>
      </c>
      <c r="C2733" s="59">
        <v>0.06</v>
      </c>
      <c r="D2733" s="59">
        <v>-0.22</v>
      </c>
      <c r="E2733" s="60">
        <f t="shared" si="42"/>
        <v>1.1599999999999999</v>
      </c>
      <c r="F2733" t="str" cm="1">
        <f t="array" ref="F2733">IF(A2733=MAX(IF(ROUND($B$2:$B$3722,4)=ROUND(B2733,4),$A$2:$A$3722)),"Efficient","Inefficient")</f>
        <v>Inefficient</v>
      </c>
    </row>
    <row r="2734" spans="1:6" x14ac:dyDescent="0.25">
      <c r="A2734" cm="1">
        <f t="array" ref="A2734">INDEX('Portfolio Weights Returns'!$B$9:$BJ$69,
INT((ROW(A2733)-1)/COLUMNS('Portfolio Weights Returns'!$B$9:$BJ$69))+1,MOD(ROW(A2733)-1,COLUMNS('Portfolio Weights Returns'!$B$9:$BJ$69))+1)</f>
        <v>-5.8021380902076585E-4</v>
      </c>
      <c r="B2734">
        <v>2.2200000000000001E-2</v>
      </c>
      <c r="C2734" s="59">
        <v>0.03</v>
      </c>
      <c r="D2734" s="59">
        <v>-0.2</v>
      </c>
      <c r="E2734" s="60">
        <f t="shared" si="42"/>
        <v>1.17</v>
      </c>
      <c r="F2734" t="str" cm="1">
        <f t="array" ref="F2734">IF(A2734=MAX(IF(ROUND($B$2:$B$3722,4)=ROUND(B2734,4),$A$2:$A$3722)),"Efficient","Inefficient")</f>
        <v>Inefficient</v>
      </c>
    </row>
    <row r="2735" spans="1:6" x14ac:dyDescent="0.25">
      <c r="A2735" cm="1">
        <f t="array" ref="A2735">INDEX('Portfolio Weights Returns'!$B$9:$BJ$69,
INT((ROW(A2734)-1)/COLUMNS('Portfolio Weights Returns'!$B$9:$BJ$69))+1,MOD(ROW(A2734)-1,COLUMNS('Portfolio Weights Returns'!$B$9:$BJ$69))+1)</f>
        <v>-5.7343263505408681E-4</v>
      </c>
      <c r="B2735">
        <v>2.2200000000000001E-2</v>
      </c>
      <c r="C2735" s="59">
        <v>0</v>
      </c>
      <c r="D2735" s="59">
        <v>-0.18</v>
      </c>
      <c r="E2735" s="60">
        <f t="shared" si="42"/>
        <v>1.18</v>
      </c>
      <c r="F2735" t="str" cm="1">
        <f t="array" ref="F2735">IF(A2735=MAX(IF(ROUND($B$2:$B$3722,4)=ROUND(B2735,4),$A$2:$A$3722)),"Efficient","Inefficient")</f>
        <v>Inefficient</v>
      </c>
    </row>
    <row r="2736" spans="1:6" x14ac:dyDescent="0.25">
      <c r="A2736" cm="1">
        <f t="array" ref="A2736">INDEX('Portfolio Weights Returns'!$B$9:$BJ$69,
INT((ROW(A2735)-1)/COLUMNS('Portfolio Weights Returns'!$B$9:$BJ$69))+1,MOD(ROW(A2735)-1,COLUMNS('Portfolio Weights Returns'!$B$9:$BJ$69))+1)</f>
        <v>-5.6665146108740767E-4</v>
      </c>
      <c r="B2736">
        <v>2.2200000000000001E-2</v>
      </c>
      <c r="C2736" s="59">
        <v>-0.03</v>
      </c>
      <c r="D2736" s="59">
        <v>-0.16</v>
      </c>
      <c r="E2736" s="60">
        <f t="shared" si="42"/>
        <v>1.19</v>
      </c>
      <c r="F2736" t="str" cm="1">
        <f t="array" ref="F2736">IF(A2736=MAX(IF(ROUND($B$2:$B$3722,4)=ROUND(B2736,4),$A$2:$A$3722)),"Efficient","Inefficient")</f>
        <v>Inefficient</v>
      </c>
    </row>
    <row r="2737" spans="1:6" x14ac:dyDescent="0.25">
      <c r="A2737" cm="1">
        <f t="array" ref="A2737">INDEX('Portfolio Weights Returns'!$B$9:$BJ$69,
INT((ROW(A2736)-1)/COLUMNS('Portfolio Weights Returns'!$B$9:$BJ$69))+1,MOD(ROW(A2736)-1,COLUMNS('Portfolio Weights Returns'!$B$9:$BJ$69))+1)</f>
        <v>-5.5987028712072852E-4</v>
      </c>
      <c r="B2737">
        <v>2.2200000000000001E-2</v>
      </c>
      <c r="C2737" s="59">
        <v>-0.04</v>
      </c>
      <c r="D2737" s="59">
        <v>-0.15</v>
      </c>
      <c r="E2737" s="60">
        <f t="shared" si="42"/>
        <v>1.19</v>
      </c>
      <c r="F2737" t="str" cm="1">
        <f t="array" ref="F2737">IF(A2737=MAX(IF(ROUND($B$2:$B$3722,4)=ROUND(B2737,4),$A$2:$A$3722)),"Efficient","Inefficient")</f>
        <v>Inefficient</v>
      </c>
    </row>
    <row r="2738" spans="1:6" x14ac:dyDescent="0.25">
      <c r="A2738" cm="1">
        <f t="array" ref="A2738">INDEX('Portfolio Weights Returns'!$B$9:$BJ$69,
INT((ROW(A2737)-1)/COLUMNS('Portfolio Weights Returns'!$B$9:$BJ$69))+1,MOD(ROW(A2737)-1,COLUMNS('Portfolio Weights Returns'!$B$9:$BJ$69))+1)</f>
        <v>-5.5308911315404938E-4</v>
      </c>
      <c r="B2738">
        <v>2.2200000000000001E-2</v>
      </c>
      <c r="C2738" s="59">
        <v>-0.05</v>
      </c>
      <c r="D2738" s="59">
        <v>-0.14000000000000001</v>
      </c>
      <c r="E2738" s="60">
        <f t="shared" si="42"/>
        <v>1.1900000000000002</v>
      </c>
      <c r="F2738" t="str" cm="1">
        <f t="array" ref="F2738">IF(A2738=MAX(IF(ROUND($B$2:$B$3722,4)=ROUND(B2738,4),$A$2:$A$3722)),"Efficient","Inefficient")</f>
        <v>Inefficient</v>
      </c>
    </row>
    <row r="2739" spans="1:6" x14ac:dyDescent="0.25">
      <c r="A2739" cm="1">
        <f t="array" ref="A2739">INDEX('Portfolio Weights Returns'!$B$9:$BJ$69,
INT((ROW(A2738)-1)/COLUMNS('Portfolio Weights Returns'!$B$9:$BJ$69))+1,MOD(ROW(A2738)-1,COLUMNS('Portfolio Weights Returns'!$B$9:$BJ$69))+1)</f>
        <v>-5.4630793918737034E-4</v>
      </c>
      <c r="B2739">
        <v>2.2200000000000001E-2</v>
      </c>
      <c r="C2739" s="59">
        <v>-0.08</v>
      </c>
      <c r="D2739" s="59">
        <v>-0.12</v>
      </c>
      <c r="E2739" s="60">
        <f t="shared" si="42"/>
        <v>1.2000000000000002</v>
      </c>
      <c r="F2739" t="str" cm="1">
        <f t="array" ref="F2739">IF(A2739=MAX(IF(ROUND($B$2:$B$3722,4)=ROUND(B2739,4),$A$2:$A$3722)),"Efficient","Inefficient")</f>
        <v>Inefficient</v>
      </c>
    </row>
    <row r="2740" spans="1:6" x14ac:dyDescent="0.25">
      <c r="A2740" cm="1">
        <f t="array" ref="A2740">INDEX('Portfolio Weights Returns'!$B$9:$BJ$69,
INT((ROW(A2739)-1)/COLUMNS('Portfolio Weights Returns'!$B$9:$BJ$69))+1,MOD(ROW(A2739)-1,COLUMNS('Portfolio Weights Returns'!$B$9:$BJ$69))+1)</f>
        <v>-5.395267652206912E-4</v>
      </c>
      <c r="B2740">
        <v>2.2200000000000001E-2</v>
      </c>
      <c r="C2740" s="59">
        <v>-0.09</v>
      </c>
      <c r="D2740" s="59">
        <v>-0.11</v>
      </c>
      <c r="E2740" s="60">
        <f t="shared" si="42"/>
        <v>1.2000000000000002</v>
      </c>
      <c r="F2740" t="str" cm="1">
        <f t="array" ref="F2740">IF(A2740=MAX(IF(ROUND($B$2:$B$3722,4)=ROUND(B2740,4),$A$2:$A$3722)),"Efficient","Inefficient")</f>
        <v>Inefficient</v>
      </c>
    </row>
    <row r="2741" spans="1:6" x14ac:dyDescent="0.25">
      <c r="A2741" cm="1">
        <f t="array" ref="A2741">INDEX('Portfolio Weights Returns'!$B$9:$BJ$69,
INT((ROW(A2740)-1)/COLUMNS('Portfolio Weights Returns'!$B$9:$BJ$69))+1,MOD(ROW(A2740)-1,COLUMNS('Portfolio Weights Returns'!$B$9:$BJ$69))+1)</f>
        <v>-5.3274559125401216E-4</v>
      </c>
      <c r="B2741">
        <v>2.2200000000000001E-2</v>
      </c>
      <c r="C2741" s="59">
        <v>-0.1</v>
      </c>
      <c r="D2741" s="59">
        <v>-0.1</v>
      </c>
      <c r="E2741" s="60">
        <f t="shared" si="42"/>
        <v>1.2000000000000002</v>
      </c>
      <c r="F2741" t="str" cm="1">
        <f t="array" ref="F2741">IF(A2741=MAX(IF(ROUND($B$2:$B$3722,4)=ROUND(B2741,4),$A$2:$A$3722)),"Efficient","Inefficient")</f>
        <v>Inefficient</v>
      </c>
    </row>
    <row r="2742" spans="1:6" x14ac:dyDescent="0.25">
      <c r="A2742" cm="1">
        <f t="array" ref="A2742">INDEX('Portfolio Weights Returns'!$B$9:$BJ$69,
INT((ROW(A2741)-1)/COLUMNS('Portfolio Weights Returns'!$B$9:$BJ$69))+1,MOD(ROW(A2741)-1,COLUMNS('Portfolio Weights Returns'!$B$9:$BJ$69))+1)</f>
        <v>-5.2596441728733302E-4</v>
      </c>
      <c r="B2742">
        <v>2.2200000000000001E-2</v>
      </c>
      <c r="C2742" s="59">
        <v>-0.11</v>
      </c>
      <c r="D2742" s="59">
        <v>-0.09</v>
      </c>
      <c r="E2742" s="60">
        <f t="shared" si="42"/>
        <v>1.2000000000000002</v>
      </c>
      <c r="F2742" t="str" cm="1">
        <f t="array" ref="F2742">IF(A2742=MAX(IF(ROUND($B$2:$B$3722,4)=ROUND(B2742,4),$A$2:$A$3722)),"Efficient","Inefficient")</f>
        <v>Inefficient</v>
      </c>
    </row>
    <row r="2743" spans="1:6" x14ac:dyDescent="0.25">
      <c r="A2743" cm="1">
        <f t="array" ref="A2743">INDEX('Portfolio Weights Returns'!$B$9:$BJ$69,
INT((ROW(A2742)-1)/COLUMNS('Portfolio Weights Returns'!$B$9:$BJ$69))+1,MOD(ROW(A2742)-1,COLUMNS('Portfolio Weights Returns'!$B$9:$BJ$69))+1)</f>
        <v>-5.1918324332065322E-4</v>
      </c>
      <c r="B2743">
        <v>2.2200000000000001E-2</v>
      </c>
      <c r="C2743" s="59">
        <v>-0.12</v>
      </c>
      <c r="D2743" s="59">
        <v>-0.08</v>
      </c>
      <c r="E2743" s="60">
        <f t="shared" si="42"/>
        <v>1.2000000000000002</v>
      </c>
      <c r="F2743" t="str" cm="1">
        <f t="array" ref="F2743">IF(A2743=MAX(IF(ROUND($B$2:$B$3722,4)=ROUND(B2743,4),$A$2:$A$3722)),"Efficient","Inefficient")</f>
        <v>Inefficient</v>
      </c>
    </row>
    <row r="2744" spans="1:6" x14ac:dyDescent="0.25">
      <c r="A2744" cm="1">
        <f t="array" ref="A2744">INDEX('Portfolio Weights Returns'!$B$9:$BJ$69,
INT((ROW(A2743)-1)/COLUMNS('Portfolio Weights Returns'!$B$9:$BJ$69))+1,MOD(ROW(A2743)-1,COLUMNS('Portfolio Weights Returns'!$B$9:$BJ$69))+1)</f>
        <v>-5.1240206935397408E-4</v>
      </c>
      <c r="B2744">
        <v>2.2200000000000001E-2</v>
      </c>
      <c r="C2744" s="59">
        <v>-0.13</v>
      </c>
      <c r="D2744" s="59">
        <v>-7.0000000000000007E-2</v>
      </c>
      <c r="E2744" s="60">
        <f t="shared" si="42"/>
        <v>1.2000000000000002</v>
      </c>
      <c r="F2744" t="str" cm="1">
        <f t="array" ref="F2744">IF(A2744=MAX(IF(ROUND($B$2:$B$3722,4)=ROUND(B2744,4),$A$2:$A$3722)),"Efficient","Inefficient")</f>
        <v>Inefficient</v>
      </c>
    </row>
    <row r="2745" spans="1:6" x14ac:dyDescent="0.25">
      <c r="A2745" cm="1">
        <f t="array" ref="A2745">INDEX('Portfolio Weights Returns'!$B$9:$BJ$69,
INT((ROW(A2744)-1)/COLUMNS('Portfolio Weights Returns'!$B$9:$BJ$69))+1,MOD(ROW(A2744)-1,COLUMNS('Portfolio Weights Returns'!$B$9:$BJ$69))+1)</f>
        <v>-5.0562089538729504E-4</v>
      </c>
      <c r="B2745">
        <v>2.2200000000000001E-2</v>
      </c>
      <c r="C2745" s="59">
        <v>-0.14000000000000001</v>
      </c>
      <c r="D2745" s="59">
        <v>-0.06</v>
      </c>
      <c r="E2745" s="60">
        <f t="shared" si="42"/>
        <v>1.2000000000000002</v>
      </c>
      <c r="F2745" t="str" cm="1">
        <f t="array" ref="F2745">IF(A2745=MAX(IF(ROUND($B$2:$B$3722,4)=ROUND(B2745,4),$A$2:$A$3722)),"Efficient","Inefficient")</f>
        <v>Inefficient</v>
      </c>
    </row>
    <row r="2746" spans="1:6" x14ac:dyDescent="0.25">
      <c r="A2746" cm="1">
        <f t="array" ref="A2746">INDEX('Portfolio Weights Returns'!$B$9:$BJ$69,
INT((ROW(A2745)-1)/COLUMNS('Portfolio Weights Returns'!$B$9:$BJ$69))+1,MOD(ROW(A2745)-1,COLUMNS('Portfolio Weights Returns'!$B$9:$BJ$69))+1)</f>
        <v>-4.988397214206159E-4</v>
      </c>
      <c r="B2746">
        <v>2.2200000000000001E-2</v>
      </c>
      <c r="C2746" s="59">
        <v>-0.15</v>
      </c>
      <c r="D2746" s="59">
        <v>-0.05</v>
      </c>
      <c r="E2746" s="60">
        <f t="shared" si="42"/>
        <v>1.2</v>
      </c>
      <c r="F2746" t="str" cm="1">
        <f t="array" ref="F2746">IF(A2746=MAX(IF(ROUND($B$2:$B$3722,4)=ROUND(B2746,4),$A$2:$A$3722)),"Efficient","Inefficient")</f>
        <v>Efficient</v>
      </c>
    </row>
    <row r="2747" spans="1:6" x14ac:dyDescent="0.25">
      <c r="A2747" cm="1">
        <f t="array" ref="A2747">INDEX('Portfolio Weights Returns'!$B$9:$BJ$69,
INT((ROW(A2746)-1)/COLUMNS('Portfolio Weights Returns'!$B$9:$BJ$69))+1,MOD(ROW(A2746)-1,COLUMNS('Portfolio Weights Returns'!$B$9:$BJ$69))+1)</f>
        <v>-8.9913595157590771E-4</v>
      </c>
      <c r="B2747">
        <v>2.2200000000000001E-2</v>
      </c>
      <c r="C2747" s="59">
        <v>-0.16</v>
      </c>
      <c r="D2747" s="59">
        <v>-0.04</v>
      </c>
      <c r="E2747" s="60">
        <f t="shared" si="42"/>
        <v>1.2</v>
      </c>
      <c r="F2747" t="str" cm="1">
        <f t="array" ref="F2747">IF(A2747=MAX(IF(ROUND($B$2:$B$3722,4)=ROUND(B2747,4),$A$2:$A$3722)),"Efficient","Inefficient")</f>
        <v>Inefficient</v>
      </c>
    </row>
    <row r="2748" spans="1:6" x14ac:dyDescent="0.25">
      <c r="A2748" cm="1">
        <f t="array" ref="A2748">INDEX('Portfolio Weights Returns'!$B$9:$BJ$69,
INT((ROW(A2747)-1)/COLUMNS('Portfolio Weights Returns'!$B$9:$BJ$69))+1,MOD(ROW(A2747)-1,COLUMNS('Portfolio Weights Returns'!$B$9:$BJ$69))+1)</f>
        <v>-8.9235477760922868E-4</v>
      </c>
      <c r="B2748">
        <v>2.2200000000000001E-2</v>
      </c>
      <c r="C2748" s="59">
        <v>-0.17</v>
      </c>
      <c r="D2748" s="59">
        <v>-0.03</v>
      </c>
      <c r="E2748" s="60">
        <f t="shared" si="42"/>
        <v>1.2</v>
      </c>
      <c r="F2748" t="str" cm="1">
        <f t="array" ref="F2748">IF(A2748=MAX(IF(ROUND($B$2:$B$3722,4)=ROUND(B2748,4),$A$2:$A$3722)),"Efficient","Inefficient")</f>
        <v>Inefficient</v>
      </c>
    </row>
    <row r="2749" spans="1:6" x14ac:dyDescent="0.25">
      <c r="A2749" cm="1">
        <f t="array" ref="A2749">INDEX('Portfolio Weights Returns'!$B$9:$BJ$69,
INT((ROW(A2748)-1)/COLUMNS('Portfolio Weights Returns'!$B$9:$BJ$69))+1,MOD(ROW(A2748)-1,COLUMNS('Portfolio Weights Returns'!$B$9:$BJ$69))+1)</f>
        <v>-8.8557360364254953E-4</v>
      </c>
      <c r="B2749">
        <v>2.2200000000000001E-2</v>
      </c>
      <c r="C2749" s="59">
        <v>-0.18</v>
      </c>
      <c r="D2749" s="59">
        <v>-0.02</v>
      </c>
      <c r="E2749" s="60">
        <f t="shared" si="42"/>
        <v>1.2</v>
      </c>
      <c r="F2749" t="str" cm="1">
        <f t="array" ref="F2749">IF(A2749=MAX(IF(ROUND($B$2:$B$3722,4)=ROUND(B2749,4),$A$2:$A$3722)),"Efficient","Inefficient")</f>
        <v>Inefficient</v>
      </c>
    </row>
    <row r="2750" spans="1:6" x14ac:dyDescent="0.25">
      <c r="A2750" cm="1">
        <f t="array" ref="A2750">INDEX('Portfolio Weights Returns'!$B$9:$BJ$69,
INT((ROW(A2749)-1)/COLUMNS('Portfolio Weights Returns'!$B$9:$BJ$69))+1,MOD(ROW(A2749)-1,COLUMNS('Portfolio Weights Returns'!$B$9:$BJ$69))+1)</f>
        <v>-8.787924296758705E-4</v>
      </c>
      <c r="B2750">
        <v>2.2200000000000001E-2</v>
      </c>
      <c r="C2750" s="59">
        <v>-0.19</v>
      </c>
      <c r="D2750" s="59">
        <v>-0.01</v>
      </c>
      <c r="E2750" s="60">
        <f t="shared" si="42"/>
        <v>1.2</v>
      </c>
      <c r="F2750" t="str" cm="1">
        <f t="array" ref="F2750">IF(A2750=MAX(IF(ROUND($B$2:$B$3722,4)=ROUND(B2750,4),$A$2:$A$3722)),"Efficient","Inefficient")</f>
        <v>Inefficient</v>
      </c>
    </row>
    <row r="2751" spans="1:6" x14ac:dyDescent="0.25">
      <c r="A2751" cm="1">
        <f t="array" ref="A2751">INDEX('Portfolio Weights Returns'!$B$9:$BJ$69,
INT((ROW(A2750)-1)/COLUMNS('Portfolio Weights Returns'!$B$9:$BJ$69))+1,MOD(ROW(A2750)-1,COLUMNS('Portfolio Weights Returns'!$B$9:$BJ$69))+1)</f>
        <v>-8.7201125570919135E-4</v>
      </c>
      <c r="B2751">
        <v>2.2200000000000001E-2</v>
      </c>
      <c r="C2751" s="59">
        <v>-0.21</v>
      </c>
      <c r="D2751" s="59">
        <v>0.02</v>
      </c>
      <c r="E2751" s="60">
        <f t="shared" si="42"/>
        <v>1.19</v>
      </c>
      <c r="F2751" t="str" cm="1">
        <f t="array" ref="F2751">IF(A2751=MAX(IF(ROUND($B$2:$B$3722,4)=ROUND(B2751,4),$A$2:$A$3722)),"Efficient","Inefficient")</f>
        <v>Inefficient</v>
      </c>
    </row>
    <row r="2752" spans="1:6" x14ac:dyDescent="0.25">
      <c r="A2752" cm="1">
        <f t="array" ref="A2752">INDEX('Portfolio Weights Returns'!$B$9:$BJ$69,
INT((ROW(A2751)-1)/COLUMNS('Portfolio Weights Returns'!$B$9:$BJ$69))+1,MOD(ROW(A2751)-1,COLUMNS('Portfolio Weights Returns'!$B$9:$BJ$69))+1)</f>
        <v>-8.652300817425121E-4</v>
      </c>
      <c r="B2752">
        <v>2.2200000000000001E-2</v>
      </c>
      <c r="C2752" s="59">
        <v>-0.22</v>
      </c>
      <c r="D2752" s="59">
        <v>0.03</v>
      </c>
      <c r="E2752" s="60">
        <f t="shared" si="42"/>
        <v>1.19</v>
      </c>
      <c r="F2752" t="str" cm="1">
        <f t="array" ref="F2752">IF(A2752=MAX(IF(ROUND($B$2:$B$3722,4)=ROUND(B2752,4),$A$2:$A$3722)),"Efficient","Inefficient")</f>
        <v>Inefficient</v>
      </c>
    </row>
    <row r="2753" spans="1:6" x14ac:dyDescent="0.25">
      <c r="A2753" cm="1">
        <f t="array" ref="A2753">INDEX('Portfolio Weights Returns'!$B$9:$BJ$69,
INT((ROW(A2752)-1)/COLUMNS('Portfolio Weights Returns'!$B$9:$BJ$69))+1,MOD(ROW(A2752)-1,COLUMNS('Portfolio Weights Returns'!$B$9:$BJ$69))+1)</f>
        <v>-8.5844890777583306E-4</v>
      </c>
      <c r="B2753">
        <v>2.2200000000000001E-2</v>
      </c>
      <c r="C2753" s="59">
        <v>-0.23</v>
      </c>
      <c r="D2753" s="59">
        <v>0.05</v>
      </c>
      <c r="E2753" s="60">
        <f t="shared" si="42"/>
        <v>1.18</v>
      </c>
      <c r="F2753" t="str" cm="1">
        <f t="array" ref="F2753">IF(A2753=MAX(IF(ROUND($B$2:$B$3722,4)=ROUND(B2753,4),$A$2:$A$3722)),"Efficient","Inefficient")</f>
        <v>Inefficient</v>
      </c>
    </row>
    <row r="2754" spans="1:6" x14ac:dyDescent="0.25">
      <c r="A2754" cm="1">
        <f t="array" ref="A2754">INDEX('Portfolio Weights Returns'!$B$9:$BJ$69,
INT((ROW(A2753)-1)/COLUMNS('Portfolio Weights Returns'!$B$9:$BJ$69))+1,MOD(ROW(A2753)-1,COLUMNS('Portfolio Weights Returns'!$B$9:$BJ$69))+1)</f>
        <v>-8.5166773380915392E-4</v>
      </c>
      <c r="B2754">
        <v>2.2200000000000001E-2</v>
      </c>
      <c r="C2754" s="59">
        <v>-0.24</v>
      </c>
      <c r="D2754" s="59">
        <v>0.06</v>
      </c>
      <c r="E2754" s="60">
        <f t="shared" ref="E2754:E2817" si="43">1-D2754-C2754</f>
        <v>1.18</v>
      </c>
      <c r="F2754" t="str" cm="1">
        <f t="array" ref="F2754">IF(A2754=MAX(IF(ROUND($B$2:$B$3722,4)=ROUND(B2754,4),$A$2:$A$3722)),"Efficient","Inefficient")</f>
        <v>Inefficient</v>
      </c>
    </row>
    <row r="2755" spans="1:6" x14ac:dyDescent="0.25">
      <c r="A2755" cm="1">
        <f t="array" ref="A2755">INDEX('Portfolio Weights Returns'!$B$9:$BJ$69,
INT((ROW(A2754)-1)/COLUMNS('Portfolio Weights Returns'!$B$9:$BJ$69))+1,MOD(ROW(A2754)-1,COLUMNS('Portfolio Weights Returns'!$B$9:$BJ$69))+1)</f>
        <v>-8.4488655984247488E-4</v>
      </c>
      <c r="B2755">
        <v>2.2200000000000001E-2</v>
      </c>
      <c r="C2755" s="59">
        <v>-0.25</v>
      </c>
      <c r="D2755" s="59">
        <v>0.08</v>
      </c>
      <c r="E2755" s="60">
        <f t="shared" si="43"/>
        <v>1.17</v>
      </c>
      <c r="F2755" t="str" cm="1">
        <f t="array" ref="F2755">IF(A2755=MAX(IF(ROUND($B$2:$B$3722,4)=ROUND(B2755,4),$A$2:$A$3722)),"Efficient","Inefficient")</f>
        <v>Inefficient</v>
      </c>
    </row>
    <row r="2756" spans="1:6" x14ac:dyDescent="0.25">
      <c r="A2756" cm="1">
        <f t="array" ref="A2756">INDEX('Portfolio Weights Returns'!$B$9:$BJ$69,
INT((ROW(A2755)-1)/COLUMNS('Portfolio Weights Returns'!$B$9:$BJ$69))+1,MOD(ROW(A2755)-1,COLUMNS('Portfolio Weights Returns'!$B$9:$BJ$69))+1)</f>
        <v>-8.3810538587579574E-4</v>
      </c>
      <c r="B2756">
        <v>2.2200000000000001E-2</v>
      </c>
      <c r="C2756" s="59">
        <v>-0.26</v>
      </c>
      <c r="D2756" s="59">
        <v>0.1</v>
      </c>
      <c r="E2756" s="60">
        <f t="shared" si="43"/>
        <v>1.1600000000000001</v>
      </c>
      <c r="F2756" t="str" cm="1">
        <f t="array" ref="F2756">IF(A2756=MAX(IF(ROUND($B$2:$B$3722,4)=ROUND(B2756,4),$A$2:$A$3722)),"Efficient","Inefficient")</f>
        <v>Inefficient</v>
      </c>
    </row>
    <row r="2757" spans="1:6" x14ac:dyDescent="0.25">
      <c r="A2757" cm="1">
        <f t="array" ref="A2757">INDEX('Portfolio Weights Returns'!$B$9:$BJ$69,
INT((ROW(A2756)-1)/COLUMNS('Portfolio Weights Returns'!$B$9:$BJ$69))+1,MOD(ROW(A2756)-1,COLUMNS('Portfolio Weights Returns'!$B$9:$BJ$69))+1)</f>
        <v>-8.313242119091167E-4</v>
      </c>
      <c r="B2757">
        <v>2.2200000000000001E-2</v>
      </c>
      <c r="C2757" s="59">
        <v>-0.27</v>
      </c>
      <c r="D2757" s="59">
        <v>0.12</v>
      </c>
      <c r="E2757" s="60">
        <f t="shared" si="43"/>
        <v>1.1499999999999999</v>
      </c>
      <c r="F2757" t="str" cm="1">
        <f t="array" ref="F2757">IF(A2757=MAX(IF(ROUND($B$2:$B$3722,4)=ROUND(B2757,4),$A$2:$A$3722)),"Efficient","Inefficient")</f>
        <v>Inefficient</v>
      </c>
    </row>
    <row r="2758" spans="1:6" x14ac:dyDescent="0.25">
      <c r="A2758" cm="1">
        <f t="array" ref="A2758">INDEX('Portfolio Weights Returns'!$B$9:$BJ$69,
INT((ROW(A2757)-1)/COLUMNS('Portfolio Weights Returns'!$B$9:$BJ$69))+1,MOD(ROW(A2757)-1,COLUMNS('Portfolio Weights Returns'!$B$9:$BJ$69))+1)</f>
        <v>-8.2454303794243756E-4</v>
      </c>
      <c r="B2758">
        <v>2.2200000000000001E-2</v>
      </c>
      <c r="C2758" s="59">
        <v>-0.28000000000000003</v>
      </c>
      <c r="D2758" s="59">
        <v>0.14000000000000001</v>
      </c>
      <c r="E2758" s="60">
        <f t="shared" si="43"/>
        <v>1.1400000000000001</v>
      </c>
      <c r="F2758" t="str" cm="1">
        <f t="array" ref="F2758">IF(A2758=MAX(IF(ROUND($B$2:$B$3722,4)=ROUND(B2758,4),$A$2:$A$3722)),"Efficient","Inefficient")</f>
        <v>Inefficient</v>
      </c>
    </row>
    <row r="2759" spans="1:6" x14ac:dyDescent="0.25">
      <c r="A2759" cm="1">
        <f t="array" ref="A2759">INDEX('Portfolio Weights Returns'!$B$9:$BJ$69,
INT((ROW(A2758)-1)/COLUMNS('Portfolio Weights Returns'!$B$9:$BJ$69))+1,MOD(ROW(A2758)-1,COLUMNS('Portfolio Weights Returns'!$B$9:$BJ$69))+1)</f>
        <v>-8.1776186397575841E-4</v>
      </c>
      <c r="B2759">
        <v>2.2200000000000001E-2</v>
      </c>
      <c r="C2759" s="59">
        <v>-0.28000000000000003</v>
      </c>
      <c r="D2759" s="59">
        <v>0.15</v>
      </c>
      <c r="E2759" s="60">
        <f t="shared" si="43"/>
        <v>1.1299999999999999</v>
      </c>
      <c r="F2759" t="str" cm="1">
        <f t="array" ref="F2759">IF(A2759=MAX(IF(ROUND($B$2:$B$3722,4)=ROUND(B2759,4),$A$2:$A$3722)),"Efficient","Inefficient")</f>
        <v>Inefficient</v>
      </c>
    </row>
    <row r="2760" spans="1:6" x14ac:dyDescent="0.25">
      <c r="A2760" cm="1">
        <f t="array" ref="A2760">INDEX('Portfolio Weights Returns'!$B$9:$BJ$69,
INT((ROW(A2759)-1)/COLUMNS('Portfolio Weights Returns'!$B$9:$BJ$69))+1,MOD(ROW(A2759)-1,COLUMNS('Portfolio Weights Returns'!$B$9:$BJ$69))+1)</f>
        <v>-8.1098069000907927E-4</v>
      </c>
      <c r="B2760">
        <v>2.2200000000000001E-2</v>
      </c>
      <c r="C2760" s="59">
        <v>-0.28999999999999998</v>
      </c>
      <c r="D2760" s="59">
        <v>0.17</v>
      </c>
      <c r="E2760" s="60">
        <f t="shared" si="43"/>
        <v>1.1199999999999999</v>
      </c>
      <c r="F2760" t="str" cm="1">
        <f t="array" ref="F2760">IF(A2760=MAX(IF(ROUND($B$2:$B$3722,4)=ROUND(B2760,4),$A$2:$A$3722)),"Efficient","Inefficient")</f>
        <v>Inefficient</v>
      </c>
    </row>
    <row r="2761" spans="1:6" x14ac:dyDescent="0.25">
      <c r="A2761" cm="1">
        <f t="array" ref="A2761">INDEX('Portfolio Weights Returns'!$B$9:$BJ$69,
INT((ROW(A2760)-1)/COLUMNS('Portfolio Weights Returns'!$B$9:$BJ$69))+1,MOD(ROW(A2760)-1,COLUMNS('Portfolio Weights Returns'!$B$9:$BJ$69))+1)</f>
        <v>-8.0419951604240013E-4</v>
      </c>
      <c r="B2761">
        <v>2.2200000000000001E-2</v>
      </c>
      <c r="C2761" s="59">
        <v>-0.28999999999999998</v>
      </c>
      <c r="D2761" s="59">
        <v>0.18</v>
      </c>
      <c r="E2761" s="60">
        <f t="shared" si="43"/>
        <v>1.1100000000000001</v>
      </c>
      <c r="F2761" t="str" cm="1">
        <f t="array" ref="F2761">IF(A2761=MAX(IF(ROUND($B$2:$B$3722,4)=ROUND(B2761,4),$A$2:$A$3722)),"Efficient","Inefficient")</f>
        <v>Inefficient</v>
      </c>
    </row>
    <row r="2762" spans="1:6" x14ac:dyDescent="0.25">
      <c r="A2762" cm="1">
        <f t="array" ref="A2762">INDEX('Portfolio Weights Returns'!$B$9:$BJ$69,
INT((ROW(A2761)-1)/COLUMNS('Portfolio Weights Returns'!$B$9:$BJ$69))+1,MOD(ROW(A2761)-1,COLUMNS('Portfolio Weights Returns'!$B$9:$BJ$69))+1)</f>
        <v>-7.9741834207572098E-4</v>
      </c>
      <c r="B2762">
        <v>2.2200000000000001E-2</v>
      </c>
      <c r="C2762" s="59">
        <v>-0.28999999999999998</v>
      </c>
      <c r="D2762" s="59">
        <v>0.19</v>
      </c>
      <c r="E2762" s="60">
        <f t="shared" si="43"/>
        <v>1.1000000000000001</v>
      </c>
      <c r="F2762" t="str" cm="1">
        <f t="array" ref="F2762">IF(A2762=MAX(IF(ROUND($B$2:$B$3722,4)=ROUND(B2762,4),$A$2:$A$3722)),"Efficient","Inefficient")</f>
        <v>Inefficient</v>
      </c>
    </row>
    <row r="2763" spans="1:6" x14ac:dyDescent="0.25">
      <c r="A2763" cm="1">
        <f t="array" ref="A2763">INDEX('Portfolio Weights Returns'!$B$9:$BJ$69,
INT((ROW(A2762)-1)/COLUMNS('Portfolio Weights Returns'!$B$9:$BJ$69))+1,MOD(ROW(A2762)-1,COLUMNS('Portfolio Weights Returns'!$B$9:$BJ$69))+1)</f>
        <v>-7.9063716810904205E-4</v>
      </c>
      <c r="B2763">
        <v>2.2200000000000001E-2</v>
      </c>
      <c r="C2763" s="59">
        <v>-0.28999999999999998</v>
      </c>
      <c r="D2763" s="59">
        <v>0.2</v>
      </c>
      <c r="E2763" s="60">
        <f t="shared" si="43"/>
        <v>1.0900000000000001</v>
      </c>
      <c r="F2763" t="str" cm="1">
        <f t="array" ref="F2763">IF(A2763=MAX(IF(ROUND($B$2:$B$3722,4)=ROUND(B2763,4),$A$2:$A$3722)),"Efficient","Inefficient")</f>
        <v>Inefficient</v>
      </c>
    </row>
    <row r="2764" spans="1:6" x14ac:dyDescent="0.25">
      <c r="A2764" cm="1">
        <f t="array" ref="A2764">INDEX('Portfolio Weights Returns'!$B$9:$BJ$69,
INT((ROW(A2763)-1)/COLUMNS('Portfolio Weights Returns'!$B$9:$BJ$69))+1,MOD(ROW(A2763)-1,COLUMNS('Portfolio Weights Returns'!$B$9:$BJ$69))+1)</f>
        <v>-7.838559941423628E-4</v>
      </c>
      <c r="B2764">
        <v>2.2200000000000001E-2</v>
      </c>
      <c r="C2764" s="59">
        <v>-0.28999999999999998</v>
      </c>
      <c r="D2764" s="59">
        <v>0.26</v>
      </c>
      <c r="E2764" s="60">
        <f t="shared" si="43"/>
        <v>1.03</v>
      </c>
      <c r="F2764" t="str" cm="1">
        <f t="array" ref="F2764">IF(A2764=MAX(IF(ROUND($B$2:$B$3722,4)=ROUND(B2764,4),$A$2:$A$3722)),"Efficient","Inefficient")</f>
        <v>Inefficient</v>
      </c>
    </row>
    <row r="2765" spans="1:6" x14ac:dyDescent="0.25">
      <c r="A2765" cm="1">
        <f t="array" ref="A2765">INDEX('Portfolio Weights Returns'!$B$9:$BJ$69,
INT((ROW(A2764)-1)/COLUMNS('Portfolio Weights Returns'!$B$9:$BJ$69))+1,MOD(ROW(A2764)-1,COLUMNS('Portfolio Weights Returns'!$B$9:$BJ$69))+1)</f>
        <v>-7.7707482017568376E-4</v>
      </c>
      <c r="B2765">
        <v>2.2200000000000001E-2</v>
      </c>
      <c r="C2765" s="59">
        <v>-0.28999999999999998</v>
      </c>
      <c r="D2765" s="59">
        <v>0.27</v>
      </c>
      <c r="E2765" s="60">
        <f t="shared" si="43"/>
        <v>1.02</v>
      </c>
      <c r="F2765" t="str" cm="1">
        <f t="array" ref="F2765">IF(A2765=MAX(IF(ROUND($B$2:$B$3722,4)=ROUND(B2765,4),$A$2:$A$3722)),"Efficient","Inefficient")</f>
        <v>Inefficient</v>
      </c>
    </row>
    <row r="2766" spans="1:6" x14ac:dyDescent="0.25">
      <c r="A2766" cm="1">
        <f t="array" ref="A2766">INDEX('Portfolio Weights Returns'!$B$9:$BJ$69,
INT((ROW(A2765)-1)/COLUMNS('Portfolio Weights Returns'!$B$9:$BJ$69))+1,MOD(ROW(A2765)-1,COLUMNS('Portfolio Weights Returns'!$B$9:$BJ$69))+1)</f>
        <v>-7.7029364620900473E-4</v>
      </c>
      <c r="B2766">
        <v>2.2200000000000001E-2</v>
      </c>
      <c r="C2766" s="59">
        <v>-0.28999999999999998</v>
      </c>
      <c r="D2766" s="59">
        <v>0.28000000000000003</v>
      </c>
      <c r="E2766" s="60">
        <f t="shared" si="43"/>
        <v>1.01</v>
      </c>
      <c r="F2766" t="str" cm="1">
        <f t="array" ref="F2766">IF(A2766=MAX(IF(ROUND($B$2:$B$3722,4)=ROUND(B2766,4),$A$2:$A$3722)),"Efficient","Inefficient")</f>
        <v>Inefficient</v>
      </c>
    </row>
    <row r="2767" spans="1:6" x14ac:dyDescent="0.25">
      <c r="A2767" cm="1">
        <f t="array" ref="A2767">INDEX('Portfolio Weights Returns'!$B$9:$BJ$69,
INT((ROW(A2766)-1)/COLUMNS('Portfolio Weights Returns'!$B$9:$BJ$69))+1,MOD(ROW(A2766)-1,COLUMNS('Portfolio Weights Returns'!$B$9:$BJ$69))+1)</f>
        <v>-7.6351247224232558E-4</v>
      </c>
      <c r="B2767">
        <v>2.2200000000000001E-2</v>
      </c>
      <c r="C2767" s="59">
        <v>-0.28999999999999998</v>
      </c>
      <c r="D2767" s="59">
        <v>0.28999999999999998</v>
      </c>
      <c r="E2767" s="60">
        <f t="shared" si="43"/>
        <v>1</v>
      </c>
      <c r="F2767" t="str" cm="1">
        <f t="array" ref="F2767">IF(A2767=MAX(IF(ROUND($B$2:$B$3722,4)=ROUND(B2767,4),$A$2:$A$3722)),"Efficient","Inefficient")</f>
        <v>Inefficient</v>
      </c>
    </row>
    <row r="2768" spans="1:6" x14ac:dyDescent="0.25">
      <c r="A2768" cm="1">
        <f t="array" ref="A2768">INDEX('Portfolio Weights Returns'!$B$9:$BJ$69,
INT((ROW(A2767)-1)/COLUMNS('Portfolio Weights Returns'!$B$9:$BJ$69))+1,MOD(ROW(A2767)-1,COLUMNS('Portfolio Weights Returns'!$B$9:$BJ$69))+1)</f>
        <v>-7.5673129827564655E-4</v>
      </c>
      <c r="B2768">
        <v>2.2200000000000001E-2</v>
      </c>
      <c r="C2768" s="59">
        <v>-0.28000000000000003</v>
      </c>
      <c r="D2768" s="59">
        <v>0.3</v>
      </c>
      <c r="E2768" s="60">
        <f t="shared" si="43"/>
        <v>0.98</v>
      </c>
      <c r="F2768" t="str" cm="1">
        <f t="array" ref="F2768">IF(A2768=MAX(IF(ROUND($B$2:$B$3722,4)=ROUND(B2768,4),$A$2:$A$3722)),"Efficient","Inefficient")</f>
        <v>Inefficient</v>
      </c>
    </row>
    <row r="2769" spans="1:6" x14ac:dyDescent="0.25">
      <c r="A2769" cm="1">
        <f t="array" ref="A2769">INDEX('Portfolio Weights Returns'!$B$9:$BJ$69,
INT((ROW(A2768)-1)/COLUMNS('Portfolio Weights Returns'!$B$9:$BJ$69))+1,MOD(ROW(A2768)-1,COLUMNS('Portfolio Weights Returns'!$B$9:$BJ$69))+1)</f>
        <v>-7.499501243089674E-4</v>
      </c>
      <c r="B2769">
        <v>2.23E-2</v>
      </c>
      <c r="C2769" s="59">
        <v>0.19</v>
      </c>
      <c r="D2769" s="59">
        <v>-0.3</v>
      </c>
      <c r="E2769" s="60">
        <f t="shared" si="43"/>
        <v>1.1100000000000001</v>
      </c>
      <c r="F2769" t="str" cm="1">
        <f t="array" ref="F2769">IF(A2769=MAX(IF(ROUND($B$2:$B$3722,4)=ROUND(B2769,4),$A$2:$A$3722)),"Efficient","Inefficient")</f>
        <v>Inefficient</v>
      </c>
    </row>
    <row r="2770" spans="1:6" x14ac:dyDescent="0.25">
      <c r="A2770" cm="1">
        <f t="array" ref="A2770">INDEX('Portfolio Weights Returns'!$B$9:$BJ$69,
INT((ROW(A2769)-1)/COLUMNS('Portfolio Weights Returns'!$B$9:$BJ$69))+1,MOD(ROW(A2769)-1,COLUMNS('Portfolio Weights Returns'!$B$9:$BJ$69))+1)</f>
        <v>-7.4316895034228837E-4</v>
      </c>
      <c r="B2770">
        <v>2.23E-2</v>
      </c>
      <c r="C2770" s="59">
        <v>0.17</v>
      </c>
      <c r="D2770" s="59">
        <v>-0.28999999999999998</v>
      </c>
      <c r="E2770" s="60">
        <f t="shared" si="43"/>
        <v>1.1200000000000001</v>
      </c>
      <c r="F2770" t="str" cm="1">
        <f t="array" ref="F2770">IF(A2770=MAX(IF(ROUND($B$2:$B$3722,4)=ROUND(B2770,4),$A$2:$A$3722)),"Efficient","Inefficient")</f>
        <v>Inefficient</v>
      </c>
    </row>
    <row r="2771" spans="1:6" x14ac:dyDescent="0.25">
      <c r="A2771" cm="1">
        <f t="array" ref="A2771">INDEX('Portfolio Weights Returns'!$B$9:$BJ$69,
INT((ROW(A2770)-1)/COLUMNS('Portfolio Weights Returns'!$B$9:$BJ$69))+1,MOD(ROW(A2770)-1,COLUMNS('Portfolio Weights Returns'!$B$9:$BJ$69))+1)</f>
        <v>-7.3638777637560922E-4</v>
      </c>
      <c r="B2771">
        <v>2.23E-2</v>
      </c>
      <c r="C2771" s="59">
        <v>0.15</v>
      </c>
      <c r="D2771" s="59">
        <v>-0.28000000000000003</v>
      </c>
      <c r="E2771" s="60">
        <f t="shared" si="43"/>
        <v>1.1300000000000001</v>
      </c>
      <c r="F2771" t="str" cm="1">
        <f t="array" ref="F2771">IF(A2771=MAX(IF(ROUND($B$2:$B$3722,4)=ROUND(B2771,4),$A$2:$A$3722)),"Efficient","Inefficient")</f>
        <v>Inefficient</v>
      </c>
    </row>
    <row r="2772" spans="1:6" x14ac:dyDescent="0.25">
      <c r="A2772" cm="1">
        <f t="array" ref="A2772">INDEX('Portfolio Weights Returns'!$B$9:$BJ$69,
INT((ROW(A2771)-1)/COLUMNS('Portfolio Weights Returns'!$B$9:$BJ$69))+1,MOD(ROW(A2771)-1,COLUMNS('Portfolio Weights Returns'!$B$9:$BJ$69))+1)</f>
        <v>-7.2960660240892997E-4</v>
      </c>
      <c r="B2772">
        <v>2.23E-2</v>
      </c>
      <c r="C2772" s="59">
        <v>0.12</v>
      </c>
      <c r="D2772" s="59">
        <v>-0.26</v>
      </c>
      <c r="E2772" s="60">
        <f t="shared" si="43"/>
        <v>1.1400000000000001</v>
      </c>
      <c r="F2772" t="str" cm="1">
        <f t="array" ref="F2772">IF(A2772=MAX(IF(ROUND($B$2:$B$3722,4)=ROUND(B2772,4),$A$2:$A$3722)),"Efficient","Inefficient")</f>
        <v>Inefficient</v>
      </c>
    </row>
    <row r="2773" spans="1:6" x14ac:dyDescent="0.25">
      <c r="A2773" cm="1">
        <f t="array" ref="A2773">INDEX('Portfolio Weights Returns'!$B$9:$BJ$69,
INT((ROW(A2772)-1)/COLUMNS('Portfolio Weights Returns'!$B$9:$BJ$69))+1,MOD(ROW(A2772)-1,COLUMNS('Portfolio Weights Returns'!$B$9:$BJ$69))+1)</f>
        <v>-7.2282542844225093E-4</v>
      </c>
      <c r="B2773">
        <v>2.23E-2</v>
      </c>
      <c r="C2773" s="59">
        <v>0.1</v>
      </c>
      <c r="D2773" s="59">
        <v>-0.25</v>
      </c>
      <c r="E2773" s="60">
        <f t="shared" si="43"/>
        <v>1.1499999999999999</v>
      </c>
      <c r="F2773" t="str" cm="1">
        <f t="array" ref="F2773">IF(A2773=MAX(IF(ROUND($B$2:$B$3722,4)=ROUND(B2773,4),$A$2:$A$3722)),"Efficient","Inefficient")</f>
        <v>Inefficient</v>
      </c>
    </row>
    <row r="2774" spans="1:6" x14ac:dyDescent="0.25">
      <c r="A2774" cm="1">
        <f t="array" ref="A2774">INDEX('Portfolio Weights Returns'!$B$9:$BJ$69,
INT((ROW(A2773)-1)/COLUMNS('Portfolio Weights Returns'!$B$9:$BJ$69))+1,MOD(ROW(A2773)-1,COLUMNS('Portfolio Weights Returns'!$B$9:$BJ$69))+1)</f>
        <v>-7.1604425447557179E-4</v>
      </c>
      <c r="B2774">
        <v>2.23E-2</v>
      </c>
      <c r="C2774" s="59">
        <v>7.0000000000000007E-2</v>
      </c>
      <c r="D2774" s="59">
        <v>-0.23</v>
      </c>
      <c r="E2774" s="60">
        <f t="shared" si="43"/>
        <v>1.1599999999999999</v>
      </c>
      <c r="F2774" t="str" cm="1">
        <f t="array" ref="F2774">IF(A2774=MAX(IF(ROUND($B$2:$B$3722,4)=ROUND(B2774,4),$A$2:$A$3722)),"Efficient","Inefficient")</f>
        <v>Inefficient</v>
      </c>
    </row>
    <row r="2775" spans="1:6" x14ac:dyDescent="0.25">
      <c r="A2775" cm="1">
        <f t="array" ref="A2775">INDEX('Portfolio Weights Returns'!$B$9:$BJ$69,
INT((ROW(A2774)-1)/COLUMNS('Portfolio Weights Returns'!$B$9:$BJ$69))+1,MOD(ROW(A2774)-1,COLUMNS('Portfolio Weights Returns'!$B$9:$BJ$69))+1)</f>
        <v>-7.0926308050889275E-4</v>
      </c>
      <c r="B2775">
        <v>2.23E-2</v>
      </c>
      <c r="C2775" s="59">
        <v>0.05</v>
      </c>
      <c r="D2775" s="59">
        <v>-0.22</v>
      </c>
      <c r="E2775" s="60">
        <f t="shared" si="43"/>
        <v>1.17</v>
      </c>
      <c r="F2775" t="str" cm="1">
        <f t="array" ref="F2775">IF(A2775=MAX(IF(ROUND($B$2:$B$3722,4)=ROUND(B2775,4),$A$2:$A$3722)),"Efficient","Inefficient")</f>
        <v>Inefficient</v>
      </c>
    </row>
    <row r="2776" spans="1:6" x14ac:dyDescent="0.25">
      <c r="A2776" cm="1">
        <f t="array" ref="A2776">INDEX('Portfolio Weights Returns'!$B$9:$BJ$69,
INT((ROW(A2775)-1)/COLUMNS('Portfolio Weights Returns'!$B$9:$BJ$69))+1,MOD(ROW(A2775)-1,COLUMNS('Portfolio Weights Returns'!$B$9:$BJ$69))+1)</f>
        <v>-7.0248190654221361E-4</v>
      </c>
      <c r="B2776">
        <v>2.23E-2</v>
      </c>
      <c r="C2776" s="59">
        <v>0.04</v>
      </c>
      <c r="D2776" s="59">
        <v>-0.21</v>
      </c>
      <c r="E2776" s="60">
        <f t="shared" si="43"/>
        <v>1.17</v>
      </c>
      <c r="F2776" t="str" cm="1">
        <f t="array" ref="F2776">IF(A2776=MAX(IF(ROUND($B$2:$B$3722,4)=ROUND(B2776,4),$A$2:$A$3722)),"Efficient","Inefficient")</f>
        <v>Inefficient</v>
      </c>
    </row>
    <row r="2777" spans="1:6" x14ac:dyDescent="0.25">
      <c r="A2777" cm="1">
        <f t="array" ref="A2777">INDEX('Portfolio Weights Returns'!$B$9:$BJ$69,
INT((ROW(A2776)-1)/COLUMNS('Portfolio Weights Returns'!$B$9:$BJ$69))+1,MOD(ROW(A2776)-1,COLUMNS('Portfolio Weights Returns'!$B$9:$BJ$69))+1)</f>
        <v>-6.9570073257553457E-4</v>
      </c>
      <c r="B2777">
        <v>2.23E-2</v>
      </c>
      <c r="C2777" s="59">
        <v>0.02</v>
      </c>
      <c r="D2777" s="59">
        <v>-0.2</v>
      </c>
      <c r="E2777" s="60">
        <f t="shared" si="43"/>
        <v>1.18</v>
      </c>
      <c r="F2777" t="str" cm="1">
        <f t="array" ref="F2777">IF(A2777=MAX(IF(ROUND($B$2:$B$3722,4)=ROUND(B2777,4),$A$2:$A$3722)),"Efficient","Inefficient")</f>
        <v>Inefficient</v>
      </c>
    </row>
    <row r="2778" spans="1:6" x14ac:dyDescent="0.25">
      <c r="A2778" cm="1">
        <f t="array" ref="A2778">INDEX('Portfolio Weights Returns'!$B$9:$BJ$69,
INT((ROW(A2777)-1)/COLUMNS('Portfolio Weights Returns'!$B$9:$BJ$69))+1,MOD(ROW(A2777)-1,COLUMNS('Portfolio Weights Returns'!$B$9:$BJ$69))+1)</f>
        <v>-6.8891955860885532E-4</v>
      </c>
      <c r="B2778">
        <v>2.23E-2</v>
      </c>
      <c r="C2778" s="59">
        <v>0.01</v>
      </c>
      <c r="D2778" s="59">
        <v>-0.19</v>
      </c>
      <c r="E2778" s="60">
        <f t="shared" si="43"/>
        <v>1.18</v>
      </c>
      <c r="F2778" t="str" cm="1">
        <f t="array" ref="F2778">IF(A2778=MAX(IF(ROUND($B$2:$B$3722,4)=ROUND(B2778,4),$A$2:$A$3722)),"Efficient","Inefficient")</f>
        <v>Inefficient</v>
      </c>
    </row>
    <row r="2779" spans="1:6" x14ac:dyDescent="0.25">
      <c r="A2779" cm="1">
        <f t="array" ref="A2779">INDEX('Portfolio Weights Returns'!$B$9:$BJ$69,
INT((ROW(A2778)-1)/COLUMNS('Portfolio Weights Returns'!$B$9:$BJ$69))+1,MOD(ROW(A2778)-1,COLUMNS('Portfolio Weights Returns'!$B$9:$BJ$69))+1)</f>
        <v>-6.8213838464217628E-4</v>
      </c>
      <c r="B2779">
        <v>2.23E-2</v>
      </c>
      <c r="C2779" s="59">
        <v>-0.02</v>
      </c>
      <c r="D2779" s="59">
        <v>-0.17</v>
      </c>
      <c r="E2779" s="60">
        <f t="shared" si="43"/>
        <v>1.19</v>
      </c>
      <c r="F2779" t="str" cm="1">
        <f t="array" ref="F2779">IF(A2779=MAX(IF(ROUND($B$2:$B$3722,4)=ROUND(B2779,4),$A$2:$A$3722)),"Efficient","Inefficient")</f>
        <v>Inefficient</v>
      </c>
    </row>
    <row r="2780" spans="1:6" x14ac:dyDescent="0.25">
      <c r="A2780" cm="1">
        <f t="array" ref="A2780">INDEX('Portfolio Weights Returns'!$B$9:$BJ$69,
INT((ROW(A2779)-1)/COLUMNS('Portfolio Weights Returns'!$B$9:$BJ$69))+1,MOD(ROW(A2779)-1,COLUMNS('Portfolio Weights Returns'!$B$9:$BJ$69))+1)</f>
        <v>-6.7535721067549714E-4</v>
      </c>
      <c r="B2780">
        <v>2.23E-2</v>
      </c>
      <c r="C2780" s="59">
        <v>-0.06</v>
      </c>
      <c r="D2780" s="59">
        <v>-0.14000000000000001</v>
      </c>
      <c r="E2780" s="60">
        <f t="shared" si="43"/>
        <v>1.2000000000000002</v>
      </c>
      <c r="F2780" t="str" cm="1">
        <f t="array" ref="F2780">IF(A2780=MAX(IF(ROUND($B$2:$B$3722,4)=ROUND(B2780,4),$A$2:$A$3722)),"Efficient","Inefficient")</f>
        <v>Inefficient</v>
      </c>
    </row>
    <row r="2781" spans="1:6" x14ac:dyDescent="0.25">
      <c r="A2781" cm="1">
        <f t="array" ref="A2781">INDEX('Portfolio Weights Returns'!$B$9:$BJ$69,
INT((ROW(A2780)-1)/COLUMNS('Portfolio Weights Returns'!$B$9:$BJ$69))+1,MOD(ROW(A2780)-1,COLUMNS('Portfolio Weights Returns'!$B$9:$BJ$69))+1)</f>
        <v>-6.68576036708818E-4</v>
      </c>
      <c r="B2781">
        <v>2.23E-2</v>
      </c>
      <c r="C2781" s="59">
        <v>-7.0000000000000007E-2</v>
      </c>
      <c r="D2781" s="59">
        <v>-0.13</v>
      </c>
      <c r="E2781" s="60">
        <f t="shared" si="43"/>
        <v>1.2</v>
      </c>
      <c r="F2781" t="str" cm="1">
        <f t="array" ref="F2781">IF(A2781=MAX(IF(ROUND($B$2:$B$3722,4)=ROUND(B2781,4),$A$2:$A$3722)),"Efficient","Inefficient")</f>
        <v>Inefficient</v>
      </c>
    </row>
    <row r="2782" spans="1:6" x14ac:dyDescent="0.25">
      <c r="A2782" cm="1">
        <f t="array" ref="A2782">INDEX('Portfolio Weights Returns'!$B$9:$BJ$69,
INT((ROW(A2781)-1)/COLUMNS('Portfolio Weights Returns'!$B$9:$BJ$69))+1,MOD(ROW(A2781)-1,COLUMNS('Portfolio Weights Returns'!$B$9:$BJ$69))+1)</f>
        <v>-6.6179486274213896E-4</v>
      </c>
      <c r="B2782">
        <v>2.23E-2</v>
      </c>
      <c r="C2782" s="59">
        <v>-0.12</v>
      </c>
      <c r="D2782" s="59">
        <v>-0.09</v>
      </c>
      <c r="E2782" s="60">
        <f t="shared" si="43"/>
        <v>1.21</v>
      </c>
      <c r="F2782" t="str" cm="1">
        <f t="array" ref="F2782">IF(A2782=MAX(IF(ROUND($B$2:$B$3722,4)=ROUND(B2782,4),$A$2:$A$3722)),"Efficient","Inefficient")</f>
        <v>Inefficient</v>
      </c>
    </row>
    <row r="2783" spans="1:6" x14ac:dyDescent="0.25">
      <c r="A2783" cm="1">
        <f t="array" ref="A2783">INDEX('Portfolio Weights Returns'!$B$9:$BJ$69,
INT((ROW(A2782)-1)/COLUMNS('Portfolio Weights Returns'!$B$9:$BJ$69))+1,MOD(ROW(A2782)-1,COLUMNS('Portfolio Weights Returns'!$B$9:$BJ$69))+1)</f>
        <v>-6.5501368877545982E-4</v>
      </c>
      <c r="B2783">
        <v>2.23E-2</v>
      </c>
      <c r="C2783" s="59">
        <v>-0.13</v>
      </c>
      <c r="D2783" s="59">
        <v>-0.08</v>
      </c>
      <c r="E2783" s="60">
        <f t="shared" si="43"/>
        <v>1.21</v>
      </c>
      <c r="F2783" t="str" cm="1">
        <f t="array" ref="F2783">IF(A2783=MAX(IF(ROUND($B$2:$B$3722,4)=ROUND(B2783,4),$A$2:$A$3722)),"Efficient","Inefficient")</f>
        <v>Inefficient</v>
      </c>
    </row>
    <row r="2784" spans="1:6" x14ac:dyDescent="0.25">
      <c r="A2784" cm="1">
        <f t="array" ref="A2784">INDEX('Portfolio Weights Returns'!$B$9:$BJ$69,
INT((ROW(A2783)-1)/COLUMNS('Portfolio Weights Returns'!$B$9:$BJ$69))+1,MOD(ROW(A2783)-1,COLUMNS('Portfolio Weights Returns'!$B$9:$BJ$69))+1)</f>
        <v>-6.4823251480878078E-4</v>
      </c>
      <c r="B2784">
        <v>2.23E-2</v>
      </c>
      <c r="C2784" s="59">
        <v>-0.14000000000000001</v>
      </c>
      <c r="D2784" s="59">
        <v>-7.0000000000000007E-2</v>
      </c>
      <c r="E2784" s="60">
        <f t="shared" si="43"/>
        <v>1.21</v>
      </c>
      <c r="F2784" t="str" cm="1">
        <f t="array" ref="F2784">IF(A2784=MAX(IF(ROUND($B$2:$B$3722,4)=ROUND(B2784,4),$A$2:$A$3722)),"Efficient","Inefficient")</f>
        <v>Inefficient</v>
      </c>
    </row>
    <row r="2785" spans="1:6" x14ac:dyDescent="0.25">
      <c r="A2785" cm="1">
        <f t="array" ref="A2785">INDEX('Portfolio Weights Returns'!$B$9:$BJ$69,
INT((ROW(A2784)-1)/COLUMNS('Portfolio Weights Returns'!$B$9:$BJ$69))+1,MOD(ROW(A2784)-1,COLUMNS('Portfolio Weights Returns'!$B$9:$BJ$69))+1)</f>
        <v>-6.4145134084210164E-4</v>
      </c>
      <c r="B2785">
        <v>2.23E-2</v>
      </c>
      <c r="C2785" s="59">
        <v>-0.15</v>
      </c>
      <c r="D2785" s="59">
        <v>-0.06</v>
      </c>
      <c r="E2785" s="60">
        <f t="shared" si="43"/>
        <v>1.21</v>
      </c>
      <c r="F2785" t="str" cm="1">
        <f t="array" ref="F2785">IF(A2785=MAX(IF(ROUND($B$2:$B$3722,4)=ROUND(B2785,4),$A$2:$A$3722)),"Efficient","Inefficient")</f>
        <v>Inefficient</v>
      </c>
    </row>
    <row r="2786" spans="1:6" x14ac:dyDescent="0.25">
      <c r="A2786" cm="1">
        <f t="array" ref="A2786">INDEX('Portfolio Weights Returns'!$B$9:$BJ$69,
INT((ROW(A2785)-1)/COLUMNS('Portfolio Weights Returns'!$B$9:$BJ$69))+1,MOD(ROW(A2785)-1,COLUMNS('Portfolio Weights Returns'!$B$9:$BJ$69))+1)</f>
        <v>-6.346701668754226E-4</v>
      </c>
      <c r="B2786">
        <v>2.23E-2</v>
      </c>
      <c r="C2786" s="59">
        <v>-0.16</v>
      </c>
      <c r="D2786" s="59">
        <v>-0.05</v>
      </c>
      <c r="E2786" s="60">
        <f t="shared" si="43"/>
        <v>1.21</v>
      </c>
      <c r="F2786" t="str" cm="1">
        <f t="array" ref="F2786">IF(A2786=MAX(IF(ROUND($B$2:$B$3722,4)=ROUND(B2786,4),$A$2:$A$3722)),"Efficient","Inefficient")</f>
        <v>Inefficient</v>
      </c>
    </row>
    <row r="2787" spans="1:6" x14ac:dyDescent="0.25">
      <c r="A2787" cm="1">
        <f t="array" ref="A2787">INDEX('Portfolio Weights Returns'!$B$9:$BJ$69,
INT((ROW(A2786)-1)/COLUMNS('Portfolio Weights Returns'!$B$9:$BJ$69))+1,MOD(ROW(A2786)-1,COLUMNS('Portfolio Weights Returns'!$B$9:$BJ$69))+1)</f>
        <v>-6.2788899290874345E-4</v>
      </c>
      <c r="B2787">
        <v>2.23E-2</v>
      </c>
      <c r="C2787" s="59">
        <v>-0.17</v>
      </c>
      <c r="D2787" s="59">
        <v>-0.04</v>
      </c>
      <c r="E2787" s="60">
        <f t="shared" si="43"/>
        <v>1.21</v>
      </c>
      <c r="F2787" t="str" cm="1">
        <f t="array" ref="F2787">IF(A2787=MAX(IF(ROUND($B$2:$B$3722,4)=ROUND(B2787,4),$A$2:$A$3722)),"Efficient","Inefficient")</f>
        <v>Inefficient</v>
      </c>
    </row>
    <row r="2788" spans="1:6" x14ac:dyDescent="0.25">
      <c r="A2788" cm="1">
        <f t="array" ref="A2788">INDEX('Portfolio Weights Returns'!$B$9:$BJ$69,
INT((ROW(A2787)-1)/COLUMNS('Portfolio Weights Returns'!$B$9:$BJ$69))+1,MOD(ROW(A2787)-1,COLUMNS('Portfolio Weights Returns'!$B$9:$BJ$69))+1)</f>
        <v>-6.2110781894206442E-4</v>
      </c>
      <c r="B2788">
        <v>2.23E-2</v>
      </c>
      <c r="C2788" s="59">
        <v>-0.2</v>
      </c>
      <c r="D2788" s="59">
        <v>0</v>
      </c>
      <c r="E2788" s="60">
        <f t="shared" si="43"/>
        <v>1.2</v>
      </c>
      <c r="F2788" t="str" cm="1">
        <f t="array" ref="F2788">IF(A2788=MAX(IF(ROUND($B$2:$B$3722,4)=ROUND(B2788,4),$A$2:$A$3722)),"Efficient","Inefficient")</f>
        <v>Inefficient</v>
      </c>
    </row>
    <row r="2789" spans="1:6" x14ac:dyDescent="0.25">
      <c r="A2789" cm="1">
        <f t="array" ref="A2789">INDEX('Portfolio Weights Returns'!$B$9:$BJ$69,
INT((ROW(A2788)-1)/COLUMNS('Portfolio Weights Returns'!$B$9:$BJ$69))+1,MOD(ROW(A2788)-1,COLUMNS('Portfolio Weights Returns'!$B$9:$BJ$69))+1)</f>
        <v>-6.1432664497538527E-4</v>
      </c>
      <c r="B2789">
        <v>2.23E-2</v>
      </c>
      <c r="C2789" s="59">
        <v>-0.21</v>
      </c>
      <c r="D2789" s="59">
        <v>0.01</v>
      </c>
      <c r="E2789" s="60">
        <f t="shared" si="43"/>
        <v>1.2</v>
      </c>
      <c r="F2789" t="str" cm="1">
        <f t="array" ref="F2789">IF(A2789=MAX(IF(ROUND($B$2:$B$3722,4)=ROUND(B2789,4),$A$2:$A$3722)),"Efficient","Inefficient")</f>
        <v>Inefficient</v>
      </c>
    </row>
    <row r="2790" spans="1:6" x14ac:dyDescent="0.25">
      <c r="A2790" cm="1">
        <f t="array" ref="A2790">INDEX('Portfolio Weights Returns'!$B$9:$BJ$69,
INT((ROW(A2789)-1)/COLUMNS('Portfolio Weights Returns'!$B$9:$BJ$69))+1,MOD(ROW(A2789)-1,COLUMNS('Portfolio Weights Returns'!$B$9:$BJ$69))+1)</f>
        <v>-6.0754547100870613E-4</v>
      </c>
      <c r="B2790">
        <v>2.23E-2</v>
      </c>
      <c r="C2790" s="59">
        <v>-0.22</v>
      </c>
      <c r="D2790" s="59">
        <v>0.02</v>
      </c>
      <c r="E2790" s="60">
        <f t="shared" si="43"/>
        <v>1.2</v>
      </c>
      <c r="F2790" t="str" cm="1">
        <f t="array" ref="F2790">IF(A2790=MAX(IF(ROUND($B$2:$B$3722,4)=ROUND(B2790,4),$A$2:$A$3722)),"Efficient","Inefficient")</f>
        <v>Inefficient</v>
      </c>
    </row>
    <row r="2791" spans="1:6" x14ac:dyDescent="0.25">
      <c r="A2791" cm="1">
        <f t="array" ref="A2791">INDEX('Portfolio Weights Returns'!$B$9:$BJ$69,
INT((ROW(A2790)-1)/COLUMNS('Portfolio Weights Returns'!$B$9:$BJ$69))+1,MOD(ROW(A2790)-1,COLUMNS('Portfolio Weights Returns'!$B$9:$BJ$69))+1)</f>
        <v>-6.0076429704202699E-4</v>
      </c>
      <c r="B2791">
        <v>2.23E-2</v>
      </c>
      <c r="C2791" s="59">
        <v>-0.23</v>
      </c>
      <c r="D2791" s="59">
        <v>0.04</v>
      </c>
      <c r="E2791" s="60">
        <f t="shared" si="43"/>
        <v>1.19</v>
      </c>
      <c r="F2791" t="str" cm="1">
        <f t="array" ref="F2791">IF(A2791=MAX(IF(ROUND($B$2:$B$3722,4)=ROUND(B2791,4),$A$2:$A$3722)),"Efficient","Inefficient")</f>
        <v>Inefficient</v>
      </c>
    </row>
    <row r="2792" spans="1:6" x14ac:dyDescent="0.25">
      <c r="A2792" cm="1">
        <f t="array" ref="A2792">INDEX('Portfolio Weights Returns'!$B$9:$BJ$69,
INT((ROW(A2791)-1)/COLUMNS('Portfolio Weights Returns'!$B$9:$BJ$69))+1,MOD(ROW(A2791)-1,COLUMNS('Portfolio Weights Returns'!$B$9:$BJ$69))+1)</f>
        <v>-5.9398312307534784E-4</v>
      </c>
      <c r="B2792">
        <v>2.23E-2</v>
      </c>
      <c r="C2792" s="59">
        <v>-0.24</v>
      </c>
      <c r="D2792" s="59">
        <v>0.05</v>
      </c>
      <c r="E2792" s="60">
        <f t="shared" si="43"/>
        <v>1.19</v>
      </c>
      <c r="F2792" t="str" cm="1">
        <f t="array" ref="F2792">IF(A2792=MAX(IF(ROUND($B$2:$B$3722,4)=ROUND(B2792,4),$A$2:$A$3722)),"Efficient","Inefficient")</f>
        <v>Inefficient</v>
      </c>
    </row>
    <row r="2793" spans="1:6" x14ac:dyDescent="0.25">
      <c r="A2793" cm="1">
        <f t="array" ref="A2793">INDEX('Portfolio Weights Returns'!$B$9:$BJ$69,
INT((ROW(A2792)-1)/COLUMNS('Portfolio Weights Returns'!$B$9:$BJ$69))+1,MOD(ROW(A2792)-1,COLUMNS('Portfolio Weights Returns'!$B$9:$BJ$69))+1)</f>
        <v>-5.872019491086688E-4</v>
      </c>
      <c r="B2793">
        <v>2.23E-2</v>
      </c>
      <c r="C2793" s="59">
        <v>-0.25</v>
      </c>
      <c r="D2793" s="59">
        <v>7.0000000000000007E-2</v>
      </c>
      <c r="E2793" s="60">
        <f t="shared" si="43"/>
        <v>1.18</v>
      </c>
      <c r="F2793" t="str" cm="1">
        <f t="array" ref="F2793">IF(A2793=MAX(IF(ROUND($B$2:$B$3722,4)=ROUND(B2793,4),$A$2:$A$3722)),"Efficient","Inefficient")</f>
        <v>Inefficient</v>
      </c>
    </row>
    <row r="2794" spans="1:6" x14ac:dyDescent="0.25">
      <c r="A2794" cm="1">
        <f t="array" ref="A2794">INDEX('Portfolio Weights Returns'!$B$9:$BJ$69,
INT((ROW(A2793)-1)/COLUMNS('Portfolio Weights Returns'!$B$9:$BJ$69))+1,MOD(ROW(A2793)-1,COLUMNS('Portfolio Weights Returns'!$B$9:$BJ$69))+1)</f>
        <v>-5.8042077514198966E-4</v>
      </c>
      <c r="B2794">
        <v>2.23E-2</v>
      </c>
      <c r="C2794" s="59">
        <v>-0.26</v>
      </c>
      <c r="D2794" s="59">
        <v>0.09</v>
      </c>
      <c r="E2794" s="60">
        <f t="shared" si="43"/>
        <v>1.17</v>
      </c>
      <c r="F2794" t="str" cm="1">
        <f t="array" ref="F2794">IF(A2794=MAX(IF(ROUND($B$2:$B$3722,4)=ROUND(B2794,4),$A$2:$A$3722)),"Efficient","Inefficient")</f>
        <v>Inefficient</v>
      </c>
    </row>
    <row r="2795" spans="1:6" x14ac:dyDescent="0.25">
      <c r="A2795" cm="1">
        <f t="array" ref="A2795">INDEX('Portfolio Weights Returns'!$B$9:$BJ$69,
INT((ROW(A2794)-1)/COLUMNS('Portfolio Weights Returns'!$B$9:$BJ$69))+1,MOD(ROW(A2794)-1,COLUMNS('Portfolio Weights Returns'!$B$9:$BJ$69))+1)</f>
        <v>-5.7363960117531073E-4</v>
      </c>
      <c r="B2795">
        <v>2.23E-2</v>
      </c>
      <c r="C2795" s="59">
        <v>-0.27</v>
      </c>
      <c r="D2795" s="59">
        <v>0.1</v>
      </c>
      <c r="E2795" s="60">
        <f t="shared" si="43"/>
        <v>1.17</v>
      </c>
      <c r="F2795" t="str" cm="1">
        <f t="array" ref="F2795">IF(A2795=MAX(IF(ROUND($B$2:$B$3722,4)=ROUND(B2795,4),$A$2:$A$3722)),"Efficient","Inefficient")</f>
        <v>Inefficient</v>
      </c>
    </row>
    <row r="2796" spans="1:6" x14ac:dyDescent="0.25">
      <c r="A2796" cm="1">
        <f t="array" ref="A2796">INDEX('Portfolio Weights Returns'!$B$9:$BJ$69,
INT((ROW(A2795)-1)/COLUMNS('Portfolio Weights Returns'!$B$9:$BJ$69))+1,MOD(ROW(A2795)-1,COLUMNS('Portfolio Weights Returns'!$B$9:$BJ$69))+1)</f>
        <v>-5.6685842720863159E-4</v>
      </c>
      <c r="B2796">
        <v>2.23E-2</v>
      </c>
      <c r="C2796" s="59">
        <v>-0.27</v>
      </c>
      <c r="D2796" s="59">
        <v>0.11</v>
      </c>
      <c r="E2796" s="60">
        <f t="shared" si="43"/>
        <v>1.1600000000000001</v>
      </c>
      <c r="F2796" t="str" cm="1">
        <f t="array" ref="F2796">IF(A2796=MAX(IF(ROUND($B$2:$B$3722,4)=ROUND(B2796,4),$A$2:$A$3722)),"Efficient","Inefficient")</f>
        <v>Inefficient</v>
      </c>
    </row>
    <row r="2797" spans="1:6" x14ac:dyDescent="0.25">
      <c r="A2797" cm="1">
        <f t="array" ref="A2797">INDEX('Portfolio Weights Returns'!$B$9:$BJ$69,
INT((ROW(A2796)-1)/COLUMNS('Portfolio Weights Returns'!$B$9:$BJ$69))+1,MOD(ROW(A2796)-1,COLUMNS('Portfolio Weights Returns'!$B$9:$BJ$69))+1)</f>
        <v>-5.6007725324195244E-4</v>
      </c>
      <c r="B2797">
        <v>2.23E-2</v>
      </c>
      <c r="C2797" s="59">
        <v>-0.28000000000000003</v>
      </c>
      <c r="D2797" s="59">
        <v>0.13</v>
      </c>
      <c r="E2797" s="60">
        <f t="shared" si="43"/>
        <v>1.1499999999999999</v>
      </c>
      <c r="F2797" t="str" cm="1">
        <f t="array" ref="F2797">IF(A2797=MAX(IF(ROUND($B$2:$B$3722,4)=ROUND(B2797,4),$A$2:$A$3722)),"Efficient","Inefficient")</f>
        <v>Inefficient</v>
      </c>
    </row>
    <row r="2798" spans="1:6" x14ac:dyDescent="0.25">
      <c r="A2798" cm="1">
        <f t="array" ref="A2798">INDEX('Portfolio Weights Returns'!$B$9:$BJ$69,
INT((ROW(A2797)-1)/COLUMNS('Portfolio Weights Returns'!$B$9:$BJ$69))+1,MOD(ROW(A2797)-1,COLUMNS('Portfolio Weights Returns'!$B$9:$BJ$69))+1)</f>
        <v>-5.532960792752733E-4</v>
      </c>
      <c r="B2798">
        <v>2.23E-2</v>
      </c>
      <c r="C2798" s="59">
        <v>-0.28999999999999998</v>
      </c>
      <c r="D2798" s="59">
        <v>0.15</v>
      </c>
      <c r="E2798" s="60">
        <f t="shared" si="43"/>
        <v>1.1399999999999999</v>
      </c>
      <c r="F2798" t="str" cm="1">
        <f t="array" ref="F2798">IF(A2798=MAX(IF(ROUND($B$2:$B$3722,4)=ROUND(B2798,4),$A$2:$A$3722)),"Efficient","Inefficient")</f>
        <v>Inefficient</v>
      </c>
    </row>
    <row r="2799" spans="1:6" x14ac:dyDescent="0.25">
      <c r="A2799" cm="1">
        <f t="array" ref="A2799">INDEX('Portfolio Weights Returns'!$B$9:$BJ$69,
INT((ROW(A2798)-1)/COLUMNS('Portfolio Weights Returns'!$B$9:$BJ$69))+1,MOD(ROW(A2798)-1,COLUMNS('Portfolio Weights Returns'!$B$9:$BJ$69))+1)</f>
        <v>-5.4651490530859426E-4</v>
      </c>
      <c r="B2799">
        <v>2.23E-2</v>
      </c>
      <c r="C2799" s="59">
        <v>-0.28999999999999998</v>
      </c>
      <c r="D2799" s="59">
        <v>0.16</v>
      </c>
      <c r="E2799" s="60">
        <f t="shared" si="43"/>
        <v>1.1299999999999999</v>
      </c>
      <c r="F2799" t="str" cm="1">
        <f t="array" ref="F2799">IF(A2799=MAX(IF(ROUND($B$2:$B$3722,4)=ROUND(B2799,4),$A$2:$A$3722)),"Efficient","Inefficient")</f>
        <v>Inefficient</v>
      </c>
    </row>
    <row r="2800" spans="1:6" x14ac:dyDescent="0.25">
      <c r="A2800" cm="1">
        <f t="array" ref="A2800">INDEX('Portfolio Weights Returns'!$B$9:$BJ$69,
INT((ROW(A2799)-1)/COLUMNS('Portfolio Weights Returns'!$B$9:$BJ$69))+1,MOD(ROW(A2799)-1,COLUMNS('Portfolio Weights Returns'!$B$9:$BJ$69))+1)</f>
        <v>-5.3973373134191512E-4</v>
      </c>
      <c r="B2800">
        <v>2.23E-2</v>
      </c>
      <c r="C2800" s="59">
        <v>-0.3</v>
      </c>
      <c r="D2800" s="59">
        <v>0.19</v>
      </c>
      <c r="E2800" s="60">
        <f t="shared" si="43"/>
        <v>1.1100000000000001</v>
      </c>
      <c r="F2800" t="str" cm="1">
        <f t="array" ref="F2800">IF(A2800=MAX(IF(ROUND($B$2:$B$3722,4)=ROUND(B2800,4),$A$2:$A$3722)),"Efficient","Inefficient")</f>
        <v>Inefficient</v>
      </c>
    </row>
    <row r="2801" spans="1:6" x14ac:dyDescent="0.25">
      <c r="A2801" cm="1">
        <f t="array" ref="A2801">INDEX('Portfolio Weights Returns'!$B$9:$BJ$69,
INT((ROW(A2800)-1)/COLUMNS('Portfolio Weights Returns'!$B$9:$BJ$69))+1,MOD(ROW(A2800)-1,COLUMNS('Portfolio Weights Returns'!$B$9:$BJ$69))+1)</f>
        <v>-5.3295255737523597E-4</v>
      </c>
      <c r="B2801">
        <v>2.23E-2</v>
      </c>
      <c r="C2801" s="59">
        <v>-0.3</v>
      </c>
      <c r="D2801" s="59">
        <v>0.2</v>
      </c>
      <c r="E2801" s="60">
        <f t="shared" si="43"/>
        <v>1.1000000000000001</v>
      </c>
      <c r="F2801" t="str" cm="1">
        <f t="array" ref="F2801">IF(A2801=MAX(IF(ROUND($B$2:$B$3722,4)=ROUND(B2801,4),$A$2:$A$3722)),"Efficient","Inefficient")</f>
        <v>Inefficient</v>
      </c>
    </row>
    <row r="2802" spans="1:6" x14ac:dyDescent="0.25">
      <c r="A2802" cm="1">
        <f t="array" ref="A2802">INDEX('Portfolio Weights Returns'!$B$9:$BJ$69,
INT((ROW(A2801)-1)/COLUMNS('Portfolio Weights Returns'!$B$9:$BJ$69))+1,MOD(ROW(A2801)-1,COLUMNS('Portfolio Weights Returns'!$B$9:$BJ$69))+1)</f>
        <v>-5.2617138340855683E-4</v>
      </c>
      <c r="B2802">
        <v>2.23E-2</v>
      </c>
      <c r="C2802" s="59">
        <v>-0.3</v>
      </c>
      <c r="D2802" s="59">
        <v>0.21</v>
      </c>
      <c r="E2802" s="60">
        <f t="shared" si="43"/>
        <v>1.0900000000000001</v>
      </c>
      <c r="F2802" t="str" cm="1">
        <f t="array" ref="F2802">IF(A2802=MAX(IF(ROUND($B$2:$B$3722,4)=ROUND(B2802,4),$A$2:$A$3722)),"Efficient","Inefficient")</f>
        <v>Inefficient</v>
      </c>
    </row>
    <row r="2803" spans="1:6" x14ac:dyDescent="0.25">
      <c r="A2803" cm="1">
        <f t="array" ref="A2803">INDEX('Portfolio Weights Returns'!$B$9:$BJ$69,
INT((ROW(A2802)-1)/COLUMNS('Portfolio Weights Returns'!$B$9:$BJ$69))+1,MOD(ROW(A2802)-1,COLUMNS('Portfolio Weights Returns'!$B$9:$BJ$69))+1)</f>
        <v>-5.1939020944187779E-4</v>
      </c>
      <c r="B2803">
        <v>2.23E-2</v>
      </c>
      <c r="C2803" s="59">
        <v>-0.3</v>
      </c>
      <c r="D2803" s="59">
        <v>0.22</v>
      </c>
      <c r="E2803" s="60">
        <f t="shared" si="43"/>
        <v>1.08</v>
      </c>
      <c r="F2803" t="str" cm="1">
        <f t="array" ref="F2803">IF(A2803=MAX(IF(ROUND($B$2:$B$3722,4)=ROUND(B2803,4),$A$2:$A$3722)),"Efficient","Inefficient")</f>
        <v>Inefficient</v>
      </c>
    </row>
    <row r="2804" spans="1:6" x14ac:dyDescent="0.25">
      <c r="A2804" cm="1">
        <f t="array" ref="A2804">INDEX('Portfolio Weights Returns'!$B$9:$BJ$69,
INT((ROW(A2803)-1)/COLUMNS('Portfolio Weights Returns'!$B$9:$BJ$69))+1,MOD(ROW(A2803)-1,COLUMNS('Portfolio Weights Returns'!$B$9:$BJ$69))+1)</f>
        <v>-5.12609035475198E-4</v>
      </c>
      <c r="B2804">
        <v>2.23E-2</v>
      </c>
      <c r="C2804" s="59">
        <v>-0.3</v>
      </c>
      <c r="D2804" s="59">
        <v>0.23</v>
      </c>
      <c r="E2804" s="60">
        <f t="shared" si="43"/>
        <v>1.07</v>
      </c>
      <c r="F2804" t="str" cm="1">
        <f t="array" ref="F2804">IF(A2804=MAX(IF(ROUND($B$2:$B$3722,4)=ROUND(B2804,4),$A$2:$A$3722)),"Efficient","Inefficient")</f>
        <v>Inefficient</v>
      </c>
    </row>
    <row r="2805" spans="1:6" x14ac:dyDescent="0.25">
      <c r="A2805" cm="1">
        <f t="array" ref="A2805">INDEX('Portfolio Weights Returns'!$B$9:$BJ$69,
INT((ROW(A2804)-1)/COLUMNS('Portfolio Weights Returns'!$B$9:$BJ$69))+1,MOD(ROW(A2804)-1,COLUMNS('Portfolio Weights Returns'!$B$9:$BJ$69))+1)</f>
        <v>-5.0582786150851885E-4</v>
      </c>
      <c r="B2805">
        <v>2.23E-2</v>
      </c>
      <c r="C2805" s="59">
        <v>-0.3</v>
      </c>
      <c r="D2805" s="59">
        <v>0.24</v>
      </c>
      <c r="E2805" s="60">
        <f t="shared" si="43"/>
        <v>1.06</v>
      </c>
      <c r="F2805" t="str" cm="1">
        <f t="array" ref="F2805">IF(A2805=MAX(IF(ROUND($B$2:$B$3722,4)=ROUND(B2805,4),$A$2:$A$3722)),"Efficient","Inefficient")</f>
        <v>Inefficient</v>
      </c>
    </row>
    <row r="2806" spans="1:6" x14ac:dyDescent="0.25">
      <c r="A2806" cm="1">
        <f t="array" ref="A2806">INDEX('Portfolio Weights Returns'!$B$9:$BJ$69,
INT((ROW(A2805)-1)/COLUMNS('Portfolio Weights Returns'!$B$9:$BJ$69))+1,MOD(ROW(A2805)-1,COLUMNS('Portfolio Weights Returns'!$B$9:$BJ$69))+1)</f>
        <v>-4.9904668754183982E-4</v>
      </c>
      <c r="B2806">
        <v>2.23E-2</v>
      </c>
      <c r="C2806" s="59">
        <v>-0.3</v>
      </c>
      <c r="D2806" s="59">
        <v>0.25</v>
      </c>
      <c r="E2806" s="60">
        <f t="shared" si="43"/>
        <v>1.05</v>
      </c>
      <c r="F2806" t="str" cm="1">
        <f t="array" ref="F2806">IF(A2806=MAX(IF(ROUND($B$2:$B$3722,4)=ROUND(B2806,4),$A$2:$A$3722)),"Efficient","Inefficient")</f>
        <v>Inefficient</v>
      </c>
    </row>
    <row r="2807" spans="1:6" x14ac:dyDescent="0.25">
      <c r="A2807" cm="1">
        <f t="array" ref="A2807">INDEX('Portfolio Weights Returns'!$B$9:$BJ$69,
INT((ROW(A2806)-1)/COLUMNS('Portfolio Weights Returns'!$B$9:$BJ$69))+1,MOD(ROW(A2806)-1,COLUMNS('Portfolio Weights Returns'!$B$9:$BJ$69))+1)</f>
        <v>-4.9226551357516078E-4</v>
      </c>
      <c r="B2807">
        <v>2.23E-2</v>
      </c>
      <c r="C2807" s="59">
        <v>-0.3</v>
      </c>
      <c r="D2807" s="59">
        <v>0.26</v>
      </c>
      <c r="E2807" s="60">
        <f t="shared" si="43"/>
        <v>1.04</v>
      </c>
      <c r="F2807" t="str" cm="1">
        <f t="array" ref="F2807">IF(A2807=MAX(IF(ROUND($B$2:$B$3722,4)=ROUND(B2807,4),$A$2:$A$3722)),"Efficient","Inefficient")</f>
        <v>Efficient</v>
      </c>
    </row>
    <row r="2808" spans="1:6" x14ac:dyDescent="0.25">
      <c r="A2808" cm="1">
        <f t="array" ref="A2808">INDEX('Portfolio Weights Returns'!$B$9:$BJ$69,
INT((ROW(A2807)-1)/COLUMNS('Portfolio Weights Returns'!$B$9:$BJ$69))+1,MOD(ROW(A2807)-1,COLUMNS('Portfolio Weights Returns'!$B$9:$BJ$69))+1)</f>
        <v>-8.925617437304526E-4</v>
      </c>
      <c r="B2808">
        <v>2.23E-2</v>
      </c>
      <c r="C2808" s="59">
        <v>-0.3</v>
      </c>
      <c r="D2808" s="59">
        <v>0.27</v>
      </c>
      <c r="E2808" s="60">
        <f t="shared" si="43"/>
        <v>1.03</v>
      </c>
      <c r="F2808" t="str" cm="1">
        <f t="array" ref="F2808">IF(A2808=MAX(IF(ROUND($B$2:$B$3722,4)=ROUND(B2808,4),$A$2:$A$3722)),"Efficient","Inefficient")</f>
        <v>Inefficient</v>
      </c>
    </row>
    <row r="2809" spans="1:6" x14ac:dyDescent="0.25">
      <c r="A2809" cm="1">
        <f t="array" ref="A2809">INDEX('Portfolio Weights Returns'!$B$9:$BJ$69,
INT((ROW(A2808)-1)/COLUMNS('Portfolio Weights Returns'!$B$9:$BJ$69))+1,MOD(ROW(A2808)-1,COLUMNS('Portfolio Weights Returns'!$B$9:$BJ$69))+1)</f>
        <v>-8.8578056976377345E-4</v>
      </c>
      <c r="B2809">
        <v>2.23E-2</v>
      </c>
      <c r="C2809" s="59">
        <v>-0.3</v>
      </c>
      <c r="D2809" s="59">
        <v>0.28000000000000003</v>
      </c>
      <c r="E2809" s="60">
        <f t="shared" si="43"/>
        <v>1.02</v>
      </c>
      <c r="F2809" t="str" cm="1">
        <f t="array" ref="F2809">IF(A2809=MAX(IF(ROUND($B$2:$B$3722,4)=ROUND(B2809,4),$A$2:$A$3722)),"Efficient","Inefficient")</f>
        <v>Inefficient</v>
      </c>
    </row>
    <row r="2810" spans="1:6" x14ac:dyDescent="0.25">
      <c r="A2810" cm="1">
        <f t="array" ref="A2810">INDEX('Portfolio Weights Returns'!$B$9:$BJ$69,
INT((ROW(A2809)-1)/COLUMNS('Portfolio Weights Returns'!$B$9:$BJ$69))+1,MOD(ROW(A2809)-1,COLUMNS('Portfolio Weights Returns'!$B$9:$BJ$69))+1)</f>
        <v>-8.7899939579709431E-4</v>
      </c>
      <c r="B2810">
        <v>2.23E-2</v>
      </c>
      <c r="C2810" s="59">
        <v>-0.28999999999999998</v>
      </c>
      <c r="D2810" s="59">
        <v>0.3</v>
      </c>
      <c r="E2810" s="60">
        <f t="shared" si="43"/>
        <v>0.99</v>
      </c>
      <c r="F2810" t="str" cm="1">
        <f t="array" ref="F2810">IF(A2810=MAX(IF(ROUND($B$2:$B$3722,4)=ROUND(B2810,4),$A$2:$A$3722)),"Efficient","Inefficient")</f>
        <v>Inefficient</v>
      </c>
    </row>
    <row r="2811" spans="1:6" x14ac:dyDescent="0.25">
      <c r="A2811" cm="1">
        <f t="array" ref="A2811">INDEX('Portfolio Weights Returns'!$B$9:$BJ$69,
INT((ROW(A2810)-1)/COLUMNS('Portfolio Weights Returns'!$B$9:$BJ$69))+1,MOD(ROW(A2810)-1,COLUMNS('Portfolio Weights Returns'!$B$9:$BJ$69))+1)</f>
        <v>-8.7221822183041527E-4</v>
      </c>
      <c r="B2811">
        <v>2.24E-2</v>
      </c>
      <c r="C2811" s="59">
        <v>0.18</v>
      </c>
      <c r="D2811" s="59">
        <v>-0.3</v>
      </c>
      <c r="E2811" s="60">
        <f t="shared" si="43"/>
        <v>1.1200000000000001</v>
      </c>
      <c r="F2811" t="str" cm="1">
        <f t="array" ref="F2811">IF(A2811=MAX(IF(ROUND($B$2:$B$3722,4)=ROUND(B2811,4),$A$2:$A$3722)),"Efficient","Inefficient")</f>
        <v>Inefficient</v>
      </c>
    </row>
    <row r="2812" spans="1:6" x14ac:dyDescent="0.25">
      <c r="A2812" cm="1">
        <f t="array" ref="A2812">INDEX('Portfolio Weights Returns'!$B$9:$BJ$69,
INT((ROW(A2811)-1)/COLUMNS('Portfolio Weights Returns'!$B$9:$BJ$69))+1,MOD(ROW(A2811)-1,COLUMNS('Portfolio Weights Returns'!$B$9:$BJ$69))+1)</f>
        <v>-8.6543704786373602E-4</v>
      </c>
      <c r="B2812">
        <v>2.24E-2</v>
      </c>
      <c r="C2812" s="59">
        <v>0.13</v>
      </c>
      <c r="D2812" s="59">
        <v>-0.27</v>
      </c>
      <c r="E2812" s="60">
        <f t="shared" si="43"/>
        <v>1.1400000000000001</v>
      </c>
      <c r="F2812" t="str" cm="1">
        <f t="array" ref="F2812">IF(A2812=MAX(IF(ROUND($B$2:$B$3722,4)=ROUND(B2812,4),$A$2:$A$3722)),"Efficient","Inefficient")</f>
        <v>Inefficient</v>
      </c>
    </row>
    <row r="2813" spans="1:6" x14ac:dyDescent="0.25">
      <c r="A2813" cm="1">
        <f t="array" ref="A2813">INDEX('Portfolio Weights Returns'!$B$9:$BJ$69,
INT((ROW(A2812)-1)/COLUMNS('Portfolio Weights Returns'!$B$9:$BJ$69))+1,MOD(ROW(A2812)-1,COLUMNS('Portfolio Weights Returns'!$B$9:$BJ$69))+1)</f>
        <v>-8.5865587389705698E-4</v>
      </c>
      <c r="B2813">
        <v>2.24E-2</v>
      </c>
      <c r="C2813" s="59">
        <v>0.11</v>
      </c>
      <c r="D2813" s="59">
        <v>-0.26</v>
      </c>
      <c r="E2813" s="60">
        <f t="shared" si="43"/>
        <v>1.1499999999999999</v>
      </c>
      <c r="F2813" t="str" cm="1">
        <f t="array" ref="F2813">IF(A2813=MAX(IF(ROUND($B$2:$B$3722,4)=ROUND(B2813,4),$A$2:$A$3722)),"Efficient","Inefficient")</f>
        <v>Inefficient</v>
      </c>
    </row>
    <row r="2814" spans="1:6" x14ac:dyDescent="0.25">
      <c r="A2814" cm="1">
        <f t="array" ref="A2814">INDEX('Portfolio Weights Returns'!$B$9:$BJ$69,
INT((ROW(A2813)-1)/COLUMNS('Portfolio Weights Returns'!$B$9:$BJ$69))+1,MOD(ROW(A2813)-1,COLUMNS('Portfolio Weights Returns'!$B$9:$BJ$69))+1)</f>
        <v>-8.5187469993037784E-4</v>
      </c>
      <c r="B2814">
        <v>2.24E-2</v>
      </c>
      <c r="C2814" s="59">
        <v>0.08</v>
      </c>
      <c r="D2814" s="59">
        <v>-0.24</v>
      </c>
      <c r="E2814" s="60">
        <f t="shared" si="43"/>
        <v>1.1599999999999999</v>
      </c>
      <c r="F2814" t="str" cm="1">
        <f t="array" ref="F2814">IF(A2814=MAX(IF(ROUND($B$2:$B$3722,4)=ROUND(B2814,4),$A$2:$A$3722)),"Efficient","Inefficient")</f>
        <v>Inefficient</v>
      </c>
    </row>
    <row r="2815" spans="1:6" x14ac:dyDescent="0.25">
      <c r="A2815" cm="1">
        <f t="array" ref="A2815">INDEX('Portfolio Weights Returns'!$B$9:$BJ$69,
INT((ROW(A2814)-1)/COLUMNS('Portfolio Weights Returns'!$B$9:$BJ$69))+1,MOD(ROW(A2814)-1,COLUMNS('Portfolio Weights Returns'!$B$9:$BJ$69))+1)</f>
        <v>-8.450935259636988E-4</v>
      </c>
      <c r="B2815">
        <v>2.24E-2</v>
      </c>
      <c r="C2815" s="59">
        <v>0.06</v>
      </c>
      <c r="D2815" s="59">
        <v>-0.23</v>
      </c>
      <c r="E2815" s="60">
        <f t="shared" si="43"/>
        <v>1.17</v>
      </c>
      <c r="F2815" t="str" cm="1">
        <f t="array" ref="F2815">IF(A2815=MAX(IF(ROUND($B$2:$B$3722,4)=ROUND(B2815,4),$A$2:$A$3722)),"Efficient","Inefficient")</f>
        <v>Inefficient</v>
      </c>
    </row>
    <row r="2816" spans="1:6" x14ac:dyDescent="0.25">
      <c r="A2816" cm="1">
        <f t="array" ref="A2816">INDEX('Portfolio Weights Returns'!$B$9:$BJ$69,
INT((ROW(A2815)-1)/COLUMNS('Portfolio Weights Returns'!$B$9:$BJ$69))+1,MOD(ROW(A2815)-1,COLUMNS('Portfolio Weights Returns'!$B$9:$BJ$69))+1)</f>
        <v>-8.3831235199701966E-4</v>
      </c>
      <c r="B2816">
        <v>2.24E-2</v>
      </c>
      <c r="C2816" s="59">
        <v>0.03</v>
      </c>
      <c r="D2816" s="59">
        <v>-0.21</v>
      </c>
      <c r="E2816" s="60">
        <f t="shared" si="43"/>
        <v>1.18</v>
      </c>
      <c r="F2816" t="str" cm="1">
        <f t="array" ref="F2816">IF(A2816=MAX(IF(ROUND($B$2:$B$3722,4)=ROUND(B2816,4),$A$2:$A$3722)),"Efficient","Inefficient")</f>
        <v>Inefficient</v>
      </c>
    </row>
    <row r="2817" spans="1:6" x14ac:dyDescent="0.25">
      <c r="A2817" cm="1">
        <f t="array" ref="A2817">INDEX('Portfolio Weights Returns'!$B$9:$BJ$69,
INT((ROW(A2816)-1)/COLUMNS('Portfolio Weights Returns'!$B$9:$BJ$69))+1,MOD(ROW(A2816)-1,COLUMNS('Portfolio Weights Returns'!$B$9:$BJ$69))+1)</f>
        <v>-8.3153117803034062E-4</v>
      </c>
      <c r="B2817">
        <v>2.24E-2</v>
      </c>
      <c r="C2817" s="59">
        <v>0</v>
      </c>
      <c r="D2817" s="59">
        <v>-0.19</v>
      </c>
      <c r="E2817" s="60">
        <f t="shared" si="43"/>
        <v>1.19</v>
      </c>
      <c r="F2817" t="str" cm="1">
        <f t="array" ref="F2817">IF(A2817=MAX(IF(ROUND($B$2:$B$3722,4)=ROUND(B2817,4),$A$2:$A$3722)),"Efficient","Inefficient")</f>
        <v>Inefficient</v>
      </c>
    </row>
    <row r="2818" spans="1:6" x14ac:dyDescent="0.25">
      <c r="A2818" cm="1">
        <f t="array" ref="A2818">INDEX('Portfolio Weights Returns'!$B$9:$BJ$69,
INT((ROW(A2817)-1)/COLUMNS('Portfolio Weights Returns'!$B$9:$BJ$69))+1,MOD(ROW(A2817)-1,COLUMNS('Portfolio Weights Returns'!$B$9:$BJ$69))+1)</f>
        <v>-8.2475000406366148E-4</v>
      </c>
      <c r="B2818">
        <v>2.24E-2</v>
      </c>
      <c r="C2818" s="59">
        <v>-0.01</v>
      </c>
      <c r="D2818" s="59">
        <v>-0.18</v>
      </c>
      <c r="E2818" s="60">
        <f t="shared" ref="E2818:E2881" si="44">1-D2818-C2818</f>
        <v>1.19</v>
      </c>
      <c r="F2818" t="str" cm="1">
        <f t="array" ref="F2818">IF(A2818=MAX(IF(ROUND($B$2:$B$3722,4)=ROUND(B2818,4),$A$2:$A$3722)),"Efficient","Inefficient")</f>
        <v>Inefficient</v>
      </c>
    </row>
    <row r="2819" spans="1:6" x14ac:dyDescent="0.25">
      <c r="A2819" cm="1">
        <f t="array" ref="A2819">INDEX('Portfolio Weights Returns'!$B$9:$BJ$69,
INT((ROW(A2818)-1)/COLUMNS('Portfolio Weights Returns'!$B$9:$BJ$69))+1,MOD(ROW(A2818)-1,COLUMNS('Portfolio Weights Returns'!$B$9:$BJ$69))+1)</f>
        <v>-8.1796883009698233E-4</v>
      </c>
      <c r="B2819">
        <v>2.24E-2</v>
      </c>
      <c r="C2819" s="59">
        <v>-0.04</v>
      </c>
      <c r="D2819" s="59">
        <v>-0.16</v>
      </c>
      <c r="E2819" s="60">
        <f t="shared" si="44"/>
        <v>1.2</v>
      </c>
      <c r="F2819" t="str" cm="1">
        <f t="array" ref="F2819">IF(A2819=MAX(IF(ROUND($B$2:$B$3722,4)=ROUND(B2819,4),$A$2:$A$3722)),"Efficient","Inefficient")</f>
        <v>Inefficient</v>
      </c>
    </row>
    <row r="2820" spans="1:6" x14ac:dyDescent="0.25">
      <c r="A2820" cm="1">
        <f t="array" ref="A2820">INDEX('Portfolio Weights Returns'!$B$9:$BJ$69,
INT((ROW(A2819)-1)/COLUMNS('Portfolio Weights Returns'!$B$9:$BJ$69))+1,MOD(ROW(A2819)-1,COLUMNS('Portfolio Weights Returns'!$B$9:$BJ$69))+1)</f>
        <v>-8.1118765613030319E-4</v>
      </c>
      <c r="B2820">
        <v>2.24E-2</v>
      </c>
      <c r="C2820" s="59">
        <v>-0.05</v>
      </c>
      <c r="D2820" s="59">
        <v>-0.15</v>
      </c>
      <c r="E2820" s="60">
        <f t="shared" si="44"/>
        <v>1.2</v>
      </c>
      <c r="F2820" t="str" cm="1">
        <f t="array" ref="F2820">IF(A2820=MAX(IF(ROUND($B$2:$B$3722,4)=ROUND(B2820,4),$A$2:$A$3722)),"Efficient","Inefficient")</f>
        <v>Inefficient</v>
      </c>
    </row>
    <row r="2821" spans="1:6" x14ac:dyDescent="0.25">
      <c r="A2821" cm="1">
        <f t="array" ref="A2821">INDEX('Portfolio Weights Returns'!$B$9:$BJ$69,
INT((ROW(A2820)-1)/COLUMNS('Portfolio Weights Returns'!$B$9:$BJ$69))+1,MOD(ROW(A2820)-1,COLUMNS('Portfolio Weights Returns'!$B$9:$BJ$69))+1)</f>
        <v>-8.0440648216362405E-4</v>
      </c>
      <c r="B2821">
        <v>2.24E-2</v>
      </c>
      <c r="C2821" s="59">
        <v>-0.08</v>
      </c>
      <c r="D2821" s="59">
        <v>-0.13</v>
      </c>
      <c r="E2821" s="60">
        <f t="shared" si="44"/>
        <v>1.21</v>
      </c>
      <c r="F2821" t="str" cm="1">
        <f t="array" ref="F2821">IF(A2821=MAX(IF(ROUND($B$2:$B$3722,4)=ROUND(B2821,4),$A$2:$A$3722)),"Efficient","Inefficient")</f>
        <v>Inefficient</v>
      </c>
    </row>
    <row r="2822" spans="1:6" x14ac:dyDescent="0.25">
      <c r="A2822" cm="1">
        <f t="array" ref="A2822">INDEX('Portfolio Weights Returns'!$B$9:$BJ$69,
INT((ROW(A2821)-1)/COLUMNS('Portfolio Weights Returns'!$B$9:$BJ$69))+1,MOD(ROW(A2821)-1,COLUMNS('Portfolio Weights Returns'!$B$9:$BJ$69))+1)</f>
        <v>-7.976253081969449E-4</v>
      </c>
      <c r="B2822">
        <v>2.24E-2</v>
      </c>
      <c r="C2822" s="59">
        <v>-0.09</v>
      </c>
      <c r="D2822" s="59">
        <v>-0.12</v>
      </c>
      <c r="E2822" s="60">
        <f t="shared" si="44"/>
        <v>1.2100000000000002</v>
      </c>
      <c r="F2822" t="str" cm="1">
        <f t="array" ref="F2822">IF(A2822=MAX(IF(ROUND($B$2:$B$3722,4)=ROUND(B2822,4),$A$2:$A$3722)),"Efficient","Inefficient")</f>
        <v>Inefficient</v>
      </c>
    </row>
    <row r="2823" spans="1:6" x14ac:dyDescent="0.25">
      <c r="A2823" cm="1">
        <f t="array" ref="A2823">INDEX('Portfolio Weights Returns'!$B$9:$BJ$69,
INT((ROW(A2822)-1)/COLUMNS('Portfolio Weights Returns'!$B$9:$BJ$69))+1,MOD(ROW(A2822)-1,COLUMNS('Portfolio Weights Returns'!$B$9:$BJ$69))+1)</f>
        <v>-7.9084413423026576E-4</v>
      </c>
      <c r="B2823">
        <v>2.24E-2</v>
      </c>
      <c r="C2823" s="59">
        <v>-0.1</v>
      </c>
      <c r="D2823" s="59">
        <v>-0.11</v>
      </c>
      <c r="E2823" s="60">
        <f t="shared" si="44"/>
        <v>1.2100000000000002</v>
      </c>
      <c r="F2823" t="str" cm="1">
        <f t="array" ref="F2823">IF(A2823=MAX(IF(ROUND($B$2:$B$3722,4)=ROUND(B2823,4),$A$2:$A$3722)),"Efficient","Inefficient")</f>
        <v>Inefficient</v>
      </c>
    </row>
    <row r="2824" spans="1:6" x14ac:dyDescent="0.25">
      <c r="A2824" cm="1">
        <f t="array" ref="A2824">INDEX('Portfolio Weights Returns'!$B$9:$BJ$69,
INT((ROW(A2823)-1)/COLUMNS('Portfolio Weights Returns'!$B$9:$BJ$69))+1,MOD(ROW(A2823)-1,COLUMNS('Portfolio Weights Returns'!$B$9:$BJ$69))+1)</f>
        <v>-7.8406296026358694E-4</v>
      </c>
      <c r="B2824">
        <v>2.24E-2</v>
      </c>
      <c r="C2824" s="59">
        <v>-0.11</v>
      </c>
      <c r="D2824" s="59">
        <v>-0.1</v>
      </c>
      <c r="E2824" s="60">
        <f t="shared" si="44"/>
        <v>1.2100000000000002</v>
      </c>
      <c r="F2824" t="str" cm="1">
        <f t="array" ref="F2824">IF(A2824=MAX(IF(ROUND($B$2:$B$3722,4)=ROUND(B2824,4),$A$2:$A$3722)),"Efficient","Inefficient")</f>
        <v>Inefficient</v>
      </c>
    </row>
    <row r="2825" spans="1:6" x14ac:dyDescent="0.25">
      <c r="A2825" cm="1">
        <f t="array" ref="A2825">INDEX('Portfolio Weights Returns'!$B$9:$BJ$69,
INT((ROW(A2824)-1)/COLUMNS('Portfolio Weights Returns'!$B$9:$BJ$69))+1,MOD(ROW(A2824)-1,COLUMNS('Portfolio Weights Returns'!$B$9:$BJ$69))+1)</f>
        <v>-7.7728178629690758E-4</v>
      </c>
      <c r="B2825">
        <v>2.24E-2</v>
      </c>
      <c r="C2825" s="59">
        <v>-0.18</v>
      </c>
      <c r="D2825" s="59">
        <v>-0.03</v>
      </c>
      <c r="E2825" s="60">
        <f t="shared" si="44"/>
        <v>1.21</v>
      </c>
      <c r="F2825" t="str" cm="1">
        <f t="array" ref="F2825">IF(A2825=MAX(IF(ROUND($B$2:$B$3722,4)=ROUND(B2825,4),$A$2:$A$3722)),"Efficient","Inefficient")</f>
        <v>Inefficient</v>
      </c>
    </row>
    <row r="2826" spans="1:6" x14ac:dyDescent="0.25">
      <c r="A2826" cm="1">
        <f t="array" ref="A2826">INDEX('Portfolio Weights Returns'!$B$9:$BJ$69,
INT((ROW(A2825)-1)/COLUMNS('Portfolio Weights Returns'!$B$9:$BJ$69))+1,MOD(ROW(A2825)-1,COLUMNS('Portfolio Weights Returns'!$B$9:$BJ$69))+1)</f>
        <v>-7.7050061233022865E-4</v>
      </c>
      <c r="B2826">
        <v>2.24E-2</v>
      </c>
      <c r="C2826" s="59">
        <v>-0.19</v>
      </c>
      <c r="D2826" s="59">
        <v>-0.02</v>
      </c>
      <c r="E2826" s="60">
        <f t="shared" si="44"/>
        <v>1.21</v>
      </c>
      <c r="F2826" t="str" cm="1">
        <f t="array" ref="F2826">IF(A2826=MAX(IF(ROUND($B$2:$B$3722,4)=ROUND(B2826,4),$A$2:$A$3722)),"Efficient","Inefficient")</f>
        <v>Inefficient</v>
      </c>
    </row>
    <row r="2827" spans="1:6" x14ac:dyDescent="0.25">
      <c r="A2827" cm="1">
        <f t="array" ref="A2827">INDEX('Portfolio Weights Returns'!$B$9:$BJ$69,
INT((ROW(A2826)-1)/COLUMNS('Portfolio Weights Returns'!$B$9:$BJ$69))+1,MOD(ROW(A2826)-1,COLUMNS('Portfolio Weights Returns'!$B$9:$BJ$69))+1)</f>
        <v>-7.637194383635495E-4</v>
      </c>
      <c r="B2827">
        <v>2.24E-2</v>
      </c>
      <c r="C2827" s="59">
        <v>-0.2</v>
      </c>
      <c r="D2827" s="59">
        <v>-0.01</v>
      </c>
      <c r="E2827" s="60">
        <f t="shared" si="44"/>
        <v>1.21</v>
      </c>
      <c r="F2827" t="str" cm="1">
        <f t="array" ref="F2827">IF(A2827=MAX(IF(ROUND($B$2:$B$3722,4)=ROUND(B2827,4),$A$2:$A$3722)),"Efficient","Inefficient")</f>
        <v>Inefficient</v>
      </c>
    </row>
    <row r="2828" spans="1:6" x14ac:dyDescent="0.25">
      <c r="A2828" cm="1">
        <f t="array" ref="A2828">INDEX('Portfolio Weights Returns'!$B$9:$BJ$69,
INT((ROW(A2827)-1)/COLUMNS('Portfolio Weights Returns'!$B$9:$BJ$69))+1,MOD(ROW(A2827)-1,COLUMNS('Portfolio Weights Returns'!$B$9:$BJ$69))+1)</f>
        <v>-7.5693826439687047E-4</v>
      </c>
      <c r="B2828">
        <v>2.24E-2</v>
      </c>
      <c r="C2828" s="59">
        <v>-0.21</v>
      </c>
      <c r="D2828" s="59">
        <v>0</v>
      </c>
      <c r="E2828" s="60">
        <f t="shared" si="44"/>
        <v>1.21</v>
      </c>
      <c r="F2828" t="str" cm="1">
        <f t="array" ref="F2828">IF(A2828=MAX(IF(ROUND($B$2:$B$3722,4)=ROUND(B2828,4),$A$2:$A$3722)),"Efficient","Inefficient")</f>
        <v>Inefficient</v>
      </c>
    </row>
    <row r="2829" spans="1:6" x14ac:dyDescent="0.25">
      <c r="A2829" cm="1">
        <f t="array" ref="A2829">INDEX('Portfolio Weights Returns'!$B$9:$BJ$69,
INT((ROW(A2828)-1)/COLUMNS('Portfolio Weights Returns'!$B$9:$BJ$69))+1,MOD(ROW(A2828)-1,COLUMNS('Portfolio Weights Returns'!$B$9:$BJ$69))+1)</f>
        <v>-7.5015709043019132E-4</v>
      </c>
      <c r="B2829">
        <v>2.24E-2</v>
      </c>
      <c r="C2829" s="59">
        <v>-0.23</v>
      </c>
      <c r="D2829" s="59">
        <v>0.03</v>
      </c>
      <c r="E2829" s="60">
        <f t="shared" si="44"/>
        <v>1.2</v>
      </c>
      <c r="F2829" t="str" cm="1">
        <f t="array" ref="F2829">IF(A2829=MAX(IF(ROUND($B$2:$B$3722,4)=ROUND(B2829,4),$A$2:$A$3722)),"Efficient","Inefficient")</f>
        <v>Inefficient</v>
      </c>
    </row>
    <row r="2830" spans="1:6" x14ac:dyDescent="0.25">
      <c r="A2830" cm="1">
        <f t="array" ref="A2830">INDEX('Portfolio Weights Returns'!$B$9:$BJ$69,
INT((ROW(A2829)-1)/COLUMNS('Portfolio Weights Returns'!$B$9:$BJ$69))+1,MOD(ROW(A2829)-1,COLUMNS('Portfolio Weights Returns'!$B$9:$BJ$69))+1)</f>
        <v>-7.4337591646351218E-4</v>
      </c>
      <c r="B2830">
        <v>2.24E-2</v>
      </c>
      <c r="C2830" s="59">
        <v>-0.24</v>
      </c>
      <c r="D2830" s="59">
        <v>0.04</v>
      </c>
      <c r="E2830" s="60">
        <f t="shared" si="44"/>
        <v>1.2</v>
      </c>
      <c r="F2830" t="str" cm="1">
        <f t="array" ref="F2830">IF(A2830=MAX(IF(ROUND($B$2:$B$3722,4)=ROUND(B2830,4),$A$2:$A$3722)),"Efficient","Inefficient")</f>
        <v>Inefficient</v>
      </c>
    </row>
    <row r="2831" spans="1:6" x14ac:dyDescent="0.25">
      <c r="A2831" cm="1">
        <f t="array" ref="A2831">INDEX('Portfolio Weights Returns'!$B$9:$BJ$69,
INT((ROW(A2830)-1)/COLUMNS('Portfolio Weights Returns'!$B$9:$BJ$69))+1,MOD(ROW(A2830)-1,COLUMNS('Portfolio Weights Returns'!$B$9:$BJ$69))+1)</f>
        <v>-7.3659474249683314E-4</v>
      </c>
      <c r="B2831">
        <v>2.24E-2</v>
      </c>
      <c r="C2831" s="59">
        <v>-0.25</v>
      </c>
      <c r="D2831" s="59">
        <v>0.06</v>
      </c>
      <c r="E2831" s="60">
        <f t="shared" si="44"/>
        <v>1.19</v>
      </c>
      <c r="F2831" t="str" cm="1">
        <f t="array" ref="F2831">IF(A2831=MAX(IF(ROUND($B$2:$B$3722,4)=ROUND(B2831,4),$A$2:$A$3722)),"Efficient","Inefficient")</f>
        <v>Inefficient</v>
      </c>
    </row>
    <row r="2832" spans="1:6" x14ac:dyDescent="0.25">
      <c r="A2832" cm="1">
        <f t="array" ref="A2832">INDEX('Portfolio Weights Returns'!$B$9:$BJ$69,
INT((ROW(A2831)-1)/COLUMNS('Portfolio Weights Returns'!$B$9:$BJ$69))+1,MOD(ROW(A2831)-1,COLUMNS('Portfolio Weights Returns'!$B$9:$BJ$69))+1)</f>
        <v>-7.2981356853015389E-4</v>
      </c>
      <c r="B2832">
        <v>2.24E-2</v>
      </c>
      <c r="C2832" s="59">
        <v>-0.26</v>
      </c>
      <c r="D2832" s="59">
        <v>7.0000000000000007E-2</v>
      </c>
      <c r="E2832" s="60">
        <f t="shared" si="44"/>
        <v>1.19</v>
      </c>
      <c r="F2832" t="str" cm="1">
        <f t="array" ref="F2832">IF(A2832=MAX(IF(ROUND($B$2:$B$3722,4)=ROUND(B2832,4),$A$2:$A$3722)),"Efficient","Inefficient")</f>
        <v>Inefficient</v>
      </c>
    </row>
    <row r="2833" spans="1:6" x14ac:dyDescent="0.25">
      <c r="A2833" cm="1">
        <f t="array" ref="A2833">INDEX('Portfolio Weights Returns'!$B$9:$BJ$69,
INT((ROW(A2832)-1)/COLUMNS('Portfolio Weights Returns'!$B$9:$BJ$69))+1,MOD(ROW(A2832)-1,COLUMNS('Portfolio Weights Returns'!$B$9:$BJ$69))+1)</f>
        <v>-7.2303239456347485E-4</v>
      </c>
      <c r="B2833">
        <v>2.24E-2</v>
      </c>
      <c r="C2833" s="59">
        <v>-0.26</v>
      </c>
      <c r="D2833" s="59">
        <v>0.08</v>
      </c>
      <c r="E2833" s="60">
        <f t="shared" si="44"/>
        <v>1.1800000000000002</v>
      </c>
      <c r="F2833" t="str" cm="1">
        <f t="array" ref="F2833">IF(A2833=MAX(IF(ROUND($B$2:$B$3722,4)=ROUND(B2833,4),$A$2:$A$3722)),"Efficient","Inefficient")</f>
        <v>Inefficient</v>
      </c>
    </row>
    <row r="2834" spans="1:6" x14ac:dyDescent="0.25">
      <c r="A2834" cm="1">
        <f t="array" ref="A2834">INDEX('Portfolio Weights Returns'!$B$9:$BJ$69,
INT((ROW(A2833)-1)/COLUMNS('Portfolio Weights Returns'!$B$9:$BJ$69))+1,MOD(ROW(A2833)-1,COLUMNS('Portfolio Weights Returns'!$B$9:$BJ$69))+1)</f>
        <v>-7.1625122059679571E-4</v>
      </c>
      <c r="B2834">
        <v>2.24E-2</v>
      </c>
      <c r="C2834" s="59">
        <v>-0.27</v>
      </c>
      <c r="D2834" s="59">
        <v>0.09</v>
      </c>
      <c r="E2834" s="60">
        <f t="shared" si="44"/>
        <v>1.1800000000000002</v>
      </c>
      <c r="F2834" t="str" cm="1">
        <f t="array" ref="F2834">IF(A2834=MAX(IF(ROUND($B$2:$B$3722,4)=ROUND(B2834,4),$A$2:$A$3722)),"Efficient","Inefficient")</f>
        <v>Inefficient</v>
      </c>
    </row>
    <row r="2835" spans="1:6" x14ac:dyDescent="0.25">
      <c r="A2835" cm="1">
        <f t="array" ref="A2835">INDEX('Portfolio Weights Returns'!$B$9:$BJ$69,
INT((ROW(A2834)-1)/COLUMNS('Portfolio Weights Returns'!$B$9:$BJ$69))+1,MOD(ROW(A2834)-1,COLUMNS('Portfolio Weights Returns'!$B$9:$BJ$69))+1)</f>
        <v>-7.0947004663011667E-4</v>
      </c>
      <c r="B2835">
        <v>2.24E-2</v>
      </c>
      <c r="C2835" s="59">
        <v>-0.28000000000000003</v>
      </c>
      <c r="D2835" s="59">
        <v>0.11</v>
      </c>
      <c r="E2835" s="60">
        <f t="shared" si="44"/>
        <v>1.17</v>
      </c>
      <c r="F2835" t="str" cm="1">
        <f t="array" ref="F2835">IF(A2835=MAX(IF(ROUND($B$2:$B$3722,4)=ROUND(B2835,4),$A$2:$A$3722)),"Efficient","Inefficient")</f>
        <v>Inefficient</v>
      </c>
    </row>
    <row r="2836" spans="1:6" x14ac:dyDescent="0.25">
      <c r="A2836" cm="1">
        <f t="array" ref="A2836">INDEX('Portfolio Weights Returns'!$B$9:$BJ$69,
INT((ROW(A2835)-1)/COLUMNS('Portfolio Weights Returns'!$B$9:$BJ$69))+1,MOD(ROW(A2835)-1,COLUMNS('Portfolio Weights Returns'!$B$9:$BJ$69))+1)</f>
        <v>-7.0268887266343753E-4</v>
      </c>
      <c r="B2836">
        <v>2.24E-2</v>
      </c>
      <c r="C2836" s="59">
        <v>-0.28000000000000003</v>
      </c>
      <c r="D2836" s="59">
        <v>0.12</v>
      </c>
      <c r="E2836" s="60">
        <f t="shared" si="44"/>
        <v>1.1600000000000001</v>
      </c>
      <c r="F2836" t="str" cm="1">
        <f t="array" ref="F2836">IF(A2836=MAX(IF(ROUND($B$2:$B$3722,4)=ROUND(B2836,4),$A$2:$A$3722)),"Efficient","Inefficient")</f>
        <v>Inefficient</v>
      </c>
    </row>
    <row r="2837" spans="1:6" x14ac:dyDescent="0.25">
      <c r="A2837" cm="1">
        <f t="array" ref="A2837">INDEX('Portfolio Weights Returns'!$B$9:$BJ$69,
INT((ROW(A2836)-1)/COLUMNS('Portfolio Weights Returns'!$B$9:$BJ$69))+1,MOD(ROW(A2836)-1,COLUMNS('Portfolio Weights Returns'!$B$9:$BJ$69))+1)</f>
        <v>-6.9590769869675849E-4</v>
      </c>
      <c r="B2837">
        <v>2.24E-2</v>
      </c>
      <c r="C2837" s="59">
        <v>-0.28999999999999998</v>
      </c>
      <c r="D2837" s="59">
        <v>0.13</v>
      </c>
      <c r="E2837" s="60">
        <f t="shared" si="44"/>
        <v>1.1599999999999999</v>
      </c>
      <c r="F2837" t="str" cm="1">
        <f t="array" ref="F2837">IF(A2837=MAX(IF(ROUND($B$2:$B$3722,4)=ROUND(B2837,4),$A$2:$A$3722)),"Efficient","Inefficient")</f>
        <v>Inefficient</v>
      </c>
    </row>
    <row r="2838" spans="1:6" x14ac:dyDescent="0.25">
      <c r="A2838" cm="1">
        <f t="array" ref="A2838">INDEX('Portfolio Weights Returns'!$B$9:$BJ$69,
INT((ROW(A2837)-1)/COLUMNS('Portfolio Weights Returns'!$B$9:$BJ$69))+1,MOD(ROW(A2837)-1,COLUMNS('Portfolio Weights Returns'!$B$9:$BJ$69))+1)</f>
        <v>-6.8912652473007924E-4</v>
      </c>
      <c r="B2838">
        <v>2.24E-2</v>
      </c>
      <c r="C2838" s="59">
        <v>-0.28999999999999998</v>
      </c>
      <c r="D2838" s="59">
        <v>0.14000000000000001</v>
      </c>
      <c r="E2838" s="60">
        <f t="shared" si="44"/>
        <v>1.1499999999999999</v>
      </c>
      <c r="F2838" t="str" cm="1">
        <f t="array" ref="F2838">IF(A2838=MAX(IF(ROUND($B$2:$B$3722,4)=ROUND(B2838,4),$A$2:$A$3722)),"Efficient","Inefficient")</f>
        <v>Inefficient</v>
      </c>
    </row>
    <row r="2839" spans="1:6" x14ac:dyDescent="0.25">
      <c r="A2839" cm="1">
        <f t="array" ref="A2839">INDEX('Portfolio Weights Returns'!$B$9:$BJ$69,
INT((ROW(A2838)-1)/COLUMNS('Portfolio Weights Returns'!$B$9:$BJ$69))+1,MOD(ROW(A2838)-1,COLUMNS('Portfolio Weights Returns'!$B$9:$BJ$69))+1)</f>
        <v>-6.823453507634001E-4</v>
      </c>
      <c r="B2839">
        <v>2.24E-2</v>
      </c>
      <c r="C2839" s="59">
        <v>-0.3</v>
      </c>
      <c r="D2839" s="59">
        <v>0.16</v>
      </c>
      <c r="E2839" s="60">
        <f t="shared" si="44"/>
        <v>1.1399999999999999</v>
      </c>
      <c r="F2839" t="str" cm="1">
        <f t="array" ref="F2839">IF(A2839=MAX(IF(ROUND($B$2:$B$3722,4)=ROUND(B2839,4),$A$2:$A$3722)),"Efficient","Inefficient")</f>
        <v>Inefficient</v>
      </c>
    </row>
    <row r="2840" spans="1:6" x14ac:dyDescent="0.25">
      <c r="A2840" cm="1">
        <f t="array" ref="A2840">INDEX('Portfolio Weights Returns'!$B$9:$BJ$69,
INT((ROW(A2839)-1)/COLUMNS('Portfolio Weights Returns'!$B$9:$BJ$69))+1,MOD(ROW(A2839)-1,COLUMNS('Portfolio Weights Returns'!$B$9:$BJ$69))+1)</f>
        <v>-6.7556417679672106E-4</v>
      </c>
      <c r="B2840">
        <v>2.24E-2</v>
      </c>
      <c r="C2840" s="59">
        <v>-0.3</v>
      </c>
      <c r="D2840" s="59">
        <v>0.17</v>
      </c>
      <c r="E2840" s="60">
        <f t="shared" si="44"/>
        <v>1.1299999999999999</v>
      </c>
      <c r="F2840" t="str" cm="1">
        <f t="array" ref="F2840">IF(A2840=MAX(IF(ROUND($B$2:$B$3722,4)=ROUND(B2840,4),$A$2:$A$3722)),"Efficient","Inefficient")</f>
        <v>Inefficient</v>
      </c>
    </row>
    <row r="2841" spans="1:6" x14ac:dyDescent="0.25">
      <c r="A2841" cm="1">
        <f t="array" ref="A2841">INDEX('Portfolio Weights Returns'!$B$9:$BJ$69,
INT((ROW(A2840)-1)/COLUMNS('Portfolio Weights Returns'!$B$9:$BJ$69))+1,MOD(ROW(A2840)-1,COLUMNS('Portfolio Weights Returns'!$B$9:$BJ$69))+1)</f>
        <v>-6.6878300283004192E-4</v>
      </c>
      <c r="B2841">
        <v>2.24E-2</v>
      </c>
      <c r="C2841" s="59">
        <v>-0.3</v>
      </c>
      <c r="D2841" s="59">
        <v>0.18</v>
      </c>
      <c r="E2841" s="60">
        <f t="shared" si="44"/>
        <v>1.1200000000000001</v>
      </c>
      <c r="F2841" t="str" cm="1">
        <f t="array" ref="F2841">IF(A2841=MAX(IF(ROUND($B$2:$B$3722,4)=ROUND(B2841,4),$A$2:$A$3722)),"Efficient","Inefficient")</f>
        <v>Inefficient</v>
      </c>
    </row>
    <row r="2842" spans="1:6" x14ac:dyDescent="0.25">
      <c r="A2842" cm="1">
        <f t="array" ref="A2842">INDEX('Portfolio Weights Returns'!$B$9:$BJ$69,
INT((ROW(A2841)-1)/COLUMNS('Portfolio Weights Returns'!$B$9:$BJ$69))+1,MOD(ROW(A2841)-1,COLUMNS('Portfolio Weights Returns'!$B$9:$BJ$69))+1)</f>
        <v>-6.6200182886336288E-4</v>
      </c>
      <c r="B2842">
        <v>2.24E-2</v>
      </c>
      <c r="C2842" s="59">
        <v>-0.3</v>
      </c>
      <c r="D2842" s="59">
        <v>0.28999999999999998</v>
      </c>
      <c r="E2842" s="60">
        <f t="shared" si="44"/>
        <v>1.01</v>
      </c>
      <c r="F2842" t="str" cm="1">
        <f t="array" ref="F2842">IF(A2842=MAX(IF(ROUND($B$2:$B$3722,4)=ROUND(B2842,4),$A$2:$A$3722)),"Efficient","Inefficient")</f>
        <v>Inefficient</v>
      </c>
    </row>
    <row r="2843" spans="1:6" x14ac:dyDescent="0.25">
      <c r="A2843" cm="1">
        <f t="array" ref="A2843">INDEX('Portfolio Weights Returns'!$B$9:$BJ$69,
INT((ROW(A2842)-1)/COLUMNS('Portfolio Weights Returns'!$B$9:$BJ$69))+1,MOD(ROW(A2842)-1,COLUMNS('Portfolio Weights Returns'!$B$9:$BJ$69))+1)</f>
        <v>-6.5522065489668374E-4</v>
      </c>
      <c r="B2843">
        <v>2.24E-2</v>
      </c>
      <c r="C2843" s="59">
        <v>-0.3</v>
      </c>
      <c r="D2843" s="59">
        <v>0.3</v>
      </c>
      <c r="E2843" s="60">
        <f t="shared" si="44"/>
        <v>1</v>
      </c>
      <c r="F2843" t="str" cm="1">
        <f t="array" ref="F2843">IF(A2843=MAX(IF(ROUND($B$2:$B$3722,4)=ROUND(B2843,4),$A$2:$A$3722)),"Efficient","Inefficient")</f>
        <v>Efficient</v>
      </c>
    </row>
    <row r="2844" spans="1:6" x14ac:dyDescent="0.25">
      <c r="A2844" cm="1">
        <f t="array" ref="A2844">INDEX('Portfolio Weights Returns'!$B$9:$BJ$69,
INT((ROW(A2843)-1)/COLUMNS('Portfolio Weights Returns'!$B$9:$BJ$69))+1,MOD(ROW(A2843)-1,COLUMNS('Portfolio Weights Returns'!$B$9:$BJ$69))+1)</f>
        <v>-6.484394809300047E-4</v>
      </c>
      <c r="B2844">
        <v>2.2499999999999999E-2</v>
      </c>
      <c r="C2844" s="59">
        <v>0.16</v>
      </c>
      <c r="D2844" s="59">
        <v>-0.28999999999999998</v>
      </c>
      <c r="E2844" s="60">
        <f t="shared" si="44"/>
        <v>1.1300000000000001</v>
      </c>
      <c r="F2844" t="str" cm="1">
        <f t="array" ref="F2844">IF(A2844=MAX(IF(ROUND($B$2:$B$3722,4)=ROUND(B2844,4),$A$2:$A$3722)),"Efficient","Inefficient")</f>
        <v>Inefficient</v>
      </c>
    </row>
    <row r="2845" spans="1:6" x14ac:dyDescent="0.25">
      <c r="A2845" cm="1">
        <f t="array" ref="A2845">INDEX('Portfolio Weights Returns'!$B$9:$BJ$69,
INT((ROW(A2844)-1)/COLUMNS('Portfolio Weights Returns'!$B$9:$BJ$69))+1,MOD(ROW(A2844)-1,COLUMNS('Portfolio Weights Returns'!$B$9:$BJ$69))+1)</f>
        <v>-6.4165830696332545E-4</v>
      </c>
      <c r="B2845">
        <v>2.2499999999999999E-2</v>
      </c>
      <c r="C2845" s="59">
        <v>0.14000000000000001</v>
      </c>
      <c r="D2845" s="59">
        <v>-0.28000000000000003</v>
      </c>
      <c r="E2845" s="60">
        <f t="shared" si="44"/>
        <v>1.1400000000000001</v>
      </c>
      <c r="F2845" t="str" cm="1">
        <f t="array" ref="F2845">IF(A2845=MAX(IF(ROUND($B$2:$B$3722,4)=ROUND(B2845,4),$A$2:$A$3722)),"Efficient","Inefficient")</f>
        <v>Inefficient</v>
      </c>
    </row>
    <row r="2846" spans="1:6" x14ac:dyDescent="0.25">
      <c r="A2846" cm="1">
        <f t="array" ref="A2846">INDEX('Portfolio Weights Returns'!$B$9:$BJ$69,
INT((ROW(A2845)-1)/COLUMNS('Portfolio Weights Returns'!$B$9:$BJ$69))+1,MOD(ROW(A2845)-1,COLUMNS('Portfolio Weights Returns'!$B$9:$BJ$69))+1)</f>
        <v>-6.3487713299664652E-4</v>
      </c>
      <c r="B2846">
        <v>2.2499999999999999E-2</v>
      </c>
      <c r="C2846" s="59">
        <v>0.12</v>
      </c>
      <c r="D2846" s="59">
        <v>-0.27</v>
      </c>
      <c r="E2846" s="60">
        <f t="shared" si="44"/>
        <v>1.1499999999999999</v>
      </c>
      <c r="F2846" t="str" cm="1">
        <f t="array" ref="F2846">IF(A2846=MAX(IF(ROUND($B$2:$B$3722,4)=ROUND(B2846,4),$A$2:$A$3722)),"Efficient","Inefficient")</f>
        <v>Inefficient</v>
      </c>
    </row>
    <row r="2847" spans="1:6" x14ac:dyDescent="0.25">
      <c r="A2847" cm="1">
        <f t="array" ref="A2847">INDEX('Portfolio Weights Returns'!$B$9:$BJ$69,
INT((ROW(A2846)-1)/COLUMNS('Portfolio Weights Returns'!$B$9:$BJ$69))+1,MOD(ROW(A2846)-1,COLUMNS('Portfolio Weights Returns'!$B$9:$BJ$69))+1)</f>
        <v>-6.2809595902996737E-4</v>
      </c>
      <c r="B2847">
        <v>2.2499999999999999E-2</v>
      </c>
      <c r="C2847" s="59">
        <v>0.09</v>
      </c>
      <c r="D2847" s="59">
        <v>-0.25</v>
      </c>
      <c r="E2847" s="60">
        <f t="shared" si="44"/>
        <v>1.1599999999999999</v>
      </c>
      <c r="F2847" t="str" cm="1">
        <f t="array" ref="F2847">IF(A2847=MAX(IF(ROUND($B$2:$B$3722,4)=ROUND(B2847,4),$A$2:$A$3722)),"Efficient","Inefficient")</f>
        <v>Inefficient</v>
      </c>
    </row>
    <row r="2848" spans="1:6" x14ac:dyDescent="0.25">
      <c r="A2848" cm="1">
        <f t="array" ref="A2848">INDEX('Portfolio Weights Returns'!$B$9:$BJ$69,
INT((ROW(A2847)-1)/COLUMNS('Portfolio Weights Returns'!$B$9:$BJ$69))+1,MOD(ROW(A2847)-1,COLUMNS('Portfolio Weights Returns'!$B$9:$BJ$69))+1)</f>
        <v>-6.2131478506328823E-4</v>
      </c>
      <c r="B2848">
        <v>2.2499999999999999E-2</v>
      </c>
      <c r="C2848" s="59">
        <v>7.0000000000000007E-2</v>
      </c>
      <c r="D2848" s="59">
        <v>-0.24</v>
      </c>
      <c r="E2848" s="60">
        <f t="shared" si="44"/>
        <v>1.17</v>
      </c>
      <c r="F2848" t="str" cm="1">
        <f t="array" ref="F2848">IF(A2848=MAX(IF(ROUND($B$2:$B$3722,4)=ROUND(B2848,4),$A$2:$A$3722)),"Efficient","Inefficient")</f>
        <v>Inefficient</v>
      </c>
    </row>
    <row r="2849" spans="1:6" x14ac:dyDescent="0.25">
      <c r="A2849" cm="1">
        <f t="array" ref="A2849">INDEX('Portfolio Weights Returns'!$B$9:$BJ$69,
INT((ROW(A2848)-1)/COLUMNS('Portfolio Weights Returns'!$B$9:$BJ$69))+1,MOD(ROW(A2848)-1,COLUMNS('Portfolio Weights Returns'!$B$9:$BJ$69))+1)</f>
        <v>-6.1453361109660919E-4</v>
      </c>
      <c r="B2849">
        <v>2.2499999999999999E-2</v>
      </c>
      <c r="C2849" s="59">
        <v>0.04</v>
      </c>
      <c r="D2849" s="59">
        <v>-0.22</v>
      </c>
      <c r="E2849" s="60">
        <f t="shared" si="44"/>
        <v>1.18</v>
      </c>
      <c r="F2849" t="str" cm="1">
        <f t="array" ref="F2849">IF(A2849=MAX(IF(ROUND($B$2:$B$3722,4)=ROUND(B2849,4),$A$2:$A$3722)),"Efficient","Inefficient")</f>
        <v>Inefficient</v>
      </c>
    </row>
    <row r="2850" spans="1:6" x14ac:dyDescent="0.25">
      <c r="A2850" cm="1">
        <f t="array" ref="A2850">INDEX('Portfolio Weights Returns'!$B$9:$BJ$69,
INT((ROW(A2849)-1)/COLUMNS('Portfolio Weights Returns'!$B$9:$BJ$69))+1,MOD(ROW(A2849)-1,COLUMNS('Portfolio Weights Returns'!$B$9:$BJ$69))+1)</f>
        <v>-6.0775243712993005E-4</v>
      </c>
      <c r="B2850">
        <v>2.2499999999999999E-2</v>
      </c>
      <c r="C2850" s="59">
        <v>0.01</v>
      </c>
      <c r="D2850" s="59">
        <v>-0.2</v>
      </c>
      <c r="E2850" s="60">
        <f t="shared" si="44"/>
        <v>1.19</v>
      </c>
      <c r="F2850" t="str" cm="1">
        <f t="array" ref="F2850">IF(A2850=MAX(IF(ROUND($B$2:$B$3722,4)=ROUND(B2850,4),$A$2:$A$3722)),"Efficient","Inefficient")</f>
        <v>Inefficient</v>
      </c>
    </row>
    <row r="2851" spans="1:6" x14ac:dyDescent="0.25">
      <c r="A2851" cm="1">
        <f t="array" ref="A2851">INDEX('Portfolio Weights Returns'!$B$9:$BJ$69,
INT((ROW(A2850)-1)/COLUMNS('Portfolio Weights Returns'!$B$9:$BJ$69))+1,MOD(ROW(A2850)-1,COLUMNS('Portfolio Weights Returns'!$B$9:$BJ$69))+1)</f>
        <v>-6.0097126316325091E-4</v>
      </c>
      <c r="B2851">
        <v>2.2499999999999999E-2</v>
      </c>
      <c r="C2851" s="59">
        <v>-0.02</v>
      </c>
      <c r="D2851" s="59">
        <v>-0.18</v>
      </c>
      <c r="E2851" s="60">
        <f t="shared" si="44"/>
        <v>1.2</v>
      </c>
      <c r="F2851" t="str" cm="1">
        <f t="array" ref="F2851">IF(A2851=MAX(IF(ROUND($B$2:$B$3722,4)=ROUND(B2851,4),$A$2:$A$3722)),"Efficient","Inefficient")</f>
        <v>Inefficient</v>
      </c>
    </row>
    <row r="2852" spans="1:6" x14ac:dyDescent="0.25">
      <c r="A2852" cm="1">
        <f t="array" ref="A2852">INDEX('Portfolio Weights Returns'!$B$9:$BJ$69,
INT((ROW(A2851)-1)/COLUMNS('Portfolio Weights Returns'!$B$9:$BJ$69))+1,MOD(ROW(A2851)-1,COLUMNS('Portfolio Weights Returns'!$B$9:$BJ$69))+1)</f>
        <v>-5.9419008919657176E-4</v>
      </c>
      <c r="B2852">
        <v>2.2499999999999999E-2</v>
      </c>
      <c r="C2852" s="59">
        <v>-0.03</v>
      </c>
      <c r="D2852" s="59">
        <v>-0.17</v>
      </c>
      <c r="E2852" s="60">
        <f t="shared" si="44"/>
        <v>1.2</v>
      </c>
      <c r="F2852" t="str" cm="1">
        <f t="array" ref="F2852">IF(A2852=MAX(IF(ROUND($B$2:$B$3722,4)=ROUND(B2852,4),$A$2:$A$3722)),"Efficient","Inefficient")</f>
        <v>Inefficient</v>
      </c>
    </row>
    <row r="2853" spans="1:6" x14ac:dyDescent="0.25">
      <c r="A2853" cm="1">
        <f t="array" ref="A2853">INDEX('Portfolio Weights Returns'!$B$9:$BJ$69,
INT((ROW(A2852)-1)/COLUMNS('Portfolio Weights Returns'!$B$9:$BJ$69))+1,MOD(ROW(A2852)-1,COLUMNS('Portfolio Weights Returns'!$B$9:$BJ$69))+1)</f>
        <v>-5.8740891522989272E-4</v>
      </c>
      <c r="B2853">
        <v>2.2499999999999999E-2</v>
      </c>
      <c r="C2853" s="59">
        <v>-0.06</v>
      </c>
      <c r="D2853" s="59">
        <v>-0.15</v>
      </c>
      <c r="E2853" s="60">
        <f t="shared" si="44"/>
        <v>1.21</v>
      </c>
      <c r="F2853" t="str" cm="1">
        <f t="array" ref="F2853">IF(A2853=MAX(IF(ROUND($B$2:$B$3722,4)=ROUND(B2853,4),$A$2:$A$3722)),"Efficient","Inefficient")</f>
        <v>Inefficient</v>
      </c>
    </row>
    <row r="2854" spans="1:6" x14ac:dyDescent="0.25">
      <c r="A2854" cm="1">
        <f t="array" ref="A2854">INDEX('Portfolio Weights Returns'!$B$9:$BJ$69,
INT((ROW(A2853)-1)/COLUMNS('Portfolio Weights Returns'!$B$9:$BJ$69))+1,MOD(ROW(A2853)-1,COLUMNS('Portfolio Weights Returns'!$B$9:$BJ$69))+1)</f>
        <v>-5.8062774126321358E-4</v>
      </c>
      <c r="B2854">
        <v>2.2499999999999999E-2</v>
      </c>
      <c r="C2854" s="59">
        <v>-7.0000000000000007E-2</v>
      </c>
      <c r="D2854" s="59">
        <v>-0.14000000000000001</v>
      </c>
      <c r="E2854" s="60">
        <f t="shared" si="44"/>
        <v>1.2100000000000002</v>
      </c>
      <c r="F2854" t="str" cm="1">
        <f t="array" ref="F2854">IF(A2854=MAX(IF(ROUND($B$2:$B$3722,4)=ROUND(B2854,4),$A$2:$A$3722)),"Efficient","Inefficient")</f>
        <v>Inefficient</v>
      </c>
    </row>
    <row r="2855" spans="1:6" x14ac:dyDescent="0.25">
      <c r="A2855" cm="1">
        <f t="array" ref="A2855">INDEX('Portfolio Weights Returns'!$B$9:$BJ$69,
INT((ROW(A2854)-1)/COLUMNS('Portfolio Weights Returns'!$B$9:$BJ$69))+1,MOD(ROW(A2854)-1,COLUMNS('Portfolio Weights Returns'!$B$9:$BJ$69))+1)</f>
        <v>-5.7384656729653454E-4</v>
      </c>
      <c r="B2855">
        <v>2.2499999999999999E-2</v>
      </c>
      <c r="C2855" s="59">
        <v>-0.11</v>
      </c>
      <c r="D2855" s="59">
        <v>-0.11</v>
      </c>
      <c r="E2855" s="60">
        <f t="shared" si="44"/>
        <v>1.2200000000000002</v>
      </c>
      <c r="F2855" t="str" cm="1">
        <f t="array" ref="F2855">IF(A2855=MAX(IF(ROUND($B$2:$B$3722,4)=ROUND(B2855,4),$A$2:$A$3722)),"Efficient","Inefficient")</f>
        <v>Inefficient</v>
      </c>
    </row>
    <row r="2856" spans="1:6" x14ac:dyDescent="0.25">
      <c r="A2856" cm="1">
        <f t="array" ref="A2856">INDEX('Portfolio Weights Returns'!$B$9:$BJ$69,
INT((ROW(A2855)-1)/COLUMNS('Portfolio Weights Returns'!$B$9:$BJ$69))+1,MOD(ROW(A2855)-1,COLUMNS('Portfolio Weights Returns'!$B$9:$BJ$69))+1)</f>
        <v>-5.6706539332985551E-4</v>
      </c>
      <c r="B2856">
        <v>2.2499999999999999E-2</v>
      </c>
      <c r="C2856" s="59">
        <v>-0.12</v>
      </c>
      <c r="D2856" s="59">
        <v>-0.1</v>
      </c>
      <c r="E2856" s="60">
        <f t="shared" si="44"/>
        <v>1.2200000000000002</v>
      </c>
      <c r="F2856" t="str" cm="1">
        <f t="array" ref="F2856">IF(A2856=MAX(IF(ROUND($B$2:$B$3722,4)=ROUND(B2856,4),$A$2:$A$3722)),"Efficient","Inefficient")</f>
        <v>Inefficient</v>
      </c>
    </row>
    <row r="2857" spans="1:6" x14ac:dyDescent="0.25">
      <c r="A2857" cm="1">
        <f t="array" ref="A2857">INDEX('Portfolio Weights Returns'!$B$9:$BJ$69,
INT((ROW(A2856)-1)/COLUMNS('Portfolio Weights Returns'!$B$9:$BJ$69))+1,MOD(ROW(A2856)-1,COLUMNS('Portfolio Weights Returns'!$B$9:$BJ$69))+1)</f>
        <v>-5.6028421936317636E-4</v>
      </c>
      <c r="B2857">
        <v>2.2499999999999999E-2</v>
      </c>
      <c r="C2857" s="59">
        <v>-0.13</v>
      </c>
      <c r="D2857" s="59">
        <v>-0.09</v>
      </c>
      <c r="E2857" s="60">
        <f t="shared" si="44"/>
        <v>1.2200000000000002</v>
      </c>
      <c r="F2857" t="str" cm="1">
        <f t="array" ref="F2857">IF(A2857=MAX(IF(ROUND($B$2:$B$3722,4)=ROUND(B2857,4),$A$2:$A$3722)),"Efficient","Inefficient")</f>
        <v>Inefficient</v>
      </c>
    </row>
    <row r="2858" spans="1:6" x14ac:dyDescent="0.25">
      <c r="A2858" cm="1">
        <f t="array" ref="A2858">INDEX('Portfolio Weights Returns'!$B$9:$BJ$69,
INT((ROW(A2857)-1)/COLUMNS('Portfolio Weights Returns'!$B$9:$BJ$69))+1,MOD(ROW(A2857)-1,COLUMNS('Portfolio Weights Returns'!$B$9:$BJ$69))+1)</f>
        <v>-5.5350304539649722E-4</v>
      </c>
      <c r="B2858">
        <v>2.2499999999999999E-2</v>
      </c>
      <c r="C2858" s="59">
        <v>-0.14000000000000001</v>
      </c>
      <c r="D2858" s="59">
        <v>-0.08</v>
      </c>
      <c r="E2858" s="60">
        <f t="shared" si="44"/>
        <v>1.2200000000000002</v>
      </c>
      <c r="F2858" t="str" cm="1">
        <f t="array" ref="F2858">IF(A2858=MAX(IF(ROUND($B$2:$B$3722,4)=ROUND(B2858,4),$A$2:$A$3722)),"Efficient","Inefficient")</f>
        <v>Inefficient</v>
      </c>
    </row>
    <row r="2859" spans="1:6" x14ac:dyDescent="0.25">
      <c r="A2859" cm="1">
        <f t="array" ref="A2859">INDEX('Portfolio Weights Returns'!$B$9:$BJ$69,
INT((ROW(A2858)-1)/COLUMNS('Portfolio Weights Returns'!$B$9:$BJ$69))+1,MOD(ROW(A2858)-1,COLUMNS('Portfolio Weights Returns'!$B$9:$BJ$69))+1)</f>
        <v>-5.4672187142981808E-4</v>
      </c>
      <c r="B2859">
        <v>2.2499999999999999E-2</v>
      </c>
      <c r="C2859" s="59">
        <v>-0.15</v>
      </c>
      <c r="D2859" s="59">
        <v>-7.0000000000000007E-2</v>
      </c>
      <c r="E2859" s="60">
        <f t="shared" si="44"/>
        <v>1.22</v>
      </c>
      <c r="F2859" t="str" cm="1">
        <f t="array" ref="F2859">IF(A2859=MAX(IF(ROUND($B$2:$B$3722,4)=ROUND(B2859,4),$A$2:$A$3722)),"Efficient","Inefficient")</f>
        <v>Inefficient</v>
      </c>
    </row>
    <row r="2860" spans="1:6" x14ac:dyDescent="0.25">
      <c r="A2860" cm="1">
        <f t="array" ref="A2860">INDEX('Portfolio Weights Returns'!$B$9:$BJ$69,
INT((ROW(A2859)-1)/COLUMNS('Portfolio Weights Returns'!$B$9:$BJ$69))+1,MOD(ROW(A2859)-1,COLUMNS('Portfolio Weights Returns'!$B$9:$BJ$69))+1)</f>
        <v>-5.3994069746313904E-4</v>
      </c>
      <c r="B2860">
        <v>2.2499999999999999E-2</v>
      </c>
      <c r="C2860" s="59">
        <v>-0.16</v>
      </c>
      <c r="D2860" s="59">
        <v>-0.06</v>
      </c>
      <c r="E2860" s="60">
        <f t="shared" si="44"/>
        <v>1.22</v>
      </c>
      <c r="F2860" t="str" cm="1">
        <f t="array" ref="F2860">IF(A2860=MAX(IF(ROUND($B$2:$B$3722,4)=ROUND(B2860,4),$A$2:$A$3722)),"Efficient","Inefficient")</f>
        <v>Inefficient</v>
      </c>
    </row>
    <row r="2861" spans="1:6" x14ac:dyDescent="0.25">
      <c r="A2861" cm="1">
        <f t="array" ref="A2861">INDEX('Portfolio Weights Returns'!$B$9:$BJ$69,
INT((ROW(A2860)-1)/COLUMNS('Portfolio Weights Returns'!$B$9:$BJ$69))+1,MOD(ROW(A2860)-1,COLUMNS('Portfolio Weights Returns'!$B$9:$BJ$69))+1)</f>
        <v>-5.3315952349645989E-4</v>
      </c>
      <c r="B2861">
        <v>2.2499999999999999E-2</v>
      </c>
      <c r="C2861" s="59">
        <v>-0.17</v>
      </c>
      <c r="D2861" s="59">
        <v>-0.05</v>
      </c>
      <c r="E2861" s="60">
        <f t="shared" si="44"/>
        <v>1.22</v>
      </c>
      <c r="F2861" t="str" cm="1">
        <f t="array" ref="F2861">IF(A2861=MAX(IF(ROUND($B$2:$B$3722,4)=ROUND(B2861,4),$A$2:$A$3722)),"Efficient","Inefficient")</f>
        <v>Inefficient</v>
      </c>
    </row>
    <row r="2862" spans="1:6" x14ac:dyDescent="0.25">
      <c r="A2862" cm="1">
        <f t="array" ref="A2862">INDEX('Portfolio Weights Returns'!$B$9:$BJ$69,
INT((ROW(A2861)-1)/COLUMNS('Portfolio Weights Returns'!$B$9:$BJ$69))+1,MOD(ROW(A2861)-1,COLUMNS('Portfolio Weights Returns'!$B$9:$BJ$69))+1)</f>
        <v>-5.2637834952978075E-4</v>
      </c>
      <c r="B2862">
        <v>2.2499999999999999E-2</v>
      </c>
      <c r="C2862" s="59">
        <v>-0.18</v>
      </c>
      <c r="D2862" s="59">
        <v>-0.04</v>
      </c>
      <c r="E2862" s="60">
        <f t="shared" si="44"/>
        <v>1.22</v>
      </c>
      <c r="F2862" t="str" cm="1">
        <f t="array" ref="F2862">IF(A2862=MAX(IF(ROUND($B$2:$B$3722,4)=ROUND(B2862,4),$A$2:$A$3722)),"Efficient","Inefficient")</f>
        <v>Inefficient</v>
      </c>
    </row>
    <row r="2863" spans="1:6" x14ac:dyDescent="0.25">
      <c r="A2863" cm="1">
        <f t="array" ref="A2863">INDEX('Portfolio Weights Returns'!$B$9:$BJ$69,
INT((ROW(A2862)-1)/COLUMNS('Portfolio Weights Returns'!$B$9:$BJ$69))+1,MOD(ROW(A2862)-1,COLUMNS('Portfolio Weights Returns'!$B$9:$BJ$69))+1)</f>
        <v>-5.1959717556310171E-4</v>
      </c>
      <c r="B2863">
        <v>2.2499999999999999E-2</v>
      </c>
      <c r="C2863" s="59">
        <v>-0.19</v>
      </c>
      <c r="D2863" s="59">
        <v>-0.03</v>
      </c>
      <c r="E2863" s="60">
        <f t="shared" si="44"/>
        <v>1.22</v>
      </c>
      <c r="F2863" t="str" cm="1">
        <f t="array" ref="F2863">IF(A2863=MAX(IF(ROUND($B$2:$B$3722,4)=ROUND(B2863,4),$A$2:$A$3722)),"Efficient","Inefficient")</f>
        <v>Inefficient</v>
      </c>
    </row>
    <row r="2864" spans="1:6" x14ac:dyDescent="0.25">
      <c r="A2864" cm="1">
        <f t="array" ref="A2864">INDEX('Portfolio Weights Returns'!$B$9:$BJ$69,
INT((ROW(A2863)-1)/COLUMNS('Portfolio Weights Returns'!$B$9:$BJ$69))+1,MOD(ROW(A2863)-1,COLUMNS('Portfolio Weights Returns'!$B$9:$BJ$69))+1)</f>
        <v>-5.1281600159642257E-4</v>
      </c>
      <c r="B2864">
        <v>2.2499999999999999E-2</v>
      </c>
      <c r="C2864" s="59">
        <v>-0.2</v>
      </c>
      <c r="D2864" s="59">
        <v>-0.02</v>
      </c>
      <c r="E2864" s="60">
        <f t="shared" si="44"/>
        <v>1.22</v>
      </c>
      <c r="F2864" t="str" cm="1">
        <f t="array" ref="F2864">IF(A2864=MAX(IF(ROUND($B$2:$B$3722,4)=ROUND(B2864,4),$A$2:$A$3722)),"Efficient","Inefficient")</f>
        <v>Inefficient</v>
      </c>
    </row>
    <row r="2865" spans="1:6" x14ac:dyDescent="0.25">
      <c r="A2865" cm="1">
        <f t="array" ref="A2865">INDEX('Portfolio Weights Returns'!$B$9:$BJ$69,
INT((ROW(A2864)-1)/COLUMNS('Portfolio Weights Returns'!$B$9:$BJ$69))+1,MOD(ROW(A2864)-1,COLUMNS('Portfolio Weights Returns'!$B$9:$BJ$69))+1)</f>
        <v>-5.0603482762974277E-4</v>
      </c>
      <c r="B2865">
        <v>2.2499999999999999E-2</v>
      </c>
      <c r="C2865" s="59">
        <v>-0.22</v>
      </c>
      <c r="D2865" s="59">
        <v>0.01</v>
      </c>
      <c r="E2865" s="60">
        <f t="shared" si="44"/>
        <v>1.21</v>
      </c>
      <c r="F2865" t="str" cm="1">
        <f t="array" ref="F2865">IF(A2865=MAX(IF(ROUND($B$2:$B$3722,4)=ROUND(B2865,4),$A$2:$A$3722)),"Efficient","Inefficient")</f>
        <v>Inefficient</v>
      </c>
    </row>
    <row r="2866" spans="1:6" x14ac:dyDescent="0.25">
      <c r="A2866" cm="1">
        <f t="array" ref="A2866">INDEX('Portfolio Weights Returns'!$B$9:$BJ$69,
INT((ROW(A2865)-1)/COLUMNS('Portfolio Weights Returns'!$B$9:$BJ$69))+1,MOD(ROW(A2865)-1,COLUMNS('Portfolio Weights Returns'!$B$9:$BJ$69))+1)</f>
        <v>-4.9925365366306363E-4</v>
      </c>
      <c r="B2866">
        <v>2.2499999999999999E-2</v>
      </c>
      <c r="C2866" s="59">
        <v>-0.23</v>
      </c>
      <c r="D2866" s="59">
        <v>0.02</v>
      </c>
      <c r="E2866" s="60">
        <f t="shared" si="44"/>
        <v>1.21</v>
      </c>
      <c r="F2866" t="str" cm="1">
        <f t="array" ref="F2866">IF(A2866=MAX(IF(ROUND($B$2:$B$3722,4)=ROUND(B2866,4),$A$2:$A$3722)),"Efficient","Inefficient")</f>
        <v>Inefficient</v>
      </c>
    </row>
    <row r="2867" spans="1:6" x14ac:dyDescent="0.25">
      <c r="A2867" cm="1">
        <f t="array" ref="A2867">INDEX('Portfolio Weights Returns'!$B$9:$BJ$69,
INT((ROW(A2866)-1)/COLUMNS('Portfolio Weights Returns'!$B$9:$BJ$69))+1,MOD(ROW(A2866)-1,COLUMNS('Portfolio Weights Returns'!$B$9:$BJ$69))+1)</f>
        <v>-4.924724796963847E-4</v>
      </c>
      <c r="B2867">
        <v>2.2499999999999999E-2</v>
      </c>
      <c r="C2867" s="59">
        <v>-0.24</v>
      </c>
      <c r="D2867" s="59">
        <v>0.03</v>
      </c>
      <c r="E2867" s="60">
        <f t="shared" si="44"/>
        <v>1.21</v>
      </c>
      <c r="F2867" t="str" cm="1">
        <f t="array" ref="F2867">IF(A2867=MAX(IF(ROUND($B$2:$B$3722,4)=ROUND(B2867,4),$A$2:$A$3722)),"Efficient","Inefficient")</f>
        <v>Inefficient</v>
      </c>
    </row>
    <row r="2868" spans="1:6" x14ac:dyDescent="0.25">
      <c r="A2868" cm="1">
        <f t="array" ref="A2868">INDEX('Portfolio Weights Returns'!$B$9:$BJ$69,
INT((ROW(A2867)-1)/COLUMNS('Portfolio Weights Returns'!$B$9:$BJ$69))+1,MOD(ROW(A2867)-1,COLUMNS('Portfolio Weights Returns'!$B$9:$BJ$69))+1)</f>
        <v>-4.8569130572970556E-4</v>
      </c>
      <c r="B2868">
        <v>2.2499999999999999E-2</v>
      </c>
      <c r="C2868" s="59">
        <v>-0.25</v>
      </c>
      <c r="D2868" s="59">
        <v>0.05</v>
      </c>
      <c r="E2868" s="60">
        <f t="shared" si="44"/>
        <v>1.2</v>
      </c>
      <c r="F2868" t="str" cm="1">
        <f t="array" ref="F2868">IF(A2868=MAX(IF(ROUND($B$2:$B$3722,4)=ROUND(B2868,4),$A$2:$A$3722)),"Efficient","Inefficient")</f>
        <v>Efficient</v>
      </c>
    </row>
    <row r="2869" spans="1:6" x14ac:dyDescent="0.25">
      <c r="A2869" cm="1">
        <f t="array" ref="A2869">INDEX('Portfolio Weights Returns'!$B$9:$BJ$69,
INT((ROW(A2868)-1)/COLUMNS('Portfolio Weights Returns'!$B$9:$BJ$69))+1,MOD(ROW(A2868)-1,COLUMNS('Portfolio Weights Returns'!$B$9:$BJ$69))+1)</f>
        <v>-8.8598753588499737E-4</v>
      </c>
      <c r="B2869">
        <v>2.2499999999999999E-2</v>
      </c>
      <c r="C2869" s="59">
        <v>-0.26</v>
      </c>
      <c r="D2869" s="59">
        <v>0.06</v>
      </c>
      <c r="E2869" s="60">
        <f t="shared" si="44"/>
        <v>1.2</v>
      </c>
      <c r="F2869" t="str" cm="1">
        <f t="array" ref="F2869">IF(A2869=MAX(IF(ROUND($B$2:$B$3722,4)=ROUND(B2869,4),$A$2:$A$3722)),"Efficient","Inefficient")</f>
        <v>Inefficient</v>
      </c>
    </row>
    <row r="2870" spans="1:6" x14ac:dyDescent="0.25">
      <c r="A2870" cm="1">
        <f t="array" ref="A2870">INDEX('Portfolio Weights Returns'!$B$9:$BJ$69,
INT((ROW(A2869)-1)/COLUMNS('Portfolio Weights Returns'!$B$9:$BJ$69))+1,MOD(ROW(A2869)-1,COLUMNS('Portfolio Weights Returns'!$B$9:$BJ$69))+1)</f>
        <v>-8.7920636191831823E-4</v>
      </c>
      <c r="B2870">
        <v>2.2499999999999999E-2</v>
      </c>
      <c r="C2870" s="59">
        <v>-0.27</v>
      </c>
      <c r="D2870" s="59">
        <v>0.08</v>
      </c>
      <c r="E2870" s="60">
        <f t="shared" si="44"/>
        <v>1.19</v>
      </c>
      <c r="F2870" t="str" cm="1">
        <f t="array" ref="F2870">IF(A2870=MAX(IF(ROUND($B$2:$B$3722,4)=ROUND(B2870,4),$A$2:$A$3722)),"Efficient","Inefficient")</f>
        <v>Inefficient</v>
      </c>
    </row>
    <row r="2871" spans="1:6" x14ac:dyDescent="0.25">
      <c r="A2871" cm="1">
        <f t="array" ref="A2871">INDEX('Portfolio Weights Returns'!$B$9:$BJ$69,
INT((ROW(A2870)-1)/COLUMNS('Portfolio Weights Returns'!$B$9:$BJ$69))+1,MOD(ROW(A2870)-1,COLUMNS('Portfolio Weights Returns'!$B$9:$BJ$69))+1)</f>
        <v>-8.7242518795163919E-4</v>
      </c>
      <c r="B2871">
        <v>2.2499999999999999E-2</v>
      </c>
      <c r="C2871" s="59">
        <v>-0.28000000000000003</v>
      </c>
      <c r="D2871" s="59">
        <v>0.1</v>
      </c>
      <c r="E2871" s="60">
        <f t="shared" si="44"/>
        <v>1.1800000000000002</v>
      </c>
      <c r="F2871" t="str" cm="1">
        <f t="array" ref="F2871">IF(A2871=MAX(IF(ROUND($B$2:$B$3722,4)=ROUND(B2871,4),$A$2:$A$3722)),"Efficient","Inefficient")</f>
        <v>Inefficient</v>
      </c>
    </row>
    <row r="2872" spans="1:6" x14ac:dyDescent="0.25">
      <c r="A2872" cm="1">
        <f t="array" ref="A2872">INDEX('Portfolio Weights Returns'!$B$9:$BJ$69,
INT((ROW(A2871)-1)/COLUMNS('Portfolio Weights Returns'!$B$9:$BJ$69))+1,MOD(ROW(A2871)-1,COLUMNS('Portfolio Weights Returns'!$B$9:$BJ$69))+1)</f>
        <v>-8.6564401398495994E-4</v>
      </c>
      <c r="B2872">
        <v>2.2499999999999999E-2</v>
      </c>
      <c r="C2872" s="59">
        <v>-0.28999999999999998</v>
      </c>
      <c r="D2872" s="59">
        <v>0.12</v>
      </c>
      <c r="E2872" s="60">
        <f t="shared" si="44"/>
        <v>1.17</v>
      </c>
      <c r="F2872" t="str" cm="1">
        <f t="array" ref="F2872">IF(A2872=MAX(IF(ROUND($B$2:$B$3722,4)=ROUND(B2872,4),$A$2:$A$3722)),"Efficient","Inefficient")</f>
        <v>Inefficient</v>
      </c>
    </row>
    <row r="2873" spans="1:6" x14ac:dyDescent="0.25">
      <c r="A2873" cm="1">
        <f t="array" ref="A2873">INDEX('Portfolio Weights Returns'!$B$9:$BJ$69,
INT((ROW(A2872)-1)/COLUMNS('Portfolio Weights Returns'!$B$9:$BJ$69))+1,MOD(ROW(A2872)-1,COLUMNS('Portfolio Weights Returns'!$B$9:$BJ$69))+1)</f>
        <v>-8.588628400182809E-4</v>
      </c>
      <c r="B2873">
        <v>2.2499999999999999E-2</v>
      </c>
      <c r="C2873" s="59">
        <v>-0.3</v>
      </c>
      <c r="D2873" s="59">
        <v>0.14000000000000001</v>
      </c>
      <c r="E2873" s="60">
        <f t="shared" si="44"/>
        <v>1.1599999999999999</v>
      </c>
      <c r="F2873" t="str" cm="1">
        <f t="array" ref="F2873">IF(A2873=MAX(IF(ROUND($B$2:$B$3722,4)=ROUND(B2873,4),$A$2:$A$3722)),"Efficient","Inefficient")</f>
        <v>Inefficient</v>
      </c>
    </row>
    <row r="2874" spans="1:6" x14ac:dyDescent="0.25">
      <c r="A2874" cm="1">
        <f t="array" ref="A2874">INDEX('Portfolio Weights Returns'!$B$9:$BJ$69,
INT((ROW(A2873)-1)/COLUMNS('Portfolio Weights Returns'!$B$9:$BJ$69))+1,MOD(ROW(A2873)-1,COLUMNS('Portfolio Weights Returns'!$B$9:$BJ$69))+1)</f>
        <v>-8.5208166605160176E-4</v>
      </c>
      <c r="B2874">
        <v>2.2499999999999999E-2</v>
      </c>
      <c r="C2874" s="59">
        <v>-0.3</v>
      </c>
      <c r="D2874" s="59">
        <v>0.15</v>
      </c>
      <c r="E2874" s="60">
        <f t="shared" si="44"/>
        <v>1.1499999999999999</v>
      </c>
      <c r="F2874" t="str" cm="1">
        <f t="array" ref="F2874">IF(A2874=MAX(IF(ROUND($B$2:$B$3722,4)=ROUND(B2874,4),$A$2:$A$3722)),"Efficient","Inefficient")</f>
        <v>Inefficient</v>
      </c>
    </row>
    <row r="2875" spans="1:6" x14ac:dyDescent="0.25">
      <c r="A2875" cm="1">
        <f t="array" ref="A2875">INDEX('Portfolio Weights Returns'!$B$9:$BJ$69,
INT((ROW(A2874)-1)/COLUMNS('Portfolio Weights Returns'!$B$9:$BJ$69))+1,MOD(ROW(A2874)-1,COLUMNS('Portfolio Weights Returns'!$B$9:$BJ$69))+1)</f>
        <v>-8.4530049208492272E-4</v>
      </c>
      <c r="B2875">
        <v>2.2599999999999999E-2</v>
      </c>
      <c r="C2875" s="59">
        <v>0.17</v>
      </c>
      <c r="D2875" s="59">
        <v>-0.3</v>
      </c>
      <c r="E2875" s="60">
        <f t="shared" si="44"/>
        <v>1.1300000000000001</v>
      </c>
      <c r="F2875" t="str" cm="1">
        <f t="array" ref="F2875">IF(A2875=MAX(IF(ROUND($B$2:$B$3722,4)=ROUND(B2875,4),$A$2:$A$3722)),"Efficient","Inefficient")</f>
        <v>Inefficient</v>
      </c>
    </row>
    <row r="2876" spans="1:6" x14ac:dyDescent="0.25">
      <c r="A2876" cm="1">
        <f t="array" ref="A2876">INDEX('Portfolio Weights Returns'!$B$9:$BJ$69,
INT((ROW(A2875)-1)/COLUMNS('Portfolio Weights Returns'!$B$9:$BJ$69))+1,MOD(ROW(A2875)-1,COLUMNS('Portfolio Weights Returns'!$B$9:$BJ$69))+1)</f>
        <v>-8.3851931811824358E-4</v>
      </c>
      <c r="B2876">
        <v>2.2599999999999999E-2</v>
      </c>
      <c r="C2876" s="59">
        <v>0.15</v>
      </c>
      <c r="D2876" s="59">
        <v>-0.28999999999999998</v>
      </c>
      <c r="E2876" s="60">
        <f t="shared" si="44"/>
        <v>1.1400000000000001</v>
      </c>
      <c r="F2876" t="str" cm="1">
        <f t="array" ref="F2876">IF(A2876=MAX(IF(ROUND($B$2:$B$3722,4)=ROUND(B2876,4),$A$2:$A$3722)),"Efficient","Inefficient")</f>
        <v>Inefficient</v>
      </c>
    </row>
    <row r="2877" spans="1:6" x14ac:dyDescent="0.25">
      <c r="A2877" cm="1">
        <f t="array" ref="A2877">INDEX('Portfolio Weights Returns'!$B$9:$BJ$69,
INT((ROW(A2876)-1)/COLUMNS('Portfolio Weights Returns'!$B$9:$BJ$69))+1,MOD(ROW(A2876)-1,COLUMNS('Portfolio Weights Returns'!$B$9:$BJ$69))+1)</f>
        <v>-8.3173814415156454E-4</v>
      </c>
      <c r="B2877">
        <v>2.2599999999999999E-2</v>
      </c>
      <c r="C2877" s="59">
        <v>0.13</v>
      </c>
      <c r="D2877" s="59">
        <v>-0.28000000000000003</v>
      </c>
      <c r="E2877" s="60">
        <f t="shared" si="44"/>
        <v>1.1499999999999999</v>
      </c>
      <c r="F2877" t="str" cm="1">
        <f t="array" ref="F2877">IF(A2877=MAX(IF(ROUND($B$2:$B$3722,4)=ROUND(B2877,4),$A$2:$A$3722)),"Efficient","Inefficient")</f>
        <v>Inefficient</v>
      </c>
    </row>
    <row r="2878" spans="1:6" x14ac:dyDescent="0.25">
      <c r="A2878" cm="1">
        <f t="array" ref="A2878">INDEX('Portfolio Weights Returns'!$B$9:$BJ$69,
INT((ROW(A2877)-1)/COLUMNS('Portfolio Weights Returns'!$B$9:$BJ$69))+1,MOD(ROW(A2877)-1,COLUMNS('Portfolio Weights Returns'!$B$9:$BJ$69))+1)</f>
        <v>-8.249569701848854E-4</v>
      </c>
      <c r="B2878">
        <v>2.2599999999999999E-2</v>
      </c>
      <c r="C2878" s="59">
        <v>0.1</v>
      </c>
      <c r="D2878" s="59">
        <v>-0.26</v>
      </c>
      <c r="E2878" s="60">
        <f t="shared" si="44"/>
        <v>1.1599999999999999</v>
      </c>
      <c r="F2878" t="str" cm="1">
        <f t="array" ref="F2878">IF(A2878=MAX(IF(ROUND($B$2:$B$3722,4)=ROUND(B2878,4),$A$2:$A$3722)),"Efficient","Inefficient")</f>
        <v>Inefficient</v>
      </c>
    </row>
    <row r="2879" spans="1:6" x14ac:dyDescent="0.25">
      <c r="A2879" cm="1">
        <f t="array" ref="A2879">INDEX('Portfolio Weights Returns'!$B$9:$BJ$69,
INT((ROW(A2878)-1)/COLUMNS('Portfolio Weights Returns'!$B$9:$BJ$69))+1,MOD(ROW(A2878)-1,COLUMNS('Portfolio Weights Returns'!$B$9:$BJ$69))+1)</f>
        <v>-8.1817579621820615E-4</v>
      </c>
      <c r="B2879">
        <v>2.2599999999999999E-2</v>
      </c>
      <c r="C2879" s="59">
        <v>0.08</v>
      </c>
      <c r="D2879" s="59">
        <v>-0.25</v>
      </c>
      <c r="E2879" s="60">
        <f t="shared" si="44"/>
        <v>1.17</v>
      </c>
      <c r="F2879" t="str" cm="1">
        <f t="array" ref="F2879">IF(A2879=MAX(IF(ROUND($B$2:$B$3722,4)=ROUND(B2879,4),$A$2:$A$3722)),"Efficient","Inefficient")</f>
        <v>Inefficient</v>
      </c>
    </row>
    <row r="2880" spans="1:6" x14ac:dyDescent="0.25">
      <c r="A2880" cm="1">
        <f t="array" ref="A2880">INDEX('Portfolio Weights Returns'!$B$9:$BJ$69,
INT((ROW(A2879)-1)/COLUMNS('Portfolio Weights Returns'!$B$9:$BJ$69))+1,MOD(ROW(A2879)-1,COLUMNS('Portfolio Weights Returns'!$B$9:$BJ$69))+1)</f>
        <v>-8.1139462225152711E-4</v>
      </c>
      <c r="B2880">
        <v>2.2599999999999999E-2</v>
      </c>
      <c r="C2880" s="59">
        <v>0.05</v>
      </c>
      <c r="D2880" s="59">
        <v>-0.23</v>
      </c>
      <c r="E2880" s="60">
        <f t="shared" si="44"/>
        <v>1.18</v>
      </c>
      <c r="F2880" t="str" cm="1">
        <f t="array" ref="F2880">IF(A2880=MAX(IF(ROUND($B$2:$B$3722,4)=ROUND(B2880,4),$A$2:$A$3722)),"Efficient","Inefficient")</f>
        <v>Inefficient</v>
      </c>
    </row>
    <row r="2881" spans="1:6" x14ac:dyDescent="0.25">
      <c r="A2881" cm="1">
        <f t="array" ref="A2881">INDEX('Portfolio Weights Returns'!$B$9:$BJ$69,
INT((ROW(A2880)-1)/COLUMNS('Portfolio Weights Returns'!$B$9:$BJ$69))+1,MOD(ROW(A2880)-1,COLUMNS('Portfolio Weights Returns'!$B$9:$BJ$69))+1)</f>
        <v>-8.0461344828484797E-4</v>
      </c>
      <c r="B2881">
        <v>2.2599999999999999E-2</v>
      </c>
      <c r="C2881" s="59">
        <v>0.03</v>
      </c>
      <c r="D2881" s="59">
        <v>-0.22</v>
      </c>
      <c r="E2881" s="60">
        <f t="shared" si="44"/>
        <v>1.19</v>
      </c>
      <c r="F2881" t="str" cm="1">
        <f t="array" ref="F2881">IF(A2881=MAX(IF(ROUND($B$2:$B$3722,4)=ROUND(B2881,4),$A$2:$A$3722)),"Efficient","Inefficient")</f>
        <v>Inefficient</v>
      </c>
    </row>
    <row r="2882" spans="1:6" x14ac:dyDescent="0.25">
      <c r="A2882" cm="1">
        <f t="array" ref="A2882">INDEX('Portfolio Weights Returns'!$B$9:$BJ$69,
INT((ROW(A2881)-1)/COLUMNS('Portfolio Weights Returns'!$B$9:$BJ$69))+1,MOD(ROW(A2881)-1,COLUMNS('Portfolio Weights Returns'!$B$9:$BJ$69))+1)</f>
        <v>-7.9783227431816882E-4</v>
      </c>
      <c r="B2882">
        <v>2.2599999999999999E-2</v>
      </c>
      <c r="C2882" s="59">
        <v>0.02</v>
      </c>
      <c r="D2882" s="59">
        <v>-0.21</v>
      </c>
      <c r="E2882" s="60">
        <f t="shared" ref="E2882:E2945" si="45">1-D2882-C2882</f>
        <v>1.19</v>
      </c>
      <c r="F2882" t="str" cm="1">
        <f t="array" ref="F2882">IF(A2882=MAX(IF(ROUND($B$2:$B$3722,4)=ROUND(B2882,4),$A$2:$A$3722)),"Efficient","Inefficient")</f>
        <v>Inefficient</v>
      </c>
    </row>
    <row r="2883" spans="1:6" x14ac:dyDescent="0.25">
      <c r="A2883" cm="1">
        <f t="array" ref="A2883">INDEX('Portfolio Weights Returns'!$B$9:$BJ$69,
INT((ROW(A2882)-1)/COLUMNS('Portfolio Weights Returns'!$B$9:$BJ$69))+1,MOD(ROW(A2882)-1,COLUMNS('Portfolio Weights Returns'!$B$9:$BJ$69))+1)</f>
        <v>-7.9105110035148968E-4</v>
      </c>
      <c r="B2883">
        <v>2.2599999999999999E-2</v>
      </c>
      <c r="C2883" s="59">
        <v>0</v>
      </c>
      <c r="D2883" s="59">
        <v>-0.2</v>
      </c>
      <c r="E2883" s="60">
        <f t="shared" si="45"/>
        <v>1.2</v>
      </c>
      <c r="F2883" t="str" cm="1">
        <f t="array" ref="F2883">IF(A2883=MAX(IF(ROUND($B$2:$B$3722,4)=ROUND(B2883,4),$A$2:$A$3722)),"Efficient","Inefficient")</f>
        <v>Inefficient</v>
      </c>
    </row>
    <row r="2884" spans="1:6" x14ac:dyDescent="0.25">
      <c r="A2884" cm="1">
        <f t="array" ref="A2884">INDEX('Portfolio Weights Returns'!$B$9:$BJ$69,
INT((ROW(A2883)-1)/COLUMNS('Portfolio Weights Returns'!$B$9:$BJ$69))+1,MOD(ROW(A2883)-1,COLUMNS('Portfolio Weights Returns'!$B$9:$BJ$69))+1)</f>
        <v>-7.8426992638481064E-4</v>
      </c>
      <c r="B2884">
        <v>2.2599999999999999E-2</v>
      </c>
      <c r="C2884" s="59">
        <v>-0.01</v>
      </c>
      <c r="D2884" s="59">
        <v>-0.19</v>
      </c>
      <c r="E2884" s="60">
        <f t="shared" si="45"/>
        <v>1.2</v>
      </c>
      <c r="F2884" t="str" cm="1">
        <f t="array" ref="F2884">IF(A2884=MAX(IF(ROUND($B$2:$B$3722,4)=ROUND(B2884,4),$A$2:$A$3722)),"Efficient","Inefficient")</f>
        <v>Inefficient</v>
      </c>
    </row>
    <row r="2885" spans="1:6" x14ac:dyDescent="0.25">
      <c r="A2885" cm="1">
        <f t="array" ref="A2885">INDEX('Portfolio Weights Returns'!$B$9:$BJ$69,
INT((ROW(A2884)-1)/COLUMNS('Portfolio Weights Returns'!$B$9:$BJ$69))+1,MOD(ROW(A2884)-1,COLUMNS('Portfolio Weights Returns'!$B$9:$BJ$69))+1)</f>
        <v>-7.774887524181316E-4</v>
      </c>
      <c r="B2885">
        <v>2.2599999999999999E-2</v>
      </c>
      <c r="C2885" s="59">
        <v>-0.04</v>
      </c>
      <c r="D2885" s="59">
        <v>-0.17</v>
      </c>
      <c r="E2885" s="60">
        <f t="shared" si="45"/>
        <v>1.21</v>
      </c>
      <c r="F2885" t="str" cm="1">
        <f t="array" ref="F2885">IF(A2885=MAX(IF(ROUND($B$2:$B$3722,4)=ROUND(B2885,4),$A$2:$A$3722)),"Efficient","Inefficient")</f>
        <v>Inefficient</v>
      </c>
    </row>
    <row r="2886" spans="1:6" x14ac:dyDescent="0.25">
      <c r="A2886" cm="1">
        <f t="array" ref="A2886">INDEX('Portfolio Weights Returns'!$B$9:$BJ$69,
INT((ROW(A2885)-1)/COLUMNS('Portfolio Weights Returns'!$B$9:$BJ$69))+1,MOD(ROW(A2885)-1,COLUMNS('Portfolio Weights Returns'!$B$9:$BJ$69))+1)</f>
        <v>-7.7070757845145246E-4</v>
      </c>
      <c r="B2886">
        <v>2.2599999999999999E-2</v>
      </c>
      <c r="C2886" s="59">
        <v>-0.05</v>
      </c>
      <c r="D2886" s="59">
        <v>-0.16</v>
      </c>
      <c r="E2886" s="60">
        <f t="shared" si="45"/>
        <v>1.21</v>
      </c>
      <c r="F2886" t="str" cm="1">
        <f t="array" ref="F2886">IF(A2886=MAX(IF(ROUND($B$2:$B$3722,4)=ROUND(B2886,4),$A$2:$A$3722)),"Efficient","Inefficient")</f>
        <v>Inefficient</v>
      </c>
    </row>
    <row r="2887" spans="1:6" x14ac:dyDescent="0.25">
      <c r="A2887" cm="1">
        <f t="array" ref="A2887">INDEX('Portfolio Weights Returns'!$B$9:$BJ$69,
INT((ROW(A2886)-1)/COLUMNS('Portfolio Weights Returns'!$B$9:$BJ$69))+1,MOD(ROW(A2886)-1,COLUMNS('Portfolio Weights Returns'!$B$9:$BJ$69))+1)</f>
        <v>-7.6392640448477342E-4</v>
      </c>
      <c r="B2887">
        <v>2.2599999999999999E-2</v>
      </c>
      <c r="C2887" s="59">
        <v>-0.08</v>
      </c>
      <c r="D2887" s="59">
        <v>-0.14000000000000001</v>
      </c>
      <c r="E2887" s="60">
        <f t="shared" si="45"/>
        <v>1.2200000000000002</v>
      </c>
      <c r="F2887" t="str" cm="1">
        <f t="array" ref="F2887">IF(A2887=MAX(IF(ROUND($B$2:$B$3722,4)=ROUND(B2887,4),$A$2:$A$3722)),"Efficient","Inefficient")</f>
        <v>Inefficient</v>
      </c>
    </row>
    <row r="2888" spans="1:6" x14ac:dyDescent="0.25">
      <c r="A2888" cm="1">
        <f t="array" ref="A2888">INDEX('Portfolio Weights Returns'!$B$9:$BJ$69,
INT((ROW(A2887)-1)/COLUMNS('Portfolio Weights Returns'!$B$9:$BJ$69))+1,MOD(ROW(A2887)-1,COLUMNS('Portfolio Weights Returns'!$B$9:$BJ$69))+1)</f>
        <v>-7.5714523051809428E-4</v>
      </c>
      <c r="B2888">
        <v>2.2599999999999999E-2</v>
      </c>
      <c r="C2888" s="59">
        <v>-0.09</v>
      </c>
      <c r="D2888" s="59">
        <v>-0.13</v>
      </c>
      <c r="E2888" s="60">
        <f t="shared" si="45"/>
        <v>1.22</v>
      </c>
      <c r="F2888" t="str" cm="1">
        <f t="array" ref="F2888">IF(A2888=MAX(IF(ROUND($B$2:$B$3722,4)=ROUND(B2888,4),$A$2:$A$3722)),"Efficient","Inefficient")</f>
        <v>Inefficient</v>
      </c>
    </row>
    <row r="2889" spans="1:6" x14ac:dyDescent="0.25">
      <c r="A2889" cm="1">
        <f t="array" ref="A2889">INDEX('Portfolio Weights Returns'!$B$9:$BJ$69,
INT((ROW(A2888)-1)/COLUMNS('Portfolio Weights Returns'!$B$9:$BJ$69))+1,MOD(ROW(A2888)-1,COLUMNS('Portfolio Weights Returns'!$B$9:$BJ$69))+1)</f>
        <v>-7.5036405655141524E-4</v>
      </c>
      <c r="B2889">
        <v>2.2599999999999999E-2</v>
      </c>
      <c r="C2889" s="59">
        <v>-0.1</v>
      </c>
      <c r="D2889" s="59">
        <v>-0.12</v>
      </c>
      <c r="E2889" s="60">
        <f t="shared" si="45"/>
        <v>1.2200000000000002</v>
      </c>
      <c r="F2889" t="str" cm="1">
        <f t="array" ref="F2889">IF(A2889=MAX(IF(ROUND($B$2:$B$3722,4)=ROUND(B2889,4),$A$2:$A$3722)),"Efficient","Inefficient")</f>
        <v>Inefficient</v>
      </c>
    </row>
    <row r="2890" spans="1:6" x14ac:dyDescent="0.25">
      <c r="A2890" cm="1">
        <f t="array" ref="A2890">INDEX('Portfolio Weights Returns'!$B$9:$BJ$69,
INT((ROW(A2889)-1)/COLUMNS('Portfolio Weights Returns'!$B$9:$BJ$69))+1,MOD(ROW(A2889)-1,COLUMNS('Portfolio Weights Returns'!$B$9:$BJ$69))+1)</f>
        <v>-7.435828825847361E-4</v>
      </c>
      <c r="B2890">
        <v>2.2599999999999999E-2</v>
      </c>
      <c r="C2890" s="59">
        <v>-0.21</v>
      </c>
      <c r="D2890" s="59">
        <v>-0.01</v>
      </c>
      <c r="E2890" s="60">
        <f t="shared" si="45"/>
        <v>1.22</v>
      </c>
      <c r="F2890" t="str" cm="1">
        <f t="array" ref="F2890">IF(A2890=MAX(IF(ROUND($B$2:$B$3722,4)=ROUND(B2890,4),$A$2:$A$3722)),"Efficient","Inefficient")</f>
        <v>Inefficient</v>
      </c>
    </row>
    <row r="2891" spans="1:6" x14ac:dyDescent="0.25">
      <c r="A2891" cm="1">
        <f t="array" ref="A2891">INDEX('Portfolio Weights Returns'!$B$9:$BJ$69,
INT((ROW(A2890)-1)/COLUMNS('Portfolio Weights Returns'!$B$9:$BJ$69))+1,MOD(ROW(A2890)-1,COLUMNS('Portfolio Weights Returns'!$B$9:$BJ$69))+1)</f>
        <v>-7.3680170861805706E-4</v>
      </c>
      <c r="B2891">
        <v>2.2599999999999999E-2</v>
      </c>
      <c r="C2891" s="59">
        <v>-0.22</v>
      </c>
      <c r="D2891" s="59">
        <v>0</v>
      </c>
      <c r="E2891" s="60">
        <f t="shared" si="45"/>
        <v>1.22</v>
      </c>
      <c r="F2891" t="str" cm="1">
        <f t="array" ref="F2891">IF(A2891=MAX(IF(ROUND($B$2:$B$3722,4)=ROUND(B2891,4),$A$2:$A$3722)),"Efficient","Inefficient")</f>
        <v>Inefficient</v>
      </c>
    </row>
    <row r="2892" spans="1:6" x14ac:dyDescent="0.25">
      <c r="A2892" cm="1">
        <f t="array" ref="A2892">INDEX('Portfolio Weights Returns'!$B$9:$BJ$69,
INT((ROW(A2891)-1)/COLUMNS('Portfolio Weights Returns'!$B$9:$BJ$69))+1,MOD(ROW(A2891)-1,COLUMNS('Portfolio Weights Returns'!$B$9:$BJ$69))+1)</f>
        <v>-7.3002053465137781E-4</v>
      </c>
      <c r="B2892">
        <v>2.2599999999999999E-2</v>
      </c>
      <c r="C2892" s="59">
        <v>-0.23</v>
      </c>
      <c r="D2892" s="59">
        <v>0.01</v>
      </c>
      <c r="E2892" s="60">
        <f t="shared" si="45"/>
        <v>1.22</v>
      </c>
      <c r="F2892" t="str" cm="1">
        <f t="array" ref="F2892">IF(A2892=MAX(IF(ROUND($B$2:$B$3722,4)=ROUND(B2892,4),$A$2:$A$3722)),"Efficient","Inefficient")</f>
        <v>Inefficient</v>
      </c>
    </row>
    <row r="2893" spans="1:6" x14ac:dyDescent="0.25">
      <c r="A2893" cm="1">
        <f t="array" ref="A2893">INDEX('Portfolio Weights Returns'!$B$9:$BJ$69,
INT((ROW(A2892)-1)/COLUMNS('Portfolio Weights Returns'!$B$9:$BJ$69))+1,MOD(ROW(A2892)-1,COLUMNS('Portfolio Weights Returns'!$B$9:$BJ$69))+1)</f>
        <v>-7.2323936068469877E-4</v>
      </c>
      <c r="B2893">
        <v>2.2599999999999999E-2</v>
      </c>
      <c r="C2893" s="59">
        <v>-0.25</v>
      </c>
      <c r="D2893" s="59">
        <v>0.04</v>
      </c>
      <c r="E2893" s="60">
        <f t="shared" si="45"/>
        <v>1.21</v>
      </c>
      <c r="F2893" t="str" cm="1">
        <f t="array" ref="F2893">IF(A2893=MAX(IF(ROUND($B$2:$B$3722,4)=ROUND(B2893,4),$A$2:$A$3722)),"Efficient","Inefficient")</f>
        <v>Inefficient</v>
      </c>
    </row>
    <row r="2894" spans="1:6" x14ac:dyDescent="0.25">
      <c r="A2894" cm="1">
        <f t="array" ref="A2894">INDEX('Portfolio Weights Returns'!$B$9:$BJ$69,
INT((ROW(A2893)-1)/COLUMNS('Portfolio Weights Returns'!$B$9:$BJ$69))+1,MOD(ROW(A2893)-1,COLUMNS('Portfolio Weights Returns'!$B$9:$BJ$69))+1)</f>
        <v>-7.1645818671801963E-4</v>
      </c>
      <c r="B2894">
        <v>2.2599999999999999E-2</v>
      </c>
      <c r="C2894" s="59">
        <v>-0.27</v>
      </c>
      <c r="D2894" s="59">
        <v>7.0000000000000007E-2</v>
      </c>
      <c r="E2894" s="60">
        <f t="shared" si="45"/>
        <v>1.2</v>
      </c>
      <c r="F2894" t="str" cm="1">
        <f t="array" ref="F2894">IF(A2894=MAX(IF(ROUND($B$2:$B$3722,4)=ROUND(B2894,4),$A$2:$A$3722)),"Efficient","Inefficient")</f>
        <v>Inefficient</v>
      </c>
    </row>
    <row r="2895" spans="1:6" x14ac:dyDescent="0.25">
      <c r="A2895" cm="1">
        <f t="array" ref="A2895">INDEX('Portfolio Weights Returns'!$B$9:$BJ$69,
INT((ROW(A2894)-1)/COLUMNS('Portfolio Weights Returns'!$B$9:$BJ$69))+1,MOD(ROW(A2894)-1,COLUMNS('Portfolio Weights Returns'!$B$9:$BJ$69))+1)</f>
        <v>-7.0967701275134059E-4</v>
      </c>
      <c r="B2895">
        <v>2.2599999999999999E-2</v>
      </c>
      <c r="C2895" s="59">
        <v>-0.28000000000000003</v>
      </c>
      <c r="D2895" s="59">
        <v>0.09</v>
      </c>
      <c r="E2895" s="60">
        <f t="shared" si="45"/>
        <v>1.19</v>
      </c>
      <c r="F2895" t="str" cm="1">
        <f t="array" ref="F2895">IF(A2895=MAX(IF(ROUND($B$2:$B$3722,4)=ROUND(B2895,4),$A$2:$A$3722)),"Efficient","Inefficient")</f>
        <v>Inefficient</v>
      </c>
    </row>
    <row r="2896" spans="1:6" x14ac:dyDescent="0.25">
      <c r="A2896" cm="1">
        <f t="array" ref="A2896">INDEX('Portfolio Weights Returns'!$B$9:$BJ$69,
INT((ROW(A2895)-1)/COLUMNS('Portfolio Weights Returns'!$B$9:$BJ$69))+1,MOD(ROW(A2895)-1,COLUMNS('Portfolio Weights Returns'!$B$9:$BJ$69))+1)</f>
        <v>-7.0289583878466145E-4</v>
      </c>
      <c r="B2896">
        <v>2.2599999999999999E-2</v>
      </c>
      <c r="C2896" s="59">
        <v>-0.28999999999999998</v>
      </c>
      <c r="D2896" s="59">
        <v>0.11</v>
      </c>
      <c r="E2896" s="60">
        <f t="shared" si="45"/>
        <v>1.18</v>
      </c>
      <c r="F2896" t="str" cm="1">
        <f t="array" ref="F2896">IF(A2896=MAX(IF(ROUND($B$2:$B$3722,4)=ROUND(B2896,4),$A$2:$A$3722)),"Efficient","Inefficient")</f>
        <v>Inefficient</v>
      </c>
    </row>
    <row r="2897" spans="1:6" x14ac:dyDescent="0.25">
      <c r="A2897" cm="1">
        <f t="array" ref="A2897">INDEX('Portfolio Weights Returns'!$B$9:$BJ$69,
INT((ROW(A2896)-1)/COLUMNS('Portfolio Weights Returns'!$B$9:$BJ$69))+1,MOD(ROW(A2896)-1,COLUMNS('Portfolio Weights Returns'!$B$9:$BJ$69))+1)</f>
        <v>-6.9611466481798241E-4</v>
      </c>
      <c r="B2897">
        <v>2.2599999999999999E-2</v>
      </c>
      <c r="C2897" s="59">
        <v>-0.3</v>
      </c>
      <c r="D2897" s="59">
        <v>0.13</v>
      </c>
      <c r="E2897" s="60">
        <f t="shared" si="45"/>
        <v>1.17</v>
      </c>
      <c r="F2897" t="str" cm="1">
        <f t="array" ref="F2897">IF(A2897=MAX(IF(ROUND($B$2:$B$3722,4)=ROUND(B2897,4),$A$2:$A$3722)),"Efficient","Inefficient")</f>
        <v>Efficient</v>
      </c>
    </row>
    <row r="2898" spans="1:6" x14ac:dyDescent="0.25">
      <c r="A2898" cm="1">
        <f t="array" ref="A2898">INDEX('Portfolio Weights Returns'!$B$9:$BJ$69,
INT((ROW(A2897)-1)/COLUMNS('Portfolio Weights Returns'!$B$9:$BJ$69))+1,MOD(ROW(A2897)-1,COLUMNS('Portfolio Weights Returns'!$B$9:$BJ$69))+1)</f>
        <v>-6.8933349085130316E-4</v>
      </c>
      <c r="B2898">
        <v>2.2700000000000001E-2</v>
      </c>
      <c r="C2898" s="59">
        <v>0.16</v>
      </c>
      <c r="D2898" s="59">
        <v>-0.3</v>
      </c>
      <c r="E2898" s="60">
        <f t="shared" si="45"/>
        <v>1.1400000000000001</v>
      </c>
      <c r="F2898" t="str" cm="1">
        <f t="array" ref="F2898">IF(A2898=MAX(IF(ROUND($B$2:$B$3722,4)=ROUND(B2898,4),$A$2:$A$3722)),"Efficient","Inefficient")</f>
        <v>Inefficient</v>
      </c>
    </row>
    <row r="2899" spans="1:6" x14ac:dyDescent="0.25">
      <c r="A2899" cm="1">
        <f t="array" ref="A2899">INDEX('Portfolio Weights Returns'!$B$9:$BJ$69,
INT((ROW(A2898)-1)/COLUMNS('Portfolio Weights Returns'!$B$9:$BJ$69))+1,MOD(ROW(A2898)-1,COLUMNS('Portfolio Weights Returns'!$B$9:$BJ$69))+1)</f>
        <v>-6.8255231688462402E-4</v>
      </c>
      <c r="B2899">
        <v>2.2700000000000001E-2</v>
      </c>
      <c r="C2899" s="59">
        <v>0.14000000000000001</v>
      </c>
      <c r="D2899" s="59">
        <v>-0.28999999999999998</v>
      </c>
      <c r="E2899" s="60">
        <f t="shared" si="45"/>
        <v>1.1499999999999999</v>
      </c>
      <c r="F2899" t="str" cm="1">
        <f t="array" ref="F2899">IF(A2899=MAX(IF(ROUND($B$2:$B$3722,4)=ROUND(B2899,4),$A$2:$A$3722)),"Efficient","Inefficient")</f>
        <v>Inefficient</v>
      </c>
    </row>
    <row r="2900" spans="1:6" x14ac:dyDescent="0.25">
      <c r="A2900" cm="1">
        <f t="array" ref="A2900">INDEX('Portfolio Weights Returns'!$B$9:$BJ$69,
INT((ROW(A2899)-1)/COLUMNS('Portfolio Weights Returns'!$B$9:$BJ$69))+1,MOD(ROW(A2899)-1,COLUMNS('Portfolio Weights Returns'!$B$9:$BJ$69))+1)</f>
        <v>-6.7577114291794498E-4</v>
      </c>
      <c r="B2900">
        <v>2.2700000000000001E-2</v>
      </c>
      <c r="C2900" s="59">
        <v>0.11</v>
      </c>
      <c r="D2900" s="59">
        <v>-0.27</v>
      </c>
      <c r="E2900" s="60">
        <f t="shared" si="45"/>
        <v>1.1599999999999999</v>
      </c>
      <c r="F2900" t="str" cm="1">
        <f t="array" ref="F2900">IF(A2900=MAX(IF(ROUND($B$2:$B$3722,4)=ROUND(B2900,4),$A$2:$A$3722)),"Efficient","Inefficient")</f>
        <v>Inefficient</v>
      </c>
    </row>
    <row r="2901" spans="1:6" x14ac:dyDescent="0.25">
      <c r="A2901" cm="1">
        <f t="array" ref="A2901">INDEX('Portfolio Weights Returns'!$B$9:$BJ$69,
INT((ROW(A2900)-1)/COLUMNS('Portfolio Weights Returns'!$B$9:$BJ$69))+1,MOD(ROW(A2900)-1,COLUMNS('Portfolio Weights Returns'!$B$9:$BJ$69))+1)</f>
        <v>-6.6898996895126584E-4</v>
      </c>
      <c r="B2901">
        <v>2.2700000000000001E-2</v>
      </c>
      <c r="C2901" s="59">
        <v>0.09</v>
      </c>
      <c r="D2901" s="59">
        <v>-0.26</v>
      </c>
      <c r="E2901" s="60">
        <f t="shared" si="45"/>
        <v>1.17</v>
      </c>
      <c r="F2901" t="str" cm="1">
        <f t="array" ref="F2901">IF(A2901=MAX(IF(ROUND($B$2:$B$3722,4)=ROUND(B2901,4),$A$2:$A$3722)),"Efficient","Inefficient")</f>
        <v>Inefficient</v>
      </c>
    </row>
    <row r="2902" spans="1:6" x14ac:dyDescent="0.25">
      <c r="A2902" cm="1">
        <f t="array" ref="A2902">INDEX('Portfolio Weights Returns'!$B$9:$BJ$69,
INT((ROW(A2901)-1)/COLUMNS('Portfolio Weights Returns'!$B$9:$BJ$69))+1,MOD(ROW(A2901)-1,COLUMNS('Portfolio Weights Returns'!$B$9:$BJ$69))+1)</f>
        <v>-6.622087949845868E-4</v>
      </c>
      <c r="B2902">
        <v>2.2700000000000001E-2</v>
      </c>
      <c r="C2902" s="59">
        <v>0.06</v>
      </c>
      <c r="D2902" s="59">
        <v>-0.24</v>
      </c>
      <c r="E2902" s="60">
        <f t="shared" si="45"/>
        <v>1.18</v>
      </c>
      <c r="F2902" t="str" cm="1">
        <f t="array" ref="F2902">IF(A2902=MAX(IF(ROUND($B$2:$B$3722,4)=ROUND(B2902,4),$A$2:$A$3722)),"Efficient","Inefficient")</f>
        <v>Inefficient</v>
      </c>
    </row>
    <row r="2903" spans="1:6" x14ac:dyDescent="0.25">
      <c r="A2903" cm="1">
        <f t="array" ref="A2903">INDEX('Portfolio Weights Returns'!$B$9:$BJ$69,
INT((ROW(A2902)-1)/COLUMNS('Portfolio Weights Returns'!$B$9:$BJ$69))+1,MOD(ROW(A2902)-1,COLUMNS('Portfolio Weights Returns'!$B$9:$BJ$69))+1)</f>
        <v>-6.5542762101790766E-4</v>
      </c>
      <c r="B2903">
        <v>2.2700000000000001E-2</v>
      </c>
      <c r="C2903" s="59">
        <v>0.04</v>
      </c>
      <c r="D2903" s="59">
        <v>-0.23</v>
      </c>
      <c r="E2903" s="60">
        <f t="shared" si="45"/>
        <v>1.19</v>
      </c>
      <c r="F2903" t="str" cm="1">
        <f t="array" ref="F2903">IF(A2903=MAX(IF(ROUND($B$2:$B$3722,4)=ROUND(B2903,4),$A$2:$A$3722)),"Efficient","Inefficient")</f>
        <v>Inefficient</v>
      </c>
    </row>
    <row r="2904" spans="1:6" x14ac:dyDescent="0.25">
      <c r="A2904" cm="1">
        <f t="array" ref="A2904">INDEX('Portfolio Weights Returns'!$B$9:$BJ$69,
INT((ROW(A2903)-1)/COLUMNS('Portfolio Weights Returns'!$B$9:$BJ$69))+1,MOD(ROW(A2903)-1,COLUMNS('Portfolio Weights Returns'!$B$9:$BJ$69))+1)</f>
        <v>-6.4864644705122862E-4</v>
      </c>
      <c r="B2904">
        <v>2.2700000000000001E-2</v>
      </c>
      <c r="C2904" s="59">
        <v>0.01</v>
      </c>
      <c r="D2904" s="59">
        <v>-0.21</v>
      </c>
      <c r="E2904" s="60">
        <f t="shared" si="45"/>
        <v>1.2</v>
      </c>
      <c r="F2904" t="str" cm="1">
        <f t="array" ref="F2904">IF(A2904=MAX(IF(ROUND($B$2:$B$3722,4)=ROUND(B2904,4),$A$2:$A$3722)),"Efficient","Inefficient")</f>
        <v>Inefficient</v>
      </c>
    </row>
    <row r="2905" spans="1:6" x14ac:dyDescent="0.25">
      <c r="A2905" cm="1">
        <f t="array" ref="A2905">INDEX('Portfolio Weights Returns'!$B$9:$BJ$69,
INT((ROW(A2904)-1)/COLUMNS('Portfolio Weights Returns'!$B$9:$BJ$69))+1,MOD(ROW(A2904)-1,COLUMNS('Portfolio Weights Returns'!$B$9:$BJ$69))+1)</f>
        <v>-6.4186527308454937E-4</v>
      </c>
      <c r="B2905">
        <v>2.2700000000000001E-2</v>
      </c>
      <c r="C2905" s="59">
        <v>-0.02</v>
      </c>
      <c r="D2905" s="59">
        <v>-0.19</v>
      </c>
      <c r="E2905" s="60">
        <f t="shared" si="45"/>
        <v>1.21</v>
      </c>
      <c r="F2905" t="str" cm="1">
        <f t="array" ref="F2905">IF(A2905=MAX(IF(ROUND($B$2:$B$3722,4)=ROUND(B2905,4),$A$2:$A$3722)),"Efficient","Inefficient")</f>
        <v>Inefficient</v>
      </c>
    </row>
    <row r="2906" spans="1:6" x14ac:dyDescent="0.25">
      <c r="A2906" cm="1">
        <f t="array" ref="A2906">INDEX('Portfolio Weights Returns'!$B$9:$BJ$69,
INT((ROW(A2905)-1)/COLUMNS('Portfolio Weights Returns'!$B$9:$BJ$69))+1,MOD(ROW(A2905)-1,COLUMNS('Portfolio Weights Returns'!$B$9:$BJ$69))+1)</f>
        <v>-6.3508409911787033E-4</v>
      </c>
      <c r="B2906">
        <v>2.2700000000000001E-2</v>
      </c>
      <c r="C2906" s="59">
        <v>-0.03</v>
      </c>
      <c r="D2906" s="59">
        <v>-0.18</v>
      </c>
      <c r="E2906" s="60">
        <f t="shared" si="45"/>
        <v>1.21</v>
      </c>
      <c r="F2906" t="str" cm="1">
        <f t="array" ref="F2906">IF(A2906=MAX(IF(ROUND($B$2:$B$3722,4)=ROUND(B2906,4),$A$2:$A$3722)),"Efficient","Inefficient")</f>
        <v>Inefficient</v>
      </c>
    </row>
    <row r="2907" spans="1:6" x14ac:dyDescent="0.25">
      <c r="A2907" cm="1">
        <f t="array" ref="A2907">INDEX('Portfolio Weights Returns'!$B$9:$BJ$69,
INT((ROW(A2906)-1)/COLUMNS('Portfolio Weights Returns'!$B$9:$BJ$69))+1,MOD(ROW(A2906)-1,COLUMNS('Portfolio Weights Returns'!$B$9:$BJ$69))+1)</f>
        <v>-6.2830292515119129E-4</v>
      </c>
      <c r="B2907">
        <v>2.2700000000000001E-2</v>
      </c>
      <c r="C2907" s="59">
        <v>-0.06</v>
      </c>
      <c r="D2907" s="59">
        <v>-0.16</v>
      </c>
      <c r="E2907" s="60">
        <f t="shared" si="45"/>
        <v>1.22</v>
      </c>
      <c r="F2907" t="str" cm="1">
        <f t="array" ref="F2907">IF(A2907=MAX(IF(ROUND($B$2:$B$3722,4)=ROUND(B2907,4),$A$2:$A$3722)),"Efficient","Inefficient")</f>
        <v>Inefficient</v>
      </c>
    </row>
    <row r="2908" spans="1:6" x14ac:dyDescent="0.25">
      <c r="A2908" cm="1">
        <f t="array" ref="A2908">INDEX('Portfolio Weights Returns'!$B$9:$BJ$69,
INT((ROW(A2907)-1)/COLUMNS('Portfolio Weights Returns'!$B$9:$BJ$69))+1,MOD(ROW(A2907)-1,COLUMNS('Portfolio Weights Returns'!$B$9:$BJ$69))+1)</f>
        <v>-6.2152175118451226E-4</v>
      </c>
      <c r="B2908">
        <v>2.2700000000000001E-2</v>
      </c>
      <c r="C2908" s="59">
        <v>-7.0000000000000007E-2</v>
      </c>
      <c r="D2908" s="59">
        <v>-0.15</v>
      </c>
      <c r="E2908" s="60">
        <f t="shared" si="45"/>
        <v>1.22</v>
      </c>
      <c r="F2908" t="str" cm="1">
        <f t="array" ref="F2908">IF(A2908=MAX(IF(ROUND($B$2:$B$3722,4)=ROUND(B2908,4),$A$2:$A$3722)),"Efficient","Inefficient")</f>
        <v>Inefficient</v>
      </c>
    </row>
    <row r="2909" spans="1:6" x14ac:dyDescent="0.25">
      <c r="A2909" cm="1">
        <f t="array" ref="A2909">INDEX('Portfolio Weights Returns'!$B$9:$BJ$69,
INT((ROW(A2908)-1)/COLUMNS('Portfolio Weights Returns'!$B$9:$BJ$69))+1,MOD(ROW(A2908)-1,COLUMNS('Portfolio Weights Returns'!$B$9:$BJ$69))+1)</f>
        <v>-6.1474057721783311E-4</v>
      </c>
      <c r="B2909">
        <v>2.2700000000000001E-2</v>
      </c>
      <c r="C2909" s="59">
        <v>-0.11</v>
      </c>
      <c r="D2909" s="59">
        <v>-0.12</v>
      </c>
      <c r="E2909" s="60">
        <f t="shared" si="45"/>
        <v>1.2300000000000002</v>
      </c>
      <c r="F2909" t="str" cm="1">
        <f t="array" ref="F2909">IF(A2909=MAX(IF(ROUND($B$2:$B$3722,4)=ROUND(B2909,4),$A$2:$A$3722)),"Efficient","Inefficient")</f>
        <v>Inefficient</v>
      </c>
    </row>
    <row r="2910" spans="1:6" x14ac:dyDescent="0.25">
      <c r="A2910" cm="1">
        <f t="array" ref="A2910">INDEX('Portfolio Weights Returns'!$B$9:$BJ$69,
INT((ROW(A2909)-1)/COLUMNS('Portfolio Weights Returns'!$B$9:$BJ$69))+1,MOD(ROW(A2909)-1,COLUMNS('Portfolio Weights Returns'!$B$9:$BJ$69))+1)</f>
        <v>-6.0795940325115397E-4</v>
      </c>
      <c r="B2910">
        <v>2.2700000000000001E-2</v>
      </c>
      <c r="C2910" s="59">
        <v>-0.12</v>
      </c>
      <c r="D2910" s="59">
        <v>-0.11</v>
      </c>
      <c r="E2910" s="60">
        <f t="shared" si="45"/>
        <v>1.23</v>
      </c>
      <c r="F2910" t="str" cm="1">
        <f t="array" ref="F2910">IF(A2910=MAX(IF(ROUND($B$2:$B$3722,4)=ROUND(B2910,4),$A$2:$A$3722)),"Efficient","Inefficient")</f>
        <v>Inefficient</v>
      </c>
    </row>
    <row r="2911" spans="1:6" x14ac:dyDescent="0.25">
      <c r="A2911" cm="1">
        <f t="array" ref="A2911">INDEX('Portfolio Weights Returns'!$B$9:$BJ$69,
INT((ROW(A2910)-1)/COLUMNS('Portfolio Weights Returns'!$B$9:$BJ$69))+1,MOD(ROW(A2910)-1,COLUMNS('Portfolio Weights Returns'!$B$9:$BJ$69))+1)</f>
        <v>-6.0117822928447483E-4</v>
      </c>
      <c r="B2911">
        <v>2.2700000000000001E-2</v>
      </c>
      <c r="C2911" s="59">
        <v>-0.13</v>
      </c>
      <c r="D2911" s="59">
        <v>-0.1</v>
      </c>
      <c r="E2911" s="60">
        <f t="shared" si="45"/>
        <v>1.23</v>
      </c>
      <c r="F2911" t="str" cm="1">
        <f t="array" ref="F2911">IF(A2911=MAX(IF(ROUND($B$2:$B$3722,4)=ROUND(B2911,4),$A$2:$A$3722)),"Efficient","Inefficient")</f>
        <v>Inefficient</v>
      </c>
    </row>
    <row r="2912" spans="1:6" x14ac:dyDescent="0.25">
      <c r="A2912" cm="1">
        <f t="array" ref="A2912">INDEX('Portfolio Weights Returns'!$B$9:$BJ$69,
INT((ROW(A2911)-1)/COLUMNS('Portfolio Weights Returns'!$B$9:$BJ$69))+1,MOD(ROW(A2911)-1,COLUMNS('Portfolio Weights Returns'!$B$9:$BJ$69))+1)</f>
        <v>-5.9439705531779568E-4</v>
      </c>
      <c r="B2912">
        <v>2.2700000000000001E-2</v>
      </c>
      <c r="C2912" s="59">
        <v>-0.14000000000000001</v>
      </c>
      <c r="D2912" s="59">
        <v>-0.09</v>
      </c>
      <c r="E2912" s="60">
        <f t="shared" si="45"/>
        <v>1.23</v>
      </c>
      <c r="F2912" t="str" cm="1">
        <f t="array" ref="F2912">IF(A2912=MAX(IF(ROUND($B$2:$B$3722,4)=ROUND(B2912,4),$A$2:$A$3722)),"Efficient","Inefficient")</f>
        <v>Inefficient</v>
      </c>
    </row>
    <row r="2913" spans="1:6" x14ac:dyDescent="0.25">
      <c r="A2913" cm="1">
        <f t="array" ref="A2913">INDEX('Portfolio Weights Returns'!$B$9:$BJ$69,
INT((ROW(A2912)-1)/COLUMNS('Portfolio Weights Returns'!$B$9:$BJ$69))+1,MOD(ROW(A2912)-1,COLUMNS('Portfolio Weights Returns'!$B$9:$BJ$69))+1)</f>
        <v>-5.8761588135111664E-4</v>
      </c>
      <c r="B2913">
        <v>2.2700000000000001E-2</v>
      </c>
      <c r="C2913" s="59">
        <v>-0.15</v>
      </c>
      <c r="D2913" s="59">
        <v>-0.08</v>
      </c>
      <c r="E2913" s="60">
        <f t="shared" si="45"/>
        <v>1.23</v>
      </c>
      <c r="F2913" t="str" cm="1">
        <f t="array" ref="F2913">IF(A2913=MAX(IF(ROUND($B$2:$B$3722,4)=ROUND(B2913,4),$A$2:$A$3722)),"Efficient","Inefficient")</f>
        <v>Inefficient</v>
      </c>
    </row>
    <row r="2914" spans="1:6" x14ac:dyDescent="0.25">
      <c r="A2914" cm="1">
        <f t="array" ref="A2914">INDEX('Portfolio Weights Returns'!$B$9:$BJ$69,
INT((ROW(A2913)-1)/COLUMNS('Portfolio Weights Returns'!$B$9:$BJ$69))+1,MOD(ROW(A2913)-1,COLUMNS('Portfolio Weights Returns'!$B$9:$BJ$69))+1)</f>
        <v>-5.808347073844375E-4</v>
      </c>
      <c r="B2914">
        <v>2.2700000000000001E-2</v>
      </c>
      <c r="C2914" s="59">
        <v>-0.16</v>
      </c>
      <c r="D2914" s="59">
        <v>-7.0000000000000007E-2</v>
      </c>
      <c r="E2914" s="60">
        <f t="shared" si="45"/>
        <v>1.23</v>
      </c>
      <c r="F2914" t="str" cm="1">
        <f t="array" ref="F2914">IF(A2914=MAX(IF(ROUND($B$2:$B$3722,4)=ROUND(B2914,4),$A$2:$A$3722)),"Efficient","Inefficient")</f>
        <v>Inefficient</v>
      </c>
    </row>
    <row r="2915" spans="1:6" x14ac:dyDescent="0.25">
      <c r="A2915" cm="1">
        <f t="array" ref="A2915">INDEX('Portfolio Weights Returns'!$B$9:$BJ$69,
INT((ROW(A2914)-1)/COLUMNS('Portfolio Weights Returns'!$B$9:$BJ$69))+1,MOD(ROW(A2914)-1,COLUMNS('Portfolio Weights Returns'!$B$9:$BJ$69))+1)</f>
        <v>-5.7405353341775846E-4</v>
      </c>
      <c r="B2915">
        <v>2.2700000000000001E-2</v>
      </c>
      <c r="C2915" s="59">
        <v>-0.17</v>
      </c>
      <c r="D2915" s="59">
        <v>-0.06</v>
      </c>
      <c r="E2915" s="60">
        <f t="shared" si="45"/>
        <v>1.23</v>
      </c>
      <c r="F2915" t="str" cm="1">
        <f t="array" ref="F2915">IF(A2915=MAX(IF(ROUND($B$2:$B$3722,4)=ROUND(B2915,4),$A$2:$A$3722)),"Efficient","Inefficient")</f>
        <v>Inefficient</v>
      </c>
    </row>
    <row r="2916" spans="1:6" x14ac:dyDescent="0.25">
      <c r="A2916" cm="1">
        <f t="array" ref="A2916">INDEX('Portfolio Weights Returns'!$B$9:$BJ$69,
INT((ROW(A2915)-1)/COLUMNS('Portfolio Weights Returns'!$B$9:$BJ$69))+1,MOD(ROW(A2915)-1,COLUMNS('Portfolio Weights Returns'!$B$9:$BJ$69))+1)</f>
        <v>-5.6727235945107932E-4</v>
      </c>
      <c r="B2916">
        <v>2.2700000000000001E-2</v>
      </c>
      <c r="C2916" s="59">
        <v>-0.18</v>
      </c>
      <c r="D2916" s="59">
        <v>-0.05</v>
      </c>
      <c r="E2916" s="60">
        <f t="shared" si="45"/>
        <v>1.23</v>
      </c>
      <c r="F2916" t="str" cm="1">
        <f t="array" ref="F2916">IF(A2916=MAX(IF(ROUND($B$2:$B$3722,4)=ROUND(B2916,4),$A$2:$A$3722)),"Efficient","Inefficient")</f>
        <v>Inefficient</v>
      </c>
    </row>
    <row r="2917" spans="1:6" x14ac:dyDescent="0.25">
      <c r="A2917" cm="1">
        <f t="array" ref="A2917">INDEX('Portfolio Weights Returns'!$B$9:$BJ$69,
INT((ROW(A2916)-1)/COLUMNS('Portfolio Weights Returns'!$B$9:$BJ$69))+1,MOD(ROW(A2916)-1,COLUMNS('Portfolio Weights Returns'!$B$9:$BJ$69))+1)</f>
        <v>-5.6049118548440018E-4</v>
      </c>
      <c r="B2917">
        <v>2.2700000000000001E-2</v>
      </c>
      <c r="C2917" s="59">
        <v>-0.19</v>
      </c>
      <c r="D2917" s="59">
        <v>-0.04</v>
      </c>
      <c r="E2917" s="60">
        <f t="shared" si="45"/>
        <v>1.23</v>
      </c>
      <c r="F2917" t="str" cm="1">
        <f t="array" ref="F2917">IF(A2917=MAX(IF(ROUND($B$2:$B$3722,4)=ROUND(B2917,4),$A$2:$A$3722)),"Efficient","Inefficient")</f>
        <v>Inefficient</v>
      </c>
    </row>
    <row r="2918" spans="1:6" x14ac:dyDescent="0.25">
      <c r="A2918" cm="1">
        <f t="array" ref="A2918">INDEX('Portfolio Weights Returns'!$B$9:$BJ$69,
INT((ROW(A2917)-1)/COLUMNS('Portfolio Weights Returns'!$B$9:$BJ$69))+1,MOD(ROW(A2917)-1,COLUMNS('Portfolio Weights Returns'!$B$9:$BJ$69))+1)</f>
        <v>-5.5371001151772114E-4</v>
      </c>
      <c r="B2918">
        <v>2.2700000000000001E-2</v>
      </c>
      <c r="C2918" s="59">
        <v>-0.2</v>
      </c>
      <c r="D2918" s="59">
        <v>-0.03</v>
      </c>
      <c r="E2918" s="60">
        <f t="shared" si="45"/>
        <v>1.23</v>
      </c>
      <c r="F2918" t="str" cm="1">
        <f t="array" ref="F2918">IF(A2918=MAX(IF(ROUND($B$2:$B$3722,4)=ROUND(B2918,4),$A$2:$A$3722)),"Efficient","Inefficient")</f>
        <v>Inefficient</v>
      </c>
    </row>
    <row r="2919" spans="1:6" x14ac:dyDescent="0.25">
      <c r="A2919" cm="1">
        <f t="array" ref="A2919">INDEX('Portfolio Weights Returns'!$B$9:$BJ$69,
INT((ROW(A2918)-1)/COLUMNS('Portfolio Weights Returns'!$B$9:$BJ$69))+1,MOD(ROW(A2918)-1,COLUMNS('Portfolio Weights Returns'!$B$9:$BJ$69))+1)</f>
        <v>-5.46928837551042E-4</v>
      </c>
      <c r="B2919">
        <v>2.2700000000000001E-2</v>
      </c>
      <c r="C2919" s="59">
        <v>-0.21</v>
      </c>
      <c r="D2919" s="59">
        <v>-0.02</v>
      </c>
      <c r="E2919" s="60">
        <f t="shared" si="45"/>
        <v>1.23</v>
      </c>
      <c r="F2919" t="str" cm="1">
        <f t="array" ref="F2919">IF(A2919=MAX(IF(ROUND($B$2:$B$3722,4)=ROUND(B2919,4),$A$2:$A$3722)),"Efficient","Inefficient")</f>
        <v>Inefficient</v>
      </c>
    </row>
    <row r="2920" spans="1:6" x14ac:dyDescent="0.25">
      <c r="A2920" cm="1">
        <f t="array" ref="A2920">INDEX('Portfolio Weights Returns'!$B$9:$BJ$69,
INT((ROW(A2919)-1)/COLUMNS('Portfolio Weights Returns'!$B$9:$BJ$69))+1,MOD(ROW(A2919)-1,COLUMNS('Portfolio Weights Returns'!$B$9:$BJ$69))+1)</f>
        <v>-5.4014766358436296E-4</v>
      </c>
      <c r="B2920">
        <v>2.2700000000000001E-2</v>
      </c>
      <c r="C2920" s="59">
        <v>-0.22</v>
      </c>
      <c r="D2920" s="59">
        <v>-0.01</v>
      </c>
      <c r="E2920" s="60">
        <f t="shared" si="45"/>
        <v>1.23</v>
      </c>
      <c r="F2920" t="str" cm="1">
        <f t="array" ref="F2920">IF(A2920=MAX(IF(ROUND($B$2:$B$3722,4)=ROUND(B2920,4),$A$2:$A$3722)),"Efficient","Inefficient")</f>
        <v>Inefficient</v>
      </c>
    </row>
    <row r="2921" spans="1:6" x14ac:dyDescent="0.25">
      <c r="A2921" cm="1">
        <f t="array" ref="A2921">INDEX('Portfolio Weights Returns'!$B$9:$BJ$69,
INT((ROW(A2920)-1)/COLUMNS('Portfolio Weights Returns'!$B$9:$BJ$69))+1,MOD(ROW(A2920)-1,COLUMNS('Portfolio Weights Returns'!$B$9:$BJ$69))+1)</f>
        <v>-5.3336648961768381E-4</v>
      </c>
      <c r="B2921">
        <v>2.2700000000000001E-2</v>
      </c>
      <c r="C2921" s="59">
        <v>-0.24</v>
      </c>
      <c r="D2921" s="59">
        <v>0.02</v>
      </c>
      <c r="E2921" s="60">
        <f t="shared" si="45"/>
        <v>1.22</v>
      </c>
      <c r="F2921" t="str" cm="1">
        <f t="array" ref="F2921">IF(A2921=MAX(IF(ROUND($B$2:$B$3722,4)=ROUND(B2921,4),$A$2:$A$3722)),"Efficient","Inefficient")</f>
        <v>Inefficient</v>
      </c>
    </row>
    <row r="2922" spans="1:6" x14ac:dyDescent="0.25">
      <c r="A2922" cm="1">
        <f t="array" ref="A2922">INDEX('Portfolio Weights Returns'!$B$9:$BJ$69,
INT((ROW(A2921)-1)/COLUMNS('Portfolio Weights Returns'!$B$9:$BJ$69))+1,MOD(ROW(A2921)-1,COLUMNS('Portfolio Weights Returns'!$B$9:$BJ$69))+1)</f>
        <v>-5.2658531565100467E-4</v>
      </c>
      <c r="B2922">
        <v>2.2700000000000001E-2</v>
      </c>
      <c r="C2922" s="59">
        <v>-0.25</v>
      </c>
      <c r="D2922" s="59">
        <v>0.03</v>
      </c>
      <c r="E2922" s="60">
        <f t="shared" si="45"/>
        <v>1.22</v>
      </c>
      <c r="F2922" t="str" cm="1">
        <f t="array" ref="F2922">IF(A2922=MAX(IF(ROUND($B$2:$B$3722,4)=ROUND(B2922,4),$A$2:$A$3722)),"Efficient","Inefficient")</f>
        <v>Inefficient</v>
      </c>
    </row>
    <row r="2923" spans="1:6" x14ac:dyDescent="0.25">
      <c r="A2923" cm="1">
        <f t="array" ref="A2923">INDEX('Portfolio Weights Returns'!$B$9:$BJ$69,
INT((ROW(A2922)-1)/COLUMNS('Portfolio Weights Returns'!$B$9:$BJ$69))+1,MOD(ROW(A2922)-1,COLUMNS('Portfolio Weights Returns'!$B$9:$BJ$69))+1)</f>
        <v>-5.1980414168432563E-4</v>
      </c>
      <c r="B2923">
        <v>2.2700000000000001E-2</v>
      </c>
      <c r="C2923" s="59">
        <v>-0.26</v>
      </c>
      <c r="D2923" s="59">
        <v>0.05</v>
      </c>
      <c r="E2923" s="60">
        <f t="shared" si="45"/>
        <v>1.21</v>
      </c>
      <c r="F2923" t="str" cm="1">
        <f t="array" ref="F2923">IF(A2923=MAX(IF(ROUND($B$2:$B$3722,4)=ROUND(B2923,4),$A$2:$A$3722)),"Efficient","Inefficient")</f>
        <v>Inefficient</v>
      </c>
    </row>
    <row r="2924" spans="1:6" x14ac:dyDescent="0.25">
      <c r="A2924" cm="1">
        <f t="array" ref="A2924">INDEX('Portfolio Weights Returns'!$B$9:$BJ$69,
INT((ROW(A2923)-1)/COLUMNS('Portfolio Weights Returns'!$B$9:$BJ$69))+1,MOD(ROW(A2923)-1,COLUMNS('Portfolio Weights Returns'!$B$9:$BJ$69))+1)</f>
        <v>-5.1302296771764649E-4</v>
      </c>
      <c r="B2924">
        <v>2.2700000000000001E-2</v>
      </c>
      <c r="C2924" s="59">
        <v>-0.27</v>
      </c>
      <c r="D2924" s="59">
        <v>0.06</v>
      </c>
      <c r="E2924" s="60">
        <f t="shared" si="45"/>
        <v>1.21</v>
      </c>
      <c r="F2924" t="str" cm="1">
        <f t="array" ref="F2924">IF(A2924=MAX(IF(ROUND($B$2:$B$3722,4)=ROUND(B2924,4),$A$2:$A$3722)),"Efficient","Inefficient")</f>
        <v>Inefficient</v>
      </c>
    </row>
    <row r="2925" spans="1:6" x14ac:dyDescent="0.25">
      <c r="A2925" cm="1">
        <f t="array" ref="A2925">INDEX('Portfolio Weights Returns'!$B$9:$BJ$69,
INT((ROW(A2924)-1)/COLUMNS('Portfolio Weights Returns'!$B$9:$BJ$69))+1,MOD(ROW(A2924)-1,COLUMNS('Portfolio Weights Returns'!$B$9:$BJ$69))+1)</f>
        <v>-5.0624179375096735E-4</v>
      </c>
      <c r="B2925">
        <v>2.2700000000000001E-2</v>
      </c>
      <c r="C2925" s="59">
        <v>-0.28000000000000003</v>
      </c>
      <c r="D2925" s="59">
        <v>0.08</v>
      </c>
      <c r="E2925" s="60">
        <f t="shared" si="45"/>
        <v>1.2000000000000002</v>
      </c>
      <c r="F2925" t="str" cm="1">
        <f t="array" ref="F2925">IF(A2925=MAX(IF(ROUND($B$2:$B$3722,4)=ROUND(B2925,4),$A$2:$A$3722)),"Efficient","Inefficient")</f>
        <v>Inefficient</v>
      </c>
    </row>
    <row r="2926" spans="1:6" x14ac:dyDescent="0.25">
      <c r="A2926" cm="1">
        <f t="array" ref="A2926">INDEX('Portfolio Weights Returns'!$B$9:$BJ$69,
INT((ROW(A2925)-1)/COLUMNS('Portfolio Weights Returns'!$B$9:$BJ$69))+1,MOD(ROW(A2925)-1,COLUMNS('Portfolio Weights Returns'!$B$9:$BJ$69))+1)</f>
        <v>-4.9946061978428755E-4</v>
      </c>
      <c r="B2926">
        <v>2.2700000000000001E-2</v>
      </c>
      <c r="C2926" s="59">
        <v>-0.28999999999999998</v>
      </c>
      <c r="D2926" s="59">
        <v>0.1</v>
      </c>
      <c r="E2926" s="60">
        <f t="shared" si="45"/>
        <v>1.19</v>
      </c>
      <c r="F2926" t="str" cm="1">
        <f t="array" ref="F2926">IF(A2926=MAX(IF(ROUND($B$2:$B$3722,4)=ROUND(B2926,4),$A$2:$A$3722)),"Efficient","Inefficient")</f>
        <v>Inefficient</v>
      </c>
    </row>
    <row r="2927" spans="1:6" x14ac:dyDescent="0.25">
      <c r="A2927" cm="1">
        <f t="array" ref="A2927">INDEX('Portfolio Weights Returns'!$B$9:$BJ$69,
INT((ROW(A2926)-1)/COLUMNS('Portfolio Weights Returns'!$B$9:$BJ$69))+1,MOD(ROW(A2926)-1,COLUMNS('Portfolio Weights Returns'!$B$9:$BJ$69))+1)</f>
        <v>-4.9267944581760851E-4</v>
      </c>
      <c r="B2927">
        <v>2.2700000000000001E-2</v>
      </c>
      <c r="C2927" s="59">
        <v>-0.3</v>
      </c>
      <c r="D2927" s="59">
        <v>0.12</v>
      </c>
      <c r="E2927" s="60">
        <f t="shared" si="45"/>
        <v>1.18</v>
      </c>
      <c r="F2927" t="str" cm="1">
        <f t="array" ref="F2927">IF(A2927=MAX(IF(ROUND($B$2:$B$3722,4)=ROUND(B2927,4),$A$2:$A$3722)),"Efficient","Inefficient")</f>
        <v>Efficient</v>
      </c>
    </row>
    <row r="2928" spans="1:6" x14ac:dyDescent="0.25">
      <c r="A2928" cm="1">
        <f t="array" ref="A2928">INDEX('Portfolio Weights Returns'!$B$9:$BJ$69,
INT((ROW(A2927)-1)/COLUMNS('Portfolio Weights Returns'!$B$9:$BJ$69))+1,MOD(ROW(A2927)-1,COLUMNS('Portfolio Weights Returns'!$B$9:$BJ$69))+1)</f>
        <v>-4.8589827185092948E-4</v>
      </c>
      <c r="B2928">
        <v>2.2800000000000001E-2</v>
      </c>
      <c r="C2928" s="59">
        <v>0.12</v>
      </c>
      <c r="D2928" s="59">
        <v>-0.28000000000000003</v>
      </c>
      <c r="E2928" s="60">
        <f t="shared" si="45"/>
        <v>1.1600000000000001</v>
      </c>
      <c r="F2928" t="str" cm="1">
        <f t="array" ref="F2928">IF(A2928=MAX(IF(ROUND($B$2:$B$3722,4)=ROUND(B2928,4),$A$2:$A$3722)),"Efficient","Inefficient")</f>
        <v>Inefficient</v>
      </c>
    </row>
    <row r="2929" spans="1:6" x14ac:dyDescent="0.25">
      <c r="A2929" cm="1">
        <f t="array" ref="A2929">INDEX('Portfolio Weights Returns'!$B$9:$BJ$69,
INT((ROW(A2928)-1)/COLUMNS('Portfolio Weights Returns'!$B$9:$BJ$69))+1,MOD(ROW(A2928)-1,COLUMNS('Portfolio Weights Returns'!$B$9:$BJ$69))+1)</f>
        <v>-4.7911709788425033E-4</v>
      </c>
      <c r="B2929">
        <v>2.2800000000000001E-2</v>
      </c>
      <c r="C2929" s="59">
        <v>0.1</v>
      </c>
      <c r="D2929" s="59">
        <v>-0.27</v>
      </c>
      <c r="E2929" s="60">
        <f t="shared" si="45"/>
        <v>1.17</v>
      </c>
      <c r="F2929" t="str" cm="1">
        <f t="array" ref="F2929">IF(A2929=MAX(IF(ROUND($B$2:$B$3722,4)=ROUND(B2929,4),$A$2:$A$3722)),"Efficient","Inefficient")</f>
        <v>Efficient</v>
      </c>
    </row>
    <row r="2930" spans="1:6" x14ac:dyDescent="0.25">
      <c r="A2930" cm="1">
        <f t="array" ref="A2930">INDEX('Portfolio Weights Returns'!$B$9:$BJ$69,
INT((ROW(A2929)-1)/COLUMNS('Portfolio Weights Returns'!$B$9:$BJ$69))+1,MOD(ROW(A2929)-1,COLUMNS('Portfolio Weights Returns'!$B$9:$BJ$69))+1)</f>
        <v>-8.7941332803954215E-4</v>
      </c>
      <c r="B2930">
        <v>2.2800000000000001E-2</v>
      </c>
      <c r="C2930" s="59">
        <v>0.08</v>
      </c>
      <c r="D2930" s="59">
        <v>-0.26</v>
      </c>
      <c r="E2930" s="60">
        <f t="shared" si="45"/>
        <v>1.18</v>
      </c>
      <c r="F2930" t="str" cm="1">
        <f t="array" ref="F2930">IF(A2930=MAX(IF(ROUND($B$2:$B$3722,4)=ROUND(B2930,4),$A$2:$A$3722)),"Efficient","Inefficient")</f>
        <v>Inefficient</v>
      </c>
    </row>
    <row r="2931" spans="1:6" x14ac:dyDescent="0.25">
      <c r="A2931" cm="1">
        <f t="array" ref="A2931">INDEX('Portfolio Weights Returns'!$B$9:$BJ$69,
INT((ROW(A2930)-1)/COLUMNS('Portfolio Weights Returns'!$B$9:$BJ$69))+1,MOD(ROW(A2930)-1,COLUMNS('Portfolio Weights Returns'!$B$9:$BJ$69))+1)</f>
        <v>-8.7263215407286311E-4</v>
      </c>
      <c r="B2931">
        <v>2.2800000000000001E-2</v>
      </c>
      <c r="C2931" s="59">
        <v>7.0000000000000007E-2</v>
      </c>
      <c r="D2931" s="59">
        <v>-0.25</v>
      </c>
      <c r="E2931" s="60">
        <f t="shared" si="45"/>
        <v>1.18</v>
      </c>
      <c r="F2931" t="str" cm="1">
        <f t="array" ref="F2931">IF(A2931=MAX(IF(ROUND($B$2:$B$3722,4)=ROUND(B2931,4),$A$2:$A$3722)),"Efficient","Inefficient")</f>
        <v>Inefficient</v>
      </c>
    </row>
    <row r="2932" spans="1:6" x14ac:dyDescent="0.25">
      <c r="A2932" cm="1">
        <f t="array" ref="A2932">INDEX('Portfolio Weights Returns'!$B$9:$BJ$69,
INT((ROW(A2931)-1)/COLUMNS('Portfolio Weights Returns'!$B$9:$BJ$69))+1,MOD(ROW(A2931)-1,COLUMNS('Portfolio Weights Returns'!$B$9:$BJ$69))+1)</f>
        <v>-8.6585098010618386E-4</v>
      </c>
      <c r="B2932">
        <v>2.2800000000000001E-2</v>
      </c>
      <c r="C2932" s="59">
        <v>0.05</v>
      </c>
      <c r="D2932" s="59">
        <v>-0.24</v>
      </c>
      <c r="E2932" s="60">
        <f t="shared" si="45"/>
        <v>1.19</v>
      </c>
      <c r="F2932" t="str" cm="1">
        <f t="array" ref="F2932">IF(A2932=MAX(IF(ROUND($B$2:$B$3722,4)=ROUND(B2932,4),$A$2:$A$3722)),"Efficient","Inefficient")</f>
        <v>Inefficient</v>
      </c>
    </row>
    <row r="2933" spans="1:6" x14ac:dyDescent="0.25">
      <c r="A2933" cm="1">
        <f t="array" ref="A2933">INDEX('Portfolio Weights Returns'!$B$9:$BJ$69,
INT((ROW(A2932)-1)/COLUMNS('Portfolio Weights Returns'!$B$9:$BJ$69))+1,MOD(ROW(A2932)-1,COLUMNS('Portfolio Weights Returns'!$B$9:$BJ$69))+1)</f>
        <v>-8.5906980613950482E-4</v>
      </c>
      <c r="B2933">
        <v>2.2800000000000001E-2</v>
      </c>
      <c r="C2933" s="59">
        <v>0.02</v>
      </c>
      <c r="D2933" s="59">
        <v>-0.22</v>
      </c>
      <c r="E2933" s="60">
        <f t="shared" si="45"/>
        <v>1.2</v>
      </c>
      <c r="F2933" t="str" cm="1">
        <f t="array" ref="F2933">IF(A2933=MAX(IF(ROUND($B$2:$B$3722,4)=ROUND(B2933,4),$A$2:$A$3722)),"Efficient","Inefficient")</f>
        <v>Inefficient</v>
      </c>
    </row>
    <row r="2934" spans="1:6" x14ac:dyDescent="0.25">
      <c r="A2934" cm="1">
        <f t="array" ref="A2934">INDEX('Portfolio Weights Returns'!$B$9:$BJ$69,
INT((ROW(A2933)-1)/COLUMNS('Portfolio Weights Returns'!$B$9:$BJ$69))+1,MOD(ROW(A2933)-1,COLUMNS('Portfolio Weights Returns'!$B$9:$BJ$69))+1)</f>
        <v>-8.5228863217282568E-4</v>
      </c>
      <c r="B2934">
        <v>2.2800000000000001E-2</v>
      </c>
      <c r="C2934" s="59">
        <v>-0.01</v>
      </c>
      <c r="D2934" s="59">
        <v>-0.2</v>
      </c>
      <c r="E2934" s="60">
        <f t="shared" si="45"/>
        <v>1.21</v>
      </c>
      <c r="F2934" t="str" cm="1">
        <f t="array" ref="F2934">IF(A2934=MAX(IF(ROUND($B$2:$B$3722,4)=ROUND(B2934,4),$A$2:$A$3722)),"Efficient","Inefficient")</f>
        <v>Inefficient</v>
      </c>
    </row>
    <row r="2935" spans="1:6" x14ac:dyDescent="0.25">
      <c r="A2935" cm="1">
        <f t="array" ref="A2935">INDEX('Portfolio Weights Returns'!$B$9:$BJ$69,
INT((ROW(A2934)-1)/COLUMNS('Portfolio Weights Returns'!$B$9:$BJ$69))+1,MOD(ROW(A2934)-1,COLUMNS('Portfolio Weights Returns'!$B$9:$BJ$69))+1)</f>
        <v>-8.4550745820614664E-4</v>
      </c>
      <c r="B2935">
        <v>2.2800000000000001E-2</v>
      </c>
      <c r="C2935" s="59">
        <v>-0.04</v>
      </c>
      <c r="D2935" s="59">
        <v>-0.18</v>
      </c>
      <c r="E2935" s="60">
        <f t="shared" si="45"/>
        <v>1.22</v>
      </c>
      <c r="F2935" t="str" cm="1">
        <f t="array" ref="F2935">IF(A2935=MAX(IF(ROUND($B$2:$B$3722,4)=ROUND(B2935,4),$A$2:$A$3722)),"Efficient","Inefficient")</f>
        <v>Inefficient</v>
      </c>
    </row>
    <row r="2936" spans="1:6" x14ac:dyDescent="0.25">
      <c r="A2936" cm="1">
        <f t="array" ref="A2936">INDEX('Portfolio Weights Returns'!$B$9:$BJ$69,
INT((ROW(A2935)-1)/COLUMNS('Portfolio Weights Returns'!$B$9:$BJ$69))+1,MOD(ROW(A2935)-1,COLUMNS('Portfolio Weights Returns'!$B$9:$BJ$69))+1)</f>
        <v>-8.387262842394675E-4</v>
      </c>
      <c r="B2936">
        <v>2.2800000000000001E-2</v>
      </c>
      <c r="C2936" s="59">
        <v>-0.05</v>
      </c>
      <c r="D2936" s="59">
        <v>-0.17</v>
      </c>
      <c r="E2936" s="60">
        <f t="shared" si="45"/>
        <v>1.22</v>
      </c>
      <c r="F2936" t="str" cm="1">
        <f t="array" ref="F2936">IF(A2936=MAX(IF(ROUND($B$2:$B$3722,4)=ROUND(B2936,4),$A$2:$A$3722)),"Efficient","Inefficient")</f>
        <v>Inefficient</v>
      </c>
    </row>
    <row r="2937" spans="1:6" x14ac:dyDescent="0.25">
      <c r="A2937" cm="1">
        <f t="array" ref="A2937">INDEX('Portfolio Weights Returns'!$B$9:$BJ$69,
INT((ROW(A2936)-1)/COLUMNS('Portfolio Weights Returns'!$B$9:$BJ$69))+1,MOD(ROW(A2936)-1,COLUMNS('Portfolio Weights Returns'!$B$9:$BJ$69))+1)</f>
        <v>-8.3194511027278836E-4</v>
      </c>
      <c r="B2937">
        <v>2.2800000000000001E-2</v>
      </c>
      <c r="C2937" s="59">
        <v>-0.08</v>
      </c>
      <c r="D2937" s="59">
        <v>-0.15</v>
      </c>
      <c r="E2937" s="60">
        <f t="shared" si="45"/>
        <v>1.23</v>
      </c>
      <c r="F2937" t="str" cm="1">
        <f t="array" ref="F2937">IF(A2937=MAX(IF(ROUND($B$2:$B$3722,4)=ROUND(B2937,4),$A$2:$A$3722)),"Efficient","Inefficient")</f>
        <v>Inefficient</v>
      </c>
    </row>
    <row r="2938" spans="1:6" x14ac:dyDescent="0.25">
      <c r="A2938" cm="1">
        <f t="array" ref="A2938">INDEX('Portfolio Weights Returns'!$B$9:$BJ$69,
INT((ROW(A2937)-1)/COLUMNS('Portfolio Weights Returns'!$B$9:$BJ$69))+1,MOD(ROW(A2937)-1,COLUMNS('Portfolio Weights Returns'!$B$9:$BJ$69))+1)</f>
        <v>-8.2516393630610932E-4</v>
      </c>
      <c r="B2938">
        <v>2.2800000000000001E-2</v>
      </c>
      <c r="C2938" s="59">
        <v>-0.09</v>
      </c>
      <c r="D2938" s="59">
        <v>-0.14000000000000001</v>
      </c>
      <c r="E2938" s="60">
        <f t="shared" si="45"/>
        <v>1.2300000000000002</v>
      </c>
      <c r="F2938" t="str" cm="1">
        <f t="array" ref="F2938">IF(A2938=MAX(IF(ROUND($B$2:$B$3722,4)=ROUND(B2938,4),$A$2:$A$3722)),"Efficient","Inefficient")</f>
        <v>Inefficient</v>
      </c>
    </row>
    <row r="2939" spans="1:6" x14ac:dyDescent="0.25">
      <c r="A2939" cm="1">
        <f t="array" ref="A2939">INDEX('Portfolio Weights Returns'!$B$9:$BJ$69,
INT((ROW(A2938)-1)/COLUMNS('Portfolio Weights Returns'!$B$9:$BJ$69))+1,MOD(ROW(A2938)-1,COLUMNS('Portfolio Weights Returns'!$B$9:$BJ$69))+1)</f>
        <v>-8.1838276233943007E-4</v>
      </c>
      <c r="B2939">
        <v>2.2800000000000001E-2</v>
      </c>
      <c r="C2939" s="59">
        <v>-0.1</v>
      </c>
      <c r="D2939" s="59">
        <v>-0.13</v>
      </c>
      <c r="E2939" s="60">
        <f t="shared" si="45"/>
        <v>1.23</v>
      </c>
      <c r="F2939" t="str" cm="1">
        <f t="array" ref="F2939">IF(A2939=MAX(IF(ROUND($B$2:$B$3722,4)=ROUND(B2939,4),$A$2:$A$3722)),"Efficient","Inefficient")</f>
        <v>Inefficient</v>
      </c>
    </row>
    <row r="2940" spans="1:6" x14ac:dyDescent="0.25">
      <c r="A2940" cm="1">
        <f t="array" ref="A2940">INDEX('Portfolio Weights Returns'!$B$9:$BJ$69,
INT((ROW(A2939)-1)/COLUMNS('Portfolio Weights Returns'!$B$9:$BJ$69))+1,MOD(ROW(A2939)-1,COLUMNS('Portfolio Weights Returns'!$B$9:$BJ$69))+1)</f>
        <v>-8.1160158837275103E-4</v>
      </c>
      <c r="B2940">
        <v>2.2800000000000001E-2</v>
      </c>
      <c r="C2940" s="59">
        <v>-0.15</v>
      </c>
      <c r="D2940" s="59">
        <v>-0.09</v>
      </c>
      <c r="E2940" s="60">
        <f t="shared" si="45"/>
        <v>1.24</v>
      </c>
      <c r="F2940" t="str" cm="1">
        <f t="array" ref="F2940">IF(A2940=MAX(IF(ROUND($B$2:$B$3722,4)=ROUND(B2940,4),$A$2:$A$3722)),"Efficient","Inefficient")</f>
        <v>Inefficient</v>
      </c>
    </row>
    <row r="2941" spans="1:6" x14ac:dyDescent="0.25">
      <c r="A2941" cm="1">
        <f t="array" ref="A2941">INDEX('Portfolio Weights Returns'!$B$9:$BJ$69,
INT((ROW(A2940)-1)/COLUMNS('Portfolio Weights Returns'!$B$9:$BJ$69))+1,MOD(ROW(A2940)-1,COLUMNS('Portfolio Weights Returns'!$B$9:$BJ$69))+1)</f>
        <v>-8.0482041440607189E-4</v>
      </c>
      <c r="B2941">
        <v>2.2800000000000001E-2</v>
      </c>
      <c r="C2941" s="59">
        <v>-0.16</v>
      </c>
      <c r="D2941" s="59">
        <v>-0.08</v>
      </c>
      <c r="E2941" s="60">
        <f t="shared" si="45"/>
        <v>1.24</v>
      </c>
      <c r="F2941" t="str" cm="1">
        <f t="array" ref="F2941">IF(A2941=MAX(IF(ROUND($B$2:$B$3722,4)=ROUND(B2941,4),$A$2:$A$3722)),"Efficient","Inefficient")</f>
        <v>Inefficient</v>
      </c>
    </row>
    <row r="2942" spans="1:6" x14ac:dyDescent="0.25">
      <c r="A2942" cm="1">
        <f t="array" ref="A2942">INDEX('Portfolio Weights Returns'!$B$9:$BJ$69,
INT((ROW(A2941)-1)/COLUMNS('Portfolio Weights Returns'!$B$9:$BJ$69))+1,MOD(ROW(A2941)-1,COLUMNS('Portfolio Weights Returns'!$B$9:$BJ$69))+1)</f>
        <v>-7.9803924043939285E-4</v>
      </c>
      <c r="B2942">
        <v>2.2800000000000001E-2</v>
      </c>
      <c r="C2942" s="59">
        <v>-0.17</v>
      </c>
      <c r="D2942" s="59">
        <v>-7.0000000000000007E-2</v>
      </c>
      <c r="E2942" s="60">
        <f t="shared" si="45"/>
        <v>1.24</v>
      </c>
      <c r="F2942" t="str" cm="1">
        <f t="array" ref="F2942">IF(A2942=MAX(IF(ROUND($B$2:$B$3722,4)=ROUND(B2942,4),$A$2:$A$3722)),"Efficient","Inefficient")</f>
        <v>Inefficient</v>
      </c>
    </row>
    <row r="2943" spans="1:6" x14ac:dyDescent="0.25">
      <c r="A2943" cm="1">
        <f t="array" ref="A2943">INDEX('Portfolio Weights Returns'!$B$9:$BJ$69,
INT((ROW(A2942)-1)/COLUMNS('Portfolio Weights Returns'!$B$9:$BJ$69))+1,MOD(ROW(A2942)-1,COLUMNS('Portfolio Weights Returns'!$B$9:$BJ$69))+1)</f>
        <v>-7.9125806647271371E-4</v>
      </c>
      <c r="B2943">
        <v>2.2800000000000001E-2</v>
      </c>
      <c r="C2943" s="59">
        <v>-0.18</v>
      </c>
      <c r="D2943" s="59">
        <v>-0.06</v>
      </c>
      <c r="E2943" s="60">
        <f t="shared" si="45"/>
        <v>1.24</v>
      </c>
      <c r="F2943" t="str" cm="1">
        <f t="array" ref="F2943">IF(A2943=MAX(IF(ROUND($B$2:$B$3722,4)=ROUND(B2943,4),$A$2:$A$3722)),"Efficient","Inefficient")</f>
        <v>Inefficient</v>
      </c>
    </row>
    <row r="2944" spans="1:6" x14ac:dyDescent="0.25">
      <c r="A2944" cm="1">
        <f t="array" ref="A2944">INDEX('Portfolio Weights Returns'!$B$9:$BJ$69,
INT((ROW(A2943)-1)/COLUMNS('Portfolio Weights Returns'!$B$9:$BJ$69))+1,MOD(ROW(A2943)-1,COLUMNS('Portfolio Weights Returns'!$B$9:$BJ$69))+1)</f>
        <v>-7.8447689250603467E-4</v>
      </c>
      <c r="B2944">
        <v>2.2800000000000001E-2</v>
      </c>
      <c r="C2944" s="59">
        <v>-0.19</v>
      </c>
      <c r="D2944" s="59">
        <v>-0.05</v>
      </c>
      <c r="E2944" s="60">
        <f t="shared" si="45"/>
        <v>1.24</v>
      </c>
      <c r="F2944" t="str" cm="1">
        <f t="array" ref="F2944">IF(A2944=MAX(IF(ROUND($B$2:$B$3722,4)=ROUND(B2944,4),$A$2:$A$3722)),"Efficient","Inefficient")</f>
        <v>Inefficient</v>
      </c>
    </row>
    <row r="2945" spans="1:6" x14ac:dyDescent="0.25">
      <c r="A2945" cm="1">
        <f t="array" ref="A2945">INDEX('Portfolio Weights Returns'!$B$9:$BJ$69,
INT((ROW(A2944)-1)/COLUMNS('Portfolio Weights Returns'!$B$9:$BJ$69))+1,MOD(ROW(A2944)-1,COLUMNS('Portfolio Weights Returns'!$B$9:$BJ$69))+1)</f>
        <v>-7.7769571853935552E-4</v>
      </c>
      <c r="B2945">
        <v>2.2800000000000001E-2</v>
      </c>
      <c r="C2945" s="59">
        <v>-0.2</v>
      </c>
      <c r="D2945" s="59">
        <v>-0.04</v>
      </c>
      <c r="E2945" s="60">
        <f t="shared" si="45"/>
        <v>1.24</v>
      </c>
      <c r="F2945" t="str" cm="1">
        <f t="array" ref="F2945">IF(A2945=MAX(IF(ROUND($B$2:$B$3722,4)=ROUND(B2945,4),$A$2:$A$3722)),"Efficient","Inefficient")</f>
        <v>Inefficient</v>
      </c>
    </row>
    <row r="2946" spans="1:6" x14ac:dyDescent="0.25">
      <c r="A2946" cm="1">
        <f t="array" ref="A2946">INDEX('Portfolio Weights Returns'!$B$9:$BJ$69,
INT((ROW(A2945)-1)/COLUMNS('Portfolio Weights Returns'!$B$9:$BJ$69))+1,MOD(ROW(A2945)-1,COLUMNS('Portfolio Weights Returns'!$B$9:$BJ$69))+1)</f>
        <v>-7.709145445726766E-4</v>
      </c>
      <c r="B2946">
        <v>2.2800000000000001E-2</v>
      </c>
      <c r="C2946" s="59">
        <v>-0.23</v>
      </c>
      <c r="D2946" s="59">
        <v>0</v>
      </c>
      <c r="E2946" s="60">
        <f t="shared" ref="E2946:E3009" si="46">1-D2946-C2946</f>
        <v>1.23</v>
      </c>
      <c r="F2946" t="str" cm="1">
        <f t="array" ref="F2946">IF(A2946=MAX(IF(ROUND($B$2:$B$3722,4)=ROUND(B2946,4),$A$2:$A$3722)),"Efficient","Inefficient")</f>
        <v>Inefficient</v>
      </c>
    </row>
    <row r="2947" spans="1:6" x14ac:dyDescent="0.25">
      <c r="A2947" cm="1">
        <f t="array" ref="A2947">INDEX('Portfolio Weights Returns'!$B$9:$BJ$69,
INT((ROW(A2946)-1)/COLUMNS('Portfolio Weights Returns'!$B$9:$BJ$69))+1,MOD(ROW(A2946)-1,COLUMNS('Portfolio Weights Returns'!$B$9:$BJ$69))+1)</f>
        <v>-7.6413337060599724E-4</v>
      </c>
      <c r="B2947">
        <v>2.2800000000000001E-2</v>
      </c>
      <c r="C2947" s="59">
        <v>-0.24</v>
      </c>
      <c r="D2947" s="59">
        <v>0.01</v>
      </c>
      <c r="E2947" s="60">
        <f t="shared" si="46"/>
        <v>1.23</v>
      </c>
      <c r="F2947" t="str" cm="1">
        <f t="array" ref="F2947">IF(A2947=MAX(IF(ROUND($B$2:$B$3722,4)=ROUND(B2947,4),$A$2:$A$3722)),"Efficient","Inefficient")</f>
        <v>Inefficient</v>
      </c>
    </row>
    <row r="2948" spans="1:6" x14ac:dyDescent="0.25">
      <c r="A2948" cm="1">
        <f t="array" ref="A2948">INDEX('Portfolio Weights Returns'!$B$9:$BJ$69,
INT((ROW(A2947)-1)/COLUMNS('Portfolio Weights Returns'!$B$9:$BJ$69))+1,MOD(ROW(A2947)-1,COLUMNS('Portfolio Weights Returns'!$B$9:$BJ$69))+1)</f>
        <v>-7.5735219663931831E-4</v>
      </c>
      <c r="B2948">
        <v>2.2800000000000001E-2</v>
      </c>
      <c r="C2948" s="59">
        <v>-0.25</v>
      </c>
      <c r="D2948" s="59">
        <v>0.02</v>
      </c>
      <c r="E2948" s="60">
        <f t="shared" si="46"/>
        <v>1.23</v>
      </c>
      <c r="F2948" t="str" cm="1">
        <f t="array" ref="F2948">IF(A2948=MAX(IF(ROUND($B$2:$B$3722,4)=ROUND(B2948,4),$A$2:$A$3722)),"Efficient","Inefficient")</f>
        <v>Inefficient</v>
      </c>
    </row>
    <row r="2949" spans="1:6" x14ac:dyDescent="0.25">
      <c r="A2949" cm="1">
        <f t="array" ref="A2949">INDEX('Portfolio Weights Returns'!$B$9:$BJ$69,
INT((ROW(A2948)-1)/COLUMNS('Portfolio Weights Returns'!$B$9:$BJ$69))+1,MOD(ROW(A2948)-1,COLUMNS('Portfolio Weights Returns'!$B$9:$BJ$69))+1)</f>
        <v>-7.5057102267263927E-4</v>
      </c>
      <c r="B2949">
        <v>2.2800000000000001E-2</v>
      </c>
      <c r="C2949" s="59">
        <v>-0.26</v>
      </c>
      <c r="D2949" s="59">
        <v>0.04</v>
      </c>
      <c r="E2949" s="60">
        <f t="shared" si="46"/>
        <v>1.22</v>
      </c>
      <c r="F2949" t="str" cm="1">
        <f t="array" ref="F2949">IF(A2949=MAX(IF(ROUND($B$2:$B$3722,4)=ROUND(B2949,4),$A$2:$A$3722)),"Efficient","Inefficient")</f>
        <v>Inefficient</v>
      </c>
    </row>
    <row r="2950" spans="1:6" x14ac:dyDescent="0.25">
      <c r="A2950" cm="1">
        <f t="array" ref="A2950">INDEX('Portfolio Weights Returns'!$B$9:$BJ$69,
INT((ROW(A2949)-1)/COLUMNS('Portfolio Weights Returns'!$B$9:$BJ$69))+1,MOD(ROW(A2949)-1,COLUMNS('Portfolio Weights Returns'!$B$9:$BJ$69))+1)</f>
        <v>-7.4378984870596002E-4</v>
      </c>
      <c r="B2950">
        <v>2.2800000000000001E-2</v>
      </c>
      <c r="C2950" s="59">
        <v>-0.27</v>
      </c>
      <c r="D2950" s="59">
        <v>0.05</v>
      </c>
      <c r="E2950" s="60">
        <f t="shared" si="46"/>
        <v>1.22</v>
      </c>
      <c r="F2950" t="str" cm="1">
        <f t="array" ref="F2950">IF(A2950=MAX(IF(ROUND($B$2:$B$3722,4)=ROUND(B2950,4),$A$2:$A$3722)),"Efficient","Inefficient")</f>
        <v>Inefficient</v>
      </c>
    </row>
    <row r="2951" spans="1:6" x14ac:dyDescent="0.25">
      <c r="A2951" cm="1">
        <f t="array" ref="A2951">INDEX('Portfolio Weights Returns'!$B$9:$BJ$69,
INT((ROW(A2950)-1)/COLUMNS('Portfolio Weights Returns'!$B$9:$BJ$69))+1,MOD(ROW(A2950)-1,COLUMNS('Portfolio Weights Returns'!$B$9:$BJ$69))+1)</f>
        <v>-7.3700867473928098E-4</v>
      </c>
      <c r="B2951">
        <v>2.2800000000000001E-2</v>
      </c>
      <c r="C2951" s="59">
        <v>-0.28000000000000003</v>
      </c>
      <c r="D2951" s="59">
        <v>7.0000000000000007E-2</v>
      </c>
      <c r="E2951" s="60">
        <f t="shared" si="46"/>
        <v>1.21</v>
      </c>
      <c r="F2951" t="str" cm="1">
        <f t="array" ref="F2951">IF(A2951=MAX(IF(ROUND($B$2:$B$3722,4)=ROUND(B2951,4),$A$2:$A$3722)),"Efficient","Inefficient")</f>
        <v>Inefficient</v>
      </c>
    </row>
    <row r="2952" spans="1:6" x14ac:dyDescent="0.25">
      <c r="A2952" cm="1">
        <f t="array" ref="A2952">INDEX('Portfolio Weights Returns'!$B$9:$BJ$69,
INT((ROW(A2951)-1)/COLUMNS('Portfolio Weights Returns'!$B$9:$BJ$69))+1,MOD(ROW(A2951)-1,COLUMNS('Portfolio Weights Returns'!$B$9:$BJ$69))+1)</f>
        <v>-7.3022750077260184E-4</v>
      </c>
      <c r="B2952">
        <v>2.2800000000000001E-2</v>
      </c>
      <c r="C2952" s="59">
        <v>-0.28999999999999998</v>
      </c>
      <c r="D2952" s="59">
        <v>0.08</v>
      </c>
      <c r="E2952" s="60">
        <f t="shared" si="46"/>
        <v>1.21</v>
      </c>
      <c r="F2952" t="str" cm="1">
        <f t="array" ref="F2952">IF(A2952=MAX(IF(ROUND($B$2:$B$3722,4)=ROUND(B2952,4),$A$2:$A$3722)),"Efficient","Inefficient")</f>
        <v>Inefficient</v>
      </c>
    </row>
    <row r="2953" spans="1:6" x14ac:dyDescent="0.25">
      <c r="A2953" cm="1">
        <f t="array" ref="A2953">INDEX('Portfolio Weights Returns'!$B$9:$BJ$69,
INT((ROW(A2952)-1)/COLUMNS('Portfolio Weights Returns'!$B$9:$BJ$69))+1,MOD(ROW(A2952)-1,COLUMNS('Portfolio Weights Returns'!$B$9:$BJ$69))+1)</f>
        <v>-7.234463268059228E-4</v>
      </c>
      <c r="B2953">
        <v>2.2800000000000001E-2</v>
      </c>
      <c r="C2953" s="59">
        <v>-0.28999999999999998</v>
      </c>
      <c r="D2953" s="59">
        <v>0.09</v>
      </c>
      <c r="E2953" s="60">
        <f t="shared" si="46"/>
        <v>1.2</v>
      </c>
      <c r="F2953" t="str" cm="1">
        <f t="array" ref="F2953">IF(A2953=MAX(IF(ROUND($B$2:$B$3722,4)=ROUND(B2953,4),$A$2:$A$3722)),"Efficient","Inefficient")</f>
        <v>Inefficient</v>
      </c>
    </row>
    <row r="2954" spans="1:6" x14ac:dyDescent="0.25">
      <c r="A2954" cm="1">
        <f t="array" ref="A2954">INDEX('Portfolio Weights Returns'!$B$9:$BJ$69,
INT((ROW(A2953)-1)/COLUMNS('Portfolio Weights Returns'!$B$9:$BJ$69))+1,MOD(ROW(A2953)-1,COLUMNS('Portfolio Weights Returns'!$B$9:$BJ$69))+1)</f>
        <v>-7.1666515283924366E-4</v>
      </c>
      <c r="B2954">
        <v>2.2800000000000001E-2</v>
      </c>
      <c r="C2954" s="59">
        <v>-0.3</v>
      </c>
      <c r="D2954" s="59">
        <v>0.1</v>
      </c>
      <c r="E2954" s="60">
        <f t="shared" si="46"/>
        <v>1.2</v>
      </c>
      <c r="F2954" t="str" cm="1">
        <f t="array" ref="F2954">IF(A2954=MAX(IF(ROUND($B$2:$B$3722,4)=ROUND(B2954,4),$A$2:$A$3722)),"Efficient","Inefficient")</f>
        <v>Inefficient</v>
      </c>
    </row>
    <row r="2955" spans="1:6" x14ac:dyDescent="0.25">
      <c r="A2955" cm="1">
        <f t="array" ref="A2955">INDEX('Portfolio Weights Returns'!$B$9:$BJ$69,
INT((ROW(A2954)-1)/COLUMNS('Portfolio Weights Returns'!$B$9:$BJ$69))+1,MOD(ROW(A2954)-1,COLUMNS('Portfolio Weights Returns'!$B$9:$BJ$69))+1)</f>
        <v>-7.0988397887256462E-4</v>
      </c>
      <c r="B2955">
        <v>2.2800000000000001E-2</v>
      </c>
      <c r="C2955" s="59">
        <v>-0.3</v>
      </c>
      <c r="D2955" s="59">
        <v>0.11</v>
      </c>
      <c r="E2955" s="60">
        <f t="shared" si="46"/>
        <v>1.19</v>
      </c>
      <c r="F2955" t="str" cm="1">
        <f t="array" ref="F2955">IF(A2955=MAX(IF(ROUND($B$2:$B$3722,4)=ROUND(B2955,4),$A$2:$A$3722)),"Efficient","Inefficient")</f>
        <v>Inefficient</v>
      </c>
    </row>
    <row r="2956" spans="1:6" x14ac:dyDescent="0.25">
      <c r="A2956" cm="1">
        <f t="array" ref="A2956">INDEX('Portfolio Weights Returns'!$B$9:$BJ$69,
INT((ROW(A2955)-1)/COLUMNS('Portfolio Weights Returns'!$B$9:$BJ$69))+1,MOD(ROW(A2955)-1,COLUMNS('Portfolio Weights Returns'!$B$9:$BJ$69))+1)</f>
        <v>-7.0310280490588548E-4</v>
      </c>
      <c r="B2956">
        <v>2.29E-2</v>
      </c>
      <c r="C2956" s="59">
        <v>0.15</v>
      </c>
      <c r="D2956" s="59">
        <v>-0.3</v>
      </c>
      <c r="E2956" s="60">
        <f t="shared" si="46"/>
        <v>1.1500000000000001</v>
      </c>
      <c r="F2956" t="str" cm="1">
        <f t="array" ref="F2956">IF(A2956=MAX(IF(ROUND($B$2:$B$3722,4)=ROUND(B2956,4),$A$2:$A$3722)),"Efficient","Inefficient")</f>
        <v>Inefficient</v>
      </c>
    </row>
    <row r="2957" spans="1:6" x14ac:dyDescent="0.25">
      <c r="A2957" cm="1">
        <f t="array" ref="A2957">INDEX('Portfolio Weights Returns'!$B$9:$BJ$69,
INT((ROW(A2956)-1)/COLUMNS('Portfolio Weights Returns'!$B$9:$BJ$69))+1,MOD(ROW(A2956)-1,COLUMNS('Portfolio Weights Returns'!$B$9:$BJ$69))+1)</f>
        <v>-6.9632163093920623E-4</v>
      </c>
      <c r="B2957">
        <v>2.29E-2</v>
      </c>
      <c r="C2957" s="59">
        <v>0.13</v>
      </c>
      <c r="D2957" s="59">
        <v>-0.28999999999999998</v>
      </c>
      <c r="E2957" s="60">
        <f t="shared" si="46"/>
        <v>1.1600000000000001</v>
      </c>
      <c r="F2957" t="str" cm="1">
        <f t="array" ref="F2957">IF(A2957=MAX(IF(ROUND($B$2:$B$3722,4)=ROUND(B2957,4),$A$2:$A$3722)),"Efficient","Inefficient")</f>
        <v>Inefficient</v>
      </c>
    </row>
    <row r="2958" spans="1:6" x14ac:dyDescent="0.25">
      <c r="A2958" cm="1">
        <f t="array" ref="A2958">INDEX('Portfolio Weights Returns'!$B$9:$BJ$69,
INT((ROW(A2957)-1)/COLUMNS('Portfolio Weights Returns'!$B$9:$BJ$69))+1,MOD(ROW(A2957)-1,COLUMNS('Portfolio Weights Returns'!$B$9:$BJ$69))+1)</f>
        <v>-6.8954045697252719E-4</v>
      </c>
      <c r="B2958">
        <v>2.29E-2</v>
      </c>
      <c r="C2958" s="59">
        <v>0.11</v>
      </c>
      <c r="D2958" s="59">
        <v>-0.28000000000000003</v>
      </c>
      <c r="E2958" s="60">
        <f t="shared" si="46"/>
        <v>1.17</v>
      </c>
      <c r="F2958" t="str" cm="1">
        <f t="array" ref="F2958">IF(A2958=MAX(IF(ROUND($B$2:$B$3722,4)=ROUND(B2958,4),$A$2:$A$3722)),"Efficient","Inefficient")</f>
        <v>Inefficient</v>
      </c>
    </row>
    <row r="2959" spans="1:6" x14ac:dyDescent="0.25">
      <c r="A2959" cm="1">
        <f t="array" ref="A2959">INDEX('Portfolio Weights Returns'!$B$9:$BJ$69,
INT((ROW(A2958)-1)/COLUMNS('Portfolio Weights Returns'!$B$9:$BJ$69))+1,MOD(ROW(A2958)-1,COLUMNS('Portfolio Weights Returns'!$B$9:$BJ$69))+1)</f>
        <v>-6.8275928300584804E-4</v>
      </c>
      <c r="B2959">
        <v>2.29E-2</v>
      </c>
      <c r="C2959" s="59">
        <v>0.06</v>
      </c>
      <c r="D2959" s="59">
        <v>-0.25</v>
      </c>
      <c r="E2959" s="60">
        <f t="shared" si="46"/>
        <v>1.19</v>
      </c>
      <c r="F2959" t="str" cm="1">
        <f t="array" ref="F2959">IF(A2959=MAX(IF(ROUND($B$2:$B$3722,4)=ROUND(B2959,4),$A$2:$A$3722)),"Efficient","Inefficient")</f>
        <v>Inefficient</v>
      </c>
    </row>
    <row r="2960" spans="1:6" x14ac:dyDescent="0.25">
      <c r="A2960" cm="1">
        <f t="array" ref="A2960">INDEX('Portfolio Weights Returns'!$B$9:$BJ$69,
INT((ROW(A2959)-1)/COLUMNS('Portfolio Weights Returns'!$B$9:$BJ$69))+1,MOD(ROW(A2959)-1,COLUMNS('Portfolio Weights Returns'!$B$9:$BJ$69))+1)</f>
        <v>-6.7597810903916901E-4</v>
      </c>
      <c r="B2960">
        <v>2.29E-2</v>
      </c>
      <c r="C2960" s="59">
        <v>0.03</v>
      </c>
      <c r="D2960" s="59">
        <v>-0.23</v>
      </c>
      <c r="E2960" s="60">
        <f t="shared" si="46"/>
        <v>1.2</v>
      </c>
      <c r="F2960" t="str" cm="1">
        <f t="array" ref="F2960">IF(A2960=MAX(IF(ROUND($B$2:$B$3722,4)=ROUND(B2960,4),$A$2:$A$3722)),"Efficient","Inefficient")</f>
        <v>Inefficient</v>
      </c>
    </row>
    <row r="2961" spans="1:6" x14ac:dyDescent="0.25">
      <c r="A2961" cm="1">
        <f t="array" ref="A2961">INDEX('Portfolio Weights Returns'!$B$9:$BJ$69,
INT((ROW(A2960)-1)/COLUMNS('Portfolio Weights Returns'!$B$9:$BJ$69))+1,MOD(ROW(A2960)-1,COLUMNS('Portfolio Weights Returns'!$B$9:$BJ$69))+1)</f>
        <v>-6.6919693507248986E-4</v>
      </c>
      <c r="B2961">
        <v>2.29E-2</v>
      </c>
      <c r="C2961" s="59">
        <v>0.01</v>
      </c>
      <c r="D2961" s="59">
        <v>-0.22</v>
      </c>
      <c r="E2961" s="60">
        <f t="shared" si="46"/>
        <v>1.21</v>
      </c>
      <c r="F2961" t="str" cm="1">
        <f t="array" ref="F2961">IF(A2961=MAX(IF(ROUND($B$2:$B$3722,4)=ROUND(B2961,4),$A$2:$A$3722)),"Efficient","Inefficient")</f>
        <v>Inefficient</v>
      </c>
    </row>
    <row r="2962" spans="1:6" x14ac:dyDescent="0.25">
      <c r="A2962" cm="1">
        <f t="array" ref="A2962">INDEX('Portfolio Weights Returns'!$B$9:$BJ$69,
INT((ROW(A2961)-1)/COLUMNS('Portfolio Weights Returns'!$B$9:$BJ$69))+1,MOD(ROW(A2961)-1,COLUMNS('Portfolio Weights Returns'!$B$9:$BJ$69))+1)</f>
        <v>-6.6241576110581083E-4</v>
      </c>
      <c r="B2962">
        <v>2.29E-2</v>
      </c>
      <c r="C2962" s="59">
        <v>0</v>
      </c>
      <c r="D2962" s="59">
        <v>-0.21</v>
      </c>
      <c r="E2962" s="60">
        <f t="shared" si="46"/>
        <v>1.21</v>
      </c>
      <c r="F2962" t="str" cm="1">
        <f t="array" ref="F2962">IF(A2962=MAX(IF(ROUND($B$2:$B$3722,4)=ROUND(B2962,4),$A$2:$A$3722)),"Efficient","Inefficient")</f>
        <v>Inefficient</v>
      </c>
    </row>
    <row r="2963" spans="1:6" x14ac:dyDescent="0.25">
      <c r="A2963" cm="1">
        <f t="array" ref="A2963">INDEX('Portfolio Weights Returns'!$B$9:$BJ$69,
INT((ROW(A2962)-1)/COLUMNS('Portfolio Weights Returns'!$B$9:$BJ$69))+1,MOD(ROW(A2962)-1,COLUMNS('Portfolio Weights Returns'!$B$9:$BJ$69))+1)</f>
        <v>-6.5563458713913168E-4</v>
      </c>
      <c r="B2963">
        <v>2.29E-2</v>
      </c>
      <c r="C2963" s="59">
        <v>-0.03</v>
      </c>
      <c r="D2963" s="59">
        <v>-0.19</v>
      </c>
      <c r="E2963" s="60">
        <f t="shared" si="46"/>
        <v>1.22</v>
      </c>
      <c r="F2963" t="str" cm="1">
        <f t="array" ref="F2963">IF(A2963=MAX(IF(ROUND($B$2:$B$3722,4)=ROUND(B2963,4),$A$2:$A$3722)),"Efficient","Inefficient")</f>
        <v>Inefficient</v>
      </c>
    </row>
    <row r="2964" spans="1:6" x14ac:dyDescent="0.25">
      <c r="A2964" cm="1">
        <f t="array" ref="A2964">INDEX('Portfolio Weights Returns'!$B$9:$BJ$69,
INT((ROW(A2963)-1)/COLUMNS('Portfolio Weights Returns'!$B$9:$BJ$69))+1,MOD(ROW(A2963)-1,COLUMNS('Portfolio Weights Returns'!$B$9:$BJ$69))+1)</f>
        <v>-6.4885341317245254E-4</v>
      </c>
      <c r="B2964">
        <v>2.29E-2</v>
      </c>
      <c r="C2964" s="59">
        <v>-0.06</v>
      </c>
      <c r="D2964" s="59">
        <v>-0.17</v>
      </c>
      <c r="E2964" s="60">
        <f t="shared" si="46"/>
        <v>1.23</v>
      </c>
      <c r="F2964" t="str" cm="1">
        <f t="array" ref="F2964">IF(A2964=MAX(IF(ROUND($B$2:$B$3722,4)=ROUND(B2964,4),$A$2:$A$3722)),"Efficient","Inefficient")</f>
        <v>Inefficient</v>
      </c>
    </row>
    <row r="2965" spans="1:6" x14ac:dyDescent="0.25">
      <c r="A2965" cm="1">
        <f t="array" ref="A2965">INDEX('Portfolio Weights Returns'!$B$9:$BJ$69,
INT((ROW(A2964)-1)/COLUMNS('Portfolio Weights Returns'!$B$9:$BJ$69))+1,MOD(ROW(A2964)-1,COLUMNS('Portfolio Weights Returns'!$B$9:$BJ$69))+1)</f>
        <v>-6.420722392057734E-4</v>
      </c>
      <c r="B2965">
        <v>2.29E-2</v>
      </c>
      <c r="C2965" s="59">
        <v>-7.0000000000000007E-2</v>
      </c>
      <c r="D2965" s="59">
        <v>-0.16</v>
      </c>
      <c r="E2965" s="60">
        <f t="shared" si="46"/>
        <v>1.23</v>
      </c>
      <c r="F2965" t="str" cm="1">
        <f t="array" ref="F2965">IF(A2965=MAX(IF(ROUND($B$2:$B$3722,4)=ROUND(B2965,4),$A$2:$A$3722)),"Efficient","Inefficient")</f>
        <v>Inefficient</v>
      </c>
    </row>
    <row r="2966" spans="1:6" x14ac:dyDescent="0.25">
      <c r="A2966" cm="1">
        <f t="array" ref="A2966">INDEX('Portfolio Weights Returns'!$B$9:$BJ$69,
INT((ROW(A2965)-1)/COLUMNS('Portfolio Weights Returns'!$B$9:$BJ$69))+1,MOD(ROW(A2965)-1,COLUMNS('Portfolio Weights Returns'!$B$9:$BJ$69))+1)</f>
        <v>-6.3529106523909436E-4</v>
      </c>
      <c r="B2966">
        <v>2.29E-2</v>
      </c>
      <c r="C2966" s="59">
        <v>-0.11</v>
      </c>
      <c r="D2966" s="59">
        <v>-0.13</v>
      </c>
      <c r="E2966" s="60">
        <f t="shared" si="46"/>
        <v>1.24</v>
      </c>
      <c r="F2966" t="str" cm="1">
        <f t="array" ref="F2966">IF(A2966=MAX(IF(ROUND($B$2:$B$3722,4)=ROUND(B2966,4),$A$2:$A$3722)),"Efficient","Inefficient")</f>
        <v>Inefficient</v>
      </c>
    </row>
    <row r="2967" spans="1:6" x14ac:dyDescent="0.25">
      <c r="A2967" cm="1">
        <f t="array" ref="A2967">INDEX('Portfolio Weights Returns'!$B$9:$BJ$69,
INT((ROW(A2966)-1)/COLUMNS('Portfolio Weights Returns'!$B$9:$BJ$69))+1,MOD(ROW(A2966)-1,COLUMNS('Portfolio Weights Returns'!$B$9:$BJ$69))+1)</f>
        <v>-6.2850989127241521E-4</v>
      </c>
      <c r="B2967">
        <v>2.29E-2</v>
      </c>
      <c r="C2967" s="59">
        <v>-0.12</v>
      </c>
      <c r="D2967" s="59">
        <v>-0.12</v>
      </c>
      <c r="E2967" s="60">
        <f t="shared" si="46"/>
        <v>1.2400000000000002</v>
      </c>
      <c r="F2967" t="str" cm="1">
        <f t="array" ref="F2967">IF(A2967=MAX(IF(ROUND($B$2:$B$3722,4)=ROUND(B2967,4),$A$2:$A$3722)),"Efficient","Inefficient")</f>
        <v>Inefficient</v>
      </c>
    </row>
    <row r="2968" spans="1:6" x14ac:dyDescent="0.25">
      <c r="A2968" cm="1">
        <f t="array" ref="A2968">INDEX('Portfolio Weights Returns'!$B$9:$BJ$69,
INT((ROW(A2967)-1)/COLUMNS('Portfolio Weights Returns'!$B$9:$BJ$69))+1,MOD(ROW(A2967)-1,COLUMNS('Portfolio Weights Returns'!$B$9:$BJ$69))+1)</f>
        <v>-6.2172871730573607E-4</v>
      </c>
      <c r="B2968">
        <v>2.29E-2</v>
      </c>
      <c r="C2968" s="59">
        <v>-0.13</v>
      </c>
      <c r="D2968" s="59">
        <v>-0.11</v>
      </c>
      <c r="E2968" s="60">
        <f t="shared" si="46"/>
        <v>1.2400000000000002</v>
      </c>
      <c r="F2968" t="str" cm="1">
        <f t="array" ref="F2968">IF(A2968=MAX(IF(ROUND($B$2:$B$3722,4)=ROUND(B2968,4),$A$2:$A$3722)),"Efficient","Inefficient")</f>
        <v>Inefficient</v>
      </c>
    </row>
    <row r="2969" spans="1:6" x14ac:dyDescent="0.25">
      <c r="A2969" cm="1">
        <f t="array" ref="A2969">INDEX('Portfolio Weights Returns'!$B$9:$BJ$69,
INT((ROW(A2968)-1)/COLUMNS('Portfolio Weights Returns'!$B$9:$BJ$69))+1,MOD(ROW(A2968)-1,COLUMNS('Portfolio Weights Returns'!$B$9:$BJ$69))+1)</f>
        <v>-6.1494754333905703E-4</v>
      </c>
      <c r="B2969">
        <v>2.29E-2</v>
      </c>
      <c r="C2969" s="59">
        <v>-0.14000000000000001</v>
      </c>
      <c r="D2969" s="59">
        <v>-0.1</v>
      </c>
      <c r="E2969" s="60">
        <f t="shared" si="46"/>
        <v>1.2400000000000002</v>
      </c>
      <c r="F2969" t="str" cm="1">
        <f t="array" ref="F2969">IF(A2969=MAX(IF(ROUND($B$2:$B$3722,4)=ROUND(B2969,4),$A$2:$A$3722)),"Efficient","Inefficient")</f>
        <v>Inefficient</v>
      </c>
    </row>
    <row r="2970" spans="1:6" x14ac:dyDescent="0.25">
      <c r="A2970" cm="1">
        <f t="array" ref="A2970">INDEX('Portfolio Weights Returns'!$B$9:$BJ$69,
INT((ROW(A2969)-1)/COLUMNS('Portfolio Weights Returns'!$B$9:$BJ$69))+1,MOD(ROW(A2969)-1,COLUMNS('Portfolio Weights Returns'!$B$9:$BJ$69))+1)</f>
        <v>-6.0816636937237789E-4</v>
      </c>
      <c r="B2970">
        <v>2.29E-2</v>
      </c>
      <c r="C2970" s="59">
        <v>-0.21</v>
      </c>
      <c r="D2970" s="59">
        <v>-0.03</v>
      </c>
      <c r="E2970" s="60">
        <f t="shared" si="46"/>
        <v>1.24</v>
      </c>
      <c r="F2970" t="str" cm="1">
        <f t="array" ref="F2970">IF(A2970=MAX(IF(ROUND($B$2:$B$3722,4)=ROUND(B2970,4),$A$2:$A$3722)),"Efficient","Inefficient")</f>
        <v>Inefficient</v>
      </c>
    </row>
    <row r="2971" spans="1:6" x14ac:dyDescent="0.25">
      <c r="A2971" cm="1">
        <f t="array" ref="A2971">INDEX('Portfolio Weights Returns'!$B$9:$BJ$69,
INT((ROW(A2970)-1)/COLUMNS('Portfolio Weights Returns'!$B$9:$BJ$69))+1,MOD(ROW(A2970)-1,COLUMNS('Portfolio Weights Returns'!$B$9:$BJ$69))+1)</f>
        <v>-6.0138519540569875E-4</v>
      </c>
      <c r="B2971">
        <v>2.29E-2</v>
      </c>
      <c r="C2971" s="59">
        <v>-0.22</v>
      </c>
      <c r="D2971" s="59">
        <v>-0.02</v>
      </c>
      <c r="E2971" s="60">
        <f t="shared" si="46"/>
        <v>1.24</v>
      </c>
      <c r="F2971" t="str" cm="1">
        <f t="array" ref="F2971">IF(A2971=MAX(IF(ROUND($B$2:$B$3722,4)=ROUND(B2971,4),$A$2:$A$3722)),"Efficient","Inefficient")</f>
        <v>Inefficient</v>
      </c>
    </row>
    <row r="2972" spans="1:6" x14ac:dyDescent="0.25">
      <c r="A2972" cm="1">
        <f t="array" ref="A2972">INDEX('Portfolio Weights Returns'!$B$9:$BJ$69,
INT((ROW(A2971)-1)/COLUMNS('Portfolio Weights Returns'!$B$9:$BJ$69))+1,MOD(ROW(A2971)-1,COLUMNS('Portfolio Weights Returns'!$B$9:$BJ$69))+1)</f>
        <v>-5.946040214390196E-4</v>
      </c>
      <c r="B2972">
        <v>2.29E-2</v>
      </c>
      <c r="C2972" s="59">
        <v>-0.23</v>
      </c>
      <c r="D2972" s="59">
        <v>-0.01</v>
      </c>
      <c r="E2972" s="60">
        <f t="shared" si="46"/>
        <v>1.24</v>
      </c>
      <c r="F2972" t="str" cm="1">
        <f t="array" ref="F2972">IF(A2972=MAX(IF(ROUND($B$2:$B$3722,4)=ROUND(B2972,4),$A$2:$A$3722)),"Efficient","Inefficient")</f>
        <v>Inefficient</v>
      </c>
    </row>
    <row r="2973" spans="1:6" x14ac:dyDescent="0.25">
      <c r="A2973" cm="1">
        <f t="array" ref="A2973">INDEX('Portfolio Weights Returns'!$B$9:$BJ$69,
INT((ROW(A2972)-1)/COLUMNS('Portfolio Weights Returns'!$B$9:$BJ$69))+1,MOD(ROW(A2972)-1,COLUMNS('Portfolio Weights Returns'!$B$9:$BJ$69))+1)</f>
        <v>-5.8782284747234056E-4</v>
      </c>
      <c r="B2973">
        <v>2.29E-2</v>
      </c>
      <c r="C2973" s="59">
        <v>-0.24</v>
      </c>
      <c r="D2973" s="59">
        <v>0</v>
      </c>
      <c r="E2973" s="60">
        <f t="shared" si="46"/>
        <v>1.24</v>
      </c>
      <c r="F2973" t="str" cm="1">
        <f t="array" ref="F2973">IF(A2973=MAX(IF(ROUND($B$2:$B$3722,4)=ROUND(B2973,4),$A$2:$A$3722)),"Efficient","Inefficient")</f>
        <v>Inefficient</v>
      </c>
    </row>
    <row r="2974" spans="1:6" x14ac:dyDescent="0.25">
      <c r="A2974" cm="1">
        <f t="array" ref="A2974">INDEX('Portfolio Weights Returns'!$B$9:$BJ$69,
INT((ROW(A2973)-1)/COLUMNS('Portfolio Weights Returns'!$B$9:$BJ$69))+1,MOD(ROW(A2973)-1,COLUMNS('Portfolio Weights Returns'!$B$9:$BJ$69))+1)</f>
        <v>-5.8104167350566142E-4</v>
      </c>
      <c r="B2974">
        <v>2.29E-2</v>
      </c>
      <c r="C2974" s="59">
        <v>-0.26</v>
      </c>
      <c r="D2974" s="59">
        <v>0.03</v>
      </c>
      <c r="E2974" s="60">
        <f t="shared" si="46"/>
        <v>1.23</v>
      </c>
      <c r="F2974" t="str" cm="1">
        <f t="array" ref="F2974">IF(A2974=MAX(IF(ROUND($B$2:$B$3722,4)=ROUND(B2974,4),$A$2:$A$3722)),"Efficient","Inefficient")</f>
        <v>Inefficient</v>
      </c>
    </row>
    <row r="2975" spans="1:6" x14ac:dyDescent="0.25">
      <c r="A2975" cm="1">
        <f t="array" ref="A2975">INDEX('Portfolio Weights Returns'!$B$9:$BJ$69,
INT((ROW(A2974)-1)/COLUMNS('Portfolio Weights Returns'!$B$9:$BJ$69))+1,MOD(ROW(A2974)-1,COLUMNS('Portfolio Weights Returns'!$B$9:$BJ$69))+1)</f>
        <v>-5.7426049953898228E-4</v>
      </c>
      <c r="B2975">
        <v>2.29E-2</v>
      </c>
      <c r="C2975" s="59">
        <v>-0.27</v>
      </c>
      <c r="D2975" s="59">
        <v>0.04</v>
      </c>
      <c r="E2975" s="60">
        <f t="shared" si="46"/>
        <v>1.23</v>
      </c>
      <c r="F2975" t="str" cm="1">
        <f t="array" ref="F2975">IF(A2975=MAX(IF(ROUND($B$2:$B$3722,4)=ROUND(B2975,4),$A$2:$A$3722)),"Efficient","Inefficient")</f>
        <v>Inefficient</v>
      </c>
    </row>
    <row r="2976" spans="1:6" x14ac:dyDescent="0.25">
      <c r="A2976" cm="1">
        <f t="array" ref="A2976">INDEX('Portfolio Weights Returns'!$B$9:$BJ$69,
INT((ROW(A2975)-1)/COLUMNS('Portfolio Weights Returns'!$B$9:$BJ$69))+1,MOD(ROW(A2975)-1,COLUMNS('Portfolio Weights Returns'!$B$9:$BJ$69))+1)</f>
        <v>-5.6747932557230324E-4</v>
      </c>
      <c r="B2976">
        <v>2.29E-2</v>
      </c>
      <c r="C2976" s="59">
        <v>-0.28000000000000003</v>
      </c>
      <c r="D2976" s="59">
        <v>0.06</v>
      </c>
      <c r="E2976" s="60">
        <f t="shared" si="46"/>
        <v>1.22</v>
      </c>
      <c r="F2976" t="str" cm="1">
        <f t="array" ref="F2976">IF(A2976=MAX(IF(ROUND($B$2:$B$3722,4)=ROUND(B2976,4),$A$2:$A$3722)),"Efficient","Inefficient")</f>
        <v>Inefficient</v>
      </c>
    </row>
    <row r="2977" spans="1:6" x14ac:dyDescent="0.25">
      <c r="A2977" cm="1">
        <f t="array" ref="A2977">INDEX('Portfolio Weights Returns'!$B$9:$BJ$69,
INT((ROW(A2976)-1)/COLUMNS('Portfolio Weights Returns'!$B$9:$BJ$69))+1,MOD(ROW(A2976)-1,COLUMNS('Portfolio Weights Returns'!$B$9:$BJ$69))+1)</f>
        <v>-5.606981516056241E-4</v>
      </c>
      <c r="B2977">
        <v>2.29E-2</v>
      </c>
      <c r="C2977" s="59">
        <v>-0.28999999999999998</v>
      </c>
      <c r="D2977" s="59">
        <v>7.0000000000000007E-2</v>
      </c>
      <c r="E2977" s="60">
        <f t="shared" si="46"/>
        <v>1.22</v>
      </c>
      <c r="F2977" t="str" cm="1">
        <f t="array" ref="F2977">IF(A2977=MAX(IF(ROUND($B$2:$B$3722,4)=ROUND(B2977,4),$A$2:$A$3722)),"Efficient","Inefficient")</f>
        <v>Inefficient</v>
      </c>
    </row>
    <row r="2978" spans="1:6" x14ac:dyDescent="0.25">
      <c r="A2978" cm="1">
        <f t="array" ref="A2978">INDEX('Portfolio Weights Returns'!$B$9:$BJ$69,
INT((ROW(A2977)-1)/COLUMNS('Portfolio Weights Returns'!$B$9:$BJ$69))+1,MOD(ROW(A2977)-1,COLUMNS('Portfolio Weights Returns'!$B$9:$BJ$69))+1)</f>
        <v>-5.5391697763894517E-4</v>
      </c>
      <c r="B2978">
        <v>2.29E-2</v>
      </c>
      <c r="C2978" s="59">
        <v>-0.3</v>
      </c>
      <c r="D2978" s="59">
        <v>0.09</v>
      </c>
      <c r="E2978" s="60">
        <f t="shared" si="46"/>
        <v>1.21</v>
      </c>
      <c r="F2978" t="str" cm="1">
        <f t="array" ref="F2978">IF(A2978=MAX(IF(ROUND($B$2:$B$3722,4)=ROUND(B2978,4),$A$2:$A$3722)),"Efficient","Inefficient")</f>
        <v>Efficient</v>
      </c>
    </row>
    <row r="2979" spans="1:6" x14ac:dyDescent="0.25">
      <c r="A2979" cm="1">
        <f t="array" ref="A2979">INDEX('Portfolio Weights Returns'!$B$9:$BJ$69,
INT((ROW(A2978)-1)/COLUMNS('Portfolio Weights Returns'!$B$9:$BJ$69))+1,MOD(ROW(A2978)-1,COLUMNS('Portfolio Weights Returns'!$B$9:$BJ$69))+1)</f>
        <v>-5.4713580367226602E-4</v>
      </c>
      <c r="B2979">
        <v>2.3E-2</v>
      </c>
      <c r="C2979" s="59">
        <v>0.14000000000000001</v>
      </c>
      <c r="D2979" s="59">
        <v>-0.3</v>
      </c>
      <c r="E2979" s="60">
        <f t="shared" si="46"/>
        <v>1.1600000000000001</v>
      </c>
      <c r="F2979" t="str" cm="1">
        <f t="array" ref="F2979">IF(A2979=MAX(IF(ROUND($B$2:$B$3722,4)=ROUND(B2979,4),$A$2:$A$3722)),"Efficient","Inefficient")</f>
        <v>Inefficient</v>
      </c>
    </row>
    <row r="2980" spans="1:6" x14ac:dyDescent="0.25">
      <c r="A2980" cm="1">
        <f t="array" ref="A2980">INDEX('Portfolio Weights Returns'!$B$9:$BJ$69,
INT((ROW(A2979)-1)/COLUMNS('Portfolio Weights Returns'!$B$9:$BJ$69))+1,MOD(ROW(A2979)-1,COLUMNS('Portfolio Weights Returns'!$B$9:$BJ$69))+1)</f>
        <v>-5.4035462970558699E-4</v>
      </c>
      <c r="B2980">
        <v>2.3E-2</v>
      </c>
      <c r="C2980" s="59">
        <v>0.12</v>
      </c>
      <c r="D2980" s="59">
        <v>-0.28999999999999998</v>
      </c>
      <c r="E2980" s="60">
        <f t="shared" si="46"/>
        <v>1.17</v>
      </c>
      <c r="F2980" t="str" cm="1">
        <f t="array" ref="F2980">IF(A2980=MAX(IF(ROUND($B$2:$B$3722,4)=ROUND(B2980,4),$A$2:$A$3722)),"Efficient","Inefficient")</f>
        <v>Inefficient</v>
      </c>
    </row>
    <row r="2981" spans="1:6" x14ac:dyDescent="0.25">
      <c r="A2981" cm="1">
        <f t="array" ref="A2981">INDEX('Portfolio Weights Returns'!$B$9:$BJ$69,
INT((ROW(A2980)-1)/COLUMNS('Portfolio Weights Returns'!$B$9:$BJ$69))+1,MOD(ROW(A2980)-1,COLUMNS('Portfolio Weights Returns'!$B$9:$BJ$69))+1)</f>
        <v>-5.3357345573890784E-4</v>
      </c>
      <c r="B2981">
        <v>2.3E-2</v>
      </c>
      <c r="C2981" s="59">
        <v>0.09</v>
      </c>
      <c r="D2981" s="59">
        <v>-0.27</v>
      </c>
      <c r="E2981" s="60">
        <f t="shared" si="46"/>
        <v>1.18</v>
      </c>
      <c r="F2981" t="str" cm="1">
        <f t="array" ref="F2981">IF(A2981=MAX(IF(ROUND($B$2:$B$3722,4)=ROUND(B2981,4),$A$2:$A$3722)),"Efficient","Inefficient")</f>
        <v>Inefficient</v>
      </c>
    </row>
    <row r="2982" spans="1:6" x14ac:dyDescent="0.25">
      <c r="A2982" cm="1">
        <f t="array" ref="A2982">INDEX('Portfolio Weights Returns'!$B$9:$BJ$69,
INT((ROW(A2981)-1)/COLUMNS('Portfolio Weights Returns'!$B$9:$BJ$69))+1,MOD(ROW(A2981)-1,COLUMNS('Portfolio Weights Returns'!$B$9:$BJ$69))+1)</f>
        <v>-5.267922817722287E-4</v>
      </c>
      <c r="B2982">
        <v>2.3E-2</v>
      </c>
      <c r="C2982" s="59">
        <v>7.0000000000000007E-2</v>
      </c>
      <c r="D2982" s="59">
        <v>-0.26</v>
      </c>
      <c r="E2982" s="60">
        <f t="shared" si="46"/>
        <v>1.19</v>
      </c>
      <c r="F2982" t="str" cm="1">
        <f t="array" ref="F2982">IF(A2982=MAX(IF(ROUND($B$2:$B$3722,4)=ROUND(B2982,4),$A$2:$A$3722)),"Efficient","Inefficient")</f>
        <v>Inefficient</v>
      </c>
    </row>
    <row r="2983" spans="1:6" x14ac:dyDescent="0.25">
      <c r="A2983" cm="1">
        <f t="array" ref="A2983">INDEX('Portfolio Weights Returns'!$B$9:$BJ$69,
INT((ROW(A2982)-1)/COLUMNS('Portfolio Weights Returns'!$B$9:$BJ$69))+1,MOD(ROW(A2982)-1,COLUMNS('Portfolio Weights Returns'!$B$9:$BJ$69))+1)</f>
        <v>-5.2001110780554966E-4</v>
      </c>
      <c r="B2983">
        <v>2.3E-2</v>
      </c>
      <c r="C2983" s="59">
        <v>0.04</v>
      </c>
      <c r="D2983" s="59">
        <v>-0.24</v>
      </c>
      <c r="E2983" s="60">
        <f t="shared" si="46"/>
        <v>1.2</v>
      </c>
      <c r="F2983" t="str" cm="1">
        <f t="array" ref="F2983">IF(A2983=MAX(IF(ROUND($B$2:$B$3722,4)=ROUND(B2983,4),$A$2:$A$3722)),"Efficient","Inefficient")</f>
        <v>Inefficient</v>
      </c>
    </row>
    <row r="2984" spans="1:6" x14ac:dyDescent="0.25">
      <c r="A2984" cm="1">
        <f t="array" ref="A2984">INDEX('Portfolio Weights Returns'!$B$9:$BJ$69,
INT((ROW(A2983)-1)/COLUMNS('Portfolio Weights Returns'!$B$9:$BJ$69))+1,MOD(ROW(A2983)-1,COLUMNS('Portfolio Weights Returns'!$B$9:$BJ$69))+1)</f>
        <v>-5.1322993383887041E-4</v>
      </c>
      <c r="B2984">
        <v>2.3E-2</v>
      </c>
      <c r="C2984" s="59">
        <v>0.02</v>
      </c>
      <c r="D2984" s="59">
        <v>-0.23</v>
      </c>
      <c r="E2984" s="60">
        <f t="shared" si="46"/>
        <v>1.21</v>
      </c>
      <c r="F2984" t="str" cm="1">
        <f t="array" ref="F2984">IF(A2984=MAX(IF(ROUND($B$2:$B$3722,4)=ROUND(B2984,4),$A$2:$A$3722)),"Efficient","Inefficient")</f>
        <v>Inefficient</v>
      </c>
    </row>
    <row r="2985" spans="1:6" x14ac:dyDescent="0.25">
      <c r="A2985" cm="1">
        <f t="array" ref="A2985">INDEX('Portfolio Weights Returns'!$B$9:$BJ$69,
INT((ROW(A2984)-1)/COLUMNS('Portfolio Weights Returns'!$B$9:$BJ$69))+1,MOD(ROW(A2984)-1,COLUMNS('Portfolio Weights Returns'!$B$9:$BJ$69))+1)</f>
        <v>-5.0644875987219137E-4</v>
      </c>
      <c r="B2985">
        <v>2.3E-2</v>
      </c>
      <c r="C2985" s="59">
        <v>-0.01</v>
      </c>
      <c r="D2985" s="59">
        <v>-0.21</v>
      </c>
      <c r="E2985" s="60">
        <f t="shared" si="46"/>
        <v>1.22</v>
      </c>
      <c r="F2985" t="str" cm="1">
        <f t="array" ref="F2985">IF(A2985=MAX(IF(ROUND($B$2:$B$3722,4)=ROUND(B2985,4),$A$2:$A$3722)),"Efficient","Inefficient")</f>
        <v>Inefficient</v>
      </c>
    </row>
    <row r="2986" spans="1:6" x14ac:dyDescent="0.25">
      <c r="A2986" cm="1">
        <f t="array" ref="A2986">INDEX('Portfolio Weights Returns'!$B$9:$BJ$69,
INT((ROW(A2985)-1)/COLUMNS('Portfolio Weights Returns'!$B$9:$BJ$69))+1,MOD(ROW(A2985)-1,COLUMNS('Portfolio Weights Returns'!$B$9:$BJ$69))+1)</f>
        <v>-4.9966758590551234E-4</v>
      </c>
      <c r="B2986">
        <v>2.3E-2</v>
      </c>
      <c r="C2986" s="59">
        <v>-0.02</v>
      </c>
      <c r="D2986" s="59">
        <v>-0.2</v>
      </c>
      <c r="E2986" s="60">
        <f t="shared" si="46"/>
        <v>1.22</v>
      </c>
      <c r="F2986" t="str" cm="1">
        <f t="array" ref="F2986">IF(A2986=MAX(IF(ROUND($B$2:$B$3722,4)=ROUND(B2986,4),$A$2:$A$3722)),"Efficient","Inefficient")</f>
        <v>Inefficient</v>
      </c>
    </row>
    <row r="2987" spans="1:6" x14ac:dyDescent="0.25">
      <c r="A2987" cm="1">
        <f t="array" ref="A2987">INDEX('Portfolio Weights Returns'!$B$9:$BJ$69,
INT((ROW(A2986)-1)/COLUMNS('Portfolio Weights Returns'!$B$9:$BJ$69))+1,MOD(ROW(A2986)-1,COLUMNS('Portfolio Weights Returns'!$B$9:$BJ$69))+1)</f>
        <v>-4.9288641193883233E-4</v>
      </c>
      <c r="B2987">
        <v>2.3E-2</v>
      </c>
      <c r="C2987" s="59">
        <v>-0.05</v>
      </c>
      <c r="D2987" s="59">
        <v>-0.18</v>
      </c>
      <c r="E2987" s="60">
        <f t="shared" si="46"/>
        <v>1.23</v>
      </c>
      <c r="F2987" t="str" cm="1">
        <f t="array" ref="F2987">IF(A2987=MAX(IF(ROUND($B$2:$B$3722,4)=ROUND(B2987,4),$A$2:$A$3722)),"Efficient","Inefficient")</f>
        <v>Inefficient</v>
      </c>
    </row>
    <row r="2988" spans="1:6" x14ac:dyDescent="0.25">
      <c r="A2988" cm="1">
        <f t="array" ref="A2988">INDEX('Portfolio Weights Returns'!$B$9:$BJ$69,
INT((ROW(A2987)-1)/COLUMNS('Portfolio Weights Returns'!$B$9:$BJ$69))+1,MOD(ROW(A2987)-1,COLUMNS('Portfolio Weights Returns'!$B$9:$BJ$69))+1)</f>
        <v>-4.8610523797215329E-4</v>
      </c>
      <c r="B2988">
        <v>2.3E-2</v>
      </c>
      <c r="C2988" s="59">
        <v>-0.08</v>
      </c>
      <c r="D2988" s="59">
        <v>-0.16</v>
      </c>
      <c r="E2988" s="60">
        <f t="shared" si="46"/>
        <v>1.24</v>
      </c>
      <c r="F2988" t="str" cm="1">
        <f t="array" ref="F2988">IF(A2988=MAX(IF(ROUND($B$2:$B$3722,4)=ROUND(B2988,4),$A$2:$A$3722)),"Efficient","Inefficient")</f>
        <v>Inefficient</v>
      </c>
    </row>
    <row r="2989" spans="1:6" x14ac:dyDescent="0.25">
      <c r="A2989" cm="1">
        <f t="array" ref="A2989">INDEX('Portfolio Weights Returns'!$B$9:$BJ$69,
INT((ROW(A2988)-1)/COLUMNS('Portfolio Weights Returns'!$B$9:$BJ$69))+1,MOD(ROW(A2988)-1,COLUMNS('Portfolio Weights Returns'!$B$9:$BJ$69))+1)</f>
        <v>-4.7932406400547436E-4</v>
      </c>
      <c r="B2989">
        <v>2.3E-2</v>
      </c>
      <c r="C2989" s="59">
        <v>-0.09</v>
      </c>
      <c r="D2989" s="59">
        <v>-0.15</v>
      </c>
      <c r="E2989" s="60">
        <f t="shared" si="46"/>
        <v>1.24</v>
      </c>
      <c r="F2989" t="str" cm="1">
        <f t="array" ref="F2989">IF(A2989=MAX(IF(ROUND($B$2:$B$3722,4)=ROUND(B2989,4),$A$2:$A$3722)),"Efficient","Inefficient")</f>
        <v>Inefficient</v>
      </c>
    </row>
    <row r="2990" spans="1:6" x14ac:dyDescent="0.25">
      <c r="A2990" cm="1">
        <f t="array" ref="A2990">INDEX('Portfolio Weights Returns'!$B$9:$BJ$69,
INT((ROW(A2989)-1)/COLUMNS('Portfolio Weights Returns'!$B$9:$BJ$69))+1,MOD(ROW(A2989)-1,COLUMNS('Portfolio Weights Returns'!$B$9:$BJ$69))+1)</f>
        <v>-4.7254289003879522E-4</v>
      </c>
      <c r="B2990">
        <v>2.3E-2</v>
      </c>
      <c r="C2990" s="59">
        <v>-0.1</v>
      </c>
      <c r="D2990" s="59">
        <v>-0.14000000000000001</v>
      </c>
      <c r="E2990" s="60">
        <f t="shared" si="46"/>
        <v>1.2400000000000002</v>
      </c>
      <c r="F2990" t="str" cm="1">
        <f t="array" ref="F2990">IF(A2990=MAX(IF(ROUND($B$2:$B$3722,4)=ROUND(B2990,4),$A$2:$A$3722)),"Efficient","Inefficient")</f>
        <v>Efficient</v>
      </c>
    </row>
    <row r="2991" spans="1:6" x14ac:dyDescent="0.25">
      <c r="A2991" cm="1">
        <f t="array" ref="A2991">INDEX('Portfolio Weights Returns'!$B$9:$BJ$69,
INT((ROW(A2990)-1)/COLUMNS('Portfolio Weights Returns'!$B$9:$BJ$69))+1,MOD(ROW(A2990)-1,COLUMNS('Portfolio Weights Returns'!$B$9:$BJ$69))+1)</f>
        <v>-8.7283912019408703E-4</v>
      </c>
      <c r="B2991">
        <v>2.3E-2</v>
      </c>
      <c r="C2991" s="59">
        <v>-0.14000000000000001</v>
      </c>
      <c r="D2991" s="59">
        <v>-0.11</v>
      </c>
      <c r="E2991" s="60">
        <f t="shared" si="46"/>
        <v>1.25</v>
      </c>
      <c r="F2991" t="str" cm="1">
        <f t="array" ref="F2991">IF(A2991=MAX(IF(ROUND($B$2:$B$3722,4)=ROUND(B2991,4),$A$2:$A$3722)),"Efficient","Inefficient")</f>
        <v>Inefficient</v>
      </c>
    </row>
    <row r="2992" spans="1:6" x14ac:dyDescent="0.25">
      <c r="A2992" cm="1">
        <f t="array" ref="A2992">INDEX('Portfolio Weights Returns'!$B$9:$BJ$69,
INT((ROW(A2991)-1)/COLUMNS('Portfolio Weights Returns'!$B$9:$BJ$69))+1,MOD(ROW(A2991)-1,COLUMNS('Portfolio Weights Returns'!$B$9:$BJ$69))+1)</f>
        <v>-8.6605794622740778E-4</v>
      </c>
      <c r="B2992">
        <v>2.3E-2</v>
      </c>
      <c r="C2992" s="59">
        <v>-0.15</v>
      </c>
      <c r="D2992" s="59">
        <v>-0.1</v>
      </c>
      <c r="E2992" s="60">
        <f t="shared" si="46"/>
        <v>1.25</v>
      </c>
      <c r="F2992" t="str" cm="1">
        <f t="array" ref="F2992">IF(A2992=MAX(IF(ROUND($B$2:$B$3722,4)=ROUND(B2992,4),$A$2:$A$3722)),"Efficient","Inefficient")</f>
        <v>Inefficient</v>
      </c>
    </row>
    <row r="2993" spans="1:6" x14ac:dyDescent="0.25">
      <c r="A2993" cm="1">
        <f t="array" ref="A2993">INDEX('Portfolio Weights Returns'!$B$9:$BJ$69,
INT((ROW(A2992)-1)/COLUMNS('Portfolio Weights Returns'!$B$9:$BJ$69))+1,MOD(ROW(A2992)-1,COLUMNS('Portfolio Weights Returns'!$B$9:$BJ$69))+1)</f>
        <v>-8.5927677226072874E-4</v>
      </c>
      <c r="B2993">
        <v>2.3E-2</v>
      </c>
      <c r="C2993" s="59">
        <v>-0.16</v>
      </c>
      <c r="D2993" s="59">
        <v>-0.09</v>
      </c>
      <c r="E2993" s="60">
        <f t="shared" si="46"/>
        <v>1.25</v>
      </c>
      <c r="F2993" t="str" cm="1">
        <f t="array" ref="F2993">IF(A2993=MAX(IF(ROUND($B$2:$B$3722,4)=ROUND(B2993,4),$A$2:$A$3722)),"Efficient","Inefficient")</f>
        <v>Inefficient</v>
      </c>
    </row>
    <row r="2994" spans="1:6" x14ac:dyDescent="0.25">
      <c r="A2994" cm="1">
        <f t="array" ref="A2994">INDEX('Portfolio Weights Returns'!$B$9:$BJ$69,
INT((ROW(A2993)-1)/COLUMNS('Portfolio Weights Returns'!$B$9:$BJ$69))+1,MOD(ROW(A2993)-1,COLUMNS('Portfolio Weights Returns'!$B$9:$BJ$69))+1)</f>
        <v>-8.524955982940496E-4</v>
      </c>
      <c r="B2994">
        <v>2.3E-2</v>
      </c>
      <c r="C2994" s="59">
        <v>-0.17</v>
      </c>
      <c r="D2994" s="59">
        <v>-0.08</v>
      </c>
      <c r="E2994" s="60">
        <f t="shared" si="46"/>
        <v>1.25</v>
      </c>
      <c r="F2994" t="str" cm="1">
        <f t="array" ref="F2994">IF(A2994=MAX(IF(ROUND($B$2:$B$3722,4)=ROUND(B2994,4),$A$2:$A$3722)),"Efficient","Inefficient")</f>
        <v>Inefficient</v>
      </c>
    </row>
    <row r="2995" spans="1:6" x14ac:dyDescent="0.25">
      <c r="A2995" cm="1">
        <f t="array" ref="A2995">INDEX('Portfolio Weights Returns'!$B$9:$BJ$69,
INT((ROW(A2994)-1)/COLUMNS('Portfolio Weights Returns'!$B$9:$BJ$69))+1,MOD(ROW(A2994)-1,COLUMNS('Portfolio Weights Returns'!$B$9:$BJ$69))+1)</f>
        <v>-8.4571442432737056E-4</v>
      </c>
      <c r="B2995">
        <v>2.3E-2</v>
      </c>
      <c r="C2995" s="59">
        <v>-0.18</v>
      </c>
      <c r="D2995" s="59">
        <v>-7.0000000000000007E-2</v>
      </c>
      <c r="E2995" s="60">
        <f t="shared" si="46"/>
        <v>1.25</v>
      </c>
      <c r="F2995" t="str" cm="1">
        <f t="array" ref="F2995">IF(A2995=MAX(IF(ROUND($B$2:$B$3722,4)=ROUND(B2995,4),$A$2:$A$3722)),"Efficient","Inefficient")</f>
        <v>Inefficient</v>
      </c>
    </row>
    <row r="2996" spans="1:6" x14ac:dyDescent="0.25">
      <c r="A2996" cm="1">
        <f t="array" ref="A2996">INDEX('Portfolio Weights Returns'!$B$9:$BJ$69,
INT((ROW(A2995)-1)/COLUMNS('Portfolio Weights Returns'!$B$9:$BJ$69))+1,MOD(ROW(A2995)-1,COLUMNS('Portfolio Weights Returns'!$B$9:$BJ$69))+1)</f>
        <v>-8.3893325036069142E-4</v>
      </c>
      <c r="B2996">
        <v>2.3E-2</v>
      </c>
      <c r="C2996" s="59">
        <v>-0.19</v>
      </c>
      <c r="D2996" s="59">
        <v>-0.06</v>
      </c>
      <c r="E2996" s="60">
        <f t="shared" si="46"/>
        <v>1.25</v>
      </c>
      <c r="F2996" t="str" cm="1">
        <f t="array" ref="F2996">IF(A2996=MAX(IF(ROUND($B$2:$B$3722,4)=ROUND(B2996,4),$A$2:$A$3722)),"Efficient","Inefficient")</f>
        <v>Inefficient</v>
      </c>
    </row>
    <row r="2997" spans="1:6" x14ac:dyDescent="0.25">
      <c r="A2997" cm="1">
        <f t="array" ref="A2997">INDEX('Portfolio Weights Returns'!$B$9:$BJ$69,
INT((ROW(A2996)-1)/COLUMNS('Portfolio Weights Returns'!$B$9:$BJ$69))+1,MOD(ROW(A2996)-1,COLUMNS('Portfolio Weights Returns'!$B$9:$BJ$69))+1)</f>
        <v>-8.3215207639401228E-4</v>
      </c>
      <c r="B2997">
        <v>2.3E-2</v>
      </c>
      <c r="C2997" s="59">
        <v>-0.2</v>
      </c>
      <c r="D2997" s="59">
        <v>-0.05</v>
      </c>
      <c r="E2997" s="60">
        <f t="shared" si="46"/>
        <v>1.25</v>
      </c>
      <c r="F2997" t="str" cm="1">
        <f t="array" ref="F2997">IF(A2997=MAX(IF(ROUND($B$2:$B$3722,4)=ROUND(B2997,4),$A$2:$A$3722)),"Efficient","Inefficient")</f>
        <v>Inefficient</v>
      </c>
    </row>
    <row r="2998" spans="1:6" x14ac:dyDescent="0.25">
      <c r="A2998" cm="1">
        <f t="array" ref="A2998">INDEX('Portfolio Weights Returns'!$B$9:$BJ$69,
INT((ROW(A2997)-1)/COLUMNS('Portfolio Weights Returns'!$B$9:$BJ$69))+1,MOD(ROW(A2997)-1,COLUMNS('Portfolio Weights Returns'!$B$9:$BJ$69))+1)</f>
        <v>-8.2537090242733324E-4</v>
      </c>
      <c r="B2998">
        <v>2.3E-2</v>
      </c>
      <c r="C2998" s="59">
        <v>-0.21</v>
      </c>
      <c r="D2998" s="59">
        <v>-0.04</v>
      </c>
      <c r="E2998" s="60">
        <f t="shared" si="46"/>
        <v>1.25</v>
      </c>
      <c r="F2998" t="str" cm="1">
        <f t="array" ref="F2998">IF(A2998=MAX(IF(ROUND($B$2:$B$3722,4)=ROUND(B2998,4),$A$2:$A$3722)),"Efficient","Inefficient")</f>
        <v>Inefficient</v>
      </c>
    </row>
    <row r="2999" spans="1:6" x14ac:dyDescent="0.25">
      <c r="A2999" cm="1">
        <f t="array" ref="A2999">INDEX('Portfolio Weights Returns'!$B$9:$BJ$69,
INT((ROW(A2998)-1)/COLUMNS('Portfolio Weights Returns'!$B$9:$BJ$69))+1,MOD(ROW(A2998)-1,COLUMNS('Portfolio Weights Returns'!$B$9:$BJ$69))+1)</f>
        <v>-8.1858972846065399E-4</v>
      </c>
      <c r="B2999">
        <v>2.3E-2</v>
      </c>
      <c r="C2999" s="59">
        <v>-0.22</v>
      </c>
      <c r="D2999" s="59">
        <v>-0.03</v>
      </c>
      <c r="E2999" s="60">
        <f t="shared" si="46"/>
        <v>1.25</v>
      </c>
      <c r="F2999" t="str" cm="1">
        <f t="array" ref="F2999">IF(A2999=MAX(IF(ROUND($B$2:$B$3722,4)=ROUND(B2999,4),$A$2:$A$3722)),"Efficient","Inefficient")</f>
        <v>Inefficient</v>
      </c>
    </row>
    <row r="3000" spans="1:6" x14ac:dyDescent="0.25">
      <c r="A3000" cm="1">
        <f t="array" ref="A3000">INDEX('Portfolio Weights Returns'!$B$9:$BJ$69,
INT((ROW(A2999)-1)/COLUMNS('Portfolio Weights Returns'!$B$9:$BJ$69))+1,MOD(ROW(A2999)-1,COLUMNS('Portfolio Weights Returns'!$B$9:$BJ$69))+1)</f>
        <v>-8.1180855449397495E-4</v>
      </c>
      <c r="B3000">
        <v>2.3E-2</v>
      </c>
      <c r="C3000" s="59">
        <v>-0.23</v>
      </c>
      <c r="D3000" s="59">
        <v>-0.02</v>
      </c>
      <c r="E3000" s="60">
        <f t="shared" si="46"/>
        <v>1.25</v>
      </c>
      <c r="F3000" t="str" cm="1">
        <f t="array" ref="F3000">IF(A3000=MAX(IF(ROUND($B$2:$B$3722,4)=ROUND(B3000,4),$A$2:$A$3722)),"Efficient","Inefficient")</f>
        <v>Inefficient</v>
      </c>
    </row>
    <row r="3001" spans="1:6" x14ac:dyDescent="0.25">
      <c r="A3001" cm="1">
        <f t="array" ref="A3001">INDEX('Portfolio Weights Returns'!$B$9:$BJ$69,
INT((ROW(A3000)-1)/COLUMNS('Portfolio Weights Returns'!$B$9:$BJ$69))+1,MOD(ROW(A3000)-1,COLUMNS('Portfolio Weights Returns'!$B$9:$BJ$69))+1)</f>
        <v>-8.0502738052729581E-4</v>
      </c>
      <c r="B3001">
        <v>2.3E-2</v>
      </c>
      <c r="C3001" s="59">
        <v>-0.25</v>
      </c>
      <c r="D3001" s="59">
        <v>0.01</v>
      </c>
      <c r="E3001" s="60">
        <f t="shared" si="46"/>
        <v>1.24</v>
      </c>
      <c r="F3001" t="str" cm="1">
        <f t="array" ref="F3001">IF(A3001=MAX(IF(ROUND($B$2:$B$3722,4)=ROUND(B3001,4),$A$2:$A$3722)),"Efficient","Inefficient")</f>
        <v>Inefficient</v>
      </c>
    </row>
    <row r="3002" spans="1:6" x14ac:dyDescent="0.25">
      <c r="A3002" cm="1">
        <f t="array" ref="A3002">INDEX('Portfolio Weights Returns'!$B$9:$BJ$69,
INT((ROW(A3001)-1)/COLUMNS('Portfolio Weights Returns'!$B$9:$BJ$69))+1,MOD(ROW(A3001)-1,COLUMNS('Portfolio Weights Returns'!$B$9:$BJ$69))+1)</f>
        <v>-7.9824620656061677E-4</v>
      </c>
      <c r="B3002">
        <v>2.3E-2</v>
      </c>
      <c r="C3002" s="59">
        <v>-0.26</v>
      </c>
      <c r="D3002" s="59">
        <v>0.02</v>
      </c>
      <c r="E3002" s="60">
        <f t="shared" si="46"/>
        <v>1.24</v>
      </c>
      <c r="F3002" t="str" cm="1">
        <f t="array" ref="F3002">IF(A3002=MAX(IF(ROUND($B$2:$B$3722,4)=ROUND(B3002,4),$A$2:$A$3722)),"Efficient","Inefficient")</f>
        <v>Inefficient</v>
      </c>
    </row>
    <row r="3003" spans="1:6" x14ac:dyDescent="0.25">
      <c r="A3003" cm="1">
        <f t="array" ref="A3003">INDEX('Portfolio Weights Returns'!$B$9:$BJ$69,
INT((ROW(A3002)-1)/COLUMNS('Portfolio Weights Returns'!$B$9:$BJ$69))+1,MOD(ROW(A3002)-1,COLUMNS('Portfolio Weights Returns'!$B$9:$BJ$69))+1)</f>
        <v>-7.9146503259393763E-4</v>
      </c>
      <c r="B3003">
        <v>2.3E-2</v>
      </c>
      <c r="C3003" s="59">
        <v>-0.28000000000000003</v>
      </c>
      <c r="D3003" s="59">
        <v>0.05</v>
      </c>
      <c r="E3003" s="60">
        <f t="shared" si="46"/>
        <v>1.23</v>
      </c>
      <c r="F3003" t="str" cm="1">
        <f t="array" ref="F3003">IF(A3003=MAX(IF(ROUND($B$2:$B$3722,4)=ROUND(B3003,4),$A$2:$A$3722)),"Efficient","Inefficient")</f>
        <v>Inefficient</v>
      </c>
    </row>
    <row r="3004" spans="1:6" x14ac:dyDescent="0.25">
      <c r="A3004" cm="1">
        <f t="array" ref="A3004">INDEX('Portfolio Weights Returns'!$B$9:$BJ$69,
INT((ROW(A3003)-1)/COLUMNS('Portfolio Weights Returns'!$B$9:$BJ$69))+1,MOD(ROW(A3003)-1,COLUMNS('Portfolio Weights Returns'!$B$9:$BJ$69))+1)</f>
        <v>-7.8468385862725859E-4</v>
      </c>
      <c r="B3004">
        <v>2.3E-2</v>
      </c>
      <c r="C3004" s="59">
        <v>-0.28999999999999998</v>
      </c>
      <c r="D3004" s="59">
        <v>0.06</v>
      </c>
      <c r="E3004" s="60">
        <f t="shared" si="46"/>
        <v>1.23</v>
      </c>
      <c r="F3004" t="str" cm="1">
        <f t="array" ref="F3004">IF(A3004=MAX(IF(ROUND($B$2:$B$3722,4)=ROUND(B3004,4),$A$2:$A$3722)),"Efficient","Inefficient")</f>
        <v>Inefficient</v>
      </c>
    </row>
    <row r="3005" spans="1:6" x14ac:dyDescent="0.25">
      <c r="A3005" cm="1">
        <f t="array" ref="A3005">INDEX('Portfolio Weights Returns'!$B$9:$BJ$69,
INT((ROW(A3004)-1)/COLUMNS('Portfolio Weights Returns'!$B$9:$BJ$69))+1,MOD(ROW(A3004)-1,COLUMNS('Portfolio Weights Returns'!$B$9:$BJ$69))+1)</f>
        <v>-7.7790268466057944E-4</v>
      </c>
      <c r="B3005">
        <v>2.3E-2</v>
      </c>
      <c r="C3005" s="59">
        <v>-0.3</v>
      </c>
      <c r="D3005" s="59">
        <v>0.08</v>
      </c>
      <c r="E3005" s="60">
        <f t="shared" si="46"/>
        <v>1.22</v>
      </c>
      <c r="F3005" t="str" cm="1">
        <f t="array" ref="F3005">IF(A3005=MAX(IF(ROUND($B$2:$B$3722,4)=ROUND(B3005,4),$A$2:$A$3722)),"Efficient","Inefficient")</f>
        <v>Inefficient</v>
      </c>
    </row>
    <row r="3006" spans="1:6" x14ac:dyDescent="0.25">
      <c r="A3006" cm="1">
        <f t="array" ref="A3006">INDEX('Portfolio Weights Returns'!$B$9:$BJ$69,
INT((ROW(A3005)-1)/COLUMNS('Portfolio Weights Returns'!$B$9:$BJ$69))+1,MOD(ROW(A3005)-1,COLUMNS('Portfolio Weights Returns'!$B$9:$BJ$69))+1)</f>
        <v>-7.7112151069390019E-4</v>
      </c>
      <c r="B3006">
        <v>2.3099999999999999E-2</v>
      </c>
      <c r="C3006" s="59">
        <v>0.13</v>
      </c>
      <c r="D3006" s="59">
        <v>-0.3</v>
      </c>
      <c r="E3006" s="60">
        <f t="shared" si="46"/>
        <v>1.17</v>
      </c>
      <c r="F3006" t="str" cm="1">
        <f t="array" ref="F3006">IF(A3006=MAX(IF(ROUND($B$2:$B$3722,4)=ROUND(B3006,4),$A$2:$A$3722)),"Efficient","Inefficient")</f>
        <v>Inefficient</v>
      </c>
    </row>
    <row r="3007" spans="1:6" x14ac:dyDescent="0.25">
      <c r="A3007" cm="1">
        <f t="array" ref="A3007">INDEX('Portfolio Weights Returns'!$B$9:$BJ$69,
INT((ROW(A3006)-1)/COLUMNS('Portfolio Weights Returns'!$B$9:$BJ$69))+1,MOD(ROW(A3006)-1,COLUMNS('Portfolio Weights Returns'!$B$9:$BJ$69))+1)</f>
        <v>-7.6434033672722137E-4</v>
      </c>
      <c r="B3007">
        <v>2.3099999999999999E-2</v>
      </c>
      <c r="C3007" s="59">
        <v>0.1</v>
      </c>
      <c r="D3007" s="59">
        <v>-0.28000000000000003</v>
      </c>
      <c r="E3007" s="60">
        <f t="shared" si="46"/>
        <v>1.18</v>
      </c>
      <c r="F3007" t="str" cm="1">
        <f t="array" ref="F3007">IF(A3007=MAX(IF(ROUND($B$2:$B$3722,4)=ROUND(B3007,4),$A$2:$A$3722)),"Efficient","Inefficient")</f>
        <v>Inefficient</v>
      </c>
    </row>
    <row r="3008" spans="1:6" x14ac:dyDescent="0.25">
      <c r="A3008" cm="1">
        <f t="array" ref="A3008">INDEX('Portfolio Weights Returns'!$B$9:$BJ$69,
INT((ROW(A3007)-1)/COLUMNS('Portfolio Weights Returns'!$B$9:$BJ$69))+1,MOD(ROW(A3007)-1,COLUMNS('Portfolio Weights Returns'!$B$9:$BJ$69))+1)</f>
        <v>-7.5755916276054201E-4</v>
      </c>
      <c r="B3008">
        <v>2.3099999999999999E-2</v>
      </c>
      <c r="C3008" s="59">
        <v>0.08</v>
      </c>
      <c r="D3008" s="59">
        <v>-0.27</v>
      </c>
      <c r="E3008" s="60">
        <f t="shared" si="46"/>
        <v>1.19</v>
      </c>
      <c r="F3008" t="str" cm="1">
        <f t="array" ref="F3008">IF(A3008=MAX(IF(ROUND($B$2:$B$3722,4)=ROUND(B3008,4),$A$2:$A$3722)),"Efficient","Inefficient")</f>
        <v>Inefficient</v>
      </c>
    </row>
    <row r="3009" spans="1:6" x14ac:dyDescent="0.25">
      <c r="A3009" cm="1">
        <f t="array" ref="A3009">INDEX('Portfolio Weights Returns'!$B$9:$BJ$69,
INT((ROW(A3008)-1)/COLUMNS('Portfolio Weights Returns'!$B$9:$BJ$69))+1,MOD(ROW(A3008)-1,COLUMNS('Portfolio Weights Returns'!$B$9:$BJ$69))+1)</f>
        <v>-7.5077798879386319E-4</v>
      </c>
      <c r="B3009">
        <v>2.3099999999999999E-2</v>
      </c>
      <c r="C3009" s="59">
        <v>0.06</v>
      </c>
      <c r="D3009" s="59">
        <v>-0.26</v>
      </c>
      <c r="E3009" s="60">
        <f t="shared" si="46"/>
        <v>1.2</v>
      </c>
      <c r="F3009" t="str" cm="1">
        <f t="array" ref="F3009">IF(A3009=MAX(IF(ROUND($B$2:$B$3722,4)=ROUND(B3009,4),$A$2:$A$3722)),"Efficient","Inefficient")</f>
        <v>Inefficient</v>
      </c>
    </row>
    <row r="3010" spans="1:6" x14ac:dyDescent="0.25">
      <c r="A3010" cm="1">
        <f t="array" ref="A3010">INDEX('Portfolio Weights Returns'!$B$9:$BJ$69,
INT((ROW(A3009)-1)/COLUMNS('Portfolio Weights Returns'!$B$9:$BJ$69))+1,MOD(ROW(A3009)-1,COLUMNS('Portfolio Weights Returns'!$B$9:$BJ$69))+1)</f>
        <v>-7.4399681482718394E-4</v>
      </c>
      <c r="B3010">
        <v>2.3099999999999999E-2</v>
      </c>
      <c r="C3010" s="59">
        <v>0.05</v>
      </c>
      <c r="D3010" s="59">
        <v>-0.25</v>
      </c>
      <c r="E3010" s="60">
        <f t="shared" ref="E3010:E3073" si="47">1-D3010-C3010</f>
        <v>1.2</v>
      </c>
      <c r="F3010" t="str" cm="1">
        <f t="array" ref="F3010">IF(A3010=MAX(IF(ROUND($B$2:$B$3722,4)=ROUND(B3010,4),$A$2:$A$3722)),"Efficient","Inefficient")</f>
        <v>Inefficient</v>
      </c>
    </row>
    <row r="3011" spans="1:6" x14ac:dyDescent="0.25">
      <c r="A3011" cm="1">
        <f t="array" ref="A3011">INDEX('Portfolio Weights Returns'!$B$9:$BJ$69,
INT((ROW(A3010)-1)/COLUMNS('Portfolio Weights Returns'!$B$9:$BJ$69))+1,MOD(ROW(A3010)-1,COLUMNS('Portfolio Weights Returns'!$B$9:$BJ$69))+1)</f>
        <v>-7.372156408605049E-4</v>
      </c>
      <c r="B3011">
        <v>2.3099999999999999E-2</v>
      </c>
      <c r="C3011" s="59">
        <v>0.03</v>
      </c>
      <c r="D3011" s="59">
        <v>-0.24</v>
      </c>
      <c r="E3011" s="60">
        <f t="shared" si="47"/>
        <v>1.21</v>
      </c>
      <c r="F3011" t="str" cm="1">
        <f t="array" ref="F3011">IF(A3011=MAX(IF(ROUND($B$2:$B$3722,4)=ROUND(B3011,4),$A$2:$A$3722)),"Efficient","Inefficient")</f>
        <v>Inefficient</v>
      </c>
    </row>
    <row r="3012" spans="1:6" x14ac:dyDescent="0.25">
      <c r="A3012" cm="1">
        <f t="array" ref="A3012">INDEX('Portfolio Weights Returns'!$B$9:$BJ$69,
INT((ROW(A3011)-1)/COLUMNS('Portfolio Weights Returns'!$B$9:$BJ$69))+1,MOD(ROW(A3011)-1,COLUMNS('Portfolio Weights Returns'!$B$9:$BJ$69))+1)</f>
        <v>-7.3043446689382576E-4</v>
      </c>
      <c r="B3012">
        <v>2.3099999999999999E-2</v>
      </c>
      <c r="C3012" s="59">
        <v>0</v>
      </c>
      <c r="D3012" s="59">
        <v>-0.22</v>
      </c>
      <c r="E3012" s="60">
        <f t="shared" si="47"/>
        <v>1.22</v>
      </c>
      <c r="F3012" t="str" cm="1">
        <f t="array" ref="F3012">IF(A3012=MAX(IF(ROUND($B$2:$B$3722,4)=ROUND(B3012,4),$A$2:$A$3722)),"Efficient","Inefficient")</f>
        <v>Inefficient</v>
      </c>
    </row>
    <row r="3013" spans="1:6" x14ac:dyDescent="0.25">
      <c r="A3013" cm="1">
        <f t="array" ref="A3013">INDEX('Portfolio Weights Returns'!$B$9:$BJ$69,
INT((ROW(A3012)-1)/COLUMNS('Portfolio Weights Returns'!$B$9:$BJ$69))+1,MOD(ROW(A3012)-1,COLUMNS('Portfolio Weights Returns'!$B$9:$BJ$69))+1)</f>
        <v>-7.2365329292714672E-4</v>
      </c>
      <c r="B3013">
        <v>2.3099999999999999E-2</v>
      </c>
      <c r="C3013" s="59">
        <v>-0.03</v>
      </c>
      <c r="D3013" s="59">
        <v>-0.2</v>
      </c>
      <c r="E3013" s="60">
        <f t="shared" si="47"/>
        <v>1.23</v>
      </c>
      <c r="F3013" t="str" cm="1">
        <f t="array" ref="F3013">IF(A3013=MAX(IF(ROUND($B$2:$B$3722,4)=ROUND(B3013,4),$A$2:$A$3722)),"Efficient","Inefficient")</f>
        <v>Inefficient</v>
      </c>
    </row>
    <row r="3014" spans="1:6" x14ac:dyDescent="0.25">
      <c r="A3014" cm="1">
        <f t="array" ref="A3014">INDEX('Portfolio Weights Returns'!$B$9:$BJ$69,
INT((ROW(A3013)-1)/COLUMNS('Portfolio Weights Returns'!$B$9:$BJ$69))+1,MOD(ROW(A3013)-1,COLUMNS('Portfolio Weights Returns'!$B$9:$BJ$69))+1)</f>
        <v>-7.1687211896046758E-4</v>
      </c>
      <c r="B3014">
        <v>2.3099999999999999E-2</v>
      </c>
      <c r="C3014" s="59">
        <v>-0.04</v>
      </c>
      <c r="D3014" s="59">
        <v>-0.19</v>
      </c>
      <c r="E3014" s="60">
        <f t="shared" si="47"/>
        <v>1.23</v>
      </c>
      <c r="F3014" t="str" cm="1">
        <f t="array" ref="F3014">IF(A3014=MAX(IF(ROUND($B$2:$B$3722,4)=ROUND(B3014,4),$A$2:$A$3722)),"Efficient","Inefficient")</f>
        <v>Inefficient</v>
      </c>
    </row>
    <row r="3015" spans="1:6" x14ac:dyDescent="0.25">
      <c r="A3015" cm="1">
        <f t="array" ref="A3015">INDEX('Portfolio Weights Returns'!$B$9:$BJ$69,
INT((ROW(A3014)-1)/COLUMNS('Portfolio Weights Returns'!$B$9:$BJ$69))+1,MOD(ROW(A3014)-1,COLUMNS('Portfolio Weights Returns'!$B$9:$BJ$69))+1)</f>
        <v>-7.1009094499378854E-4</v>
      </c>
      <c r="B3015">
        <v>2.3099999999999999E-2</v>
      </c>
      <c r="C3015" s="59">
        <v>-7.0000000000000007E-2</v>
      </c>
      <c r="D3015" s="59">
        <v>-0.17</v>
      </c>
      <c r="E3015" s="60">
        <f t="shared" si="47"/>
        <v>1.24</v>
      </c>
      <c r="F3015" t="str" cm="1">
        <f t="array" ref="F3015">IF(A3015=MAX(IF(ROUND($B$2:$B$3722,4)=ROUND(B3015,4),$A$2:$A$3722)),"Efficient","Inefficient")</f>
        <v>Inefficient</v>
      </c>
    </row>
    <row r="3016" spans="1:6" x14ac:dyDescent="0.25">
      <c r="A3016" cm="1">
        <f t="array" ref="A3016">INDEX('Portfolio Weights Returns'!$B$9:$BJ$69,
INT((ROW(A3015)-1)/COLUMNS('Portfolio Weights Returns'!$B$9:$BJ$69))+1,MOD(ROW(A3015)-1,COLUMNS('Portfolio Weights Returns'!$B$9:$BJ$69))+1)</f>
        <v>-7.033097710271094E-4</v>
      </c>
      <c r="B3016">
        <v>2.3099999999999999E-2</v>
      </c>
      <c r="C3016" s="59">
        <v>-0.11</v>
      </c>
      <c r="D3016" s="59">
        <v>-0.14000000000000001</v>
      </c>
      <c r="E3016" s="60">
        <f t="shared" si="47"/>
        <v>1.2500000000000002</v>
      </c>
      <c r="F3016" t="str" cm="1">
        <f t="array" ref="F3016">IF(A3016=MAX(IF(ROUND($B$2:$B$3722,4)=ROUND(B3016,4),$A$2:$A$3722)),"Efficient","Inefficient")</f>
        <v>Inefficient</v>
      </c>
    </row>
    <row r="3017" spans="1:6" x14ac:dyDescent="0.25">
      <c r="A3017" cm="1">
        <f t="array" ref="A3017">INDEX('Portfolio Weights Returns'!$B$9:$BJ$69,
INT((ROW(A3016)-1)/COLUMNS('Portfolio Weights Returns'!$B$9:$BJ$69))+1,MOD(ROW(A3016)-1,COLUMNS('Portfolio Weights Returns'!$B$9:$BJ$69))+1)</f>
        <v>-6.9652859706043015E-4</v>
      </c>
      <c r="B3017">
        <v>2.3099999999999999E-2</v>
      </c>
      <c r="C3017" s="59">
        <v>-0.12</v>
      </c>
      <c r="D3017" s="59">
        <v>-0.13</v>
      </c>
      <c r="E3017" s="60">
        <f t="shared" si="47"/>
        <v>1.25</v>
      </c>
      <c r="F3017" t="str" cm="1">
        <f t="array" ref="F3017">IF(A3017=MAX(IF(ROUND($B$2:$B$3722,4)=ROUND(B3017,4),$A$2:$A$3722)),"Efficient","Inefficient")</f>
        <v>Inefficient</v>
      </c>
    </row>
    <row r="3018" spans="1:6" x14ac:dyDescent="0.25">
      <c r="A3018" cm="1">
        <f t="array" ref="A3018">INDEX('Portfolio Weights Returns'!$B$9:$BJ$69,
INT((ROW(A3017)-1)/COLUMNS('Portfolio Weights Returns'!$B$9:$BJ$69))+1,MOD(ROW(A3017)-1,COLUMNS('Portfolio Weights Returns'!$B$9:$BJ$69))+1)</f>
        <v>-6.8974742309375111E-4</v>
      </c>
      <c r="B3018">
        <v>2.3099999999999999E-2</v>
      </c>
      <c r="C3018" s="59">
        <v>-0.13</v>
      </c>
      <c r="D3018" s="59">
        <v>-0.12</v>
      </c>
      <c r="E3018" s="60">
        <f t="shared" si="47"/>
        <v>1.25</v>
      </c>
      <c r="F3018" t="str" cm="1">
        <f t="array" ref="F3018">IF(A3018=MAX(IF(ROUND($B$2:$B$3722,4)=ROUND(B3018,4),$A$2:$A$3722)),"Efficient","Inefficient")</f>
        <v>Inefficient</v>
      </c>
    </row>
    <row r="3019" spans="1:6" x14ac:dyDescent="0.25">
      <c r="A3019" cm="1">
        <f t="array" ref="A3019">INDEX('Portfolio Weights Returns'!$B$9:$BJ$69,
INT((ROW(A3018)-1)/COLUMNS('Portfolio Weights Returns'!$B$9:$BJ$69))+1,MOD(ROW(A3018)-1,COLUMNS('Portfolio Weights Returns'!$B$9:$BJ$69))+1)</f>
        <v>-6.8296624912707197E-4</v>
      </c>
      <c r="B3019">
        <v>2.3099999999999999E-2</v>
      </c>
      <c r="C3019" s="59">
        <v>-0.24</v>
      </c>
      <c r="D3019" s="59">
        <v>-0.01</v>
      </c>
      <c r="E3019" s="60">
        <f t="shared" si="47"/>
        <v>1.25</v>
      </c>
      <c r="F3019" t="str" cm="1">
        <f t="array" ref="F3019">IF(A3019=MAX(IF(ROUND($B$2:$B$3722,4)=ROUND(B3019,4),$A$2:$A$3722)),"Efficient","Inefficient")</f>
        <v>Inefficient</v>
      </c>
    </row>
    <row r="3020" spans="1:6" x14ac:dyDescent="0.25">
      <c r="A3020" cm="1">
        <f t="array" ref="A3020">INDEX('Portfolio Weights Returns'!$B$9:$BJ$69,
INT((ROW(A3019)-1)/COLUMNS('Portfolio Weights Returns'!$B$9:$BJ$69))+1,MOD(ROW(A3019)-1,COLUMNS('Portfolio Weights Returns'!$B$9:$BJ$69))+1)</f>
        <v>-6.7618507516039293E-4</v>
      </c>
      <c r="B3020">
        <v>2.3099999999999999E-2</v>
      </c>
      <c r="C3020" s="59">
        <v>-0.25</v>
      </c>
      <c r="D3020" s="59">
        <v>0</v>
      </c>
      <c r="E3020" s="60">
        <f t="shared" si="47"/>
        <v>1.25</v>
      </c>
      <c r="F3020" t="str" cm="1">
        <f t="array" ref="F3020">IF(A3020=MAX(IF(ROUND($B$2:$B$3722,4)=ROUND(B3020,4),$A$2:$A$3722)),"Efficient","Inefficient")</f>
        <v>Inefficient</v>
      </c>
    </row>
    <row r="3021" spans="1:6" x14ac:dyDescent="0.25">
      <c r="A3021" cm="1">
        <f t="array" ref="A3021">INDEX('Portfolio Weights Returns'!$B$9:$BJ$69,
INT((ROW(A3020)-1)/COLUMNS('Portfolio Weights Returns'!$B$9:$BJ$69))+1,MOD(ROW(A3020)-1,COLUMNS('Portfolio Weights Returns'!$B$9:$BJ$69))+1)</f>
        <v>-6.6940390119371378E-4</v>
      </c>
      <c r="B3021">
        <v>2.3099999999999999E-2</v>
      </c>
      <c r="C3021" s="59">
        <v>-0.26</v>
      </c>
      <c r="D3021" s="59">
        <v>0.01</v>
      </c>
      <c r="E3021" s="60">
        <f t="shared" si="47"/>
        <v>1.25</v>
      </c>
      <c r="F3021" t="str" cm="1">
        <f t="array" ref="F3021">IF(A3021=MAX(IF(ROUND($B$2:$B$3722,4)=ROUND(B3021,4),$A$2:$A$3722)),"Efficient","Inefficient")</f>
        <v>Inefficient</v>
      </c>
    </row>
    <row r="3022" spans="1:6" x14ac:dyDescent="0.25">
      <c r="A3022" cm="1">
        <f t="array" ref="A3022">INDEX('Portfolio Weights Returns'!$B$9:$BJ$69,
INT((ROW(A3021)-1)/COLUMNS('Portfolio Weights Returns'!$B$9:$BJ$69))+1,MOD(ROW(A3021)-1,COLUMNS('Portfolio Weights Returns'!$B$9:$BJ$69))+1)</f>
        <v>-6.6262272722703475E-4</v>
      </c>
      <c r="B3022">
        <v>2.3099999999999999E-2</v>
      </c>
      <c r="C3022" s="59">
        <v>-0.27</v>
      </c>
      <c r="D3022" s="59">
        <v>0.03</v>
      </c>
      <c r="E3022" s="60">
        <f t="shared" si="47"/>
        <v>1.24</v>
      </c>
      <c r="F3022" t="str" cm="1">
        <f t="array" ref="F3022">IF(A3022=MAX(IF(ROUND($B$2:$B$3722,4)=ROUND(B3022,4),$A$2:$A$3722)),"Efficient","Inefficient")</f>
        <v>Inefficient</v>
      </c>
    </row>
    <row r="3023" spans="1:6" x14ac:dyDescent="0.25">
      <c r="A3023" cm="1">
        <f t="array" ref="A3023">INDEX('Portfolio Weights Returns'!$B$9:$BJ$69,
INT((ROW(A3022)-1)/COLUMNS('Portfolio Weights Returns'!$B$9:$BJ$69))+1,MOD(ROW(A3022)-1,COLUMNS('Portfolio Weights Returns'!$B$9:$BJ$69))+1)</f>
        <v>-6.558415532603556E-4</v>
      </c>
      <c r="B3023">
        <v>2.3099999999999999E-2</v>
      </c>
      <c r="C3023" s="59">
        <v>-0.28000000000000003</v>
      </c>
      <c r="D3023" s="59">
        <v>0.04</v>
      </c>
      <c r="E3023" s="60">
        <f t="shared" si="47"/>
        <v>1.24</v>
      </c>
      <c r="F3023" t="str" cm="1">
        <f t="array" ref="F3023">IF(A3023=MAX(IF(ROUND($B$2:$B$3722,4)=ROUND(B3023,4),$A$2:$A$3722)),"Efficient","Inefficient")</f>
        <v>Inefficient</v>
      </c>
    </row>
    <row r="3024" spans="1:6" x14ac:dyDescent="0.25">
      <c r="A3024" cm="1">
        <f t="array" ref="A3024">INDEX('Portfolio Weights Returns'!$B$9:$BJ$69,
INT((ROW(A3023)-1)/COLUMNS('Portfolio Weights Returns'!$B$9:$BJ$69))+1,MOD(ROW(A3023)-1,COLUMNS('Portfolio Weights Returns'!$B$9:$BJ$69))+1)</f>
        <v>-6.4906037929367646E-4</v>
      </c>
      <c r="B3024">
        <v>2.3099999999999999E-2</v>
      </c>
      <c r="C3024" s="59">
        <v>-0.3</v>
      </c>
      <c r="D3024" s="59">
        <v>7.0000000000000007E-2</v>
      </c>
      <c r="E3024" s="60">
        <f t="shared" si="47"/>
        <v>1.23</v>
      </c>
      <c r="F3024" t="str" cm="1">
        <f t="array" ref="F3024">IF(A3024=MAX(IF(ROUND($B$2:$B$3722,4)=ROUND(B3024,4),$A$2:$A$3722)),"Efficient","Inefficient")</f>
        <v>Efficient</v>
      </c>
    </row>
    <row r="3025" spans="1:6" x14ac:dyDescent="0.25">
      <c r="A3025" cm="1">
        <f t="array" ref="A3025">INDEX('Portfolio Weights Returns'!$B$9:$BJ$69,
INT((ROW(A3024)-1)/COLUMNS('Portfolio Weights Returns'!$B$9:$BJ$69))+1,MOD(ROW(A3024)-1,COLUMNS('Portfolio Weights Returns'!$B$9:$BJ$69))+1)</f>
        <v>-6.4227920532699732E-4</v>
      </c>
      <c r="B3025">
        <v>2.3199999999999998E-2</v>
      </c>
      <c r="C3025" s="59">
        <v>0.11</v>
      </c>
      <c r="D3025" s="59">
        <v>-0.28999999999999998</v>
      </c>
      <c r="E3025" s="60">
        <f t="shared" si="47"/>
        <v>1.18</v>
      </c>
      <c r="F3025" t="str" cm="1">
        <f t="array" ref="F3025">IF(A3025=MAX(IF(ROUND($B$2:$B$3722,4)=ROUND(B3025,4),$A$2:$A$3722)),"Efficient","Inefficient")</f>
        <v>Inefficient</v>
      </c>
    </row>
    <row r="3026" spans="1:6" x14ac:dyDescent="0.25">
      <c r="A3026" cm="1">
        <f t="array" ref="A3026">INDEX('Portfolio Weights Returns'!$B$9:$BJ$69,
INT((ROW(A3025)-1)/COLUMNS('Portfolio Weights Returns'!$B$9:$BJ$69))+1,MOD(ROW(A3025)-1,COLUMNS('Portfolio Weights Returns'!$B$9:$BJ$69))+1)</f>
        <v>-6.3549803136031817E-4</v>
      </c>
      <c r="B3026">
        <v>2.3199999999999998E-2</v>
      </c>
      <c r="C3026" s="59">
        <v>0.09</v>
      </c>
      <c r="D3026" s="59">
        <v>-0.28000000000000003</v>
      </c>
      <c r="E3026" s="60">
        <f t="shared" si="47"/>
        <v>1.19</v>
      </c>
      <c r="F3026" t="str" cm="1">
        <f t="array" ref="F3026">IF(A3026=MAX(IF(ROUND($B$2:$B$3722,4)=ROUND(B3026,4),$A$2:$A$3722)),"Efficient","Inefficient")</f>
        <v>Inefficient</v>
      </c>
    </row>
    <row r="3027" spans="1:6" x14ac:dyDescent="0.25">
      <c r="A3027" cm="1">
        <f t="array" ref="A3027">INDEX('Portfolio Weights Returns'!$B$9:$BJ$69,
INT((ROW(A3026)-1)/COLUMNS('Portfolio Weights Returns'!$B$9:$BJ$69))+1,MOD(ROW(A3026)-1,COLUMNS('Portfolio Weights Returns'!$B$9:$BJ$69))+1)</f>
        <v>-6.2871685739363913E-4</v>
      </c>
      <c r="B3027">
        <v>2.3199999999999998E-2</v>
      </c>
      <c r="C3027" s="59">
        <v>7.0000000000000007E-2</v>
      </c>
      <c r="D3027" s="59">
        <v>-0.27</v>
      </c>
      <c r="E3027" s="60">
        <f t="shared" si="47"/>
        <v>1.2</v>
      </c>
      <c r="F3027" t="str" cm="1">
        <f t="array" ref="F3027">IF(A3027=MAX(IF(ROUND($B$2:$B$3722,4)=ROUND(B3027,4),$A$2:$A$3722)),"Efficient","Inefficient")</f>
        <v>Inefficient</v>
      </c>
    </row>
    <row r="3028" spans="1:6" x14ac:dyDescent="0.25">
      <c r="A3028" cm="1">
        <f t="array" ref="A3028">INDEX('Portfolio Weights Returns'!$B$9:$BJ$69,
INT((ROW(A3027)-1)/COLUMNS('Portfolio Weights Returns'!$B$9:$BJ$69))+1,MOD(ROW(A3027)-1,COLUMNS('Portfolio Weights Returns'!$B$9:$BJ$69))+1)</f>
        <v>-6.2193568342695999E-4</v>
      </c>
      <c r="B3028">
        <v>2.3199999999999998E-2</v>
      </c>
      <c r="C3028" s="59">
        <v>0.04</v>
      </c>
      <c r="D3028" s="59">
        <v>-0.25</v>
      </c>
      <c r="E3028" s="60">
        <f t="shared" si="47"/>
        <v>1.21</v>
      </c>
      <c r="F3028" t="str" cm="1">
        <f t="array" ref="F3028">IF(A3028=MAX(IF(ROUND($B$2:$B$3722,4)=ROUND(B3028,4),$A$2:$A$3722)),"Efficient","Inefficient")</f>
        <v>Inefficient</v>
      </c>
    </row>
    <row r="3029" spans="1:6" x14ac:dyDescent="0.25">
      <c r="A3029" cm="1">
        <f t="array" ref="A3029">INDEX('Portfolio Weights Returns'!$B$9:$BJ$69,
INT((ROW(A3028)-1)/COLUMNS('Portfolio Weights Returns'!$B$9:$BJ$69))+1,MOD(ROW(A3028)-1,COLUMNS('Portfolio Weights Returns'!$B$9:$BJ$69))+1)</f>
        <v>-6.1515450946028095E-4</v>
      </c>
      <c r="B3029">
        <v>2.3199999999999998E-2</v>
      </c>
      <c r="C3029" s="59">
        <v>0.01</v>
      </c>
      <c r="D3029" s="59">
        <v>-0.23</v>
      </c>
      <c r="E3029" s="60">
        <f t="shared" si="47"/>
        <v>1.22</v>
      </c>
      <c r="F3029" t="str" cm="1">
        <f t="array" ref="F3029">IF(A3029=MAX(IF(ROUND($B$2:$B$3722,4)=ROUND(B3029,4),$A$2:$A$3722)),"Efficient","Inefficient")</f>
        <v>Inefficient</v>
      </c>
    </row>
    <row r="3030" spans="1:6" x14ac:dyDescent="0.25">
      <c r="A3030" cm="1">
        <f t="array" ref="A3030">INDEX('Portfolio Weights Returns'!$B$9:$BJ$69,
INT((ROW(A3029)-1)/COLUMNS('Portfolio Weights Returns'!$B$9:$BJ$69))+1,MOD(ROW(A3029)-1,COLUMNS('Portfolio Weights Returns'!$B$9:$BJ$69))+1)</f>
        <v>-6.0837333549360181E-4</v>
      </c>
      <c r="B3030">
        <v>2.3199999999999998E-2</v>
      </c>
      <c r="C3030" s="59">
        <v>-0.02</v>
      </c>
      <c r="D3030" s="59">
        <v>-0.21</v>
      </c>
      <c r="E3030" s="60">
        <f t="shared" si="47"/>
        <v>1.23</v>
      </c>
      <c r="F3030" t="str" cm="1">
        <f t="array" ref="F3030">IF(A3030=MAX(IF(ROUND($B$2:$B$3722,4)=ROUND(B3030,4),$A$2:$A$3722)),"Efficient","Inefficient")</f>
        <v>Inefficient</v>
      </c>
    </row>
    <row r="3031" spans="1:6" x14ac:dyDescent="0.25">
      <c r="A3031" cm="1">
        <f t="array" ref="A3031">INDEX('Portfolio Weights Returns'!$B$9:$BJ$69,
INT((ROW(A3030)-1)/COLUMNS('Portfolio Weights Returns'!$B$9:$BJ$69))+1,MOD(ROW(A3030)-1,COLUMNS('Portfolio Weights Returns'!$B$9:$BJ$69))+1)</f>
        <v>-6.0159216152692267E-4</v>
      </c>
      <c r="B3031">
        <v>2.3199999999999998E-2</v>
      </c>
      <c r="C3031" s="59">
        <v>-0.05</v>
      </c>
      <c r="D3031" s="59">
        <v>-0.19</v>
      </c>
      <c r="E3031" s="60">
        <f t="shared" si="47"/>
        <v>1.24</v>
      </c>
      <c r="F3031" t="str" cm="1">
        <f t="array" ref="F3031">IF(A3031=MAX(IF(ROUND($B$2:$B$3722,4)=ROUND(B3031,4),$A$2:$A$3722)),"Efficient","Inefficient")</f>
        <v>Inefficient</v>
      </c>
    </row>
    <row r="3032" spans="1:6" x14ac:dyDescent="0.25">
      <c r="A3032" cm="1">
        <f t="array" ref="A3032">INDEX('Portfolio Weights Returns'!$B$9:$BJ$69,
INT((ROW(A3031)-1)/COLUMNS('Portfolio Weights Returns'!$B$9:$BJ$69))+1,MOD(ROW(A3031)-1,COLUMNS('Portfolio Weights Returns'!$B$9:$BJ$69))+1)</f>
        <v>-5.9481098756024352E-4</v>
      </c>
      <c r="B3032">
        <v>2.3199999999999998E-2</v>
      </c>
      <c r="C3032" s="59">
        <v>-0.06</v>
      </c>
      <c r="D3032" s="59">
        <v>-0.18</v>
      </c>
      <c r="E3032" s="60">
        <f t="shared" si="47"/>
        <v>1.24</v>
      </c>
      <c r="F3032" t="str" cm="1">
        <f t="array" ref="F3032">IF(A3032=MAX(IF(ROUND($B$2:$B$3722,4)=ROUND(B3032,4),$A$2:$A$3722)),"Efficient","Inefficient")</f>
        <v>Inefficient</v>
      </c>
    </row>
    <row r="3033" spans="1:6" x14ac:dyDescent="0.25">
      <c r="A3033" cm="1">
        <f t="array" ref="A3033">INDEX('Portfolio Weights Returns'!$B$9:$BJ$69,
INT((ROW(A3032)-1)/COLUMNS('Portfolio Weights Returns'!$B$9:$BJ$69))+1,MOD(ROW(A3032)-1,COLUMNS('Portfolio Weights Returns'!$B$9:$BJ$69))+1)</f>
        <v>-5.8802981359356449E-4</v>
      </c>
      <c r="B3033">
        <v>2.3199999999999998E-2</v>
      </c>
      <c r="C3033" s="59">
        <v>-0.09</v>
      </c>
      <c r="D3033" s="59">
        <v>-0.16</v>
      </c>
      <c r="E3033" s="60">
        <f t="shared" si="47"/>
        <v>1.25</v>
      </c>
      <c r="F3033" t="str" cm="1">
        <f t="array" ref="F3033">IF(A3033=MAX(IF(ROUND($B$2:$B$3722,4)=ROUND(B3033,4),$A$2:$A$3722)),"Efficient","Inefficient")</f>
        <v>Inefficient</v>
      </c>
    </row>
    <row r="3034" spans="1:6" x14ac:dyDescent="0.25">
      <c r="A3034" cm="1">
        <f t="array" ref="A3034">INDEX('Portfolio Weights Returns'!$B$9:$BJ$69,
INT((ROW(A3033)-1)/COLUMNS('Portfolio Weights Returns'!$B$9:$BJ$69))+1,MOD(ROW(A3033)-1,COLUMNS('Portfolio Weights Returns'!$B$9:$BJ$69))+1)</f>
        <v>-5.8124863962688534E-4</v>
      </c>
      <c r="B3034">
        <v>2.3199999999999998E-2</v>
      </c>
      <c r="C3034" s="59">
        <v>-0.1</v>
      </c>
      <c r="D3034" s="59">
        <v>-0.15</v>
      </c>
      <c r="E3034" s="60">
        <f t="shared" si="47"/>
        <v>1.25</v>
      </c>
      <c r="F3034" t="str" cm="1">
        <f t="array" ref="F3034">IF(A3034=MAX(IF(ROUND($B$2:$B$3722,4)=ROUND(B3034,4),$A$2:$A$3722)),"Efficient","Inefficient")</f>
        <v>Inefficient</v>
      </c>
    </row>
    <row r="3035" spans="1:6" x14ac:dyDescent="0.25">
      <c r="A3035" cm="1">
        <f t="array" ref="A3035">INDEX('Portfolio Weights Returns'!$B$9:$BJ$69,
INT((ROW(A3034)-1)/COLUMNS('Portfolio Weights Returns'!$B$9:$BJ$69))+1,MOD(ROW(A3034)-1,COLUMNS('Portfolio Weights Returns'!$B$9:$BJ$69))+1)</f>
        <v>-5.744674656602063E-4</v>
      </c>
      <c r="B3035">
        <v>2.3199999999999998E-2</v>
      </c>
      <c r="C3035" s="59">
        <v>-0.14000000000000001</v>
      </c>
      <c r="D3035" s="59">
        <v>-0.12</v>
      </c>
      <c r="E3035" s="60">
        <f t="shared" si="47"/>
        <v>1.2600000000000002</v>
      </c>
      <c r="F3035" t="str" cm="1">
        <f t="array" ref="F3035">IF(A3035=MAX(IF(ROUND($B$2:$B$3722,4)=ROUND(B3035,4),$A$2:$A$3722)),"Efficient","Inefficient")</f>
        <v>Inefficient</v>
      </c>
    </row>
    <row r="3036" spans="1:6" x14ac:dyDescent="0.25">
      <c r="A3036" cm="1">
        <f t="array" ref="A3036">INDEX('Portfolio Weights Returns'!$B$9:$BJ$69,
INT((ROW(A3035)-1)/COLUMNS('Portfolio Weights Returns'!$B$9:$BJ$69))+1,MOD(ROW(A3035)-1,COLUMNS('Portfolio Weights Returns'!$B$9:$BJ$69))+1)</f>
        <v>-5.6768629169352716E-4</v>
      </c>
      <c r="B3036">
        <v>2.3199999999999998E-2</v>
      </c>
      <c r="C3036" s="59">
        <v>-0.15</v>
      </c>
      <c r="D3036" s="59">
        <v>-0.11</v>
      </c>
      <c r="E3036" s="60">
        <f t="shared" si="47"/>
        <v>1.26</v>
      </c>
      <c r="F3036" t="str" cm="1">
        <f t="array" ref="F3036">IF(A3036=MAX(IF(ROUND($B$2:$B$3722,4)=ROUND(B3036,4),$A$2:$A$3722)),"Efficient","Inefficient")</f>
        <v>Inefficient</v>
      </c>
    </row>
    <row r="3037" spans="1:6" x14ac:dyDescent="0.25">
      <c r="A3037" cm="1">
        <f t="array" ref="A3037">INDEX('Portfolio Weights Returns'!$B$9:$BJ$69,
INT((ROW(A3036)-1)/COLUMNS('Portfolio Weights Returns'!$B$9:$BJ$69))+1,MOD(ROW(A3036)-1,COLUMNS('Portfolio Weights Returns'!$B$9:$BJ$69))+1)</f>
        <v>-5.6090511772684802E-4</v>
      </c>
      <c r="B3037">
        <v>2.3199999999999998E-2</v>
      </c>
      <c r="C3037" s="59">
        <v>-0.16</v>
      </c>
      <c r="D3037" s="59">
        <v>-0.1</v>
      </c>
      <c r="E3037" s="60">
        <f t="shared" si="47"/>
        <v>1.26</v>
      </c>
      <c r="F3037" t="str" cm="1">
        <f t="array" ref="F3037">IF(A3037=MAX(IF(ROUND($B$2:$B$3722,4)=ROUND(B3037,4),$A$2:$A$3722)),"Efficient","Inefficient")</f>
        <v>Inefficient</v>
      </c>
    </row>
    <row r="3038" spans="1:6" x14ac:dyDescent="0.25">
      <c r="A3038" cm="1">
        <f t="array" ref="A3038">INDEX('Portfolio Weights Returns'!$B$9:$BJ$69,
INT((ROW(A3037)-1)/COLUMNS('Portfolio Weights Returns'!$B$9:$BJ$69))+1,MOD(ROW(A3037)-1,COLUMNS('Portfolio Weights Returns'!$B$9:$BJ$69))+1)</f>
        <v>-5.5412394376016887E-4</v>
      </c>
      <c r="B3038">
        <v>2.3199999999999998E-2</v>
      </c>
      <c r="C3038" s="59">
        <v>-0.17</v>
      </c>
      <c r="D3038" s="59">
        <v>-0.09</v>
      </c>
      <c r="E3038" s="60">
        <f t="shared" si="47"/>
        <v>1.26</v>
      </c>
      <c r="F3038" t="str" cm="1">
        <f t="array" ref="F3038">IF(A3038=MAX(IF(ROUND($B$2:$B$3722,4)=ROUND(B3038,4),$A$2:$A$3722)),"Efficient","Inefficient")</f>
        <v>Inefficient</v>
      </c>
    </row>
    <row r="3039" spans="1:6" x14ac:dyDescent="0.25">
      <c r="A3039" cm="1">
        <f t="array" ref="A3039">INDEX('Portfolio Weights Returns'!$B$9:$BJ$69,
INT((ROW(A3038)-1)/COLUMNS('Portfolio Weights Returns'!$B$9:$BJ$69))+1,MOD(ROW(A3038)-1,COLUMNS('Portfolio Weights Returns'!$B$9:$BJ$69))+1)</f>
        <v>-5.4734276979348994E-4</v>
      </c>
      <c r="B3039">
        <v>2.3199999999999998E-2</v>
      </c>
      <c r="C3039" s="59">
        <v>-0.18</v>
      </c>
      <c r="D3039" s="59">
        <v>-0.08</v>
      </c>
      <c r="E3039" s="60">
        <f t="shared" si="47"/>
        <v>1.26</v>
      </c>
      <c r="F3039" t="str" cm="1">
        <f t="array" ref="F3039">IF(A3039=MAX(IF(ROUND($B$2:$B$3722,4)=ROUND(B3039,4),$A$2:$A$3722)),"Efficient","Inefficient")</f>
        <v>Inefficient</v>
      </c>
    </row>
    <row r="3040" spans="1:6" x14ac:dyDescent="0.25">
      <c r="A3040" cm="1">
        <f t="array" ref="A3040">INDEX('Portfolio Weights Returns'!$B$9:$BJ$69,
INT((ROW(A3039)-1)/COLUMNS('Portfolio Weights Returns'!$B$9:$BJ$69))+1,MOD(ROW(A3039)-1,COLUMNS('Portfolio Weights Returns'!$B$9:$BJ$69))+1)</f>
        <v>-5.4056159582681091E-4</v>
      </c>
      <c r="B3040">
        <v>2.3199999999999998E-2</v>
      </c>
      <c r="C3040" s="59">
        <v>-0.19</v>
      </c>
      <c r="D3040" s="59">
        <v>-7.0000000000000007E-2</v>
      </c>
      <c r="E3040" s="60">
        <f t="shared" si="47"/>
        <v>1.26</v>
      </c>
      <c r="F3040" t="str" cm="1">
        <f t="array" ref="F3040">IF(A3040=MAX(IF(ROUND($B$2:$B$3722,4)=ROUND(B3040,4),$A$2:$A$3722)),"Efficient","Inefficient")</f>
        <v>Inefficient</v>
      </c>
    </row>
    <row r="3041" spans="1:6" x14ac:dyDescent="0.25">
      <c r="A3041" cm="1">
        <f t="array" ref="A3041">INDEX('Portfolio Weights Returns'!$B$9:$BJ$69,
INT((ROW(A3040)-1)/COLUMNS('Portfolio Weights Returns'!$B$9:$BJ$69))+1,MOD(ROW(A3040)-1,COLUMNS('Portfolio Weights Returns'!$B$9:$BJ$69))+1)</f>
        <v>-5.3378042186013176E-4</v>
      </c>
      <c r="B3041">
        <v>2.3199999999999998E-2</v>
      </c>
      <c r="C3041" s="59">
        <v>-0.2</v>
      </c>
      <c r="D3041" s="59">
        <v>-0.06</v>
      </c>
      <c r="E3041" s="60">
        <f t="shared" si="47"/>
        <v>1.26</v>
      </c>
      <c r="F3041" t="str" cm="1">
        <f t="array" ref="F3041">IF(A3041=MAX(IF(ROUND($B$2:$B$3722,4)=ROUND(B3041,4),$A$2:$A$3722)),"Efficient","Inefficient")</f>
        <v>Inefficient</v>
      </c>
    </row>
    <row r="3042" spans="1:6" x14ac:dyDescent="0.25">
      <c r="A3042" cm="1">
        <f t="array" ref="A3042">INDEX('Portfolio Weights Returns'!$B$9:$BJ$69,
INT((ROW(A3041)-1)/COLUMNS('Portfolio Weights Returns'!$B$9:$BJ$69))+1,MOD(ROW(A3041)-1,COLUMNS('Portfolio Weights Returns'!$B$9:$BJ$69))+1)</f>
        <v>-5.2699924789345262E-4</v>
      </c>
      <c r="B3042">
        <v>2.3199999999999998E-2</v>
      </c>
      <c r="C3042" s="59">
        <v>-0.21</v>
      </c>
      <c r="D3042" s="59">
        <v>-0.05</v>
      </c>
      <c r="E3042" s="60">
        <f t="shared" si="47"/>
        <v>1.26</v>
      </c>
      <c r="F3042" t="str" cm="1">
        <f t="array" ref="F3042">IF(A3042=MAX(IF(ROUND($B$2:$B$3722,4)=ROUND(B3042,4),$A$2:$A$3722)),"Efficient","Inefficient")</f>
        <v>Inefficient</v>
      </c>
    </row>
    <row r="3043" spans="1:6" x14ac:dyDescent="0.25">
      <c r="A3043" cm="1">
        <f t="array" ref="A3043">INDEX('Portfolio Weights Returns'!$B$9:$BJ$69,
INT((ROW(A3042)-1)/COLUMNS('Portfolio Weights Returns'!$B$9:$BJ$69))+1,MOD(ROW(A3042)-1,COLUMNS('Portfolio Weights Returns'!$B$9:$BJ$69))+1)</f>
        <v>-5.2021807392677358E-4</v>
      </c>
      <c r="B3043">
        <v>2.3199999999999998E-2</v>
      </c>
      <c r="C3043" s="59">
        <v>-0.22</v>
      </c>
      <c r="D3043" s="59">
        <v>-0.04</v>
      </c>
      <c r="E3043" s="60">
        <f t="shared" si="47"/>
        <v>1.26</v>
      </c>
      <c r="F3043" t="str" cm="1">
        <f t="array" ref="F3043">IF(A3043=MAX(IF(ROUND($B$2:$B$3722,4)=ROUND(B3043,4),$A$2:$A$3722)),"Efficient","Inefficient")</f>
        <v>Inefficient</v>
      </c>
    </row>
    <row r="3044" spans="1:6" x14ac:dyDescent="0.25">
      <c r="A3044" cm="1">
        <f t="array" ref="A3044">INDEX('Portfolio Weights Returns'!$B$9:$BJ$69,
INT((ROW(A3043)-1)/COLUMNS('Portfolio Weights Returns'!$B$9:$BJ$69))+1,MOD(ROW(A3043)-1,COLUMNS('Portfolio Weights Returns'!$B$9:$BJ$69))+1)</f>
        <v>-5.1343689996009444E-4</v>
      </c>
      <c r="B3044">
        <v>2.3199999999999998E-2</v>
      </c>
      <c r="C3044" s="59">
        <v>-0.23</v>
      </c>
      <c r="D3044" s="59">
        <v>-0.03</v>
      </c>
      <c r="E3044" s="60">
        <f t="shared" si="47"/>
        <v>1.26</v>
      </c>
      <c r="F3044" t="str" cm="1">
        <f t="array" ref="F3044">IF(A3044=MAX(IF(ROUND($B$2:$B$3722,4)=ROUND(B3044,4),$A$2:$A$3722)),"Efficient","Inefficient")</f>
        <v>Inefficient</v>
      </c>
    </row>
    <row r="3045" spans="1:6" x14ac:dyDescent="0.25">
      <c r="A3045" cm="1">
        <f t="array" ref="A3045">INDEX('Portfolio Weights Returns'!$B$9:$BJ$69,
INT((ROW(A3044)-1)/COLUMNS('Portfolio Weights Returns'!$B$9:$BJ$69))+1,MOD(ROW(A3044)-1,COLUMNS('Portfolio Weights Returns'!$B$9:$BJ$69))+1)</f>
        <v>-5.0665572599341529E-4</v>
      </c>
      <c r="B3045">
        <v>2.3199999999999998E-2</v>
      </c>
      <c r="C3045" s="59">
        <v>-0.24</v>
      </c>
      <c r="D3045" s="59">
        <v>-0.02</v>
      </c>
      <c r="E3045" s="60">
        <f t="shared" si="47"/>
        <v>1.26</v>
      </c>
      <c r="F3045" t="str" cm="1">
        <f t="array" ref="F3045">IF(A3045=MAX(IF(ROUND($B$2:$B$3722,4)=ROUND(B3045,4),$A$2:$A$3722)),"Efficient","Inefficient")</f>
        <v>Inefficient</v>
      </c>
    </row>
    <row r="3046" spans="1:6" x14ac:dyDescent="0.25">
      <c r="A3046" cm="1">
        <f t="array" ref="A3046">INDEX('Portfolio Weights Returns'!$B$9:$BJ$69,
INT((ROW(A3045)-1)/COLUMNS('Portfolio Weights Returns'!$B$9:$BJ$69))+1,MOD(ROW(A3045)-1,COLUMNS('Portfolio Weights Returns'!$B$9:$BJ$69))+1)</f>
        <v>-4.9987455202673615E-4</v>
      </c>
      <c r="B3046">
        <v>2.3199999999999998E-2</v>
      </c>
      <c r="C3046" s="59">
        <v>-0.25</v>
      </c>
      <c r="D3046" s="59">
        <v>-0.01</v>
      </c>
      <c r="E3046" s="60">
        <f t="shared" si="47"/>
        <v>1.26</v>
      </c>
      <c r="F3046" t="str" cm="1">
        <f t="array" ref="F3046">IF(A3046=MAX(IF(ROUND($B$2:$B$3722,4)=ROUND(B3046,4),$A$2:$A$3722)),"Efficient","Inefficient")</f>
        <v>Inefficient</v>
      </c>
    </row>
    <row r="3047" spans="1:6" x14ac:dyDescent="0.25">
      <c r="A3047" cm="1">
        <f t="array" ref="A3047">INDEX('Portfolio Weights Returns'!$B$9:$BJ$69,
INT((ROW(A3046)-1)/COLUMNS('Portfolio Weights Returns'!$B$9:$BJ$69))+1,MOD(ROW(A3046)-1,COLUMNS('Portfolio Weights Returns'!$B$9:$BJ$69))+1)</f>
        <v>-4.9309337806005701E-4</v>
      </c>
      <c r="B3047">
        <v>2.3199999999999998E-2</v>
      </c>
      <c r="C3047" s="59">
        <v>-0.27</v>
      </c>
      <c r="D3047" s="59">
        <v>0.02</v>
      </c>
      <c r="E3047" s="60">
        <f t="shared" si="47"/>
        <v>1.25</v>
      </c>
      <c r="F3047" t="str" cm="1">
        <f t="array" ref="F3047">IF(A3047=MAX(IF(ROUND($B$2:$B$3722,4)=ROUND(B3047,4),$A$2:$A$3722)),"Efficient","Inefficient")</f>
        <v>Inefficient</v>
      </c>
    </row>
    <row r="3048" spans="1:6" x14ac:dyDescent="0.25">
      <c r="A3048" cm="1">
        <f t="array" ref="A3048">INDEX('Portfolio Weights Returns'!$B$9:$BJ$69,
INT((ROW(A3047)-1)/COLUMNS('Portfolio Weights Returns'!$B$9:$BJ$69))+1,MOD(ROW(A3047)-1,COLUMNS('Portfolio Weights Returns'!$B$9:$BJ$69))+1)</f>
        <v>-4.8631220409337721E-4</v>
      </c>
      <c r="B3048">
        <v>2.3199999999999998E-2</v>
      </c>
      <c r="C3048" s="59">
        <v>-0.28000000000000003</v>
      </c>
      <c r="D3048" s="59">
        <v>0.03</v>
      </c>
      <c r="E3048" s="60">
        <f t="shared" si="47"/>
        <v>1.25</v>
      </c>
      <c r="F3048" t="str" cm="1">
        <f t="array" ref="F3048">IF(A3048=MAX(IF(ROUND($B$2:$B$3722,4)=ROUND(B3048,4),$A$2:$A$3722)),"Efficient","Inefficient")</f>
        <v>Inefficient</v>
      </c>
    </row>
    <row r="3049" spans="1:6" x14ac:dyDescent="0.25">
      <c r="A3049" cm="1">
        <f t="array" ref="A3049">INDEX('Portfolio Weights Returns'!$B$9:$BJ$69,
INT((ROW(A3048)-1)/COLUMNS('Portfolio Weights Returns'!$B$9:$BJ$69))+1,MOD(ROW(A3048)-1,COLUMNS('Portfolio Weights Returns'!$B$9:$BJ$69))+1)</f>
        <v>-4.7953103012669812E-4</v>
      </c>
      <c r="B3049">
        <v>2.3199999999999998E-2</v>
      </c>
      <c r="C3049" s="59">
        <v>-0.28999999999999998</v>
      </c>
      <c r="D3049" s="59">
        <v>0.05</v>
      </c>
      <c r="E3049" s="60">
        <f t="shared" si="47"/>
        <v>1.24</v>
      </c>
      <c r="F3049" t="str" cm="1">
        <f t="array" ref="F3049">IF(A3049=MAX(IF(ROUND($B$2:$B$3722,4)=ROUND(B3049,4),$A$2:$A$3722)),"Efficient","Inefficient")</f>
        <v>Inefficient</v>
      </c>
    </row>
    <row r="3050" spans="1:6" x14ac:dyDescent="0.25">
      <c r="A3050" cm="1">
        <f t="array" ref="A3050">INDEX('Portfolio Weights Returns'!$B$9:$BJ$69,
INT((ROW(A3049)-1)/COLUMNS('Portfolio Weights Returns'!$B$9:$BJ$69))+1,MOD(ROW(A3049)-1,COLUMNS('Portfolio Weights Returns'!$B$9:$BJ$69))+1)</f>
        <v>-4.7274985616001914E-4</v>
      </c>
      <c r="B3050">
        <v>2.3199999999999998E-2</v>
      </c>
      <c r="C3050" s="59">
        <v>-0.3</v>
      </c>
      <c r="D3050" s="59">
        <v>0.06</v>
      </c>
      <c r="E3050" s="60">
        <f t="shared" si="47"/>
        <v>1.24</v>
      </c>
      <c r="F3050" t="str" cm="1">
        <f t="array" ref="F3050">IF(A3050=MAX(IF(ROUND($B$2:$B$3722,4)=ROUND(B3050,4),$A$2:$A$3722)),"Efficient","Inefficient")</f>
        <v>Efficient</v>
      </c>
    </row>
    <row r="3051" spans="1:6" x14ac:dyDescent="0.25">
      <c r="A3051" cm="1">
        <f t="array" ref="A3051">INDEX('Portfolio Weights Returns'!$B$9:$BJ$69,
INT((ROW(A3050)-1)/COLUMNS('Portfolio Weights Returns'!$B$9:$BJ$69))+1,MOD(ROW(A3050)-1,COLUMNS('Portfolio Weights Returns'!$B$9:$BJ$69))+1)</f>
        <v>-4.6596868219333999E-4</v>
      </c>
      <c r="B3051">
        <v>2.3300000000000001E-2</v>
      </c>
      <c r="C3051" s="59">
        <v>0.12</v>
      </c>
      <c r="D3051" s="59">
        <v>-0.3</v>
      </c>
      <c r="E3051" s="60">
        <f t="shared" si="47"/>
        <v>1.1800000000000002</v>
      </c>
      <c r="F3051" t="str" cm="1">
        <f t="array" ref="F3051">IF(A3051=MAX(IF(ROUND($B$2:$B$3722,4)=ROUND(B3051,4),$A$2:$A$3722)),"Efficient","Inefficient")</f>
        <v>Efficient</v>
      </c>
    </row>
    <row r="3052" spans="1:6" x14ac:dyDescent="0.25">
      <c r="A3052" cm="1">
        <f t="array" ref="A3052">INDEX('Portfolio Weights Returns'!$B$9:$BJ$69,
INT((ROW(A3051)-1)/COLUMNS('Portfolio Weights Returns'!$B$9:$BJ$69))+1,MOD(ROW(A3051)-1,COLUMNS('Portfolio Weights Returns'!$B$9:$BJ$69))+1)</f>
        <v>-8.662649123486317E-4</v>
      </c>
      <c r="B3052">
        <v>2.3300000000000001E-2</v>
      </c>
      <c r="C3052" s="59">
        <v>0.1</v>
      </c>
      <c r="D3052" s="59">
        <v>-0.28999999999999998</v>
      </c>
      <c r="E3052" s="60">
        <f t="shared" si="47"/>
        <v>1.19</v>
      </c>
      <c r="F3052" t="str" cm="1">
        <f t="array" ref="F3052">IF(A3052=MAX(IF(ROUND($B$2:$B$3722,4)=ROUND(B3052,4),$A$2:$A$3722)),"Efficient","Inefficient")</f>
        <v>Inefficient</v>
      </c>
    </row>
    <row r="3053" spans="1:6" x14ac:dyDescent="0.25">
      <c r="A3053" cm="1">
        <f t="array" ref="A3053">INDEX('Portfolio Weights Returns'!$B$9:$BJ$69,
INT((ROW(A3052)-1)/COLUMNS('Portfolio Weights Returns'!$B$9:$BJ$69))+1,MOD(ROW(A3052)-1,COLUMNS('Portfolio Weights Returns'!$B$9:$BJ$69))+1)</f>
        <v>-8.5948373838195266E-4</v>
      </c>
      <c r="B3053">
        <v>2.3300000000000001E-2</v>
      </c>
      <c r="C3053" s="59">
        <v>0.05</v>
      </c>
      <c r="D3053" s="59">
        <v>-0.26</v>
      </c>
      <c r="E3053" s="60">
        <f t="shared" si="47"/>
        <v>1.21</v>
      </c>
      <c r="F3053" t="str" cm="1">
        <f t="array" ref="F3053">IF(A3053=MAX(IF(ROUND($B$2:$B$3722,4)=ROUND(B3053,4),$A$2:$A$3722)),"Efficient","Inefficient")</f>
        <v>Inefficient</v>
      </c>
    </row>
    <row r="3054" spans="1:6" x14ac:dyDescent="0.25">
      <c r="A3054" cm="1">
        <f t="array" ref="A3054">INDEX('Portfolio Weights Returns'!$B$9:$BJ$69,
INT((ROW(A3053)-1)/COLUMNS('Portfolio Weights Returns'!$B$9:$BJ$69))+1,MOD(ROW(A3053)-1,COLUMNS('Portfolio Weights Returns'!$B$9:$BJ$69))+1)</f>
        <v>-8.5270256441527352E-4</v>
      </c>
      <c r="B3054">
        <v>2.3300000000000001E-2</v>
      </c>
      <c r="C3054" s="59">
        <v>0.02</v>
      </c>
      <c r="D3054" s="59">
        <v>-0.24</v>
      </c>
      <c r="E3054" s="60">
        <f t="shared" si="47"/>
        <v>1.22</v>
      </c>
      <c r="F3054" t="str" cm="1">
        <f t="array" ref="F3054">IF(A3054=MAX(IF(ROUND($B$2:$B$3722,4)=ROUND(B3054,4),$A$2:$A$3722)),"Efficient","Inefficient")</f>
        <v>Inefficient</v>
      </c>
    </row>
    <row r="3055" spans="1:6" x14ac:dyDescent="0.25">
      <c r="A3055" cm="1">
        <f t="array" ref="A3055">INDEX('Portfolio Weights Returns'!$B$9:$BJ$69,
INT((ROW(A3054)-1)/COLUMNS('Portfolio Weights Returns'!$B$9:$BJ$69))+1,MOD(ROW(A3054)-1,COLUMNS('Portfolio Weights Returns'!$B$9:$BJ$69))+1)</f>
        <v>-8.4592139044859438E-4</v>
      </c>
      <c r="B3055">
        <v>2.3300000000000001E-2</v>
      </c>
      <c r="C3055" s="59">
        <v>0</v>
      </c>
      <c r="D3055" s="59">
        <v>-0.23</v>
      </c>
      <c r="E3055" s="60">
        <f t="shared" si="47"/>
        <v>1.23</v>
      </c>
      <c r="F3055" t="str" cm="1">
        <f t="array" ref="F3055">IF(A3055=MAX(IF(ROUND($B$2:$B$3722,4)=ROUND(B3055,4),$A$2:$A$3722)),"Efficient","Inefficient")</f>
        <v>Inefficient</v>
      </c>
    </row>
    <row r="3056" spans="1:6" x14ac:dyDescent="0.25">
      <c r="A3056" cm="1">
        <f t="array" ref="A3056">INDEX('Portfolio Weights Returns'!$B$9:$BJ$69,
INT((ROW(A3055)-1)/COLUMNS('Portfolio Weights Returns'!$B$9:$BJ$69))+1,MOD(ROW(A3055)-1,COLUMNS('Portfolio Weights Returns'!$B$9:$BJ$69))+1)</f>
        <v>-8.3914021648191534E-4</v>
      </c>
      <c r="B3056">
        <v>2.3300000000000001E-2</v>
      </c>
      <c r="C3056" s="59">
        <v>-0.01</v>
      </c>
      <c r="D3056" s="59">
        <v>-0.22</v>
      </c>
      <c r="E3056" s="60">
        <f t="shared" si="47"/>
        <v>1.23</v>
      </c>
      <c r="F3056" t="str" cm="1">
        <f t="array" ref="F3056">IF(A3056=MAX(IF(ROUND($B$2:$B$3722,4)=ROUND(B3056,4),$A$2:$A$3722)),"Efficient","Inefficient")</f>
        <v>Inefficient</v>
      </c>
    </row>
    <row r="3057" spans="1:6" x14ac:dyDescent="0.25">
      <c r="A3057" cm="1">
        <f t="array" ref="A3057">INDEX('Portfolio Weights Returns'!$B$9:$BJ$69,
INT((ROW(A3056)-1)/COLUMNS('Portfolio Weights Returns'!$B$9:$BJ$69))+1,MOD(ROW(A3056)-1,COLUMNS('Portfolio Weights Returns'!$B$9:$BJ$69))+1)</f>
        <v>-8.323590425152362E-4</v>
      </c>
      <c r="B3057">
        <v>2.3300000000000001E-2</v>
      </c>
      <c r="C3057" s="59">
        <v>-0.03</v>
      </c>
      <c r="D3057" s="59">
        <v>-0.21</v>
      </c>
      <c r="E3057" s="60">
        <f t="shared" si="47"/>
        <v>1.24</v>
      </c>
      <c r="F3057" t="str" cm="1">
        <f t="array" ref="F3057">IF(A3057=MAX(IF(ROUND($B$2:$B$3722,4)=ROUND(B3057,4),$A$2:$A$3722)),"Efficient","Inefficient")</f>
        <v>Inefficient</v>
      </c>
    </row>
    <row r="3058" spans="1:6" x14ac:dyDescent="0.25">
      <c r="A3058" cm="1">
        <f t="array" ref="A3058">INDEX('Portfolio Weights Returns'!$B$9:$BJ$69,
INT((ROW(A3057)-1)/COLUMNS('Portfolio Weights Returns'!$B$9:$BJ$69))+1,MOD(ROW(A3057)-1,COLUMNS('Portfolio Weights Returns'!$B$9:$BJ$69))+1)</f>
        <v>-8.2557786854855716E-4</v>
      </c>
      <c r="B3058">
        <v>2.3300000000000001E-2</v>
      </c>
      <c r="C3058" s="59">
        <v>-0.04</v>
      </c>
      <c r="D3058" s="59">
        <v>-0.2</v>
      </c>
      <c r="E3058" s="60">
        <f t="shared" si="47"/>
        <v>1.24</v>
      </c>
      <c r="F3058" t="str" cm="1">
        <f t="array" ref="F3058">IF(A3058=MAX(IF(ROUND($B$2:$B$3722,4)=ROUND(B3058,4),$A$2:$A$3722)),"Efficient","Inefficient")</f>
        <v>Inefficient</v>
      </c>
    </row>
    <row r="3059" spans="1:6" x14ac:dyDescent="0.25">
      <c r="A3059" cm="1">
        <f t="array" ref="A3059">INDEX('Portfolio Weights Returns'!$B$9:$BJ$69,
INT((ROW(A3058)-1)/COLUMNS('Portfolio Weights Returns'!$B$9:$BJ$69))+1,MOD(ROW(A3058)-1,COLUMNS('Portfolio Weights Returns'!$B$9:$BJ$69))+1)</f>
        <v>-8.1879669458187791E-4</v>
      </c>
      <c r="B3059">
        <v>2.3300000000000001E-2</v>
      </c>
      <c r="C3059" s="59">
        <v>-7.0000000000000007E-2</v>
      </c>
      <c r="D3059" s="59">
        <v>-0.18</v>
      </c>
      <c r="E3059" s="60">
        <f t="shared" si="47"/>
        <v>1.25</v>
      </c>
      <c r="F3059" t="str" cm="1">
        <f t="array" ref="F3059">IF(A3059=MAX(IF(ROUND($B$2:$B$3722,4)=ROUND(B3059,4),$A$2:$A$3722)),"Efficient","Inefficient")</f>
        <v>Inefficient</v>
      </c>
    </row>
    <row r="3060" spans="1:6" x14ac:dyDescent="0.25">
      <c r="A3060" cm="1">
        <f t="array" ref="A3060">INDEX('Portfolio Weights Returns'!$B$9:$BJ$69,
INT((ROW(A3059)-1)/COLUMNS('Portfolio Weights Returns'!$B$9:$BJ$69))+1,MOD(ROW(A3059)-1,COLUMNS('Portfolio Weights Returns'!$B$9:$BJ$69))+1)</f>
        <v>-8.1201552061519887E-4</v>
      </c>
      <c r="B3060">
        <v>2.3300000000000001E-2</v>
      </c>
      <c r="C3060" s="59">
        <v>-0.08</v>
      </c>
      <c r="D3060" s="59">
        <v>-0.17</v>
      </c>
      <c r="E3060" s="60">
        <f t="shared" si="47"/>
        <v>1.25</v>
      </c>
      <c r="F3060" t="str" cm="1">
        <f t="array" ref="F3060">IF(A3060=MAX(IF(ROUND($B$2:$B$3722,4)=ROUND(B3060,4),$A$2:$A$3722)),"Efficient","Inefficient")</f>
        <v>Inefficient</v>
      </c>
    </row>
    <row r="3061" spans="1:6" x14ac:dyDescent="0.25">
      <c r="A3061" cm="1">
        <f t="array" ref="A3061">INDEX('Portfolio Weights Returns'!$B$9:$BJ$69,
INT((ROW(A3060)-1)/COLUMNS('Portfolio Weights Returns'!$B$9:$BJ$69))+1,MOD(ROW(A3060)-1,COLUMNS('Portfolio Weights Returns'!$B$9:$BJ$69))+1)</f>
        <v>-8.0523434664851973E-4</v>
      </c>
      <c r="B3061">
        <v>2.3300000000000001E-2</v>
      </c>
      <c r="C3061" s="59">
        <v>-0.11</v>
      </c>
      <c r="D3061" s="59">
        <v>-0.15</v>
      </c>
      <c r="E3061" s="60">
        <f t="shared" si="47"/>
        <v>1.26</v>
      </c>
      <c r="F3061" t="str" cm="1">
        <f t="array" ref="F3061">IF(A3061=MAX(IF(ROUND($B$2:$B$3722,4)=ROUND(B3061,4),$A$2:$A$3722)),"Efficient","Inefficient")</f>
        <v>Inefficient</v>
      </c>
    </row>
    <row r="3062" spans="1:6" x14ac:dyDescent="0.25">
      <c r="A3062" cm="1">
        <f t="array" ref="A3062">INDEX('Portfolio Weights Returns'!$B$9:$BJ$69,
INT((ROW(A3061)-1)/COLUMNS('Portfolio Weights Returns'!$B$9:$BJ$69))+1,MOD(ROW(A3061)-1,COLUMNS('Portfolio Weights Returns'!$B$9:$BJ$69))+1)</f>
        <v>-7.9845317268184069E-4</v>
      </c>
      <c r="B3062">
        <v>2.3300000000000001E-2</v>
      </c>
      <c r="C3062" s="59">
        <v>-0.12</v>
      </c>
      <c r="D3062" s="59">
        <v>-0.14000000000000001</v>
      </c>
      <c r="E3062" s="60">
        <f t="shared" si="47"/>
        <v>1.2600000000000002</v>
      </c>
      <c r="F3062" t="str" cm="1">
        <f t="array" ref="F3062">IF(A3062=MAX(IF(ROUND($B$2:$B$3722,4)=ROUND(B3062,4),$A$2:$A$3722)),"Efficient","Inefficient")</f>
        <v>Inefficient</v>
      </c>
    </row>
    <row r="3063" spans="1:6" x14ac:dyDescent="0.25">
      <c r="A3063" cm="1">
        <f t="array" ref="A3063">INDEX('Portfolio Weights Returns'!$B$9:$BJ$69,
INT((ROW(A3062)-1)/COLUMNS('Portfolio Weights Returns'!$B$9:$BJ$69))+1,MOD(ROW(A3062)-1,COLUMNS('Portfolio Weights Returns'!$B$9:$BJ$69))+1)</f>
        <v>-7.9167199871516155E-4</v>
      </c>
      <c r="B3063">
        <v>2.3300000000000001E-2</v>
      </c>
      <c r="C3063" s="59">
        <v>-0.13</v>
      </c>
      <c r="D3063" s="59">
        <v>-0.13</v>
      </c>
      <c r="E3063" s="60">
        <f t="shared" si="47"/>
        <v>1.2599999999999998</v>
      </c>
      <c r="F3063" t="str" cm="1">
        <f t="array" ref="F3063">IF(A3063=MAX(IF(ROUND($B$2:$B$3722,4)=ROUND(B3063,4),$A$2:$A$3722)),"Efficient","Inefficient")</f>
        <v>Inefficient</v>
      </c>
    </row>
    <row r="3064" spans="1:6" x14ac:dyDescent="0.25">
      <c r="A3064" cm="1">
        <f t="array" ref="A3064">INDEX('Portfolio Weights Returns'!$B$9:$BJ$69,
INT((ROW(A3063)-1)/COLUMNS('Portfolio Weights Returns'!$B$9:$BJ$69))+1,MOD(ROW(A3063)-1,COLUMNS('Portfolio Weights Returns'!$B$9:$BJ$69))+1)</f>
        <v>-7.8489082474848251E-4</v>
      </c>
      <c r="B3064">
        <v>2.3300000000000001E-2</v>
      </c>
      <c r="C3064" s="59">
        <v>-0.18</v>
      </c>
      <c r="D3064" s="59">
        <v>-0.09</v>
      </c>
      <c r="E3064" s="60">
        <f t="shared" si="47"/>
        <v>1.27</v>
      </c>
      <c r="F3064" t="str" cm="1">
        <f t="array" ref="F3064">IF(A3064=MAX(IF(ROUND($B$2:$B$3722,4)=ROUND(B3064,4),$A$2:$A$3722)),"Efficient","Inefficient")</f>
        <v>Inefficient</v>
      </c>
    </row>
    <row r="3065" spans="1:6" x14ac:dyDescent="0.25">
      <c r="A3065" cm="1">
        <f t="array" ref="A3065">INDEX('Portfolio Weights Returns'!$B$9:$BJ$69,
INT((ROW(A3064)-1)/COLUMNS('Portfolio Weights Returns'!$B$9:$BJ$69))+1,MOD(ROW(A3064)-1,COLUMNS('Portfolio Weights Returns'!$B$9:$BJ$69))+1)</f>
        <v>-7.7810965078180337E-4</v>
      </c>
      <c r="B3065">
        <v>2.3300000000000001E-2</v>
      </c>
      <c r="C3065" s="59">
        <v>-0.19</v>
      </c>
      <c r="D3065" s="59">
        <v>-0.08</v>
      </c>
      <c r="E3065" s="60">
        <f t="shared" si="47"/>
        <v>1.27</v>
      </c>
      <c r="F3065" t="str" cm="1">
        <f t="array" ref="F3065">IF(A3065=MAX(IF(ROUND($B$2:$B$3722,4)=ROUND(B3065,4),$A$2:$A$3722)),"Efficient","Inefficient")</f>
        <v>Inefficient</v>
      </c>
    </row>
    <row r="3066" spans="1:6" x14ac:dyDescent="0.25">
      <c r="A3066" cm="1">
        <f t="array" ref="A3066">INDEX('Portfolio Weights Returns'!$B$9:$BJ$69,
INT((ROW(A3065)-1)/COLUMNS('Portfolio Weights Returns'!$B$9:$BJ$69))+1,MOD(ROW(A3065)-1,COLUMNS('Portfolio Weights Returns'!$B$9:$BJ$69))+1)</f>
        <v>-7.7132847681512411E-4</v>
      </c>
      <c r="B3066">
        <v>2.3300000000000001E-2</v>
      </c>
      <c r="C3066" s="59">
        <v>-0.2</v>
      </c>
      <c r="D3066" s="59">
        <v>-7.0000000000000007E-2</v>
      </c>
      <c r="E3066" s="60">
        <f t="shared" si="47"/>
        <v>1.27</v>
      </c>
      <c r="F3066" t="str" cm="1">
        <f t="array" ref="F3066">IF(A3066=MAX(IF(ROUND($B$2:$B$3722,4)=ROUND(B3066,4),$A$2:$A$3722)),"Efficient","Inefficient")</f>
        <v>Inefficient</v>
      </c>
    </row>
    <row r="3067" spans="1:6" x14ac:dyDescent="0.25">
      <c r="A3067" cm="1">
        <f t="array" ref="A3067">INDEX('Portfolio Weights Returns'!$B$9:$BJ$69,
INT((ROW(A3066)-1)/COLUMNS('Portfolio Weights Returns'!$B$9:$BJ$69))+1,MOD(ROW(A3066)-1,COLUMNS('Portfolio Weights Returns'!$B$9:$BJ$69))+1)</f>
        <v>-7.6454730284844508E-4</v>
      </c>
      <c r="B3067">
        <v>2.3300000000000001E-2</v>
      </c>
      <c r="C3067" s="59">
        <v>-0.21</v>
      </c>
      <c r="D3067" s="59">
        <v>-0.06</v>
      </c>
      <c r="E3067" s="60">
        <f t="shared" si="47"/>
        <v>1.27</v>
      </c>
      <c r="F3067" t="str" cm="1">
        <f t="array" ref="F3067">IF(A3067=MAX(IF(ROUND($B$2:$B$3722,4)=ROUND(B3067,4),$A$2:$A$3722)),"Efficient","Inefficient")</f>
        <v>Inefficient</v>
      </c>
    </row>
    <row r="3068" spans="1:6" x14ac:dyDescent="0.25">
      <c r="A3068" cm="1">
        <f t="array" ref="A3068">INDEX('Portfolio Weights Returns'!$B$9:$BJ$69,
INT((ROW(A3067)-1)/COLUMNS('Portfolio Weights Returns'!$B$9:$BJ$69))+1,MOD(ROW(A3067)-1,COLUMNS('Portfolio Weights Returns'!$B$9:$BJ$69))+1)</f>
        <v>-7.5776612888176615E-4</v>
      </c>
      <c r="B3068">
        <v>2.3300000000000001E-2</v>
      </c>
      <c r="C3068" s="59">
        <v>-0.22</v>
      </c>
      <c r="D3068" s="59">
        <v>-0.05</v>
      </c>
      <c r="E3068" s="60">
        <f t="shared" si="47"/>
        <v>1.27</v>
      </c>
      <c r="F3068" t="str" cm="1">
        <f t="array" ref="F3068">IF(A3068=MAX(IF(ROUND($B$2:$B$3722,4)=ROUND(B3068,4),$A$2:$A$3722)),"Efficient","Inefficient")</f>
        <v>Inefficient</v>
      </c>
    </row>
    <row r="3069" spans="1:6" x14ac:dyDescent="0.25">
      <c r="A3069" cm="1">
        <f t="array" ref="A3069">INDEX('Portfolio Weights Returns'!$B$9:$BJ$69,
INT((ROW(A3068)-1)/COLUMNS('Portfolio Weights Returns'!$B$9:$BJ$69))+1,MOD(ROW(A3068)-1,COLUMNS('Portfolio Weights Returns'!$B$9:$BJ$69))+1)</f>
        <v>-7.509849549150869E-4</v>
      </c>
      <c r="B3069">
        <v>2.3300000000000001E-2</v>
      </c>
      <c r="C3069" s="59">
        <v>-0.26</v>
      </c>
      <c r="D3069" s="59">
        <v>0</v>
      </c>
      <c r="E3069" s="60">
        <f t="shared" si="47"/>
        <v>1.26</v>
      </c>
      <c r="F3069" t="str" cm="1">
        <f t="array" ref="F3069">IF(A3069=MAX(IF(ROUND($B$2:$B$3722,4)=ROUND(B3069,4),$A$2:$A$3722)),"Efficient","Inefficient")</f>
        <v>Inefficient</v>
      </c>
    </row>
    <row r="3070" spans="1:6" x14ac:dyDescent="0.25">
      <c r="A3070" cm="1">
        <f t="array" ref="A3070">INDEX('Portfolio Weights Returns'!$B$9:$BJ$69,
INT((ROW(A3069)-1)/COLUMNS('Portfolio Weights Returns'!$B$9:$BJ$69))+1,MOD(ROW(A3069)-1,COLUMNS('Portfolio Weights Returns'!$B$9:$BJ$69))+1)</f>
        <v>-7.4420378094840786E-4</v>
      </c>
      <c r="B3070">
        <v>2.3300000000000001E-2</v>
      </c>
      <c r="C3070" s="59">
        <v>-0.27</v>
      </c>
      <c r="D3070" s="59">
        <v>0.01</v>
      </c>
      <c r="E3070" s="60">
        <f t="shared" si="47"/>
        <v>1.26</v>
      </c>
      <c r="F3070" t="str" cm="1">
        <f t="array" ref="F3070">IF(A3070=MAX(IF(ROUND($B$2:$B$3722,4)=ROUND(B3070,4),$A$2:$A$3722)),"Efficient","Inefficient")</f>
        <v>Inefficient</v>
      </c>
    </row>
    <row r="3071" spans="1:6" x14ac:dyDescent="0.25">
      <c r="A3071" cm="1">
        <f t="array" ref="A3071">INDEX('Portfolio Weights Returns'!$B$9:$BJ$69,
INT((ROW(A3070)-1)/COLUMNS('Portfolio Weights Returns'!$B$9:$BJ$69))+1,MOD(ROW(A3070)-1,COLUMNS('Portfolio Weights Returns'!$B$9:$BJ$69))+1)</f>
        <v>-7.3742260698172882E-4</v>
      </c>
      <c r="B3071">
        <v>2.3300000000000001E-2</v>
      </c>
      <c r="C3071" s="59">
        <v>-0.28000000000000003</v>
      </c>
      <c r="D3071" s="59">
        <v>0.02</v>
      </c>
      <c r="E3071" s="60">
        <f t="shared" si="47"/>
        <v>1.26</v>
      </c>
      <c r="F3071" t="str" cm="1">
        <f t="array" ref="F3071">IF(A3071=MAX(IF(ROUND($B$2:$B$3722,4)=ROUND(B3071,4),$A$2:$A$3722)),"Efficient","Inefficient")</f>
        <v>Inefficient</v>
      </c>
    </row>
    <row r="3072" spans="1:6" x14ac:dyDescent="0.25">
      <c r="A3072" cm="1">
        <f t="array" ref="A3072">INDEX('Portfolio Weights Returns'!$B$9:$BJ$69,
INT((ROW(A3071)-1)/COLUMNS('Portfolio Weights Returns'!$B$9:$BJ$69))+1,MOD(ROW(A3071)-1,COLUMNS('Portfolio Weights Returns'!$B$9:$BJ$69))+1)</f>
        <v>-7.3064143301504968E-4</v>
      </c>
      <c r="B3072">
        <v>2.3300000000000001E-2</v>
      </c>
      <c r="C3072" s="59">
        <v>-0.28999999999999998</v>
      </c>
      <c r="D3072" s="59">
        <v>0.04</v>
      </c>
      <c r="E3072" s="60">
        <f t="shared" si="47"/>
        <v>1.25</v>
      </c>
      <c r="F3072" t="str" cm="1">
        <f t="array" ref="F3072">IF(A3072=MAX(IF(ROUND($B$2:$B$3722,4)=ROUND(B3072,4),$A$2:$A$3722)),"Efficient","Inefficient")</f>
        <v>Inefficient</v>
      </c>
    </row>
    <row r="3073" spans="1:6" x14ac:dyDescent="0.25">
      <c r="A3073" cm="1">
        <f t="array" ref="A3073">INDEX('Portfolio Weights Returns'!$B$9:$BJ$69,
INT((ROW(A3072)-1)/COLUMNS('Portfolio Weights Returns'!$B$9:$BJ$69))+1,MOD(ROW(A3072)-1,COLUMNS('Portfolio Weights Returns'!$B$9:$BJ$69))+1)</f>
        <v>-7.2386025904837064E-4</v>
      </c>
      <c r="B3073">
        <v>2.3300000000000001E-2</v>
      </c>
      <c r="C3073" s="59">
        <v>-0.3</v>
      </c>
      <c r="D3073" s="59">
        <v>0.05</v>
      </c>
      <c r="E3073" s="60">
        <f t="shared" si="47"/>
        <v>1.25</v>
      </c>
      <c r="F3073" t="str" cm="1">
        <f t="array" ref="F3073">IF(A3073=MAX(IF(ROUND($B$2:$B$3722,4)=ROUND(B3073,4),$A$2:$A$3722)),"Efficient","Inefficient")</f>
        <v>Inefficient</v>
      </c>
    </row>
    <row r="3074" spans="1:6" x14ac:dyDescent="0.25">
      <c r="A3074" cm="1">
        <f t="array" ref="A3074">INDEX('Portfolio Weights Returns'!$B$9:$BJ$69,
INT((ROW(A3073)-1)/COLUMNS('Portfolio Weights Returns'!$B$9:$BJ$69))+1,MOD(ROW(A3073)-1,COLUMNS('Portfolio Weights Returns'!$B$9:$BJ$69))+1)</f>
        <v>-7.170790850816915E-4</v>
      </c>
      <c r="B3074">
        <v>2.3400000000000001E-2</v>
      </c>
      <c r="C3074" s="59">
        <v>0.11</v>
      </c>
      <c r="D3074" s="59">
        <v>-0.3</v>
      </c>
      <c r="E3074" s="60">
        <f t="shared" ref="E3074:E3137" si="48">1-D3074-C3074</f>
        <v>1.19</v>
      </c>
      <c r="F3074" t="str" cm="1">
        <f t="array" ref="F3074">IF(A3074=MAX(IF(ROUND($B$2:$B$3722,4)=ROUND(B3074,4),$A$2:$A$3722)),"Efficient","Inefficient")</f>
        <v>Inefficient</v>
      </c>
    </row>
    <row r="3075" spans="1:6" x14ac:dyDescent="0.25">
      <c r="A3075" cm="1">
        <f t="array" ref="A3075">INDEX('Portfolio Weights Returns'!$B$9:$BJ$69,
INT((ROW(A3074)-1)/COLUMNS('Portfolio Weights Returns'!$B$9:$BJ$69))+1,MOD(ROW(A3074)-1,COLUMNS('Portfolio Weights Returns'!$B$9:$BJ$69))+1)</f>
        <v>-7.1029791111501235E-4</v>
      </c>
      <c r="B3075">
        <v>2.3400000000000001E-2</v>
      </c>
      <c r="C3075" s="59">
        <v>0.08</v>
      </c>
      <c r="D3075" s="59">
        <v>-0.28000000000000003</v>
      </c>
      <c r="E3075" s="60">
        <f t="shared" si="48"/>
        <v>1.2</v>
      </c>
      <c r="F3075" t="str" cm="1">
        <f t="array" ref="F3075">IF(A3075=MAX(IF(ROUND($B$2:$B$3722,4)=ROUND(B3075,4),$A$2:$A$3722)),"Efficient","Inefficient")</f>
        <v>Inefficient</v>
      </c>
    </row>
    <row r="3076" spans="1:6" x14ac:dyDescent="0.25">
      <c r="A3076" cm="1">
        <f t="array" ref="A3076">INDEX('Portfolio Weights Returns'!$B$9:$BJ$69,
INT((ROW(A3075)-1)/COLUMNS('Portfolio Weights Returns'!$B$9:$BJ$69))+1,MOD(ROW(A3075)-1,COLUMNS('Portfolio Weights Returns'!$B$9:$BJ$69))+1)</f>
        <v>-7.0351673714833332E-4</v>
      </c>
      <c r="B3076">
        <v>2.3400000000000001E-2</v>
      </c>
      <c r="C3076" s="59">
        <v>0.06</v>
      </c>
      <c r="D3076" s="59">
        <v>-0.27</v>
      </c>
      <c r="E3076" s="60">
        <f t="shared" si="48"/>
        <v>1.21</v>
      </c>
      <c r="F3076" t="str" cm="1">
        <f t="array" ref="F3076">IF(A3076=MAX(IF(ROUND($B$2:$B$3722,4)=ROUND(B3076,4),$A$2:$A$3722)),"Efficient","Inefficient")</f>
        <v>Inefficient</v>
      </c>
    </row>
    <row r="3077" spans="1:6" x14ac:dyDescent="0.25">
      <c r="A3077" cm="1">
        <f t="array" ref="A3077">INDEX('Portfolio Weights Returns'!$B$9:$BJ$69,
INT((ROW(A3076)-1)/COLUMNS('Portfolio Weights Returns'!$B$9:$BJ$69))+1,MOD(ROW(A3076)-1,COLUMNS('Portfolio Weights Returns'!$B$9:$BJ$69))+1)</f>
        <v>-6.9673556318165407E-4</v>
      </c>
      <c r="B3077">
        <v>2.3400000000000001E-2</v>
      </c>
      <c r="C3077" s="59">
        <v>0.04</v>
      </c>
      <c r="D3077" s="59">
        <v>-0.26</v>
      </c>
      <c r="E3077" s="60">
        <f t="shared" si="48"/>
        <v>1.22</v>
      </c>
      <c r="F3077" t="str" cm="1">
        <f t="array" ref="F3077">IF(A3077=MAX(IF(ROUND($B$2:$B$3722,4)=ROUND(B3077,4),$A$2:$A$3722)),"Efficient","Inefficient")</f>
        <v>Inefficient</v>
      </c>
    </row>
    <row r="3078" spans="1:6" x14ac:dyDescent="0.25">
      <c r="A3078" cm="1">
        <f t="array" ref="A3078">INDEX('Portfolio Weights Returns'!$B$9:$BJ$69,
INT((ROW(A3077)-1)/COLUMNS('Portfolio Weights Returns'!$B$9:$BJ$69))+1,MOD(ROW(A3077)-1,COLUMNS('Portfolio Weights Returns'!$B$9:$BJ$69))+1)</f>
        <v>-6.8995438921497503E-4</v>
      </c>
      <c r="B3078">
        <v>2.3400000000000001E-2</v>
      </c>
      <c r="C3078" s="59">
        <v>0.03</v>
      </c>
      <c r="D3078" s="59">
        <v>-0.25</v>
      </c>
      <c r="E3078" s="60">
        <f t="shared" si="48"/>
        <v>1.22</v>
      </c>
      <c r="F3078" t="str" cm="1">
        <f t="array" ref="F3078">IF(A3078=MAX(IF(ROUND($B$2:$B$3722,4)=ROUND(B3078,4),$A$2:$A$3722)),"Efficient","Inefficient")</f>
        <v>Inefficient</v>
      </c>
    </row>
    <row r="3079" spans="1:6" x14ac:dyDescent="0.25">
      <c r="A3079" cm="1">
        <f t="array" ref="A3079">INDEX('Portfolio Weights Returns'!$B$9:$BJ$69,
INT((ROW(A3078)-1)/COLUMNS('Portfolio Weights Returns'!$B$9:$BJ$69))+1,MOD(ROW(A3078)-1,COLUMNS('Portfolio Weights Returns'!$B$9:$BJ$69))+1)</f>
        <v>-6.8317321524829589E-4</v>
      </c>
      <c r="B3079">
        <v>2.3400000000000001E-2</v>
      </c>
      <c r="C3079" s="59">
        <v>0.01</v>
      </c>
      <c r="D3079" s="59">
        <v>-0.24</v>
      </c>
      <c r="E3079" s="60">
        <f t="shared" si="48"/>
        <v>1.23</v>
      </c>
      <c r="F3079" t="str" cm="1">
        <f t="array" ref="F3079">IF(A3079=MAX(IF(ROUND($B$2:$B$3722,4)=ROUND(B3079,4),$A$2:$A$3722)),"Efficient","Inefficient")</f>
        <v>Inefficient</v>
      </c>
    </row>
    <row r="3080" spans="1:6" x14ac:dyDescent="0.25">
      <c r="A3080" cm="1">
        <f t="array" ref="A3080">INDEX('Portfolio Weights Returns'!$B$9:$BJ$69,
INT((ROW(A3079)-1)/COLUMNS('Portfolio Weights Returns'!$B$9:$BJ$69))+1,MOD(ROW(A3079)-1,COLUMNS('Portfolio Weights Returns'!$B$9:$BJ$69))+1)</f>
        <v>-6.7639204128161685E-4</v>
      </c>
      <c r="B3080">
        <v>2.3400000000000001E-2</v>
      </c>
      <c r="C3080" s="59">
        <v>-0.02</v>
      </c>
      <c r="D3080" s="59">
        <v>-0.22</v>
      </c>
      <c r="E3080" s="60">
        <f t="shared" si="48"/>
        <v>1.24</v>
      </c>
      <c r="F3080" t="str" cm="1">
        <f t="array" ref="F3080">IF(A3080=MAX(IF(ROUND($B$2:$B$3722,4)=ROUND(B3080,4),$A$2:$A$3722)),"Efficient","Inefficient")</f>
        <v>Inefficient</v>
      </c>
    </row>
    <row r="3081" spans="1:6" x14ac:dyDescent="0.25">
      <c r="A3081" cm="1">
        <f t="array" ref="A3081">INDEX('Portfolio Weights Returns'!$B$9:$BJ$69,
INT((ROW(A3080)-1)/COLUMNS('Portfolio Weights Returns'!$B$9:$BJ$69))+1,MOD(ROW(A3080)-1,COLUMNS('Portfolio Weights Returns'!$B$9:$BJ$69))+1)</f>
        <v>-6.696108673149377E-4</v>
      </c>
      <c r="B3081">
        <v>2.3400000000000001E-2</v>
      </c>
      <c r="C3081" s="59">
        <v>-0.05</v>
      </c>
      <c r="D3081" s="59">
        <v>-0.2</v>
      </c>
      <c r="E3081" s="60">
        <f t="shared" si="48"/>
        <v>1.25</v>
      </c>
      <c r="F3081" t="str" cm="1">
        <f t="array" ref="F3081">IF(A3081=MAX(IF(ROUND($B$2:$B$3722,4)=ROUND(B3081,4),$A$2:$A$3722)),"Efficient","Inefficient")</f>
        <v>Inefficient</v>
      </c>
    </row>
    <row r="3082" spans="1:6" x14ac:dyDescent="0.25">
      <c r="A3082" cm="1">
        <f t="array" ref="A3082">INDEX('Portfolio Weights Returns'!$B$9:$BJ$69,
INT((ROW(A3081)-1)/COLUMNS('Portfolio Weights Returns'!$B$9:$BJ$69))+1,MOD(ROW(A3081)-1,COLUMNS('Portfolio Weights Returns'!$B$9:$BJ$69))+1)</f>
        <v>-6.6282969334825867E-4</v>
      </c>
      <c r="B3082">
        <v>2.3400000000000001E-2</v>
      </c>
      <c r="C3082" s="59">
        <v>-0.06</v>
      </c>
      <c r="D3082" s="59">
        <v>-0.19</v>
      </c>
      <c r="E3082" s="60">
        <f t="shared" si="48"/>
        <v>1.25</v>
      </c>
      <c r="F3082" t="str" cm="1">
        <f t="array" ref="F3082">IF(A3082=MAX(IF(ROUND($B$2:$B$3722,4)=ROUND(B3082,4),$A$2:$A$3722)),"Efficient","Inefficient")</f>
        <v>Inefficient</v>
      </c>
    </row>
    <row r="3083" spans="1:6" x14ac:dyDescent="0.25">
      <c r="A3083" cm="1">
        <f t="array" ref="A3083">INDEX('Portfolio Weights Returns'!$B$9:$BJ$69,
INT((ROW(A3082)-1)/COLUMNS('Portfolio Weights Returns'!$B$9:$BJ$69))+1,MOD(ROW(A3082)-1,COLUMNS('Portfolio Weights Returns'!$B$9:$BJ$69))+1)</f>
        <v>-6.5604851938157952E-4</v>
      </c>
      <c r="B3083">
        <v>2.3400000000000001E-2</v>
      </c>
      <c r="C3083" s="59">
        <v>-0.09</v>
      </c>
      <c r="D3083" s="59">
        <v>-0.17</v>
      </c>
      <c r="E3083" s="60">
        <f t="shared" si="48"/>
        <v>1.26</v>
      </c>
      <c r="F3083" t="str" cm="1">
        <f t="array" ref="F3083">IF(A3083=MAX(IF(ROUND($B$2:$B$3722,4)=ROUND(B3083,4),$A$2:$A$3722)),"Efficient","Inefficient")</f>
        <v>Inefficient</v>
      </c>
    </row>
    <row r="3084" spans="1:6" x14ac:dyDescent="0.25">
      <c r="A3084" cm="1">
        <f t="array" ref="A3084">INDEX('Portfolio Weights Returns'!$B$9:$BJ$69,
INT((ROW(A3083)-1)/COLUMNS('Portfolio Weights Returns'!$B$9:$BJ$69))+1,MOD(ROW(A3083)-1,COLUMNS('Portfolio Weights Returns'!$B$9:$BJ$69))+1)</f>
        <v>-6.4926734541490027E-4</v>
      </c>
      <c r="B3084">
        <v>2.3400000000000001E-2</v>
      </c>
      <c r="C3084" s="59">
        <v>-0.1</v>
      </c>
      <c r="D3084" s="59">
        <v>-0.16</v>
      </c>
      <c r="E3084" s="60">
        <f t="shared" si="48"/>
        <v>1.26</v>
      </c>
      <c r="F3084" t="str" cm="1">
        <f t="array" ref="F3084">IF(A3084=MAX(IF(ROUND($B$2:$B$3722,4)=ROUND(B3084,4),$A$2:$A$3722)),"Efficient","Inefficient")</f>
        <v>Inefficient</v>
      </c>
    </row>
    <row r="3085" spans="1:6" x14ac:dyDescent="0.25">
      <c r="A3085" cm="1">
        <f t="array" ref="A3085">INDEX('Portfolio Weights Returns'!$B$9:$BJ$69,
INT((ROW(A3084)-1)/COLUMNS('Portfolio Weights Returns'!$B$9:$BJ$69))+1,MOD(ROW(A3084)-1,COLUMNS('Portfolio Weights Returns'!$B$9:$BJ$69))+1)</f>
        <v>-6.4248617144822124E-4</v>
      </c>
      <c r="B3085">
        <v>2.3400000000000001E-2</v>
      </c>
      <c r="C3085" s="59">
        <v>-0.14000000000000001</v>
      </c>
      <c r="D3085" s="59">
        <v>-0.13</v>
      </c>
      <c r="E3085" s="60">
        <f t="shared" si="48"/>
        <v>1.27</v>
      </c>
      <c r="F3085" t="str" cm="1">
        <f t="array" ref="F3085">IF(A3085=MAX(IF(ROUND($B$2:$B$3722,4)=ROUND(B3085,4),$A$2:$A$3722)),"Efficient","Inefficient")</f>
        <v>Inefficient</v>
      </c>
    </row>
    <row r="3086" spans="1:6" x14ac:dyDescent="0.25">
      <c r="A3086" cm="1">
        <f t="array" ref="A3086">INDEX('Portfolio Weights Returns'!$B$9:$BJ$69,
INT((ROW(A3085)-1)/COLUMNS('Portfolio Weights Returns'!$B$9:$BJ$69))+1,MOD(ROW(A3085)-1,COLUMNS('Portfolio Weights Returns'!$B$9:$BJ$69))+1)</f>
        <v>-6.3570499748154209E-4</v>
      </c>
      <c r="B3086">
        <v>2.3400000000000001E-2</v>
      </c>
      <c r="C3086" s="59">
        <v>-0.15</v>
      </c>
      <c r="D3086" s="59">
        <v>-0.12</v>
      </c>
      <c r="E3086" s="60">
        <f t="shared" si="48"/>
        <v>1.27</v>
      </c>
      <c r="F3086" t="str" cm="1">
        <f t="array" ref="F3086">IF(A3086=MAX(IF(ROUND($B$2:$B$3722,4)=ROUND(B3086,4),$A$2:$A$3722)),"Efficient","Inefficient")</f>
        <v>Inefficient</v>
      </c>
    </row>
    <row r="3087" spans="1:6" x14ac:dyDescent="0.25">
      <c r="A3087" cm="1">
        <f t="array" ref="A3087">INDEX('Portfolio Weights Returns'!$B$9:$BJ$69,
INT((ROW(A3086)-1)/COLUMNS('Portfolio Weights Returns'!$B$9:$BJ$69))+1,MOD(ROW(A3086)-1,COLUMNS('Portfolio Weights Returns'!$B$9:$BJ$69))+1)</f>
        <v>-6.2892382351486305E-4</v>
      </c>
      <c r="B3087">
        <v>2.3400000000000001E-2</v>
      </c>
      <c r="C3087" s="59">
        <v>-0.16</v>
      </c>
      <c r="D3087" s="59">
        <v>-0.11</v>
      </c>
      <c r="E3087" s="60">
        <f t="shared" si="48"/>
        <v>1.27</v>
      </c>
      <c r="F3087" t="str" cm="1">
        <f t="array" ref="F3087">IF(A3087=MAX(IF(ROUND($B$2:$B$3722,4)=ROUND(B3087,4),$A$2:$A$3722)),"Efficient","Inefficient")</f>
        <v>Inefficient</v>
      </c>
    </row>
    <row r="3088" spans="1:6" x14ac:dyDescent="0.25">
      <c r="A3088" cm="1">
        <f t="array" ref="A3088">INDEX('Portfolio Weights Returns'!$B$9:$BJ$69,
INT((ROW(A3087)-1)/COLUMNS('Portfolio Weights Returns'!$B$9:$BJ$69))+1,MOD(ROW(A3087)-1,COLUMNS('Portfolio Weights Returns'!$B$9:$BJ$69))+1)</f>
        <v>-6.2214264954818391E-4</v>
      </c>
      <c r="B3088">
        <v>2.3400000000000001E-2</v>
      </c>
      <c r="C3088" s="59">
        <v>-0.17</v>
      </c>
      <c r="D3088" s="59">
        <v>-0.1</v>
      </c>
      <c r="E3088" s="60">
        <f t="shared" si="48"/>
        <v>1.27</v>
      </c>
      <c r="F3088" t="str" cm="1">
        <f t="array" ref="F3088">IF(A3088=MAX(IF(ROUND($B$2:$B$3722,4)=ROUND(B3088,4),$A$2:$A$3722)),"Efficient","Inefficient")</f>
        <v>Inefficient</v>
      </c>
    </row>
    <row r="3089" spans="1:6" x14ac:dyDescent="0.25">
      <c r="A3089" cm="1">
        <f t="array" ref="A3089">INDEX('Portfolio Weights Returns'!$B$9:$BJ$69,
INT((ROW(A3088)-1)/COLUMNS('Portfolio Weights Returns'!$B$9:$BJ$69))+1,MOD(ROW(A3088)-1,COLUMNS('Portfolio Weights Returns'!$B$9:$BJ$69))+1)</f>
        <v>-6.1536147558150487E-4</v>
      </c>
      <c r="B3089">
        <v>2.3400000000000001E-2</v>
      </c>
      <c r="C3089" s="59">
        <v>-0.23</v>
      </c>
      <c r="D3089" s="59">
        <v>-0.04</v>
      </c>
      <c r="E3089" s="60">
        <f t="shared" si="48"/>
        <v>1.27</v>
      </c>
      <c r="F3089" t="str" cm="1">
        <f t="array" ref="F3089">IF(A3089=MAX(IF(ROUND($B$2:$B$3722,4)=ROUND(B3089,4),$A$2:$A$3722)),"Efficient","Inefficient")</f>
        <v>Inefficient</v>
      </c>
    </row>
    <row r="3090" spans="1:6" x14ac:dyDescent="0.25">
      <c r="A3090" cm="1">
        <f t="array" ref="A3090">INDEX('Portfolio Weights Returns'!$B$9:$BJ$69,
INT((ROW(A3089)-1)/COLUMNS('Portfolio Weights Returns'!$B$9:$BJ$69))+1,MOD(ROW(A3089)-1,COLUMNS('Portfolio Weights Returns'!$B$9:$BJ$69))+1)</f>
        <v>-6.0858030161482573E-4</v>
      </c>
      <c r="B3090">
        <v>2.3400000000000001E-2</v>
      </c>
      <c r="C3090" s="59">
        <v>-0.24</v>
      </c>
      <c r="D3090" s="59">
        <v>-0.03</v>
      </c>
      <c r="E3090" s="60">
        <f t="shared" si="48"/>
        <v>1.27</v>
      </c>
      <c r="F3090" t="str" cm="1">
        <f t="array" ref="F3090">IF(A3090=MAX(IF(ROUND($B$2:$B$3722,4)=ROUND(B3090,4),$A$2:$A$3722)),"Efficient","Inefficient")</f>
        <v>Inefficient</v>
      </c>
    </row>
    <row r="3091" spans="1:6" x14ac:dyDescent="0.25">
      <c r="A3091" cm="1">
        <f t="array" ref="A3091">INDEX('Portfolio Weights Returns'!$B$9:$BJ$69,
INT((ROW(A3090)-1)/COLUMNS('Portfolio Weights Returns'!$B$9:$BJ$69))+1,MOD(ROW(A3090)-1,COLUMNS('Portfolio Weights Returns'!$B$9:$BJ$69))+1)</f>
        <v>-6.0179912764814659E-4</v>
      </c>
      <c r="B3091">
        <v>2.3400000000000001E-2</v>
      </c>
      <c r="C3091" s="59">
        <v>-0.25</v>
      </c>
      <c r="D3091" s="59">
        <v>-0.02</v>
      </c>
      <c r="E3091" s="60">
        <f t="shared" si="48"/>
        <v>1.27</v>
      </c>
      <c r="F3091" t="str" cm="1">
        <f t="array" ref="F3091">IF(A3091=MAX(IF(ROUND($B$2:$B$3722,4)=ROUND(B3091,4),$A$2:$A$3722)),"Efficient","Inefficient")</f>
        <v>Inefficient</v>
      </c>
    </row>
    <row r="3092" spans="1:6" x14ac:dyDescent="0.25">
      <c r="A3092" cm="1">
        <f t="array" ref="A3092">INDEX('Portfolio Weights Returns'!$B$9:$BJ$69,
INT((ROW(A3091)-1)/COLUMNS('Portfolio Weights Returns'!$B$9:$BJ$69))+1,MOD(ROW(A3091)-1,COLUMNS('Portfolio Weights Returns'!$B$9:$BJ$69))+1)</f>
        <v>-5.9501795368146744E-4</v>
      </c>
      <c r="B3092">
        <v>2.3400000000000001E-2</v>
      </c>
      <c r="C3092" s="59">
        <v>-0.26</v>
      </c>
      <c r="D3092" s="59">
        <v>-0.01</v>
      </c>
      <c r="E3092" s="60">
        <f t="shared" si="48"/>
        <v>1.27</v>
      </c>
      <c r="F3092" t="str" cm="1">
        <f t="array" ref="F3092">IF(A3092=MAX(IF(ROUND($B$2:$B$3722,4)=ROUND(B3092,4),$A$2:$A$3722)),"Efficient","Inefficient")</f>
        <v>Inefficient</v>
      </c>
    </row>
    <row r="3093" spans="1:6" x14ac:dyDescent="0.25">
      <c r="A3093" cm="1">
        <f t="array" ref="A3093">INDEX('Portfolio Weights Returns'!$B$9:$BJ$69,
INT((ROW(A3092)-1)/COLUMNS('Portfolio Weights Returns'!$B$9:$BJ$69))+1,MOD(ROW(A3092)-1,COLUMNS('Portfolio Weights Returns'!$B$9:$BJ$69))+1)</f>
        <v>-5.8823677971478841E-4</v>
      </c>
      <c r="B3093">
        <v>2.3400000000000001E-2</v>
      </c>
      <c r="C3093" s="59">
        <v>-0.27</v>
      </c>
      <c r="D3093" s="59">
        <v>0</v>
      </c>
      <c r="E3093" s="60">
        <f t="shared" si="48"/>
        <v>1.27</v>
      </c>
      <c r="F3093" t="str" cm="1">
        <f t="array" ref="F3093">IF(A3093=MAX(IF(ROUND($B$2:$B$3722,4)=ROUND(B3093,4),$A$2:$A$3722)),"Efficient","Inefficient")</f>
        <v>Inefficient</v>
      </c>
    </row>
    <row r="3094" spans="1:6" x14ac:dyDescent="0.25">
      <c r="A3094" cm="1">
        <f t="array" ref="A3094">INDEX('Portfolio Weights Returns'!$B$9:$BJ$69,
INT((ROW(A3093)-1)/COLUMNS('Portfolio Weights Returns'!$B$9:$BJ$69))+1,MOD(ROW(A3093)-1,COLUMNS('Portfolio Weights Returns'!$B$9:$BJ$69))+1)</f>
        <v>-5.8145560574810926E-4</v>
      </c>
      <c r="B3094">
        <v>2.3400000000000001E-2</v>
      </c>
      <c r="C3094" s="59">
        <v>-0.28999999999999998</v>
      </c>
      <c r="D3094" s="59">
        <v>0.03</v>
      </c>
      <c r="E3094" s="60">
        <f t="shared" si="48"/>
        <v>1.26</v>
      </c>
      <c r="F3094" t="str" cm="1">
        <f t="array" ref="F3094">IF(A3094=MAX(IF(ROUND($B$2:$B$3722,4)=ROUND(B3094,4),$A$2:$A$3722)),"Efficient","Inefficient")</f>
        <v>Inefficient</v>
      </c>
    </row>
    <row r="3095" spans="1:6" x14ac:dyDescent="0.25">
      <c r="A3095" cm="1">
        <f t="array" ref="A3095">INDEX('Portfolio Weights Returns'!$B$9:$BJ$69,
INT((ROW(A3094)-1)/COLUMNS('Portfolio Weights Returns'!$B$9:$BJ$69))+1,MOD(ROW(A3094)-1,COLUMNS('Portfolio Weights Returns'!$B$9:$BJ$69))+1)</f>
        <v>-5.7467443178143012E-4</v>
      </c>
      <c r="B3095">
        <v>2.3400000000000001E-2</v>
      </c>
      <c r="C3095" s="59">
        <v>-0.3</v>
      </c>
      <c r="D3095" s="59">
        <v>0.04</v>
      </c>
      <c r="E3095" s="60">
        <f t="shared" si="48"/>
        <v>1.26</v>
      </c>
      <c r="F3095" t="str" cm="1">
        <f t="array" ref="F3095">IF(A3095=MAX(IF(ROUND($B$2:$B$3722,4)=ROUND(B3095,4),$A$2:$A$3722)),"Efficient","Inefficient")</f>
        <v>Efficient</v>
      </c>
    </row>
    <row r="3096" spans="1:6" x14ac:dyDescent="0.25">
      <c r="A3096" cm="1">
        <f t="array" ref="A3096">INDEX('Portfolio Weights Returns'!$B$9:$BJ$69,
INT((ROW(A3095)-1)/COLUMNS('Portfolio Weights Returns'!$B$9:$BJ$69))+1,MOD(ROW(A3095)-1,COLUMNS('Portfolio Weights Returns'!$B$9:$BJ$69))+1)</f>
        <v>-5.6789325781475108E-4</v>
      </c>
      <c r="B3096">
        <v>2.35E-2</v>
      </c>
      <c r="C3096" s="59">
        <v>0.09</v>
      </c>
      <c r="D3096" s="59">
        <v>-0.28999999999999998</v>
      </c>
      <c r="E3096" s="60">
        <f t="shared" si="48"/>
        <v>1.2</v>
      </c>
      <c r="F3096" t="str" cm="1">
        <f t="array" ref="F3096">IF(A3096=MAX(IF(ROUND($B$2:$B$3722,4)=ROUND(B3096,4),$A$2:$A$3722)),"Efficient","Inefficient")</f>
        <v>Inefficient</v>
      </c>
    </row>
    <row r="3097" spans="1:6" x14ac:dyDescent="0.25">
      <c r="A3097" cm="1">
        <f t="array" ref="A3097">INDEX('Portfolio Weights Returns'!$B$9:$BJ$69,
INT((ROW(A3096)-1)/COLUMNS('Portfolio Weights Returns'!$B$9:$BJ$69))+1,MOD(ROW(A3096)-1,COLUMNS('Portfolio Weights Returns'!$B$9:$BJ$69))+1)</f>
        <v>-5.6111208384807194E-4</v>
      </c>
      <c r="B3097">
        <v>2.35E-2</v>
      </c>
      <c r="C3097" s="59">
        <v>7.0000000000000007E-2</v>
      </c>
      <c r="D3097" s="59">
        <v>-0.28000000000000003</v>
      </c>
      <c r="E3097" s="60">
        <f t="shared" si="48"/>
        <v>1.21</v>
      </c>
      <c r="F3097" t="str" cm="1">
        <f t="array" ref="F3097">IF(A3097=MAX(IF(ROUND($B$2:$B$3722,4)=ROUND(B3097,4),$A$2:$A$3722)),"Efficient","Inefficient")</f>
        <v>Inefficient</v>
      </c>
    </row>
    <row r="3098" spans="1:6" x14ac:dyDescent="0.25">
      <c r="A3098" cm="1">
        <f t="array" ref="A3098">INDEX('Portfolio Weights Returns'!$B$9:$BJ$69,
INT((ROW(A3097)-1)/COLUMNS('Portfolio Weights Returns'!$B$9:$BJ$69))+1,MOD(ROW(A3097)-1,COLUMNS('Portfolio Weights Returns'!$B$9:$BJ$69))+1)</f>
        <v>-5.5433090988139279E-4</v>
      </c>
      <c r="B3098">
        <v>2.35E-2</v>
      </c>
      <c r="C3098" s="59">
        <v>0.05</v>
      </c>
      <c r="D3098" s="59">
        <v>-0.27</v>
      </c>
      <c r="E3098" s="60">
        <f t="shared" si="48"/>
        <v>1.22</v>
      </c>
      <c r="F3098" t="str" cm="1">
        <f t="array" ref="F3098">IF(A3098=MAX(IF(ROUND($B$2:$B$3722,4)=ROUND(B3098,4),$A$2:$A$3722)),"Efficient","Inefficient")</f>
        <v>Inefficient</v>
      </c>
    </row>
    <row r="3099" spans="1:6" x14ac:dyDescent="0.25">
      <c r="A3099" cm="1">
        <f t="array" ref="A3099">INDEX('Portfolio Weights Returns'!$B$9:$BJ$69,
INT((ROW(A3098)-1)/COLUMNS('Portfolio Weights Returns'!$B$9:$BJ$69))+1,MOD(ROW(A3098)-1,COLUMNS('Portfolio Weights Returns'!$B$9:$BJ$69))+1)</f>
        <v>-5.4754973591471365E-4</v>
      </c>
      <c r="B3099">
        <v>2.35E-2</v>
      </c>
      <c r="C3099" s="59">
        <v>0.02</v>
      </c>
      <c r="D3099" s="59">
        <v>-0.25</v>
      </c>
      <c r="E3099" s="60">
        <f t="shared" si="48"/>
        <v>1.23</v>
      </c>
      <c r="F3099" t="str" cm="1">
        <f t="array" ref="F3099">IF(A3099=MAX(IF(ROUND($B$2:$B$3722,4)=ROUND(B3099,4),$A$2:$A$3722)),"Efficient","Inefficient")</f>
        <v>Inefficient</v>
      </c>
    </row>
    <row r="3100" spans="1:6" x14ac:dyDescent="0.25">
      <c r="A3100" cm="1">
        <f t="array" ref="A3100">INDEX('Portfolio Weights Returns'!$B$9:$BJ$69,
INT((ROW(A3099)-1)/COLUMNS('Portfolio Weights Returns'!$B$9:$BJ$69))+1,MOD(ROW(A3099)-1,COLUMNS('Portfolio Weights Returns'!$B$9:$BJ$69))+1)</f>
        <v>-5.4076856194803483E-4</v>
      </c>
      <c r="B3100">
        <v>2.35E-2</v>
      </c>
      <c r="C3100" s="59">
        <v>-0.01</v>
      </c>
      <c r="D3100" s="59">
        <v>-0.23</v>
      </c>
      <c r="E3100" s="60">
        <f t="shared" si="48"/>
        <v>1.24</v>
      </c>
      <c r="F3100" t="str" cm="1">
        <f t="array" ref="F3100">IF(A3100=MAX(IF(ROUND($B$2:$B$3722,4)=ROUND(B3100,4),$A$2:$A$3722)),"Efficient","Inefficient")</f>
        <v>Inefficient</v>
      </c>
    </row>
    <row r="3101" spans="1:6" x14ac:dyDescent="0.25">
      <c r="A3101" cm="1">
        <f t="array" ref="A3101">INDEX('Portfolio Weights Returns'!$B$9:$BJ$69,
INT((ROW(A3100)-1)/COLUMNS('Portfolio Weights Returns'!$B$9:$BJ$69))+1,MOD(ROW(A3100)-1,COLUMNS('Portfolio Weights Returns'!$B$9:$BJ$69))+1)</f>
        <v>-5.3398738798135568E-4</v>
      </c>
      <c r="B3101">
        <v>2.35E-2</v>
      </c>
      <c r="C3101" s="59">
        <v>-0.04</v>
      </c>
      <c r="D3101" s="59">
        <v>-0.21</v>
      </c>
      <c r="E3101" s="60">
        <f t="shared" si="48"/>
        <v>1.25</v>
      </c>
      <c r="F3101" t="str" cm="1">
        <f t="array" ref="F3101">IF(A3101=MAX(IF(ROUND($B$2:$B$3722,4)=ROUND(B3101,4),$A$2:$A$3722)),"Efficient","Inefficient")</f>
        <v>Inefficient</v>
      </c>
    </row>
    <row r="3102" spans="1:6" x14ac:dyDescent="0.25">
      <c r="A3102" cm="1">
        <f t="array" ref="A3102">INDEX('Portfolio Weights Returns'!$B$9:$BJ$69,
INT((ROW(A3101)-1)/COLUMNS('Portfolio Weights Returns'!$B$9:$BJ$69))+1,MOD(ROW(A3101)-1,COLUMNS('Portfolio Weights Returns'!$B$9:$BJ$69))+1)</f>
        <v>-5.2720621401467654E-4</v>
      </c>
      <c r="B3102">
        <v>2.35E-2</v>
      </c>
      <c r="C3102" s="59">
        <v>-7.0000000000000007E-2</v>
      </c>
      <c r="D3102" s="59">
        <v>-0.19</v>
      </c>
      <c r="E3102" s="60">
        <f t="shared" si="48"/>
        <v>1.26</v>
      </c>
      <c r="F3102" t="str" cm="1">
        <f t="array" ref="F3102">IF(A3102=MAX(IF(ROUND($B$2:$B$3722,4)=ROUND(B3102,4),$A$2:$A$3722)),"Efficient","Inefficient")</f>
        <v>Inefficient</v>
      </c>
    </row>
    <row r="3103" spans="1:6" x14ac:dyDescent="0.25">
      <c r="A3103" cm="1">
        <f t="array" ref="A3103">INDEX('Portfolio Weights Returns'!$B$9:$BJ$69,
INT((ROW(A3102)-1)/COLUMNS('Portfolio Weights Returns'!$B$9:$BJ$69))+1,MOD(ROW(A3102)-1,COLUMNS('Portfolio Weights Returns'!$B$9:$BJ$69))+1)</f>
        <v>-5.2042504004799739E-4</v>
      </c>
      <c r="B3103">
        <v>2.35E-2</v>
      </c>
      <c r="C3103" s="59">
        <v>-0.08</v>
      </c>
      <c r="D3103" s="59">
        <v>-0.18</v>
      </c>
      <c r="E3103" s="60">
        <f t="shared" si="48"/>
        <v>1.26</v>
      </c>
      <c r="F3103" t="str" cm="1">
        <f t="array" ref="F3103">IF(A3103=MAX(IF(ROUND($B$2:$B$3722,4)=ROUND(B3103,4),$A$2:$A$3722)),"Efficient","Inefficient")</f>
        <v>Inefficient</v>
      </c>
    </row>
    <row r="3104" spans="1:6" x14ac:dyDescent="0.25">
      <c r="A3104" cm="1">
        <f t="array" ref="A3104">INDEX('Portfolio Weights Returns'!$B$9:$BJ$69,
INT((ROW(A3103)-1)/COLUMNS('Portfolio Weights Returns'!$B$9:$BJ$69))+1,MOD(ROW(A3103)-1,COLUMNS('Portfolio Weights Returns'!$B$9:$BJ$69))+1)</f>
        <v>-5.1364386608131825E-4</v>
      </c>
      <c r="B3104">
        <v>2.35E-2</v>
      </c>
      <c r="C3104" s="59">
        <v>-0.11</v>
      </c>
      <c r="D3104" s="59">
        <v>-0.16</v>
      </c>
      <c r="E3104" s="60">
        <f t="shared" si="48"/>
        <v>1.27</v>
      </c>
      <c r="F3104" t="str" cm="1">
        <f t="array" ref="F3104">IF(A3104=MAX(IF(ROUND($B$2:$B$3722,4)=ROUND(B3104,4),$A$2:$A$3722)),"Efficient","Inefficient")</f>
        <v>Inefficient</v>
      </c>
    </row>
    <row r="3105" spans="1:6" x14ac:dyDescent="0.25">
      <c r="A3105" cm="1">
        <f t="array" ref="A3105">INDEX('Portfolio Weights Returns'!$B$9:$BJ$69,
INT((ROW(A3104)-1)/COLUMNS('Portfolio Weights Returns'!$B$9:$BJ$69))+1,MOD(ROW(A3104)-1,COLUMNS('Portfolio Weights Returns'!$B$9:$BJ$69))+1)</f>
        <v>-5.0686269211463921E-4</v>
      </c>
      <c r="B3105">
        <v>2.35E-2</v>
      </c>
      <c r="C3105" s="59">
        <v>-0.12</v>
      </c>
      <c r="D3105" s="59">
        <v>-0.15</v>
      </c>
      <c r="E3105" s="60">
        <f t="shared" si="48"/>
        <v>1.27</v>
      </c>
      <c r="F3105" t="str" cm="1">
        <f t="array" ref="F3105">IF(A3105=MAX(IF(ROUND($B$2:$B$3722,4)=ROUND(B3105,4),$A$2:$A$3722)),"Efficient","Inefficient")</f>
        <v>Inefficient</v>
      </c>
    </row>
    <row r="3106" spans="1:6" x14ac:dyDescent="0.25">
      <c r="A3106" cm="1">
        <f t="array" ref="A3106">INDEX('Portfolio Weights Returns'!$B$9:$BJ$69,
INT((ROW(A3105)-1)/COLUMNS('Portfolio Weights Returns'!$B$9:$BJ$69))+1,MOD(ROW(A3105)-1,COLUMNS('Portfolio Weights Returns'!$B$9:$BJ$69))+1)</f>
        <v>-5.0008151814796007E-4</v>
      </c>
      <c r="B3106">
        <v>2.35E-2</v>
      </c>
      <c r="C3106" s="59">
        <v>-0.13</v>
      </c>
      <c r="D3106" s="59">
        <v>-0.14000000000000001</v>
      </c>
      <c r="E3106" s="60">
        <f t="shared" si="48"/>
        <v>1.27</v>
      </c>
      <c r="F3106" t="str" cm="1">
        <f t="array" ref="F3106">IF(A3106=MAX(IF(ROUND($B$2:$B$3722,4)=ROUND(B3106,4),$A$2:$A$3722)),"Efficient","Inefficient")</f>
        <v>Inefficient</v>
      </c>
    </row>
    <row r="3107" spans="1:6" x14ac:dyDescent="0.25">
      <c r="A3107" cm="1">
        <f t="array" ref="A3107">INDEX('Portfolio Weights Returns'!$B$9:$BJ$69,
INT((ROW(A3106)-1)/COLUMNS('Portfolio Weights Returns'!$B$9:$BJ$69))+1,MOD(ROW(A3106)-1,COLUMNS('Portfolio Weights Returns'!$B$9:$BJ$69))+1)</f>
        <v>-4.9330034418128093E-4</v>
      </c>
      <c r="B3107">
        <v>2.35E-2</v>
      </c>
      <c r="C3107" s="59">
        <v>-0.17</v>
      </c>
      <c r="D3107" s="59">
        <v>-0.11</v>
      </c>
      <c r="E3107" s="60">
        <f t="shared" si="48"/>
        <v>1.28</v>
      </c>
      <c r="F3107" t="str" cm="1">
        <f t="array" ref="F3107">IF(A3107=MAX(IF(ROUND($B$2:$B$3722,4)=ROUND(B3107,4),$A$2:$A$3722)),"Efficient","Inefficient")</f>
        <v>Inefficient</v>
      </c>
    </row>
    <row r="3108" spans="1:6" x14ac:dyDescent="0.25">
      <c r="A3108" cm="1">
        <f t="array" ref="A3108">INDEX('Portfolio Weights Returns'!$B$9:$BJ$69,
INT((ROW(A3107)-1)/COLUMNS('Portfolio Weights Returns'!$B$9:$BJ$69))+1,MOD(ROW(A3107)-1,COLUMNS('Portfolio Weights Returns'!$B$9:$BJ$69))+1)</f>
        <v>-4.8651917021460189E-4</v>
      </c>
      <c r="B3108">
        <v>2.35E-2</v>
      </c>
      <c r="C3108" s="59">
        <v>-0.18</v>
      </c>
      <c r="D3108" s="59">
        <v>-0.1</v>
      </c>
      <c r="E3108" s="60">
        <f t="shared" si="48"/>
        <v>1.28</v>
      </c>
      <c r="F3108" t="str" cm="1">
        <f t="array" ref="F3108">IF(A3108=MAX(IF(ROUND($B$2:$B$3722,4)=ROUND(B3108,4),$A$2:$A$3722)),"Efficient","Inefficient")</f>
        <v>Inefficient</v>
      </c>
    </row>
    <row r="3109" spans="1:6" x14ac:dyDescent="0.25">
      <c r="A3109" cm="1">
        <f t="array" ref="A3109">INDEX('Portfolio Weights Returns'!$B$9:$BJ$69,
INT((ROW(A3108)-1)/COLUMNS('Portfolio Weights Returns'!$B$9:$BJ$69))+1,MOD(ROW(A3108)-1,COLUMNS('Portfolio Weights Returns'!$B$9:$BJ$69))+1)</f>
        <v>-4.7973799624792199E-4</v>
      </c>
      <c r="B3109">
        <v>2.35E-2</v>
      </c>
      <c r="C3109" s="59">
        <v>-0.19</v>
      </c>
      <c r="D3109" s="59">
        <v>-0.09</v>
      </c>
      <c r="E3109" s="60">
        <f t="shared" si="48"/>
        <v>1.28</v>
      </c>
      <c r="F3109" t="str" cm="1">
        <f t="array" ref="F3109">IF(A3109=MAX(IF(ROUND($B$2:$B$3722,4)=ROUND(B3109,4),$A$2:$A$3722)),"Efficient","Inefficient")</f>
        <v>Inefficient</v>
      </c>
    </row>
    <row r="3110" spans="1:6" x14ac:dyDescent="0.25">
      <c r="A3110" cm="1">
        <f t="array" ref="A3110">INDEX('Portfolio Weights Returns'!$B$9:$BJ$69,
INT((ROW(A3109)-1)/COLUMNS('Portfolio Weights Returns'!$B$9:$BJ$69))+1,MOD(ROW(A3109)-1,COLUMNS('Portfolio Weights Returns'!$B$9:$BJ$69))+1)</f>
        <v>-4.7295682228124284E-4</v>
      </c>
      <c r="B3110">
        <v>2.35E-2</v>
      </c>
      <c r="C3110" s="59">
        <v>-0.2</v>
      </c>
      <c r="D3110" s="59">
        <v>-0.08</v>
      </c>
      <c r="E3110" s="60">
        <f t="shared" si="48"/>
        <v>1.28</v>
      </c>
      <c r="F3110" t="str" cm="1">
        <f t="array" ref="F3110">IF(A3110=MAX(IF(ROUND($B$2:$B$3722,4)=ROUND(B3110,4),$A$2:$A$3722)),"Efficient","Inefficient")</f>
        <v>Inefficient</v>
      </c>
    </row>
    <row r="3111" spans="1:6" x14ac:dyDescent="0.25">
      <c r="A3111" cm="1">
        <f t="array" ref="A3111">INDEX('Portfolio Weights Returns'!$B$9:$BJ$69,
INT((ROW(A3110)-1)/COLUMNS('Portfolio Weights Returns'!$B$9:$BJ$69))+1,MOD(ROW(A3110)-1,COLUMNS('Portfolio Weights Returns'!$B$9:$BJ$69))+1)</f>
        <v>-4.6617564831456391E-4</v>
      </c>
      <c r="B3111">
        <v>2.35E-2</v>
      </c>
      <c r="C3111" s="59">
        <v>-0.21</v>
      </c>
      <c r="D3111" s="59">
        <v>-7.0000000000000007E-2</v>
      </c>
      <c r="E3111" s="60">
        <f t="shared" si="48"/>
        <v>1.28</v>
      </c>
      <c r="F3111" t="str" cm="1">
        <f t="array" ref="F3111">IF(A3111=MAX(IF(ROUND($B$2:$B$3722,4)=ROUND(B3111,4),$A$2:$A$3722)),"Efficient","Inefficient")</f>
        <v>Inefficient</v>
      </c>
    </row>
    <row r="3112" spans="1:6" x14ac:dyDescent="0.25">
      <c r="A3112" cm="1">
        <f t="array" ref="A3112">INDEX('Portfolio Weights Returns'!$B$9:$BJ$69,
INT((ROW(A3111)-1)/COLUMNS('Portfolio Weights Returns'!$B$9:$BJ$69))+1,MOD(ROW(A3111)-1,COLUMNS('Portfolio Weights Returns'!$B$9:$BJ$69))+1)</f>
        <v>-4.5939447434788477E-4</v>
      </c>
      <c r="B3112">
        <v>2.35E-2</v>
      </c>
      <c r="C3112" s="59">
        <v>-0.22</v>
      </c>
      <c r="D3112" s="59">
        <v>-0.06</v>
      </c>
      <c r="E3112" s="60">
        <f t="shared" si="48"/>
        <v>1.28</v>
      </c>
      <c r="F3112" t="str" cm="1">
        <f t="array" ref="F3112">IF(A3112=MAX(IF(ROUND($B$2:$B$3722,4)=ROUND(B3112,4),$A$2:$A$3722)),"Efficient","Inefficient")</f>
        <v>Efficient</v>
      </c>
    </row>
    <row r="3113" spans="1:6" x14ac:dyDescent="0.25">
      <c r="A3113" cm="1">
        <f t="array" ref="A3113">INDEX('Portfolio Weights Returns'!$B$9:$BJ$69,
INT((ROW(A3112)-1)/COLUMNS('Portfolio Weights Returns'!$B$9:$BJ$69))+1,MOD(ROW(A3112)-1,COLUMNS('Portfolio Weights Returns'!$B$9:$BJ$69))+1)</f>
        <v>-8.5969070450317648E-4</v>
      </c>
      <c r="B3113">
        <v>2.35E-2</v>
      </c>
      <c r="C3113" s="59">
        <v>-0.23</v>
      </c>
      <c r="D3113" s="59">
        <v>-0.05</v>
      </c>
      <c r="E3113" s="60">
        <f t="shared" si="48"/>
        <v>1.28</v>
      </c>
      <c r="F3113" t="str" cm="1">
        <f t="array" ref="F3113">IF(A3113=MAX(IF(ROUND($B$2:$B$3722,4)=ROUND(B3113,4),$A$2:$A$3722)),"Efficient","Inefficient")</f>
        <v>Inefficient</v>
      </c>
    </row>
    <row r="3114" spans="1:6" x14ac:dyDescent="0.25">
      <c r="A3114" cm="1">
        <f t="array" ref="A3114">INDEX('Portfolio Weights Returns'!$B$9:$BJ$69,
INT((ROW(A3113)-1)/COLUMNS('Portfolio Weights Returns'!$B$9:$BJ$69))+1,MOD(ROW(A3113)-1,COLUMNS('Portfolio Weights Returns'!$B$9:$BJ$69))+1)</f>
        <v>-8.5290953053649744E-4</v>
      </c>
      <c r="B3114">
        <v>2.35E-2</v>
      </c>
      <c r="C3114" s="59">
        <v>-0.24</v>
      </c>
      <c r="D3114" s="59">
        <v>-0.04</v>
      </c>
      <c r="E3114" s="60">
        <f t="shared" si="48"/>
        <v>1.28</v>
      </c>
      <c r="F3114" t="str" cm="1">
        <f t="array" ref="F3114">IF(A3114=MAX(IF(ROUND($B$2:$B$3722,4)=ROUND(B3114,4),$A$2:$A$3722)),"Efficient","Inefficient")</f>
        <v>Inefficient</v>
      </c>
    </row>
    <row r="3115" spans="1:6" x14ac:dyDescent="0.25">
      <c r="A3115" cm="1">
        <f t="array" ref="A3115">INDEX('Portfolio Weights Returns'!$B$9:$BJ$69,
INT((ROW(A3114)-1)/COLUMNS('Portfolio Weights Returns'!$B$9:$BJ$69))+1,MOD(ROW(A3114)-1,COLUMNS('Portfolio Weights Returns'!$B$9:$BJ$69))+1)</f>
        <v>-8.461283565698183E-4</v>
      </c>
      <c r="B3115">
        <v>2.35E-2</v>
      </c>
      <c r="C3115" s="59">
        <v>-0.25</v>
      </c>
      <c r="D3115" s="59">
        <v>-0.03</v>
      </c>
      <c r="E3115" s="60">
        <f t="shared" si="48"/>
        <v>1.28</v>
      </c>
      <c r="F3115" t="str" cm="1">
        <f t="array" ref="F3115">IF(A3115=MAX(IF(ROUND($B$2:$B$3722,4)=ROUND(B3115,4),$A$2:$A$3722)),"Efficient","Inefficient")</f>
        <v>Inefficient</v>
      </c>
    </row>
    <row r="3116" spans="1:6" x14ac:dyDescent="0.25">
      <c r="A3116" cm="1">
        <f t="array" ref="A3116">INDEX('Portfolio Weights Returns'!$B$9:$BJ$69,
INT((ROW(A3115)-1)/COLUMNS('Portfolio Weights Returns'!$B$9:$BJ$69))+1,MOD(ROW(A3115)-1,COLUMNS('Portfolio Weights Returns'!$B$9:$BJ$69))+1)</f>
        <v>-8.3934718260313926E-4</v>
      </c>
      <c r="B3116">
        <v>2.35E-2</v>
      </c>
      <c r="C3116" s="59">
        <v>-0.28000000000000003</v>
      </c>
      <c r="D3116" s="59">
        <v>0.01</v>
      </c>
      <c r="E3116" s="60">
        <f t="shared" si="48"/>
        <v>1.27</v>
      </c>
      <c r="F3116" t="str" cm="1">
        <f t="array" ref="F3116">IF(A3116=MAX(IF(ROUND($B$2:$B$3722,4)=ROUND(B3116,4),$A$2:$A$3722)),"Efficient","Inefficient")</f>
        <v>Inefficient</v>
      </c>
    </row>
    <row r="3117" spans="1:6" x14ac:dyDescent="0.25">
      <c r="A3117" cm="1">
        <f t="array" ref="A3117">INDEX('Portfolio Weights Returns'!$B$9:$BJ$69,
INT((ROW(A3116)-1)/COLUMNS('Portfolio Weights Returns'!$B$9:$BJ$69))+1,MOD(ROW(A3116)-1,COLUMNS('Portfolio Weights Returns'!$B$9:$BJ$69))+1)</f>
        <v>-8.3256600863646012E-4</v>
      </c>
      <c r="B3117">
        <v>2.35E-2</v>
      </c>
      <c r="C3117" s="59">
        <v>-0.28999999999999998</v>
      </c>
      <c r="D3117" s="59">
        <v>0.02</v>
      </c>
      <c r="E3117" s="60">
        <f t="shared" si="48"/>
        <v>1.27</v>
      </c>
      <c r="F3117" t="str" cm="1">
        <f t="array" ref="F3117">IF(A3117=MAX(IF(ROUND($B$2:$B$3722,4)=ROUND(B3117,4),$A$2:$A$3722)),"Efficient","Inefficient")</f>
        <v>Inefficient</v>
      </c>
    </row>
    <row r="3118" spans="1:6" x14ac:dyDescent="0.25">
      <c r="A3118" cm="1">
        <f t="array" ref="A3118">INDEX('Portfolio Weights Returns'!$B$9:$BJ$69,
INT((ROW(A3117)-1)/COLUMNS('Portfolio Weights Returns'!$B$9:$BJ$69))+1,MOD(ROW(A3117)-1,COLUMNS('Portfolio Weights Returns'!$B$9:$BJ$69))+1)</f>
        <v>-8.2578483466978108E-4</v>
      </c>
      <c r="B3118">
        <v>2.3599999999999999E-2</v>
      </c>
      <c r="C3118" s="59">
        <v>0.1</v>
      </c>
      <c r="D3118" s="59">
        <v>-0.3</v>
      </c>
      <c r="E3118" s="60">
        <f t="shared" si="48"/>
        <v>1.2</v>
      </c>
      <c r="F3118" t="str" cm="1">
        <f t="array" ref="F3118">IF(A3118=MAX(IF(ROUND($B$2:$B$3722,4)=ROUND(B3118,4),$A$2:$A$3722)),"Efficient","Inefficient")</f>
        <v>Inefficient</v>
      </c>
    </row>
    <row r="3119" spans="1:6" x14ac:dyDescent="0.25">
      <c r="A3119" cm="1">
        <f t="array" ref="A3119">INDEX('Portfolio Weights Returns'!$B$9:$BJ$69,
INT((ROW(A3118)-1)/COLUMNS('Portfolio Weights Returns'!$B$9:$BJ$69))+1,MOD(ROW(A3118)-1,COLUMNS('Portfolio Weights Returns'!$B$9:$BJ$69))+1)</f>
        <v>-8.1900366070310183E-4</v>
      </c>
      <c r="B3119">
        <v>2.3599999999999999E-2</v>
      </c>
      <c r="C3119" s="59">
        <v>0.08</v>
      </c>
      <c r="D3119" s="59">
        <v>-0.28999999999999998</v>
      </c>
      <c r="E3119" s="60">
        <f t="shared" si="48"/>
        <v>1.21</v>
      </c>
      <c r="F3119" t="str" cm="1">
        <f t="array" ref="F3119">IF(A3119=MAX(IF(ROUND($B$2:$B$3722,4)=ROUND(B3119,4),$A$2:$A$3722)),"Efficient","Inefficient")</f>
        <v>Inefficient</v>
      </c>
    </row>
    <row r="3120" spans="1:6" x14ac:dyDescent="0.25">
      <c r="A3120" cm="1">
        <f t="array" ref="A3120">INDEX('Portfolio Weights Returns'!$B$9:$BJ$69,
INT((ROW(A3119)-1)/COLUMNS('Portfolio Weights Returns'!$B$9:$BJ$69))+1,MOD(ROW(A3119)-1,COLUMNS('Portfolio Weights Returns'!$B$9:$BJ$69))+1)</f>
        <v>-8.1222248673642279E-4</v>
      </c>
      <c r="B3120">
        <v>2.3599999999999999E-2</v>
      </c>
      <c r="C3120" s="59">
        <v>0.03</v>
      </c>
      <c r="D3120" s="59">
        <v>-0.26</v>
      </c>
      <c r="E3120" s="60">
        <f t="shared" si="48"/>
        <v>1.23</v>
      </c>
      <c r="F3120" t="str" cm="1">
        <f t="array" ref="F3120">IF(A3120=MAX(IF(ROUND($B$2:$B$3722,4)=ROUND(B3120,4),$A$2:$A$3722)),"Efficient","Inefficient")</f>
        <v>Inefficient</v>
      </c>
    </row>
    <row r="3121" spans="1:6" x14ac:dyDescent="0.25">
      <c r="A3121" cm="1">
        <f t="array" ref="A3121">INDEX('Portfolio Weights Returns'!$B$9:$BJ$69,
INT((ROW(A3120)-1)/COLUMNS('Portfolio Weights Returns'!$B$9:$BJ$69))+1,MOD(ROW(A3120)-1,COLUMNS('Portfolio Weights Returns'!$B$9:$BJ$69))+1)</f>
        <v>-8.0544131276974365E-4</v>
      </c>
      <c r="B3121">
        <v>2.3599999999999999E-2</v>
      </c>
      <c r="C3121" s="59">
        <v>0</v>
      </c>
      <c r="D3121" s="59">
        <v>-0.24</v>
      </c>
      <c r="E3121" s="60">
        <f t="shared" si="48"/>
        <v>1.24</v>
      </c>
      <c r="F3121" t="str" cm="1">
        <f t="array" ref="F3121">IF(A3121=MAX(IF(ROUND($B$2:$B$3722,4)=ROUND(B3121,4),$A$2:$A$3722)),"Efficient","Inefficient")</f>
        <v>Inefficient</v>
      </c>
    </row>
    <row r="3122" spans="1:6" x14ac:dyDescent="0.25">
      <c r="A3122" cm="1">
        <f t="array" ref="A3122">INDEX('Portfolio Weights Returns'!$B$9:$BJ$69,
INT((ROW(A3121)-1)/COLUMNS('Portfolio Weights Returns'!$B$9:$BJ$69))+1,MOD(ROW(A3121)-1,COLUMNS('Portfolio Weights Returns'!$B$9:$BJ$69))+1)</f>
        <v>-7.9866013880306461E-4</v>
      </c>
      <c r="B3122">
        <v>2.3599999999999999E-2</v>
      </c>
      <c r="C3122" s="59">
        <v>-0.03</v>
      </c>
      <c r="D3122" s="59">
        <v>-0.22</v>
      </c>
      <c r="E3122" s="60">
        <f t="shared" si="48"/>
        <v>1.25</v>
      </c>
      <c r="F3122" t="str" cm="1">
        <f t="array" ref="F3122">IF(A3122=MAX(IF(ROUND($B$2:$B$3722,4)=ROUND(B3122,4),$A$2:$A$3722)),"Efficient","Inefficient")</f>
        <v>Inefficient</v>
      </c>
    </row>
    <row r="3123" spans="1:6" x14ac:dyDescent="0.25">
      <c r="A3123" cm="1">
        <f t="array" ref="A3123">INDEX('Portfolio Weights Returns'!$B$9:$BJ$69,
INT((ROW(A3122)-1)/COLUMNS('Portfolio Weights Returns'!$B$9:$BJ$69))+1,MOD(ROW(A3122)-1,COLUMNS('Portfolio Weights Returns'!$B$9:$BJ$69))+1)</f>
        <v>-7.9187896483638547E-4</v>
      </c>
      <c r="B3123">
        <v>2.3599999999999999E-2</v>
      </c>
      <c r="C3123" s="59">
        <v>-0.06</v>
      </c>
      <c r="D3123" s="59">
        <v>-0.2</v>
      </c>
      <c r="E3123" s="60">
        <f t="shared" si="48"/>
        <v>1.26</v>
      </c>
      <c r="F3123" t="str" cm="1">
        <f t="array" ref="F3123">IF(A3123=MAX(IF(ROUND($B$2:$B$3722,4)=ROUND(B3123,4),$A$2:$A$3722)),"Efficient","Inefficient")</f>
        <v>Inefficient</v>
      </c>
    </row>
    <row r="3124" spans="1:6" x14ac:dyDescent="0.25">
      <c r="A3124" cm="1">
        <f t="array" ref="A3124">INDEX('Portfolio Weights Returns'!$B$9:$BJ$69,
INT((ROW(A3123)-1)/COLUMNS('Portfolio Weights Returns'!$B$9:$BJ$69))+1,MOD(ROW(A3123)-1,COLUMNS('Portfolio Weights Returns'!$B$9:$BJ$69))+1)</f>
        <v>-7.8509779086970632E-4</v>
      </c>
      <c r="B3124">
        <v>2.3599999999999999E-2</v>
      </c>
      <c r="C3124" s="59">
        <v>-0.09</v>
      </c>
      <c r="D3124" s="59">
        <v>-0.18</v>
      </c>
      <c r="E3124" s="60">
        <f t="shared" si="48"/>
        <v>1.27</v>
      </c>
      <c r="F3124" t="str" cm="1">
        <f t="array" ref="F3124">IF(A3124=MAX(IF(ROUND($B$2:$B$3722,4)=ROUND(B3124,4),$A$2:$A$3722)),"Efficient","Inefficient")</f>
        <v>Inefficient</v>
      </c>
    </row>
    <row r="3125" spans="1:6" x14ac:dyDescent="0.25">
      <c r="A3125" cm="1">
        <f t="array" ref="A3125">INDEX('Portfolio Weights Returns'!$B$9:$BJ$69,
INT((ROW(A3124)-1)/COLUMNS('Portfolio Weights Returns'!$B$9:$BJ$69))+1,MOD(ROW(A3124)-1,COLUMNS('Portfolio Weights Returns'!$B$9:$BJ$69))+1)</f>
        <v>-7.7831661690302729E-4</v>
      </c>
      <c r="B3125">
        <v>2.3599999999999999E-2</v>
      </c>
      <c r="C3125" s="59">
        <v>-0.1</v>
      </c>
      <c r="D3125" s="59">
        <v>-0.17</v>
      </c>
      <c r="E3125" s="60">
        <f t="shared" si="48"/>
        <v>1.27</v>
      </c>
      <c r="F3125" t="str" cm="1">
        <f t="array" ref="F3125">IF(A3125=MAX(IF(ROUND($B$2:$B$3722,4)=ROUND(B3125,4),$A$2:$A$3722)),"Efficient","Inefficient")</f>
        <v>Inefficient</v>
      </c>
    </row>
    <row r="3126" spans="1:6" x14ac:dyDescent="0.25">
      <c r="A3126" cm="1">
        <f t="array" ref="A3126">INDEX('Portfolio Weights Returns'!$B$9:$BJ$69,
INT((ROW(A3125)-1)/COLUMNS('Portfolio Weights Returns'!$B$9:$BJ$69))+1,MOD(ROW(A3125)-1,COLUMNS('Portfolio Weights Returns'!$B$9:$BJ$69))+1)</f>
        <v>-7.7153544293634803E-4</v>
      </c>
      <c r="B3126">
        <v>2.3599999999999999E-2</v>
      </c>
      <c r="C3126" s="59">
        <v>-0.14000000000000001</v>
      </c>
      <c r="D3126" s="59">
        <v>-0.14000000000000001</v>
      </c>
      <c r="E3126" s="60">
        <f t="shared" si="48"/>
        <v>1.2800000000000002</v>
      </c>
      <c r="F3126" t="str" cm="1">
        <f t="array" ref="F3126">IF(A3126=MAX(IF(ROUND($B$2:$B$3722,4)=ROUND(B3126,4),$A$2:$A$3722)),"Efficient","Inefficient")</f>
        <v>Inefficient</v>
      </c>
    </row>
    <row r="3127" spans="1:6" x14ac:dyDescent="0.25">
      <c r="A3127" cm="1">
        <f t="array" ref="A3127">INDEX('Portfolio Weights Returns'!$B$9:$BJ$69,
INT((ROW(A3126)-1)/COLUMNS('Portfolio Weights Returns'!$B$9:$BJ$69))+1,MOD(ROW(A3126)-1,COLUMNS('Portfolio Weights Returns'!$B$9:$BJ$69))+1)</f>
        <v>-7.64754268969669E-4</v>
      </c>
      <c r="B3127">
        <v>2.3599999999999999E-2</v>
      </c>
      <c r="C3127" s="59">
        <v>-0.15</v>
      </c>
      <c r="D3127" s="59">
        <v>-0.13</v>
      </c>
      <c r="E3127" s="60">
        <f t="shared" si="48"/>
        <v>1.2799999999999998</v>
      </c>
      <c r="F3127" t="str" cm="1">
        <f t="array" ref="F3127">IF(A3127=MAX(IF(ROUND($B$2:$B$3722,4)=ROUND(B3127,4),$A$2:$A$3722)),"Efficient","Inefficient")</f>
        <v>Inefficient</v>
      </c>
    </row>
    <row r="3128" spans="1:6" x14ac:dyDescent="0.25">
      <c r="A3128" cm="1">
        <f t="array" ref="A3128">INDEX('Portfolio Weights Returns'!$B$9:$BJ$69,
INT((ROW(A3127)-1)/COLUMNS('Portfolio Weights Returns'!$B$9:$BJ$69))+1,MOD(ROW(A3127)-1,COLUMNS('Portfolio Weights Returns'!$B$9:$BJ$69))+1)</f>
        <v>-7.5797309500298985E-4</v>
      </c>
      <c r="B3128">
        <v>2.3599999999999999E-2</v>
      </c>
      <c r="C3128" s="59">
        <v>-0.16</v>
      </c>
      <c r="D3128" s="59">
        <v>-0.12</v>
      </c>
      <c r="E3128" s="60">
        <f t="shared" si="48"/>
        <v>1.28</v>
      </c>
      <c r="F3128" t="str" cm="1">
        <f t="array" ref="F3128">IF(A3128=MAX(IF(ROUND($B$2:$B$3722,4)=ROUND(B3128,4),$A$2:$A$3722)),"Efficient","Inefficient")</f>
        <v>Inefficient</v>
      </c>
    </row>
    <row r="3129" spans="1:6" x14ac:dyDescent="0.25">
      <c r="A3129" cm="1">
        <f t="array" ref="A3129">INDEX('Portfolio Weights Returns'!$B$9:$BJ$69,
INT((ROW(A3128)-1)/COLUMNS('Portfolio Weights Returns'!$B$9:$BJ$69))+1,MOD(ROW(A3128)-1,COLUMNS('Portfolio Weights Returns'!$B$9:$BJ$69))+1)</f>
        <v>-7.5119192103631103E-4</v>
      </c>
      <c r="B3129">
        <v>2.3599999999999999E-2</v>
      </c>
      <c r="C3129" s="59">
        <v>-0.26</v>
      </c>
      <c r="D3129" s="59">
        <v>-0.02</v>
      </c>
      <c r="E3129" s="60">
        <f t="shared" si="48"/>
        <v>1.28</v>
      </c>
      <c r="F3129" t="str" cm="1">
        <f t="array" ref="F3129">IF(A3129=MAX(IF(ROUND($B$2:$B$3722,4)=ROUND(B3129,4),$A$2:$A$3722)),"Efficient","Inefficient")</f>
        <v>Inefficient</v>
      </c>
    </row>
    <row r="3130" spans="1:6" x14ac:dyDescent="0.25">
      <c r="A3130" cm="1">
        <f t="array" ref="A3130">INDEX('Portfolio Weights Returns'!$B$9:$BJ$69,
INT((ROW(A3129)-1)/COLUMNS('Portfolio Weights Returns'!$B$9:$BJ$69))+1,MOD(ROW(A3129)-1,COLUMNS('Portfolio Weights Returns'!$B$9:$BJ$69))+1)</f>
        <v>-7.4441074706963167E-4</v>
      </c>
      <c r="B3130">
        <v>2.3599999999999999E-2</v>
      </c>
      <c r="C3130" s="59">
        <v>-0.27</v>
      </c>
      <c r="D3130" s="59">
        <v>-0.01</v>
      </c>
      <c r="E3130" s="60">
        <f t="shared" si="48"/>
        <v>1.28</v>
      </c>
      <c r="F3130" t="str" cm="1">
        <f t="array" ref="F3130">IF(A3130=MAX(IF(ROUND($B$2:$B$3722,4)=ROUND(B3130,4),$A$2:$A$3722)),"Efficient","Inefficient")</f>
        <v>Inefficient</v>
      </c>
    </row>
    <row r="3131" spans="1:6" x14ac:dyDescent="0.25">
      <c r="A3131" cm="1">
        <f t="array" ref="A3131">INDEX('Portfolio Weights Returns'!$B$9:$BJ$69,
INT((ROW(A3130)-1)/COLUMNS('Portfolio Weights Returns'!$B$9:$BJ$69))+1,MOD(ROW(A3130)-1,COLUMNS('Portfolio Weights Returns'!$B$9:$BJ$69))+1)</f>
        <v>-7.3762957310295274E-4</v>
      </c>
      <c r="B3131">
        <v>2.3599999999999999E-2</v>
      </c>
      <c r="C3131" s="59">
        <v>-0.28000000000000003</v>
      </c>
      <c r="D3131" s="59">
        <v>0</v>
      </c>
      <c r="E3131" s="60">
        <f t="shared" si="48"/>
        <v>1.28</v>
      </c>
      <c r="F3131" t="str" cm="1">
        <f t="array" ref="F3131">IF(A3131=MAX(IF(ROUND($B$2:$B$3722,4)=ROUND(B3131,4),$A$2:$A$3722)),"Efficient","Inefficient")</f>
        <v>Inefficient</v>
      </c>
    </row>
    <row r="3132" spans="1:6" x14ac:dyDescent="0.25">
      <c r="A3132" cm="1">
        <f t="array" ref="A3132">INDEX('Portfolio Weights Returns'!$B$9:$BJ$69,
INT((ROW(A3131)-1)/COLUMNS('Portfolio Weights Returns'!$B$9:$BJ$69))+1,MOD(ROW(A3131)-1,COLUMNS('Portfolio Weights Returns'!$B$9:$BJ$69))+1)</f>
        <v>-7.308483991362736E-4</v>
      </c>
      <c r="B3132">
        <v>2.3599999999999999E-2</v>
      </c>
      <c r="C3132" s="59">
        <v>-0.3</v>
      </c>
      <c r="D3132" s="59">
        <v>0.03</v>
      </c>
      <c r="E3132" s="60">
        <f t="shared" si="48"/>
        <v>1.27</v>
      </c>
      <c r="F3132" t="str" cm="1">
        <f t="array" ref="F3132">IF(A3132=MAX(IF(ROUND($B$2:$B$3722,4)=ROUND(B3132,4),$A$2:$A$3722)),"Efficient","Inefficient")</f>
        <v>Efficient</v>
      </c>
    </row>
    <row r="3133" spans="1:6" x14ac:dyDescent="0.25">
      <c r="A3133" cm="1">
        <f t="array" ref="A3133">INDEX('Portfolio Weights Returns'!$B$9:$BJ$69,
INT((ROW(A3132)-1)/COLUMNS('Portfolio Weights Returns'!$B$9:$BJ$69))+1,MOD(ROW(A3132)-1,COLUMNS('Portfolio Weights Returns'!$B$9:$BJ$69))+1)</f>
        <v>-7.2406722516959445E-4</v>
      </c>
      <c r="B3133">
        <v>2.3699999999999999E-2</v>
      </c>
      <c r="C3133" s="59">
        <v>0.09</v>
      </c>
      <c r="D3133" s="59">
        <v>-0.3</v>
      </c>
      <c r="E3133" s="60">
        <f t="shared" si="48"/>
        <v>1.21</v>
      </c>
      <c r="F3133" t="str" cm="1">
        <f t="array" ref="F3133">IF(A3133=MAX(IF(ROUND($B$2:$B$3722,4)=ROUND(B3133,4),$A$2:$A$3722)),"Efficient","Inefficient")</f>
        <v>Inefficient</v>
      </c>
    </row>
    <row r="3134" spans="1:6" x14ac:dyDescent="0.25">
      <c r="A3134" cm="1">
        <f t="array" ref="A3134">INDEX('Portfolio Weights Returns'!$B$9:$BJ$69,
INT((ROW(A3133)-1)/COLUMNS('Portfolio Weights Returns'!$B$9:$BJ$69))+1,MOD(ROW(A3133)-1,COLUMNS('Portfolio Weights Returns'!$B$9:$BJ$69))+1)</f>
        <v>-7.1728605120291542E-4</v>
      </c>
      <c r="B3134">
        <v>2.3699999999999999E-2</v>
      </c>
      <c r="C3134" s="59">
        <v>0.06</v>
      </c>
      <c r="D3134" s="59">
        <v>-0.28000000000000003</v>
      </c>
      <c r="E3134" s="60">
        <f t="shared" si="48"/>
        <v>1.22</v>
      </c>
      <c r="F3134" t="str" cm="1">
        <f t="array" ref="F3134">IF(A3134=MAX(IF(ROUND($B$2:$B$3722,4)=ROUND(B3134,4),$A$2:$A$3722)),"Efficient","Inefficient")</f>
        <v>Inefficient</v>
      </c>
    </row>
    <row r="3135" spans="1:6" x14ac:dyDescent="0.25">
      <c r="A3135" cm="1">
        <f t="array" ref="A3135">INDEX('Portfolio Weights Returns'!$B$9:$BJ$69,
INT((ROW(A3134)-1)/COLUMNS('Portfolio Weights Returns'!$B$9:$BJ$69))+1,MOD(ROW(A3134)-1,COLUMNS('Portfolio Weights Returns'!$B$9:$BJ$69))+1)</f>
        <v>-7.1050487723623627E-4</v>
      </c>
      <c r="B3135">
        <v>2.3699999999999999E-2</v>
      </c>
      <c r="C3135" s="59">
        <v>0.04</v>
      </c>
      <c r="D3135" s="59">
        <v>-0.27</v>
      </c>
      <c r="E3135" s="60">
        <f t="shared" si="48"/>
        <v>1.23</v>
      </c>
      <c r="F3135" t="str" cm="1">
        <f t="array" ref="F3135">IF(A3135=MAX(IF(ROUND($B$2:$B$3722,4)=ROUND(B3135,4),$A$2:$A$3722)),"Efficient","Inefficient")</f>
        <v>Inefficient</v>
      </c>
    </row>
    <row r="3136" spans="1:6" x14ac:dyDescent="0.25">
      <c r="A3136" cm="1">
        <f t="array" ref="A3136">INDEX('Portfolio Weights Returns'!$B$9:$BJ$69,
INT((ROW(A3135)-1)/COLUMNS('Portfolio Weights Returns'!$B$9:$BJ$69))+1,MOD(ROW(A3135)-1,COLUMNS('Portfolio Weights Returns'!$B$9:$BJ$69))+1)</f>
        <v>-7.0372370326955724E-4</v>
      </c>
      <c r="B3136">
        <v>2.3699999999999999E-2</v>
      </c>
      <c r="C3136" s="59">
        <v>0.01</v>
      </c>
      <c r="D3136" s="59">
        <v>-0.25</v>
      </c>
      <c r="E3136" s="60">
        <f t="shared" si="48"/>
        <v>1.24</v>
      </c>
      <c r="F3136" t="str" cm="1">
        <f t="array" ref="F3136">IF(A3136=MAX(IF(ROUND($B$2:$B$3722,4)=ROUND(B3136,4),$A$2:$A$3722)),"Efficient","Inefficient")</f>
        <v>Inefficient</v>
      </c>
    </row>
    <row r="3137" spans="1:6" x14ac:dyDescent="0.25">
      <c r="A3137" cm="1">
        <f t="array" ref="A3137">INDEX('Portfolio Weights Returns'!$B$9:$BJ$69,
INT((ROW(A3136)-1)/COLUMNS('Portfolio Weights Returns'!$B$9:$BJ$69))+1,MOD(ROW(A3136)-1,COLUMNS('Portfolio Weights Returns'!$B$9:$BJ$69))+1)</f>
        <v>-6.9694252930287799E-4</v>
      </c>
      <c r="B3137">
        <v>2.3699999999999999E-2</v>
      </c>
      <c r="C3137" s="59">
        <v>-0.01</v>
      </c>
      <c r="D3137" s="59">
        <v>-0.24</v>
      </c>
      <c r="E3137" s="60">
        <f t="shared" si="48"/>
        <v>1.25</v>
      </c>
      <c r="F3137" t="str" cm="1">
        <f t="array" ref="F3137">IF(A3137=MAX(IF(ROUND($B$2:$B$3722,4)=ROUND(B3137,4),$A$2:$A$3722)),"Efficient","Inefficient")</f>
        <v>Inefficient</v>
      </c>
    </row>
    <row r="3138" spans="1:6" x14ac:dyDescent="0.25">
      <c r="A3138" cm="1">
        <f t="array" ref="A3138">INDEX('Portfolio Weights Returns'!$B$9:$BJ$69,
INT((ROW(A3137)-1)/COLUMNS('Portfolio Weights Returns'!$B$9:$BJ$69))+1,MOD(ROW(A3137)-1,COLUMNS('Portfolio Weights Returns'!$B$9:$BJ$69))+1)</f>
        <v>-6.9016135533619895E-4</v>
      </c>
      <c r="B3138">
        <v>2.3699999999999999E-2</v>
      </c>
      <c r="C3138" s="59">
        <v>-0.02</v>
      </c>
      <c r="D3138" s="59">
        <v>-0.23</v>
      </c>
      <c r="E3138" s="60">
        <f t="shared" ref="E3138:E3201" si="49">1-D3138-C3138</f>
        <v>1.25</v>
      </c>
      <c r="F3138" t="str" cm="1">
        <f t="array" ref="F3138">IF(A3138=MAX(IF(ROUND($B$2:$B$3722,4)=ROUND(B3138,4),$A$2:$A$3722)),"Efficient","Inefficient")</f>
        <v>Inefficient</v>
      </c>
    </row>
    <row r="3139" spans="1:6" x14ac:dyDescent="0.25">
      <c r="A3139" cm="1">
        <f t="array" ref="A3139">INDEX('Portfolio Weights Returns'!$B$9:$BJ$69,
INT((ROW(A3138)-1)/COLUMNS('Portfolio Weights Returns'!$B$9:$BJ$69))+1,MOD(ROW(A3138)-1,COLUMNS('Portfolio Weights Returns'!$B$9:$BJ$69))+1)</f>
        <v>-6.8338018136951981E-4</v>
      </c>
      <c r="B3139">
        <v>2.3699999999999999E-2</v>
      </c>
      <c r="C3139" s="59">
        <v>-0.04</v>
      </c>
      <c r="D3139" s="59">
        <v>-0.22</v>
      </c>
      <c r="E3139" s="60">
        <f t="shared" si="49"/>
        <v>1.26</v>
      </c>
      <c r="F3139" t="str" cm="1">
        <f t="array" ref="F3139">IF(A3139=MAX(IF(ROUND($B$2:$B$3722,4)=ROUND(B3139,4),$A$2:$A$3722)),"Efficient","Inefficient")</f>
        <v>Inefficient</v>
      </c>
    </row>
    <row r="3140" spans="1:6" x14ac:dyDescent="0.25">
      <c r="A3140" cm="1">
        <f t="array" ref="A3140">INDEX('Portfolio Weights Returns'!$B$9:$BJ$69,
INT((ROW(A3139)-1)/COLUMNS('Portfolio Weights Returns'!$B$9:$BJ$69))+1,MOD(ROW(A3139)-1,COLUMNS('Portfolio Weights Returns'!$B$9:$BJ$69))+1)</f>
        <v>-6.7659900740284077E-4</v>
      </c>
      <c r="B3140">
        <v>2.3699999999999999E-2</v>
      </c>
      <c r="C3140" s="59">
        <v>-0.05</v>
      </c>
      <c r="D3140" s="59">
        <v>-0.21</v>
      </c>
      <c r="E3140" s="60">
        <f t="shared" si="49"/>
        <v>1.26</v>
      </c>
      <c r="F3140" t="str" cm="1">
        <f t="array" ref="F3140">IF(A3140=MAX(IF(ROUND($B$2:$B$3722,4)=ROUND(B3140,4),$A$2:$A$3722)),"Efficient","Inefficient")</f>
        <v>Inefficient</v>
      </c>
    </row>
    <row r="3141" spans="1:6" x14ac:dyDescent="0.25">
      <c r="A3141" cm="1">
        <f t="array" ref="A3141">INDEX('Portfolio Weights Returns'!$B$9:$BJ$69,
INT((ROW(A3140)-1)/COLUMNS('Portfolio Weights Returns'!$B$9:$BJ$69))+1,MOD(ROW(A3140)-1,COLUMNS('Portfolio Weights Returns'!$B$9:$BJ$69))+1)</f>
        <v>-6.6981783343616162E-4</v>
      </c>
      <c r="B3141">
        <v>2.3699999999999999E-2</v>
      </c>
      <c r="C3141" s="59">
        <v>-0.08</v>
      </c>
      <c r="D3141" s="59">
        <v>-0.19</v>
      </c>
      <c r="E3141" s="60">
        <f t="shared" si="49"/>
        <v>1.27</v>
      </c>
      <c r="F3141" t="str" cm="1">
        <f t="array" ref="F3141">IF(A3141=MAX(IF(ROUND($B$2:$B$3722,4)=ROUND(B3141,4),$A$2:$A$3722)),"Efficient","Inefficient")</f>
        <v>Inefficient</v>
      </c>
    </row>
    <row r="3142" spans="1:6" x14ac:dyDescent="0.25">
      <c r="A3142" cm="1">
        <f t="array" ref="A3142">INDEX('Portfolio Weights Returns'!$B$9:$BJ$69,
INT((ROW(A3141)-1)/COLUMNS('Portfolio Weights Returns'!$B$9:$BJ$69))+1,MOD(ROW(A3141)-1,COLUMNS('Portfolio Weights Returns'!$B$9:$BJ$69))+1)</f>
        <v>-6.6303665946948248E-4</v>
      </c>
      <c r="B3142">
        <v>2.3699999999999999E-2</v>
      </c>
      <c r="C3142" s="59">
        <v>-0.12</v>
      </c>
      <c r="D3142" s="59">
        <v>-0.16</v>
      </c>
      <c r="E3142" s="60">
        <f t="shared" si="49"/>
        <v>1.2799999999999998</v>
      </c>
      <c r="F3142" t="str" cm="1">
        <f t="array" ref="F3142">IF(A3142=MAX(IF(ROUND($B$2:$B$3722,4)=ROUND(B3142,4),$A$2:$A$3722)),"Efficient","Inefficient")</f>
        <v>Inefficient</v>
      </c>
    </row>
    <row r="3143" spans="1:6" x14ac:dyDescent="0.25">
      <c r="A3143" cm="1">
        <f t="array" ref="A3143">INDEX('Portfolio Weights Returns'!$B$9:$BJ$69,
INT((ROW(A3142)-1)/COLUMNS('Portfolio Weights Returns'!$B$9:$BJ$69))+1,MOD(ROW(A3142)-1,COLUMNS('Portfolio Weights Returns'!$B$9:$BJ$69))+1)</f>
        <v>-6.5625548550280344E-4</v>
      </c>
      <c r="B3143">
        <v>2.3699999999999999E-2</v>
      </c>
      <c r="C3143" s="59">
        <v>-0.13</v>
      </c>
      <c r="D3143" s="59">
        <v>-0.15</v>
      </c>
      <c r="E3143" s="60">
        <f t="shared" si="49"/>
        <v>1.2799999999999998</v>
      </c>
      <c r="F3143" t="str" cm="1">
        <f t="array" ref="F3143">IF(A3143=MAX(IF(ROUND($B$2:$B$3722,4)=ROUND(B3143,4),$A$2:$A$3722)),"Efficient","Inefficient")</f>
        <v>Inefficient</v>
      </c>
    </row>
    <row r="3144" spans="1:6" x14ac:dyDescent="0.25">
      <c r="A3144" cm="1">
        <f t="array" ref="A3144">INDEX('Portfolio Weights Returns'!$B$9:$BJ$69,
INT((ROW(A3143)-1)/COLUMNS('Portfolio Weights Returns'!$B$9:$BJ$69))+1,MOD(ROW(A3143)-1,COLUMNS('Portfolio Weights Returns'!$B$9:$BJ$69))+1)</f>
        <v>-6.4947431153612419E-4</v>
      </c>
      <c r="B3144">
        <v>2.3699999999999999E-2</v>
      </c>
      <c r="C3144" s="59">
        <v>-0.17</v>
      </c>
      <c r="D3144" s="59">
        <v>-0.12</v>
      </c>
      <c r="E3144" s="60">
        <f t="shared" si="49"/>
        <v>1.29</v>
      </c>
      <c r="F3144" t="str" cm="1">
        <f t="array" ref="F3144">IF(A3144=MAX(IF(ROUND($B$2:$B$3722,4)=ROUND(B3144,4),$A$2:$A$3722)),"Efficient","Inefficient")</f>
        <v>Inefficient</v>
      </c>
    </row>
    <row r="3145" spans="1:6" x14ac:dyDescent="0.25">
      <c r="A3145" cm="1">
        <f t="array" ref="A3145">INDEX('Portfolio Weights Returns'!$B$9:$BJ$69,
INT((ROW(A3144)-1)/COLUMNS('Portfolio Weights Returns'!$B$9:$BJ$69))+1,MOD(ROW(A3144)-1,COLUMNS('Portfolio Weights Returns'!$B$9:$BJ$69))+1)</f>
        <v>-6.4269313756944516E-4</v>
      </c>
      <c r="B3145">
        <v>2.3699999999999999E-2</v>
      </c>
      <c r="C3145" s="59">
        <v>-0.18</v>
      </c>
      <c r="D3145" s="59">
        <v>-0.11</v>
      </c>
      <c r="E3145" s="60">
        <f t="shared" si="49"/>
        <v>1.29</v>
      </c>
      <c r="F3145" t="str" cm="1">
        <f t="array" ref="F3145">IF(A3145=MAX(IF(ROUND($B$2:$B$3722,4)=ROUND(B3145,4),$A$2:$A$3722)),"Efficient","Inefficient")</f>
        <v>Inefficient</v>
      </c>
    </row>
    <row r="3146" spans="1:6" x14ac:dyDescent="0.25">
      <c r="A3146" cm="1">
        <f t="array" ref="A3146">INDEX('Portfolio Weights Returns'!$B$9:$BJ$69,
INT((ROW(A3145)-1)/COLUMNS('Portfolio Weights Returns'!$B$9:$BJ$69))+1,MOD(ROW(A3145)-1,COLUMNS('Portfolio Weights Returns'!$B$9:$BJ$69))+1)</f>
        <v>-6.3591196360276601E-4</v>
      </c>
      <c r="B3146">
        <v>2.3699999999999999E-2</v>
      </c>
      <c r="C3146" s="59">
        <v>-0.19</v>
      </c>
      <c r="D3146" s="59">
        <v>-0.1</v>
      </c>
      <c r="E3146" s="60">
        <f t="shared" si="49"/>
        <v>1.29</v>
      </c>
      <c r="F3146" t="str" cm="1">
        <f t="array" ref="F3146">IF(A3146=MAX(IF(ROUND($B$2:$B$3722,4)=ROUND(B3146,4),$A$2:$A$3722)),"Efficient","Inefficient")</f>
        <v>Inefficient</v>
      </c>
    </row>
    <row r="3147" spans="1:6" x14ac:dyDescent="0.25">
      <c r="A3147" cm="1">
        <f t="array" ref="A3147">INDEX('Portfolio Weights Returns'!$B$9:$BJ$69,
INT((ROW(A3146)-1)/COLUMNS('Portfolio Weights Returns'!$B$9:$BJ$69))+1,MOD(ROW(A3146)-1,COLUMNS('Portfolio Weights Returns'!$B$9:$BJ$69))+1)</f>
        <v>-6.2913078963608697E-4</v>
      </c>
      <c r="B3147">
        <v>2.3699999999999999E-2</v>
      </c>
      <c r="C3147" s="59">
        <v>-0.2</v>
      </c>
      <c r="D3147" s="59">
        <v>-0.09</v>
      </c>
      <c r="E3147" s="60">
        <f t="shared" si="49"/>
        <v>1.29</v>
      </c>
      <c r="F3147" t="str" cm="1">
        <f t="array" ref="F3147">IF(A3147=MAX(IF(ROUND($B$2:$B$3722,4)=ROUND(B3147,4),$A$2:$A$3722)),"Efficient","Inefficient")</f>
        <v>Inefficient</v>
      </c>
    </row>
    <row r="3148" spans="1:6" x14ac:dyDescent="0.25">
      <c r="A3148" cm="1">
        <f t="array" ref="A3148">INDEX('Portfolio Weights Returns'!$B$9:$BJ$69,
INT((ROW(A3147)-1)/COLUMNS('Portfolio Weights Returns'!$B$9:$BJ$69))+1,MOD(ROW(A3147)-1,COLUMNS('Portfolio Weights Returns'!$B$9:$BJ$69))+1)</f>
        <v>-6.2234961566940783E-4</v>
      </c>
      <c r="B3148">
        <v>2.3699999999999999E-2</v>
      </c>
      <c r="C3148" s="59">
        <v>-0.21</v>
      </c>
      <c r="D3148" s="59">
        <v>-0.08</v>
      </c>
      <c r="E3148" s="60">
        <f t="shared" si="49"/>
        <v>1.29</v>
      </c>
      <c r="F3148" t="str" cm="1">
        <f t="array" ref="F3148">IF(A3148=MAX(IF(ROUND($B$2:$B$3722,4)=ROUND(B3148,4),$A$2:$A$3722)),"Efficient","Inefficient")</f>
        <v>Inefficient</v>
      </c>
    </row>
    <row r="3149" spans="1:6" x14ac:dyDescent="0.25">
      <c r="A3149" cm="1">
        <f t="array" ref="A3149">INDEX('Portfolio Weights Returns'!$B$9:$BJ$69,
INT((ROW(A3148)-1)/COLUMNS('Portfolio Weights Returns'!$B$9:$BJ$69))+1,MOD(ROW(A3148)-1,COLUMNS('Portfolio Weights Returns'!$B$9:$BJ$69))+1)</f>
        <v>-6.1556844170272879E-4</v>
      </c>
      <c r="B3149">
        <v>2.3699999999999999E-2</v>
      </c>
      <c r="C3149" s="59">
        <v>-0.22</v>
      </c>
      <c r="D3149" s="59">
        <v>-7.0000000000000007E-2</v>
      </c>
      <c r="E3149" s="60">
        <f t="shared" si="49"/>
        <v>1.29</v>
      </c>
      <c r="F3149" t="str" cm="1">
        <f t="array" ref="F3149">IF(A3149=MAX(IF(ROUND($B$2:$B$3722,4)=ROUND(B3149,4),$A$2:$A$3722)),"Efficient","Inefficient")</f>
        <v>Inefficient</v>
      </c>
    </row>
    <row r="3150" spans="1:6" x14ac:dyDescent="0.25">
      <c r="A3150" cm="1">
        <f t="array" ref="A3150">INDEX('Portfolio Weights Returns'!$B$9:$BJ$69,
INT((ROW(A3149)-1)/COLUMNS('Portfolio Weights Returns'!$B$9:$BJ$69))+1,MOD(ROW(A3149)-1,COLUMNS('Portfolio Weights Returns'!$B$9:$BJ$69))+1)</f>
        <v>-6.0878726773604965E-4</v>
      </c>
      <c r="B3150">
        <v>2.3699999999999999E-2</v>
      </c>
      <c r="C3150" s="59">
        <v>-0.23</v>
      </c>
      <c r="D3150" s="59">
        <v>-0.06</v>
      </c>
      <c r="E3150" s="60">
        <f t="shared" si="49"/>
        <v>1.29</v>
      </c>
      <c r="F3150" t="str" cm="1">
        <f t="array" ref="F3150">IF(A3150=MAX(IF(ROUND($B$2:$B$3722,4)=ROUND(B3150,4),$A$2:$A$3722)),"Efficient","Inefficient")</f>
        <v>Inefficient</v>
      </c>
    </row>
    <row r="3151" spans="1:6" x14ac:dyDescent="0.25">
      <c r="A3151" cm="1">
        <f t="array" ref="A3151">INDEX('Portfolio Weights Returns'!$B$9:$BJ$69,
INT((ROW(A3150)-1)/COLUMNS('Portfolio Weights Returns'!$B$9:$BJ$69))+1,MOD(ROW(A3150)-1,COLUMNS('Portfolio Weights Returns'!$B$9:$BJ$69))+1)</f>
        <v>-6.0200609376937051E-4</v>
      </c>
      <c r="B3151">
        <v>2.3699999999999999E-2</v>
      </c>
      <c r="C3151" s="59">
        <v>-0.24</v>
      </c>
      <c r="D3151" s="59">
        <v>-0.05</v>
      </c>
      <c r="E3151" s="60">
        <f t="shared" si="49"/>
        <v>1.29</v>
      </c>
      <c r="F3151" t="str" cm="1">
        <f t="array" ref="F3151">IF(A3151=MAX(IF(ROUND($B$2:$B$3722,4)=ROUND(B3151,4),$A$2:$A$3722)),"Efficient","Inefficient")</f>
        <v>Inefficient</v>
      </c>
    </row>
    <row r="3152" spans="1:6" x14ac:dyDescent="0.25">
      <c r="A3152" cm="1">
        <f t="array" ref="A3152">INDEX('Portfolio Weights Returns'!$B$9:$BJ$69,
INT((ROW(A3151)-1)/COLUMNS('Portfolio Weights Returns'!$B$9:$BJ$69))+1,MOD(ROW(A3151)-1,COLUMNS('Portfolio Weights Returns'!$B$9:$BJ$69))+1)</f>
        <v>-5.9522491980269147E-4</v>
      </c>
      <c r="B3152">
        <v>2.3699999999999999E-2</v>
      </c>
      <c r="C3152" s="59">
        <v>-0.25</v>
      </c>
      <c r="D3152" s="59">
        <v>-0.04</v>
      </c>
      <c r="E3152" s="60">
        <f t="shared" si="49"/>
        <v>1.29</v>
      </c>
      <c r="F3152" t="str" cm="1">
        <f t="array" ref="F3152">IF(A3152=MAX(IF(ROUND($B$2:$B$3722,4)=ROUND(B3152,4),$A$2:$A$3722)),"Efficient","Inefficient")</f>
        <v>Inefficient</v>
      </c>
    </row>
    <row r="3153" spans="1:6" x14ac:dyDescent="0.25">
      <c r="A3153" cm="1">
        <f t="array" ref="A3153">INDEX('Portfolio Weights Returns'!$B$9:$BJ$69,
INT((ROW(A3152)-1)/COLUMNS('Portfolio Weights Returns'!$B$9:$BJ$69))+1,MOD(ROW(A3152)-1,COLUMNS('Portfolio Weights Returns'!$B$9:$BJ$69))+1)</f>
        <v>-5.8844374583601233E-4</v>
      </c>
      <c r="B3153">
        <v>2.3699999999999999E-2</v>
      </c>
      <c r="C3153" s="59">
        <v>-0.26</v>
      </c>
      <c r="D3153" s="59">
        <v>-0.03</v>
      </c>
      <c r="E3153" s="60">
        <f t="shared" si="49"/>
        <v>1.29</v>
      </c>
      <c r="F3153" t="str" cm="1">
        <f t="array" ref="F3153">IF(A3153=MAX(IF(ROUND($B$2:$B$3722,4)=ROUND(B3153,4),$A$2:$A$3722)),"Efficient","Inefficient")</f>
        <v>Inefficient</v>
      </c>
    </row>
    <row r="3154" spans="1:6" x14ac:dyDescent="0.25">
      <c r="A3154" cm="1">
        <f t="array" ref="A3154">INDEX('Portfolio Weights Returns'!$B$9:$BJ$69,
INT((ROW(A3153)-1)/COLUMNS('Portfolio Weights Returns'!$B$9:$BJ$69))+1,MOD(ROW(A3153)-1,COLUMNS('Portfolio Weights Returns'!$B$9:$BJ$69))+1)</f>
        <v>-5.8166257186933329E-4</v>
      </c>
      <c r="B3154">
        <v>2.3699999999999999E-2</v>
      </c>
      <c r="C3154" s="59">
        <v>-0.27</v>
      </c>
      <c r="D3154" s="59">
        <v>-0.02</v>
      </c>
      <c r="E3154" s="60">
        <f t="shared" si="49"/>
        <v>1.29</v>
      </c>
      <c r="F3154" t="str" cm="1">
        <f t="array" ref="F3154">IF(A3154=MAX(IF(ROUND($B$2:$B$3722,4)=ROUND(B3154,4),$A$2:$A$3722)),"Efficient","Inefficient")</f>
        <v>Inefficient</v>
      </c>
    </row>
    <row r="3155" spans="1:6" x14ac:dyDescent="0.25">
      <c r="A3155" cm="1">
        <f t="array" ref="A3155">INDEX('Portfolio Weights Returns'!$B$9:$BJ$69,
INT((ROW(A3154)-1)/COLUMNS('Portfolio Weights Returns'!$B$9:$BJ$69))+1,MOD(ROW(A3154)-1,COLUMNS('Portfolio Weights Returns'!$B$9:$BJ$69))+1)</f>
        <v>-5.7488139790265414E-4</v>
      </c>
      <c r="B3155">
        <v>2.3699999999999999E-2</v>
      </c>
      <c r="C3155" s="59">
        <v>-0.28999999999999998</v>
      </c>
      <c r="D3155" s="59">
        <v>0.01</v>
      </c>
      <c r="E3155" s="60">
        <f t="shared" si="49"/>
        <v>1.28</v>
      </c>
      <c r="F3155" t="str" cm="1">
        <f t="array" ref="F3155">IF(A3155=MAX(IF(ROUND($B$2:$B$3722,4)=ROUND(B3155,4),$A$2:$A$3722)),"Efficient","Inefficient")</f>
        <v>Inefficient</v>
      </c>
    </row>
    <row r="3156" spans="1:6" x14ac:dyDescent="0.25">
      <c r="A3156" cm="1">
        <f t="array" ref="A3156">INDEX('Portfolio Weights Returns'!$B$9:$BJ$69,
INT((ROW(A3155)-1)/COLUMNS('Portfolio Weights Returns'!$B$9:$BJ$69))+1,MOD(ROW(A3155)-1,COLUMNS('Portfolio Weights Returns'!$B$9:$BJ$69))+1)</f>
        <v>-5.6810022393597511E-4</v>
      </c>
      <c r="B3156">
        <v>2.3699999999999999E-2</v>
      </c>
      <c r="C3156" s="59">
        <v>-0.3</v>
      </c>
      <c r="D3156" s="59">
        <v>0.02</v>
      </c>
      <c r="E3156" s="60">
        <f t="shared" si="49"/>
        <v>1.28</v>
      </c>
      <c r="F3156" t="str" cm="1">
        <f t="array" ref="F3156">IF(A3156=MAX(IF(ROUND($B$2:$B$3722,4)=ROUND(B3156,4),$A$2:$A$3722)),"Efficient","Inefficient")</f>
        <v>Efficient</v>
      </c>
    </row>
    <row r="3157" spans="1:6" x14ac:dyDescent="0.25">
      <c r="A3157" cm="1">
        <f t="array" ref="A3157">INDEX('Portfolio Weights Returns'!$B$9:$BJ$69,
INT((ROW(A3156)-1)/COLUMNS('Portfolio Weights Returns'!$B$9:$BJ$69))+1,MOD(ROW(A3156)-1,COLUMNS('Portfolio Weights Returns'!$B$9:$BJ$69))+1)</f>
        <v>-5.6131904996929586E-4</v>
      </c>
      <c r="B3157">
        <v>2.3800000000000002E-2</v>
      </c>
      <c r="C3157" s="59">
        <v>7.0000000000000007E-2</v>
      </c>
      <c r="D3157" s="59">
        <v>-0.28999999999999998</v>
      </c>
      <c r="E3157" s="60">
        <f t="shared" si="49"/>
        <v>1.22</v>
      </c>
      <c r="F3157" t="str" cm="1">
        <f t="array" ref="F3157">IF(A3157=MAX(IF(ROUND($B$2:$B$3722,4)=ROUND(B3157,4),$A$2:$A$3722)),"Efficient","Inefficient")</f>
        <v>Inefficient</v>
      </c>
    </row>
    <row r="3158" spans="1:6" x14ac:dyDescent="0.25">
      <c r="A3158" cm="1">
        <f t="array" ref="A3158">INDEX('Portfolio Weights Returns'!$B$9:$BJ$69,
INT((ROW(A3157)-1)/COLUMNS('Portfolio Weights Returns'!$B$9:$BJ$69))+1,MOD(ROW(A3157)-1,COLUMNS('Portfolio Weights Returns'!$B$9:$BJ$69))+1)</f>
        <v>-5.5453787600261682E-4</v>
      </c>
      <c r="B3158">
        <v>2.3800000000000002E-2</v>
      </c>
      <c r="C3158" s="59">
        <v>0.05</v>
      </c>
      <c r="D3158" s="59">
        <v>-0.28000000000000003</v>
      </c>
      <c r="E3158" s="60">
        <f t="shared" si="49"/>
        <v>1.23</v>
      </c>
      <c r="F3158" t="str" cm="1">
        <f t="array" ref="F3158">IF(A3158=MAX(IF(ROUND($B$2:$B$3722,4)=ROUND(B3158,4),$A$2:$A$3722)),"Efficient","Inefficient")</f>
        <v>Inefficient</v>
      </c>
    </row>
    <row r="3159" spans="1:6" x14ac:dyDescent="0.25">
      <c r="A3159" cm="1">
        <f t="array" ref="A3159">INDEX('Portfolio Weights Returns'!$B$9:$BJ$69,
INT((ROW(A3158)-1)/COLUMNS('Portfolio Weights Returns'!$B$9:$BJ$69))+1,MOD(ROW(A3158)-1,COLUMNS('Portfolio Weights Returns'!$B$9:$BJ$69))+1)</f>
        <v>-5.4775670203593768E-4</v>
      </c>
      <c r="B3159">
        <v>2.3800000000000002E-2</v>
      </c>
      <c r="C3159" s="59">
        <v>0.02</v>
      </c>
      <c r="D3159" s="59">
        <v>-0.26</v>
      </c>
      <c r="E3159" s="60">
        <f t="shared" si="49"/>
        <v>1.24</v>
      </c>
      <c r="F3159" t="str" cm="1">
        <f t="array" ref="F3159">IF(A3159=MAX(IF(ROUND($B$2:$B$3722,4)=ROUND(B3159,4),$A$2:$A$3722)),"Efficient","Inefficient")</f>
        <v>Inefficient</v>
      </c>
    </row>
    <row r="3160" spans="1:6" x14ac:dyDescent="0.25">
      <c r="A3160" cm="1">
        <f t="array" ref="A3160">INDEX('Portfolio Weights Returns'!$B$9:$BJ$69,
INT((ROW(A3159)-1)/COLUMNS('Portfolio Weights Returns'!$B$9:$BJ$69))+1,MOD(ROW(A3159)-1,COLUMNS('Portfolio Weights Returns'!$B$9:$BJ$69))+1)</f>
        <v>-5.4097552806925864E-4</v>
      </c>
      <c r="B3160">
        <v>2.3800000000000002E-2</v>
      </c>
      <c r="C3160" s="59">
        <v>0</v>
      </c>
      <c r="D3160" s="59">
        <v>-0.25</v>
      </c>
      <c r="E3160" s="60">
        <f t="shared" si="49"/>
        <v>1.25</v>
      </c>
      <c r="F3160" t="str" cm="1">
        <f t="array" ref="F3160">IF(A3160=MAX(IF(ROUND($B$2:$B$3722,4)=ROUND(B3160,4),$A$2:$A$3722)),"Efficient","Inefficient")</f>
        <v>Inefficient</v>
      </c>
    </row>
    <row r="3161" spans="1:6" x14ac:dyDescent="0.25">
      <c r="A3161" cm="1">
        <f t="array" ref="A3161">INDEX('Portfolio Weights Returns'!$B$9:$BJ$69,
INT((ROW(A3160)-1)/COLUMNS('Portfolio Weights Returns'!$B$9:$BJ$69))+1,MOD(ROW(A3160)-1,COLUMNS('Portfolio Weights Returns'!$B$9:$BJ$69))+1)</f>
        <v>-5.3419435410257949E-4</v>
      </c>
      <c r="B3161">
        <v>2.3800000000000002E-2</v>
      </c>
      <c r="C3161" s="59">
        <v>-0.03</v>
      </c>
      <c r="D3161" s="59">
        <v>-0.23</v>
      </c>
      <c r="E3161" s="60">
        <f t="shared" si="49"/>
        <v>1.26</v>
      </c>
      <c r="F3161" t="str" cm="1">
        <f t="array" ref="F3161">IF(A3161=MAX(IF(ROUND($B$2:$B$3722,4)=ROUND(B3161,4),$A$2:$A$3722)),"Efficient","Inefficient")</f>
        <v>Inefficient</v>
      </c>
    </row>
    <row r="3162" spans="1:6" x14ac:dyDescent="0.25">
      <c r="A3162" cm="1">
        <f t="array" ref="A3162">INDEX('Portfolio Weights Returns'!$B$9:$BJ$69,
INT((ROW(A3161)-1)/COLUMNS('Portfolio Weights Returns'!$B$9:$BJ$69))+1,MOD(ROW(A3161)-1,COLUMNS('Portfolio Weights Returns'!$B$9:$BJ$69))+1)</f>
        <v>-5.2741318013590046E-4</v>
      </c>
      <c r="B3162">
        <v>2.3800000000000002E-2</v>
      </c>
      <c r="C3162" s="59">
        <v>-0.06</v>
      </c>
      <c r="D3162" s="59">
        <v>-0.21</v>
      </c>
      <c r="E3162" s="60">
        <f t="shared" si="49"/>
        <v>1.27</v>
      </c>
      <c r="F3162" t="str" cm="1">
        <f t="array" ref="F3162">IF(A3162=MAX(IF(ROUND($B$2:$B$3722,4)=ROUND(B3162,4),$A$2:$A$3722)),"Efficient","Inefficient")</f>
        <v>Inefficient</v>
      </c>
    </row>
    <row r="3163" spans="1:6" x14ac:dyDescent="0.25">
      <c r="A3163" cm="1">
        <f t="array" ref="A3163">INDEX('Portfolio Weights Returns'!$B$9:$BJ$69,
INT((ROW(A3162)-1)/COLUMNS('Portfolio Weights Returns'!$B$9:$BJ$69))+1,MOD(ROW(A3162)-1,COLUMNS('Portfolio Weights Returns'!$B$9:$BJ$69))+1)</f>
        <v>-5.2063200616922131E-4</v>
      </c>
      <c r="B3163">
        <v>2.3800000000000002E-2</v>
      </c>
      <c r="C3163" s="59">
        <v>-7.0000000000000007E-2</v>
      </c>
      <c r="D3163" s="59">
        <v>-0.2</v>
      </c>
      <c r="E3163" s="60">
        <f t="shared" si="49"/>
        <v>1.27</v>
      </c>
      <c r="F3163" t="str" cm="1">
        <f t="array" ref="F3163">IF(A3163=MAX(IF(ROUND($B$2:$B$3722,4)=ROUND(B3163,4),$A$2:$A$3722)),"Efficient","Inefficient")</f>
        <v>Inefficient</v>
      </c>
    </row>
    <row r="3164" spans="1:6" x14ac:dyDescent="0.25">
      <c r="A3164" cm="1">
        <f t="array" ref="A3164">INDEX('Portfolio Weights Returns'!$B$9:$BJ$69,
INT((ROW(A3163)-1)/COLUMNS('Portfolio Weights Returns'!$B$9:$BJ$69))+1,MOD(ROW(A3163)-1,COLUMNS('Portfolio Weights Returns'!$B$9:$BJ$69))+1)</f>
        <v>-5.1385083220254217E-4</v>
      </c>
      <c r="B3164">
        <v>2.3800000000000002E-2</v>
      </c>
      <c r="C3164" s="59">
        <v>-0.1</v>
      </c>
      <c r="D3164" s="59">
        <v>-0.18</v>
      </c>
      <c r="E3164" s="60">
        <f t="shared" si="49"/>
        <v>1.28</v>
      </c>
      <c r="F3164" t="str" cm="1">
        <f t="array" ref="F3164">IF(A3164=MAX(IF(ROUND($B$2:$B$3722,4)=ROUND(B3164,4),$A$2:$A$3722)),"Efficient","Inefficient")</f>
        <v>Inefficient</v>
      </c>
    </row>
    <row r="3165" spans="1:6" x14ac:dyDescent="0.25">
      <c r="A3165" cm="1">
        <f t="array" ref="A3165">INDEX('Portfolio Weights Returns'!$B$9:$BJ$69,
INT((ROW(A3164)-1)/COLUMNS('Portfolio Weights Returns'!$B$9:$BJ$69))+1,MOD(ROW(A3164)-1,COLUMNS('Portfolio Weights Returns'!$B$9:$BJ$69))+1)</f>
        <v>-5.0706965823586313E-4</v>
      </c>
      <c r="B3165">
        <v>2.3800000000000002E-2</v>
      </c>
      <c r="C3165" s="59">
        <v>-0.11</v>
      </c>
      <c r="D3165" s="59">
        <v>-0.17</v>
      </c>
      <c r="E3165" s="60">
        <f t="shared" si="49"/>
        <v>1.28</v>
      </c>
      <c r="F3165" t="str" cm="1">
        <f t="array" ref="F3165">IF(A3165=MAX(IF(ROUND($B$2:$B$3722,4)=ROUND(B3165,4),$A$2:$A$3722)),"Efficient","Inefficient")</f>
        <v>Inefficient</v>
      </c>
    </row>
    <row r="3166" spans="1:6" x14ac:dyDescent="0.25">
      <c r="A3166" cm="1">
        <f t="array" ref="A3166">INDEX('Portfolio Weights Returns'!$B$9:$BJ$69,
INT((ROW(A3165)-1)/COLUMNS('Portfolio Weights Returns'!$B$9:$BJ$69))+1,MOD(ROW(A3165)-1,COLUMNS('Portfolio Weights Returns'!$B$9:$BJ$69))+1)</f>
        <v>-5.0028848426918399E-4</v>
      </c>
      <c r="B3166">
        <v>2.3800000000000002E-2</v>
      </c>
      <c r="C3166" s="59">
        <v>-0.14000000000000001</v>
      </c>
      <c r="D3166" s="59">
        <v>-0.15</v>
      </c>
      <c r="E3166" s="60">
        <f t="shared" si="49"/>
        <v>1.29</v>
      </c>
      <c r="F3166" t="str" cm="1">
        <f t="array" ref="F3166">IF(A3166=MAX(IF(ROUND($B$2:$B$3722,4)=ROUND(B3166,4),$A$2:$A$3722)),"Efficient","Inefficient")</f>
        <v>Inefficient</v>
      </c>
    </row>
    <row r="3167" spans="1:6" x14ac:dyDescent="0.25">
      <c r="A3167" cm="1">
        <f t="array" ref="A3167">INDEX('Portfolio Weights Returns'!$B$9:$BJ$69,
INT((ROW(A3166)-1)/COLUMNS('Portfolio Weights Returns'!$B$9:$BJ$69))+1,MOD(ROW(A3166)-1,COLUMNS('Portfolio Weights Returns'!$B$9:$BJ$69))+1)</f>
        <v>-4.9350731030250485E-4</v>
      </c>
      <c r="B3167">
        <v>2.3800000000000002E-2</v>
      </c>
      <c r="C3167" s="59">
        <v>-0.15</v>
      </c>
      <c r="D3167" s="59">
        <v>-0.14000000000000001</v>
      </c>
      <c r="E3167" s="60">
        <f t="shared" si="49"/>
        <v>1.29</v>
      </c>
      <c r="F3167" t="str" cm="1">
        <f t="array" ref="F3167">IF(A3167=MAX(IF(ROUND($B$2:$B$3722,4)=ROUND(B3167,4),$A$2:$A$3722)),"Efficient","Inefficient")</f>
        <v>Inefficient</v>
      </c>
    </row>
    <row r="3168" spans="1:6" x14ac:dyDescent="0.25">
      <c r="A3168" cm="1">
        <f t="array" ref="A3168">INDEX('Portfolio Weights Returns'!$B$9:$BJ$69,
INT((ROW(A3167)-1)/COLUMNS('Portfolio Weights Returns'!$B$9:$BJ$69))+1,MOD(ROW(A3167)-1,COLUMNS('Portfolio Weights Returns'!$B$9:$BJ$69))+1)</f>
        <v>-4.8672613633582575E-4</v>
      </c>
      <c r="B3168">
        <v>2.3800000000000002E-2</v>
      </c>
      <c r="C3168" s="59">
        <v>-0.16</v>
      </c>
      <c r="D3168" s="59">
        <v>-0.13</v>
      </c>
      <c r="E3168" s="60">
        <f t="shared" si="49"/>
        <v>1.2899999999999998</v>
      </c>
      <c r="F3168" t="str" cm="1">
        <f t="array" ref="F3168">IF(A3168=MAX(IF(ROUND($B$2:$B$3722,4)=ROUND(B3168,4),$A$2:$A$3722)),"Efficient","Inefficient")</f>
        <v>Inefficient</v>
      </c>
    </row>
    <row r="3169" spans="1:6" x14ac:dyDescent="0.25">
      <c r="A3169" cm="1">
        <f t="array" ref="A3169">INDEX('Portfolio Weights Returns'!$B$9:$BJ$69,
INT((ROW(A3168)-1)/COLUMNS('Portfolio Weights Returns'!$B$9:$BJ$69))+1,MOD(ROW(A3168)-1,COLUMNS('Portfolio Weights Returns'!$B$9:$BJ$69))+1)</f>
        <v>-4.7994496236914666E-4</v>
      </c>
      <c r="B3169">
        <v>2.3800000000000002E-2</v>
      </c>
      <c r="C3169" s="59">
        <v>-0.22</v>
      </c>
      <c r="D3169" s="59">
        <v>-0.08</v>
      </c>
      <c r="E3169" s="60">
        <f t="shared" si="49"/>
        <v>1.3</v>
      </c>
      <c r="F3169" t="str" cm="1">
        <f t="array" ref="F3169">IF(A3169=MAX(IF(ROUND($B$2:$B$3722,4)=ROUND(B3169,4),$A$2:$A$3722)),"Efficient","Inefficient")</f>
        <v>Inefficient</v>
      </c>
    </row>
    <row r="3170" spans="1:6" x14ac:dyDescent="0.25">
      <c r="A3170" cm="1">
        <f t="array" ref="A3170">INDEX('Portfolio Weights Returns'!$B$9:$BJ$69,
INT((ROW(A3169)-1)/COLUMNS('Portfolio Weights Returns'!$B$9:$BJ$69))+1,MOD(ROW(A3169)-1,COLUMNS('Portfolio Weights Returns'!$B$9:$BJ$69))+1)</f>
        <v>-4.7316378840246687E-4</v>
      </c>
      <c r="B3170">
        <v>2.3800000000000002E-2</v>
      </c>
      <c r="C3170" s="59">
        <v>-0.23</v>
      </c>
      <c r="D3170" s="59">
        <v>-7.0000000000000007E-2</v>
      </c>
      <c r="E3170" s="60">
        <f t="shared" si="49"/>
        <v>1.3</v>
      </c>
      <c r="F3170" t="str" cm="1">
        <f t="array" ref="F3170">IF(A3170=MAX(IF(ROUND($B$2:$B$3722,4)=ROUND(B3170,4),$A$2:$A$3722)),"Efficient","Inefficient")</f>
        <v>Inefficient</v>
      </c>
    </row>
    <row r="3171" spans="1:6" x14ac:dyDescent="0.25">
      <c r="A3171" cm="1">
        <f t="array" ref="A3171">INDEX('Portfolio Weights Returns'!$B$9:$BJ$69,
INT((ROW(A3170)-1)/COLUMNS('Portfolio Weights Returns'!$B$9:$BJ$69))+1,MOD(ROW(A3170)-1,COLUMNS('Portfolio Weights Returns'!$B$9:$BJ$69))+1)</f>
        <v>-4.6638261443578778E-4</v>
      </c>
      <c r="B3171">
        <v>2.3800000000000002E-2</v>
      </c>
      <c r="C3171" s="59">
        <v>-0.24</v>
      </c>
      <c r="D3171" s="59">
        <v>-0.06</v>
      </c>
      <c r="E3171" s="60">
        <f t="shared" si="49"/>
        <v>1.3</v>
      </c>
      <c r="F3171" t="str" cm="1">
        <f t="array" ref="F3171">IF(A3171=MAX(IF(ROUND($B$2:$B$3722,4)=ROUND(B3171,4),$A$2:$A$3722)),"Efficient","Inefficient")</f>
        <v>Inefficient</v>
      </c>
    </row>
    <row r="3172" spans="1:6" x14ac:dyDescent="0.25">
      <c r="A3172" cm="1">
        <f t="array" ref="A3172">INDEX('Portfolio Weights Returns'!$B$9:$BJ$69,
INT((ROW(A3171)-1)/COLUMNS('Portfolio Weights Returns'!$B$9:$BJ$69))+1,MOD(ROW(A3171)-1,COLUMNS('Portfolio Weights Returns'!$B$9:$BJ$69))+1)</f>
        <v>-4.5960144046910874E-4</v>
      </c>
      <c r="B3172">
        <v>2.3800000000000002E-2</v>
      </c>
      <c r="C3172" s="59">
        <v>-0.28000000000000003</v>
      </c>
      <c r="D3172" s="59">
        <v>-0.01</v>
      </c>
      <c r="E3172" s="60">
        <f t="shared" si="49"/>
        <v>1.29</v>
      </c>
      <c r="F3172" t="str" cm="1">
        <f t="array" ref="F3172">IF(A3172=MAX(IF(ROUND($B$2:$B$3722,4)=ROUND(B3172,4),$A$2:$A$3722)),"Efficient","Inefficient")</f>
        <v>Inefficient</v>
      </c>
    </row>
    <row r="3173" spans="1:6" x14ac:dyDescent="0.25">
      <c r="A3173" cm="1">
        <f t="array" ref="A3173">INDEX('Portfolio Weights Returns'!$B$9:$BJ$69,
INT((ROW(A3172)-1)/COLUMNS('Portfolio Weights Returns'!$B$9:$BJ$69))+1,MOD(ROW(A3172)-1,COLUMNS('Portfolio Weights Returns'!$B$9:$BJ$69))+1)</f>
        <v>-4.5282026650242965E-4</v>
      </c>
      <c r="B3173">
        <v>2.3800000000000002E-2</v>
      </c>
      <c r="C3173" s="59">
        <v>-0.28999999999999998</v>
      </c>
      <c r="D3173" s="59">
        <v>0</v>
      </c>
      <c r="E3173" s="60">
        <f t="shared" si="49"/>
        <v>1.29</v>
      </c>
      <c r="F3173" t="str" cm="1">
        <f t="array" ref="F3173">IF(A3173=MAX(IF(ROUND($B$2:$B$3722,4)=ROUND(B3173,4),$A$2:$A$3722)),"Efficient","Inefficient")</f>
        <v>Efficient</v>
      </c>
    </row>
    <row r="3174" spans="1:6" x14ac:dyDescent="0.25">
      <c r="A3174" cm="1">
        <f t="array" ref="A3174">INDEX('Portfolio Weights Returns'!$B$9:$BJ$69,
INT((ROW(A3173)-1)/COLUMNS('Portfolio Weights Returns'!$B$9:$BJ$69))+1,MOD(ROW(A3173)-1,COLUMNS('Portfolio Weights Returns'!$B$9:$BJ$69))+1)</f>
        <v>-8.5311649665772136E-4</v>
      </c>
      <c r="B3174">
        <v>2.3800000000000002E-2</v>
      </c>
      <c r="C3174" s="59">
        <v>-0.3</v>
      </c>
      <c r="D3174" s="59">
        <v>0.01</v>
      </c>
      <c r="E3174" s="60">
        <f t="shared" si="49"/>
        <v>1.29</v>
      </c>
      <c r="F3174" t="str" cm="1">
        <f t="array" ref="F3174">IF(A3174=MAX(IF(ROUND($B$2:$B$3722,4)=ROUND(B3174,4),$A$2:$A$3722)),"Efficient","Inefficient")</f>
        <v>Inefficient</v>
      </c>
    </row>
    <row r="3175" spans="1:6" x14ac:dyDescent="0.25">
      <c r="A3175" cm="1">
        <f t="array" ref="A3175">INDEX('Portfolio Weights Returns'!$B$9:$BJ$69,
INT((ROW(A3174)-1)/COLUMNS('Portfolio Weights Returns'!$B$9:$BJ$69))+1,MOD(ROW(A3174)-1,COLUMNS('Portfolio Weights Returns'!$B$9:$BJ$69))+1)</f>
        <v>-8.4633532269104222E-4</v>
      </c>
      <c r="B3175">
        <v>2.3900000000000001E-2</v>
      </c>
      <c r="C3175" s="59">
        <v>0.08</v>
      </c>
      <c r="D3175" s="59">
        <v>-0.3</v>
      </c>
      <c r="E3175" s="60">
        <f t="shared" si="49"/>
        <v>1.22</v>
      </c>
      <c r="F3175" t="str" cm="1">
        <f t="array" ref="F3175">IF(A3175=MAX(IF(ROUND($B$2:$B$3722,4)=ROUND(B3175,4),$A$2:$A$3722)),"Efficient","Inefficient")</f>
        <v>Inefficient</v>
      </c>
    </row>
    <row r="3176" spans="1:6" x14ac:dyDescent="0.25">
      <c r="A3176" cm="1">
        <f t="array" ref="A3176">INDEX('Portfolio Weights Returns'!$B$9:$BJ$69,
INT((ROW(A3175)-1)/COLUMNS('Portfolio Weights Returns'!$B$9:$BJ$69))+1,MOD(ROW(A3175)-1,COLUMNS('Portfolio Weights Returns'!$B$9:$BJ$69))+1)</f>
        <v>-8.3955414872436318E-4</v>
      </c>
      <c r="B3176">
        <v>2.3900000000000001E-2</v>
      </c>
      <c r="C3176" s="59">
        <v>0.06</v>
      </c>
      <c r="D3176" s="59">
        <v>-0.28999999999999998</v>
      </c>
      <c r="E3176" s="60">
        <f t="shared" si="49"/>
        <v>1.23</v>
      </c>
      <c r="F3176" t="str" cm="1">
        <f t="array" ref="F3176">IF(A3176=MAX(IF(ROUND($B$2:$B$3722,4)=ROUND(B3176,4),$A$2:$A$3722)),"Efficient","Inefficient")</f>
        <v>Inefficient</v>
      </c>
    </row>
    <row r="3177" spans="1:6" x14ac:dyDescent="0.25">
      <c r="A3177" cm="1">
        <f t="array" ref="A3177">INDEX('Portfolio Weights Returns'!$B$9:$BJ$69,
INT((ROW(A3176)-1)/COLUMNS('Portfolio Weights Returns'!$B$9:$BJ$69))+1,MOD(ROW(A3176)-1,COLUMNS('Portfolio Weights Returns'!$B$9:$BJ$69))+1)</f>
        <v>-8.3277297475768404E-4</v>
      </c>
      <c r="B3177">
        <v>2.3900000000000001E-2</v>
      </c>
      <c r="C3177" s="59">
        <v>0.03</v>
      </c>
      <c r="D3177" s="59">
        <v>-0.27</v>
      </c>
      <c r="E3177" s="60">
        <f t="shared" si="49"/>
        <v>1.24</v>
      </c>
      <c r="F3177" t="str" cm="1">
        <f t="array" ref="F3177">IF(A3177=MAX(IF(ROUND($B$2:$B$3722,4)=ROUND(B3177,4),$A$2:$A$3722)),"Efficient","Inefficient")</f>
        <v>Inefficient</v>
      </c>
    </row>
    <row r="3178" spans="1:6" x14ac:dyDescent="0.25">
      <c r="A3178" cm="1">
        <f t="array" ref="A3178">INDEX('Portfolio Weights Returns'!$B$9:$BJ$69,
INT((ROW(A3177)-1)/COLUMNS('Portfolio Weights Returns'!$B$9:$BJ$69))+1,MOD(ROW(A3177)-1,COLUMNS('Portfolio Weights Returns'!$B$9:$BJ$69))+1)</f>
        <v>-8.25991800791005E-4</v>
      </c>
      <c r="B3178">
        <v>2.3900000000000001E-2</v>
      </c>
      <c r="C3178" s="59">
        <v>0.01</v>
      </c>
      <c r="D3178" s="59">
        <v>-0.26</v>
      </c>
      <c r="E3178" s="60">
        <f t="shared" si="49"/>
        <v>1.25</v>
      </c>
      <c r="F3178" t="str" cm="1">
        <f t="array" ref="F3178">IF(A3178=MAX(IF(ROUND($B$2:$B$3722,4)=ROUND(B3178,4),$A$2:$A$3722)),"Efficient","Inefficient")</f>
        <v>Inefficient</v>
      </c>
    </row>
    <row r="3179" spans="1:6" x14ac:dyDescent="0.25">
      <c r="A3179" cm="1">
        <f t="array" ref="A3179">INDEX('Portfolio Weights Returns'!$B$9:$BJ$69,
INT((ROW(A3178)-1)/COLUMNS('Portfolio Weights Returns'!$B$9:$BJ$69))+1,MOD(ROW(A3178)-1,COLUMNS('Portfolio Weights Returns'!$B$9:$BJ$69))+1)</f>
        <v>-8.1921062682432575E-4</v>
      </c>
      <c r="B3179">
        <v>2.3900000000000001E-2</v>
      </c>
      <c r="C3179" s="59">
        <v>-0.02</v>
      </c>
      <c r="D3179" s="59">
        <v>-0.24</v>
      </c>
      <c r="E3179" s="60">
        <f t="shared" si="49"/>
        <v>1.26</v>
      </c>
      <c r="F3179" t="str" cm="1">
        <f t="array" ref="F3179">IF(A3179=MAX(IF(ROUND($B$2:$B$3722,4)=ROUND(B3179,4),$A$2:$A$3722)),"Efficient","Inefficient")</f>
        <v>Inefficient</v>
      </c>
    </row>
    <row r="3180" spans="1:6" x14ac:dyDescent="0.25">
      <c r="A3180" cm="1">
        <f t="array" ref="A3180">INDEX('Portfolio Weights Returns'!$B$9:$BJ$69,
INT((ROW(A3179)-1)/COLUMNS('Portfolio Weights Returns'!$B$9:$BJ$69))+1,MOD(ROW(A3179)-1,COLUMNS('Portfolio Weights Returns'!$B$9:$BJ$69))+1)</f>
        <v>-8.1242945285764671E-4</v>
      </c>
      <c r="B3180">
        <v>2.3900000000000001E-2</v>
      </c>
      <c r="C3180" s="59">
        <v>-0.05</v>
      </c>
      <c r="D3180" s="59">
        <v>-0.22</v>
      </c>
      <c r="E3180" s="60">
        <f t="shared" si="49"/>
        <v>1.27</v>
      </c>
      <c r="F3180" t="str" cm="1">
        <f t="array" ref="F3180">IF(A3180=MAX(IF(ROUND($B$2:$B$3722,4)=ROUND(B3180,4),$A$2:$A$3722)),"Efficient","Inefficient")</f>
        <v>Inefficient</v>
      </c>
    </row>
    <row r="3181" spans="1:6" x14ac:dyDescent="0.25">
      <c r="A3181" cm="1">
        <f t="array" ref="A3181">INDEX('Portfolio Weights Returns'!$B$9:$BJ$69,
INT((ROW(A3180)-1)/COLUMNS('Portfolio Weights Returns'!$B$9:$BJ$69))+1,MOD(ROW(A3180)-1,COLUMNS('Portfolio Weights Returns'!$B$9:$BJ$69))+1)</f>
        <v>-8.0564827889096757E-4</v>
      </c>
      <c r="B3181">
        <v>2.3900000000000001E-2</v>
      </c>
      <c r="C3181" s="59">
        <v>-0.08</v>
      </c>
      <c r="D3181" s="59">
        <v>-0.2</v>
      </c>
      <c r="E3181" s="60">
        <f t="shared" si="49"/>
        <v>1.28</v>
      </c>
      <c r="F3181" t="str" cm="1">
        <f t="array" ref="F3181">IF(A3181=MAX(IF(ROUND($B$2:$B$3722,4)=ROUND(B3181,4),$A$2:$A$3722)),"Efficient","Inefficient")</f>
        <v>Inefficient</v>
      </c>
    </row>
    <row r="3182" spans="1:6" x14ac:dyDescent="0.25">
      <c r="A3182" cm="1">
        <f t="array" ref="A3182">INDEX('Portfolio Weights Returns'!$B$9:$BJ$69,
INT((ROW(A3181)-1)/COLUMNS('Portfolio Weights Returns'!$B$9:$BJ$69))+1,MOD(ROW(A3181)-1,COLUMNS('Portfolio Weights Returns'!$B$9:$BJ$69))+1)</f>
        <v>-7.9886710492428842E-4</v>
      </c>
      <c r="B3182">
        <v>2.3900000000000001E-2</v>
      </c>
      <c r="C3182" s="59">
        <v>-0.09</v>
      </c>
      <c r="D3182" s="59">
        <v>-0.19</v>
      </c>
      <c r="E3182" s="60">
        <f t="shared" si="49"/>
        <v>1.28</v>
      </c>
      <c r="F3182" t="str" cm="1">
        <f t="array" ref="F3182">IF(A3182=MAX(IF(ROUND($B$2:$B$3722,4)=ROUND(B3182,4),$A$2:$A$3722)),"Efficient","Inefficient")</f>
        <v>Inefficient</v>
      </c>
    </row>
    <row r="3183" spans="1:6" x14ac:dyDescent="0.25">
      <c r="A3183" cm="1">
        <f t="array" ref="A3183">INDEX('Portfolio Weights Returns'!$B$9:$BJ$69,
INT((ROW(A3182)-1)/COLUMNS('Portfolio Weights Returns'!$B$9:$BJ$69))+1,MOD(ROW(A3182)-1,COLUMNS('Portfolio Weights Returns'!$B$9:$BJ$69))+1)</f>
        <v>-7.9208593095760939E-4</v>
      </c>
      <c r="B3183">
        <v>2.3900000000000001E-2</v>
      </c>
      <c r="C3183" s="59">
        <v>-0.12</v>
      </c>
      <c r="D3183" s="59">
        <v>-0.17</v>
      </c>
      <c r="E3183" s="60">
        <f t="shared" si="49"/>
        <v>1.29</v>
      </c>
      <c r="F3183" t="str" cm="1">
        <f t="array" ref="F3183">IF(A3183=MAX(IF(ROUND($B$2:$B$3722,4)=ROUND(B3183,4),$A$2:$A$3722)),"Efficient","Inefficient")</f>
        <v>Inefficient</v>
      </c>
    </row>
    <row r="3184" spans="1:6" x14ac:dyDescent="0.25">
      <c r="A3184" cm="1">
        <f t="array" ref="A3184">INDEX('Portfolio Weights Returns'!$B$9:$BJ$69,
INT((ROW(A3183)-1)/COLUMNS('Portfolio Weights Returns'!$B$9:$BJ$69))+1,MOD(ROW(A3183)-1,COLUMNS('Portfolio Weights Returns'!$B$9:$BJ$69))+1)</f>
        <v>-7.8530475699093024E-4</v>
      </c>
      <c r="B3184">
        <v>2.3900000000000001E-2</v>
      </c>
      <c r="C3184" s="59">
        <v>-0.13</v>
      </c>
      <c r="D3184" s="59">
        <v>-0.16</v>
      </c>
      <c r="E3184" s="60">
        <f t="shared" si="49"/>
        <v>1.29</v>
      </c>
      <c r="F3184" t="str" cm="1">
        <f t="array" ref="F3184">IF(A3184=MAX(IF(ROUND($B$2:$B$3722,4)=ROUND(B3184,4),$A$2:$A$3722)),"Efficient","Inefficient")</f>
        <v>Inefficient</v>
      </c>
    </row>
    <row r="3185" spans="1:6" x14ac:dyDescent="0.25">
      <c r="A3185" cm="1">
        <f t="array" ref="A3185">INDEX('Portfolio Weights Returns'!$B$9:$BJ$69,
INT((ROW(A3184)-1)/COLUMNS('Portfolio Weights Returns'!$B$9:$BJ$69))+1,MOD(ROW(A3184)-1,COLUMNS('Portfolio Weights Returns'!$B$9:$BJ$69))+1)</f>
        <v>-7.7852358302425121E-4</v>
      </c>
      <c r="B3185">
        <v>2.3900000000000001E-2</v>
      </c>
      <c r="C3185" s="59">
        <v>-0.17</v>
      </c>
      <c r="D3185" s="59">
        <v>-0.13</v>
      </c>
      <c r="E3185" s="60">
        <f t="shared" si="49"/>
        <v>1.2999999999999998</v>
      </c>
      <c r="F3185" t="str" cm="1">
        <f t="array" ref="F3185">IF(A3185=MAX(IF(ROUND($B$2:$B$3722,4)=ROUND(B3185,4),$A$2:$A$3722)),"Efficient","Inefficient")</f>
        <v>Inefficient</v>
      </c>
    </row>
    <row r="3186" spans="1:6" x14ac:dyDescent="0.25">
      <c r="A3186" cm="1">
        <f t="array" ref="A3186">INDEX('Portfolio Weights Returns'!$B$9:$BJ$69,
INT((ROW(A3185)-1)/COLUMNS('Portfolio Weights Returns'!$B$9:$BJ$69))+1,MOD(ROW(A3185)-1,COLUMNS('Portfolio Weights Returns'!$B$9:$BJ$69))+1)</f>
        <v>-7.7174240905757195E-4</v>
      </c>
      <c r="B3186">
        <v>2.3900000000000001E-2</v>
      </c>
      <c r="C3186" s="59">
        <v>-0.18</v>
      </c>
      <c r="D3186" s="59">
        <v>-0.12</v>
      </c>
      <c r="E3186" s="60">
        <f t="shared" si="49"/>
        <v>1.3</v>
      </c>
      <c r="F3186" t="str" cm="1">
        <f t="array" ref="F3186">IF(A3186=MAX(IF(ROUND($B$2:$B$3722,4)=ROUND(B3186,4),$A$2:$A$3722)),"Efficient","Inefficient")</f>
        <v>Inefficient</v>
      </c>
    </row>
    <row r="3187" spans="1:6" x14ac:dyDescent="0.25">
      <c r="A3187" cm="1">
        <f t="array" ref="A3187">INDEX('Portfolio Weights Returns'!$B$9:$BJ$69,
INT((ROW(A3186)-1)/COLUMNS('Portfolio Weights Returns'!$B$9:$BJ$69))+1,MOD(ROW(A3186)-1,COLUMNS('Portfolio Weights Returns'!$B$9:$BJ$69))+1)</f>
        <v>-7.6496123509089292E-4</v>
      </c>
      <c r="B3187">
        <v>2.3900000000000001E-2</v>
      </c>
      <c r="C3187" s="59">
        <v>-0.19</v>
      </c>
      <c r="D3187" s="59">
        <v>-0.11</v>
      </c>
      <c r="E3187" s="60">
        <f t="shared" si="49"/>
        <v>1.3</v>
      </c>
      <c r="F3187" t="str" cm="1">
        <f t="array" ref="F3187">IF(A3187=MAX(IF(ROUND($B$2:$B$3722,4)=ROUND(B3187,4),$A$2:$A$3722)),"Efficient","Inefficient")</f>
        <v>Inefficient</v>
      </c>
    </row>
    <row r="3188" spans="1:6" x14ac:dyDescent="0.25">
      <c r="A3188" cm="1">
        <f t="array" ref="A3188">INDEX('Portfolio Weights Returns'!$B$9:$BJ$69,
INT((ROW(A3187)-1)/COLUMNS('Portfolio Weights Returns'!$B$9:$BJ$69))+1,MOD(ROW(A3187)-1,COLUMNS('Portfolio Weights Returns'!$B$9:$BJ$69))+1)</f>
        <v>-7.5818006112421377E-4</v>
      </c>
      <c r="B3188">
        <v>2.3900000000000001E-2</v>
      </c>
      <c r="C3188" s="59">
        <v>-0.2</v>
      </c>
      <c r="D3188" s="59">
        <v>-0.1</v>
      </c>
      <c r="E3188" s="60">
        <f t="shared" si="49"/>
        <v>1.3</v>
      </c>
      <c r="F3188" t="str" cm="1">
        <f t="array" ref="F3188">IF(A3188=MAX(IF(ROUND($B$2:$B$3722,4)=ROUND(B3188,4),$A$2:$A$3722)),"Efficient","Inefficient")</f>
        <v>Inefficient</v>
      </c>
    </row>
    <row r="3189" spans="1:6" x14ac:dyDescent="0.25">
      <c r="A3189" cm="1">
        <f t="array" ref="A3189">INDEX('Portfolio Weights Returns'!$B$9:$BJ$69,
INT((ROW(A3188)-1)/COLUMNS('Portfolio Weights Returns'!$B$9:$BJ$69))+1,MOD(ROW(A3188)-1,COLUMNS('Portfolio Weights Returns'!$B$9:$BJ$69))+1)</f>
        <v>-7.5139888715753474E-4</v>
      </c>
      <c r="B3189">
        <v>2.3900000000000001E-2</v>
      </c>
      <c r="C3189" s="59">
        <v>-0.21</v>
      </c>
      <c r="D3189" s="59">
        <v>-0.09</v>
      </c>
      <c r="E3189" s="60">
        <f t="shared" si="49"/>
        <v>1.3</v>
      </c>
      <c r="F3189" t="str" cm="1">
        <f t="array" ref="F3189">IF(A3189=MAX(IF(ROUND($B$2:$B$3722,4)=ROUND(B3189,4),$A$2:$A$3722)),"Efficient","Inefficient")</f>
        <v>Inefficient</v>
      </c>
    </row>
    <row r="3190" spans="1:6" x14ac:dyDescent="0.25">
      <c r="A3190" cm="1">
        <f t="array" ref="A3190">INDEX('Portfolio Weights Returns'!$B$9:$BJ$69,
INT((ROW(A3189)-1)/COLUMNS('Portfolio Weights Returns'!$B$9:$BJ$69))+1,MOD(ROW(A3189)-1,COLUMNS('Portfolio Weights Returns'!$B$9:$BJ$69))+1)</f>
        <v>-7.446177131908557E-4</v>
      </c>
      <c r="B3190">
        <v>2.3900000000000001E-2</v>
      </c>
      <c r="C3190" s="59">
        <v>-0.25</v>
      </c>
      <c r="D3190" s="59">
        <v>-0.05</v>
      </c>
      <c r="E3190" s="60">
        <f t="shared" si="49"/>
        <v>1.3</v>
      </c>
      <c r="F3190" t="str" cm="1">
        <f t="array" ref="F3190">IF(A3190=MAX(IF(ROUND($B$2:$B$3722,4)=ROUND(B3190,4),$A$2:$A$3722)),"Efficient","Inefficient")</f>
        <v>Inefficient</v>
      </c>
    </row>
    <row r="3191" spans="1:6" x14ac:dyDescent="0.25">
      <c r="A3191" cm="1">
        <f t="array" ref="A3191">INDEX('Portfolio Weights Returns'!$B$9:$BJ$69,
INT((ROW(A3190)-1)/COLUMNS('Portfolio Weights Returns'!$B$9:$BJ$69))+1,MOD(ROW(A3190)-1,COLUMNS('Portfolio Weights Returns'!$B$9:$BJ$69))+1)</f>
        <v>-7.3783653922417645E-4</v>
      </c>
      <c r="B3191">
        <v>2.3900000000000001E-2</v>
      </c>
      <c r="C3191" s="59">
        <v>-0.26</v>
      </c>
      <c r="D3191" s="59">
        <v>-0.04</v>
      </c>
      <c r="E3191" s="60">
        <f t="shared" si="49"/>
        <v>1.3</v>
      </c>
      <c r="F3191" t="str" cm="1">
        <f t="array" ref="F3191">IF(A3191=MAX(IF(ROUND($B$2:$B$3722,4)=ROUND(B3191,4),$A$2:$A$3722)),"Efficient","Inefficient")</f>
        <v>Inefficient</v>
      </c>
    </row>
    <row r="3192" spans="1:6" x14ac:dyDescent="0.25">
      <c r="A3192" cm="1">
        <f t="array" ref="A3192">INDEX('Portfolio Weights Returns'!$B$9:$BJ$69,
INT((ROW(A3191)-1)/COLUMNS('Portfolio Weights Returns'!$B$9:$BJ$69))+1,MOD(ROW(A3191)-1,COLUMNS('Portfolio Weights Returns'!$B$9:$BJ$69))+1)</f>
        <v>-7.3105536525749752E-4</v>
      </c>
      <c r="B3192">
        <v>2.3900000000000001E-2</v>
      </c>
      <c r="C3192" s="59">
        <v>-0.27</v>
      </c>
      <c r="D3192" s="59">
        <v>-0.03</v>
      </c>
      <c r="E3192" s="60">
        <f t="shared" si="49"/>
        <v>1.3</v>
      </c>
      <c r="F3192" t="str" cm="1">
        <f t="array" ref="F3192">IF(A3192=MAX(IF(ROUND($B$2:$B$3722,4)=ROUND(B3192,4),$A$2:$A$3722)),"Efficient","Inefficient")</f>
        <v>Inefficient</v>
      </c>
    </row>
    <row r="3193" spans="1:6" x14ac:dyDescent="0.25">
      <c r="A3193" cm="1">
        <f t="array" ref="A3193">INDEX('Portfolio Weights Returns'!$B$9:$BJ$69,
INT((ROW(A3192)-1)/COLUMNS('Portfolio Weights Returns'!$B$9:$BJ$69))+1,MOD(ROW(A3192)-1,COLUMNS('Portfolio Weights Returns'!$B$9:$BJ$69))+1)</f>
        <v>-7.2427419129081837E-4</v>
      </c>
      <c r="B3193">
        <v>2.3900000000000001E-2</v>
      </c>
      <c r="C3193" s="59">
        <v>-0.28000000000000003</v>
      </c>
      <c r="D3193" s="59">
        <v>-0.02</v>
      </c>
      <c r="E3193" s="60">
        <f t="shared" si="49"/>
        <v>1.3</v>
      </c>
      <c r="F3193" t="str" cm="1">
        <f t="array" ref="F3193">IF(A3193=MAX(IF(ROUND($B$2:$B$3722,4)=ROUND(B3193,4),$A$2:$A$3722)),"Efficient","Inefficient")</f>
        <v>Inefficient</v>
      </c>
    </row>
    <row r="3194" spans="1:6" x14ac:dyDescent="0.25">
      <c r="A3194" cm="1">
        <f t="array" ref="A3194">INDEX('Portfolio Weights Returns'!$B$9:$BJ$69,
INT((ROW(A3193)-1)/COLUMNS('Portfolio Weights Returns'!$B$9:$BJ$69))+1,MOD(ROW(A3193)-1,COLUMNS('Portfolio Weights Returns'!$B$9:$BJ$69))+1)</f>
        <v>-7.1749301732413934E-4</v>
      </c>
      <c r="B3194">
        <v>2.3900000000000001E-2</v>
      </c>
      <c r="C3194" s="59">
        <v>-0.28999999999999998</v>
      </c>
      <c r="D3194" s="59">
        <v>-0.01</v>
      </c>
      <c r="E3194" s="60">
        <f t="shared" si="49"/>
        <v>1.3</v>
      </c>
      <c r="F3194" t="str" cm="1">
        <f t="array" ref="F3194">IF(A3194=MAX(IF(ROUND($B$2:$B$3722,4)=ROUND(B3194,4),$A$2:$A$3722)),"Efficient","Inefficient")</f>
        <v>Efficient</v>
      </c>
    </row>
    <row r="3195" spans="1:6" x14ac:dyDescent="0.25">
      <c r="A3195" cm="1">
        <f t="array" ref="A3195">INDEX('Portfolio Weights Returns'!$B$9:$BJ$69,
INT((ROW(A3194)-1)/COLUMNS('Portfolio Weights Returns'!$B$9:$BJ$69))+1,MOD(ROW(A3194)-1,COLUMNS('Portfolio Weights Returns'!$B$9:$BJ$69))+1)</f>
        <v>-7.1071184335746019E-4</v>
      </c>
      <c r="B3195">
        <v>2.4E-2</v>
      </c>
      <c r="C3195" s="59">
        <v>7.0000000000000007E-2</v>
      </c>
      <c r="D3195" s="59">
        <v>-0.3</v>
      </c>
      <c r="E3195" s="60">
        <f t="shared" si="49"/>
        <v>1.23</v>
      </c>
      <c r="F3195" t="str" cm="1">
        <f t="array" ref="F3195">IF(A3195=MAX(IF(ROUND($B$2:$B$3722,4)=ROUND(B3195,4),$A$2:$A$3722)),"Efficient","Inefficient")</f>
        <v>Inefficient</v>
      </c>
    </row>
    <row r="3196" spans="1:6" x14ac:dyDescent="0.25">
      <c r="A3196" cm="1">
        <f t="array" ref="A3196">INDEX('Portfolio Weights Returns'!$B$9:$BJ$69,
INT((ROW(A3195)-1)/COLUMNS('Portfolio Weights Returns'!$B$9:$BJ$69))+1,MOD(ROW(A3195)-1,COLUMNS('Portfolio Weights Returns'!$B$9:$BJ$69))+1)</f>
        <v>-7.0393066939078116E-4</v>
      </c>
      <c r="B3196">
        <v>2.4E-2</v>
      </c>
      <c r="C3196" s="59">
        <v>0.04</v>
      </c>
      <c r="D3196" s="59">
        <v>-0.28000000000000003</v>
      </c>
      <c r="E3196" s="60">
        <f t="shared" si="49"/>
        <v>1.24</v>
      </c>
      <c r="F3196" t="str" cm="1">
        <f t="array" ref="F3196">IF(A3196=MAX(IF(ROUND($B$2:$B$3722,4)=ROUND(B3196,4),$A$2:$A$3722)),"Efficient","Inefficient")</f>
        <v>Inefficient</v>
      </c>
    </row>
    <row r="3197" spans="1:6" x14ac:dyDescent="0.25">
      <c r="A3197" cm="1">
        <f t="array" ref="A3197">INDEX('Portfolio Weights Returns'!$B$9:$BJ$69,
INT((ROW(A3196)-1)/COLUMNS('Portfolio Weights Returns'!$B$9:$BJ$69))+1,MOD(ROW(A3196)-1,COLUMNS('Portfolio Weights Returns'!$B$9:$BJ$69))+1)</f>
        <v>-6.9714949542410191E-4</v>
      </c>
      <c r="B3197">
        <v>2.4E-2</v>
      </c>
      <c r="C3197" s="59">
        <v>0.02</v>
      </c>
      <c r="D3197" s="59">
        <v>-0.27</v>
      </c>
      <c r="E3197" s="60">
        <f t="shared" si="49"/>
        <v>1.25</v>
      </c>
      <c r="F3197" t="str" cm="1">
        <f t="array" ref="F3197">IF(A3197=MAX(IF(ROUND($B$2:$B$3722,4)=ROUND(B3197,4),$A$2:$A$3722)),"Efficient","Inefficient")</f>
        <v>Inefficient</v>
      </c>
    </row>
    <row r="3198" spans="1:6" x14ac:dyDescent="0.25">
      <c r="A3198" cm="1">
        <f t="array" ref="A3198">INDEX('Portfolio Weights Returns'!$B$9:$BJ$69,
INT((ROW(A3197)-1)/COLUMNS('Portfolio Weights Returns'!$B$9:$BJ$69))+1,MOD(ROW(A3197)-1,COLUMNS('Portfolio Weights Returns'!$B$9:$BJ$69))+1)</f>
        <v>-6.9036832145742287E-4</v>
      </c>
      <c r="B3198">
        <v>2.4E-2</v>
      </c>
      <c r="C3198" s="59">
        <v>-0.01</v>
      </c>
      <c r="D3198" s="59">
        <v>-0.25</v>
      </c>
      <c r="E3198" s="60">
        <f t="shared" si="49"/>
        <v>1.26</v>
      </c>
      <c r="F3198" t="str" cm="1">
        <f t="array" ref="F3198">IF(A3198=MAX(IF(ROUND($B$2:$B$3722,4)=ROUND(B3198,4),$A$2:$A$3722)),"Efficient","Inefficient")</f>
        <v>Inefficient</v>
      </c>
    </row>
    <row r="3199" spans="1:6" x14ac:dyDescent="0.25">
      <c r="A3199" cm="1">
        <f t="array" ref="A3199">INDEX('Portfolio Weights Returns'!$B$9:$BJ$69,
INT((ROW(A3198)-1)/COLUMNS('Portfolio Weights Returns'!$B$9:$BJ$69))+1,MOD(ROW(A3198)-1,COLUMNS('Portfolio Weights Returns'!$B$9:$BJ$69))+1)</f>
        <v>-6.8358714749074373E-4</v>
      </c>
      <c r="B3199">
        <v>2.4E-2</v>
      </c>
      <c r="C3199" s="59">
        <v>-0.04</v>
      </c>
      <c r="D3199" s="59">
        <v>-0.23</v>
      </c>
      <c r="E3199" s="60">
        <f t="shared" si="49"/>
        <v>1.27</v>
      </c>
      <c r="F3199" t="str" cm="1">
        <f t="array" ref="F3199">IF(A3199=MAX(IF(ROUND($B$2:$B$3722,4)=ROUND(B3199,4),$A$2:$A$3722)),"Efficient","Inefficient")</f>
        <v>Inefficient</v>
      </c>
    </row>
    <row r="3200" spans="1:6" x14ac:dyDescent="0.25">
      <c r="A3200" cm="1">
        <f t="array" ref="A3200">INDEX('Portfolio Weights Returns'!$B$9:$BJ$69,
INT((ROW(A3199)-1)/COLUMNS('Portfolio Weights Returns'!$B$9:$BJ$69))+1,MOD(ROW(A3199)-1,COLUMNS('Portfolio Weights Returns'!$B$9:$BJ$69))+1)</f>
        <v>-6.7680597352406469E-4</v>
      </c>
      <c r="B3200">
        <v>2.4E-2</v>
      </c>
      <c r="C3200" s="59">
        <v>-7.0000000000000007E-2</v>
      </c>
      <c r="D3200" s="59">
        <v>-0.21</v>
      </c>
      <c r="E3200" s="60">
        <f t="shared" si="49"/>
        <v>1.28</v>
      </c>
      <c r="F3200" t="str" cm="1">
        <f t="array" ref="F3200">IF(A3200=MAX(IF(ROUND($B$2:$B$3722,4)=ROUND(B3200,4),$A$2:$A$3722)),"Efficient","Inefficient")</f>
        <v>Inefficient</v>
      </c>
    </row>
    <row r="3201" spans="1:6" x14ac:dyDescent="0.25">
      <c r="A3201" cm="1">
        <f t="array" ref="A3201">INDEX('Portfolio Weights Returns'!$B$9:$BJ$69,
INT((ROW(A3200)-1)/COLUMNS('Portfolio Weights Returns'!$B$9:$BJ$69))+1,MOD(ROW(A3200)-1,COLUMNS('Portfolio Weights Returns'!$B$9:$BJ$69))+1)</f>
        <v>-6.7002479955738554E-4</v>
      </c>
      <c r="B3201">
        <v>2.4E-2</v>
      </c>
      <c r="C3201" s="59">
        <v>-0.1</v>
      </c>
      <c r="D3201" s="59">
        <v>-0.19</v>
      </c>
      <c r="E3201" s="60">
        <f t="shared" si="49"/>
        <v>1.29</v>
      </c>
      <c r="F3201" t="str" cm="1">
        <f t="array" ref="F3201">IF(A3201=MAX(IF(ROUND($B$2:$B$3722,4)=ROUND(B3201,4),$A$2:$A$3722)),"Efficient","Inefficient")</f>
        <v>Inefficient</v>
      </c>
    </row>
    <row r="3202" spans="1:6" x14ac:dyDescent="0.25">
      <c r="A3202" cm="1">
        <f t="array" ref="A3202">INDEX('Portfolio Weights Returns'!$B$9:$BJ$69,
INT((ROW(A3201)-1)/COLUMNS('Portfolio Weights Returns'!$B$9:$BJ$69))+1,MOD(ROW(A3201)-1,COLUMNS('Portfolio Weights Returns'!$B$9:$BJ$69))+1)</f>
        <v>-6.632436255907064E-4</v>
      </c>
      <c r="B3202">
        <v>2.4E-2</v>
      </c>
      <c r="C3202" s="59">
        <v>-0.11</v>
      </c>
      <c r="D3202" s="59">
        <v>-0.18</v>
      </c>
      <c r="E3202" s="60">
        <f t="shared" ref="E3202:E3265" si="50">1-D3202-C3202</f>
        <v>1.29</v>
      </c>
      <c r="F3202" t="str" cm="1">
        <f t="array" ref="F3202">IF(A3202=MAX(IF(ROUND($B$2:$B$3722,4)=ROUND(B3202,4),$A$2:$A$3722)),"Efficient","Inefficient")</f>
        <v>Inefficient</v>
      </c>
    </row>
    <row r="3203" spans="1:6" x14ac:dyDescent="0.25">
      <c r="A3203" cm="1">
        <f t="array" ref="A3203">INDEX('Portfolio Weights Returns'!$B$9:$BJ$69,
INT((ROW(A3202)-1)/COLUMNS('Portfolio Weights Returns'!$B$9:$BJ$69))+1,MOD(ROW(A3202)-1,COLUMNS('Portfolio Weights Returns'!$B$9:$BJ$69))+1)</f>
        <v>-6.5646245162402736E-4</v>
      </c>
      <c r="B3203">
        <v>2.4E-2</v>
      </c>
      <c r="C3203" s="59">
        <v>-0.14000000000000001</v>
      </c>
      <c r="D3203" s="59">
        <v>-0.16</v>
      </c>
      <c r="E3203" s="60">
        <f t="shared" si="50"/>
        <v>1.2999999999999998</v>
      </c>
      <c r="F3203" t="str" cm="1">
        <f t="array" ref="F3203">IF(A3203=MAX(IF(ROUND($B$2:$B$3722,4)=ROUND(B3203,4),$A$2:$A$3722)),"Efficient","Inefficient")</f>
        <v>Inefficient</v>
      </c>
    </row>
    <row r="3204" spans="1:6" x14ac:dyDescent="0.25">
      <c r="A3204" cm="1">
        <f t="array" ref="A3204">INDEX('Portfolio Weights Returns'!$B$9:$BJ$69,
INT((ROW(A3203)-1)/COLUMNS('Portfolio Weights Returns'!$B$9:$BJ$69))+1,MOD(ROW(A3203)-1,COLUMNS('Portfolio Weights Returns'!$B$9:$BJ$69))+1)</f>
        <v>-6.4968127765734811E-4</v>
      </c>
      <c r="B3204">
        <v>2.4E-2</v>
      </c>
      <c r="C3204" s="59">
        <v>-0.15</v>
      </c>
      <c r="D3204" s="59">
        <v>-0.15</v>
      </c>
      <c r="E3204" s="60">
        <f t="shared" si="50"/>
        <v>1.2999999999999998</v>
      </c>
      <c r="F3204" t="str" cm="1">
        <f t="array" ref="F3204">IF(A3204=MAX(IF(ROUND($B$2:$B$3722,4)=ROUND(B3204,4),$A$2:$A$3722)),"Efficient","Inefficient")</f>
        <v>Inefficient</v>
      </c>
    </row>
    <row r="3205" spans="1:6" x14ac:dyDescent="0.25">
      <c r="A3205" cm="1">
        <f t="array" ref="A3205">INDEX('Portfolio Weights Returns'!$B$9:$BJ$69,
INT((ROW(A3204)-1)/COLUMNS('Portfolio Weights Returns'!$B$9:$BJ$69))+1,MOD(ROW(A3204)-1,COLUMNS('Portfolio Weights Returns'!$B$9:$BJ$69))+1)</f>
        <v>-6.4290010369066908E-4</v>
      </c>
      <c r="B3205">
        <v>2.4E-2</v>
      </c>
      <c r="C3205" s="59">
        <v>-0.16</v>
      </c>
      <c r="D3205" s="59">
        <v>-0.14000000000000001</v>
      </c>
      <c r="E3205" s="60">
        <f t="shared" si="50"/>
        <v>1.3</v>
      </c>
      <c r="F3205" t="str" cm="1">
        <f t="array" ref="F3205">IF(A3205=MAX(IF(ROUND($B$2:$B$3722,4)=ROUND(B3205,4),$A$2:$A$3722)),"Efficient","Inefficient")</f>
        <v>Inefficient</v>
      </c>
    </row>
    <row r="3206" spans="1:6" x14ac:dyDescent="0.25">
      <c r="A3206" cm="1">
        <f t="array" ref="A3206">INDEX('Portfolio Weights Returns'!$B$9:$BJ$69,
INT((ROW(A3205)-1)/COLUMNS('Portfolio Weights Returns'!$B$9:$BJ$69))+1,MOD(ROW(A3205)-1,COLUMNS('Portfolio Weights Returns'!$B$9:$BJ$69))+1)</f>
        <v>-6.3611892972398993E-4</v>
      </c>
      <c r="B3206">
        <v>2.4E-2</v>
      </c>
      <c r="C3206" s="59">
        <v>-0.21</v>
      </c>
      <c r="D3206" s="59">
        <v>-0.1</v>
      </c>
      <c r="E3206" s="60">
        <f t="shared" si="50"/>
        <v>1.31</v>
      </c>
      <c r="F3206" t="str" cm="1">
        <f t="array" ref="F3206">IF(A3206=MAX(IF(ROUND($B$2:$B$3722,4)=ROUND(B3206,4),$A$2:$A$3722)),"Efficient","Inefficient")</f>
        <v>Inefficient</v>
      </c>
    </row>
    <row r="3207" spans="1:6" x14ac:dyDescent="0.25">
      <c r="A3207" cm="1">
        <f t="array" ref="A3207">INDEX('Portfolio Weights Returns'!$B$9:$BJ$69,
INT((ROW(A3206)-1)/COLUMNS('Portfolio Weights Returns'!$B$9:$BJ$69))+1,MOD(ROW(A3206)-1,COLUMNS('Portfolio Weights Returns'!$B$9:$BJ$69))+1)</f>
        <v>-6.2933775575731089E-4</v>
      </c>
      <c r="B3207">
        <v>2.4E-2</v>
      </c>
      <c r="C3207" s="59">
        <v>-0.22</v>
      </c>
      <c r="D3207" s="59">
        <v>-0.09</v>
      </c>
      <c r="E3207" s="60">
        <f t="shared" si="50"/>
        <v>1.31</v>
      </c>
      <c r="F3207" t="str" cm="1">
        <f t="array" ref="F3207">IF(A3207=MAX(IF(ROUND($B$2:$B$3722,4)=ROUND(B3207,4),$A$2:$A$3722)),"Efficient","Inefficient")</f>
        <v>Inefficient</v>
      </c>
    </row>
    <row r="3208" spans="1:6" x14ac:dyDescent="0.25">
      <c r="A3208" cm="1">
        <f t="array" ref="A3208">INDEX('Portfolio Weights Returns'!$B$9:$BJ$69,
INT((ROW(A3207)-1)/COLUMNS('Portfolio Weights Returns'!$B$9:$BJ$69))+1,MOD(ROW(A3207)-1,COLUMNS('Portfolio Weights Returns'!$B$9:$BJ$69))+1)</f>
        <v>-6.2255658179063175E-4</v>
      </c>
      <c r="B3208">
        <v>2.4E-2</v>
      </c>
      <c r="C3208" s="59">
        <v>-0.23</v>
      </c>
      <c r="D3208" s="59">
        <v>-0.08</v>
      </c>
      <c r="E3208" s="60">
        <f t="shared" si="50"/>
        <v>1.31</v>
      </c>
      <c r="F3208" t="str" cm="1">
        <f t="array" ref="F3208">IF(A3208=MAX(IF(ROUND($B$2:$B$3722,4)=ROUND(B3208,4),$A$2:$A$3722)),"Efficient","Inefficient")</f>
        <v>Inefficient</v>
      </c>
    </row>
    <row r="3209" spans="1:6" x14ac:dyDescent="0.25">
      <c r="A3209" cm="1">
        <f t="array" ref="A3209">INDEX('Portfolio Weights Returns'!$B$9:$BJ$69,
INT((ROW(A3208)-1)/COLUMNS('Portfolio Weights Returns'!$B$9:$BJ$69))+1,MOD(ROW(A3208)-1,COLUMNS('Portfolio Weights Returns'!$B$9:$BJ$69))+1)</f>
        <v>-6.1577540782395271E-4</v>
      </c>
      <c r="B3209">
        <v>2.4E-2</v>
      </c>
      <c r="C3209" s="59">
        <v>-0.24</v>
      </c>
      <c r="D3209" s="59">
        <v>-7.0000000000000007E-2</v>
      </c>
      <c r="E3209" s="60">
        <f t="shared" si="50"/>
        <v>1.31</v>
      </c>
      <c r="F3209" t="str" cm="1">
        <f t="array" ref="F3209">IF(A3209=MAX(IF(ROUND($B$2:$B$3722,4)=ROUND(B3209,4),$A$2:$A$3722)),"Efficient","Inefficient")</f>
        <v>Inefficient</v>
      </c>
    </row>
    <row r="3210" spans="1:6" x14ac:dyDescent="0.25">
      <c r="A3210" cm="1">
        <f t="array" ref="A3210">INDEX('Portfolio Weights Returns'!$B$9:$BJ$69,
INT((ROW(A3209)-1)/COLUMNS('Portfolio Weights Returns'!$B$9:$BJ$69))+1,MOD(ROW(A3209)-1,COLUMNS('Portfolio Weights Returns'!$B$9:$BJ$69))+1)</f>
        <v>-6.0899423385727357E-4</v>
      </c>
      <c r="B3210">
        <v>2.4E-2</v>
      </c>
      <c r="C3210" s="59">
        <v>-0.25</v>
      </c>
      <c r="D3210" s="59">
        <v>-0.06</v>
      </c>
      <c r="E3210" s="60">
        <f t="shared" si="50"/>
        <v>1.31</v>
      </c>
      <c r="F3210" t="str" cm="1">
        <f t="array" ref="F3210">IF(A3210=MAX(IF(ROUND($B$2:$B$3722,4)=ROUND(B3210,4),$A$2:$A$3722)),"Efficient","Inefficient")</f>
        <v>Inefficient</v>
      </c>
    </row>
    <row r="3211" spans="1:6" x14ac:dyDescent="0.25">
      <c r="A3211" cm="1">
        <f t="array" ref="A3211">INDEX('Portfolio Weights Returns'!$B$9:$BJ$69,
INT((ROW(A3210)-1)/COLUMNS('Portfolio Weights Returns'!$B$9:$BJ$69))+1,MOD(ROW(A3210)-1,COLUMNS('Portfolio Weights Returns'!$B$9:$BJ$69))+1)</f>
        <v>-6.0221305989059432E-4</v>
      </c>
      <c r="B3211">
        <v>2.4E-2</v>
      </c>
      <c r="C3211" s="59">
        <v>-0.26</v>
      </c>
      <c r="D3211" s="59">
        <v>-0.05</v>
      </c>
      <c r="E3211" s="60">
        <f t="shared" si="50"/>
        <v>1.31</v>
      </c>
      <c r="F3211" t="str" cm="1">
        <f t="array" ref="F3211">IF(A3211=MAX(IF(ROUND($B$2:$B$3722,4)=ROUND(B3211,4),$A$2:$A$3722)),"Efficient","Inefficient")</f>
        <v>Inefficient</v>
      </c>
    </row>
    <row r="3212" spans="1:6" x14ac:dyDescent="0.25">
      <c r="A3212" cm="1">
        <f t="array" ref="A3212">INDEX('Portfolio Weights Returns'!$B$9:$BJ$69,
INT((ROW(A3211)-1)/COLUMNS('Portfolio Weights Returns'!$B$9:$BJ$69))+1,MOD(ROW(A3211)-1,COLUMNS('Portfolio Weights Returns'!$B$9:$BJ$69))+1)</f>
        <v>-5.9543188592391539E-4</v>
      </c>
      <c r="B3212">
        <v>2.4E-2</v>
      </c>
      <c r="C3212" s="59">
        <v>-0.27</v>
      </c>
      <c r="D3212" s="59">
        <v>-0.04</v>
      </c>
      <c r="E3212" s="60">
        <f t="shared" si="50"/>
        <v>1.31</v>
      </c>
      <c r="F3212" t="str" cm="1">
        <f t="array" ref="F3212">IF(A3212=MAX(IF(ROUND($B$2:$B$3722,4)=ROUND(B3212,4),$A$2:$A$3722)),"Efficient","Inefficient")</f>
        <v>Inefficient</v>
      </c>
    </row>
    <row r="3213" spans="1:6" x14ac:dyDescent="0.25">
      <c r="A3213" cm="1">
        <f t="array" ref="A3213">INDEX('Portfolio Weights Returns'!$B$9:$BJ$69,
INT((ROW(A3212)-1)/COLUMNS('Portfolio Weights Returns'!$B$9:$BJ$69))+1,MOD(ROW(A3212)-1,COLUMNS('Portfolio Weights Returns'!$B$9:$BJ$69))+1)</f>
        <v>-5.8865071195723625E-4</v>
      </c>
      <c r="B3213">
        <v>2.4E-2</v>
      </c>
      <c r="C3213" s="59">
        <v>-0.3</v>
      </c>
      <c r="D3213" s="59">
        <v>0</v>
      </c>
      <c r="E3213" s="60">
        <f t="shared" si="50"/>
        <v>1.3</v>
      </c>
      <c r="F3213" t="str" cm="1">
        <f t="array" ref="F3213">IF(A3213=MAX(IF(ROUND($B$2:$B$3722,4)=ROUND(B3213,4),$A$2:$A$3722)),"Efficient","Inefficient")</f>
        <v>Efficient</v>
      </c>
    </row>
    <row r="3214" spans="1:6" x14ac:dyDescent="0.25">
      <c r="A3214" cm="1">
        <f t="array" ref="A3214">INDEX('Portfolio Weights Returns'!$B$9:$BJ$69,
INT((ROW(A3213)-1)/COLUMNS('Portfolio Weights Returns'!$B$9:$BJ$69))+1,MOD(ROW(A3213)-1,COLUMNS('Portfolio Weights Returns'!$B$9:$BJ$69))+1)</f>
        <v>-5.8186953799055721E-4</v>
      </c>
      <c r="B3214">
        <v>2.41E-2</v>
      </c>
      <c r="C3214" s="59">
        <v>0.05</v>
      </c>
      <c r="D3214" s="59">
        <v>-0.28999999999999998</v>
      </c>
      <c r="E3214" s="60">
        <f t="shared" si="50"/>
        <v>1.24</v>
      </c>
      <c r="F3214" t="str" cm="1">
        <f t="array" ref="F3214">IF(A3214=MAX(IF(ROUND($B$2:$B$3722,4)=ROUND(B3214,4),$A$2:$A$3722)),"Efficient","Inefficient")</f>
        <v>Inefficient</v>
      </c>
    </row>
    <row r="3215" spans="1:6" x14ac:dyDescent="0.25">
      <c r="A3215" cm="1">
        <f t="array" ref="A3215">INDEX('Portfolio Weights Returns'!$B$9:$BJ$69,
INT((ROW(A3214)-1)/COLUMNS('Portfolio Weights Returns'!$B$9:$BJ$69))+1,MOD(ROW(A3214)-1,COLUMNS('Portfolio Weights Returns'!$B$9:$BJ$69))+1)</f>
        <v>-5.7508836402387806E-4</v>
      </c>
      <c r="B3215">
        <v>2.41E-2</v>
      </c>
      <c r="C3215" s="59">
        <v>0.03</v>
      </c>
      <c r="D3215" s="59">
        <v>-0.28000000000000003</v>
      </c>
      <c r="E3215" s="60">
        <f t="shared" si="50"/>
        <v>1.25</v>
      </c>
      <c r="F3215" t="str" cm="1">
        <f t="array" ref="F3215">IF(A3215=MAX(IF(ROUND($B$2:$B$3722,4)=ROUND(B3215,4),$A$2:$A$3722)),"Efficient","Inefficient")</f>
        <v>Inefficient</v>
      </c>
    </row>
    <row r="3216" spans="1:6" x14ac:dyDescent="0.25">
      <c r="A3216" cm="1">
        <f t="array" ref="A3216">INDEX('Portfolio Weights Returns'!$B$9:$BJ$69,
INT((ROW(A3215)-1)/COLUMNS('Portfolio Weights Returns'!$B$9:$BJ$69))+1,MOD(ROW(A3215)-1,COLUMNS('Portfolio Weights Returns'!$B$9:$BJ$69))+1)</f>
        <v>-5.6830719005719903E-4</v>
      </c>
      <c r="B3216">
        <v>2.41E-2</v>
      </c>
      <c r="C3216" s="59">
        <v>0</v>
      </c>
      <c r="D3216" s="59">
        <v>-0.26</v>
      </c>
      <c r="E3216" s="60">
        <f t="shared" si="50"/>
        <v>1.26</v>
      </c>
      <c r="F3216" t="str" cm="1">
        <f t="array" ref="F3216">IF(A3216=MAX(IF(ROUND($B$2:$B$3722,4)=ROUND(B3216,4),$A$2:$A$3722)),"Efficient","Inefficient")</f>
        <v>Inefficient</v>
      </c>
    </row>
    <row r="3217" spans="1:6" x14ac:dyDescent="0.25">
      <c r="A3217" cm="1">
        <f t="array" ref="A3217">INDEX('Portfolio Weights Returns'!$B$9:$BJ$69,
INT((ROW(A3216)-1)/COLUMNS('Portfolio Weights Returns'!$B$9:$BJ$69))+1,MOD(ROW(A3216)-1,COLUMNS('Portfolio Weights Returns'!$B$9:$BJ$69))+1)</f>
        <v>-5.6152601609051978E-4</v>
      </c>
      <c r="B3217">
        <v>2.41E-2</v>
      </c>
      <c r="C3217" s="59">
        <v>-0.02</v>
      </c>
      <c r="D3217" s="59">
        <v>-0.25</v>
      </c>
      <c r="E3217" s="60">
        <f t="shared" si="50"/>
        <v>1.27</v>
      </c>
      <c r="F3217" t="str" cm="1">
        <f t="array" ref="F3217">IF(A3217=MAX(IF(ROUND($B$2:$B$3722,4)=ROUND(B3217,4),$A$2:$A$3722)),"Efficient","Inefficient")</f>
        <v>Inefficient</v>
      </c>
    </row>
    <row r="3218" spans="1:6" x14ac:dyDescent="0.25">
      <c r="A3218" cm="1">
        <f t="array" ref="A3218">INDEX('Portfolio Weights Returns'!$B$9:$BJ$69,
INT((ROW(A3217)-1)/COLUMNS('Portfolio Weights Returns'!$B$9:$BJ$69))+1,MOD(ROW(A3217)-1,COLUMNS('Portfolio Weights Returns'!$B$9:$BJ$69))+1)</f>
        <v>-5.5474484212384074E-4</v>
      </c>
      <c r="B3218">
        <v>2.41E-2</v>
      </c>
      <c r="C3218" s="59">
        <v>-0.03</v>
      </c>
      <c r="D3218" s="59">
        <v>-0.24</v>
      </c>
      <c r="E3218" s="60">
        <f t="shared" si="50"/>
        <v>1.27</v>
      </c>
      <c r="F3218" t="str" cm="1">
        <f t="array" ref="F3218">IF(A3218=MAX(IF(ROUND($B$2:$B$3722,4)=ROUND(B3218,4),$A$2:$A$3722)),"Efficient","Inefficient")</f>
        <v>Inefficient</v>
      </c>
    </row>
    <row r="3219" spans="1:6" x14ac:dyDescent="0.25">
      <c r="A3219" cm="1">
        <f t="array" ref="A3219">INDEX('Portfolio Weights Returns'!$B$9:$BJ$69,
INT((ROW(A3218)-1)/COLUMNS('Portfolio Weights Returns'!$B$9:$BJ$69))+1,MOD(ROW(A3218)-1,COLUMNS('Portfolio Weights Returns'!$B$9:$BJ$69))+1)</f>
        <v>-5.479636681571616E-4</v>
      </c>
      <c r="B3219">
        <v>2.41E-2</v>
      </c>
      <c r="C3219" s="59">
        <v>-0.05</v>
      </c>
      <c r="D3219" s="59">
        <v>-0.23</v>
      </c>
      <c r="E3219" s="60">
        <f t="shared" si="50"/>
        <v>1.28</v>
      </c>
      <c r="F3219" t="str" cm="1">
        <f t="array" ref="F3219">IF(A3219=MAX(IF(ROUND($B$2:$B$3722,4)=ROUND(B3219,4),$A$2:$A$3722)),"Efficient","Inefficient")</f>
        <v>Inefficient</v>
      </c>
    </row>
    <row r="3220" spans="1:6" x14ac:dyDescent="0.25">
      <c r="A3220" cm="1">
        <f t="array" ref="A3220">INDEX('Portfolio Weights Returns'!$B$9:$BJ$69,
INT((ROW(A3219)-1)/COLUMNS('Portfolio Weights Returns'!$B$9:$BJ$69))+1,MOD(ROW(A3219)-1,COLUMNS('Portfolio Weights Returns'!$B$9:$BJ$69))+1)</f>
        <v>-5.4118249419048245E-4</v>
      </c>
      <c r="B3220">
        <v>2.41E-2</v>
      </c>
      <c r="C3220" s="59">
        <v>-0.06</v>
      </c>
      <c r="D3220" s="59">
        <v>-0.22</v>
      </c>
      <c r="E3220" s="60">
        <f t="shared" si="50"/>
        <v>1.28</v>
      </c>
      <c r="F3220" t="str" cm="1">
        <f t="array" ref="F3220">IF(A3220=MAX(IF(ROUND($B$2:$B$3722,4)=ROUND(B3220,4),$A$2:$A$3722)),"Efficient","Inefficient")</f>
        <v>Inefficient</v>
      </c>
    </row>
    <row r="3221" spans="1:6" x14ac:dyDescent="0.25">
      <c r="A3221" cm="1">
        <f t="array" ref="A3221">INDEX('Portfolio Weights Returns'!$B$9:$BJ$69,
INT((ROW(A3220)-1)/COLUMNS('Portfolio Weights Returns'!$B$9:$BJ$69))+1,MOD(ROW(A3220)-1,COLUMNS('Portfolio Weights Returns'!$B$9:$BJ$69))+1)</f>
        <v>-5.3440132022380342E-4</v>
      </c>
      <c r="B3221">
        <v>2.41E-2</v>
      </c>
      <c r="C3221" s="59">
        <v>-0.08</v>
      </c>
      <c r="D3221" s="59">
        <v>-0.21</v>
      </c>
      <c r="E3221" s="60">
        <f t="shared" si="50"/>
        <v>1.29</v>
      </c>
      <c r="F3221" t="str" cm="1">
        <f t="array" ref="F3221">IF(A3221=MAX(IF(ROUND($B$2:$B$3722,4)=ROUND(B3221,4),$A$2:$A$3722)),"Efficient","Inefficient")</f>
        <v>Inefficient</v>
      </c>
    </row>
    <row r="3222" spans="1:6" x14ac:dyDescent="0.25">
      <c r="A3222" cm="1">
        <f t="array" ref="A3222">INDEX('Portfolio Weights Returns'!$B$9:$BJ$69,
INT((ROW(A3221)-1)/COLUMNS('Portfolio Weights Returns'!$B$9:$BJ$69))+1,MOD(ROW(A3221)-1,COLUMNS('Portfolio Weights Returns'!$B$9:$BJ$69))+1)</f>
        <v>-5.2762014625712438E-4</v>
      </c>
      <c r="B3222">
        <v>2.41E-2</v>
      </c>
      <c r="C3222" s="59">
        <v>-0.09</v>
      </c>
      <c r="D3222" s="59">
        <v>-0.2</v>
      </c>
      <c r="E3222" s="60">
        <f t="shared" si="50"/>
        <v>1.29</v>
      </c>
      <c r="F3222" t="str" cm="1">
        <f t="array" ref="F3222">IF(A3222=MAX(IF(ROUND($B$2:$B$3722,4)=ROUND(B3222,4),$A$2:$A$3722)),"Efficient","Inefficient")</f>
        <v>Inefficient</v>
      </c>
    </row>
    <row r="3223" spans="1:6" x14ac:dyDescent="0.25">
      <c r="A3223" cm="1">
        <f t="array" ref="A3223">INDEX('Portfolio Weights Returns'!$B$9:$BJ$69,
INT((ROW(A3222)-1)/COLUMNS('Portfolio Weights Returns'!$B$9:$BJ$69))+1,MOD(ROW(A3222)-1,COLUMNS('Portfolio Weights Returns'!$B$9:$BJ$69))+1)</f>
        <v>-5.2083897229044523E-4</v>
      </c>
      <c r="B3223">
        <v>2.41E-2</v>
      </c>
      <c r="C3223" s="59">
        <v>-0.12</v>
      </c>
      <c r="D3223" s="59">
        <v>-0.18</v>
      </c>
      <c r="E3223" s="60">
        <f t="shared" si="50"/>
        <v>1.2999999999999998</v>
      </c>
      <c r="F3223" t="str" cm="1">
        <f t="array" ref="F3223">IF(A3223=MAX(IF(ROUND($B$2:$B$3722,4)=ROUND(B3223,4),$A$2:$A$3722)),"Efficient","Inefficient")</f>
        <v>Inefficient</v>
      </c>
    </row>
    <row r="3224" spans="1:6" x14ac:dyDescent="0.25">
      <c r="A3224" cm="1">
        <f t="array" ref="A3224">INDEX('Portfolio Weights Returns'!$B$9:$BJ$69,
INT((ROW(A3223)-1)/COLUMNS('Portfolio Weights Returns'!$B$9:$BJ$69))+1,MOD(ROW(A3223)-1,COLUMNS('Portfolio Weights Returns'!$B$9:$BJ$69))+1)</f>
        <v>-5.1405779832376609E-4</v>
      </c>
      <c r="B3224">
        <v>2.41E-2</v>
      </c>
      <c r="C3224" s="59">
        <v>-0.13</v>
      </c>
      <c r="D3224" s="59">
        <v>-0.17</v>
      </c>
      <c r="E3224" s="60">
        <f t="shared" si="50"/>
        <v>1.2999999999999998</v>
      </c>
      <c r="F3224" t="str" cm="1">
        <f t="array" ref="F3224">IF(A3224=MAX(IF(ROUND($B$2:$B$3722,4)=ROUND(B3224,4),$A$2:$A$3722)),"Efficient","Inefficient")</f>
        <v>Inefficient</v>
      </c>
    </row>
    <row r="3225" spans="1:6" x14ac:dyDescent="0.25">
      <c r="A3225" cm="1">
        <f t="array" ref="A3225">INDEX('Portfolio Weights Returns'!$B$9:$BJ$69,
INT((ROW(A3224)-1)/COLUMNS('Portfolio Weights Returns'!$B$9:$BJ$69))+1,MOD(ROW(A3224)-1,COLUMNS('Portfolio Weights Returns'!$B$9:$BJ$69))+1)</f>
        <v>-5.0727662435708705E-4</v>
      </c>
      <c r="B3225">
        <v>2.41E-2</v>
      </c>
      <c r="C3225" s="59">
        <v>-0.17</v>
      </c>
      <c r="D3225" s="59">
        <v>-0.14000000000000001</v>
      </c>
      <c r="E3225" s="60">
        <f t="shared" si="50"/>
        <v>1.31</v>
      </c>
      <c r="F3225" t="str" cm="1">
        <f t="array" ref="F3225">IF(A3225=MAX(IF(ROUND($B$2:$B$3722,4)=ROUND(B3225,4),$A$2:$A$3722)),"Efficient","Inefficient")</f>
        <v>Inefficient</v>
      </c>
    </row>
    <row r="3226" spans="1:6" x14ac:dyDescent="0.25">
      <c r="A3226" cm="1">
        <f t="array" ref="A3226">INDEX('Portfolio Weights Returns'!$B$9:$BJ$69,
INT((ROW(A3225)-1)/COLUMNS('Portfolio Weights Returns'!$B$9:$BJ$69))+1,MOD(ROW(A3225)-1,COLUMNS('Portfolio Weights Returns'!$B$9:$BJ$69))+1)</f>
        <v>-5.0049545039040791E-4</v>
      </c>
      <c r="B3226">
        <v>2.41E-2</v>
      </c>
      <c r="C3226" s="59">
        <v>-0.18</v>
      </c>
      <c r="D3226" s="59">
        <v>-0.13</v>
      </c>
      <c r="E3226" s="60">
        <f t="shared" si="50"/>
        <v>1.3099999999999998</v>
      </c>
      <c r="F3226" t="str" cm="1">
        <f t="array" ref="F3226">IF(A3226=MAX(IF(ROUND($B$2:$B$3722,4)=ROUND(B3226,4),$A$2:$A$3722)),"Efficient","Inefficient")</f>
        <v>Inefficient</v>
      </c>
    </row>
    <row r="3227" spans="1:6" x14ac:dyDescent="0.25">
      <c r="A3227" cm="1">
        <f t="array" ref="A3227">INDEX('Portfolio Weights Returns'!$B$9:$BJ$69,
INT((ROW(A3226)-1)/COLUMNS('Portfolio Weights Returns'!$B$9:$BJ$69))+1,MOD(ROW(A3226)-1,COLUMNS('Portfolio Weights Returns'!$B$9:$BJ$69))+1)</f>
        <v>-4.9371427642372877E-4</v>
      </c>
      <c r="B3227">
        <v>2.41E-2</v>
      </c>
      <c r="C3227" s="59">
        <v>-0.19</v>
      </c>
      <c r="D3227" s="59">
        <v>-0.12</v>
      </c>
      <c r="E3227" s="60">
        <f t="shared" si="50"/>
        <v>1.31</v>
      </c>
      <c r="F3227" t="str" cm="1">
        <f t="array" ref="F3227">IF(A3227=MAX(IF(ROUND($B$2:$B$3722,4)=ROUND(B3227,4),$A$2:$A$3722)),"Efficient","Inefficient")</f>
        <v>Inefficient</v>
      </c>
    </row>
    <row r="3228" spans="1:6" x14ac:dyDescent="0.25">
      <c r="A3228" cm="1">
        <f t="array" ref="A3228">INDEX('Portfolio Weights Returns'!$B$9:$BJ$69,
INT((ROW(A3227)-1)/COLUMNS('Portfolio Weights Returns'!$B$9:$BJ$69))+1,MOD(ROW(A3227)-1,COLUMNS('Portfolio Weights Returns'!$B$9:$BJ$69))+1)</f>
        <v>-4.8693310245704968E-4</v>
      </c>
      <c r="B3228">
        <v>2.41E-2</v>
      </c>
      <c r="C3228" s="59">
        <v>-0.2</v>
      </c>
      <c r="D3228" s="59">
        <v>-0.11</v>
      </c>
      <c r="E3228" s="60">
        <f t="shared" si="50"/>
        <v>1.31</v>
      </c>
      <c r="F3228" t="str" cm="1">
        <f t="array" ref="F3228">IF(A3228=MAX(IF(ROUND($B$2:$B$3722,4)=ROUND(B3228,4),$A$2:$A$3722)),"Efficient","Inefficient")</f>
        <v>Inefficient</v>
      </c>
    </row>
    <row r="3229" spans="1:6" x14ac:dyDescent="0.25">
      <c r="A3229" cm="1">
        <f t="array" ref="A3229">INDEX('Portfolio Weights Returns'!$B$9:$BJ$69,
INT((ROW(A3228)-1)/COLUMNS('Portfolio Weights Returns'!$B$9:$BJ$69))+1,MOD(ROW(A3228)-1,COLUMNS('Portfolio Weights Returns'!$B$9:$BJ$69))+1)</f>
        <v>-4.8015192849037058E-4</v>
      </c>
      <c r="B3229">
        <v>2.41E-2</v>
      </c>
      <c r="C3229" s="59">
        <v>-0.28000000000000003</v>
      </c>
      <c r="D3229" s="59">
        <v>-0.03</v>
      </c>
      <c r="E3229" s="60">
        <f t="shared" si="50"/>
        <v>1.31</v>
      </c>
      <c r="F3229" t="str" cm="1">
        <f t="array" ref="F3229">IF(A3229=MAX(IF(ROUND($B$2:$B$3722,4)=ROUND(B3229,4),$A$2:$A$3722)),"Efficient","Inefficient")</f>
        <v>Inefficient</v>
      </c>
    </row>
    <row r="3230" spans="1:6" x14ac:dyDescent="0.25">
      <c r="A3230" cm="1">
        <f t="array" ref="A3230">INDEX('Portfolio Weights Returns'!$B$9:$BJ$69,
INT((ROW(A3229)-1)/COLUMNS('Portfolio Weights Returns'!$B$9:$BJ$69))+1,MOD(ROW(A3229)-1,COLUMNS('Portfolio Weights Returns'!$B$9:$BJ$69))+1)</f>
        <v>-4.7337075452369149E-4</v>
      </c>
      <c r="B3230">
        <v>2.41E-2</v>
      </c>
      <c r="C3230" s="59">
        <v>-0.28999999999999998</v>
      </c>
      <c r="D3230" s="59">
        <v>-0.02</v>
      </c>
      <c r="E3230" s="60">
        <f t="shared" si="50"/>
        <v>1.31</v>
      </c>
      <c r="F3230" t="str" cm="1">
        <f t="array" ref="F3230">IF(A3230=MAX(IF(ROUND($B$2:$B$3722,4)=ROUND(B3230,4),$A$2:$A$3722)),"Efficient","Inefficient")</f>
        <v>Inefficient</v>
      </c>
    </row>
    <row r="3231" spans="1:6" x14ac:dyDescent="0.25">
      <c r="A3231" cm="1">
        <f t="array" ref="A3231">INDEX('Portfolio Weights Returns'!$B$9:$BJ$69,
INT((ROW(A3230)-1)/COLUMNS('Portfolio Weights Returns'!$B$9:$BJ$69))+1,MOD(ROW(A3230)-1,COLUMNS('Portfolio Weights Returns'!$B$9:$BJ$69))+1)</f>
        <v>-4.665895805570117E-4</v>
      </c>
      <c r="B3231">
        <v>2.41E-2</v>
      </c>
      <c r="C3231" s="59">
        <v>-0.3</v>
      </c>
      <c r="D3231" s="59">
        <v>-0.01</v>
      </c>
      <c r="E3231" s="60">
        <f t="shared" si="50"/>
        <v>1.31</v>
      </c>
      <c r="F3231" t="str" cm="1">
        <f t="array" ref="F3231">IF(A3231=MAX(IF(ROUND($B$2:$B$3722,4)=ROUND(B3231,4),$A$2:$A$3722)),"Efficient","Inefficient")</f>
        <v>Efficient</v>
      </c>
    </row>
    <row r="3232" spans="1:6" x14ac:dyDescent="0.25">
      <c r="A3232" cm="1">
        <f t="array" ref="A3232">INDEX('Portfolio Weights Returns'!$B$9:$BJ$69,
INT((ROW(A3231)-1)/COLUMNS('Portfolio Weights Returns'!$B$9:$BJ$69))+1,MOD(ROW(A3231)-1,COLUMNS('Portfolio Weights Returns'!$B$9:$BJ$69))+1)</f>
        <v>-4.5980840659033256E-4</v>
      </c>
      <c r="B3232">
        <v>2.4199999999999999E-2</v>
      </c>
      <c r="C3232" s="59">
        <v>0.06</v>
      </c>
      <c r="D3232" s="59">
        <v>-0.3</v>
      </c>
      <c r="E3232" s="60">
        <f t="shared" si="50"/>
        <v>1.24</v>
      </c>
      <c r="F3232" t="str" cm="1">
        <f t="array" ref="F3232">IF(A3232=MAX(IF(ROUND($B$2:$B$3722,4)=ROUND(B3232,4),$A$2:$A$3722)),"Efficient","Inefficient")</f>
        <v>Inefficient</v>
      </c>
    </row>
    <row r="3233" spans="1:6" x14ac:dyDescent="0.25">
      <c r="A3233" cm="1">
        <f t="array" ref="A3233">INDEX('Portfolio Weights Returns'!$B$9:$BJ$69,
INT((ROW(A3232)-1)/COLUMNS('Portfolio Weights Returns'!$B$9:$BJ$69))+1,MOD(ROW(A3232)-1,COLUMNS('Portfolio Weights Returns'!$B$9:$BJ$69))+1)</f>
        <v>-4.5302723262365357E-4</v>
      </c>
      <c r="B3233">
        <v>2.4199999999999999E-2</v>
      </c>
      <c r="C3233" s="59">
        <v>0.04</v>
      </c>
      <c r="D3233" s="59">
        <v>-0.28999999999999998</v>
      </c>
      <c r="E3233" s="60">
        <f t="shared" si="50"/>
        <v>1.25</v>
      </c>
      <c r="F3233" t="str" cm="1">
        <f t="array" ref="F3233">IF(A3233=MAX(IF(ROUND($B$2:$B$3722,4)=ROUND(B3233,4),$A$2:$A$3722)),"Efficient","Inefficient")</f>
        <v>Inefficient</v>
      </c>
    </row>
    <row r="3234" spans="1:6" x14ac:dyDescent="0.25">
      <c r="A3234" cm="1">
        <f t="array" ref="A3234">INDEX('Portfolio Weights Returns'!$B$9:$BJ$69,
INT((ROW(A3233)-1)/COLUMNS('Portfolio Weights Returns'!$B$9:$BJ$69))+1,MOD(ROW(A3233)-1,COLUMNS('Portfolio Weights Returns'!$B$9:$BJ$69))+1)</f>
        <v>-4.4624605865697443E-4</v>
      </c>
      <c r="B3234">
        <v>2.4199999999999999E-2</v>
      </c>
      <c r="C3234" s="59">
        <v>0.01</v>
      </c>
      <c r="D3234" s="59">
        <v>-0.27</v>
      </c>
      <c r="E3234" s="60">
        <f t="shared" si="50"/>
        <v>1.26</v>
      </c>
      <c r="F3234" t="str" cm="1">
        <f t="array" ref="F3234">IF(A3234=MAX(IF(ROUND($B$2:$B$3722,4)=ROUND(B3234,4),$A$2:$A$3722)),"Efficient","Inefficient")</f>
        <v>Efficient</v>
      </c>
    </row>
    <row r="3235" spans="1:6" x14ac:dyDescent="0.25">
      <c r="A3235" cm="1">
        <f t="array" ref="A3235">INDEX('Portfolio Weights Returns'!$B$9:$BJ$69,
INT((ROW(A3234)-1)/COLUMNS('Portfolio Weights Returns'!$B$9:$BJ$69))+1,MOD(ROW(A3234)-1,COLUMNS('Portfolio Weights Returns'!$B$9:$BJ$69))+1)</f>
        <v>-8.4654228881226614E-4</v>
      </c>
      <c r="B3235">
        <v>2.4199999999999999E-2</v>
      </c>
      <c r="C3235" s="59">
        <v>-0.01</v>
      </c>
      <c r="D3235" s="59">
        <v>-0.26</v>
      </c>
      <c r="E3235" s="60">
        <f t="shared" si="50"/>
        <v>1.27</v>
      </c>
      <c r="F3235" t="str" cm="1">
        <f t="array" ref="F3235">IF(A3235=MAX(IF(ROUND($B$2:$B$3722,4)=ROUND(B3235,4),$A$2:$A$3722)),"Efficient","Inefficient")</f>
        <v>Inefficient</v>
      </c>
    </row>
    <row r="3236" spans="1:6" x14ac:dyDescent="0.25">
      <c r="A3236" cm="1">
        <f t="array" ref="A3236">INDEX('Portfolio Weights Returns'!$B$9:$BJ$69,
INT((ROW(A3235)-1)/COLUMNS('Portfolio Weights Returns'!$B$9:$BJ$69))+1,MOD(ROW(A3235)-1,COLUMNS('Portfolio Weights Returns'!$B$9:$BJ$69))+1)</f>
        <v>-8.397611148455871E-4</v>
      </c>
      <c r="B3236">
        <v>2.4199999999999999E-2</v>
      </c>
      <c r="C3236" s="59">
        <v>-0.04</v>
      </c>
      <c r="D3236" s="59">
        <v>-0.24</v>
      </c>
      <c r="E3236" s="60">
        <f t="shared" si="50"/>
        <v>1.28</v>
      </c>
      <c r="F3236" t="str" cm="1">
        <f t="array" ref="F3236">IF(A3236=MAX(IF(ROUND($B$2:$B$3722,4)=ROUND(B3236,4),$A$2:$A$3722)),"Efficient","Inefficient")</f>
        <v>Inefficient</v>
      </c>
    </row>
    <row r="3237" spans="1:6" x14ac:dyDescent="0.25">
      <c r="A3237" cm="1">
        <f t="array" ref="A3237">INDEX('Portfolio Weights Returns'!$B$9:$BJ$69,
INT((ROW(A3236)-1)/COLUMNS('Portfolio Weights Returns'!$B$9:$BJ$69))+1,MOD(ROW(A3236)-1,COLUMNS('Portfolio Weights Returns'!$B$9:$BJ$69))+1)</f>
        <v>-8.3297994087890796E-4</v>
      </c>
      <c r="B3237">
        <v>2.4199999999999999E-2</v>
      </c>
      <c r="C3237" s="59">
        <v>-7.0000000000000007E-2</v>
      </c>
      <c r="D3237" s="59">
        <v>-0.22</v>
      </c>
      <c r="E3237" s="60">
        <f t="shared" si="50"/>
        <v>1.29</v>
      </c>
      <c r="F3237" t="str" cm="1">
        <f t="array" ref="F3237">IF(A3237=MAX(IF(ROUND($B$2:$B$3722,4)=ROUND(B3237,4),$A$2:$A$3722)),"Efficient","Inefficient")</f>
        <v>Inefficient</v>
      </c>
    </row>
    <row r="3238" spans="1:6" x14ac:dyDescent="0.25">
      <c r="A3238" cm="1">
        <f t="array" ref="A3238">INDEX('Portfolio Weights Returns'!$B$9:$BJ$69,
INT((ROW(A3237)-1)/COLUMNS('Portfolio Weights Returns'!$B$9:$BJ$69))+1,MOD(ROW(A3237)-1,COLUMNS('Portfolio Weights Returns'!$B$9:$BJ$69))+1)</f>
        <v>-8.2619876691222892E-4</v>
      </c>
      <c r="B3238">
        <v>2.4199999999999999E-2</v>
      </c>
      <c r="C3238" s="59">
        <v>-0.1</v>
      </c>
      <c r="D3238" s="59">
        <v>-0.2</v>
      </c>
      <c r="E3238" s="60">
        <f t="shared" si="50"/>
        <v>1.3</v>
      </c>
      <c r="F3238" t="str" cm="1">
        <f t="array" ref="F3238">IF(A3238=MAX(IF(ROUND($B$2:$B$3722,4)=ROUND(B3238,4),$A$2:$A$3722)),"Efficient","Inefficient")</f>
        <v>Inefficient</v>
      </c>
    </row>
    <row r="3239" spans="1:6" x14ac:dyDescent="0.25">
      <c r="A3239" cm="1">
        <f t="array" ref="A3239">INDEX('Portfolio Weights Returns'!$B$9:$BJ$69,
INT((ROW(A3238)-1)/COLUMNS('Portfolio Weights Returns'!$B$9:$BJ$69))+1,MOD(ROW(A3238)-1,COLUMNS('Portfolio Weights Returns'!$B$9:$BJ$69))+1)</f>
        <v>-8.1941759294554967E-4</v>
      </c>
      <c r="B3239">
        <v>2.4199999999999999E-2</v>
      </c>
      <c r="C3239" s="59">
        <v>-0.11</v>
      </c>
      <c r="D3239" s="59">
        <v>-0.19</v>
      </c>
      <c r="E3239" s="60">
        <f t="shared" si="50"/>
        <v>1.3</v>
      </c>
      <c r="F3239" t="str" cm="1">
        <f t="array" ref="F3239">IF(A3239=MAX(IF(ROUND($B$2:$B$3722,4)=ROUND(B3239,4),$A$2:$A$3722)),"Efficient","Inefficient")</f>
        <v>Inefficient</v>
      </c>
    </row>
    <row r="3240" spans="1:6" x14ac:dyDescent="0.25">
      <c r="A3240" cm="1">
        <f t="array" ref="A3240">INDEX('Portfolio Weights Returns'!$B$9:$BJ$69,
INT((ROW(A3239)-1)/COLUMNS('Portfolio Weights Returns'!$B$9:$BJ$69))+1,MOD(ROW(A3239)-1,COLUMNS('Portfolio Weights Returns'!$B$9:$BJ$69))+1)</f>
        <v>-8.1263641897887052E-4</v>
      </c>
      <c r="B3240">
        <v>2.4199999999999999E-2</v>
      </c>
      <c r="C3240" s="59">
        <v>-0.15</v>
      </c>
      <c r="D3240" s="59">
        <v>-0.16</v>
      </c>
      <c r="E3240" s="60">
        <f t="shared" si="50"/>
        <v>1.3099999999999998</v>
      </c>
      <c r="F3240" t="str" cm="1">
        <f t="array" ref="F3240">IF(A3240=MAX(IF(ROUND($B$2:$B$3722,4)=ROUND(B3240,4),$A$2:$A$3722)),"Efficient","Inefficient")</f>
        <v>Inefficient</v>
      </c>
    </row>
    <row r="3241" spans="1:6" x14ac:dyDescent="0.25">
      <c r="A3241" cm="1">
        <f t="array" ref="A3241">INDEX('Portfolio Weights Returns'!$B$9:$BJ$69,
INT((ROW(A3240)-1)/COLUMNS('Portfolio Weights Returns'!$B$9:$BJ$69))+1,MOD(ROW(A3240)-1,COLUMNS('Portfolio Weights Returns'!$B$9:$BJ$69))+1)</f>
        <v>-8.0585524501219149E-4</v>
      </c>
      <c r="B3241">
        <v>2.4199999999999999E-2</v>
      </c>
      <c r="C3241" s="59">
        <v>-0.16</v>
      </c>
      <c r="D3241" s="59">
        <v>-0.15</v>
      </c>
      <c r="E3241" s="60">
        <f t="shared" si="50"/>
        <v>1.3099999999999998</v>
      </c>
      <c r="F3241" t="str" cm="1">
        <f t="array" ref="F3241">IF(A3241=MAX(IF(ROUND($B$2:$B$3722,4)=ROUND(B3241,4),$A$2:$A$3722)),"Efficient","Inefficient")</f>
        <v>Inefficient</v>
      </c>
    </row>
    <row r="3242" spans="1:6" x14ac:dyDescent="0.25">
      <c r="A3242" cm="1">
        <f t="array" ref="A3242">INDEX('Portfolio Weights Returns'!$B$9:$BJ$69,
INT((ROW(A3241)-1)/COLUMNS('Portfolio Weights Returns'!$B$9:$BJ$69))+1,MOD(ROW(A3241)-1,COLUMNS('Portfolio Weights Returns'!$B$9:$BJ$69))+1)</f>
        <v>-7.9907407104551234E-4</v>
      </c>
      <c r="B3242">
        <v>2.4199999999999999E-2</v>
      </c>
      <c r="C3242" s="59">
        <v>-0.2</v>
      </c>
      <c r="D3242" s="59">
        <v>-0.12</v>
      </c>
      <c r="E3242" s="60">
        <f t="shared" si="50"/>
        <v>1.32</v>
      </c>
      <c r="F3242" t="str" cm="1">
        <f t="array" ref="F3242">IF(A3242=MAX(IF(ROUND($B$2:$B$3722,4)=ROUND(B3242,4),$A$2:$A$3722)),"Efficient","Inefficient")</f>
        <v>Inefficient</v>
      </c>
    </row>
    <row r="3243" spans="1:6" x14ac:dyDescent="0.25">
      <c r="A3243" cm="1">
        <f t="array" ref="A3243">INDEX('Portfolio Weights Returns'!$B$9:$BJ$69,
INT((ROW(A3242)-1)/COLUMNS('Portfolio Weights Returns'!$B$9:$BJ$69))+1,MOD(ROW(A3242)-1,COLUMNS('Portfolio Weights Returns'!$B$9:$BJ$69))+1)</f>
        <v>-7.9229289707883331E-4</v>
      </c>
      <c r="B3243">
        <v>2.4199999999999999E-2</v>
      </c>
      <c r="C3243" s="59">
        <v>-0.21</v>
      </c>
      <c r="D3243" s="59">
        <v>-0.11</v>
      </c>
      <c r="E3243" s="60">
        <f t="shared" si="50"/>
        <v>1.32</v>
      </c>
      <c r="F3243" t="str" cm="1">
        <f t="array" ref="F3243">IF(A3243=MAX(IF(ROUND($B$2:$B$3722,4)=ROUND(B3243,4),$A$2:$A$3722)),"Efficient","Inefficient")</f>
        <v>Inefficient</v>
      </c>
    </row>
    <row r="3244" spans="1:6" x14ac:dyDescent="0.25">
      <c r="A3244" cm="1">
        <f t="array" ref="A3244">INDEX('Portfolio Weights Returns'!$B$9:$BJ$69,
INT((ROW(A3243)-1)/COLUMNS('Portfolio Weights Returns'!$B$9:$BJ$69))+1,MOD(ROW(A3243)-1,COLUMNS('Portfolio Weights Returns'!$B$9:$BJ$69))+1)</f>
        <v>-7.8551172311215416E-4</v>
      </c>
      <c r="B3244">
        <v>2.4199999999999999E-2</v>
      </c>
      <c r="C3244" s="59">
        <v>-0.22</v>
      </c>
      <c r="D3244" s="59">
        <v>-0.1</v>
      </c>
      <c r="E3244" s="60">
        <f t="shared" si="50"/>
        <v>1.32</v>
      </c>
      <c r="F3244" t="str" cm="1">
        <f t="array" ref="F3244">IF(A3244=MAX(IF(ROUND($B$2:$B$3722,4)=ROUND(B3244,4),$A$2:$A$3722)),"Efficient","Inefficient")</f>
        <v>Inefficient</v>
      </c>
    </row>
    <row r="3245" spans="1:6" x14ac:dyDescent="0.25">
      <c r="A3245" cm="1">
        <f t="array" ref="A3245">INDEX('Portfolio Weights Returns'!$B$9:$BJ$69,
INT((ROW(A3244)-1)/COLUMNS('Portfolio Weights Returns'!$B$9:$BJ$69))+1,MOD(ROW(A3244)-1,COLUMNS('Portfolio Weights Returns'!$B$9:$BJ$69))+1)</f>
        <v>-7.7873054914547513E-4</v>
      </c>
      <c r="B3245">
        <v>2.4199999999999999E-2</v>
      </c>
      <c r="C3245" s="59">
        <v>-0.23</v>
      </c>
      <c r="D3245" s="59">
        <v>-0.09</v>
      </c>
      <c r="E3245" s="60">
        <f t="shared" si="50"/>
        <v>1.32</v>
      </c>
      <c r="F3245" t="str" cm="1">
        <f t="array" ref="F3245">IF(A3245=MAX(IF(ROUND($B$2:$B$3722,4)=ROUND(B3245,4),$A$2:$A$3722)),"Efficient","Inefficient")</f>
        <v>Inefficient</v>
      </c>
    </row>
    <row r="3246" spans="1:6" x14ac:dyDescent="0.25">
      <c r="A3246" cm="1">
        <f t="array" ref="A3246">INDEX('Portfolio Weights Returns'!$B$9:$BJ$69,
INT((ROW(A3245)-1)/COLUMNS('Portfolio Weights Returns'!$B$9:$BJ$69))+1,MOD(ROW(A3245)-1,COLUMNS('Portfolio Weights Returns'!$B$9:$BJ$69))+1)</f>
        <v>-7.7194937517879587E-4</v>
      </c>
      <c r="B3246">
        <v>2.4199999999999999E-2</v>
      </c>
      <c r="C3246" s="59">
        <v>-0.24</v>
      </c>
      <c r="D3246" s="59">
        <v>-0.08</v>
      </c>
      <c r="E3246" s="60">
        <f t="shared" si="50"/>
        <v>1.32</v>
      </c>
      <c r="F3246" t="str" cm="1">
        <f t="array" ref="F3246">IF(A3246=MAX(IF(ROUND($B$2:$B$3722,4)=ROUND(B3246,4),$A$2:$A$3722)),"Efficient","Inefficient")</f>
        <v>Inefficient</v>
      </c>
    </row>
    <row r="3247" spans="1:6" x14ac:dyDescent="0.25">
      <c r="A3247" cm="1">
        <f t="array" ref="A3247">INDEX('Portfolio Weights Returns'!$B$9:$BJ$69,
INT((ROW(A3246)-1)/COLUMNS('Portfolio Weights Returns'!$B$9:$BJ$69))+1,MOD(ROW(A3246)-1,COLUMNS('Portfolio Weights Returns'!$B$9:$BJ$69))+1)</f>
        <v>-7.6516820121211684E-4</v>
      </c>
      <c r="B3247">
        <v>2.4199999999999999E-2</v>
      </c>
      <c r="C3247" s="59">
        <v>-0.25</v>
      </c>
      <c r="D3247" s="59">
        <v>-7.0000000000000007E-2</v>
      </c>
      <c r="E3247" s="60">
        <f t="shared" si="50"/>
        <v>1.32</v>
      </c>
      <c r="F3247" t="str" cm="1">
        <f t="array" ref="F3247">IF(A3247=MAX(IF(ROUND($B$2:$B$3722,4)=ROUND(B3247,4),$A$2:$A$3722)),"Efficient","Inefficient")</f>
        <v>Inefficient</v>
      </c>
    </row>
    <row r="3248" spans="1:6" x14ac:dyDescent="0.25">
      <c r="A3248" cm="1">
        <f t="array" ref="A3248">INDEX('Portfolio Weights Returns'!$B$9:$BJ$69,
INT((ROW(A3247)-1)/COLUMNS('Portfolio Weights Returns'!$B$9:$BJ$69))+1,MOD(ROW(A3247)-1,COLUMNS('Portfolio Weights Returns'!$B$9:$BJ$69))+1)</f>
        <v>-7.5838702724543769E-4</v>
      </c>
      <c r="B3248">
        <v>2.4199999999999999E-2</v>
      </c>
      <c r="C3248" s="59">
        <v>-0.26</v>
      </c>
      <c r="D3248" s="59">
        <v>-0.06</v>
      </c>
      <c r="E3248" s="60">
        <f t="shared" si="50"/>
        <v>1.32</v>
      </c>
      <c r="F3248" t="str" cm="1">
        <f t="array" ref="F3248">IF(A3248=MAX(IF(ROUND($B$2:$B$3722,4)=ROUND(B3248,4),$A$2:$A$3722)),"Efficient","Inefficient")</f>
        <v>Inefficient</v>
      </c>
    </row>
    <row r="3249" spans="1:6" x14ac:dyDescent="0.25">
      <c r="A3249" cm="1">
        <f t="array" ref="A3249">INDEX('Portfolio Weights Returns'!$B$9:$BJ$69,
INT((ROW(A3248)-1)/COLUMNS('Portfolio Weights Returns'!$B$9:$BJ$69))+1,MOD(ROW(A3248)-1,COLUMNS('Portfolio Weights Returns'!$B$9:$BJ$69))+1)</f>
        <v>-7.5160585327875866E-4</v>
      </c>
      <c r="B3249">
        <v>2.4199999999999999E-2</v>
      </c>
      <c r="C3249" s="59">
        <v>-0.27</v>
      </c>
      <c r="D3249" s="59">
        <v>-0.05</v>
      </c>
      <c r="E3249" s="60">
        <f t="shared" si="50"/>
        <v>1.32</v>
      </c>
      <c r="F3249" t="str" cm="1">
        <f t="array" ref="F3249">IF(A3249=MAX(IF(ROUND($B$2:$B$3722,4)=ROUND(B3249,4),$A$2:$A$3722)),"Efficient","Inefficient")</f>
        <v>Inefficient</v>
      </c>
    </row>
    <row r="3250" spans="1:6" x14ac:dyDescent="0.25">
      <c r="A3250" cm="1">
        <f t="array" ref="A3250">INDEX('Portfolio Weights Returns'!$B$9:$BJ$69,
INT((ROW(A3249)-1)/COLUMNS('Portfolio Weights Returns'!$B$9:$BJ$69))+1,MOD(ROW(A3249)-1,COLUMNS('Portfolio Weights Returns'!$B$9:$BJ$69))+1)</f>
        <v>-7.4482467931207951E-4</v>
      </c>
      <c r="B3250">
        <v>2.4199999999999999E-2</v>
      </c>
      <c r="C3250" s="59">
        <v>-0.28000000000000003</v>
      </c>
      <c r="D3250" s="59">
        <v>-0.04</v>
      </c>
      <c r="E3250" s="60">
        <f t="shared" si="50"/>
        <v>1.32</v>
      </c>
      <c r="F3250" t="str" cm="1">
        <f t="array" ref="F3250">IF(A3250=MAX(IF(ROUND($B$2:$B$3722,4)=ROUND(B3250,4),$A$2:$A$3722)),"Efficient","Inefficient")</f>
        <v>Inefficient</v>
      </c>
    </row>
    <row r="3251" spans="1:6" x14ac:dyDescent="0.25">
      <c r="A3251" cm="1">
        <f t="array" ref="A3251">INDEX('Portfolio Weights Returns'!$B$9:$BJ$69,
INT((ROW(A3250)-1)/COLUMNS('Portfolio Weights Returns'!$B$9:$BJ$69))+1,MOD(ROW(A3250)-1,COLUMNS('Portfolio Weights Returns'!$B$9:$BJ$69))+1)</f>
        <v>-7.3804350534540048E-4</v>
      </c>
      <c r="B3251">
        <v>2.4199999999999999E-2</v>
      </c>
      <c r="C3251" s="59">
        <v>-0.28999999999999998</v>
      </c>
      <c r="D3251" s="59">
        <v>-0.03</v>
      </c>
      <c r="E3251" s="60">
        <f t="shared" si="50"/>
        <v>1.32</v>
      </c>
      <c r="F3251" t="str" cm="1">
        <f t="array" ref="F3251">IF(A3251=MAX(IF(ROUND($B$2:$B$3722,4)=ROUND(B3251,4),$A$2:$A$3722)),"Efficient","Inefficient")</f>
        <v>Inefficient</v>
      </c>
    </row>
    <row r="3252" spans="1:6" x14ac:dyDescent="0.25">
      <c r="A3252" cm="1">
        <f t="array" ref="A3252">INDEX('Portfolio Weights Returns'!$B$9:$BJ$69,
INT((ROW(A3251)-1)/COLUMNS('Portfolio Weights Returns'!$B$9:$BJ$69))+1,MOD(ROW(A3251)-1,COLUMNS('Portfolio Weights Returns'!$B$9:$BJ$69))+1)</f>
        <v>-7.3126233137872133E-4</v>
      </c>
      <c r="B3252">
        <v>2.4299999999999999E-2</v>
      </c>
      <c r="C3252" s="59">
        <v>0.05</v>
      </c>
      <c r="D3252" s="59">
        <v>-0.3</v>
      </c>
      <c r="E3252" s="60">
        <f t="shared" si="50"/>
        <v>1.25</v>
      </c>
      <c r="F3252" t="str" cm="1">
        <f t="array" ref="F3252">IF(A3252=MAX(IF(ROUND($B$2:$B$3722,4)=ROUND(B3252,4),$A$2:$A$3722)),"Efficient","Inefficient")</f>
        <v>Inefficient</v>
      </c>
    </row>
    <row r="3253" spans="1:6" x14ac:dyDescent="0.25">
      <c r="A3253" cm="1">
        <f t="array" ref="A3253">INDEX('Portfolio Weights Returns'!$B$9:$BJ$69,
INT((ROW(A3252)-1)/COLUMNS('Portfolio Weights Returns'!$B$9:$BJ$69))+1,MOD(ROW(A3252)-1,COLUMNS('Portfolio Weights Returns'!$B$9:$BJ$69))+1)</f>
        <v>-7.2448115741204229E-4</v>
      </c>
      <c r="B3253">
        <v>2.4299999999999999E-2</v>
      </c>
      <c r="C3253" s="59">
        <v>0.02</v>
      </c>
      <c r="D3253" s="59">
        <v>-0.28000000000000003</v>
      </c>
      <c r="E3253" s="60">
        <f t="shared" si="50"/>
        <v>1.26</v>
      </c>
      <c r="F3253" t="str" cm="1">
        <f t="array" ref="F3253">IF(A3253=MAX(IF(ROUND($B$2:$B$3722,4)=ROUND(B3253,4),$A$2:$A$3722)),"Efficient","Inefficient")</f>
        <v>Inefficient</v>
      </c>
    </row>
    <row r="3254" spans="1:6" x14ac:dyDescent="0.25">
      <c r="A3254" cm="1">
        <f t="array" ref="A3254">INDEX('Portfolio Weights Returns'!$B$9:$BJ$69,
INT((ROW(A3253)-1)/COLUMNS('Portfolio Weights Returns'!$B$9:$BJ$69))+1,MOD(ROW(A3253)-1,COLUMNS('Portfolio Weights Returns'!$B$9:$BJ$69))+1)</f>
        <v>-7.1769998344536326E-4</v>
      </c>
      <c r="B3254">
        <v>2.4299999999999999E-2</v>
      </c>
      <c r="C3254" s="59">
        <v>0</v>
      </c>
      <c r="D3254" s="59">
        <v>-0.27</v>
      </c>
      <c r="E3254" s="60">
        <f t="shared" si="50"/>
        <v>1.27</v>
      </c>
      <c r="F3254" t="str" cm="1">
        <f t="array" ref="F3254">IF(A3254=MAX(IF(ROUND($B$2:$B$3722,4)=ROUND(B3254,4),$A$2:$A$3722)),"Efficient","Inefficient")</f>
        <v>Inefficient</v>
      </c>
    </row>
    <row r="3255" spans="1:6" x14ac:dyDescent="0.25">
      <c r="A3255" cm="1">
        <f t="array" ref="A3255">INDEX('Portfolio Weights Returns'!$B$9:$BJ$69,
INT((ROW(A3254)-1)/COLUMNS('Portfolio Weights Returns'!$B$9:$BJ$69))+1,MOD(ROW(A3254)-1,COLUMNS('Portfolio Weights Returns'!$B$9:$BJ$69))+1)</f>
        <v>-7.1091880947868411E-4</v>
      </c>
      <c r="B3255">
        <v>2.4299999999999999E-2</v>
      </c>
      <c r="C3255" s="59">
        <v>-0.03</v>
      </c>
      <c r="D3255" s="59">
        <v>-0.25</v>
      </c>
      <c r="E3255" s="60">
        <f t="shared" si="50"/>
        <v>1.28</v>
      </c>
      <c r="F3255" t="str" cm="1">
        <f t="array" ref="F3255">IF(A3255=MAX(IF(ROUND($B$2:$B$3722,4)=ROUND(B3255,4),$A$2:$A$3722)),"Efficient","Inefficient")</f>
        <v>Inefficient</v>
      </c>
    </row>
    <row r="3256" spans="1:6" x14ac:dyDescent="0.25">
      <c r="A3256" cm="1">
        <f t="array" ref="A3256">INDEX('Portfolio Weights Returns'!$B$9:$BJ$69,
INT((ROW(A3255)-1)/COLUMNS('Portfolio Weights Returns'!$B$9:$BJ$69))+1,MOD(ROW(A3255)-1,COLUMNS('Portfolio Weights Returns'!$B$9:$BJ$69))+1)</f>
        <v>-7.0413763551200508E-4</v>
      </c>
      <c r="B3256">
        <v>2.4299999999999999E-2</v>
      </c>
      <c r="C3256" s="59">
        <v>-0.06</v>
      </c>
      <c r="D3256" s="59">
        <v>-0.23</v>
      </c>
      <c r="E3256" s="60">
        <f t="shared" si="50"/>
        <v>1.29</v>
      </c>
      <c r="F3256" t="str" cm="1">
        <f t="array" ref="F3256">IF(A3256=MAX(IF(ROUND($B$2:$B$3722,4)=ROUND(B3256,4),$A$2:$A$3722)),"Efficient","Inefficient")</f>
        <v>Inefficient</v>
      </c>
    </row>
    <row r="3257" spans="1:6" x14ac:dyDescent="0.25">
      <c r="A3257" cm="1">
        <f t="array" ref="A3257">INDEX('Portfolio Weights Returns'!$B$9:$BJ$69,
INT((ROW(A3256)-1)/COLUMNS('Portfolio Weights Returns'!$B$9:$BJ$69))+1,MOD(ROW(A3256)-1,COLUMNS('Portfolio Weights Returns'!$B$9:$BJ$69))+1)</f>
        <v>-6.9735646154532583E-4</v>
      </c>
      <c r="B3257">
        <v>2.4299999999999999E-2</v>
      </c>
      <c r="C3257" s="59">
        <v>-0.09</v>
      </c>
      <c r="D3257" s="59">
        <v>-0.21</v>
      </c>
      <c r="E3257" s="60">
        <f t="shared" si="50"/>
        <v>1.3</v>
      </c>
      <c r="F3257" t="str" cm="1">
        <f t="array" ref="F3257">IF(A3257=MAX(IF(ROUND($B$2:$B$3722,4)=ROUND(B3257,4),$A$2:$A$3722)),"Efficient","Inefficient")</f>
        <v>Inefficient</v>
      </c>
    </row>
    <row r="3258" spans="1:6" x14ac:dyDescent="0.25">
      <c r="A3258" cm="1">
        <f t="array" ref="A3258">INDEX('Portfolio Weights Returns'!$B$9:$BJ$69,
INT((ROW(A3257)-1)/COLUMNS('Portfolio Weights Returns'!$B$9:$BJ$69))+1,MOD(ROW(A3257)-1,COLUMNS('Portfolio Weights Returns'!$B$9:$BJ$69))+1)</f>
        <v>-6.9057528757864679E-4</v>
      </c>
      <c r="B3258">
        <v>2.4299999999999999E-2</v>
      </c>
      <c r="C3258" s="59">
        <v>-0.13</v>
      </c>
      <c r="D3258" s="59">
        <v>-0.18</v>
      </c>
      <c r="E3258" s="60">
        <f t="shared" si="50"/>
        <v>1.31</v>
      </c>
      <c r="F3258" t="str" cm="1">
        <f t="array" ref="F3258">IF(A3258=MAX(IF(ROUND($B$2:$B$3722,4)=ROUND(B3258,4),$A$2:$A$3722)),"Efficient","Inefficient")</f>
        <v>Inefficient</v>
      </c>
    </row>
    <row r="3259" spans="1:6" x14ac:dyDescent="0.25">
      <c r="A3259" cm="1">
        <f t="array" ref="A3259">INDEX('Portfolio Weights Returns'!$B$9:$BJ$69,
INT((ROW(A3258)-1)/COLUMNS('Portfolio Weights Returns'!$B$9:$BJ$69))+1,MOD(ROW(A3258)-1,COLUMNS('Portfolio Weights Returns'!$B$9:$BJ$69))+1)</f>
        <v>-6.8379411361196765E-4</v>
      </c>
      <c r="B3259">
        <v>2.4299999999999999E-2</v>
      </c>
      <c r="C3259" s="59">
        <v>-0.14000000000000001</v>
      </c>
      <c r="D3259" s="59">
        <v>-0.17</v>
      </c>
      <c r="E3259" s="60">
        <f t="shared" si="50"/>
        <v>1.31</v>
      </c>
      <c r="F3259" t="str" cm="1">
        <f t="array" ref="F3259">IF(A3259=MAX(IF(ROUND($B$2:$B$3722,4)=ROUND(B3259,4),$A$2:$A$3722)),"Efficient","Inefficient")</f>
        <v>Inefficient</v>
      </c>
    </row>
    <row r="3260" spans="1:6" x14ac:dyDescent="0.25">
      <c r="A3260" cm="1">
        <f t="array" ref="A3260">INDEX('Portfolio Weights Returns'!$B$9:$BJ$69,
INT((ROW(A3259)-1)/COLUMNS('Portfolio Weights Returns'!$B$9:$BJ$69))+1,MOD(ROW(A3259)-1,COLUMNS('Portfolio Weights Returns'!$B$9:$BJ$69))+1)</f>
        <v>-6.770129396452885E-4</v>
      </c>
      <c r="B3260">
        <v>2.4299999999999999E-2</v>
      </c>
      <c r="C3260" s="59">
        <v>-0.17</v>
      </c>
      <c r="D3260" s="59">
        <v>-0.15</v>
      </c>
      <c r="E3260" s="60">
        <f t="shared" si="50"/>
        <v>1.3199999999999998</v>
      </c>
      <c r="F3260" t="str" cm="1">
        <f t="array" ref="F3260">IF(A3260=MAX(IF(ROUND($B$2:$B$3722,4)=ROUND(B3260,4),$A$2:$A$3722)),"Efficient","Inefficient")</f>
        <v>Inefficient</v>
      </c>
    </row>
    <row r="3261" spans="1:6" x14ac:dyDescent="0.25">
      <c r="A3261" cm="1">
        <f t="array" ref="A3261">INDEX('Portfolio Weights Returns'!$B$9:$BJ$69,
INT((ROW(A3260)-1)/COLUMNS('Portfolio Weights Returns'!$B$9:$BJ$69))+1,MOD(ROW(A3260)-1,COLUMNS('Portfolio Weights Returns'!$B$9:$BJ$69))+1)</f>
        <v>-6.7023176567860946E-4</v>
      </c>
      <c r="B3261">
        <v>2.4299999999999999E-2</v>
      </c>
      <c r="C3261" s="59">
        <v>-0.18</v>
      </c>
      <c r="D3261" s="59">
        <v>-0.14000000000000001</v>
      </c>
      <c r="E3261" s="60">
        <f t="shared" si="50"/>
        <v>1.32</v>
      </c>
      <c r="F3261" t="str" cm="1">
        <f t="array" ref="F3261">IF(A3261=MAX(IF(ROUND($B$2:$B$3722,4)=ROUND(B3261,4),$A$2:$A$3722)),"Efficient","Inefficient")</f>
        <v>Inefficient</v>
      </c>
    </row>
    <row r="3262" spans="1:6" x14ac:dyDescent="0.25">
      <c r="A3262" cm="1">
        <f t="array" ref="A3262">INDEX('Portfolio Weights Returns'!$B$9:$BJ$69,
INT((ROW(A3261)-1)/COLUMNS('Portfolio Weights Returns'!$B$9:$BJ$69))+1,MOD(ROW(A3261)-1,COLUMNS('Portfolio Weights Returns'!$B$9:$BJ$69))+1)</f>
        <v>-6.6345059171193032E-4</v>
      </c>
      <c r="B3262">
        <v>2.4299999999999999E-2</v>
      </c>
      <c r="C3262" s="59">
        <v>-0.19</v>
      </c>
      <c r="D3262" s="59">
        <v>-0.13</v>
      </c>
      <c r="E3262" s="60">
        <f t="shared" si="50"/>
        <v>1.3199999999999998</v>
      </c>
      <c r="F3262" t="str" cm="1">
        <f t="array" ref="F3262">IF(A3262=MAX(IF(ROUND($B$2:$B$3722,4)=ROUND(B3262,4),$A$2:$A$3722)),"Efficient","Inefficient")</f>
        <v>Inefficient</v>
      </c>
    </row>
    <row r="3263" spans="1:6" x14ac:dyDescent="0.25">
      <c r="A3263" cm="1">
        <f t="array" ref="A3263">INDEX('Portfolio Weights Returns'!$B$9:$BJ$69,
INT((ROW(A3262)-1)/COLUMNS('Portfolio Weights Returns'!$B$9:$BJ$69))+1,MOD(ROW(A3262)-1,COLUMNS('Portfolio Weights Returns'!$B$9:$BJ$69))+1)</f>
        <v>-6.5666941774525128E-4</v>
      </c>
      <c r="B3263">
        <v>2.4299999999999999E-2</v>
      </c>
      <c r="C3263" s="59">
        <v>-0.3</v>
      </c>
      <c r="D3263" s="59">
        <v>-0.02</v>
      </c>
      <c r="E3263" s="60">
        <f t="shared" si="50"/>
        <v>1.32</v>
      </c>
      <c r="F3263" t="str" cm="1">
        <f t="array" ref="F3263">IF(A3263=MAX(IF(ROUND($B$2:$B$3722,4)=ROUND(B3263,4),$A$2:$A$3722)),"Efficient","Inefficient")</f>
        <v>Efficient</v>
      </c>
    </row>
    <row r="3264" spans="1:6" x14ac:dyDescent="0.25">
      <c r="A3264" cm="1">
        <f t="array" ref="A3264">INDEX('Portfolio Weights Returns'!$B$9:$BJ$69,
INT((ROW(A3263)-1)/COLUMNS('Portfolio Weights Returns'!$B$9:$BJ$69))+1,MOD(ROW(A3263)-1,COLUMNS('Portfolio Weights Returns'!$B$9:$BJ$69))+1)</f>
        <v>-6.4988824377857203E-4</v>
      </c>
      <c r="B3264">
        <v>2.4400000000000002E-2</v>
      </c>
      <c r="C3264" s="59">
        <v>0.03</v>
      </c>
      <c r="D3264" s="59">
        <v>-0.28999999999999998</v>
      </c>
      <c r="E3264" s="60">
        <f t="shared" si="50"/>
        <v>1.26</v>
      </c>
      <c r="F3264" t="str" cm="1">
        <f t="array" ref="F3264">IF(A3264=MAX(IF(ROUND($B$2:$B$3722,4)=ROUND(B3264,4),$A$2:$A$3722)),"Efficient","Inefficient")</f>
        <v>Inefficient</v>
      </c>
    </row>
    <row r="3265" spans="1:6" x14ac:dyDescent="0.25">
      <c r="A3265" cm="1">
        <f t="array" ref="A3265">INDEX('Portfolio Weights Returns'!$B$9:$BJ$69,
INT((ROW(A3264)-1)/COLUMNS('Portfolio Weights Returns'!$B$9:$BJ$69))+1,MOD(ROW(A3264)-1,COLUMNS('Portfolio Weights Returns'!$B$9:$BJ$69))+1)</f>
        <v>-6.43107069811893E-4</v>
      </c>
      <c r="B3265">
        <v>2.4400000000000002E-2</v>
      </c>
      <c r="C3265" s="59">
        <v>0.01</v>
      </c>
      <c r="D3265" s="59">
        <v>-0.28000000000000003</v>
      </c>
      <c r="E3265" s="60">
        <f t="shared" si="50"/>
        <v>1.27</v>
      </c>
      <c r="F3265" t="str" cm="1">
        <f t="array" ref="F3265">IF(A3265=MAX(IF(ROUND($B$2:$B$3722,4)=ROUND(B3265,4),$A$2:$A$3722)),"Efficient","Inefficient")</f>
        <v>Inefficient</v>
      </c>
    </row>
    <row r="3266" spans="1:6" x14ac:dyDescent="0.25">
      <c r="A3266" cm="1">
        <f t="array" ref="A3266">INDEX('Portfolio Weights Returns'!$B$9:$BJ$69,
INT((ROW(A3265)-1)/COLUMNS('Portfolio Weights Returns'!$B$9:$BJ$69))+1,MOD(ROW(A3265)-1,COLUMNS('Portfolio Weights Returns'!$B$9:$BJ$69))+1)</f>
        <v>-6.3632589584521385E-4</v>
      </c>
      <c r="B3266">
        <v>2.4400000000000002E-2</v>
      </c>
      <c r="C3266" s="59">
        <v>-0.02</v>
      </c>
      <c r="D3266" s="59">
        <v>-0.26</v>
      </c>
      <c r="E3266" s="60">
        <f t="shared" ref="E3266:E3329" si="51">1-D3266-C3266</f>
        <v>1.28</v>
      </c>
      <c r="F3266" t="str" cm="1">
        <f t="array" ref="F3266">IF(A3266=MAX(IF(ROUND($B$2:$B$3722,4)=ROUND(B3266,4),$A$2:$A$3722)),"Efficient","Inefficient")</f>
        <v>Inefficient</v>
      </c>
    </row>
    <row r="3267" spans="1:6" x14ac:dyDescent="0.25">
      <c r="A3267" cm="1">
        <f t="array" ref="A3267">INDEX('Portfolio Weights Returns'!$B$9:$BJ$69,
INT((ROW(A3266)-1)/COLUMNS('Portfolio Weights Returns'!$B$9:$BJ$69))+1,MOD(ROW(A3266)-1,COLUMNS('Portfolio Weights Returns'!$B$9:$BJ$69))+1)</f>
        <v>-6.2954472187853482E-4</v>
      </c>
      <c r="B3267">
        <v>2.4400000000000002E-2</v>
      </c>
      <c r="C3267" s="59">
        <v>-0.05</v>
      </c>
      <c r="D3267" s="59">
        <v>-0.24</v>
      </c>
      <c r="E3267" s="60">
        <f t="shared" si="51"/>
        <v>1.29</v>
      </c>
      <c r="F3267" t="str" cm="1">
        <f t="array" ref="F3267">IF(A3267=MAX(IF(ROUND($B$2:$B$3722,4)=ROUND(B3267,4),$A$2:$A$3722)),"Efficient","Inefficient")</f>
        <v>Inefficient</v>
      </c>
    </row>
    <row r="3268" spans="1:6" x14ac:dyDescent="0.25">
      <c r="A3268" cm="1">
        <f t="array" ref="A3268">INDEX('Portfolio Weights Returns'!$B$9:$BJ$69,
INT((ROW(A3267)-1)/COLUMNS('Portfolio Weights Returns'!$B$9:$BJ$69))+1,MOD(ROW(A3267)-1,COLUMNS('Portfolio Weights Returns'!$B$9:$BJ$69))+1)</f>
        <v>-6.2276354791185567E-4</v>
      </c>
      <c r="B3268">
        <v>2.4400000000000002E-2</v>
      </c>
      <c r="C3268" s="59">
        <v>-0.08</v>
      </c>
      <c r="D3268" s="59">
        <v>-0.22</v>
      </c>
      <c r="E3268" s="60">
        <f t="shared" si="51"/>
        <v>1.3</v>
      </c>
      <c r="F3268" t="str" cm="1">
        <f t="array" ref="F3268">IF(A3268=MAX(IF(ROUND($B$2:$B$3722,4)=ROUND(B3268,4),$A$2:$A$3722)),"Efficient","Inefficient")</f>
        <v>Inefficient</v>
      </c>
    </row>
    <row r="3269" spans="1:6" x14ac:dyDescent="0.25">
      <c r="A3269" cm="1">
        <f t="array" ref="A3269">INDEX('Portfolio Weights Returns'!$B$9:$BJ$69,
INT((ROW(A3268)-1)/COLUMNS('Portfolio Weights Returns'!$B$9:$BJ$69))+1,MOD(ROW(A3268)-1,COLUMNS('Portfolio Weights Returns'!$B$9:$BJ$69))+1)</f>
        <v>-6.1598237394517663E-4</v>
      </c>
      <c r="B3269">
        <v>2.4400000000000002E-2</v>
      </c>
      <c r="C3269" s="59">
        <v>-0.11</v>
      </c>
      <c r="D3269" s="59">
        <v>-0.2</v>
      </c>
      <c r="E3269" s="60">
        <f t="shared" si="51"/>
        <v>1.31</v>
      </c>
      <c r="F3269" t="str" cm="1">
        <f t="array" ref="F3269">IF(A3269=MAX(IF(ROUND($B$2:$B$3722,4)=ROUND(B3269,4),$A$2:$A$3722)),"Efficient","Inefficient")</f>
        <v>Inefficient</v>
      </c>
    </row>
    <row r="3270" spans="1:6" x14ac:dyDescent="0.25">
      <c r="A3270" cm="1">
        <f t="array" ref="A3270">INDEX('Portfolio Weights Returns'!$B$9:$BJ$69,
INT((ROW(A3269)-1)/COLUMNS('Portfolio Weights Returns'!$B$9:$BJ$69))+1,MOD(ROW(A3269)-1,COLUMNS('Portfolio Weights Returns'!$B$9:$BJ$69))+1)</f>
        <v>-6.0920119997849749E-4</v>
      </c>
      <c r="B3270">
        <v>2.4400000000000002E-2</v>
      </c>
      <c r="C3270" s="59">
        <v>-0.12</v>
      </c>
      <c r="D3270" s="59">
        <v>-0.19</v>
      </c>
      <c r="E3270" s="60">
        <f t="shared" si="51"/>
        <v>1.31</v>
      </c>
      <c r="F3270" t="str" cm="1">
        <f t="array" ref="F3270">IF(A3270=MAX(IF(ROUND($B$2:$B$3722,4)=ROUND(B3270,4),$A$2:$A$3722)),"Efficient","Inefficient")</f>
        <v>Inefficient</v>
      </c>
    </row>
    <row r="3271" spans="1:6" x14ac:dyDescent="0.25">
      <c r="A3271" cm="1">
        <f t="array" ref="A3271">INDEX('Portfolio Weights Returns'!$B$9:$BJ$69,
INT((ROW(A3270)-1)/COLUMNS('Portfolio Weights Returns'!$B$9:$BJ$69))+1,MOD(ROW(A3270)-1,COLUMNS('Portfolio Weights Returns'!$B$9:$BJ$69))+1)</f>
        <v>-6.0242002601181824E-4</v>
      </c>
      <c r="B3271">
        <v>2.4400000000000002E-2</v>
      </c>
      <c r="C3271" s="59">
        <v>-0.15</v>
      </c>
      <c r="D3271" s="59">
        <v>-0.17</v>
      </c>
      <c r="E3271" s="60">
        <f t="shared" si="51"/>
        <v>1.3199999999999998</v>
      </c>
      <c r="F3271" t="str" cm="1">
        <f t="array" ref="F3271">IF(A3271=MAX(IF(ROUND($B$2:$B$3722,4)=ROUND(B3271,4),$A$2:$A$3722)),"Efficient","Inefficient")</f>
        <v>Inefficient</v>
      </c>
    </row>
    <row r="3272" spans="1:6" x14ac:dyDescent="0.25">
      <c r="A3272" cm="1">
        <f t="array" ref="A3272">INDEX('Portfolio Weights Returns'!$B$9:$BJ$69,
INT((ROW(A3271)-1)/COLUMNS('Portfolio Weights Returns'!$B$9:$BJ$69))+1,MOD(ROW(A3271)-1,COLUMNS('Portfolio Weights Returns'!$B$9:$BJ$69))+1)</f>
        <v>-5.956388520451392E-4</v>
      </c>
      <c r="B3272">
        <v>2.4400000000000002E-2</v>
      </c>
      <c r="C3272" s="59">
        <v>-0.16</v>
      </c>
      <c r="D3272" s="59">
        <v>-0.16</v>
      </c>
      <c r="E3272" s="60">
        <f t="shared" si="51"/>
        <v>1.3199999999999998</v>
      </c>
      <c r="F3272" t="str" cm="1">
        <f t="array" ref="F3272">IF(A3272=MAX(IF(ROUND($B$2:$B$3722,4)=ROUND(B3272,4),$A$2:$A$3722)),"Efficient","Inefficient")</f>
        <v>Inefficient</v>
      </c>
    </row>
    <row r="3273" spans="1:6" x14ac:dyDescent="0.25">
      <c r="A3273" cm="1">
        <f t="array" ref="A3273">INDEX('Portfolio Weights Returns'!$B$9:$BJ$69,
INT((ROW(A3272)-1)/COLUMNS('Portfolio Weights Returns'!$B$9:$BJ$69))+1,MOD(ROW(A3272)-1,COLUMNS('Portfolio Weights Returns'!$B$9:$BJ$69))+1)</f>
        <v>-5.8885767807846017E-4</v>
      </c>
      <c r="B3273">
        <v>2.4400000000000002E-2</v>
      </c>
      <c r="C3273" s="59">
        <v>-0.2</v>
      </c>
      <c r="D3273" s="59">
        <v>-0.13</v>
      </c>
      <c r="E3273" s="60">
        <f t="shared" si="51"/>
        <v>1.3299999999999998</v>
      </c>
      <c r="F3273" t="str" cm="1">
        <f t="array" ref="F3273">IF(A3273=MAX(IF(ROUND($B$2:$B$3722,4)=ROUND(B3273,4),$A$2:$A$3722)),"Efficient","Inefficient")</f>
        <v>Inefficient</v>
      </c>
    </row>
    <row r="3274" spans="1:6" x14ac:dyDescent="0.25">
      <c r="A3274" cm="1">
        <f t="array" ref="A3274">INDEX('Portfolio Weights Returns'!$B$9:$BJ$69,
INT((ROW(A3273)-1)/COLUMNS('Portfolio Weights Returns'!$B$9:$BJ$69))+1,MOD(ROW(A3273)-1,COLUMNS('Portfolio Weights Returns'!$B$9:$BJ$69))+1)</f>
        <v>-5.8207650411178113E-4</v>
      </c>
      <c r="B3274">
        <v>2.4400000000000002E-2</v>
      </c>
      <c r="C3274" s="59">
        <v>-0.21</v>
      </c>
      <c r="D3274" s="59">
        <v>-0.12</v>
      </c>
      <c r="E3274" s="60">
        <f t="shared" si="51"/>
        <v>1.33</v>
      </c>
      <c r="F3274" t="str" cm="1">
        <f t="array" ref="F3274">IF(A3274=MAX(IF(ROUND($B$2:$B$3722,4)=ROUND(B3274,4),$A$2:$A$3722)),"Efficient","Inefficient")</f>
        <v>Inefficient</v>
      </c>
    </row>
    <row r="3275" spans="1:6" x14ac:dyDescent="0.25">
      <c r="A3275" cm="1">
        <f t="array" ref="A3275">INDEX('Portfolio Weights Returns'!$B$9:$BJ$69,
INT((ROW(A3274)-1)/COLUMNS('Portfolio Weights Returns'!$B$9:$BJ$69))+1,MOD(ROW(A3274)-1,COLUMNS('Portfolio Weights Returns'!$B$9:$BJ$69))+1)</f>
        <v>-5.7529533014510198E-4</v>
      </c>
      <c r="B3275">
        <v>2.4400000000000002E-2</v>
      </c>
      <c r="C3275" s="59">
        <v>-0.22</v>
      </c>
      <c r="D3275" s="59">
        <v>-0.11</v>
      </c>
      <c r="E3275" s="60">
        <f t="shared" si="51"/>
        <v>1.33</v>
      </c>
      <c r="F3275" t="str" cm="1">
        <f t="array" ref="F3275">IF(A3275=MAX(IF(ROUND($B$2:$B$3722,4)=ROUND(B3275,4),$A$2:$A$3722)),"Efficient","Inefficient")</f>
        <v>Inefficient</v>
      </c>
    </row>
    <row r="3276" spans="1:6" x14ac:dyDescent="0.25">
      <c r="A3276" cm="1">
        <f t="array" ref="A3276">INDEX('Portfolio Weights Returns'!$B$9:$BJ$69,
INT((ROW(A3275)-1)/COLUMNS('Portfolio Weights Returns'!$B$9:$BJ$69))+1,MOD(ROW(A3275)-1,COLUMNS('Portfolio Weights Returns'!$B$9:$BJ$69))+1)</f>
        <v>-5.6851415617842295E-4</v>
      </c>
      <c r="B3276">
        <v>2.4400000000000002E-2</v>
      </c>
      <c r="C3276" s="59">
        <v>-0.23</v>
      </c>
      <c r="D3276" s="59">
        <v>-0.1</v>
      </c>
      <c r="E3276" s="60">
        <f t="shared" si="51"/>
        <v>1.33</v>
      </c>
      <c r="F3276" t="str" cm="1">
        <f t="array" ref="F3276">IF(A3276=MAX(IF(ROUND($B$2:$B$3722,4)=ROUND(B3276,4),$A$2:$A$3722)),"Efficient","Inefficient")</f>
        <v>Inefficient</v>
      </c>
    </row>
    <row r="3277" spans="1:6" x14ac:dyDescent="0.25">
      <c r="A3277" cm="1">
        <f t="array" ref="A3277">INDEX('Portfolio Weights Returns'!$B$9:$BJ$69,
INT((ROW(A3276)-1)/COLUMNS('Portfolio Weights Returns'!$B$9:$BJ$69))+1,MOD(ROW(A3276)-1,COLUMNS('Portfolio Weights Returns'!$B$9:$BJ$69))+1)</f>
        <v>-5.617329822117437E-4</v>
      </c>
      <c r="B3277">
        <v>2.4400000000000002E-2</v>
      </c>
      <c r="C3277" s="59">
        <v>-0.24</v>
      </c>
      <c r="D3277" s="59">
        <v>-0.09</v>
      </c>
      <c r="E3277" s="60">
        <f t="shared" si="51"/>
        <v>1.33</v>
      </c>
      <c r="F3277" t="str" cm="1">
        <f t="array" ref="F3277">IF(A3277=MAX(IF(ROUND($B$2:$B$3722,4)=ROUND(B3277,4),$A$2:$A$3722)),"Efficient","Inefficient")</f>
        <v>Inefficient</v>
      </c>
    </row>
    <row r="3278" spans="1:6" x14ac:dyDescent="0.25">
      <c r="A3278" cm="1">
        <f t="array" ref="A3278">INDEX('Portfolio Weights Returns'!$B$9:$BJ$69,
INT((ROW(A3277)-1)/COLUMNS('Portfolio Weights Returns'!$B$9:$BJ$69))+1,MOD(ROW(A3277)-1,COLUMNS('Portfolio Weights Returns'!$B$9:$BJ$69))+1)</f>
        <v>-5.5495180824506455E-4</v>
      </c>
      <c r="B3278">
        <v>2.4400000000000002E-2</v>
      </c>
      <c r="C3278" s="59">
        <v>-0.25</v>
      </c>
      <c r="D3278" s="59">
        <v>-0.08</v>
      </c>
      <c r="E3278" s="60">
        <f t="shared" si="51"/>
        <v>1.33</v>
      </c>
      <c r="F3278" t="str" cm="1">
        <f t="array" ref="F3278">IF(A3278=MAX(IF(ROUND($B$2:$B$3722,4)=ROUND(B3278,4),$A$2:$A$3722)),"Efficient","Inefficient")</f>
        <v>Inefficient</v>
      </c>
    </row>
    <row r="3279" spans="1:6" x14ac:dyDescent="0.25">
      <c r="A3279" cm="1">
        <f t="array" ref="A3279">INDEX('Portfolio Weights Returns'!$B$9:$BJ$69,
INT((ROW(A3278)-1)/COLUMNS('Portfolio Weights Returns'!$B$9:$BJ$69))+1,MOD(ROW(A3278)-1,COLUMNS('Portfolio Weights Returns'!$B$9:$BJ$69))+1)</f>
        <v>-5.4817063427838552E-4</v>
      </c>
      <c r="B3279">
        <v>2.4400000000000002E-2</v>
      </c>
      <c r="C3279" s="59">
        <v>-0.26</v>
      </c>
      <c r="D3279" s="59">
        <v>-7.0000000000000007E-2</v>
      </c>
      <c r="E3279" s="60">
        <f t="shared" si="51"/>
        <v>1.33</v>
      </c>
      <c r="F3279" t="str" cm="1">
        <f t="array" ref="F3279">IF(A3279=MAX(IF(ROUND($B$2:$B$3722,4)=ROUND(B3279,4),$A$2:$A$3722)),"Efficient","Inefficient")</f>
        <v>Inefficient</v>
      </c>
    </row>
    <row r="3280" spans="1:6" x14ac:dyDescent="0.25">
      <c r="A3280" cm="1">
        <f t="array" ref="A3280">INDEX('Portfolio Weights Returns'!$B$9:$BJ$69,
INT((ROW(A3279)-1)/COLUMNS('Portfolio Weights Returns'!$B$9:$BJ$69))+1,MOD(ROW(A3279)-1,COLUMNS('Portfolio Weights Returns'!$B$9:$BJ$69))+1)</f>
        <v>-5.4138946031170637E-4</v>
      </c>
      <c r="B3280">
        <v>2.4400000000000002E-2</v>
      </c>
      <c r="C3280" s="59">
        <v>-0.27</v>
      </c>
      <c r="D3280" s="59">
        <v>-0.06</v>
      </c>
      <c r="E3280" s="60">
        <f t="shared" si="51"/>
        <v>1.33</v>
      </c>
      <c r="F3280" t="str" cm="1">
        <f t="array" ref="F3280">IF(A3280=MAX(IF(ROUND($B$2:$B$3722,4)=ROUND(B3280,4),$A$2:$A$3722)),"Efficient","Inefficient")</f>
        <v>Inefficient</v>
      </c>
    </row>
    <row r="3281" spans="1:6" x14ac:dyDescent="0.25">
      <c r="A3281" cm="1">
        <f t="array" ref="A3281">INDEX('Portfolio Weights Returns'!$B$9:$BJ$69,
INT((ROW(A3280)-1)/COLUMNS('Portfolio Weights Returns'!$B$9:$BJ$69))+1,MOD(ROW(A3280)-1,COLUMNS('Portfolio Weights Returns'!$B$9:$BJ$69))+1)</f>
        <v>-5.3460828634502734E-4</v>
      </c>
      <c r="B3281">
        <v>2.4400000000000002E-2</v>
      </c>
      <c r="C3281" s="59">
        <v>-0.28000000000000003</v>
      </c>
      <c r="D3281" s="59">
        <v>-0.05</v>
      </c>
      <c r="E3281" s="60">
        <f t="shared" si="51"/>
        <v>1.33</v>
      </c>
      <c r="F3281" t="str" cm="1">
        <f t="array" ref="F3281">IF(A3281=MAX(IF(ROUND($B$2:$B$3722,4)=ROUND(B3281,4),$A$2:$A$3722)),"Efficient","Inefficient")</f>
        <v>Inefficient</v>
      </c>
    </row>
    <row r="3282" spans="1:6" x14ac:dyDescent="0.25">
      <c r="A3282" cm="1">
        <f t="array" ref="A3282">INDEX('Portfolio Weights Returns'!$B$9:$BJ$69,
INT((ROW(A3281)-1)/COLUMNS('Portfolio Weights Returns'!$B$9:$BJ$69))+1,MOD(ROW(A3281)-1,COLUMNS('Portfolio Weights Returns'!$B$9:$BJ$69))+1)</f>
        <v>-5.2782711237834819E-4</v>
      </c>
      <c r="B3282">
        <v>2.4400000000000002E-2</v>
      </c>
      <c r="C3282" s="59">
        <v>-0.28999999999999998</v>
      </c>
      <c r="D3282" s="59">
        <v>-0.04</v>
      </c>
      <c r="E3282" s="60">
        <f t="shared" si="51"/>
        <v>1.33</v>
      </c>
      <c r="F3282" t="str" cm="1">
        <f t="array" ref="F3282">IF(A3282=MAX(IF(ROUND($B$2:$B$3722,4)=ROUND(B3282,4),$A$2:$A$3722)),"Efficient","Inefficient")</f>
        <v>Inefficient</v>
      </c>
    </row>
    <row r="3283" spans="1:6" x14ac:dyDescent="0.25">
      <c r="A3283" cm="1">
        <f t="array" ref="A3283">INDEX('Portfolio Weights Returns'!$B$9:$BJ$69,
INT((ROW(A3282)-1)/COLUMNS('Portfolio Weights Returns'!$B$9:$BJ$69))+1,MOD(ROW(A3282)-1,COLUMNS('Portfolio Weights Returns'!$B$9:$BJ$69))+1)</f>
        <v>-5.2104593841166915E-4</v>
      </c>
      <c r="B3283">
        <v>2.4400000000000002E-2</v>
      </c>
      <c r="C3283" s="59">
        <v>-0.3</v>
      </c>
      <c r="D3283" s="59">
        <v>-0.03</v>
      </c>
      <c r="E3283" s="60">
        <f t="shared" si="51"/>
        <v>1.33</v>
      </c>
      <c r="F3283" t="str" cm="1">
        <f t="array" ref="F3283">IF(A3283=MAX(IF(ROUND($B$2:$B$3722,4)=ROUND(B3283,4),$A$2:$A$3722)),"Efficient","Inefficient")</f>
        <v>Efficient</v>
      </c>
    </row>
    <row r="3284" spans="1:6" x14ac:dyDescent="0.25">
      <c r="A3284" cm="1">
        <f t="array" ref="A3284">INDEX('Portfolio Weights Returns'!$B$9:$BJ$69,
INT((ROW(A3283)-1)/COLUMNS('Portfolio Weights Returns'!$B$9:$BJ$69))+1,MOD(ROW(A3283)-1,COLUMNS('Portfolio Weights Returns'!$B$9:$BJ$69))+1)</f>
        <v>-5.1426476444499001E-4</v>
      </c>
      <c r="B3284">
        <v>2.4500000000000001E-2</v>
      </c>
      <c r="C3284" s="59">
        <v>0.04</v>
      </c>
      <c r="D3284" s="59">
        <v>-0.3</v>
      </c>
      <c r="E3284" s="60">
        <f t="shared" si="51"/>
        <v>1.26</v>
      </c>
      <c r="F3284" t="str" cm="1">
        <f t="array" ref="F3284">IF(A3284=MAX(IF(ROUND($B$2:$B$3722,4)=ROUND(B3284,4),$A$2:$A$3722)),"Efficient","Inefficient")</f>
        <v>Inefficient</v>
      </c>
    </row>
    <row r="3285" spans="1:6" x14ac:dyDescent="0.25">
      <c r="A3285" cm="1">
        <f t="array" ref="A3285">INDEX('Portfolio Weights Returns'!$B$9:$BJ$69,
INT((ROW(A3284)-1)/COLUMNS('Portfolio Weights Returns'!$B$9:$BJ$69))+1,MOD(ROW(A3284)-1,COLUMNS('Portfolio Weights Returns'!$B$9:$BJ$69))+1)</f>
        <v>-5.0748359047831097E-4</v>
      </c>
      <c r="B3285">
        <v>2.4500000000000001E-2</v>
      </c>
      <c r="C3285" s="59">
        <v>0.02</v>
      </c>
      <c r="D3285" s="59">
        <v>-0.28999999999999998</v>
      </c>
      <c r="E3285" s="60">
        <f t="shared" si="51"/>
        <v>1.27</v>
      </c>
      <c r="F3285" t="str" cm="1">
        <f t="array" ref="F3285">IF(A3285=MAX(IF(ROUND($B$2:$B$3722,4)=ROUND(B3285,4),$A$2:$A$3722)),"Efficient","Inefficient")</f>
        <v>Inefficient</v>
      </c>
    </row>
    <row r="3286" spans="1:6" x14ac:dyDescent="0.25">
      <c r="A3286" cm="1">
        <f t="array" ref="A3286">INDEX('Portfolio Weights Returns'!$B$9:$BJ$69,
INT((ROW(A3285)-1)/COLUMNS('Portfolio Weights Returns'!$B$9:$BJ$69))+1,MOD(ROW(A3285)-1,COLUMNS('Portfolio Weights Returns'!$B$9:$BJ$69))+1)</f>
        <v>-5.0070241651163183E-4</v>
      </c>
      <c r="B3286">
        <v>2.4500000000000001E-2</v>
      </c>
      <c r="C3286" s="59">
        <v>-0.01</v>
      </c>
      <c r="D3286" s="59">
        <v>-0.27</v>
      </c>
      <c r="E3286" s="60">
        <f t="shared" si="51"/>
        <v>1.28</v>
      </c>
      <c r="F3286" t="str" cm="1">
        <f t="array" ref="F3286">IF(A3286=MAX(IF(ROUND($B$2:$B$3722,4)=ROUND(B3286,4),$A$2:$A$3722)),"Efficient","Inefficient")</f>
        <v>Inefficient</v>
      </c>
    </row>
    <row r="3287" spans="1:6" x14ac:dyDescent="0.25">
      <c r="A3287" cm="1">
        <f t="array" ref="A3287">INDEX('Portfolio Weights Returns'!$B$9:$BJ$69,
INT((ROW(A3286)-1)/COLUMNS('Portfolio Weights Returns'!$B$9:$BJ$69))+1,MOD(ROW(A3286)-1,COLUMNS('Portfolio Weights Returns'!$B$9:$BJ$69))+1)</f>
        <v>-4.9392124254495269E-4</v>
      </c>
      <c r="B3287">
        <v>2.4500000000000001E-2</v>
      </c>
      <c r="C3287" s="59">
        <v>-0.03</v>
      </c>
      <c r="D3287" s="59">
        <v>-0.26</v>
      </c>
      <c r="E3287" s="60">
        <f t="shared" si="51"/>
        <v>1.29</v>
      </c>
      <c r="F3287" t="str" cm="1">
        <f t="array" ref="F3287">IF(A3287=MAX(IF(ROUND($B$2:$B$3722,4)=ROUND(B3287,4),$A$2:$A$3722)),"Efficient","Inefficient")</f>
        <v>Inefficient</v>
      </c>
    </row>
    <row r="3288" spans="1:6" x14ac:dyDescent="0.25">
      <c r="A3288" cm="1">
        <f t="array" ref="A3288">INDEX('Portfolio Weights Returns'!$B$9:$BJ$69,
INT((ROW(A3287)-1)/COLUMNS('Portfolio Weights Returns'!$B$9:$BJ$69))+1,MOD(ROW(A3287)-1,COLUMNS('Portfolio Weights Returns'!$B$9:$BJ$69))+1)</f>
        <v>-4.871400685782736E-4</v>
      </c>
      <c r="B3288">
        <v>2.4500000000000001E-2</v>
      </c>
      <c r="C3288" s="59">
        <v>-0.04</v>
      </c>
      <c r="D3288" s="59">
        <v>-0.25</v>
      </c>
      <c r="E3288" s="60">
        <f t="shared" si="51"/>
        <v>1.29</v>
      </c>
      <c r="F3288" t="str" cm="1">
        <f t="array" ref="F3288">IF(A3288=MAX(IF(ROUND($B$2:$B$3722,4)=ROUND(B3288,4),$A$2:$A$3722)),"Efficient","Inefficient")</f>
        <v>Inefficient</v>
      </c>
    </row>
    <row r="3289" spans="1:6" x14ac:dyDescent="0.25">
      <c r="A3289" cm="1">
        <f t="array" ref="A3289">INDEX('Portfolio Weights Returns'!$B$9:$BJ$69,
INT((ROW(A3288)-1)/COLUMNS('Portfolio Weights Returns'!$B$9:$BJ$69))+1,MOD(ROW(A3288)-1,COLUMNS('Portfolio Weights Returns'!$B$9:$BJ$69))+1)</f>
        <v>-4.803588946115945E-4</v>
      </c>
      <c r="B3289">
        <v>2.4500000000000001E-2</v>
      </c>
      <c r="C3289" s="59">
        <v>-0.06</v>
      </c>
      <c r="D3289" s="59">
        <v>-0.24</v>
      </c>
      <c r="E3289" s="60">
        <f t="shared" si="51"/>
        <v>1.3</v>
      </c>
      <c r="F3289" t="str" cm="1">
        <f t="array" ref="F3289">IF(A3289=MAX(IF(ROUND($B$2:$B$3722,4)=ROUND(B3289,4),$A$2:$A$3722)),"Efficient","Inefficient")</f>
        <v>Inefficient</v>
      </c>
    </row>
    <row r="3290" spans="1:6" x14ac:dyDescent="0.25">
      <c r="A3290" cm="1">
        <f t="array" ref="A3290">INDEX('Portfolio Weights Returns'!$B$9:$BJ$69,
INT((ROW(A3289)-1)/COLUMNS('Portfolio Weights Returns'!$B$9:$BJ$69))+1,MOD(ROW(A3289)-1,COLUMNS('Portfolio Weights Returns'!$B$9:$BJ$69))+1)</f>
        <v>-4.7357772064491541E-4</v>
      </c>
      <c r="B3290">
        <v>2.4500000000000001E-2</v>
      </c>
      <c r="C3290" s="59">
        <v>-7.0000000000000007E-2</v>
      </c>
      <c r="D3290" s="59">
        <v>-0.23</v>
      </c>
      <c r="E3290" s="60">
        <f t="shared" si="51"/>
        <v>1.3</v>
      </c>
      <c r="F3290" t="str" cm="1">
        <f t="array" ref="F3290">IF(A3290=MAX(IF(ROUND($B$2:$B$3722,4)=ROUND(B3290,4),$A$2:$A$3722)),"Efficient","Inefficient")</f>
        <v>Inefficient</v>
      </c>
    </row>
    <row r="3291" spans="1:6" x14ac:dyDescent="0.25">
      <c r="A3291" cm="1">
        <f t="array" ref="A3291">INDEX('Portfolio Weights Returns'!$B$9:$BJ$69,
INT((ROW(A3290)-1)/COLUMNS('Portfolio Weights Returns'!$B$9:$BJ$69))+1,MOD(ROW(A3290)-1,COLUMNS('Portfolio Weights Returns'!$B$9:$BJ$69))+1)</f>
        <v>-4.6679654667823627E-4</v>
      </c>
      <c r="B3291">
        <v>2.4500000000000001E-2</v>
      </c>
      <c r="C3291" s="59">
        <v>-0.09</v>
      </c>
      <c r="D3291" s="59">
        <v>-0.22</v>
      </c>
      <c r="E3291" s="60">
        <f t="shared" si="51"/>
        <v>1.31</v>
      </c>
      <c r="F3291" t="str" cm="1">
        <f t="array" ref="F3291">IF(A3291=MAX(IF(ROUND($B$2:$B$3722,4)=ROUND(B3291,4),$A$2:$A$3722)),"Efficient","Inefficient")</f>
        <v>Inefficient</v>
      </c>
    </row>
    <row r="3292" spans="1:6" x14ac:dyDescent="0.25">
      <c r="A3292" cm="1">
        <f t="array" ref="A3292">INDEX('Portfolio Weights Returns'!$B$9:$BJ$69,
INT((ROW(A3291)-1)/COLUMNS('Portfolio Weights Returns'!$B$9:$BJ$69))+1,MOD(ROW(A3291)-1,COLUMNS('Portfolio Weights Returns'!$B$9:$BJ$69))+1)</f>
        <v>-4.6001537271155648E-4</v>
      </c>
      <c r="B3292">
        <v>2.4500000000000001E-2</v>
      </c>
      <c r="C3292" s="59">
        <v>-0.1</v>
      </c>
      <c r="D3292" s="59">
        <v>-0.21</v>
      </c>
      <c r="E3292" s="60">
        <f t="shared" si="51"/>
        <v>1.31</v>
      </c>
      <c r="F3292" t="str" cm="1">
        <f t="array" ref="F3292">IF(A3292=MAX(IF(ROUND($B$2:$B$3722,4)=ROUND(B3292,4),$A$2:$A$3722)),"Efficient","Inefficient")</f>
        <v>Inefficient</v>
      </c>
    </row>
    <row r="3293" spans="1:6" x14ac:dyDescent="0.25">
      <c r="A3293" cm="1">
        <f t="array" ref="A3293">INDEX('Portfolio Weights Returns'!$B$9:$BJ$69,
INT((ROW(A3292)-1)/COLUMNS('Portfolio Weights Returns'!$B$9:$BJ$69))+1,MOD(ROW(A3292)-1,COLUMNS('Portfolio Weights Returns'!$B$9:$BJ$69))+1)</f>
        <v>-4.5323419874487739E-4</v>
      </c>
      <c r="B3293">
        <v>2.4500000000000001E-2</v>
      </c>
      <c r="C3293" s="59">
        <v>-0.13</v>
      </c>
      <c r="D3293" s="59">
        <v>-0.19</v>
      </c>
      <c r="E3293" s="60">
        <f t="shared" si="51"/>
        <v>1.3199999999999998</v>
      </c>
      <c r="F3293" t="str" cm="1">
        <f t="array" ref="F3293">IF(A3293=MAX(IF(ROUND($B$2:$B$3722,4)=ROUND(B3293,4),$A$2:$A$3722)),"Efficient","Inefficient")</f>
        <v>Inefficient</v>
      </c>
    </row>
    <row r="3294" spans="1:6" x14ac:dyDescent="0.25">
      <c r="A3294" cm="1">
        <f t="array" ref="A3294">INDEX('Portfolio Weights Returns'!$B$9:$BJ$69,
INT((ROW(A3293)-1)/COLUMNS('Portfolio Weights Returns'!$B$9:$BJ$69))+1,MOD(ROW(A3293)-1,COLUMNS('Portfolio Weights Returns'!$B$9:$BJ$69))+1)</f>
        <v>-4.4645302477819835E-4</v>
      </c>
      <c r="B3294">
        <v>2.4500000000000001E-2</v>
      </c>
      <c r="C3294" s="59">
        <v>-0.14000000000000001</v>
      </c>
      <c r="D3294" s="59">
        <v>-0.18</v>
      </c>
      <c r="E3294" s="60">
        <f t="shared" si="51"/>
        <v>1.3199999999999998</v>
      </c>
      <c r="F3294" t="str" cm="1">
        <f t="array" ref="F3294">IF(A3294=MAX(IF(ROUND($B$2:$B$3722,4)=ROUND(B3294,4),$A$2:$A$3722)),"Efficient","Inefficient")</f>
        <v>Inefficient</v>
      </c>
    </row>
    <row r="3295" spans="1:6" x14ac:dyDescent="0.25">
      <c r="A3295" cm="1">
        <f t="array" ref="A3295">INDEX('Portfolio Weights Returns'!$B$9:$BJ$69,
INT((ROW(A3294)-1)/COLUMNS('Portfolio Weights Returns'!$B$9:$BJ$69))+1,MOD(ROW(A3294)-1,COLUMNS('Portfolio Weights Returns'!$B$9:$BJ$69))+1)</f>
        <v>-4.396718508115192E-4</v>
      </c>
      <c r="B3295">
        <v>2.4500000000000001E-2</v>
      </c>
      <c r="C3295" s="59">
        <v>-0.17</v>
      </c>
      <c r="D3295" s="59">
        <v>-0.16</v>
      </c>
      <c r="E3295" s="60">
        <f t="shared" si="51"/>
        <v>1.3299999999999998</v>
      </c>
      <c r="F3295" t="str" cm="1">
        <f t="array" ref="F3295">IF(A3295=MAX(IF(ROUND($B$2:$B$3722,4)=ROUND(B3295,4),$A$2:$A$3722)),"Efficient","Inefficient")</f>
        <v>Efficient</v>
      </c>
    </row>
    <row r="3296" spans="1:6" x14ac:dyDescent="0.25">
      <c r="A3296" cm="1">
        <f t="array" ref="A3296">INDEX('Portfolio Weights Returns'!$B$9:$BJ$69,
INT((ROW(A3295)-1)/COLUMNS('Portfolio Weights Returns'!$B$9:$BJ$69))+1,MOD(ROW(A3295)-1,COLUMNS('Portfolio Weights Returns'!$B$9:$BJ$69))+1)</f>
        <v>-8.3996808096681102E-4</v>
      </c>
      <c r="B3296">
        <v>2.4500000000000001E-2</v>
      </c>
      <c r="C3296" s="59">
        <v>-0.18</v>
      </c>
      <c r="D3296" s="59">
        <v>-0.15</v>
      </c>
      <c r="E3296" s="60">
        <f t="shared" si="51"/>
        <v>1.3299999999999998</v>
      </c>
      <c r="F3296" t="str" cm="1">
        <f t="array" ref="F3296">IF(A3296=MAX(IF(ROUND($B$2:$B$3722,4)=ROUND(B3296,4),$A$2:$A$3722)),"Efficient","Inefficient")</f>
        <v>Inefficient</v>
      </c>
    </row>
    <row r="3297" spans="1:6" x14ac:dyDescent="0.25">
      <c r="A3297" cm="1">
        <f t="array" ref="A3297">INDEX('Portfolio Weights Returns'!$B$9:$BJ$69,
INT((ROW(A3296)-1)/COLUMNS('Portfolio Weights Returns'!$B$9:$BJ$69))+1,MOD(ROW(A3296)-1,COLUMNS('Portfolio Weights Returns'!$B$9:$BJ$69))+1)</f>
        <v>-8.3318690700013188E-4</v>
      </c>
      <c r="B3297">
        <v>2.4500000000000001E-2</v>
      </c>
      <c r="C3297" s="59">
        <v>-0.19</v>
      </c>
      <c r="D3297" s="59">
        <v>-0.14000000000000001</v>
      </c>
      <c r="E3297" s="60">
        <f t="shared" si="51"/>
        <v>1.33</v>
      </c>
      <c r="F3297" t="str" cm="1">
        <f t="array" ref="F3297">IF(A3297=MAX(IF(ROUND($B$2:$B$3722,4)=ROUND(B3297,4),$A$2:$A$3722)),"Efficient","Inefficient")</f>
        <v>Inefficient</v>
      </c>
    </row>
    <row r="3298" spans="1:6" x14ac:dyDescent="0.25">
      <c r="A3298" cm="1">
        <f t="array" ref="A3298">INDEX('Portfolio Weights Returns'!$B$9:$BJ$69,
INT((ROW(A3297)-1)/COLUMNS('Portfolio Weights Returns'!$B$9:$BJ$69))+1,MOD(ROW(A3297)-1,COLUMNS('Portfolio Weights Returns'!$B$9:$BJ$69))+1)</f>
        <v>-8.2640573303345284E-4</v>
      </c>
      <c r="B3298">
        <v>2.4500000000000001E-2</v>
      </c>
      <c r="C3298" s="59">
        <v>-0.25</v>
      </c>
      <c r="D3298" s="59">
        <v>-0.09</v>
      </c>
      <c r="E3298" s="60">
        <f t="shared" si="51"/>
        <v>1.34</v>
      </c>
      <c r="F3298" t="str" cm="1">
        <f t="array" ref="F3298">IF(A3298=MAX(IF(ROUND($B$2:$B$3722,4)=ROUND(B3298,4),$A$2:$A$3722)),"Efficient","Inefficient")</f>
        <v>Inefficient</v>
      </c>
    </row>
    <row r="3299" spans="1:6" x14ac:dyDescent="0.25">
      <c r="A3299" cm="1">
        <f t="array" ref="A3299">INDEX('Portfolio Weights Returns'!$B$9:$BJ$69,
INT((ROW(A3298)-1)/COLUMNS('Portfolio Weights Returns'!$B$9:$BJ$69))+1,MOD(ROW(A3298)-1,COLUMNS('Portfolio Weights Returns'!$B$9:$BJ$69))+1)</f>
        <v>-8.1962455906677359E-4</v>
      </c>
      <c r="B3299">
        <v>2.4500000000000001E-2</v>
      </c>
      <c r="C3299" s="59">
        <v>-0.26</v>
      </c>
      <c r="D3299" s="59">
        <v>-0.08</v>
      </c>
      <c r="E3299" s="60">
        <f t="shared" si="51"/>
        <v>1.34</v>
      </c>
      <c r="F3299" t="str" cm="1">
        <f t="array" ref="F3299">IF(A3299=MAX(IF(ROUND($B$2:$B$3722,4)=ROUND(B3299,4),$A$2:$A$3722)),"Efficient","Inefficient")</f>
        <v>Inefficient</v>
      </c>
    </row>
    <row r="3300" spans="1:6" x14ac:dyDescent="0.25">
      <c r="A3300" cm="1">
        <f t="array" ref="A3300">INDEX('Portfolio Weights Returns'!$B$9:$BJ$69,
INT((ROW(A3299)-1)/COLUMNS('Portfolio Weights Returns'!$B$9:$BJ$69))+1,MOD(ROW(A3299)-1,COLUMNS('Portfolio Weights Returns'!$B$9:$BJ$69))+1)</f>
        <v>-8.1284338510009444E-4</v>
      </c>
      <c r="B3300">
        <v>2.4500000000000001E-2</v>
      </c>
      <c r="C3300" s="59">
        <v>-0.27</v>
      </c>
      <c r="D3300" s="59">
        <v>-7.0000000000000007E-2</v>
      </c>
      <c r="E3300" s="60">
        <f t="shared" si="51"/>
        <v>1.34</v>
      </c>
      <c r="F3300" t="str" cm="1">
        <f t="array" ref="F3300">IF(A3300=MAX(IF(ROUND($B$2:$B$3722,4)=ROUND(B3300,4),$A$2:$A$3722)),"Efficient","Inefficient")</f>
        <v>Inefficient</v>
      </c>
    </row>
    <row r="3301" spans="1:6" x14ac:dyDescent="0.25">
      <c r="A3301" cm="1">
        <f t="array" ref="A3301">INDEX('Portfolio Weights Returns'!$B$9:$BJ$69,
INT((ROW(A3300)-1)/COLUMNS('Portfolio Weights Returns'!$B$9:$BJ$69))+1,MOD(ROW(A3300)-1,COLUMNS('Portfolio Weights Returns'!$B$9:$BJ$69))+1)</f>
        <v>-8.0606221113341541E-4</v>
      </c>
      <c r="B3301">
        <v>2.4500000000000001E-2</v>
      </c>
      <c r="C3301" s="59">
        <v>-0.28000000000000003</v>
      </c>
      <c r="D3301" s="59">
        <v>-0.06</v>
      </c>
      <c r="E3301" s="60">
        <f t="shared" si="51"/>
        <v>1.34</v>
      </c>
      <c r="F3301" t="str" cm="1">
        <f t="array" ref="F3301">IF(A3301=MAX(IF(ROUND($B$2:$B$3722,4)=ROUND(B3301,4),$A$2:$A$3722)),"Efficient","Inefficient")</f>
        <v>Inefficient</v>
      </c>
    </row>
    <row r="3302" spans="1:6" x14ac:dyDescent="0.25">
      <c r="A3302" cm="1">
        <f t="array" ref="A3302">INDEX('Portfolio Weights Returns'!$B$9:$BJ$69,
INT((ROW(A3301)-1)/COLUMNS('Portfolio Weights Returns'!$B$9:$BJ$69))+1,MOD(ROW(A3301)-1,COLUMNS('Portfolio Weights Returns'!$B$9:$BJ$69))+1)</f>
        <v>-7.9928103716673626E-4</v>
      </c>
      <c r="B3302">
        <v>2.46E-2</v>
      </c>
      <c r="C3302" s="59">
        <v>0.03</v>
      </c>
      <c r="D3302" s="59">
        <v>-0.3</v>
      </c>
      <c r="E3302" s="60">
        <f t="shared" si="51"/>
        <v>1.27</v>
      </c>
      <c r="F3302" t="str" cm="1">
        <f t="array" ref="F3302">IF(A3302=MAX(IF(ROUND($B$2:$B$3722,4)=ROUND(B3302,4),$A$2:$A$3722)),"Efficient","Inefficient")</f>
        <v>Inefficient</v>
      </c>
    </row>
    <row r="3303" spans="1:6" x14ac:dyDescent="0.25">
      <c r="A3303" cm="1">
        <f t="array" ref="A3303">INDEX('Portfolio Weights Returns'!$B$9:$BJ$69,
INT((ROW(A3302)-1)/COLUMNS('Portfolio Weights Returns'!$B$9:$BJ$69))+1,MOD(ROW(A3302)-1,COLUMNS('Portfolio Weights Returns'!$B$9:$BJ$69))+1)</f>
        <v>-7.9249986320005723E-4</v>
      </c>
      <c r="B3303">
        <v>2.46E-2</v>
      </c>
      <c r="C3303" s="59">
        <v>0</v>
      </c>
      <c r="D3303" s="59">
        <v>-0.28000000000000003</v>
      </c>
      <c r="E3303" s="60">
        <f t="shared" si="51"/>
        <v>1.28</v>
      </c>
      <c r="F3303" t="str" cm="1">
        <f t="array" ref="F3303">IF(A3303=MAX(IF(ROUND($B$2:$B$3722,4)=ROUND(B3303,4),$A$2:$A$3722)),"Efficient","Inefficient")</f>
        <v>Inefficient</v>
      </c>
    </row>
    <row r="3304" spans="1:6" x14ac:dyDescent="0.25">
      <c r="A3304" cm="1">
        <f t="array" ref="A3304">INDEX('Portfolio Weights Returns'!$B$9:$BJ$69,
INT((ROW(A3303)-1)/COLUMNS('Portfolio Weights Returns'!$B$9:$BJ$69))+1,MOD(ROW(A3303)-1,COLUMNS('Portfolio Weights Returns'!$B$9:$BJ$69))+1)</f>
        <v>-7.8571868923337808E-4</v>
      </c>
      <c r="B3304">
        <v>2.46E-2</v>
      </c>
      <c r="C3304" s="59">
        <v>-0.02</v>
      </c>
      <c r="D3304" s="59">
        <v>-0.27</v>
      </c>
      <c r="E3304" s="60">
        <f t="shared" si="51"/>
        <v>1.29</v>
      </c>
      <c r="F3304" t="str" cm="1">
        <f t="array" ref="F3304">IF(A3304=MAX(IF(ROUND($B$2:$B$3722,4)=ROUND(B3304,4),$A$2:$A$3722)),"Efficient","Inefficient")</f>
        <v>Inefficient</v>
      </c>
    </row>
    <row r="3305" spans="1:6" x14ac:dyDescent="0.25">
      <c r="A3305" cm="1">
        <f t="array" ref="A3305">INDEX('Portfolio Weights Returns'!$B$9:$BJ$69,
INT((ROW(A3304)-1)/COLUMNS('Portfolio Weights Returns'!$B$9:$BJ$69))+1,MOD(ROW(A3304)-1,COLUMNS('Portfolio Weights Returns'!$B$9:$BJ$69))+1)</f>
        <v>-7.7893751526669905E-4</v>
      </c>
      <c r="B3305">
        <v>2.46E-2</v>
      </c>
      <c r="C3305" s="59">
        <v>-0.05</v>
      </c>
      <c r="D3305" s="59">
        <v>-0.25</v>
      </c>
      <c r="E3305" s="60">
        <f t="shared" si="51"/>
        <v>1.3</v>
      </c>
      <c r="F3305" t="str" cm="1">
        <f t="array" ref="F3305">IF(A3305=MAX(IF(ROUND($B$2:$B$3722,4)=ROUND(B3305,4),$A$2:$A$3722)),"Efficient","Inefficient")</f>
        <v>Inefficient</v>
      </c>
    </row>
    <row r="3306" spans="1:6" x14ac:dyDescent="0.25">
      <c r="A3306" cm="1">
        <f t="array" ref="A3306">INDEX('Portfolio Weights Returns'!$B$9:$BJ$69,
INT((ROW(A3305)-1)/COLUMNS('Portfolio Weights Returns'!$B$9:$BJ$69))+1,MOD(ROW(A3305)-1,COLUMNS('Portfolio Weights Returns'!$B$9:$BJ$69))+1)</f>
        <v>-7.7215634130001979E-4</v>
      </c>
      <c r="B3306">
        <v>2.46E-2</v>
      </c>
      <c r="C3306" s="59">
        <v>-0.08</v>
      </c>
      <c r="D3306" s="59">
        <v>-0.23</v>
      </c>
      <c r="E3306" s="60">
        <f t="shared" si="51"/>
        <v>1.31</v>
      </c>
      <c r="F3306" t="str" cm="1">
        <f t="array" ref="F3306">IF(A3306=MAX(IF(ROUND($B$2:$B$3722,4)=ROUND(B3306,4),$A$2:$A$3722)),"Efficient","Inefficient")</f>
        <v>Inefficient</v>
      </c>
    </row>
    <row r="3307" spans="1:6" x14ac:dyDescent="0.25">
      <c r="A3307" cm="1">
        <f t="array" ref="A3307">INDEX('Portfolio Weights Returns'!$B$9:$BJ$69,
INT((ROW(A3306)-1)/COLUMNS('Portfolio Weights Returns'!$B$9:$BJ$69))+1,MOD(ROW(A3306)-1,COLUMNS('Portfolio Weights Returns'!$B$9:$BJ$69))+1)</f>
        <v>-7.6537516733334076E-4</v>
      </c>
      <c r="B3307">
        <v>2.46E-2</v>
      </c>
      <c r="C3307" s="59">
        <v>-0.11</v>
      </c>
      <c r="D3307" s="59">
        <v>-0.21</v>
      </c>
      <c r="E3307" s="60">
        <f t="shared" si="51"/>
        <v>1.32</v>
      </c>
      <c r="F3307" t="str" cm="1">
        <f t="array" ref="F3307">IF(A3307=MAX(IF(ROUND($B$2:$B$3722,4)=ROUND(B3307,4),$A$2:$A$3722)),"Efficient","Inefficient")</f>
        <v>Inefficient</v>
      </c>
    </row>
    <row r="3308" spans="1:6" x14ac:dyDescent="0.25">
      <c r="A3308" cm="1">
        <f t="array" ref="A3308">INDEX('Portfolio Weights Returns'!$B$9:$BJ$69,
INT((ROW(A3307)-1)/COLUMNS('Portfolio Weights Returns'!$B$9:$BJ$69))+1,MOD(ROW(A3307)-1,COLUMNS('Portfolio Weights Returns'!$B$9:$BJ$69))+1)</f>
        <v>-7.5859399336666161E-4</v>
      </c>
      <c r="B3308">
        <v>2.46E-2</v>
      </c>
      <c r="C3308" s="59">
        <v>-0.12</v>
      </c>
      <c r="D3308" s="59">
        <v>-0.2</v>
      </c>
      <c r="E3308" s="60">
        <f t="shared" si="51"/>
        <v>1.3199999999999998</v>
      </c>
      <c r="F3308" t="str" cm="1">
        <f t="array" ref="F3308">IF(A3308=MAX(IF(ROUND($B$2:$B$3722,4)=ROUND(B3308,4),$A$2:$A$3722)),"Efficient","Inefficient")</f>
        <v>Inefficient</v>
      </c>
    </row>
    <row r="3309" spans="1:6" x14ac:dyDescent="0.25">
      <c r="A3309" cm="1">
        <f t="array" ref="A3309">INDEX('Portfolio Weights Returns'!$B$9:$BJ$69,
INT((ROW(A3308)-1)/COLUMNS('Portfolio Weights Returns'!$B$9:$BJ$69))+1,MOD(ROW(A3308)-1,COLUMNS('Portfolio Weights Returns'!$B$9:$BJ$69))+1)</f>
        <v>-7.5181281939998247E-4</v>
      </c>
      <c r="B3309">
        <v>2.46E-2</v>
      </c>
      <c r="C3309" s="59">
        <v>-0.15</v>
      </c>
      <c r="D3309" s="59">
        <v>-0.18</v>
      </c>
      <c r="E3309" s="60">
        <f t="shared" si="51"/>
        <v>1.3299999999999998</v>
      </c>
      <c r="F3309" t="str" cm="1">
        <f t="array" ref="F3309">IF(A3309=MAX(IF(ROUND($B$2:$B$3722,4)=ROUND(B3309,4),$A$2:$A$3722)),"Efficient","Inefficient")</f>
        <v>Inefficient</v>
      </c>
    </row>
    <row r="3310" spans="1:6" x14ac:dyDescent="0.25">
      <c r="A3310" cm="1">
        <f t="array" ref="A3310">INDEX('Portfolio Weights Returns'!$B$9:$BJ$69,
INT((ROW(A3309)-1)/COLUMNS('Portfolio Weights Returns'!$B$9:$BJ$69))+1,MOD(ROW(A3309)-1,COLUMNS('Portfolio Weights Returns'!$B$9:$BJ$69))+1)</f>
        <v>-7.4503164543330343E-4</v>
      </c>
      <c r="B3310">
        <v>2.46E-2</v>
      </c>
      <c r="C3310" s="59">
        <v>-0.16</v>
      </c>
      <c r="D3310" s="59">
        <v>-0.17</v>
      </c>
      <c r="E3310" s="60">
        <f t="shared" si="51"/>
        <v>1.3299999999999998</v>
      </c>
      <c r="F3310" t="str" cm="1">
        <f t="array" ref="F3310">IF(A3310=MAX(IF(ROUND($B$2:$B$3722,4)=ROUND(B3310,4),$A$2:$A$3722)),"Efficient","Inefficient")</f>
        <v>Inefficient</v>
      </c>
    </row>
    <row r="3311" spans="1:6" x14ac:dyDescent="0.25">
      <c r="A3311" cm="1">
        <f t="array" ref="A3311">INDEX('Portfolio Weights Returns'!$B$9:$BJ$69,
INT((ROW(A3310)-1)/COLUMNS('Portfolio Weights Returns'!$B$9:$BJ$69))+1,MOD(ROW(A3310)-1,COLUMNS('Portfolio Weights Returns'!$B$9:$BJ$69))+1)</f>
        <v>-7.3825047146662429E-4</v>
      </c>
      <c r="B3311">
        <v>2.46E-2</v>
      </c>
      <c r="C3311" s="59">
        <v>-0.2</v>
      </c>
      <c r="D3311" s="59">
        <v>-0.14000000000000001</v>
      </c>
      <c r="E3311" s="60">
        <f t="shared" si="51"/>
        <v>1.34</v>
      </c>
      <c r="F3311" t="str" cm="1">
        <f t="array" ref="F3311">IF(A3311=MAX(IF(ROUND($B$2:$B$3722,4)=ROUND(B3311,4),$A$2:$A$3722)),"Efficient","Inefficient")</f>
        <v>Inefficient</v>
      </c>
    </row>
    <row r="3312" spans="1:6" x14ac:dyDescent="0.25">
      <c r="A3312" cm="1">
        <f t="array" ref="A3312">INDEX('Portfolio Weights Returns'!$B$9:$BJ$69,
INT((ROW(A3311)-1)/COLUMNS('Portfolio Weights Returns'!$B$9:$BJ$69))+1,MOD(ROW(A3311)-1,COLUMNS('Portfolio Weights Returns'!$B$9:$BJ$69))+1)</f>
        <v>-7.3146929749994536E-4</v>
      </c>
      <c r="B3312">
        <v>2.46E-2</v>
      </c>
      <c r="C3312" s="59">
        <v>-0.21</v>
      </c>
      <c r="D3312" s="59">
        <v>-0.13</v>
      </c>
      <c r="E3312" s="60">
        <f t="shared" si="51"/>
        <v>1.3399999999999999</v>
      </c>
      <c r="F3312" t="str" cm="1">
        <f t="array" ref="F3312">IF(A3312=MAX(IF(ROUND($B$2:$B$3722,4)=ROUND(B3312,4),$A$2:$A$3722)),"Efficient","Inefficient")</f>
        <v>Inefficient</v>
      </c>
    </row>
    <row r="3313" spans="1:6" x14ac:dyDescent="0.25">
      <c r="A3313" cm="1">
        <f t="array" ref="A3313">INDEX('Portfolio Weights Returns'!$B$9:$BJ$69,
INT((ROW(A3312)-1)/COLUMNS('Portfolio Weights Returns'!$B$9:$BJ$69))+1,MOD(ROW(A3312)-1,COLUMNS('Portfolio Weights Returns'!$B$9:$BJ$69))+1)</f>
        <v>-7.24688123533266E-4</v>
      </c>
      <c r="B3313">
        <v>2.46E-2</v>
      </c>
      <c r="C3313" s="59">
        <v>-0.22</v>
      </c>
      <c r="D3313" s="59">
        <v>-0.12</v>
      </c>
      <c r="E3313" s="60">
        <f t="shared" si="51"/>
        <v>1.34</v>
      </c>
      <c r="F3313" t="str" cm="1">
        <f t="array" ref="F3313">IF(A3313=MAX(IF(ROUND($B$2:$B$3722,4)=ROUND(B3313,4),$A$2:$A$3722)),"Efficient","Inefficient")</f>
        <v>Inefficient</v>
      </c>
    </row>
    <row r="3314" spans="1:6" x14ac:dyDescent="0.25">
      <c r="A3314" cm="1">
        <f t="array" ref="A3314">INDEX('Portfolio Weights Returns'!$B$9:$BJ$69,
INT((ROW(A3313)-1)/COLUMNS('Portfolio Weights Returns'!$B$9:$BJ$69))+1,MOD(ROW(A3313)-1,COLUMNS('Portfolio Weights Returns'!$B$9:$BJ$69))+1)</f>
        <v>-7.1790694956658718E-4</v>
      </c>
      <c r="B3314">
        <v>2.46E-2</v>
      </c>
      <c r="C3314" s="59">
        <v>-0.23</v>
      </c>
      <c r="D3314" s="59">
        <v>-0.11</v>
      </c>
      <c r="E3314" s="60">
        <f t="shared" si="51"/>
        <v>1.34</v>
      </c>
      <c r="F3314" t="str" cm="1">
        <f t="array" ref="F3314">IF(A3314=MAX(IF(ROUND($B$2:$B$3722,4)=ROUND(B3314,4),$A$2:$A$3722)),"Efficient","Inefficient")</f>
        <v>Inefficient</v>
      </c>
    </row>
    <row r="3315" spans="1:6" x14ac:dyDescent="0.25">
      <c r="A3315" cm="1">
        <f t="array" ref="A3315">INDEX('Portfolio Weights Returns'!$B$9:$BJ$69,
INT((ROW(A3314)-1)/COLUMNS('Portfolio Weights Returns'!$B$9:$BJ$69))+1,MOD(ROW(A3314)-1,COLUMNS('Portfolio Weights Returns'!$B$9:$BJ$69))+1)</f>
        <v>-7.1112577559990803E-4</v>
      </c>
      <c r="B3315">
        <v>2.46E-2</v>
      </c>
      <c r="C3315" s="59">
        <v>-0.24</v>
      </c>
      <c r="D3315" s="59">
        <v>-0.1</v>
      </c>
      <c r="E3315" s="60">
        <f t="shared" si="51"/>
        <v>1.34</v>
      </c>
      <c r="F3315" t="str" cm="1">
        <f t="array" ref="F3315">IF(A3315=MAX(IF(ROUND($B$2:$B$3722,4)=ROUND(B3315,4),$A$2:$A$3722)),"Efficient","Inefficient")</f>
        <v>Inefficient</v>
      </c>
    </row>
    <row r="3316" spans="1:6" x14ac:dyDescent="0.25">
      <c r="A3316" cm="1">
        <f t="array" ref="A3316">INDEX('Portfolio Weights Returns'!$B$9:$BJ$69,
INT((ROW(A3315)-1)/COLUMNS('Portfolio Weights Returns'!$B$9:$BJ$69))+1,MOD(ROW(A3315)-1,COLUMNS('Portfolio Weights Returns'!$B$9:$BJ$69))+1)</f>
        <v>-7.04344601633229E-4</v>
      </c>
      <c r="B3316">
        <v>2.46E-2</v>
      </c>
      <c r="C3316" s="59">
        <v>-0.28999999999999998</v>
      </c>
      <c r="D3316" s="59">
        <v>-0.05</v>
      </c>
      <c r="E3316" s="60">
        <f t="shared" si="51"/>
        <v>1.34</v>
      </c>
      <c r="F3316" t="str" cm="1">
        <f t="array" ref="F3316">IF(A3316=MAX(IF(ROUND($B$2:$B$3722,4)=ROUND(B3316,4),$A$2:$A$3722)),"Efficient","Inefficient")</f>
        <v>Inefficient</v>
      </c>
    </row>
    <row r="3317" spans="1:6" x14ac:dyDescent="0.25">
      <c r="A3317" cm="1">
        <f t="array" ref="A3317">INDEX('Portfolio Weights Returns'!$B$9:$BJ$69,
INT((ROW(A3316)-1)/COLUMNS('Portfolio Weights Returns'!$B$9:$BJ$69))+1,MOD(ROW(A3316)-1,COLUMNS('Portfolio Weights Returns'!$B$9:$BJ$69))+1)</f>
        <v>-6.9756342766654975E-4</v>
      </c>
      <c r="B3317">
        <v>2.46E-2</v>
      </c>
      <c r="C3317" s="59">
        <v>-0.3</v>
      </c>
      <c r="D3317" s="59">
        <v>-0.04</v>
      </c>
      <c r="E3317" s="60">
        <f t="shared" si="51"/>
        <v>1.34</v>
      </c>
      <c r="F3317" t="str" cm="1">
        <f t="array" ref="F3317">IF(A3317=MAX(IF(ROUND($B$2:$B$3722,4)=ROUND(B3317,4),$A$2:$A$3722)),"Efficient","Inefficient")</f>
        <v>Efficient</v>
      </c>
    </row>
    <row r="3318" spans="1:6" x14ac:dyDescent="0.25">
      <c r="A3318" cm="1">
        <f t="array" ref="A3318">INDEX('Portfolio Weights Returns'!$B$9:$BJ$69,
INT((ROW(A3317)-1)/COLUMNS('Portfolio Weights Returns'!$B$9:$BJ$69))+1,MOD(ROW(A3317)-1,COLUMNS('Portfolio Weights Returns'!$B$9:$BJ$69))+1)</f>
        <v>-6.907822536998706E-4</v>
      </c>
      <c r="B3318">
        <v>2.47E-2</v>
      </c>
      <c r="C3318" s="59">
        <v>0.01</v>
      </c>
      <c r="D3318" s="59">
        <v>-0.28999999999999998</v>
      </c>
      <c r="E3318" s="60">
        <f t="shared" si="51"/>
        <v>1.28</v>
      </c>
      <c r="F3318" t="str" cm="1">
        <f t="array" ref="F3318">IF(A3318=MAX(IF(ROUND($B$2:$B$3722,4)=ROUND(B3318,4),$A$2:$A$3722)),"Efficient","Inefficient")</f>
        <v>Inefficient</v>
      </c>
    </row>
    <row r="3319" spans="1:6" x14ac:dyDescent="0.25">
      <c r="A3319" cm="1">
        <f t="array" ref="A3319">INDEX('Portfolio Weights Returns'!$B$9:$BJ$69,
INT((ROW(A3318)-1)/COLUMNS('Portfolio Weights Returns'!$B$9:$BJ$69))+1,MOD(ROW(A3318)-1,COLUMNS('Portfolio Weights Returns'!$B$9:$BJ$69))+1)</f>
        <v>-6.8400107973319157E-4</v>
      </c>
      <c r="B3319">
        <v>2.47E-2</v>
      </c>
      <c r="C3319" s="59">
        <v>-0.01</v>
      </c>
      <c r="D3319" s="59">
        <v>-0.28000000000000003</v>
      </c>
      <c r="E3319" s="60">
        <f t="shared" si="51"/>
        <v>1.29</v>
      </c>
      <c r="F3319" t="str" cm="1">
        <f t="array" ref="F3319">IF(A3319=MAX(IF(ROUND($B$2:$B$3722,4)=ROUND(B3319,4),$A$2:$A$3722)),"Efficient","Inefficient")</f>
        <v>Inefficient</v>
      </c>
    </row>
    <row r="3320" spans="1:6" x14ac:dyDescent="0.25">
      <c r="A3320" cm="1">
        <f t="array" ref="A3320">INDEX('Portfolio Weights Returns'!$B$9:$BJ$69,
INT((ROW(A3319)-1)/COLUMNS('Portfolio Weights Returns'!$B$9:$BJ$69))+1,MOD(ROW(A3319)-1,COLUMNS('Portfolio Weights Returns'!$B$9:$BJ$69))+1)</f>
        <v>-6.7721990576651242E-4</v>
      </c>
      <c r="B3320">
        <v>2.47E-2</v>
      </c>
      <c r="C3320" s="59">
        <v>-0.04</v>
      </c>
      <c r="D3320" s="59">
        <v>-0.26</v>
      </c>
      <c r="E3320" s="60">
        <f t="shared" si="51"/>
        <v>1.3</v>
      </c>
      <c r="F3320" t="str" cm="1">
        <f t="array" ref="F3320">IF(A3320=MAX(IF(ROUND($B$2:$B$3722,4)=ROUND(B3320,4),$A$2:$A$3722)),"Efficient","Inefficient")</f>
        <v>Inefficient</v>
      </c>
    </row>
    <row r="3321" spans="1:6" x14ac:dyDescent="0.25">
      <c r="A3321" cm="1">
        <f t="array" ref="A3321">INDEX('Portfolio Weights Returns'!$B$9:$BJ$69,
INT((ROW(A3320)-1)/COLUMNS('Portfolio Weights Returns'!$B$9:$BJ$69))+1,MOD(ROW(A3320)-1,COLUMNS('Portfolio Weights Returns'!$B$9:$BJ$69))+1)</f>
        <v>-6.7043873179983338E-4</v>
      </c>
      <c r="B3321">
        <v>2.47E-2</v>
      </c>
      <c r="C3321" s="59">
        <v>-7.0000000000000007E-2</v>
      </c>
      <c r="D3321" s="59">
        <v>-0.24</v>
      </c>
      <c r="E3321" s="60">
        <f t="shared" si="51"/>
        <v>1.31</v>
      </c>
      <c r="F3321" t="str" cm="1">
        <f t="array" ref="F3321">IF(A3321=MAX(IF(ROUND($B$2:$B$3722,4)=ROUND(B3321,4),$A$2:$A$3722)),"Efficient","Inefficient")</f>
        <v>Inefficient</v>
      </c>
    </row>
    <row r="3322" spans="1:6" x14ac:dyDescent="0.25">
      <c r="A3322" cm="1">
        <f t="array" ref="A3322">INDEX('Portfolio Weights Returns'!$B$9:$BJ$69,
INT((ROW(A3321)-1)/COLUMNS('Portfolio Weights Returns'!$B$9:$BJ$69))+1,MOD(ROW(A3321)-1,COLUMNS('Portfolio Weights Returns'!$B$9:$BJ$69))+1)</f>
        <v>-6.6365755783315424E-4</v>
      </c>
      <c r="B3322">
        <v>2.47E-2</v>
      </c>
      <c r="C3322" s="59">
        <v>-0.1</v>
      </c>
      <c r="D3322" s="59">
        <v>-0.22</v>
      </c>
      <c r="E3322" s="60">
        <f t="shared" si="51"/>
        <v>1.32</v>
      </c>
      <c r="F3322" t="str" cm="1">
        <f t="array" ref="F3322">IF(A3322=MAX(IF(ROUND($B$2:$B$3722,4)=ROUND(B3322,4),$A$2:$A$3722)),"Efficient","Inefficient")</f>
        <v>Inefficient</v>
      </c>
    </row>
    <row r="3323" spans="1:6" x14ac:dyDescent="0.25">
      <c r="A3323" cm="1">
        <f t="array" ref="A3323">INDEX('Portfolio Weights Returns'!$B$9:$BJ$69,
INT((ROW(A3322)-1)/COLUMNS('Portfolio Weights Returns'!$B$9:$BJ$69))+1,MOD(ROW(A3322)-1,COLUMNS('Portfolio Weights Returns'!$B$9:$BJ$69))+1)</f>
        <v>-6.568763838664752E-4</v>
      </c>
      <c r="B3323">
        <v>2.47E-2</v>
      </c>
      <c r="C3323" s="59">
        <v>-0.13</v>
      </c>
      <c r="D3323" s="59">
        <v>-0.2</v>
      </c>
      <c r="E3323" s="60">
        <f t="shared" si="51"/>
        <v>1.33</v>
      </c>
      <c r="F3323" t="str" cm="1">
        <f t="array" ref="F3323">IF(A3323=MAX(IF(ROUND($B$2:$B$3722,4)=ROUND(B3323,4),$A$2:$A$3722)),"Efficient","Inefficient")</f>
        <v>Inefficient</v>
      </c>
    </row>
    <row r="3324" spans="1:6" x14ac:dyDescent="0.25">
      <c r="A3324" cm="1">
        <f t="array" ref="A3324">INDEX('Portfolio Weights Returns'!$B$9:$BJ$69,
INT((ROW(A3323)-1)/COLUMNS('Portfolio Weights Returns'!$B$9:$BJ$69))+1,MOD(ROW(A3323)-1,COLUMNS('Portfolio Weights Returns'!$B$9:$BJ$69))+1)</f>
        <v>-6.5009520989979595E-4</v>
      </c>
      <c r="B3324">
        <v>2.47E-2</v>
      </c>
      <c r="C3324" s="59">
        <v>-0.14000000000000001</v>
      </c>
      <c r="D3324" s="59">
        <v>-0.19</v>
      </c>
      <c r="E3324" s="60">
        <f t="shared" si="51"/>
        <v>1.33</v>
      </c>
      <c r="F3324" t="str" cm="1">
        <f t="array" ref="F3324">IF(A3324=MAX(IF(ROUND($B$2:$B$3722,4)=ROUND(B3324,4),$A$2:$A$3722)),"Efficient","Inefficient")</f>
        <v>Inefficient</v>
      </c>
    </row>
    <row r="3325" spans="1:6" x14ac:dyDescent="0.25">
      <c r="A3325" cm="1">
        <f t="array" ref="A3325">INDEX('Portfolio Weights Returns'!$B$9:$BJ$69,
INT((ROW(A3324)-1)/COLUMNS('Portfolio Weights Returns'!$B$9:$BJ$69))+1,MOD(ROW(A3324)-1,COLUMNS('Portfolio Weights Returns'!$B$9:$BJ$69))+1)</f>
        <v>-6.4331403593311692E-4</v>
      </c>
      <c r="B3325">
        <v>2.47E-2</v>
      </c>
      <c r="C3325" s="59">
        <v>-0.18</v>
      </c>
      <c r="D3325" s="59">
        <v>-0.16</v>
      </c>
      <c r="E3325" s="60">
        <f t="shared" si="51"/>
        <v>1.3399999999999999</v>
      </c>
      <c r="F3325" t="str" cm="1">
        <f t="array" ref="F3325">IF(A3325=MAX(IF(ROUND($B$2:$B$3722,4)=ROUND(B3325,4),$A$2:$A$3722)),"Efficient","Inefficient")</f>
        <v>Inefficient</v>
      </c>
    </row>
    <row r="3326" spans="1:6" x14ac:dyDescent="0.25">
      <c r="A3326" cm="1">
        <f t="array" ref="A3326">INDEX('Portfolio Weights Returns'!$B$9:$BJ$69,
INT((ROW(A3325)-1)/COLUMNS('Portfolio Weights Returns'!$B$9:$BJ$69))+1,MOD(ROW(A3325)-1,COLUMNS('Portfolio Weights Returns'!$B$9:$BJ$69))+1)</f>
        <v>-6.3653286196643777E-4</v>
      </c>
      <c r="B3326">
        <v>2.47E-2</v>
      </c>
      <c r="C3326" s="59">
        <v>-0.19</v>
      </c>
      <c r="D3326" s="59">
        <v>-0.15</v>
      </c>
      <c r="E3326" s="60">
        <f t="shared" si="51"/>
        <v>1.3399999999999999</v>
      </c>
      <c r="F3326" t="str" cm="1">
        <f t="array" ref="F3326">IF(A3326=MAX(IF(ROUND($B$2:$B$3722,4)=ROUND(B3326,4),$A$2:$A$3722)),"Efficient","Inefficient")</f>
        <v>Inefficient</v>
      </c>
    </row>
    <row r="3327" spans="1:6" x14ac:dyDescent="0.25">
      <c r="A3327" cm="1">
        <f t="array" ref="A3327">INDEX('Portfolio Weights Returns'!$B$9:$BJ$69,
INT((ROW(A3326)-1)/COLUMNS('Portfolio Weights Returns'!$B$9:$BJ$69))+1,MOD(ROW(A3326)-1,COLUMNS('Portfolio Weights Returns'!$B$9:$BJ$69))+1)</f>
        <v>-6.2975168799975874E-4</v>
      </c>
      <c r="B3327">
        <v>2.47E-2</v>
      </c>
      <c r="C3327" s="59">
        <v>-0.24</v>
      </c>
      <c r="D3327" s="59">
        <v>-0.11</v>
      </c>
      <c r="E3327" s="60">
        <f t="shared" si="51"/>
        <v>1.35</v>
      </c>
      <c r="F3327" t="str" cm="1">
        <f t="array" ref="F3327">IF(A3327=MAX(IF(ROUND($B$2:$B$3722,4)=ROUND(B3327,4),$A$2:$A$3722)),"Efficient","Inefficient")</f>
        <v>Inefficient</v>
      </c>
    </row>
    <row r="3328" spans="1:6" x14ac:dyDescent="0.25">
      <c r="A3328" cm="1">
        <f t="array" ref="A3328">INDEX('Portfolio Weights Returns'!$B$9:$BJ$69,
INT((ROW(A3327)-1)/COLUMNS('Portfolio Weights Returns'!$B$9:$BJ$69))+1,MOD(ROW(A3327)-1,COLUMNS('Portfolio Weights Returns'!$B$9:$BJ$69))+1)</f>
        <v>-6.2297051403307959E-4</v>
      </c>
      <c r="B3328">
        <v>2.47E-2</v>
      </c>
      <c r="C3328" s="59">
        <v>-0.25</v>
      </c>
      <c r="D3328" s="59">
        <v>-0.1</v>
      </c>
      <c r="E3328" s="60">
        <f t="shared" si="51"/>
        <v>1.35</v>
      </c>
      <c r="F3328" t="str" cm="1">
        <f t="array" ref="F3328">IF(A3328=MAX(IF(ROUND($B$2:$B$3722,4)=ROUND(B3328,4),$A$2:$A$3722)),"Efficient","Inefficient")</f>
        <v>Inefficient</v>
      </c>
    </row>
    <row r="3329" spans="1:6" x14ac:dyDescent="0.25">
      <c r="A3329" cm="1">
        <f t="array" ref="A3329">INDEX('Portfolio Weights Returns'!$B$9:$BJ$69,
INT((ROW(A3328)-1)/COLUMNS('Portfolio Weights Returns'!$B$9:$BJ$69))+1,MOD(ROW(A3328)-1,COLUMNS('Portfolio Weights Returns'!$B$9:$BJ$69))+1)</f>
        <v>-6.1618934006640045E-4</v>
      </c>
      <c r="B3329">
        <v>2.47E-2</v>
      </c>
      <c r="C3329" s="59">
        <v>-0.26</v>
      </c>
      <c r="D3329" s="59">
        <v>-0.09</v>
      </c>
      <c r="E3329" s="60">
        <f t="shared" si="51"/>
        <v>1.35</v>
      </c>
      <c r="F3329" t="str" cm="1">
        <f t="array" ref="F3329">IF(A3329=MAX(IF(ROUND($B$2:$B$3722,4)=ROUND(B3329,4),$A$2:$A$3722)),"Efficient","Inefficient")</f>
        <v>Inefficient</v>
      </c>
    </row>
    <row r="3330" spans="1:6" x14ac:dyDescent="0.25">
      <c r="A3330" cm="1">
        <f t="array" ref="A3330">INDEX('Portfolio Weights Returns'!$B$9:$BJ$69,
INT((ROW(A3329)-1)/COLUMNS('Portfolio Weights Returns'!$B$9:$BJ$69))+1,MOD(ROW(A3329)-1,COLUMNS('Portfolio Weights Returns'!$B$9:$BJ$69))+1)</f>
        <v>-6.0940816609972141E-4</v>
      </c>
      <c r="B3330">
        <v>2.47E-2</v>
      </c>
      <c r="C3330" s="59">
        <v>-0.27</v>
      </c>
      <c r="D3330" s="59">
        <v>-0.08</v>
      </c>
      <c r="E3330" s="60">
        <f t="shared" ref="E3330:E3393" si="52">1-D3330-C3330</f>
        <v>1.35</v>
      </c>
      <c r="F3330" t="str" cm="1">
        <f t="array" ref="F3330">IF(A3330=MAX(IF(ROUND($B$2:$B$3722,4)=ROUND(B3330,4),$A$2:$A$3722)),"Efficient","Inefficient")</f>
        <v>Inefficient</v>
      </c>
    </row>
    <row r="3331" spans="1:6" x14ac:dyDescent="0.25">
      <c r="A3331" cm="1">
        <f t="array" ref="A3331">INDEX('Portfolio Weights Returns'!$B$9:$BJ$69,
INT((ROW(A3330)-1)/COLUMNS('Portfolio Weights Returns'!$B$9:$BJ$69))+1,MOD(ROW(A3330)-1,COLUMNS('Portfolio Weights Returns'!$B$9:$BJ$69))+1)</f>
        <v>-6.0262699213304216E-4</v>
      </c>
      <c r="B3331">
        <v>2.47E-2</v>
      </c>
      <c r="C3331" s="59">
        <v>-0.28000000000000003</v>
      </c>
      <c r="D3331" s="59">
        <v>-7.0000000000000007E-2</v>
      </c>
      <c r="E3331" s="60">
        <f t="shared" si="52"/>
        <v>1.35</v>
      </c>
      <c r="F3331" t="str" cm="1">
        <f t="array" ref="F3331">IF(A3331=MAX(IF(ROUND($B$2:$B$3722,4)=ROUND(B3331,4),$A$2:$A$3722)),"Efficient","Inefficient")</f>
        <v>Inefficient</v>
      </c>
    </row>
    <row r="3332" spans="1:6" x14ac:dyDescent="0.25">
      <c r="A3332" cm="1">
        <f t="array" ref="A3332">INDEX('Portfolio Weights Returns'!$B$9:$BJ$69,
INT((ROW(A3331)-1)/COLUMNS('Portfolio Weights Returns'!$B$9:$BJ$69))+1,MOD(ROW(A3331)-1,COLUMNS('Portfolio Weights Returns'!$B$9:$BJ$69))+1)</f>
        <v>-5.9584581816636312E-4</v>
      </c>
      <c r="B3332">
        <v>2.47E-2</v>
      </c>
      <c r="C3332" s="59">
        <v>-0.28999999999999998</v>
      </c>
      <c r="D3332" s="59">
        <v>-0.06</v>
      </c>
      <c r="E3332" s="60">
        <f t="shared" si="52"/>
        <v>1.35</v>
      </c>
      <c r="F3332" t="str" cm="1">
        <f t="array" ref="F3332">IF(A3332=MAX(IF(ROUND($B$2:$B$3722,4)=ROUND(B3332,4),$A$2:$A$3722)),"Efficient","Inefficient")</f>
        <v>Inefficient</v>
      </c>
    </row>
    <row r="3333" spans="1:6" x14ac:dyDescent="0.25">
      <c r="A3333" cm="1">
        <f t="array" ref="A3333">INDEX('Portfolio Weights Returns'!$B$9:$BJ$69,
INT((ROW(A3332)-1)/COLUMNS('Portfolio Weights Returns'!$B$9:$BJ$69))+1,MOD(ROW(A3332)-1,COLUMNS('Portfolio Weights Returns'!$B$9:$BJ$69))+1)</f>
        <v>-5.8906464419968398E-4</v>
      </c>
      <c r="B3333">
        <v>2.47E-2</v>
      </c>
      <c r="C3333" s="59">
        <v>-0.3</v>
      </c>
      <c r="D3333" s="59">
        <v>-0.05</v>
      </c>
      <c r="E3333" s="60">
        <f t="shared" si="52"/>
        <v>1.35</v>
      </c>
      <c r="F3333" t="str" cm="1">
        <f t="array" ref="F3333">IF(A3333=MAX(IF(ROUND($B$2:$B$3722,4)=ROUND(B3333,4),$A$2:$A$3722)),"Efficient","Inefficient")</f>
        <v>Efficient</v>
      </c>
    </row>
    <row r="3334" spans="1:6" x14ac:dyDescent="0.25">
      <c r="A3334" cm="1">
        <f t="array" ref="A3334">INDEX('Portfolio Weights Returns'!$B$9:$BJ$69,
INT((ROW(A3333)-1)/COLUMNS('Portfolio Weights Returns'!$B$9:$BJ$69))+1,MOD(ROW(A3333)-1,COLUMNS('Portfolio Weights Returns'!$B$9:$BJ$69))+1)</f>
        <v>-5.8228347023300505E-4</v>
      </c>
      <c r="B3334">
        <v>2.4799999999999999E-2</v>
      </c>
      <c r="C3334" s="59">
        <v>0.02</v>
      </c>
      <c r="D3334" s="59">
        <v>-0.3</v>
      </c>
      <c r="E3334" s="60">
        <f t="shared" si="52"/>
        <v>1.28</v>
      </c>
      <c r="F3334" t="str" cm="1">
        <f t="array" ref="F3334">IF(A3334=MAX(IF(ROUND($B$2:$B$3722,4)=ROUND(B3334,4),$A$2:$A$3722)),"Efficient","Inefficient")</f>
        <v>Inefficient</v>
      </c>
    </row>
    <row r="3335" spans="1:6" x14ac:dyDescent="0.25">
      <c r="A3335" cm="1">
        <f t="array" ref="A3335">INDEX('Portfolio Weights Returns'!$B$9:$BJ$69,
INT((ROW(A3334)-1)/COLUMNS('Portfolio Weights Returns'!$B$9:$BJ$69))+1,MOD(ROW(A3334)-1,COLUMNS('Portfolio Weights Returns'!$B$9:$BJ$69))+1)</f>
        <v>-5.755022962663259E-4</v>
      </c>
      <c r="B3335">
        <v>2.4799999999999999E-2</v>
      </c>
      <c r="C3335" s="59">
        <v>0</v>
      </c>
      <c r="D3335" s="59">
        <v>-0.28999999999999998</v>
      </c>
      <c r="E3335" s="60">
        <f t="shared" si="52"/>
        <v>1.29</v>
      </c>
      <c r="F3335" t="str" cm="1">
        <f t="array" ref="F3335">IF(A3335=MAX(IF(ROUND($B$2:$B$3722,4)=ROUND(B3335,4),$A$2:$A$3722)),"Efficient","Inefficient")</f>
        <v>Inefficient</v>
      </c>
    </row>
    <row r="3336" spans="1:6" x14ac:dyDescent="0.25">
      <c r="A3336" cm="1">
        <f t="array" ref="A3336">INDEX('Portfolio Weights Returns'!$B$9:$BJ$69,
INT((ROW(A3335)-1)/COLUMNS('Portfolio Weights Returns'!$B$9:$BJ$69))+1,MOD(ROW(A3335)-1,COLUMNS('Portfolio Weights Returns'!$B$9:$BJ$69))+1)</f>
        <v>-5.6872112229964687E-4</v>
      </c>
      <c r="B3336">
        <v>2.4799999999999999E-2</v>
      </c>
      <c r="C3336" s="59">
        <v>-0.03</v>
      </c>
      <c r="D3336" s="59">
        <v>-0.27</v>
      </c>
      <c r="E3336" s="60">
        <f t="shared" si="52"/>
        <v>1.3</v>
      </c>
      <c r="F3336" t="str" cm="1">
        <f t="array" ref="F3336">IF(A3336=MAX(IF(ROUND($B$2:$B$3722,4)=ROUND(B3336,4),$A$2:$A$3722)),"Efficient","Inefficient")</f>
        <v>Inefficient</v>
      </c>
    </row>
    <row r="3337" spans="1:6" x14ac:dyDescent="0.25">
      <c r="A3337" cm="1">
        <f t="array" ref="A3337">INDEX('Portfolio Weights Returns'!$B$9:$BJ$69,
INT((ROW(A3336)-1)/COLUMNS('Portfolio Weights Returns'!$B$9:$BJ$69))+1,MOD(ROW(A3336)-1,COLUMNS('Portfolio Weights Returns'!$B$9:$BJ$69))+1)</f>
        <v>-5.6193994833296762E-4</v>
      </c>
      <c r="B3337">
        <v>2.4799999999999999E-2</v>
      </c>
      <c r="C3337" s="59">
        <v>-0.06</v>
      </c>
      <c r="D3337" s="59">
        <v>-0.25</v>
      </c>
      <c r="E3337" s="60">
        <f t="shared" si="52"/>
        <v>1.31</v>
      </c>
      <c r="F3337" t="str" cm="1">
        <f t="array" ref="F3337">IF(A3337=MAX(IF(ROUND($B$2:$B$3722,4)=ROUND(B3337,4),$A$2:$A$3722)),"Efficient","Inefficient")</f>
        <v>Inefficient</v>
      </c>
    </row>
    <row r="3338" spans="1:6" x14ac:dyDescent="0.25">
      <c r="A3338" cm="1">
        <f t="array" ref="A3338">INDEX('Portfolio Weights Returns'!$B$9:$BJ$69,
INT((ROW(A3337)-1)/COLUMNS('Portfolio Weights Returns'!$B$9:$BJ$69))+1,MOD(ROW(A3337)-1,COLUMNS('Portfolio Weights Returns'!$B$9:$BJ$69))+1)</f>
        <v>-5.5515877436628847E-4</v>
      </c>
      <c r="B3338">
        <v>2.4799999999999999E-2</v>
      </c>
      <c r="C3338" s="59">
        <v>-0.09</v>
      </c>
      <c r="D3338" s="59">
        <v>-0.23</v>
      </c>
      <c r="E3338" s="60">
        <f t="shared" si="52"/>
        <v>1.32</v>
      </c>
      <c r="F3338" t="str" cm="1">
        <f t="array" ref="F3338">IF(A3338=MAX(IF(ROUND($B$2:$B$3722,4)=ROUND(B3338,4),$A$2:$A$3722)),"Efficient","Inefficient")</f>
        <v>Inefficient</v>
      </c>
    </row>
    <row r="3339" spans="1:6" x14ac:dyDescent="0.25">
      <c r="A3339" cm="1">
        <f t="array" ref="A3339">INDEX('Portfolio Weights Returns'!$B$9:$BJ$69,
INT((ROW(A3338)-1)/COLUMNS('Portfolio Weights Returns'!$B$9:$BJ$69))+1,MOD(ROW(A3338)-1,COLUMNS('Portfolio Weights Returns'!$B$9:$BJ$69))+1)</f>
        <v>-5.4837760039960944E-4</v>
      </c>
      <c r="B3339">
        <v>2.4799999999999999E-2</v>
      </c>
      <c r="C3339" s="59">
        <v>-0.12</v>
      </c>
      <c r="D3339" s="59">
        <v>-0.21</v>
      </c>
      <c r="E3339" s="60">
        <f t="shared" si="52"/>
        <v>1.33</v>
      </c>
      <c r="F3339" t="str" cm="1">
        <f t="array" ref="F3339">IF(A3339=MAX(IF(ROUND($B$2:$B$3722,4)=ROUND(B3339,4),$A$2:$A$3722)),"Efficient","Inefficient")</f>
        <v>Inefficient</v>
      </c>
    </row>
    <row r="3340" spans="1:6" x14ac:dyDescent="0.25">
      <c r="A3340" cm="1">
        <f t="array" ref="A3340">INDEX('Portfolio Weights Returns'!$B$9:$BJ$69,
INT((ROW(A3339)-1)/COLUMNS('Portfolio Weights Returns'!$B$9:$BJ$69))+1,MOD(ROW(A3339)-1,COLUMNS('Portfolio Weights Returns'!$B$9:$BJ$69))+1)</f>
        <v>-5.4159642643293029E-4</v>
      </c>
      <c r="B3340">
        <v>2.4799999999999999E-2</v>
      </c>
      <c r="C3340" s="59">
        <v>-0.16</v>
      </c>
      <c r="D3340" s="59">
        <v>-0.18</v>
      </c>
      <c r="E3340" s="60">
        <f t="shared" si="52"/>
        <v>1.3399999999999999</v>
      </c>
      <c r="F3340" t="str" cm="1">
        <f t="array" ref="F3340">IF(A3340=MAX(IF(ROUND($B$2:$B$3722,4)=ROUND(B3340,4),$A$2:$A$3722)),"Efficient","Inefficient")</f>
        <v>Inefficient</v>
      </c>
    </row>
    <row r="3341" spans="1:6" x14ac:dyDescent="0.25">
      <c r="A3341" cm="1">
        <f t="array" ref="A3341">INDEX('Portfolio Weights Returns'!$B$9:$BJ$69,
INT((ROW(A3340)-1)/COLUMNS('Portfolio Weights Returns'!$B$9:$BJ$69))+1,MOD(ROW(A3340)-1,COLUMNS('Portfolio Weights Returns'!$B$9:$BJ$69))+1)</f>
        <v>-5.3481525246625126E-4</v>
      </c>
      <c r="B3341">
        <v>2.4799999999999999E-2</v>
      </c>
      <c r="C3341" s="59">
        <v>-0.17</v>
      </c>
      <c r="D3341" s="59">
        <v>-0.17</v>
      </c>
      <c r="E3341" s="60">
        <f t="shared" si="52"/>
        <v>1.3399999999999999</v>
      </c>
      <c r="F3341" t="str" cm="1">
        <f t="array" ref="F3341">IF(A3341=MAX(IF(ROUND($B$2:$B$3722,4)=ROUND(B3341,4),$A$2:$A$3722)),"Efficient","Inefficient")</f>
        <v>Inefficient</v>
      </c>
    </row>
    <row r="3342" spans="1:6" x14ac:dyDescent="0.25">
      <c r="A3342" cm="1">
        <f t="array" ref="A3342">INDEX('Portfolio Weights Returns'!$B$9:$BJ$69,
INT((ROW(A3341)-1)/COLUMNS('Portfolio Weights Returns'!$B$9:$BJ$69))+1,MOD(ROW(A3341)-1,COLUMNS('Portfolio Weights Returns'!$B$9:$BJ$69))+1)</f>
        <v>-5.2803407849957211E-4</v>
      </c>
      <c r="B3342">
        <v>2.4799999999999999E-2</v>
      </c>
      <c r="C3342" s="59">
        <v>-0.2</v>
      </c>
      <c r="D3342" s="59">
        <v>-0.15</v>
      </c>
      <c r="E3342" s="60">
        <f t="shared" si="52"/>
        <v>1.3499999999999999</v>
      </c>
      <c r="F3342" t="str" cm="1">
        <f t="array" ref="F3342">IF(A3342=MAX(IF(ROUND($B$2:$B$3722,4)=ROUND(B3342,4),$A$2:$A$3722)),"Efficient","Inefficient")</f>
        <v>Inefficient</v>
      </c>
    </row>
    <row r="3343" spans="1:6" x14ac:dyDescent="0.25">
      <c r="A3343" cm="1">
        <f t="array" ref="A3343">INDEX('Portfolio Weights Returns'!$B$9:$BJ$69,
INT((ROW(A3342)-1)/COLUMNS('Portfolio Weights Returns'!$B$9:$BJ$69))+1,MOD(ROW(A3342)-1,COLUMNS('Portfolio Weights Returns'!$B$9:$BJ$69))+1)</f>
        <v>-5.2125290453289297E-4</v>
      </c>
      <c r="B3343">
        <v>2.4799999999999999E-2</v>
      </c>
      <c r="C3343" s="59">
        <v>-0.21</v>
      </c>
      <c r="D3343" s="59">
        <v>-0.14000000000000001</v>
      </c>
      <c r="E3343" s="60">
        <f t="shared" si="52"/>
        <v>1.35</v>
      </c>
      <c r="F3343" t="str" cm="1">
        <f t="array" ref="F3343">IF(A3343=MAX(IF(ROUND($B$2:$B$3722,4)=ROUND(B3343,4),$A$2:$A$3722)),"Efficient","Inefficient")</f>
        <v>Inefficient</v>
      </c>
    </row>
    <row r="3344" spans="1:6" x14ac:dyDescent="0.25">
      <c r="A3344" cm="1">
        <f t="array" ref="A3344">INDEX('Portfolio Weights Returns'!$B$9:$BJ$69,
INT((ROW(A3343)-1)/COLUMNS('Portfolio Weights Returns'!$B$9:$BJ$69))+1,MOD(ROW(A3343)-1,COLUMNS('Portfolio Weights Returns'!$B$9:$BJ$69))+1)</f>
        <v>-5.1447173056621393E-4</v>
      </c>
      <c r="B3344">
        <v>2.4799999999999999E-2</v>
      </c>
      <c r="C3344" s="59">
        <v>-0.22</v>
      </c>
      <c r="D3344" s="59">
        <v>-0.13</v>
      </c>
      <c r="E3344" s="60">
        <f t="shared" si="52"/>
        <v>1.3499999999999999</v>
      </c>
      <c r="F3344" t="str" cm="1">
        <f t="array" ref="F3344">IF(A3344=MAX(IF(ROUND($B$2:$B$3722,4)=ROUND(B3344,4),$A$2:$A$3722)),"Efficient","Inefficient")</f>
        <v>Inefficient</v>
      </c>
    </row>
    <row r="3345" spans="1:6" x14ac:dyDescent="0.25">
      <c r="A3345" cm="1">
        <f t="array" ref="A3345">INDEX('Portfolio Weights Returns'!$B$9:$BJ$69,
INT((ROW(A3344)-1)/COLUMNS('Portfolio Weights Returns'!$B$9:$BJ$69))+1,MOD(ROW(A3344)-1,COLUMNS('Portfolio Weights Returns'!$B$9:$BJ$69))+1)</f>
        <v>-5.0769055659953489E-4</v>
      </c>
      <c r="B3345">
        <v>2.4799999999999999E-2</v>
      </c>
      <c r="C3345" s="59">
        <v>-0.23</v>
      </c>
      <c r="D3345" s="59">
        <v>-0.12</v>
      </c>
      <c r="E3345" s="60">
        <f t="shared" si="52"/>
        <v>1.35</v>
      </c>
      <c r="F3345" t="str" cm="1">
        <f t="array" ref="F3345">IF(A3345=MAX(IF(ROUND($B$2:$B$3722,4)=ROUND(B3345,4),$A$2:$A$3722)),"Efficient","Inefficient")</f>
        <v>Efficient</v>
      </c>
    </row>
    <row r="3346" spans="1:6" x14ac:dyDescent="0.25">
      <c r="A3346" cm="1">
        <f t="array" ref="A3346">INDEX('Portfolio Weights Returns'!$B$9:$BJ$69,
INT((ROW(A3345)-1)/COLUMNS('Portfolio Weights Returns'!$B$9:$BJ$69))+1,MOD(ROW(A3345)-1,COLUMNS('Portfolio Weights Returns'!$B$9:$BJ$69))+1)</f>
        <v>-5.0090938263285575E-4</v>
      </c>
      <c r="B3346">
        <v>2.4899999999999999E-2</v>
      </c>
      <c r="C3346" s="59">
        <v>0.01</v>
      </c>
      <c r="D3346" s="59">
        <v>-0.3</v>
      </c>
      <c r="E3346" s="60">
        <f t="shared" si="52"/>
        <v>1.29</v>
      </c>
      <c r="F3346" t="str" cm="1">
        <f t="array" ref="F3346">IF(A3346=MAX(IF(ROUND($B$2:$B$3722,4)=ROUND(B3346,4),$A$2:$A$3722)),"Efficient","Inefficient")</f>
        <v>Inefficient</v>
      </c>
    </row>
    <row r="3347" spans="1:6" x14ac:dyDescent="0.25">
      <c r="A3347" cm="1">
        <f t="array" ref="A3347">INDEX('Portfolio Weights Returns'!$B$9:$BJ$69,
INT((ROW(A3346)-1)/COLUMNS('Portfolio Weights Returns'!$B$9:$BJ$69))+1,MOD(ROW(A3346)-1,COLUMNS('Portfolio Weights Returns'!$B$9:$BJ$69))+1)</f>
        <v>-4.9412820866617661E-4</v>
      </c>
      <c r="B3347">
        <v>2.4899999999999999E-2</v>
      </c>
      <c r="C3347" s="59">
        <v>-0.02</v>
      </c>
      <c r="D3347" s="59">
        <v>-0.28000000000000003</v>
      </c>
      <c r="E3347" s="60">
        <f t="shared" si="52"/>
        <v>1.3</v>
      </c>
      <c r="F3347" t="str" cm="1">
        <f t="array" ref="F3347">IF(A3347=MAX(IF(ROUND($B$2:$B$3722,4)=ROUND(B3347,4),$A$2:$A$3722)),"Efficient","Inefficient")</f>
        <v>Inefficient</v>
      </c>
    </row>
    <row r="3348" spans="1:6" x14ac:dyDescent="0.25">
      <c r="A3348" cm="1">
        <f t="array" ref="A3348">INDEX('Portfolio Weights Returns'!$B$9:$BJ$69,
INT((ROW(A3347)-1)/COLUMNS('Portfolio Weights Returns'!$B$9:$BJ$69))+1,MOD(ROW(A3347)-1,COLUMNS('Portfolio Weights Returns'!$B$9:$BJ$69))+1)</f>
        <v>-4.8734703469949752E-4</v>
      </c>
      <c r="B3348">
        <v>2.4899999999999999E-2</v>
      </c>
      <c r="C3348" s="59">
        <v>-0.04</v>
      </c>
      <c r="D3348" s="59">
        <v>-0.27</v>
      </c>
      <c r="E3348" s="60">
        <f t="shared" si="52"/>
        <v>1.31</v>
      </c>
      <c r="F3348" t="str" cm="1">
        <f t="array" ref="F3348">IF(A3348=MAX(IF(ROUND($B$2:$B$3722,4)=ROUND(B3348,4),$A$2:$A$3722)),"Efficient","Inefficient")</f>
        <v>Inefficient</v>
      </c>
    </row>
    <row r="3349" spans="1:6" x14ac:dyDescent="0.25">
      <c r="A3349" cm="1">
        <f t="array" ref="A3349">INDEX('Portfolio Weights Returns'!$B$9:$BJ$69,
INT((ROW(A3348)-1)/COLUMNS('Portfolio Weights Returns'!$B$9:$BJ$69))+1,MOD(ROW(A3348)-1,COLUMNS('Portfolio Weights Returns'!$B$9:$BJ$69))+1)</f>
        <v>-4.8056586073281842E-4</v>
      </c>
      <c r="B3349">
        <v>2.4899999999999999E-2</v>
      </c>
      <c r="C3349" s="59">
        <v>-0.05</v>
      </c>
      <c r="D3349" s="59">
        <v>-0.26</v>
      </c>
      <c r="E3349" s="60">
        <f t="shared" si="52"/>
        <v>1.31</v>
      </c>
      <c r="F3349" t="str" cm="1">
        <f t="array" ref="F3349">IF(A3349=MAX(IF(ROUND($B$2:$B$3722,4)=ROUND(B3349,4),$A$2:$A$3722)),"Efficient","Inefficient")</f>
        <v>Inefficient</v>
      </c>
    </row>
    <row r="3350" spans="1:6" x14ac:dyDescent="0.25">
      <c r="A3350" cm="1">
        <f t="array" ref="A3350">INDEX('Portfolio Weights Returns'!$B$9:$BJ$69,
INT((ROW(A3349)-1)/COLUMNS('Portfolio Weights Returns'!$B$9:$BJ$69))+1,MOD(ROW(A3349)-1,COLUMNS('Portfolio Weights Returns'!$B$9:$BJ$69))+1)</f>
        <v>-4.7378468676613933E-4</v>
      </c>
      <c r="B3350">
        <v>2.4899999999999999E-2</v>
      </c>
      <c r="C3350" s="59">
        <v>-7.0000000000000007E-2</v>
      </c>
      <c r="D3350" s="59">
        <v>-0.25</v>
      </c>
      <c r="E3350" s="60">
        <f t="shared" si="52"/>
        <v>1.32</v>
      </c>
      <c r="F3350" t="str" cm="1">
        <f t="array" ref="F3350">IF(A3350=MAX(IF(ROUND($B$2:$B$3722,4)=ROUND(B3350,4),$A$2:$A$3722)),"Efficient","Inefficient")</f>
        <v>Inefficient</v>
      </c>
    </row>
    <row r="3351" spans="1:6" x14ac:dyDescent="0.25">
      <c r="A3351" cm="1">
        <f t="array" ref="A3351">INDEX('Portfolio Weights Returns'!$B$9:$BJ$69,
INT((ROW(A3350)-1)/COLUMNS('Portfolio Weights Returns'!$B$9:$BJ$69))+1,MOD(ROW(A3350)-1,COLUMNS('Portfolio Weights Returns'!$B$9:$BJ$69))+1)</f>
        <v>-4.6700351279946014E-4</v>
      </c>
      <c r="B3351">
        <v>2.4899999999999999E-2</v>
      </c>
      <c r="C3351" s="59">
        <v>-0.08</v>
      </c>
      <c r="D3351" s="59">
        <v>-0.24</v>
      </c>
      <c r="E3351" s="60">
        <f t="shared" si="52"/>
        <v>1.32</v>
      </c>
      <c r="F3351" t="str" cm="1">
        <f t="array" ref="F3351">IF(A3351=MAX(IF(ROUND($B$2:$B$3722,4)=ROUND(B3351,4),$A$2:$A$3722)),"Efficient","Inefficient")</f>
        <v>Inefficient</v>
      </c>
    </row>
    <row r="3352" spans="1:6" x14ac:dyDescent="0.25">
      <c r="A3352" cm="1">
        <f t="array" ref="A3352">INDEX('Portfolio Weights Returns'!$B$9:$BJ$69,
INT((ROW(A3351)-1)/COLUMNS('Portfolio Weights Returns'!$B$9:$BJ$69))+1,MOD(ROW(A3351)-1,COLUMNS('Portfolio Weights Returns'!$B$9:$BJ$69))+1)</f>
        <v>-4.602223388327811E-4</v>
      </c>
      <c r="B3352">
        <v>2.4899999999999999E-2</v>
      </c>
      <c r="C3352" s="59">
        <v>-0.1</v>
      </c>
      <c r="D3352" s="59">
        <v>-0.23</v>
      </c>
      <c r="E3352" s="60">
        <f t="shared" si="52"/>
        <v>1.33</v>
      </c>
      <c r="F3352" t="str" cm="1">
        <f t="array" ref="F3352">IF(A3352=MAX(IF(ROUND($B$2:$B$3722,4)=ROUND(B3352,4),$A$2:$A$3722)),"Efficient","Inefficient")</f>
        <v>Inefficient</v>
      </c>
    </row>
    <row r="3353" spans="1:6" x14ac:dyDescent="0.25">
      <c r="A3353" cm="1">
        <f t="array" ref="A3353">INDEX('Portfolio Weights Returns'!$B$9:$BJ$69,
INT((ROW(A3352)-1)/COLUMNS('Portfolio Weights Returns'!$B$9:$BJ$69))+1,MOD(ROW(A3352)-1,COLUMNS('Portfolio Weights Returns'!$B$9:$BJ$69))+1)</f>
        <v>-4.5344116486610131E-4</v>
      </c>
      <c r="B3353">
        <v>2.4899999999999999E-2</v>
      </c>
      <c r="C3353" s="59">
        <v>-0.11</v>
      </c>
      <c r="D3353" s="59">
        <v>-0.22</v>
      </c>
      <c r="E3353" s="60">
        <f t="shared" si="52"/>
        <v>1.33</v>
      </c>
      <c r="F3353" t="str" cm="1">
        <f t="array" ref="F3353">IF(A3353=MAX(IF(ROUND($B$2:$B$3722,4)=ROUND(B3353,4),$A$2:$A$3722)),"Efficient","Inefficient")</f>
        <v>Inefficient</v>
      </c>
    </row>
    <row r="3354" spans="1:6" x14ac:dyDescent="0.25">
      <c r="A3354" cm="1">
        <f t="array" ref="A3354">INDEX('Portfolio Weights Returns'!$B$9:$BJ$69,
INT((ROW(A3353)-1)/COLUMNS('Portfolio Weights Returns'!$B$9:$BJ$69))+1,MOD(ROW(A3353)-1,COLUMNS('Portfolio Weights Returns'!$B$9:$BJ$69))+1)</f>
        <v>-4.4665999089942216E-4</v>
      </c>
      <c r="B3354">
        <v>2.4899999999999999E-2</v>
      </c>
      <c r="C3354" s="59">
        <v>-0.14000000000000001</v>
      </c>
      <c r="D3354" s="59">
        <v>-0.2</v>
      </c>
      <c r="E3354" s="60">
        <f t="shared" si="52"/>
        <v>1.3399999999999999</v>
      </c>
      <c r="F3354" t="str" cm="1">
        <f t="array" ref="F3354">IF(A3354=MAX(IF(ROUND($B$2:$B$3722,4)=ROUND(B3354,4),$A$2:$A$3722)),"Efficient","Inefficient")</f>
        <v>Inefficient</v>
      </c>
    </row>
    <row r="3355" spans="1:6" x14ac:dyDescent="0.25">
      <c r="A3355" cm="1">
        <f t="array" ref="A3355">INDEX('Portfolio Weights Returns'!$B$9:$BJ$69,
INT((ROW(A3354)-1)/COLUMNS('Portfolio Weights Returns'!$B$9:$BJ$69))+1,MOD(ROW(A3354)-1,COLUMNS('Portfolio Weights Returns'!$B$9:$BJ$69))+1)</f>
        <v>-4.3987881693274312E-4</v>
      </c>
      <c r="B3355">
        <v>2.4899999999999999E-2</v>
      </c>
      <c r="C3355" s="59">
        <v>-0.15</v>
      </c>
      <c r="D3355" s="59">
        <v>-0.19</v>
      </c>
      <c r="E3355" s="60">
        <f t="shared" si="52"/>
        <v>1.3399999999999999</v>
      </c>
      <c r="F3355" t="str" cm="1">
        <f t="array" ref="F3355">IF(A3355=MAX(IF(ROUND($B$2:$B$3722,4)=ROUND(B3355,4),$A$2:$A$3722)),"Efficient","Inefficient")</f>
        <v>Inefficient</v>
      </c>
    </row>
    <row r="3356" spans="1:6" x14ac:dyDescent="0.25">
      <c r="A3356" cm="1">
        <f t="array" ref="A3356">INDEX('Portfolio Weights Returns'!$B$9:$BJ$69,
INT((ROW(A3355)-1)/COLUMNS('Portfolio Weights Returns'!$B$9:$BJ$69))+1,MOD(ROW(A3355)-1,COLUMNS('Portfolio Weights Returns'!$B$9:$BJ$69))+1)</f>
        <v>-4.3309764296606403E-4</v>
      </c>
      <c r="B3356">
        <v>2.4899999999999999E-2</v>
      </c>
      <c r="C3356" s="59">
        <v>-0.18</v>
      </c>
      <c r="D3356" s="59">
        <v>-0.17</v>
      </c>
      <c r="E3356" s="60">
        <f t="shared" si="52"/>
        <v>1.3499999999999999</v>
      </c>
      <c r="F3356" t="str" cm="1">
        <f t="array" ref="F3356">IF(A3356=MAX(IF(ROUND($B$2:$B$3722,4)=ROUND(B3356,4),$A$2:$A$3722)),"Efficient","Inefficient")</f>
        <v>Efficient</v>
      </c>
    </row>
    <row r="3357" spans="1:6" x14ac:dyDescent="0.25">
      <c r="A3357" cm="1">
        <f t="array" ref="A3357">INDEX('Portfolio Weights Returns'!$B$9:$BJ$69,
INT((ROW(A3356)-1)/COLUMNS('Portfolio Weights Returns'!$B$9:$BJ$69))+1,MOD(ROW(A3356)-1,COLUMNS('Portfolio Weights Returns'!$B$9:$BJ$69))+1)</f>
        <v>-8.333938731213558E-4</v>
      </c>
      <c r="B3357">
        <v>2.4899999999999999E-2</v>
      </c>
      <c r="C3357" s="59">
        <v>-0.19</v>
      </c>
      <c r="D3357" s="59">
        <v>-0.16</v>
      </c>
      <c r="E3357" s="60">
        <f t="shared" si="52"/>
        <v>1.3499999999999999</v>
      </c>
      <c r="F3357" t="str" cm="1">
        <f t="array" ref="F3357">IF(A3357=MAX(IF(ROUND($B$2:$B$3722,4)=ROUND(B3357,4),$A$2:$A$3722)),"Efficient","Inefficient")</f>
        <v>Inefficient</v>
      </c>
    </row>
    <row r="3358" spans="1:6" x14ac:dyDescent="0.25">
      <c r="A3358" cm="1">
        <f t="array" ref="A3358">INDEX('Portfolio Weights Returns'!$B$9:$BJ$69,
INT((ROW(A3357)-1)/COLUMNS('Portfolio Weights Returns'!$B$9:$BJ$69))+1,MOD(ROW(A3357)-1,COLUMNS('Portfolio Weights Returns'!$B$9:$BJ$69))+1)</f>
        <v>-8.2661269915467665E-4</v>
      </c>
      <c r="B3358">
        <v>2.4899999999999999E-2</v>
      </c>
      <c r="C3358" s="59">
        <v>-0.24</v>
      </c>
      <c r="D3358" s="59">
        <v>-0.12</v>
      </c>
      <c r="E3358" s="60">
        <f t="shared" si="52"/>
        <v>1.36</v>
      </c>
      <c r="F3358" t="str" cm="1">
        <f t="array" ref="F3358">IF(A3358=MAX(IF(ROUND($B$2:$B$3722,4)=ROUND(B3358,4),$A$2:$A$3722)),"Efficient","Inefficient")</f>
        <v>Inefficient</v>
      </c>
    </row>
    <row r="3359" spans="1:6" x14ac:dyDescent="0.25">
      <c r="A3359" cm="1">
        <f t="array" ref="A3359">INDEX('Portfolio Weights Returns'!$B$9:$BJ$69,
INT((ROW(A3358)-1)/COLUMNS('Portfolio Weights Returns'!$B$9:$BJ$69))+1,MOD(ROW(A3358)-1,COLUMNS('Portfolio Weights Returns'!$B$9:$BJ$69))+1)</f>
        <v>-8.1983152518799751E-4</v>
      </c>
      <c r="B3359">
        <v>2.4899999999999999E-2</v>
      </c>
      <c r="C3359" s="59">
        <v>-0.25</v>
      </c>
      <c r="D3359" s="59">
        <v>-0.11</v>
      </c>
      <c r="E3359" s="60">
        <f t="shared" si="52"/>
        <v>1.36</v>
      </c>
      <c r="F3359" t="str" cm="1">
        <f t="array" ref="F3359">IF(A3359=MAX(IF(ROUND($B$2:$B$3722,4)=ROUND(B3359,4),$A$2:$A$3722)),"Efficient","Inefficient")</f>
        <v>Inefficient</v>
      </c>
    </row>
    <row r="3360" spans="1:6" x14ac:dyDescent="0.25">
      <c r="A3360" cm="1">
        <f t="array" ref="A3360">INDEX('Portfolio Weights Returns'!$B$9:$BJ$69,
INT((ROW(A3359)-1)/COLUMNS('Portfolio Weights Returns'!$B$9:$BJ$69))+1,MOD(ROW(A3359)-1,COLUMNS('Portfolio Weights Returns'!$B$9:$BJ$69))+1)</f>
        <v>-8.1305035122131836E-4</v>
      </c>
      <c r="B3360">
        <v>2.4899999999999999E-2</v>
      </c>
      <c r="C3360" s="59">
        <v>-0.26</v>
      </c>
      <c r="D3360" s="59">
        <v>-0.1</v>
      </c>
      <c r="E3360" s="60">
        <f t="shared" si="52"/>
        <v>1.36</v>
      </c>
      <c r="F3360" t="str" cm="1">
        <f t="array" ref="F3360">IF(A3360=MAX(IF(ROUND($B$2:$B$3722,4)=ROUND(B3360,4),$A$2:$A$3722)),"Efficient","Inefficient")</f>
        <v>Inefficient</v>
      </c>
    </row>
    <row r="3361" spans="1:6" x14ac:dyDescent="0.25">
      <c r="A3361" cm="1">
        <f t="array" ref="A3361">INDEX('Portfolio Weights Returns'!$B$9:$BJ$69,
INT((ROW(A3360)-1)/COLUMNS('Portfolio Weights Returns'!$B$9:$BJ$69))+1,MOD(ROW(A3360)-1,COLUMNS('Portfolio Weights Returns'!$B$9:$BJ$69))+1)</f>
        <v>-8.0626917725463933E-4</v>
      </c>
      <c r="B3361">
        <v>2.4899999999999999E-2</v>
      </c>
      <c r="C3361" s="59">
        <v>-0.27</v>
      </c>
      <c r="D3361" s="59">
        <v>-0.09</v>
      </c>
      <c r="E3361" s="60">
        <f t="shared" si="52"/>
        <v>1.36</v>
      </c>
      <c r="F3361" t="str" cm="1">
        <f t="array" ref="F3361">IF(A3361=MAX(IF(ROUND($B$2:$B$3722,4)=ROUND(B3361,4),$A$2:$A$3722)),"Efficient","Inefficient")</f>
        <v>Inefficient</v>
      </c>
    </row>
    <row r="3362" spans="1:6" x14ac:dyDescent="0.25">
      <c r="A3362" cm="1">
        <f t="array" ref="A3362">INDEX('Portfolio Weights Returns'!$B$9:$BJ$69,
INT((ROW(A3361)-1)/COLUMNS('Portfolio Weights Returns'!$B$9:$BJ$69))+1,MOD(ROW(A3361)-1,COLUMNS('Portfolio Weights Returns'!$B$9:$BJ$69))+1)</f>
        <v>-7.9948800328796018E-4</v>
      </c>
      <c r="B3362">
        <v>2.4899999999999999E-2</v>
      </c>
      <c r="C3362" s="59">
        <v>-0.28000000000000003</v>
      </c>
      <c r="D3362" s="59">
        <v>-0.08</v>
      </c>
      <c r="E3362" s="60">
        <f t="shared" si="52"/>
        <v>1.36</v>
      </c>
      <c r="F3362" t="str" cm="1">
        <f t="array" ref="F3362">IF(A3362=MAX(IF(ROUND($B$2:$B$3722,4)=ROUND(B3362,4),$A$2:$A$3722)),"Efficient","Inefficient")</f>
        <v>Inefficient</v>
      </c>
    </row>
    <row r="3363" spans="1:6" x14ac:dyDescent="0.25">
      <c r="A3363" cm="1">
        <f t="array" ref="A3363">INDEX('Portfolio Weights Returns'!$B$9:$BJ$69,
INT((ROW(A3362)-1)/COLUMNS('Portfolio Weights Returns'!$B$9:$BJ$69))+1,MOD(ROW(A3362)-1,COLUMNS('Portfolio Weights Returns'!$B$9:$BJ$69))+1)</f>
        <v>-7.9270682932128115E-4</v>
      </c>
      <c r="B3363">
        <v>2.4899999999999999E-2</v>
      </c>
      <c r="C3363" s="59">
        <v>-0.28999999999999998</v>
      </c>
      <c r="D3363" s="59">
        <v>-7.0000000000000007E-2</v>
      </c>
      <c r="E3363" s="60">
        <f t="shared" si="52"/>
        <v>1.36</v>
      </c>
      <c r="F3363" t="str" cm="1">
        <f t="array" ref="F3363">IF(A3363=MAX(IF(ROUND($B$2:$B$3722,4)=ROUND(B3363,4),$A$2:$A$3722)),"Efficient","Inefficient")</f>
        <v>Inefficient</v>
      </c>
    </row>
    <row r="3364" spans="1:6" x14ac:dyDescent="0.25">
      <c r="A3364" cm="1">
        <f t="array" ref="A3364">INDEX('Portfolio Weights Returns'!$B$9:$BJ$69,
INT((ROW(A3363)-1)/COLUMNS('Portfolio Weights Returns'!$B$9:$BJ$69))+1,MOD(ROW(A3363)-1,COLUMNS('Portfolio Weights Returns'!$B$9:$BJ$69))+1)</f>
        <v>-7.85925655354602E-4</v>
      </c>
      <c r="B3364">
        <v>2.4899999999999999E-2</v>
      </c>
      <c r="C3364" s="59">
        <v>-0.3</v>
      </c>
      <c r="D3364" s="59">
        <v>-0.06</v>
      </c>
      <c r="E3364" s="60">
        <f t="shared" si="52"/>
        <v>1.36</v>
      </c>
      <c r="F3364" t="str" cm="1">
        <f t="array" ref="F3364">IF(A3364=MAX(IF(ROUND($B$2:$B$3722,4)=ROUND(B3364,4),$A$2:$A$3722)),"Efficient","Inefficient")</f>
        <v>Inefficient</v>
      </c>
    </row>
    <row r="3365" spans="1:6" x14ac:dyDescent="0.25">
      <c r="A3365" cm="1">
        <f t="array" ref="A3365">INDEX('Portfolio Weights Returns'!$B$9:$BJ$69,
INT((ROW(A3364)-1)/COLUMNS('Portfolio Weights Returns'!$B$9:$BJ$69))+1,MOD(ROW(A3364)-1,COLUMNS('Portfolio Weights Returns'!$B$9:$BJ$69))+1)</f>
        <v>-7.7914448138792297E-4</v>
      </c>
      <c r="B3365">
        <v>2.5000000000000001E-2</v>
      </c>
      <c r="C3365" s="59">
        <v>-0.01</v>
      </c>
      <c r="D3365" s="59">
        <v>-0.28999999999999998</v>
      </c>
      <c r="E3365" s="60">
        <f t="shared" si="52"/>
        <v>1.3</v>
      </c>
      <c r="F3365" t="str" cm="1">
        <f t="array" ref="F3365">IF(A3365=MAX(IF(ROUND($B$2:$B$3722,4)=ROUND(B3365,4),$A$2:$A$3722)),"Efficient","Inefficient")</f>
        <v>Inefficient</v>
      </c>
    </row>
    <row r="3366" spans="1:6" x14ac:dyDescent="0.25">
      <c r="A3366" cm="1">
        <f t="array" ref="A3366">INDEX('Portfolio Weights Returns'!$B$9:$BJ$69,
INT((ROW(A3365)-1)/COLUMNS('Portfolio Weights Returns'!$B$9:$BJ$69))+1,MOD(ROW(A3365)-1,COLUMNS('Portfolio Weights Returns'!$B$9:$BJ$69))+1)</f>
        <v>-7.7236330742124371E-4</v>
      </c>
      <c r="B3366">
        <v>2.5000000000000001E-2</v>
      </c>
      <c r="C3366" s="59">
        <v>-0.03</v>
      </c>
      <c r="D3366" s="59">
        <v>-0.28000000000000003</v>
      </c>
      <c r="E3366" s="60">
        <f t="shared" si="52"/>
        <v>1.31</v>
      </c>
      <c r="F3366" t="str" cm="1">
        <f t="array" ref="F3366">IF(A3366=MAX(IF(ROUND($B$2:$B$3722,4)=ROUND(B3366,4),$A$2:$A$3722)),"Efficient","Inefficient")</f>
        <v>Inefficient</v>
      </c>
    </row>
    <row r="3367" spans="1:6" x14ac:dyDescent="0.25">
      <c r="A3367" cm="1">
        <f t="array" ref="A3367">INDEX('Portfolio Weights Returns'!$B$9:$BJ$69,
INT((ROW(A3366)-1)/COLUMNS('Portfolio Weights Returns'!$B$9:$BJ$69))+1,MOD(ROW(A3366)-1,COLUMNS('Portfolio Weights Returns'!$B$9:$BJ$69))+1)</f>
        <v>-7.6558213345456457E-4</v>
      </c>
      <c r="B3367">
        <v>2.5000000000000001E-2</v>
      </c>
      <c r="C3367" s="59">
        <v>-0.06</v>
      </c>
      <c r="D3367" s="59">
        <v>-0.26</v>
      </c>
      <c r="E3367" s="60">
        <f t="shared" si="52"/>
        <v>1.32</v>
      </c>
      <c r="F3367" t="str" cm="1">
        <f t="array" ref="F3367">IF(A3367=MAX(IF(ROUND($B$2:$B$3722,4)=ROUND(B3367,4),$A$2:$A$3722)),"Efficient","Inefficient")</f>
        <v>Inefficient</v>
      </c>
    </row>
    <row r="3368" spans="1:6" x14ac:dyDescent="0.25">
      <c r="A3368" cm="1">
        <f t="array" ref="A3368">INDEX('Portfolio Weights Returns'!$B$9:$BJ$69,
INT((ROW(A3367)-1)/COLUMNS('Portfolio Weights Returns'!$B$9:$BJ$69))+1,MOD(ROW(A3367)-1,COLUMNS('Portfolio Weights Returns'!$B$9:$BJ$69))+1)</f>
        <v>-7.5880095948788553E-4</v>
      </c>
      <c r="B3368">
        <v>2.5000000000000001E-2</v>
      </c>
      <c r="C3368" s="59">
        <v>-0.09</v>
      </c>
      <c r="D3368" s="59">
        <v>-0.24</v>
      </c>
      <c r="E3368" s="60">
        <f t="shared" si="52"/>
        <v>1.33</v>
      </c>
      <c r="F3368" t="str" cm="1">
        <f t="array" ref="F3368">IF(A3368=MAX(IF(ROUND($B$2:$B$3722,4)=ROUND(B3368,4),$A$2:$A$3722)),"Efficient","Inefficient")</f>
        <v>Inefficient</v>
      </c>
    </row>
    <row r="3369" spans="1:6" x14ac:dyDescent="0.25">
      <c r="A3369" cm="1">
        <f t="array" ref="A3369">INDEX('Portfolio Weights Returns'!$B$9:$BJ$69,
INT((ROW(A3368)-1)/COLUMNS('Portfolio Weights Returns'!$B$9:$BJ$69))+1,MOD(ROW(A3368)-1,COLUMNS('Portfolio Weights Returns'!$B$9:$BJ$69))+1)</f>
        <v>-7.5201978552120639E-4</v>
      </c>
      <c r="B3369">
        <v>2.5000000000000001E-2</v>
      </c>
      <c r="C3369" s="59">
        <v>-0.12</v>
      </c>
      <c r="D3369" s="59">
        <v>-0.22</v>
      </c>
      <c r="E3369" s="60">
        <f t="shared" si="52"/>
        <v>1.3399999999999999</v>
      </c>
      <c r="F3369" t="str" cm="1">
        <f t="array" ref="F3369">IF(A3369=MAX(IF(ROUND($B$2:$B$3722,4)=ROUND(B3369,4),$A$2:$A$3722)),"Efficient","Inefficient")</f>
        <v>Inefficient</v>
      </c>
    </row>
    <row r="3370" spans="1:6" x14ac:dyDescent="0.25">
      <c r="A3370" cm="1">
        <f t="array" ref="A3370">INDEX('Portfolio Weights Returns'!$B$9:$BJ$69,
INT((ROW(A3369)-1)/COLUMNS('Portfolio Weights Returns'!$B$9:$BJ$69))+1,MOD(ROW(A3369)-1,COLUMNS('Portfolio Weights Returns'!$B$9:$BJ$69))+1)</f>
        <v>-7.4523861155452735E-4</v>
      </c>
      <c r="B3370">
        <v>2.5000000000000001E-2</v>
      </c>
      <c r="C3370" s="59">
        <v>-0.13</v>
      </c>
      <c r="D3370" s="59">
        <v>-0.21</v>
      </c>
      <c r="E3370" s="60">
        <f t="shared" si="52"/>
        <v>1.3399999999999999</v>
      </c>
      <c r="F3370" t="str" cm="1">
        <f t="array" ref="F3370">IF(A3370=MAX(IF(ROUND($B$2:$B$3722,4)=ROUND(B3370,4),$A$2:$A$3722)),"Efficient","Inefficient")</f>
        <v>Inefficient</v>
      </c>
    </row>
    <row r="3371" spans="1:6" x14ac:dyDescent="0.25">
      <c r="A3371" cm="1">
        <f t="array" ref="A3371">INDEX('Portfolio Weights Returns'!$B$9:$BJ$69,
INT((ROW(A3370)-1)/COLUMNS('Portfolio Weights Returns'!$B$9:$BJ$69))+1,MOD(ROW(A3370)-1,COLUMNS('Portfolio Weights Returns'!$B$9:$BJ$69))+1)</f>
        <v>-7.3845743758784821E-4</v>
      </c>
      <c r="B3371">
        <v>2.5000000000000001E-2</v>
      </c>
      <c r="C3371" s="59">
        <v>-0.16</v>
      </c>
      <c r="D3371" s="59">
        <v>-0.19</v>
      </c>
      <c r="E3371" s="60">
        <f t="shared" si="52"/>
        <v>1.3499999999999999</v>
      </c>
      <c r="F3371" t="str" cm="1">
        <f t="array" ref="F3371">IF(A3371=MAX(IF(ROUND($B$2:$B$3722,4)=ROUND(B3371,4),$A$2:$A$3722)),"Efficient","Inefficient")</f>
        <v>Inefficient</v>
      </c>
    </row>
    <row r="3372" spans="1:6" x14ac:dyDescent="0.25">
      <c r="A3372" cm="1">
        <f t="array" ref="A3372">INDEX('Portfolio Weights Returns'!$B$9:$BJ$69,
INT((ROW(A3371)-1)/COLUMNS('Portfolio Weights Returns'!$B$9:$BJ$69))+1,MOD(ROW(A3371)-1,COLUMNS('Portfolio Weights Returns'!$B$9:$BJ$69))+1)</f>
        <v>-7.3167626362116917E-4</v>
      </c>
      <c r="B3372">
        <v>2.5000000000000001E-2</v>
      </c>
      <c r="C3372" s="59">
        <v>-0.17</v>
      </c>
      <c r="D3372" s="59">
        <v>-0.18</v>
      </c>
      <c r="E3372" s="60">
        <f t="shared" si="52"/>
        <v>1.3499999999999999</v>
      </c>
      <c r="F3372" t="str" cm="1">
        <f t="array" ref="F3372">IF(A3372=MAX(IF(ROUND($B$2:$B$3722,4)=ROUND(B3372,4),$A$2:$A$3722)),"Efficient","Inefficient")</f>
        <v>Inefficient</v>
      </c>
    </row>
    <row r="3373" spans="1:6" x14ac:dyDescent="0.25">
      <c r="A3373" cm="1">
        <f t="array" ref="A3373">INDEX('Portfolio Weights Returns'!$B$9:$BJ$69,
INT((ROW(A3372)-1)/COLUMNS('Portfolio Weights Returns'!$B$9:$BJ$69))+1,MOD(ROW(A3372)-1,COLUMNS('Portfolio Weights Returns'!$B$9:$BJ$69))+1)</f>
        <v>-7.2489508965449014E-4</v>
      </c>
      <c r="B3373">
        <v>2.5000000000000001E-2</v>
      </c>
      <c r="C3373" s="59">
        <v>-0.21</v>
      </c>
      <c r="D3373" s="59">
        <v>-0.15</v>
      </c>
      <c r="E3373" s="60">
        <f t="shared" si="52"/>
        <v>1.3599999999999999</v>
      </c>
      <c r="F3373" t="str" cm="1">
        <f t="array" ref="F3373">IF(A3373=MAX(IF(ROUND($B$2:$B$3722,4)=ROUND(B3373,4),$A$2:$A$3722)),"Efficient","Inefficient")</f>
        <v>Inefficient</v>
      </c>
    </row>
    <row r="3374" spans="1:6" x14ac:dyDescent="0.25">
      <c r="A3374" cm="1">
        <f t="array" ref="A3374">INDEX('Portfolio Weights Returns'!$B$9:$BJ$69,
INT((ROW(A3373)-1)/COLUMNS('Portfolio Weights Returns'!$B$9:$BJ$69))+1,MOD(ROW(A3373)-1,COLUMNS('Portfolio Weights Returns'!$B$9:$BJ$69))+1)</f>
        <v>-7.1811391568781088E-4</v>
      </c>
      <c r="B3374">
        <v>2.5000000000000001E-2</v>
      </c>
      <c r="C3374" s="59">
        <v>-0.22</v>
      </c>
      <c r="D3374" s="59">
        <v>-0.14000000000000001</v>
      </c>
      <c r="E3374" s="60">
        <f t="shared" si="52"/>
        <v>1.36</v>
      </c>
      <c r="F3374" t="str" cm="1">
        <f t="array" ref="F3374">IF(A3374=MAX(IF(ROUND($B$2:$B$3722,4)=ROUND(B3374,4),$A$2:$A$3722)),"Efficient","Inefficient")</f>
        <v>Inefficient</v>
      </c>
    </row>
    <row r="3375" spans="1:6" x14ac:dyDescent="0.25">
      <c r="A3375" cm="1">
        <f t="array" ref="A3375">INDEX('Portfolio Weights Returns'!$B$9:$BJ$69,
INT((ROW(A3374)-1)/COLUMNS('Portfolio Weights Returns'!$B$9:$BJ$69))+1,MOD(ROW(A3374)-1,COLUMNS('Portfolio Weights Returns'!$B$9:$BJ$69))+1)</f>
        <v>-7.1133274172113195E-4</v>
      </c>
      <c r="B3375">
        <v>2.5000000000000001E-2</v>
      </c>
      <c r="C3375" s="59">
        <v>-0.23</v>
      </c>
      <c r="D3375" s="59">
        <v>-0.13</v>
      </c>
      <c r="E3375" s="60">
        <f t="shared" si="52"/>
        <v>1.3599999999999999</v>
      </c>
      <c r="F3375" t="str" cm="1">
        <f t="array" ref="F3375">IF(A3375=MAX(IF(ROUND($B$2:$B$3722,4)=ROUND(B3375,4),$A$2:$A$3722)),"Efficient","Inefficient")</f>
        <v>Efficient</v>
      </c>
    </row>
    <row r="3376" spans="1:6" x14ac:dyDescent="0.25">
      <c r="A3376" cm="1">
        <f t="array" ref="A3376">INDEX('Portfolio Weights Returns'!$B$9:$BJ$69,
INT((ROW(A3375)-1)/COLUMNS('Portfolio Weights Returns'!$B$9:$BJ$69))+1,MOD(ROW(A3375)-1,COLUMNS('Portfolio Weights Returns'!$B$9:$BJ$69))+1)</f>
        <v>-7.0455156775445292E-4</v>
      </c>
      <c r="B3376">
        <v>2.5100000000000001E-2</v>
      </c>
      <c r="C3376" s="59">
        <v>0</v>
      </c>
      <c r="D3376" s="59">
        <v>-0.3</v>
      </c>
      <c r="E3376" s="60">
        <f t="shared" si="52"/>
        <v>1.3</v>
      </c>
      <c r="F3376" t="str" cm="1">
        <f t="array" ref="F3376">IF(A3376=MAX(IF(ROUND($B$2:$B$3722,4)=ROUND(B3376,4),$A$2:$A$3722)),"Efficient","Inefficient")</f>
        <v>Inefficient</v>
      </c>
    </row>
    <row r="3377" spans="1:6" x14ac:dyDescent="0.25">
      <c r="A3377" cm="1">
        <f t="array" ref="A3377">INDEX('Portfolio Weights Returns'!$B$9:$BJ$69,
INT((ROW(A3376)-1)/COLUMNS('Portfolio Weights Returns'!$B$9:$BJ$69))+1,MOD(ROW(A3376)-1,COLUMNS('Portfolio Weights Returns'!$B$9:$BJ$69))+1)</f>
        <v>-6.9777039378777367E-4</v>
      </c>
      <c r="B3377">
        <v>2.5100000000000001E-2</v>
      </c>
      <c r="C3377" s="59">
        <v>-0.02</v>
      </c>
      <c r="D3377" s="59">
        <v>-0.28999999999999998</v>
      </c>
      <c r="E3377" s="60">
        <f t="shared" si="52"/>
        <v>1.31</v>
      </c>
      <c r="F3377" t="str" cm="1">
        <f t="array" ref="F3377">IF(A3377=MAX(IF(ROUND($B$2:$B$3722,4)=ROUND(B3377,4),$A$2:$A$3722)),"Efficient","Inefficient")</f>
        <v>Inefficient</v>
      </c>
    </row>
    <row r="3378" spans="1:6" x14ac:dyDescent="0.25">
      <c r="A3378" cm="1">
        <f t="array" ref="A3378">INDEX('Portfolio Weights Returns'!$B$9:$BJ$69,
INT((ROW(A3377)-1)/COLUMNS('Portfolio Weights Returns'!$B$9:$BJ$69))+1,MOD(ROW(A3377)-1,COLUMNS('Portfolio Weights Returns'!$B$9:$BJ$69))+1)</f>
        <v>-6.9098921982109452E-4</v>
      </c>
      <c r="B3378">
        <v>2.5100000000000001E-2</v>
      </c>
      <c r="C3378" s="59">
        <v>-0.05</v>
      </c>
      <c r="D3378" s="59">
        <v>-0.27</v>
      </c>
      <c r="E3378" s="60">
        <f t="shared" si="52"/>
        <v>1.32</v>
      </c>
      <c r="F3378" t="str" cm="1">
        <f t="array" ref="F3378">IF(A3378=MAX(IF(ROUND($B$2:$B$3722,4)=ROUND(B3378,4),$A$2:$A$3722)),"Efficient","Inefficient")</f>
        <v>Inefficient</v>
      </c>
    </row>
    <row r="3379" spans="1:6" x14ac:dyDescent="0.25">
      <c r="A3379" cm="1">
        <f t="array" ref="A3379">INDEX('Portfolio Weights Returns'!$B$9:$BJ$69,
INT((ROW(A3378)-1)/COLUMNS('Portfolio Weights Returns'!$B$9:$BJ$69))+1,MOD(ROW(A3378)-1,COLUMNS('Portfolio Weights Returns'!$B$9:$BJ$69))+1)</f>
        <v>-6.8420804585441549E-4</v>
      </c>
      <c r="B3379">
        <v>2.5100000000000001E-2</v>
      </c>
      <c r="C3379" s="59">
        <v>-0.08</v>
      </c>
      <c r="D3379" s="59">
        <v>-0.25</v>
      </c>
      <c r="E3379" s="60">
        <f t="shared" si="52"/>
        <v>1.33</v>
      </c>
      <c r="F3379" t="str" cm="1">
        <f t="array" ref="F3379">IF(A3379=MAX(IF(ROUND($B$2:$B$3722,4)=ROUND(B3379,4),$A$2:$A$3722)),"Efficient","Inefficient")</f>
        <v>Inefficient</v>
      </c>
    </row>
    <row r="3380" spans="1:6" x14ac:dyDescent="0.25">
      <c r="A3380" cm="1">
        <f t="array" ref="A3380">INDEX('Portfolio Weights Returns'!$B$9:$BJ$69,
INT((ROW(A3379)-1)/COLUMNS('Portfolio Weights Returns'!$B$9:$BJ$69))+1,MOD(ROW(A3379)-1,COLUMNS('Portfolio Weights Returns'!$B$9:$BJ$69))+1)</f>
        <v>-6.7742687188773634E-4</v>
      </c>
      <c r="B3380">
        <v>2.5100000000000001E-2</v>
      </c>
      <c r="C3380" s="59">
        <v>-0.11</v>
      </c>
      <c r="D3380" s="59">
        <v>-0.23</v>
      </c>
      <c r="E3380" s="60">
        <f t="shared" si="52"/>
        <v>1.34</v>
      </c>
      <c r="F3380" t="str" cm="1">
        <f t="array" ref="F3380">IF(A3380=MAX(IF(ROUND($B$2:$B$3722,4)=ROUND(B3380,4),$A$2:$A$3722)),"Efficient","Inefficient")</f>
        <v>Inefficient</v>
      </c>
    </row>
    <row r="3381" spans="1:6" x14ac:dyDescent="0.25">
      <c r="A3381" cm="1">
        <f t="array" ref="A3381">INDEX('Portfolio Weights Returns'!$B$9:$BJ$69,
INT((ROW(A3380)-1)/COLUMNS('Portfolio Weights Returns'!$B$9:$BJ$69))+1,MOD(ROW(A3380)-1,COLUMNS('Portfolio Weights Returns'!$B$9:$BJ$69))+1)</f>
        <v>-6.706456979210573E-4</v>
      </c>
      <c r="B3381">
        <v>2.5100000000000001E-2</v>
      </c>
      <c r="C3381" s="59">
        <v>-0.14000000000000001</v>
      </c>
      <c r="D3381" s="59">
        <v>-0.21</v>
      </c>
      <c r="E3381" s="60">
        <f t="shared" si="52"/>
        <v>1.35</v>
      </c>
      <c r="F3381" t="str" cm="1">
        <f t="array" ref="F3381">IF(A3381=MAX(IF(ROUND($B$2:$B$3722,4)=ROUND(B3381,4),$A$2:$A$3722)),"Efficient","Inefficient")</f>
        <v>Inefficient</v>
      </c>
    </row>
    <row r="3382" spans="1:6" x14ac:dyDescent="0.25">
      <c r="A3382" cm="1">
        <f t="array" ref="A3382">INDEX('Portfolio Weights Returns'!$B$9:$BJ$69,
INT((ROW(A3381)-1)/COLUMNS('Portfolio Weights Returns'!$B$9:$BJ$69))+1,MOD(ROW(A3381)-1,COLUMNS('Portfolio Weights Returns'!$B$9:$BJ$69))+1)</f>
        <v>-6.6386452395437816E-4</v>
      </c>
      <c r="B3382">
        <v>2.5100000000000001E-2</v>
      </c>
      <c r="C3382" s="59">
        <v>-0.15</v>
      </c>
      <c r="D3382" s="59">
        <v>-0.2</v>
      </c>
      <c r="E3382" s="60">
        <f t="shared" si="52"/>
        <v>1.3499999999999999</v>
      </c>
      <c r="F3382" t="str" cm="1">
        <f t="array" ref="F3382">IF(A3382=MAX(IF(ROUND($B$2:$B$3722,4)=ROUND(B3382,4),$A$2:$A$3722)),"Efficient","Inefficient")</f>
        <v>Inefficient</v>
      </c>
    </row>
    <row r="3383" spans="1:6" x14ac:dyDescent="0.25">
      <c r="A3383" cm="1">
        <f t="array" ref="A3383">INDEX('Portfolio Weights Returns'!$B$9:$BJ$69,
INT((ROW(A3382)-1)/COLUMNS('Portfolio Weights Returns'!$B$9:$BJ$69))+1,MOD(ROW(A3382)-1,COLUMNS('Portfolio Weights Returns'!$B$9:$BJ$69))+1)</f>
        <v>-6.5708334998769912E-4</v>
      </c>
      <c r="B3383">
        <v>2.5100000000000001E-2</v>
      </c>
      <c r="C3383" s="59">
        <v>-0.18</v>
      </c>
      <c r="D3383" s="59">
        <v>-0.18</v>
      </c>
      <c r="E3383" s="60">
        <f t="shared" si="52"/>
        <v>1.3599999999999999</v>
      </c>
      <c r="F3383" t="str" cm="1">
        <f t="array" ref="F3383">IF(A3383=MAX(IF(ROUND($B$2:$B$3722,4)=ROUND(B3383,4),$A$2:$A$3722)),"Efficient","Inefficient")</f>
        <v>Inefficient</v>
      </c>
    </row>
    <row r="3384" spans="1:6" x14ac:dyDescent="0.25">
      <c r="A3384" cm="1">
        <f t="array" ref="A3384">INDEX('Portfolio Weights Returns'!$B$9:$BJ$69,
INT((ROW(A3383)-1)/COLUMNS('Portfolio Weights Returns'!$B$9:$BJ$69))+1,MOD(ROW(A3383)-1,COLUMNS('Portfolio Weights Returns'!$B$9:$BJ$69))+1)</f>
        <v>-6.5030217602101987E-4</v>
      </c>
      <c r="B3384">
        <v>2.5100000000000001E-2</v>
      </c>
      <c r="C3384" s="59">
        <v>-0.19</v>
      </c>
      <c r="D3384" s="59">
        <v>-0.17</v>
      </c>
      <c r="E3384" s="60">
        <f t="shared" si="52"/>
        <v>1.3599999999999999</v>
      </c>
      <c r="F3384" t="str" cm="1">
        <f t="array" ref="F3384">IF(A3384=MAX(IF(ROUND($B$2:$B$3722,4)=ROUND(B3384,4),$A$2:$A$3722)),"Efficient","Inefficient")</f>
        <v>Inefficient</v>
      </c>
    </row>
    <row r="3385" spans="1:6" x14ac:dyDescent="0.25">
      <c r="A3385" cm="1">
        <f t="array" ref="A3385">INDEX('Portfolio Weights Returns'!$B$9:$BJ$69,
INT((ROW(A3384)-1)/COLUMNS('Portfolio Weights Returns'!$B$9:$BJ$69))+1,MOD(ROW(A3384)-1,COLUMNS('Portfolio Weights Returns'!$B$9:$BJ$69))+1)</f>
        <v>-6.4352100205434084E-4</v>
      </c>
      <c r="B3385">
        <v>2.5100000000000001E-2</v>
      </c>
      <c r="C3385" s="59">
        <v>-0.2</v>
      </c>
      <c r="D3385" s="59">
        <v>-0.16</v>
      </c>
      <c r="E3385" s="60">
        <f t="shared" si="52"/>
        <v>1.3599999999999999</v>
      </c>
      <c r="F3385" t="str" cm="1">
        <f t="array" ref="F3385">IF(A3385=MAX(IF(ROUND($B$2:$B$3722,4)=ROUND(B3385,4),$A$2:$A$3722)),"Efficient","Inefficient")</f>
        <v>Inefficient</v>
      </c>
    </row>
    <row r="3386" spans="1:6" x14ac:dyDescent="0.25">
      <c r="A3386" cm="1">
        <f t="array" ref="A3386">INDEX('Portfolio Weights Returns'!$B$9:$BJ$69,
INT((ROW(A3385)-1)/COLUMNS('Portfolio Weights Returns'!$B$9:$BJ$69))+1,MOD(ROW(A3385)-1,COLUMNS('Portfolio Weights Returns'!$B$9:$BJ$69))+1)</f>
        <v>-6.3673982808766169E-4</v>
      </c>
      <c r="B3386">
        <v>2.5100000000000001E-2</v>
      </c>
      <c r="C3386" s="59">
        <v>-0.24</v>
      </c>
      <c r="D3386" s="59">
        <v>-0.13</v>
      </c>
      <c r="E3386" s="60">
        <f t="shared" si="52"/>
        <v>1.3699999999999999</v>
      </c>
      <c r="F3386" t="str" cm="1">
        <f t="array" ref="F3386">IF(A3386=MAX(IF(ROUND($B$2:$B$3722,4)=ROUND(B3386,4),$A$2:$A$3722)),"Efficient","Inefficient")</f>
        <v>Inefficient</v>
      </c>
    </row>
    <row r="3387" spans="1:6" x14ac:dyDescent="0.25">
      <c r="A3387" cm="1">
        <f t="array" ref="A3387">INDEX('Portfolio Weights Returns'!$B$9:$BJ$69,
INT((ROW(A3386)-1)/COLUMNS('Portfolio Weights Returns'!$B$9:$BJ$69))+1,MOD(ROW(A3386)-1,COLUMNS('Portfolio Weights Returns'!$B$9:$BJ$69))+1)</f>
        <v>-6.2995865412098255E-4</v>
      </c>
      <c r="B3387">
        <v>2.5100000000000001E-2</v>
      </c>
      <c r="C3387" s="59">
        <v>-0.25</v>
      </c>
      <c r="D3387" s="59">
        <v>-0.12</v>
      </c>
      <c r="E3387" s="60">
        <f t="shared" si="52"/>
        <v>1.37</v>
      </c>
      <c r="F3387" t="str" cm="1">
        <f t="array" ref="F3387">IF(A3387=MAX(IF(ROUND($B$2:$B$3722,4)=ROUND(B3387,4),$A$2:$A$3722)),"Efficient","Inefficient")</f>
        <v>Inefficient</v>
      </c>
    </row>
    <row r="3388" spans="1:6" x14ac:dyDescent="0.25">
      <c r="A3388" cm="1">
        <f t="array" ref="A3388">INDEX('Portfolio Weights Returns'!$B$9:$BJ$69,
INT((ROW(A3387)-1)/COLUMNS('Portfolio Weights Returns'!$B$9:$BJ$69))+1,MOD(ROW(A3387)-1,COLUMNS('Portfolio Weights Returns'!$B$9:$BJ$69))+1)</f>
        <v>-6.2317748015430351E-4</v>
      </c>
      <c r="B3388">
        <v>2.5100000000000001E-2</v>
      </c>
      <c r="C3388" s="59">
        <v>-0.26</v>
      </c>
      <c r="D3388" s="59">
        <v>-0.11</v>
      </c>
      <c r="E3388" s="60">
        <f t="shared" si="52"/>
        <v>1.37</v>
      </c>
      <c r="F3388" t="str" cm="1">
        <f t="array" ref="F3388">IF(A3388=MAX(IF(ROUND($B$2:$B$3722,4)=ROUND(B3388,4),$A$2:$A$3722)),"Efficient","Inefficient")</f>
        <v>Inefficient</v>
      </c>
    </row>
    <row r="3389" spans="1:6" x14ac:dyDescent="0.25">
      <c r="A3389" cm="1">
        <f t="array" ref="A3389">INDEX('Portfolio Weights Returns'!$B$9:$BJ$69,
INT((ROW(A3388)-1)/COLUMNS('Portfolio Weights Returns'!$B$9:$BJ$69))+1,MOD(ROW(A3388)-1,COLUMNS('Portfolio Weights Returns'!$B$9:$BJ$69))+1)</f>
        <v>-6.1639630618762437E-4</v>
      </c>
      <c r="B3389">
        <v>2.5100000000000001E-2</v>
      </c>
      <c r="C3389" s="59">
        <v>-0.27</v>
      </c>
      <c r="D3389" s="59">
        <v>-0.1</v>
      </c>
      <c r="E3389" s="60">
        <f t="shared" si="52"/>
        <v>1.37</v>
      </c>
      <c r="F3389" t="str" cm="1">
        <f t="array" ref="F3389">IF(A3389=MAX(IF(ROUND($B$2:$B$3722,4)=ROUND(B3389,4),$A$2:$A$3722)),"Efficient","Inefficient")</f>
        <v>Inefficient</v>
      </c>
    </row>
    <row r="3390" spans="1:6" x14ac:dyDescent="0.25">
      <c r="A3390" cm="1">
        <f t="array" ref="A3390">INDEX('Portfolio Weights Returns'!$B$9:$BJ$69,
INT((ROW(A3389)-1)/COLUMNS('Portfolio Weights Returns'!$B$9:$BJ$69))+1,MOD(ROW(A3389)-1,COLUMNS('Portfolio Weights Returns'!$B$9:$BJ$69))+1)</f>
        <v>-6.0961513222094533E-4</v>
      </c>
      <c r="B3390">
        <v>2.5100000000000001E-2</v>
      </c>
      <c r="C3390" s="59">
        <v>-0.28000000000000003</v>
      </c>
      <c r="D3390" s="59">
        <v>-0.09</v>
      </c>
      <c r="E3390" s="60">
        <f t="shared" si="52"/>
        <v>1.37</v>
      </c>
      <c r="F3390" t="str" cm="1">
        <f t="array" ref="F3390">IF(A3390=MAX(IF(ROUND($B$2:$B$3722,4)=ROUND(B3390,4),$A$2:$A$3722)),"Efficient","Inefficient")</f>
        <v>Inefficient</v>
      </c>
    </row>
    <row r="3391" spans="1:6" x14ac:dyDescent="0.25">
      <c r="A3391" cm="1">
        <f t="array" ref="A3391">INDEX('Portfolio Weights Returns'!$B$9:$BJ$69,
INT((ROW(A3390)-1)/COLUMNS('Portfolio Weights Returns'!$B$9:$BJ$69))+1,MOD(ROW(A3390)-1,COLUMNS('Portfolio Weights Returns'!$B$9:$BJ$69))+1)</f>
        <v>-6.0283395825426608E-4</v>
      </c>
      <c r="B3391">
        <v>2.5100000000000001E-2</v>
      </c>
      <c r="C3391" s="59">
        <v>-0.28999999999999998</v>
      </c>
      <c r="D3391" s="59">
        <v>-0.08</v>
      </c>
      <c r="E3391" s="60">
        <f t="shared" si="52"/>
        <v>1.37</v>
      </c>
      <c r="F3391" t="str" cm="1">
        <f t="array" ref="F3391">IF(A3391=MAX(IF(ROUND($B$2:$B$3722,4)=ROUND(B3391,4),$A$2:$A$3722)),"Efficient","Inefficient")</f>
        <v>Inefficient</v>
      </c>
    </row>
    <row r="3392" spans="1:6" x14ac:dyDescent="0.25">
      <c r="A3392" cm="1">
        <f t="array" ref="A3392">INDEX('Portfolio Weights Returns'!$B$9:$BJ$69,
INT((ROW(A3391)-1)/COLUMNS('Portfolio Weights Returns'!$B$9:$BJ$69))+1,MOD(ROW(A3391)-1,COLUMNS('Portfolio Weights Returns'!$B$9:$BJ$69))+1)</f>
        <v>-5.9605278428758704E-4</v>
      </c>
      <c r="B3392">
        <v>2.5100000000000001E-2</v>
      </c>
      <c r="C3392" s="59">
        <v>-0.3</v>
      </c>
      <c r="D3392" s="59">
        <v>-7.0000000000000007E-2</v>
      </c>
      <c r="E3392" s="60">
        <f t="shared" si="52"/>
        <v>1.37</v>
      </c>
      <c r="F3392" t="str" cm="1">
        <f t="array" ref="F3392">IF(A3392=MAX(IF(ROUND($B$2:$B$3722,4)=ROUND(B3392,4),$A$2:$A$3722)),"Efficient","Inefficient")</f>
        <v>Efficient</v>
      </c>
    </row>
    <row r="3393" spans="1:6" x14ac:dyDescent="0.25">
      <c r="A3393" cm="1">
        <f t="array" ref="A3393">INDEX('Portfolio Weights Returns'!$B$9:$BJ$69,
INT((ROW(A3392)-1)/COLUMNS('Portfolio Weights Returns'!$B$9:$BJ$69))+1,MOD(ROW(A3392)-1,COLUMNS('Portfolio Weights Returns'!$B$9:$BJ$69))+1)</f>
        <v>-5.892716103209079E-4</v>
      </c>
      <c r="B3393">
        <v>2.52E-2</v>
      </c>
      <c r="C3393" s="59">
        <v>-0.01</v>
      </c>
      <c r="D3393" s="59">
        <v>-0.3</v>
      </c>
      <c r="E3393" s="60">
        <f t="shared" si="52"/>
        <v>1.31</v>
      </c>
      <c r="F3393" t="str" cm="1">
        <f t="array" ref="F3393">IF(A3393=MAX(IF(ROUND($B$2:$B$3722,4)=ROUND(B3393,4),$A$2:$A$3722)),"Efficient","Inefficient")</f>
        <v>Inefficient</v>
      </c>
    </row>
    <row r="3394" spans="1:6" x14ac:dyDescent="0.25">
      <c r="A3394" cm="1">
        <f t="array" ref="A3394">INDEX('Portfolio Weights Returns'!$B$9:$BJ$69,
INT((ROW(A3393)-1)/COLUMNS('Portfolio Weights Returns'!$B$9:$BJ$69))+1,MOD(ROW(A3393)-1,COLUMNS('Portfolio Weights Returns'!$B$9:$BJ$69))+1)</f>
        <v>-5.8249043635422886E-4</v>
      </c>
      <c r="B3394">
        <v>2.52E-2</v>
      </c>
      <c r="C3394" s="59">
        <v>-0.04</v>
      </c>
      <c r="D3394" s="59">
        <v>-0.28000000000000003</v>
      </c>
      <c r="E3394" s="60">
        <f t="shared" ref="E3394:E3457" si="53">1-D3394-C3394</f>
        <v>1.32</v>
      </c>
      <c r="F3394" t="str" cm="1">
        <f t="array" ref="F3394">IF(A3394=MAX(IF(ROUND($B$2:$B$3722,4)=ROUND(B3394,4),$A$2:$A$3722)),"Efficient","Inefficient")</f>
        <v>Inefficient</v>
      </c>
    </row>
    <row r="3395" spans="1:6" x14ac:dyDescent="0.25">
      <c r="A3395" cm="1">
        <f t="array" ref="A3395">INDEX('Portfolio Weights Returns'!$B$9:$BJ$69,
INT((ROW(A3394)-1)/COLUMNS('Portfolio Weights Returns'!$B$9:$BJ$69))+1,MOD(ROW(A3394)-1,COLUMNS('Portfolio Weights Returns'!$B$9:$BJ$69))+1)</f>
        <v>-5.7570926238754982E-4</v>
      </c>
      <c r="B3395">
        <v>2.52E-2</v>
      </c>
      <c r="C3395" s="59">
        <v>-7.0000000000000007E-2</v>
      </c>
      <c r="D3395" s="59">
        <v>-0.26</v>
      </c>
      <c r="E3395" s="60">
        <f t="shared" si="53"/>
        <v>1.33</v>
      </c>
      <c r="F3395" t="str" cm="1">
        <f t="array" ref="F3395">IF(A3395=MAX(IF(ROUND($B$2:$B$3722,4)=ROUND(B3395,4),$A$2:$A$3722)),"Efficient","Inefficient")</f>
        <v>Inefficient</v>
      </c>
    </row>
    <row r="3396" spans="1:6" x14ac:dyDescent="0.25">
      <c r="A3396" cm="1">
        <f t="array" ref="A3396">INDEX('Portfolio Weights Returns'!$B$9:$BJ$69,
INT((ROW(A3395)-1)/COLUMNS('Portfolio Weights Returns'!$B$9:$BJ$69))+1,MOD(ROW(A3395)-1,COLUMNS('Portfolio Weights Returns'!$B$9:$BJ$69))+1)</f>
        <v>-5.6892808842087068E-4</v>
      </c>
      <c r="B3396">
        <v>2.52E-2</v>
      </c>
      <c r="C3396" s="59">
        <v>-0.1</v>
      </c>
      <c r="D3396" s="59">
        <v>-0.24</v>
      </c>
      <c r="E3396" s="60">
        <f t="shared" si="53"/>
        <v>1.34</v>
      </c>
      <c r="F3396" t="str" cm="1">
        <f t="array" ref="F3396">IF(A3396=MAX(IF(ROUND($B$2:$B$3722,4)=ROUND(B3396,4),$A$2:$A$3722)),"Efficient","Inefficient")</f>
        <v>Inefficient</v>
      </c>
    </row>
    <row r="3397" spans="1:6" x14ac:dyDescent="0.25">
      <c r="A3397" cm="1">
        <f t="array" ref="A3397">INDEX('Portfolio Weights Returns'!$B$9:$BJ$69,
INT((ROW(A3396)-1)/COLUMNS('Portfolio Weights Returns'!$B$9:$BJ$69))+1,MOD(ROW(A3396)-1,COLUMNS('Portfolio Weights Returns'!$B$9:$BJ$69))+1)</f>
        <v>-5.6214691445419154E-4</v>
      </c>
      <c r="B3397">
        <v>2.52E-2</v>
      </c>
      <c r="C3397" s="59">
        <v>-0.13</v>
      </c>
      <c r="D3397" s="59">
        <v>-0.22</v>
      </c>
      <c r="E3397" s="60">
        <f t="shared" si="53"/>
        <v>1.35</v>
      </c>
      <c r="F3397" t="str" cm="1">
        <f t="array" ref="F3397">IF(A3397=MAX(IF(ROUND($B$2:$B$3722,4)=ROUND(B3397,4),$A$2:$A$3722)),"Efficient","Inefficient")</f>
        <v>Inefficient</v>
      </c>
    </row>
    <row r="3398" spans="1:6" x14ac:dyDescent="0.25">
      <c r="A3398" cm="1">
        <f t="array" ref="A3398">INDEX('Portfolio Weights Returns'!$B$9:$BJ$69,
INT((ROW(A3397)-1)/COLUMNS('Portfolio Weights Returns'!$B$9:$BJ$69))+1,MOD(ROW(A3397)-1,COLUMNS('Portfolio Weights Returns'!$B$9:$BJ$69))+1)</f>
        <v>-5.5536574048751239E-4</v>
      </c>
      <c r="B3398">
        <v>2.52E-2</v>
      </c>
      <c r="C3398" s="59">
        <v>-0.17</v>
      </c>
      <c r="D3398" s="59">
        <v>-0.19</v>
      </c>
      <c r="E3398" s="60">
        <f t="shared" si="53"/>
        <v>1.3599999999999999</v>
      </c>
      <c r="F3398" t="str" cm="1">
        <f t="array" ref="F3398">IF(A3398=MAX(IF(ROUND($B$2:$B$3722,4)=ROUND(B3398,4),$A$2:$A$3722)),"Efficient","Inefficient")</f>
        <v>Inefficient</v>
      </c>
    </row>
    <row r="3399" spans="1:6" x14ac:dyDescent="0.25">
      <c r="A3399" cm="1">
        <f t="array" ref="A3399">INDEX('Portfolio Weights Returns'!$B$9:$BJ$69,
INT((ROW(A3398)-1)/COLUMNS('Portfolio Weights Returns'!$B$9:$BJ$69))+1,MOD(ROW(A3398)-1,COLUMNS('Portfolio Weights Returns'!$B$9:$BJ$69))+1)</f>
        <v>-5.4858456652083336E-4</v>
      </c>
      <c r="B3399">
        <v>2.52E-2</v>
      </c>
      <c r="C3399" s="59">
        <v>-0.21</v>
      </c>
      <c r="D3399" s="59">
        <v>-0.16</v>
      </c>
      <c r="E3399" s="60">
        <f t="shared" si="53"/>
        <v>1.3699999999999999</v>
      </c>
      <c r="F3399" t="str" cm="1">
        <f t="array" ref="F3399">IF(A3399=MAX(IF(ROUND($B$2:$B$3722,4)=ROUND(B3399,4),$A$2:$A$3722)),"Efficient","Inefficient")</f>
        <v>Inefficient</v>
      </c>
    </row>
    <row r="3400" spans="1:6" x14ac:dyDescent="0.25">
      <c r="A3400" cm="1">
        <f t="array" ref="A3400">INDEX('Portfolio Weights Returns'!$B$9:$BJ$69,
INT((ROW(A3399)-1)/COLUMNS('Portfolio Weights Returns'!$B$9:$BJ$69))+1,MOD(ROW(A3399)-1,COLUMNS('Portfolio Weights Returns'!$B$9:$BJ$69))+1)</f>
        <v>-5.4180339255415421E-4</v>
      </c>
      <c r="B3400">
        <v>2.52E-2</v>
      </c>
      <c r="C3400" s="59">
        <v>-0.22</v>
      </c>
      <c r="D3400" s="59">
        <v>-0.15</v>
      </c>
      <c r="E3400" s="60">
        <f t="shared" si="53"/>
        <v>1.3699999999999999</v>
      </c>
      <c r="F3400" t="str" cm="1">
        <f t="array" ref="F3400">IF(A3400=MAX(IF(ROUND($B$2:$B$3722,4)=ROUND(B3400,4),$A$2:$A$3722)),"Efficient","Inefficient")</f>
        <v>Inefficient</v>
      </c>
    </row>
    <row r="3401" spans="1:6" x14ac:dyDescent="0.25">
      <c r="A3401" cm="1">
        <f t="array" ref="A3401">INDEX('Portfolio Weights Returns'!$B$9:$BJ$69,
INT((ROW(A3400)-1)/COLUMNS('Portfolio Weights Returns'!$B$9:$BJ$69))+1,MOD(ROW(A3400)-1,COLUMNS('Portfolio Weights Returns'!$B$9:$BJ$69))+1)</f>
        <v>-5.3502221858747518E-4</v>
      </c>
      <c r="B3401">
        <v>2.52E-2</v>
      </c>
      <c r="C3401" s="59">
        <v>-0.23</v>
      </c>
      <c r="D3401" s="59">
        <v>-0.14000000000000001</v>
      </c>
      <c r="E3401" s="60">
        <f t="shared" si="53"/>
        <v>1.37</v>
      </c>
      <c r="F3401" t="str" cm="1">
        <f t="array" ref="F3401">IF(A3401=MAX(IF(ROUND($B$2:$B$3722,4)=ROUND(B3401,4),$A$2:$A$3722)),"Efficient","Inefficient")</f>
        <v>Inefficient</v>
      </c>
    </row>
    <row r="3402" spans="1:6" x14ac:dyDescent="0.25">
      <c r="A3402" cm="1">
        <f t="array" ref="A3402">INDEX('Portfolio Weights Returns'!$B$9:$BJ$69,
INT((ROW(A3401)-1)/COLUMNS('Portfolio Weights Returns'!$B$9:$BJ$69))+1,MOD(ROW(A3401)-1,COLUMNS('Portfolio Weights Returns'!$B$9:$BJ$69))+1)</f>
        <v>-5.2824104462079603E-4</v>
      </c>
      <c r="B3402">
        <v>2.52E-2</v>
      </c>
      <c r="C3402" s="59">
        <v>-0.28999999999999998</v>
      </c>
      <c r="D3402" s="59">
        <v>-0.09</v>
      </c>
      <c r="E3402" s="60">
        <f t="shared" si="53"/>
        <v>1.3800000000000001</v>
      </c>
      <c r="F3402" t="str" cm="1">
        <f t="array" ref="F3402">IF(A3402=MAX(IF(ROUND($B$2:$B$3722,4)=ROUND(B3402,4),$A$2:$A$3722)),"Efficient","Inefficient")</f>
        <v>Inefficient</v>
      </c>
    </row>
    <row r="3403" spans="1:6" x14ac:dyDescent="0.25">
      <c r="A3403" cm="1">
        <f t="array" ref="A3403">INDEX('Portfolio Weights Returns'!$B$9:$BJ$69,
INT((ROW(A3402)-1)/COLUMNS('Portfolio Weights Returns'!$B$9:$BJ$69))+1,MOD(ROW(A3402)-1,COLUMNS('Portfolio Weights Returns'!$B$9:$BJ$69))+1)</f>
        <v>-5.2145987065411689E-4</v>
      </c>
      <c r="B3403">
        <v>2.52E-2</v>
      </c>
      <c r="C3403" s="59">
        <v>-0.3</v>
      </c>
      <c r="D3403" s="59">
        <v>-0.08</v>
      </c>
      <c r="E3403" s="60">
        <f t="shared" si="53"/>
        <v>1.3800000000000001</v>
      </c>
      <c r="F3403" t="str" cm="1">
        <f t="array" ref="F3403">IF(A3403=MAX(IF(ROUND($B$2:$B$3722,4)=ROUND(B3403,4),$A$2:$A$3722)),"Efficient","Inefficient")</f>
        <v>Efficient</v>
      </c>
    </row>
    <row r="3404" spans="1:6" x14ac:dyDescent="0.25">
      <c r="A3404" cm="1">
        <f t="array" ref="A3404">INDEX('Portfolio Weights Returns'!$B$9:$BJ$69,
INT((ROW(A3403)-1)/COLUMNS('Portfolio Weights Returns'!$B$9:$BJ$69))+1,MOD(ROW(A3403)-1,COLUMNS('Portfolio Weights Returns'!$B$9:$BJ$69))+1)</f>
        <v>-5.1467869668743785E-4</v>
      </c>
      <c r="B3404">
        <v>2.53E-2</v>
      </c>
      <c r="C3404" s="59">
        <v>-0.03</v>
      </c>
      <c r="D3404" s="59">
        <v>-0.28999999999999998</v>
      </c>
      <c r="E3404" s="60">
        <f t="shared" si="53"/>
        <v>1.32</v>
      </c>
      <c r="F3404" t="str" cm="1">
        <f t="array" ref="F3404">IF(A3404=MAX(IF(ROUND($B$2:$B$3722,4)=ROUND(B3404,4),$A$2:$A$3722)),"Efficient","Inefficient")</f>
        <v>Inefficient</v>
      </c>
    </row>
    <row r="3405" spans="1:6" x14ac:dyDescent="0.25">
      <c r="A3405" cm="1">
        <f t="array" ref="A3405">INDEX('Portfolio Weights Returns'!$B$9:$BJ$69,
INT((ROW(A3404)-1)/COLUMNS('Portfolio Weights Returns'!$B$9:$BJ$69))+1,MOD(ROW(A3404)-1,COLUMNS('Portfolio Weights Returns'!$B$9:$BJ$69))+1)</f>
        <v>-5.0789752272075881E-4</v>
      </c>
      <c r="B3405">
        <v>2.53E-2</v>
      </c>
      <c r="C3405" s="59">
        <v>-0.06</v>
      </c>
      <c r="D3405" s="59">
        <v>-0.27</v>
      </c>
      <c r="E3405" s="60">
        <f t="shared" si="53"/>
        <v>1.33</v>
      </c>
      <c r="F3405" t="str" cm="1">
        <f t="array" ref="F3405">IF(A3405=MAX(IF(ROUND($B$2:$B$3722,4)=ROUND(B3405,4),$A$2:$A$3722)),"Efficient","Inefficient")</f>
        <v>Inefficient</v>
      </c>
    </row>
    <row r="3406" spans="1:6" x14ac:dyDescent="0.25">
      <c r="A3406" cm="1">
        <f t="array" ref="A3406">INDEX('Portfolio Weights Returns'!$B$9:$BJ$69,
INT((ROW(A3405)-1)/COLUMNS('Portfolio Weights Returns'!$B$9:$BJ$69))+1,MOD(ROW(A3405)-1,COLUMNS('Portfolio Weights Returns'!$B$9:$BJ$69))+1)</f>
        <v>-5.0111634875407967E-4</v>
      </c>
      <c r="B3406">
        <v>2.53E-2</v>
      </c>
      <c r="C3406" s="59">
        <v>-0.08</v>
      </c>
      <c r="D3406" s="59">
        <v>-0.26</v>
      </c>
      <c r="E3406" s="60">
        <f t="shared" si="53"/>
        <v>1.34</v>
      </c>
      <c r="F3406" t="str" cm="1">
        <f t="array" ref="F3406">IF(A3406=MAX(IF(ROUND($B$2:$B$3722,4)=ROUND(B3406,4),$A$2:$A$3722)),"Efficient","Inefficient")</f>
        <v>Inefficient</v>
      </c>
    </row>
    <row r="3407" spans="1:6" x14ac:dyDescent="0.25">
      <c r="A3407" cm="1">
        <f t="array" ref="A3407">INDEX('Portfolio Weights Returns'!$B$9:$BJ$69,
INT((ROW(A3406)-1)/COLUMNS('Portfolio Weights Returns'!$B$9:$BJ$69))+1,MOD(ROW(A3406)-1,COLUMNS('Portfolio Weights Returns'!$B$9:$BJ$69))+1)</f>
        <v>-4.9433517478740053E-4</v>
      </c>
      <c r="B3407">
        <v>2.53E-2</v>
      </c>
      <c r="C3407" s="59">
        <v>-0.09</v>
      </c>
      <c r="D3407" s="59">
        <v>-0.25</v>
      </c>
      <c r="E3407" s="60">
        <f t="shared" si="53"/>
        <v>1.34</v>
      </c>
      <c r="F3407" t="str" cm="1">
        <f t="array" ref="F3407">IF(A3407=MAX(IF(ROUND($B$2:$B$3722,4)=ROUND(B3407,4),$A$2:$A$3722)),"Efficient","Inefficient")</f>
        <v>Inefficient</v>
      </c>
    </row>
    <row r="3408" spans="1:6" x14ac:dyDescent="0.25">
      <c r="A3408" cm="1">
        <f t="array" ref="A3408">INDEX('Portfolio Weights Returns'!$B$9:$BJ$69,
INT((ROW(A3407)-1)/COLUMNS('Portfolio Weights Returns'!$B$9:$BJ$69))+1,MOD(ROW(A3407)-1,COLUMNS('Portfolio Weights Returns'!$B$9:$BJ$69))+1)</f>
        <v>-4.8755400082072144E-4</v>
      </c>
      <c r="B3408">
        <v>2.53E-2</v>
      </c>
      <c r="C3408" s="59">
        <v>-0.11</v>
      </c>
      <c r="D3408" s="59">
        <v>-0.24</v>
      </c>
      <c r="E3408" s="60">
        <f t="shared" si="53"/>
        <v>1.35</v>
      </c>
      <c r="F3408" t="str" cm="1">
        <f t="array" ref="F3408">IF(A3408=MAX(IF(ROUND($B$2:$B$3722,4)=ROUND(B3408,4),$A$2:$A$3722)),"Efficient","Inefficient")</f>
        <v>Inefficient</v>
      </c>
    </row>
    <row r="3409" spans="1:6" x14ac:dyDescent="0.25">
      <c r="A3409" cm="1">
        <f t="array" ref="A3409">INDEX('Portfolio Weights Returns'!$B$9:$BJ$69,
INT((ROW(A3408)-1)/COLUMNS('Portfolio Weights Returns'!$B$9:$BJ$69))+1,MOD(ROW(A3408)-1,COLUMNS('Portfolio Weights Returns'!$B$9:$BJ$69))+1)</f>
        <v>-4.8077282685404235E-4</v>
      </c>
      <c r="B3409">
        <v>2.53E-2</v>
      </c>
      <c r="C3409" s="59">
        <v>-0.12</v>
      </c>
      <c r="D3409" s="59">
        <v>-0.23</v>
      </c>
      <c r="E3409" s="60">
        <f t="shared" si="53"/>
        <v>1.35</v>
      </c>
      <c r="F3409" t="str" cm="1">
        <f t="array" ref="F3409">IF(A3409=MAX(IF(ROUND($B$2:$B$3722,4)=ROUND(B3409,4),$A$2:$A$3722)),"Efficient","Inefficient")</f>
        <v>Inefficient</v>
      </c>
    </row>
    <row r="3410" spans="1:6" x14ac:dyDescent="0.25">
      <c r="A3410" cm="1">
        <f t="array" ref="A3410">INDEX('Portfolio Weights Returns'!$B$9:$BJ$69,
INT((ROW(A3409)-1)/COLUMNS('Portfolio Weights Returns'!$B$9:$BJ$69))+1,MOD(ROW(A3409)-1,COLUMNS('Portfolio Weights Returns'!$B$9:$BJ$69))+1)</f>
        <v>-4.739916528873632E-4</v>
      </c>
      <c r="B3410">
        <v>2.53E-2</v>
      </c>
      <c r="C3410" s="59">
        <v>-0.15</v>
      </c>
      <c r="D3410" s="59">
        <v>-0.21</v>
      </c>
      <c r="E3410" s="60">
        <f t="shared" si="53"/>
        <v>1.3599999999999999</v>
      </c>
      <c r="F3410" t="str" cm="1">
        <f t="array" ref="F3410">IF(A3410=MAX(IF(ROUND($B$2:$B$3722,4)=ROUND(B3410,4),$A$2:$A$3722)),"Efficient","Inefficient")</f>
        <v>Inefficient</v>
      </c>
    </row>
    <row r="3411" spans="1:6" x14ac:dyDescent="0.25">
      <c r="A3411" cm="1">
        <f t="array" ref="A3411">INDEX('Portfolio Weights Returns'!$B$9:$BJ$69,
INT((ROW(A3410)-1)/COLUMNS('Portfolio Weights Returns'!$B$9:$BJ$69))+1,MOD(ROW(A3410)-1,COLUMNS('Portfolio Weights Returns'!$B$9:$BJ$69))+1)</f>
        <v>-4.6721047892068406E-4</v>
      </c>
      <c r="B3411">
        <v>2.53E-2</v>
      </c>
      <c r="C3411" s="59">
        <v>-0.16</v>
      </c>
      <c r="D3411" s="59">
        <v>-0.2</v>
      </c>
      <c r="E3411" s="60">
        <f t="shared" si="53"/>
        <v>1.3599999999999999</v>
      </c>
      <c r="F3411" t="str" cm="1">
        <f t="array" ref="F3411">IF(A3411=MAX(IF(ROUND($B$2:$B$3722,4)=ROUND(B3411,4),$A$2:$A$3722)),"Efficient","Inefficient")</f>
        <v>Inefficient</v>
      </c>
    </row>
    <row r="3412" spans="1:6" x14ac:dyDescent="0.25">
      <c r="A3412" cm="1">
        <f t="array" ref="A3412">INDEX('Portfolio Weights Returns'!$B$9:$BJ$69,
INT((ROW(A3411)-1)/COLUMNS('Portfolio Weights Returns'!$B$9:$BJ$69))+1,MOD(ROW(A3411)-1,COLUMNS('Portfolio Weights Returns'!$B$9:$BJ$69))+1)</f>
        <v>-4.6042930495400497E-4</v>
      </c>
      <c r="B3412">
        <v>2.53E-2</v>
      </c>
      <c r="C3412" s="59">
        <v>-0.19</v>
      </c>
      <c r="D3412" s="59">
        <v>-0.18</v>
      </c>
      <c r="E3412" s="60">
        <f t="shared" si="53"/>
        <v>1.3699999999999999</v>
      </c>
      <c r="F3412" t="str" cm="1">
        <f t="array" ref="F3412">IF(A3412=MAX(IF(ROUND($B$2:$B$3722,4)=ROUND(B3412,4),$A$2:$A$3722)),"Efficient","Inefficient")</f>
        <v>Inefficient</v>
      </c>
    </row>
    <row r="3413" spans="1:6" x14ac:dyDescent="0.25">
      <c r="A3413" cm="1">
        <f t="array" ref="A3413">INDEX('Portfolio Weights Returns'!$B$9:$BJ$69,
INT((ROW(A3412)-1)/COLUMNS('Portfolio Weights Returns'!$B$9:$BJ$69))+1,MOD(ROW(A3412)-1,COLUMNS('Portfolio Weights Returns'!$B$9:$BJ$69))+1)</f>
        <v>-4.5364813098732588E-4</v>
      </c>
      <c r="B3413">
        <v>2.53E-2</v>
      </c>
      <c r="C3413" s="59">
        <v>-0.2</v>
      </c>
      <c r="D3413" s="59">
        <v>-0.17</v>
      </c>
      <c r="E3413" s="60">
        <f t="shared" si="53"/>
        <v>1.3699999999999999</v>
      </c>
      <c r="F3413" t="str" cm="1">
        <f t="array" ref="F3413">IF(A3413=MAX(IF(ROUND($B$2:$B$3722,4)=ROUND(B3413,4),$A$2:$A$3722)),"Efficient","Inefficient")</f>
        <v>Inefficient</v>
      </c>
    </row>
    <row r="3414" spans="1:6" x14ac:dyDescent="0.25">
      <c r="A3414" cm="1">
        <f t="array" ref="A3414">INDEX('Portfolio Weights Returns'!$B$9:$BJ$69,
INT((ROW(A3413)-1)/COLUMNS('Portfolio Weights Returns'!$B$9:$BJ$69))+1,MOD(ROW(A3413)-1,COLUMNS('Portfolio Weights Returns'!$B$9:$BJ$69))+1)</f>
        <v>-4.4686695702064608E-4</v>
      </c>
      <c r="B3414">
        <v>2.53E-2</v>
      </c>
      <c r="C3414" s="59">
        <v>-0.24</v>
      </c>
      <c r="D3414" s="59">
        <v>-0.14000000000000001</v>
      </c>
      <c r="E3414" s="60">
        <f t="shared" si="53"/>
        <v>1.3800000000000001</v>
      </c>
      <c r="F3414" t="str" cm="1">
        <f t="array" ref="F3414">IF(A3414=MAX(IF(ROUND($B$2:$B$3722,4)=ROUND(B3414,4),$A$2:$A$3722)),"Efficient","Inefficient")</f>
        <v>Inefficient</v>
      </c>
    </row>
    <row r="3415" spans="1:6" x14ac:dyDescent="0.25">
      <c r="A3415" cm="1">
        <f t="array" ref="A3415">INDEX('Portfolio Weights Returns'!$B$9:$BJ$69,
INT((ROW(A3414)-1)/COLUMNS('Portfolio Weights Returns'!$B$9:$BJ$69))+1,MOD(ROW(A3414)-1,COLUMNS('Portfolio Weights Returns'!$B$9:$BJ$69))+1)</f>
        <v>-4.4008578305396694E-4</v>
      </c>
      <c r="B3415">
        <v>2.53E-2</v>
      </c>
      <c r="C3415" s="59">
        <v>-0.25</v>
      </c>
      <c r="D3415" s="59">
        <v>-0.13</v>
      </c>
      <c r="E3415" s="60">
        <f t="shared" si="53"/>
        <v>1.38</v>
      </c>
      <c r="F3415" t="str" cm="1">
        <f t="array" ref="F3415">IF(A3415=MAX(IF(ROUND($B$2:$B$3722,4)=ROUND(B3415,4),$A$2:$A$3722)),"Efficient","Inefficient")</f>
        <v>Inefficient</v>
      </c>
    </row>
    <row r="3416" spans="1:6" x14ac:dyDescent="0.25">
      <c r="A3416" cm="1">
        <f t="array" ref="A3416">INDEX('Portfolio Weights Returns'!$B$9:$BJ$69,
INT((ROW(A3415)-1)/COLUMNS('Portfolio Weights Returns'!$B$9:$BJ$69))+1,MOD(ROW(A3415)-1,COLUMNS('Portfolio Weights Returns'!$B$9:$BJ$69))+1)</f>
        <v>-4.3330460908728795E-4</v>
      </c>
      <c r="B3416">
        <v>2.53E-2</v>
      </c>
      <c r="C3416" s="59">
        <v>-0.26</v>
      </c>
      <c r="D3416" s="59">
        <v>-0.12</v>
      </c>
      <c r="E3416" s="60">
        <f t="shared" si="53"/>
        <v>1.3800000000000001</v>
      </c>
      <c r="F3416" t="str" cm="1">
        <f t="array" ref="F3416">IF(A3416=MAX(IF(ROUND($B$2:$B$3722,4)=ROUND(B3416,4),$A$2:$A$3722)),"Efficient","Inefficient")</f>
        <v>Inefficient</v>
      </c>
    </row>
    <row r="3417" spans="1:6" x14ac:dyDescent="0.25">
      <c r="A3417" cm="1">
        <f t="array" ref="A3417">INDEX('Portfolio Weights Returns'!$B$9:$BJ$69,
INT((ROW(A3416)-1)/COLUMNS('Portfolio Weights Returns'!$B$9:$BJ$69))+1,MOD(ROW(A3416)-1,COLUMNS('Portfolio Weights Returns'!$B$9:$BJ$69))+1)</f>
        <v>-4.2652343512060886E-4</v>
      </c>
      <c r="B3417">
        <v>2.53E-2</v>
      </c>
      <c r="C3417" s="59">
        <v>-0.27</v>
      </c>
      <c r="D3417" s="59">
        <v>-0.11</v>
      </c>
      <c r="E3417" s="60">
        <f t="shared" si="53"/>
        <v>1.3800000000000001</v>
      </c>
      <c r="F3417" t="str" cm="1">
        <f t="array" ref="F3417">IF(A3417=MAX(IF(ROUND($B$2:$B$3722,4)=ROUND(B3417,4),$A$2:$A$3722)),"Efficient","Inefficient")</f>
        <v>Efficient</v>
      </c>
    </row>
    <row r="3418" spans="1:6" x14ac:dyDescent="0.25">
      <c r="A3418" cm="1">
        <f t="array" ref="A3418">INDEX('Portfolio Weights Returns'!$B$9:$BJ$69,
INT((ROW(A3417)-1)/COLUMNS('Portfolio Weights Returns'!$B$9:$BJ$69))+1,MOD(ROW(A3417)-1,COLUMNS('Portfolio Weights Returns'!$B$9:$BJ$69))+1)</f>
        <v>-8.2681966527590057E-4</v>
      </c>
      <c r="B3418">
        <v>2.53E-2</v>
      </c>
      <c r="C3418" s="59">
        <v>-0.28000000000000003</v>
      </c>
      <c r="D3418" s="59">
        <v>-0.1</v>
      </c>
      <c r="E3418" s="60">
        <f t="shared" si="53"/>
        <v>1.3800000000000001</v>
      </c>
      <c r="F3418" t="str" cm="1">
        <f t="array" ref="F3418">IF(A3418=MAX(IF(ROUND($B$2:$B$3722,4)=ROUND(B3418,4),$A$2:$A$3722)),"Efficient","Inefficient")</f>
        <v>Inefficient</v>
      </c>
    </row>
    <row r="3419" spans="1:6" x14ac:dyDescent="0.25">
      <c r="A3419" cm="1">
        <f t="array" ref="A3419">INDEX('Portfolio Weights Returns'!$B$9:$BJ$69,
INT((ROW(A3418)-1)/COLUMNS('Portfolio Weights Returns'!$B$9:$BJ$69))+1,MOD(ROW(A3418)-1,COLUMNS('Portfolio Weights Returns'!$B$9:$BJ$69))+1)</f>
        <v>-8.2003849130922143E-4</v>
      </c>
      <c r="B3419">
        <v>2.5399999999999999E-2</v>
      </c>
      <c r="C3419" s="59">
        <v>-0.02</v>
      </c>
      <c r="D3419" s="59">
        <v>-0.3</v>
      </c>
      <c r="E3419" s="60">
        <f t="shared" si="53"/>
        <v>1.32</v>
      </c>
      <c r="F3419" t="str" cm="1">
        <f t="array" ref="F3419">IF(A3419=MAX(IF(ROUND($B$2:$B$3722,4)=ROUND(B3419,4),$A$2:$A$3722)),"Efficient","Inefficient")</f>
        <v>Inefficient</v>
      </c>
    </row>
    <row r="3420" spans="1:6" x14ac:dyDescent="0.25">
      <c r="A3420" cm="1">
        <f t="array" ref="A3420">INDEX('Portfolio Weights Returns'!$B$9:$BJ$69,
INT((ROW(A3419)-1)/COLUMNS('Portfolio Weights Returns'!$B$9:$BJ$69))+1,MOD(ROW(A3419)-1,COLUMNS('Portfolio Weights Returns'!$B$9:$BJ$69))+1)</f>
        <v>-8.1325731734254228E-4</v>
      </c>
      <c r="B3420">
        <v>2.5399999999999999E-2</v>
      </c>
      <c r="C3420" s="59">
        <v>-0.05</v>
      </c>
      <c r="D3420" s="59">
        <v>-0.28000000000000003</v>
      </c>
      <c r="E3420" s="60">
        <f t="shared" si="53"/>
        <v>1.33</v>
      </c>
      <c r="F3420" t="str" cm="1">
        <f t="array" ref="F3420">IF(A3420=MAX(IF(ROUND($B$2:$B$3722,4)=ROUND(B3420,4),$A$2:$A$3722)),"Efficient","Inefficient")</f>
        <v>Inefficient</v>
      </c>
    </row>
    <row r="3421" spans="1:6" x14ac:dyDescent="0.25">
      <c r="A3421" cm="1">
        <f t="array" ref="A3421">INDEX('Portfolio Weights Returns'!$B$9:$BJ$69,
INT((ROW(A3420)-1)/COLUMNS('Portfolio Weights Returns'!$B$9:$BJ$69))+1,MOD(ROW(A3420)-1,COLUMNS('Portfolio Weights Returns'!$B$9:$BJ$69))+1)</f>
        <v>-8.0647614337586325E-4</v>
      </c>
      <c r="B3421">
        <v>2.5399999999999999E-2</v>
      </c>
      <c r="C3421" s="59">
        <v>-7.0000000000000007E-2</v>
      </c>
      <c r="D3421" s="59">
        <v>-0.27</v>
      </c>
      <c r="E3421" s="60">
        <f t="shared" si="53"/>
        <v>1.34</v>
      </c>
      <c r="F3421" t="str" cm="1">
        <f t="array" ref="F3421">IF(A3421=MAX(IF(ROUND($B$2:$B$3722,4)=ROUND(B3421,4),$A$2:$A$3722)),"Efficient","Inefficient")</f>
        <v>Inefficient</v>
      </c>
    </row>
    <row r="3422" spans="1:6" x14ac:dyDescent="0.25">
      <c r="A3422" cm="1">
        <f t="array" ref="A3422">INDEX('Portfolio Weights Returns'!$B$9:$BJ$69,
INT((ROW(A3421)-1)/COLUMNS('Portfolio Weights Returns'!$B$9:$BJ$69))+1,MOD(ROW(A3421)-1,COLUMNS('Portfolio Weights Returns'!$B$9:$BJ$69))+1)</f>
        <v>-7.996949694091841E-4</v>
      </c>
      <c r="B3422">
        <v>2.5399999999999999E-2</v>
      </c>
      <c r="C3422" s="59">
        <v>-0.1</v>
      </c>
      <c r="D3422" s="59">
        <v>-0.25</v>
      </c>
      <c r="E3422" s="60">
        <f t="shared" si="53"/>
        <v>1.35</v>
      </c>
      <c r="F3422" t="str" cm="1">
        <f t="array" ref="F3422">IF(A3422=MAX(IF(ROUND($B$2:$B$3722,4)=ROUND(B3422,4),$A$2:$A$3722)),"Efficient","Inefficient")</f>
        <v>Inefficient</v>
      </c>
    </row>
    <row r="3423" spans="1:6" x14ac:dyDescent="0.25">
      <c r="A3423" cm="1">
        <f t="array" ref="A3423">INDEX('Portfolio Weights Returns'!$B$9:$BJ$69,
INT((ROW(A3422)-1)/COLUMNS('Portfolio Weights Returns'!$B$9:$BJ$69))+1,MOD(ROW(A3422)-1,COLUMNS('Portfolio Weights Returns'!$B$9:$BJ$69))+1)</f>
        <v>-7.9291379544250507E-4</v>
      </c>
      <c r="B3423">
        <v>2.5399999999999999E-2</v>
      </c>
      <c r="C3423" s="59">
        <v>-0.13</v>
      </c>
      <c r="D3423" s="59">
        <v>-0.23</v>
      </c>
      <c r="E3423" s="60">
        <f t="shared" si="53"/>
        <v>1.3599999999999999</v>
      </c>
      <c r="F3423" t="str" cm="1">
        <f t="array" ref="F3423">IF(A3423=MAX(IF(ROUND($B$2:$B$3722,4)=ROUND(B3423,4),$A$2:$A$3722)),"Efficient","Inefficient")</f>
        <v>Inefficient</v>
      </c>
    </row>
    <row r="3424" spans="1:6" x14ac:dyDescent="0.25">
      <c r="A3424" cm="1">
        <f t="array" ref="A3424">INDEX('Portfolio Weights Returns'!$B$9:$BJ$69,
INT((ROW(A3423)-1)/COLUMNS('Portfolio Weights Returns'!$B$9:$BJ$69))+1,MOD(ROW(A3423)-1,COLUMNS('Portfolio Weights Returns'!$B$9:$BJ$69))+1)</f>
        <v>-7.8613262147582592E-4</v>
      </c>
      <c r="B3424">
        <v>2.5399999999999999E-2</v>
      </c>
      <c r="C3424" s="59">
        <v>-0.14000000000000001</v>
      </c>
      <c r="D3424" s="59">
        <v>-0.22</v>
      </c>
      <c r="E3424" s="60">
        <f t="shared" si="53"/>
        <v>1.3599999999999999</v>
      </c>
      <c r="F3424" t="str" cm="1">
        <f t="array" ref="F3424">IF(A3424=MAX(IF(ROUND($B$2:$B$3722,4)=ROUND(B3424,4),$A$2:$A$3722)),"Efficient","Inefficient")</f>
        <v>Inefficient</v>
      </c>
    </row>
    <row r="3425" spans="1:6" x14ac:dyDescent="0.25">
      <c r="A3425" cm="1">
        <f t="array" ref="A3425">INDEX('Portfolio Weights Returns'!$B$9:$BJ$69,
INT((ROW(A3424)-1)/COLUMNS('Portfolio Weights Returns'!$B$9:$BJ$69))+1,MOD(ROW(A3424)-1,COLUMNS('Portfolio Weights Returns'!$B$9:$BJ$69))+1)</f>
        <v>-7.7935144750914678E-4</v>
      </c>
      <c r="B3425">
        <v>2.5399999999999999E-2</v>
      </c>
      <c r="C3425" s="59">
        <v>-0.17</v>
      </c>
      <c r="D3425" s="59">
        <v>-0.2</v>
      </c>
      <c r="E3425" s="60">
        <f t="shared" si="53"/>
        <v>1.3699999999999999</v>
      </c>
      <c r="F3425" t="str" cm="1">
        <f t="array" ref="F3425">IF(A3425=MAX(IF(ROUND($B$2:$B$3722,4)=ROUND(B3425,4),$A$2:$A$3722)),"Efficient","Inefficient")</f>
        <v>Inefficient</v>
      </c>
    </row>
    <row r="3426" spans="1:6" x14ac:dyDescent="0.25">
      <c r="A3426" cm="1">
        <f t="array" ref="A3426">INDEX('Portfolio Weights Returns'!$B$9:$BJ$69,
INT((ROW(A3425)-1)/COLUMNS('Portfolio Weights Returns'!$B$9:$BJ$69))+1,MOD(ROW(A3425)-1,COLUMNS('Portfolio Weights Returns'!$B$9:$BJ$69))+1)</f>
        <v>-7.7257027354246763E-4</v>
      </c>
      <c r="B3426">
        <v>2.5399999999999999E-2</v>
      </c>
      <c r="C3426" s="59">
        <v>-0.18</v>
      </c>
      <c r="D3426" s="59">
        <v>-0.19</v>
      </c>
      <c r="E3426" s="60">
        <f t="shared" si="53"/>
        <v>1.3699999999999999</v>
      </c>
      <c r="F3426" t="str" cm="1">
        <f t="array" ref="F3426">IF(A3426=MAX(IF(ROUND($B$2:$B$3722,4)=ROUND(B3426,4),$A$2:$A$3722)),"Efficient","Inefficient")</f>
        <v>Inefficient</v>
      </c>
    </row>
    <row r="3427" spans="1:6" x14ac:dyDescent="0.25">
      <c r="A3427" cm="1">
        <f t="array" ref="A3427">INDEX('Portfolio Weights Returns'!$B$9:$BJ$69,
INT((ROW(A3426)-1)/COLUMNS('Portfolio Weights Returns'!$B$9:$BJ$69))+1,MOD(ROW(A3426)-1,COLUMNS('Portfolio Weights Returns'!$B$9:$BJ$69))+1)</f>
        <v>-7.6578909957578849E-4</v>
      </c>
      <c r="B3427">
        <v>2.5399999999999999E-2</v>
      </c>
      <c r="C3427" s="59">
        <v>-0.21</v>
      </c>
      <c r="D3427" s="59">
        <v>-0.17</v>
      </c>
      <c r="E3427" s="60">
        <f t="shared" si="53"/>
        <v>1.38</v>
      </c>
      <c r="F3427" t="str" cm="1">
        <f t="array" ref="F3427">IF(A3427=MAX(IF(ROUND($B$2:$B$3722,4)=ROUND(B3427,4),$A$2:$A$3722)),"Efficient","Inefficient")</f>
        <v>Inefficient</v>
      </c>
    </row>
    <row r="3428" spans="1:6" x14ac:dyDescent="0.25">
      <c r="A3428" cm="1">
        <f t="array" ref="A3428">INDEX('Portfolio Weights Returns'!$B$9:$BJ$69,
INT((ROW(A3427)-1)/COLUMNS('Portfolio Weights Returns'!$B$9:$BJ$69))+1,MOD(ROW(A3427)-1,COLUMNS('Portfolio Weights Returns'!$B$9:$BJ$69))+1)</f>
        <v>-7.5900792560910945E-4</v>
      </c>
      <c r="B3428">
        <v>2.5399999999999999E-2</v>
      </c>
      <c r="C3428" s="59">
        <v>-0.22</v>
      </c>
      <c r="D3428" s="59">
        <v>-0.16</v>
      </c>
      <c r="E3428" s="60">
        <f t="shared" si="53"/>
        <v>1.38</v>
      </c>
      <c r="F3428" t="str" cm="1">
        <f t="array" ref="F3428">IF(A3428=MAX(IF(ROUND($B$2:$B$3722,4)=ROUND(B3428,4),$A$2:$A$3722)),"Efficient","Inefficient")</f>
        <v>Inefficient</v>
      </c>
    </row>
    <row r="3429" spans="1:6" x14ac:dyDescent="0.25">
      <c r="A3429" cm="1">
        <f t="array" ref="A3429">INDEX('Portfolio Weights Returns'!$B$9:$BJ$69,
INT((ROW(A3428)-1)/COLUMNS('Portfolio Weights Returns'!$B$9:$BJ$69))+1,MOD(ROW(A3428)-1,COLUMNS('Portfolio Weights Returns'!$B$9:$BJ$69))+1)</f>
        <v>-7.5222675164243031E-4</v>
      </c>
      <c r="B3429">
        <v>2.5399999999999999E-2</v>
      </c>
      <c r="C3429" s="59">
        <v>-0.23</v>
      </c>
      <c r="D3429" s="59">
        <v>-0.15</v>
      </c>
      <c r="E3429" s="60">
        <f t="shared" si="53"/>
        <v>1.38</v>
      </c>
      <c r="F3429" t="str" cm="1">
        <f t="array" ref="F3429">IF(A3429=MAX(IF(ROUND($B$2:$B$3722,4)=ROUND(B3429,4),$A$2:$A$3722)),"Efficient","Inefficient")</f>
        <v>Inefficient</v>
      </c>
    </row>
    <row r="3430" spans="1:6" x14ac:dyDescent="0.25">
      <c r="A3430" cm="1">
        <f t="array" ref="A3430">INDEX('Portfolio Weights Returns'!$B$9:$BJ$69,
INT((ROW(A3429)-1)/COLUMNS('Portfolio Weights Returns'!$B$9:$BJ$69))+1,MOD(ROW(A3429)-1,COLUMNS('Portfolio Weights Returns'!$B$9:$BJ$69))+1)</f>
        <v>-7.4544557767575127E-4</v>
      </c>
      <c r="B3430">
        <v>2.5399999999999999E-2</v>
      </c>
      <c r="C3430" s="59">
        <v>-0.28000000000000003</v>
      </c>
      <c r="D3430" s="59">
        <v>-0.11</v>
      </c>
      <c r="E3430" s="60">
        <f t="shared" si="53"/>
        <v>1.3900000000000001</v>
      </c>
      <c r="F3430" t="str" cm="1">
        <f t="array" ref="F3430">IF(A3430=MAX(IF(ROUND($B$2:$B$3722,4)=ROUND(B3430,4),$A$2:$A$3722)),"Efficient","Inefficient")</f>
        <v>Inefficient</v>
      </c>
    </row>
    <row r="3431" spans="1:6" x14ac:dyDescent="0.25">
      <c r="A3431" cm="1">
        <f t="array" ref="A3431">INDEX('Portfolio Weights Returns'!$B$9:$BJ$69,
INT((ROW(A3430)-1)/COLUMNS('Portfolio Weights Returns'!$B$9:$BJ$69))+1,MOD(ROW(A3430)-1,COLUMNS('Portfolio Weights Returns'!$B$9:$BJ$69))+1)</f>
        <v>-7.3866440370907213E-4</v>
      </c>
      <c r="B3431">
        <v>2.5399999999999999E-2</v>
      </c>
      <c r="C3431" s="59">
        <v>-0.28999999999999998</v>
      </c>
      <c r="D3431" s="59">
        <v>-0.1</v>
      </c>
      <c r="E3431" s="60">
        <f t="shared" si="53"/>
        <v>1.3900000000000001</v>
      </c>
      <c r="F3431" t="str" cm="1">
        <f t="array" ref="F3431">IF(A3431=MAX(IF(ROUND($B$2:$B$3722,4)=ROUND(B3431,4),$A$2:$A$3722)),"Efficient","Inefficient")</f>
        <v>Inefficient</v>
      </c>
    </row>
    <row r="3432" spans="1:6" x14ac:dyDescent="0.25">
      <c r="A3432" cm="1">
        <f t="array" ref="A3432">INDEX('Portfolio Weights Returns'!$B$9:$BJ$69,
INT((ROW(A3431)-1)/COLUMNS('Portfolio Weights Returns'!$B$9:$BJ$69))+1,MOD(ROW(A3431)-1,COLUMNS('Portfolio Weights Returns'!$B$9:$BJ$69))+1)</f>
        <v>-7.3188322974239309E-4</v>
      </c>
      <c r="B3432">
        <v>2.5399999999999999E-2</v>
      </c>
      <c r="C3432" s="59">
        <v>-0.3</v>
      </c>
      <c r="D3432" s="59">
        <v>-0.09</v>
      </c>
      <c r="E3432" s="60">
        <f t="shared" si="53"/>
        <v>1.3900000000000001</v>
      </c>
      <c r="F3432" t="str" cm="1">
        <f t="array" ref="F3432">IF(A3432=MAX(IF(ROUND($B$2:$B$3722,4)=ROUND(B3432,4),$A$2:$A$3722)),"Efficient","Inefficient")</f>
        <v>Efficient</v>
      </c>
    </row>
    <row r="3433" spans="1:6" x14ac:dyDescent="0.25">
      <c r="A3433" cm="1">
        <f t="array" ref="A3433">INDEX('Portfolio Weights Returns'!$B$9:$BJ$69,
INT((ROW(A3432)-1)/COLUMNS('Portfolio Weights Returns'!$B$9:$BJ$69))+1,MOD(ROW(A3432)-1,COLUMNS('Portfolio Weights Returns'!$B$9:$BJ$69))+1)</f>
        <v>-7.2510205577571384E-4</v>
      </c>
      <c r="B3433">
        <v>2.5499999999999998E-2</v>
      </c>
      <c r="C3433" s="59">
        <v>-0.04</v>
      </c>
      <c r="D3433" s="59">
        <v>-0.28999999999999998</v>
      </c>
      <c r="E3433" s="60">
        <f t="shared" si="53"/>
        <v>1.33</v>
      </c>
      <c r="F3433" t="str" cm="1">
        <f t="array" ref="F3433">IF(A3433=MAX(IF(ROUND($B$2:$B$3722,4)=ROUND(B3433,4),$A$2:$A$3722)),"Efficient","Inefficient")</f>
        <v>Inefficient</v>
      </c>
    </row>
    <row r="3434" spans="1:6" x14ac:dyDescent="0.25">
      <c r="A3434" cm="1">
        <f t="array" ref="A3434">INDEX('Portfolio Weights Returns'!$B$9:$BJ$69,
INT((ROW(A3433)-1)/COLUMNS('Portfolio Weights Returns'!$B$9:$BJ$69))+1,MOD(ROW(A3433)-1,COLUMNS('Portfolio Weights Returns'!$B$9:$BJ$69))+1)</f>
        <v>-7.1832088180903502E-4</v>
      </c>
      <c r="B3434">
        <v>2.5499999999999998E-2</v>
      </c>
      <c r="C3434" s="59">
        <v>-0.06</v>
      </c>
      <c r="D3434" s="59">
        <v>-0.28000000000000003</v>
      </c>
      <c r="E3434" s="60">
        <f t="shared" si="53"/>
        <v>1.34</v>
      </c>
      <c r="F3434" t="str" cm="1">
        <f t="array" ref="F3434">IF(A3434=MAX(IF(ROUND($B$2:$B$3722,4)=ROUND(B3434,4),$A$2:$A$3722)),"Efficient","Inefficient")</f>
        <v>Inefficient</v>
      </c>
    </row>
    <row r="3435" spans="1:6" x14ac:dyDescent="0.25">
      <c r="A3435" cm="1">
        <f t="array" ref="A3435">INDEX('Portfolio Weights Returns'!$B$9:$BJ$69,
INT((ROW(A3434)-1)/COLUMNS('Portfolio Weights Returns'!$B$9:$BJ$69))+1,MOD(ROW(A3434)-1,COLUMNS('Portfolio Weights Returns'!$B$9:$BJ$69))+1)</f>
        <v>-7.1153970784235566E-4</v>
      </c>
      <c r="B3435">
        <v>2.5499999999999998E-2</v>
      </c>
      <c r="C3435" s="59">
        <v>-0.09</v>
      </c>
      <c r="D3435" s="59">
        <v>-0.26</v>
      </c>
      <c r="E3435" s="60">
        <f t="shared" si="53"/>
        <v>1.35</v>
      </c>
      <c r="F3435" t="str" cm="1">
        <f t="array" ref="F3435">IF(A3435=MAX(IF(ROUND($B$2:$B$3722,4)=ROUND(B3435,4),$A$2:$A$3722)),"Efficient","Inefficient")</f>
        <v>Inefficient</v>
      </c>
    </row>
    <row r="3436" spans="1:6" x14ac:dyDescent="0.25">
      <c r="A3436" cm="1">
        <f t="array" ref="A3436">INDEX('Portfolio Weights Returns'!$B$9:$BJ$69,
INT((ROW(A3435)-1)/COLUMNS('Portfolio Weights Returns'!$B$9:$BJ$69))+1,MOD(ROW(A3435)-1,COLUMNS('Portfolio Weights Returns'!$B$9:$BJ$69))+1)</f>
        <v>-7.0475853387567673E-4</v>
      </c>
      <c r="B3436">
        <v>2.5499999999999998E-2</v>
      </c>
      <c r="C3436" s="59">
        <v>-0.12</v>
      </c>
      <c r="D3436" s="59">
        <v>-0.24</v>
      </c>
      <c r="E3436" s="60">
        <f t="shared" si="53"/>
        <v>1.3599999999999999</v>
      </c>
      <c r="F3436" t="str" cm="1">
        <f t="array" ref="F3436">IF(A3436=MAX(IF(ROUND($B$2:$B$3722,4)=ROUND(B3436,4),$A$2:$A$3722)),"Efficient","Inefficient")</f>
        <v>Inefficient</v>
      </c>
    </row>
    <row r="3437" spans="1:6" x14ac:dyDescent="0.25">
      <c r="A3437" cm="1">
        <f t="array" ref="A3437">INDEX('Portfolio Weights Returns'!$B$9:$BJ$69,
INT((ROW(A3436)-1)/COLUMNS('Portfolio Weights Returns'!$B$9:$BJ$69))+1,MOD(ROW(A3436)-1,COLUMNS('Portfolio Weights Returns'!$B$9:$BJ$69))+1)</f>
        <v>-6.9797735990899759E-4</v>
      </c>
      <c r="B3437">
        <v>2.5499999999999998E-2</v>
      </c>
      <c r="C3437" s="59">
        <v>-0.15</v>
      </c>
      <c r="D3437" s="59">
        <v>-0.22</v>
      </c>
      <c r="E3437" s="60">
        <f t="shared" si="53"/>
        <v>1.3699999999999999</v>
      </c>
      <c r="F3437" t="str" cm="1">
        <f t="array" ref="F3437">IF(A3437=MAX(IF(ROUND($B$2:$B$3722,4)=ROUND(B3437,4),$A$2:$A$3722)),"Efficient","Inefficient")</f>
        <v>Inefficient</v>
      </c>
    </row>
    <row r="3438" spans="1:6" x14ac:dyDescent="0.25">
      <c r="A3438" cm="1">
        <f t="array" ref="A3438">INDEX('Portfolio Weights Returns'!$B$9:$BJ$69,
INT((ROW(A3437)-1)/COLUMNS('Portfolio Weights Returns'!$B$9:$BJ$69))+1,MOD(ROW(A3437)-1,COLUMNS('Portfolio Weights Returns'!$B$9:$BJ$69))+1)</f>
        <v>-6.9119618594231844E-4</v>
      </c>
      <c r="B3438">
        <v>2.5499999999999998E-2</v>
      </c>
      <c r="C3438" s="59">
        <v>-0.16</v>
      </c>
      <c r="D3438" s="59">
        <v>-0.21</v>
      </c>
      <c r="E3438" s="60">
        <f t="shared" si="53"/>
        <v>1.3699999999999999</v>
      </c>
      <c r="F3438" t="str" cm="1">
        <f t="array" ref="F3438">IF(A3438=MAX(IF(ROUND($B$2:$B$3722,4)=ROUND(B3438,4),$A$2:$A$3722)),"Efficient","Inefficient")</f>
        <v>Inefficient</v>
      </c>
    </row>
    <row r="3439" spans="1:6" x14ac:dyDescent="0.25">
      <c r="A3439" cm="1">
        <f t="array" ref="A3439">INDEX('Portfolio Weights Returns'!$B$9:$BJ$69,
INT((ROW(A3438)-1)/COLUMNS('Portfolio Weights Returns'!$B$9:$BJ$69))+1,MOD(ROW(A3438)-1,COLUMNS('Portfolio Weights Returns'!$B$9:$BJ$69))+1)</f>
        <v>-6.8441501197563941E-4</v>
      </c>
      <c r="B3439">
        <v>2.5499999999999998E-2</v>
      </c>
      <c r="C3439" s="59">
        <v>-0.19</v>
      </c>
      <c r="D3439" s="59">
        <v>-0.19</v>
      </c>
      <c r="E3439" s="60">
        <f t="shared" si="53"/>
        <v>1.38</v>
      </c>
      <c r="F3439" t="str" cm="1">
        <f t="array" ref="F3439">IF(A3439=MAX(IF(ROUND($B$2:$B$3722,4)=ROUND(B3439,4),$A$2:$A$3722)),"Efficient","Inefficient")</f>
        <v>Inefficient</v>
      </c>
    </row>
    <row r="3440" spans="1:6" x14ac:dyDescent="0.25">
      <c r="A3440" cm="1">
        <f t="array" ref="A3440">INDEX('Portfolio Weights Returns'!$B$9:$BJ$69,
INT((ROW(A3439)-1)/COLUMNS('Portfolio Weights Returns'!$B$9:$BJ$69))+1,MOD(ROW(A3439)-1,COLUMNS('Portfolio Weights Returns'!$B$9:$BJ$69))+1)</f>
        <v>-6.7763383800896026E-4</v>
      </c>
      <c r="B3440">
        <v>2.5499999999999998E-2</v>
      </c>
      <c r="C3440" s="59">
        <v>-0.2</v>
      </c>
      <c r="D3440" s="59">
        <v>-0.18</v>
      </c>
      <c r="E3440" s="60">
        <f t="shared" si="53"/>
        <v>1.38</v>
      </c>
      <c r="F3440" t="str" cm="1">
        <f t="array" ref="F3440">IF(A3440=MAX(IF(ROUND($B$2:$B$3722,4)=ROUND(B3440,4),$A$2:$A$3722)),"Efficient","Inefficient")</f>
        <v>Inefficient</v>
      </c>
    </row>
    <row r="3441" spans="1:6" x14ac:dyDescent="0.25">
      <c r="A3441" cm="1">
        <f t="array" ref="A3441">INDEX('Portfolio Weights Returns'!$B$9:$BJ$69,
INT((ROW(A3440)-1)/COLUMNS('Portfolio Weights Returns'!$B$9:$BJ$69))+1,MOD(ROW(A3440)-1,COLUMNS('Portfolio Weights Returns'!$B$9:$BJ$69))+1)</f>
        <v>-6.7085266404228122E-4</v>
      </c>
      <c r="B3441">
        <v>2.5499999999999998E-2</v>
      </c>
      <c r="C3441" s="59">
        <v>-0.24</v>
      </c>
      <c r="D3441" s="59">
        <v>-0.15</v>
      </c>
      <c r="E3441" s="60">
        <f t="shared" si="53"/>
        <v>1.39</v>
      </c>
      <c r="F3441" t="str" cm="1">
        <f t="array" ref="F3441">IF(A3441=MAX(IF(ROUND($B$2:$B$3722,4)=ROUND(B3441,4),$A$2:$A$3722)),"Efficient","Inefficient")</f>
        <v>Inefficient</v>
      </c>
    </row>
    <row r="3442" spans="1:6" x14ac:dyDescent="0.25">
      <c r="A3442" cm="1">
        <f t="array" ref="A3442">INDEX('Portfolio Weights Returns'!$B$9:$BJ$69,
INT((ROW(A3441)-1)/COLUMNS('Portfolio Weights Returns'!$B$9:$BJ$69))+1,MOD(ROW(A3441)-1,COLUMNS('Portfolio Weights Returns'!$B$9:$BJ$69))+1)</f>
        <v>-6.6407149007560208E-4</v>
      </c>
      <c r="B3442">
        <v>2.5499999999999998E-2</v>
      </c>
      <c r="C3442" s="59">
        <v>-0.25</v>
      </c>
      <c r="D3442" s="59">
        <v>-0.14000000000000001</v>
      </c>
      <c r="E3442" s="60">
        <f t="shared" si="53"/>
        <v>1.3900000000000001</v>
      </c>
      <c r="F3442" t="str" cm="1">
        <f t="array" ref="F3442">IF(A3442=MAX(IF(ROUND($B$2:$B$3722,4)=ROUND(B3442,4),$A$2:$A$3722)),"Efficient","Inefficient")</f>
        <v>Inefficient</v>
      </c>
    </row>
    <row r="3443" spans="1:6" x14ac:dyDescent="0.25">
      <c r="A3443" cm="1">
        <f t="array" ref="A3443">INDEX('Portfolio Weights Returns'!$B$9:$BJ$69,
INT((ROW(A3442)-1)/COLUMNS('Portfolio Weights Returns'!$B$9:$BJ$69))+1,MOD(ROW(A3442)-1,COLUMNS('Portfolio Weights Returns'!$B$9:$BJ$69))+1)</f>
        <v>-6.5729031610892304E-4</v>
      </c>
      <c r="B3443">
        <v>2.5499999999999998E-2</v>
      </c>
      <c r="C3443" s="59">
        <v>-0.26</v>
      </c>
      <c r="D3443" s="59">
        <v>-0.13</v>
      </c>
      <c r="E3443" s="60">
        <f t="shared" si="53"/>
        <v>1.39</v>
      </c>
      <c r="F3443" t="str" cm="1">
        <f t="array" ref="F3443">IF(A3443=MAX(IF(ROUND($B$2:$B$3722,4)=ROUND(B3443,4),$A$2:$A$3722)),"Efficient","Inefficient")</f>
        <v>Inefficient</v>
      </c>
    </row>
    <row r="3444" spans="1:6" x14ac:dyDescent="0.25">
      <c r="A3444" cm="1">
        <f t="array" ref="A3444">INDEX('Portfolio Weights Returns'!$B$9:$BJ$69,
INT((ROW(A3443)-1)/COLUMNS('Portfolio Weights Returns'!$B$9:$BJ$69))+1,MOD(ROW(A3443)-1,COLUMNS('Portfolio Weights Returns'!$B$9:$BJ$69))+1)</f>
        <v>-6.5050914214224379E-4</v>
      </c>
      <c r="B3444">
        <v>2.5499999999999998E-2</v>
      </c>
      <c r="C3444" s="59">
        <v>-0.27</v>
      </c>
      <c r="D3444" s="59">
        <v>-0.12</v>
      </c>
      <c r="E3444" s="60">
        <f t="shared" si="53"/>
        <v>1.3900000000000001</v>
      </c>
      <c r="F3444" t="str" cm="1">
        <f t="array" ref="F3444">IF(A3444=MAX(IF(ROUND($B$2:$B$3722,4)=ROUND(B3444,4),$A$2:$A$3722)),"Efficient","Inefficient")</f>
        <v>Efficient</v>
      </c>
    </row>
    <row r="3445" spans="1:6" x14ac:dyDescent="0.25">
      <c r="A3445" cm="1">
        <f t="array" ref="A3445">INDEX('Portfolio Weights Returns'!$B$9:$BJ$69,
INT((ROW(A3444)-1)/COLUMNS('Portfolio Weights Returns'!$B$9:$BJ$69))+1,MOD(ROW(A3444)-1,COLUMNS('Portfolio Weights Returns'!$B$9:$BJ$69))+1)</f>
        <v>-6.4372796817556465E-4</v>
      </c>
      <c r="B3445">
        <v>2.5600000000000001E-2</v>
      </c>
      <c r="C3445" s="59">
        <v>-0.03</v>
      </c>
      <c r="D3445" s="59">
        <v>-0.3</v>
      </c>
      <c r="E3445" s="60">
        <f t="shared" si="53"/>
        <v>1.33</v>
      </c>
      <c r="F3445" t="str" cm="1">
        <f t="array" ref="F3445">IF(A3445=MAX(IF(ROUND($B$2:$B$3722,4)=ROUND(B3445,4),$A$2:$A$3722)),"Efficient","Inefficient")</f>
        <v>Inefficient</v>
      </c>
    </row>
    <row r="3446" spans="1:6" x14ac:dyDescent="0.25">
      <c r="A3446" cm="1">
        <f t="array" ref="A3446">INDEX('Portfolio Weights Returns'!$B$9:$BJ$69,
INT((ROW(A3445)-1)/COLUMNS('Portfolio Weights Returns'!$B$9:$BJ$69))+1,MOD(ROW(A3445)-1,COLUMNS('Portfolio Weights Returns'!$B$9:$BJ$69))+1)</f>
        <v>-6.3694679420888561E-4</v>
      </c>
      <c r="B3446">
        <v>2.5600000000000001E-2</v>
      </c>
      <c r="C3446" s="59">
        <v>-0.05</v>
      </c>
      <c r="D3446" s="59">
        <v>-0.28999999999999998</v>
      </c>
      <c r="E3446" s="60">
        <f t="shared" si="53"/>
        <v>1.34</v>
      </c>
      <c r="F3446" t="str" cm="1">
        <f t="array" ref="F3446">IF(A3446=MAX(IF(ROUND($B$2:$B$3722,4)=ROUND(B3446,4),$A$2:$A$3722)),"Efficient","Inefficient")</f>
        <v>Inefficient</v>
      </c>
    </row>
    <row r="3447" spans="1:6" x14ac:dyDescent="0.25">
      <c r="A3447" cm="1">
        <f t="array" ref="A3447">INDEX('Portfolio Weights Returns'!$B$9:$BJ$69,
INT((ROW(A3446)-1)/COLUMNS('Portfolio Weights Returns'!$B$9:$BJ$69))+1,MOD(ROW(A3446)-1,COLUMNS('Portfolio Weights Returns'!$B$9:$BJ$69))+1)</f>
        <v>-6.3016562024220647E-4</v>
      </c>
      <c r="B3447">
        <v>2.5600000000000001E-2</v>
      </c>
      <c r="C3447" s="59">
        <v>-0.08</v>
      </c>
      <c r="D3447" s="59">
        <v>-0.27</v>
      </c>
      <c r="E3447" s="60">
        <f t="shared" si="53"/>
        <v>1.35</v>
      </c>
      <c r="F3447" t="str" cm="1">
        <f t="array" ref="F3447">IF(A3447=MAX(IF(ROUND($B$2:$B$3722,4)=ROUND(B3447,4),$A$2:$A$3722)),"Efficient","Inefficient")</f>
        <v>Inefficient</v>
      </c>
    </row>
    <row r="3448" spans="1:6" x14ac:dyDescent="0.25">
      <c r="A3448" cm="1">
        <f t="array" ref="A3448">INDEX('Portfolio Weights Returns'!$B$9:$BJ$69,
INT((ROW(A3447)-1)/COLUMNS('Portfolio Weights Returns'!$B$9:$BJ$69))+1,MOD(ROW(A3447)-1,COLUMNS('Portfolio Weights Returns'!$B$9:$BJ$69))+1)</f>
        <v>-6.2338444627552743E-4</v>
      </c>
      <c r="B3448">
        <v>2.5600000000000001E-2</v>
      </c>
      <c r="C3448" s="59">
        <v>-0.11</v>
      </c>
      <c r="D3448" s="59">
        <v>-0.25</v>
      </c>
      <c r="E3448" s="60">
        <f t="shared" si="53"/>
        <v>1.36</v>
      </c>
      <c r="F3448" t="str" cm="1">
        <f t="array" ref="F3448">IF(A3448=MAX(IF(ROUND($B$2:$B$3722,4)=ROUND(B3448,4),$A$2:$A$3722)),"Efficient","Inefficient")</f>
        <v>Inefficient</v>
      </c>
    </row>
    <row r="3449" spans="1:6" x14ac:dyDescent="0.25">
      <c r="A3449" cm="1">
        <f t="array" ref="A3449">INDEX('Portfolio Weights Returns'!$B$9:$BJ$69,
INT((ROW(A3448)-1)/COLUMNS('Portfolio Weights Returns'!$B$9:$BJ$69))+1,MOD(ROW(A3448)-1,COLUMNS('Portfolio Weights Returns'!$B$9:$BJ$69))+1)</f>
        <v>-6.1660327230884829E-4</v>
      </c>
      <c r="B3449">
        <v>2.5600000000000001E-2</v>
      </c>
      <c r="C3449" s="59">
        <v>-0.14000000000000001</v>
      </c>
      <c r="D3449" s="59">
        <v>-0.23</v>
      </c>
      <c r="E3449" s="60">
        <f t="shared" si="53"/>
        <v>1.37</v>
      </c>
      <c r="F3449" t="str" cm="1">
        <f t="array" ref="F3449">IF(A3449=MAX(IF(ROUND($B$2:$B$3722,4)=ROUND(B3449,4),$A$2:$A$3722)),"Efficient","Inefficient")</f>
        <v>Inefficient</v>
      </c>
    </row>
    <row r="3450" spans="1:6" x14ac:dyDescent="0.25">
      <c r="A3450" cm="1">
        <f t="array" ref="A3450">INDEX('Portfolio Weights Returns'!$B$9:$BJ$69,
INT((ROW(A3449)-1)/COLUMNS('Portfolio Weights Returns'!$B$9:$BJ$69))+1,MOD(ROW(A3449)-1,COLUMNS('Portfolio Weights Returns'!$B$9:$BJ$69))+1)</f>
        <v>-6.0982209834216925E-4</v>
      </c>
      <c r="B3450">
        <v>2.5600000000000001E-2</v>
      </c>
      <c r="C3450" s="59">
        <v>-0.17</v>
      </c>
      <c r="D3450" s="59">
        <v>-0.21</v>
      </c>
      <c r="E3450" s="60">
        <f t="shared" si="53"/>
        <v>1.38</v>
      </c>
      <c r="F3450" t="str" cm="1">
        <f t="array" ref="F3450">IF(A3450=MAX(IF(ROUND($B$2:$B$3722,4)=ROUND(B3450,4),$A$2:$A$3722)),"Efficient","Inefficient")</f>
        <v>Inefficient</v>
      </c>
    </row>
    <row r="3451" spans="1:6" x14ac:dyDescent="0.25">
      <c r="A3451" cm="1">
        <f t="array" ref="A3451">INDEX('Portfolio Weights Returns'!$B$9:$BJ$69,
INT((ROW(A3450)-1)/COLUMNS('Portfolio Weights Returns'!$B$9:$BJ$69))+1,MOD(ROW(A3450)-1,COLUMNS('Portfolio Weights Returns'!$B$9:$BJ$69))+1)</f>
        <v>-6.0304092437549E-4</v>
      </c>
      <c r="B3451">
        <v>2.5600000000000001E-2</v>
      </c>
      <c r="C3451" s="59">
        <v>-0.18</v>
      </c>
      <c r="D3451" s="59">
        <v>-0.2</v>
      </c>
      <c r="E3451" s="60">
        <f t="shared" si="53"/>
        <v>1.38</v>
      </c>
      <c r="F3451" t="str" cm="1">
        <f t="array" ref="F3451">IF(A3451=MAX(IF(ROUND($B$2:$B$3722,4)=ROUND(B3451,4),$A$2:$A$3722)),"Efficient","Inefficient")</f>
        <v>Inefficient</v>
      </c>
    </row>
    <row r="3452" spans="1:6" x14ac:dyDescent="0.25">
      <c r="A3452" cm="1">
        <f t="array" ref="A3452">INDEX('Portfolio Weights Returns'!$B$9:$BJ$69,
INT((ROW(A3451)-1)/COLUMNS('Portfolio Weights Returns'!$B$9:$BJ$69))+1,MOD(ROW(A3451)-1,COLUMNS('Portfolio Weights Returns'!$B$9:$BJ$69))+1)</f>
        <v>-5.9625975040881096E-4</v>
      </c>
      <c r="B3452">
        <v>2.5600000000000001E-2</v>
      </c>
      <c r="C3452" s="59">
        <v>-0.22</v>
      </c>
      <c r="D3452" s="59">
        <v>-0.17</v>
      </c>
      <c r="E3452" s="60">
        <f t="shared" si="53"/>
        <v>1.39</v>
      </c>
      <c r="F3452" t="str" cm="1">
        <f t="array" ref="F3452">IF(A3452=MAX(IF(ROUND($B$2:$B$3722,4)=ROUND(B3452,4),$A$2:$A$3722)),"Efficient","Inefficient")</f>
        <v>Inefficient</v>
      </c>
    </row>
    <row r="3453" spans="1:6" x14ac:dyDescent="0.25">
      <c r="A3453" cm="1">
        <f t="array" ref="A3453">INDEX('Portfolio Weights Returns'!$B$9:$BJ$69,
INT((ROW(A3452)-1)/COLUMNS('Portfolio Weights Returns'!$B$9:$BJ$69))+1,MOD(ROW(A3452)-1,COLUMNS('Portfolio Weights Returns'!$B$9:$BJ$69))+1)</f>
        <v>-5.8947857644213182E-4</v>
      </c>
      <c r="B3453">
        <v>2.5600000000000001E-2</v>
      </c>
      <c r="C3453" s="59">
        <v>-0.23</v>
      </c>
      <c r="D3453" s="59">
        <v>-0.16</v>
      </c>
      <c r="E3453" s="60">
        <f t="shared" si="53"/>
        <v>1.39</v>
      </c>
      <c r="F3453" t="str" cm="1">
        <f t="array" ref="F3453">IF(A3453=MAX(IF(ROUND($B$2:$B$3722,4)=ROUND(B3453,4),$A$2:$A$3722)),"Efficient","Inefficient")</f>
        <v>Inefficient</v>
      </c>
    </row>
    <row r="3454" spans="1:6" x14ac:dyDescent="0.25">
      <c r="A3454" cm="1">
        <f t="array" ref="A3454">INDEX('Portfolio Weights Returns'!$B$9:$BJ$69,
INT((ROW(A3453)-1)/COLUMNS('Portfolio Weights Returns'!$B$9:$BJ$69))+1,MOD(ROW(A3453)-1,COLUMNS('Portfolio Weights Returns'!$B$9:$BJ$69))+1)</f>
        <v>-5.8269740247545278E-4</v>
      </c>
      <c r="B3454">
        <v>2.5600000000000001E-2</v>
      </c>
      <c r="C3454" s="59">
        <v>-0.28000000000000003</v>
      </c>
      <c r="D3454" s="59">
        <v>-0.12</v>
      </c>
      <c r="E3454" s="60">
        <f t="shared" si="53"/>
        <v>1.4000000000000001</v>
      </c>
      <c r="F3454" t="str" cm="1">
        <f t="array" ref="F3454">IF(A3454=MAX(IF(ROUND($B$2:$B$3722,4)=ROUND(B3454,4),$A$2:$A$3722)),"Efficient","Inefficient")</f>
        <v>Inefficient</v>
      </c>
    </row>
    <row r="3455" spans="1:6" x14ac:dyDescent="0.25">
      <c r="A3455" cm="1">
        <f t="array" ref="A3455">INDEX('Portfolio Weights Returns'!$B$9:$BJ$69,
INT((ROW(A3454)-1)/COLUMNS('Portfolio Weights Returns'!$B$9:$BJ$69))+1,MOD(ROW(A3454)-1,COLUMNS('Portfolio Weights Returns'!$B$9:$BJ$69))+1)</f>
        <v>-5.7591622850877364E-4</v>
      </c>
      <c r="B3455">
        <v>2.5600000000000001E-2</v>
      </c>
      <c r="C3455" s="59">
        <v>-0.28999999999999998</v>
      </c>
      <c r="D3455" s="59">
        <v>-0.11</v>
      </c>
      <c r="E3455" s="60">
        <f t="shared" si="53"/>
        <v>1.4000000000000001</v>
      </c>
      <c r="F3455" t="str" cm="1">
        <f t="array" ref="F3455">IF(A3455=MAX(IF(ROUND($B$2:$B$3722,4)=ROUND(B3455,4),$A$2:$A$3722)),"Efficient","Inefficient")</f>
        <v>Inefficient</v>
      </c>
    </row>
    <row r="3456" spans="1:6" x14ac:dyDescent="0.25">
      <c r="A3456" cm="1">
        <f t="array" ref="A3456">INDEX('Portfolio Weights Returns'!$B$9:$BJ$69,
INT((ROW(A3455)-1)/COLUMNS('Portfolio Weights Returns'!$B$9:$BJ$69))+1,MOD(ROW(A3455)-1,COLUMNS('Portfolio Weights Returns'!$B$9:$BJ$69))+1)</f>
        <v>-5.691350545420946E-4</v>
      </c>
      <c r="B3456">
        <v>2.5600000000000001E-2</v>
      </c>
      <c r="C3456" s="59">
        <v>-0.3</v>
      </c>
      <c r="D3456" s="59">
        <v>-0.1</v>
      </c>
      <c r="E3456" s="60">
        <f t="shared" si="53"/>
        <v>1.4000000000000001</v>
      </c>
      <c r="F3456" t="str" cm="1">
        <f t="array" ref="F3456">IF(A3456=MAX(IF(ROUND($B$2:$B$3722,4)=ROUND(B3456,4),$A$2:$A$3722)),"Efficient","Inefficient")</f>
        <v>Efficient</v>
      </c>
    </row>
    <row r="3457" spans="1:6" x14ac:dyDescent="0.25">
      <c r="A3457" cm="1">
        <f t="array" ref="A3457">INDEX('Portfolio Weights Returns'!$B$9:$BJ$69,
INT((ROW(A3456)-1)/COLUMNS('Portfolio Weights Returns'!$B$9:$BJ$69))+1,MOD(ROW(A3456)-1,COLUMNS('Portfolio Weights Returns'!$B$9:$BJ$69))+1)</f>
        <v>-5.6235388057541546E-4</v>
      </c>
      <c r="B3457">
        <v>2.5700000000000001E-2</v>
      </c>
      <c r="C3457" s="59">
        <v>-0.04</v>
      </c>
      <c r="D3457" s="59">
        <v>-0.3</v>
      </c>
      <c r="E3457" s="60">
        <f t="shared" si="53"/>
        <v>1.34</v>
      </c>
      <c r="F3457" t="str" cm="1">
        <f t="array" ref="F3457">IF(A3457=MAX(IF(ROUND($B$2:$B$3722,4)=ROUND(B3457,4),$A$2:$A$3722)),"Efficient","Inefficient")</f>
        <v>Inefficient</v>
      </c>
    </row>
    <row r="3458" spans="1:6" x14ac:dyDescent="0.25">
      <c r="A3458" cm="1">
        <f t="array" ref="A3458">INDEX('Portfolio Weights Returns'!$B$9:$BJ$69,
INT((ROW(A3457)-1)/COLUMNS('Portfolio Weights Returns'!$B$9:$BJ$69))+1,MOD(ROW(A3457)-1,COLUMNS('Portfolio Weights Returns'!$B$9:$BJ$69))+1)</f>
        <v>-5.5557270660873631E-4</v>
      </c>
      <c r="B3458">
        <v>2.5700000000000001E-2</v>
      </c>
      <c r="C3458" s="59">
        <v>-7.0000000000000007E-2</v>
      </c>
      <c r="D3458" s="59">
        <v>-0.28000000000000003</v>
      </c>
      <c r="E3458" s="60">
        <f t="shared" ref="E3458:E3521" si="54">1-D3458-C3458</f>
        <v>1.35</v>
      </c>
      <c r="F3458" t="str" cm="1">
        <f t="array" ref="F3458">IF(A3458=MAX(IF(ROUND($B$2:$B$3722,4)=ROUND(B3458,4),$A$2:$A$3722)),"Efficient","Inefficient")</f>
        <v>Inefficient</v>
      </c>
    </row>
    <row r="3459" spans="1:6" x14ac:dyDescent="0.25">
      <c r="A3459" cm="1">
        <f t="array" ref="A3459">INDEX('Portfolio Weights Returns'!$B$9:$BJ$69,
INT((ROW(A3458)-1)/COLUMNS('Portfolio Weights Returns'!$B$9:$BJ$69))+1,MOD(ROW(A3458)-1,COLUMNS('Portfolio Weights Returns'!$B$9:$BJ$69))+1)</f>
        <v>-5.4879153264205728E-4</v>
      </c>
      <c r="B3459">
        <v>2.5700000000000001E-2</v>
      </c>
      <c r="C3459" s="59">
        <v>-0.1</v>
      </c>
      <c r="D3459" s="59">
        <v>-0.26</v>
      </c>
      <c r="E3459" s="60">
        <f t="shared" si="54"/>
        <v>1.36</v>
      </c>
      <c r="F3459" t="str" cm="1">
        <f t="array" ref="F3459">IF(A3459=MAX(IF(ROUND($B$2:$B$3722,4)=ROUND(B3459,4),$A$2:$A$3722)),"Efficient","Inefficient")</f>
        <v>Inefficient</v>
      </c>
    </row>
    <row r="3460" spans="1:6" x14ac:dyDescent="0.25">
      <c r="A3460" cm="1">
        <f t="array" ref="A3460">INDEX('Portfolio Weights Returns'!$B$9:$BJ$69,
INT((ROW(A3459)-1)/COLUMNS('Portfolio Weights Returns'!$B$9:$BJ$69))+1,MOD(ROW(A3459)-1,COLUMNS('Portfolio Weights Returns'!$B$9:$BJ$69))+1)</f>
        <v>-5.4201035867537813E-4</v>
      </c>
      <c r="B3460">
        <v>2.5700000000000001E-2</v>
      </c>
      <c r="C3460" s="59">
        <v>-0.13</v>
      </c>
      <c r="D3460" s="59">
        <v>-0.24</v>
      </c>
      <c r="E3460" s="60">
        <f t="shared" si="54"/>
        <v>1.37</v>
      </c>
      <c r="F3460" t="str" cm="1">
        <f t="array" ref="F3460">IF(A3460=MAX(IF(ROUND($B$2:$B$3722,4)=ROUND(B3460,4),$A$2:$A$3722)),"Efficient","Inefficient")</f>
        <v>Inefficient</v>
      </c>
    </row>
    <row r="3461" spans="1:6" x14ac:dyDescent="0.25">
      <c r="A3461" cm="1">
        <f t="array" ref="A3461">INDEX('Portfolio Weights Returns'!$B$9:$BJ$69,
INT((ROW(A3460)-1)/COLUMNS('Portfolio Weights Returns'!$B$9:$BJ$69))+1,MOD(ROW(A3460)-1,COLUMNS('Portfolio Weights Returns'!$B$9:$BJ$69))+1)</f>
        <v>-5.352291847086991E-4</v>
      </c>
      <c r="B3461">
        <v>2.5700000000000001E-2</v>
      </c>
      <c r="C3461" s="59">
        <v>-0.16</v>
      </c>
      <c r="D3461" s="59">
        <v>-0.22</v>
      </c>
      <c r="E3461" s="60">
        <f t="shared" si="54"/>
        <v>1.38</v>
      </c>
      <c r="F3461" t="str" cm="1">
        <f t="array" ref="F3461">IF(A3461=MAX(IF(ROUND($B$2:$B$3722,4)=ROUND(B3461,4),$A$2:$A$3722)),"Efficient","Inefficient")</f>
        <v>Inefficient</v>
      </c>
    </row>
    <row r="3462" spans="1:6" x14ac:dyDescent="0.25">
      <c r="A3462" cm="1">
        <f t="array" ref="A3462">INDEX('Portfolio Weights Returns'!$B$9:$BJ$69,
INT((ROW(A3461)-1)/COLUMNS('Portfolio Weights Returns'!$B$9:$BJ$69))+1,MOD(ROW(A3461)-1,COLUMNS('Portfolio Weights Returns'!$B$9:$BJ$69))+1)</f>
        <v>-5.2844801074201995E-4</v>
      </c>
      <c r="B3462">
        <v>2.5700000000000001E-2</v>
      </c>
      <c r="C3462" s="59">
        <v>-0.2</v>
      </c>
      <c r="D3462" s="59">
        <v>-0.19</v>
      </c>
      <c r="E3462" s="60">
        <f t="shared" si="54"/>
        <v>1.39</v>
      </c>
      <c r="F3462" t="str" cm="1">
        <f t="array" ref="F3462">IF(A3462=MAX(IF(ROUND($B$2:$B$3722,4)=ROUND(B3462,4),$A$2:$A$3722)),"Efficient","Inefficient")</f>
        <v>Inefficient</v>
      </c>
    </row>
    <row r="3463" spans="1:6" x14ac:dyDescent="0.25">
      <c r="A3463" cm="1">
        <f t="array" ref="A3463">INDEX('Portfolio Weights Returns'!$B$9:$BJ$69,
INT((ROW(A3462)-1)/COLUMNS('Portfolio Weights Returns'!$B$9:$BJ$69))+1,MOD(ROW(A3462)-1,COLUMNS('Portfolio Weights Returns'!$B$9:$BJ$69))+1)</f>
        <v>-5.2166683677534081E-4</v>
      </c>
      <c r="B3463">
        <v>2.5700000000000001E-2</v>
      </c>
      <c r="C3463" s="59">
        <v>-0.21</v>
      </c>
      <c r="D3463" s="59">
        <v>-0.18</v>
      </c>
      <c r="E3463" s="60">
        <f t="shared" si="54"/>
        <v>1.39</v>
      </c>
      <c r="F3463" t="str" cm="1">
        <f t="array" ref="F3463">IF(A3463=MAX(IF(ROUND($B$2:$B$3722,4)=ROUND(B3463,4),$A$2:$A$3722)),"Efficient","Inefficient")</f>
        <v>Inefficient</v>
      </c>
    </row>
    <row r="3464" spans="1:6" x14ac:dyDescent="0.25">
      <c r="A3464" cm="1">
        <f t="array" ref="A3464">INDEX('Portfolio Weights Returns'!$B$9:$BJ$69,
INT((ROW(A3463)-1)/COLUMNS('Portfolio Weights Returns'!$B$9:$BJ$69))+1,MOD(ROW(A3463)-1,COLUMNS('Portfolio Weights Returns'!$B$9:$BJ$69))+1)</f>
        <v>-5.1488566280866177E-4</v>
      </c>
      <c r="B3464">
        <v>2.5700000000000001E-2</v>
      </c>
      <c r="C3464" s="59">
        <v>-0.25</v>
      </c>
      <c r="D3464" s="59">
        <v>-0.15</v>
      </c>
      <c r="E3464" s="60">
        <f t="shared" si="54"/>
        <v>1.4</v>
      </c>
      <c r="F3464" t="str" cm="1">
        <f t="array" ref="F3464">IF(A3464=MAX(IF(ROUND($B$2:$B$3722,4)=ROUND(B3464,4),$A$2:$A$3722)),"Efficient","Inefficient")</f>
        <v>Inefficient</v>
      </c>
    </row>
    <row r="3465" spans="1:6" x14ac:dyDescent="0.25">
      <c r="A3465" cm="1">
        <f t="array" ref="A3465">INDEX('Portfolio Weights Returns'!$B$9:$BJ$69,
INT((ROW(A3464)-1)/COLUMNS('Portfolio Weights Returns'!$B$9:$BJ$69))+1,MOD(ROW(A3464)-1,COLUMNS('Portfolio Weights Returns'!$B$9:$BJ$69))+1)</f>
        <v>-5.0810448884198263E-4</v>
      </c>
      <c r="B3465">
        <v>2.5700000000000001E-2</v>
      </c>
      <c r="C3465" s="59">
        <v>-0.26</v>
      </c>
      <c r="D3465" s="59">
        <v>-0.14000000000000001</v>
      </c>
      <c r="E3465" s="60">
        <f t="shared" si="54"/>
        <v>1.4000000000000001</v>
      </c>
      <c r="F3465" t="str" cm="1">
        <f t="array" ref="F3465">IF(A3465=MAX(IF(ROUND($B$2:$B$3722,4)=ROUND(B3465,4),$A$2:$A$3722)),"Efficient","Inefficient")</f>
        <v>Inefficient</v>
      </c>
    </row>
    <row r="3466" spans="1:6" x14ac:dyDescent="0.25">
      <c r="A3466" cm="1">
        <f t="array" ref="A3466">INDEX('Portfolio Weights Returns'!$B$9:$BJ$69,
INT((ROW(A3465)-1)/COLUMNS('Portfolio Weights Returns'!$B$9:$BJ$69))+1,MOD(ROW(A3465)-1,COLUMNS('Portfolio Weights Returns'!$B$9:$BJ$69))+1)</f>
        <v>-5.0132331487530359E-4</v>
      </c>
      <c r="B3466">
        <v>2.5700000000000001E-2</v>
      </c>
      <c r="C3466" s="59">
        <v>-0.27</v>
      </c>
      <c r="D3466" s="59">
        <v>-0.13</v>
      </c>
      <c r="E3466" s="60">
        <f t="shared" si="54"/>
        <v>1.4</v>
      </c>
      <c r="F3466" t="str" cm="1">
        <f t="array" ref="F3466">IF(A3466=MAX(IF(ROUND($B$2:$B$3722,4)=ROUND(B3466,4),$A$2:$A$3722)),"Efficient","Inefficient")</f>
        <v>Efficient</v>
      </c>
    </row>
    <row r="3467" spans="1:6" x14ac:dyDescent="0.25">
      <c r="A3467" cm="1">
        <f t="array" ref="A3467">INDEX('Portfolio Weights Returns'!$B$9:$BJ$69,
INT((ROW(A3466)-1)/COLUMNS('Portfolio Weights Returns'!$B$9:$BJ$69))+1,MOD(ROW(A3466)-1,COLUMNS('Portfolio Weights Returns'!$B$9:$BJ$69))+1)</f>
        <v>-4.9454214090862445E-4</v>
      </c>
      <c r="B3467">
        <v>2.58E-2</v>
      </c>
      <c r="C3467" s="59">
        <v>-0.06</v>
      </c>
      <c r="D3467" s="59">
        <v>-0.28999999999999998</v>
      </c>
      <c r="E3467" s="60">
        <f t="shared" si="54"/>
        <v>1.35</v>
      </c>
      <c r="F3467" t="str" cm="1">
        <f t="array" ref="F3467">IF(A3467=MAX(IF(ROUND($B$2:$B$3722,4)=ROUND(B3467,4),$A$2:$A$3722)),"Efficient","Inefficient")</f>
        <v>Inefficient</v>
      </c>
    </row>
    <row r="3468" spans="1:6" x14ac:dyDescent="0.25">
      <c r="A3468" cm="1">
        <f t="array" ref="A3468">INDEX('Portfolio Weights Returns'!$B$9:$BJ$69,
INT((ROW(A3467)-1)/COLUMNS('Portfolio Weights Returns'!$B$9:$BJ$69))+1,MOD(ROW(A3467)-1,COLUMNS('Portfolio Weights Returns'!$B$9:$BJ$69))+1)</f>
        <v>-4.8776096694194536E-4</v>
      </c>
      <c r="B3468">
        <v>2.58E-2</v>
      </c>
      <c r="C3468" s="59">
        <v>-0.08</v>
      </c>
      <c r="D3468" s="59">
        <v>-0.28000000000000003</v>
      </c>
      <c r="E3468" s="60">
        <f t="shared" si="54"/>
        <v>1.36</v>
      </c>
      <c r="F3468" t="str" cm="1">
        <f t="array" ref="F3468">IF(A3468=MAX(IF(ROUND($B$2:$B$3722,4)=ROUND(B3468,4),$A$2:$A$3722)),"Efficient","Inefficient")</f>
        <v>Inefficient</v>
      </c>
    </row>
    <row r="3469" spans="1:6" x14ac:dyDescent="0.25">
      <c r="A3469" cm="1">
        <f t="array" ref="A3469">INDEX('Portfolio Weights Returns'!$B$9:$BJ$69,
INT((ROW(A3468)-1)/COLUMNS('Portfolio Weights Returns'!$B$9:$BJ$69))+1,MOD(ROW(A3468)-1,COLUMNS('Portfolio Weights Returns'!$B$9:$BJ$69))+1)</f>
        <v>-4.8097979297526627E-4</v>
      </c>
      <c r="B3469">
        <v>2.58E-2</v>
      </c>
      <c r="C3469" s="59">
        <v>-0.09</v>
      </c>
      <c r="D3469" s="59">
        <v>-0.27</v>
      </c>
      <c r="E3469" s="60">
        <f t="shared" si="54"/>
        <v>1.36</v>
      </c>
      <c r="F3469" t="str" cm="1">
        <f t="array" ref="F3469">IF(A3469=MAX(IF(ROUND($B$2:$B$3722,4)=ROUND(B3469,4),$A$2:$A$3722)),"Efficient","Inefficient")</f>
        <v>Inefficient</v>
      </c>
    </row>
    <row r="3470" spans="1:6" x14ac:dyDescent="0.25">
      <c r="A3470" cm="1">
        <f t="array" ref="A3470">INDEX('Portfolio Weights Returns'!$B$9:$BJ$69,
INT((ROW(A3469)-1)/COLUMNS('Portfolio Weights Returns'!$B$9:$BJ$69))+1,MOD(ROW(A3469)-1,COLUMNS('Portfolio Weights Returns'!$B$9:$BJ$69))+1)</f>
        <v>-4.7419861900858712E-4</v>
      </c>
      <c r="B3470">
        <v>2.58E-2</v>
      </c>
      <c r="C3470" s="59">
        <v>-0.11</v>
      </c>
      <c r="D3470" s="59">
        <v>-0.26</v>
      </c>
      <c r="E3470" s="60">
        <f t="shared" si="54"/>
        <v>1.37</v>
      </c>
      <c r="F3470" t="str" cm="1">
        <f t="array" ref="F3470">IF(A3470=MAX(IF(ROUND($B$2:$B$3722,4)=ROUND(B3470,4),$A$2:$A$3722)),"Efficient","Inefficient")</f>
        <v>Inefficient</v>
      </c>
    </row>
    <row r="3471" spans="1:6" x14ac:dyDescent="0.25">
      <c r="A3471" cm="1">
        <f t="array" ref="A3471">INDEX('Portfolio Weights Returns'!$B$9:$BJ$69,
INT((ROW(A3470)-1)/COLUMNS('Portfolio Weights Returns'!$B$9:$BJ$69))+1,MOD(ROW(A3470)-1,COLUMNS('Portfolio Weights Returns'!$B$9:$BJ$69))+1)</f>
        <v>-4.6741744504190798E-4</v>
      </c>
      <c r="B3471">
        <v>2.58E-2</v>
      </c>
      <c r="C3471" s="59">
        <v>-0.12</v>
      </c>
      <c r="D3471" s="59">
        <v>-0.25</v>
      </c>
      <c r="E3471" s="60">
        <f t="shared" si="54"/>
        <v>1.37</v>
      </c>
      <c r="F3471" t="str" cm="1">
        <f t="array" ref="F3471">IF(A3471=MAX(IF(ROUND($B$2:$B$3722,4)=ROUND(B3471,4),$A$2:$A$3722)),"Efficient","Inefficient")</f>
        <v>Inefficient</v>
      </c>
    </row>
    <row r="3472" spans="1:6" x14ac:dyDescent="0.25">
      <c r="A3472" cm="1">
        <f t="array" ref="A3472">INDEX('Portfolio Weights Returns'!$B$9:$BJ$69,
INT((ROW(A3471)-1)/COLUMNS('Portfolio Weights Returns'!$B$9:$BJ$69))+1,MOD(ROW(A3471)-1,COLUMNS('Portfolio Weights Returns'!$B$9:$BJ$69))+1)</f>
        <v>-4.6063627107522889E-4</v>
      </c>
      <c r="B3472">
        <v>2.58E-2</v>
      </c>
      <c r="C3472" s="59">
        <v>-0.14000000000000001</v>
      </c>
      <c r="D3472" s="59">
        <v>-0.24</v>
      </c>
      <c r="E3472" s="60">
        <f t="shared" si="54"/>
        <v>1.38</v>
      </c>
      <c r="F3472" t="str" cm="1">
        <f t="array" ref="F3472">IF(A3472=MAX(IF(ROUND($B$2:$B$3722,4)=ROUND(B3472,4),$A$2:$A$3722)),"Efficient","Inefficient")</f>
        <v>Inefficient</v>
      </c>
    </row>
    <row r="3473" spans="1:6" x14ac:dyDescent="0.25">
      <c r="A3473" cm="1">
        <f t="array" ref="A3473">INDEX('Portfolio Weights Returns'!$B$9:$BJ$69,
INT((ROW(A3472)-1)/COLUMNS('Portfolio Weights Returns'!$B$9:$BJ$69))+1,MOD(ROW(A3472)-1,COLUMNS('Portfolio Weights Returns'!$B$9:$BJ$69))+1)</f>
        <v>-4.538550971085498E-4</v>
      </c>
      <c r="B3473">
        <v>2.58E-2</v>
      </c>
      <c r="C3473" s="59">
        <v>-0.15</v>
      </c>
      <c r="D3473" s="59">
        <v>-0.23</v>
      </c>
      <c r="E3473" s="60">
        <f t="shared" si="54"/>
        <v>1.38</v>
      </c>
      <c r="F3473" t="str" cm="1">
        <f t="array" ref="F3473">IF(A3473=MAX(IF(ROUND($B$2:$B$3722,4)=ROUND(B3473,4),$A$2:$A$3722)),"Efficient","Inefficient")</f>
        <v>Inefficient</v>
      </c>
    </row>
    <row r="3474" spans="1:6" x14ac:dyDescent="0.25">
      <c r="A3474" cm="1">
        <f t="array" ref="A3474">INDEX('Portfolio Weights Returns'!$B$9:$BJ$69,
INT((ROW(A3473)-1)/COLUMNS('Portfolio Weights Returns'!$B$9:$BJ$69))+1,MOD(ROW(A3473)-1,COLUMNS('Portfolio Weights Returns'!$B$9:$BJ$69))+1)</f>
        <v>-4.4707392314187065E-4</v>
      </c>
      <c r="B3474">
        <v>2.58E-2</v>
      </c>
      <c r="C3474" s="59">
        <v>-0.18</v>
      </c>
      <c r="D3474" s="59">
        <v>-0.21</v>
      </c>
      <c r="E3474" s="60">
        <f t="shared" si="54"/>
        <v>1.39</v>
      </c>
      <c r="F3474" t="str" cm="1">
        <f t="array" ref="F3474">IF(A3474=MAX(IF(ROUND($B$2:$B$3722,4)=ROUND(B3474,4),$A$2:$A$3722)),"Efficient","Inefficient")</f>
        <v>Inefficient</v>
      </c>
    </row>
    <row r="3475" spans="1:6" x14ac:dyDescent="0.25">
      <c r="A3475" cm="1">
        <f t="array" ref="A3475">INDEX('Portfolio Weights Returns'!$B$9:$BJ$69,
INT((ROW(A3474)-1)/COLUMNS('Portfolio Weights Returns'!$B$9:$BJ$69))+1,MOD(ROW(A3474)-1,COLUMNS('Portfolio Weights Returns'!$B$9:$BJ$69))+1)</f>
        <v>-4.4029274917519086E-4</v>
      </c>
      <c r="B3475">
        <v>2.58E-2</v>
      </c>
      <c r="C3475" s="59">
        <v>-0.19</v>
      </c>
      <c r="D3475" s="59">
        <v>-0.2</v>
      </c>
      <c r="E3475" s="60">
        <f t="shared" si="54"/>
        <v>1.39</v>
      </c>
      <c r="F3475" t="str" cm="1">
        <f t="array" ref="F3475">IF(A3475=MAX(IF(ROUND($B$2:$B$3722,4)=ROUND(B3475,4),$A$2:$A$3722)),"Efficient","Inefficient")</f>
        <v>Inefficient</v>
      </c>
    </row>
    <row r="3476" spans="1:6" x14ac:dyDescent="0.25">
      <c r="A3476" cm="1">
        <f t="array" ref="A3476">INDEX('Portfolio Weights Returns'!$B$9:$BJ$69,
INT((ROW(A3475)-1)/COLUMNS('Portfolio Weights Returns'!$B$9:$BJ$69))+1,MOD(ROW(A3475)-1,COLUMNS('Portfolio Weights Returns'!$B$9:$BJ$69))+1)</f>
        <v>-4.3351157520851177E-4</v>
      </c>
      <c r="B3476">
        <v>2.58E-2</v>
      </c>
      <c r="C3476" s="59">
        <v>-0.22</v>
      </c>
      <c r="D3476" s="59">
        <v>-0.18</v>
      </c>
      <c r="E3476" s="60">
        <f t="shared" si="54"/>
        <v>1.4</v>
      </c>
      <c r="F3476" t="str" cm="1">
        <f t="array" ref="F3476">IF(A3476=MAX(IF(ROUND($B$2:$B$3722,4)=ROUND(B3476,4),$A$2:$A$3722)),"Efficient","Inefficient")</f>
        <v>Inefficient</v>
      </c>
    </row>
    <row r="3477" spans="1:6" x14ac:dyDescent="0.25">
      <c r="A3477" cm="1">
        <f t="array" ref="A3477">INDEX('Portfolio Weights Returns'!$B$9:$BJ$69,
INT((ROW(A3476)-1)/COLUMNS('Portfolio Weights Returns'!$B$9:$BJ$69))+1,MOD(ROW(A3476)-1,COLUMNS('Portfolio Weights Returns'!$B$9:$BJ$69))+1)</f>
        <v>-4.2673040124183278E-4</v>
      </c>
      <c r="B3477">
        <v>2.58E-2</v>
      </c>
      <c r="C3477" s="59">
        <v>-0.23</v>
      </c>
      <c r="D3477" s="59">
        <v>-0.17</v>
      </c>
      <c r="E3477" s="60">
        <f t="shared" si="54"/>
        <v>1.4</v>
      </c>
      <c r="F3477" t="str" cm="1">
        <f t="array" ref="F3477">IF(A3477=MAX(IF(ROUND($B$2:$B$3722,4)=ROUND(B3477,4),$A$2:$A$3722)),"Efficient","Inefficient")</f>
        <v>Inefficient</v>
      </c>
    </row>
    <row r="3478" spans="1:6" x14ac:dyDescent="0.25">
      <c r="A3478" cm="1">
        <f t="array" ref="A3478">INDEX('Portfolio Weights Returns'!$B$9:$BJ$69,
INT((ROW(A3477)-1)/COLUMNS('Portfolio Weights Returns'!$B$9:$BJ$69))+1,MOD(ROW(A3477)-1,COLUMNS('Portfolio Weights Returns'!$B$9:$BJ$69))+1)</f>
        <v>-4.1994922727515364E-4</v>
      </c>
      <c r="B3478">
        <v>2.58E-2</v>
      </c>
      <c r="C3478" s="59">
        <v>-0.24</v>
      </c>
      <c r="D3478" s="59">
        <v>-0.16</v>
      </c>
      <c r="E3478" s="60">
        <f t="shared" si="54"/>
        <v>1.4</v>
      </c>
      <c r="F3478" t="str" cm="1">
        <f t="array" ref="F3478">IF(A3478=MAX(IF(ROUND($B$2:$B$3722,4)=ROUND(B3478,4),$A$2:$A$3722)),"Efficient","Inefficient")</f>
        <v>Efficient</v>
      </c>
    </row>
    <row r="3479" spans="1:6" x14ac:dyDescent="0.25">
      <c r="A3479" cm="1">
        <f t="array" ref="A3479">INDEX('Portfolio Weights Returns'!$B$9:$BJ$69,
INT((ROW(A3478)-1)/COLUMNS('Portfolio Weights Returns'!$B$9:$BJ$69))+1,MOD(ROW(A3478)-1,COLUMNS('Portfolio Weights Returns'!$B$9:$BJ$69))+1)</f>
        <v>-8.2024545743044459E-4</v>
      </c>
      <c r="B3479">
        <v>2.58E-2</v>
      </c>
      <c r="C3479" s="59">
        <v>-0.28000000000000003</v>
      </c>
      <c r="D3479" s="59">
        <v>-0.13</v>
      </c>
      <c r="E3479" s="60">
        <f t="shared" si="54"/>
        <v>1.41</v>
      </c>
      <c r="F3479" t="str" cm="1">
        <f t="array" ref="F3479">IF(A3479=MAX(IF(ROUND($B$2:$B$3722,4)=ROUND(B3479,4),$A$2:$A$3722)),"Efficient","Inefficient")</f>
        <v>Inefficient</v>
      </c>
    </row>
    <row r="3480" spans="1:6" x14ac:dyDescent="0.25">
      <c r="A3480" cm="1">
        <f t="array" ref="A3480">INDEX('Portfolio Weights Returns'!$B$9:$BJ$69,
INT((ROW(A3479)-1)/COLUMNS('Portfolio Weights Returns'!$B$9:$BJ$69))+1,MOD(ROW(A3479)-1,COLUMNS('Portfolio Weights Returns'!$B$9:$BJ$69))+1)</f>
        <v>-8.1346428346376577E-4</v>
      </c>
      <c r="B3480">
        <v>2.58E-2</v>
      </c>
      <c r="C3480" s="59">
        <v>-0.28999999999999998</v>
      </c>
      <c r="D3480" s="59">
        <v>-0.12</v>
      </c>
      <c r="E3480" s="60">
        <f t="shared" si="54"/>
        <v>1.4100000000000001</v>
      </c>
      <c r="F3480" t="str" cm="1">
        <f t="array" ref="F3480">IF(A3480=MAX(IF(ROUND($B$2:$B$3722,4)=ROUND(B3480,4),$A$2:$A$3722)),"Efficient","Inefficient")</f>
        <v>Inefficient</v>
      </c>
    </row>
    <row r="3481" spans="1:6" x14ac:dyDescent="0.25">
      <c r="A3481" cm="1">
        <f t="array" ref="A3481">INDEX('Portfolio Weights Returns'!$B$9:$BJ$69,
INT((ROW(A3480)-1)/COLUMNS('Portfolio Weights Returns'!$B$9:$BJ$69))+1,MOD(ROW(A3480)-1,COLUMNS('Portfolio Weights Returns'!$B$9:$BJ$69))+1)</f>
        <v>-8.0668310949708641E-4</v>
      </c>
      <c r="B3481">
        <v>2.58E-2</v>
      </c>
      <c r="C3481" s="59">
        <v>-0.3</v>
      </c>
      <c r="D3481" s="59">
        <v>-0.11</v>
      </c>
      <c r="E3481" s="60">
        <f t="shared" si="54"/>
        <v>1.4100000000000001</v>
      </c>
      <c r="F3481" t="str" cm="1">
        <f t="array" ref="F3481">IF(A3481=MAX(IF(ROUND($B$2:$B$3722,4)=ROUND(B3481,4),$A$2:$A$3722)),"Efficient","Inefficient")</f>
        <v>Inefficient</v>
      </c>
    </row>
    <row r="3482" spans="1:6" x14ac:dyDescent="0.25">
      <c r="A3482" cm="1">
        <f t="array" ref="A3482">INDEX('Portfolio Weights Returns'!$B$9:$BJ$69,
INT((ROW(A3481)-1)/COLUMNS('Portfolio Weights Returns'!$B$9:$BJ$69))+1,MOD(ROW(A3481)-1,COLUMNS('Portfolio Weights Returns'!$B$9:$BJ$69))+1)</f>
        <v>-7.9990193553040737E-4</v>
      </c>
      <c r="B3482">
        <v>2.5899999999999999E-2</v>
      </c>
      <c r="C3482" s="59">
        <v>-0.05</v>
      </c>
      <c r="D3482" s="59">
        <v>-0.3</v>
      </c>
      <c r="E3482" s="60">
        <f t="shared" si="54"/>
        <v>1.35</v>
      </c>
      <c r="F3482" t="str" cm="1">
        <f t="array" ref="F3482">IF(A3482=MAX(IF(ROUND($B$2:$B$3722,4)=ROUND(B3482,4),$A$2:$A$3722)),"Efficient","Inefficient")</f>
        <v>Inefficient</v>
      </c>
    </row>
    <row r="3483" spans="1:6" x14ac:dyDescent="0.25">
      <c r="A3483" cm="1">
        <f t="array" ref="A3483">INDEX('Portfolio Weights Returns'!$B$9:$BJ$69,
INT((ROW(A3482)-1)/COLUMNS('Portfolio Weights Returns'!$B$9:$BJ$69))+1,MOD(ROW(A3482)-1,COLUMNS('Portfolio Weights Returns'!$B$9:$BJ$69))+1)</f>
        <v>-7.9312076156372834E-4</v>
      </c>
      <c r="B3483">
        <v>2.5899999999999999E-2</v>
      </c>
      <c r="C3483" s="59">
        <v>-7.0000000000000007E-2</v>
      </c>
      <c r="D3483" s="59">
        <v>-0.28999999999999998</v>
      </c>
      <c r="E3483" s="60">
        <f t="shared" si="54"/>
        <v>1.36</v>
      </c>
      <c r="F3483" t="str" cm="1">
        <f t="array" ref="F3483">IF(A3483=MAX(IF(ROUND($B$2:$B$3722,4)=ROUND(B3483,4),$A$2:$A$3722)),"Efficient","Inefficient")</f>
        <v>Inefficient</v>
      </c>
    </row>
    <row r="3484" spans="1:6" x14ac:dyDescent="0.25">
      <c r="A3484" cm="1">
        <f t="array" ref="A3484">INDEX('Portfolio Weights Returns'!$B$9:$BJ$69,
INT((ROW(A3483)-1)/COLUMNS('Portfolio Weights Returns'!$B$9:$BJ$69))+1,MOD(ROW(A3483)-1,COLUMNS('Portfolio Weights Returns'!$B$9:$BJ$69))+1)</f>
        <v>-7.8633958759704908E-4</v>
      </c>
      <c r="B3484">
        <v>2.5899999999999999E-2</v>
      </c>
      <c r="C3484" s="59">
        <v>-0.1</v>
      </c>
      <c r="D3484" s="59">
        <v>-0.27</v>
      </c>
      <c r="E3484" s="60">
        <f t="shared" si="54"/>
        <v>1.37</v>
      </c>
      <c r="F3484" t="str" cm="1">
        <f t="array" ref="F3484">IF(A3484=MAX(IF(ROUND($B$2:$B$3722,4)=ROUND(B3484,4),$A$2:$A$3722)),"Efficient","Inefficient")</f>
        <v>Inefficient</v>
      </c>
    </row>
    <row r="3485" spans="1:6" x14ac:dyDescent="0.25">
      <c r="A3485" cm="1">
        <f t="array" ref="A3485">INDEX('Portfolio Weights Returns'!$B$9:$BJ$69,
INT((ROW(A3484)-1)/COLUMNS('Portfolio Weights Returns'!$B$9:$BJ$69))+1,MOD(ROW(A3484)-1,COLUMNS('Portfolio Weights Returns'!$B$9:$BJ$69))+1)</f>
        <v>-7.7955841363037005E-4</v>
      </c>
      <c r="B3485">
        <v>2.5899999999999999E-2</v>
      </c>
      <c r="C3485" s="59">
        <v>-0.13</v>
      </c>
      <c r="D3485" s="59">
        <v>-0.25</v>
      </c>
      <c r="E3485" s="60">
        <f t="shared" si="54"/>
        <v>1.38</v>
      </c>
      <c r="F3485" t="str" cm="1">
        <f t="array" ref="F3485">IF(A3485=MAX(IF(ROUND($B$2:$B$3722,4)=ROUND(B3485,4),$A$2:$A$3722)),"Efficient","Inefficient")</f>
        <v>Inefficient</v>
      </c>
    </row>
    <row r="3486" spans="1:6" x14ac:dyDescent="0.25">
      <c r="A3486" cm="1">
        <f t="array" ref="A3486">INDEX('Portfolio Weights Returns'!$B$9:$BJ$69,
INT((ROW(A3485)-1)/COLUMNS('Portfolio Weights Returns'!$B$9:$BJ$69))+1,MOD(ROW(A3485)-1,COLUMNS('Portfolio Weights Returns'!$B$9:$BJ$69))+1)</f>
        <v>-7.727772396636909E-4</v>
      </c>
      <c r="B3486">
        <v>2.5899999999999999E-2</v>
      </c>
      <c r="C3486" s="59">
        <v>-0.16</v>
      </c>
      <c r="D3486" s="59">
        <v>-0.23</v>
      </c>
      <c r="E3486" s="60">
        <f t="shared" si="54"/>
        <v>1.39</v>
      </c>
      <c r="F3486" t="str" cm="1">
        <f t="array" ref="F3486">IF(A3486=MAX(IF(ROUND($B$2:$B$3722,4)=ROUND(B3486,4),$A$2:$A$3722)),"Efficient","Inefficient")</f>
        <v>Inefficient</v>
      </c>
    </row>
    <row r="3487" spans="1:6" x14ac:dyDescent="0.25">
      <c r="A3487" cm="1">
        <f t="array" ref="A3487">INDEX('Portfolio Weights Returns'!$B$9:$BJ$69,
INT((ROW(A3486)-1)/COLUMNS('Portfolio Weights Returns'!$B$9:$BJ$69))+1,MOD(ROW(A3486)-1,COLUMNS('Portfolio Weights Returns'!$B$9:$BJ$69))+1)</f>
        <v>-7.6599606569701187E-4</v>
      </c>
      <c r="B3487">
        <v>2.5899999999999999E-2</v>
      </c>
      <c r="C3487" s="59">
        <v>-0.17</v>
      </c>
      <c r="D3487" s="59">
        <v>-0.22</v>
      </c>
      <c r="E3487" s="60">
        <f t="shared" si="54"/>
        <v>1.39</v>
      </c>
      <c r="F3487" t="str" cm="1">
        <f t="array" ref="F3487">IF(A3487=MAX(IF(ROUND($B$2:$B$3722,4)=ROUND(B3487,4),$A$2:$A$3722)),"Efficient","Inefficient")</f>
        <v>Inefficient</v>
      </c>
    </row>
    <row r="3488" spans="1:6" x14ac:dyDescent="0.25">
      <c r="A3488" cm="1">
        <f t="array" ref="A3488">INDEX('Portfolio Weights Returns'!$B$9:$BJ$69,
INT((ROW(A3487)-1)/COLUMNS('Portfolio Weights Returns'!$B$9:$BJ$69))+1,MOD(ROW(A3487)-1,COLUMNS('Portfolio Weights Returns'!$B$9:$BJ$69))+1)</f>
        <v>-7.5921489173033272E-4</v>
      </c>
      <c r="B3488">
        <v>2.5899999999999999E-2</v>
      </c>
      <c r="C3488" s="59">
        <v>-0.2</v>
      </c>
      <c r="D3488" s="59">
        <v>-0.2</v>
      </c>
      <c r="E3488" s="60">
        <f t="shared" si="54"/>
        <v>1.4</v>
      </c>
      <c r="F3488" t="str" cm="1">
        <f t="array" ref="F3488">IF(A3488=MAX(IF(ROUND($B$2:$B$3722,4)=ROUND(B3488,4),$A$2:$A$3722)),"Efficient","Inefficient")</f>
        <v>Inefficient</v>
      </c>
    </row>
    <row r="3489" spans="1:6" x14ac:dyDescent="0.25">
      <c r="A3489" cm="1">
        <f t="array" ref="A3489">INDEX('Portfolio Weights Returns'!$B$9:$BJ$69,
INT((ROW(A3488)-1)/COLUMNS('Portfolio Weights Returns'!$B$9:$BJ$69))+1,MOD(ROW(A3488)-1,COLUMNS('Portfolio Weights Returns'!$B$9:$BJ$69))+1)</f>
        <v>-7.5243371776365369E-4</v>
      </c>
      <c r="B3489">
        <v>2.5899999999999999E-2</v>
      </c>
      <c r="C3489" s="59">
        <v>-0.21</v>
      </c>
      <c r="D3489" s="59">
        <v>-0.19</v>
      </c>
      <c r="E3489" s="60">
        <f t="shared" si="54"/>
        <v>1.4</v>
      </c>
      <c r="F3489" t="str" cm="1">
        <f t="array" ref="F3489">IF(A3489=MAX(IF(ROUND($B$2:$B$3722,4)=ROUND(B3489,4),$A$2:$A$3722)),"Efficient","Inefficient")</f>
        <v>Inefficient</v>
      </c>
    </row>
    <row r="3490" spans="1:6" x14ac:dyDescent="0.25">
      <c r="A3490" cm="1">
        <f t="array" ref="A3490">INDEX('Portfolio Weights Returns'!$B$9:$BJ$69,
INT((ROW(A3489)-1)/COLUMNS('Portfolio Weights Returns'!$B$9:$BJ$69))+1,MOD(ROW(A3489)-1,COLUMNS('Portfolio Weights Returns'!$B$9:$BJ$69))+1)</f>
        <v>-7.4565254379697454E-4</v>
      </c>
      <c r="B3490">
        <v>2.5899999999999999E-2</v>
      </c>
      <c r="C3490" s="59">
        <v>-0.25</v>
      </c>
      <c r="D3490" s="59">
        <v>-0.16</v>
      </c>
      <c r="E3490" s="60">
        <f t="shared" si="54"/>
        <v>1.41</v>
      </c>
      <c r="F3490" t="str" cm="1">
        <f t="array" ref="F3490">IF(A3490=MAX(IF(ROUND($B$2:$B$3722,4)=ROUND(B3490,4),$A$2:$A$3722)),"Efficient","Inefficient")</f>
        <v>Inefficient</v>
      </c>
    </row>
    <row r="3491" spans="1:6" x14ac:dyDescent="0.25">
      <c r="A3491" cm="1">
        <f t="array" ref="A3491">INDEX('Portfolio Weights Returns'!$B$9:$BJ$69,
INT((ROW(A3490)-1)/COLUMNS('Portfolio Weights Returns'!$B$9:$BJ$69))+1,MOD(ROW(A3490)-1,COLUMNS('Portfolio Weights Returns'!$B$9:$BJ$69))+1)</f>
        <v>-7.3887136983029529E-4</v>
      </c>
      <c r="B3491">
        <v>2.5899999999999999E-2</v>
      </c>
      <c r="C3491" s="59">
        <v>-0.26</v>
      </c>
      <c r="D3491" s="59">
        <v>-0.15</v>
      </c>
      <c r="E3491" s="60">
        <f t="shared" si="54"/>
        <v>1.41</v>
      </c>
      <c r="F3491" t="str" cm="1">
        <f t="array" ref="F3491">IF(A3491=MAX(IF(ROUND($B$2:$B$3722,4)=ROUND(B3491,4),$A$2:$A$3722)),"Efficient","Inefficient")</f>
        <v>Inefficient</v>
      </c>
    </row>
    <row r="3492" spans="1:6" x14ac:dyDescent="0.25">
      <c r="A3492" cm="1">
        <f t="array" ref="A3492">INDEX('Portfolio Weights Returns'!$B$9:$BJ$69,
INT((ROW(A3491)-1)/COLUMNS('Portfolio Weights Returns'!$B$9:$BJ$69))+1,MOD(ROW(A3491)-1,COLUMNS('Portfolio Weights Returns'!$B$9:$BJ$69))+1)</f>
        <v>-7.3209019586361625E-4</v>
      </c>
      <c r="B3492">
        <v>2.5899999999999999E-2</v>
      </c>
      <c r="C3492" s="59">
        <v>-0.27</v>
      </c>
      <c r="D3492" s="59">
        <v>-0.14000000000000001</v>
      </c>
      <c r="E3492" s="60">
        <f t="shared" si="54"/>
        <v>1.4100000000000001</v>
      </c>
      <c r="F3492" t="str" cm="1">
        <f t="array" ref="F3492">IF(A3492=MAX(IF(ROUND($B$2:$B$3722,4)=ROUND(B3492,4),$A$2:$A$3722)),"Efficient","Inefficient")</f>
        <v>Efficient</v>
      </c>
    </row>
    <row r="3493" spans="1:6" x14ac:dyDescent="0.25">
      <c r="A3493" cm="1">
        <f t="array" ref="A3493">INDEX('Portfolio Weights Returns'!$B$9:$BJ$69,
INT((ROW(A3492)-1)/COLUMNS('Portfolio Weights Returns'!$B$9:$BJ$69))+1,MOD(ROW(A3492)-1,COLUMNS('Portfolio Weights Returns'!$B$9:$BJ$69))+1)</f>
        <v>-7.2530902189693711E-4</v>
      </c>
      <c r="B3493">
        <v>2.5999999999999999E-2</v>
      </c>
      <c r="C3493" s="59">
        <v>-0.06</v>
      </c>
      <c r="D3493" s="59">
        <v>-0.3</v>
      </c>
      <c r="E3493" s="60">
        <f t="shared" si="54"/>
        <v>1.36</v>
      </c>
      <c r="F3493" t="str" cm="1">
        <f t="array" ref="F3493">IF(A3493=MAX(IF(ROUND($B$2:$B$3722,4)=ROUND(B3493,4),$A$2:$A$3722)),"Efficient","Inefficient")</f>
        <v>Inefficient</v>
      </c>
    </row>
    <row r="3494" spans="1:6" x14ac:dyDescent="0.25">
      <c r="A3494" cm="1">
        <f t="array" ref="A3494">INDEX('Portfolio Weights Returns'!$B$9:$BJ$69,
INT((ROW(A3493)-1)/COLUMNS('Portfolio Weights Returns'!$B$9:$BJ$69))+1,MOD(ROW(A3493)-1,COLUMNS('Portfolio Weights Returns'!$B$9:$BJ$69))+1)</f>
        <v>-7.1852784793025807E-4</v>
      </c>
      <c r="B3494">
        <v>2.5999999999999999E-2</v>
      </c>
      <c r="C3494" s="59">
        <v>-0.09</v>
      </c>
      <c r="D3494" s="59">
        <v>-0.28000000000000003</v>
      </c>
      <c r="E3494" s="60">
        <f t="shared" si="54"/>
        <v>1.37</v>
      </c>
      <c r="F3494" t="str" cm="1">
        <f t="array" ref="F3494">IF(A3494=MAX(IF(ROUND($B$2:$B$3722,4)=ROUND(B3494,4),$A$2:$A$3722)),"Efficient","Inefficient")</f>
        <v>Inefficient</v>
      </c>
    </row>
    <row r="3495" spans="1:6" x14ac:dyDescent="0.25">
      <c r="A3495" cm="1">
        <f t="array" ref="A3495">INDEX('Portfolio Weights Returns'!$B$9:$BJ$69,
INT((ROW(A3494)-1)/COLUMNS('Portfolio Weights Returns'!$B$9:$BJ$69))+1,MOD(ROW(A3494)-1,COLUMNS('Portfolio Weights Returns'!$B$9:$BJ$69))+1)</f>
        <v>-7.1174667396357904E-4</v>
      </c>
      <c r="B3495">
        <v>2.5999999999999999E-2</v>
      </c>
      <c r="C3495" s="59">
        <v>-0.12</v>
      </c>
      <c r="D3495" s="59">
        <v>-0.26</v>
      </c>
      <c r="E3495" s="60">
        <f t="shared" si="54"/>
        <v>1.38</v>
      </c>
      <c r="F3495" t="str" cm="1">
        <f t="array" ref="F3495">IF(A3495=MAX(IF(ROUND($B$2:$B$3722,4)=ROUND(B3495,4),$A$2:$A$3722)),"Efficient","Inefficient")</f>
        <v>Inefficient</v>
      </c>
    </row>
    <row r="3496" spans="1:6" x14ac:dyDescent="0.25">
      <c r="A3496" cm="1">
        <f t="array" ref="A3496">INDEX('Portfolio Weights Returns'!$B$9:$BJ$69,
INT((ROW(A3495)-1)/COLUMNS('Portfolio Weights Returns'!$B$9:$BJ$69))+1,MOD(ROW(A3495)-1,COLUMNS('Portfolio Weights Returns'!$B$9:$BJ$69))+1)</f>
        <v>-7.0496549999689989E-4</v>
      </c>
      <c r="B3496">
        <v>2.5999999999999999E-2</v>
      </c>
      <c r="C3496" s="59">
        <v>-0.15</v>
      </c>
      <c r="D3496" s="59">
        <v>-0.24</v>
      </c>
      <c r="E3496" s="60">
        <f t="shared" si="54"/>
        <v>1.39</v>
      </c>
      <c r="F3496" t="str" cm="1">
        <f t="array" ref="F3496">IF(A3496=MAX(IF(ROUND($B$2:$B$3722,4)=ROUND(B3496,4),$A$2:$A$3722)),"Efficient","Inefficient")</f>
        <v>Inefficient</v>
      </c>
    </row>
    <row r="3497" spans="1:6" x14ac:dyDescent="0.25">
      <c r="A3497" cm="1">
        <f t="array" ref="A3497">INDEX('Portfolio Weights Returns'!$B$9:$BJ$69,
INT((ROW(A3496)-1)/COLUMNS('Portfolio Weights Returns'!$B$9:$BJ$69))+1,MOD(ROW(A3496)-1,COLUMNS('Portfolio Weights Returns'!$B$9:$BJ$69))+1)</f>
        <v>-6.9818432603022086E-4</v>
      </c>
      <c r="B3497">
        <v>2.5999999999999999E-2</v>
      </c>
      <c r="C3497" s="59">
        <v>-0.19</v>
      </c>
      <c r="D3497" s="59">
        <v>-0.21</v>
      </c>
      <c r="E3497" s="60">
        <f t="shared" si="54"/>
        <v>1.4</v>
      </c>
      <c r="F3497" t="str" cm="1">
        <f t="array" ref="F3497">IF(A3497=MAX(IF(ROUND($B$2:$B$3722,4)=ROUND(B3497,4),$A$2:$A$3722)),"Efficient","Inefficient")</f>
        <v>Inefficient</v>
      </c>
    </row>
    <row r="3498" spans="1:6" x14ac:dyDescent="0.25">
      <c r="A3498" cm="1">
        <f t="array" ref="A3498">INDEX('Portfolio Weights Returns'!$B$9:$BJ$69,
INT((ROW(A3497)-1)/COLUMNS('Portfolio Weights Returns'!$B$9:$BJ$69))+1,MOD(ROW(A3497)-1,COLUMNS('Portfolio Weights Returns'!$B$9:$BJ$69))+1)</f>
        <v>-6.9140315206354182E-4</v>
      </c>
      <c r="B3498">
        <v>2.5999999999999999E-2</v>
      </c>
      <c r="C3498" s="59">
        <v>-0.23</v>
      </c>
      <c r="D3498" s="59">
        <v>-0.18</v>
      </c>
      <c r="E3498" s="60">
        <f t="shared" si="54"/>
        <v>1.41</v>
      </c>
      <c r="F3498" t="str" cm="1">
        <f t="array" ref="F3498">IF(A3498=MAX(IF(ROUND($B$2:$B$3722,4)=ROUND(B3498,4),$A$2:$A$3722)),"Efficient","Inefficient")</f>
        <v>Inefficient</v>
      </c>
    </row>
    <row r="3499" spans="1:6" x14ac:dyDescent="0.25">
      <c r="A3499" cm="1">
        <f t="array" ref="A3499">INDEX('Portfolio Weights Returns'!$B$9:$BJ$69,
INT((ROW(A3498)-1)/COLUMNS('Portfolio Weights Returns'!$B$9:$BJ$69))+1,MOD(ROW(A3498)-1,COLUMNS('Portfolio Weights Returns'!$B$9:$BJ$69))+1)</f>
        <v>-6.8462197809686267E-4</v>
      </c>
      <c r="B3499">
        <v>2.5999999999999999E-2</v>
      </c>
      <c r="C3499" s="59">
        <v>-0.24</v>
      </c>
      <c r="D3499" s="59">
        <v>-0.17</v>
      </c>
      <c r="E3499" s="60">
        <f t="shared" si="54"/>
        <v>1.41</v>
      </c>
      <c r="F3499" t="str" cm="1">
        <f t="array" ref="F3499">IF(A3499=MAX(IF(ROUND($B$2:$B$3722,4)=ROUND(B3499,4),$A$2:$A$3722)),"Efficient","Inefficient")</f>
        <v>Inefficient</v>
      </c>
    </row>
    <row r="3500" spans="1:6" x14ac:dyDescent="0.25">
      <c r="A3500" cm="1">
        <f t="array" ref="A3500">INDEX('Portfolio Weights Returns'!$B$9:$BJ$69,
INT((ROW(A3499)-1)/COLUMNS('Portfolio Weights Returns'!$B$9:$BJ$69))+1,MOD(ROW(A3499)-1,COLUMNS('Portfolio Weights Returns'!$B$9:$BJ$69))+1)</f>
        <v>-6.7784080413018353E-4</v>
      </c>
      <c r="B3500">
        <v>2.5999999999999999E-2</v>
      </c>
      <c r="C3500" s="59">
        <v>-0.28000000000000003</v>
      </c>
      <c r="D3500" s="59">
        <v>-0.14000000000000001</v>
      </c>
      <c r="E3500" s="60">
        <f t="shared" si="54"/>
        <v>1.4200000000000002</v>
      </c>
      <c r="F3500" t="str" cm="1">
        <f t="array" ref="F3500">IF(A3500=MAX(IF(ROUND($B$2:$B$3722,4)=ROUND(B3500,4),$A$2:$A$3722)),"Efficient","Inefficient")</f>
        <v>Inefficient</v>
      </c>
    </row>
    <row r="3501" spans="1:6" x14ac:dyDescent="0.25">
      <c r="A3501" cm="1">
        <f t="array" ref="A3501">INDEX('Portfolio Weights Returns'!$B$9:$BJ$69,
INT((ROW(A3500)-1)/COLUMNS('Portfolio Weights Returns'!$B$9:$BJ$69))+1,MOD(ROW(A3500)-1,COLUMNS('Portfolio Weights Returns'!$B$9:$BJ$69))+1)</f>
        <v>-6.7105963016350449E-4</v>
      </c>
      <c r="B3501">
        <v>2.5999999999999999E-2</v>
      </c>
      <c r="C3501" s="59">
        <v>-0.28999999999999998</v>
      </c>
      <c r="D3501" s="59">
        <v>-0.13</v>
      </c>
      <c r="E3501" s="60">
        <f t="shared" si="54"/>
        <v>1.42</v>
      </c>
      <c r="F3501" t="str" cm="1">
        <f t="array" ref="F3501">IF(A3501=MAX(IF(ROUND($B$2:$B$3722,4)=ROUND(B3501,4),$A$2:$A$3722)),"Efficient","Inefficient")</f>
        <v>Inefficient</v>
      </c>
    </row>
    <row r="3502" spans="1:6" x14ac:dyDescent="0.25">
      <c r="A3502" cm="1">
        <f t="array" ref="A3502">INDEX('Portfolio Weights Returns'!$B$9:$BJ$69,
INT((ROW(A3501)-1)/COLUMNS('Portfolio Weights Returns'!$B$9:$BJ$69))+1,MOD(ROW(A3501)-1,COLUMNS('Portfolio Weights Returns'!$B$9:$BJ$69))+1)</f>
        <v>-6.6427845619682524E-4</v>
      </c>
      <c r="B3502">
        <v>2.5999999999999999E-2</v>
      </c>
      <c r="C3502" s="59">
        <v>-0.3</v>
      </c>
      <c r="D3502" s="59">
        <v>-0.12</v>
      </c>
      <c r="E3502" s="60">
        <f t="shared" si="54"/>
        <v>1.4200000000000002</v>
      </c>
      <c r="F3502" t="str" cm="1">
        <f t="array" ref="F3502">IF(A3502=MAX(IF(ROUND($B$2:$B$3722,4)=ROUND(B3502,4),$A$2:$A$3722)),"Efficient","Inefficient")</f>
        <v>Efficient</v>
      </c>
    </row>
    <row r="3503" spans="1:6" x14ac:dyDescent="0.25">
      <c r="A3503" cm="1">
        <f t="array" ref="A3503">INDEX('Portfolio Weights Returns'!$B$9:$BJ$69,
INT((ROW(A3502)-1)/COLUMNS('Portfolio Weights Returns'!$B$9:$BJ$69))+1,MOD(ROW(A3502)-1,COLUMNS('Portfolio Weights Returns'!$B$9:$BJ$69))+1)</f>
        <v>-6.5749728223014621E-4</v>
      </c>
      <c r="B3503">
        <v>2.6100000000000002E-2</v>
      </c>
      <c r="C3503" s="59">
        <v>-0.08</v>
      </c>
      <c r="D3503" s="59">
        <v>-0.28999999999999998</v>
      </c>
      <c r="E3503" s="60">
        <f t="shared" si="54"/>
        <v>1.37</v>
      </c>
      <c r="F3503" t="str" cm="1">
        <f t="array" ref="F3503">IF(A3503=MAX(IF(ROUND($B$2:$B$3722,4)=ROUND(B3503,4),$A$2:$A$3722)),"Efficient","Inefficient")</f>
        <v>Inefficient</v>
      </c>
    </row>
    <row r="3504" spans="1:6" x14ac:dyDescent="0.25">
      <c r="A3504" cm="1">
        <f t="array" ref="A3504">INDEX('Portfolio Weights Returns'!$B$9:$BJ$69,
INT((ROW(A3503)-1)/COLUMNS('Portfolio Weights Returns'!$B$9:$BJ$69))+1,MOD(ROW(A3503)-1,COLUMNS('Portfolio Weights Returns'!$B$9:$BJ$69))+1)</f>
        <v>-6.5071610826346706E-4</v>
      </c>
      <c r="B3504">
        <v>2.6100000000000002E-2</v>
      </c>
      <c r="C3504" s="59">
        <v>-0.11</v>
      </c>
      <c r="D3504" s="59">
        <v>-0.27</v>
      </c>
      <c r="E3504" s="60">
        <f t="shared" si="54"/>
        <v>1.3800000000000001</v>
      </c>
      <c r="F3504" t="str" cm="1">
        <f t="array" ref="F3504">IF(A3504=MAX(IF(ROUND($B$2:$B$3722,4)=ROUND(B3504,4),$A$2:$A$3722)),"Efficient","Inefficient")</f>
        <v>Inefficient</v>
      </c>
    </row>
    <row r="3505" spans="1:6" x14ac:dyDescent="0.25">
      <c r="A3505" cm="1">
        <f t="array" ref="A3505">INDEX('Portfolio Weights Returns'!$B$9:$BJ$69,
INT((ROW(A3504)-1)/COLUMNS('Portfolio Weights Returns'!$B$9:$BJ$69))+1,MOD(ROW(A3504)-1,COLUMNS('Portfolio Weights Returns'!$B$9:$BJ$69))+1)</f>
        <v>-6.4393493429678803E-4</v>
      </c>
      <c r="B3505">
        <v>2.6100000000000002E-2</v>
      </c>
      <c r="C3505" s="59">
        <v>-0.14000000000000001</v>
      </c>
      <c r="D3505" s="59">
        <v>-0.25</v>
      </c>
      <c r="E3505" s="60">
        <f t="shared" si="54"/>
        <v>1.3900000000000001</v>
      </c>
      <c r="F3505" t="str" cm="1">
        <f t="array" ref="F3505">IF(A3505=MAX(IF(ROUND($B$2:$B$3722,4)=ROUND(B3505,4),$A$2:$A$3722)),"Efficient","Inefficient")</f>
        <v>Inefficient</v>
      </c>
    </row>
    <row r="3506" spans="1:6" x14ac:dyDescent="0.25">
      <c r="A3506" cm="1">
        <f t="array" ref="A3506">INDEX('Portfolio Weights Returns'!$B$9:$BJ$69,
INT((ROW(A3505)-1)/COLUMNS('Portfolio Weights Returns'!$B$9:$BJ$69))+1,MOD(ROW(A3505)-1,COLUMNS('Portfolio Weights Returns'!$B$9:$BJ$69))+1)</f>
        <v>-6.3715376033010888E-4</v>
      </c>
      <c r="B3506">
        <v>2.6100000000000002E-2</v>
      </c>
      <c r="C3506" s="59">
        <v>-0.17</v>
      </c>
      <c r="D3506" s="59">
        <v>-0.23</v>
      </c>
      <c r="E3506" s="60">
        <f t="shared" si="54"/>
        <v>1.4</v>
      </c>
      <c r="F3506" t="str" cm="1">
        <f t="array" ref="F3506">IF(A3506=MAX(IF(ROUND($B$2:$B$3722,4)=ROUND(B3506,4),$A$2:$A$3722)),"Efficient","Inefficient")</f>
        <v>Inefficient</v>
      </c>
    </row>
    <row r="3507" spans="1:6" x14ac:dyDescent="0.25">
      <c r="A3507" cm="1">
        <f t="array" ref="A3507">INDEX('Portfolio Weights Returns'!$B$9:$BJ$69,
INT((ROW(A3506)-1)/COLUMNS('Portfolio Weights Returns'!$B$9:$BJ$69))+1,MOD(ROW(A3506)-1,COLUMNS('Portfolio Weights Returns'!$B$9:$BJ$69))+1)</f>
        <v>-6.3037258636342984E-4</v>
      </c>
      <c r="B3507">
        <v>2.6100000000000002E-2</v>
      </c>
      <c r="C3507" s="59">
        <v>-0.18</v>
      </c>
      <c r="D3507" s="59">
        <v>-0.22</v>
      </c>
      <c r="E3507" s="60">
        <f t="shared" si="54"/>
        <v>1.4</v>
      </c>
      <c r="F3507" t="str" cm="1">
        <f t="array" ref="F3507">IF(A3507=MAX(IF(ROUND($B$2:$B$3722,4)=ROUND(B3507,4),$A$2:$A$3722)),"Efficient","Inefficient")</f>
        <v>Inefficient</v>
      </c>
    </row>
    <row r="3508" spans="1:6" x14ac:dyDescent="0.25">
      <c r="A3508" cm="1">
        <f t="array" ref="A3508">INDEX('Portfolio Weights Returns'!$B$9:$BJ$69,
INT((ROW(A3507)-1)/COLUMNS('Portfolio Weights Returns'!$B$9:$BJ$69))+1,MOD(ROW(A3507)-1,COLUMNS('Portfolio Weights Returns'!$B$9:$BJ$69))+1)</f>
        <v>-6.235914123967507E-4</v>
      </c>
      <c r="B3508">
        <v>2.6100000000000002E-2</v>
      </c>
      <c r="C3508" s="59">
        <v>-0.21</v>
      </c>
      <c r="D3508" s="59">
        <v>-0.2</v>
      </c>
      <c r="E3508" s="60">
        <f t="shared" si="54"/>
        <v>1.41</v>
      </c>
      <c r="F3508" t="str" cm="1">
        <f t="array" ref="F3508">IF(A3508=MAX(IF(ROUND($B$2:$B$3722,4)=ROUND(B3508,4),$A$2:$A$3722)),"Efficient","Inefficient")</f>
        <v>Inefficient</v>
      </c>
    </row>
    <row r="3509" spans="1:6" x14ac:dyDescent="0.25">
      <c r="A3509" cm="1">
        <f t="array" ref="A3509">INDEX('Portfolio Weights Returns'!$B$9:$BJ$69,
INT((ROW(A3508)-1)/COLUMNS('Portfolio Weights Returns'!$B$9:$BJ$69))+1,MOD(ROW(A3508)-1,COLUMNS('Portfolio Weights Returns'!$B$9:$BJ$69))+1)</f>
        <v>-6.1681023843007145E-4</v>
      </c>
      <c r="B3509">
        <v>2.6100000000000002E-2</v>
      </c>
      <c r="C3509" s="59">
        <v>-0.22</v>
      </c>
      <c r="D3509" s="59">
        <v>-0.19</v>
      </c>
      <c r="E3509" s="60">
        <f t="shared" si="54"/>
        <v>1.41</v>
      </c>
      <c r="F3509" t="str" cm="1">
        <f t="array" ref="F3509">IF(A3509=MAX(IF(ROUND($B$2:$B$3722,4)=ROUND(B3509,4),$A$2:$A$3722)),"Efficient","Inefficient")</f>
        <v>Inefficient</v>
      </c>
    </row>
    <row r="3510" spans="1:6" x14ac:dyDescent="0.25">
      <c r="A3510" cm="1">
        <f t="array" ref="A3510">INDEX('Portfolio Weights Returns'!$B$9:$BJ$69,
INT((ROW(A3509)-1)/COLUMNS('Portfolio Weights Returns'!$B$9:$BJ$69))+1,MOD(ROW(A3509)-1,COLUMNS('Portfolio Weights Returns'!$B$9:$BJ$69))+1)</f>
        <v>-6.1002906446339241E-4</v>
      </c>
      <c r="B3510">
        <v>2.6100000000000002E-2</v>
      </c>
      <c r="C3510" s="59">
        <v>-0.25</v>
      </c>
      <c r="D3510" s="59">
        <v>-0.17</v>
      </c>
      <c r="E3510" s="60">
        <f t="shared" si="54"/>
        <v>1.42</v>
      </c>
      <c r="F3510" t="str" cm="1">
        <f t="array" ref="F3510">IF(A3510=MAX(IF(ROUND($B$2:$B$3722,4)=ROUND(B3510,4),$A$2:$A$3722)),"Efficient","Inefficient")</f>
        <v>Inefficient</v>
      </c>
    </row>
    <row r="3511" spans="1:6" x14ac:dyDescent="0.25">
      <c r="A3511" cm="1">
        <f t="array" ref="A3511">INDEX('Portfolio Weights Returns'!$B$9:$BJ$69,
INT((ROW(A3510)-1)/COLUMNS('Portfolio Weights Returns'!$B$9:$BJ$69))+1,MOD(ROW(A3510)-1,COLUMNS('Portfolio Weights Returns'!$B$9:$BJ$69))+1)</f>
        <v>-6.0324789049671327E-4</v>
      </c>
      <c r="B3511">
        <v>2.6100000000000002E-2</v>
      </c>
      <c r="C3511" s="59">
        <v>-0.26</v>
      </c>
      <c r="D3511" s="59">
        <v>-0.16</v>
      </c>
      <c r="E3511" s="60">
        <f t="shared" si="54"/>
        <v>1.42</v>
      </c>
      <c r="F3511" t="str" cm="1">
        <f t="array" ref="F3511">IF(A3511=MAX(IF(ROUND($B$2:$B$3722,4)=ROUND(B3511,4),$A$2:$A$3722)),"Efficient","Inefficient")</f>
        <v>Inefficient</v>
      </c>
    </row>
    <row r="3512" spans="1:6" x14ac:dyDescent="0.25">
      <c r="A3512" cm="1">
        <f t="array" ref="A3512">INDEX('Portfolio Weights Returns'!$B$9:$BJ$69,
INT((ROW(A3511)-1)/COLUMNS('Portfolio Weights Returns'!$B$9:$BJ$69))+1,MOD(ROW(A3511)-1,COLUMNS('Portfolio Weights Returns'!$B$9:$BJ$69))+1)</f>
        <v>-5.9646671653003423E-4</v>
      </c>
      <c r="B3512">
        <v>2.6100000000000002E-2</v>
      </c>
      <c r="C3512" s="59">
        <v>-0.27</v>
      </c>
      <c r="D3512" s="59">
        <v>-0.15</v>
      </c>
      <c r="E3512" s="60">
        <f t="shared" si="54"/>
        <v>1.42</v>
      </c>
      <c r="F3512" t="str" cm="1">
        <f t="array" ref="F3512">IF(A3512=MAX(IF(ROUND($B$2:$B$3722,4)=ROUND(B3512,4),$A$2:$A$3722)),"Efficient","Inefficient")</f>
        <v>Efficient</v>
      </c>
    </row>
    <row r="3513" spans="1:6" x14ac:dyDescent="0.25">
      <c r="A3513" cm="1">
        <f t="array" ref="A3513">INDEX('Portfolio Weights Returns'!$B$9:$BJ$69,
INT((ROW(A3512)-1)/COLUMNS('Portfolio Weights Returns'!$B$9:$BJ$69))+1,MOD(ROW(A3512)-1,COLUMNS('Portfolio Weights Returns'!$B$9:$BJ$69))+1)</f>
        <v>-5.8968554256335509E-4</v>
      </c>
      <c r="B3513">
        <v>2.6200000000000001E-2</v>
      </c>
      <c r="C3513" s="59">
        <v>-7.0000000000000007E-2</v>
      </c>
      <c r="D3513" s="59">
        <v>-0.3</v>
      </c>
      <c r="E3513" s="60">
        <f t="shared" si="54"/>
        <v>1.37</v>
      </c>
      <c r="F3513" t="str" cm="1">
        <f t="array" ref="F3513">IF(A3513=MAX(IF(ROUND($B$2:$B$3722,4)=ROUND(B3513,4),$A$2:$A$3722)),"Efficient","Inefficient")</f>
        <v>Inefficient</v>
      </c>
    </row>
    <row r="3514" spans="1:6" x14ac:dyDescent="0.25">
      <c r="A3514" cm="1">
        <f t="array" ref="A3514">INDEX('Portfolio Weights Returns'!$B$9:$BJ$69,
INT((ROW(A3513)-1)/COLUMNS('Portfolio Weights Returns'!$B$9:$BJ$69))+1,MOD(ROW(A3513)-1,COLUMNS('Portfolio Weights Returns'!$B$9:$BJ$69))+1)</f>
        <v>-5.8290436859667605E-4</v>
      </c>
      <c r="B3514">
        <v>2.6200000000000001E-2</v>
      </c>
      <c r="C3514" s="59">
        <v>-0.1</v>
      </c>
      <c r="D3514" s="59">
        <v>-0.28000000000000003</v>
      </c>
      <c r="E3514" s="60">
        <f t="shared" si="54"/>
        <v>1.3800000000000001</v>
      </c>
      <c r="F3514" t="str" cm="1">
        <f t="array" ref="F3514">IF(A3514=MAX(IF(ROUND($B$2:$B$3722,4)=ROUND(B3514,4),$A$2:$A$3722)),"Efficient","Inefficient")</f>
        <v>Inefficient</v>
      </c>
    </row>
    <row r="3515" spans="1:6" x14ac:dyDescent="0.25">
      <c r="A3515" cm="1">
        <f t="array" ref="A3515">INDEX('Portfolio Weights Returns'!$B$9:$BJ$69,
INT((ROW(A3514)-1)/COLUMNS('Portfolio Weights Returns'!$B$9:$BJ$69))+1,MOD(ROW(A3514)-1,COLUMNS('Portfolio Weights Returns'!$B$9:$BJ$69))+1)</f>
        <v>-5.7612319462999691E-4</v>
      </c>
      <c r="B3515">
        <v>2.6200000000000001E-2</v>
      </c>
      <c r="C3515" s="59">
        <v>-0.13</v>
      </c>
      <c r="D3515" s="59">
        <v>-0.26</v>
      </c>
      <c r="E3515" s="60">
        <f t="shared" si="54"/>
        <v>1.3900000000000001</v>
      </c>
      <c r="F3515" t="str" cm="1">
        <f t="array" ref="F3515">IF(A3515=MAX(IF(ROUND($B$2:$B$3722,4)=ROUND(B3515,4),$A$2:$A$3722)),"Efficient","Inefficient")</f>
        <v>Inefficient</v>
      </c>
    </row>
    <row r="3516" spans="1:6" x14ac:dyDescent="0.25">
      <c r="A3516" cm="1">
        <f t="array" ref="A3516">INDEX('Portfolio Weights Returns'!$B$9:$BJ$69,
INT((ROW(A3515)-1)/COLUMNS('Portfolio Weights Returns'!$B$9:$BJ$69))+1,MOD(ROW(A3515)-1,COLUMNS('Portfolio Weights Returns'!$B$9:$BJ$69))+1)</f>
        <v>-5.6934202066331776E-4</v>
      </c>
      <c r="B3516">
        <v>2.6200000000000001E-2</v>
      </c>
      <c r="C3516" s="59">
        <v>-0.16</v>
      </c>
      <c r="D3516" s="59">
        <v>-0.24</v>
      </c>
      <c r="E3516" s="60">
        <f t="shared" si="54"/>
        <v>1.4</v>
      </c>
      <c r="F3516" t="str" cm="1">
        <f t="array" ref="F3516">IF(A3516=MAX(IF(ROUND($B$2:$B$3722,4)=ROUND(B3516,4),$A$2:$A$3722)),"Efficient","Inefficient")</f>
        <v>Inefficient</v>
      </c>
    </row>
    <row r="3517" spans="1:6" x14ac:dyDescent="0.25">
      <c r="A3517" cm="1">
        <f t="array" ref="A3517">INDEX('Portfolio Weights Returns'!$B$9:$BJ$69,
INT((ROW(A3516)-1)/COLUMNS('Portfolio Weights Returns'!$B$9:$BJ$69))+1,MOD(ROW(A3516)-1,COLUMNS('Portfolio Weights Returns'!$B$9:$BJ$69))+1)</f>
        <v>-5.6256084669663873E-4</v>
      </c>
      <c r="B3517">
        <v>2.6200000000000001E-2</v>
      </c>
      <c r="C3517" s="59">
        <v>-0.19</v>
      </c>
      <c r="D3517" s="59">
        <v>-0.22</v>
      </c>
      <c r="E3517" s="60">
        <f t="shared" si="54"/>
        <v>1.41</v>
      </c>
      <c r="F3517" t="str" cm="1">
        <f t="array" ref="F3517">IF(A3517=MAX(IF(ROUND($B$2:$B$3722,4)=ROUND(B3517,4),$A$2:$A$3722)),"Efficient","Inefficient")</f>
        <v>Inefficient</v>
      </c>
    </row>
    <row r="3518" spans="1:6" x14ac:dyDescent="0.25">
      <c r="A3518" cm="1">
        <f t="array" ref="A3518">INDEX('Portfolio Weights Returns'!$B$9:$BJ$69,
INT((ROW(A3517)-1)/COLUMNS('Portfolio Weights Returns'!$B$9:$BJ$69))+1,MOD(ROW(A3517)-1,COLUMNS('Portfolio Weights Returns'!$B$9:$BJ$69))+1)</f>
        <v>-5.5577967272995958E-4</v>
      </c>
      <c r="B3518">
        <v>2.6200000000000001E-2</v>
      </c>
      <c r="C3518" s="59">
        <v>-0.2</v>
      </c>
      <c r="D3518" s="59">
        <v>-0.21</v>
      </c>
      <c r="E3518" s="60">
        <f t="shared" si="54"/>
        <v>1.41</v>
      </c>
      <c r="F3518" t="str" cm="1">
        <f t="array" ref="F3518">IF(A3518=MAX(IF(ROUND($B$2:$B$3722,4)=ROUND(B3518,4),$A$2:$A$3722)),"Efficient","Inefficient")</f>
        <v>Inefficient</v>
      </c>
    </row>
    <row r="3519" spans="1:6" x14ac:dyDescent="0.25">
      <c r="A3519" cm="1">
        <f t="array" ref="A3519">INDEX('Portfolio Weights Returns'!$B$9:$BJ$69,
INT((ROW(A3518)-1)/COLUMNS('Portfolio Weights Returns'!$B$9:$BJ$69))+1,MOD(ROW(A3518)-1,COLUMNS('Portfolio Weights Returns'!$B$9:$BJ$69))+1)</f>
        <v>-5.4899849876328055E-4</v>
      </c>
      <c r="B3519">
        <v>2.6200000000000001E-2</v>
      </c>
      <c r="C3519" s="59">
        <v>-0.23</v>
      </c>
      <c r="D3519" s="59">
        <v>-0.19</v>
      </c>
      <c r="E3519" s="60">
        <f t="shared" si="54"/>
        <v>1.42</v>
      </c>
      <c r="F3519" t="str" cm="1">
        <f t="array" ref="F3519">IF(A3519=MAX(IF(ROUND($B$2:$B$3722,4)=ROUND(B3519,4),$A$2:$A$3722)),"Efficient","Inefficient")</f>
        <v>Inefficient</v>
      </c>
    </row>
    <row r="3520" spans="1:6" x14ac:dyDescent="0.25">
      <c r="A3520" cm="1">
        <f t="array" ref="A3520">INDEX('Portfolio Weights Returns'!$B$9:$BJ$69,
INT((ROW(A3519)-1)/COLUMNS('Portfolio Weights Returns'!$B$9:$BJ$69))+1,MOD(ROW(A3519)-1,COLUMNS('Portfolio Weights Returns'!$B$9:$BJ$69))+1)</f>
        <v>-5.422173247966014E-4</v>
      </c>
      <c r="B3520">
        <v>2.6200000000000001E-2</v>
      </c>
      <c r="C3520" s="59">
        <v>-0.24</v>
      </c>
      <c r="D3520" s="59">
        <v>-0.18</v>
      </c>
      <c r="E3520" s="60">
        <f t="shared" si="54"/>
        <v>1.42</v>
      </c>
      <c r="F3520" t="str" cm="1">
        <f t="array" ref="F3520">IF(A3520=MAX(IF(ROUND($B$2:$B$3722,4)=ROUND(B3520,4),$A$2:$A$3722)),"Efficient","Inefficient")</f>
        <v>Inefficient</v>
      </c>
    </row>
    <row r="3521" spans="1:6" x14ac:dyDescent="0.25">
      <c r="A3521" cm="1">
        <f t="array" ref="A3521">INDEX('Portfolio Weights Returns'!$B$9:$BJ$69,
INT((ROW(A3520)-1)/COLUMNS('Portfolio Weights Returns'!$B$9:$BJ$69))+1,MOD(ROW(A3520)-1,COLUMNS('Portfolio Weights Returns'!$B$9:$BJ$69))+1)</f>
        <v>-5.3543615082992226E-4</v>
      </c>
      <c r="B3521">
        <v>2.6200000000000001E-2</v>
      </c>
      <c r="C3521" s="59">
        <v>-0.28000000000000003</v>
      </c>
      <c r="D3521" s="59">
        <v>-0.15</v>
      </c>
      <c r="E3521" s="60">
        <f t="shared" si="54"/>
        <v>1.43</v>
      </c>
      <c r="F3521" t="str" cm="1">
        <f t="array" ref="F3521">IF(A3521=MAX(IF(ROUND($B$2:$B$3722,4)=ROUND(B3521,4),$A$2:$A$3722)),"Efficient","Inefficient")</f>
        <v>Inefficient</v>
      </c>
    </row>
    <row r="3522" spans="1:6" x14ac:dyDescent="0.25">
      <c r="A3522" cm="1">
        <f t="array" ref="A3522">INDEX('Portfolio Weights Returns'!$B$9:$BJ$69,
INT((ROW(A3521)-1)/COLUMNS('Portfolio Weights Returns'!$B$9:$BJ$69))+1,MOD(ROW(A3521)-1,COLUMNS('Portfolio Weights Returns'!$B$9:$BJ$69))+1)</f>
        <v>-5.2865497686324322E-4</v>
      </c>
      <c r="B3522">
        <v>2.6200000000000001E-2</v>
      </c>
      <c r="C3522" s="59">
        <v>-0.28999999999999998</v>
      </c>
      <c r="D3522" s="59">
        <v>-0.14000000000000001</v>
      </c>
      <c r="E3522" s="60">
        <f t="shared" ref="E3522:E3585" si="55">1-D3522-C3522</f>
        <v>1.4300000000000002</v>
      </c>
      <c r="F3522" t="str" cm="1">
        <f t="array" ref="F3522">IF(A3522=MAX(IF(ROUND($B$2:$B$3722,4)=ROUND(B3522,4),$A$2:$A$3722)),"Efficient","Inefficient")</f>
        <v>Inefficient</v>
      </c>
    </row>
    <row r="3523" spans="1:6" x14ac:dyDescent="0.25">
      <c r="A3523" cm="1">
        <f t="array" ref="A3523">INDEX('Portfolio Weights Returns'!$B$9:$BJ$69,
INT((ROW(A3522)-1)/COLUMNS('Portfolio Weights Returns'!$B$9:$BJ$69))+1,MOD(ROW(A3522)-1,COLUMNS('Portfolio Weights Returns'!$B$9:$BJ$69))+1)</f>
        <v>-5.2187380289656408E-4</v>
      </c>
      <c r="B3523">
        <v>2.6200000000000001E-2</v>
      </c>
      <c r="C3523" s="59">
        <v>-0.3</v>
      </c>
      <c r="D3523" s="59">
        <v>-0.13</v>
      </c>
      <c r="E3523" s="60">
        <f t="shared" si="55"/>
        <v>1.43</v>
      </c>
      <c r="F3523" t="str" cm="1">
        <f t="array" ref="F3523">IF(A3523=MAX(IF(ROUND($B$2:$B$3722,4)=ROUND(B3523,4),$A$2:$A$3722)),"Efficient","Inefficient")</f>
        <v>Efficient</v>
      </c>
    </row>
    <row r="3524" spans="1:6" x14ac:dyDescent="0.25">
      <c r="A3524" cm="1">
        <f t="array" ref="A3524">INDEX('Portfolio Weights Returns'!$B$9:$BJ$69,
INT((ROW(A3523)-1)/COLUMNS('Portfolio Weights Returns'!$B$9:$BJ$69))+1,MOD(ROW(A3523)-1,COLUMNS('Portfolio Weights Returns'!$B$9:$BJ$69))+1)</f>
        <v>-5.1509262892988493E-4</v>
      </c>
      <c r="B3524">
        <v>2.63E-2</v>
      </c>
      <c r="C3524" s="59">
        <v>-0.09</v>
      </c>
      <c r="D3524" s="59">
        <v>-0.28999999999999998</v>
      </c>
      <c r="E3524" s="60">
        <f t="shared" si="55"/>
        <v>1.3800000000000001</v>
      </c>
      <c r="F3524" t="str" cm="1">
        <f t="array" ref="F3524">IF(A3524=MAX(IF(ROUND($B$2:$B$3722,4)=ROUND(B3524,4),$A$2:$A$3722)),"Efficient","Inefficient")</f>
        <v>Inefficient</v>
      </c>
    </row>
    <row r="3525" spans="1:6" x14ac:dyDescent="0.25">
      <c r="A3525" cm="1">
        <f t="array" ref="A3525">INDEX('Portfolio Weights Returns'!$B$9:$BJ$69,
INT((ROW(A3524)-1)/COLUMNS('Portfolio Weights Returns'!$B$9:$BJ$69))+1,MOD(ROW(A3524)-1,COLUMNS('Portfolio Weights Returns'!$B$9:$BJ$69))+1)</f>
        <v>-5.083114549632059E-4</v>
      </c>
      <c r="B3525">
        <v>2.63E-2</v>
      </c>
      <c r="C3525" s="59">
        <v>-0.11</v>
      </c>
      <c r="D3525" s="59">
        <v>-0.28000000000000003</v>
      </c>
      <c r="E3525" s="60">
        <f t="shared" si="55"/>
        <v>1.3900000000000001</v>
      </c>
      <c r="F3525" t="str" cm="1">
        <f t="array" ref="F3525">IF(A3525=MAX(IF(ROUND($B$2:$B$3722,4)=ROUND(B3525,4),$A$2:$A$3722)),"Efficient","Inefficient")</f>
        <v>Inefficient</v>
      </c>
    </row>
    <row r="3526" spans="1:6" x14ac:dyDescent="0.25">
      <c r="A3526" cm="1">
        <f t="array" ref="A3526">INDEX('Portfolio Weights Returns'!$B$9:$BJ$69,
INT((ROW(A3525)-1)/COLUMNS('Portfolio Weights Returns'!$B$9:$BJ$69))+1,MOD(ROW(A3525)-1,COLUMNS('Portfolio Weights Returns'!$B$9:$BJ$69))+1)</f>
        <v>-5.0153028099652675E-4</v>
      </c>
      <c r="B3526">
        <v>2.63E-2</v>
      </c>
      <c r="C3526" s="59">
        <v>-0.12</v>
      </c>
      <c r="D3526" s="59">
        <v>-0.27</v>
      </c>
      <c r="E3526" s="60">
        <f t="shared" si="55"/>
        <v>1.3900000000000001</v>
      </c>
      <c r="F3526" t="str" cm="1">
        <f t="array" ref="F3526">IF(A3526=MAX(IF(ROUND($B$2:$B$3722,4)=ROUND(B3526,4),$A$2:$A$3722)),"Efficient","Inefficient")</f>
        <v>Inefficient</v>
      </c>
    </row>
    <row r="3527" spans="1:6" x14ac:dyDescent="0.25">
      <c r="A3527" cm="1">
        <f t="array" ref="A3527">INDEX('Portfolio Weights Returns'!$B$9:$BJ$69,
INT((ROW(A3526)-1)/COLUMNS('Portfolio Weights Returns'!$B$9:$BJ$69))+1,MOD(ROW(A3526)-1,COLUMNS('Portfolio Weights Returns'!$B$9:$BJ$69))+1)</f>
        <v>-4.9474910702984772E-4</v>
      </c>
      <c r="B3527">
        <v>2.63E-2</v>
      </c>
      <c r="C3527" s="59">
        <v>-0.14000000000000001</v>
      </c>
      <c r="D3527" s="59">
        <v>-0.26</v>
      </c>
      <c r="E3527" s="60">
        <f t="shared" si="55"/>
        <v>1.4</v>
      </c>
      <c r="F3527" t="str" cm="1">
        <f t="array" ref="F3527">IF(A3527=MAX(IF(ROUND($B$2:$B$3722,4)=ROUND(B3527,4),$A$2:$A$3722)),"Efficient","Inefficient")</f>
        <v>Inefficient</v>
      </c>
    </row>
    <row r="3528" spans="1:6" x14ac:dyDescent="0.25">
      <c r="A3528" cm="1">
        <f t="array" ref="A3528">INDEX('Portfolio Weights Returns'!$B$9:$BJ$69,
INT((ROW(A3527)-1)/COLUMNS('Portfolio Weights Returns'!$B$9:$BJ$69))+1,MOD(ROW(A3527)-1,COLUMNS('Portfolio Weights Returns'!$B$9:$BJ$69))+1)</f>
        <v>-4.8796793306316862E-4</v>
      </c>
      <c r="B3528">
        <v>2.63E-2</v>
      </c>
      <c r="C3528" s="59">
        <v>-0.15</v>
      </c>
      <c r="D3528" s="59">
        <v>-0.25</v>
      </c>
      <c r="E3528" s="60">
        <f t="shared" si="55"/>
        <v>1.4</v>
      </c>
      <c r="F3528" t="str" cm="1">
        <f t="array" ref="F3528">IF(A3528=MAX(IF(ROUND($B$2:$B$3722,4)=ROUND(B3528,4),$A$2:$A$3722)),"Efficient","Inefficient")</f>
        <v>Inefficient</v>
      </c>
    </row>
    <row r="3529" spans="1:6" x14ac:dyDescent="0.25">
      <c r="A3529" cm="1">
        <f t="array" ref="A3529">INDEX('Portfolio Weights Returns'!$B$9:$BJ$69,
INT((ROW(A3528)-1)/COLUMNS('Portfolio Weights Returns'!$B$9:$BJ$69))+1,MOD(ROW(A3528)-1,COLUMNS('Portfolio Weights Returns'!$B$9:$BJ$69))+1)</f>
        <v>-4.8118675909648948E-4</v>
      </c>
      <c r="B3529">
        <v>2.63E-2</v>
      </c>
      <c r="C3529" s="59">
        <v>-0.18</v>
      </c>
      <c r="D3529" s="59">
        <v>-0.23</v>
      </c>
      <c r="E3529" s="60">
        <f t="shared" si="55"/>
        <v>1.41</v>
      </c>
      <c r="F3529" t="str" cm="1">
        <f t="array" ref="F3529">IF(A3529=MAX(IF(ROUND($B$2:$B$3722,4)=ROUND(B3529,4),$A$2:$A$3722)),"Efficient","Inefficient")</f>
        <v>Inefficient</v>
      </c>
    </row>
    <row r="3530" spans="1:6" x14ac:dyDescent="0.25">
      <c r="A3530" cm="1">
        <f t="array" ref="A3530">INDEX('Portfolio Weights Returns'!$B$9:$BJ$69,
INT((ROW(A3529)-1)/COLUMNS('Portfolio Weights Returns'!$B$9:$BJ$69))+1,MOD(ROW(A3529)-1,COLUMNS('Portfolio Weights Returns'!$B$9:$BJ$69))+1)</f>
        <v>-4.7440558512981039E-4</v>
      </c>
      <c r="B3530">
        <v>2.63E-2</v>
      </c>
      <c r="C3530" s="59">
        <v>-0.21</v>
      </c>
      <c r="D3530" s="59">
        <v>-0.21</v>
      </c>
      <c r="E3530" s="60">
        <f t="shared" si="55"/>
        <v>1.42</v>
      </c>
      <c r="F3530" t="str" cm="1">
        <f t="array" ref="F3530">IF(A3530=MAX(IF(ROUND($B$2:$B$3722,4)=ROUND(B3530,4),$A$2:$A$3722)),"Efficient","Inefficient")</f>
        <v>Inefficient</v>
      </c>
    </row>
    <row r="3531" spans="1:6" x14ac:dyDescent="0.25">
      <c r="A3531" cm="1">
        <f t="array" ref="A3531">INDEX('Portfolio Weights Returns'!$B$9:$BJ$69,
INT((ROW(A3530)-1)/COLUMNS('Portfolio Weights Returns'!$B$9:$BJ$69))+1,MOD(ROW(A3530)-1,COLUMNS('Portfolio Weights Returns'!$B$9:$BJ$69))+1)</f>
        <v>-4.676244111631313E-4</v>
      </c>
      <c r="B3531">
        <v>2.63E-2</v>
      </c>
      <c r="C3531" s="59">
        <v>-0.22</v>
      </c>
      <c r="D3531" s="59">
        <v>-0.2</v>
      </c>
      <c r="E3531" s="60">
        <f t="shared" si="55"/>
        <v>1.42</v>
      </c>
      <c r="F3531" t="str" cm="1">
        <f t="array" ref="F3531">IF(A3531=MAX(IF(ROUND($B$2:$B$3722,4)=ROUND(B3531,4),$A$2:$A$3722)),"Efficient","Inefficient")</f>
        <v>Inefficient</v>
      </c>
    </row>
    <row r="3532" spans="1:6" x14ac:dyDescent="0.25">
      <c r="A3532" cm="1">
        <f t="array" ref="A3532">INDEX('Portfolio Weights Returns'!$B$9:$BJ$69,
INT((ROW(A3531)-1)/COLUMNS('Portfolio Weights Returns'!$B$9:$BJ$69))+1,MOD(ROW(A3531)-1,COLUMNS('Portfolio Weights Returns'!$B$9:$BJ$69))+1)</f>
        <v>-4.6084323719645216E-4</v>
      </c>
      <c r="B3532">
        <v>2.63E-2</v>
      </c>
      <c r="C3532" s="59">
        <v>-0.26</v>
      </c>
      <c r="D3532" s="59">
        <v>-0.17</v>
      </c>
      <c r="E3532" s="60">
        <f t="shared" si="55"/>
        <v>1.43</v>
      </c>
      <c r="F3532" t="str" cm="1">
        <f t="array" ref="F3532">IF(A3532=MAX(IF(ROUND($B$2:$B$3722,4)=ROUND(B3532,4),$A$2:$A$3722)),"Efficient","Inefficient")</f>
        <v>Inefficient</v>
      </c>
    </row>
    <row r="3533" spans="1:6" x14ac:dyDescent="0.25">
      <c r="A3533" cm="1">
        <f t="array" ref="A3533">INDEX('Portfolio Weights Returns'!$B$9:$BJ$69,
INT((ROW(A3532)-1)/COLUMNS('Portfolio Weights Returns'!$B$9:$BJ$69))+1,MOD(ROW(A3532)-1,COLUMNS('Portfolio Weights Returns'!$B$9:$BJ$69))+1)</f>
        <v>-4.5406206322977307E-4</v>
      </c>
      <c r="B3533">
        <v>2.63E-2</v>
      </c>
      <c r="C3533" s="59">
        <v>-0.27</v>
      </c>
      <c r="D3533" s="59">
        <v>-0.16</v>
      </c>
      <c r="E3533" s="60">
        <f t="shared" si="55"/>
        <v>1.43</v>
      </c>
      <c r="F3533" t="str" cm="1">
        <f t="array" ref="F3533">IF(A3533=MAX(IF(ROUND($B$2:$B$3722,4)=ROUND(B3533,4),$A$2:$A$3722)),"Efficient","Inefficient")</f>
        <v>Efficient</v>
      </c>
    </row>
    <row r="3534" spans="1:6" x14ac:dyDescent="0.25">
      <c r="A3534" cm="1">
        <f t="array" ref="A3534">INDEX('Portfolio Weights Returns'!$B$9:$BJ$69,
INT((ROW(A3533)-1)/COLUMNS('Portfolio Weights Returns'!$B$9:$BJ$69))+1,MOD(ROW(A3533)-1,COLUMNS('Portfolio Weights Returns'!$B$9:$BJ$69))+1)</f>
        <v>-4.4728088926309392E-4</v>
      </c>
      <c r="B3534">
        <v>2.64E-2</v>
      </c>
      <c r="C3534" s="59">
        <v>-0.08</v>
      </c>
      <c r="D3534" s="59">
        <v>-0.3</v>
      </c>
      <c r="E3534" s="60">
        <f t="shared" si="55"/>
        <v>1.3800000000000001</v>
      </c>
      <c r="F3534" t="str" cm="1">
        <f t="array" ref="F3534">IF(A3534=MAX(IF(ROUND($B$2:$B$3722,4)=ROUND(B3534,4),$A$2:$A$3722)),"Efficient","Inefficient")</f>
        <v>Inefficient</v>
      </c>
    </row>
    <row r="3535" spans="1:6" x14ac:dyDescent="0.25">
      <c r="A3535" cm="1">
        <f t="array" ref="A3535">INDEX('Portfolio Weights Returns'!$B$9:$BJ$69,
INT((ROW(A3534)-1)/COLUMNS('Portfolio Weights Returns'!$B$9:$BJ$69))+1,MOD(ROW(A3534)-1,COLUMNS('Portfolio Weights Returns'!$B$9:$BJ$69))+1)</f>
        <v>-4.4049971529641478E-4</v>
      </c>
      <c r="B3535">
        <v>2.64E-2</v>
      </c>
      <c r="C3535" s="59">
        <v>-0.1</v>
      </c>
      <c r="D3535" s="59">
        <v>-0.28999999999999998</v>
      </c>
      <c r="E3535" s="60">
        <f t="shared" si="55"/>
        <v>1.3900000000000001</v>
      </c>
      <c r="F3535" t="str" cm="1">
        <f t="array" ref="F3535">IF(A3535=MAX(IF(ROUND($B$2:$B$3722,4)=ROUND(B3535,4),$A$2:$A$3722)),"Efficient","Inefficient")</f>
        <v>Inefficient</v>
      </c>
    </row>
    <row r="3536" spans="1:6" x14ac:dyDescent="0.25">
      <c r="A3536" cm="1">
        <f t="array" ref="A3536">INDEX('Portfolio Weights Returns'!$B$9:$BJ$69,
INT((ROW(A3535)-1)/COLUMNS('Portfolio Weights Returns'!$B$9:$BJ$69))+1,MOD(ROW(A3535)-1,COLUMNS('Portfolio Weights Returns'!$B$9:$BJ$69))+1)</f>
        <v>-4.3371854132973509E-4</v>
      </c>
      <c r="B3536">
        <v>2.64E-2</v>
      </c>
      <c r="C3536" s="59">
        <v>-0.13</v>
      </c>
      <c r="D3536" s="59">
        <v>-0.27</v>
      </c>
      <c r="E3536" s="60">
        <f t="shared" si="55"/>
        <v>1.4</v>
      </c>
      <c r="F3536" t="str" cm="1">
        <f t="array" ref="F3536">IF(A3536=MAX(IF(ROUND($B$2:$B$3722,4)=ROUND(B3536,4),$A$2:$A$3722)),"Efficient","Inefficient")</f>
        <v>Inefficient</v>
      </c>
    </row>
    <row r="3537" spans="1:6" x14ac:dyDescent="0.25">
      <c r="A3537" cm="1">
        <f t="array" ref="A3537">INDEX('Portfolio Weights Returns'!$B$9:$BJ$69,
INT((ROW(A3536)-1)/COLUMNS('Portfolio Weights Returns'!$B$9:$BJ$69))+1,MOD(ROW(A3536)-1,COLUMNS('Portfolio Weights Returns'!$B$9:$BJ$69))+1)</f>
        <v>-4.2693736736305595E-4</v>
      </c>
      <c r="B3537">
        <v>2.64E-2</v>
      </c>
      <c r="C3537" s="59">
        <v>-0.16</v>
      </c>
      <c r="D3537" s="59">
        <v>-0.25</v>
      </c>
      <c r="E3537" s="60">
        <f t="shared" si="55"/>
        <v>1.41</v>
      </c>
      <c r="F3537" t="str" cm="1">
        <f t="array" ref="F3537">IF(A3537=MAX(IF(ROUND($B$2:$B$3722,4)=ROUND(B3537,4),$A$2:$A$3722)),"Efficient","Inefficient")</f>
        <v>Inefficient</v>
      </c>
    </row>
    <row r="3538" spans="1:6" x14ac:dyDescent="0.25">
      <c r="A3538" cm="1">
        <f t="array" ref="A3538">INDEX('Portfolio Weights Returns'!$B$9:$BJ$69,
INT((ROW(A3537)-1)/COLUMNS('Portfolio Weights Returns'!$B$9:$BJ$69))+1,MOD(ROW(A3537)-1,COLUMNS('Portfolio Weights Returns'!$B$9:$BJ$69))+1)</f>
        <v>-4.2015619339637691E-4</v>
      </c>
      <c r="B3538">
        <v>2.64E-2</v>
      </c>
      <c r="C3538" s="59">
        <v>-0.17</v>
      </c>
      <c r="D3538" s="59">
        <v>-0.24</v>
      </c>
      <c r="E3538" s="60">
        <f t="shared" si="55"/>
        <v>1.41</v>
      </c>
      <c r="F3538" t="str" cm="1">
        <f t="array" ref="F3538">IF(A3538=MAX(IF(ROUND($B$2:$B$3722,4)=ROUND(B3538,4),$A$2:$A$3722)),"Efficient","Inefficient")</f>
        <v>Inefficient</v>
      </c>
    </row>
    <row r="3539" spans="1:6" x14ac:dyDescent="0.25">
      <c r="A3539" cm="1">
        <f t="array" ref="A3539">INDEX('Portfolio Weights Returns'!$B$9:$BJ$69,
INT((ROW(A3538)-1)/COLUMNS('Portfolio Weights Returns'!$B$9:$BJ$69))+1,MOD(ROW(A3538)-1,COLUMNS('Portfolio Weights Returns'!$B$9:$BJ$69))+1)</f>
        <v>-4.1337501942969777E-4</v>
      </c>
      <c r="B3539">
        <v>2.64E-2</v>
      </c>
      <c r="C3539" s="59">
        <v>-0.2</v>
      </c>
      <c r="D3539" s="59">
        <v>-0.22</v>
      </c>
      <c r="E3539" s="60">
        <f t="shared" si="55"/>
        <v>1.42</v>
      </c>
      <c r="F3539" t="str" cm="1">
        <f t="array" ref="F3539">IF(A3539=MAX(IF(ROUND($B$2:$B$3722,4)=ROUND(B3539,4),$A$2:$A$3722)),"Efficient","Inefficient")</f>
        <v>Efficient</v>
      </c>
    </row>
    <row r="3540" spans="1:6" x14ac:dyDescent="0.25">
      <c r="A3540" cm="1">
        <f t="array" ref="A3540">INDEX('Portfolio Weights Returns'!$B$9:$BJ$69,
INT((ROW(A3539)-1)/COLUMNS('Portfolio Weights Returns'!$B$9:$BJ$69))+1,MOD(ROW(A3539)-1,COLUMNS('Portfolio Weights Returns'!$B$9:$BJ$69))+1)</f>
        <v>-8.1367124958498958E-4</v>
      </c>
      <c r="B3540">
        <v>2.64E-2</v>
      </c>
      <c r="C3540" s="59">
        <v>-0.24</v>
      </c>
      <c r="D3540" s="59">
        <v>-0.19</v>
      </c>
      <c r="E3540" s="60">
        <f t="shared" si="55"/>
        <v>1.43</v>
      </c>
      <c r="F3540" t="str" cm="1">
        <f t="array" ref="F3540">IF(A3540=MAX(IF(ROUND($B$2:$B$3722,4)=ROUND(B3540,4),$A$2:$A$3722)),"Efficient","Inefficient")</f>
        <v>Inefficient</v>
      </c>
    </row>
    <row r="3541" spans="1:6" x14ac:dyDescent="0.25">
      <c r="A3541" cm="1">
        <f t="array" ref="A3541">INDEX('Portfolio Weights Returns'!$B$9:$BJ$69,
INT((ROW(A3540)-1)/COLUMNS('Portfolio Weights Returns'!$B$9:$BJ$69))+1,MOD(ROW(A3540)-1,COLUMNS('Portfolio Weights Returns'!$B$9:$BJ$69))+1)</f>
        <v>-8.0689007561831033E-4</v>
      </c>
      <c r="B3541">
        <v>2.64E-2</v>
      </c>
      <c r="C3541" s="59">
        <v>-0.25</v>
      </c>
      <c r="D3541" s="59">
        <v>-0.18</v>
      </c>
      <c r="E3541" s="60">
        <f t="shared" si="55"/>
        <v>1.43</v>
      </c>
      <c r="F3541" t="str" cm="1">
        <f t="array" ref="F3541">IF(A3541=MAX(IF(ROUND($B$2:$B$3722,4)=ROUND(B3541,4),$A$2:$A$3722)),"Efficient","Inefficient")</f>
        <v>Inefficient</v>
      </c>
    </row>
    <row r="3542" spans="1:6" x14ac:dyDescent="0.25">
      <c r="A3542" cm="1">
        <f t="array" ref="A3542">INDEX('Portfolio Weights Returns'!$B$9:$BJ$69,
INT((ROW(A3541)-1)/COLUMNS('Portfolio Weights Returns'!$B$9:$BJ$69))+1,MOD(ROW(A3541)-1,COLUMNS('Portfolio Weights Returns'!$B$9:$BJ$69))+1)</f>
        <v>-8.0010890165163129E-4</v>
      </c>
      <c r="B3542">
        <v>2.64E-2</v>
      </c>
      <c r="C3542" s="59">
        <v>-0.28999999999999998</v>
      </c>
      <c r="D3542" s="59">
        <v>-0.15</v>
      </c>
      <c r="E3542" s="60">
        <f t="shared" si="55"/>
        <v>1.44</v>
      </c>
      <c r="F3542" t="str" cm="1">
        <f t="array" ref="F3542">IF(A3542=MAX(IF(ROUND($B$2:$B$3722,4)=ROUND(B3542,4),$A$2:$A$3722)),"Efficient","Inefficient")</f>
        <v>Inefficient</v>
      </c>
    </row>
    <row r="3543" spans="1:6" x14ac:dyDescent="0.25">
      <c r="A3543" cm="1">
        <f t="array" ref="A3543">INDEX('Portfolio Weights Returns'!$B$9:$BJ$69,
INT((ROW(A3542)-1)/COLUMNS('Portfolio Weights Returns'!$B$9:$BJ$69))+1,MOD(ROW(A3542)-1,COLUMNS('Portfolio Weights Returns'!$B$9:$BJ$69))+1)</f>
        <v>-7.9332772768495226E-4</v>
      </c>
      <c r="B3543">
        <v>2.64E-2</v>
      </c>
      <c r="C3543" s="59">
        <v>-0.3</v>
      </c>
      <c r="D3543" s="59">
        <v>-0.14000000000000001</v>
      </c>
      <c r="E3543" s="60">
        <f t="shared" si="55"/>
        <v>1.4400000000000002</v>
      </c>
      <c r="F3543" t="str" cm="1">
        <f t="array" ref="F3543">IF(A3543=MAX(IF(ROUND($B$2:$B$3722,4)=ROUND(B3543,4),$A$2:$A$3722)),"Efficient","Inefficient")</f>
        <v>Inefficient</v>
      </c>
    </row>
    <row r="3544" spans="1:6" x14ac:dyDescent="0.25">
      <c r="A3544" cm="1">
        <f t="array" ref="A3544">INDEX('Portfolio Weights Returns'!$B$9:$BJ$69,
INT((ROW(A3543)-1)/COLUMNS('Portfolio Weights Returns'!$B$9:$BJ$69))+1,MOD(ROW(A3543)-1,COLUMNS('Portfolio Weights Returns'!$B$9:$BJ$69))+1)</f>
        <v>-7.86546553718273E-4</v>
      </c>
      <c r="B3544">
        <v>2.6499999999999999E-2</v>
      </c>
      <c r="C3544" s="59">
        <v>-0.09</v>
      </c>
      <c r="D3544" s="59">
        <v>-0.3</v>
      </c>
      <c r="E3544" s="60">
        <f t="shared" si="55"/>
        <v>1.3900000000000001</v>
      </c>
      <c r="F3544" t="str" cm="1">
        <f t="array" ref="F3544">IF(A3544=MAX(IF(ROUND($B$2:$B$3722,4)=ROUND(B3544,4),$A$2:$A$3722)),"Efficient","Inefficient")</f>
        <v>Inefficient</v>
      </c>
    </row>
    <row r="3545" spans="1:6" x14ac:dyDescent="0.25">
      <c r="A3545" cm="1">
        <f t="array" ref="A3545">INDEX('Portfolio Weights Returns'!$B$9:$BJ$69,
INT((ROW(A3544)-1)/COLUMNS('Portfolio Weights Returns'!$B$9:$BJ$69))+1,MOD(ROW(A3544)-1,COLUMNS('Portfolio Weights Returns'!$B$9:$BJ$69))+1)</f>
        <v>-7.7976537975159397E-4</v>
      </c>
      <c r="B3545">
        <v>2.6499999999999999E-2</v>
      </c>
      <c r="C3545" s="59">
        <v>-0.12</v>
      </c>
      <c r="D3545" s="59">
        <v>-0.28000000000000003</v>
      </c>
      <c r="E3545" s="60">
        <f t="shared" si="55"/>
        <v>1.4</v>
      </c>
      <c r="F3545" t="str" cm="1">
        <f t="array" ref="F3545">IF(A3545=MAX(IF(ROUND($B$2:$B$3722,4)=ROUND(B3545,4),$A$2:$A$3722)),"Efficient","Inefficient")</f>
        <v>Inefficient</v>
      </c>
    </row>
    <row r="3546" spans="1:6" x14ac:dyDescent="0.25">
      <c r="A3546" cm="1">
        <f t="array" ref="A3546">INDEX('Portfolio Weights Returns'!$B$9:$BJ$69,
INT((ROW(A3545)-1)/COLUMNS('Portfolio Weights Returns'!$B$9:$BJ$69))+1,MOD(ROW(A3545)-1,COLUMNS('Portfolio Weights Returns'!$B$9:$BJ$69))+1)</f>
        <v>-7.7298420578491482E-4</v>
      </c>
      <c r="B3546">
        <v>2.6499999999999999E-2</v>
      </c>
      <c r="C3546" s="59">
        <v>-0.15</v>
      </c>
      <c r="D3546" s="59">
        <v>-0.26</v>
      </c>
      <c r="E3546" s="60">
        <f t="shared" si="55"/>
        <v>1.41</v>
      </c>
      <c r="F3546" t="str" cm="1">
        <f t="array" ref="F3546">IF(A3546=MAX(IF(ROUND($B$2:$B$3722,4)=ROUND(B3546,4),$A$2:$A$3722)),"Efficient","Inefficient")</f>
        <v>Inefficient</v>
      </c>
    </row>
    <row r="3547" spans="1:6" x14ac:dyDescent="0.25">
      <c r="A3547" cm="1">
        <f t="array" ref="A3547">INDEX('Portfolio Weights Returns'!$B$9:$BJ$69,
INT((ROW(A3546)-1)/COLUMNS('Portfolio Weights Returns'!$B$9:$BJ$69))+1,MOD(ROW(A3546)-1,COLUMNS('Portfolio Weights Returns'!$B$9:$BJ$69))+1)</f>
        <v>-7.6620303181823579E-4</v>
      </c>
      <c r="B3547">
        <v>2.6499999999999999E-2</v>
      </c>
      <c r="C3547" s="59">
        <v>-0.18</v>
      </c>
      <c r="D3547" s="59">
        <v>-0.24</v>
      </c>
      <c r="E3547" s="60">
        <f t="shared" si="55"/>
        <v>1.42</v>
      </c>
      <c r="F3547" t="str" cm="1">
        <f t="array" ref="F3547">IF(A3547=MAX(IF(ROUND($B$2:$B$3722,4)=ROUND(B3547,4),$A$2:$A$3722)),"Efficient","Inefficient")</f>
        <v>Inefficient</v>
      </c>
    </row>
    <row r="3548" spans="1:6" x14ac:dyDescent="0.25">
      <c r="A3548" cm="1">
        <f t="array" ref="A3548">INDEX('Portfolio Weights Returns'!$B$9:$BJ$69,
INT((ROW(A3547)-1)/COLUMNS('Portfolio Weights Returns'!$B$9:$BJ$69))+1,MOD(ROW(A3547)-1,COLUMNS('Portfolio Weights Returns'!$B$9:$BJ$69))+1)</f>
        <v>-7.5942185785155664E-4</v>
      </c>
      <c r="B3548">
        <v>2.6499999999999999E-2</v>
      </c>
      <c r="C3548" s="59">
        <v>-0.19</v>
      </c>
      <c r="D3548" s="59">
        <v>-0.23</v>
      </c>
      <c r="E3548" s="60">
        <f t="shared" si="55"/>
        <v>1.42</v>
      </c>
      <c r="F3548" t="str" cm="1">
        <f t="array" ref="F3548">IF(A3548=MAX(IF(ROUND($B$2:$B$3722,4)=ROUND(B3548,4),$A$2:$A$3722)),"Efficient","Inefficient")</f>
        <v>Inefficient</v>
      </c>
    </row>
    <row r="3549" spans="1:6" x14ac:dyDescent="0.25">
      <c r="A3549" cm="1">
        <f t="array" ref="A3549">INDEX('Portfolio Weights Returns'!$B$9:$BJ$69,
INT((ROW(A3548)-1)/COLUMNS('Portfolio Weights Returns'!$B$9:$BJ$69))+1,MOD(ROW(A3548)-1,COLUMNS('Portfolio Weights Returns'!$B$9:$BJ$69))+1)</f>
        <v>-7.526406838848775E-4</v>
      </c>
      <c r="B3549">
        <v>2.6499999999999999E-2</v>
      </c>
      <c r="C3549" s="59">
        <v>-0.22</v>
      </c>
      <c r="D3549" s="59">
        <v>-0.21</v>
      </c>
      <c r="E3549" s="60">
        <f t="shared" si="55"/>
        <v>1.43</v>
      </c>
      <c r="F3549" t="str" cm="1">
        <f t="array" ref="F3549">IF(A3549=MAX(IF(ROUND($B$2:$B$3722,4)=ROUND(B3549,4),$A$2:$A$3722)),"Efficient","Inefficient")</f>
        <v>Inefficient</v>
      </c>
    </row>
    <row r="3550" spans="1:6" x14ac:dyDescent="0.25">
      <c r="A3550" cm="1">
        <f t="array" ref="A3550">INDEX('Portfolio Weights Returns'!$B$9:$BJ$69,
INT((ROW(A3549)-1)/COLUMNS('Portfolio Weights Returns'!$B$9:$BJ$69))+1,MOD(ROW(A3549)-1,COLUMNS('Portfolio Weights Returns'!$B$9:$BJ$69))+1)</f>
        <v>-7.4585950991819846E-4</v>
      </c>
      <c r="B3550">
        <v>2.6499999999999999E-2</v>
      </c>
      <c r="C3550" s="59">
        <v>-0.23</v>
      </c>
      <c r="D3550" s="59">
        <v>-0.2</v>
      </c>
      <c r="E3550" s="60">
        <f t="shared" si="55"/>
        <v>1.43</v>
      </c>
      <c r="F3550" t="str" cm="1">
        <f t="array" ref="F3550">IF(A3550=MAX(IF(ROUND($B$2:$B$3722,4)=ROUND(B3550,4),$A$2:$A$3722)),"Efficient","Inefficient")</f>
        <v>Inefficient</v>
      </c>
    </row>
    <row r="3551" spans="1:6" x14ac:dyDescent="0.25">
      <c r="A3551" cm="1">
        <f t="array" ref="A3551">INDEX('Portfolio Weights Returns'!$B$9:$BJ$69,
INT((ROW(A3550)-1)/COLUMNS('Portfolio Weights Returns'!$B$9:$BJ$69))+1,MOD(ROW(A3550)-1,COLUMNS('Portfolio Weights Returns'!$B$9:$BJ$69))+1)</f>
        <v>-7.3907833595151921E-4</v>
      </c>
      <c r="B3551">
        <v>2.6499999999999999E-2</v>
      </c>
      <c r="C3551" s="59">
        <v>-0.26</v>
      </c>
      <c r="D3551" s="59">
        <v>-0.18</v>
      </c>
      <c r="E3551" s="60">
        <f t="shared" si="55"/>
        <v>1.44</v>
      </c>
      <c r="F3551" t="str" cm="1">
        <f t="array" ref="F3551">IF(A3551=MAX(IF(ROUND($B$2:$B$3722,4)=ROUND(B3551,4),$A$2:$A$3722)),"Efficient","Inefficient")</f>
        <v>Inefficient</v>
      </c>
    </row>
    <row r="3552" spans="1:6" x14ac:dyDescent="0.25">
      <c r="A3552" cm="1">
        <f t="array" ref="A3552">INDEX('Portfolio Weights Returns'!$B$9:$BJ$69,
INT((ROW(A3551)-1)/COLUMNS('Portfolio Weights Returns'!$B$9:$BJ$69))+1,MOD(ROW(A3551)-1,COLUMNS('Portfolio Weights Returns'!$B$9:$BJ$69))+1)</f>
        <v>-7.3229716198484017E-4</v>
      </c>
      <c r="B3552">
        <v>2.6499999999999999E-2</v>
      </c>
      <c r="C3552" s="59">
        <v>-0.27</v>
      </c>
      <c r="D3552" s="59">
        <v>-0.17</v>
      </c>
      <c r="E3552" s="60">
        <f t="shared" si="55"/>
        <v>1.44</v>
      </c>
      <c r="F3552" t="str" cm="1">
        <f t="array" ref="F3552">IF(A3552=MAX(IF(ROUND($B$2:$B$3722,4)=ROUND(B3552,4),$A$2:$A$3722)),"Efficient","Inefficient")</f>
        <v>Inefficient</v>
      </c>
    </row>
    <row r="3553" spans="1:6" x14ac:dyDescent="0.25">
      <c r="A3553" cm="1">
        <f t="array" ref="A3553">INDEX('Portfolio Weights Returns'!$B$9:$BJ$69,
INT((ROW(A3552)-1)/COLUMNS('Portfolio Weights Returns'!$B$9:$BJ$69))+1,MOD(ROW(A3552)-1,COLUMNS('Portfolio Weights Returns'!$B$9:$BJ$69))+1)</f>
        <v>-7.2551598801816103E-4</v>
      </c>
      <c r="B3553">
        <v>2.6499999999999999E-2</v>
      </c>
      <c r="C3553" s="59">
        <v>-0.28000000000000003</v>
      </c>
      <c r="D3553" s="59">
        <v>-0.16</v>
      </c>
      <c r="E3553" s="60">
        <f t="shared" si="55"/>
        <v>1.44</v>
      </c>
      <c r="F3553" t="str" cm="1">
        <f t="array" ref="F3553">IF(A3553=MAX(IF(ROUND($B$2:$B$3722,4)=ROUND(B3553,4),$A$2:$A$3722)),"Efficient","Inefficient")</f>
        <v>Efficient</v>
      </c>
    </row>
    <row r="3554" spans="1:6" x14ac:dyDescent="0.25">
      <c r="A3554" cm="1">
        <f t="array" ref="A3554">INDEX('Portfolio Weights Returns'!$B$9:$BJ$69,
INT((ROW(A3553)-1)/COLUMNS('Portfolio Weights Returns'!$B$9:$BJ$69))+1,MOD(ROW(A3553)-1,COLUMNS('Portfolio Weights Returns'!$B$9:$BJ$69))+1)</f>
        <v>-7.1873481405148199E-4</v>
      </c>
      <c r="B3554">
        <v>2.6599999999999999E-2</v>
      </c>
      <c r="C3554" s="59">
        <v>-0.11</v>
      </c>
      <c r="D3554" s="59">
        <v>-0.28999999999999998</v>
      </c>
      <c r="E3554" s="60">
        <f t="shared" si="55"/>
        <v>1.4000000000000001</v>
      </c>
      <c r="F3554" t="str" cm="1">
        <f t="array" ref="F3554">IF(A3554=MAX(IF(ROUND($B$2:$B$3722,4)=ROUND(B3554,4),$A$2:$A$3722)),"Efficient","Inefficient")</f>
        <v>Inefficient</v>
      </c>
    </row>
    <row r="3555" spans="1:6" x14ac:dyDescent="0.25">
      <c r="A3555" cm="1">
        <f t="array" ref="A3555">INDEX('Portfolio Weights Returns'!$B$9:$BJ$69,
INT((ROW(A3554)-1)/COLUMNS('Portfolio Weights Returns'!$B$9:$BJ$69))+1,MOD(ROW(A3554)-1,COLUMNS('Portfolio Weights Returns'!$B$9:$BJ$69))+1)</f>
        <v>-7.1195364008480285E-4</v>
      </c>
      <c r="B3555">
        <v>2.6599999999999999E-2</v>
      </c>
      <c r="C3555" s="59">
        <v>-0.14000000000000001</v>
      </c>
      <c r="D3555" s="59">
        <v>-0.27</v>
      </c>
      <c r="E3555" s="60">
        <f t="shared" si="55"/>
        <v>1.4100000000000001</v>
      </c>
      <c r="F3555" t="str" cm="1">
        <f t="array" ref="F3555">IF(A3555=MAX(IF(ROUND($B$2:$B$3722,4)=ROUND(B3555,4),$A$2:$A$3722)),"Efficient","Inefficient")</f>
        <v>Inefficient</v>
      </c>
    </row>
    <row r="3556" spans="1:6" x14ac:dyDescent="0.25">
      <c r="A3556" cm="1">
        <f t="array" ref="A3556">INDEX('Portfolio Weights Returns'!$B$9:$BJ$69,
INT((ROW(A3555)-1)/COLUMNS('Portfolio Weights Returns'!$B$9:$BJ$69))+1,MOD(ROW(A3555)-1,COLUMNS('Portfolio Weights Returns'!$B$9:$BJ$69))+1)</f>
        <v>-7.0517246611812392E-4</v>
      </c>
      <c r="B3556">
        <v>2.6599999999999999E-2</v>
      </c>
      <c r="C3556" s="59">
        <v>-0.17</v>
      </c>
      <c r="D3556" s="59">
        <v>-0.25</v>
      </c>
      <c r="E3556" s="60">
        <f t="shared" si="55"/>
        <v>1.42</v>
      </c>
      <c r="F3556" t="str" cm="1">
        <f t="array" ref="F3556">IF(A3556=MAX(IF(ROUND($B$2:$B$3722,4)=ROUND(B3556,4),$A$2:$A$3722)),"Efficient","Inefficient")</f>
        <v>Inefficient</v>
      </c>
    </row>
    <row r="3557" spans="1:6" x14ac:dyDescent="0.25">
      <c r="A3557" cm="1">
        <f t="array" ref="A3557">INDEX('Portfolio Weights Returns'!$B$9:$BJ$69,
INT((ROW(A3556)-1)/COLUMNS('Portfolio Weights Returns'!$B$9:$BJ$69))+1,MOD(ROW(A3556)-1,COLUMNS('Portfolio Weights Returns'!$B$9:$BJ$69))+1)</f>
        <v>-6.9839129215144467E-4</v>
      </c>
      <c r="B3557">
        <v>2.6599999999999999E-2</v>
      </c>
      <c r="C3557" s="59">
        <v>-0.2</v>
      </c>
      <c r="D3557" s="59">
        <v>-0.23</v>
      </c>
      <c r="E3557" s="60">
        <f t="shared" si="55"/>
        <v>1.43</v>
      </c>
      <c r="F3557" t="str" cm="1">
        <f t="array" ref="F3557">IF(A3557=MAX(IF(ROUND($B$2:$B$3722,4)=ROUND(B3557,4),$A$2:$A$3722)),"Efficient","Inefficient")</f>
        <v>Inefficient</v>
      </c>
    </row>
    <row r="3558" spans="1:6" x14ac:dyDescent="0.25">
      <c r="A3558" cm="1">
        <f t="array" ref="A3558">INDEX('Portfolio Weights Returns'!$B$9:$BJ$69,
INT((ROW(A3557)-1)/COLUMNS('Portfolio Weights Returns'!$B$9:$BJ$69))+1,MOD(ROW(A3557)-1,COLUMNS('Portfolio Weights Returns'!$B$9:$BJ$69))+1)</f>
        <v>-6.9161011818476563E-4</v>
      </c>
      <c r="B3558">
        <v>2.6599999999999999E-2</v>
      </c>
      <c r="C3558" s="59">
        <v>-0.21</v>
      </c>
      <c r="D3558" s="59">
        <v>-0.22</v>
      </c>
      <c r="E3558" s="60">
        <f t="shared" si="55"/>
        <v>1.43</v>
      </c>
      <c r="F3558" t="str" cm="1">
        <f t="array" ref="F3558">IF(A3558=MAX(IF(ROUND($B$2:$B$3722,4)=ROUND(B3558,4),$A$2:$A$3722)),"Efficient","Inefficient")</f>
        <v>Inefficient</v>
      </c>
    </row>
    <row r="3559" spans="1:6" x14ac:dyDescent="0.25">
      <c r="A3559" cm="1">
        <f t="array" ref="A3559">INDEX('Portfolio Weights Returns'!$B$9:$BJ$69,
INT((ROW(A3558)-1)/COLUMNS('Portfolio Weights Returns'!$B$9:$BJ$69))+1,MOD(ROW(A3558)-1,COLUMNS('Portfolio Weights Returns'!$B$9:$BJ$69))+1)</f>
        <v>-6.848289442180866E-4</v>
      </c>
      <c r="B3559">
        <v>2.6599999999999999E-2</v>
      </c>
      <c r="C3559" s="59">
        <v>-0.24</v>
      </c>
      <c r="D3559" s="59">
        <v>-0.2</v>
      </c>
      <c r="E3559" s="60">
        <f t="shared" si="55"/>
        <v>1.44</v>
      </c>
      <c r="F3559" t="str" cm="1">
        <f t="array" ref="F3559">IF(A3559=MAX(IF(ROUND($B$2:$B$3722,4)=ROUND(B3559,4),$A$2:$A$3722)),"Efficient","Inefficient")</f>
        <v>Inefficient</v>
      </c>
    </row>
    <row r="3560" spans="1:6" x14ac:dyDescent="0.25">
      <c r="A3560" cm="1">
        <f t="array" ref="A3560">INDEX('Portfolio Weights Returns'!$B$9:$BJ$69,
INT((ROW(A3559)-1)/COLUMNS('Portfolio Weights Returns'!$B$9:$BJ$69))+1,MOD(ROW(A3559)-1,COLUMNS('Portfolio Weights Returns'!$B$9:$BJ$69))+1)</f>
        <v>-6.7804777025140745E-4</v>
      </c>
      <c r="B3560">
        <v>2.6599999999999999E-2</v>
      </c>
      <c r="C3560" s="59">
        <v>-0.25</v>
      </c>
      <c r="D3560" s="59">
        <v>-0.19</v>
      </c>
      <c r="E3560" s="60">
        <f t="shared" si="55"/>
        <v>1.44</v>
      </c>
      <c r="F3560" t="str" cm="1">
        <f t="array" ref="F3560">IF(A3560=MAX(IF(ROUND($B$2:$B$3722,4)=ROUND(B3560,4),$A$2:$A$3722)),"Efficient","Inefficient")</f>
        <v>Inefficient</v>
      </c>
    </row>
    <row r="3561" spans="1:6" x14ac:dyDescent="0.25">
      <c r="A3561" cm="1">
        <f t="array" ref="A3561">INDEX('Portfolio Weights Returns'!$B$9:$BJ$69,
INT((ROW(A3560)-1)/COLUMNS('Portfolio Weights Returns'!$B$9:$BJ$69))+1,MOD(ROW(A3560)-1,COLUMNS('Portfolio Weights Returns'!$B$9:$BJ$69))+1)</f>
        <v>-6.7126659628472841E-4</v>
      </c>
      <c r="B3561">
        <v>2.6599999999999999E-2</v>
      </c>
      <c r="C3561" s="59">
        <v>-0.28999999999999998</v>
      </c>
      <c r="D3561" s="59">
        <v>-0.16</v>
      </c>
      <c r="E3561" s="60">
        <f t="shared" si="55"/>
        <v>1.45</v>
      </c>
      <c r="F3561" t="str" cm="1">
        <f t="array" ref="F3561">IF(A3561=MAX(IF(ROUND($B$2:$B$3722,4)=ROUND(B3561,4),$A$2:$A$3722)),"Efficient","Inefficient")</f>
        <v>Inefficient</v>
      </c>
    </row>
    <row r="3562" spans="1:6" x14ac:dyDescent="0.25">
      <c r="A3562" cm="1">
        <f t="array" ref="A3562">INDEX('Portfolio Weights Returns'!$B$9:$BJ$69,
INT((ROW(A3561)-1)/COLUMNS('Portfolio Weights Returns'!$B$9:$BJ$69))+1,MOD(ROW(A3561)-1,COLUMNS('Portfolio Weights Returns'!$B$9:$BJ$69))+1)</f>
        <v>-6.6448542231804916E-4</v>
      </c>
      <c r="B3562">
        <v>2.6599999999999999E-2</v>
      </c>
      <c r="C3562" s="59">
        <v>-0.3</v>
      </c>
      <c r="D3562" s="59">
        <v>-0.15</v>
      </c>
      <c r="E3562" s="60">
        <f t="shared" si="55"/>
        <v>1.45</v>
      </c>
      <c r="F3562" t="str" cm="1">
        <f t="array" ref="F3562">IF(A3562=MAX(IF(ROUND($B$2:$B$3722,4)=ROUND(B3562,4),$A$2:$A$3722)),"Efficient","Inefficient")</f>
        <v>Efficient</v>
      </c>
    </row>
    <row r="3563" spans="1:6" x14ac:dyDescent="0.25">
      <c r="A3563" cm="1">
        <f t="array" ref="A3563">INDEX('Portfolio Weights Returns'!$B$9:$BJ$69,
INT((ROW(A3562)-1)/COLUMNS('Portfolio Weights Returns'!$B$9:$BJ$69))+1,MOD(ROW(A3562)-1,COLUMNS('Portfolio Weights Returns'!$B$9:$BJ$69))+1)</f>
        <v>-6.5770424835137013E-4</v>
      </c>
      <c r="B3563">
        <v>2.6700000000000002E-2</v>
      </c>
      <c r="C3563" s="59">
        <v>-0.1</v>
      </c>
      <c r="D3563" s="59">
        <v>-0.3</v>
      </c>
      <c r="E3563" s="60">
        <f t="shared" si="55"/>
        <v>1.4000000000000001</v>
      </c>
      <c r="F3563" t="str" cm="1">
        <f t="array" ref="F3563">IF(A3563=MAX(IF(ROUND($B$2:$B$3722,4)=ROUND(B3563,4),$A$2:$A$3722)),"Efficient","Inefficient")</f>
        <v>Inefficient</v>
      </c>
    </row>
    <row r="3564" spans="1:6" x14ac:dyDescent="0.25">
      <c r="A3564" cm="1">
        <f t="array" ref="A3564">INDEX('Portfolio Weights Returns'!$B$9:$BJ$69,
INT((ROW(A3563)-1)/COLUMNS('Portfolio Weights Returns'!$B$9:$BJ$69))+1,MOD(ROW(A3563)-1,COLUMNS('Portfolio Weights Returns'!$B$9:$BJ$69))+1)</f>
        <v>-6.5092307438469098E-4</v>
      </c>
      <c r="B3564">
        <v>2.6700000000000002E-2</v>
      </c>
      <c r="C3564" s="59">
        <v>-0.13</v>
      </c>
      <c r="D3564" s="59">
        <v>-0.28000000000000003</v>
      </c>
      <c r="E3564" s="60">
        <f t="shared" si="55"/>
        <v>1.4100000000000001</v>
      </c>
      <c r="F3564" t="str" cm="1">
        <f t="array" ref="F3564">IF(A3564=MAX(IF(ROUND($B$2:$B$3722,4)=ROUND(B3564,4),$A$2:$A$3722)),"Efficient","Inefficient")</f>
        <v>Inefficient</v>
      </c>
    </row>
    <row r="3565" spans="1:6" x14ac:dyDescent="0.25">
      <c r="A3565" cm="1">
        <f t="array" ref="A3565">INDEX('Portfolio Weights Returns'!$B$9:$BJ$69,
INT((ROW(A3564)-1)/COLUMNS('Portfolio Weights Returns'!$B$9:$BJ$69))+1,MOD(ROW(A3564)-1,COLUMNS('Portfolio Weights Returns'!$B$9:$BJ$69))+1)</f>
        <v>-6.4414190041801195E-4</v>
      </c>
      <c r="B3565">
        <v>2.6700000000000002E-2</v>
      </c>
      <c r="C3565" s="59">
        <v>-0.16</v>
      </c>
      <c r="D3565" s="59">
        <v>-0.26</v>
      </c>
      <c r="E3565" s="60">
        <f t="shared" si="55"/>
        <v>1.42</v>
      </c>
      <c r="F3565" t="str" cm="1">
        <f t="array" ref="F3565">IF(A3565=MAX(IF(ROUND($B$2:$B$3722,4)=ROUND(B3565,4),$A$2:$A$3722)),"Efficient","Inefficient")</f>
        <v>Inefficient</v>
      </c>
    </row>
    <row r="3566" spans="1:6" x14ac:dyDescent="0.25">
      <c r="A3566" cm="1">
        <f t="array" ref="A3566">INDEX('Portfolio Weights Returns'!$B$9:$BJ$69,
INT((ROW(A3565)-1)/COLUMNS('Portfolio Weights Returns'!$B$9:$BJ$69))+1,MOD(ROW(A3565)-1,COLUMNS('Portfolio Weights Returns'!$B$9:$BJ$69))+1)</f>
        <v>-6.373607264513328E-4</v>
      </c>
      <c r="B3566">
        <v>2.6700000000000002E-2</v>
      </c>
      <c r="C3566" s="59">
        <v>-0.19</v>
      </c>
      <c r="D3566" s="59">
        <v>-0.24</v>
      </c>
      <c r="E3566" s="60">
        <f t="shared" si="55"/>
        <v>1.43</v>
      </c>
      <c r="F3566" t="str" cm="1">
        <f t="array" ref="F3566">IF(A3566=MAX(IF(ROUND($B$2:$B$3722,4)=ROUND(B3566,4),$A$2:$A$3722)),"Efficient","Inefficient")</f>
        <v>Inefficient</v>
      </c>
    </row>
    <row r="3567" spans="1:6" x14ac:dyDescent="0.25">
      <c r="A3567" cm="1">
        <f t="array" ref="A3567">INDEX('Portfolio Weights Returns'!$B$9:$BJ$69,
INT((ROW(A3566)-1)/COLUMNS('Portfolio Weights Returns'!$B$9:$BJ$69))+1,MOD(ROW(A3566)-1,COLUMNS('Portfolio Weights Returns'!$B$9:$BJ$69))+1)</f>
        <v>-6.3057955248465376E-4</v>
      </c>
      <c r="B3567">
        <v>2.6700000000000002E-2</v>
      </c>
      <c r="C3567" s="59">
        <v>-0.22</v>
      </c>
      <c r="D3567" s="59">
        <v>-0.22</v>
      </c>
      <c r="E3567" s="60">
        <f t="shared" si="55"/>
        <v>1.44</v>
      </c>
      <c r="F3567" t="str" cm="1">
        <f t="array" ref="F3567">IF(A3567=MAX(IF(ROUND($B$2:$B$3722,4)=ROUND(B3567,4),$A$2:$A$3722)),"Efficient","Inefficient")</f>
        <v>Inefficient</v>
      </c>
    </row>
    <row r="3568" spans="1:6" x14ac:dyDescent="0.25">
      <c r="A3568" cm="1">
        <f t="array" ref="A3568">INDEX('Portfolio Weights Returns'!$B$9:$BJ$69,
INT((ROW(A3567)-1)/COLUMNS('Portfolio Weights Returns'!$B$9:$BJ$69))+1,MOD(ROW(A3567)-1,COLUMNS('Portfolio Weights Returns'!$B$9:$BJ$69))+1)</f>
        <v>-6.2379837851797462E-4</v>
      </c>
      <c r="B3568">
        <v>2.6700000000000002E-2</v>
      </c>
      <c r="C3568" s="59">
        <v>-0.23</v>
      </c>
      <c r="D3568" s="59">
        <v>-0.21</v>
      </c>
      <c r="E3568" s="60">
        <f t="shared" si="55"/>
        <v>1.44</v>
      </c>
      <c r="F3568" t="str" cm="1">
        <f t="array" ref="F3568">IF(A3568=MAX(IF(ROUND($B$2:$B$3722,4)=ROUND(B3568,4),$A$2:$A$3722)),"Efficient","Inefficient")</f>
        <v>Inefficient</v>
      </c>
    </row>
    <row r="3569" spans="1:6" x14ac:dyDescent="0.25">
      <c r="A3569" cm="1">
        <f t="array" ref="A3569">INDEX('Portfolio Weights Returns'!$B$9:$BJ$69,
INT((ROW(A3568)-1)/COLUMNS('Portfolio Weights Returns'!$B$9:$BJ$69))+1,MOD(ROW(A3568)-1,COLUMNS('Portfolio Weights Returns'!$B$9:$BJ$69))+1)</f>
        <v>-6.1701720455129537E-4</v>
      </c>
      <c r="B3569">
        <v>2.6700000000000002E-2</v>
      </c>
      <c r="C3569" s="59">
        <v>-0.27</v>
      </c>
      <c r="D3569" s="59">
        <v>-0.18</v>
      </c>
      <c r="E3569" s="60">
        <f t="shared" si="55"/>
        <v>1.45</v>
      </c>
      <c r="F3569" t="str" cm="1">
        <f t="array" ref="F3569">IF(A3569=MAX(IF(ROUND($B$2:$B$3722,4)=ROUND(B3569,4),$A$2:$A$3722)),"Efficient","Inefficient")</f>
        <v>Inefficient</v>
      </c>
    </row>
    <row r="3570" spans="1:6" x14ac:dyDescent="0.25">
      <c r="A3570" cm="1">
        <f t="array" ref="A3570">INDEX('Portfolio Weights Returns'!$B$9:$BJ$69,
INT((ROW(A3569)-1)/COLUMNS('Portfolio Weights Returns'!$B$9:$BJ$69))+1,MOD(ROW(A3569)-1,COLUMNS('Portfolio Weights Returns'!$B$9:$BJ$69))+1)</f>
        <v>-6.1023603058461633E-4</v>
      </c>
      <c r="B3570">
        <v>2.6700000000000002E-2</v>
      </c>
      <c r="C3570" s="59">
        <v>-0.28000000000000003</v>
      </c>
      <c r="D3570" s="59">
        <v>-0.17</v>
      </c>
      <c r="E3570" s="60">
        <f t="shared" si="55"/>
        <v>1.45</v>
      </c>
      <c r="F3570" t="str" cm="1">
        <f t="array" ref="F3570">IF(A3570=MAX(IF(ROUND($B$2:$B$3722,4)=ROUND(B3570,4),$A$2:$A$3722)),"Efficient","Inefficient")</f>
        <v>Efficient</v>
      </c>
    </row>
    <row r="3571" spans="1:6" x14ac:dyDescent="0.25">
      <c r="A3571" cm="1">
        <f t="array" ref="A3571">INDEX('Portfolio Weights Returns'!$B$9:$BJ$69,
INT((ROW(A3570)-1)/COLUMNS('Portfolio Weights Returns'!$B$9:$BJ$69))+1,MOD(ROW(A3570)-1,COLUMNS('Portfolio Weights Returns'!$B$9:$BJ$69))+1)</f>
        <v>-6.0345485661793719E-4</v>
      </c>
      <c r="B3571">
        <v>2.6800000000000001E-2</v>
      </c>
      <c r="C3571" s="59">
        <v>-0.12</v>
      </c>
      <c r="D3571" s="59">
        <v>-0.28999999999999998</v>
      </c>
      <c r="E3571" s="60">
        <f t="shared" si="55"/>
        <v>1.4100000000000001</v>
      </c>
      <c r="F3571" t="str" cm="1">
        <f t="array" ref="F3571">IF(A3571=MAX(IF(ROUND($B$2:$B$3722,4)=ROUND(B3571,4),$A$2:$A$3722)),"Efficient","Inefficient")</f>
        <v>Inefficient</v>
      </c>
    </row>
    <row r="3572" spans="1:6" x14ac:dyDescent="0.25">
      <c r="A3572" cm="1">
        <f t="array" ref="A3572">INDEX('Portfolio Weights Returns'!$B$9:$BJ$69,
INT((ROW(A3571)-1)/COLUMNS('Portfolio Weights Returns'!$B$9:$BJ$69))+1,MOD(ROW(A3571)-1,COLUMNS('Portfolio Weights Returns'!$B$9:$BJ$69))+1)</f>
        <v>-5.9667368265125815E-4</v>
      </c>
      <c r="B3572">
        <v>2.6800000000000001E-2</v>
      </c>
      <c r="C3572" s="59">
        <v>-0.14000000000000001</v>
      </c>
      <c r="D3572" s="59">
        <v>-0.28000000000000003</v>
      </c>
      <c r="E3572" s="60">
        <f t="shared" si="55"/>
        <v>1.42</v>
      </c>
      <c r="F3572" t="str" cm="1">
        <f t="array" ref="F3572">IF(A3572=MAX(IF(ROUND($B$2:$B$3722,4)=ROUND(B3572,4),$A$2:$A$3722)),"Efficient","Inefficient")</f>
        <v>Inefficient</v>
      </c>
    </row>
    <row r="3573" spans="1:6" x14ac:dyDescent="0.25">
      <c r="A3573" cm="1">
        <f t="array" ref="A3573">INDEX('Portfolio Weights Returns'!$B$9:$BJ$69,
INT((ROW(A3572)-1)/COLUMNS('Portfolio Weights Returns'!$B$9:$BJ$69))+1,MOD(ROW(A3572)-1,COLUMNS('Portfolio Weights Returns'!$B$9:$BJ$69))+1)</f>
        <v>-5.8989250868457901E-4</v>
      </c>
      <c r="B3573">
        <v>2.6800000000000001E-2</v>
      </c>
      <c r="C3573" s="59">
        <v>-0.15</v>
      </c>
      <c r="D3573" s="59">
        <v>-0.27</v>
      </c>
      <c r="E3573" s="60">
        <f t="shared" si="55"/>
        <v>1.42</v>
      </c>
      <c r="F3573" t="str" cm="1">
        <f t="array" ref="F3573">IF(A3573=MAX(IF(ROUND($B$2:$B$3722,4)=ROUND(B3573,4),$A$2:$A$3722)),"Efficient","Inefficient")</f>
        <v>Inefficient</v>
      </c>
    </row>
    <row r="3574" spans="1:6" x14ac:dyDescent="0.25">
      <c r="A3574" cm="1">
        <f t="array" ref="A3574">INDEX('Portfolio Weights Returns'!$B$9:$BJ$69,
INT((ROW(A3573)-1)/COLUMNS('Portfolio Weights Returns'!$B$9:$BJ$69))+1,MOD(ROW(A3573)-1,COLUMNS('Portfolio Weights Returns'!$B$9:$BJ$69))+1)</f>
        <v>-5.8311133471789997E-4</v>
      </c>
      <c r="B3574">
        <v>2.6800000000000001E-2</v>
      </c>
      <c r="C3574" s="59">
        <v>-0.17</v>
      </c>
      <c r="D3574" s="59">
        <v>-0.26</v>
      </c>
      <c r="E3574" s="60">
        <f t="shared" si="55"/>
        <v>1.43</v>
      </c>
      <c r="F3574" t="str" cm="1">
        <f t="array" ref="F3574">IF(A3574=MAX(IF(ROUND($B$2:$B$3722,4)=ROUND(B3574,4),$A$2:$A$3722)),"Efficient","Inefficient")</f>
        <v>Inefficient</v>
      </c>
    </row>
    <row r="3575" spans="1:6" x14ac:dyDescent="0.25">
      <c r="A3575" cm="1">
        <f t="array" ref="A3575">INDEX('Portfolio Weights Returns'!$B$9:$BJ$69,
INT((ROW(A3574)-1)/COLUMNS('Portfolio Weights Returns'!$B$9:$BJ$69))+1,MOD(ROW(A3574)-1,COLUMNS('Portfolio Weights Returns'!$B$9:$BJ$69))+1)</f>
        <v>-5.7633016075122083E-4</v>
      </c>
      <c r="B3575">
        <v>2.6800000000000001E-2</v>
      </c>
      <c r="C3575" s="59">
        <v>-0.18</v>
      </c>
      <c r="D3575" s="59">
        <v>-0.25</v>
      </c>
      <c r="E3575" s="60">
        <f t="shared" si="55"/>
        <v>1.43</v>
      </c>
      <c r="F3575" t="str" cm="1">
        <f t="array" ref="F3575">IF(A3575=MAX(IF(ROUND($B$2:$B$3722,4)=ROUND(B3575,4),$A$2:$A$3722)),"Efficient","Inefficient")</f>
        <v>Inefficient</v>
      </c>
    </row>
    <row r="3576" spans="1:6" x14ac:dyDescent="0.25">
      <c r="A3576" cm="1">
        <f t="array" ref="A3576">INDEX('Portfolio Weights Returns'!$B$9:$BJ$69,
INT((ROW(A3575)-1)/COLUMNS('Portfolio Weights Returns'!$B$9:$BJ$69))+1,MOD(ROW(A3575)-1,COLUMNS('Portfolio Weights Returns'!$B$9:$BJ$69))+1)</f>
        <v>-5.6954898678454168E-4</v>
      </c>
      <c r="B3576">
        <v>2.6800000000000001E-2</v>
      </c>
      <c r="C3576" s="59">
        <v>-0.21</v>
      </c>
      <c r="D3576" s="59">
        <v>-0.23</v>
      </c>
      <c r="E3576" s="60">
        <f t="shared" si="55"/>
        <v>1.44</v>
      </c>
      <c r="F3576" t="str" cm="1">
        <f t="array" ref="F3576">IF(A3576=MAX(IF(ROUND($B$2:$B$3722,4)=ROUND(B3576,4),$A$2:$A$3722)),"Efficient","Inefficient")</f>
        <v>Inefficient</v>
      </c>
    </row>
    <row r="3577" spans="1:6" x14ac:dyDescent="0.25">
      <c r="A3577" cm="1">
        <f t="array" ref="A3577">INDEX('Portfolio Weights Returns'!$B$9:$BJ$69,
INT((ROW(A3576)-1)/COLUMNS('Portfolio Weights Returns'!$B$9:$BJ$69))+1,MOD(ROW(A3576)-1,COLUMNS('Portfolio Weights Returns'!$B$9:$BJ$69))+1)</f>
        <v>-5.6276781281786254E-4</v>
      </c>
      <c r="B3577">
        <v>2.6800000000000001E-2</v>
      </c>
      <c r="C3577" s="59">
        <v>-0.25</v>
      </c>
      <c r="D3577" s="59">
        <v>-0.2</v>
      </c>
      <c r="E3577" s="60">
        <f t="shared" si="55"/>
        <v>1.45</v>
      </c>
      <c r="F3577" t="str" cm="1">
        <f t="array" ref="F3577">IF(A3577=MAX(IF(ROUND($B$2:$B$3722,4)=ROUND(B3577,4),$A$2:$A$3722)),"Efficient","Inefficient")</f>
        <v>Inefficient</v>
      </c>
    </row>
    <row r="3578" spans="1:6" x14ac:dyDescent="0.25">
      <c r="A3578" cm="1">
        <f t="array" ref="A3578">INDEX('Portfolio Weights Returns'!$B$9:$BJ$69,
INT((ROW(A3577)-1)/COLUMNS('Portfolio Weights Returns'!$B$9:$BJ$69))+1,MOD(ROW(A3577)-1,COLUMNS('Portfolio Weights Returns'!$B$9:$BJ$69))+1)</f>
        <v>-5.5598663885118361E-4</v>
      </c>
      <c r="B3578">
        <v>2.6800000000000001E-2</v>
      </c>
      <c r="C3578" s="59">
        <v>-0.26</v>
      </c>
      <c r="D3578" s="59">
        <v>-0.19</v>
      </c>
      <c r="E3578" s="60">
        <f t="shared" si="55"/>
        <v>1.45</v>
      </c>
      <c r="F3578" t="str" cm="1">
        <f t="array" ref="F3578">IF(A3578=MAX(IF(ROUND($B$2:$B$3722,4)=ROUND(B3578,4),$A$2:$A$3722)),"Efficient","Inefficient")</f>
        <v>Inefficient</v>
      </c>
    </row>
    <row r="3579" spans="1:6" x14ac:dyDescent="0.25">
      <c r="A3579" cm="1">
        <f t="array" ref="A3579">INDEX('Portfolio Weights Returns'!$B$9:$BJ$69,
INT((ROW(A3578)-1)/COLUMNS('Portfolio Weights Returns'!$B$9:$BJ$69))+1,MOD(ROW(A3578)-1,COLUMNS('Portfolio Weights Returns'!$B$9:$BJ$69))+1)</f>
        <v>-5.4920546488450447E-4</v>
      </c>
      <c r="B3579">
        <v>2.6800000000000001E-2</v>
      </c>
      <c r="C3579" s="59">
        <v>-0.28999999999999998</v>
      </c>
      <c r="D3579" s="59">
        <v>-0.17</v>
      </c>
      <c r="E3579" s="60">
        <f t="shared" si="55"/>
        <v>1.46</v>
      </c>
      <c r="F3579" t="str" cm="1">
        <f t="array" ref="F3579">IF(A3579=MAX(IF(ROUND($B$2:$B$3722,4)=ROUND(B3579,4),$A$2:$A$3722)),"Efficient","Inefficient")</f>
        <v>Inefficient</v>
      </c>
    </row>
    <row r="3580" spans="1:6" x14ac:dyDescent="0.25">
      <c r="A3580" cm="1">
        <f t="array" ref="A3580">INDEX('Portfolio Weights Returns'!$B$9:$BJ$69,
INT((ROW(A3579)-1)/COLUMNS('Portfolio Weights Returns'!$B$9:$BJ$69))+1,MOD(ROW(A3579)-1,COLUMNS('Portfolio Weights Returns'!$B$9:$BJ$69))+1)</f>
        <v>-5.4242429091782532E-4</v>
      </c>
      <c r="B3580">
        <v>2.6800000000000001E-2</v>
      </c>
      <c r="C3580" s="59">
        <v>-0.3</v>
      </c>
      <c r="D3580" s="59">
        <v>-0.16</v>
      </c>
      <c r="E3580" s="60">
        <f t="shared" si="55"/>
        <v>1.46</v>
      </c>
      <c r="F3580" t="str" cm="1">
        <f t="array" ref="F3580">IF(A3580=MAX(IF(ROUND($B$2:$B$3722,4)=ROUND(B3580,4),$A$2:$A$3722)),"Efficient","Inefficient")</f>
        <v>Efficient</v>
      </c>
    </row>
    <row r="3581" spans="1:6" x14ac:dyDescent="0.25">
      <c r="A3581" cm="1">
        <f t="array" ref="A3581">INDEX('Portfolio Weights Returns'!$B$9:$BJ$69,
INT((ROW(A3580)-1)/COLUMNS('Portfolio Weights Returns'!$B$9:$BJ$69))+1,MOD(ROW(A3580)-1,COLUMNS('Portfolio Weights Returns'!$B$9:$BJ$69))+1)</f>
        <v>-5.3564311695114618E-4</v>
      </c>
      <c r="B3581">
        <v>2.69E-2</v>
      </c>
      <c r="C3581" s="59">
        <v>-0.11</v>
      </c>
      <c r="D3581" s="59">
        <v>-0.3</v>
      </c>
      <c r="E3581" s="60">
        <f t="shared" si="55"/>
        <v>1.4100000000000001</v>
      </c>
      <c r="F3581" t="str" cm="1">
        <f t="array" ref="F3581">IF(A3581=MAX(IF(ROUND($B$2:$B$3722,4)=ROUND(B3581,4),$A$2:$A$3722)),"Efficient","Inefficient")</f>
        <v>Inefficient</v>
      </c>
    </row>
    <row r="3582" spans="1:6" x14ac:dyDescent="0.25">
      <c r="A3582" cm="1">
        <f t="array" ref="A3582">INDEX('Portfolio Weights Returns'!$B$9:$BJ$69,
INT((ROW(A3581)-1)/COLUMNS('Portfolio Weights Returns'!$B$9:$BJ$69))+1,MOD(ROW(A3581)-1,COLUMNS('Portfolio Weights Returns'!$B$9:$BJ$69))+1)</f>
        <v>-5.2886194298446714E-4</v>
      </c>
      <c r="B3582">
        <v>2.69E-2</v>
      </c>
      <c r="C3582" s="59">
        <v>-0.13</v>
      </c>
      <c r="D3582" s="59">
        <v>-0.28999999999999998</v>
      </c>
      <c r="E3582" s="60">
        <f t="shared" si="55"/>
        <v>1.42</v>
      </c>
      <c r="F3582" t="str" cm="1">
        <f t="array" ref="F3582">IF(A3582=MAX(IF(ROUND($B$2:$B$3722,4)=ROUND(B3582,4),$A$2:$A$3722)),"Efficient","Inefficient")</f>
        <v>Inefficient</v>
      </c>
    </row>
    <row r="3583" spans="1:6" x14ac:dyDescent="0.25">
      <c r="A3583" cm="1">
        <f t="array" ref="A3583">INDEX('Portfolio Weights Returns'!$B$9:$BJ$69,
INT((ROW(A3582)-1)/COLUMNS('Portfolio Weights Returns'!$B$9:$BJ$69))+1,MOD(ROW(A3582)-1,COLUMNS('Portfolio Weights Returns'!$B$9:$BJ$69))+1)</f>
        <v>-5.22080769017788E-4</v>
      </c>
      <c r="B3583">
        <v>2.69E-2</v>
      </c>
      <c r="C3583" s="59">
        <v>-0.16</v>
      </c>
      <c r="D3583" s="59">
        <v>-0.27</v>
      </c>
      <c r="E3583" s="60">
        <f t="shared" si="55"/>
        <v>1.43</v>
      </c>
      <c r="F3583" t="str" cm="1">
        <f t="array" ref="F3583">IF(A3583=MAX(IF(ROUND($B$2:$B$3722,4)=ROUND(B3583,4),$A$2:$A$3722)),"Efficient","Inefficient")</f>
        <v>Inefficient</v>
      </c>
    </row>
    <row r="3584" spans="1:6" x14ac:dyDescent="0.25">
      <c r="A3584" cm="1">
        <f t="array" ref="A3584">INDEX('Portfolio Weights Returns'!$B$9:$BJ$69,
INT((ROW(A3583)-1)/COLUMNS('Portfolio Weights Returns'!$B$9:$BJ$69))+1,MOD(ROW(A3583)-1,COLUMNS('Portfolio Weights Returns'!$B$9:$BJ$69))+1)</f>
        <v>-5.1529959505110885E-4</v>
      </c>
      <c r="B3584">
        <v>2.69E-2</v>
      </c>
      <c r="C3584" s="59">
        <v>-0.19</v>
      </c>
      <c r="D3584" s="59">
        <v>-0.25</v>
      </c>
      <c r="E3584" s="60">
        <f t="shared" si="55"/>
        <v>1.44</v>
      </c>
      <c r="F3584" t="str" cm="1">
        <f t="array" ref="F3584">IF(A3584=MAX(IF(ROUND($B$2:$B$3722,4)=ROUND(B3584,4),$A$2:$A$3722)),"Efficient","Inefficient")</f>
        <v>Inefficient</v>
      </c>
    </row>
    <row r="3585" spans="1:6" x14ac:dyDescent="0.25">
      <c r="A3585" cm="1">
        <f t="array" ref="A3585">INDEX('Portfolio Weights Returns'!$B$9:$BJ$69,
INT((ROW(A3584)-1)/COLUMNS('Portfolio Weights Returns'!$B$9:$BJ$69))+1,MOD(ROW(A3584)-1,COLUMNS('Portfolio Weights Returns'!$B$9:$BJ$69))+1)</f>
        <v>-5.0851842108442982E-4</v>
      </c>
      <c r="B3585">
        <v>2.69E-2</v>
      </c>
      <c r="C3585" s="59">
        <v>-0.2</v>
      </c>
      <c r="D3585" s="59">
        <v>-0.24</v>
      </c>
      <c r="E3585" s="60">
        <f t="shared" si="55"/>
        <v>1.44</v>
      </c>
      <c r="F3585" t="str" cm="1">
        <f t="array" ref="F3585">IF(A3585=MAX(IF(ROUND($B$2:$B$3722,4)=ROUND(B3585,4),$A$2:$A$3722)),"Efficient","Inefficient")</f>
        <v>Inefficient</v>
      </c>
    </row>
    <row r="3586" spans="1:6" x14ac:dyDescent="0.25">
      <c r="A3586" cm="1">
        <f t="array" ref="A3586">INDEX('Portfolio Weights Returns'!$B$9:$BJ$69,
INT((ROW(A3585)-1)/COLUMNS('Portfolio Weights Returns'!$B$9:$BJ$69))+1,MOD(ROW(A3585)-1,COLUMNS('Portfolio Weights Returns'!$B$9:$BJ$69))+1)</f>
        <v>-5.0173724711775067E-4</v>
      </c>
      <c r="B3586">
        <v>2.69E-2</v>
      </c>
      <c r="C3586" s="59">
        <v>-0.23</v>
      </c>
      <c r="D3586" s="59">
        <v>-0.22</v>
      </c>
      <c r="E3586" s="60">
        <f t="shared" ref="E3586:E3649" si="56">1-D3586-C3586</f>
        <v>1.45</v>
      </c>
      <c r="F3586" t="str" cm="1">
        <f t="array" ref="F3586">IF(A3586=MAX(IF(ROUND($B$2:$B$3722,4)=ROUND(B3586,4),$A$2:$A$3722)),"Efficient","Inefficient")</f>
        <v>Inefficient</v>
      </c>
    </row>
    <row r="3587" spans="1:6" x14ac:dyDescent="0.25">
      <c r="A3587" cm="1">
        <f t="array" ref="A3587">INDEX('Portfolio Weights Returns'!$B$9:$BJ$69,
INT((ROW(A3586)-1)/COLUMNS('Portfolio Weights Returns'!$B$9:$BJ$69))+1,MOD(ROW(A3586)-1,COLUMNS('Portfolio Weights Returns'!$B$9:$BJ$69))+1)</f>
        <v>-4.9495607315107153E-4</v>
      </c>
      <c r="B3587">
        <v>2.69E-2</v>
      </c>
      <c r="C3587" s="59">
        <v>-0.24</v>
      </c>
      <c r="D3587" s="59">
        <v>-0.21</v>
      </c>
      <c r="E3587" s="60">
        <f t="shared" si="56"/>
        <v>1.45</v>
      </c>
      <c r="F3587" t="str" cm="1">
        <f t="array" ref="F3587">IF(A3587=MAX(IF(ROUND($B$2:$B$3722,4)=ROUND(B3587,4),$A$2:$A$3722)),"Efficient","Inefficient")</f>
        <v>Inefficient</v>
      </c>
    </row>
    <row r="3588" spans="1:6" x14ac:dyDescent="0.25">
      <c r="A3588" cm="1">
        <f t="array" ref="A3588">INDEX('Portfolio Weights Returns'!$B$9:$BJ$69,
INT((ROW(A3587)-1)/COLUMNS('Portfolio Weights Returns'!$B$9:$BJ$69))+1,MOD(ROW(A3587)-1,COLUMNS('Portfolio Weights Returns'!$B$9:$BJ$69))+1)</f>
        <v>-4.8817489918439254E-4</v>
      </c>
      <c r="B3588">
        <v>2.69E-2</v>
      </c>
      <c r="C3588" s="59">
        <v>-0.27</v>
      </c>
      <c r="D3588" s="59">
        <v>-0.19</v>
      </c>
      <c r="E3588" s="60">
        <f t="shared" si="56"/>
        <v>1.46</v>
      </c>
      <c r="F3588" t="str" cm="1">
        <f t="array" ref="F3588">IF(A3588=MAX(IF(ROUND($B$2:$B$3722,4)=ROUND(B3588,4),$A$2:$A$3722)),"Efficient","Inefficient")</f>
        <v>Inefficient</v>
      </c>
    </row>
    <row r="3589" spans="1:6" x14ac:dyDescent="0.25">
      <c r="A3589" cm="1">
        <f t="array" ref="A3589">INDEX('Portfolio Weights Returns'!$B$9:$BJ$69,
INT((ROW(A3588)-1)/COLUMNS('Portfolio Weights Returns'!$B$9:$BJ$69))+1,MOD(ROW(A3588)-1,COLUMNS('Portfolio Weights Returns'!$B$9:$BJ$69))+1)</f>
        <v>-4.813937252177134E-4</v>
      </c>
      <c r="B3589">
        <v>2.69E-2</v>
      </c>
      <c r="C3589" s="59">
        <v>-0.28000000000000003</v>
      </c>
      <c r="D3589" s="59">
        <v>-0.18</v>
      </c>
      <c r="E3589" s="60">
        <f t="shared" si="56"/>
        <v>1.46</v>
      </c>
      <c r="F3589" t="str" cm="1">
        <f t="array" ref="F3589">IF(A3589=MAX(IF(ROUND($B$2:$B$3722,4)=ROUND(B3589,4),$A$2:$A$3722)),"Efficient","Inefficient")</f>
        <v>Efficient</v>
      </c>
    </row>
    <row r="3590" spans="1:6" x14ac:dyDescent="0.25">
      <c r="A3590" cm="1">
        <f t="array" ref="A3590">INDEX('Portfolio Weights Returns'!$B$9:$BJ$69,
INT((ROW(A3589)-1)/COLUMNS('Portfolio Weights Returns'!$B$9:$BJ$69))+1,MOD(ROW(A3589)-1,COLUMNS('Portfolio Weights Returns'!$B$9:$BJ$69))+1)</f>
        <v>-4.7461255125103431E-4</v>
      </c>
      <c r="B3590">
        <v>2.7E-2</v>
      </c>
      <c r="C3590" s="59">
        <v>-0.12</v>
      </c>
      <c r="D3590" s="59">
        <v>-0.3</v>
      </c>
      <c r="E3590" s="60">
        <f t="shared" si="56"/>
        <v>1.42</v>
      </c>
      <c r="F3590" t="str" cm="1">
        <f t="array" ref="F3590">IF(A3590=MAX(IF(ROUND($B$2:$B$3722,4)=ROUND(B3590,4),$A$2:$A$3722)),"Efficient","Inefficient")</f>
        <v>Inefficient</v>
      </c>
    </row>
    <row r="3591" spans="1:6" x14ac:dyDescent="0.25">
      <c r="A3591" cm="1">
        <f t="array" ref="A3591">INDEX('Portfolio Weights Returns'!$B$9:$BJ$69,
INT((ROW(A3590)-1)/COLUMNS('Portfolio Weights Returns'!$B$9:$BJ$69))+1,MOD(ROW(A3590)-1,COLUMNS('Portfolio Weights Returns'!$B$9:$BJ$69))+1)</f>
        <v>-4.6783137728435517E-4</v>
      </c>
      <c r="B3591">
        <v>2.7E-2</v>
      </c>
      <c r="C3591" s="59">
        <v>-0.15</v>
      </c>
      <c r="D3591" s="59">
        <v>-0.28000000000000003</v>
      </c>
      <c r="E3591" s="60">
        <f t="shared" si="56"/>
        <v>1.43</v>
      </c>
      <c r="F3591" t="str" cm="1">
        <f t="array" ref="F3591">IF(A3591=MAX(IF(ROUND($B$2:$B$3722,4)=ROUND(B3591,4),$A$2:$A$3722)),"Efficient","Inefficient")</f>
        <v>Inefficient</v>
      </c>
    </row>
    <row r="3592" spans="1:6" x14ac:dyDescent="0.25">
      <c r="A3592" cm="1">
        <f t="array" ref="A3592">INDEX('Portfolio Weights Returns'!$B$9:$BJ$69,
INT((ROW(A3591)-1)/COLUMNS('Portfolio Weights Returns'!$B$9:$BJ$69))+1,MOD(ROW(A3591)-1,COLUMNS('Portfolio Weights Returns'!$B$9:$BJ$69))+1)</f>
        <v>-4.6105020331767602E-4</v>
      </c>
      <c r="B3592">
        <v>2.7E-2</v>
      </c>
      <c r="C3592" s="59">
        <v>-0.18</v>
      </c>
      <c r="D3592" s="59">
        <v>-0.26</v>
      </c>
      <c r="E3592" s="60">
        <f t="shared" si="56"/>
        <v>1.44</v>
      </c>
      <c r="F3592" t="str" cm="1">
        <f t="array" ref="F3592">IF(A3592=MAX(IF(ROUND($B$2:$B$3722,4)=ROUND(B3592,4),$A$2:$A$3722)),"Efficient","Inefficient")</f>
        <v>Inefficient</v>
      </c>
    </row>
    <row r="3593" spans="1:6" x14ac:dyDescent="0.25">
      <c r="A3593" cm="1">
        <f t="array" ref="A3593">INDEX('Portfolio Weights Returns'!$B$9:$BJ$69,
INT((ROW(A3592)-1)/COLUMNS('Portfolio Weights Returns'!$B$9:$BJ$69))+1,MOD(ROW(A3592)-1,COLUMNS('Portfolio Weights Returns'!$B$9:$BJ$69))+1)</f>
        <v>-4.5426902935099699E-4</v>
      </c>
      <c r="B3593">
        <v>2.7E-2</v>
      </c>
      <c r="C3593" s="59">
        <v>-0.21</v>
      </c>
      <c r="D3593" s="59">
        <v>-0.24</v>
      </c>
      <c r="E3593" s="60">
        <f t="shared" si="56"/>
        <v>1.45</v>
      </c>
      <c r="F3593" t="str" cm="1">
        <f t="array" ref="F3593">IF(A3593=MAX(IF(ROUND($B$2:$B$3722,4)=ROUND(B3593,4),$A$2:$A$3722)),"Efficient","Inefficient")</f>
        <v>Inefficient</v>
      </c>
    </row>
    <row r="3594" spans="1:6" x14ac:dyDescent="0.25">
      <c r="A3594" cm="1">
        <f t="array" ref="A3594">INDEX('Portfolio Weights Returns'!$B$9:$BJ$69,
INT((ROW(A3593)-1)/COLUMNS('Portfolio Weights Returns'!$B$9:$BJ$69))+1,MOD(ROW(A3593)-1,COLUMNS('Portfolio Weights Returns'!$B$9:$BJ$69))+1)</f>
        <v>-4.4748785538431784E-4</v>
      </c>
      <c r="B3594">
        <v>2.7E-2</v>
      </c>
      <c r="C3594" s="59">
        <v>-0.22</v>
      </c>
      <c r="D3594" s="59">
        <v>-0.23</v>
      </c>
      <c r="E3594" s="60">
        <f t="shared" si="56"/>
        <v>1.45</v>
      </c>
      <c r="F3594" t="str" cm="1">
        <f t="array" ref="F3594">IF(A3594=MAX(IF(ROUND($B$2:$B$3722,4)=ROUND(B3594,4),$A$2:$A$3722)),"Efficient","Inefficient")</f>
        <v>Inefficient</v>
      </c>
    </row>
    <row r="3595" spans="1:6" x14ac:dyDescent="0.25">
      <c r="A3595" cm="1">
        <f t="array" ref="A3595">INDEX('Portfolio Weights Returns'!$B$9:$BJ$69,
INT((ROW(A3594)-1)/COLUMNS('Portfolio Weights Returns'!$B$9:$BJ$69))+1,MOD(ROW(A3594)-1,COLUMNS('Portfolio Weights Returns'!$B$9:$BJ$69))+1)</f>
        <v>-4.407066814176387E-4</v>
      </c>
      <c r="B3595">
        <v>2.7E-2</v>
      </c>
      <c r="C3595" s="59">
        <v>-0.25</v>
      </c>
      <c r="D3595" s="59">
        <v>-0.21</v>
      </c>
      <c r="E3595" s="60">
        <f t="shared" si="56"/>
        <v>1.46</v>
      </c>
      <c r="F3595" t="str" cm="1">
        <f t="array" ref="F3595">IF(A3595=MAX(IF(ROUND($B$2:$B$3722,4)=ROUND(B3595,4),$A$2:$A$3722)),"Efficient","Inefficient")</f>
        <v>Inefficient</v>
      </c>
    </row>
    <row r="3596" spans="1:6" x14ac:dyDescent="0.25">
      <c r="A3596" cm="1">
        <f t="array" ref="A3596">INDEX('Portfolio Weights Returns'!$B$9:$BJ$69,
INT((ROW(A3595)-1)/COLUMNS('Portfolio Weights Returns'!$B$9:$BJ$69))+1,MOD(ROW(A3595)-1,COLUMNS('Portfolio Weights Returns'!$B$9:$BJ$69))+1)</f>
        <v>-4.3392550745095961E-4</v>
      </c>
      <c r="B3596">
        <v>2.7E-2</v>
      </c>
      <c r="C3596" s="59">
        <v>-0.26</v>
      </c>
      <c r="D3596" s="59">
        <v>-0.2</v>
      </c>
      <c r="E3596" s="60">
        <f t="shared" si="56"/>
        <v>1.46</v>
      </c>
      <c r="F3596" t="str" cm="1">
        <f t="array" ref="F3596">IF(A3596=MAX(IF(ROUND($B$2:$B$3722,4)=ROUND(B3596,4),$A$2:$A$3722)),"Efficient","Inefficient")</f>
        <v>Inefficient</v>
      </c>
    </row>
    <row r="3597" spans="1:6" x14ac:dyDescent="0.25">
      <c r="A3597" cm="1">
        <f t="array" ref="A3597">INDEX('Portfolio Weights Returns'!$B$9:$BJ$69,
INT((ROW(A3596)-1)/COLUMNS('Portfolio Weights Returns'!$B$9:$BJ$69))+1,MOD(ROW(A3596)-1,COLUMNS('Portfolio Weights Returns'!$B$9:$BJ$69))+1)</f>
        <v>-4.2714433348427981E-4</v>
      </c>
      <c r="B3597">
        <v>2.7E-2</v>
      </c>
      <c r="C3597" s="59">
        <v>-0.3</v>
      </c>
      <c r="D3597" s="59">
        <v>-0.17</v>
      </c>
      <c r="E3597" s="60">
        <f t="shared" si="56"/>
        <v>1.47</v>
      </c>
      <c r="F3597" t="str" cm="1">
        <f t="array" ref="F3597">IF(A3597=MAX(IF(ROUND($B$2:$B$3722,4)=ROUND(B3597,4),$A$2:$A$3722)),"Efficient","Inefficient")</f>
        <v>Efficient</v>
      </c>
    </row>
    <row r="3598" spans="1:6" x14ac:dyDescent="0.25">
      <c r="A3598" cm="1">
        <f t="array" ref="A3598">INDEX('Portfolio Weights Returns'!$B$9:$BJ$69,
INT((ROW(A3597)-1)/COLUMNS('Portfolio Weights Returns'!$B$9:$BJ$69))+1,MOD(ROW(A3597)-1,COLUMNS('Portfolio Weights Returns'!$B$9:$BJ$69))+1)</f>
        <v>-4.2036315951760072E-4</v>
      </c>
      <c r="B3598">
        <v>2.7099999999999999E-2</v>
      </c>
      <c r="C3598" s="59">
        <v>-0.14000000000000001</v>
      </c>
      <c r="D3598" s="59">
        <v>-0.28999999999999998</v>
      </c>
      <c r="E3598" s="60">
        <f t="shared" si="56"/>
        <v>1.4300000000000002</v>
      </c>
      <c r="F3598" t="str" cm="1">
        <f t="array" ref="F3598">IF(A3598=MAX(IF(ROUND($B$2:$B$3722,4)=ROUND(B3598,4),$A$2:$A$3722)),"Efficient","Inefficient")</f>
        <v>Inefficient</v>
      </c>
    </row>
    <row r="3599" spans="1:6" x14ac:dyDescent="0.25">
      <c r="A3599" cm="1">
        <f t="array" ref="A3599">INDEX('Portfolio Weights Returns'!$B$9:$BJ$69,
INT((ROW(A3598)-1)/COLUMNS('Portfolio Weights Returns'!$B$9:$BJ$69))+1,MOD(ROW(A3598)-1,COLUMNS('Portfolio Weights Returns'!$B$9:$BJ$69))+1)</f>
        <v>-4.1358198555092169E-4</v>
      </c>
      <c r="B3599">
        <v>2.7099999999999999E-2</v>
      </c>
      <c r="C3599" s="59">
        <v>-0.17</v>
      </c>
      <c r="D3599" s="59">
        <v>-0.27</v>
      </c>
      <c r="E3599" s="60">
        <f t="shared" si="56"/>
        <v>1.44</v>
      </c>
      <c r="F3599" t="str" cm="1">
        <f t="array" ref="F3599">IF(A3599=MAX(IF(ROUND($B$2:$B$3722,4)=ROUND(B3599,4),$A$2:$A$3722)),"Efficient","Inefficient")</f>
        <v>Inefficient</v>
      </c>
    </row>
    <row r="3600" spans="1:6" x14ac:dyDescent="0.25">
      <c r="A3600" cm="1">
        <f t="array" ref="A3600">INDEX('Portfolio Weights Returns'!$B$9:$BJ$69,
INT((ROW(A3599)-1)/COLUMNS('Portfolio Weights Returns'!$B$9:$BJ$69))+1,MOD(ROW(A3599)-1,COLUMNS('Portfolio Weights Returns'!$B$9:$BJ$69))+1)</f>
        <v>-4.0680081158424259E-4</v>
      </c>
      <c r="B3600">
        <v>2.7099999999999999E-2</v>
      </c>
      <c r="C3600" s="59">
        <v>-0.2</v>
      </c>
      <c r="D3600" s="59">
        <v>-0.25</v>
      </c>
      <c r="E3600" s="60">
        <f t="shared" si="56"/>
        <v>1.45</v>
      </c>
      <c r="F3600" t="str" cm="1">
        <f t="array" ref="F3600">IF(A3600=MAX(IF(ROUND($B$2:$B$3722,4)=ROUND(B3600,4),$A$2:$A$3722)),"Efficient","Inefficient")</f>
        <v>Efficient</v>
      </c>
    </row>
    <row r="3601" spans="1:6" x14ac:dyDescent="0.25">
      <c r="A3601" cm="1">
        <f t="array" ref="A3601">INDEX('Portfolio Weights Returns'!$B$9:$BJ$69,
INT((ROW(A3600)-1)/COLUMNS('Portfolio Weights Returns'!$B$9:$BJ$69))+1,MOD(ROW(A3600)-1,COLUMNS('Portfolio Weights Returns'!$B$9:$BJ$69))+1)</f>
        <v>-8.0709704173953446E-4</v>
      </c>
      <c r="B3601">
        <v>2.7099999999999999E-2</v>
      </c>
      <c r="C3601" s="59">
        <v>-0.23</v>
      </c>
      <c r="D3601" s="59">
        <v>-0.23</v>
      </c>
      <c r="E3601" s="60">
        <f t="shared" si="56"/>
        <v>1.46</v>
      </c>
      <c r="F3601" t="str" cm="1">
        <f t="array" ref="F3601">IF(A3601=MAX(IF(ROUND($B$2:$B$3722,4)=ROUND(B3601,4),$A$2:$A$3722)),"Efficient","Inefficient")</f>
        <v>Inefficient</v>
      </c>
    </row>
    <row r="3602" spans="1:6" x14ac:dyDescent="0.25">
      <c r="A3602" cm="1">
        <f t="array" ref="A3602">INDEX('Portfolio Weights Returns'!$B$9:$BJ$69,
INT((ROW(A3601)-1)/COLUMNS('Portfolio Weights Returns'!$B$9:$BJ$69))+1,MOD(ROW(A3601)-1,COLUMNS('Portfolio Weights Returns'!$B$9:$BJ$69))+1)</f>
        <v>-8.0031586777285521E-4</v>
      </c>
      <c r="B3602">
        <v>2.7099999999999999E-2</v>
      </c>
      <c r="C3602" s="59">
        <v>-0.24</v>
      </c>
      <c r="D3602" s="59">
        <v>-0.22</v>
      </c>
      <c r="E3602" s="60">
        <f t="shared" si="56"/>
        <v>1.46</v>
      </c>
      <c r="F3602" t="str" cm="1">
        <f t="array" ref="F3602">IF(A3602=MAX(IF(ROUND($B$2:$B$3722,4)=ROUND(B3602,4),$A$2:$A$3722)),"Efficient","Inefficient")</f>
        <v>Inefficient</v>
      </c>
    </row>
    <row r="3603" spans="1:6" x14ac:dyDescent="0.25">
      <c r="A3603" cm="1">
        <f t="array" ref="A3603">INDEX('Portfolio Weights Returns'!$B$9:$BJ$69,
INT((ROW(A3602)-1)/COLUMNS('Portfolio Weights Returns'!$B$9:$BJ$69))+1,MOD(ROW(A3602)-1,COLUMNS('Portfolio Weights Returns'!$B$9:$BJ$69))+1)</f>
        <v>-7.9353469380617618E-4</v>
      </c>
      <c r="B3603">
        <v>2.7099999999999999E-2</v>
      </c>
      <c r="C3603" s="59">
        <v>-0.28000000000000003</v>
      </c>
      <c r="D3603" s="59">
        <v>-0.19</v>
      </c>
      <c r="E3603" s="60">
        <f t="shared" si="56"/>
        <v>1.47</v>
      </c>
      <c r="F3603" t="str" cm="1">
        <f t="array" ref="F3603">IF(A3603=MAX(IF(ROUND($B$2:$B$3722,4)=ROUND(B3603,4),$A$2:$A$3722)),"Efficient","Inefficient")</f>
        <v>Inefficient</v>
      </c>
    </row>
    <row r="3604" spans="1:6" x14ac:dyDescent="0.25">
      <c r="A3604" cm="1">
        <f t="array" ref="A3604">INDEX('Portfolio Weights Returns'!$B$9:$BJ$69,
INT((ROW(A3603)-1)/COLUMNS('Portfolio Weights Returns'!$B$9:$BJ$69))+1,MOD(ROW(A3603)-1,COLUMNS('Portfolio Weights Returns'!$B$9:$BJ$69))+1)</f>
        <v>-7.8675351983949703E-4</v>
      </c>
      <c r="B3604">
        <v>2.7099999999999999E-2</v>
      </c>
      <c r="C3604" s="59">
        <v>-0.28999999999999998</v>
      </c>
      <c r="D3604" s="59">
        <v>-0.18</v>
      </c>
      <c r="E3604" s="60">
        <f t="shared" si="56"/>
        <v>1.47</v>
      </c>
      <c r="F3604" t="str" cm="1">
        <f t="array" ref="F3604">IF(A3604=MAX(IF(ROUND($B$2:$B$3722,4)=ROUND(B3604,4),$A$2:$A$3722)),"Efficient","Inefficient")</f>
        <v>Inefficient</v>
      </c>
    </row>
    <row r="3605" spans="1:6" x14ac:dyDescent="0.25">
      <c r="A3605" cm="1">
        <f t="array" ref="A3605">INDEX('Portfolio Weights Returns'!$B$9:$BJ$69,
INT((ROW(A3604)-1)/COLUMNS('Portfolio Weights Returns'!$B$9:$BJ$69))+1,MOD(ROW(A3604)-1,COLUMNS('Portfolio Weights Returns'!$B$9:$BJ$69))+1)</f>
        <v>-7.7997234587281789E-4</v>
      </c>
      <c r="B3605">
        <v>2.7199999999999998E-2</v>
      </c>
      <c r="C3605" s="59">
        <v>-0.13</v>
      </c>
      <c r="D3605" s="59">
        <v>-0.3</v>
      </c>
      <c r="E3605" s="60">
        <f t="shared" si="56"/>
        <v>1.4300000000000002</v>
      </c>
      <c r="F3605" t="str" cm="1">
        <f t="array" ref="F3605">IF(A3605=MAX(IF(ROUND($B$2:$B$3722,4)=ROUND(B3605,4),$A$2:$A$3722)),"Efficient","Inefficient")</f>
        <v>Inefficient</v>
      </c>
    </row>
    <row r="3606" spans="1:6" x14ac:dyDescent="0.25">
      <c r="A3606" cm="1">
        <f t="array" ref="A3606">INDEX('Portfolio Weights Returns'!$B$9:$BJ$69,
INT((ROW(A3605)-1)/COLUMNS('Portfolio Weights Returns'!$B$9:$BJ$69))+1,MOD(ROW(A3605)-1,COLUMNS('Portfolio Weights Returns'!$B$9:$BJ$69))+1)</f>
        <v>-7.7319117190613885E-4</v>
      </c>
      <c r="B3606">
        <v>2.7199999999999998E-2</v>
      </c>
      <c r="C3606" s="59">
        <v>-0.16</v>
      </c>
      <c r="D3606" s="59">
        <v>-0.28000000000000003</v>
      </c>
      <c r="E3606" s="60">
        <f t="shared" si="56"/>
        <v>1.44</v>
      </c>
      <c r="F3606" t="str" cm="1">
        <f t="array" ref="F3606">IF(A3606=MAX(IF(ROUND($B$2:$B$3722,4)=ROUND(B3606,4),$A$2:$A$3722)),"Efficient","Inefficient")</f>
        <v>Inefficient</v>
      </c>
    </row>
    <row r="3607" spans="1:6" x14ac:dyDescent="0.25">
      <c r="A3607" cm="1">
        <f t="array" ref="A3607">INDEX('Portfolio Weights Returns'!$B$9:$BJ$69,
INT((ROW(A3606)-1)/COLUMNS('Portfolio Weights Returns'!$B$9:$BJ$69))+1,MOD(ROW(A3606)-1,COLUMNS('Portfolio Weights Returns'!$B$9:$BJ$69))+1)</f>
        <v>-7.6640999793945971E-4</v>
      </c>
      <c r="B3607">
        <v>2.7199999999999998E-2</v>
      </c>
      <c r="C3607" s="59">
        <v>-0.19</v>
      </c>
      <c r="D3607" s="59">
        <v>-0.26</v>
      </c>
      <c r="E3607" s="60">
        <f t="shared" si="56"/>
        <v>1.45</v>
      </c>
      <c r="F3607" t="str" cm="1">
        <f t="array" ref="F3607">IF(A3607=MAX(IF(ROUND($B$2:$B$3722,4)=ROUND(B3607,4),$A$2:$A$3722)),"Efficient","Inefficient")</f>
        <v>Inefficient</v>
      </c>
    </row>
    <row r="3608" spans="1:6" x14ac:dyDescent="0.25">
      <c r="A3608" cm="1">
        <f t="array" ref="A3608">INDEX('Portfolio Weights Returns'!$B$9:$BJ$69,
INT((ROW(A3607)-1)/COLUMNS('Portfolio Weights Returns'!$B$9:$BJ$69))+1,MOD(ROW(A3607)-1,COLUMNS('Portfolio Weights Returns'!$B$9:$BJ$69))+1)</f>
        <v>-7.5962882397278067E-4</v>
      </c>
      <c r="B3608">
        <v>2.7199999999999998E-2</v>
      </c>
      <c r="C3608" s="59">
        <v>-0.22</v>
      </c>
      <c r="D3608" s="59">
        <v>-0.24</v>
      </c>
      <c r="E3608" s="60">
        <f t="shared" si="56"/>
        <v>1.46</v>
      </c>
      <c r="F3608" t="str" cm="1">
        <f t="array" ref="F3608">IF(A3608=MAX(IF(ROUND($B$2:$B$3722,4)=ROUND(B3608,4),$A$2:$A$3722)),"Efficient","Inefficient")</f>
        <v>Inefficient</v>
      </c>
    </row>
    <row r="3609" spans="1:6" x14ac:dyDescent="0.25">
      <c r="A3609" cm="1">
        <f t="array" ref="A3609">INDEX('Portfolio Weights Returns'!$B$9:$BJ$69,
INT((ROW(A3608)-1)/COLUMNS('Portfolio Weights Returns'!$B$9:$BJ$69))+1,MOD(ROW(A3608)-1,COLUMNS('Portfolio Weights Returns'!$B$9:$BJ$69))+1)</f>
        <v>-7.5284765000610142E-4</v>
      </c>
      <c r="B3609">
        <v>2.7199999999999998E-2</v>
      </c>
      <c r="C3609" s="59">
        <v>-0.26</v>
      </c>
      <c r="D3609" s="59">
        <v>-0.21</v>
      </c>
      <c r="E3609" s="60">
        <f t="shared" si="56"/>
        <v>1.47</v>
      </c>
      <c r="F3609" t="str" cm="1">
        <f t="array" ref="F3609">IF(A3609=MAX(IF(ROUND($B$2:$B$3722,4)=ROUND(B3609,4),$A$2:$A$3722)),"Efficient","Inefficient")</f>
        <v>Inefficient</v>
      </c>
    </row>
    <row r="3610" spans="1:6" x14ac:dyDescent="0.25">
      <c r="A3610" cm="1">
        <f t="array" ref="A3610">INDEX('Portfolio Weights Returns'!$B$9:$BJ$69,
INT((ROW(A3609)-1)/COLUMNS('Portfolio Weights Returns'!$B$9:$BJ$69))+1,MOD(ROW(A3609)-1,COLUMNS('Portfolio Weights Returns'!$B$9:$BJ$69))+1)</f>
        <v>-7.4606647603942238E-4</v>
      </c>
      <c r="B3610">
        <v>2.7199999999999998E-2</v>
      </c>
      <c r="C3610" s="59">
        <v>-0.27</v>
      </c>
      <c r="D3610" s="59">
        <v>-0.2</v>
      </c>
      <c r="E3610" s="60">
        <f t="shared" si="56"/>
        <v>1.47</v>
      </c>
      <c r="F3610" t="str" cm="1">
        <f t="array" ref="F3610">IF(A3610=MAX(IF(ROUND($B$2:$B$3722,4)=ROUND(B3610,4),$A$2:$A$3722)),"Efficient","Inefficient")</f>
        <v>Inefficient</v>
      </c>
    </row>
    <row r="3611" spans="1:6" x14ac:dyDescent="0.25">
      <c r="A3611" cm="1">
        <f t="array" ref="A3611">INDEX('Portfolio Weights Returns'!$B$9:$BJ$69,
INT((ROW(A3610)-1)/COLUMNS('Portfolio Weights Returns'!$B$9:$BJ$69))+1,MOD(ROW(A3610)-1,COLUMNS('Portfolio Weights Returns'!$B$9:$BJ$69))+1)</f>
        <v>-7.3928530207274324E-4</v>
      </c>
      <c r="B3611">
        <v>2.7199999999999998E-2</v>
      </c>
      <c r="C3611" s="59">
        <v>-0.3</v>
      </c>
      <c r="D3611" s="59">
        <v>-0.18</v>
      </c>
      <c r="E3611" s="60">
        <f t="shared" si="56"/>
        <v>1.48</v>
      </c>
      <c r="F3611" t="str" cm="1">
        <f t="array" ref="F3611">IF(A3611=MAX(IF(ROUND($B$2:$B$3722,4)=ROUND(B3611,4),$A$2:$A$3722)),"Efficient","Inefficient")</f>
        <v>Efficient</v>
      </c>
    </row>
    <row r="3612" spans="1:6" x14ac:dyDescent="0.25">
      <c r="A3612" cm="1">
        <f t="array" ref="A3612">INDEX('Portfolio Weights Returns'!$B$9:$BJ$69,
INT((ROW(A3611)-1)/COLUMNS('Portfolio Weights Returns'!$B$9:$BJ$69))+1,MOD(ROW(A3611)-1,COLUMNS('Portfolio Weights Returns'!$B$9:$BJ$69))+1)</f>
        <v>-7.325041281060642E-4</v>
      </c>
      <c r="B3612">
        <v>2.7300000000000001E-2</v>
      </c>
      <c r="C3612" s="59">
        <v>-0.14000000000000001</v>
      </c>
      <c r="D3612" s="59">
        <v>-0.3</v>
      </c>
      <c r="E3612" s="60">
        <f t="shared" si="56"/>
        <v>1.44</v>
      </c>
      <c r="F3612" t="str" cm="1">
        <f t="array" ref="F3612">IF(A3612=MAX(IF(ROUND($B$2:$B$3722,4)=ROUND(B3612,4),$A$2:$A$3722)),"Efficient","Inefficient")</f>
        <v>Inefficient</v>
      </c>
    </row>
    <row r="3613" spans="1:6" x14ac:dyDescent="0.25">
      <c r="A3613" cm="1">
        <f t="array" ref="A3613">INDEX('Portfolio Weights Returns'!$B$9:$BJ$69,
INT((ROW(A3612)-1)/COLUMNS('Portfolio Weights Returns'!$B$9:$BJ$69))+1,MOD(ROW(A3612)-1,COLUMNS('Portfolio Weights Returns'!$B$9:$BJ$69))+1)</f>
        <v>-7.2572295413938506E-4</v>
      </c>
      <c r="B3613">
        <v>2.7300000000000001E-2</v>
      </c>
      <c r="C3613" s="59">
        <v>-0.15</v>
      </c>
      <c r="D3613" s="59">
        <v>-0.28999999999999998</v>
      </c>
      <c r="E3613" s="60">
        <f t="shared" si="56"/>
        <v>1.44</v>
      </c>
      <c r="F3613" t="str" cm="1">
        <f t="array" ref="F3613">IF(A3613=MAX(IF(ROUND($B$2:$B$3722,4)=ROUND(B3613,4),$A$2:$A$3722)),"Efficient","Inefficient")</f>
        <v>Inefficient</v>
      </c>
    </row>
    <row r="3614" spans="1:6" x14ac:dyDescent="0.25">
      <c r="A3614" cm="1">
        <f t="array" ref="A3614">INDEX('Portfolio Weights Returns'!$B$9:$BJ$69,
INT((ROW(A3613)-1)/COLUMNS('Portfolio Weights Returns'!$B$9:$BJ$69))+1,MOD(ROW(A3613)-1,COLUMNS('Portfolio Weights Returns'!$B$9:$BJ$69))+1)</f>
        <v>-7.1894178017270602E-4</v>
      </c>
      <c r="B3614">
        <v>2.7300000000000001E-2</v>
      </c>
      <c r="C3614" s="59">
        <v>-0.17</v>
      </c>
      <c r="D3614" s="59">
        <v>-0.28000000000000003</v>
      </c>
      <c r="E3614" s="60">
        <f t="shared" si="56"/>
        <v>1.45</v>
      </c>
      <c r="F3614" t="str" cm="1">
        <f t="array" ref="F3614">IF(A3614=MAX(IF(ROUND($B$2:$B$3722,4)=ROUND(B3614,4),$A$2:$A$3722)),"Efficient","Inefficient")</f>
        <v>Inefficient</v>
      </c>
    </row>
    <row r="3615" spans="1:6" x14ac:dyDescent="0.25">
      <c r="A3615" cm="1">
        <f t="array" ref="A3615">INDEX('Portfolio Weights Returns'!$B$9:$BJ$69,
INT((ROW(A3614)-1)/COLUMNS('Portfolio Weights Returns'!$B$9:$BJ$69))+1,MOD(ROW(A3614)-1,COLUMNS('Portfolio Weights Returns'!$B$9:$BJ$69))+1)</f>
        <v>-7.1216060620602688E-4</v>
      </c>
      <c r="B3615">
        <v>2.7300000000000001E-2</v>
      </c>
      <c r="C3615" s="59">
        <v>-0.18</v>
      </c>
      <c r="D3615" s="59">
        <v>-0.27</v>
      </c>
      <c r="E3615" s="60">
        <f t="shared" si="56"/>
        <v>1.45</v>
      </c>
      <c r="F3615" t="str" cm="1">
        <f t="array" ref="F3615">IF(A3615=MAX(IF(ROUND($B$2:$B$3722,4)=ROUND(B3615,4),$A$2:$A$3722)),"Efficient","Inefficient")</f>
        <v>Inefficient</v>
      </c>
    </row>
    <row r="3616" spans="1:6" x14ac:dyDescent="0.25">
      <c r="A3616" cm="1">
        <f t="array" ref="A3616">INDEX('Portfolio Weights Returns'!$B$9:$BJ$69,
INT((ROW(A3615)-1)/COLUMNS('Portfolio Weights Returns'!$B$9:$BJ$69))+1,MOD(ROW(A3615)-1,COLUMNS('Portfolio Weights Returns'!$B$9:$BJ$69))+1)</f>
        <v>-7.0537943223934762E-4</v>
      </c>
      <c r="B3616">
        <v>2.7300000000000001E-2</v>
      </c>
      <c r="C3616" s="59">
        <v>-0.21</v>
      </c>
      <c r="D3616" s="59">
        <v>-0.25</v>
      </c>
      <c r="E3616" s="60">
        <f t="shared" si="56"/>
        <v>1.46</v>
      </c>
      <c r="F3616" t="str" cm="1">
        <f t="array" ref="F3616">IF(A3616=MAX(IF(ROUND($B$2:$B$3722,4)=ROUND(B3616,4),$A$2:$A$3722)),"Efficient","Inefficient")</f>
        <v>Inefficient</v>
      </c>
    </row>
    <row r="3617" spans="1:6" x14ac:dyDescent="0.25">
      <c r="A3617" cm="1">
        <f t="array" ref="A3617">INDEX('Portfolio Weights Returns'!$B$9:$BJ$69,
INT((ROW(A3616)-1)/COLUMNS('Portfolio Weights Returns'!$B$9:$BJ$69))+1,MOD(ROW(A3616)-1,COLUMNS('Portfolio Weights Returns'!$B$9:$BJ$69))+1)</f>
        <v>-6.985982582726688E-4</v>
      </c>
      <c r="B3617">
        <v>2.7300000000000001E-2</v>
      </c>
      <c r="C3617" s="59">
        <v>-0.24</v>
      </c>
      <c r="D3617" s="59">
        <v>-0.23</v>
      </c>
      <c r="E3617" s="60">
        <f t="shared" si="56"/>
        <v>1.47</v>
      </c>
      <c r="F3617" t="str" cm="1">
        <f t="array" ref="F3617">IF(A3617=MAX(IF(ROUND($B$2:$B$3722,4)=ROUND(B3617,4),$A$2:$A$3722)),"Efficient","Inefficient")</f>
        <v>Inefficient</v>
      </c>
    </row>
    <row r="3618" spans="1:6" x14ac:dyDescent="0.25">
      <c r="A3618" cm="1">
        <f t="array" ref="A3618">INDEX('Portfolio Weights Returns'!$B$9:$BJ$69,
INT((ROW(A3617)-1)/COLUMNS('Portfolio Weights Returns'!$B$9:$BJ$69))+1,MOD(ROW(A3617)-1,COLUMNS('Portfolio Weights Returns'!$B$9:$BJ$69))+1)</f>
        <v>-6.9181708430598944E-4</v>
      </c>
      <c r="B3618">
        <v>2.7300000000000001E-2</v>
      </c>
      <c r="C3618" s="59">
        <v>-0.25</v>
      </c>
      <c r="D3618" s="59">
        <v>-0.22</v>
      </c>
      <c r="E3618" s="60">
        <f t="shared" si="56"/>
        <v>1.47</v>
      </c>
      <c r="F3618" t="str" cm="1">
        <f t="array" ref="F3618">IF(A3618=MAX(IF(ROUND($B$2:$B$3722,4)=ROUND(B3618,4),$A$2:$A$3722)),"Efficient","Inefficient")</f>
        <v>Inefficient</v>
      </c>
    </row>
    <row r="3619" spans="1:6" x14ac:dyDescent="0.25">
      <c r="A3619" cm="1">
        <f t="array" ref="A3619">INDEX('Portfolio Weights Returns'!$B$9:$BJ$69,
INT((ROW(A3618)-1)/COLUMNS('Portfolio Weights Returns'!$B$9:$BJ$69))+1,MOD(ROW(A3618)-1,COLUMNS('Portfolio Weights Returns'!$B$9:$BJ$69))+1)</f>
        <v>-6.8503591033931062E-4</v>
      </c>
      <c r="B3619">
        <v>2.7300000000000001E-2</v>
      </c>
      <c r="C3619" s="59">
        <v>-0.28000000000000003</v>
      </c>
      <c r="D3619" s="59">
        <v>-0.2</v>
      </c>
      <c r="E3619" s="60">
        <f t="shared" si="56"/>
        <v>1.48</v>
      </c>
      <c r="F3619" t="str" cm="1">
        <f t="array" ref="F3619">IF(A3619=MAX(IF(ROUND($B$2:$B$3722,4)=ROUND(B3619,4),$A$2:$A$3722)),"Efficient","Inefficient")</f>
        <v>Inefficient</v>
      </c>
    </row>
    <row r="3620" spans="1:6" x14ac:dyDescent="0.25">
      <c r="A3620" cm="1">
        <f t="array" ref="A3620">INDEX('Portfolio Weights Returns'!$B$9:$BJ$69,
INT((ROW(A3619)-1)/COLUMNS('Portfolio Weights Returns'!$B$9:$BJ$69))+1,MOD(ROW(A3619)-1,COLUMNS('Portfolio Weights Returns'!$B$9:$BJ$69))+1)</f>
        <v>-6.7825473637263148E-4</v>
      </c>
      <c r="B3620">
        <v>2.7300000000000001E-2</v>
      </c>
      <c r="C3620" s="59">
        <v>-0.28999999999999998</v>
      </c>
      <c r="D3620" s="59">
        <v>-0.19</v>
      </c>
      <c r="E3620" s="60">
        <f t="shared" si="56"/>
        <v>1.48</v>
      </c>
      <c r="F3620" t="str" cm="1">
        <f t="array" ref="F3620">IF(A3620=MAX(IF(ROUND($B$2:$B$3722,4)=ROUND(B3620,4),$A$2:$A$3722)),"Efficient","Inefficient")</f>
        <v>Efficient</v>
      </c>
    </row>
    <row r="3621" spans="1:6" x14ac:dyDescent="0.25">
      <c r="A3621" cm="1">
        <f t="array" ref="A3621">INDEX('Portfolio Weights Returns'!$B$9:$BJ$69,
INT((ROW(A3620)-1)/COLUMNS('Portfolio Weights Returns'!$B$9:$BJ$69))+1,MOD(ROW(A3620)-1,COLUMNS('Portfolio Weights Returns'!$B$9:$BJ$69))+1)</f>
        <v>-6.7147356240595233E-4</v>
      </c>
      <c r="B3621">
        <v>2.7400000000000001E-2</v>
      </c>
      <c r="C3621" s="59">
        <v>-0.16</v>
      </c>
      <c r="D3621" s="59">
        <v>-0.28999999999999998</v>
      </c>
      <c r="E3621" s="60">
        <f t="shared" si="56"/>
        <v>1.45</v>
      </c>
      <c r="F3621" t="str" cm="1">
        <f t="array" ref="F3621">IF(A3621=MAX(IF(ROUND($B$2:$B$3722,4)=ROUND(B3621,4),$A$2:$A$3722)),"Efficient","Inefficient")</f>
        <v>Inefficient</v>
      </c>
    </row>
    <row r="3622" spans="1:6" x14ac:dyDescent="0.25">
      <c r="A3622" cm="1">
        <f t="array" ref="A3622">INDEX('Portfolio Weights Returns'!$B$9:$BJ$69,
INT((ROW(A3621)-1)/COLUMNS('Portfolio Weights Returns'!$B$9:$BJ$69))+1,MOD(ROW(A3621)-1,COLUMNS('Portfolio Weights Returns'!$B$9:$BJ$69))+1)</f>
        <v>-6.6469238843927319E-4</v>
      </c>
      <c r="B3622">
        <v>2.7400000000000001E-2</v>
      </c>
      <c r="C3622" s="59">
        <v>-0.19</v>
      </c>
      <c r="D3622" s="59">
        <v>-0.27</v>
      </c>
      <c r="E3622" s="60">
        <f t="shared" si="56"/>
        <v>1.46</v>
      </c>
      <c r="F3622" t="str" cm="1">
        <f t="array" ref="F3622">IF(A3622=MAX(IF(ROUND($B$2:$B$3722,4)=ROUND(B3622,4),$A$2:$A$3722)),"Efficient","Inefficient")</f>
        <v>Inefficient</v>
      </c>
    </row>
    <row r="3623" spans="1:6" x14ac:dyDescent="0.25">
      <c r="A3623" cm="1">
        <f t="array" ref="A3623">INDEX('Portfolio Weights Returns'!$B$9:$BJ$69,
INT((ROW(A3622)-1)/COLUMNS('Portfolio Weights Returns'!$B$9:$BJ$69))+1,MOD(ROW(A3622)-1,COLUMNS('Portfolio Weights Returns'!$B$9:$BJ$69))+1)</f>
        <v>-6.5791121447259415E-4</v>
      </c>
      <c r="B3623">
        <v>2.7400000000000001E-2</v>
      </c>
      <c r="C3623" s="59">
        <v>-0.2</v>
      </c>
      <c r="D3623" s="59">
        <v>-0.26</v>
      </c>
      <c r="E3623" s="60">
        <f t="shared" si="56"/>
        <v>1.46</v>
      </c>
      <c r="F3623" t="str" cm="1">
        <f t="array" ref="F3623">IF(A3623=MAX(IF(ROUND($B$2:$B$3722,4)=ROUND(B3623,4),$A$2:$A$3722)),"Efficient","Inefficient")</f>
        <v>Inefficient</v>
      </c>
    </row>
    <row r="3624" spans="1:6" x14ac:dyDescent="0.25">
      <c r="A3624" cm="1">
        <f t="array" ref="A3624">INDEX('Portfolio Weights Returns'!$B$9:$BJ$69,
INT((ROW(A3623)-1)/COLUMNS('Portfolio Weights Returns'!$B$9:$BJ$69))+1,MOD(ROW(A3623)-1,COLUMNS('Portfolio Weights Returns'!$B$9:$BJ$69))+1)</f>
        <v>-6.5113004050591501E-4</v>
      </c>
      <c r="B3624">
        <v>2.7400000000000001E-2</v>
      </c>
      <c r="C3624" s="59">
        <v>-0.23</v>
      </c>
      <c r="D3624" s="59">
        <v>-0.24</v>
      </c>
      <c r="E3624" s="60">
        <f t="shared" si="56"/>
        <v>1.47</v>
      </c>
      <c r="F3624" t="str" cm="1">
        <f t="array" ref="F3624">IF(A3624=MAX(IF(ROUND($B$2:$B$3722,4)=ROUND(B3624,4),$A$2:$A$3722)),"Efficient","Inefficient")</f>
        <v>Inefficient</v>
      </c>
    </row>
    <row r="3625" spans="1:6" x14ac:dyDescent="0.25">
      <c r="A3625" cm="1">
        <f t="array" ref="A3625">INDEX('Portfolio Weights Returns'!$B$9:$BJ$69,
INT((ROW(A3624)-1)/COLUMNS('Portfolio Weights Returns'!$B$9:$BJ$69))+1,MOD(ROW(A3624)-1,COLUMNS('Portfolio Weights Returns'!$B$9:$BJ$69))+1)</f>
        <v>-6.4434886653923587E-4</v>
      </c>
      <c r="B3625">
        <v>2.7400000000000001E-2</v>
      </c>
      <c r="C3625" s="59">
        <v>-0.26</v>
      </c>
      <c r="D3625" s="59">
        <v>-0.22</v>
      </c>
      <c r="E3625" s="60">
        <f t="shared" si="56"/>
        <v>1.48</v>
      </c>
      <c r="F3625" t="str" cm="1">
        <f t="array" ref="F3625">IF(A3625=MAX(IF(ROUND($B$2:$B$3722,4)=ROUND(B3625,4),$A$2:$A$3722)),"Efficient","Inefficient")</f>
        <v>Inefficient</v>
      </c>
    </row>
    <row r="3626" spans="1:6" x14ac:dyDescent="0.25">
      <c r="A3626" cm="1">
        <f t="array" ref="A3626">INDEX('Portfolio Weights Returns'!$B$9:$BJ$69,
INT((ROW(A3625)-1)/COLUMNS('Portfolio Weights Returns'!$B$9:$BJ$69))+1,MOD(ROW(A3625)-1,COLUMNS('Portfolio Weights Returns'!$B$9:$BJ$69))+1)</f>
        <v>-6.3756769257255683E-4</v>
      </c>
      <c r="B3626">
        <v>2.7400000000000001E-2</v>
      </c>
      <c r="C3626" s="59">
        <v>-0.27</v>
      </c>
      <c r="D3626" s="59">
        <v>-0.21</v>
      </c>
      <c r="E3626" s="60">
        <f t="shared" si="56"/>
        <v>1.48</v>
      </c>
      <c r="F3626" t="str" cm="1">
        <f t="array" ref="F3626">IF(A3626=MAX(IF(ROUND($B$2:$B$3722,4)=ROUND(B3626,4),$A$2:$A$3722)),"Efficient","Inefficient")</f>
        <v>Efficient</v>
      </c>
    </row>
    <row r="3627" spans="1:6" x14ac:dyDescent="0.25">
      <c r="A3627" cm="1">
        <f t="array" ref="A3627">INDEX('Portfolio Weights Returns'!$B$9:$BJ$69,
INT((ROW(A3626)-1)/COLUMNS('Portfolio Weights Returns'!$B$9:$BJ$69))+1,MOD(ROW(A3626)-1,COLUMNS('Portfolio Weights Returns'!$B$9:$BJ$69))+1)</f>
        <v>-6.3078651860587758E-4</v>
      </c>
      <c r="B3627">
        <v>2.75E-2</v>
      </c>
      <c r="C3627" s="59">
        <v>-0.15</v>
      </c>
      <c r="D3627" s="59">
        <v>-0.3</v>
      </c>
      <c r="E3627" s="60">
        <f t="shared" si="56"/>
        <v>1.45</v>
      </c>
      <c r="F3627" t="str" cm="1">
        <f t="array" ref="F3627">IF(A3627=MAX(IF(ROUND($B$2:$B$3722,4)=ROUND(B3627,4),$A$2:$A$3722)),"Efficient","Inefficient")</f>
        <v>Inefficient</v>
      </c>
    </row>
    <row r="3628" spans="1:6" x14ac:dyDescent="0.25">
      <c r="A3628" cm="1">
        <f t="array" ref="A3628">INDEX('Portfolio Weights Returns'!$B$9:$BJ$69,
INT((ROW(A3627)-1)/COLUMNS('Portfolio Weights Returns'!$B$9:$BJ$69))+1,MOD(ROW(A3627)-1,COLUMNS('Portfolio Weights Returns'!$B$9:$BJ$69))+1)</f>
        <v>-6.2400534463919854E-4</v>
      </c>
      <c r="B3628">
        <v>2.75E-2</v>
      </c>
      <c r="C3628" s="59">
        <v>-0.18</v>
      </c>
      <c r="D3628" s="59">
        <v>-0.28000000000000003</v>
      </c>
      <c r="E3628" s="60">
        <f t="shared" si="56"/>
        <v>1.46</v>
      </c>
      <c r="F3628" t="str" cm="1">
        <f t="array" ref="F3628">IF(A3628=MAX(IF(ROUND($B$2:$B$3722,4)=ROUND(B3628,4),$A$2:$A$3722)),"Efficient","Inefficient")</f>
        <v>Inefficient</v>
      </c>
    </row>
    <row r="3629" spans="1:6" x14ac:dyDescent="0.25">
      <c r="A3629" cm="1">
        <f t="array" ref="A3629">INDEX('Portfolio Weights Returns'!$B$9:$BJ$69,
INT((ROW(A3628)-1)/COLUMNS('Portfolio Weights Returns'!$B$9:$BJ$69))+1,MOD(ROW(A3628)-1,COLUMNS('Portfolio Weights Returns'!$B$9:$BJ$69))+1)</f>
        <v>-6.172241706725194E-4</v>
      </c>
      <c r="B3629">
        <v>2.75E-2</v>
      </c>
      <c r="C3629" s="59">
        <v>-0.21</v>
      </c>
      <c r="D3629" s="59">
        <v>-0.26</v>
      </c>
      <c r="E3629" s="60">
        <f t="shared" si="56"/>
        <v>1.47</v>
      </c>
      <c r="F3629" t="str" cm="1">
        <f t="array" ref="F3629">IF(A3629=MAX(IF(ROUND($B$2:$B$3722,4)=ROUND(B3629,4),$A$2:$A$3722)),"Efficient","Inefficient")</f>
        <v>Inefficient</v>
      </c>
    </row>
    <row r="3630" spans="1:6" x14ac:dyDescent="0.25">
      <c r="A3630" cm="1">
        <f t="array" ref="A3630">INDEX('Portfolio Weights Returns'!$B$9:$BJ$69,
INT((ROW(A3629)-1)/COLUMNS('Portfolio Weights Returns'!$B$9:$BJ$69))+1,MOD(ROW(A3629)-1,COLUMNS('Portfolio Weights Returns'!$B$9:$BJ$69))+1)</f>
        <v>-6.1044299670584036E-4</v>
      </c>
      <c r="B3630">
        <v>2.75E-2</v>
      </c>
      <c r="C3630" s="59">
        <v>-0.22</v>
      </c>
      <c r="D3630" s="59">
        <v>-0.25</v>
      </c>
      <c r="E3630" s="60">
        <f t="shared" si="56"/>
        <v>1.47</v>
      </c>
      <c r="F3630" t="str" cm="1">
        <f t="array" ref="F3630">IF(A3630=MAX(IF(ROUND($B$2:$B$3722,4)=ROUND(B3630,4),$A$2:$A$3722)),"Efficient","Inefficient")</f>
        <v>Inefficient</v>
      </c>
    </row>
    <row r="3631" spans="1:6" x14ac:dyDescent="0.25">
      <c r="A3631" cm="1">
        <f t="array" ref="A3631">INDEX('Portfolio Weights Returns'!$B$9:$BJ$69,
INT((ROW(A3630)-1)/COLUMNS('Portfolio Weights Returns'!$B$9:$BJ$69))+1,MOD(ROW(A3630)-1,COLUMNS('Portfolio Weights Returns'!$B$9:$BJ$69))+1)</f>
        <v>-6.0366182273916122E-4</v>
      </c>
      <c r="B3631">
        <v>2.75E-2</v>
      </c>
      <c r="C3631" s="59">
        <v>-0.25</v>
      </c>
      <c r="D3631" s="59">
        <v>-0.23</v>
      </c>
      <c r="E3631" s="60">
        <f t="shared" si="56"/>
        <v>1.48</v>
      </c>
      <c r="F3631" t="str" cm="1">
        <f t="array" ref="F3631">IF(A3631=MAX(IF(ROUND($B$2:$B$3722,4)=ROUND(B3631,4),$A$2:$A$3722)),"Efficient","Inefficient")</f>
        <v>Inefficient</v>
      </c>
    </row>
    <row r="3632" spans="1:6" x14ac:dyDescent="0.25">
      <c r="A3632" cm="1">
        <f t="array" ref="A3632">INDEX('Portfolio Weights Returns'!$B$9:$BJ$69,
INT((ROW(A3631)-1)/COLUMNS('Portfolio Weights Returns'!$B$9:$BJ$69))+1,MOD(ROW(A3631)-1,COLUMNS('Portfolio Weights Returns'!$B$9:$BJ$69))+1)</f>
        <v>-5.9688064877248218E-4</v>
      </c>
      <c r="B3632">
        <v>2.75E-2</v>
      </c>
      <c r="C3632" s="59">
        <v>-0.28999999999999998</v>
      </c>
      <c r="D3632" s="59">
        <v>-0.2</v>
      </c>
      <c r="E3632" s="60">
        <f t="shared" si="56"/>
        <v>1.49</v>
      </c>
      <c r="F3632" t="str" cm="1">
        <f t="array" ref="F3632">IF(A3632=MAX(IF(ROUND($B$2:$B$3722,4)=ROUND(B3632,4),$A$2:$A$3722)),"Efficient","Inefficient")</f>
        <v>Inefficient</v>
      </c>
    </row>
    <row r="3633" spans="1:6" x14ac:dyDescent="0.25">
      <c r="A3633" cm="1">
        <f t="array" ref="A3633">INDEX('Portfolio Weights Returns'!$B$9:$BJ$69,
INT((ROW(A3632)-1)/COLUMNS('Portfolio Weights Returns'!$B$9:$BJ$69))+1,MOD(ROW(A3632)-1,COLUMNS('Portfolio Weights Returns'!$B$9:$BJ$69))+1)</f>
        <v>-5.9009947480580304E-4</v>
      </c>
      <c r="B3633">
        <v>2.75E-2</v>
      </c>
      <c r="C3633" s="59">
        <v>-0.3</v>
      </c>
      <c r="D3633" s="59">
        <v>-0.19</v>
      </c>
      <c r="E3633" s="60">
        <f t="shared" si="56"/>
        <v>1.49</v>
      </c>
      <c r="F3633" t="str" cm="1">
        <f t="array" ref="F3633">IF(A3633=MAX(IF(ROUND($B$2:$B$3722,4)=ROUND(B3633,4),$A$2:$A$3722)),"Efficient","Inefficient")</f>
        <v>Efficient</v>
      </c>
    </row>
    <row r="3634" spans="1:6" x14ac:dyDescent="0.25">
      <c r="A3634" cm="1">
        <f t="array" ref="A3634">INDEX('Portfolio Weights Returns'!$B$9:$BJ$69,
INT((ROW(A3633)-1)/COLUMNS('Portfolio Weights Returns'!$B$9:$BJ$69))+1,MOD(ROW(A3633)-1,COLUMNS('Portfolio Weights Returns'!$B$9:$BJ$69))+1)</f>
        <v>-5.8331830083912378E-4</v>
      </c>
      <c r="B3634">
        <v>2.76E-2</v>
      </c>
      <c r="C3634" s="59">
        <v>-0.17</v>
      </c>
      <c r="D3634" s="59">
        <v>-0.28999999999999998</v>
      </c>
      <c r="E3634" s="60">
        <f t="shared" si="56"/>
        <v>1.46</v>
      </c>
      <c r="F3634" t="str" cm="1">
        <f t="array" ref="F3634">IF(A3634=MAX(IF(ROUND($B$2:$B$3722,4)=ROUND(B3634,4),$A$2:$A$3722)),"Efficient","Inefficient")</f>
        <v>Inefficient</v>
      </c>
    </row>
    <row r="3635" spans="1:6" x14ac:dyDescent="0.25">
      <c r="A3635" cm="1">
        <f t="array" ref="A3635">INDEX('Portfolio Weights Returns'!$B$9:$BJ$69,
INT((ROW(A3634)-1)/COLUMNS('Portfolio Weights Returns'!$B$9:$BJ$69))+1,MOD(ROW(A3634)-1,COLUMNS('Portfolio Weights Returns'!$B$9:$BJ$69))+1)</f>
        <v>-5.7653712687244475E-4</v>
      </c>
      <c r="B3635">
        <v>2.76E-2</v>
      </c>
      <c r="C3635" s="59">
        <v>-0.2</v>
      </c>
      <c r="D3635" s="59">
        <v>-0.27</v>
      </c>
      <c r="E3635" s="60">
        <f t="shared" si="56"/>
        <v>1.47</v>
      </c>
      <c r="F3635" t="str" cm="1">
        <f t="array" ref="F3635">IF(A3635=MAX(IF(ROUND($B$2:$B$3722,4)=ROUND(B3635,4),$A$2:$A$3722)),"Efficient","Inefficient")</f>
        <v>Inefficient</v>
      </c>
    </row>
    <row r="3636" spans="1:6" x14ac:dyDescent="0.25">
      <c r="A3636" cm="1">
        <f t="array" ref="A3636">INDEX('Portfolio Weights Returns'!$B$9:$BJ$69,
INT((ROW(A3635)-1)/COLUMNS('Portfolio Weights Returns'!$B$9:$BJ$69))+1,MOD(ROW(A3635)-1,COLUMNS('Portfolio Weights Returns'!$B$9:$BJ$69))+1)</f>
        <v>-5.697559529057656E-4</v>
      </c>
      <c r="B3636">
        <v>2.76E-2</v>
      </c>
      <c r="C3636" s="59">
        <v>-0.23</v>
      </c>
      <c r="D3636" s="59">
        <v>-0.25</v>
      </c>
      <c r="E3636" s="60">
        <f t="shared" si="56"/>
        <v>1.48</v>
      </c>
      <c r="F3636" t="str" cm="1">
        <f t="array" ref="F3636">IF(A3636=MAX(IF(ROUND($B$2:$B$3722,4)=ROUND(B3636,4),$A$2:$A$3722)),"Efficient","Inefficient")</f>
        <v>Inefficient</v>
      </c>
    </row>
    <row r="3637" spans="1:6" x14ac:dyDescent="0.25">
      <c r="A3637" cm="1">
        <f t="array" ref="A3637">INDEX('Portfolio Weights Returns'!$B$9:$BJ$69,
INT((ROW(A3636)-1)/COLUMNS('Portfolio Weights Returns'!$B$9:$BJ$69))+1,MOD(ROW(A3636)-1,COLUMNS('Portfolio Weights Returns'!$B$9:$BJ$69))+1)</f>
        <v>-5.6297477893908657E-4</v>
      </c>
      <c r="B3637">
        <v>2.76E-2</v>
      </c>
      <c r="C3637" s="59">
        <v>-0.24</v>
      </c>
      <c r="D3637" s="59">
        <v>-0.24</v>
      </c>
      <c r="E3637" s="60">
        <f t="shared" si="56"/>
        <v>1.48</v>
      </c>
      <c r="F3637" t="str" cm="1">
        <f t="array" ref="F3637">IF(A3637=MAX(IF(ROUND($B$2:$B$3722,4)=ROUND(B3637,4),$A$2:$A$3722)),"Efficient","Inefficient")</f>
        <v>Inefficient</v>
      </c>
    </row>
    <row r="3638" spans="1:6" x14ac:dyDescent="0.25">
      <c r="A3638" cm="1">
        <f t="array" ref="A3638">INDEX('Portfolio Weights Returns'!$B$9:$BJ$69,
INT((ROW(A3637)-1)/COLUMNS('Portfolio Weights Returns'!$B$9:$BJ$69))+1,MOD(ROW(A3637)-1,COLUMNS('Portfolio Weights Returns'!$B$9:$BJ$69))+1)</f>
        <v>-5.5619360497240742E-4</v>
      </c>
      <c r="B3638">
        <v>2.76E-2</v>
      </c>
      <c r="C3638" s="59">
        <v>-0.27</v>
      </c>
      <c r="D3638" s="59">
        <v>-0.22</v>
      </c>
      <c r="E3638" s="60">
        <f t="shared" si="56"/>
        <v>1.49</v>
      </c>
      <c r="F3638" t="str" cm="1">
        <f t="array" ref="F3638">IF(A3638=MAX(IF(ROUND($B$2:$B$3722,4)=ROUND(B3638,4),$A$2:$A$3722)),"Efficient","Inefficient")</f>
        <v>Inefficient</v>
      </c>
    </row>
    <row r="3639" spans="1:6" x14ac:dyDescent="0.25">
      <c r="A3639" cm="1">
        <f t="array" ref="A3639">INDEX('Portfolio Weights Returns'!$B$9:$BJ$69,
INT((ROW(A3638)-1)/COLUMNS('Portfolio Weights Returns'!$B$9:$BJ$69))+1,MOD(ROW(A3638)-1,COLUMNS('Portfolio Weights Returns'!$B$9:$BJ$69))+1)</f>
        <v>-5.4941243100572839E-4</v>
      </c>
      <c r="B3639">
        <v>2.76E-2</v>
      </c>
      <c r="C3639" s="59">
        <v>-0.28000000000000003</v>
      </c>
      <c r="D3639" s="59">
        <v>-0.21</v>
      </c>
      <c r="E3639" s="60">
        <f t="shared" si="56"/>
        <v>1.49</v>
      </c>
      <c r="F3639" t="str" cm="1">
        <f t="array" ref="F3639">IF(A3639=MAX(IF(ROUND($B$2:$B$3722,4)=ROUND(B3639,4),$A$2:$A$3722)),"Efficient","Inefficient")</f>
        <v>Efficient</v>
      </c>
    </row>
    <row r="3640" spans="1:6" x14ac:dyDescent="0.25">
      <c r="A3640" cm="1">
        <f t="array" ref="A3640">INDEX('Portfolio Weights Returns'!$B$9:$BJ$69,
INT((ROW(A3639)-1)/COLUMNS('Portfolio Weights Returns'!$B$9:$BJ$69))+1,MOD(ROW(A3639)-1,COLUMNS('Portfolio Weights Returns'!$B$9:$BJ$69))+1)</f>
        <v>-5.4263125703904924E-4</v>
      </c>
      <c r="B3640">
        <v>2.7699999999999999E-2</v>
      </c>
      <c r="C3640" s="59">
        <v>-0.16</v>
      </c>
      <c r="D3640" s="59">
        <v>-0.3</v>
      </c>
      <c r="E3640" s="60">
        <f t="shared" si="56"/>
        <v>1.46</v>
      </c>
      <c r="F3640" t="str" cm="1">
        <f t="array" ref="F3640">IF(A3640=MAX(IF(ROUND($B$2:$B$3722,4)=ROUND(B3640,4),$A$2:$A$3722)),"Efficient","Inefficient")</f>
        <v>Inefficient</v>
      </c>
    </row>
    <row r="3641" spans="1:6" x14ac:dyDescent="0.25">
      <c r="A3641" cm="1">
        <f t="array" ref="A3641">INDEX('Portfolio Weights Returns'!$B$9:$BJ$69,
INT((ROW(A3640)-1)/COLUMNS('Portfolio Weights Returns'!$B$9:$BJ$69))+1,MOD(ROW(A3640)-1,COLUMNS('Portfolio Weights Returns'!$B$9:$BJ$69))+1)</f>
        <v>-5.358500830723701E-4</v>
      </c>
      <c r="B3641">
        <v>2.7699999999999999E-2</v>
      </c>
      <c r="C3641" s="59">
        <v>-0.19</v>
      </c>
      <c r="D3641" s="59">
        <v>-0.28000000000000003</v>
      </c>
      <c r="E3641" s="60">
        <f t="shared" si="56"/>
        <v>1.47</v>
      </c>
      <c r="F3641" t="str" cm="1">
        <f t="array" ref="F3641">IF(A3641=MAX(IF(ROUND($B$2:$B$3722,4)=ROUND(B3641,4),$A$2:$A$3722)),"Efficient","Inefficient")</f>
        <v>Inefficient</v>
      </c>
    </row>
    <row r="3642" spans="1:6" x14ac:dyDescent="0.25">
      <c r="A3642" cm="1">
        <f t="array" ref="A3642">INDEX('Portfolio Weights Returns'!$B$9:$BJ$69,
INT((ROW(A3641)-1)/COLUMNS('Portfolio Weights Returns'!$B$9:$BJ$69))+1,MOD(ROW(A3641)-1,COLUMNS('Portfolio Weights Returns'!$B$9:$BJ$69))+1)</f>
        <v>-5.2906890910569106E-4</v>
      </c>
      <c r="B3642">
        <v>2.7699999999999999E-2</v>
      </c>
      <c r="C3642" s="59">
        <v>-0.22</v>
      </c>
      <c r="D3642" s="59">
        <v>-0.26</v>
      </c>
      <c r="E3642" s="60">
        <f t="shared" si="56"/>
        <v>1.48</v>
      </c>
      <c r="F3642" t="str" cm="1">
        <f t="array" ref="F3642">IF(A3642=MAX(IF(ROUND($B$2:$B$3722,4)=ROUND(B3642,4),$A$2:$A$3722)),"Efficient","Inefficient")</f>
        <v>Inefficient</v>
      </c>
    </row>
    <row r="3643" spans="1:6" x14ac:dyDescent="0.25">
      <c r="A3643" cm="1">
        <f t="array" ref="A3643">INDEX('Portfolio Weights Returns'!$B$9:$BJ$69,
INT((ROW(A3642)-1)/COLUMNS('Portfolio Weights Returns'!$B$9:$BJ$69))+1,MOD(ROW(A3642)-1,COLUMNS('Portfolio Weights Returns'!$B$9:$BJ$69))+1)</f>
        <v>-5.2228773513901192E-4</v>
      </c>
      <c r="B3643">
        <v>2.7699999999999999E-2</v>
      </c>
      <c r="C3643" s="59">
        <v>-0.25</v>
      </c>
      <c r="D3643" s="59">
        <v>-0.24</v>
      </c>
      <c r="E3643" s="60">
        <f t="shared" si="56"/>
        <v>1.49</v>
      </c>
      <c r="F3643" t="str" cm="1">
        <f t="array" ref="F3643">IF(A3643=MAX(IF(ROUND($B$2:$B$3722,4)=ROUND(B3643,4),$A$2:$A$3722)),"Efficient","Inefficient")</f>
        <v>Inefficient</v>
      </c>
    </row>
    <row r="3644" spans="1:6" x14ac:dyDescent="0.25">
      <c r="A3644" cm="1">
        <f t="array" ref="A3644">INDEX('Portfolio Weights Returns'!$B$9:$BJ$69,
INT((ROW(A3643)-1)/COLUMNS('Portfolio Weights Returns'!$B$9:$BJ$69))+1,MOD(ROW(A3643)-1,COLUMNS('Portfolio Weights Returns'!$B$9:$BJ$69))+1)</f>
        <v>-5.1550656117233277E-4</v>
      </c>
      <c r="B3644">
        <v>2.7699999999999999E-2</v>
      </c>
      <c r="C3644" s="59">
        <v>-0.26</v>
      </c>
      <c r="D3644" s="59">
        <v>-0.23</v>
      </c>
      <c r="E3644" s="60">
        <f t="shared" si="56"/>
        <v>1.49</v>
      </c>
      <c r="F3644" t="str" cm="1">
        <f t="array" ref="F3644">IF(A3644=MAX(IF(ROUND($B$2:$B$3722,4)=ROUND(B3644,4),$A$2:$A$3722)),"Efficient","Inefficient")</f>
        <v>Inefficient</v>
      </c>
    </row>
    <row r="3645" spans="1:6" x14ac:dyDescent="0.25">
      <c r="A3645" cm="1">
        <f t="array" ref="A3645">INDEX('Portfolio Weights Returns'!$B$9:$BJ$69,
INT((ROW(A3644)-1)/COLUMNS('Portfolio Weights Returns'!$B$9:$BJ$69))+1,MOD(ROW(A3644)-1,COLUMNS('Portfolio Weights Returns'!$B$9:$BJ$69))+1)</f>
        <v>-5.0872538720565363E-4</v>
      </c>
      <c r="B3645">
        <v>2.7699999999999999E-2</v>
      </c>
      <c r="C3645" s="59">
        <v>-0.28999999999999998</v>
      </c>
      <c r="D3645" s="59">
        <v>-0.21</v>
      </c>
      <c r="E3645" s="60">
        <f t="shared" si="56"/>
        <v>1.5</v>
      </c>
      <c r="F3645" t="str" cm="1">
        <f t="array" ref="F3645">IF(A3645=MAX(IF(ROUND($B$2:$B$3722,4)=ROUND(B3645,4),$A$2:$A$3722)),"Efficient","Inefficient")</f>
        <v>Inefficient</v>
      </c>
    </row>
    <row r="3646" spans="1:6" x14ac:dyDescent="0.25">
      <c r="A3646" cm="1">
        <f t="array" ref="A3646">INDEX('Portfolio Weights Returns'!$B$9:$BJ$69,
INT((ROW(A3645)-1)/COLUMNS('Portfolio Weights Returns'!$B$9:$BJ$69))+1,MOD(ROW(A3645)-1,COLUMNS('Portfolio Weights Returns'!$B$9:$BJ$69))+1)</f>
        <v>-5.0194421323897448E-4</v>
      </c>
      <c r="B3646">
        <v>2.7699999999999999E-2</v>
      </c>
      <c r="C3646" s="59">
        <v>-0.3</v>
      </c>
      <c r="D3646" s="59">
        <v>-0.2</v>
      </c>
      <c r="E3646" s="60">
        <f t="shared" si="56"/>
        <v>1.5</v>
      </c>
      <c r="F3646" t="str" cm="1">
        <f t="array" ref="F3646">IF(A3646=MAX(IF(ROUND($B$2:$B$3722,4)=ROUND(B3646,4),$A$2:$A$3722)),"Efficient","Inefficient")</f>
        <v>Efficient</v>
      </c>
    </row>
    <row r="3647" spans="1:6" x14ac:dyDescent="0.25">
      <c r="A3647" cm="1">
        <f t="array" ref="A3647">INDEX('Portfolio Weights Returns'!$B$9:$BJ$69,
INT((ROW(A3646)-1)/COLUMNS('Portfolio Weights Returns'!$B$9:$BJ$69))+1,MOD(ROW(A3646)-1,COLUMNS('Portfolio Weights Returns'!$B$9:$BJ$69))+1)</f>
        <v>-4.9516303927229545E-4</v>
      </c>
      <c r="B3647">
        <v>2.7799999999999998E-2</v>
      </c>
      <c r="C3647" s="59">
        <v>-0.18</v>
      </c>
      <c r="D3647" s="59">
        <v>-0.28999999999999998</v>
      </c>
      <c r="E3647" s="60">
        <f t="shared" si="56"/>
        <v>1.47</v>
      </c>
      <c r="F3647" t="str" cm="1">
        <f t="array" ref="F3647">IF(A3647=MAX(IF(ROUND($B$2:$B$3722,4)=ROUND(B3647,4),$A$2:$A$3722)),"Efficient","Inefficient")</f>
        <v>Inefficient</v>
      </c>
    </row>
    <row r="3648" spans="1:6" x14ac:dyDescent="0.25">
      <c r="A3648" cm="1">
        <f t="array" ref="A3648">INDEX('Portfolio Weights Returns'!$B$9:$BJ$69,
INT((ROW(A3647)-1)/COLUMNS('Portfolio Weights Returns'!$B$9:$BJ$69))+1,MOD(ROW(A3647)-1,COLUMNS('Portfolio Weights Returns'!$B$9:$BJ$69))+1)</f>
        <v>-4.883818653056163E-4</v>
      </c>
      <c r="B3648">
        <v>2.7799999999999998E-2</v>
      </c>
      <c r="C3648" s="59">
        <v>-0.21</v>
      </c>
      <c r="D3648" s="59">
        <v>-0.27</v>
      </c>
      <c r="E3648" s="60">
        <f t="shared" si="56"/>
        <v>1.48</v>
      </c>
      <c r="F3648" t="str" cm="1">
        <f t="array" ref="F3648">IF(A3648=MAX(IF(ROUND($B$2:$B$3722,4)=ROUND(B3648,4),$A$2:$A$3722)),"Efficient","Inefficient")</f>
        <v>Inefficient</v>
      </c>
    </row>
    <row r="3649" spans="1:6" x14ac:dyDescent="0.25">
      <c r="A3649" cm="1">
        <f t="array" ref="A3649">INDEX('Portfolio Weights Returns'!$B$9:$BJ$69,
INT((ROW(A3648)-1)/COLUMNS('Portfolio Weights Returns'!$B$9:$BJ$69))+1,MOD(ROW(A3648)-1,COLUMNS('Portfolio Weights Returns'!$B$9:$BJ$69))+1)</f>
        <v>-4.8160069133893737E-4</v>
      </c>
      <c r="B3649">
        <v>2.7799999999999998E-2</v>
      </c>
      <c r="C3649" s="59">
        <v>-0.24</v>
      </c>
      <c r="D3649" s="59">
        <v>-0.25</v>
      </c>
      <c r="E3649" s="60">
        <f t="shared" si="56"/>
        <v>1.49</v>
      </c>
      <c r="F3649" t="str" cm="1">
        <f t="array" ref="F3649">IF(A3649=MAX(IF(ROUND($B$2:$B$3722,4)=ROUND(B3649,4),$A$2:$A$3722)),"Efficient","Inefficient")</f>
        <v>Inefficient</v>
      </c>
    </row>
    <row r="3650" spans="1:6" x14ac:dyDescent="0.25">
      <c r="A3650" cm="1">
        <f t="array" ref="A3650">INDEX('Portfolio Weights Returns'!$B$9:$BJ$69,
INT((ROW(A3649)-1)/COLUMNS('Portfolio Weights Returns'!$B$9:$BJ$69))+1,MOD(ROW(A3649)-1,COLUMNS('Portfolio Weights Returns'!$B$9:$BJ$69))+1)</f>
        <v>-4.7481951737225834E-4</v>
      </c>
      <c r="B3650">
        <v>2.7799999999999998E-2</v>
      </c>
      <c r="C3650" s="59">
        <v>-0.27</v>
      </c>
      <c r="D3650" s="59">
        <v>-0.23</v>
      </c>
      <c r="E3650" s="60">
        <f t="shared" ref="E3650:E3713" si="57">1-D3650-C3650</f>
        <v>1.5</v>
      </c>
      <c r="F3650" t="str" cm="1">
        <f t="array" ref="F3650">IF(A3650=MAX(IF(ROUND($B$2:$B$3722,4)=ROUND(B3650,4),$A$2:$A$3722)),"Efficient","Inefficient")</f>
        <v>Inefficient</v>
      </c>
    </row>
    <row r="3651" spans="1:6" x14ac:dyDescent="0.25">
      <c r="A3651" cm="1">
        <f t="array" ref="A3651">INDEX('Portfolio Weights Returns'!$B$9:$BJ$69,
INT((ROW(A3650)-1)/COLUMNS('Portfolio Weights Returns'!$B$9:$BJ$69))+1,MOD(ROW(A3650)-1,COLUMNS('Portfolio Weights Returns'!$B$9:$BJ$69))+1)</f>
        <v>-4.6803834340557919E-4</v>
      </c>
      <c r="B3651">
        <v>2.7799999999999998E-2</v>
      </c>
      <c r="C3651" s="59">
        <v>-0.28000000000000003</v>
      </c>
      <c r="D3651" s="59">
        <v>-0.22</v>
      </c>
      <c r="E3651" s="60">
        <f t="shared" si="57"/>
        <v>1.5</v>
      </c>
      <c r="F3651" t="str" cm="1">
        <f t="array" ref="F3651">IF(A3651=MAX(IF(ROUND($B$2:$B$3722,4)=ROUND(B3651,4),$A$2:$A$3722)),"Efficient","Inefficient")</f>
        <v>Efficient</v>
      </c>
    </row>
    <row r="3652" spans="1:6" x14ac:dyDescent="0.25">
      <c r="A3652" cm="1">
        <f t="array" ref="A3652">INDEX('Portfolio Weights Returns'!$B$9:$BJ$69,
INT((ROW(A3651)-1)/COLUMNS('Portfolio Weights Returns'!$B$9:$BJ$69))+1,MOD(ROW(A3651)-1,COLUMNS('Portfolio Weights Returns'!$B$9:$BJ$69))+1)</f>
        <v>-4.612571694389E-4</v>
      </c>
      <c r="B3652">
        <v>2.7900000000000001E-2</v>
      </c>
      <c r="C3652" s="59">
        <v>-0.17</v>
      </c>
      <c r="D3652" s="59">
        <v>-0.3</v>
      </c>
      <c r="E3652" s="60">
        <f t="shared" si="57"/>
        <v>1.47</v>
      </c>
      <c r="F3652" t="str" cm="1">
        <f t="array" ref="F3652">IF(A3652=MAX(IF(ROUND($B$2:$B$3722,4)=ROUND(B3652,4),$A$2:$A$3722)),"Efficient","Inefficient")</f>
        <v>Inefficient</v>
      </c>
    </row>
    <row r="3653" spans="1:6" x14ac:dyDescent="0.25">
      <c r="A3653" cm="1">
        <f t="array" ref="A3653">INDEX('Portfolio Weights Returns'!$B$9:$BJ$69,
INT((ROW(A3652)-1)/COLUMNS('Portfolio Weights Returns'!$B$9:$BJ$69))+1,MOD(ROW(A3652)-1,COLUMNS('Portfolio Weights Returns'!$B$9:$BJ$69))+1)</f>
        <v>-4.5447599547222091E-4</v>
      </c>
      <c r="B3653">
        <v>2.7900000000000001E-2</v>
      </c>
      <c r="C3653" s="59">
        <v>-0.19</v>
      </c>
      <c r="D3653" s="59">
        <v>-0.28999999999999998</v>
      </c>
      <c r="E3653" s="60">
        <f t="shared" si="57"/>
        <v>1.48</v>
      </c>
      <c r="F3653" t="str" cm="1">
        <f t="array" ref="F3653">IF(A3653=MAX(IF(ROUND($B$2:$B$3722,4)=ROUND(B3653,4),$A$2:$A$3722)),"Efficient","Inefficient")</f>
        <v>Inefficient</v>
      </c>
    </row>
    <row r="3654" spans="1:6" x14ac:dyDescent="0.25">
      <c r="A3654" cm="1">
        <f t="array" ref="A3654">INDEX('Portfolio Weights Returns'!$B$9:$BJ$69,
INT((ROW(A3653)-1)/COLUMNS('Portfolio Weights Returns'!$B$9:$BJ$69))+1,MOD(ROW(A3653)-1,COLUMNS('Portfolio Weights Returns'!$B$9:$BJ$69))+1)</f>
        <v>-4.4769482150554182E-4</v>
      </c>
      <c r="B3654">
        <v>2.7900000000000001E-2</v>
      </c>
      <c r="C3654" s="59">
        <v>-0.2</v>
      </c>
      <c r="D3654" s="59">
        <v>-0.28000000000000003</v>
      </c>
      <c r="E3654" s="60">
        <f t="shared" si="57"/>
        <v>1.48</v>
      </c>
      <c r="F3654" t="str" cm="1">
        <f t="array" ref="F3654">IF(A3654=MAX(IF(ROUND($B$2:$B$3722,4)=ROUND(B3654,4),$A$2:$A$3722)),"Efficient","Inefficient")</f>
        <v>Inefficient</v>
      </c>
    </row>
    <row r="3655" spans="1:6" x14ac:dyDescent="0.25">
      <c r="A3655" cm="1">
        <f t="array" ref="A3655">INDEX('Portfolio Weights Returns'!$B$9:$BJ$69,
INT((ROW(A3654)-1)/COLUMNS('Portfolio Weights Returns'!$B$9:$BJ$69))+1,MOD(ROW(A3654)-1,COLUMNS('Portfolio Weights Returns'!$B$9:$BJ$69))+1)</f>
        <v>-4.4091364753886267E-4</v>
      </c>
      <c r="B3655">
        <v>2.7900000000000001E-2</v>
      </c>
      <c r="C3655" s="59">
        <v>-0.22</v>
      </c>
      <c r="D3655" s="59">
        <v>-0.27</v>
      </c>
      <c r="E3655" s="60">
        <f t="shared" si="57"/>
        <v>1.49</v>
      </c>
      <c r="F3655" t="str" cm="1">
        <f t="array" ref="F3655">IF(A3655=MAX(IF(ROUND($B$2:$B$3722,4)=ROUND(B3655,4),$A$2:$A$3722)),"Efficient","Inefficient")</f>
        <v>Inefficient</v>
      </c>
    </row>
    <row r="3656" spans="1:6" x14ac:dyDescent="0.25">
      <c r="A3656" cm="1">
        <f t="array" ref="A3656">INDEX('Portfolio Weights Returns'!$B$9:$BJ$69,
INT((ROW(A3655)-1)/COLUMNS('Portfolio Weights Returns'!$B$9:$BJ$69))+1,MOD(ROW(A3655)-1,COLUMNS('Portfolio Weights Returns'!$B$9:$BJ$69))+1)</f>
        <v>-4.3413247357218358E-4</v>
      </c>
      <c r="B3656">
        <v>2.7900000000000001E-2</v>
      </c>
      <c r="C3656" s="59">
        <v>-0.23</v>
      </c>
      <c r="D3656" s="59">
        <v>-0.26</v>
      </c>
      <c r="E3656" s="60">
        <f t="shared" si="57"/>
        <v>1.49</v>
      </c>
      <c r="F3656" t="str" cm="1">
        <f t="array" ref="F3656">IF(A3656=MAX(IF(ROUND($B$2:$B$3722,4)=ROUND(B3656,4),$A$2:$A$3722)),"Efficient","Inefficient")</f>
        <v>Inefficient</v>
      </c>
    </row>
    <row r="3657" spans="1:6" x14ac:dyDescent="0.25">
      <c r="A3657" cm="1">
        <f t="array" ref="A3657">INDEX('Portfolio Weights Returns'!$B$9:$BJ$69,
INT((ROW(A3656)-1)/COLUMNS('Portfolio Weights Returns'!$B$9:$BJ$69))+1,MOD(ROW(A3656)-1,COLUMNS('Portfolio Weights Returns'!$B$9:$BJ$69))+1)</f>
        <v>-4.2735129960550449E-4</v>
      </c>
      <c r="B3657">
        <v>2.7900000000000001E-2</v>
      </c>
      <c r="C3657" s="59">
        <v>-0.26</v>
      </c>
      <c r="D3657" s="59">
        <v>-0.24</v>
      </c>
      <c r="E3657" s="60">
        <f t="shared" si="57"/>
        <v>1.5</v>
      </c>
      <c r="F3657" t="str" cm="1">
        <f t="array" ref="F3657">IF(A3657=MAX(IF(ROUND($B$2:$B$3722,4)=ROUND(B3657,4),$A$2:$A$3722)),"Efficient","Inefficient")</f>
        <v>Inefficient</v>
      </c>
    </row>
    <row r="3658" spans="1:6" x14ac:dyDescent="0.25">
      <c r="A3658" cm="1">
        <f t="array" ref="A3658">INDEX('Portfolio Weights Returns'!$B$9:$BJ$69,
INT((ROW(A3657)-1)/COLUMNS('Portfolio Weights Returns'!$B$9:$BJ$69))+1,MOD(ROW(A3657)-1,COLUMNS('Portfolio Weights Returns'!$B$9:$BJ$69))+1)</f>
        <v>-4.205701256388247E-4</v>
      </c>
      <c r="B3658">
        <v>2.7900000000000001E-2</v>
      </c>
      <c r="C3658" s="59">
        <v>-0.3</v>
      </c>
      <c r="D3658" s="59">
        <v>-0.21</v>
      </c>
      <c r="E3658" s="60">
        <f t="shared" si="57"/>
        <v>1.51</v>
      </c>
      <c r="F3658" t="str" cm="1">
        <f t="array" ref="F3658">IF(A3658=MAX(IF(ROUND($B$2:$B$3722,4)=ROUND(B3658,4),$A$2:$A$3722)),"Efficient","Inefficient")</f>
        <v>Efficient</v>
      </c>
    </row>
    <row r="3659" spans="1:6" x14ac:dyDescent="0.25">
      <c r="A3659" cm="1">
        <f t="array" ref="A3659">INDEX('Portfolio Weights Returns'!$B$9:$BJ$69,
INT((ROW(A3658)-1)/COLUMNS('Portfolio Weights Returns'!$B$9:$BJ$69))+1,MOD(ROW(A3658)-1,COLUMNS('Portfolio Weights Returns'!$B$9:$BJ$69))+1)</f>
        <v>-4.1378895167214561E-4</v>
      </c>
      <c r="B3659">
        <v>2.8000000000000001E-2</v>
      </c>
      <c r="C3659" s="59">
        <v>-0.18</v>
      </c>
      <c r="D3659" s="59">
        <v>-0.3</v>
      </c>
      <c r="E3659" s="60">
        <f t="shared" si="57"/>
        <v>1.48</v>
      </c>
      <c r="F3659" t="str" cm="1">
        <f t="array" ref="F3659">IF(A3659=MAX(IF(ROUND($B$2:$B$3722,4)=ROUND(B3659,4),$A$2:$A$3722)),"Efficient","Inefficient")</f>
        <v>Inefficient</v>
      </c>
    </row>
    <row r="3660" spans="1:6" x14ac:dyDescent="0.25">
      <c r="A3660" cm="1">
        <f t="array" ref="A3660">INDEX('Portfolio Weights Returns'!$B$9:$BJ$69,
INT((ROW(A3659)-1)/COLUMNS('Portfolio Weights Returns'!$B$9:$BJ$69))+1,MOD(ROW(A3659)-1,COLUMNS('Portfolio Weights Returns'!$B$9:$BJ$69))+1)</f>
        <v>-4.0700777770546657E-4</v>
      </c>
      <c r="B3660">
        <v>2.8000000000000001E-2</v>
      </c>
      <c r="C3660" s="59">
        <v>-0.21</v>
      </c>
      <c r="D3660" s="59">
        <v>-0.28000000000000003</v>
      </c>
      <c r="E3660" s="60">
        <f t="shared" si="57"/>
        <v>1.49</v>
      </c>
      <c r="F3660" t="str" cm="1">
        <f t="array" ref="F3660">IF(A3660=MAX(IF(ROUND($B$2:$B$3722,4)=ROUND(B3660,4),$A$2:$A$3722)),"Efficient","Inefficient")</f>
        <v>Inefficient</v>
      </c>
    </row>
    <row r="3661" spans="1:6" x14ac:dyDescent="0.25">
      <c r="A3661" cm="1">
        <f t="array" ref="A3661">INDEX('Portfolio Weights Returns'!$B$9:$BJ$69,
INT((ROW(A3660)-1)/COLUMNS('Portfolio Weights Returns'!$B$9:$BJ$69))+1,MOD(ROW(A3660)-1,COLUMNS('Portfolio Weights Returns'!$B$9:$BJ$69))+1)</f>
        <v>-4.0022660373878742E-4</v>
      </c>
      <c r="B3661">
        <v>2.8000000000000001E-2</v>
      </c>
      <c r="C3661" s="59">
        <v>-0.24</v>
      </c>
      <c r="D3661" s="59">
        <v>-0.26</v>
      </c>
      <c r="E3661" s="60">
        <f t="shared" si="57"/>
        <v>1.5</v>
      </c>
      <c r="F3661" t="str" cm="1">
        <f t="array" ref="F3661">IF(A3661=MAX(IF(ROUND($B$2:$B$3722,4)=ROUND(B3661,4),$A$2:$A$3722)),"Efficient","Inefficient")</f>
        <v>Efficient</v>
      </c>
    </row>
    <row r="3662" spans="1:6" x14ac:dyDescent="0.25">
      <c r="A3662" cm="1">
        <f t="array" ref="A3662">INDEX('Portfolio Weights Returns'!$B$9:$BJ$69,
INT((ROW(A3661)-1)/COLUMNS('Portfolio Weights Returns'!$B$9:$BJ$69))+1,MOD(ROW(A3661)-1,COLUMNS('Portfolio Weights Returns'!$B$9:$BJ$69))+1)</f>
        <v>-8.0052283389407913E-4</v>
      </c>
      <c r="B3662">
        <v>2.8000000000000001E-2</v>
      </c>
      <c r="C3662" s="59">
        <v>-0.25</v>
      </c>
      <c r="D3662" s="59">
        <v>-0.25</v>
      </c>
      <c r="E3662" s="60">
        <f t="shared" si="57"/>
        <v>1.5</v>
      </c>
      <c r="F3662" t="str" cm="1">
        <f t="array" ref="F3662">IF(A3662=MAX(IF(ROUND($B$2:$B$3722,4)=ROUND(B3662,4),$A$2:$A$3722)),"Efficient","Inefficient")</f>
        <v>Inefficient</v>
      </c>
    </row>
    <row r="3663" spans="1:6" x14ac:dyDescent="0.25">
      <c r="A3663" cm="1">
        <f t="array" ref="A3663">INDEX('Portfolio Weights Returns'!$B$9:$BJ$69,
INT((ROW(A3662)-1)/COLUMNS('Portfolio Weights Returns'!$B$9:$BJ$69))+1,MOD(ROW(A3662)-1,COLUMNS('Portfolio Weights Returns'!$B$9:$BJ$69))+1)</f>
        <v>-7.937416599274001E-4</v>
      </c>
      <c r="B3663">
        <v>2.8000000000000001E-2</v>
      </c>
      <c r="C3663" s="59">
        <v>-0.28000000000000003</v>
      </c>
      <c r="D3663" s="59">
        <v>-0.23</v>
      </c>
      <c r="E3663" s="60">
        <f t="shared" si="57"/>
        <v>1.51</v>
      </c>
      <c r="F3663" t="str" cm="1">
        <f t="array" ref="F3663">IF(A3663=MAX(IF(ROUND($B$2:$B$3722,4)=ROUND(B3663,4),$A$2:$A$3722)),"Efficient","Inefficient")</f>
        <v>Inefficient</v>
      </c>
    </row>
    <row r="3664" spans="1:6" x14ac:dyDescent="0.25">
      <c r="A3664" cm="1">
        <f t="array" ref="A3664">INDEX('Portfolio Weights Returns'!$B$9:$BJ$69,
INT((ROW(A3663)-1)/COLUMNS('Portfolio Weights Returns'!$B$9:$BJ$69))+1,MOD(ROW(A3663)-1,COLUMNS('Portfolio Weights Returns'!$B$9:$BJ$69))+1)</f>
        <v>-7.8696048596072095E-4</v>
      </c>
      <c r="B3664">
        <v>2.8000000000000001E-2</v>
      </c>
      <c r="C3664" s="59">
        <v>-0.28999999999999998</v>
      </c>
      <c r="D3664" s="59">
        <v>-0.22</v>
      </c>
      <c r="E3664" s="60">
        <f t="shared" si="57"/>
        <v>1.51</v>
      </c>
      <c r="F3664" t="str" cm="1">
        <f t="array" ref="F3664">IF(A3664=MAX(IF(ROUND($B$2:$B$3722,4)=ROUND(B3664,4),$A$2:$A$3722)),"Efficient","Inefficient")</f>
        <v>Inefficient</v>
      </c>
    </row>
    <row r="3665" spans="1:6" x14ac:dyDescent="0.25">
      <c r="A3665" cm="1">
        <f t="array" ref="A3665">INDEX('Portfolio Weights Returns'!$B$9:$BJ$69,
INT((ROW(A3664)-1)/COLUMNS('Portfolio Weights Returns'!$B$9:$BJ$69))+1,MOD(ROW(A3664)-1,COLUMNS('Portfolio Weights Returns'!$B$9:$BJ$69))+1)</f>
        <v>-7.8017931199404181E-4</v>
      </c>
      <c r="B3665">
        <v>2.81E-2</v>
      </c>
      <c r="C3665" s="59">
        <v>-0.2</v>
      </c>
      <c r="D3665" s="59">
        <v>-0.28999999999999998</v>
      </c>
      <c r="E3665" s="60">
        <f t="shared" si="57"/>
        <v>1.49</v>
      </c>
      <c r="F3665" t="str" cm="1">
        <f t="array" ref="F3665">IF(A3665=MAX(IF(ROUND($B$2:$B$3722,4)=ROUND(B3665,4),$A$2:$A$3722)),"Efficient","Inefficient")</f>
        <v>Inefficient</v>
      </c>
    </row>
    <row r="3666" spans="1:6" x14ac:dyDescent="0.25">
      <c r="A3666" cm="1">
        <f t="array" ref="A3666">INDEX('Portfolio Weights Returns'!$B$9:$BJ$69,
INT((ROW(A3665)-1)/COLUMNS('Portfolio Weights Returns'!$B$9:$BJ$69))+1,MOD(ROW(A3665)-1,COLUMNS('Portfolio Weights Returns'!$B$9:$BJ$69))+1)</f>
        <v>-7.7339813802736277E-4</v>
      </c>
      <c r="B3666">
        <v>2.81E-2</v>
      </c>
      <c r="C3666" s="59">
        <v>-0.23</v>
      </c>
      <c r="D3666" s="59">
        <v>-0.27</v>
      </c>
      <c r="E3666" s="60">
        <f t="shared" si="57"/>
        <v>1.5</v>
      </c>
      <c r="F3666" t="str" cm="1">
        <f t="array" ref="F3666">IF(A3666=MAX(IF(ROUND($B$2:$B$3722,4)=ROUND(B3666,4),$A$2:$A$3722)),"Efficient","Inefficient")</f>
        <v>Inefficient</v>
      </c>
    </row>
    <row r="3667" spans="1:6" x14ac:dyDescent="0.25">
      <c r="A3667" cm="1">
        <f t="array" ref="A3667">INDEX('Portfolio Weights Returns'!$B$9:$BJ$69,
INT((ROW(A3666)-1)/COLUMNS('Portfolio Weights Returns'!$B$9:$BJ$69))+1,MOD(ROW(A3666)-1,COLUMNS('Portfolio Weights Returns'!$B$9:$BJ$69))+1)</f>
        <v>-7.6661696406068363E-4</v>
      </c>
      <c r="B3667">
        <v>2.81E-2</v>
      </c>
      <c r="C3667" s="59">
        <v>-0.26</v>
      </c>
      <c r="D3667" s="59">
        <v>-0.25</v>
      </c>
      <c r="E3667" s="60">
        <f t="shared" si="57"/>
        <v>1.51</v>
      </c>
      <c r="F3667" t="str" cm="1">
        <f t="array" ref="F3667">IF(A3667=MAX(IF(ROUND($B$2:$B$3722,4)=ROUND(B3667,4),$A$2:$A$3722)),"Efficient","Inefficient")</f>
        <v>Inefficient</v>
      </c>
    </row>
    <row r="3668" spans="1:6" x14ac:dyDescent="0.25">
      <c r="A3668" cm="1">
        <f t="array" ref="A3668">INDEX('Portfolio Weights Returns'!$B$9:$BJ$69,
INT((ROW(A3667)-1)/COLUMNS('Portfolio Weights Returns'!$B$9:$BJ$69))+1,MOD(ROW(A3667)-1,COLUMNS('Portfolio Weights Returns'!$B$9:$BJ$69))+1)</f>
        <v>-7.5983579009400459E-4</v>
      </c>
      <c r="B3668">
        <v>2.81E-2</v>
      </c>
      <c r="C3668" s="59">
        <v>-0.27</v>
      </c>
      <c r="D3668" s="59">
        <v>-0.24</v>
      </c>
      <c r="E3668" s="60">
        <f t="shared" si="57"/>
        <v>1.51</v>
      </c>
      <c r="F3668" t="str" cm="1">
        <f t="array" ref="F3668">IF(A3668=MAX(IF(ROUND($B$2:$B$3722,4)=ROUND(B3668,4),$A$2:$A$3722)),"Efficient","Inefficient")</f>
        <v>Inefficient</v>
      </c>
    </row>
    <row r="3669" spans="1:6" x14ac:dyDescent="0.25">
      <c r="A3669" cm="1">
        <f t="array" ref="A3669">INDEX('Portfolio Weights Returns'!$B$9:$BJ$69,
INT((ROW(A3668)-1)/COLUMNS('Portfolio Weights Returns'!$B$9:$BJ$69))+1,MOD(ROW(A3668)-1,COLUMNS('Portfolio Weights Returns'!$B$9:$BJ$69))+1)</f>
        <v>-7.5305461612732534E-4</v>
      </c>
      <c r="B3669">
        <v>2.81E-2</v>
      </c>
      <c r="C3669" s="59">
        <v>-0.3</v>
      </c>
      <c r="D3669" s="59">
        <v>-0.22</v>
      </c>
      <c r="E3669" s="60">
        <f t="shared" si="57"/>
        <v>1.52</v>
      </c>
      <c r="F3669" t="str" cm="1">
        <f t="array" ref="F3669">IF(A3669=MAX(IF(ROUND($B$2:$B$3722,4)=ROUND(B3669,4),$A$2:$A$3722)),"Efficient","Inefficient")</f>
        <v>Efficient</v>
      </c>
    </row>
    <row r="3670" spans="1:6" x14ac:dyDescent="0.25">
      <c r="A3670" cm="1">
        <f t="array" ref="A3670">INDEX('Portfolio Weights Returns'!$B$9:$BJ$69,
INT((ROW(A3669)-1)/COLUMNS('Portfolio Weights Returns'!$B$9:$BJ$69))+1,MOD(ROW(A3669)-1,COLUMNS('Portfolio Weights Returns'!$B$9:$BJ$69))+1)</f>
        <v>-7.462734421606463E-4</v>
      </c>
      <c r="B3670">
        <v>2.8199999999999999E-2</v>
      </c>
      <c r="C3670" s="59">
        <v>-0.19</v>
      </c>
      <c r="D3670" s="59">
        <v>-0.3</v>
      </c>
      <c r="E3670" s="60">
        <f t="shared" si="57"/>
        <v>1.49</v>
      </c>
      <c r="F3670" t="str" cm="1">
        <f t="array" ref="F3670">IF(A3670=MAX(IF(ROUND($B$2:$B$3722,4)=ROUND(B3670,4),$A$2:$A$3722)),"Efficient","Inefficient")</f>
        <v>Inefficient</v>
      </c>
    </row>
    <row r="3671" spans="1:6" x14ac:dyDescent="0.25">
      <c r="A3671" cm="1">
        <f t="array" ref="A3671">INDEX('Portfolio Weights Returns'!$B$9:$BJ$69,
INT((ROW(A3670)-1)/COLUMNS('Portfolio Weights Returns'!$B$9:$BJ$69))+1,MOD(ROW(A3670)-1,COLUMNS('Portfolio Weights Returns'!$B$9:$BJ$69))+1)</f>
        <v>-7.3949226819396716E-4</v>
      </c>
      <c r="B3671">
        <v>2.8199999999999999E-2</v>
      </c>
      <c r="C3671" s="59">
        <v>-0.22</v>
      </c>
      <c r="D3671" s="59">
        <v>-0.28000000000000003</v>
      </c>
      <c r="E3671" s="60">
        <f t="shared" si="57"/>
        <v>1.5</v>
      </c>
      <c r="F3671" t="str" cm="1">
        <f t="array" ref="F3671">IF(A3671=MAX(IF(ROUND($B$2:$B$3722,4)=ROUND(B3671,4),$A$2:$A$3722)),"Efficient","Inefficient")</f>
        <v>Inefficient</v>
      </c>
    </row>
    <row r="3672" spans="1:6" x14ac:dyDescent="0.25">
      <c r="A3672" cm="1">
        <f t="array" ref="A3672">INDEX('Portfolio Weights Returns'!$B$9:$BJ$69,
INT((ROW(A3671)-1)/COLUMNS('Portfolio Weights Returns'!$B$9:$BJ$69))+1,MOD(ROW(A3671)-1,COLUMNS('Portfolio Weights Returns'!$B$9:$BJ$69))+1)</f>
        <v>-7.3271109422728812E-4</v>
      </c>
      <c r="B3672">
        <v>2.8199999999999999E-2</v>
      </c>
      <c r="C3672" s="59">
        <v>-0.25</v>
      </c>
      <c r="D3672" s="59">
        <v>-0.26</v>
      </c>
      <c r="E3672" s="60">
        <f t="shared" si="57"/>
        <v>1.51</v>
      </c>
      <c r="F3672" t="str" cm="1">
        <f t="array" ref="F3672">IF(A3672=MAX(IF(ROUND($B$2:$B$3722,4)=ROUND(B3672,4),$A$2:$A$3722)),"Efficient","Inefficient")</f>
        <v>Inefficient</v>
      </c>
    </row>
    <row r="3673" spans="1:6" x14ac:dyDescent="0.25">
      <c r="A3673" cm="1">
        <f t="array" ref="A3673">INDEX('Portfolio Weights Returns'!$B$9:$BJ$69,
INT((ROW(A3672)-1)/COLUMNS('Portfolio Weights Returns'!$B$9:$BJ$69))+1,MOD(ROW(A3672)-1,COLUMNS('Portfolio Weights Returns'!$B$9:$BJ$69))+1)</f>
        <v>-7.2592992026060898E-4</v>
      </c>
      <c r="B3673">
        <v>2.8199999999999999E-2</v>
      </c>
      <c r="C3673" s="59">
        <v>-0.28999999999999998</v>
      </c>
      <c r="D3673" s="59">
        <v>-0.23</v>
      </c>
      <c r="E3673" s="60">
        <f t="shared" si="57"/>
        <v>1.52</v>
      </c>
      <c r="F3673" t="str" cm="1">
        <f t="array" ref="F3673">IF(A3673=MAX(IF(ROUND($B$2:$B$3722,4)=ROUND(B3673,4),$A$2:$A$3722)),"Efficient","Inefficient")</f>
        <v>Efficient</v>
      </c>
    </row>
    <row r="3674" spans="1:6" x14ac:dyDescent="0.25">
      <c r="A3674" cm="1">
        <f t="array" ref="A3674">INDEX('Portfolio Weights Returns'!$B$9:$BJ$69,
INT((ROW(A3673)-1)/COLUMNS('Portfolio Weights Returns'!$B$9:$BJ$69))+1,MOD(ROW(A3673)-1,COLUMNS('Portfolio Weights Returns'!$B$9:$BJ$69))+1)</f>
        <v>-7.1914874629392983E-4</v>
      </c>
      <c r="B3674">
        <v>2.8299999999999999E-2</v>
      </c>
      <c r="C3674" s="59">
        <v>-0.21</v>
      </c>
      <c r="D3674" s="59">
        <v>-0.28999999999999998</v>
      </c>
      <c r="E3674" s="60">
        <f t="shared" si="57"/>
        <v>1.5</v>
      </c>
      <c r="F3674" t="str" cm="1">
        <f t="array" ref="F3674">IF(A3674=MAX(IF(ROUND($B$2:$B$3722,4)=ROUND(B3674,4),$A$2:$A$3722)),"Efficient","Inefficient")</f>
        <v>Inefficient</v>
      </c>
    </row>
    <row r="3675" spans="1:6" x14ac:dyDescent="0.25">
      <c r="A3675" cm="1">
        <f t="array" ref="A3675">INDEX('Portfolio Weights Returns'!$B$9:$BJ$69,
INT((ROW(A3674)-1)/COLUMNS('Portfolio Weights Returns'!$B$9:$BJ$69))+1,MOD(ROW(A3674)-1,COLUMNS('Portfolio Weights Returns'!$B$9:$BJ$69))+1)</f>
        <v>-7.123675723272508E-4</v>
      </c>
      <c r="B3675">
        <v>2.8299999999999999E-2</v>
      </c>
      <c r="C3675" s="59">
        <v>-0.24</v>
      </c>
      <c r="D3675" s="59">
        <v>-0.27</v>
      </c>
      <c r="E3675" s="60">
        <f t="shared" si="57"/>
        <v>1.51</v>
      </c>
      <c r="F3675" t="str" cm="1">
        <f t="array" ref="F3675">IF(A3675=MAX(IF(ROUND($B$2:$B$3722,4)=ROUND(B3675,4),$A$2:$A$3722)),"Efficient","Inefficient")</f>
        <v>Inefficient</v>
      </c>
    </row>
    <row r="3676" spans="1:6" x14ac:dyDescent="0.25">
      <c r="A3676" cm="1">
        <f t="array" ref="A3676">INDEX('Portfolio Weights Returns'!$B$9:$BJ$69,
INT((ROW(A3675)-1)/COLUMNS('Portfolio Weights Returns'!$B$9:$BJ$69))+1,MOD(ROW(A3675)-1,COLUMNS('Portfolio Weights Returns'!$B$9:$BJ$69))+1)</f>
        <v>-7.0558639836057154E-4</v>
      </c>
      <c r="B3676">
        <v>2.8299999999999999E-2</v>
      </c>
      <c r="C3676" s="59">
        <v>-0.27</v>
      </c>
      <c r="D3676" s="59">
        <v>-0.25</v>
      </c>
      <c r="E3676" s="60">
        <f t="shared" si="57"/>
        <v>1.52</v>
      </c>
      <c r="F3676" t="str" cm="1">
        <f t="array" ref="F3676">IF(A3676=MAX(IF(ROUND($B$2:$B$3722,4)=ROUND(B3676,4),$A$2:$A$3722)),"Efficient","Inefficient")</f>
        <v>Inefficient</v>
      </c>
    </row>
    <row r="3677" spans="1:6" x14ac:dyDescent="0.25">
      <c r="A3677" cm="1">
        <f t="array" ref="A3677">INDEX('Portfolio Weights Returns'!$B$9:$BJ$69,
INT((ROW(A3676)-1)/COLUMNS('Portfolio Weights Returns'!$B$9:$BJ$69))+1,MOD(ROW(A3676)-1,COLUMNS('Portfolio Weights Returns'!$B$9:$BJ$69))+1)</f>
        <v>-6.9880522439389251E-4</v>
      </c>
      <c r="B3677">
        <v>2.8299999999999999E-2</v>
      </c>
      <c r="C3677" s="59">
        <v>-0.28000000000000003</v>
      </c>
      <c r="D3677" s="59">
        <v>-0.24</v>
      </c>
      <c r="E3677" s="60">
        <f t="shared" si="57"/>
        <v>1.52</v>
      </c>
      <c r="F3677" t="str" cm="1">
        <f t="array" ref="F3677">IF(A3677=MAX(IF(ROUND($B$2:$B$3722,4)=ROUND(B3677,4),$A$2:$A$3722)),"Efficient","Inefficient")</f>
        <v>Efficient</v>
      </c>
    </row>
    <row r="3678" spans="1:6" x14ac:dyDescent="0.25">
      <c r="A3678" cm="1">
        <f t="array" ref="A3678">INDEX('Portfolio Weights Returns'!$B$9:$BJ$69,
INT((ROW(A3677)-1)/COLUMNS('Portfolio Weights Returns'!$B$9:$BJ$69))+1,MOD(ROW(A3677)-1,COLUMNS('Portfolio Weights Returns'!$B$9:$BJ$69))+1)</f>
        <v>-6.9202405042721358E-4</v>
      </c>
      <c r="B3678">
        <v>2.8400000000000002E-2</v>
      </c>
      <c r="C3678" s="59">
        <v>-0.2</v>
      </c>
      <c r="D3678" s="59">
        <v>-0.3</v>
      </c>
      <c r="E3678" s="60">
        <f t="shared" si="57"/>
        <v>1.5</v>
      </c>
      <c r="F3678" t="str" cm="1">
        <f t="array" ref="F3678">IF(A3678=MAX(IF(ROUND($B$2:$B$3722,4)=ROUND(B3678,4),$A$2:$A$3722)),"Efficient","Inefficient")</f>
        <v>Inefficient</v>
      </c>
    </row>
    <row r="3679" spans="1:6" x14ac:dyDescent="0.25">
      <c r="A3679" cm="1">
        <f t="array" ref="A3679">INDEX('Portfolio Weights Returns'!$B$9:$BJ$69,
INT((ROW(A3678)-1)/COLUMNS('Portfolio Weights Returns'!$B$9:$BJ$69))+1,MOD(ROW(A3678)-1,COLUMNS('Portfolio Weights Returns'!$B$9:$BJ$69))+1)</f>
        <v>-6.8524287646053433E-4</v>
      </c>
      <c r="B3679">
        <v>2.8400000000000002E-2</v>
      </c>
      <c r="C3679" s="59">
        <v>-0.22</v>
      </c>
      <c r="D3679" s="59">
        <v>-0.28999999999999998</v>
      </c>
      <c r="E3679" s="60">
        <f t="shared" si="57"/>
        <v>1.51</v>
      </c>
      <c r="F3679" t="str" cm="1">
        <f t="array" ref="F3679">IF(A3679=MAX(IF(ROUND($B$2:$B$3722,4)=ROUND(B3679,4),$A$2:$A$3722)),"Efficient","Inefficient")</f>
        <v>Inefficient</v>
      </c>
    </row>
    <row r="3680" spans="1:6" x14ac:dyDescent="0.25">
      <c r="A3680" cm="1">
        <f t="array" ref="A3680">INDEX('Portfolio Weights Returns'!$B$9:$BJ$69,
INT((ROW(A3679)-1)/COLUMNS('Portfolio Weights Returns'!$B$9:$BJ$69))+1,MOD(ROW(A3679)-1,COLUMNS('Portfolio Weights Returns'!$B$9:$BJ$69))+1)</f>
        <v>-6.784617024938554E-4</v>
      </c>
      <c r="B3680">
        <v>2.8400000000000002E-2</v>
      </c>
      <c r="C3680" s="59">
        <v>-0.23</v>
      </c>
      <c r="D3680" s="59">
        <v>-0.28000000000000003</v>
      </c>
      <c r="E3680" s="60">
        <f t="shared" si="57"/>
        <v>1.51</v>
      </c>
      <c r="F3680" t="str" cm="1">
        <f t="array" ref="F3680">IF(A3680=MAX(IF(ROUND($B$2:$B$3722,4)=ROUND(B3680,4),$A$2:$A$3722)),"Efficient","Inefficient")</f>
        <v>Inefficient</v>
      </c>
    </row>
    <row r="3681" spans="1:6" x14ac:dyDescent="0.25">
      <c r="A3681" cm="1">
        <f t="array" ref="A3681">INDEX('Portfolio Weights Returns'!$B$9:$BJ$69,
INT((ROW(A3680)-1)/COLUMNS('Portfolio Weights Returns'!$B$9:$BJ$69))+1,MOD(ROW(A3680)-1,COLUMNS('Portfolio Weights Returns'!$B$9:$BJ$69))+1)</f>
        <v>-6.7168052852717625E-4</v>
      </c>
      <c r="B3681">
        <v>2.8400000000000002E-2</v>
      </c>
      <c r="C3681" s="59">
        <v>-0.26</v>
      </c>
      <c r="D3681" s="59">
        <v>-0.26</v>
      </c>
      <c r="E3681" s="60">
        <f t="shared" si="57"/>
        <v>1.52</v>
      </c>
      <c r="F3681" t="str" cm="1">
        <f t="array" ref="F3681">IF(A3681=MAX(IF(ROUND($B$2:$B$3722,4)=ROUND(B3681,4),$A$2:$A$3722)),"Efficient","Inefficient")</f>
        <v>Inefficient</v>
      </c>
    </row>
    <row r="3682" spans="1:6" x14ac:dyDescent="0.25">
      <c r="A3682" cm="1">
        <f t="array" ref="A3682">INDEX('Portfolio Weights Returns'!$B$9:$BJ$69,
INT((ROW(A3681)-1)/COLUMNS('Portfolio Weights Returns'!$B$9:$BJ$69))+1,MOD(ROW(A3681)-1,COLUMNS('Portfolio Weights Returns'!$B$9:$BJ$69))+1)</f>
        <v>-6.6489935456049711E-4</v>
      </c>
      <c r="B3682">
        <v>2.8400000000000002E-2</v>
      </c>
      <c r="C3682" s="59">
        <v>-0.28999999999999998</v>
      </c>
      <c r="D3682" s="59">
        <v>-0.24</v>
      </c>
      <c r="E3682" s="60">
        <f t="shared" si="57"/>
        <v>1.53</v>
      </c>
      <c r="F3682" t="str" cm="1">
        <f t="array" ref="F3682">IF(A3682=MAX(IF(ROUND($B$2:$B$3722,4)=ROUND(B3682,4),$A$2:$A$3722)),"Efficient","Inefficient")</f>
        <v>Inefficient</v>
      </c>
    </row>
    <row r="3683" spans="1:6" x14ac:dyDescent="0.25">
      <c r="A3683" cm="1">
        <f t="array" ref="A3683">INDEX('Portfolio Weights Returns'!$B$9:$BJ$69,
INT((ROW(A3682)-1)/COLUMNS('Portfolio Weights Returns'!$B$9:$BJ$69))+1,MOD(ROW(A3682)-1,COLUMNS('Portfolio Weights Returns'!$B$9:$BJ$69))+1)</f>
        <v>-6.5811818059381797E-4</v>
      </c>
      <c r="B3683">
        <v>2.8400000000000002E-2</v>
      </c>
      <c r="C3683" s="59">
        <v>-0.3</v>
      </c>
      <c r="D3683" s="59">
        <v>-0.23</v>
      </c>
      <c r="E3683" s="60">
        <f t="shared" si="57"/>
        <v>1.53</v>
      </c>
      <c r="F3683" t="str" cm="1">
        <f t="array" ref="F3683">IF(A3683=MAX(IF(ROUND($B$2:$B$3722,4)=ROUND(B3683,4),$A$2:$A$3722)),"Efficient","Inefficient")</f>
        <v>Efficient</v>
      </c>
    </row>
    <row r="3684" spans="1:6" x14ac:dyDescent="0.25">
      <c r="A3684" cm="1">
        <f t="array" ref="A3684">INDEX('Portfolio Weights Returns'!$B$9:$BJ$69,
INT((ROW(A3683)-1)/COLUMNS('Portfolio Weights Returns'!$B$9:$BJ$69))+1,MOD(ROW(A3683)-1,COLUMNS('Portfolio Weights Returns'!$B$9:$BJ$69))+1)</f>
        <v>-6.5133700662713893E-4</v>
      </c>
      <c r="B3684">
        <v>2.8500000000000001E-2</v>
      </c>
      <c r="C3684" s="59">
        <v>-0.21</v>
      </c>
      <c r="D3684" s="59">
        <v>-0.3</v>
      </c>
      <c r="E3684" s="60">
        <f t="shared" si="57"/>
        <v>1.51</v>
      </c>
      <c r="F3684" t="str" cm="1">
        <f t="array" ref="F3684">IF(A3684=MAX(IF(ROUND($B$2:$B$3722,4)=ROUND(B3684,4),$A$2:$A$3722)),"Efficient","Inefficient")</f>
        <v>Inefficient</v>
      </c>
    </row>
    <row r="3685" spans="1:6" x14ac:dyDescent="0.25">
      <c r="A3685" cm="1">
        <f t="array" ref="A3685">INDEX('Portfolio Weights Returns'!$B$9:$BJ$69,
INT((ROW(A3684)-1)/COLUMNS('Portfolio Weights Returns'!$B$9:$BJ$69))+1,MOD(ROW(A3684)-1,COLUMNS('Portfolio Weights Returns'!$B$9:$BJ$69))+1)</f>
        <v>-6.4455583266045979E-4</v>
      </c>
      <c r="B3685">
        <v>2.8500000000000001E-2</v>
      </c>
      <c r="C3685" s="59">
        <v>-0.24</v>
      </c>
      <c r="D3685" s="59">
        <v>-0.28000000000000003</v>
      </c>
      <c r="E3685" s="60">
        <f t="shared" si="57"/>
        <v>1.52</v>
      </c>
      <c r="F3685" t="str" cm="1">
        <f t="array" ref="F3685">IF(A3685=MAX(IF(ROUND($B$2:$B$3722,4)=ROUND(B3685,4),$A$2:$A$3722)),"Efficient","Inefficient")</f>
        <v>Inefficient</v>
      </c>
    </row>
    <row r="3686" spans="1:6" x14ac:dyDescent="0.25">
      <c r="A3686" cm="1">
        <f t="array" ref="A3686">INDEX('Portfolio Weights Returns'!$B$9:$BJ$69,
INT((ROW(A3685)-1)/COLUMNS('Portfolio Weights Returns'!$B$9:$BJ$69))+1,MOD(ROW(A3685)-1,COLUMNS('Portfolio Weights Returns'!$B$9:$BJ$69))+1)</f>
        <v>-6.3777465869378075E-4</v>
      </c>
      <c r="B3686">
        <v>2.8500000000000001E-2</v>
      </c>
      <c r="C3686" s="59">
        <v>-0.25</v>
      </c>
      <c r="D3686" s="59">
        <v>-0.27</v>
      </c>
      <c r="E3686" s="60">
        <f t="shared" si="57"/>
        <v>1.52</v>
      </c>
      <c r="F3686" t="str" cm="1">
        <f t="array" ref="F3686">IF(A3686=MAX(IF(ROUND($B$2:$B$3722,4)=ROUND(B3686,4),$A$2:$A$3722)),"Efficient","Inefficient")</f>
        <v>Inefficient</v>
      </c>
    </row>
    <row r="3687" spans="1:6" x14ac:dyDescent="0.25">
      <c r="A3687" cm="1">
        <f t="array" ref="A3687">INDEX('Portfolio Weights Returns'!$B$9:$BJ$69,
INT((ROW(A3686)-1)/COLUMNS('Portfolio Weights Returns'!$B$9:$BJ$69))+1,MOD(ROW(A3686)-1,COLUMNS('Portfolio Weights Returns'!$B$9:$BJ$69))+1)</f>
        <v>-6.309934847271015E-4</v>
      </c>
      <c r="B3687">
        <v>2.8500000000000001E-2</v>
      </c>
      <c r="C3687" s="59">
        <v>-0.28000000000000003</v>
      </c>
      <c r="D3687" s="59">
        <v>-0.25</v>
      </c>
      <c r="E3687" s="60">
        <f t="shared" si="57"/>
        <v>1.53</v>
      </c>
      <c r="F3687" t="str" cm="1">
        <f t="array" ref="F3687">IF(A3687=MAX(IF(ROUND($B$2:$B$3722,4)=ROUND(B3687,4),$A$2:$A$3722)),"Efficient","Inefficient")</f>
        <v>Efficient</v>
      </c>
    </row>
    <row r="3688" spans="1:6" x14ac:dyDescent="0.25">
      <c r="A3688" cm="1">
        <f t="array" ref="A3688">INDEX('Portfolio Weights Returns'!$B$9:$BJ$69,
INT((ROW(A3687)-1)/COLUMNS('Portfolio Weights Returns'!$B$9:$BJ$69))+1,MOD(ROW(A3687)-1,COLUMNS('Portfolio Weights Returns'!$B$9:$BJ$69))+1)</f>
        <v>-6.2421231076042246E-4</v>
      </c>
      <c r="B3688">
        <v>2.86E-2</v>
      </c>
      <c r="C3688" s="59">
        <v>-0.23</v>
      </c>
      <c r="D3688" s="59">
        <v>-0.28999999999999998</v>
      </c>
      <c r="E3688" s="60">
        <f t="shared" si="57"/>
        <v>1.52</v>
      </c>
      <c r="F3688" t="str" cm="1">
        <f t="array" ref="F3688">IF(A3688=MAX(IF(ROUND($B$2:$B$3722,4)=ROUND(B3688,4),$A$2:$A$3722)),"Efficient","Inefficient")</f>
        <v>Inefficient</v>
      </c>
    </row>
    <row r="3689" spans="1:6" x14ac:dyDescent="0.25">
      <c r="A3689" cm="1">
        <f t="array" ref="A3689">INDEX('Portfolio Weights Returns'!$B$9:$BJ$69,
INT((ROW(A3688)-1)/COLUMNS('Portfolio Weights Returns'!$B$9:$BJ$69))+1,MOD(ROW(A3688)-1,COLUMNS('Portfolio Weights Returns'!$B$9:$BJ$69))+1)</f>
        <v>-6.1743113679374332E-4</v>
      </c>
      <c r="B3689">
        <v>2.86E-2</v>
      </c>
      <c r="C3689" s="59">
        <v>-0.26</v>
      </c>
      <c r="D3689" s="59">
        <v>-0.27</v>
      </c>
      <c r="E3689" s="60">
        <f t="shared" si="57"/>
        <v>1.53</v>
      </c>
      <c r="F3689" t="str" cm="1">
        <f t="array" ref="F3689">IF(A3689=MAX(IF(ROUND($B$2:$B$3722,4)=ROUND(B3689,4),$A$2:$A$3722)),"Efficient","Inefficient")</f>
        <v>Inefficient</v>
      </c>
    </row>
    <row r="3690" spans="1:6" x14ac:dyDescent="0.25">
      <c r="A3690" cm="1">
        <f t="array" ref="A3690">INDEX('Portfolio Weights Returns'!$B$9:$BJ$69,
INT((ROW(A3689)-1)/COLUMNS('Portfolio Weights Returns'!$B$9:$BJ$69))+1,MOD(ROW(A3689)-1,COLUMNS('Portfolio Weights Returns'!$B$9:$BJ$69))+1)</f>
        <v>-6.1064996282706428E-4</v>
      </c>
      <c r="B3690">
        <v>2.86E-2</v>
      </c>
      <c r="C3690" s="59">
        <v>-0.27</v>
      </c>
      <c r="D3690" s="59">
        <v>-0.26</v>
      </c>
      <c r="E3690" s="60">
        <f t="shared" si="57"/>
        <v>1.53</v>
      </c>
      <c r="F3690" t="str" cm="1">
        <f t="array" ref="F3690">IF(A3690=MAX(IF(ROUND($B$2:$B$3722,4)=ROUND(B3690,4),$A$2:$A$3722)),"Efficient","Inefficient")</f>
        <v>Inefficient</v>
      </c>
    </row>
    <row r="3691" spans="1:6" x14ac:dyDescent="0.25">
      <c r="A3691" cm="1">
        <f t="array" ref="A3691">INDEX('Portfolio Weights Returns'!$B$9:$BJ$69,
INT((ROW(A3690)-1)/COLUMNS('Portfolio Weights Returns'!$B$9:$BJ$69))+1,MOD(ROW(A3690)-1,COLUMNS('Portfolio Weights Returns'!$B$9:$BJ$69))+1)</f>
        <v>-6.0386878886038514E-4</v>
      </c>
      <c r="B3691">
        <v>2.86E-2</v>
      </c>
      <c r="C3691" s="59">
        <v>-0.3</v>
      </c>
      <c r="D3691" s="59">
        <v>-0.24</v>
      </c>
      <c r="E3691" s="60">
        <f t="shared" si="57"/>
        <v>1.54</v>
      </c>
      <c r="F3691" t="str" cm="1">
        <f t="array" ref="F3691">IF(A3691=MAX(IF(ROUND($B$2:$B$3722,4)=ROUND(B3691,4),$A$2:$A$3722)),"Efficient","Inefficient")</f>
        <v>Efficient</v>
      </c>
    </row>
    <row r="3692" spans="1:6" x14ac:dyDescent="0.25">
      <c r="A3692" cm="1">
        <f t="array" ref="A3692">INDEX('Portfolio Weights Returns'!$B$9:$BJ$69,
INT((ROW(A3691)-1)/COLUMNS('Portfolio Weights Returns'!$B$9:$BJ$69))+1,MOD(ROW(A3691)-1,COLUMNS('Portfolio Weights Returns'!$B$9:$BJ$69))+1)</f>
        <v>-5.970876148937061E-4</v>
      </c>
      <c r="B3692">
        <v>2.87E-2</v>
      </c>
      <c r="C3692" s="59">
        <v>-0.22</v>
      </c>
      <c r="D3692" s="59">
        <v>-0.3</v>
      </c>
      <c r="E3692" s="60">
        <f t="shared" si="57"/>
        <v>1.52</v>
      </c>
      <c r="F3692" t="str" cm="1">
        <f t="array" ref="F3692">IF(A3692=MAX(IF(ROUND($B$2:$B$3722,4)=ROUND(B3692,4),$A$2:$A$3722)),"Efficient","Inefficient")</f>
        <v>Inefficient</v>
      </c>
    </row>
    <row r="3693" spans="1:6" x14ac:dyDescent="0.25">
      <c r="A3693" cm="1">
        <f t="array" ref="A3693">INDEX('Portfolio Weights Returns'!$B$9:$BJ$69,
INT((ROW(A3692)-1)/COLUMNS('Portfolio Weights Returns'!$B$9:$BJ$69))+1,MOD(ROW(A3692)-1,COLUMNS('Portfolio Weights Returns'!$B$9:$BJ$69))+1)</f>
        <v>-5.9030644092702696E-4</v>
      </c>
      <c r="B3693">
        <v>2.87E-2</v>
      </c>
      <c r="C3693" s="59">
        <v>-0.25</v>
      </c>
      <c r="D3693" s="59">
        <v>-0.28000000000000003</v>
      </c>
      <c r="E3693" s="60">
        <f t="shared" si="57"/>
        <v>1.53</v>
      </c>
      <c r="F3693" t="str" cm="1">
        <f t="array" ref="F3693">IF(A3693=MAX(IF(ROUND($B$2:$B$3722,4)=ROUND(B3693,4),$A$2:$A$3722)),"Efficient","Inefficient")</f>
        <v>Inefficient</v>
      </c>
    </row>
    <row r="3694" spans="1:6" x14ac:dyDescent="0.25">
      <c r="A3694" cm="1">
        <f t="array" ref="A3694">INDEX('Portfolio Weights Returns'!$B$9:$BJ$69,
INT((ROW(A3693)-1)/COLUMNS('Portfolio Weights Returns'!$B$9:$BJ$69))+1,MOD(ROW(A3693)-1,COLUMNS('Portfolio Weights Returns'!$B$9:$BJ$69))+1)</f>
        <v>-5.835252669603477E-4</v>
      </c>
      <c r="B3694">
        <v>2.87E-2</v>
      </c>
      <c r="C3694" s="59">
        <v>-0.28000000000000003</v>
      </c>
      <c r="D3694" s="59">
        <v>-0.26</v>
      </c>
      <c r="E3694" s="60">
        <f t="shared" si="57"/>
        <v>1.54</v>
      </c>
      <c r="F3694" t="str" cm="1">
        <f t="array" ref="F3694">IF(A3694=MAX(IF(ROUND($B$2:$B$3722,4)=ROUND(B3694,4),$A$2:$A$3722)),"Efficient","Inefficient")</f>
        <v>Inefficient</v>
      </c>
    </row>
    <row r="3695" spans="1:6" x14ac:dyDescent="0.25">
      <c r="A3695" cm="1">
        <f t="array" ref="A3695">INDEX('Portfolio Weights Returns'!$B$9:$BJ$69,
INT((ROW(A3694)-1)/COLUMNS('Portfolio Weights Returns'!$B$9:$BJ$69))+1,MOD(ROW(A3694)-1,COLUMNS('Portfolio Weights Returns'!$B$9:$BJ$69))+1)</f>
        <v>-5.7674409299366867E-4</v>
      </c>
      <c r="B3695">
        <v>2.87E-2</v>
      </c>
      <c r="C3695" s="59">
        <v>-0.28999999999999998</v>
      </c>
      <c r="D3695" s="59">
        <v>-0.25</v>
      </c>
      <c r="E3695" s="60">
        <f t="shared" si="57"/>
        <v>1.54</v>
      </c>
      <c r="F3695" t="str" cm="1">
        <f t="array" ref="F3695">IF(A3695=MAX(IF(ROUND($B$2:$B$3722,4)=ROUND(B3695,4),$A$2:$A$3722)),"Efficient","Inefficient")</f>
        <v>Efficient</v>
      </c>
    </row>
    <row r="3696" spans="1:6" x14ac:dyDescent="0.25">
      <c r="A3696" cm="1">
        <f t="array" ref="A3696">INDEX('Portfolio Weights Returns'!$B$9:$BJ$69,
INT((ROW(A3695)-1)/COLUMNS('Portfolio Weights Returns'!$B$9:$BJ$69))+1,MOD(ROW(A3695)-1,COLUMNS('Portfolio Weights Returns'!$B$9:$BJ$69))+1)</f>
        <v>-5.6996291902698952E-4</v>
      </c>
      <c r="B3696">
        <v>2.8799999999999999E-2</v>
      </c>
      <c r="C3696" s="59">
        <v>-0.24</v>
      </c>
      <c r="D3696" s="59">
        <v>-0.28999999999999998</v>
      </c>
      <c r="E3696" s="60">
        <f t="shared" si="57"/>
        <v>1.53</v>
      </c>
      <c r="F3696" t="str" cm="1">
        <f t="array" ref="F3696">IF(A3696=MAX(IF(ROUND($B$2:$B$3722,4)=ROUND(B3696,4),$A$2:$A$3722)),"Efficient","Inefficient")</f>
        <v>Inefficient</v>
      </c>
    </row>
    <row r="3697" spans="1:6" x14ac:dyDescent="0.25">
      <c r="A3697" cm="1">
        <f t="array" ref="A3697">INDEX('Portfolio Weights Returns'!$B$9:$BJ$69,
INT((ROW(A3696)-1)/COLUMNS('Portfolio Weights Returns'!$B$9:$BJ$69))+1,MOD(ROW(A3696)-1,COLUMNS('Portfolio Weights Returns'!$B$9:$BJ$69))+1)</f>
        <v>-5.6318174506031049E-4</v>
      </c>
      <c r="B3697">
        <v>2.8799999999999999E-2</v>
      </c>
      <c r="C3697" s="59">
        <v>-0.27</v>
      </c>
      <c r="D3697" s="59">
        <v>-0.27</v>
      </c>
      <c r="E3697" s="60">
        <f t="shared" si="57"/>
        <v>1.54</v>
      </c>
      <c r="F3697" t="str" cm="1">
        <f t="array" ref="F3697">IF(A3697=MAX(IF(ROUND($B$2:$B$3722,4)=ROUND(B3697,4),$A$2:$A$3722)),"Efficient","Inefficient")</f>
        <v>Efficient</v>
      </c>
    </row>
    <row r="3698" spans="1:6" x14ac:dyDescent="0.25">
      <c r="A3698" cm="1">
        <f t="array" ref="A3698">INDEX('Portfolio Weights Returns'!$B$9:$BJ$69,
INT((ROW(A3697)-1)/COLUMNS('Portfolio Weights Returns'!$B$9:$BJ$69))+1,MOD(ROW(A3697)-1,COLUMNS('Portfolio Weights Returns'!$B$9:$BJ$69))+1)</f>
        <v>-5.5640057109363134E-4</v>
      </c>
      <c r="B3698">
        <v>2.8899999999999999E-2</v>
      </c>
      <c r="C3698" s="59">
        <v>-0.23</v>
      </c>
      <c r="D3698" s="59">
        <v>-0.3</v>
      </c>
      <c r="E3698" s="60">
        <f t="shared" si="57"/>
        <v>1.53</v>
      </c>
      <c r="F3698" t="str" cm="1">
        <f t="array" ref="F3698">IF(A3698=MAX(IF(ROUND($B$2:$B$3722,4)=ROUND(B3698,4),$A$2:$A$3722)),"Efficient","Inefficient")</f>
        <v>Inefficient</v>
      </c>
    </row>
    <row r="3699" spans="1:6" x14ac:dyDescent="0.25">
      <c r="A3699" cm="1">
        <f t="array" ref="A3699">INDEX('Portfolio Weights Returns'!$B$9:$BJ$69,
INT((ROW(A3698)-1)/COLUMNS('Portfolio Weights Returns'!$B$9:$BJ$69))+1,MOD(ROW(A3698)-1,COLUMNS('Portfolio Weights Returns'!$B$9:$BJ$69))+1)</f>
        <v>-5.4961939712695231E-4</v>
      </c>
      <c r="B3699">
        <v>2.8899999999999999E-2</v>
      </c>
      <c r="C3699" s="59">
        <v>-0.26</v>
      </c>
      <c r="D3699" s="59">
        <v>-0.28000000000000003</v>
      </c>
      <c r="E3699" s="60">
        <f t="shared" si="57"/>
        <v>1.54</v>
      </c>
      <c r="F3699" t="str" cm="1">
        <f t="array" ref="F3699">IF(A3699=MAX(IF(ROUND($B$2:$B$3722,4)=ROUND(B3699,4),$A$2:$A$3722)),"Efficient","Inefficient")</f>
        <v>Inefficient</v>
      </c>
    </row>
    <row r="3700" spans="1:6" x14ac:dyDescent="0.25">
      <c r="A3700" cm="1">
        <f t="array" ref="A3700">INDEX('Portfolio Weights Returns'!$B$9:$BJ$69,
INT((ROW(A3699)-1)/COLUMNS('Portfolio Weights Returns'!$B$9:$BJ$69))+1,MOD(ROW(A3699)-1,COLUMNS('Portfolio Weights Returns'!$B$9:$BJ$69))+1)</f>
        <v>-5.4283822316027316E-4</v>
      </c>
      <c r="B3700">
        <v>2.8899999999999999E-2</v>
      </c>
      <c r="C3700" s="59">
        <v>-0.28999999999999998</v>
      </c>
      <c r="D3700" s="59">
        <v>-0.26</v>
      </c>
      <c r="E3700" s="60">
        <f t="shared" si="57"/>
        <v>1.55</v>
      </c>
      <c r="F3700" t="str" cm="1">
        <f t="array" ref="F3700">IF(A3700=MAX(IF(ROUND($B$2:$B$3722,4)=ROUND(B3700,4),$A$2:$A$3722)),"Efficient","Inefficient")</f>
        <v>Inefficient</v>
      </c>
    </row>
    <row r="3701" spans="1:6" x14ac:dyDescent="0.25">
      <c r="A3701" cm="1">
        <f t="array" ref="A3701">INDEX('Portfolio Weights Returns'!$B$9:$BJ$69,
INT((ROW(A3700)-1)/COLUMNS('Portfolio Weights Returns'!$B$9:$BJ$69))+1,MOD(ROW(A3700)-1,COLUMNS('Portfolio Weights Returns'!$B$9:$BJ$69))+1)</f>
        <v>-5.3605704919359402E-4</v>
      </c>
      <c r="B3701">
        <v>2.8899999999999999E-2</v>
      </c>
      <c r="C3701" s="59">
        <v>-0.3</v>
      </c>
      <c r="D3701" s="59">
        <v>-0.25</v>
      </c>
      <c r="E3701" s="60">
        <f t="shared" si="57"/>
        <v>1.55</v>
      </c>
      <c r="F3701" t="str" cm="1">
        <f t="array" ref="F3701">IF(A3701=MAX(IF(ROUND($B$2:$B$3722,4)=ROUND(B3701,4),$A$2:$A$3722)),"Efficient","Inefficient")</f>
        <v>Efficient</v>
      </c>
    </row>
    <row r="3702" spans="1:6" x14ac:dyDescent="0.25">
      <c r="A3702" cm="1">
        <f t="array" ref="A3702">INDEX('Portfolio Weights Returns'!$B$9:$BJ$69,
INT((ROW(A3701)-1)/COLUMNS('Portfolio Weights Returns'!$B$9:$BJ$69))+1,MOD(ROW(A3701)-1,COLUMNS('Portfolio Weights Returns'!$B$9:$BJ$69))+1)</f>
        <v>-5.2927587522691498E-4</v>
      </c>
      <c r="B3702">
        <v>2.9000000000000001E-2</v>
      </c>
      <c r="C3702" s="59">
        <v>-0.24</v>
      </c>
      <c r="D3702" s="59">
        <v>-0.3</v>
      </c>
      <c r="E3702" s="60">
        <f t="shared" si="57"/>
        <v>1.54</v>
      </c>
      <c r="F3702" t="str" cm="1">
        <f t="array" ref="F3702">IF(A3702=MAX(IF(ROUND($B$2:$B$3722,4)=ROUND(B3702,4),$A$2:$A$3722)),"Efficient","Inefficient")</f>
        <v>Inefficient</v>
      </c>
    </row>
    <row r="3703" spans="1:6" x14ac:dyDescent="0.25">
      <c r="A3703" cm="1">
        <f t="array" ref="A3703">INDEX('Portfolio Weights Returns'!$B$9:$BJ$69,
INT((ROW(A3702)-1)/COLUMNS('Portfolio Weights Returns'!$B$9:$BJ$69))+1,MOD(ROW(A3702)-1,COLUMNS('Portfolio Weights Returns'!$B$9:$BJ$69))+1)</f>
        <v>-5.2249470126023573E-4</v>
      </c>
      <c r="B3703">
        <v>2.9000000000000001E-2</v>
      </c>
      <c r="C3703" s="59">
        <v>-0.25</v>
      </c>
      <c r="D3703" s="59">
        <v>-0.28999999999999998</v>
      </c>
      <c r="E3703" s="60">
        <f t="shared" si="57"/>
        <v>1.54</v>
      </c>
      <c r="F3703" t="str" cm="1">
        <f t="array" ref="F3703">IF(A3703=MAX(IF(ROUND($B$2:$B$3722,4)=ROUND(B3703,4),$A$2:$A$3722)),"Efficient","Inefficient")</f>
        <v>Inefficient</v>
      </c>
    </row>
    <row r="3704" spans="1:6" x14ac:dyDescent="0.25">
      <c r="A3704" cm="1">
        <f t="array" ref="A3704">INDEX('Portfolio Weights Returns'!$B$9:$BJ$69,
INT((ROW(A3703)-1)/COLUMNS('Portfolio Weights Returns'!$B$9:$BJ$69))+1,MOD(ROW(A3703)-1,COLUMNS('Portfolio Weights Returns'!$B$9:$BJ$69))+1)</f>
        <v>-5.1571352729355669E-4</v>
      </c>
      <c r="B3704">
        <v>2.9000000000000001E-2</v>
      </c>
      <c r="C3704" s="59">
        <v>-0.28000000000000003</v>
      </c>
      <c r="D3704" s="59">
        <v>-0.27</v>
      </c>
      <c r="E3704" s="60">
        <f t="shared" si="57"/>
        <v>1.55</v>
      </c>
      <c r="F3704" t="str" cm="1">
        <f t="array" ref="F3704">IF(A3704=MAX(IF(ROUND($B$2:$B$3722,4)=ROUND(B3704,4),$A$2:$A$3722)),"Efficient","Inefficient")</f>
        <v>Efficient</v>
      </c>
    </row>
    <row r="3705" spans="1:6" x14ac:dyDescent="0.25">
      <c r="A3705" cm="1">
        <f t="array" ref="A3705">INDEX('Portfolio Weights Returns'!$B$9:$BJ$69,
INT((ROW(A3704)-1)/COLUMNS('Portfolio Weights Returns'!$B$9:$BJ$69))+1,MOD(ROW(A3704)-1,COLUMNS('Portfolio Weights Returns'!$B$9:$BJ$69))+1)</f>
        <v>-5.0893235332687755E-4</v>
      </c>
      <c r="B3705">
        <v>2.9100000000000001E-2</v>
      </c>
      <c r="C3705" s="59">
        <v>-0.26</v>
      </c>
      <c r="D3705" s="59">
        <v>-0.28999999999999998</v>
      </c>
      <c r="E3705" s="60">
        <f t="shared" si="57"/>
        <v>1.55</v>
      </c>
      <c r="F3705" t="str" cm="1">
        <f t="array" ref="F3705">IF(A3705=MAX(IF(ROUND($B$2:$B$3722,4)=ROUND(B3705,4),$A$2:$A$3722)),"Efficient","Inefficient")</f>
        <v>Inefficient</v>
      </c>
    </row>
    <row r="3706" spans="1:6" x14ac:dyDescent="0.25">
      <c r="A3706" cm="1">
        <f t="array" ref="A3706">INDEX('Portfolio Weights Returns'!$B$9:$BJ$69,
INT((ROW(A3705)-1)/COLUMNS('Portfolio Weights Returns'!$B$9:$BJ$69))+1,MOD(ROW(A3705)-1,COLUMNS('Portfolio Weights Returns'!$B$9:$BJ$69))+1)</f>
        <v>-5.021511793601984E-4</v>
      </c>
      <c r="B3706">
        <v>2.9100000000000001E-2</v>
      </c>
      <c r="C3706" s="59">
        <v>-0.27</v>
      </c>
      <c r="D3706" s="59">
        <v>-0.28000000000000003</v>
      </c>
      <c r="E3706" s="60">
        <f t="shared" si="57"/>
        <v>1.55</v>
      </c>
      <c r="F3706" t="str" cm="1">
        <f t="array" ref="F3706">IF(A3706=MAX(IF(ROUND($B$2:$B$3722,4)=ROUND(B3706,4),$A$2:$A$3722)),"Efficient","Inefficient")</f>
        <v>Inefficient</v>
      </c>
    </row>
    <row r="3707" spans="1:6" x14ac:dyDescent="0.25">
      <c r="A3707" cm="1">
        <f t="array" ref="A3707">INDEX('Portfolio Weights Returns'!$B$9:$BJ$69,
INT((ROW(A3706)-1)/COLUMNS('Portfolio Weights Returns'!$B$9:$BJ$69))+1,MOD(ROW(A3706)-1,COLUMNS('Portfolio Weights Returns'!$B$9:$BJ$69))+1)</f>
        <v>-4.9537000539351937E-4</v>
      </c>
      <c r="B3707">
        <v>2.9100000000000001E-2</v>
      </c>
      <c r="C3707" s="59">
        <v>-0.3</v>
      </c>
      <c r="D3707" s="59">
        <v>-0.26</v>
      </c>
      <c r="E3707" s="60">
        <f t="shared" si="57"/>
        <v>1.56</v>
      </c>
      <c r="F3707" t="str" cm="1">
        <f t="array" ref="F3707">IF(A3707=MAX(IF(ROUND($B$2:$B$3722,4)=ROUND(B3707,4),$A$2:$A$3722)),"Efficient","Inefficient")</f>
        <v>Efficient</v>
      </c>
    </row>
    <row r="3708" spans="1:6" x14ac:dyDescent="0.25">
      <c r="A3708" cm="1">
        <f t="array" ref="A3708">INDEX('Portfolio Weights Returns'!$B$9:$BJ$69,
INT((ROW(A3707)-1)/COLUMNS('Portfolio Weights Returns'!$B$9:$BJ$69))+1,MOD(ROW(A3707)-1,COLUMNS('Portfolio Weights Returns'!$B$9:$BJ$69))+1)</f>
        <v>-4.8858883142684022E-4</v>
      </c>
      <c r="B3708">
        <v>2.92E-2</v>
      </c>
      <c r="C3708" s="59">
        <v>-0.25</v>
      </c>
      <c r="D3708" s="59">
        <v>-0.3</v>
      </c>
      <c r="E3708" s="60">
        <f t="shared" si="57"/>
        <v>1.55</v>
      </c>
      <c r="F3708" t="str" cm="1">
        <f t="array" ref="F3708">IF(A3708=MAX(IF(ROUND($B$2:$B$3722,4)=ROUND(B3708,4),$A$2:$A$3722)),"Efficient","Inefficient")</f>
        <v>Inefficient</v>
      </c>
    </row>
    <row r="3709" spans="1:6" x14ac:dyDescent="0.25">
      <c r="A3709" cm="1">
        <f t="array" ref="A3709">INDEX('Portfolio Weights Returns'!$B$9:$BJ$69,
INT((ROW(A3708)-1)/COLUMNS('Portfolio Weights Returns'!$B$9:$BJ$69))+1,MOD(ROW(A3708)-1,COLUMNS('Portfolio Weights Returns'!$B$9:$BJ$69))+1)</f>
        <v>-4.8180765746016119E-4</v>
      </c>
      <c r="B3709">
        <v>2.92E-2</v>
      </c>
      <c r="C3709" s="59">
        <v>-0.28000000000000003</v>
      </c>
      <c r="D3709" s="59">
        <v>-0.28000000000000003</v>
      </c>
      <c r="E3709" s="60">
        <f t="shared" si="57"/>
        <v>1.56</v>
      </c>
      <c r="F3709" t="str" cm="1">
        <f t="array" ref="F3709">IF(A3709=MAX(IF(ROUND($B$2:$B$3722,4)=ROUND(B3709,4),$A$2:$A$3722)),"Efficient","Inefficient")</f>
        <v>Inefficient</v>
      </c>
    </row>
    <row r="3710" spans="1:6" x14ac:dyDescent="0.25">
      <c r="A3710" cm="1">
        <f t="array" ref="A3710">INDEX('Portfolio Weights Returns'!$B$9:$BJ$69,
INT((ROW(A3709)-1)/COLUMNS('Portfolio Weights Returns'!$B$9:$BJ$69))+1,MOD(ROW(A3709)-1,COLUMNS('Portfolio Weights Returns'!$B$9:$BJ$69))+1)</f>
        <v>-4.750264834934822E-4</v>
      </c>
      <c r="B3710">
        <v>2.92E-2</v>
      </c>
      <c r="C3710" s="59">
        <v>-0.28999999999999998</v>
      </c>
      <c r="D3710" s="59">
        <v>-0.27</v>
      </c>
      <c r="E3710" s="60">
        <f t="shared" si="57"/>
        <v>1.56</v>
      </c>
      <c r="F3710" t="str" cm="1">
        <f t="array" ref="F3710">IF(A3710=MAX(IF(ROUND($B$2:$B$3722,4)=ROUND(B3710,4),$A$2:$A$3722)),"Efficient","Inefficient")</f>
        <v>Efficient</v>
      </c>
    </row>
    <row r="3711" spans="1:6" x14ac:dyDescent="0.25">
      <c r="A3711" cm="1">
        <f t="array" ref="A3711">INDEX('Portfolio Weights Returns'!$B$9:$BJ$69,
INT((ROW(A3710)-1)/COLUMNS('Portfolio Weights Returns'!$B$9:$BJ$69))+1,MOD(ROW(A3710)-1,COLUMNS('Portfolio Weights Returns'!$B$9:$BJ$69))+1)</f>
        <v>-4.6824530952680306E-4</v>
      </c>
      <c r="B3711">
        <v>2.93E-2</v>
      </c>
      <c r="C3711" s="59">
        <v>-0.27</v>
      </c>
      <c r="D3711" s="59">
        <v>-0.28999999999999998</v>
      </c>
      <c r="E3711" s="60">
        <f t="shared" si="57"/>
        <v>1.56</v>
      </c>
      <c r="F3711" t="str" cm="1">
        <f t="array" ref="F3711">IF(A3711=MAX(IF(ROUND($B$2:$B$3722,4)=ROUND(B3711,4),$A$2:$A$3722)),"Efficient","Inefficient")</f>
        <v>Inefficient</v>
      </c>
    </row>
    <row r="3712" spans="1:6" x14ac:dyDescent="0.25">
      <c r="A3712" cm="1">
        <f t="array" ref="A3712">INDEX('Portfolio Weights Returns'!$B$9:$BJ$69,
INT((ROW(A3711)-1)/COLUMNS('Portfolio Weights Returns'!$B$9:$BJ$69))+1,MOD(ROW(A3711)-1,COLUMNS('Portfolio Weights Returns'!$B$9:$BJ$69))+1)</f>
        <v>-4.6146413556012392E-4</v>
      </c>
      <c r="B3712">
        <v>2.93E-2</v>
      </c>
      <c r="C3712" s="59">
        <v>-0.3</v>
      </c>
      <c r="D3712" s="59">
        <v>-0.27</v>
      </c>
      <c r="E3712" s="60">
        <f t="shared" si="57"/>
        <v>1.57</v>
      </c>
      <c r="F3712" t="str" cm="1">
        <f t="array" ref="F3712">IF(A3712=MAX(IF(ROUND($B$2:$B$3722,4)=ROUND(B3712,4),$A$2:$A$3722)),"Efficient","Inefficient")</f>
        <v>Efficient</v>
      </c>
    </row>
    <row r="3713" spans="1:9" x14ac:dyDescent="0.25">
      <c r="A3713" cm="1">
        <f t="array" ref="A3713">INDEX('Portfolio Weights Returns'!$B$9:$BJ$69,
INT((ROW(A3712)-1)/COLUMNS('Portfolio Weights Returns'!$B$9:$BJ$69))+1,MOD(ROW(A3712)-1,COLUMNS('Portfolio Weights Returns'!$B$9:$BJ$69))+1)</f>
        <v>-4.5468296159344483E-4</v>
      </c>
      <c r="B3713">
        <v>2.9399999999999999E-2</v>
      </c>
      <c r="C3713" s="59">
        <v>-0.26</v>
      </c>
      <c r="D3713" s="59">
        <v>-0.3</v>
      </c>
      <c r="E3713" s="60">
        <f t="shared" si="57"/>
        <v>1.56</v>
      </c>
      <c r="F3713" t="str" cm="1">
        <f t="array" ref="F3713">IF(A3713=MAX(IF(ROUND($B$2:$B$3722,4)=ROUND(B3713,4),$A$2:$A$3722)),"Efficient","Inefficient")</f>
        <v>Inefficient</v>
      </c>
    </row>
    <row r="3714" spans="1:9" x14ac:dyDescent="0.25">
      <c r="A3714" cm="1">
        <f t="array" ref="A3714">INDEX('Portfolio Weights Returns'!$B$9:$BJ$69,
INT((ROW(A3713)-1)/COLUMNS('Portfolio Weights Returns'!$B$9:$BJ$69))+1,MOD(ROW(A3713)-1,COLUMNS('Portfolio Weights Returns'!$B$9:$BJ$69))+1)</f>
        <v>-4.4790178762676574E-4</v>
      </c>
      <c r="B3714">
        <v>2.9399999999999999E-2</v>
      </c>
      <c r="C3714" s="59">
        <v>-0.28999999999999998</v>
      </c>
      <c r="D3714" s="59">
        <v>-0.28000000000000003</v>
      </c>
      <c r="E3714" s="60">
        <f t="shared" ref="E3714:E3722" si="58">1-D3714-C3714</f>
        <v>1.57</v>
      </c>
      <c r="F3714" t="str" cm="1">
        <f t="array" ref="F3714">IF(A3714=MAX(IF(ROUND($B$2:$B$3722,4)=ROUND(B3714,4),$A$2:$A$3722)),"Efficient","Inefficient")</f>
        <v>Efficient</v>
      </c>
    </row>
    <row r="3715" spans="1:9" x14ac:dyDescent="0.25">
      <c r="A3715" cm="1">
        <f t="array" ref="A3715">INDEX('Portfolio Weights Returns'!$B$9:$BJ$69,
INT((ROW(A3714)-1)/COLUMNS('Portfolio Weights Returns'!$B$9:$BJ$69))+1,MOD(ROW(A3714)-1,COLUMNS('Portfolio Weights Returns'!$B$9:$BJ$69))+1)</f>
        <v>-4.4112061366008659E-4</v>
      </c>
      <c r="B3715">
        <v>2.9499999999999998E-2</v>
      </c>
      <c r="C3715" s="59">
        <v>-0.28000000000000003</v>
      </c>
      <c r="D3715" s="59">
        <v>-0.28999999999999998</v>
      </c>
      <c r="E3715" s="60">
        <f t="shared" si="58"/>
        <v>1.57</v>
      </c>
      <c r="F3715" t="str" cm="1">
        <f t="array" ref="F3715">IF(A3715=MAX(IF(ROUND($B$2:$B$3722,4)=ROUND(B3715,4),$A$2:$A$3722)),"Efficient","Inefficient")</f>
        <v>Efficient</v>
      </c>
    </row>
    <row r="3716" spans="1:9" x14ac:dyDescent="0.25">
      <c r="A3716" cm="1">
        <f t="array" ref="A3716">INDEX('Portfolio Weights Returns'!$B$9:$BJ$69,
INT((ROW(A3715)-1)/COLUMNS('Portfolio Weights Returns'!$B$9:$BJ$69))+1,MOD(ROW(A3715)-1,COLUMNS('Portfolio Weights Returns'!$B$9:$BJ$69))+1)</f>
        <v>-4.343394396934075E-4</v>
      </c>
      <c r="B3716">
        <v>2.9600000000000001E-2</v>
      </c>
      <c r="C3716" s="59">
        <v>-0.27</v>
      </c>
      <c r="D3716" s="59">
        <v>-0.3</v>
      </c>
      <c r="E3716" s="60">
        <f t="shared" si="58"/>
        <v>1.57</v>
      </c>
      <c r="F3716" t="str" cm="1">
        <f t="array" ref="F3716">IF(A3716=MAX(IF(ROUND($B$2:$B$3722,4)=ROUND(B3716,4),$A$2:$A$3722)),"Efficient","Inefficient")</f>
        <v>Inefficient</v>
      </c>
    </row>
    <row r="3717" spans="1:9" x14ac:dyDescent="0.25">
      <c r="A3717" cm="1">
        <f t="array" ref="A3717">INDEX('Portfolio Weights Returns'!$B$9:$BJ$69,
INT((ROW(A3716)-1)/COLUMNS('Portfolio Weights Returns'!$B$9:$BJ$69))+1,MOD(ROW(A3716)-1,COLUMNS('Portfolio Weights Returns'!$B$9:$BJ$69))+1)</f>
        <v>-4.2755826572672836E-4</v>
      </c>
      <c r="B3717">
        <v>2.9600000000000001E-2</v>
      </c>
      <c r="C3717" s="59">
        <v>-0.3</v>
      </c>
      <c r="D3717" s="59">
        <v>-0.28000000000000003</v>
      </c>
      <c r="E3717" s="60">
        <f t="shared" si="58"/>
        <v>1.58</v>
      </c>
      <c r="F3717" t="str" cm="1">
        <f t="array" ref="F3717">IF(A3717=MAX(IF(ROUND($B$2:$B$3722,4)=ROUND(B3717,4),$A$2:$A$3722)),"Efficient","Inefficient")</f>
        <v>Efficient</v>
      </c>
    </row>
    <row r="3718" spans="1:9" x14ac:dyDescent="0.25">
      <c r="A3718" cm="1">
        <f t="array" ref="A3718">INDEX('Portfolio Weights Returns'!$B$9:$BJ$69,
INT((ROW(A3717)-1)/COLUMNS('Portfolio Weights Returns'!$B$9:$BJ$69))+1,MOD(ROW(A3717)-1,COLUMNS('Portfolio Weights Returns'!$B$9:$BJ$69))+1)</f>
        <v>-4.2077709176004921E-4</v>
      </c>
      <c r="B3718">
        <v>2.9700000000000001E-2</v>
      </c>
      <c r="C3718" s="59">
        <v>-0.28000000000000003</v>
      </c>
      <c r="D3718" s="59">
        <v>-0.3</v>
      </c>
      <c r="E3718" s="60">
        <f t="shared" si="58"/>
        <v>1.58</v>
      </c>
      <c r="F3718" t="str" cm="1">
        <f t="array" ref="F3718">IF(A3718=MAX(IF(ROUND($B$2:$B$3722,4)=ROUND(B3718,4),$A$2:$A$3722)),"Efficient","Inefficient")</f>
        <v>Inefficient</v>
      </c>
    </row>
    <row r="3719" spans="1:9" x14ac:dyDescent="0.25">
      <c r="A3719" cm="1">
        <f t="array" ref="A3719">INDEX('Portfolio Weights Returns'!$B$9:$BJ$69,
INT((ROW(A3718)-1)/COLUMNS('Portfolio Weights Returns'!$B$9:$BJ$69))+1,MOD(ROW(A3718)-1,COLUMNS('Portfolio Weights Returns'!$B$9:$BJ$69))+1)</f>
        <v>-4.1399591779336953E-4</v>
      </c>
      <c r="B3719">
        <v>2.9700000000000001E-2</v>
      </c>
      <c r="C3719" s="59">
        <v>-0.28999999999999998</v>
      </c>
      <c r="D3719" s="59">
        <v>-0.28999999999999998</v>
      </c>
      <c r="E3719" s="60">
        <f t="shared" si="58"/>
        <v>1.58</v>
      </c>
      <c r="F3719" t="str" cm="1">
        <f t="array" ref="F3719">IF(A3719=MAX(IF(ROUND($B$2:$B$3722,4)=ROUND(B3719,4),$A$2:$A$3722)),"Efficient","Inefficient")</f>
        <v>Efficient</v>
      </c>
    </row>
    <row r="3720" spans="1:9" x14ac:dyDescent="0.25">
      <c r="A3720" cm="1">
        <f t="array" ref="A3720">INDEX('Portfolio Weights Returns'!$B$9:$BJ$69,
INT((ROW(A3719)-1)/COLUMNS('Portfolio Weights Returns'!$B$9:$BJ$69))+1,MOD(ROW(A3719)-1,COLUMNS('Portfolio Weights Returns'!$B$9:$BJ$69))+1)</f>
        <v>-4.0721474382669038E-4</v>
      </c>
      <c r="B3720">
        <v>2.98E-2</v>
      </c>
      <c r="C3720" s="59">
        <v>-0.3</v>
      </c>
      <c r="D3720" s="59">
        <v>-0.28999999999999998</v>
      </c>
      <c r="E3720" s="60">
        <f t="shared" si="58"/>
        <v>1.59</v>
      </c>
      <c r="F3720" t="str" cm="1">
        <f t="array" ref="F3720">IF(A3720=MAX(IF(ROUND($B$2:$B$3722,4)=ROUND(B3720,4),$A$2:$A$3722)),"Efficient","Inefficient")</f>
        <v>Efficient</v>
      </c>
    </row>
    <row r="3721" spans="1:9" x14ac:dyDescent="0.25">
      <c r="A3721" cm="1">
        <f t="array" ref="A3721">INDEX('Portfolio Weights Returns'!$B$9:$BJ$69,
INT((ROW(A3720)-1)/COLUMNS('Portfolio Weights Returns'!$B$9:$BJ$69))+1,MOD(ROW(A3720)-1,COLUMNS('Portfolio Weights Returns'!$B$9:$BJ$69))+1)</f>
        <v>-4.0043356986001134E-4</v>
      </c>
      <c r="B3721">
        <v>2.9899999999999999E-2</v>
      </c>
      <c r="C3721" s="59">
        <v>-0.28999999999999998</v>
      </c>
      <c r="D3721" s="59">
        <v>-0.3</v>
      </c>
      <c r="E3721" s="60">
        <f t="shared" si="58"/>
        <v>1.59</v>
      </c>
      <c r="F3721" t="str" cm="1">
        <f t="array" ref="F3721">IF(A3721=MAX(IF(ROUND($B$2:$B$3722,4)=ROUND(B3721,4),$A$2:$A$3722)),"Efficient","Inefficient")</f>
        <v>Efficient</v>
      </c>
    </row>
    <row r="3722" spans="1:9" x14ac:dyDescent="0.25">
      <c r="A3722" cm="1">
        <f t="array" ref="A3722">INDEX('Portfolio Weights Returns'!$B$9:$BJ$69,
INT((ROW(A3721)-1)/COLUMNS('Portfolio Weights Returns'!$B$9:$BJ$69))+1,MOD(ROW(A3721)-1,COLUMNS('Portfolio Weights Returns'!$B$9:$BJ$69))+1)</f>
        <v>-3.936523958933322E-4</v>
      </c>
      <c r="B3722">
        <v>3.0099999999999998E-2</v>
      </c>
      <c r="C3722" s="59">
        <v>-0.3</v>
      </c>
      <c r="D3722" s="59">
        <v>-0.3</v>
      </c>
      <c r="E3722" s="60">
        <f t="shared" si="58"/>
        <v>1.6</v>
      </c>
      <c r="F3722" t="str" cm="1">
        <f t="array" ref="F3722">IF(A3722=MAX(IF(ROUND($B$2:$B$3722,4)=ROUND(B3722,4),$A$2:$A$3722)),"Efficient","Inefficient")</f>
        <v>Efficient</v>
      </c>
      <c r="I3722" cm="1">
        <f t="array" ref="I3722">INDEX('Portfolio Weights Returns'!$B$9:$BJ$69,
INT((ROW(I3721)-1)/COLUMNS('Portfolio Weights Returns'!$B$9:$BJ$69))+1,MOD(ROW(I3721)-1,COLUMNS('Portfolio Weights Returns'!$B$9:$BJ$69))+1)</f>
        <v>-3.936523958933322E-4</v>
      </c>
    </row>
  </sheetData>
  <autoFilter ref="A1:F3722" xr:uid="{E8E3BC25-D810-4FE2-97BA-35E44BA67636}"/>
  <sortState xmlns:xlrd2="http://schemas.microsoft.com/office/spreadsheetml/2017/richdata2" ref="A1:F3722">
    <sortCondition ref="B2:B3722"/>
  </sortState>
  <mergeCells count="1">
    <mergeCell ref="I2:J2"/>
  </mergeCells>
  <conditionalFormatting sqref="A1:F1048576">
    <cfRule type="containsText" dxfId="3" priority="5" operator="containsText" text="Inefficient">
      <formula>NOT(ISERROR(SEARCH("Inefficient",A1)))</formula>
    </cfRule>
  </conditionalFormatting>
  <conditionalFormatting sqref="H1950:I1950">
    <cfRule type="containsText" dxfId="2" priority="4" operator="containsText" text="Inefficient">
      <formula>NOT(ISERROR(SEARCH("Inefficient",H1950)))</formula>
    </cfRule>
  </conditionalFormatting>
  <conditionalFormatting sqref="I3722">
    <cfRule type="containsText" dxfId="1" priority="1" operator="containsText" text="Inefficient">
      <formula>NOT(ISERROR(SEARCH("Inefficient",I3722)))</formula>
    </cfRule>
  </conditionalFormatting>
  <conditionalFormatting sqref="K17:K18">
    <cfRule type="containsText" dxfId="0" priority="2" operator="containsText" text="Inefficient">
      <formula>NOT(ISERROR(SEARCH("Inefficient",K17)))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4F24-9C93-4B9C-9735-07A0494D655F}">
  <dimension ref="A1:E150"/>
  <sheetViews>
    <sheetView workbookViewId="0">
      <selection activeCell="A2" sqref="A2"/>
    </sheetView>
  </sheetViews>
  <sheetFormatPr defaultRowHeight="15" x14ac:dyDescent="0.25"/>
  <cols>
    <col min="1" max="1" width="16.85546875" customWidth="1"/>
    <col min="2" max="2" width="12.5703125" customWidth="1"/>
    <col min="3" max="3" width="15.28515625" customWidth="1"/>
    <col min="5" max="5" width="12.7109375" customWidth="1"/>
  </cols>
  <sheetData>
    <row r="1" spans="1:5" ht="18.75" x14ac:dyDescent="0.3">
      <c r="A1" s="69" t="s">
        <v>42</v>
      </c>
    </row>
    <row r="2" spans="1:5" x14ac:dyDescent="0.25">
      <c r="A2" t="str" cm="1">
        <f t="array" ref="A2:E150">_xlfn._xlws.FILTER('Analytical MVP'!A:E,'Analytical MVP'!F:F="Efficient")</f>
        <v>Portfolio Return</v>
      </c>
      <c r="B2" t="str">
        <v>Portfolio Standard Dev</v>
      </c>
      <c r="C2" t="str">
        <v>w1</v>
      </c>
      <c r="D2" t="str">
        <v>w2</v>
      </c>
      <c r="E2" t="str">
        <v>w3</v>
      </c>
    </row>
    <row r="3" spans="1:5" x14ac:dyDescent="0.25">
      <c r="A3">
        <v>-1.1542882608213166E-3</v>
      </c>
      <c r="B3">
        <v>1.5299999999999999E-2</v>
      </c>
      <c r="C3">
        <v>0.3</v>
      </c>
      <c r="D3">
        <v>0.1</v>
      </c>
      <c r="E3">
        <v>0.60000000000000009</v>
      </c>
    </row>
    <row r="4" spans="1:5" x14ac:dyDescent="0.25">
      <c r="A4">
        <v>-1.0457894773544512E-3</v>
      </c>
      <c r="B4">
        <v>1.54E-2</v>
      </c>
      <c r="C4">
        <v>0.3</v>
      </c>
      <c r="D4">
        <v>0.13</v>
      </c>
      <c r="E4">
        <v>0.57000000000000006</v>
      </c>
    </row>
    <row r="5" spans="1:5" x14ac:dyDescent="0.25">
      <c r="A5">
        <v>-9.16947171987548E-4</v>
      </c>
      <c r="B5">
        <v>1.55E-2</v>
      </c>
      <c r="C5">
        <v>0.3</v>
      </c>
      <c r="D5">
        <v>0.14000000000000001</v>
      </c>
      <c r="E5">
        <v>0.56000000000000005</v>
      </c>
    </row>
    <row r="6" spans="1:5" x14ac:dyDescent="0.25">
      <c r="A6">
        <v>-7.8810486662064436E-4</v>
      </c>
      <c r="B6">
        <v>1.5599999999999999E-2</v>
      </c>
      <c r="C6">
        <v>0.28000000000000003</v>
      </c>
      <c r="D6">
        <v>0.13</v>
      </c>
      <c r="E6">
        <v>0.59</v>
      </c>
    </row>
    <row r="7" spans="1:5" x14ac:dyDescent="0.25">
      <c r="A7">
        <v>-1.0053093996756004E-3</v>
      </c>
      <c r="B7">
        <v>1.5699999999999999E-2</v>
      </c>
      <c r="C7">
        <v>0.3</v>
      </c>
      <c r="D7">
        <v>0.17</v>
      </c>
      <c r="E7">
        <v>0.53</v>
      </c>
    </row>
    <row r="8" spans="1:5" x14ac:dyDescent="0.25">
      <c r="A8">
        <v>-8.2221770257526455E-4</v>
      </c>
      <c r="B8">
        <v>1.5800000000000002E-2</v>
      </c>
      <c r="C8">
        <v>0.3</v>
      </c>
      <c r="D8">
        <v>0.18</v>
      </c>
      <c r="E8">
        <v>0.52</v>
      </c>
    </row>
    <row r="9" spans="1:5" x14ac:dyDescent="0.25">
      <c r="A9">
        <v>-7.8153065877518925E-4</v>
      </c>
      <c r="B9">
        <v>1.5900000000000001E-2</v>
      </c>
      <c r="C9">
        <v>0.25</v>
      </c>
      <c r="D9">
        <v>0.01</v>
      </c>
      <c r="E9">
        <v>0.74</v>
      </c>
    </row>
    <row r="10" spans="1:5" x14ac:dyDescent="0.25">
      <c r="A10">
        <v>-8.0208114679645103E-4</v>
      </c>
      <c r="B10">
        <v>1.6E-2</v>
      </c>
      <c r="C10">
        <v>0.3</v>
      </c>
      <c r="D10">
        <v>0.2</v>
      </c>
      <c r="E10">
        <v>0.5</v>
      </c>
    </row>
    <row r="11" spans="1:5" x14ac:dyDescent="0.25">
      <c r="A11">
        <v>-7.7495645092973402E-4</v>
      </c>
      <c r="B11">
        <v>1.61E-2</v>
      </c>
      <c r="C11">
        <v>0.27</v>
      </c>
      <c r="D11">
        <v>-0.03</v>
      </c>
      <c r="E11">
        <v>0.76</v>
      </c>
    </row>
    <row r="12" spans="1:5" x14ac:dyDescent="0.25">
      <c r="A12">
        <v>-7.683822430842788E-4</v>
      </c>
      <c r="B12">
        <v>1.6199999999999999E-2</v>
      </c>
      <c r="C12">
        <v>0.26</v>
      </c>
      <c r="D12">
        <v>0.2</v>
      </c>
      <c r="E12">
        <v>0.54</v>
      </c>
    </row>
    <row r="13" spans="1:5" x14ac:dyDescent="0.25">
      <c r="A13">
        <v>-9.1777503647244357E-4</v>
      </c>
      <c r="B13">
        <v>1.6299999999999999E-2</v>
      </c>
      <c r="C13">
        <v>0.3</v>
      </c>
      <c r="D13">
        <v>0.22</v>
      </c>
      <c r="E13">
        <v>0.48000000000000004</v>
      </c>
    </row>
    <row r="14" spans="1:5" x14ac:dyDescent="0.25">
      <c r="A14">
        <v>-7.6180803523882368E-4</v>
      </c>
      <c r="B14">
        <v>1.6400000000000001E-2</v>
      </c>
      <c r="C14">
        <v>0.18</v>
      </c>
      <c r="D14">
        <v>0.16</v>
      </c>
      <c r="E14">
        <v>0.65999999999999992</v>
      </c>
    </row>
    <row r="15" spans="1:5" x14ac:dyDescent="0.25">
      <c r="A15">
        <v>-8.1626439309348108E-4</v>
      </c>
      <c r="B15">
        <v>1.6500000000000001E-2</v>
      </c>
      <c r="C15">
        <v>0.3</v>
      </c>
      <c r="D15">
        <v>0.24</v>
      </c>
      <c r="E15">
        <v>0.46</v>
      </c>
    </row>
    <row r="16" spans="1:5" x14ac:dyDescent="0.25">
      <c r="A16">
        <v>-7.5523382739336846E-4</v>
      </c>
      <c r="B16">
        <v>1.66E-2</v>
      </c>
      <c r="C16">
        <v>0.2</v>
      </c>
      <c r="D16">
        <v>-0.01</v>
      </c>
      <c r="E16">
        <v>0.81</v>
      </c>
    </row>
    <row r="17" spans="1:5" x14ac:dyDescent="0.25">
      <c r="A17">
        <v>-7.4865961954791323E-4</v>
      </c>
      <c r="B17">
        <v>1.67E-2</v>
      </c>
      <c r="C17">
        <v>0.21</v>
      </c>
      <c r="D17">
        <v>0.22</v>
      </c>
      <c r="E17">
        <v>0.57000000000000006</v>
      </c>
    </row>
    <row r="18" spans="1:5" x14ac:dyDescent="0.25">
      <c r="A18">
        <v>-8.302406732692871E-4</v>
      </c>
      <c r="B18">
        <v>1.6799999999999999E-2</v>
      </c>
      <c r="C18">
        <v>0.3</v>
      </c>
      <c r="D18">
        <v>0.26</v>
      </c>
      <c r="E18">
        <v>0.44</v>
      </c>
    </row>
    <row r="19" spans="1:5" x14ac:dyDescent="0.25">
      <c r="A19">
        <v>-7.4208541170245801E-4</v>
      </c>
      <c r="B19">
        <v>1.6899999999999998E-2</v>
      </c>
      <c r="C19">
        <v>0.15</v>
      </c>
      <c r="D19">
        <v>0.03</v>
      </c>
      <c r="E19">
        <v>0.82</v>
      </c>
    </row>
    <row r="20" spans="1:5" x14ac:dyDescent="0.25">
      <c r="A20">
        <v>-7.3551120385700278E-4</v>
      </c>
      <c r="B20">
        <v>1.7000000000000001E-2</v>
      </c>
      <c r="C20">
        <v>0.13</v>
      </c>
      <c r="D20">
        <v>0.19</v>
      </c>
      <c r="E20">
        <v>0.68</v>
      </c>
    </row>
    <row r="21" spans="1:5" x14ac:dyDescent="0.25">
      <c r="A21">
        <v>-7.357181699782267E-4</v>
      </c>
      <c r="B21">
        <v>1.7100000000000001E-2</v>
      </c>
      <c r="C21">
        <v>0.28000000000000003</v>
      </c>
      <c r="D21">
        <v>0.27</v>
      </c>
      <c r="E21">
        <v>0.44999999999999996</v>
      </c>
    </row>
    <row r="22" spans="1:5" x14ac:dyDescent="0.25">
      <c r="A22">
        <v>-7.2893699601154767E-4</v>
      </c>
      <c r="B22">
        <v>1.72E-2</v>
      </c>
      <c r="C22">
        <v>0.28000000000000003</v>
      </c>
      <c r="D22">
        <v>-0.12</v>
      </c>
      <c r="E22">
        <v>0.84000000000000008</v>
      </c>
    </row>
    <row r="23" spans="1:5" x14ac:dyDescent="0.25">
      <c r="A23">
        <v>-7.2236278816609244E-4</v>
      </c>
      <c r="B23">
        <v>1.7299999999999999E-2</v>
      </c>
      <c r="C23">
        <v>0.1</v>
      </c>
      <c r="D23">
        <v>0.05</v>
      </c>
      <c r="E23">
        <v>0.85</v>
      </c>
    </row>
    <row r="24" spans="1:5" x14ac:dyDescent="0.25">
      <c r="A24">
        <v>-7.1578858032063722E-4</v>
      </c>
      <c r="B24">
        <v>1.7399999999999999E-2</v>
      </c>
      <c r="C24">
        <v>0.14000000000000001</v>
      </c>
      <c r="D24">
        <v>0.25</v>
      </c>
      <c r="E24">
        <v>0.61</v>
      </c>
    </row>
    <row r="25" spans="1:5" x14ac:dyDescent="0.25">
      <c r="A25">
        <v>-7.092143724751821E-4</v>
      </c>
      <c r="B25">
        <v>1.7500000000000002E-2</v>
      </c>
      <c r="C25">
        <v>0.25</v>
      </c>
      <c r="D25">
        <v>0.28999999999999998</v>
      </c>
      <c r="E25">
        <v>0.45999999999999996</v>
      </c>
    </row>
    <row r="26" spans="1:5" x14ac:dyDescent="0.25">
      <c r="A26">
        <v>-7.8401425222987694E-4</v>
      </c>
      <c r="B26">
        <v>1.7600000000000001E-2</v>
      </c>
      <c r="C26">
        <v>0.28000000000000003</v>
      </c>
      <c r="D26">
        <v>0.3</v>
      </c>
      <c r="E26">
        <v>0.41999999999999993</v>
      </c>
    </row>
    <row r="27" spans="1:5" x14ac:dyDescent="0.25">
      <c r="A27">
        <v>-7.0264016462972688E-4</v>
      </c>
      <c r="B27">
        <v>1.77E-2</v>
      </c>
      <c r="C27">
        <v>0.14000000000000001</v>
      </c>
      <c r="D27">
        <v>-0.04</v>
      </c>
      <c r="E27">
        <v>0.9</v>
      </c>
    </row>
    <row r="28" spans="1:5" x14ac:dyDescent="0.25">
      <c r="A28">
        <v>-6.9606595678427165E-4</v>
      </c>
      <c r="B28">
        <v>1.78E-2</v>
      </c>
      <c r="C28">
        <v>0.04</v>
      </c>
      <c r="D28">
        <v>0.14000000000000001</v>
      </c>
      <c r="E28">
        <v>0.82</v>
      </c>
    </row>
    <row r="29" spans="1:5" x14ac:dyDescent="0.25">
      <c r="A29">
        <v>-6.8949174893881654E-4</v>
      </c>
      <c r="B29">
        <v>1.7899999999999999E-2</v>
      </c>
      <c r="C29">
        <v>0.18</v>
      </c>
      <c r="D29">
        <v>0.3</v>
      </c>
      <c r="E29">
        <v>0.52</v>
      </c>
    </row>
    <row r="30" spans="1:5" x14ac:dyDescent="0.25">
      <c r="A30">
        <v>-7.7785397662686944E-4</v>
      </c>
      <c r="B30">
        <v>1.7999999999999999E-2</v>
      </c>
      <c r="C30">
        <v>0.16</v>
      </c>
      <c r="D30">
        <v>0.3</v>
      </c>
      <c r="E30">
        <v>0.53999999999999992</v>
      </c>
    </row>
    <row r="31" spans="1:5" x14ac:dyDescent="0.25">
      <c r="A31">
        <v>-6.8291754109336131E-4</v>
      </c>
      <c r="B31">
        <v>1.8100000000000002E-2</v>
      </c>
      <c r="C31">
        <v>0.09</v>
      </c>
      <c r="D31">
        <v>-0.02</v>
      </c>
      <c r="E31">
        <v>0.93</v>
      </c>
    </row>
    <row r="32" spans="1:5" x14ac:dyDescent="0.25">
      <c r="A32">
        <v>-6.763433332479062E-4</v>
      </c>
      <c r="B32">
        <v>1.8200000000000001E-2</v>
      </c>
      <c r="C32">
        <v>0.01</v>
      </c>
      <c r="D32">
        <v>0.19</v>
      </c>
      <c r="E32">
        <v>0.8</v>
      </c>
    </row>
    <row r="33" spans="1:5" x14ac:dyDescent="0.25">
      <c r="A33">
        <v>-7.4436203903592178E-4</v>
      </c>
      <c r="B33">
        <v>1.83E-2</v>
      </c>
      <c r="C33">
        <v>0.11</v>
      </c>
      <c r="D33">
        <v>0.3</v>
      </c>
      <c r="E33">
        <v>0.59</v>
      </c>
    </row>
    <row r="34" spans="1:5" x14ac:dyDescent="0.25">
      <c r="A34">
        <v>-6.6976912540245097E-4</v>
      </c>
      <c r="B34">
        <v>1.84E-2</v>
      </c>
      <c r="C34">
        <v>0.11</v>
      </c>
      <c r="D34">
        <v>-0.06</v>
      </c>
      <c r="E34">
        <v>0.95000000000000007</v>
      </c>
    </row>
    <row r="35" spans="1:5" x14ac:dyDescent="0.25">
      <c r="A35">
        <v>-6.6319491755699575E-4</v>
      </c>
      <c r="B35">
        <v>1.8499999999999999E-2</v>
      </c>
      <c r="C35">
        <v>-0.01</v>
      </c>
      <c r="D35">
        <v>0.1</v>
      </c>
      <c r="E35">
        <v>0.91</v>
      </c>
    </row>
    <row r="36" spans="1:5" x14ac:dyDescent="0.25">
      <c r="A36">
        <v>-6.7696423161157774E-4</v>
      </c>
      <c r="B36">
        <v>1.8599999999999998E-2</v>
      </c>
      <c r="C36">
        <v>0.06</v>
      </c>
      <c r="D36">
        <v>0.3</v>
      </c>
      <c r="E36">
        <v>0.6399999999999999</v>
      </c>
    </row>
    <row r="37" spans="1:5" x14ac:dyDescent="0.25">
      <c r="A37">
        <v>-6.5662070971154052E-4</v>
      </c>
      <c r="B37">
        <v>1.8700000000000001E-2</v>
      </c>
      <c r="C37">
        <v>0.25</v>
      </c>
      <c r="D37">
        <v>-0.18</v>
      </c>
      <c r="E37">
        <v>0.92999999999999994</v>
      </c>
    </row>
    <row r="38" spans="1:5" x14ac:dyDescent="0.25">
      <c r="A38">
        <v>-6.500465018660853E-4</v>
      </c>
      <c r="B38">
        <v>1.8800000000000001E-2</v>
      </c>
      <c r="C38">
        <v>0</v>
      </c>
      <c r="D38">
        <v>0.03</v>
      </c>
      <c r="E38">
        <v>0.97</v>
      </c>
    </row>
    <row r="39" spans="1:5" x14ac:dyDescent="0.25">
      <c r="A39">
        <v>-6.4347229402063008E-4</v>
      </c>
      <c r="B39">
        <v>1.89E-2</v>
      </c>
      <c r="C39">
        <v>0</v>
      </c>
      <c r="D39">
        <v>0.28000000000000003</v>
      </c>
      <c r="E39">
        <v>0.72</v>
      </c>
    </row>
    <row r="40" spans="1:5" x14ac:dyDescent="0.25">
      <c r="A40">
        <v>-7.5895921757539945E-4</v>
      </c>
      <c r="B40">
        <v>1.9E-2</v>
      </c>
      <c r="C40">
        <v>0.01</v>
      </c>
      <c r="D40">
        <v>0.3</v>
      </c>
      <c r="E40">
        <v>0.69</v>
      </c>
    </row>
    <row r="41" spans="1:5" x14ac:dyDescent="0.25">
      <c r="A41">
        <v>-6.3689808617517507E-4</v>
      </c>
      <c r="B41">
        <v>1.9099999999999999E-2</v>
      </c>
      <c r="C41">
        <v>0.02</v>
      </c>
      <c r="D41">
        <v>-0.02</v>
      </c>
      <c r="E41">
        <v>1</v>
      </c>
    </row>
    <row r="42" spans="1:5" x14ac:dyDescent="0.25">
      <c r="A42">
        <v>-6.3032387832971984E-4</v>
      </c>
      <c r="B42">
        <v>1.9199999999999998E-2</v>
      </c>
      <c r="C42">
        <v>-7.0000000000000007E-2</v>
      </c>
      <c r="D42">
        <v>0.22</v>
      </c>
      <c r="E42">
        <v>0.85000000000000009</v>
      </c>
    </row>
    <row r="43" spans="1:5" x14ac:dyDescent="0.25">
      <c r="A43">
        <v>-7.4581080188448911E-4</v>
      </c>
      <c r="B43">
        <v>1.9300000000000001E-2</v>
      </c>
      <c r="C43">
        <v>-0.03</v>
      </c>
      <c r="D43">
        <v>0.3</v>
      </c>
      <c r="E43">
        <v>0.73</v>
      </c>
    </row>
    <row r="44" spans="1:5" x14ac:dyDescent="0.25">
      <c r="A44">
        <v>-6.2374967048426462E-4</v>
      </c>
      <c r="B44">
        <v>1.9400000000000001E-2</v>
      </c>
      <c r="C44">
        <v>0.02</v>
      </c>
      <c r="D44">
        <v>-0.04</v>
      </c>
      <c r="E44">
        <v>1.02</v>
      </c>
    </row>
    <row r="45" spans="1:5" x14ac:dyDescent="0.25">
      <c r="A45">
        <v>-6.171754626388094E-4</v>
      </c>
      <c r="B45">
        <v>1.95E-2</v>
      </c>
      <c r="C45">
        <v>-0.1</v>
      </c>
      <c r="D45">
        <v>0.18</v>
      </c>
      <c r="E45">
        <v>0.92</v>
      </c>
    </row>
    <row r="46" spans="1:5" x14ac:dyDescent="0.25">
      <c r="A46">
        <v>-6.9197534239350412E-4</v>
      </c>
      <c r="B46">
        <v>1.9599999999999999E-2</v>
      </c>
      <c r="C46">
        <v>-0.06</v>
      </c>
      <c r="D46">
        <v>0.3</v>
      </c>
      <c r="E46">
        <v>0.76</v>
      </c>
    </row>
    <row r="47" spans="1:5" x14ac:dyDescent="0.25">
      <c r="A47">
        <v>-6.1060125479335417E-4</v>
      </c>
      <c r="B47">
        <v>1.9699999999999999E-2</v>
      </c>
      <c r="C47">
        <v>0.05</v>
      </c>
      <c r="D47">
        <v>-0.09</v>
      </c>
      <c r="E47">
        <v>1.04</v>
      </c>
    </row>
    <row r="48" spans="1:5" x14ac:dyDescent="0.25">
      <c r="A48">
        <v>-6.0402704694789906E-4</v>
      </c>
      <c r="B48">
        <v>1.9800000000000002E-2</v>
      </c>
      <c r="C48">
        <v>-0.12</v>
      </c>
      <c r="D48">
        <v>0.16</v>
      </c>
      <c r="E48">
        <v>0.96</v>
      </c>
    </row>
    <row r="49" spans="1:5" x14ac:dyDescent="0.25">
      <c r="A49">
        <v>-6.5848340480255646E-4</v>
      </c>
      <c r="B49">
        <v>1.9900000000000001E-2</v>
      </c>
      <c r="C49">
        <v>-0.09</v>
      </c>
      <c r="D49">
        <v>0.3</v>
      </c>
      <c r="E49">
        <v>0.78999999999999992</v>
      </c>
    </row>
    <row r="50" spans="1:5" x14ac:dyDescent="0.25">
      <c r="A50">
        <v>-5.9745283910244383E-4</v>
      </c>
      <c r="B50">
        <v>0.02</v>
      </c>
      <c r="C50">
        <v>0.09</v>
      </c>
      <c r="D50">
        <v>-0.14000000000000001</v>
      </c>
      <c r="E50">
        <v>1.05</v>
      </c>
    </row>
    <row r="51" spans="1:5" x14ac:dyDescent="0.25">
      <c r="A51">
        <v>-5.9087863125698871E-4</v>
      </c>
      <c r="B51">
        <v>2.01E-2</v>
      </c>
      <c r="C51">
        <v>-0.1</v>
      </c>
      <c r="D51">
        <v>0.05</v>
      </c>
      <c r="E51">
        <v>1.05</v>
      </c>
    </row>
    <row r="52" spans="1:5" x14ac:dyDescent="0.25">
      <c r="A52">
        <v>-6.4533498911164601E-4</v>
      </c>
      <c r="B52">
        <v>2.0199999999999999E-2</v>
      </c>
      <c r="C52">
        <v>-0.12</v>
      </c>
      <c r="D52">
        <v>0.3</v>
      </c>
      <c r="E52">
        <v>0.82</v>
      </c>
    </row>
    <row r="53" spans="1:5" x14ac:dyDescent="0.25">
      <c r="A53">
        <v>-5.8430442341153349E-4</v>
      </c>
      <c r="B53">
        <v>2.0299999999999999E-2</v>
      </c>
      <c r="C53">
        <v>0.1</v>
      </c>
      <c r="D53">
        <v>-0.16</v>
      </c>
      <c r="E53">
        <v>1.0599999999999998</v>
      </c>
    </row>
    <row r="54" spans="1:5" x14ac:dyDescent="0.25">
      <c r="A54">
        <v>-5.7773021556607816E-4</v>
      </c>
      <c r="B54">
        <v>2.0400000000000001E-2</v>
      </c>
      <c r="C54">
        <v>-0.12</v>
      </c>
      <c r="D54">
        <v>0.05</v>
      </c>
      <c r="E54">
        <v>1.0699999999999998</v>
      </c>
    </row>
    <row r="55" spans="1:5" x14ac:dyDescent="0.25">
      <c r="A55">
        <v>-6.1862422548737738E-4</v>
      </c>
      <c r="B55">
        <v>2.0500000000000001E-2</v>
      </c>
      <c r="C55">
        <v>-0.15</v>
      </c>
      <c r="D55">
        <v>0.28999999999999998</v>
      </c>
      <c r="E55">
        <v>0.86</v>
      </c>
    </row>
    <row r="56" spans="1:5" x14ac:dyDescent="0.25">
      <c r="A56">
        <v>-5.7115600772062304E-4</v>
      </c>
      <c r="B56">
        <v>2.06E-2</v>
      </c>
      <c r="C56">
        <v>0.17</v>
      </c>
      <c r="D56">
        <v>-0.22</v>
      </c>
      <c r="E56">
        <v>1.05</v>
      </c>
    </row>
    <row r="57" spans="1:5" x14ac:dyDescent="0.25">
      <c r="A57">
        <v>-5.6458179987516782E-4</v>
      </c>
      <c r="B57">
        <v>2.07E-2</v>
      </c>
      <c r="C57">
        <v>-0.11</v>
      </c>
      <c r="D57">
        <v>0.01</v>
      </c>
      <c r="E57">
        <v>1.1000000000000001</v>
      </c>
    </row>
    <row r="58" spans="1:5" x14ac:dyDescent="0.25">
      <c r="A58">
        <v>-5.5800759202971259E-4</v>
      </c>
      <c r="B58">
        <v>2.0799999999999999E-2</v>
      </c>
      <c r="C58">
        <v>-0.18</v>
      </c>
      <c r="D58">
        <v>0.28999999999999998</v>
      </c>
      <c r="E58">
        <v>0.8899999999999999</v>
      </c>
    </row>
    <row r="59" spans="1:5" x14ac:dyDescent="0.25">
      <c r="A59">
        <v>-6.6671334161780293E-4</v>
      </c>
      <c r="B59">
        <v>2.0899999999999998E-2</v>
      </c>
      <c r="C59">
        <v>-0.18</v>
      </c>
      <c r="D59">
        <v>0.3</v>
      </c>
      <c r="E59">
        <v>0.87999999999999989</v>
      </c>
    </row>
    <row r="60" spans="1:5" x14ac:dyDescent="0.25">
      <c r="A60">
        <v>-5.5143338418425748E-4</v>
      </c>
      <c r="B60">
        <v>2.1000000000000001E-2</v>
      </c>
      <c r="C60">
        <v>-0.06</v>
      </c>
      <c r="D60">
        <v>-7.0000000000000007E-2</v>
      </c>
      <c r="E60">
        <v>1.1300000000000001</v>
      </c>
    </row>
    <row r="61" spans="1:5" x14ac:dyDescent="0.25">
      <c r="A61">
        <v>-5.4485917633880225E-4</v>
      </c>
      <c r="B61">
        <v>2.1100000000000001E-2</v>
      </c>
      <c r="C61">
        <v>-0.22</v>
      </c>
      <c r="D61">
        <v>0.22</v>
      </c>
      <c r="E61">
        <v>1</v>
      </c>
    </row>
    <row r="62" spans="1:5" x14ac:dyDescent="0.25">
      <c r="A62">
        <v>-6.4678375196021334E-4</v>
      </c>
      <c r="B62">
        <v>2.12E-2</v>
      </c>
      <c r="C62">
        <v>-0.21</v>
      </c>
      <c r="D62">
        <v>0.28999999999999998</v>
      </c>
      <c r="E62">
        <v>0.91999999999999993</v>
      </c>
    </row>
    <row r="63" spans="1:5" x14ac:dyDescent="0.25">
      <c r="A63">
        <v>-5.3828496849334714E-4</v>
      </c>
      <c r="B63">
        <v>2.1299999999999999E-2</v>
      </c>
      <c r="C63">
        <v>-0.03</v>
      </c>
      <c r="D63">
        <v>-0.11</v>
      </c>
      <c r="E63">
        <v>1.1400000000000001</v>
      </c>
    </row>
    <row r="64" spans="1:5" x14ac:dyDescent="0.25">
      <c r="A64">
        <v>-5.3171076064789191E-4</v>
      </c>
      <c r="B64">
        <v>2.1399999999999999E-2</v>
      </c>
      <c r="C64">
        <v>-0.24</v>
      </c>
      <c r="D64">
        <v>0.19</v>
      </c>
      <c r="E64">
        <v>1.05</v>
      </c>
    </row>
    <row r="65" spans="1:5" x14ac:dyDescent="0.25">
      <c r="A65">
        <v>-6.2007298833594482E-4</v>
      </c>
      <c r="B65">
        <v>2.1499999999999998E-2</v>
      </c>
      <c r="C65">
        <v>-0.23</v>
      </c>
      <c r="D65">
        <v>0.3</v>
      </c>
      <c r="E65">
        <v>0.92999999999999994</v>
      </c>
    </row>
    <row r="66" spans="1:5" x14ac:dyDescent="0.25">
      <c r="A66">
        <v>-5.2513655280243669E-4</v>
      </c>
      <c r="B66">
        <v>2.1600000000000001E-2</v>
      </c>
      <c r="C66">
        <v>-0.06</v>
      </c>
      <c r="D66">
        <v>-0.1</v>
      </c>
      <c r="E66">
        <v>1.1600000000000001</v>
      </c>
    </row>
    <row r="67" spans="1:5" x14ac:dyDescent="0.25">
      <c r="A67">
        <v>-5.1856234495698157E-4</v>
      </c>
      <c r="B67">
        <v>2.1700000000000001E-2</v>
      </c>
      <c r="C67">
        <v>-0.26</v>
      </c>
      <c r="D67">
        <v>0.19</v>
      </c>
      <c r="E67">
        <v>1.07</v>
      </c>
    </row>
    <row r="68" spans="1:5" x14ac:dyDescent="0.25">
      <c r="A68">
        <v>-6.0014339867835523E-4</v>
      </c>
      <c r="B68">
        <v>2.18E-2</v>
      </c>
      <c r="C68">
        <v>-0.25</v>
      </c>
      <c r="D68">
        <v>0.3</v>
      </c>
      <c r="E68">
        <v>0.95</v>
      </c>
    </row>
    <row r="69" spans="1:5" x14ac:dyDescent="0.25">
      <c r="A69">
        <v>-5.1198813711152635E-4</v>
      </c>
      <c r="B69">
        <v>2.1899999999999999E-2</v>
      </c>
      <c r="C69">
        <v>-7.0000000000000007E-2</v>
      </c>
      <c r="D69">
        <v>-0.11</v>
      </c>
      <c r="E69">
        <v>1.1800000000000002</v>
      </c>
    </row>
    <row r="70" spans="1:5" x14ac:dyDescent="0.25">
      <c r="A70">
        <v>-5.0541392926607112E-4</v>
      </c>
      <c r="B70">
        <v>2.1999999999999999E-2</v>
      </c>
      <c r="C70">
        <v>-0.28000000000000003</v>
      </c>
      <c r="D70">
        <v>0.21</v>
      </c>
      <c r="E70">
        <v>1.07</v>
      </c>
    </row>
    <row r="71" spans="1:5" x14ac:dyDescent="0.25">
      <c r="A71">
        <v>-6.3446320075419868E-4</v>
      </c>
      <c r="B71">
        <v>2.2100000000000002E-2</v>
      </c>
      <c r="C71">
        <v>-0.28000000000000003</v>
      </c>
      <c r="D71">
        <v>0.28999999999999998</v>
      </c>
      <c r="E71">
        <v>0.99</v>
      </c>
    </row>
    <row r="72" spans="1:5" x14ac:dyDescent="0.25">
      <c r="A72">
        <v>-4.988397214206159E-4</v>
      </c>
      <c r="B72">
        <v>2.2200000000000001E-2</v>
      </c>
      <c r="C72">
        <v>-0.15</v>
      </c>
      <c r="D72">
        <v>-0.05</v>
      </c>
      <c r="E72">
        <v>1.2</v>
      </c>
    </row>
    <row r="73" spans="1:5" x14ac:dyDescent="0.25">
      <c r="A73">
        <v>-4.9226551357516078E-4</v>
      </c>
      <c r="B73">
        <v>2.23E-2</v>
      </c>
      <c r="C73">
        <v>-0.3</v>
      </c>
      <c r="D73">
        <v>0.26</v>
      </c>
      <c r="E73">
        <v>1.04</v>
      </c>
    </row>
    <row r="74" spans="1:5" x14ac:dyDescent="0.25">
      <c r="A74">
        <v>-6.5522065489668374E-4</v>
      </c>
      <c r="B74">
        <v>2.24E-2</v>
      </c>
      <c r="C74">
        <v>-0.3</v>
      </c>
      <c r="D74">
        <v>0.3</v>
      </c>
      <c r="E74">
        <v>1</v>
      </c>
    </row>
    <row r="75" spans="1:5" x14ac:dyDescent="0.25">
      <c r="A75">
        <v>-4.8569130572970556E-4</v>
      </c>
      <c r="B75">
        <v>2.2499999999999999E-2</v>
      </c>
      <c r="C75">
        <v>-0.25</v>
      </c>
      <c r="D75">
        <v>0.05</v>
      </c>
      <c r="E75">
        <v>1.2</v>
      </c>
    </row>
    <row r="76" spans="1:5" x14ac:dyDescent="0.25">
      <c r="A76">
        <v>-6.9611466481798241E-4</v>
      </c>
      <c r="B76">
        <v>2.2599999999999999E-2</v>
      </c>
      <c r="C76">
        <v>-0.3</v>
      </c>
      <c r="D76">
        <v>0.13</v>
      </c>
      <c r="E76">
        <v>1.17</v>
      </c>
    </row>
    <row r="77" spans="1:5" x14ac:dyDescent="0.25">
      <c r="A77">
        <v>-4.9267944581760851E-4</v>
      </c>
      <c r="B77">
        <v>2.2700000000000001E-2</v>
      </c>
      <c r="C77">
        <v>-0.3</v>
      </c>
      <c r="D77">
        <v>0.12</v>
      </c>
      <c r="E77">
        <v>1.18</v>
      </c>
    </row>
    <row r="78" spans="1:5" x14ac:dyDescent="0.25">
      <c r="A78">
        <v>-4.7911709788425033E-4</v>
      </c>
      <c r="B78">
        <v>2.2800000000000001E-2</v>
      </c>
      <c r="C78">
        <v>0.1</v>
      </c>
      <c r="D78">
        <v>-0.27</v>
      </c>
      <c r="E78">
        <v>1.17</v>
      </c>
    </row>
    <row r="79" spans="1:5" x14ac:dyDescent="0.25">
      <c r="A79">
        <v>-5.5391697763894517E-4</v>
      </c>
      <c r="B79">
        <v>2.29E-2</v>
      </c>
      <c r="C79">
        <v>-0.3</v>
      </c>
      <c r="D79">
        <v>0.09</v>
      </c>
      <c r="E79">
        <v>1.21</v>
      </c>
    </row>
    <row r="80" spans="1:5" x14ac:dyDescent="0.25">
      <c r="A80">
        <v>-4.7254289003879522E-4</v>
      </c>
      <c r="B80">
        <v>2.3E-2</v>
      </c>
      <c r="C80">
        <v>-0.1</v>
      </c>
      <c r="D80">
        <v>-0.14000000000000001</v>
      </c>
      <c r="E80">
        <v>1.2400000000000002</v>
      </c>
    </row>
    <row r="81" spans="1:5" x14ac:dyDescent="0.25">
      <c r="A81">
        <v>-6.4906037929367646E-4</v>
      </c>
      <c r="B81">
        <v>2.3099999999999999E-2</v>
      </c>
      <c r="C81">
        <v>-0.3</v>
      </c>
      <c r="D81">
        <v>7.0000000000000007E-2</v>
      </c>
      <c r="E81">
        <v>1.23</v>
      </c>
    </row>
    <row r="82" spans="1:5" x14ac:dyDescent="0.25">
      <c r="A82">
        <v>-4.7274985616001914E-4</v>
      </c>
      <c r="B82">
        <v>2.3199999999999998E-2</v>
      </c>
      <c r="C82">
        <v>-0.3</v>
      </c>
      <c r="D82">
        <v>0.06</v>
      </c>
      <c r="E82">
        <v>1.24</v>
      </c>
    </row>
    <row r="83" spans="1:5" x14ac:dyDescent="0.25">
      <c r="A83">
        <v>-4.6596868219333999E-4</v>
      </c>
      <c r="B83">
        <v>2.3300000000000001E-2</v>
      </c>
      <c r="C83">
        <v>0.12</v>
      </c>
      <c r="D83">
        <v>-0.3</v>
      </c>
      <c r="E83">
        <v>1.1800000000000002</v>
      </c>
    </row>
    <row r="84" spans="1:5" x14ac:dyDescent="0.25">
      <c r="A84">
        <v>-5.7467443178143012E-4</v>
      </c>
      <c r="B84">
        <v>2.3400000000000001E-2</v>
      </c>
      <c r="C84">
        <v>-0.3</v>
      </c>
      <c r="D84">
        <v>0.04</v>
      </c>
      <c r="E84">
        <v>1.26</v>
      </c>
    </row>
    <row r="85" spans="1:5" x14ac:dyDescent="0.25">
      <c r="A85">
        <v>-4.5939447434788477E-4</v>
      </c>
      <c r="B85">
        <v>2.35E-2</v>
      </c>
      <c r="C85">
        <v>-0.22</v>
      </c>
      <c r="D85">
        <v>-0.06</v>
      </c>
      <c r="E85">
        <v>1.28</v>
      </c>
    </row>
    <row r="86" spans="1:5" x14ac:dyDescent="0.25">
      <c r="A86">
        <v>-7.308483991362736E-4</v>
      </c>
      <c r="B86">
        <v>2.3599999999999999E-2</v>
      </c>
      <c r="C86">
        <v>-0.3</v>
      </c>
      <c r="D86">
        <v>0.03</v>
      </c>
      <c r="E86">
        <v>1.27</v>
      </c>
    </row>
    <row r="87" spans="1:5" x14ac:dyDescent="0.25">
      <c r="A87">
        <v>-5.6810022393597511E-4</v>
      </c>
      <c r="B87">
        <v>2.3699999999999999E-2</v>
      </c>
      <c r="C87">
        <v>-0.3</v>
      </c>
      <c r="D87">
        <v>0.02</v>
      </c>
      <c r="E87">
        <v>1.28</v>
      </c>
    </row>
    <row r="88" spans="1:5" x14ac:dyDescent="0.25">
      <c r="A88">
        <v>-4.5282026650242965E-4</v>
      </c>
      <c r="B88">
        <v>2.3800000000000002E-2</v>
      </c>
      <c r="C88">
        <v>-0.28999999999999998</v>
      </c>
      <c r="D88">
        <v>0</v>
      </c>
      <c r="E88">
        <v>1.29</v>
      </c>
    </row>
    <row r="89" spans="1:5" x14ac:dyDescent="0.25">
      <c r="A89">
        <v>-7.1749301732413934E-4</v>
      </c>
      <c r="B89">
        <v>2.3900000000000001E-2</v>
      </c>
      <c r="C89">
        <v>-0.28999999999999998</v>
      </c>
      <c r="D89">
        <v>-0.01</v>
      </c>
      <c r="E89">
        <v>1.3</v>
      </c>
    </row>
    <row r="90" spans="1:5" x14ac:dyDescent="0.25">
      <c r="A90">
        <v>-5.8865071195723625E-4</v>
      </c>
      <c r="B90">
        <v>2.4E-2</v>
      </c>
      <c r="C90">
        <v>-0.3</v>
      </c>
      <c r="D90">
        <v>0</v>
      </c>
      <c r="E90">
        <v>1.3</v>
      </c>
    </row>
    <row r="91" spans="1:5" x14ac:dyDescent="0.25">
      <c r="A91">
        <v>-4.665895805570117E-4</v>
      </c>
      <c r="B91">
        <v>2.41E-2</v>
      </c>
      <c r="C91">
        <v>-0.3</v>
      </c>
      <c r="D91">
        <v>-0.01</v>
      </c>
      <c r="E91">
        <v>1.31</v>
      </c>
    </row>
    <row r="92" spans="1:5" x14ac:dyDescent="0.25">
      <c r="A92">
        <v>-4.4624605865697443E-4</v>
      </c>
      <c r="B92">
        <v>2.4199999999999999E-2</v>
      </c>
      <c r="C92">
        <v>0.01</v>
      </c>
      <c r="D92">
        <v>-0.27</v>
      </c>
      <c r="E92">
        <v>1.26</v>
      </c>
    </row>
    <row r="93" spans="1:5" x14ac:dyDescent="0.25">
      <c r="A93">
        <v>-6.5666941774525128E-4</v>
      </c>
      <c r="B93">
        <v>2.4299999999999999E-2</v>
      </c>
      <c r="C93">
        <v>-0.3</v>
      </c>
      <c r="D93">
        <v>-0.02</v>
      </c>
      <c r="E93">
        <v>1.32</v>
      </c>
    </row>
    <row r="94" spans="1:5" x14ac:dyDescent="0.25">
      <c r="A94">
        <v>-5.2104593841166915E-4</v>
      </c>
      <c r="B94">
        <v>2.4400000000000002E-2</v>
      </c>
      <c r="C94">
        <v>-0.3</v>
      </c>
      <c r="D94">
        <v>-0.03</v>
      </c>
      <c r="E94">
        <v>1.33</v>
      </c>
    </row>
    <row r="95" spans="1:5" x14ac:dyDescent="0.25">
      <c r="A95">
        <v>-4.396718508115192E-4</v>
      </c>
      <c r="B95">
        <v>2.4500000000000001E-2</v>
      </c>
      <c r="C95">
        <v>-0.17</v>
      </c>
      <c r="D95">
        <v>-0.16</v>
      </c>
      <c r="E95">
        <v>1.3299999999999998</v>
      </c>
    </row>
    <row r="96" spans="1:5" x14ac:dyDescent="0.25">
      <c r="A96">
        <v>-6.9756342766654975E-4</v>
      </c>
      <c r="B96">
        <v>2.46E-2</v>
      </c>
      <c r="C96">
        <v>-0.3</v>
      </c>
      <c r="D96">
        <v>-0.04</v>
      </c>
      <c r="E96">
        <v>1.34</v>
      </c>
    </row>
    <row r="97" spans="1:5" x14ac:dyDescent="0.25">
      <c r="A97">
        <v>-5.8906464419968398E-4</v>
      </c>
      <c r="B97">
        <v>2.47E-2</v>
      </c>
      <c r="C97">
        <v>-0.3</v>
      </c>
      <c r="D97">
        <v>-0.05</v>
      </c>
      <c r="E97">
        <v>1.35</v>
      </c>
    </row>
    <row r="98" spans="1:5" x14ac:dyDescent="0.25">
      <c r="A98">
        <v>-5.0769055659953489E-4</v>
      </c>
      <c r="B98">
        <v>2.4799999999999999E-2</v>
      </c>
      <c r="C98">
        <v>-0.23</v>
      </c>
      <c r="D98">
        <v>-0.12</v>
      </c>
      <c r="E98">
        <v>1.35</v>
      </c>
    </row>
    <row r="99" spans="1:5" x14ac:dyDescent="0.25">
      <c r="A99">
        <v>-4.3309764296606403E-4</v>
      </c>
      <c r="B99">
        <v>2.4899999999999999E-2</v>
      </c>
      <c r="C99">
        <v>-0.18</v>
      </c>
      <c r="D99">
        <v>-0.17</v>
      </c>
      <c r="E99">
        <v>1.3499999999999999</v>
      </c>
    </row>
    <row r="100" spans="1:5" x14ac:dyDescent="0.25">
      <c r="A100">
        <v>-7.1133274172113195E-4</v>
      </c>
      <c r="B100">
        <v>2.5000000000000001E-2</v>
      </c>
      <c r="C100">
        <v>-0.23</v>
      </c>
      <c r="D100">
        <v>-0.13</v>
      </c>
      <c r="E100">
        <v>1.3599999999999999</v>
      </c>
    </row>
    <row r="101" spans="1:5" x14ac:dyDescent="0.25">
      <c r="A101">
        <v>-5.9605278428758704E-4</v>
      </c>
      <c r="B101">
        <v>2.5100000000000001E-2</v>
      </c>
      <c r="C101">
        <v>-0.3</v>
      </c>
      <c r="D101">
        <v>-7.0000000000000007E-2</v>
      </c>
      <c r="E101">
        <v>1.37</v>
      </c>
    </row>
    <row r="102" spans="1:5" x14ac:dyDescent="0.25">
      <c r="A102">
        <v>-5.2145987065411689E-4</v>
      </c>
      <c r="B102">
        <v>2.52E-2</v>
      </c>
      <c r="C102">
        <v>-0.3</v>
      </c>
      <c r="D102">
        <v>-0.08</v>
      </c>
      <c r="E102">
        <v>1.3800000000000001</v>
      </c>
    </row>
    <row r="103" spans="1:5" x14ac:dyDescent="0.25">
      <c r="A103">
        <v>-4.2652343512060886E-4</v>
      </c>
      <c r="B103">
        <v>2.53E-2</v>
      </c>
      <c r="C103">
        <v>-0.27</v>
      </c>
      <c r="D103">
        <v>-0.11</v>
      </c>
      <c r="E103">
        <v>1.3800000000000001</v>
      </c>
    </row>
    <row r="104" spans="1:5" x14ac:dyDescent="0.25">
      <c r="A104">
        <v>-7.3188322974239309E-4</v>
      </c>
      <c r="B104">
        <v>2.5399999999999999E-2</v>
      </c>
      <c r="C104">
        <v>-0.3</v>
      </c>
      <c r="D104">
        <v>-0.09</v>
      </c>
      <c r="E104">
        <v>1.3900000000000001</v>
      </c>
    </row>
    <row r="105" spans="1:5" x14ac:dyDescent="0.25">
      <c r="A105">
        <v>-6.5050914214224379E-4</v>
      </c>
      <c r="B105">
        <v>2.5499999999999998E-2</v>
      </c>
      <c r="C105">
        <v>-0.27</v>
      </c>
      <c r="D105">
        <v>-0.12</v>
      </c>
      <c r="E105">
        <v>1.3900000000000001</v>
      </c>
    </row>
    <row r="106" spans="1:5" x14ac:dyDescent="0.25">
      <c r="A106">
        <v>-5.691350545420946E-4</v>
      </c>
      <c r="B106">
        <v>2.5600000000000001E-2</v>
      </c>
      <c r="C106">
        <v>-0.3</v>
      </c>
      <c r="D106">
        <v>-0.1</v>
      </c>
      <c r="E106">
        <v>1.4000000000000001</v>
      </c>
    </row>
    <row r="107" spans="1:5" x14ac:dyDescent="0.25">
      <c r="A107">
        <v>-5.0132331487530359E-4</v>
      </c>
      <c r="B107">
        <v>2.5700000000000001E-2</v>
      </c>
      <c r="C107">
        <v>-0.27</v>
      </c>
      <c r="D107">
        <v>-0.13</v>
      </c>
      <c r="E107">
        <v>1.4</v>
      </c>
    </row>
    <row r="108" spans="1:5" x14ac:dyDescent="0.25">
      <c r="A108">
        <v>-4.1994922727515364E-4</v>
      </c>
      <c r="B108">
        <v>2.58E-2</v>
      </c>
      <c r="C108">
        <v>-0.24</v>
      </c>
      <c r="D108">
        <v>-0.16</v>
      </c>
      <c r="E108">
        <v>1.4</v>
      </c>
    </row>
    <row r="109" spans="1:5" x14ac:dyDescent="0.25">
      <c r="A109">
        <v>-7.3209019586361625E-4</v>
      </c>
      <c r="B109">
        <v>2.5899999999999999E-2</v>
      </c>
      <c r="C109">
        <v>-0.27</v>
      </c>
      <c r="D109">
        <v>-0.14000000000000001</v>
      </c>
      <c r="E109">
        <v>1.4100000000000001</v>
      </c>
    </row>
    <row r="110" spans="1:5" x14ac:dyDescent="0.25">
      <c r="A110">
        <v>-6.6427845619682524E-4</v>
      </c>
      <c r="B110">
        <v>2.5999999999999999E-2</v>
      </c>
      <c r="C110">
        <v>-0.3</v>
      </c>
      <c r="D110">
        <v>-0.12</v>
      </c>
      <c r="E110">
        <v>1.4200000000000002</v>
      </c>
    </row>
    <row r="111" spans="1:5" x14ac:dyDescent="0.25">
      <c r="A111">
        <v>-5.9646671653003423E-4</v>
      </c>
      <c r="B111">
        <v>2.6100000000000002E-2</v>
      </c>
      <c r="C111">
        <v>-0.27</v>
      </c>
      <c r="D111">
        <v>-0.15</v>
      </c>
      <c r="E111">
        <v>1.42</v>
      </c>
    </row>
    <row r="112" spans="1:5" x14ac:dyDescent="0.25">
      <c r="A112">
        <v>-5.2187380289656408E-4</v>
      </c>
      <c r="B112">
        <v>2.6200000000000001E-2</v>
      </c>
      <c r="C112">
        <v>-0.3</v>
      </c>
      <c r="D112">
        <v>-0.13</v>
      </c>
      <c r="E112">
        <v>1.43</v>
      </c>
    </row>
    <row r="113" spans="1:5" x14ac:dyDescent="0.25">
      <c r="A113">
        <v>-4.5406206322977307E-4</v>
      </c>
      <c r="B113">
        <v>2.63E-2</v>
      </c>
      <c r="C113">
        <v>-0.27</v>
      </c>
      <c r="D113">
        <v>-0.16</v>
      </c>
      <c r="E113">
        <v>1.43</v>
      </c>
    </row>
    <row r="114" spans="1:5" x14ac:dyDescent="0.25">
      <c r="A114">
        <v>-4.1337501942969777E-4</v>
      </c>
      <c r="B114">
        <v>2.64E-2</v>
      </c>
      <c r="C114">
        <v>-0.2</v>
      </c>
      <c r="D114">
        <v>-0.22</v>
      </c>
      <c r="E114">
        <v>1.42</v>
      </c>
    </row>
    <row r="115" spans="1:5" x14ac:dyDescent="0.25">
      <c r="A115">
        <v>-7.2551598801816103E-4</v>
      </c>
      <c r="B115">
        <v>2.6499999999999999E-2</v>
      </c>
      <c r="C115">
        <v>-0.28000000000000003</v>
      </c>
      <c r="D115">
        <v>-0.16</v>
      </c>
      <c r="E115">
        <v>1.44</v>
      </c>
    </row>
    <row r="116" spans="1:5" x14ac:dyDescent="0.25">
      <c r="A116">
        <v>-6.6448542231804916E-4</v>
      </c>
      <c r="B116">
        <v>2.6599999999999999E-2</v>
      </c>
      <c r="C116">
        <v>-0.3</v>
      </c>
      <c r="D116">
        <v>-0.15</v>
      </c>
      <c r="E116">
        <v>1.45</v>
      </c>
    </row>
    <row r="117" spans="1:5" x14ac:dyDescent="0.25">
      <c r="A117">
        <v>-6.1023603058461633E-4</v>
      </c>
      <c r="B117">
        <v>2.6700000000000002E-2</v>
      </c>
      <c r="C117">
        <v>-0.28000000000000003</v>
      </c>
      <c r="D117">
        <v>-0.17</v>
      </c>
      <c r="E117">
        <v>1.45</v>
      </c>
    </row>
    <row r="118" spans="1:5" x14ac:dyDescent="0.25">
      <c r="A118">
        <v>-5.4242429091782532E-4</v>
      </c>
      <c r="B118">
        <v>2.6800000000000001E-2</v>
      </c>
      <c r="C118">
        <v>-0.3</v>
      </c>
      <c r="D118">
        <v>-0.16</v>
      </c>
      <c r="E118">
        <v>1.46</v>
      </c>
    </row>
    <row r="119" spans="1:5" x14ac:dyDescent="0.25">
      <c r="A119">
        <v>-4.813937252177134E-4</v>
      </c>
      <c r="B119">
        <v>2.69E-2</v>
      </c>
      <c r="C119">
        <v>-0.28000000000000003</v>
      </c>
      <c r="D119">
        <v>-0.18</v>
      </c>
      <c r="E119">
        <v>1.46</v>
      </c>
    </row>
    <row r="120" spans="1:5" x14ac:dyDescent="0.25">
      <c r="A120">
        <v>-4.2714433348427981E-4</v>
      </c>
      <c r="B120">
        <v>2.7E-2</v>
      </c>
      <c r="C120">
        <v>-0.3</v>
      </c>
      <c r="D120">
        <v>-0.17</v>
      </c>
      <c r="E120">
        <v>1.47</v>
      </c>
    </row>
    <row r="121" spans="1:5" x14ac:dyDescent="0.25">
      <c r="A121">
        <v>-4.0680081158424259E-4</v>
      </c>
      <c r="B121">
        <v>2.7099999999999999E-2</v>
      </c>
      <c r="C121">
        <v>-0.2</v>
      </c>
      <c r="D121">
        <v>-0.25</v>
      </c>
      <c r="E121">
        <v>1.45</v>
      </c>
    </row>
    <row r="122" spans="1:5" x14ac:dyDescent="0.25">
      <c r="A122">
        <v>-7.3928530207274324E-4</v>
      </c>
      <c r="B122">
        <v>2.7199999999999998E-2</v>
      </c>
      <c r="C122">
        <v>-0.3</v>
      </c>
      <c r="D122">
        <v>-0.18</v>
      </c>
      <c r="E122">
        <v>1.48</v>
      </c>
    </row>
    <row r="123" spans="1:5" x14ac:dyDescent="0.25">
      <c r="A123">
        <v>-6.7825473637263148E-4</v>
      </c>
      <c r="B123">
        <v>2.7300000000000001E-2</v>
      </c>
      <c r="C123">
        <v>-0.28999999999999998</v>
      </c>
      <c r="D123">
        <v>-0.19</v>
      </c>
      <c r="E123">
        <v>1.48</v>
      </c>
    </row>
    <row r="124" spans="1:5" x14ac:dyDescent="0.25">
      <c r="A124">
        <v>-6.3756769257255683E-4</v>
      </c>
      <c r="B124">
        <v>2.7400000000000001E-2</v>
      </c>
      <c r="C124">
        <v>-0.27</v>
      </c>
      <c r="D124">
        <v>-0.21</v>
      </c>
      <c r="E124">
        <v>1.48</v>
      </c>
    </row>
    <row r="125" spans="1:5" x14ac:dyDescent="0.25">
      <c r="A125">
        <v>-5.9009947480580304E-4</v>
      </c>
      <c r="B125">
        <v>2.75E-2</v>
      </c>
      <c r="C125">
        <v>-0.3</v>
      </c>
      <c r="D125">
        <v>-0.19</v>
      </c>
      <c r="E125">
        <v>1.49</v>
      </c>
    </row>
    <row r="126" spans="1:5" x14ac:dyDescent="0.25">
      <c r="A126">
        <v>-5.4941243100572839E-4</v>
      </c>
      <c r="B126">
        <v>2.76E-2</v>
      </c>
      <c r="C126">
        <v>-0.28000000000000003</v>
      </c>
      <c r="D126">
        <v>-0.21</v>
      </c>
      <c r="E126">
        <v>1.49</v>
      </c>
    </row>
    <row r="127" spans="1:5" x14ac:dyDescent="0.25">
      <c r="A127">
        <v>-5.0194421323897448E-4</v>
      </c>
      <c r="B127">
        <v>2.7699999999999999E-2</v>
      </c>
      <c r="C127">
        <v>-0.3</v>
      </c>
      <c r="D127">
        <v>-0.2</v>
      </c>
      <c r="E127">
        <v>1.5</v>
      </c>
    </row>
    <row r="128" spans="1:5" x14ac:dyDescent="0.25">
      <c r="A128">
        <v>-4.6803834340557919E-4</v>
      </c>
      <c r="B128">
        <v>2.7799999999999998E-2</v>
      </c>
      <c r="C128">
        <v>-0.28000000000000003</v>
      </c>
      <c r="D128">
        <v>-0.22</v>
      </c>
      <c r="E128">
        <v>1.5</v>
      </c>
    </row>
    <row r="129" spans="1:5" x14ac:dyDescent="0.25">
      <c r="A129">
        <v>-4.205701256388247E-4</v>
      </c>
      <c r="B129">
        <v>2.7900000000000001E-2</v>
      </c>
      <c r="C129">
        <v>-0.3</v>
      </c>
      <c r="D129">
        <v>-0.21</v>
      </c>
      <c r="E129">
        <v>1.51</v>
      </c>
    </row>
    <row r="130" spans="1:5" x14ac:dyDescent="0.25">
      <c r="A130">
        <v>-4.0022660373878742E-4</v>
      </c>
      <c r="B130">
        <v>2.8000000000000001E-2</v>
      </c>
      <c r="C130">
        <v>-0.24</v>
      </c>
      <c r="D130">
        <v>-0.26</v>
      </c>
      <c r="E130">
        <v>1.5</v>
      </c>
    </row>
    <row r="131" spans="1:5" x14ac:dyDescent="0.25">
      <c r="A131">
        <v>-7.5305461612732534E-4</v>
      </c>
      <c r="B131">
        <v>2.81E-2</v>
      </c>
      <c r="C131">
        <v>-0.3</v>
      </c>
      <c r="D131">
        <v>-0.22</v>
      </c>
      <c r="E131">
        <v>1.52</v>
      </c>
    </row>
    <row r="132" spans="1:5" x14ac:dyDescent="0.25">
      <c r="A132">
        <v>-7.2592992026060898E-4</v>
      </c>
      <c r="B132">
        <v>2.8199999999999999E-2</v>
      </c>
      <c r="C132">
        <v>-0.28999999999999998</v>
      </c>
      <c r="D132">
        <v>-0.23</v>
      </c>
      <c r="E132">
        <v>1.52</v>
      </c>
    </row>
    <row r="133" spans="1:5" x14ac:dyDescent="0.25">
      <c r="A133">
        <v>-6.9880522439389251E-4</v>
      </c>
      <c r="B133">
        <v>2.8299999999999999E-2</v>
      </c>
      <c r="C133">
        <v>-0.28000000000000003</v>
      </c>
      <c r="D133">
        <v>-0.24</v>
      </c>
      <c r="E133">
        <v>1.52</v>
      </c>
    </row>
    <row r="134" spans="1:5" x14ac:dyDescent="0.25">
      <c r="A134">
        <v>-6.5811818059381797E-4</v>
      </c>
      <c r="B134">
        <v>2.8400000000000002E-2</v>
      </c>
      <c r="C134">
        <v>-0.3</v>
      </c>
      <c r="D134">
        <v>-0.23</v>
      </c>
      <c r="E134">
        <v>1.53</v>
      </c>
    </row>
    <row r="135" spans="1:5" x14ac:dyDescent="0.25">
      <c r="A135">
        <v>-6.309934847271015E-4</v>
      </c>
      <c r="B135">
        <v>2.8500000000000001E-2</v>
      </c>
      <c r="C135">
        <v>-0.28000000000000003</v>
      </c>
      <c r="D135">
        <v>-0.25</v>
      </c>
      <c r="E135">
        <v>1.53</v>
      </c>
    </row>
    <row r="136" spans="1:5" x14ac:dyDescent="0.25">
      <c r="A136">
        <v>-6.0386878886038514E-4</v>
      </c>
      <c r="B136">
        <v>2.86E-2</v>
      </c>
      <c r="C136">
        <v>-0.3</v>
      </c>
      <c r="D136">
        <v>-0.24</v>
      </c>
      <c r="E136">
        <v>1.54</v>
      </c>
    </row>
    <row r="137" spans="1:5" x14ac:dyDescent="0.25">
      <c r="A137">
        <v>-5.7674409299366867E-4</v>
      </c>
      <c r="B137">
        <v>2.87E-2</v>
      </c>
      <c r="C137">
        <v>-0.28999999999999998</v>
      </c>
      <c r="D137">
        <v>-0.25</v>
      </c>
      <c r="E137">
        <v>1.54</v>
      </c>
    </row>
    <row r="138" spans="1:5" x14ac:dyDescent="0.25">
      <c r="A138">
        <v>-5.6318174506031049E-4</v>
      </c>
      <c r="B138">
        <v>2.8799999999999999E-2</v>
      </c>
      <c r="C138">
        <v>-0.27</v>
      </c>
      <c r="D138">
        <v>-0.27</v>
      </c>
      <c r="E138">
        <v>1.54</v>
      </c>
    </row>
    <row r="139" spans="1:5" x14ac:dyDescent="0.25">
      <c r="A139">
        <v>-5.3605704919359402E-4</v>
      </c>
      <c r="B139">
        <v>2.8899999999999999E-2</v>
      </c>
      <c r="C139">
        <v>-0.3</v>
      </c>
      <c r="D139">
        <v>-0.25</v>
      </c>
      <c r="E139">
        <v>1.55</v>
      </c>
    </row>
    <row r="140" spans="1:5" x14ac:dyDescent="0.25">
      <c r="A140">
        <v>-5.1571352729355669E-4</v>
      </c>
      <c r="B140">
        <v>2.9000000000000001E-2</v>
      </c>
      <c r="C140">
        <v>-0.28000000000000003</v>
      </c>
      <c r="D140">
        <v>-0.27</v>
      </c>
      <c r="E140">
        <v>1.55</v>
      </c>
    </row>
    <row r="141" spans="1:5" x14ac:dyDescent="0.25">
      <c r="A141">
        <v>-4.9537000539351937E-4</v>
      </c>
      <c r="B141">
        <v>2.9100000000000001E-2</v>
      </c>
      <c r="C141">
        <v>-0.3</v>
      </c>
      <c r="D141">
        <v>-0.26</v>
      </c>
      <c r="E141">
        <v>1.56</v>
      </c>
    </row>
    <row r="142" spans="1:5" x14ac:dyDescent="0.25">
      <c r="A142">
        <v>-4.750264834934822E-4</v>
      </c>
      <c r="B142">
        <v>2.92E-2</v>
      </c>
      <c r="C142">
        <v>-0.28999999999999998</v>
      </c>
      <c r="D142">
        <v>-0.27</v>
      </c>
      <c r="E142">
        <v>1.56</v>
      </c>
    </row>
    <row r="143" spans="1:5" x14ac:dyDescent="0.25">
      <c r="A143">
        <v>-4.6146413556012392E-4</v>
      </c>
      <c r="B143">
        <v>2.93E-2</v>
      </c>
      <c r="C143">
        <v>-0.3</v>
      </c>
      <c r="D143">
        <v>-0.27</v>
      </c>
      <c r="E143">
        <v>1.57</v>
      </c>
    </row>
    <row r="144" spans="1:5" x14ac:dyDescent="0.25">
      <c r="A144">
        <v>-4.4790178762676574E-4</v>
      </c>
      <c r="B144">
        <v>2.9399999999999999E-2</v>
      </c>
      <c r="C144">
        <v>-0.28999999999999998</v>
      </c>
      <c r="D144">
        <v>-0.28000000000000003</v>
      </c>
      <c r="E144">
        <v>1.57</v>
      </c>
    </row>
    <row r="145" spans="1:5" x14ac:dyDescent="0.25">
      <c r="A145">
        <v>-4.4112061366008659E-4</v>
      </c>
      <c r="B145">
        <v>2.9499999999999998E-2</v>
      </c>
      <c r="C145">
        <v>-0.28000000000000003</v>
      </c>
      <c r="D145">
        <v>-0.28999999999999998</v>
      </c>
      <c r="E145">
        <v>1.57</v>
      </c>
    </row>
    <row r="146" spans="1:5" x14ac:dyDescent="0.25">
      <c r="A146">
        <v>-4.2755826572672836E-4</v>
      </c>
      <c r="B146">
        <v>2.9600000000000001E-2</v>
      </c>
      <c r="C146">
        <v>-0.3</v>
      </c>
      <c r="D146">
        <v>-0.28000000000000003</v>
      </c>
      <c r="E146">
        <v>1.58</v>
      </c>
    </row>
    <row r="147" spans="1:5" x14ac:dyDescent="0.25">
      <c r="A147">
        <v>-4.1399591779336953E-4</v>
      </c>
      <c r="B147">
        <v>2.9700000000000001E-2</v>
      </c>
      <c r="C147">
        <v>-0.28999999999999998</v>
      </c>
      <c r="D147">
        <v>-0.28999999999999998</v>
      </c>
      <c r="E147">
        <v>1.58</v>
      </c>
    </row>
    <row r="148" spans="1:5" x14ac:dyDescent="0.25">
      <c r="A148">
        <v>-4.0721474382669038E-4</v>
      </c>
      <c r="B148">
        <v>2.98E-2</v>
      </c>
      <c r="C148">
        <v>-0.3</v>
      </c>
      <c r="D148">
        <v>-0.28999999999999998</v>
      </c>
      <c r="E148">
        <v>1.59</v>
      </c>
    </row>
    <row r="149" spans="1:5" x14ac:dyDescent="0.25">
      <c r="A149">
        <v>-4.0043356986001134E-4</v>
      </c>
      <c r="B149">
        <v>2.9899999999999999E-2</v>
      </c>
      <c r="C149">
        <v>-0.28999999999999998</v>
      </c>
      <c r="D149">
        <v>-0.3</v>
      </c>
      <c r="E149">
        <v>1.59</v>
      </c>
    </row>
    <row r="150" spans="1:5" x14ac:dyDescent="0.25">
      <c r="A150">
        <v>-3.936523958933322E-4</v>
      </c>
      <c r="B150">
        <v>3.0099999999999998E-2</v>
      </c>
      <c r="C150">
        <v>-0.3</v>
      </c>
      <c r="D150">
        <v>-0.3</v>
      </c>
      <c r="E150">
        <v>1.6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4BD6-E3E2-4320-B8D3-D9FF7C5F1E28}">
  <dimension ref="A3:I19"/>
  <sheetViews>
    <sheetView workbookViewId="0">
      <selection activeCell="A35" sqref="A35"/>
    </sheetView>
  </sheetViews>
  <sheetFormatPr defaultRowHeight="15" x14ac:dyDescent="0.25"/>
  <cols>
    <col min="1" max="1" width="18.28515625" customWidth="1"/>
    <col min="2" max="2" width="16" customWidth="1"/>
    <col min="3" max="3" width="24" customWidth="1"/>
    <col min="4" max="4" width="15" customWidth="1"/>
    <col min="5" max="5" width="9.5703125" customWidth="1"/>
    <col min="6" max="6" width="13.85546875" customWidth="1"/>
    <col min="9" max="9" width="14.140625" customWidth="1"/>
    <col min="11" max="11" width="12.85546875" customWidth="1"/>
    <col min="14" max="14" width="16.5703125" customWidth="1"/>
  </cols>
  <sheetData>
    <row r="3" spans="1:9" x14ac:dyDescent="0.25">
      <c r="A3" s="70" t="s">
        <v>15</v>
      </c>
      <c r="B3" s="70"/>
      <c r="C3" s="70"/>
      <c r="D3" s="70"/>
    </row>
    <row r="4" spans="1:9" x14ac:dyDescent="0.25">
      <c r="A4" s="71"/>
      <c r="B4" s="71"/>
      <c r="C4" s="71"/>
      <c r="D4" s="71"/>
    </row>
    <row r="5" spans="1:9" x14ac:dyDescent="0.25">
      <c r="A5" s="27" t="s">
        <v>16</v>
      </c>
      <c r="B5" s="28" t="s">
        <v>12</v>
      </c>
      <c r="C5" s="28" t="s">
        <v>13</v>
      </c>
      <c r="D5" s="29" t="s">
        <v>14</v>
      </c>
    </row>
    <row r="6" spans="1:9" x14ac:dyDescent="0.25">
      <c r="A6" s="5" t="s">
        <v>12</v>
      </c>
      <c r="B6" s="30">
        <f>_xlfn.COVARIANCE.S(Returns!B6:B254,Returns!B6:B254)</f>
        <v>2.7554729715799565E-4</v>
      </c>
      <c r="C6" s="30">
        <f>_xlfn.COVARIANCE.S(Returns!B6:B254,Returns!C6:C254)</f>
        <v>2.4836036728035282E-4</v>
      </c>
      <c r="D6" s="31">
        <f>_xlfn.COVARIANCE.S(Returns!B6:B254,Returns!D6:D254)</f>
        <v>8.730407429259599E-5</v>
      </c>
    </row>
    <row r="7" spans="1:9" x14ac:dyDescent="0.25">
      <c r="A7" s="32" t="s">
        <v>13</v>
      </c>
      <c r="B7" s="33">
        <f>_xlfn.COVARIANCE.S(Returns!C6:C254,Returns!B6:B254)</f>
        <v>2.4836036728035282E-4</v>
      </c>
      <c r="C7" s="33">
        <f>_xlfn.COVARIANCE.S(Returns!C6:C254,Returns!C6:C254)</f>
        <v>1.3777065338401256E-3</v>
      </c>
      <c r="D7" s="34">
        <f>_xlfn.COVARIANCE.S(Returns!C6:C254,Returns!D6:D254)</f>
        <v>1.4145367060590841E-4</v>
      </c>
    </row>
    <row r="8" spans="1:9" x14ac:dyDescent="0.25">
      <c r="A8" s="2" t="s">
        <v>14</v>
      </c>
      <c r="B8" s="48">
        <f>_xlfn.COVARIANCE.S(Returns!D6:D254,Returns!B6:B254)</f>
        <v>8.730407429259599E-5</v>
      </c>
      <c r="C8" s="35">
        <f>_xlfn.COVARIANCE.S(Returns!D6:D254,Returns!C6:C254)</f>
        <v>1.4145367060590841E-4</v>
      </c>
      <c r="D8" s="36">
        <f>_xlfn.COVARIANCE.S(Returns!D6:D254,Returns!D6:D254)</f>
        <v>3.6605014444481985E-4</v>
      </c>
    </row>
    <row r="11" spans="1:9" x14ac:dyDescent="0.25">
      <c r="A11" t="s">
        <v>43</v>
      </c>
    </row>
    <row r="13" spans="1:9" x14ac:dyDescent="0.25">
      <c r="A13" s="64" t="s">
        <v>44</v>
      </c>
      <c r="C13" s="64" t="s">
        <v>45</v>
      </c>
      <c r="F13" s="64" t="s">
        <v>46</v>
      </c>
      <c r="I13" s="64" t="s">
        <v>47</v>
      </c>
    </row>
    <row r="15" spans="1:9" x14ac:dyDescent="0.25">
      <c r="A15">
        <v>1</v>
      </c>
      <c r="C15" cm="1">
        <f t="array" ref="C15:E17">MINVERSE(B6:D8)</f>
        <v>4547.3356855384072</v>
      </c>
      <c r="D15">
        <v>-737.66535644511123</v>
      </c>
      <c r="E15">
        <v>-799.49554621677646</v>
      </c>
      <c r="F15" cm="1">
        <f t="array" ref="F15:F17">MMULT(_xlfn.ANCHORARRAY(C15),A15:A17)</f>
        <v>3010.1747828765197</v>
      </c>
      <c r="I15">
        <f>F15/$G$19</f>
        <v>0.60094849177787102</v>
      </c>
    </row>
    <row r="16" spans="1:9" x14ac:dyDescent="0.25">
      <c r="A16">
        <v>1</v>
      </c>
      <c r="C16">
        <v>-737.66535644511134</v>
      </c>
      <c r="D16">
        <v>875.49614123021502</v>
      </c>
      <c r="E16">
        <v>-162.38472405554486</v>
      </c>
      <c r="F16">
        <v>-24.553939270441191</v>
      </c>
      <c r="I16">
        <f>F16/$G$19</f>
        <v>-4.9019255811041601E-3</v>
      </c>
    </row>
    <row r="17" spans="1:9" x14ac:dyDescent="0.25">
      <c r="A17">
        <v>1</v>
      </c>
      <c r="C17">
        <v>-799.49554621677646</v>
      </c>
      <c r="D17">
        <v>-162.38472405554486</v>
      </c>
      <c r="E17">
        <v>2985.2990100273614</v>
      </c>
      <c r="F17">
        <v>2023.41873975504</v>
      </c>
      <c r="I17">
        <f>F17/$G$19</f>
        <v>0.40395343380323312</v>
      </c>
    </row>
    <row r="19" spans="1:9" x14ac:dyDescent="0.25">
      <c r="F19" s="64" t="s">
        <v>48</v>
      </c>
      <c r="G19" cm="1">
        <f t="array" ref="G19">MMULT(TRANSPOSE(A15:A17),_xlfn.ANCHORARRAY(F15))</f>
        <v>5009.0395833611183</v>
      </c>
      <c r="I19">
        <f>SUM(I15:I17)</f>
        <v>1</v>
      </c>
    </row>
  </sheetData>
  <mergeCells count="1">
    <mergeCell ref="A3:D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Prices</vt:lpstr>
      <vt:lpstr>Returns</vt:lpstr>
      <vt:lpstr>Statistics</vt:lpstr>
      <vt:lpstr>Portfolio Weights Returns</vt:lpstr>
      <vt:lpstr>Portfolio Weights Std</vt:lpstr>
      <vt:lpstr>Plot</vt:lpstr>
      <vt:lpstr>Analytical MVP</vt:lpstr>
      <vt:lpstr>Efficient Frontier (Only)</vt:lpstr>
      <vt:lpstr>Lagrangian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Muhammad Sameed</cp:lastModifiedBy>
  <cp:revision/>
  <dcterms:created xsi:type="dcterms:W3CDTF">2026-03-22T15:14:17Z</dcterms:created>
  <dcterms:modified xsi:type="dcterms:W3CDTF">2026-04-24T14:25:58Z</dcterms:modified>
  <cp:category/>
  <cp:contentStatus/>
</cp:coreProperties>
</file>