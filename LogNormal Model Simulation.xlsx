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ah22465_qmul_ac_uk/Documents/MTAM CW/CW2/Draft/"/>
    </mc:Choice>
  </mc:AlternateContent>
  <xr:revisionPtr revIDLastSave="0" documentId="8_{2BBB5976-3CE2-450A-ACE4-95A95AE8F927}" xr6:coauthVersionLast="47" xr6:coauthVersionMax="47" xr10:uidLastSave="{00000000-0000-0000-0000-000000000000}"/>
  <bookViews>
    <workbookView xWindow="47895" yWindow="-8640" windowWidth="19410" windowHeight="20985" firstSheet="5" activeTab="5" xr2:uid="{AEFB44ED-5714-41F2-88C0-4BA0BB0F56B0}"/>
  </bookViews>
  <sheets>
    <sheet name="Checklist" sheetId="3" r:id="rId1"/>
    <sheet name="Prices" sheetId="1" r:id="rId2"/>
    <sheet name="Returns" sheetId="2" r:id="rId3"/>
    <sheet name="Plot of prices" sheetId="5" r:id="rId4"/>
    <sheet name="Plot of returns" sheetId="4" r:id="rId5"/>
    <sheet name="Simulate Lognormal Model (MSFT)" sheetId="6" r:id="rId6"/>
    <sheet name="Simulate Lognormal Model (ORCL)" sheetId="7" r:id="rId7"/>
    <sheet name="Simulate Lognormal Model (SONY)" sheetId="8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8" l="1"/>
  <c r="N2" i="8"/>
  <c r="N3" i="7"/>
  <c r="N2" i="7"/>
  <c r="N3" i="6"/>
  <c r="N2" i="6"/>
  <c r="F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" i="8"/>
  <c r="F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" i="7"/>
  <c r="F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" i="6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N4" i="6" l="1"/>
  <c r="J46" i="6"/>
  <c r="I2" i="6" a="1"/>
  <c r="I2" i="6" s="1"/>
  <c r="N4" i="8"/>
  <c r="J46" i="8"/>
  <c r="I2" i="8" a="1"/>
  <c r="I2" i="8" s="1"/>
  <c r="N5" i="8"/>
  <c r="J46" i="7"/>
  <c r="I2" i="7" a="1"/>
  <c r="I2" i="7" s="1"/>
  <c r="N5" i="6"/>
  <c r="N4" i="7"/>
  <c r="N5" i="7"/>
  <c r="E34" i="6" l="1"/>
  <c r="E5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" i="6"/>
  <c r="J2" i="6" s="1" a="1"/>
  <c r="J2" i="6" s="1"/>
  <c r="E3" i="8"/>
  <c r="F3" i="8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" i="8"/>
  <c r="J2" i="8" s="1" a="1"/>
  <c r="J2" i="8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" i="7"/>
  <c r="J2" i="7" s="1" a="1"/>
  <c r="J2" i="7" s="1"/>
  <c r="F3" i="7"/>
  <c r="F3" i="6"/>
  <c r="F4" i="6" s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5" i="6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4" i="7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<sst xmlns="http://schemas.openxmlformats.org/spreadsheetml/2006/main" count="61" uniqueCount="32">
  <si>
    <t>Outline</t>
  </si>
  <si>
    <t>1.</t>
  </si>
  <si>
    <t>Plot returns</t>
  </si>
  <si>
    <t>2.</t>
  </si>
  <si>
    <t>Plot prices</t>
  </si>
  <si>
    <t>3</t>
  </si>
  <si>
    <t>Simulate lognormal model</t>
  </si>
  <si>
    <t>4.</t>
  </si>
  <si>
    <t>Explain results</t>
  </si>
  <si>
    <t>5.</t>
  </si>
  <si>
    <t>Drawbacks of this model (in our case)</t>
  </si>
  <si>
    <t>Date</t>
  </si>
  <si>
    <t>MSFT Close (USD)</t>
  </si>
  <si>
    <t>ORCL Close (USD)</t>
  </si>
  <si>
    <t>SONY Close (USD)</t>
  </si>
  <si>
    <t>MSFT Return (USD)</t>
  </si>
  <si>
    <t>ORCL Return (USD)</t>
  </si>
  <si>
    <t>SONY Return (USD)</t>
  </si>
  <si>
    <t xml:space="preserve">Real Price </t>
  </si>
  <si>
    <t xml:space="preserve">Log Return </t>
  </si>
  <si>
    <t>Random Numbers</t>
  </si>
  <si>
    <t>Simulated Return</t>
  </si>
  <si>
    <t>Simulated Price</t>
  </si>
  <si>
    <t>Bins</t>
  </si>
  <si>
    <t>Real Frequency</t>
  </si>
  <si>
    <t>Simulated Frequency</t>
  </si>
  <si>
    <t>Maximum price</t>
  </si>
  <si>
    <t>Minimum returns</t>
  </si>
  <si>
    <t>Empirical mean</t>
  </si>
  <si>
    <t>Std dev</t>
  </si>
  <si>
    <t>Excess Kurtosis</t>
  </si>
  <si>
    <t>Minimum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</si>
</sst>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%"/>
    <numFmt numFmtId="166" formatCode="#,##0.00000000000000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DAE3F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/>
  </cellStyleXfs>
  <cellXfs count="36">
    <xf numFmtId="0" fontId="0" fillId="0" borderId="0" xfId="0"/>
    <xf numFmtId="14" fontId="3" fillId="2" borderId="1" xfId="2" applyNumberFormat="1" applyBorder="1" applyAlignment="1">
      <alignment horizontal="center" vertical="center"/>
    </xf>
    <xf numFmtId="0" fontId="3" fillId="2" borderId="1" xfId="2" applyNumberFormat="1" applyBorder="1" applyAlignment="1">
      <alignment horizontal="center" vertical="center"/>
    </xf>
    <xf numFmtId="0" fontId="3" fillId="2" borderId="2" xfId="2" applyNumberFormat="1" applyBorder="1" applyAlignment="1">
      <alignment horizontal="center" vertical="center"/>
    </xf>
    <xf numFmtId="14" fontId="5" fillId="3" borderId="1" xfId="3" applyNumberFormat="1" applyFont="1" applyFill="1" applyBorder="1" applyAlignment="1">
      <alignment horizontal="center" vertical="center"/>
    </xf>
    <xf numFmtId="4" fontId="5" fillId="3" borderId="1" xfId="3" applyNumberFormat="1" applyFont="1" applyFill="1" applyBorder="1" applyAlignment="1">
      <alignment horizontal="center" vertical="center"/>
    </xf>
    <xf numFmtId="4" fontId="5" fillId="3" borderId="2" xfId="3" applyNumberFormat="1" applyFont="1" applyFill="1" applyBorder="1" applyAlignment="1">
      <alignment horizontal="center" vertical="center"/>
    </xf>
    <xf numFmtId="14" fontId="5" fillId="4" borderId="1" xfId="3" applyNumberFormat="1" applyFont="1" applyFill="1" applyBorder="1" applyAlignment="1">
      <alignment horizontal="center" vertical="center"/>
    </xf>
    <xf numFmtId="4" fontId="5" fillId="4" borderId="1" xfId="3" applyNumberFormat="1" applyFont="1" applyFill="1" applyBorder="1" applyAlignment="1">
      <alignment horizontal="center" vertical="center"/>
    </xf>
    <xf numFmtId="4" fontId="5" fillId="4" borderId="2" xfId="3" applyNumberFormat="1" applyFont="1" applyFill="1" applyBorder="1" applyAlignment="1">
      <alignment horizontal="center" vertical="center"/>
    </xf>
    <xf numFmtId="14" fontId="5" fillId="4" borderId="3" xfId="3" applyNumberFormat="1" applyFont="1" applyFill="1" applyBorder="1" applyAlignment="1">
      <alignment horizontal="center" vertical="center"/>
    </xf>
    <xf numFmtId="4" fontId="5" fillId="4" borderId="3" xfId="3" applyNumberFormat="1" applyFont="1" applyFill="1" applyBorder="1" applyAlignment="1">
      <alignment horizontal="center" vertical="center"/>
    </xf>
    <xf numFmtId="4" fontId="5" fillId="4" borderId="4" xfId="3" applyNumberFormat="1" applyFont="1" applyFill="1" applyBorder="1" applyAlignment="1">
      <alignment horizontal="center" vertical="center"/>
    </xf>
    <xf numFmtId="14" fontId="3" fillId="2" borderId="5" xfId="2" applyNumberFormat="1" applyBorder="1" applyAlignment="1">
      <alignment horizontal="center" vertical="center"/>
    </xf>
    <xf numFmtId="0" fontId="3" fillId="2" borderId="5" xfId="2" applyNumberFormat="1" applyBorder="1" applyAlignment="1">
      <alignment horizontal="center" vertical="center"/>
    </xf>
    <xf numFmtId="0" fontId="3" fillId="2" borderId="6" xfId="2" applyNumberFormat="1" applyBorder="1" applyAlignment="1">
      <alignment horizontal="center" vertical="center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14" fontId="0" fillId="0" borderId="7" xfId="0" applyNumberForma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4" fontId="0" fillId="5" borderId="7" xfId="0" applyNumberFormat="1" applyFill="1" applyBorder="1"/>
    <xf numFmtId="164" fontId="0" fillId="5" borderId="8" xfId="1" applyNumberFormat="1" applyFont="1" applyFill="1" applyBorder="1"/>
    <xf numFmtId="164" fontId="0" fillId="5" borderId="9" xfId="1" applyNumberFormat="1" applyFont="1" applyFill="1" applyBorder="1"/>
    <xf numFmtId="14" fontId="0" fillId="0" borderId="10" xfId="0" applyNumberForma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2" fillId="0" borderId="0" xfId="0" quotePrefix="1" applyFon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2" fontId="0" fillId="0" borderId="0" xfId="0" applyNumberFormat="1"/>
    <xf numFmtId="0" fontId="6" fillId="0" borderId="0" xfId="0" applyFont="1" applyAlignment="1">
      <alignment horizontal="center"/>
    </xf>
  </cellXfs>
  <cellStyles count="4">
    <cellStyle name="Accent1" xfId="2" builtinId="29"/>
    <cellStyle name="Normal" xfId="0" builtinId="0"/>
    <cellStyle name="Normal 2" xfId="3" xr:uid="{A865A23F-C2F7-4673-9BB8-44FC97A66B4A}"/>
    <cellStyle name="Per 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%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rgb="FFB8CCE4"/>
        </top>
      </border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 - Closing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Prices!$B$1</c:f>
              <c:strCache>
                <c:ptCount val="1"/>
                <c:pt idx="0">
                  <c:v>MSFT Close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Prices!$A$2:$A$251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Prices!$B$2:$B$251</c:f>
              <c:numCache>
                <c:formatCode>#,##0.00</c:formatCode>
                <c:ptCount val="250"/>
                <c:pt idx="0">
                  <c:v>381.87</c:v>
                </c:pt>
                <c:pt idx="1">
                  <c:v>389.02</c:v>
                </c:pt>
                <c:pt idx="2">
                  <c:v>391.79</c:v>
                </c:pt>
                <c:pt idx="3">
                  <c:v>399.41</c:v>
                </c:pt>
                <c:pt idx="4">
                  <c:v>399.95</c:v>
                </c:pt>
                <c:pt idx="5">
                  <c:v>395.55</c:v>
                </c:pt>
                <c:pt idx="6">
                  <c:v>401.86</c:v>
                </c:pt>
                <c:pt idx="7">
                  <c:v>404.88</c:v>
                </c:pt>
                <c:pt idx="8">
                  <c:v>405.76</c:v>
                </c:pt>
                <c:pt idx="9">
                  <c:v>409.41</c:v>
                </c:pt>
                <c:pt idx="10">
                  <c:v>408.96</c:v>
                </c:pt>
                <c:pt idx="11">
                  <c:v>410.68</c:v>
                </c:pt>
                <c:pt idx="12">
                  <c:v>405.2</c:v>
                </c:pt>
                <c:pt idx="13">
                  <c:v>403.93</c:v>
                </c:pt>
                <c:pt idx="14">
                  <c:v>398.55</c:v>
                </c:pt>
                <c:pt idx="15">
                  <c:v>392.74</c:v>
                </c:pt>
                <c:pt idx="16">
                  <c:v>401.72</c:v>
                </c:pt>
                <c:pt idx="17">
                  <c:v>400.6</c:v>
                </c:pt>
                <c:pt idx="18">
                  <c:v>389</c:v>
                </c:pt>
                <c:pt idx="19">
                  <c:v>384.47</c:v>
                </c:pt>
                <c:pt idx="20">
                  <c:v>397.23</c:v>
                </c:pt>
                <c:pt idx="21">
                  <c:v>398.46</c:v>
                </c:pt>
                <c:pt idx="22">
                  <c:v>399.6</c:v>
                </c:pt>
                <c:pt idx="23">
                  <c:v>396.86</c:v>
                </c:pt>
                <c:pt idx="24">
                  <c:v>401.32</c:v>
                </c:pt>
                <c:pt idx="25">
                  <c:v>401.84</c:v>
                </c:pt>
                <c:pt idx="26">
                  <c:v>404.37</c:v>
                </c:pt>
                <c:pt idx="27">
                  <c:v>413.27</c:v>
                </c:pt>
                <c:pt idx="28">
                  <c:v>413.6</c:v>
                </c:pt>
                <c:pt idx="29">
                  <c:v>401.14</c:v>
                </c:pt>
                <c:pt idx="30">
                  <c:v>393.67</c:v>
                </c:pt>
                <c:pt idx="31">
                  <c:v>414.19</c:v>
                </c:pt>
                <c:pt idx="32">
                  <c:v>411.21</c:v>
                </c:pt>
                <c:pt idx="33">
                  <c:v>423.37</c:v>
                </c:pt>
                <c:pt idx="34">
                  <c:v>430.29</c:v>
                </c:pt>
                <c:pt idx="35">
                  <c:v>433.5</c:v>
                </c:pt>
                <c:pt idx="36">
                  <c:v>481.63</c:v>
                </c:pt>
                <c:pt idx="37">
                  <c:v>480.58</c:v>
                </c:pt>
                <c:pt idx="38">
                  <c:v>470.28</c:v>
                </c:pt>
                <c:pt idx="39">
                  <c:v>465.95</c:v>
                </c:pt>
                <c:pt idx="40">
                  <c:v>451.14</c:v>
                </c:pt>
                <c:pt idx="41">
                  <c:v>444.11</c:v>
                </c:pt>
                <c:pt idx="42">
                  <c:v>454.52</c:v>
                </c:pt>
                <c:pt idx="43">
                  <c:v>459.86</c:v>
                </c:pt>
                <c:pt idx="44">
                  <c:v>456.66</c:v>
                </c:pt>
                <c:pt idx="45">
                  <c:v>459.38</c:v>
                </c:pt>
                <c:pt idx="46">
                  <c:v>470.67</c:v>
                </c:pt>
                <c:pt idx="47">
                  <c:v>477.18</c:v>
                </c:pt>
                <c:pt idx="48">
                  <c:v>479.28</c:v>
                </c:pt>
                <c:pt idx="49">
                  <c:v>478.11</c:v>
                </c:pt>
                <c:pt idx="50">
                  <c:v>483.47</c:v>
                </c:pt>
                <c:pt idx="51">
                  <c:v>478.51</c:v>
                </c:pt>
                <c:pt idx="52">
                  <c:v>472.85</c:v>
                </c:pt>
                <c:pt idx="53">
                  <c:v>472.94</c:v>
                </c:pt>
                <c:pt idx="54">
                  <c:v>483.62</c:v>
                </c:pt>
                <c:pt idx="55">
                  <c:v>487.48</c:v>
                </c:pt>
                <c:pt idx="56">
                  <c:v>487.1</c:v>
                </c:pt>
                <c:pt idx="57">
                  <c:v>487.71</c:v>
                </c:pt>
                <c:pt idx="58">
                  <c:v>488.02</c:v>
                </c:pt>
                <c:pt idx="59">
                  <c:v>486.85</c:v>
                </c:pt>
                <c:pt idx="60">
                  <c:v>484.92</c:v>
                </c:pt>
                <c:pt idx="61">
                  <c:v>485.92</c:v>
                </c:pt>
                <c:pt idx="62">
                  <c:v>483.98</c:v>
                </c:pt>
                <c:pt idx="63">
                  <c:v>476.12</c:v>
                </c:pt>
                <c:pt idx="64">
                  <c:v>476.39</c:v>
                </c:pt>
                <c:pt idx="65">
                  <c:v>474.82</c:v>
                </c:pt>
                <c:pt idx="66">
                  <c:v>478.53</c:v>
                </c:pt>
                <c:pt idx="67">
                  <c:v>483.47</c:v>
                </c:pt>
                <c:pt idx="68">
                  <c:v>478.56</c:v>
                </c:pt>
                <c:pt idx="69">
                  <c:v>492.02</c:v>
                </c:pt>
                <c:pt idx="70">
                  <c:v>491.02</c:v>
                </c:pt>
                <c:pt idx="71">
                  <c:v>483.16</c:v>
                </c:pt>
                <c:pt idx="72">
                  <c:v>480.84</c:v>
                </c:pt>
                <c:pt idx="73">
                  <c:v>477.73</c:v>
                </c:pt>
                <c:pt idx="74">
                  <c:v>490</c:v>
                </c:pt>
                <c:pt idx="75">
                  <c:v>486.74</c:v>
                </c:pt>
                <c:pt idx="76">
                  <c:v>492.01</c:v>
                </c:pt>
                <c:pt idx="77">
                  <c:v>485.5</c:v>
                </c:pt>
                <c:pt idx="78">
                  <c:v>476.99</c:v>
                </c:pt>
                <c:pt idx="79">
                  <c:v>474</c:v>
                </c:pt>
                <c:pt idx="80">
                  <c:v>472.12</c:v>
                </c:pt>
                <c:pt idx="81">
                  <c:v>478.43</c:v>
                </c:pt>
                <c:pt idx="82">
                  <c:v>487.12</c:v>
                </c:pt>
                <c:pt idx="83">
                  <c:v>493.79</c:v>
                </c:pt>
                <c:pt idx="84">
                  <c:v>507.49</c:v>
                </c:pt>
                <c:pt idx="85">
                  <c:v>510.18</c:v>
                </c:pt>
                <c:pt idx="86">
                  <c:v>503.29</c:v>
                </c:pt>
                <c:pt idx="87">
                  <c:v>511.14</c:v>
                </c:pt>
                <c:pt idx="88">
                  <c:v>508.68</c:v>
                </c:pt>
                <c:pt idx="89">
                  <c:v>506</c:v>
                </c:pt>
                <c:pt idx="90">
                  <c:v>496.82</c:v>
                </c:pt>
                <c:pt idx="91">
                  <c:v>497.1</c:v>
                </c:pt>
                <c:pt idx="92">
                  <c:v>507.16</c:v>
                </c:pt>
                <c:pt idx="93">
                  <c:v>514.33000000000004</c:v>
                </c:pt>
                <c:pt idx="94">
                  <c:v>517.03</c:v>
                </c:pt>
                <c:pt idx="95">
                  <c:v>517.80999999999995</c:v>
                </c:pt>
                <c:pt idx="96">
                  <c:v>525.76</c:v>
                </c:pt>
                <c:pt idx="97">
                  <c:v>541.54999999999995</c:v>
                </c:pt>
                <c:pt idx="98">
                  <c:v>542.07000000000005</c:v>
                </c:pt>
                <c:pt idx="99">
                  <c:v>531.52</c:v>
                </c:pt>
                <c:pt idx="100">
                  <c:v>523.61</c:v>
                </c:pt>
                <c:pt idx="101">
                  <c:v>520.55999999999995</c:v>
                </c:pt>
                <c:pt idx="102">
                  <c:v>520.54</c:v>
                </c:pt>
                <c:pt idx="103">
                  <c:v>517.66</c:v>
                </c:pt>
                <c:pt idx="104">
                  <c:v>516.79</c:v>
                </c:pt>
                <c:pt idx="105">
                  <c:v>513.58000000000004</c:v>
                </c:pt>
                <c:pt idx="106">
                  <c:v>511.61</c:v>
                </c:pt>
                <c:pt idx="107">
                  <c:v>513.42999999999995</c:v>
                </c:pt>
                <c:pt idx="108">
                  <c:v>513.57000000000005</c:v>
                </c:pt>
                <c:pt idx="109">
                  <c:v>514.04999999999995</c:v>
                </c:pt>
                <c:pt idx="110">
                  <c:v>510.96</c:v>
                </c:pt>
                <c:pt idx="111">
                  <c:v>522.4</c:v>
                </c:pt>
                <c:pt idx="112">
                  <c:v>524.85</c:v>
                </c:pt>
                <c:pt idx="113">
                  <c:v>523.98</c:v>
                </c:pt>
                <c:pt idx="114">
                  <c:v>528.57000000000005</c:v>
                </c:pt>
                <c:pt idx="115">
                  <c:v>517.35</c:v>
                </c:pt>
                <c:pt idx="116">
                  <c:v>515.74</c:v>
                </c:pt>
                <c:pt idx="117">
                  <c:v>519.71</c:v>
                </c:pt>
                <c:pt idx="118">
                  <c:v>517.95000000000005</c:v>
                </c:pt>
                <c:pt idx="119">
                  <c:v>514.6</c:v>
                </c:pt>
                <c:pt idx="120">
                  <c:v>511.46</c:v>
                </c:pt>
                <c:pt idx="121">
                  <c:v>507.03</c:v>
                </c:pt>
                <c:pt idx="122">
                  <c:v>510.15</c:v>
                </c:pt>
                <c:pt idx="123">
                  <c:v>509.23</c:v>
                </c:pt>
                <c:pt idx="124">
                  <c:v>514.45000000000005</c:v>
                </c:pt>
                <c:pt idx="125">
                  <c:v>517.92999999999995</c:v>
                </c:pt>
                <c:pt idx="126">
                  <c:v>508.45</c:v>
                </c:pt>
                <c:pt idx="127">
                  <c:v>510.02</c:v>
                </c:pt>
                <c:pt idx="128">
                  <c:v>509.04</c:v>
                </c:pt>
                <c:pt idx="129">
                  <c:v>515.36</c:v>
                </c:pt>
                <c:pt idx="130">
                  <c:v>509.9</c:v>
                </c:pt>
                <c:pt idx="131">
                  <c:v>501.01</c:v>
                </c:pt>
                <c:pt idx="132">
                  <c:v>500.37</c:v>
                </c:pt>
                <c:pt idx="133">
                  <c:v>498.41</c:v>
                </c:pt>
                <c:pt idx="134">
                  <c:v>498.2</c:v>
                </c:pt>
                <c:pt idx="135">
                  <c:v>495</c:v>
                </c:pt>
                <c:pt idx="136">
                  <c:v>507.97</c:v>
                </c:pt>
                <c:pt idx="137">
                  <c:v>505.35</c:v>
                </c:pt>
                <c:pt idx="138">
                  <c:v>505.12</c:v>
                </c:pt>
                <c:pt idx="139">
                  <c:v>506.69</c:v>
                </c:pt>
                <c:pt idx="140">
                  <c:v>509.64</c:v>
                </c:pt>
                <c:pt idx="141">
                  <c:v>506.74</c:v>
                </c:pt>
                <c:pt idx="142">
                  <c:v>502.04</c:v>
                </c:pt>
                <c:pt idx="143">
                  <c:v>504.26</c:v>
                </c:pt>
                <c:pt idx="144">
                  <c:v>507.23</c:v>
                </c:pt>
                <c:pt idx="145">
                  <c:v>504.24</c:v>
                </c:pt>
                <c:pt idx="146">
                  <c:v>505.72</c:v>
                </c:pt>
                <c:pt idx="147">
                  <c:v>509.77</c:v>
                </c:pt>
                <c:pt idx="148">
                  <c:v>517.1</c:v>
                </c:pt>
                <c:pt idx="149">
                  <c:v>520.16999999999996</c:v>
                </c:pt>
                <c:pt idx="150">
                  <c:v>522.48</c:v>
                </c:pt>
                <c:pt idx="151">
                  <c:v>520.58000000000004</c:v>
                </c:pt>
                <c:pt idx="152">
                  <c:v>529.24</c:v>
                </c:pt>
                <c:pt idx="153">
                  <c:v>521.77</c:v>
                </c:pt>
                <c:pt idx="154">
                  <c:v>522.04</c:v>
                </c:pt>
                <c:pt idx="155">
                  <c:v>520.84</c:v>
                </c:pt>
                <c:pt idx="156">
                  <c:v>524.94000000000005</c:v>
                </c:pt>
                <c:pt idx="157">
                  <c:v>527.75</c:v>
                </c:pt>
                <c:pt idx="158">
                  <c:v>535.64</c:v>
                </c:pt>
                <c:pt idx="159">
                  <c:v>524.11</c:v>
                </c:pt>
                <c:pt idx="160">
                  <c:v>533.5</c:v>
                </c:pt>
                <c:pt idx="161">
                  <c:v>513.24</c:v>
                </c:pt>
                <c:pt idx="162">
                  <c:v>512.57000000000005</c:v>
                </c:pt>
                <c:pt idx="163">
                  <c:v>512.5</c:v>
                </c:pt>
                <c:pt idx="164">
                  <c:v>513.71</c:v>
                </c:pt>
                <c:pt idx="165">
                  <c:v>510.88</c:v>
                </c:pt>
                <c:pt idx="166">
                  <c:v>505.87</c:v>
                </c:pt>
                <c:pt idx="167">
                  <c:v>505.27</c:v>
                </c:pt>
                <c:pt idx="168">
                  <c:v>510.06</c:v>
                </c:pt>
                <c:pt idx="169">
                  <c:v>510.05</c:v>
                </c:pt>
                <c:pt idx="170">
                  <c:v>511.7</c:v>
                </c:pt>
                <c:pt idx="171">
                  <c:v>505.62</c:v>
                </c:pt>
                <c:pt idx="172">
                  <c:v>505.82</c:v>
                </c:pt>
                <c:pt idx="173">
                  <c:v>503.02</c:v>
                </c:pt>
                <c:pt idx="174">
                  <c:v>503.32</c:v>
                </c:pt>
                <c:pt idx="175">
                  <c:v>501.48</c:v>
                </c:pt>
                <c:pt idx="176">
                  <c:v>503.51</c:v>
                </c:pt>
                <c:pt idx="177">
                  <c:v>496.62</c:v>
                </c:pt>
                <c:pt idx="178">
                  <c:v>497.72</c:v>
                </c:pt>
                <c:pt idx="179">
                  <c:v>498.84</c:v>
                </c:pt>
                <c:pt idx="180">
                  <c:v>491.09</c:v>
                </c:pt>
                <c:pt idx="181">
                  <c:v>492.05</c:v>
                </c:pt>
                <c:pt idx="182">
                  <c:v>497.41</c:v>
                </c:pt>
                <c:pt idx="183">
                  <c:v>495.94</c:v>
                </c:pt>
                <c:pt idx="184">
                  <c:v>497.45</c:v>
                </c:pt>
                <c:pt idx="185">
                  <c:v>492.27</c:v>
                </c:pt>
                <c:pt idx="186">
                  <c:v>490.11</c:v>
                </c:pt>
                <c:pt idx="187">
                  <c:v>486</c:v>
                </c:pt>
                <c:pt idx="188">
                  <c:v>477.4</c:v>
                </c:pt>
                <c:pt idx="189">
                  <c:v>480.24</c:v>
                </c:pt>
                <c:pt idx="190">
                  <c:v>478.04</c:v>
                </c:pt>
                <c:pt idx="191">
                  <c:v>479.14</c:v>
                </c:pt>
                <c:pt idx="192">
                  <c:v>474.96</c:v>
                </c:pt>
                <c:pt idx="193">
                  <c:v>478.87</c:v>
                </c:pt>
                <c:pt idx="194">
                  <c:v>472.62</c:v>
                </c:pt>
                <c:pt idx="195">
                  <c:v>470.92</c:v>
                </c:pt>
                <c:pt idx="196">
                  <c:v>472.75</c:v>
                </c:pt>
                <c:pt idx="197">
                  <c:v>470.38</c:v>
                </c:pt>
                <c:pt idx="198">
                  <c:v>467.68</c:v>
                </c:pt>
                <c:pt idx="199">
                  <c:v>463.87</c:v>
                </c:pt>
                <c:pt idx="200">
                  <c:v>462.97</c:v>
                </c:pt>
                <c:pt idx="201">
                  <c:v>461.97</c:v>
                </c:pt>
                <c:pt idx="202">
                  <c:v>460.36</c:v>
                </c:pt>
                <c:pt idx="203">
                  <c:v>458.68</c:v>
                </c:pt>
                <c:pt idx="204">
                  <c:v>457.36</c:v>
                </c:pt>
                <c:pt idx="205">
                  <c:v>460.69</c:v>
                </c:pt>
                <c:pt idx="206">
                  <c:v>450.18</c:v>
                </c:pt>
                <c:pt idx="207">
                  <c:v>454.86</c:v>
                </c:pt>
                <c:pt idx="208">
                  <c:v>452.57</c:v>
                </c:pt>
                <c:pt idx="209">
                  <c:v>458.17</c:v>
                </c:pt>
                <c:pt idx="210">
                  <c:v>458.87</c:v>
                </c:pt>
                <c:pt idx="211">
                  <c:v>454.27</c:v>
                </c:pt>
                <c:pt idx="212">
                  <c:v>453.13</c:v>
                </c:pt>
                <c:pt idx="213">
                  <c:v>452.94</c:v>
                </c:pt>
                <c:pt idx="214">
                  <c:v>449.14</c:v>
                </c:pt>
                <c:pt idx="215">
                  <c:v>449.26</c:v>
                </c:pt>
                <c:pt idx="216">
                  <c:v>438.73</c:v>
                </c:pt>
                <c:pt idx="217">
                  <c:v>438.17</c:v>
                </c:pt>
                <c:pt idx="218">
                  <c:v>433.35</c:v>
                </c:pt>
                <c:pt idx="219">
                  <c:v>433.31</c:v>
                </c:pt>
                <c:pt idx="220">
                  <c:v>436.17</c:v>
                </c:pt>
                <c:pt idx="221">
                  <c:v>435.28</c:v>
                </c:pt>
                <c:pt idx="222">
                  <c:v>425.4</c:v>
                </c:pt>
                <c:pt idx="223">
                  <c:v>395.26</c:v>
                </c:pt>
                <c:pt idx="224">
                  <c:v>394.04</c:v>
                </c:pt>
                <c:pt idx="225">
                  <c:v>391.16</c:v>
                </c:pt>
                <c:pt idx="226">
                  <c:v>391.85</c:v>
                </c:pt>
                <c:pt idx="227">
                  <c:v>387.3</c:v>
                </c:pt>
                <c:pt idx="228">
                  <c:v>374.39</c:v>
                </c:pt>
                <c:pt idx="229">
                  <c:v>366.82</c:v>
                </c:pt>
                <c:pt idx="230">
                  <c:v>359.12</c:v>
                </c:pt>
                <c:pt idx="231">
                  <c:v>367.78</c:v>
                </c:pt>
                <c:pt idx="232">
                  <c:v>371.61</c:v>
                </c:pt>
                <c:pt idx="233">
                  <c:v>385.73</c:v>
                </c:pt>
                <c:pt idx="234">
                  <c:v>387.81</c:v>
                </c:pt>
                <c:pt idx="235">
                  <c:v>388.45</c:v>
                </c:pt>
                <c:pt idx="236">
                  <c:v>381.35</c:v>
                </c:pt>
                <c:pt idx="237">
                  <c:v>390.49</c:v>
                </c:pt>
                <c:pt idx="238">
                  <c:v>354.56</c:v>
                </c:pt>
                <c:pt idx="239">
                  <c:v>357.86</c:v>
                </c:pt>
                <c:pt idx="240">
                  <c:v>359.84</c:v>
                </c:pt>
                <c:pt idx="241">
                  <c:v>373.11</c:v>
                </c:pt>
                <c:pt idx="242">
                  <c:v>382.14</c:v>
                </c:pt>
                <c:pt idx="243">
                  <c:v>382.19</c:v>
                </c:pt>
                <c:pt idx="244">
                  <c:v>375.39</c:v>
                </c:pt>
                <c:pt idx="245">
                  <c:v>378.8</c:v>
                </c:pt>
                <c:pt idx="246">
                  <c:v>390.58</c:v>
                </c:pt>
                <c:pt idx="247">
                  <c:v>389.97</c:v>
                </c:pt>
                <c:pt idx="248">
                  <c:v>395.16</c:v>
                </c:pt>
                <c:pt idx="249">
                  <c:v>393.08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3-4079-9831-E9B8E039F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409552"/>
        <c:axId val="548413872"/>
      </c:lineChart>
      <c:dateAx>
        <c:axId val="54840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13872"/>
        <c:crosses val="autoZero"/>
        <c:auto val="1"/>
        <c:lblOffset val="100"/>
        <c:baseTimeUnit val="days"/>
      </c:dateAx>
      <c:valAx>
        <c:axId val="548413872"/>
        <c:scaling>
          <c:orientation val="minMax"/>
          <c:max val="550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Closing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0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ORCL - Closing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Prices!$C$1</c:f>
              <c:strCache>
                <c:ptCount val="1"/>
                <c:pt idx="0">
                  <c:v>ORCL Close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Prices!$A$2:$A$251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Prices!$C$2:$C$251</c:f>
              <c:numCache>
                <c:formatCode>#,##0.00</c:formatCode>
                <c:ptCount val="250"/>
                <c:pt idx="0">
                  <c:v>149.68</c:v>
                </c:pt>
                <c:pt idx="1">
                  <c:v>155.52000000000001</c:v>
                </c:pt>
                <c:pt idx="2">
                  <c:v>152.9</c:v>
                </c:pt>
                <c:pt idx="3">
                  <c:v>154.69</c:v>
                </c:pt>
                <c:pt idx="4">
                  <c:v>155.97</c:v>
                </c:pt>
                <c:pt idx="5">
                  <c:v>155.11000000000001</c:v>
                </c:pt>
                <c:pt idx="6">
                  <c:v>159.16</c:v>
                </c:pt>
                <c:pt idx="7">
                  <c:v>163.12</c:v>
                </c:pt>
                <c:pt idx="8">
                  <c:v>149.4</c:v>
                </c:pt>
                <c:pt idx="9">
                  <c:v>151.56</c:v>
                </c:pt>
                <c:pt idx="10">
                  <c:v>152.96</c:v>
                </c:pt>
                <c:pt idx="11">
                  <c:v>154.79</c:v>
                </c:pt>
                <c:pt idx="12">
                  <c:v>152.37</c:v>
                </c:pt>
                <c:pt idx="13">
                  <c:v>149.01</c:v>
                </c:pt>
                <c:pt idx="14">
                  <c:v>149.25</c:v>
                </c:pt>
                <c:pt idx="15">
                  <c:v>145.4</c:v>
                </c:pt>
                <c:pt idx="16">
                  <c:v>150.31</c:v>
                </c:pt>
                <c:pt idx="17">
                  <c:v>147.88999999999999</c:v>
                </c:pt>
                <c:pt idx="18">
                  <c:v>146.13999999999999</c:v>
                </c:pt>
                <c:pt idx="19">
                  <c:v>141.31</c:v>
                </c:pt>
                <c:pt idx="20">
                  <c:v>148.08000000000001</c:v>
                </c:pt>
                <c:pt idx="21">
                  <c:v>156.54</c:v>
                </c:pt>
                <c:pt idx="22">
                  <c:v>156.16999999999999</c:v>
                </c:pt>
                <c:pt idx="23">
                  <c:v>153.97</c:v>
                </c:pt>
                <c:pt idx="24">
                  <c:v>160.13999999999999</c:v>
                </c:pt>
                <c:pt idx="25">
                  <c:v>156.47999999999999</c:v>
                </c:pt>
                <c:pt idx="26">
                  <c:v>157.16</c:v>
                </c:pt>
                <c:pt idx="27">
                  <c:v>159.88999999999999</c:v>
                </c:pt>
                <c:pt idx="28">
                  <c:v>156.59</c:v>
                </c:pt>
                <c:pt idx="29">
                  <c:v>142.82</c:v>
                </c:pt>
                <c:pt idx="30">
                  <c:v>136.47999999999999</c:v>
                </c:pt>
                <c:pt idx="31">
                  <c:v>146.66999999999999</c:v>
                </c:pt>
                <c:pt idx="32">
                  <c:v>154.66999999999999</c:v>
                </c:pt>
                <c:pt idx="33">
                  <c:v>160.06</c:v>
                </c:pt>
                <c:pt idx="34">
                  <c:v>164.58</c:v>
                </c:pt>
                <c:pt idx="35">
                  <c:v>169.01</c:v>
                </c:pt>
                <c:pt idx="36">
                  <c:v>172.8</c:v>
                </c:pt>
                <c:pt idx="37">
                  <c:v>174.9</c:v>
                </c:pt>
                <c:pt idx="38">
                  <c:v>182.44</c:v>
                </c:pt>
                <c:pt idx="39">
                  <c:v>177.16</c:v>
                </c:pt>
                <c:pt idx="40">
                  <c:v>178.18</c:v>
                </c:pt>
                <c:pt idx="41">
                  <c:v>173.88</c:v>
                </c:pt>
                <c:pt idx="42">
                  <c:v>179.92</c:v>
                </c:pt>
                <c:pt idx="43">
                  <c:v>191.09</c:v>
                </c:pt>
                <c:pt idx="44">
                  <c:v>189.85</c:v>
                </c:pt>
                <c:pt idx="45">
                  <c:v>193.61</c:v>
                </c:pt>
                <c:pt idx="46">
                  <c:v>202.29</c:v>
                </c:pt>
                <c:pt idx="47">
                  <c:v>204.68</c:v>
                </c:pt>
                <c:pt idx="48">
                  <c:v>198.52</c:v>
                </c:pt>
                <c:pt idx="49">
                  <c:v>189.65</c:v>
                </c:pt>
                <c:pt idx="50">
                  <c:v>192.84</c:v>
                </c:pt>
                <c:pt idx="51">
                  <c:v>193.75</c:v>
                </c:pt>
                <c:pt idx="52">
                  <c:v>192.59</c:v>
                </c:pt>
                <c:pt idx="53">
                  <c:v>195.71</c:v>
                </c:pt>
                <c:pt idx="54">
                  <c:v>194.91</c:v>
                </c:pt>
                <c:pt idx="55">
                  <c:v>197.21</c:v>
                </c:pt>
                <c:pt idx="56">
                  <c:v>195.38</c:v>
                </c:pt>
                <c:pt idx="57">
                  <c:v>197.99</c:v>
                </c:pt>
                <c:pt idx="58">
                  <c:v>197.49</c:v>
                </c:pt>
                <c:pt idx="59">
                  <c:v>195.34</c:v>
                </c:pt>
                <c:pt idx="60">
                  <c:v>198.38</c:v>
                </c:pt>
                <c:pt idx="61">
                  <c:v>191.97</c:v>
                </c:pt>
                <c:pt idx="62">
                  <c:v>180.03</c:v>
                </c:pt>
                <c:pt idx="63">
                  <c:v>178.46</c:v>
                </c:pt>
                <c:pt idx="64">
                  <c:v>188.65</c:v>
                </c:pt>
                <c:pt idx="65">
                  <c:v>184.92</c:v>
                </c:pt>
                <c:pt idx="66">
                  <c:v>189.97</c:v>
                </c:pt>
                <c:pt idx="67">
                  <c:v>198.85</c:v>
                </c:pt>
                <c:pt idx="68">
                  <c:v>223.01</c:v>
                </c:pt>
                <c:pt idx="69">
                  <c:v>221.53</c:v>
                </c:pt>
                <c:pt idx="70">
                  <c:v>220.54</c:v>
                </c:pt>
                <c:pt idx="71">
                  <c:v>217.58</c:v>
                </c:pt>
                <c:pt idx="72">
                  <c:v>214.33</c:v>
                </c:pt>
                <c:pt idx="73">
                  <c:v>207.73</c:v>
                </c:pt>
                <c:pt idx="74">
                  <c:v>201.1</c:v>
                </c:pt>
                <c:pt idx="75">
                  <c:v>200.94</c:v>
                </c:pt>
                <c:pt idx="76">
                  <c:v>201.95</c:v>
                </c:pt>
                <c:pt idx="77">
                  <c:v>204.96</c:v>
                </c:pt>
                <c:pt idx="78">
                  <c:v>197.03</c:v>
                </c:pt>
                <c:pt idx="79">
                  <c:v>200.28</c:v>
                </c:pt>
                <c:pt idx="80">
                  <c:v>198.76</c:v>
                </c:pt>
                <c:pt idx="81">
                  <c:v>210.69</c:v>
                </c:pt>
                <c:pt idx="82">
                  <c:v>225.53</c:v>
                </c:pt>
                <c:pt idx="83">
                  <c:v>220.49</c:v>
                </c:pt>
                <c:pt idx="84">
                  <c:v>219.86</c:v>
                </c:pt>
                <c:pt idx="85">
                  <c:v>222.85</c:v>
                </c:pt>
                <c:pt idx="86">
                  <c:v>217.57</c:v>
                </c:pt>
                <c:pt idx="87">
                  <c:v>226.99</c:v>
                </c:pt>
                <c:pt idx="88">
                  <c:v>236.15</c:v>
                </c:pt>
                <c:pt idx="89">
                  <c:v>240.83</c:v>
                </c:pt>
                <c:pt idx="90">
                  <c:v>239.26</c:v>
                </c:pt>
                <c:pt idx="91">
                  <c:v>243.8</c:v>
                </c:pt>
                <c:pt idx="92">
                  <c:v>250.31</c:v>
                </c:pt>
                <c:pt idx="93">
                  <c:v>248.17</c:v>
                </c:pt>
                <c:pt idx="94">
                  <c:v>257.85000000000002</c:v>
                </c:pt>
                <c:pt idx="95">
                  <c:v>262.61</c:v>
                </c:pt>
                <c:pt idx="96">
                  <c:v>256.89</c:v>
                </c:pt>
                <c:pt idx="97">
                  <c:v>275.3</c:v>
                </c:pt>
                <c:pt idx="98">
                  <c:v>280.83</c:v>
                </c:pt>
                <c:pt idx="99">
                  <c:v>281.39999999999998</c:v>
                </c:pt>
                <c:pt idx="100">
                  <c:v>283.33</c:v>
                </c:pt>
                <c:pt idx="101">
                  <c:v>280.07</c:v>
                </c:pt>
                <c:pt idx="102">
                  <c:v>272.66000000000003</c:v>
                </c:pt>
                <c:pt idx="103">
                  <c:v>275.14999999999998</c:v>
                </c:pt>
                <c:pt idx="104">
                  <c:v>277.18</c:v>
                </c:pt>
                <c:pt idx="105">
                  <c:v>291.31</c:v>
                </c:pt>
                <c:pt idx="106">
                  <c:v>313</c:v>
                </c:pt>
                <c:pt idx="107">
                  <c:v>303.62</c:v>
                </c:pt>
                <c:pt idx="108">
                  <c:v>299</c:v>
                </c:pt>
                <c:pt idx="109">
                  <c:v>308.01</c:v>
                </c:pt>
                <c:pt idx="110">
                  <c:v>292.95999999999998</c:v>
                </c:pt>
                <c:pt idx="111">
                  <c:v>296.95999999999998</c:v>
                </c:pt>
                <c:pt idx="112">
                  <c:v>288.63</c:v>
                </c:pt>
                <c:pt idx="113">
                  <c:v>284.24</c:v>
                </c:pt>
                <c:pt idx="114">
                  <c:v>291.58999999999997</c:v>
                </c:pt>
                <c:pt idx="115">
                  <c:v>286.14</c:v>
                </c:pt>
                <c:pt idx="116">
                  <c:v>288.77999999999997</c:v>
                </c:pt>
                <c:pt idx="117">
                  <c:v>289.01</c:v>
                </c:pt>
                <c:pt idx="118">
                  <c:v>281.24</c:v>
                </c:pt>
                <c:pt idx="119">
                  <c:v>282.76</c:v>
                </c:pt>
                <c:pt idx="120">
                  <c:v>283.45999999999998</c:v>
                </c:pt>
                <c:pt idx="121">
                  <c:v>291.33</c:v>
                </c:pt>
                <c:pt idx="122">
                  <c:v>308.45999999999998</c:v>
                </c:pt>
                <c:pt idx="123">
                  <c:v>313.83</c:v>
                </c:pt>
                <c:pt idx="124">
                  <c:v>328.15</c:v>
                </c:pt>
                <c:pt idx="125">
                  <c:v>308.66000000000003</c:v>
                </c:pt>
                <c:pt idx="126">
                  <c:v>296.62</c:v>
                </c:pt>
                <c:pt idx="127">
                  <c:v>301.41000000000003</c:v>
                </c:pt>
                <c:pt idx="128">
                  <c:v>306.64999999999998</c:v>
                </c:pt>
                <c:pt idx="129">
                  <c:v>302.14</c:v>
                </c:pt>
                <c:pt idx="130">
                  <c:v>292.18</c:v>
                </c:pt>
                <c:pt idx="131">
                  <c:v>307.86</c:v>
                </c:pt>
                <c:pt idx="132">
                  <c:v>328.33</c:v>
                </c:pt>
                <c:pt idx="133">
                  <c:v>241.51</c:v>
                </c:pt>
                <c:pt idx="134">
                  <c:v>238.48</c:v>
                </c:pt>
                <c:pt idx="135">
                  <c:v>232.8</c:v>
                </c:pt>
                <c:pt idx="136">
                  <c:v>223</c:v>
                </c:pt>
                <c:pt idx="137">
                  <c:v>223.45</c:v>
                </c:pt>
                <c:pt idx="138">
                  <c:v>225.3</c:v>
                </c:pt>
                <c:pt idx="139">
                  <c:v>226.13</c:v>
                </c:pt>
                <c:pt idx="140">
                  <c:v>240.32</c:v>
                </c:pt>
                <c:pt idx="141">
                  <c:v>235.81</c:v>
                </c:pt>
                <c:pt idx="142">
                  <c:v>234.21</c:v>
                </c:pt>
                <c:pt idx="143">
                  <c:v>235.41</c:v>
                </c:pt>
                <c:pt idx="144">
                  <c:v>236.37</c:v>
                </c:pt>
                <c:pt idx="145">
                  <c:v>233.16</c:v>
                </c:pt>
                <c:pt idx="146">
                  <c:v>235.06</c:v>
                </c:pt>
                <c:pt idx="147">
                  <c:v>234.62</c:v>
                </c:pt>
                <c:pt idx="148">
                  <c:v>249.07</c:v>
                </c:pt>
                <c:pt idx="149">
                  <c:v>248.28</c:v>
                </c:pt>
                <c:pt idx="150">
                  <c:v>244.96</c:v>
                </c:pt>
                <c:pt idx="151">
                  <c:v>244.18</c:v>
                </c:pt>
                <c:pt idx="152">
                  <c:v>253.86</c:v>
                </c:pt>
                <c:pt idx="153">
                  <c:v>252.68</c:v>
                </c:pt>
                <c:pt idx="154">
                  <c:v>250.05</c:v>
                </c:pt>
                <c:pt idx="155">
                  <c:v>249.39</c:v>
                </c:pt>
                <c:pt idx="156">
                  <c:v>256.43</c:v>
                </c:pt>
                <c:pt idx="157">
                  <c:v>255.67</c:v>
                </c:pt>
                <c:pt idx="158">
                  <c:v>252.53</c:v>
                </c:pt>
                <c:pt idx="159">
                  <c:v>244.42</c:v>
                </c:pt>
                <c:pt idx="160">
                  <c:v>253.77</c:v>
                </c:pt>
                <c:pt idx="161">
                  <c:v>250.6</c:v>
                </c:pt>
                <c:pt idx="162">
                  <c:v>249.98</c:v>
                </c:pt>
                <c:pt idx="163">
                  <c:v>247.71</c:v>
                </c:pt>
                <c:pt idx="164">
                  <c:v>245.12</c:v>
                </c:pt>
                <c:pt idx="165">
                  <c:v>242.83</c:v>
                </c:pt>
                <c:pt idx="166">
                  <c:v>241.9</c:v>
                </c:pt>
                <c:pt idx="167">
                  <c:v>238.11</c:v>
                </c:pt>
                <c:pt idx="168">
                  <c:v>243.54</c:v>
                </c:pt>
                <c:pt idx="169">
                  <c:v>245.45</c:v>
                </c:pt>
                <c:pt idx="170">
                  <c:v>248.75</c:v>
                </c:pt>
                <c:pt idx="171">
                  <c:v>241.3</c:v>
                </c:pt>
                <c:pt idx="172">
                  <c:v>234.96</c:v>
                </c:pt>
                <c:pt idx="173">
                  <c:v>229.28</c:v>
                </c:pt>
                <c:pt idx="174">
                  <c:v>230.56</c:v>
                </c:pt>
                <c:pt idx="175">
                  <c:v>235</c:v>
                </c:pt>
                <c:pt idx="176">
                  <c:v>235.81</c:v>
                </c:pt>
                <c:pt idx="177">
                  <c:v>234.5</c:v>
                </c:pt>
                <c:pt idx="178">
                  <c:v>232.26</c:v>
                </c:pt>
                <c:pt idx="179">
                  <c:v>237.32</c:v>
                </c:pt>
                <c:pt idx="180">
                  <c:v>229.98</c:v>
                </c:pt>
                <c:pt idx="181">
                  <c:v>218.96</c:v>
                </c:pt>
                <c:pt idx="182">
                  <c:v>218.63</c:v>
                </c:pt>
                <c:pt idx="183">
                  <c:v>210.24</c:v>
                </c:pt>
                <c:pt idx="184">
                  <c:v>212.82</c:v>
                </c:pt>
                <c:pt idx="185">
                  <c:v>210.72</c:v>
                </c:pt>
                <c:pt idx="186">
                  <c:v>215.27</c:v>
                </c:pt>
                <c:pt idx="187">
                  <c:v>207.04</c:v>
                </c:pt>
                <c:pt idx="188">
                  <c:v>205.17</c:v>
                </c:pt>
                <c:pt idx="189">
                  <c:v>210.87</c:v>
                </c:pt>
                <c:pt idx="190">
                  <c:v>208.18</c:v>
                </c:pt>
                <c:pt idx="191">
                  <c:v>211.1</c:v>
                </c:pt>
                <c:pt idx="192">
                  <c:v>215.22</c:v>
                </c:pt>
                <c:pt idx="193">
                  <c:v>199.86</c:v>
                </c:pt>
                <c:pt idx="194">
                  <c:v>176.38</c:v>
                </c:pt>
                <c:pt idx="195">
                  <c:v>177.48</c:v>
                </c:pt>
                <c:pt idx="196">
                  <c:v>177.15</c:v>
                </c:pt>
                <c:pt idx="197">
                  <c:v>174.02</c:v>
                </c:pt>
                <c:pt idx="198">
                  <c:v>171.14</c:v>
                </c:pt>
                <c:pt idx="199">
                  <c:v>168.1</c:v>
                </c:pt>
                <c:pt idx="200">
                  <c:v>169.14</c:v>
                </c:pt>
                <c:pt idx="201">
                  <c:v>166.57</c:v>
                </c:pt>
                <c:pt idx="202">
                  <c:v>165.53</c:v>
                </c:pt>
                <c:pt idx="203">
                  <c:v>162.9</c:v>
                </c:pt>
                <c:pt idx="204">
                  <c:v>163.85</c:v>
                </c:pt>
                <c:pt idx="205">
                  <c:v>161.91</c:v>
                </c:pt>
                <c:pt idx="206">
                  <c:v>155.97</c:v>
                </c:pt>
                <c:pt idx="207">
                  <c:v>157.31</c:v>
                </c:pt>
                <c:pt idx="208">
                  <c:v>157.18</c:v>
                </c:pt>
                <c:pt idx="209">
                  <c:v>160.31</c:v>
                </c:pt>
                <c:pt idx="210">
                  <c:v>159.63999999999999</c:v>
                </c:pt>
                <c:pt idx="211">
                  <c:v>160.49</c:v>
                </c:pt>
                <c:pt idx="212">
                  <c:v>159.4</c:v>
                </c:pt>
                <c:pt idx="213">
                  <c:v>162.94999999999999</c:v>
                </c:pt>
                <c:pt idx="214">
                  <c:v>162.27000000000001</c:v>
                </c:pt>
                <c:pt idx="215">
                  <c:v>157.22</c:v>
                </c:pt>
                <c:pt idx="216">
                  <c:v>150.34</c:v>
                </c:pt>
                <c:pt idx="217">
                  <c:v>150.30000000000001</c:v>
                </c:pt>
                <c:pt idx="218">
                  <c:v>149.37</c:v>
                </c:pt>
                <c:pt idx="219">
                  <c:v>147.69999999999999</c:v>
                </c:pt>
                <c:pt idx="220">
                  <c:v>149.29</c:v>
                </c:pt>
                <c:pt idx="221">
                  <c:v>150.72999999999999</c:v>
                </c:pt>
                <c:pt idx="222">
                  <c:v>145.49</c:v>
                </c:pt>
                <c:pt idx="223">
                  <c:v>140.72</c:v>
                </c:pt>
                <c:pt idx="224">
                  <c:v>140.79</c:v>
                </c:pt>
                <c:pt idx="225">
                  <c:v>140.13999999999999</c:v>
                </c:pt>
                <c:pt idx="226">
                  <c:v>138.49</c:v>
                </c:pt>
                <c:pt idx="227">
                  <c:v>137.51</c:v>
                </c:pt>
                <c:pt idx="228">
                  <c:v>131.4</c:v>
                </c:pt>
                <c:pt idx="229">
                  <c:v>127.24</c:v>
                </c:pt>
                <c:pt idx="230">
                  <c:v>122.82</c:v>
                </c:pt>
                <c:pt idx="231">
                  <c:v>128.62</c:v>
                </c:pt>
                <c:pt idx="232">
                  <c:v>129.76</c:v>
                </c:pt>
                <c:pt idx="233">
                  <c:v>133.94</c:v>
                </c:pt>
                <c:pt idx="234">
                  <c:v>134.63999999999999</c:v>
                </c:pt>
                <c:pt idx="235">
                  <c:v>132.35</c:v>
                </c:pt>
                <c:pt idx="236">
                  <c:v>133.35</c:v>
                </c:pt>
                <c:pt idx="237">
                  <c:v>139.69</c:v>
                </c:pt>
                <c:pt idx="238">
                  <c:v>124.5</c:v>
                </c:pt>
                <c:pt idx="239">
                  <c:v>127.16</c:v>
                </c:pt>
                <c:pt idx="240">
                  <c:v>128.27000000000001</c:v>
                </c:pt>
                <c:pt idx="241">
                  <c:v>137.22999999999999</c:v>
                </c:pt>
                <c:pt idx="242">
                  <c:v>145.86000000000001</c:v>
                </c:pt>
                <c:pt idx="243">
                  <c:v>141.94</c:v>
                </c:pt>
                <c:pt idx="244">
                  <c:v>139.81</c:v>
                </c:pt>
                <c:pt idx="245">
                  <c:v>140.87</c:v>
                </c:pt>
                <c:pt idx="246">
                  <c:v>145.78</c:v>
                </c:pt>
                <c:pt idx="247">
                  <c:v>147.80000000000001</c:v>
                </c:pt>
                <c:pt idx="248">
                  <c:v>153.93</c:v>
                </c:pt>
                <c:pt idx="249">
                  <c:v>154.87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A-4B8F-A11C-C7E14A5B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420592"/>
        <c:axId val="365597040"/>
      </c:lineChart>
      <c:dateAx>
        <c:axId val="54842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597040"/>
        <c:crosses val="autoZero"/>
        <c:auto val="1"/>
        <c:lblOffset val="100"/>
        <c:baseTimeUnit val="days"/>
      </c:dateAx>
      <c:valAx>
        <c:axId val="365597040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Closing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SONY - Closing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Prices!$D$1</c:f>
              <c:strCache>
                <c:ptCount val="1"/>
                <c:pt idx="0">
                  <c:v>SONY Close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Prices!$A$2:$A$251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Prices!$D$2:$D$251</c:f>
              <c:numCache>
                <c:formatCode>#,##0.00</c:formatCode>
                <c:ptCount val="250"/>
                <c:pt idx="0">
                  <c:v>20.22</c:v>
                </c:pt>
                <c:pt idx="1">
                  <c:v>20.62</c:v>
                </c:pt>
                <c:pt idx="2">
                  <c:v>20.38</c:v>
                </c:pt>
                <c:pt idx="3">
                  <c:v>20.92</c:v>
                </c:pt>
                <c:pt idx="4">
                  <c:v>21.65</c:v>
                </c:pt>
                <c:pt idx="5">
                  <c:v>21.49</c:v>
                </c:pt>
                <c:pt idx="6">
                  <c:v>21.46</c:v>
                </c:pt>
                <c:pt idx="7">
                  <c:v>21.49</c:v>
                </c:pt>
                <c:pt idx="8">
                  <c:v>21.68</c:v>
                </c:pt>
                <c:pt idx="9">
                  <c:v>21.62</c:v>
                </c:pt>
                <c:pt idx="10">
                  <c:v>21.48</c:v>
                </c:pt>
                <c:pt idx="11">
                  <c:v>21.37</c:v>
                </c:pt>
                <c:pt idx="12">
                  <c:v>21.99</c:v>
                </c:pt>
                <c:pt idx="13">
                  <c:v>21.58</c:v>
                </c:pt>
                <c:pt idx="14">
                  <c:v>22.69</c:v>
                </c:pt>
                <c:pt idx="15">
                  <c:v>23.06</c:v>
                </c:pt>
                <c:pt idx="16">
                  <c:v>22.59</c:v>
                </c:pt>
                <c:pt idx="17">
                  <c:v>21.41</c:v>
                </c:pt>
                <c:pt idx="18">
                  <c:v>21.6</c:v>
                </c:pt>
                <c:pt idx="19">
                  <c:v>21.67</c:v>
                </c:pt>
                <c:pt idx="20">
                  <c:v>21.93</c:v>
                </c:pt>
                <c:pt idx="21">
                  <c:v>22.25</c:v>
                </c:pt>
                <c:pt idx="22">
                  <c:v>22.5</c:v>
                </c:pt>
                <c:pt idx="23">
                  <c:v>22.82</c:v>
                </c:pt>
                <c:pt idx="24">
                  <c:v>23.19</c:v>
                </c:pt>
                <c:pt idx="25">
                  <c:v>22.87</c:v>
                </c:pt>
                <c:pt idx="26">
                  <c:v>22.95</c:v>
                </c:pt>
                <c:pt idx="27">
                  <c:v>22.83</c:v>
                </c:pt>
                <c:pt idx="28">
                  <c:v>22.33</c:v>
                </c:pt>
                <c:pt idx="29">
                  <c:v>22.26</c:v>
                </c:pt>
                <c:pt idx="30">
                  <c:v>21.24</c:v>
                </c:pt>
                <c:pt idx="31">
                  <c:v>21.91</c:v>
                </c:pt>
                <c:pt idx="32">
                  <c:v>21.93</c:v>
                </c:pt>
                <c:pt idx="33">
                  <c:v>22.12</c:v>
                </c:pt>
                <c:pt idx="34">
                  <c:v>22.1</c:v>
                </c:pt>
                <c:pt idx="35">
                  <c:v>22.29</c:v>
                </c:pt>
                <c:pt idx="36">
                  <c:v>22.28</c:v>
                </c:pt>
                <c:pt idx="37">
                  <c:v>22.6</c:v>
                </c:pt>
                <c:pt idx="38">
                  <c:v>22.96</c:v>
                </c:pt>
                <c:pt idx="39">
                  <c:v>23.09</c:v>
                </c:pt>
                <c:pt idx="40">
                  <c:v>22.96</c:v>
                </c:pt>
                <c:pt idx="41">
                  <c:v>23.68</c:v>
                </c:pt>
                <c:pt idx="42">
                  <c:v>23.72</c:v>
                </c:pt>
                <c:pt idx="43">
                  <c:v>24.05</c:v>
                </c:pt>
                <c:pt idx="44">
                  <c:v>24.12</c:v>
                </c:pt>
                <c:pt idx="45">
                  <c:v>24.09</c:v>
                </c:pt>
                <c:pt idx="46">
                  <c:v>24.41</c:v>
                </c:pt>
                <c:pt idx="47">
                  <c:v>25.18</c:v>
                </c:pt>
                <c:pt idx="48">
                  <c:v>25.04</c:v>
                </c:pt>
                <c:pt idx="49">
                  <c:v>25.25</c:v>
                </c:pt>
                <c:pt idx="50">
                  <c:v>25.12</c:v>
                </c:pt>
                <c:pt idx="51">
                  <c:v>25.74</c:v>
                </c:pt>
                <c:pt idx="52">
                  <c:v>25.83</c:v>
                </c:pt>
                <c:pt idx="53">
                  <c:v>25.88</c:v>
                </c:pt>
                <c:pt idx="54">
                  <c:v>25.6</c:v>
                </c:pt>
                <c:pt idx="55">
                  <c:v>25.72</c:v>
                </c:pt>
                <c:pt idx="56">
                  <c:v>25.77</c:v>
                </c:pt>
                <c:pt idx="57">
                  <c:v>25.82</c:v>
                </c:pt>
                <c:pt idx="58">
                  <c:v>25.7</c:v>
                </c:pt>
                <c:pt idx="59">
                  <c:v>25.76</c:v>
                </c:pt>
                <c:pt idx="60">
                  <c:v>25.23</c:v>
                </c:pt>
                <c:pt idx="61">
                  <c:v>25.4</c:v>
                </c:pt>
                <c:pt idx="62">
                  <c:v>25.91</c:v>
                </c:pt>
                <c:pt idx="63">
                  <c:v>25.96</c:v>
                </c:pt>
                <c:pt idx="64">
                  <c:v>26.45</c:v>
                </c:pt>
                <c:pt idx="65">
                  <c:v>26.64</c:v>
                </c:pt>
                <c:pt idx="66">
                  <c:v>26.77</c:v>
                </c:pt>
                <c:pt idx="67">
                  <c:v>26.73</c:v>
                </c:pt>
                <c:pt idx="68">
                  <c:v>27.08</c:v>
                </c:pt>
                <c:pt idx="69">
                  <c:v>27.56</c:v>
                </c:pt>
                <c:pt idx="70">
                  <c:v>27.55</c:v>
                </c:pt>
                <c:pt idx="71">
                  <c:v>28.03</c:v>
                </c:pt>
                <c:pt idx="72">
                  <c:v>28.29</c:v>
                </c:pt>
                <c:pt idx="73">
                  <c:v>28.46</c:v>
                </c:pt>
                <c:pt idx="74">
                  <c:v>28.57</c:v>
                </c:pt>
                <c:pt idx="75">
                  <c:v>28.78</c:v>
                </c:pt>
                <c:pt idx="76">
                  <c:v>29.35</c:v>
                </c:pt>
                <c:pt idx="77">
                  <c:v>29.08</c:v>
                </c:pt>
                <c:pt idx="78">
                  <c:v>28.6</c:v>
                </c:pt>
                <c:pt idx="79">
                  <c:v>29.01</c:v>
                </c:pt>
                <c:pt idx="80">
                  <c:v>28.53</c:v>
                </c:pt>
                <c:pt idx="81">
                  <c:v>27.75</c:v>
                </c:pt>
                <c:pt idx="82">
                  <c:v>28.55</c:v>
                </c:pt>
                <c:pt idx="83">
                  <c:v>28.67</c:v>
                </c:pt>
                <c:pt idx="84">
                  <c:v>29.09</c:v>
                </c:pt>
                <c:pt idx="85">
                  <c:v>30.12</c:v>
                </c:pt>
                <c:pt idx="86">
                  <c:v>29.44</c:v>
                </c:pt>
                <c:pt idx="87">
                  <c:v>30.26</c:v>
                </c:pt>
                <c:pt idx="88">
                  <c:v>29.16</c:v>
                </c:pt>
                <c:pt idx="89">
                  <c:v>27.97</c:v>
                </c:pt>
                <c:pt idx="90">
                  <c:v>27.71</c:v>
                </c:pt>
                <c:pt idx="91">
                  <c:v>28.29</c:v>
                </c:pt>
                <c:pt idx="92">
                  <c:v>28.08</c:v>
                </c:pt>
                <c:pt idx="93">
                  <c:v>27.91</c:v>
                </c:pt>
                <c:pt idx="94">
                  <c:v>27.95</c:v>
                </c:pt>
                <c:pt idx="95">
                  <c:v>27.89</c:v>
                </c:pt>
                <c:pt idx="96">
                  <c:v>27.75</c:v>
                </c:pt>
                <c:pt idx="97">
                  <c:v>28.18</c:v>
                </c:pt>
                <c:pt idx="98">
                  <c:v>28.99</c:v>
                </c:pt>
                <c:pt idx="99">
                  <c:v>28.7</c:v>
                </c:pt>
                <c:pt idx="100">
                  <c:v>28.65</c:v>
                </c:pt>
                <c:pt idx="101">
                  <c:v>28.71</c:v>
                </c:pt>
                <c:pt idx="102">
                  <c:v>28.75</c:v>
                </c:pt>
                <c:pt idx="103">
                  <c:v>29.14</c:v>
                </c:pt>
                <c:pt idx="104">
                  <c:v>29.19</c:v>
                </c:pt>
                <c:pt idx="105">
                  <c:v>28.9</c:v>
                </c:pt>
                <c:pt idx="106">
                  <c:v>28.5</c:v>
                </c:pt>
                <c:pt idx="107">
                  <c:v>28.89</c:v>
                </c:pt>
                <c:pt idx="108">
                  <c:v>28.83</c:v>
                </c:pt>
                <c:pt idx="109">
                  <c:v>28.87</c:v>
                </c:pt>
                <c:pt idx="110">
                  <c:v>28.25</c:v>
                </c:pt>
                <c:pt idx="111">
                  <c:v>29.84</c:v>
                </c:pt>
                <c:pt idx="112">
                  <c:v>29.75</c:v>
                </c:pt>
                <c:pt idx="113">
                  <c:v>29.74</c:v>
                </c:pt>
                <c:pt idx="114">
                  <c:v>30.1</c:v>
                </c:pt>
                <c:pt idx="115">
                  <c:v>28.96</c:v>
                </c:pt>
                <c:pt idx="116">
                  <c:v>28.08</c:v>
                </c:pt>
                <c:pt idx="117">
                  <c:v>28.74</c:v>
                </c:pt>
                <c:pt idx="118">
                  <c:v>28.79</c:v>
                </c:pt>
                <c:pt idx="119">
                  <c:v>29.1</c:v>
                </c:pt>
                <c:pt idx="120">
                  <c:v>29.04</c:v>
                </c:pt>
                <c:pt idx="121">
                  <c:v>29.088799999999999</c:v>
                </c:pt>
                <c:pt idx="122">
                  <c:v>28.610900000000001</c:v>
                </c:pt>
                <c:pt idx="123">
                  <c:v>29.020499999999998</c:v>
                </c:pt>
                <c:pt idx="124">
                  <c:v>28.991199999999999</c:v>
                </c:pt>
                <c:pt idx="125">
                  <c:v>28.630400000000002</c:v>
                </c:pt>
                <c:pt idx="126">
                  <c:v>29.322800000000001</c:v>
                </c:pt>
                <c:pt idx="127">
                  <c:v>28.435400000000001</c:v>
                </c:pt>
                <c:pt idx="128">
                  <c:v>28.103899999999999</c:v>
                </c:pt>
                <c:pt idx="129">
                  <c:v>28.610900000000001</c:v>
                </c:pt>
                <c:pt idx="130">
                  <c:v>28.484200000000001</c:v>
                </c:pt>
                <c:pt idx="131">
                  <c:v>28.464700000000001</c:v>
                </c:pt>
                <c:pt idx="132">
                  <c:v>27.938099999999999</c:v>
                </c:pt>
                <c:pt idx="133">
                  <c:v>27.996600000000001</c:v>
                </c:pt>
                <c:pt idx="134">
                  <c:v>27.957599999999999</c:v>
                </c:pt>
                <c:pt idx="135">
                  <c:v>26.884899999999998</c:v>
                </c:pt>
                <c:pt idx="136">
                  <c:v>27.148199999999999</c:v>
                </c:pt>
                <c:pt idx="137">
                  <c:v>26.3583</c:v>
                </c:pt>
                <c:pt idx="138">
                  <c:v>26.2803</c:v>
                </c:pt>
                <c:pt idx="139">
                  <c:v>26.836200000000002</c:v>
                </c:pt>
                <c:pt idx="140">
                  <c:v>27.304200000000002</c:v>
                </c:pt>
                <c:pt idx="141">
                  <c:v>27.148199999999999</c:v>
                </c:pt>
                <c:pt idx="142">
                  <c:v>27.187200000000001</c:v>
                </c:pt>
                <c:pt idx="143">
                  <c:v>27.421199999999999</c:v>
                </c:pt>
                <c:pt idx="144">
                  <c:v>27.899100000000001</c:v>
                </c:pt>
                <c:pt idx="145">
                  <c:v>26.9434</c:v>
                </c:pt>
                <c:pt idx="146">
                  <c:v>27.421199999999999</c:v>
                </c:pt>
                <c:pt idx="147">
                  <c:v>27.5383</c:v>
                </c:pt>
                <c:pt idx="148">
                  <c:v>27.645499999999998</c:v>
                </c:pt>
                <c:pt idx="149">
                  <c:v>28.0258</c:v>
                </c:pt>
                <c:pt idx="150">
                  <c:v>27.050699999999999</c:v>
                </c:pt>
                <c:pt idx="151">
                  <c:v>27.284700000000001</c:v>
                </c:pt>
                <c:pt idx="152">
                  <c:v>26.514399999999998</c:v>
                </c:pt>
                <c:pt idx="153">
                  <c:v>26.6021</c:v>
                </c:pt>
                <c:pt idx="154">
                  <c:v>26.4754</c:v>
                </c:pt>
                <c:pt idx="155">
                  <c:v>25.383199999999999</c:v>
                </c:pt>
                <c:pt idx="156">
                  <c:v>24.300799999999999</c:v>
                </c:pt>
                <c:pt idx="157">
                  <c:v>23.920500000000001</c:v>
                </c:pt>
                <c:pt idx="158">
                  <c:v>24.1447</c:v>
                </c:pt>
                <c:pt idx="159">
                  <c:v>23.764399999999998</c:v>
                </c:pt>
                <c:pt idx="160">
                  <c:v>23.715699999999998</c:v>
                </c:pt>
                <c:pt idx="161">
                  <c:v>23.598700000000001</c:v>
                </c:pt>
                <c:pt idx="162">
                  <c:v>23.549900000000001</c:v>
                </c:pt>
                <c:pt idx="163">
                  <c:v>23.7547</c:v>
                </c:pt>
                <c:pt idx="164">
                  <c:v>24.261800000000001</c:v>
                </c:pt>
                <c:pt idx="165">
                  <c:v>24.749300000000002</c:v>
                </c:pt>
                <c:pt idx="166">
                  <c:v>24.632300000000001</c:v>
                </c:pt>
                <c:pt idx="167">
                  <c:v>23.491399999999999</c:v>
                </c:pt>
                <c:pt idx="168">
                  <c:v>23.471900000000002</c:v>
                </c:pt>
                <c:pt idx="169">
                  <c:v>23.325600000000001</c:v>
                </c:pt>
                <c:pt idx="170">
                  <c:v>23.8034</c:v>
                </c:pt>
                <c:pt idx="171">
                  <c:v>23.3841</c:v>
                </c:pt>
                <c:pt idx="172">
                  <c:v>23.4816</c:v>
                </c:pt>
                <c:pt idx="173">
                  <c:v>23.793700000000001</c:v>
                </c:pt>
                <c:pt idx="174">
                  <c:v>23.822900000000001</c:v>
                </c:pt>
                <c:pt idx="175">
                  <c:v>24.037500000000001</c:v>
                </c:pt>
                <c:pt idx="176">
                  <c:v>24.544599999999999</c:v>
                </c:pt>
                <c:pt idx="177">
                  <c:v>24.622599999999998</c:v>
                </c:pt>
                <c:pt idx="178">
                  <c:v>24.671299999999999</c:v>
                </c:pt>
                <c:pt idx="179">
                  <c:v>24.944400000000002</c:v>
                </c:pt>
                <c:pt idx="180">
                  <c:v>25.071100000000001</c:v>
                </c:pt>
                <c:pt idx="181">
                  <c:v>24.8371</c:v>
                </c:pt>
                <c:pt idx="182">
                  <c:v>25.383199999999999</c:v>
                </c:pt>
                <c:pt idx="183">
                  <c:v>25.6465</c:v>
                </c:pt>
                <c:pt idx="184">
                  <c:v>24.9054</c:v>
                </c:pt>
                <c:pt idx="185">
                  <c:v>24.300799999999999</c:v>
                </c:pt>
                <c:pt idx="186">
                  <c:v>24.369</c:v>
                </c:pt>
                <c:pt idx="187">
                  <c:v>23.813199999999998</c:v>
                </c:pt>
                <c:pt idx="188">
                  <c:v>24.135000000000002</c:v>
                </c:pt>
                <c:pt idx="189">
                  <c:v>25.236899999999999</c:v>
                </c:pt>
                <c:pt idx="190">
                  <c:v>25.022400000000001</c:v>
                </c:pt>
                <c:pt idx="191">
                  <c:v>25.441700000000001</c:v>
                </c:pt>
                <c:pt idx="192">
                  <c:v>25.285699999999999</c:v>
                </c:pt>
                <c:pt idx="193">
                  <c:v>25.744</c:v>
                </c:pt>
                <c:pt idx="194">
                  <c:v>25.266200000000001</c:v>
                </c:pt>
                <c:pt idx="195">
                  <c:v>25.548999999999999</c:v>
                </c:pt>
                <c:pt idx="196">
                  <c:v>25.929300000000001</c:v>
                </c:pt>
                <c:pt idx="197">
                  <c:v>25.997499999999999</c:v>
                </c:pt>
                <c:pt idx="198">
                  <c:v>25.675699999999999</c:v>
                </c:pt>
                <c:pt idx="199">
                  <c:v>26.007300000000001</c:v>
                </c:pt>
                <c:pt idx="200">
                  <c:v>26.104800000000001</c:v>
                </c:pt>
                <c:pt idx="201">
                  <c:v>26.2121</c:v>
                </c:pt>
                <c:pt idx="202">
                  <c:v>25.724499999999999</c:v>
                </c:pt>
                <c:pt idx="203">
                  <c:v>25.958500000000001</c:v>
                </c:pt>
                <c:pt idx="204">
                  <c:v>25.6465</c:v>
                </c:pt>
                <c:pt idx="205">
                  <c:v>25.9</c:v>
                </c:pt>
                <c:pt idx="206">
                  <c:v>24.895600000000002</c:v>
                </c:pt>
                <c:pt idx="207">
                  <c:v>24.700600000000001</c:v>
                </c:pt>
                <c:pt idx="208">
                  <c:v>24.2715</c:v>
                </c:pt>
                <c:pt idx="209">
                  <c:v>25.158899999999999</c:v>
                </c:pt>
                <c:pt idx="210">
                  <c:v>24.4178</c:v>
                </c:pt>
                <c:pt idx="211">
                  <c:v>24.066700000000001</c:v>
                </c:pt>
                <c:pt idx="212">
                  <c:v>24.251999999999999</c:v>
                </c:pt>
                <c:pt idx="213">
                  <c:v>24.261800000000001</c:v>
                </c:pt>
                <c:pt idx="214">
                  <c:v>23.930199999999999</c:v>
                </c:pt>
                <c:pt idx="215">
                  <c:v>24.1252</c:v>
                </c:pt>
                <c:pt idx="216">
                  <c:v>24.086200000000002</c:v>
                </c:pt>
                <c:pt idx="217">
                  <c:v>23.842400000000001</c:v>
                </c:pt>
                <c:pt idx="218">
                  <c:v>24.398299999999999</c:v>
                </c:pt>
                <c:pt idx="219">
                  <c:v>24.603100000000001</c:v>
                </c:pt>
                <c:pt idx="220">
                  <c:v>24.6128</c:v>
                </c:pt>
                <c:pt idx="221">
                  <c:v>24.700600000000001</c:v>
                </c:pt>
                <c:pt idx="222">
                  <c:v>24.651800000000001</c:v>
                </c:pt>
                <c:pt idx="223">
                  <c:v>25.353899999999999</c:v>
                </c:pt>
                <c:pt idx="224">
                  <c:v>25.110099999999999</c:v>
                </c:pt>
                <c:pt idx="225">
                  <c:v>24.651800000000001</c:v>
                </c:pt>
                <c:pt idx="226">
                  <c:v>24.349499999999999</c:v>
                </c:pt>
                <c:pt idx="227">
                  <c:v>24.495799999999999</c:v>
                </c:pt>
                <c:pt idx="228">
                  <c:v>24.2715</c:v>
                </c:pt>
                <c:pt idx="229">
                  <c:v>23.7254</c:v>
                </c:pt>
                <c:pt idx="230">
                  <c:v>23.159800000000001</c:v>
                </c:pt>
                <c:pt idx="231">
                  <c:v>23.413399999999999</c:v>
                </c:pt>
                <c:pt idx="232">
                  <c:v>22.779499999999999</c:v>
                </c:pt>
                <c:pt idx="233">
                  <c:v>23.0916</c:v>
                </c:pt>
                <c:pt idx="234">
                  <c:v>22.857500000000002</c:v>
                </c:pt>
                <c:pt idx="235">
                  <c:v>22.37</c:v>
                </c:pt>
                <c:pt idx="236">
                  <c:v>22.3505</c:v>
                </c:pt>
                <c:pt idx="237">
                  <c:v>22.3992</c:v>
                </c:pt>
                <c:pt idx="238">
                  <c:v>20.790199999999999</c:v>
                </c:pt>
                <c:pt idx="239">
                  <c:v>20.712199999999999</c:v>
                </c:pt>
                <c:pt idx="240">
                  <c:v>21.277799999999999</c:v>
                </c:pt>
                <c:pt idx="241">
                  <c:v>22.798999999999999</c:v>
                </c:pt>
                <c:pt idx="242">
                  <c:v>24.222799999999999</c:v>
                </c:pt>
                <c:pt idx="243">
                  <c:v>24.544599999999999</c:v>
                </c:pt>
                <c:pt idx="244">
                  <c:v>24.7591</c:v>
                </c:pt>
                <c:pt idx="245">
                  <c:v>24.4665</c:v>
                </c:pt>
                <c:pt idx="246">
                  <c:v>25.0029</c:v>
                </c:pt>
                <c:pt idx="247">
                  <c:v>24.866399999999999</c:v>
                </c:pt>
                <c:pt idx="248">
                  <c:v>24.632300000000001</c:v>
                </c:pt>
                <c:pt idx="249">
                  <c:v>24.642099999999999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E-4DD4-86F8-273B7B8C2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551088"/>
        <c:axId val="156547728"/>
      </c:lineChart>
      <c:dateAx>
        <c:axId val="15655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47728"/>
        <c:crosses val="autoZero"/>
        <c:auto val="1"/>
        <c:lblOffset val="100"/>
        <c:baseTimeUnit val="days"/>
      </c:dateAx>
      <c:valAx>
        <c:axId val="156547728"/>
        <c:scaling>
          <c:orientation val="minMax"/>
          <c:max val="31"/>
          <c:min val="18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Closing </a:t>
                </a:r>
                <a:r>
                  <a:rPr lang="en-GB" baseline="0"/>
                  <a:t> Price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 - Daily Log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Returns!$B$1</c:f>
              <c:strCache>
                <c:ptCount val="1"/>
                <c:pt idx="0">
                  <c:v>MSFT Return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Returns!$A$3:$A$251</c:f>
              <c:numCache>
                <c:formatCode>m/d/yyyy</c:formatCode>
                <c:ptCount val="249"/>
                <c:pt idx="0">
                  <c:v>46100</c:v>
                </c:pt>
                <c:pt idx="1">
                  <c:v>46099</c:v>
                </c:pt>
                <c:pt idx="2">
                  <c:v>46098</c:v>
                </c:pt>
                <c:pt idx="3">
                  <c:v>46097</c:v>
                </c:pt>
                <c:pt idx="4">
                  <c:v>46094</c:v>
                </c:pt>
                <c:pt idx="5">
                  <c:v>46093</c:v>
                </c:pt>
                <c:pt idx="6">
                  <c:v>46092</c:v>
                </c:pt>
                <c:pt idx="7">
                  <c:v>46091</c:v>
                </c:pt>
                <c:pt idx="8">
                  <c:v>46090</c:v>
                </c:pt>
                <c:pt idx="9">
                  <c:v>46087</c:v>
                </c:pt>
                <c:pt idx="10">
                  <c:v>46086</c:v>
                </c:pt>
                <c:pt idx="11">
                  <c:v>46085</c:v>
                </c:pt>
                <c:pt idx="12">
                  <c:v>46084</c:v>
                </c:pt>
                <c:pt idx="13">
                  <c:v>46083</c:v>
                </c:pt>
                <c:pt idx="14">
                  <c:v>46080</c:v>
                </c:pt>
                <c:pt idx="15">
                  <c:v>46079</c:v>
                </c:pt>
                <c:pt idx="16">
                  <c:v>46078</c:v>
                </c:pt>
                <c:pt idx="17">
                  <c:v>46077</c:v>
                </c:pt>
                <c:pt idx="18">
                  <c:v>46076</c:v>
                </c:pt>
                <c:pt idx="19">
                  <c:v>46073</c:v>
                </c:pt>
                <c:pt idx="20">
                  <c:v>46072</c:v>
                </c:pt>
                <c:pt idx="21">
                  <c:v>46071</c:v>
                </c:pt>
                <c:pt idx="22">
                  <c:v>46070</c:v>
                </c:pt>
                <c:pt idx="23">
                  <c:v>46066</c:v>
                </c:pt>
                <c:pt idx="24">
                  <c:v>46065</c:v>
                </c:pt>
                <c:pt idx="25">
                  <c:v>46064</c:v>
                </c:pt>
                <c:pt idx="26">
                  <c:v>46063</c:v>
                </c:pt>
                <c:pt idx="27">
                  <c:v>46062</c:v>
                </c:pt>
                <c:pt idx="28">
                  <c:v>46059</c:v>
                </c:pt>
                <c:pt idx="29">
                  <c:v>46058</c:v>
                </c:pt>
                <c:pt idx="30">
                  <c:v>46057</c:v>
                </c:pt>
                <c:pt idx="31">
                  <c:v>46056</c:v>
                </c:pt>
                <c:pt idx="32">
                  <c:v>46055</c:v>
                </c:pt>
                <c:pt idx="33">
                  <c:v>46052</c:v>
                </c:pt>
                <c:pt idx="34">
                  <c:v>46051</c:v>
                </c:pt>
                <c:pt idx="35">
                  <c:v>46050</c:v>
                </c:pt>
                <c:pt idx="36">
                  <c:v>46049</c:v>
                </c:pt>
                <c:pt idx="37">
                  <c:v>46048</c:v>
                </c:pt>
                <c:pt idx="38">
                  <c:v>46045</c:v>
                </c:pt>
                <c:pt idx="39">
                  <c:v>46044</c:v>
                </c:pt>
                <c:pt idx="40">
                  <c:v>46043</c:v>
                </c:pt>
                <c:pt idx="41">
                  <c:v>46042</c:v>
                </c:pt>
                <c:pt idx="42">
                  <c:v>46038</c:v>
                </c:pt>
                <c:pt idx="43">
                  <c:v>46037</c:v>
                </c:pt>
                <c:pt idx="44">
                  <c:v>46036</c:v>
                </c:pt>
                <c:pt idx="45">
                  <c:v>46035</c:v>
                </c:pt>
                <c:pt idx="46">
                  <c:v>46034</c:v>
                </c:pt>
                <c:pt idx="47">
                  <c:v>46031</c:v>
                </c:pt>
                <c:pt idx="48">
                  <c:v>46030</c:v>
                </c:pt>
                <c:pt idx="49">
                  <c:v>46029</c:v>
                </c:pt>
                <c:pt idx="50">
                  <c:v>46028</c:v>
                </c:pt>
                <c:pt idx="51">
                  <c:v>46027</c:v>
                </c:pt>
                <c:pt idx="52">
                  <c:v>46024</c:v>
                </c:pt>
                <c:pt idx="53">
                  <c:v>46022</c:v>
                </c:pt>
                <c:pt idx="54">
                  <c:v>46021</c:v>
                </c:pt>
                <c:pt idx="55">
                  <c:v>46020</c:v>
                </c:pt>
                <c:pt idx="56">
                  <c:v>46017</c:v>
                </c:pt>
                <c:pt idx="57">
                  <c:v>46015</c:v>
                </c:pt>
                <c:pt idx="58">
                  <c:v>46014</c:v>
                </c:pt>
                <c:pt idx="59">
                  <c:v>46013</c:v>
                </c:pt>
                <c:pt idx="60">
                  <c:v>46010</c:v>
                </c:pt>
                <c:pt idx="61">
                  <c:v>46009</c:v>
                </c:pt>
                <c:pt idx="62">
                  <c:v>46008</c:v>
                </c:pt>
                <c:pt idx="63">
                  <c:v>46007</c:v>
                </c:pt>
                <c:pt idx="64">
                  <c:v>46006</c:v>
                </c:pt>
                <c:pt idx="65">
                  <c:v>46003</c:v>
                </c:pt>
                <c:pt idx="66">
                  <c:v>46002</c:v>
                </c:pt>
                <c:pt idx="67">
                  <c:v>46001</c:v>
                </c:pt>
                <c:pt idx="68">
                  <c:v>46000</c:v>
                </c:pt>
                <c:pt idx="69">
                  <c:v>45999</c:v>
                </c:pt>
                <c:pt idx="70">
                  <c:v>45996</c:v>
                </c:pt>
                <c:pt idx="71">
                  <c:v>45995</c:v>
                </c:pt>
                <c:pt idx="72">
                  <c:v>45994</c:v>
                </c:pt>
                <c:pt idx="73">
                  <c:v>45993</c:v>
                </c:pt>
                <c:pt idx="74">
                  <c:v>45992</c:v>
                </c:pt>
                <c:pt idx="75">
                  <c:v>45989</c:v>
                </c:pt>
                <c:pt idx="76">
                  <c:v>45987</c:v>
                </c:pt>
                <c:pt idx="77">
                  <c:v>45986</c:v>
                </c:pt>
                <c:pt idx="78">
                  <c:v>45985</c:v>
                </c:pt>
                <c:pt idx="79">
                  <c:v>45982</c:v>
                </c:pt>
                <c:pt idx="80">
                  <c:v>45981</c:v>
                </c:pt>
                <c:pt idx="81">
                  <c:v>45980</c:v>
                </c:pt>
                <c:pt idx="82">
                  <c:v>45979</c:v>
                </c:pt>
                <c:pt idx="83">
                  <c:v>45978</c:v>
                </c:pt>
                <c:pt idx="84">
                  <c:v>45975</c:v>
                </c:pt>
                <c:pt idx="85">
                  <c:v>45974</c:v>
                </c:pt>
                <c:pt idx="86">
                  <c:v>45973</c:v>
                </c:pt>
                <c:pt idx="87">
                  <c:v>45972</c:v>
                </c:pt>
                <c:pt idx="88">
                  <c:v>45971</c:v>
                </c:pt>
                <c:pt idx="89">
                  <c:v>45968</c:v>
                </c:pt>
                <c:pt idx="90">
                  <c:v>45967</c:v>
                </c:pt>
                <c:pt idx="91">
                  <c:v>45966</c:v>
                </c:pt>
                <c:pt idx="92">
                  <c:v>45965</c:v>
                </c:pt>
                <c:pt idx="93">
                  <c:v>45964</c:v>
                </c:pt>
                <c:pt idx="94">
                  <c:v>45961</c:v>
                </c:pt>
                <c:pt idx="95">
                  <c:v>45960</c:v>
                </c:pt>
                <c:pt idx="96">
                  <c:v>45959</c:v>
                </c:pt>
                <c:pt idx="97">
                  <c:v>45958</c:v>
                </c:pt>
                <c:pt idx="98">
                  <c:v>45957</c:v>
                </c:pt>
                <c:pt idx="99">
                  <c:v>45954</c:v>
                </c:pt>
                <c:pt idx="100">
                  <c:v>45953</c:v>
                </c:pt>
                <c:pt idx="101">
                  <c:v>45952</c:v>
                </c:pt>
                <c:pt idx="102">
                  <c:v>45951</c:v>
                </c:pt>
                <c:pt idx="103">
                  <c:v>45950</c:v>
                </c:pt>
                <c:pt idx="104">
                  <c:v>45947</c:v>
                </c:pt>
                <c:pt idx="105">
                  <c:v>45946</c:v>
                </c:pt>
                <c:pt idx="106">
                  <c:v>45945</c:v>
                </c:pt>
                <c:pt idx="107">
                  <c:v>45944</c:v>
                </c:pt>
                <c:pt idx="108">
                  <c:v>45943</c:v>
                </c:pt>
                <c:pt idx="109">
                  <c:v>45940</c:v>
                </c:pt>
                <c:pt idx="110">
                  <c:v>45939</c:v>
                </c:pt>
                <c:pt idx="111">
                  <c:v>45938</c:v>
                </c:pt>
                <c:pt idx="112">
                  <c:v>45937</c:v>
                </c:pt>
                <c:pt idx="113">
                  <c:v>45936</c:v>
                </c:pt>
                <c:pt idx="114">
                  <c:v>45933</c:v>
                </c:pt>
                <c:pt idx="115">
                  <c:v>45932</c:v>
                </c:pt>
                <c:pt idx="116">
                  <c:v>45931</c:v>
                </c:pt>
                <c:pt idx="117">
                  <c:v>45930</c:v>
                </c:pt>
                <c:pt idx="118">
                  <c:v>45929</c:v>
                </c:pt>
                <c:pt idx="119">
                  <c:v>45926</c:v>
                </c:pt>
                <c:pt idx="120">
                  <c:v>45925</c:v>
                </c:pt>
                <c:pt idx="121">
                  <c:v>45924</c:v>
                </c:pt>
                <c:pt idx="122">
                  <c:v>45923</c:v>
                </c:pt>
                <c:pt idx="123">
                  <c:v>45922</c:v>
                </c:pt>
                <c:pt idx="124">
                  <c:v>45919</c:v>
                </c:pt>
                <c:pt idx="125">
                  <c:v>45918</c:v>
                </c:pt>
                <c:pt idx="126">
                  <c:v>45917</c:v>
                </c:pt>
                <c:pt idx="127">
                  <c:v>45916</c:v>
                </c:pt>
                <c:pt idx="128">
                  <c:v>45915</c:v>
                </c:pt>
                <c:pt idx="129">
                  <c:v>45912</c:v>
                </c:pt>
                <c:pt idx="130">
                  <c:v>45911</c:v>
                </c:pt>
                <c:pt idx="131">
                  <c:v>45910</c:v>
                </c:pt>
                <c:pt idx="132">
                  <c:v>45909</c:v>
                </c:pt>
                <c:pt idx="133">
                  <c:v>45908</c:v>
                </c:pt>
                <c:pt idx="134">
                  <c:v>45905</c:v>
                </c:pt>
                <c:pt idx="135">
                  <c:v>45904</c:v>
                </c:pt>
                <c:pt idx="136">
                  <c:v>45903</c:v>
                </c:pt>
                <c:pt idx="137">
                  <c:v>45902</c:v>
                </c:pt>
                <c:pt idx="138">
                  <c:v>45898</c:v>
                </c:pt>
                <c:pt idx="139">
                  <c:v>45897</c:v>
                </c:pt>
                <c:pt idx="140">
                  <c:v>45896</c:v>
                </c:pt>
                <c:pt idx="141">
                  <c:v>45895</c:v>
                </c:pt>
                <c:pt idx="142">
                  <c:v>45894</c:v>
                </c:pt>
                <c:pt idx="143">
                  <c:v>45891</c:v>
                </c:pt>
                <c:pt idx="144">
                  <c:v>45890</c:v>
                </c:pt>
                <c:pt idx="145">
                  <c:v>45889</c:v>
                </c:pt>
                <c:pt idx="146">
                  <c:v>45888</c:v>
                </c:pt>
                <c:pt idx="147">
                  <c:v>45887</c:v>
                </c:pt>
                <c:pt idx="148">
                  <c:v>45884</c:v>
                </c:pt>
                <c:pt idx="149">
                  <c:v>45883</c:v>
                </c:pt>
                <c:pt idx="150">
                  <c:v>45882</c:v>
                </c:pt>
                <c:pt idx="151">
                  <c:v>45881</c:v>
                </c:pt>
                <c:pt idx="152">
                  <c:v>45880</c:v>
                </c:pt>
                <c:pt idx="153">
                  <c:v>45877</c:v>
                </c:pt>
                <c:pt idx="154">
                  <c:v>45876</c:v>
                </c:pt>
                <c:pt idx="155">
                  <c:v>45875</c:v>
                </c:pt>
                <c:pt idx="156">
                  <c:v>45874</c:v>
                </c:pt>
                <c:pt idx="157">
                  <c:v>45873</c:v>
                </c:pt>
                <c:pt idx="158">
                  <c:v>45870</c:v>
                </c:pt>
                <c:pt idx="159">
                  <c:v>45869</c:v>
                </c:pt>
                <c:pt idx="160">
                  <c:v>45868</c:v>
                </c:pt>
                <c:pt idx="161">
                  <c:v>45867</c:v>
                </c:pt>
                <c:pt idx="162">
                  <c:v>45866</c:v>
                </c:pt>
                <c:pt idx="163">
                  <c:v>45863</c:v>
                </c:pt>
                <c:pt idx="164">
                  <c:v>45862</c:v>
                </c:pt>
                <c:pt idx="165">
                  <c:v>45861</c:v>
                </c:pt>
                <c:pt idx="166">
                  <c:v>45860</c:v>
                </c:pt>
                <c:pt idx="167">
                  <c:v>45859</c:v>
                </c:pt>
                <c:pt idx="168">
                  <c:v>45856</c:v>
                </c:pt>
                <c:pt idx="169">
                  <c:v>45855</c:v>
                </c:pt>
                <c:pt idx="170">
                  <c:v>45854</c:v>
                </c:pt>
                <c:pt idx="171">
                  <c:v>45853</c:v>
                </c:pt>
                <c:pt idx="172">
                  <c:v>45852</c:v>
                </c:pt>
                <c:pt idx="173">
                  <c:v>45849</c:v>
                </c:pt>
                <c:pt idx="174">
                  <c:v>45848</c:v>
                </c:pt>
                <c:pt idx="175">
                  <c:v>45847</c:v>
                </c:pt>
                <c:pt idx="176">
                  <c:v>45846</c:v>
                </c:pt>
                <c:pt idx="177">
                  <c:v>45845</c:v>
                </c:pt>
                <c:pt idx="178">
                  <c:v>45841</c:v>
                </c:pt>
                <c:pt idx="179">
                  <c:v>45840</c:v>
                </c:pt>
                <c:pt idx="180">
                  <c:v>45839</c:v>
                </c:pt>
                <c:pt idx="181">
                  <c:v>45838</c:v>
                </c:pt>
                <c:pt idx="182">
                  <c:v>45835</c:v>
                </c:pt>
                <c:pt idx="183">
                  <c:v>45834</c:v>
                </c:pt>
                <c:pt idx="184">
                  <c:v>45833</c:v>
                </c:pt>
                <c:pt idx="185">
                  <c:v>45832</c:v>
                </c:pt>
                <c:pt idx="186">
                  <c:v>45831</c:v>
                </c:pt>
                <c:pt idx="187">
                  <c:v>45828</c:v>
                </c:pt>
                <c:pt idx="188">
                  <c:v>45826</c:v>
                </c:pt>
                <c:pt idx="189">
                  <c:v>45825</c:v>
                </c:pt>
                <c:pt idx="190">
                  <c:v>45824</c:v>
                </c:pt>
                <c:pt idx="191">
                  <c:v>45821</c:v>
                </c:pt>
                <c:pt idx="192">
                  <c:v>45820</c:v>
                </c:pt>
                <c:pt idx="193">
                  <c:v>45819</c:v>
                </c:pt>
                <c:pt idx="194">
                  <c:v>45818</c:v>
                </c:pt>
                <c:pt idx="195">
                  <c:v>45817</c:v>
                </c:pt>
                <c:pt idx="196">
                  <c:v>45814</c:v>
                </c:pt>
                <c:pt idx="197">
                  <c:v>45813</c:v>
                </c:pt>
                <c:pt idx="198">
                  <c:v>45812</c:v>
                </c:pt>
                <c:pt idx="199">
                  <c:v>45811</c:v>
                </c:pt>
                <c:pt idx="200">
                  <c:v>45810</c:v>
                </c:pt>
                <c:pt idx="201">
                  <c:v>45807</c:v>
                </c:pt>
                <c:pt idx="202">
                  <c:v>45806</c:v>
                </c:pt>
                <c:pt idx="203">
                  <c:v>45805</c:v>
                </c:pt>
                <c:pt idx="204">
                  <c:v>45804</c:v>
                </c:pt>
                <c:pt idx="205">
                  <c:v>45800</c:v>
                </c:pt>
                <c:pt idx="206">
                  <c:v>45799</c:v>
                </c:pt>
                <c:pt idx="207">
                  <c:v>45798</c:v>
                </c:pt>
                <c:pt idx="208">
                  <c:v>45797</c:v>
                </c:pt>
                <c:pt idx="209">
                  <c:v>45796</c:v>
                </c:pt>
                <c:pt idx="210">
                  <c:v>45793</c:v>
                </c:pt>
                <c:pt idx="211">
                  <c:v>45792</c:v>
                </c:pt>
                <c:pt idx="212">
                  <c:v>45791</c:v>
                </c:pt>
                <c:pt idx="213">
                  <c:v>45790</c:v>
                </c:pt>
                <c:pt idx="214">
                  <c:v>45789</c:v>
                </c:pt>
                <c:pt idx="215">
                  <c:v>45786</c:v>
                </c:pt>
                <c:pt idx="216">
                  <c:v>45785</c:v>
                </c:pt>
                <c:pt idx="217">
                  <c:v>45784</c:v>
                </c:pt>
                <c:pt idx="218">
                  <c:v>45783</c:v>
                </c:pt>
                <c:pt idx="219">
                  <c:v>45782</c:v>
                </c:pt>
                <c:pt idx="220">
                  <c:v>45779</c:v>
                </c:pt>
                <c:pt idx="221">
                  <c:v>45778</c:v>
                </c:pt>
                <c:pt idx="222">
                  <c:v>45777</c:v>
                </c:pt>
                <c:pt idx="223">
                  <c:v>45776</c:v>
                </c:pt>
                <c:pt idx="224">
                  <c:v>45775</c:v>
                </c:pt>
                <c:pt idx="225">
                  <c:v>45772</c:v>
                </c:pt>
                <c:pt idx="226">
                  <c:v>45771</c:v>
                </c:pt>
                <c:pt idx="227">
                  <c:v>45770</c:v>
                </c:pt>
                <c:pt idx="228">
                  <c:v>45769</c:v>
                </c:pt>
                <c:pt idx="229">
                  <c:v>45768</c:v>
                </c:pt>
                <c:pt idx="230">
                  <c:v>45764</c:v>
                </c:pt>
                <c:pt idx="231">
                  <c:v>45763</c:v>
                </c:pt>
                <c:pt idx="232">
                  <c:v>45762</c:v>
                </c:pt>
                <c:pt idx="233">
                  <c:v>45761</c:v>
                </c:pt>
                <c:pt idx="234">
                  <c:v>45758</c:v>
                </c:pt>
                <c:pt idx="235">
                  <c:v>45757</c:v>
                </c:pt>
                <c:pt idx="236">
                  <c:v>45756</c:v>
                </c:pt>
                <c:pt idx="237">
                  <c:v>45755</c:v>
                </c:pt>
                <c:pt idx="238">
                  <c:v>45754</c:v>
                </c:pt>
                <c:pt idx="239">
                  <c:v>45751</c:v>
                </c:pt>
                <c:pt idx="240">
                  <c:v>45750</c:v>
                </c:pt>
                <c:pt idx="241">
                  <c:v>45749</c:v>
                </c:pt>
                <c:pt idx="242">
                  <c:v>45748</c:v>
                </c:pt>
                <c:pt idx="243">
                  <c:v>45747</c:v>
                </c:pt>
                <c:pt idx="244">
                  <c:v>45744</c:v>
                </c:pt>
                <c:pt idx="245">
                  <c:v>45743</c:v>
                </c:pt>
                <c:pt idx="246">
                  <c:v>45742</c:v>
                </c:pt>
                <c:pt idx="247">
                  <c:v>45741</c:v>
                </c:pt>
                <c:pt idx="248">
                  <c:v>45740</c:v>
                </c:pt>
              </c:numCache>
            </c:numRef>
          </c:cat>
          <c:val>
            <c:numRef>
              <c:f>Returns!$B$2:$B$251</c:f>
              <c:numCache>
                <c:formatCode>0.0000%</c:formatCode>
                <c:ptCount val="250"/>
                <c:pt idx="1">
                  <c:v>-1.8550519628092843E-2</c:v>
                </c:pt>
                <c:pt idx="2">
                  <c:v>-7.0952257800360741E-3</c:v>
                </c:pt>
                <c:pt idx="3">
                  <c:v>-1.9262476266033168E-2</c:v>
                </c:pt>
                <c:pt idx="4">
                  <c:v>-1.3510810702159759E-3</c:v>
                </c:pt>
                <c:pt idx="5">
                  <c:v>1.1062337827425495E-2</c:v>
                </c:pt>
                <c:pt idx="6">
                  <c:v>-1.5826567789001267E-2</c:v>
                </c:pt>
                <c:pt idx="7">
                  <c:v>-7.4869576494158707E-3</c:v>
                </c:pt>
                <c:pt idx="8">
                  <c:v>-2.1711249029836566E-3</c:v>
                </c:pt>
                <c:pt idx="9">
                  <c:v>-8.9552471093261587E-3</c:v>
                </c:pt>
                <c:pt idx="10">
                  <c:v>1.0997471690172844E-3</c:v>
                </c:pt>
                <c:pt idx="11">
                  <c:v>-4.1969706816491481E-3</c:v>
                </c:pt>
                <c:pt idx="12">
                  <c:v>1.3433550056236143E-2</c:v>
                </c:pt>
                <c:pt idx="13">
                  <c:v>3.1391767526285363E-3</c:v>
                </c:pt>
                <c:pt idx="14">
                  <c:v>1.3408634747967163E-2</c:v>
                </c:pt>
                <c:pt idx="15">
                  <c:v>1.4685145551847967E-2</c:v>
                </c:pt>
                <c:pt idx="16">
                  <c:v>-2.2607513203054097E-2</c:v>
                </c:pt>
                <c:pt idx="17">
                  <c:v>2.7919052934208821E-3</c:v>
                </c:pt>
                <c:pt idx="18">
                  <c:v>2.938407961327183E-2</c:v>
                </c:pt>
                <c:pt idx="19">
                  <c:v>1.1713581123753869E-2</c:v>
                </c:pt>
                <c:pt idx="20">
                  <c:v>-3.2649695525083011E-2</c:v>
                </c:pt>
                <c:pt idx="21">
                  <c:v>-3.0916587609022272E-3</c:v>
                </c:pt>
                <c:pt idx="22">
                  <c:v>-2.8569299937215575E-3</c:v>
                </c:pt>
                <c:pt idx="23">
                  <c:v>6.8804731172926736E-3</c:v>
                </c:pt>
                <c:pt idx="24">
                  <c:v>-1.117554040030555E-2</c:v>
                </c:pt>
                <c:pt idx="25">
                  <c:v>-1.2948853843779418E-3</c:v>
                </c:pt>
                <c:pt idx="26">
                  <c:v>-6.2763009764985611E-3</c:v>
                </c:pt>
                <c:pt idx="27">
                  <c:v>-2.1770831965960191E-2</c:v>
                </c:pt>
                <c:pt idx="28">
                  <c:v>-7.9819080997101111E-4</c:v>
                </c:pt>
                <c:pt idx="29">
                  <c:v>3.0588829636318593E-2</c:v>
                </c:pt>
                <c:pt idx="30">
                  <c:v>1.8797498663988499E-2</c:v>
                </c:pt>
                <c:pt idx="31">
                  <c:v>-5.0811810850003525E-2</c:v>
                </c:pt>
                <c:pt idx="32">
                  <c:v>7.2207728325164311E-3</c:v>
                </c:pt>
                <c:pt idx="33">
                  <c:v>-2.9142468295565216E-2</c:v>
                </c:pt>
                <c:pt idx="34">
                  <c:v>-1.621289876726717E-2</c:v>
                </c:pt>
                <c:pt idx="35">
                  <c:v>-7.4323962463651583E-3</c:v>
                </c:pt>
                <c:pt idx="36">
                  <c:v>-0.10528438819272967</c:v>
                </c:pt>
                <c:pt idx="37">
                  <c:v>2.1824766252276362E-3</c:v>
                </c:pt>
                <c:pt idx="38">
                  <c:v>2.1665445788558557E-2</c:v>
                </c:pt>
                <c:pt idx="39">
                  <c:v>9.249929767875642E-3</c:v>
                </c:pt>
                <c:pt idx="40">
                  <c:v>3.2300619613674364E-2</c:v>
                </c:pt>
                <c:pt idx="41">
                  <c:v>1.5705433122422896E-2</c:v>
                </c:pt>
                <c:pt idx="42">
                  <c:v>-2.316963755424073E-2</c:v>
                </c:pt>
                <c:pt idx="43">
                  <c:v>-1.1680178284046328E-2</c:v>
                </c:pt>
                <c:pt idx="44">
                  <c:v>6.9829638264993221E-3</c:v>
                </c:pt>
                <c:pt idx="45">
                  <c:v>-5.9386227542530534E-3</c:v>
                </c:pt>
                <c:pt idx="46">
                  <c:v>-2.4279457251365599E-2</c:v>
                </c:pt>
                <c:pt idx="47">
                  <c:v>-1.3736566684125151E-2</c:v>
                </c:pt>
                <c:pt idx="48">
                  <c:v>-4.3911995785705926E-3</c:v>
                </c:pt>
                <c:pt idx="49">
                  <c:v>2.4441462360176303E-3</c:v>
                </c:pt>
                <c:pt idx="50">
                  <c:v>-1.1148433858863882E-2</c:v>
                </c:pt>
                <c:pt idx="51">
                  <c:v>1.0312156082291857E-2</c:v>
                </c:pt>
                <c:pt idx="52">
                  <c:v>1.1898895854702829E-2</c:v>
                </c:pt>
                <c:pt idx="53">
                  <c:v>-1.9031708999150965E-4</c:v>
                </c:pt>
                <c:pt idx="54">
                  <c:v>-2.2330943826937677E-2</c:v>
                </c:pt>
                <c:pt idx="55">
                  <c:v>-7.9497895768509963E-3</c:v>
                </c:pt>
                <c:pt idx="56">
                  <c:v>7.7982314280422571E-4</c:v>
                </c:pt>
                <c:pt idx="57">
                  <c:v>-1.2515261017451706E-3</c:v>
                </c:pt>
                <c:pt idx="58">
                  <c:v>-6.3542170565700218E-4</c:v>
                </c:pt>
                <c:pt idx="59">
                  <c:v>2.4003211951342251E-3</c:v>
                </c:pt>
                <c:pt idx="60">
                  <c:v>3.9721385463824532E-3</c:v>
                </c:pt>
                <c:pt idx="61">
                  <c:v>-2.060072419055814E-3</c:v>
                </c:pt>
                <c:pt idx="62">
                  <c:v>4.0004177486467896E-3</c:v>
                </c:pt>
                <c:pt idx="63">
                  <c:v>1.6373660249112909E-2</c:v>
                </c:pt>
                <c:pt idx="64">
                  <c:v>-5.6692319709306105E-4</c:v>
                </c:pt>
                <c:pt idx="65">
                  <c:v>3.3010616492497036E-3</c:v>
                </c:pt>
                <c:pt idx="66">
                  <c:v>-7.7831200049445215E-3</c:v>
                </c:pt>
                <c:pt idx="67">
                  <c:v>-1.027036054604924E-2</c:v>
                </c:pt>
                <c:pt idx="68">
                  <c:v>1.0207670516877876E-2</c:v>
                </c:pt>
                <c:pt idx="69">
                  <c:v>-2.7737771190968985E-2</c:v>
                </c:pt>
                <c:pt idx="70">
                  <c:v>2.0345059101050111E-3</c:v>
                </c:pt>
                <c:pt idx="71">
                  <c:v>1.6136998425424487E-2</c:v>
                </c:pt>
                <c:pt idx="72">
                  <c:v>4.8132873010242605E-3</c:v>
                </c:pt>
                <c:pt idx="73">
                  <c:v>6.4888550909518727E-3</c:v>
                </c:pt>
                <c:pt idx="74">
                  <c:v>-2.5359671759570546E-2</c:v>
                </c:pt>
                <c:pt idx="75">
                  <c:v>6.6752914907262095E-3</c:v>
                </c:pt>
                <c:pt idx="76">
                  <c:v>-1.0768941875060278E-2</c:v>
                </c:pt>
                <c:pt idx="77">
                  <c:v>1.3319753757626174E-2</c:v>
                </c:pt>
                <c:pt idx="78">
                  <c:v>1.7683761423381128E-2</c:v>
                </c:pt>
                <c:pt idx="79">
                  <c:v>6.2882046129217883E-3</c:v>
                </c:pt>
                <c:pt idx="80">
                  <c:v>3.9741311342087471E-3</c:v>
                </c:pt>
                <c:pt idx="81">
                  <c:v>-1.3276719139525106E-2</c:v>
                </c:pt>
                <c:pt idx="82">
                  <c:v>-1.8000589599925121E-2</c:v>
                </c:pt>
                <c:pt idx="83">
                  <c:v>-1.3599826291892825E-2</c:v>
                </c:pt>
                <c:pt idx="84">
                  <c:v>-2.7366680696098378E-2</c:v>
                </c:pt>
                <c:pt idx="85">
                  <c:v>-5.2865983374461578E-3</c:v>
                </c:pt>
                <c:pt idx="86">
                  <c:v>1.3597059906317988E-2</c:v>
                </c:pt>
                <c:pt idx="87">
                  <c:v>-1.5476980563366105E-2</c:v>
                </c:pt>
                <c:pt idx="88">
                  <c:v>4.8243901302580383E-3</c:v>
                </c:pt>
                <c:pt idx="89">
                  <c:v>5.2824658650800771E-3</c:v>
                </c:pt>
                <c:pt idx="90">
                  <c:v>1.8308881829560697E-2</c:v>
                </c:pt>
                <c:pt idx="91">
                  <c:v>-5.6342564272160445E-4</c:v>
                </c:pt>
                <c:pt idx="92">
                  <c:v>-2.0035322559120772E-2</c:v>
                </c:pt>
                <c:pt idx="93">
                  <c:v>-1.4038547132902757E-2</c:v>
                </c:pt>
                <c:pt idx="94">
                  <c:v>-5.2358171115765018E-3</c:v>
                </c:pt>
                <c:pt idx="95">
                  <c:v>-1.5074797025862452E-3</c:v>
                </c:pt>
                <c:pt idx="96">
                  <c:v>-1.5236455242090052E-2</c:v>
                </c:pt>
                <c:pt idx="97">
                  <c:v>-2.9590563432843275E-2</c:v>
                </c:pt>
                <c:pt idx="98">
                  <c:v>-9.5974611010252175E-4</c:v>
                </c:pt>
                <c:pt idx="99">
                  <c:v>1.9654317966918633E-2</c:v>
                </c:pt>
                <c:pt idx="100">
                  <c:v>1.4993694023050175E-2</c:v>
                </c:pt>
                <c:pt idx="101">
                  <c:v>5.8419772151516725E-3</c:v>
                </c:pt>
                <c:pt idx="102">
                  <c:v>3.8420900974500682E-5</c:v>
                </c:pt>
                <c:pt idx="103">
                  <c:v>5.5480781881671604E-3</c:v>
                </c:pt>
                <c:pt idx="104">
                  <c:v>1.682053661606453E-3</c:v>
                </c:pt>
                <c:pt idx="105">
                  <c:v>6.2307916284103371E-3</c:v>
                </c:pt>
                <c:pt idx="106">
                  <c:v>3.8431947731938365E-3</c:v>
                </c:pt>
                <c:pt idx="107">
                  <c:v>-3.5510846650801398E-3</c:v>
                </c:pt>
                <c:pt idx="108">
                  <c:v>-2.7263875534089266E-4</c:v>
                </c:pt>
                <c:pt idx="109">
                  <c:v>-9.3419753393053639E-4</c:v>
                </c:pt>
                <c:pt idx="110">
                  <c:v>6.0292277353939383E-3</c:v>
                </c:pt>
                <c:pt idx="111">
                  <c:v>-2.2142268708887691E-2</c:v>
                </c:pt>
                <c:pt idx="112">
                  <c:v>-4.67892951958504E-3</c:v>
                </c:pt>
                <c:pt idx="113">
                  <c:v>1.6589918281093574E-3</c:v>
                </c:pt>
                <c:pt idx="114">
                  <c:v>-8.7217312169505234E-3</c:v>
                </c:pt>
                <c:pt idx="115">
                  <c:v>2.1455618819687494E-2</c:v>
                </c:pt>
                <c:pt idx="116">
                  <c:v>3.1168655265449985E-3</c:v>
                </c:pt>
                <c:pt idx="117">
                  <c:v>-7.668201175168754E-3</c:v>
                </c:pt>
                <c:pt idx="118">
                  <c:v>3.3922511954722623E-3</c:v>
                </c:pt>
                <c:pt idx="119">
                  <c:v>6.4888126564675019E-3</c:v>
                </c:pt>
                <c:pt idx="120">
                  <c:v>6.1205188823736378E-3</c:v>
                </c:pt>
                <c:pt idx="121">
                  <c:v>8.6992075270240221E-3</c:v>
                </c:pt>
                <c:pt idx="122">
                  <c:v>-6.1346266830675233E-3</c:v>
                </c:pt>
                <c:pt idx="123">
                  <c:v>1.8050192269560839E-3</c:v>
                </c:pt>
                <c:pt idx="124">
                  <c:v>-1.0198587927461311E-2</c:v>
                </c:pt>
                <c:pt idx="125">
                  <c:v>-6.7417291709537253E-3</c:v>
                </c:pt>
                <c:pt idx="126">
                  <c:v>1.8473215755625993E-2</c:v>
                </c:pt>
                <c:pt idx="127">
                  <c:v>-3.0830583985839155E-3</c:v>
                </c:pt>
                <c:pt idx="128">
                  <c:v>1.9233417111941264E-3</c:v>
                </c:pt>
                <c:pt idx="129">
                  <c:v>-1.2339086658352372E-2</c:v>
                </c:pt>
                <c:pt idx="130">
                  <c:v>1.065105752177864E-2</c:v>
                </c:pt>
                <c:pt idx="131">
                  <c:v>1.7588567095605079E-2</c:v>
                </c:pt>
                <c:pt idx="132">
                  <c:v>1.2782362083134657E-3</c:v>
                </c:pt>
                <c:pt idx="133">
                  <c:v>3.9247932797747964E-3</c:v>
                </c:pt>
                <c:pt idx="134">
                  <c:v>4.2142864933669699E-4</c:v>
                </c:pt>
                <c:pt idx="135">
                  <c:v>6.4438402593900435E-3</c:v>
                </c:pt>
                <c:pt idx="136">
                  <c:v>-2.5864628147859392E-2</c:v>
                </c:pt>
                <c:pt idx="137">
                  <c:v>5.1711321958780587E-3</c:v>
                </c:pt>
                <c:pt idx="138">
                  <c:v>4.5523371098976639E-4</c:v>
                </c:pt>
                <c:pt idx="139">
                  <c:v>-3.1033519337198001E-3</c:v>
                </c:pt>
                <c:pt idx="140">
                  <c:v>-5.8052173697786813E-3</c:v>
                </c:pt>
                <c:pt idx="141">
                  <c:v>5.706542572228912E-3</c:v>
                </c:pt>
                <c:pt idx="142">
                  <c:v>9.3182537487059847E-3</c:v>
                </c:pt>
                <c:pt idx="143">
                  <c:v>-4.4122102782564454E-3</c:v>
                </c:pt>
                <c:pt idx="144">
                  <c:v>-5.8725415683085203E-3</c:v>
                </c:pt>
                <c:pt idx="145">
                  <c:v>5.9122044339554591E-3</c:v>
                </c:pt>
                <c:pt idx="146">
                  <c:v>-2.9308112388424234E-3</c:v>
                </c:pt>
                <c:pt idx="147">
                  <c:v>-7.9764871602758802E-3</c:v>
                </c:pt>
                <c:pt idx="148">
                  <c:v>-1.4276635798202264E-2</c:v>
                </c:pt>
                <c:pt idx="149">
                  <c:v>-5.9194018225152689E-3</c:v>
                </c:pt>
                <c:pt idx="150">
                  <c:v>-4.4310243697109897E-3</c:v>
                </c:pt>
                <c:pt idx="151">
                  <c:v>3.6431309828071079E-3</c:v>
                </c:pt>
                <c:pt idx="152">
                  <c:v>-1.649844056261518E-2</c:v>
                </c:pt>
                <c:pt idx="153">
                  <c:v>1.4215137416833556E-2</c:v>
                </c:pt>
                <c:pt idx="154">
                  <c:v>-5.1733554195099174E-4</c:v>
                </c:pt>
                <c:pt idx="155">
                  <c:v>2.3013204388000474E-3</c:v>
                </c:pt>
                <c:pt idx="156">
                  <c:v>-7.8410774857013976E-3</c:v>
                </c:pt>
                <c:pt idx="157">
                  <c:v>-5.3387163822016248E-3</c:v>
                </c:pt>
                <c:pt idx="158">
                  <c:v>-1.4839606898934932E-2</c:v>
                </c:pt>
                <c:pt idx="159">
                  <c:v>2.1760707673090351E-2</c:v>
                </c:pt>
                <c:pt idx="160">
                  <c:v>-1.7757484787533251E-2</c:v>
                </c:pt>
                <c:pt idx="161">
                  <c:v>3.8715498714990915E-2</c:v>
                </c:pt>
                <c:pt idx="162">
                  <c:v>1.3062849753318062E-3</c:v>
                </c:pt>
                <c:pt idx="163">
                  <c:v>1.3657603892180958E-4</c:v>
                </c:pt>
                <c:pt idx="164">
                  <c:v>-2.3581928859419676E-3</c:v>
                </c:pt>
                <c:pt idx="165">
                  <c:v>5.5241749320336098E-3</c:v>
                </c:pt>
                <c:pt idx="166">
                  <c:v>9.8550096838794232E-3</c:v>
                </c:pt>
                <c:pt idx="167">
                  <c:v>1.1867794181261715E-3</c:v>
                </c:pt>
                <c:pt idx="168">
                  <c:v>-9.4354259928559614E-3</c:v>
                </c:pt>
                <c:pt idx="169">
                  <c:v>1.9605728794225286E-5</c:v>
                </c:pt>
                <c:pt idx="170">
                  <c:v>-3.2297556825175988E-3</c:v>
                </c:pt>
                <c:pt idx="171">
                  <c:v>1.1953116798729013E-2</c:v>
                </c:pt>
                <c:pt idx="172">
                  <c:v>-3.9547576249088223E-4</c:v>
                </c:pt>
                <c:pt idx="173">
                  <c:v>5.5509440341214855E-3</c:v>
                </c:pt>
                <c:pt idx="174">
                  <c:v>-5.9621998308134749E-4</c:v>
                </c:pt>
                <c:pt idx="175">
                  <c:v>3.6624244759426716E-3</c:v>
                </c:pt>
                <c:pt idx="176">
                  <c:v>-4.039846686753279E-3</c:v>
                </c:pt>
                <c:pt idx="177">
                  <c:v>1.377842680921848E-2</c:v>
                </c:pt>
                <c:pt idx="178">
                  <c:v>-2.2125237820711519E-3</c:v>
                </c:pt>
                <c:pt idx="179">
                  <c:v>-2.2477331451158378E-3</c:v>
                </c:pt>
                <c:pt idx="180">
                  <c:v>1.5657992666304743E-2</c:v>
                </c:pt>
                <c:pt idx="181">
                  <c:v>-1.9529269587525988E-3</c:v>
                </c:pt>
                <c:pt idx="182">
                  <c:v>-1.0834298365843154E-2</c:v>
                </c:pt>
                <c:pt idx="183">
                  <c:v>2.9596840450327733E-3</c:v>
                </c:pt>
                <c:pt idx="184">
                  <c:v>-3.040097369564343E-3</c:v>
                </c:pt>
                <c:pt idx="185">
                  <c:v>1.0467702580200466E-2</c:v>
                </c:pt>
                <c:pt idx="186">
                  <c:v>4.3974907486417081E-3</c:v>
                </c:pt>
                <c:pt idx="187">
                  <c:v>8.4212318060332692E-3</c:v>
                </c:pt>
                <c:pt idx="188">
                  <c:v>1.785390999576375E-2</c:v>
                </c:pt>
                <c:pt idx="189">
                  <c:v>-5.9312650388578803E-3</c:v>
                </c:pt>
                <c:pt idx="190">
                  <c:v>4.5915679449075597E-3</c:v>
                </c:pt>
                <c:pt idx="191">
                  <c:v>-2.2984192821624561E-3</c:v>
                </c:pt>
                <c:pt idx="192">
                  <c:v>8.7622403184228759E-3</c:v>
                </c:pt>
                <c:pt idx="193">
                  <c:v>-8.1985718658001971E-3</c:v>
                </c:pt>
                <c:pt idx="194">
                  <c:v>1.3137478884932108E-2</c:v>
                </c:pt>
                <c:pt idx="195">
                  <c:v>3.6034547332919331E-3</c:v>
                </c:pt>
                <c:pt idx="196">
                  <c:v>-3.878479328570883E-3</c:v>
                </c:pt>
                <c:pt idx="197">
                  <c:v>5.0258288648263871E-3</c:v>
                </c:pt>
                <c:pt idx="198">
                  <c:v>5.7565773108043672E-3</c:v>
                </c:pt>
                <c:pt idx="199">
                  <c:v>8.1799608060970641E-3</c:v>
                </c:pt>
                <c:pt idx="200">
                  <c:v>1.9420833862939801E-3</c:v>
                </c:pt>
                <c:pt idx="201">
                  <c:v>2.1623032621134186E-3</c:v>
                </c:pt>
                <c:pt idx="202">
                  <c:v>3.491161808141463E-3</c:v>
                </c:pt>
                <c:pt idx="203">
                  <c:v>3.6559929301862581E-3</c:v>
                </c:pt>
                <c:pt idx="204">
                  <c:v>2.8819722143875737E-3</c:v>
                </c:pt>
                <c:pt idx="205">
                  <c:v>-7.254538651160658E-3</c:v>
                </c:pt>
                <c:pt idx="206">
                  <c:v>2.3077862821184958E-2</c:v>
                </c:pt>
                <c:pt idx="207">
                  <c:v>-1.0342176510575563E-2</c:v>
                </c:pt>
                <c:pt idx="208">
                  <c:v>5.0472319879029115E-3</c:v>
                </c:pt>
                <c:pt idx="209">
                  <c:v>-1.2297846975223514E-2</c:v>
                </c:pt>
                <c:pt idx="210">
                  <c:v>-1.5266512604803495E-3</c:v>
                </c:pt>
                <c:pt idx="211">
                  <c:v>1.0075210618417429E-2</c:v>
                </c:pt>
                <c:pt idx="212">
                  <c:v>2.512674894832756E-3</c:v>
                </c:pt>
                <c:pt idx="213">
                  <c:v>4.1939365122978245E-4</c:v>
                </c:pt>
                <c:pt idx="214">
                  <c:v>8.4250232291935845E-3</c:v>
                </c:pt>
                <c:pt idx="215">
                  <c:v>-2.6714158662954901E-4</c:v>
                </c:pt>
                <c:pt idx="216">
                  <c:v>2.3717595041516937E-2</c:v>
                </c:pt>
                <c:pt idx="217">
                  <c:v>1.2772267673115678E-3</c:v>
                </c:pt>
                <c:pt idx="218">
                  <c:v>1.1061247347842418E-2</c:v>
                </c:pt>
                <c:pt idx="219">
                  <c:v>9.2308402437346615E-5</c:v>
                </c:pt>
                <c:pt idx="220">
                  <c:v>-6.5786684335273904E-3</c:v>
                </c:pt>
                <c:pt idx="221">
                  <c:v>2.0425734337736756E-3</c:v>
                </c:pt>
                <c:pt idx="222">
                  <c:v>2.2959599411533027E-2</c:v>
                </c:pt>
                <c:pt idx="223">
                  <c:v>7.348612655384823E-2</c:v>
                </c:pt>
                <c:pt idx="224">
                  <c:v>3.091349224810358E-3</c:v>
                </c:pt>
                <c:pt idx="225">
                  <c:v>7.3357435434040497E-3</c:v>
                </c:pt>
                <c:pt idx="226">
                  <c:v>-1.7624300547991467E-3</c:v>
                </c:pt>
                <c:pt idx="227">
                  <c:v>1.1679526978166876E-2</c:v>
                </c:pt>
                <c:pt idx="228">
                  <c:v>3.3901551675681318E-2</c:v>
                </c:pt>
                <c:pt idx="229">
                  <c:v>2.0426770322139021E-2</c:v>
                </c:pt>
                <c:pt idx="230">
                  <c:v>2.1214670049209516E-2</c:v>
                </c:pt>
                <c:pt idx="231">
                  <c:v>-2.3828338839030572E-2</c:v>
                </c:pt>
                <c:pt idx="232">
                  <c:v>-1.0359983921510718E-2</c:v>
                </c:pt>
                <c:pt idx="233">
                  <c:v>-3.7292725613748523E-2</c:v>
                </c:pt>
                <c:pt idx="234">
                  <c:v>-5.3778861159994307E-3</c:v>
                </c:pt>
                <c:pt idx="235">
                  <c:v>-1.6489324324640009E-3</c:v>
                </c:pt>
                <c:pt idx="236">
                  <c:v>1.8446872786181956E-2</c:v>
                </c:pt>
                <c:pt idx="237">
                  <c:v>-2.3684772146975064E-2</c:v>
                </c:pt>
                <c:pt idx="238">
                  <c:v>9.6524776638358567E-2</c:v>
                </c:pt>
                <c:pt idx="239">
                  <c:v>-9.2642643448517248E-3</c:v>
                </c:pt>
                <c:pt idx="240">
                  <c:v>-5.5176397472891381E-3</c:v>
                </c:pt>
                <c:pt idx="241">
                  <c:v>-3.6213794122754273E-2</c:v>
                </c:pt>
                <c:pt idx="242">
                  <c:v>-2.3913751277569339E-2</c:v>
                </c:pt>
                <c:pt idx="243">
                  <c:v>-1.308335406733363E-4</c:v>
                </c:pt>
                <c:pt idx="244">
                  <c:v>1.7952381606929357E-2</c:v>
                </c:pt>
                <c:pt idx="245">
                  <c:v>-9.0428757668501447E-3</c:v>
                </c:pt>
                <c:pt idx="246">
                  <c:v>-3.0624452542713065E-2</c:v>
                </c:pt>
                <c:pt idx="247">
                  <c:v>1.5630007665983214E-3</c:v>
                </c:pt>
                <c:pt idx="248">
                  <c:v>-1.3220933088235576E-2</c:v>
                </c:pt>
                <c:pt idx="249">
                  <c:v>5.2775926820469721E-3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B-41BB-B0E6-970EA3946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27984"/>
        <c:axId val="137228944"/>
      </c:lineChart>
      <c:dateAx>
        <c:axId val="13722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8944"/>
        <c:crosses val="autoZero"/>
        <c:auto val="1"/>
        <c:lblOffset val="100"/>
        <c:baseTimeUnit val="days"/>
      </c:dateAx>
      <c:valAx>
        <c:axId val="137228944"/>
        <c:scaling>
          <c:orientation val="minMax"/>
          <c:max val="0.1"/>
          <c:min val="-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SONY - Daily Log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Returns!$D$1</c:f>
              <c:strCache>
                <c:ptCount val="1"/>
                <c:pt idx="0">
                  <c:v>SONY Return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Returns!$A$3:$A$251</c:f>
              <c:numCache>
                <c:formatCode>m/d/yyyy</c:formatCode>
                <c:ptCount val="249"/>
                <c:pt idx="0">
                  <c:v>46100</c:v>
                </c:pt>
                <c:pt idx="1">
                  <c:v>46099</c:v>
                </c:pt>
                <c:pt idx="2">
                  <c:v>46098</c:v>
                </c:pt>
                <c:pt idx="3">
                  <c:v>46097</c:v>
                </c:pt>
                <c:pt idx="4">
                  <c:v>46094</c:v>
                </c:pt>
                <c:pt idx="5">
                  <c:v>46093</c:v>
                </c:pt>
                <c:pt idx="6">
                  <c:v>46092</c:v>
                </c:pt>
                <c:pt idx="7">
                  <c:v>46091</c:v>
                </c:pt>
                <c:pt idx="8">
                  <c:v>46090</c:v>
                </c:pt>
                <c:pt idx="9">
                  <c:v>46087</c:v>
                </c:pt>
                <c:pt idx="10">
                  <c:v>46086</c:v>
                </c:pt>
                <c:pt idx="11">
                  <c:v>46085</c:v>
                </c:pt>
                <c:pt idx="12">
                  <c:v>46084</c:v>
                </c:pt>
                <c:pt idx="13">
                  <c:v>46083</c:v>
                </c:pt>
                <c:pt idx="14">
                  <c:v>46080</c:v>
                </c:pt>
                <c:pt idx="15">
                  <c:v>46079</c:v>
                </c:pt>
                <c:pt idx="16">
                  <c:v>46078</c:v>
                </c:pt>
                <c:pt idx="17">
                  <c:v>46077</c:v>
                </c:pt>
                <c:pt idx="18">
                  <c:v>46076</c:v>
                </c:pt>
                <c:pt idx="19">
                  <c:v>46073</c:v>
                </c:pt>
                <c:pt idx="20">
                  <c:v>46072</c:v>
                </c:pt>
                <c:pt idx="21">
                  <c:v>46071</c:v>
                </c:pt>
                <c:pt idx="22">
                  <c:v>46070</c:v>
                </c:pt>
                <c:pt idx="23">
                  <c:v>46066</c:v>
                </c:pt>
                <c:pt idx="24">
                  <c:v>46065</c:v>
                </c:pt>
                <c:pt idx="25">
                  <c:v>46064</c:v>
                </c:pt>
                <c:pt idx="26">
                  <c:v>46063</c:v>
                </c:pt>
                <c:pt idx="27">
                  <c:v>46062</c:v>
                </c:pt>
                <c:pt idx="28">
                  <c:v>46059</c:v>
                </c:pt>
                <c:pt idx="29">
                  <c:v>46058</c:v>
                </c:pt>
                <c:pt idx="30">
                  <c:v>46057</c:v>
                </c:pt>
                <c:pt idx="31">
                  <c:v>46056</c:v>
                </c:pt>
                <c:pt idx="32">
                  <c:v>46055</c:v>
                </c:pt>
                <c:pt idx="33">
                  <c:v>46052</c:v>
                </c:pt>
                <c:pt idx="34">
                  <c:v>46051</c:v>
                </c:pt>
                <c:pt idx="35">
                  <c:v>46050</c:v>
                </c:pt>
                <c:pt idx="36">
                  <c:v>46049</c:v>
                </c:pt>
                <c:pt idx="37">
                  <c:v>46048</c:v>
                </c:pt>
                <c:pt idx="38">
                  <c:v>46045</c:v>
                </c:pt>
                <c:pt idx="39">
                  <c:v>46044</c:v>
                </c:pt>
                <c:pt idx="40">
                  <c:v>46043</c:v>
                </c:pt>
                <c:pt idx="41">
                  <c:v>46042</c:v>
                </c:pt>
                <c:pt idx="42">
                  <c:v>46038</c:v>
                </c:pt>
                <c:pt idx="43">
                  <c:v>46037</c:v>
                </c:pt>
                <c:pt idx="44">
                  <c:v>46036</c:v>
                </c:pt>
                <c:pt idx="45">
                  <c:v>46035</c:v>
                </c:pt>
                <c:pt idx="46">
                  <c:v>46034</c:v>
                </c:pt>
                <c:pt idx="47">
                  <c:v>46031</c:v>
                </c:pt>
                <c:pt idx="48">
                  <c:v>46030</c:v>
                </c:pt>
                <c:pt idx="49">
                  <c:v>46029</c:v>
                </c:pt>
                <c:pt idx="50">
                  <c:v>46028</c:v>
                </c:pt>
                <c:pt idx="51">
                  <c:v>46027</c:v>
                </c:pt>
                <c:pt idx="52">
                  <c:v>46024</c:v>
                </c:pt>
                <c:pt idx="53">
                  <c:v>46022</c:v>
                </c:pt>
                <c:pt idx="54">
                  <c:v>46021</c:v>
                </c:pt>
                <c:pt idx="55">
                  <c:v>46020</c:v>
                </c:pt>
                <c:pt idx="56">
                  <c:v>46017</c:v>
                </c:pt>
                <c:pt idx="57">
                  <c:v>46015</c:v>
                </c:pt>
                <c:pt idx="58">
                  <c:v>46014</c:v>
                </c:pt>
                <c:pt idx="59">
                  <c:v>46013</c:v>
                </c:pt>
                <c:pt idx="60">
                  <c:v>46010</c:v>
                </c:pt>
                <c:pt idx="61">
                  <c:v>46009</c:v>
                </c:pt>
                <c:pt idx="62">
                  <c:v>46008</c:v>
                </c:pt>
                <c:pt idx="63">
                  <c:v>46007</c:v>
                </c:pt>
                <c:pt idx="64">
                  <c:v>46006</c:v>
                </c:pt>
                <c:pt idx="65">
                  <c:v>46003</c:v>
                </c:pt>
                <c:pt idx="66">
                  <c:v>46002</c:v>
                </c:pt>
                <c:pt idx="67">
                  <c:v>46001</c:v>
                </c:pt>
                <c:pt idx="68">
                  <c:v>46000</c:v>
                </c:pt>
                <c:pt idx="69">
                  <c:v>45999</c:v>
                </c:pt>
                <c:pt idx="70">
                  <c:v>45996</c:v>
                </c:pt>
                <c:pt idx="71">
                  <c:v>45995</c:v>
                </c:pt>
                <c:pt idx="72">
                  <c:v>45994</c:v>
                </c:pt>
                <c:pt idx="73">
                  <c:v>45993</c:v>
                </c:pt>
                <c:pt idx="74">
                  <c:v>45992</c:v>
                </c:pt>
                <c:pt idx="75">
                  <c:v>45989</c:v>
                </c:pt>
                <c:pt idx="76">
                  <c:v>45987</c:v>
                </c:pt>
                <c:pt idx="77">
                  <c:v>45986</c:v>
                </c:pt>
                <c:pt idx="78">
                  <c:v>45985</c:v>
                </c:pt>
                <c:pt idx="79">
                  <c:v>45982</c:v>
                </c:pt>
                <c:pt idx="80">
                  <c:v>45981</c:v>
                </c:pt>
                <c:pt idx="81">
                  <c:v>45980</c:v>
                </c:pt>
                <c:pt idx="82">
                  <c:v>45979</c:v>
                </c:pt>
                <c:pt idx="83">
                  <c:v>45978</c:v>
                </c:pt>
                <c:pt idx="84">
                  <c:v>45975</c:v>
                </c:pt>
                <c:pt idx="85">
                  <c:v>45974</c:v>
                </c:pt>
                <c:pt idx="86">
                  <c:v>45973</c:v>
                </c:pt>
                <c:pt idx="87">
                  <c:v>45972</c:v>
                </c:pt>
                <c:pt idx="88">
                  <c:v>45971</c:v>
                </c:pt>
                <c:pt idx="89">
                  <c:v>45968</c:v>
                </c:pt>
                <c:pt idx="90">
                  <c:v>45967</c:v>
                </c:pt>
                <c:pt idx="91">
                  <c:v>45966</c:v>
                </c:pt>
                <c:pt idx="92">
                  <c:v>45965</c:v>
                </c:pt>
                <c:pt idx="93">
                  <c:v>45964</c:v>
                </c:pt>
                <c:pt idx="94">
                  <c:v>45961</c:v>
                </c:pt>
                <c:pt idx="95">
                  <c:v>45960</c:v>
                </c:pt>
                <c:pt idx="96">
                  <c:v>45959</c:v>
                </c:pt>
                <c:pt idx="97">
                  <c:v>45958</c:v>
                </c:pt>
                <c:pt idx="98">
                  <c:v>45957</c:v>
                </c:pt>
                <c:pt idx="99">
                  <c:v>45954</c:v>
                </c:pt>
                <c:pt idx="100">
                  <c:v>45953</c:v>
                </c:pt>
                <c:pt idx="101">
                  <c:v>45952</c:v>
                </c:pt>
                <c:pt idx="102">
                  <c:v>45951</c:v>
                </c:pt>
                <c:pt idx="103">
                  <c:v>45950</c:v>
                </c:pt>
                <c:pt idx="104">
                  <c:v>45947</c:v>
                </c:pt>
                <c:pt idx="105">
                  <c:v>45946</c:v>
                </c:pt>
                <c:pt idx="106">
                  <c:v>45945</c:v>
                </c:pt>
                <c:pt idx="107">
                  <c:v>45944</c:v>
                </c:pt>
                <c:pt idx="108">
                  <c:v>45943</c:v>
                </c:pt>
                <c:pt idx="109">
                  <c:v>45940</c:v>
                </c:pt>
                <c:pt idx="110">
                  <c:v>45939</c:v>
                </c:pt>
                <c:pt idx="111">
                  <c:v>45938</c:v>
                </c:pt>
                <c:pt idx="112">
                  <c:v>45937</c:v>
                </c:pt>
                <c:pt idx="113">
                  <c:v>45936</c:v>
                </c:pt>
                <c:pt idx="114">
                  <c:v>45933</c:v>
                </c:pt>
                <c:pt idx="115">
                  <c:v>45932</c:v>
                </c:pt>
                <c:pt idx="116">
                  <c:v>45931</c:v>
                </c:pt>
                <c:pt idx="117">
                  <c:v>45930</c:v>
                </c:pt>
                <c:pt idx="118">
                  <c:v>45929</c:v>
                </c:pt>
                <c:pt idx="119">
                  <c:v>45926</c:v>
                </c:pt>
                <c:pt idx="120">
                  <c:v>45925</c:v>
                </c:pt>
                <c:pt idx="121">
                  <c:v>45924</c:v>
                </c:pt>
                <c:pt idx="122">
                  <c:v>45923</c:v>
                </c:pt>
                <c:pt idx="123">
                  <c:v>45922</c:v>
                </c:pt>
                <c:pt idx="124">
                  <c:v>45919</c:v>
                </c:pt>
                <c:pt idx="125">
                  <c:v>45918</c:v>
                </c:pt>
                <c:pt idx="126">
                  <c:v>45917</c:v>
                </c:pt>
                <c:pt idx="127">
                  <c:v>45916</c:v>
                </c:pt>
                <c:pt idx="128">
                  <c:v>45915</c:v>
                </c:pt>
                <c:pt idx="129">
                  <c:v>45912</c:v>
                </c:pt>
                <c:pt idx="130">
                  <c:v>45911</c:v>
                </c:pt>
                <c:pt idx="131">
                  <c:v>45910</c:v>
                </c:pt>
                <c:pt idx="132">
                  <c:v>45909</c:v>
                </c:pt>
                <c:pt idx="133">
                  <c:v>45908</c:v>
                </c:pt>
                <c:pt idx="134">
                  <c:v>45905</c:v>
                </c:pt>
                <c:pt idx="135">
                  <c:v>45904</c:v>
                </c:pt>
                <c:pt idx="136">
                  <c:v>45903</c:v>
                </c:pt>
                <c:pt idx="137">
                  <c:v>45902</c:v>
                </c:pt>
                <c:pt idx="138">
                  <c:v>45898</c:v>
                </c:pt>
                <c:pt idx="139">
                  <c:v>45897</c:v>
                </c:pt>
                <c:pt idx="140">
                  <c:v>45896</c:v>
                </c:pt>
                <c:pt idx="141">
                  <c:v>45895</c:v>
                </c:pt>
                <c:pt idx="142">
                  <c:v>45894</c:v>
                </c:pt>
                <c:pt idx="143">
                  <c:v>45891</c:v>
                </c:pt>
                <c:pt idx="144">
                  <c:v>45890</c:v>
                </c:pt>
                <c:pt idx="145">
                  <c:v>45889</c:v>
                </c:pt>
                <c:pt idx="146">
                  <c:v>45888</c:v>
                </c:pt>
                <c:pt idx="147">
                  <c:v>45887</c:v>
                </c:pt>
                <c:pt idx="148">
                  <c:v>45884</c:v>
                </c:pt>
                <c:pt idx="149">
                  <c:v>45883</c:v>
                </c:pt>
                <c:pt idx="150">
                  <c:v>45882</c:v>
                </c:pt>
                <c:pt idx="151">
                  <c:v>45881</c:v>
                </c:pt>
                <c:pt idx="152">
                  <c:v>45880</c:v>
                </c:pt>
                <c:pt idx="153">
                  <c:v>45877</c:v>
                </c:pt>
                <c:pt idx="154">
                  <c:v>45876</c:v>
                </c:pt>
                <c:pt idx="155">
                  <c:v>45875</c:v>
                </c:pt>
                <c:pt idx="156">
                  <c:v>45874</c:v>
                </c:pt>
                <c:pt idx="157">
                  <c:v>45873</c:v>
                </c:pt>
                <c:pt idx="158">
                  <c:v>45870</c:v>
                </c:pt>
                <c:pt idx="159">
                  <c:v>45869</c:v>
                </c:pt>
                <c:pt idx="160">
                  <c:v>45868</c:v>
                </c:pt>
                <c:pt idx="161">
                  <c:v>45867</c:v>
                </c:pt>
                <c:pt idx="162">
                  <c:v>45866</c:v>
                </c:pt>
                <c:pt idx="163">
                  <c:v>45863</c:v>
                </c:pt>
                <c:pt idx="164">
                  <c:v>45862</c:v>
                </c:pt>
                <c:pt idx="165">
                  <c:v>45861</c:v>
                </c:pt>
                <c:pt idx="166">
                  <c:v>45860</c:v>
                </c:pt>
                <c:pt idx="167">
                  <c:v>45859</c:v>
                </c:pt>
                <c:pt idx="168">
                  <c:v>45856</c:v>
                </c:pt>
                <c:pt idx="169">
                  <c:v>45855</c:v>
                </c:pt>
                <c:pt idx="170">
                  <c:v>45854</c:v>
                </c:pt>
                <c:pt idx="171">
                  <c:v>45853</c:v>
                </c:pt>
                <c:pt idx="172">
                  <c:v>45852</c:v>
                </c:pt>
                <c:pt idx="173">
                  <c:v>45849</c:v>
                </c:pt>
                <c:pt idx="174">
                  <c:v>45848</c:v>
                </c:pt>
                <c:pt idx="175">
                  <c:v>45847</c:v>
                </c:pt>
                <c:pt idx="176">
                  <c:v>45846</c:v>
                </c:pt>
                <c:pt idx="177">
                  <c:v>45845</c:v>
                </c:pt>
                <c:pt idx="178">
                  <c:v>45841</c:v>
                </c:pt>
                <c:pt idx="179">
                  <c:v>45840</c:v>
                </c:pt>
                <c:pt idx="180">
                  <c:v>45839</c:v>
                </c:pt>
                <c:pt idx="181">
                  <c:v>45838</c:v>
                </c:pt>
                <c:pt idx="182">
                  <c:v>45835</c:v>
                </c:pt>
                <c:pt idx="183">
                  <c:v>45834</c:v>
                </c:pt>
                <c:pt idx="184">
                  <c:v>45833</c:v>
                </c:pt>
                <c:pt idx="185">
                  <c:v>45832</c:v>
                </c:pt>
                <c:pt idx="186">
                  <c:v>45831</c:v>
                </c:pt>
                <c:pt idx="187">
                  <c:v>45828</c:v>
                </c:pt>
                <c:pt idx="188">
                  <c:v>45826</c:v>
                </c:pt>
                <c:pt idx="189">
                  <c:v>45825</c:v>
                </c:pt>
                <c:pt idx="190">
                  <c:v>45824</c:v>
                </c:pt>
                <c:pt idx="191">
                  <c:v>45821</c:v>
                </c:pt>
                <c:pt idx="192">
                  <c:v>45820</c:v>
                </c:pt>
                <c:pt idx="193">
                  <c:v>45819</c:v>
                </c:pt>
                <c:pt idx="194">
                  <c:v>45818</c:v>
                </c:pt>
                <c:pt idx="195">
                  <c:v>45817</c:v>
                </c:pt>
                <c:pt idx="196">
                  <c:v>45814</c:v>
                </c:pt>
                <c:pt idx="197">
                  <c:v>45813</c:v>
                </c:pt>
                <c:pt idx="198">
                  <c:v>45812</c:v>
                </c:pt>
                <c:pt idx="199">
                  <c:v>45811</c:v>
                </c:pt>
                <c:pt idx="200">
                  <c:v>45810</c:v>
                </c:pt>
                <c:pt idx="201">
                  <c:v>45807</c:v>
                </c:pt>
                <c:pt idx="202">
                  <c:v>45806</c:v>
                </c:pt>
                <c:pt idx="203">
                  <c:v>45805</c:v>
                </c:pt>
                <c:pt idx="204">
                  <c:v>45804</c:v>
                </c:pt>
                <c:pt idx="205">
                  <c:v>45800</c:v>
                </c:pt>
                <c:pt idx="206">
                  <c:v>45799</c:v>
                </c:pt>
                <c:pt idx="207">
                  <c:v>45798</c:v>
                </c:pt>
                <c:pt idx="208">
                  <c:v>45797</c:v>
                </c:pt>
                <c:pt idx="209">
                  <c:v>45796</c:v>
                </c:pt>
                <c:pt idx="210">
                  <c:v>45793</c:v>
                </c:pt>
                <c:pt idx="211">
                  <c:v>45792</c:v>
                </c:pt>
                <c:pt idx="212">
                  <c:v>45791</c:v>
                </c:pt>
                <c:pt idx="213">
                  <c:v>45790</c:v>
                </c:pt>
                <c:pt idx="214">
                  <c:v>45789</c:v>
                </c:pt>
                <c:pt idx="215">
                  <c:v>45786</c:v>
                </c:pt>
                <c:pt idx="216">
                  <c:v>45785</c:v>
                </c:pt>
                <c:pt idx="217">
                  <c:v>45784</c:v>
                </c:pt>
                <c:pt idx="218">
                  <c:v>45783</c:v>
                </c:pt>
                <c:pt idx="219">
                  <c:v>45782</c:v>
                </c:pt>
                <c:pt idx="220">
                  <c:v>45779</c:v>
                </c:pt>
                <c:pt idx="221">
                  <c:v>45778</c:v>
                </c:pt>
                <c:pt idx="222">
                  <c:v>45777</c:v>
                </c:pt>
                <c:pt idx="223">
                  <c:v>45776</c:v>
                </c:pt>
                <c:pt idx="224">
                  <c:v>45775</c:v>
                </c:pt>
                <c:pt idx="225">
                  <c:v>45772</c:v>
                </c:pt>
                <c:pt idx="226">
                  <c:v>45771</c:v>
                </c:pt>
                <c:pt idx="227">
                  <c:v>45770</c:v>
                </c:pt>
                <c:pt idx="228">
                  <c:v>45769</c:v>
                </c:pt>
                <c:pt idx="229">
                  <c:v>45768</c:v>
                </c:pt>
                <c:pt idx="230">
                  <c:v>45764</c:v>
                </c:pt>
                <c:pt idx="231">
                  <c:v>45763</c:v>
                </c:pt>
                <c:pt idx="232">
                  <c:v>45762</c:v>
                </c:pt>
                <c:pt idx="233">
                  <c:v>45761</c:v>
                </c:pt>
                <c:pt idx="234">
                  <c:v>45758</c:v>
                </c:pt>
                <c:pt idx="235">
                  <c:v>45757</c:v>
                </c:pt>
                <c:pt idx="236">
                  <c:v>45756</c:v>
                </c:pt>
                <c:pt idx="237">
                  <c:v>45755</c:v>
                </c:pt>
                <c:pt idx="238">
                  <c:v>45754</c:v>
                </c:pt>
                <c:pt idx="239">
                  <c:v>45751</c:v>
                </c:pt>
                <c:pt idx="240">
                  <c:v>45750</c:v>
                </c:pt>
                <c:pt idx="241">
                  <c:v>45749</c:v>
                </c:pt>
                <c:pt idx="242">
                  <c:v>45748</c:v>
                </c:pt>
                <c:pt idx="243">
                  <c:v>45747</c:v>
                </c:pt>
                <c:pt idx="244">
                  <c:v>45744</c:v>
                </c:pt>
                <c:pt idx="245">
                  <c:v>45743</c:v>
                </c:pt>
                <c:pt idx="246">
                  <c:v>45742</c:v>
                </c:pt>
                <c:pt idx="247">
                  <c:v>45741</c:v>
                </c:pt>
                <c:pt idx="248">
                  <c:v>45740</c:v>
                </c:pt>
              </c:numCache>
            </c:numRef>
          </c:cat>
          <c:val>
            <c:numRef>
              <c:f>Returns!$D$2:$D$251</c:f>
              <c:numCache>
                <c:formatCode>0.0000%</c:formatCode>
                <c:ptCount val="250"/>
                <c:pt idx="1">
                  <c:v>-1.9589264996488609E-2</c:v>
                </c:pt>
                <c:pt idx="2">
                  <c:v>1.1707450794235186E-2</c:v>
                </c:pt>
                <c:pt idx="3">
                  <c:v>-2.6151611402143615E-2</c:v>
                </c:pt>
                <c:pt idx="4">
                  <c:v>-3.4299815251776611E-2</c:v>
                </c:pt>
                <c:pt idx="5">
                  <c:v>7.4177437940798896E-3</c:v>
                </c:pt>
                <c:pt idx="6">
                  <c:v>1.3969734518664012E-3</c:v>
                </c:pt>
                <c:pt idx="7">
                  <c:v>-1.3969734518664012E-3</c:v>
                </c:pt>
                <c:pt idx="8">
                  <c:v>-8.8024659170264918E-3</c:v>
                </c:pt>
                <c:pt idx="9">
                  <c:v>2.7713643603832772E-3</c:v>
                </c:pt>
                <c:pt idx="10">
                  <c:v>6.4965425703982227E-3</c:v>
                </c:pt>
                <c:pt idx="11">
                  <c:v>5.1342003096075395E-3</c:v>
                </c:pt>
                <c:pt idx="12">
                  <c:v>-2.8599735235613544E-2</c:v>
                </c:pt>
                <c:pt idx="13">
                  <c:v>1.882084473668133E-2</c:v>
                </c:pt>
                <c:pt idx="14">
                  <c:v>-5.0157338961761777E-2</c:v>
                </c:pt>
                <c:pt idx="15">
                  <c:v>-1.6175216049162611E-2</c:v>
                </c:pt>
                <c:pt idx="16">
                  <c:v>2.0592184361001298E-2</c:v>
                </c:pt>
                <c:pt idx="17">
                  <c:v>5.3649227878320271E-2</c:v>
                </c:pt>
                <c:pt idx="18">
                  <c:v>-8.8352120885279994E-3</c:v>
                </c:pt>
                <c:pt idx="19">
                  <c:v>-3.2355008581483879E-3</c:v>
                </c:pt>
                <c:pt idx="20">
                  <c:v>-1.1926746881528949E-2</c:v>
                </c:pt>
                <c:pt idx="21">
                  <c:v>-1.4486446182452539E-2</c:v>
                </c:pt>
                <c:pt idx="22">
                  <c:v>-1.1173300598124936E-2</c:v>
                </c:pt>
                <c:pt idx="23">
                  <c:v>-1.4122035223555152E-2</c:v>
                </c:pt>
                <c:pt idx="24">
                  <c:v>-1.6083806833511183E-2</c:v>
                </c:pt>
                <c:pt idx="25">
                  <c:v>1.3895143232750762E-2</c:v>
                </c:pt>
                <c:pt idx="26">
                  <c:v>-3.4919284718641919E-3</c:v>
                </c:pt>
                <c:pt idx="27">
                  <c:v>5.2424759648497243E-3</c:v>
                </c:pt>
                <c:pt idx="28">
                  <c:v>2.2144394689637803E-2</c:v>
                </c:pt>
                <c:pt idx="29">
                  <c:v>3.1397200046674456E-3</c:v>
                </c:pt>
                <c:pt idx="30">
                  <c:v>4.6905149473661201E-2</c:v>
                </c:pt>
                <c:pt idx="31">
                  <c:v>-3.1056957233637217E-2</c:v>
                </c:pt>
                <c:pt idx="32">
                  <c:v>-9.124088224217175E-4</c:v>
                </c:pt>
                <c:pt idx="33">
                  <c:v>-8.6266142243371924E-3</c:v>
                </c:pt>
                <c:pt idx="34">
                  <c:v>9.0456813042694151E-4</c:v>
                </c:pt>
                <c:pt idx="35">
                  <c:v>-8.5605388740703781E-3</c:v>
                </c:pt>
                <c:pt idx="36">
                  <c:v>4.4873233869413554E-4</c:v>
                </c:pt>
                <c:pt idx="37">
                  <c:v>-1.4260491219157068E-2</c:v>
                </c:pt>
                <c:pt idx="38">
                  <c:v>-1.5803665173125481E-2</c:v>
                </c:pt>
                <c:pt idx="39">
                  <c:v>-5.6460519150380861E-3</c:v>
                </c:pt>
                <c:pt idx="40">
                  <c:v>5.6460519150380861E-3</c:v>
                </c:pt>
                <c:pt idx="41">
                  <c:v>-3.0877238564439136E-2</c:v>
                </c:pt>
                <c:pt idx="42">
                  <c:v>-1.6877641137198474E-3</c:v>
                </c:pt>
                <c:pt idx="43">
                  <c:v>-1.3816422422245456E-2</c:v>
                </c:pt>
                <c:pt idx="44">
                  <c:v>-2.9063753072144927E-3</c:v>
                </c:pt>
                <c:pt idx="45">
                  <c:v>1.2445552322049025E-3</c:v>
                </c:pt>
                <c:pt idx="46">
                  <c:v>-1.3196067778088683E-2</c:v>
                </c:pt>
                <c:pt idx="47">
                  <c:v>-3.1057144211332766E-2</c:v>
                </c:pt>
                <c:pt idx="48">
                  <c:v>5.5754823843034984E-3</c:v>
                </c:pt>
                <c:pt idx="49">
                  <c:v>-8.3516094894711124E-3</c:v>
                </c:pt>
                <c:pt idx="50">
                  <c:v>5.1618141213709556E-3</c:v>
                </c:pt>
                <c:pt idx="51">
                  <c:v>-2.4381860567982638E-2</c:v>
                </c:pt>
                <c:pt idx="52">
                  <c:v>-3.4904049397685988E-3</c:v>
                </c:pt>
                <c:pt idx="53">
                  <c:v>-1.9338625249507579E-3</c:v>
                </c:pt>
                <c:pt idx="54">
                  <c:v>1.0878118147183091E-2</c:v>
                </c:pt>
                <c:pt idx="55">
                  <c:v>-4.6765478839017049E-3</c:v>
                </c:pt>
                <c:pt idx="56">
                  <c:v>-1.942125294855046E-3</c:v>
                </c:pt>
                <c:pt idx="57">
                  <c:v>-1.9383607542229342E-3</c:v>
                </c:pt>
                <c:pt idx="58">
                  <c:v>4.6583935173223345E-3</c:v>
                </c:pt>
                <c:pt idx="59">
                  <c:v>-2.3319093349787323E-3</c:v>
                </c:pt>
                <c:pt idx="60">
                  <c:v>2.0789138583186428E-2</c:v>
                </c:pt>
                <c:pt idx="61">
                  <c:v>-6.7154113715242048E-3</c:v>
                </c:pt>
                <c:pt idx="62">
                  <c:v>-1.987982054952786E-2</c:v>
                </c:pt>
                <c:pt idx="63">
                  <c:v>-1.9278972618708146E-3</c:v>
                </c:pt>
                <c:pt idx="64">
                  <c:v>-1.8699266468419129E-2</c:v>
                </c:pt>
                <c:pt idx="65">
                  <c:v>-7.1576873678798059E-3</c:v>
                </c:pt>
                <c:pt idx="66">
                  <c:v>-4.8680118600730182E-3</c:v>
                </c:pt>
                <c:pt idx="67">
                  <c:v>1.4953273814337642E-3</c:v>
                </c:pt>
                <c:pt idx="68">
                  <c:v>-1.300891789324643E-2</c:v>
                </c:pt>
                <c:pt idx="69">
                  <c:v>-1.756999810138371E-2</c:v>
                </c:pt>
                <c:pt idx="70">
                  <c:v>3.6291054653414534E-4</c:v>
                </c:pt>
                <c:pt idx="71">
                  <c:v>-1.7272829577773319E-2</c:v>
                </c:pt>
                <c:pt idx="72">
                  <c:v>-9.2330201367789577E-3</c:v>
                </c:pt>
                <c:pt idx="73">
                  <c:v>-5.9912073482304429E-3</c:v>
                </c:pt>
                <c:pt idx="74">
                  <c:v>-3.8576235809753001E-3</c:v>
                </c:pt>
                <c:pt idx="75">
                  <c:v>-7.3234852165402486E-3</c:v>
                </c:pt>
                <c:pt idx="76">
                  <c:v>-1.961184481488365E-2</c:v>
                </c:pt>
                <c:pt idx="77">
                  <c:v>9.2418936087867998E-3</c:v>
                </c:pt>
                <c:pt idx="78">
                  <c:v>1.6643934839511765E-2</c:v>
                </c:pt>
                <c:pt idx="79">
                  <c:v>-1.4233880307505942E-2</c:v>
                </c:pt>
                <c:pt idx="80">
                  <c:v>1.6684432907904334E-2</c:v>
                </c:pt>
                <c:pt idx="81">
                  <c:v>2.7720325032964954E-2</c:v>
                </c:pt>
                <c:pt idx="82">
                  <c:v>-2.8421095909575644E-2</c:v>
                </c:pt>
                <c:pt idx="83">
                  <c:v>-4.1943437932592254E-3</c:v>
                </c:pt>
                <c:pt idx="84">
                  <c:v>-1.4543192611832012E-2</c:v>
                </c:pt>
                <c:pt idx="85">
                  <c:v>-3.4794930424582482E-2</c:v>
                </c:pt>
                <c:pt idx="86">
                  <c:v>2.2835109071017268E-2</c:v>
                </c:pt>
                <c:pt idx="87">
                  <c:v>-2.7472414499534192E-2</c:v>
                </c:pt>
                <c:pt idx="88">
                  <c:v>3.7028801219752605E-2</c:v>
                </c:pt>
                <c:pt idx="89">
                  <c:v>4.1665399926588798E-2</c:v>
                </c:pt>
                <c:pt idx="90">
                  <c:v>9.3391483389813068E-3</c:v>
                </c:pt>
                <c:pt idx="91">
                  <c:v>-2.0715026438588691E-2</c:v>
                </c:pt>
                <c:pt idx="92">
                  <c:v>7.4508061558655747E-3</c:v>
                </c:pt>
                <c:pt idx="93">
                  <c:v>6.0725316093792614E-3</c:v>
                </c:pt>
                <c:pt idx="94">
                  <c:v>-1.432152052877278E-3</c:v>
                </c:pt>
                <c:pt idx="95">
                  <c:v>2.1489979617106414E-3</c:v>
                </c:pt>
                <c:pt idx="96">
                  <c:v>5.0323614469540701E-3</c:v>
                </c:pt>
                <c:pt idx="97">
                  <c:v>-1.5376666278090756E-2</c:v>
                </c:pt>
                <c:pt idx="98">
                  <c:v>-2.8338436463029915E-2</c:v>
                </c:pt>
                <c:pt idx="99">
                  <c:v>1.0053820167988725E-2</c:v>
                </c:pt>
                <c:pt idx="100">
                  <c:v>1.7436796048269088E-3</c:v>
                </c:pt>
                <c:pt idx="101">
                  <c:v>-2.09205097222398E-3</c:v>
                </c:pt>
                <c:pt idx="102">
                  <c:v>-1.3922731103868102E-3</c:v>
                </c:pt>
                <c:pt idx="103">
                  <c:v>-1.3474033523699358E-2</c:v>
                </c:pt>
                <c:pt idx="104">
                  <c:v>-1.7143840989648496E-3</c:v>
                </c:pt>
                <c:pt idx="105">
                  <c:v>9.9845897476371626E-3</c:v>
                </c:pt>
                <c:pt idx="106">
                  <c:v>1.393750784378156E-2</c:v>
                </c:pt>
                <c:pt idx="107">
                  <c:v>-1.3591427203539119E-2</c:v>
                </c:pt>
                <c:pt idx="108">
                  <c:v>2.0790028278332429E-3</c:v>
                </c:pt>
                <c:pt idx="109">
                  <c:v>-1.3864820245328424E-3</c:v>
                </c:pt>
                <c:pt idx="110">
                  <c:v>2.1709536082393566E-2</c:v>
                </c:pt>
                <c:pt idx="111">
                  <c:v>-5.4756317743110294E-2</c:v>
                </c:pt>
                <c:pt idx="112">
                  <c:v>3.0206433439214919E-3</c:v>
                </c:pt>
                <c:pt idx="113">
                  <c:v>3.3619095962977852E-4</c:v>
                </c:pt>
                <c:pt idx="114">
                  <c:v>-1.2032230722820891E-2</c:v>
                </c:pt>
                <c:pt idx="115">
                  <c:v>3.8609604237314077E-2</c:v>
                </c:pt>
                <c:pt idx="116">
                  <c:v>3.0857988359905608E-2</c:v>
                </c:pt>
                <c:pt idx="117">
                  <c:v>-2.3232301493268714E-2</c:v>
                </c:pt>
                <c:pt idx="118">
                  <c:v>-1.7382239732053328E-3</c:v>
                </c:pt>
                <c:pt idx="119">
                  <c:v>-1.0710069553362622E-2</c:v>
                </c:pt>
                <c:pt idx="120">
                  <c:v>2.0639842208516335E-3</c:v>
                </c:pt>
                <c:pt idx="121">
                  <c:v>-1.679030410554283E-3</c:v>
                </c:pt>
                <c:pt idx="122">
                  <c:v>1.6565456267576995E-2</c:v>
                </c:pt>
                <c:pt idx="123">
                  <c:v>-1.4214712704941679E-2</c:v>
                </c:pt>
                <c:pt idx="124">
                  <c:v>1.0101411436465035E-3</c:v>
                </c:pt>
                <c:pt idx="125">
                  <c:v>1.2523245289727925E-2</c:v>
                </c:pt>
                <c:pt idx="126">
                  <c:v>-2.3896280041286744E-2</c:v>
                </c:pt>
                <c:pt idx="127">
                  <c:v>3.0730522581865038E-2</c:v>
                </c:pt>
                <c:pt idx="128">
                  <c:v>1.1726491085719992E-2</c:v>
                </c:pt>
                <c:pt idx="129">
                  <c:v>-1.7879407354731036E-2</c:v>
                </c:pt>
                <c:pt idx="130">
                  <c:v>4.4382165185985478E-3</c:v>
                </c:pt>
                <c:pt idx="131">
                  <c:v>6.8482449220619301E-4</c:v>
                </c:pt>
                <c:pt idx="132">
                  <c:v>1.8673374435530299E-2</c:v>
                </c:pt>
                <c:pt idx="133">
                  <c:v>-2.0917255774919319E-3</c:v>
                </c:pt>
                <c:pt idx="134">
                  <c:v>1.3939974591896664E-3</c:v>
                </c:pt>
                <c:pt idx="135">
                  <c:v>3.9124286063031199E-2</c:v>
                </c:pt>
                <c:pt idx="136">
                  <c:v>-9.7459551310619119E-3</c:v>
                </c:pt>
                <c:pt idx="137">
                  <c:v>2.9527529938961461E-2</c:v>
                </c:pt>
                <c:pt idx="138">
                  <c:v>2.9636068242417934E-3</c:v>
                </c:pt>
                <c:pt idx="139">
                  <c:v>-2.0932113272013719E-2</c:v>
                </c:pt>
                <c:pt idx="140">
                  <c:v>-1.7288814163273436E-2</c:v>
                </c:pt>
                <c:pt idx="141">
                  <c:v>5.7297906720839009E-3</c:v>
                </c:pt>
                <c:pt idx="142">
                  <c:v>-1.435528465693281E-3</c:v>
                </c:pt>
                <c:pt idx="143">
                  <c:v>-8.5701625474516874E-3</c:v>
                </c:pt>
                <c:pt idx="144">
                  <c:v>-1.7277993389785973E-2</c:v>
                </c:pt>
                <c:pt idx="145">
                  <c:v>3.4856060839080882E-2</c:v>
                </c:pt>
                <c:pt idx="146">
                  <c:v>-1.757806744929491E-2</c:v>
                </c:pt>
                <c:pt idx="147">
                  <c:v>-4.2613261474557795E-3</c:v>
                </c:pt>
                <c:pt idx="148">
                  <c:v>-3.8852030794136461E-3</c:v>
                </c:pt>
                <c:pt idx="149">
                  <c:v>-1.3662548412335163E-2</c:v>
                </c:pt>
                <c:pt idx="150">
                  <c:v>3.5412631530562511E-2</c:v>
                </c:pt>
                <c:pt idx="151">
                  <c:v>-8.6132225641653015E-3</c:v>
                </c:pt>
                <c:pt idx="152">
                  <c:v>2.8638123893197864E-2</c:v>
                </c:pt>
                <c:pt idx="153">
                  <c:v>-3.3021784075697447E-3</c:v>
                </c:pt>
                <c:pt idx="154">
                  <c:v>4.7741600735458078E-3</c:v>
                </c:pt>
                <c:pt idx="155">
                  <c:v>4.2128462097628994E-2</c:v>
                </c:pt>
                <c:pt idx="156">
                  <c:v>4.3578266253428755E-2</c:v>
                </c:pt>
                <c:pt idx="157">
                  <c:v>1.5773439741291639E-2</c:v>
                </c:pt>
                <c:pt idx="158">
                  <c:v>-9.3290624416173529E-3</c:v>
                </c:pt>
                <c:pt idx="159">
                  <c:v>1.5876231780647565E-2</c:v>
                </c:pt>
                <c:pt idx="160">
                  <c:v>2.0513864578304286E-3</c:v>
                </c:pt>
                <c:pt idx="161">
                  <c:v>4.9456503085574255E-3</c:v>
                </c:pt>
                <c:pt idx="162">
                  <c:v>2.0700515996714408E-3</c:v>
                </c:pt>
                <c:pt idx="163">
                  <c:v>-8.6588314700017932E-3</c:v>
                </c:pt>
                <c:pt idx="164">
                  <c:v>-2.1122691332339016E-2</c:v>
                </c:pt>
                <c:pt idx="165">
                  <c:v>-1.989410881519893E-2</c:v>
                </c:pt>
                <c:pt idx="166">
                  <c:v>4.7386159594307031E-3</c:v>
                </c:pt>
                <c:pt idx="167">
                  <c:v>4.7424193102482359E-2</c:v>
                </c:pt>
                <c:pt idx="168">
                  <c:v>8.3043572835084234E-4</c:v>
                </c:pt>
                <c:pt idx="169">
                  <c:v>6.2524911209522749E-3</c:v>
                </c:pt>
                <c:pt idx="170">
                  <c:v>-2.0276957741942603E-2</c:v>
                </c:pt>
                <c:pt idx="171">
                  <c:v>1.7772123389048211E-2</c:v>
                </c:pt>
                <c:pt idx="172">
                  <c:v>-4.1608315106431704E-3</c:v>
                </c:pt>
                <c:pt idx="173">
                  <c:v>-1.3203704015519069E-2</c:v>
                </c:pt>
                <c:pt idx="174">
                  <c:v>-1.2264631939387094E-3</c:v>
                </c:pt>
                <c:pt idx="175">
                  <c:v>-8.9678079666692945E-3</c:v>
                </c:pt>
                <c:pt idx="176">
                  <c:v>-2.0876759864241201E-2</c:v>
                </c:pt>
                <c:pt idx="177">
                  <c:v>-3.1728496003564644E-3</c:v>
                </c:pt>
                <c:pt idx="178">
                  <c:v>-1.9759043550839905E-3</c:v>
                </c:pt>
                <c:pt idx="179">
                  <c:v>-1.1008723372728735E-2</c:v>
                </c:pt>
                <c:pt idx="180">
                  <c:v>-5.0664402443163503E-3</c:v>
                </c:pt>
                <c:pt idx="181">
                  <c:v>9.3772852837941123E-3</c:v>
                </c:pt>
                <c:pt idx="182">
                  <c:v>-2.1749034800889078E-2</c:v>
                </c:pt>
                <c:pt idx="183">
                  <c:v>-1.0319572195889304E-2</c:v>
                </c:pt>
                <c:pt idx="184">
                  <c:v>2.9322462636418134E-2</c:v>
                </c:pt>
                <c:pt idx="185">
                  <c:v>2.4575375812899924E-2</c:v>
                </c:pt>
                <c:pt idx="186">
                  <c:v>-2.8025611216353497E-3</c:v>
                </c:pt>
                <c:pt idx="187">
                  <c:v>2.3071783956611025E-2</c:v>
                </c:pt>
                <c:pt idx="188">
                  <c:v>-1.3423020332140823E-2</c:v>
                </c:pt>
                <c:pt idx="189">
                  <c:v>-4.4644140098273333E-2</c:v>
                </c:pt>
                <c:pt idx="190">
                  <c:v>8.5357855109156056E-3</c:v>
                </c:pt>
                <c:pt idx="191">
                  <c:v>-1.6618136438861342E-2</c:v>
                </c:pt>
                <c:pt idx="192">
                  <c:v>6.1505415920706241E-3</c:v>
                </c:pt>
                <c:pt idx="193">
                  <c:v>-1.7962571703422636E-2</c:v>
                </c:pt>
                <c:pt idx="194">
                  <c:v>1.8734056097369223E-2</c:v>
                </c:pt>
                <c:pt idx="195">
                  <c:v>-1.1130642787858136E-2</c:v>
                </c:pt>
                <c:pt idx="196">
                  <c:v>-1.4775426487855015E-2</c:v>
                </c:pt>
                <c:pt idx="197">
                  <c:v>-2.626776123879182E-3</c:v>
                </c:pt>
                <c:pt idx="198">
                  <c:v>1.2455360233916135E-2</c:v>
                </c:pt>
                <c:pt idx="199">
                  <c:v>-1.2832248525612489E-2</c:v>
                </c:pt>
                <c:pt idx="200">
                  <c:v>-3.7419376216663025E-3</c:v>
                </c:pt>
                <c:pt idx="201">
                  <c:v>-4.1019307509033709E-3</c:v>
                </c:pt>
                <c:pt idx="202">
                  <c:v>1.8777291031258248E-2</c:v>
                </c:pt>
                <c:pt idx="203">
                  <c:v>-9.0552637793841484E-3</c:v>
                </c:pt>
                <c:pt idx="204">
                  <c:v>1.2091998900033207E-2</c:v>
                </c:pt>
                <c:pt idx="205">
                  <c:v>-9.8358586408826554E-3</c:v>
                </c:pt>
                <c:pt idx="206">
                  <c:v>3.9551887676629871E-2</c:v>
                </c:pt>
                <c:pt idx="207">
                  <c:v>7.8635461919884797E-3</c:v>
                </c:pt>
                <c:pt idx="208">
                  <c:v>1.7524712311038027E-2</c:v>
                </c:pt>
                <c:pt idx="209">
                  <c:v>-3.5908888159869701E-2</c:v>
                </c:pt>
                <c:pt idx="210">
                  <c:v>2.9899336151592681E-2</c:v>
                </c:pt>
                <c:pt idx="211">
                  <c:v>1.4483232262849643E-2</c:v>
                </c:pt>
                <c:pt idx="212">
                  <c:v>-7.6699459382214563E-3</c:v>
                </c:pt>
                <c:pt idx="213">
                  <c:v>-4.0400876176649447E-4</c:v>
                </c:pt>
                <c:pt idx="214">
                  <c:v>1.3761837375906971E-2</c:v>
                </c:pt>
                <c:pt idx="215">
                  <c:v>-8.1156777507831457E-3</c:v>
                </c:pt>
                <c:pt idx="216">
                  <c:v>1.6178749634709888E-3</c:v>
                </c:pt>
                <c:pt idx="217">
                  <c:v>1.0173554111566396E-2</c:v>
                </c:pt>
                <c:pt idx="218">
                  <c:v>-2.3047949469703344E-2</c:v>
                </c:pt>
                <c:pt idx="219">
                  <c:v>-8.3589935183048247E-3</c:v>
                </c:pt>
                <c:pt idx="220">
                  <c:v>-3.9418156025172735E-4</c:v>
                </c:pt>
                <c:pt idx="221">
                  <c:v>-3.5609020175240147E-3</c:v>
                </c:pt>
                <c:pt idx="222">
                  <c:v>1.9776147018002455E-3</c:v>
                </c:pt>
                <c:pt idx="223">
                  <c:v>-2.8082644222858999E-2</c:v>
                </c:pt>
                <c:pt idx="224">
                  <c:v>9.6624087192678232E-3</c:v>
                </c:pt>
                <c:pt idx="225">
                  <c:v>1.8420235503591176E-2</c:v>
                </c:pt>
                <c:pt idx="226">
                  <c:v>1.2338604698201028E-2</c:v>
                </c:pt>
                <c:pt idx="227">
                  <c:v>-5.9903588468235291E-3</c:v>
                </c:pt>
                <c:pt idx="228">
                  <c:v>9.1988517578602824E-3</c:v>
                </c:pt>
                <c:pt idx="229">
                  <c:v>2.275661831949316E-2</c:v>
                </c:pt>
                <c:pt idx="230">
                  <c:v>2.4128187117418598E-2</c:v>
                </c:pt>
                <c:pt idx="231">
                  <c:v>-1.0890490946183995E-2</c:v>
                </c:pt>
                <c:pt idx="232">
                  <c:v>2.7447499335095049E-2</c:v>
                </c:pt>
                <c:pt idx="233">
                  <c:v>-1.3607906332363751E-2</c:v>
                </c:pt>
                <c:pt idx="234">
                  <c:v>1.0189623975931816E-2</c:v>
                </c:pt>
                <c:pt idx="235">
                  <c:v>2.1558515554406465E-2</c:v>
                </c:pt>
                <c:pt idx="236">
                  <c:v>8.7208332804245003E-4</c:v>
                </c:pt>
                <c:pt idx="237">
                  <c:v>-2.1765517635139453E-3</c:v>
                </c:pt>
                <c:pt idx="238">
                  <c:v>7.454352210424009E-2</c:v>
                </c:pt>
                <c:pt idx="239">
                  <c:v>3.7588231927245808E-3</c:v>
                </c:pt>
                <c:pt idx="240">
                  <c:v>-2.6941377029813918E-2</c:v>
                </c:pt>
                <c:pt idx="241">
                  <c:v>-6.9052399679050858E-2</c:v>
                </c:pt>
                <c:pt idx="242">
                  <c:v>-6.0577663029985906E-2</c:v>
                </c:pt>
                <c:pt idx="243">
                  <c:v>-1.319753239974375E-2</c:v>
                </c:pt>
                <c:pt idx="244">
                  <c:v>-8.7012274266977663E-3</c:v>
                </c:pt>
                <c:pt idx="245">
                  <c:v>1.1888263265779742E-2</c:v>
                </c:pt>
                <c:pt idx="246">
                  <c:v>-2.1686983200663423E-2</c:v>
                </c:pt>
                <c:pt idx="247">
                  <c:v>5.4743235172063365E-3</c:v>
                </c:pt>
                <c:pt idx="248">
                  <c:v>9.4589047964954709E-3</c:v>
                </c:pt>
                <c:pt idx="249">
                  <c:v>-3.9777247938932447E-4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6-476F-8D1B-C24E0BE8B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45088"/>
        <c:axId val="172034528"/>
      </c:lineChart>
      <c:dateAx>
        <c:axId val="17204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528"/>
        <c:crosses val="autoZero"/>
        <c:auto val="1"/>
        <c:lblOffset val="100"/>
        <c:baseTimeUnit val="days"/>
      </c:dateAx>
      <c:valAx>
        <c:axId val="172034528"/>
        <c:scaling>
          <c:orientation val="minMax"/>
          <c:min val="-7.500000000000001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Return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ORCL - Daily Log Return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19225721784777"/>
          <c:y val="0.17211136890951279"/>
          <c:w val="0.79702209098862642"/>
          <c:h val="0.70628752032446063"/>
        </c:manualLayout>
      </c:layout>
      <c:lineChart>
        <c:grouping val="standard"/>
        <c:varyColors val="0"/>
        <c:ser>
          <c:idx val="0"/>
          <c:order val="0"/>
          <c:tx>
            <c:strRef>
              <c:f>Returns!$C$1</c:f>
              <c:strCache>
                <c:ptCount val="1"/>
                <c:pt idx="0">
                  <c:v>ORCL Return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Returns!$A$2:$A$251</c:f>
              <c:numCache>
                <c:formatCode>m/d/yyyy</c:formatCode>
                <c:ptCount val="250"/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Returns!$C$2:$C$251</c:f>
              <c:numCache>
                <c:formatCode>0.0000%</c:formatCode>
                <c:ptCount val="250"/>
                <c:pt idx="1">
                  <c:v>-3.8274658746294321E-2</c:v>
                </c:pt>
                <c:pt idx="2">
                  <c:v>1.6990227777112565E-2</c:v>
                </c:pt>
                <c:pt idx="3">
                  <c:v>-1.1639001313556996E-2</c:v>
                </c:pt>
                <c:pt idx="4">
                  <c:v>-8.2405668151608324E-3</c:v>
                </c:pt>
                <c:pt idx="5">
                  <c:v>5.5291384270743649E-3</c:v>
                </c:pt>
                <c:pt idx="6">
                  <c:v>-2.5775442922068237E-2</c:v>
                </c:pt>
                <c:pt idx="7">
                  <c:v>-2.4576140707472049E-2</c:v>
                </c:pt>
                <c:pt idx="8">
                  <c:v>8.7858853567483131E-2</c:v>
                </c:pt>
                <c:pt idx="9">
                  <c:v>-1.4354313451683254E-2</c:v>
                </c:pt>
                <c:pt idx="10">
                  <c:v>-9.1948631526914681E-3</c:v>
                </c:pt>
                <c:pt idx="11">
                  <c:v>-1.1892910282694125E-2</c:v>
                </c:pt>
                <c:pt idx="12">
                  <c:v>1.5757586104522048E-2</c:v>
                </c:pt>
                <c:pt idx="13">
                  <c:v>2.2298355693894933E-2</c:v>
                </c:pt>
                <c:pt idx="14">
                  <c:v>-1.6093344853427283E-3</c:v>
                </c:pt>
                <c:pt idx="15">
                  <c:v>2.6134187173292744E-2</c:v>
                </c:pt>
                <c:pt idx="16">
                  <c:v>-3.3211263045716422E-2</c:v>
                </c:pt>
                <c:pt idx="17">
                  <c:v>1.6231073966457288E-2</c:v>
                </c:pt>
                <c:pt idx="18">
                  <c:v>1.1903687815606467E-2</c:v>
                </c:pt>
                <c:pt idx="19">
                  <c:v>3.3609007768416355E-2</c:v>
                </c:pt>
                <c:pt idx="20">
                  <c:v>-4.6796609670587408E-2</c:v>
                </c:pt>
                <c:pt idx="21">
                  <c:v>-5.5558900111449816E-2</c:v>
                </c:pt>
                <c:pt idx="22">
                  <c:v>2.3664108769381187E-3</c:v>
                </c:pt>
                <c:pt idx="23">
                  <c:v>1.4187379257927013E-2</c:v>
                </c:pt>
                <c:pt idx="24">
                  <c:v>-3.929065440266033E-2</c:v>
                </c:pt>
                <c:pt idx="25">
                  <c:v>2.3120226357979945E-2</c:v>
                </c:pt>
                <c:pt idx="26">
                  <c:v>-4.3361884037516063E-3</c:v>
                </c:pt>
                <c:pt idx="27">
                  <c:v>-1.7221684107069812E-2</c:v>
                </c:pt>
                <c:pt idx="28">
                  <c:v>2.0855154239977303E-2</c:v>
                </c:pt>
                <c:pt idx="29">
                  <c:v>9.2045828436387644E-2</c:v>
                </c:pt>
                <c:pt idx="30">
                  <c:v>4.5407012377594924E-2</c:v>
                </c:pt>
                <c:pt idx="31">
                  <c:v>-7.2007081515295113E-2</c:v>
                </c:pt>
                <c:pt idx="32">
                  <c:v>-5.3108649791384188E-2</c:v>
                </c:pt>
                <c:pt idx="33">
                  <c:v>-3.4254929888851926E-2</c:v>
                </c:pt>
                <c:pt idx="34">
                  <c:v>-2.784802923866625E-2</c:v>
                </c:pt>
                <c:pt idx="35">
                  <c:v>-2.6561110592569825E-2</c:v>
                </c:pt>
                <c:pt idx="36">
                  <c:v>-2.217697159981924E-2</c:v>
                </c:pt>
                <c:pt idx="37">
                  <c:v>-1.2079525654600687E-2</c:v>
                </c:pt>
                <c:pt idx="38">
                  <c:v>-4.2206969818943563E-2</c:v>
                </c:pt>
                <c:pt idx="39">
                  <c:v>2.9368072788502175E-2</c:v>
                </c:pt>
                <c:pt idx="40">
                  <c:v>-5.7409962374999068E-3</c:v>
                </c:pt>
                <c:pt idx="41">
                  <c:v>2.4428869171906342E-2</c:v>
                </c:pt>
                <c:pt idx="42">
                  <c:v>-3.4146901530468732E-2</c:v>
                </c:pt>
                <c:pt idx="43">
                  <c:v>-6.0232213602220419E-2</c:v>
                </c:pt>
                <c:pt idx="44">
                  <c:v>6.5102345754688429E-3</c:v>
                </c:pt>
                <c:pt idx="45">
                  <c:v>-1.9611539723262794E-2</c:v>
                </c:pt>
                <c:pt idx="46">
                  <c:v>-4.3856485013526125E-2</c:v>
                </c:pt>
                <c:pt idx="47">
                  <c:v>-1.1745472522290967E-2</c:v>
                </c:pt>
                <c:pt idx="48">
                  <c:v>3.0557933217651545E-2</c:v>
                </c:pt>
                <c:pt idx="49">
                  <c:v>4.5709582584332331E-2</c:v>
                </c:pt>
                <c:pt idx="50">
                  <c:v>-1.6680561402513838E-2</c:v>
                </c:pt>
                <c:pt idx="51">
                  <c:v>-4.7078386960350826E-3</c:v>
                </c:pt>
                <c:pt idx="52">
                  <c:v>6.0050912973359516E-3</c:v>
                </c:pt>
                <c:pt idx="53">
                  <c:v>-1.6070394780757447E-2</c:v>
                </c:pt>
                <c:pt idx="54">
                  <c:v>4.0960581563282972E-3</c:v>
                </c:pt>
                <c:pt idx="55">
                  <c:v>-1.1731237261427552E-2</c:v>
                </c:pt>
                <c:pt idx="56">
                  <c:v>9.322770597180785E-3</c:v>
                </c:pt>
                <c:pt idx="57">
                  <c:v>-1.3270144143811002E-2</c:v>
                </c:pt>
                <c:pt idx="58">
                  <c:v>2.5285742207126205E-3</c:v>
                </c:pt>
                <c:pt idx="59">
                  <c:v>1.0946320128564224E-2</c:v>
                </c:pt>
                <c:pt idx="60">
                  <c:v>-1.5442753298517076E-2</c:v>
                </c:pt>
                <c:pt idx="61">
                  <c:v>3.2845273498368854E-2</c:v>
                </c:pt>
                <c:pt idx="62">
                  <c:v>6.4215606149947924E-2</c:v>
                </c:pt>
                <c:pt idx="63">
                  <c:v>8.7590171975255871E-3</c:v>
                </c:pt>
                <c:pt idx="64">
                  <c:v>-5.5528959938314415E-2</c:v>
                </c:pt>
                <c:pt idx="65">
                  <c:v>1.9970147290295337E-2</c:v>
                </c:pt>
                <c:pt idx="66">
                  <c:v>-2.6942865836933727E-2</c:v>
                </c:pt>
                <c:pt idx="67">
                  <c:v>-4.5684606696741348E-2</c:v>
                </c:pt>
                <c:pt idx="68">
                  <c:v>-0.1146658418503268</c:v>
                </c:pt>
                <c:pt idx="69">
                  <c:v>6.6585930094422707E-3</c:v>
                </c:pt>
                <c:pt idx="70">
                  <c:v>4.4789361640518166E-3</c:v>
                </c:pt>
                <c:pt idx="71">
                  <c:v>1.3512485337595415E-2</c:v>
                </c:pt>
                <c:pt idx="72">
                  <c:v>1.5049715643895567E-2</c:v>
                </c:pt>
                <c:pt idx="73">
                  <c:v>3.1277723802448421E-2</c:v>
                </c:pt>
                <c:pt idx="74">
                  <c:v>3.2436862767986518E-2</c:v>
                </c:pt>
                <c:pt idx="75">
                  <c:v>7.9594074443800622E-4</c:v>
                </c:pt>
                <c:pt idx="76">
                  <c:v>-5.013785975253704E-3</c:v>
                </c:pt>
                <c:pt idx="77">
                  <c:v>-1.4794696139001751E-2</c:v>
                </c:pt>
                <c:pt idx="78">
                  <c:v>3.9458836740546843E-2</c:v>
                </c:pt>
                <c:pt idx="79">
                  <c:v>-1.6360386053866804E-2</c:v>
                </c:pt>
                <c:pt idx="80">
                  <c:v>7.6183207276239173E-3</c:v>
                </c:pt>
                <c:pt idx="81">
                  <c:v>-5.8289792104918803E-2</c:v>
                </c:pt>
                <c:pt idx="82">
                  <c:v>-6.8065328948978987E-2</c:v>
                </c:pt>
                <c:pt idx="83">
                  <c:v>2.2600845403449199E-2</c:v>
                </c:pt>
                <c:pt idx="84">
                  <c:v>2.8613622338502509E-3</c:v>
                </c:pt>
                <c:pt idx="85">
                  <c:v>-1.35079192418468E-2</c:v>
                </c:pt>
                <c:pt idx="86">
                  <c:v>2.3978261562453973E-2</c:v>
                </c:pt>
                <c:pt idx="87">
                  <c:v>-4.2385325817499542E-2</c:v>
                </c:pt>
                <c:pt idx="88">
                  <c:v>-3.9561232694516058E-2</c:v>
                </c:pt>
                <c:pt idx="89">
                  <c:v>-1.9624094050116447E-2</c:v>
                </c:pt>
                <c:pt idx="90">
                  <c:v>6.5404636494852397E-3</c:v>
                </c:pt>
                <c:pt idx="91">
                  <c:v>-1.8797390304413852E-2</c:v>
                </c:pt>
                <c:pt idx="92">
                  <c:v>-2.6351932650025667E-2</c:v>
                </c:pt>
                <c:pt idx="93">
                  <c:v>8.5861544980039284E-3</c:v>
                </c:pt>
                <c:pt idx="94">
                  <c:v>-3.8264025297774396E-2</c:v>
                </c:pt>
                <c:pt idx="95">
                  <c:v>-1.8292021377825485E-2</c:v>
                </c:pt>
                <c:pt idx="96">
                  <c:v>2.20220641685831E-2</c:v>
                </c:pt>
                <c:pt idx="97">
                  <c:v>-6.921343444235184E-2</c:v>
                </c:pt>
                <c:pt idx="98">
                  <c:v>-1.9888091903201399E-2</c:v>
                </c:pt>
                <c:pt idx="99">
                  <c:v>-2.0276406285253401E-3</c:v>
                </c:pt>
                <c:pt idx="100">
                  <c:v>-6.8351513608764236E-3</c:v>
                </c:pt>
                <c:pt idx="101">
                  <c:v>1.1572724116708066E-2</c:v>
                </c:pt>
                <c:pt idx="102">
                  <c:v>2.6813974166473464E-2</c:v>
                </c:pt>
                <c:pt idx="103">
                  <c:v>-9.0908057477845361E-3</c:v>
                </c:pt>
                <c:pt idx="104">
                  <c:v>-7.350711134888499E-3</c:v>
                </c:pt>
                <c:pt idx="105">
                  <c:v>-4.9720877606090674E-2</c:v>
                </c:pt>
                <c:pt idx="106">
                  <c:v>-7.1815198293405658E-2</c:v>
                </c:pt>
                <c:pt idx="107">
                  <c:v>3.0426271035583596E-2</c:v>
                </c:pt>
                <c:pt idx="108">
                  <c:v>1.5333346113882484E-2</c:v>
                </c:pt>
                <c:pt idx="109">
                  <c:v>-2.968867658829577E-2</c:v>
                </c:pt>
                <c:pt idx="110">
                  <c:v>5.0096169052782358E-2</c:v>
                </c:pt>
                <c:pt idx="111">
                  <c:v>-1.3561368671635599E-2</c:v>
                </c:pt>
                <c:pt idx="112">
                  <c:v>2.8451858556552523E-2</c:v>
                </c:pt>
                <c:pt idx="113">
                  <c:v>1.532663932851186E-2</c:v>
                </c:pt>
                <c:pt idx="114">
                  <c:v>-2.5529754280881889E-2</c:v>
                </c:pt>
                <c:pt idx="115">
                  <c:v>1.8867504455465145E-2</c:v>
                </c:pt>
                <c:pt idx="116">
                  <c:v>-9.1839510048847828E-3</c:v>
                </c:pt>
                <c:pt idx="117">
                  <c:v>-7.9613704684522446E-4</c:v>
                </c:pt>
                <c:pt idx="118">
                  <c:v>2.7252892258957218E-2</c:v>
                </c:pt>
                <c:pt idx="119">
                  <c:v>-5.3900839717924143E-3</c:v>
                </c:pt>
                <c:pt idx="120">
                  <c:v>-2.4725384360060332E-3</c:v>
                </c:pt>
                <c:pt idx="121">
                  <c:v>-2.7385625535612412E-2</c:v>
                </c:pt>
                <c:pt idx="122">
                  <c:v>-5.7135530021096059E-2</c:v>
                </c:pt>
                <c:pt idx="123">
                  <c:v>-1.7259262728311242E-2</c:v>
                </c:pt>
                <c:pt idx="124">
                  <c:v>-4.4619382895952242E-2</c:v>
                </c:pt>
                <c:pt idx="125">
                  <c:v>6.123047344704613E-2</c:v>
                </c:pt>
                <c:pt idx="126">
                  <c:v>3.9788489158868678E-2</c:v>
                </c:pt>
                <c:pt idx="127">
                  <c:v>-1.6019605828516248E-2</c:v>
                </c:pt>
                <c:pt idx="128">
                  <c:v>-1.7235567929660078E-2</c:v>
                </c:pt>
                <c:pt idx="129">
                  <c:v>1.4816545956414018E-2</c:v>
                </c:pt>
                <c:pt idx="130">
                  <c:v>3.3520435411211302E-2</c:v>
                </c:pt>
                <c:pt idx="131">
                  <c:v>-5.2275083477560713E-2</c:v>
                </c:pt>
                <c:pt idx="132">
                  <c:v>-6.4374065986251949E-2</c:v>
                </c:pt>
                <c:pt idx="133">
                  <c:v>0.30710832006533995</c:v>
                </c:pt>
                <c:pt idx="134">
                  <c:v>1.2625430733024245E-2</c:v>
                </c:pt>
                <c:pt idx="135">
                  <c:v>2.4105733512532979E-2</c:v>
                </c:pt>
                <c:pt idx="136">
                  <c:v>4.3007944397164266E-2</c:v>
                </c:pt>
                <c:pt idx="137">
                  <c:v>-2.0159039193412553E-3</c:v>
                </c:pt>
                <c:pt idx="138">
                  <c:v>-8.2451720587384258E-3</c:v>
                </c:pt>
                <c:pt idx="139">
                  <c:v>-3.6772076967039879E-3</c:v>
                </c:pt>
                <c:pt idx="140">
                  <c:v>-6.0861313440867093E-2</c:v>
                </c:pt>
                <c:pt idx="141">
                  <c:v>1.8944972550692718E-2</c:v>
                </c:pt>
                <c:pt idx="142">
                  <c:v>6.8082472247672499E-3</c:v>
                </c:pt>
                <c:pt idx="143">
                  <c:v>-5.1105260071819814E-3</c:v>
                </c:pt>
                <c:pt idx="144">
                  <c:v>-4.0696991182151976E-3</c:v>
                </c:pt>
                <c:pt idx="145">
                  <c:v>1.3673460748357513E-2</c:v>
                </c:pt>
                <c:pt idx="146">
                  <c:v>-8.1158875273583675E-3</c:v>
                </c:pt>
                <c:pt idx="147">
                  <c:v>1.8736166271331456E-3</c:v>
                </c:pt>
                <c:pt idx="148">
                  <c:v>-5.9766797377037939E-2</c:v>
                </c:pt>
                <c:pt idx="149">
                  <c:v>3.1768399091607336E-3</c:v>
                </c:pt>
                <c:pt idx="150">
                  <c:v>1.3462209636077915E-2</c:v>
                </c:pt>
                <c:pt idx="151">
                  <c:v>3.1892736686645051E-3</c:v>
                </c:pt>
                <c:pt idx="152">
                  <c:v>-3.8877275719321425E-2</c:v>
                </c:pt>
                <c:pt idx="153">
                  <c:v>4.6590679295306359E-3</c:v>
                </c:pt>
                <c:pt idx="154">
                  <c:v>1.0462968165587228E-2</c:v>
                </c:pt>
                <c:pt idx="155">
                  <c:v>2.6429616538061751E-3</c:v>
                </c:pt>
                <c:pt idx="156">
                  <c:v>-2.7837786671081943E-2</c:v>
                </c:pt>
                <c:pt idx="157">
                  <c:v>2.9681724583854319E-3</c:v>
                </c:pt>
                <c:pt idx="158">
                  <c:v>1.2357496884773056E-2</c:v>
                </c:pt>
                <c:pt idx="159">
                  <c:v>3.2641996529175543E-2</c:v>
                </c:pt>
                <c:pt idx="160">
                  <c:v>-3.7540287974178632E-2</c:v>
                </c:pt>
                <c:pt idx="161">
                  <c:v>1.2570302522065369E-2</c:v>
                </c:pt>
                <c:pt idx="162">
                  <c:v>2.4771277998922869E-3</c:v>
                </c:pt>
                <c:pt idx="163">
                  <c:v>9.1222075646291145E-3</c:v>
                </c:pt>
                <c:pt idx="164">
                  <c:v>1.0510820545220234E-2</c:v>
                </c:pt>
                <c:pt idx="165">
                  <c:v>9.3862765152543659E-3</c:v>
                </c:pt>
                <c:pt idx="166">
                  <c:v>3.8371924209901209E-3</c:v>
                </c:pt>
                <c:pt idx="167">
                  <c:v>1.5791665845087621E-2</c:v>
                </c:pt>
                <c:pt idx="168">
                  <c:v>-2.2548448307967206E-2</c:v>
                </c:pt>
                <c:pt idx="169">
                  <c:v>-7.812060425200329E-3</c:v>
                </c:pt>
                <c:pt idx="170">
                  <c:v>-1.3355115534640305E-2</c:v>
                </c:pt>
                <c:pt idx="171">
                  <c:v>3.0407403407715528E-2</c:v>
                </c:pt>
                <c:pt idx="172">
                  <c:v>2.6625685740621741E-2</c:v>
                </c:pt>
                <c:pt idx="173">
                  <c:v>2.4471322810502905E-2</c:v>
                </c:pt>
                <c:pt idx="174">
                  <c:v>-5.5671681713498344E-3</c:v>
                </c:pt>
                <c:pt idx="175">
                  <c:v>-1.9074381892947301E-2</c:v>
                </c:pt>
                <c:pt idx="176">
                  <c:v>-3.4408818809179564E-3</c:v>
                </c:pt>
                <c:pt idx="177">
                  <c:v>5.5708081387431108E-3</c:v>
                </c:pt>
                <c:pt idx="178">
                  <c:v>9.5981540687217759E-3</c:v>
                </c:pt>
                <c:pt idx="179">
                  <c:v>-2.1552007572830156E-2</c:v>
                </c:pt>
                <c:pt idx="180">
                  <c:v>3.1417092769923549E-2</c:v>
                </c:pt>
                <c:pt idx="181">
                  <c:v>4.9103283888094928E-2</c:v>
                </c:pt>
                <c:pt idx="182">
                  <c:v>1.5082614436270347E-3</c:v>
                </c:pt>
                <c:pt idx="183">
                  <c:v>3.9131067992550506E-2</c:v>
                </c:pt>
                <c:pt idx="184">
                  <c:v>-1.21970027173397E-2</c:v>
                </c:pt>
                <c:pt idx="185">
                  <c:v>9.9165000186145491E-3</c:v>
                </c:pt>
                <c:pt idx="186">
                  <c:v>-2.1362816211384583E-2</c:v>
                </c:pt>
                <c:pt idx="187">
                  <c:v>3.8981042893819762E-2</c:v>
                </c:pt>
                <c:pt idx="188">
                  <c:v>9.0731075344221424E-3</c:v>
                </c:pt>
                <c:pt idx="189">
                  <c:v>-2.7402926077809475E-2</c:v>
                </c:pt>
                <c:pt idx="190">
                  <c:v>1.2838739768601393E-2</c:v>
                </c:pt>
                <c:pt idx="191">
                  <c:v>-1.3928864766953097E-2</c:v>
                </c:pt>
                <c:pt idx="192">
                  <c:v>-1.9328805917971259E-2</c:v>
                </c:pt>
                <c:pt idx="193">
                  <c:v>7.4043639338603029E-2</c:v>
                </c:pt>
                <c:pt idx="194">
                  <c:v>0.1249763629736087</c:v>
                </c:pt>
                <c:pt idx="195">
                  <c:v>-6.2171680506741822E-3</c:v>
                </c:pt>
                <c:pt idx="196">
                  <c:v>1.8610951992279468E-3</c:v>
                </c:pt>
                <c:pt idx="197">
                  <c:v>1.7826596173602383E-2</c:v>
                </c:pt>
                <c:pt idx="198">
                  <c:v>1.6688300147969848E-2</c:v>
                </c:pt>
                <c:pt idx="199">
                  <c:v>1.7922894575338688E-2</c:v>
                </c:pt>
                <c:pt idx="200">
                  <c:v>-6.1677339395060926E-3</c:v>
                </c:pt>
                <c:pt idx="201">
                  <c:v>1.5311132865059918E-2</c:v>
                </c:pt>
                <c:pt idx="202">
                  <c:v>6.2631942169417698E-3</c:v>
                </c:pt>
                <c:pt idx="203">
                  <c:v>1.6015931664075111E-2</c:v>
                </c:pt>
                <c:pt idx="204">
                  <c:v>-5.8148595368239242E-3</c:v>
                </c:pt>
                <c:pt idx="205">
                  <c:v>1.1910749846162361E-2</c:v>
                </c:pt>
                <c:pt idx="206">
                  <c:v>3.7376944234926768E-2</c:v>
                </c:pt>
                <c:pt idx="207">
                  <c:v>-8.5546997706797967E-3</c:v>
                </c:pt>
                <c:pt idx="208">
                  <c:v>8.267353963846702E-4</c:v>
                </c:pt>
                <c:pt idx="209">
                  <c:v>-1.9717795263552773E-2</c:v>
                </c:pt>
                <c:pt idx="210">
                  <c:v>4.1881605210489781E-3</c:v>
                </c:pt>
                <c:pt idx="211">
                  <c:v>-5.3103551525319759E-3</c:v>
                </c:pt>
                <c:pt idx="212">
                  <c:v>6.8148689769502724E-3</c:v>
                </c:pt>
                <c:pt idx="213">
                  <c:v>-2.2026638927456155E-2</c:v>
                </c:pt>
                <c:pt idx="214">
                  <c:v>4.1817907321251013E-3</c:v>
                </c:pt>
                <c:pt idx="215">
                  <c:v>3.1615516185834913E-2</c:v>
                </c:pt>
                <c:pt idx="216">
                  <c:v>4.474670261628777E-2</c:v>
                </c:pt>
                <c:pt idx="217">
                  <c:v>2.6609899039442553E-4</c:v>
                </c:pt>
                <c:pt idx="218">
                  <c:v>6.2068474367276139E-3</c:v>
                </c:pt>
                <c:pt idx="219">
                  <c:v>1.1243259784866844E-2</c:v>
                </c:pt>
                <c:pt idx="220">
                  <c:v>-1.0707533528164781E-2</c:v>
                </c:pt>
                <c:pt idx="221">
                  <c:v>-9.5994337569385024E-3</c:v>
                </c:pt>
                <c:pt idx="222">
                  <c:v>3.5382801095139804E-2</c:v>
                </c:pt>
                <c:pt idx="223">
                  <c:v>3.3335255297995303E-2</c:v>
                </c:pt>
                <c:pt idx="224">
                  <c:v>-4.9731804513353239E-4</c:v>
                </c:pt>
                <c:pt idx="225">
                  <c:v>4.6274955320484423E-3</c:v>
                </c:pt>
                <c:pt idx="226">
                  <c:v>1.1843802087761368E-2</c:v>
                </c:pt>
                <c:pt idx="227">
                  <c:v>7.1014791197727689E-3</c:v>
                </c:pt>
                <c:pt idx="228">
                  <c:v>4.5450535684342874E-2</c:v>
                </c:pt>
                <c:pt idx="229">
                  <c:v>3.2171039169567095E-2</c:v>
                </c:pt>
                <c:pt idx="230">
                  <c:v>3.5355197979690445E-2</c:v>
                </c:pt>
                <c:pt idx="231">
                  <c:v>-4.6142451805463836E-2</c:v>
                </c:pt>
                <c:pt idx="232">
                  <c:v>-8.8242696603861859E-3</c:v>
                </c:pt>
                <c:pt idx="233">
                  <c:v>-3.1705348114801524E-2</c:v>
                </c:pt>
                <c:pt idx="234">
                  <c:v>-5.2126114006458835E-3</c:v>
                </c:pt>
                <c:pt idx="235">
                  <c:v>1.7154621209440002E-2</c:v>
                </c:pt>
                <c:pt idx="236">
                  <c:v>-7.5273219549130133E-3</c:v>
                </c:pt>
                <c:pt idx="237">
                  <c:v>-4.644843111143615E-2</c:v>
                </c:pt>
                <c:pt idx="238">
                  <c:v>0.11511996583469752</c:v>
                </c:pt>
                <c:pt idx="239">
                  <c:v>-2.114042013784001E-2</c:v>
                </c:pt>
                <c:pt idx="240">
                  <c:v>-8.6912812691570807E-3</c:v>
                </c:pt>
                <c:pt idx="241">
                  <c:v>-6.7520932969782343E-2</c:v>
                </c:pt>
                <c:pt idx="242">
                  <c:v>-6.0988907274545312E-2</c:v>
                </c:pt>
                <c:pt idx="243">
                  <c:v>2.7242824459249526E-2</c:v>
                </c:pt>
                <c:pt idx="244">
                  <c:v>1.5120075097104113E-2</c:v>
                </c:pt>
                <c:pt idx="245">
                  <c:v>-7.5531212724824215E-3</c:v>
                </c:pt>
                <c:pt idx="246">
                  <c:v>-3.4261156681851368E-2</c:v>
                </c:pt>
                <c:pt idx="247">
                  <c:v>-1.3761372560034957E-2</c:v>
                </c:pt>
                <c:pt idx="248">
                  <c:v>-4.0637945107881102E-2</c:v>
                </c:pt>
                <c:pt idx="249">
                  <c:v>-6.0881017061005238E-3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4-4E5C-B836-99D1E6CC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71503"/>
        <c:axId val="50775343"/>
      </c:lineChart>
      <c:dateAx>
        <c:axId val="5077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5343"/>
        <c:crosses val="autoZero"/>
        <c:auto val="1"/>
        <c:lblOffset val="100"/>
        <c:baseTimeUnit val="days"/>
      </c:dateAx>
      <c:valAx>
        <c:axId val="5077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</a:t>
                </a:r>
                <a:r>
                  <a:rPr lang="en-GB" baseline="0"/>
                  <a:t> Return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Real vs Simulated Prices (MSFT)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'Simulate Lognormal Model (MSFT)'!$B$1</c:f>
              <c:strCache>
                <c:ptCount val="1"/>
                <c:pt idx="0">
                  <c:v>Real Price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'Simulate Lognormal Model (MSFT)'!$A$2:$A$251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'Simulate Lognormal Model (MSFT)'!$B$2:$B$251</c:f>
              <c:numCache>
                <c:formatCode>#,##0.00</c:formatCode>
                <c:ptCount val="250"/>
                <c:pt idx="0">
                  <c:v>381.87</c:v>
                </c:pt>
                <c:pt idx="1">
                  <c:v>389.02</c:v>
                </c:pt>
                <c:pt idx="2">
                  <c:v>391.79</c:v>
                </c:pt>
                <c:pt idx="3">
                  <c:v>399.41</c:v>
                </c:pt>
                <c:pt idx="4">
                  <c:v>399.95</c:v>
                </c:pt>
                <c:pt idx="5">
                  <c:v>395.55</c:v>
                </c:pt>
                <c:pt idx="6">
                  <c:v>401.86</c:v>
                </c:pt>
                <c:pt idx="7">
                  <c:v>404.88</c:v>
                </c:pt>
                <c:pt idx="8">
                  <c:v>405.76</c:v>
                </c:pt>
                <c:pt idx="9">
                  <c:v>409.41</c:v>
                </c:pt>
                <c:pt idx="10">
                  <c:v>408.96</c:v>
                </c:pt>
                <c:pt idx="11">
                  <c:v>410.68</c:v>
                </c:pt>
                <c:pt idx="12">
                  <c:v>405.2</c:v>
                </c:pt>
                <c:pt idx="13">
                  <c:v>403.93</c:v>
                </c:pt>
                <c:pt idx="14">
                  <c:v>398.55</c:v>
                </c:pt>
                <c:pt idx="15">
                  <c:v>392.74</c:v>
                </c:pt>
                <c:pt idx="16">
                  <c:v>401.72</c:v>
                </c:pt>
                <c:pt idx="17">
                  <c:v>400.6</c:v>
                </c:pt>
                <c:pt idx="18">
                  <c:v>389</c:v>
                </c:pt>
                <c:pt idx="19">
                  <c:v>384.47</c:v>
                </c:pt>
                <c:pt idx="20">
                  <c:v>397.23</c:v>
                </c:pt>
                <c:pt idx="21">
                  <c:v>398.46</c:v>
                </c:pt>
                <c:pt idx="22">
                  <c:v>399.6</c:v>
                </c:pt>
                <c:pt idx="23">
                  <c:v>396.86</c:v>
                </c:pt>
                <c:pt idx="24">
                  <c:v>401.32</c:v>
                </c:pt>
                <c:pt idx="25">
                  <c:v>401.84</c:v>
                </c:pt>
                <c:pt idx="26">
                  <c:v>404.37</c:v>
                </c:pt>
                <c:pt idx="27">
                  <c:v>413.27</c:v>
                </c:pt>
                <c:pt idx="28">
                  <c:v>413.6</c:v>
                </c:pt>
                <c:pt idx="29">
                  <c:v>401.14</c:v>
                </c:pt>
                <c:pt idx="30">
                  <c:v>393.67</c:v>
                </c:pt>
                <c:pt idx="31">
                  <c:v>414.19</c:v>
                </c:pt>
                <c:pt idx="32">
                  <c:v>411.21</c:v>
                </c:pt>
                <c:pt idx="33">
                  <c:v>423.37</c:v>
                </c:pt>
                <c:pt idx="34">
                  <c:v>430.29</c:v>
                </c:pt>
                <c:pt idx="35">
                  <c:v>433.5</c:v>
                </c:pt>
                <c:pt idx="36">
                  <c:v>481.63</c:v>
                </c:pt>
                <c:pt idx="37">
                  <c:v>480.58</c:v>
                </c:pt>
                <c:pt idx="38">
                  <c:v>470.28</c:v>
                </c:pt>
                <c:pt idx="39">
                  <c:v>465.95</c:v>
                </c:pt>
                <c:pt idx="40">
                  <c:v>451.14</c:v>
                </c:pt>
                <c:pt idx="41">
                  <c:v>444.11</c:v>
                </c:pt>
                <c:pt idx="42">
                  <c:v>454.52</c:v>
                </c:pt>
                <c:pt idx="43">
                  <c:v>459.86</c:v>
                </c:pt>
                <c:pt idx="44">
                  <c:v>456.66</c:v>
                </c:pt>
                <c:pt idx="45">
                  <c:v>459.38</c:v>
                </c:pt>
                <c:pt idx="46">
                  <c:v>470.67</c:v>
                </c:pt>
                <c:pt idx="47">
                  <c:v>477.18</c:v>
                </c:pt>
                <c:pt idx="48">
                  <c:v>479.28</c:v>
                </c:pt>
                <c:pt idx="49">
                  <c:v>478.11</c:v>
                </c:pt>
                <c:pt idx="50">
                  <c:v>483.47</c:v>
                </c:pt>
                <c:pt idx="51">
                  <c:v>478.51</c:v>
                </c:pt>
                <c:pt idx="52">
                  <c:v>472.85</c:v>
                </c:pt>
                <c:pt idx="53">
                  <c:v>472.94</c:v>
                </c:pt>
                <c:pt idx="54">
                  <c:v>483.62</c:v>
                </c:pt>
                <c:pt idx="55">
                  <c:v>487.48</c:v>
                </c:pt>
                <c:pt idx="56">
                  <c:v>487.1</c:v>
                </c:pt>
                <c:pt idx="57">
                  <c:v>487.71</c:v>
                </c:pt>
                <c:pt idx="58">
                  <c:v>488.02</c:v>
                </c:pt>
                <c:pt idx="59">
                  <c:v>486.85</c:v>
                </c:pt>
                <c:pt idx="60">
                  <c:v>484.92</c:v>
                </c:pt>
                <c:pt idx="61">
                  <c:v>485.92</c:v>
                </c:pt>
                <c:pt idx="62">
                  <c:v>483.98</c:v>
                </c:pt>
                <c:pt idx="63">
                  <c:v>476.12</c:v>
                </c:pt>
                <c:pt idx="64">
                  <c:v>476.39</c:v>
                </c:pt>
                <c:pt idx="65">
                  <c:v>474.82</c:v>
                </c:pt>
                <c:pt idx="66">
                  <c:v>478.53</c:v>
                </c:pt>
                <c:pt idx="67">
                  <c:v>483.47</c:v>
                </c:pt>
                <c:pt idx="68">
                  <c:v>478.56</c:v>
                </c:pt>
                <c:pt idx="69">
                  <c:v>492.02</c:v>
                </c:pt>
                <c:pt idx="70">
                  <c:v>491.02</c:v>
                </c:pt>
                <c:pt idx="71">
                  <c:v>483.16</c:v>
                </c:pt>
                <c:pt idx="72">
                  <c:v>480.84</c:v>
                </c:pt>
                <c:pt idx="73">
                  <c:v>477.73</c:v>
                </c:pt>
                <c:pt idx="74">
                  <c:v>490</c:v>
                </c:pt>
                <c:pt idx="75">
                  <c:v>486.74</c:v>
                </c:pt>
                <c:pt idx="76">
                  <c:v>492.01</c:v>
                </c:pt>
                <c:pt idx="77">
                  <c:v>485.5</c:v>
                </c:pt>
                <c:pt idx="78">
                  <c:v>476.99</c:v>
                </c:pt>
                <c:pt idx="79">
                  <c:v>474</c:v>
                </c:pt>
                <c:pt idx="80">
                  <c:v>472.12</c:v>
                </c:pt>
                <c:pt idx="81">
                  <c:v>478.43</c:v>
                </c:pt>
                <c:pt idx="82">
                  <c:v>487.12</c:v>
                </c:pt>
                <c:pt idx="83">
                  <c:v>493.79</c:v>
                </c:pt>
                <c:pt idx="84">
                  <c:v>507.49</c:v>
                </c:pt>
                <c:pt idx="85">
                  <c:v>510.18</c:v>
                </c:pt>
                <c:pt idx="86">
                  <c:v>503.29</c:v>
                </c:pt>
                <c:pt idx="87">
                  <c:v>511.14</c:v>
                </c:pt>
                <c:pt idx="88">
                  <c:v>508.68</c:v>
                </c:pt>
                <c:pt idx="89">
                  <c:v>506</c:v>
                </c:pt>
                <c:pt idx="90">
                  <c:v>496.82</c:v>
                </c:pt>
                <c:pt idx="91">
                  <c:v>497.1</c:v>
                </c:pt>
                <c:pt idx="92">
                  <c:v>507.16</c:v>
                </c:pt>
                <c:pt idx="93">
                  <c:v>514.33000000000004</c:v>
                </c:pt>
                <c:pt idx="94">
                  <c:v>517.03</c:v>
                </c:pt>
                <c:pt idx="95">
                  <c:v>517.80999999999995</c:v>
                </c:pt>
                <c:pt idx="96">
                  <c:v>525.76</c:v>
                </c:pt>
                <c:pt idx="97">
                  <c:v>541.54999999999995</c:v>
                </c:pt>
                <c:pt idx="98">
                  <c:v>542.07000000000005</c:v>
                </c:pt>
                <c:pt idx="99">
                  <c:v>531.52</c:v>
                </c:pt>
                <c:pt idx="100">
                  <c:v>523.61</c:v>
                </c:pt>
                <c:pt idx="101">
                  <c:v>520.55999999999995</c:v>
                </c:pt>
                <c:pt idx="102">
                  <c:v>520.54</c:v>
                </c:pt>
                <c:pt idx="103">
                  <c:v>517.66</c:v>
                </c:pt>
                <c:pt idx="104">
                  <c:v>516.79</c:v>
                </c:pt>
                <c:pt idx="105">
                  <c:v>513.58000000000004</c:v>
                </c:pt>
                <c:pt idx="106">
                  <c:v>511.61</c:v>
                </c:pt>
                <c:pt idx="107">
                  <c:v>513.42999999999995</c:v>
                </c:pt>
                <c:pt idx="108">
                  <c:v>513.57000000000005</c:v>
                </c:pt>
                <c:pt idx="109">
                  <c:v>514.04999999999995</c:v>
                </c:pt>
                <c:pt idx="110">
                  <c:v>510.96</c:v>
                </c:pt>
                <c:pt idx="111">
                  <c:v>522.4</c:v>
                </c:pt>
                <c:pt idx="112">
                  <c:v>524.85</c:v>
                </c:pt>
                <c:pt idx="113">
                  <c:v>523.98</c:v>
                </c:pt>
                <c:pt idx="114">
                  <c:v>528.57000000000005</c:v>
                </c:pt>
                <c:pt idx="115">
                  <c:v>517.35</c:v>
                </c:pt>
                <c:pt idx="116">
                  <c:v>515.74</c:v>
                </c:pt>
                <c:pt idx="117">
                  <c:v>519.71</c:v>
                </c:pt>
                <c:pt idx="118">
                  <c:v>517.95000000000005</c:v>
                </c:pt>
                <c:pt idx="119">
                  <c:v>514.6</c:v>
                </c:pt>
                <c:pt idx="120">
                  <c:v>511.46</c:v>
                </c:pt>
                <c:pt idx="121">
                  <c:v>507.03</c:v>
                </c:pt>
                <c:pt idx="122">
                  <c:v>510.15</c:v>
                </c:pt>
                <c:pt idx="123">
                  <c:v>509.23</c:v>
                </c:pt>
                <c:pt idx="124">
                  <c:v>514.45000000000005</c:v>
                </c:pt>
                <c:pt idx="125">
                  <c:v>517.92999999999995</c:v>
                </c:pt>
                <c:pt idx="126">
                  <c:v>508.45</c:v>
                </c:pt>
                <c:pt idx="127">
                  <c:v>510.02</c:v>
                </c:pt>
                <c:pt idx="128">
                  <c:v>509.04</c:v>
                </c:pt>
                <c:pt idx="129">
                  <c:v>515.36</c:v>
                </c:pt>
                <c:pt idx="130">
                  <c:v>509.9</c:v>
                </c:pt>
                <c:pt idx="131">
                  <c:v>501.01</c:v>
                </c:pt>
                <c:pt idx="132">
                  <c:v>500.37</c:v>
                </c:pt>
                <c:pt idx="133">
                  <c:v>498.41</c:v>
                </c:pt>
                <c:pt idx="134">
                  <c:v>498.2</c:v>
                </c:pt>
                <c:pt idx="135">
                  <c:v>495</c:v>
                </c:pt>
                <c:pt idx="136">
                  <c:v>507.97</c:v>
                </c:pt>
                <c:pt idx="137">
                  <c:v>505.35</c:v>
                </c:pt>
                <c:pt idx="138">
                  <c:v>505.12</c:v>
                </c:pt>
                <c:pt idx="139">
                  <c:v>506.69</c:v>
                </c:pt>
                <c:pt idx="140">
                  <c:v>509.64</c:v>
                </c:pt>
                <c:pt idx="141">
                  <c:v>506.74</c:v>
                </c:pt>
                <c:pt idx="142">
                  <c:v>502.04</c:v>
                </c:pt>
                <c:pt idx="143">
                  <c:v>504.26</c:v>
                </c:pt>
                <c:pt idx="144">
                  <c:v>507.23</c:v>
                </c:pt>
                <c:pt idx="145">
                  <c:v>504.24</c:v>
                </c:pt>
                <c:pt idx="146">
                  <c:v>505.72</c:v>
                </c:pt>
                <c:pt idx="147">
                  <c:v>509.77</c:v>
                </c:pt>
                <c:pt idx="148">
                  <c:v>517.1</c:v>
                </c:pt>
                <c:pt idx="149">
                  <c:v>520.16999999999996</c:v>
                </c:pt>
                <c:pt idx="150">
                  <c:v>522.48</c:v>
                </c:pt>
                <c:pt idx="151">
                  <c:v>520.58000000000004</c:v>
                </c:pt>
                <c:pt idx="152">
                  <c:v>529.24</c:v>
                </c:pt>
                <c:pt idx="153">
                  <c:v>521.77</c:v>
                </c:pt>
                <c:pt idx="154">
                  <c:v>522.04</c:v>
                </c:pt>
                <c:pt idx="155">
                  <c:v>520.84</c:v>
                </c:pt>
                <c:pt idx="156">
                  <c:v>524.94000000000005</c:v>
                </c:pt>
                <c:pt idx="157">
                  <c:v>527.75</c:v>
                </c:pt>
                <c:pt idx="158">
                  <c:v>535.64</c:v>
                </c:pt>
                <c:pt idx="159">
                  <c:v>524.11</c:v>
                </c:pt>
                <c:pt idx="160">
                  <c:v>533.5</c:v>
                </c:pt>
                <c:pt idx="161">
                  <c:v>513.24</c:v>
                </c:pt>
                <c:pt idx="162">
                  <c:v>512.57000000000005</c:v>
                </c:pt>
                <c:pt idx="163">
                  <c:v>512.5</c:v>
                </c:pt>
                <c:pt idx="164">
                  <c:v>513.71</c:v>
                </c:pt>
                <c:pt idx="165">
                  <c:v>510.88</c:v>
                </c:pt>
                <c:pt idx="166">
                  <c:v>505.87</c:v>
                </c:pt>
                <c:pt idx="167">
                  <c:v>505.27</c:v>
                </c:pt>
                <c:pt idx="168">
                  <c:v>510.06</c:v>
                </c:pt>
                <c:pt idx="169">
                  <c:v>510.05</c:v>
                </c:pt>
                <c:pt idx="170">
                  <c:v>511.7</c:v>
                </c:pt>
                <c:pt idx="171">
                  <c:v>505.62</c:v>
                </c:pt>
                <c:pt idx="172">
                  <c:v>505.82</c:v>
                </c:pt>
                <c:pt idx="173">
                  <c:v>503.02</c:v>
                </c:pt>
                <c:pt idx="174">
                  <c:v>503.32</c:v>
                </c:pt>
                <c:pt idx="175">
                  <c:v>501.48</c:v>
                </c:pt>
                <c:pt idx="176">
                  <c:v>503.51</c:v>
                </c:pt>
                <c:pt idx="177">
                  <c:v>496.62</c:v>
                </c:pt>
                <c:pt idx="178">
                  <c:v>497.72</c:v>
                </c:pt>
                <c:pt idx="179">
                  <c:v>498.84</c:v>
                </c:pt>
                <c:pt idx="180">
                  <c:v>491.09</c:v>
                </c:pt>
                <c:pt idx="181">
                  <c:v>492.05</c:v>
                </c:pt>
                <c:pt idx="182">
                  <c:v>497.41</c:v>
                </c:pt>
                <c:pt idx="183">
                  <c:v>495.94</c:v>
                </c:pt>
                <c:pt idx="184">
                  <c:v>497.45</c:v>
                </c:pt>
                <c:pt idx="185">
                  <c:v>492.27</c:v>
                </c:pt>
                <c:pt idx="186">
                  <c:v>490.11</c:v>
                </c:pt>
                <c:pt idx="187">
                  <c:v>486</c:v>
                </c:pt>
                <c:pt idx="188">
                  <c:v>477.4</c:v>
                </c:pt>
                <c:pt idx="189">
                  <c:v>480.24</c:v>
                </c:pt>
                <c:pt idx="190">
                  <c:v>478.04</c:v>
                </c:pt>
                <c:pt idx="191">
                  <c:v>479.14</c:v>
                </c:pt>
                <c:pt idx="192">
                  <c:v>474.96</c:v>
                </c:pt>
                <c:pt idx="193">
                  <c:v>478.87</c:v>
                </c:pt>
                <c:pt idx="194">
                  <c:v>472.62</c:v>
                </c:pt>
                <c:pt idx="195">
                  <c:v>470.92</c:v>
                </c:pt>
                <c:pt idx="196">
                  <c:v>472.75</c:v>
                </c:pt>
                <c:pt idx="197">
                  <c:v>470.38</c:v>
                </c:pt>
                <c:pt idx="198">
                  <c:v>467.68</c:v>
                </c:pt>
                <c:pt idx="199">
                  <c:v>463.87</c:v>
                </c:pt>
                <c:pt idx="200">
                  <c:v>462.97</c:v>
                </c:pt>
                <c:pt idx="201">
                  <c:v>461.97</c:v>
                </c:pt>
                <c:pt idx="202">
                  <c:v>460.36</c:v>
                </c:pt>
                <c:pt idx="203">
                  <c:v>458.68</c:v>
                </c:pt>
                <c:pt idx="204">
                  <c:v>457.36</c:v>
                </c:pt>
                <c:pt idx="205">
                  <c:v>460.69</c:v>
                </c:pt>
                <c:pt idx="206">
                  <c:v>450.18</c:v>
                </c:pt>
                <c:pt idx="207">
                  <c:v>454.86</c:v>
                </c:pt>
                <c:pt idx="208">
                  <c:v>452.57</c:v>
                </c:pt>
                <c:pt idx="209">
                  <c:v>458.17</c:v>
                </c:pt>
                <c:pt idx="210">
                  <c:v>458.87</c:v>
                </c:pt>
                <c:pt idx="211">
                  <c:v>454.27</c:v>
                </c:pt>
                <c:pt idx="212">
                  <c:v>453.13</c:v>
                </c:pt>
                <c:pt idx="213">
                  <c:v>452.94</c:v>
                </c:pt>
                <c:pt idx="214">
                  <c:v>449.14</c:v>
                </c:pt>
                <c:pt idx="215">
                  <c:v>449.26</c:v>
                </c:pt>
                <c:pt idx="216">
                  <c:v>438.73</c:v>
                </c:pt>
                <c:pt idx="217">
                  <c:v>438.17</c:v>
                </c:pt>
                <c:pt idx="218">
                  <c:v>433.35</c:v>
                </c:pt>
                <c:pt idx="219">
                  <c:v>433.31</c:v>
                </c:pt>
                <c:pt idx="220">
                  <c:v>436.17</c:v>
                </c:pt>
                <c:pt idx="221">
                  <c:v>435.28</c:v>
                </c:pt>
                <c:pt idx="222">
                  <c:v>425.4</c:v>
                </c:pt>
                <c:pt idx="223">
                  <c:v>395.26</c:v>
                </c:pt>
                <c:pt idx="224">
                  <c:v>394.04</c:v>
                </c:pt>
                <c:pt idx="225">
                  <c:v>391.16</c:v>
                </c:pt>
                <c:pt idx="226">
                  <c:v>391.85</c:v>
                </c:pt>
                <c:pt idx="227">
                  <c:v>387.3</c:v>
                </c:pt>
                <c:pt idx="228">
                  <c:v>374.39</c:v>
                </c:pt>
                <c:pt idx="229">
                  <c:v>366.82</c:v>
                </c:pt>
                <c:pt idx="230">
                  <c:v>359.12</c:v>
                </c:pt>
                <c:pt idx="231">
                  <c:v>367.78</c:v>
                </c:pt>
                <c:pt idx="232">
                  <c:v>371.61</c:v>
                </c:pt>
                <c:pt idx="233">
                  <c:v>385.73</c:v>
                </c:pt>
                <c:pt idx="234">
                  <c:v>387.81</c:v>
                </c:pt>
                <c:pt idx="235">
                  <c:v>388.45</c:v>
                </c:pt>
                <c:pt idx="236">
                  <c:v>381.35</c:v>
                </c:pt>
                <c:pt idx="237">
                  <c:v>390.49</c:v>
                </c:pt>
                <c:pt idx="238">
                  <c:v>354.56</c:v>
                </c:pt>
                <c:pt idx="239">
                  <c:v>357.86</c:v>
                </c:pt>
                <c:pt idx="240">
                  <c:v>359.84</c:v>
                </c:pt>
                <c:pt idx="241">
                  <c:v>373.11</c:v>
                </c:pt>
                <c:pt idx="242">
                  <c:v>382.14</c:v>
                </c:pt>
                <c:pt idx="243">
                  <c:v>382.19</c:v>
                </c:pt>
                <c:pt idx="244">
                  <c:v>375.39</c:v>
                </c:pt>
                <c:pt idx="245">
                  <c:v>378.8</c:v>
                </c:pt>
                <c:pt idx="246">
                  <c:v>390.58</c:v>
                </c:pt>
                <c:pt idx="247">
                  <c:v>389.97</c:v>
                </c:pt>
                <c:pt idx="248">
                  <c:v>395.16</c:v>
                </c:pt>
                <c:pt idx="249">
                  <c:v>393.08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0-4721-B361-C46894C215C8}"/>
            </c:ext>
          </c:extLst>
        </c:ser>
        <c:ser>
          <c:idx val="1"/>
          <c:order val="1"/>
          <c:tx>
            <c:strRef>
              <c:f>'Simulate Lognormal Model (MSFT)'!$F$1</c:f>
              <c:strCache>
                <c:ptCount val="1"/>
                <c:pt idx="0">
                  <c:v>Simulated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'Simulate Lognormal Model (MSFT)'!$A$2:$A$251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'Simulate Lognormal Model (MSFT)'!$F$2:$F$251</c:f>
              <c:numCache>
                <c:formatCode>General</c:formatCode>
                <c:ptCount val="250"/>
                <c:pt idx="0" formatCode="#,##0.00">
                  <c:v>381.87</c:v>
                </c:pt>
                <c:pt idx="1">
                  <c:v>380.10710924127574</c:v>
                </c:pt>
                <c:pt idx="2">
                  <c:v>380.64625930930777</c:v>
                </c:pt>
                <c:pt idx="3">
                  <c:v>383.4584963621673</c:v>
                </c:pt>
                <c:pt idx="4">
                  <c:v>382.89651938136114</c:v>
                </c:pt>
                <c:pt idx="5">
                  <c:v>393.03231957248926</c:v>
                </c:pt>
                <c:pt idx="6">
                  <c:v>394.06535095422674</c:v>
                </c:pt>
                <c:pt idx="7">
                  <c:v>399.05261187837442</c:v>
                </c:pt>
                <c:pt idx="8">
                  <c:v>402.00824356011975</c:v>
                </c:pt>
                <c:pt idx="9">
                  <c:v>394.76171186967815</c:v>
                </c:pt>
                <c:pt idx="10">
                  <c:v>387.19192507688769</c:v>
                </c:pt>
                <c:pt idx="11">
                  <c:v>385.43110237962395</c:v>
                </c:pt>
                <c:pt idx="12">
                  <c:v>386.13313902883795</c:v>
                </c:pt>
                <c:pt idx="13">
                  <c:v>388.41265933183371</c:v>
                </c:pt>
                <c:pt idx="14">
                  <c:v>384.73134180685418</c:v>
                </c:pt>
                <c:pt idx="15">
                  <c:v>377.87923952897847</c:v>
                </c:pt>
                <c:pt idx="16">
                  <c:v>386.85999605381369</c:v>
                </c:pt>
                <c:pt idx="17">
                  <c:v>390.68066941935615</c:v>
                </c:pt>
                <c:pt idx="18">
                  <c:v>396.54581472795633</c:v>
                </c:pt>
                <c:pt idx="19">
                  <c:v>392.56485044431332</c:v>
                </c:pt>
                <c:pt idx="20">
                  <c:v>380.57832237922742</c:v>
                </c:pt>
                <c:pt idx="21">
                  <c:v>381.39647136513412</c:v>
                </c:pt>
                <c:pt idx="22">
                  <c:v>378.69477128480412</c:v>
                </c:pt>
                <c:pt idx="23">
                  <c:v>377.20445660700381</c:v>
                </c:pt>
                <c:pt idx="24">
                  <c:v>374.71576677147903</c:v>
                </c:pt>
                <c:pt idx="25">
                  <c:v>377.12960164036429</c:v>
                </c:pt>
                <c:pt idx="26">
                  <c:v>370.92501470541708</c:v>
                </c:pt>
                <c:pt idx="27">
                  <c:v>380.58608265814428</c:v>
                </c:pt>
                <c:pt idx="28">
                  <c:v>374.00996687988237</c:v>
                </c:pt>
                <c:pt idx="29">
                  <c:v>385.31653634338767</c:v>
                </c:pt>
                <c:pt idx="30">
                  <c:v>385.0132442241885</c:v>
                </c:pt>
                <c:pt idx="31">
                  <c:v>382.86737578762796</c:v>
                </c:pt>
                <c:pt idx="32">
                  <c:v>401.16605876352958</c:v>
                </c:pt>
                <c:pt idx="33">
                  <c:v>404.25248782277248</c:v>
                </c:pt>
                <c:pt idx="34">
                  <c:v>401.01686960198299</c:v>
                </c:pt>
                <c:pt idx="35">
                  <c:v>395.58582505742811</c:v>
                </c:pt>
                <c:pt idx="36">
                  <c:v>379.98253633317637</c:v>
                </c:pt>
                <c:pt idx="37">
                  <c:v>389.16910704718657</c:v>
                </c:pt>
                <c:pt idx="38">
                  <c:v>386.91785513045113</c:v>
                </c:pt>
                <c:pt idx="39">
                  <c:v>389.99837689648814</c:v>
                </c:pt>
                <c:pt idx="40">
                  <c:v>390.68363990496368</c:v>
                </c:pt>
                <c:pt idx="41">
                  <c:v>383.65737840678338</c:v>
                </c:pt>
                <c:pt idx="42">
                  <c:v>387.33902416489462</c:v>
                </c:pt>
                <c:pt idx="43">
                  <c:v>389.40318891543285</c:v>
                </c:pt>
                <c:pt idx="44">
                  <c:v>395.03624754003494</c:v>
                </c:pt>
                <c:pt idx="45">
                  <c:v>391.25024333713833</c:v>
                </c:pt>
                <c:pt idx="46">
                  <c:v>404.88918157243461</c:v>
                </c:pt>
                <c:pt idx="47">
                  <c:v>413.54230971048463</c:v>
                </c:pt>
                <c:pt idx="48">
                  <c:v>410.98946219486362</c:v>
                </c:pt>
                <c:pt idx="49">
                  <c:v>410.04747471276715</c:v>
                </c:pt>
                <c:pt idx="50">
                  <c:v>412.51246995726507</c:v>
                </c:pt>
                <c:pt idx="51">
                  <c:v>428.29763244062133</c:v>
                </c:pt>
                <c:pt idx="52">
                  <c:v>435.70174775193482</c:v>
                </c:pt>
                <c:pt idx="53">
                  <c:v>437.74852536978756</c:v>
                </c:pt>
                <c:pt idx="54">
                  <c:v>429.04564853608679</c:v>
                </c:pt>
                <c:pt idx="55">
                  <c:v>433.37300429628448</c:v>
                </c:pt>
                <c:pt idx="56">
                  <c:v>441.23040896980967</c:v>
                </c:pt>
                <c:pt idx="57">
                  <c:v>442.56425178720508</c:v>
                </c:pt>
                <c:pt idx="58">
                  <c:v>443.9944403334577</c:v>
                </c:pt>
                <c:pt idx="59">
                  <c:v>439.70741500946878</c:v>
                </c:pt>
                <c:pt idx="60">
                  <c:v>445.39900347820657</c:v>
                </c:pt>
                <c:pt idx="61">
                  <c:v>445.73393499411844</c:v>
                </c:pt>
                <c:pt idx="62">
                  <c:v>444.08049320767827</c:v>
                </c:pt>
                <c:pt idx="63">
                  <c:v>440.57984000630245</c:v>
                </c:pt>
                <c:pt idx="64">
                  <c:v>435.03005084140528</c:v>
                </c:pt>
                <c:pt idx="65">
                  <c:v>434.95433019286213</c:v>
                </c:pt>
                <c:pt idx="66">
                  <c:v>432.60279924897839</c:v>
                </c:pt>
                <c:pt idx="67">
                  <c:v>443.14270520350925</c:v>
                </c:pt>
                <c:pt idx="68">
                  <c:v>434.40396465321282</c:v>
                </c:pt>
                <c:pt idx="69">
                  <c:v>440.15548449898751</c:v>
                </c:pt>
                <c:pt idx="70">
                  <c:v>428.62031416511985</c:v>
                </c:pt>
                <c:pt idx="71">
                  <c:v>436.73701572329253</c:v>
                </c:pt>
                <c:pt idx="72">
                  <c:v>446.67876507879879</c:v>
                </c:pt>
                <c:pt idx="73">
                  <c:v>458.58191049773916</c:v>
                </c:pt>
                <c:pt idx="74">
                  <c:v>451.58561892430112</c:v>
                </c:pt>
                <c:pt idx="75">
                  <c:v>460.83360884418624</c:v>
                </c:pt>
                <c:pt idx="76">
                  <c:v>457.0811776746491</c:v>
                </c:pt>
                <c:pt idx="77">
                  <c:v>465.67222197070333</c:v>
                </c:pt>
                <c:pt idx="78">
                  <c:v>455.86628231816474</c:v>
                </c:pt>
                <c:pt idx="79">
                  <c:v>452.429747135068</c:v>
                </c:pt>
                <c:pt idx="80">
                  <c:v>451.3643907732669</c:v>
                </c:pt>
                <c:pt idx="81">
                  <c:v>455.72876995340221</c:v>
                </c:pt>
                <c:pt idx="82">
                  <c:v>452.94885861538467</c:v>
                </c:pt>
                <c:pt idx="83">
                  <c:v>455.40334610261021</c:v>
                </c:pt>
                <c:pt idx="84">
                  <c:v>454.75527377706834</c:v>
                </c:pt>
                <c:pt idx="85">
                  <c:v>448.88749841954944</c:v>
                </c:pt>
                <c:pt idx="86">
                  <c:v>452.6042632307969</c:v>
                </c:pt>
                <c:pt idx="87">
                  <c:v>452.42147704897349</c:v>
                </c:pt>
                <c:pt idx="88">
                  <c:v>448.91754032941185</c:v>
                </c:pt>
                <c:pt idx="89">
                  <c:v>450.4610168737064</c:v>
                </c:pt>
                <c:pt idx="90">
                  <c:v>462.32290432075223</c:v>
                </c:pt>
                <c:pt idx="91">
                  <c:v>451.52344867298564</c:v>
                </c:pt>
                <c:pt idx="92">
                  <c:v>449.02411675909474</c:v>
                </c:pt>
                <c:pt idx="93">
                  <c:v>443.25323656967191</c:v>
                </c:pt>
                <c:pt idx="94">
                  <c:v>438.70760384409056</c:v>
                </c:pt>
                <c:pt idx="95">
                  <c:v>443.79366878996791</c:v>
                </c:pt>
                <c:pt idx="96">
                  <c:v>441.87875091943482</c:v>
                </c:pt>
                <c:pt idx="97">
                  <c:v>440.96561195208159</c:v>
                </c:pt>
                <c:pt idx="98">
                  <c:v>439.04322181583871</c:v>
                </c:pt>
                <c:pt idx="99">
                  <c:v>436.75890340494328</c:v>
                </c:pt>
                <c:pt idx="100">
                  <c:v>441.28614919760349</c:v>
                </c:pt>
                <c:pt idx="101">
                  <c:v>434.74208215371283</c:v>
                </c:pt>
                <c:pt idx="102">
                  <c:v>419.47582884770958</c:v>
                </c:pt>
                <c:pt idx="103">
                  <c:v>419.68689637292033</c:v>
                </c:pt>
                <c:pt idx="104">
                  <c:v>418.7671550912462</c:v>
                </c:pt>
                <c:pt idx="105">
                  <c:v>413.56774331863068</c:v>
                </c:pt>
                <c:pt idx="106">
                  <c:v>413.4713342442061</c:v>
                </c:pt>
                <c:pt idx="107">
                  <c:v>424.96382168637126</c:v>
                </c:pt>
                <c:pt idx="108">
                  <c:v>418.65512785048929</c:v>
                </c:pt>
                <c:pt idx="109">
                  <c:v>422.28579070435569</c:v>
                </c:pt>
                <c:pt idx="110">
                  <c:v>411.01246082893528</c:v>
                </c:pt>
                <c:pt idx="111">
                  <c:v>416.05127920739216</c:v>
                </c:pt>
                <c:pt idx="112">
                  <c:v>413.83067910285263</c:v>
                </c:pt>
                <c:pt idx="113">
                  <c:v>409.52546570733483</c:v>
                </c:pt>
                <c:pt idx="114">
                  <c:v>415.13511684974492</c:v>
                </c:pt>
                <c:pt idx="115">
                  <c:v>418.150987439164</c:v>
                </c:pt>
                <c:pt idx="116">
                  <c:v>421.84472440805007</c:v>
                </c:pt>
                <c:pt idx="117">
                  <c:v>425.35821040287692</c:v>
                </c:pt>
                <c:pt idx="118">
                  <c:v>426.92338621851013</c:v>
                </c:pt>
                <c:pt idx="119">
                  <c:v>416.63801667893409</c:v>
                </c:pt>
                <c:pt idx="120">
                  <c:v>411.82423964015288</c:v>
                </c:pt>
                <c:pt idx="121">
                  <c:v>412.36349765787759</c:v>
                </c:pt>
                <c:pt idx="122">
                  <c:v>401.20212405622698</c:v>
                </c:pt>
                <c:pt idx="123">
                  <c:v>406.61853047955185</c:v>
                </c:pt>
                <c:pt idx="124">
                  <c:v>401.57656463242938</c:v>
                </c:pt>
                <c:pt idx="125">
                  <c:v>404.33756943928938</c:v>
                </c:pt>
                <c:pt idx="126">
                  <c:v>407.69188511965297</c:v>
                </c:pt>
                <c:pt idx="127">
                  <c:v>407.87196100192273</c:v>
                </c:pt>
                <c:pt idx="128">
                  <c:v>400.56437549602589</c:v>
                </c:pt>
                <c:pt idx="129">
                  <c:v>399.44627299719485</c:v>
                </c:pt>
                <c:pt idx="130">
                  <c:v>399.91817325157268</c:v>
                </c:pt>
                <c:pt idx="131">
                  <c:v>410.15048296359998</c:v>
                </c:pt>
                <c:pt idx="132">
                  <c:v>425.62353900738361</c:v>
                </c:pt>
                <c:pt idx="133">
                  <c:v>426.63604804404292</c:v>
                </c:pt>
                <c:pt idx="134">
                  <c:v>423.26991585616918</c:v>
                </c:pt>
                <c:pt idx="135">
                  <c:v>419.21295113366563</c:v>
                </c:pt>
                <c:pt idx="136">
                  <c:v>431.31164025524828</c:v>
                </c:pt>
                <c:pt idx="137">
                  <c:v>438.21540062511218</c:v>
                </c:pt>
                <c:pt idx="138">
                  <c:v>442.62232590384269</c:v>
                </c:pt>
                <c:pt idx="139">
                  <c:v>442.71872188923879</c:v>
                </c:pt>
                <c:pt idx="140">
                  <c:v>444.78949667246729</c:v>
                </c:pt>
                <c:pt idx="141">
                  <c:v>456.26156822592043</c:v>
                </c:pt>
                <c:pt idx="142">
                  <c:v>458.89543648566831</c:v>
                </c:pt>
                <c:pt idx="143">
                  <c:v>460.95641850365195</c:v>
                </c:pt>
                <c:pt idx="144">
                  <c:v>467.27938952433442</c:v>
                </c:pt>
                <c:pt idx="145">
                  <c:v>461.66475486832746</c:v>
                </c:pt>
                <c:pt idx="146">
                  <c:v>459.75679080757385</c:v>
                </c:pt>
                <c:pt idx="147">
                  <c:v>464.04595088056584</c:v>
                </c:pt>
                <c:pt idx="148">
                  <c:v>465.47922781326304</c:v>
                </c:pt>
                <c:pt idx="149">
                  <c:v>468.35589025370297</c:v>
                </c:pt>
                <c:pt idx="150">
                  <c:v>470.84914493490032</c:v>
                </c:pt>
                <c:pt idx="151">
                  <c:v>467.38116499401849</c:v>
                </c:pt>
                <c:pt idx="152">
                  <c:v>460.8595689136236</c:v>
                </c:pt>
                <c:pt idx="153">
                  <c:v>454.7745867416171</c:v>
                </c:pt>
                <c:pt idx="154">
                  <c:v>447.27346723313462</c:v>
                </c:pt>
                <c:pt idx="155">
                  <c:v>444.80137557131968</c:v>
                </c:pt>
                <c:pt idx="156">
                  <c:v>442.21892854562304</c:v>
                </c:pt>
                <c:pt idx="157">
                  <c:v>446.49611464038907</c:v>
                </c:pt>
                <c:pt idx="158">
                  <c:v>433.20005642074949</c:v>
                </c:pt>
                <c:pt idx="159">
                  <c:v>423.9414311901287</c:v>
                </c:pt>
                <c:pt idx="160">
                  <c:v>425.52152717743121</c:v>
                </c:pt>
                <c:pt idx="161">
                  <c:v>417.87007425556527</c:v>
                </c:pt>
                <c:pt idx="162">
                  <c:v>414.6389123523345</c:v>
                </c:pt>
                <c:pt idx="163">
                  <c:v>415.94726855782585</c:v>
                </c:pt>
                <c:pt idx="164">
                  <c:v>409.88466638021964</c:v>
                </c:pt>
                <c:pt idx="165">
                  <c:v>419.35931777679133</c:v>
                </c:pt>
                <c:pt idx="166">
                  <c:v>419.16789038350117</c:v>
                </c:pt>
                <c:pt idx="167">
                  <c:v>413.26706020368516</c:v>
                </c:pt>
                <c:pt idx="168">
                  <c:v>416.589902260016</c:v>
                </c:pt>
                <c:pt idx="169">
                  <c:v>414.32826546065206</c:v>
                </c:pt>
                <c:pt idx="170">
                  <c:v>406.80396421777704</c:v>
                </c:pt>
                <c:pt idx="171">
                  <c:v>404.4741597198892</c:v>
                </c:pt>
                <c:pt idx="172">
                  <c:v>400.9437667277947</c:v>
                </c:pt>
                <c:pt idx="173">
                  <c:v>395.77580245622863</c:v>
                </c:pt>
                <c:pt idx="174">
                  <c:v>400.15124391609407</c:v>
                </c:pt>
                <c:pt idx="175">
                  <c:v>406.75319315172823</c:v>
                </c:pt>
                <c:pt idx="176">
                  <c:v>414.37913673557193</c:v>
                </c:pt>
                <c:pt idx="177">
                  <c:v>411.95033120095883</c:v>
                </c:pt>
                <c:pt idx="178">
                  <c:v>408.52376998463052</c:v>
                </c:pt>
                <c:pt idx="179">
                  <c:v>408.50665187289621</c:v>
                </c:pt>
                <c:pt idx="180">
                  <c:v>405.29209327687209</c:v>
                </c:pt>
                <c:pt idx="181">
                  <c:v>406.13557335180542</c:v>
                </c:pt>
                <c:pt idx="182">
                  <c:v>402.59167374208698</c:v>
                </c:pt>
                <c:pt idx="183">
                  <c:v>404.10439720559418</c:v>
                </c:pt>
                <c:pt idx="184">
                  <c:v>402.34642740966279</c:v>
                </c:pt>
                <c:pt idx="185">
                  <c:v>406.57486778765616</c:v>
                </c:pt>
                <c:pt idx="186">
                  <c:v>397.66787896141727</c:v>
                </c:pt>
                <c:pt idx="187">
                  <c:v>402.65241717478608</c:v>
                </c:pt>
                <c:pt idx="188">
                  <c:v>409.13849638110798</c:v>
                </c:pt>
                <c:pt idx="189">
                  <c:v>407.40886714715174</c:v>
                </c:pt>
                <c:pt idx="190">
                  <c:v>414.32025349096074</c:v>
                </c:pt>
                <c:pt idx="191">
                  <c:v>416.08100224138519</c:v>
                </c:pt>
                <c:pt idx="192">
                  <c:v>414.11480358276361</c:v>
                </c:pt>
                <c:pt idx="193">
                  <c:v>406.5395255879572</c:v>
                </c:pt>
                <c:pt idx="194">
                  <c:v>397.056069638493</c:v>
                </c:pt>
                <c:pt idx="195">
                  <c:v>400.69573929822127</c:v>
                </c:pt>
                <c:pt idx="196">
                  <c:v>404.11273464483764</c:v>
                </c:pt>
                <c:pt idx="197">
                  <c:v>406.59991920589425</c:v>
                </c:pt>
                <c:pt idx="198">
                  <c:v>400.79194528041199</c:v>
                </c:pt>
                <c:pt idx="199">
                  <c:v>414.15548455313626</c:v>
                </c:pt>
                <c:pt idx="200">
                  <c:v>411.33638186267518</c:v>
                </c:pt>
                <c:pt idx="201">
                  <c:v>402.78676053685831</c:v>
                </c:pt>
                <c:pt idx="202">
                  <c:v>403.72275806263201</c:v>
                </c:pt>
                <c:pt idx="203">
                  <c:v>405.78812289089046</c:v>
                </c:pt>
                <c:pt idx="204">
                  <c:v>402.33090477952652</c:v>
                </c:pt>
                <c:pt idx="205">
                  <c:v>392.19532385185335</c:v>
                </c:pt>
                <c:pt idx="206">
                  <c:v>392.91295503129561</c:v>
                </c:pt>
                <c:pt idx="207">
                  <c:v>384.21074939767988</c:v>
                </c:pt>
                <c:pt idx="208">
                  <c:v>395.23463727409109</c:v>
                </c:pt>
                <c:pt idx="209">
                  <c:v>400.12056490756305</c:v>
                </c:pt>
                <c:pt idx="210">
                  <c:v>392.07261904586022</c:v>
                </c:pt>
                <c:pt idx="211">
                  <c:v>385.19525475870142</c:v>
                </c:pt>
                <c:pt idx="212">
                  <c:v>382.50210871088086</c:v>
                </c:pt>
                <c:pt idx="213">
                  <c:v>397.4234481687086</c:v>
                </c:pt>
                <c:pt idx="214">
                  <c:v>403.81573469135418</c:v>
                </c:pt>
                <c:pt idx="215">
                  <c:v>406.06864712561156</c:v>
                </c:pt>
                <c:pt idx="216">
                  <c:v>391.08511219215961</c:v>
                </c:pt>
                <c:pt idx="217">
                  <c:v>382.8942555817074</c:v>
                </c:pt>
                <c:pt idx="218">
                  <c:v>387.65534845927914</c:v>
                </c:pt>
                <c:pt idx="219">
                  <c:v>385.59344773588646</c:v>
                </c:pt>
                <c:pt idx="220">
                  <c:v>391.90791839175773</c:v>
                </c:pt>
                <c:pt idx="221">
                  <c:v>385.22245005779786</c:v>
                </c:pt>
                <c:pt idx="222">
                  <c:v>389.26752006016017</c:v>
                </c:pt>
                <c:pt idx="223">
                  <c:v>383.18047508513325</c:v>
                </c:pt>
                <c:pt idx="224">
                  <c:v>391.27108382967731</c:v>
                </c:pt>
                <c:pt idx="225">
                  <c:v>396.6650322393761</c:v>
                </c:pt>
                <c:pt idx="226">
                  <c:v>402.71188740682277</c:v>
                </c:pt>
                <c:pt idx="227">
                  <c:v>412.2263104023624</c:v>
                </c:pt>
                <c:pt idx="228">
                  <c:v>411.82425648161166</c:v>
                </c:pt>
                <c:pt idx="229">
                  <c:v>413.58429757021571</c:v>
                </c:pt>
                <c:pt idx="230">
                  <c:v>417.63800824269077</c:v>
                </c:pt>
                <c:pt idx="231">
                  <c:v>407.06108139402426</c:v>
                </c:pt>
                <c:pt idx="232">
                  <c:v>419.56888102862098</c:v>
                </c:pt>
                <c:pt idx="233">
                  <c:v>411.67468234789095</c:v>
                </c:pt>
                <c:pt idx="234">
                  <c:v>417.75613378805593</c:v>
                </c:pt>
                <c:pt idx="235">
                  <c:v>419.0968766713242</c:v>
                </c:pt>
                <c:pt idx="236">
                  <c:v>417.61062921370581</c:v>
                </c:pt>
                <c:pt idx="237">
                  <c:v>423.27208270876184</c:v>
                </c:pt>
                <c:pt idx="238">
                  <c:v>417.35552440327638</c:v>
                </c:pt>
                <c:pt idx="239">
                  <c:v>420.0174650556076</c:v>
                </c:pt>
                <c:pt idx="240">
                  <c:v>407.62306231726654</c:v>
                </c:pt>
                <c:pt idx="241">
                  <c:v>411.99984388339493</c:v>
                </c:pt>
                <c:pt idx="242">
                  <c:v>418.99592082467404</c:v>
                </c:pt>
                <c:pt idx="243">
                  <c:v>423.43308119895715</c:v>
                </c:pt>
                <c:pt idx="244">
                  <c:v>421.69728875353599</c:v>
                </c:pt>
                <c:pt idx="245">
                  <c:v>414.17261609757111</c:v>
                </c:pt>
                <c:pt idx="246">
                  <c:v>407.17026031386195</c:v>
                </c:pt>
                <c:pt idx="247">
                  <c:v>413.52017624000365</c:v>
                </c:pt>
                <c:pt idx="248">
                  <c:v>409.46587659103011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0-4721-B361-C46894C2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588672"/>
        <c:axId val="2107586272"/>
      </c:lineChart>
      <c:dateAx>
        <c:axId val="2107588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86272"/>
        <c:crosses val="autoZero"/>
        <c:auto val="1"/>
        <c:lblOffset val="100"/>
        <c:baseTimeUnit val="days"/>
      </c:dateAx>
      <c:valAx>
        <c:axId val="2107586272"/>
        <c:scaling>
          <c:orientation val="minMax"/>
          <c:max val="60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8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</a:t>
            </a:r>
            <a:r>
              <a:rPr lang="en-GB" baseline="0"/>
              <a:t> vs Simulated Log Returns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'Simulate Lognormal Model (MSFT)'!$H$1</c:f>
              <c:strCache>
                <c:ptCount val="1"/>
                <c:pt idx="0">
                  <c:v>Bins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'Simulate Lognormal Model (MSFT)'!$H$2:$H$22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(MSFT)'!$H$2:$H$23</c:f>
              <c:numCache>
                <c:formatCode>General</c:formatCode>
                <c:ptCount val="22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E-4827-A171-2D609175B016}"/>
            </c:ext>
          </c:extLst>
        </c:ser>
        <c:ser>
          <c:idx val="1"/>
          <c:order val="1"/>
          <c:tx>
            <c:strRef>
              <c:f>'Simulate Lognormal Model (MSFT)'!$I$1</c:f>
              <c:strCache>
                <c:ptCount val="1"/>
                <c:pt idx="0">
                  <c:v>Real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'Simulate Lognormal Model (MSFT)'!$H$2:$H$22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(MSFT)'!$I$2:$I$23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8</c:v>
                </c:pt>
                <c:pt idx="8">
                  <c:v>15</c:v>
                </c:pt>
                <c:pt idx="9">
                  <c:v>27</c:v>
                </c:pt>
                <c:pt idx="10">
                  <c:v>65</c:v>
                </c:pt>
                <c:pt idx="11">
                  <c:v>73</c:v>
                </c:pt>
                <c:pt idx="12">
                  <c:v>30</c:v>
                </c:pt>
                <c:pt idx="13">
                  <c:v>19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E-4827-A171-2D609175B016}"/>
            </c:ext>
          </c:extLst>
        </c:ser>
        <c:ser>
          <c:idx val="2"/>
          <c:order val="2"/>
          <c:tx>
            <c:strRef>
              <c:f>'Simulate Lognormal Model (MSFT)'!$J$1</c:f>
              <c:strCache>
                <c:ptCount val="1"/>
                <c:pt idx="0">
                  <c:v>Simulated Frequency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'Simulate Lognormal Model (MSFT)'!$H$2:$H$22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(MSFT)'!$J$2:$J$23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9</c:v>
                </c:pt>
                <c:pt idx="8">
                  <c:v>27</c:v>
                </c:pt>
                <c:pt idx="9">
                  <c:v>33</c:v>
                </c:pt>
                <c:pt idx="10">
                  <c:v>52</c:v>
                </c:pt>
                <c:pt idx="11">
                  <c:v>47</c:v>
                </c:pt>
                <c:pt idx="12">
                  <c:v>43</c:v>
                </c:pt>
                <c:pt idx="13">
                  <c:v>17</c:v>
                </c:pt>
                <c:pt idx="14">
                  <c:v>12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9E-4827-A171-2D609175B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36959"/>
        <c:axId val="115737439"/>
      </c:barChart>
      <c:catAx>
        <c:axId val="11573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</a:t>
                </a:r>
                <a:r>
                  <a:rPr lang="en-GB" baseline="0"/>
                  <a:t> Return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7439"/>
        <c:crosses val="autoZero"/>
        <c:auto val="1"/>
        <c:lblAlgn val="ctr"/>
        <c:lblOffset val="100"/>
        <c:noMultiLvlLbl val="0"/>
      </c:catAx>
      <c:valAx>
        <c:axId val="11573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Real vs Simulated Prices (ORCL)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'Simulate Lognormal Model (ORCL)'!$B$1</c:f>
              <c:strCache>
                <c:ptCount val="1"/>
                <c:pt idx="0">
                  <c:v>Real Price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'Simulate Lognormal Model (ORCL)'!$A$2:$A$251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'Simulate Lognormal Model (ORCL)'!$B$2:$B$251</c:f>
              <c:numCache>
                <c:formatCode>General</c:formatCode>
                <c:ptCount val="250"/>
                <c:pt idx="0">
                  <c:v>149.68</c:v>
                </c:pt>
                <c:pt idx="1">
                  <c:v>155.52000000000001</c:v>
                </c:pt>
                <c:pt idx="2">
                  <c:v>152.9</c:v>
                </c:pt>
                <c:pt idx="3">
                  <c:v>154.69</c:v>
                </c:pt>
                <c:pt idx="4">
                  <c:v>155.97</c:v>
                </c:pt>
                <c:pt idx="5">
                  <c:v>155.11000000000001</c:v>
                </c:pt>
                <c:pt idx="6">
                  <c:v>159.16</c:v>
                </c:pt>
                <c:pt idx="7">
                  <c:v>163.12</c:v>
                </c:pt>
                <c:pt idx="8">
                  <c:v>149.4</c:v>
                </c:pt>
                <c:pt idx="9">
                  <c:v>151.56</c:v>
                </c:pt>
                <c:pt idx="10">
                  <c:v>152.96</c:v>
                </c:pt>
                <c:pt idx="11">
                  <c:v>154.79</c:v>
                </c:pt>
                <c:pt idx="12">
                  <c:v>152.37</c:v>
                </c:pt>
                <c:pt idx="13">
                  <c:v>149.01</c:v>
                </c:pt>
                <c:pt idx="14">
                  <c:v>149.25</c:v>
                </c:pt>
                <c:pt idx="15">
                  <c:v>145.4</c:v>
                </c:pt>
                <c:pt idx="16">
                  <c:v>150.31</c:v>
                </c:pt>
                <c:pt idx="17">
                  <c:v>147.88999999999999</c:v>
                </c:pt>
                <c:pt idx="18">
                  <c:v>146.13999999999999</c:v>
                </c:pt>
                <c:pt idx="19">
                  <c:v>141.31</c:v>
                </c:pt>
                <c:pt idx="20">
                  <c:v>148.08000000000001</c:v>
                </c:pt>
                <c:pt idx="21">
                  <c:v>156.54</c:v>
                </c:pt>
                <c:pt idx="22">
                  <c:v>156.16999999999999</c:v>
                </c:pt>
                <c:pt idx="23">
                  <c:v>153.97</c:v>
                </c:pt>
                <c:pt idx="24">
                  <c:v>160.13999999999999</c:v>
                </c:pt>
                <c:pt idx="25">
                  <c:v>156.47999999999999</c:v>
                </c:pt>
                <c:pt idx="26">
                  <c:v>157.16</c:v>
                </c:pt>
                <c:pt idx="27">
                  <c:v>159.88999999999999</c:v>
                </c:pt>
                <c:pt idx="28">
                  <c:v>156.59</c:v>
                </c:pt>
                <c:pt idx="29">
                  <c:v>142.82</c:v>
                </c:pt>
                <c:pt idx="30">
                  <c:v>136.47999999999999</c:v>
                </c:pt>
                <c:pt idx="31">
                  <c:v>146.66999999999999</c:v>
                </c:pt>
                <c:pt idx="32">
                  <c:v>154.66999999999999</c:v>
                </c:pt>
                <c:pt idx="33">
                  <c:v>160.06</c:v>
                </c:pt>
                <c:pt idx="34">
                  <c:v>164.58</c:v>
                </c:pt>
                <c:pt idx="35">
                  <c:v>169.01</c:v>
                </c:pt>
                <c:pt idx="36">
                  <c:v>172.8</c:v>
                </c:pt>
                <c:pt idx="37">
                  <c:v>174.9</c:v>
                </c:pt>
                <c:pt idx="38">
                  <c:v>182.44</c:v>
                </c:pt>
                <c:pt idx="39">
                  <c:v>177.16</c:v>
                </c:pt>
                <c:pt idx="40">
                  <c:v>178.18</c:v>
                </c:pt>
                <c:pt idx="41">
                  <c:v>173.88</c:v>
                </c:pt>
                <c:pt idx="42">
                  <c:v>179.92</c:v>
                </c:pt>
                <c:pt idx="43">
                  <c:v>191.09</c:v>
                </c:pt>
                <c:pt idx="44">
                  <c:v>189.85</c:v>
                </c:pt>
                <c:pt idx="45">
                  <c:v>193.61</c:v>
                </c:pt>
                <c:pt idx="46">
                  <c:v>202.29</c:v>
                </c:pt>
                <c:pt idx="47">
                  <c:v>204.68</c:v>
                </c:pt>
                <c:pt idx="48">
                  <c:v>198.52</c:v>
                </c:pt>
                <c:pt idx="49">
                  <c:v>189.65</c:v>
                </c:pt>
                <c:pt idx="50">
                  <c:v>192.84</c:v>
                </c:pt>
                <c:pt idx="51">
                  <c:v>193.75</c:v>
                </c:pt>
                <c:pt idx="52">
                  <c:v>192.59</c:v>
                </c:pt>
                <c:pt idx="53">
                  <c:v>195.71</c:v>
                </c:pt>
                <c:pt idx="54">
                  <c:v>194.91</c:v>
                </c:pt>
                <c:pt idx="55">
                  <c:v>197.21</c:v>
                </c:pt>
                <c:pt idx="56">
                  <c:v>195.38</c:v>
                </c:pt>
                <c:pt idx="57">
                  <c:v>197.99</c:v>
                </c:pt>
                <c:pt idx="58">
                  <c:v>197.49</c:v>
                </c:pt>
                <c:pt idx="59">
                  <c:v>195.34</c:v>
                </c:pt>
                <c:pt idx="60">
                  <c:v>198.38</c:v>
                </c:pt>
                <c:pt idx="61">
                  <c:v>191.97</c:v>
                </c:pt>
                <c:pt idx="62">
                  <c:v>180.03</c:v>
                </c:pt>
                <c:pt idx="63">
                  <c:v>178.46</c:v>
                </c:pt>
                <c:pt idx="64">
                  <c:v>188.65</c:v>
                </c:pt>
                <c:pt idx="65">
                  <c:v>184.92</c:v>
                </c:pt>
                <c:pt idx="66">
                  <c:v>189.97</c:v>
                </c:pt>
                <c:pt idx="67">
                  <c:v>198.85</c:v>
                </c:pt>
                <c:pt idx="68">
                  <c:v>223.01</c:v>
                </c:pt>
                <c:pt idx="69">
                  <c:v>221.53</c:v>
                </c:pt>
                <c:pt idx="70">
                  <c:v>220.54</c:v>
                </c:pt>
                <c:pt idx="71">
                  <c:v>217.58</c:v>
                </c:pt>
                <c:pt idx="72">
                  <c:v>214.33</c:v>
                </c:pt>
                <c:pt idx="73">
                  <c:v>207.73</c:v>
                </c:pt>
                <c:pt idx="74">
                  <c:v>201.1</c:v>
                </c:pt>
                <c:pt idx="75">
                  <c:v>200.94</c:v>
                </c:pt>
                <c:pt idx="76">
                  <c:v>201.95</c:v>
                </c:pt>
                <c:pt idx="77">
                  <c:v>204.96</c:v>
                </c:pt>
                <c:pt idx="78">
                  <c:v>197.03</c:v>
                </c:pt>
                <c:pt idx="79">
                  <c:v>200.28</c:v>
                </c:pt>
                <c:pt idx="80">
                  <c:v>198.76</c:v>
                </c:pt>
                <c:pt idx="81">
                  <c:v>210.69</c:v>
                </c:pt>
                <c:pt idx="82">
                  <c:v>225.53</c:v>
                </c:pt>
                <c:pt idx="83">
                  <c:v>220.49</c:v>
                </c:pt>
                <c:pt idx="84">
                  <c:v>219.86</c:v>
                </c:pt>
                <c:pt idx="85">
                  <c:v>222.85</c:v>
                </c:pt>
                <c:pt idx="86">
                  <c:v>217.57</c:v>
                </c:pt>
                <c:pt idx="87">
                  <c:v>226.99</c:v>
                </c:pt>
                <c:pt idx="88">
                  <c:v>236.15</c:v>
                </c:pt>
                <c:pt idx="89">
                  <c:v>240.83</c:v>
                </c:pt>
                <c:pt idx="90">
                  <c:v>239.26</c:v>
                </c:pt>
                <c:pt idx="91">
                  <c:v>243.8</c:v>
                </c:pt>
                <c:pt idx="92">
                  <c:v>250.31</c:v>
                </c:pt>
                <c:pt idx="93">
                  <c:v>248.17</c:v>
                </c:pt>
                <c:pt idx="94">
                  <c:v>257.85000000000002</c:v>
                </c:pt>
                <c:pt idx="95">
                  <c:v>262.61</c:v>
                </c:pt>
                <c:pt idx="96">
                  <c:v>256.89</c:v>
                </c:pt>
                <c:pt idx="97">
                  <c:v>275.3</c:v>
                </c:pt>
                <c:pt idx="98">
                  <c:v>280.83</c:v>
                </c:pt>
                <c:pt idx="99">
                  <c:v>281.39999999999998</c:v>
                </c:pt>
                <c:pt idx="100">
                  <c:v>283.33</c:v>
                </c:pt>
                <c:pt idx="101">
                  <c:v>280.07</c:v>
                </c:pt>
                <c:pt idx="102">
                  <c:v>272.66000000000003</c:v>
                </c:pt>
                <c:pt idx="103">
                  <c:v>275.14999999999998</c:v>
                </c:pt>
                <c:pt idx="104">
                  <c:v>277.18</c:v>
                </c:pt>
                <c:pt idx="105">
                  <c:v>291.31</c:v>
                </c:pt>
                <c:pt idx="106">
                  <c:v>313</c:v>
                </c:pt>
                <c:pt idx="107">
                  <c:v>303.62</c:v>
                </c:pt>
                <c:pt idx="108">
                  <c:v>299</c:v>
                </c:pt>
                <c:pt idx="109">
                  <c:v>308.01</c:v>
                </c:pt>
                <c:pt idx="110">
                  <c:v>292.95999999999998</c:v>
                </c:pt>
                <c:pt idx="111">
                  <c:v>296.95999999999998</c:v>
                </c:pt>
                <c:pt idx="112">
                  <c:v>288.63</c:v>
                </c:pt>
                <c:pt idx="113">
                  <c:v>284.24</c:v>
                </c:pt>
                <c:pt idx="114">
                  <c:v>291.58999999999997</c:v>
                </c:pt>
                <c:pt idx="115">
                  <c:v>286.14</c:v>
                </c:pt>
                <c:pt idx="116">
                  <c:v>288.77999999999997</c:v>
                </c:pt>
                <c:pt idx="117">
                  <c:v>289.01</c:v>
                </c:pt>
                <c:pt idx="118">
                  <c:v>281.24</c:v>
                </c:pt>
                <c:pt idx="119">
                  <c:v>282.76</c:v>
                </c:pt>
                <c:pt idx="120">
                  <c:v>283.45999999999998</c:v>
                </c:pt>
                <c:pt idx="121">
                  <c:v>291.33</c:v>
                </c:pt>
                <c:pt idx="122">
                  <c:v>308.45999999999998</c:v>
                </c:pt>
                <c:pt idx="123">
                  <c:v>313.83</c:v>
                </c:pt>
                <c:pt idx="124">
                  <c:v>328.15</c:v>
                </c:pt>
                <c:pt idx="125">
                  <c:v>308.66000000000003</c:v>
                </c:pt>
                <c:pt idx="126">
                  <c:v>296.62</c:v>
                </c:pt>
                <c:pt idx="127">
                  <c:v>301.41000000000003</c:v>
                </c:pt>
                <c:pt idx="128">
                  <c:v>306.64999999999998</c:v>
                </c:pt>
                <c:pt idx="129">
                  <c:v>302.14</c:v>
                </c:pt>
                <c:pt idx="130">
                  <c:v>292.18</c:v>
                </c:pt>
                <c:pt idx="131">
                  <c:v>307.86</c:v>
                </c:pt>
                <c:pt idx="132">
                  <c:v>328.33</c:v>
                </c:pt>
                <c:pt idx="133">
                  <c:v>241.51</c:v>
                </c:pt>
                <c:pt idx="134">
                  <c:v>238.48</c:v>
                </c:pt>
                <c:pt idx="135">
                  <c:v>232.8</c:v>
                </c:pt>
                <c:pt idx="136">
                  <c:v>223</c:v>
                </c:pt>
                <c:pt idx="137">
                  <c:v>223.45</c:v>
                </c:pt>
                <c:pt idx="138">
                  <c:v>225.3</c:v>
                </c:pt>
                <c:pt idx="139">
                  <c:v>226.13</c:v>
                </c:pt>
                <c:pt idx="140">
                  <c:v>240.32</c:v>
                </c:pt>
                <c:pt idx="141">
                  <c:v>235.81</c:v>
                </c:pt>
                <c:pt idx="142">
                  <c:v>234.21</c:v>
                </c:pt>
                <c:pt idx="143">
                  <c:v>235.41</c:v>
                </c:pt>
                <c:pt idx="144">
                  <c:v>236.37</c:v>
                </c:pt>
                <c:pt idx="145">
                  <c:v>233.16</c:v>
                </c:pt>
                <c:pt idx="146">
                  <c:v>235.06</c:v>
                </c:pt>
                <c:pt idx="147">
                  <c:v>234.62</c:v>
                </c:pt>
                <c:pt idx="148">
                  <c:v>249.07</c:v>
                </c:pt>
                <c:pt idx="149">
                  <c:v>248.28</c:v>
                </c:pt>
                <c:pt idx="150">
                  <c:v>244.96</c:v>
                </c:pt>
                <c:pt idx="151">
                  <c:v>244.18</c:v>
                </c:pt>
                <c:pt idx="152">
                  <c:v>253.86</c:v>
                </c:pt>
                <c:pt idx="153">
                  <c:v>252.68</c:v>
                </c:pt>
                <c:pt idx="154">
                  <c:v>250.05</c:v>
                </c:pt>
                <c:pt idx="155">
                  <c:v>249.39</c:v>
                </c:pt>
                <c:pt idx="156">
                  <c:v>256.43</c:v>
                </c:pt>
                <c:pt idx="157">
                  <c:v>255.67</c:v>
                </c:pt>
                <c:pt idx="158">
                  <c:v>252.53</c:v>
                </c:pt>
                <c:pt idx="159">
                  <c:v>244.42</c:v>
                </c:pt>
                <c:pt idx="160">
                  <c:v>253.77</c:v>
                </c:pt>
                <c:pt idx="161">
                  <c:v>250.6</c:v>
                </c:pt>
                <c:pt idx="162">
                  <c:v>249.98</c:v>
                </c:pt>
                <c:pt idx="163">
                  <c:v>247.71</c:v>
                </c:pt>
                <c:pt idx="164">
                  <c:v>245.12</c:v>
                </c:pt>
                <c:pt idx="165">
                  <c:v>242.83</c:v>
                </c:pt>
                <c:pt idx="166">
                  <c:v>241.9</c:v>
                </c:pt>
                <c:pt idx="167">
                  <c:v>238.11</c:v>
                </c:pt>
                <c:pt idx="168">
                  <c:v>243.54</c:v>
                </c:pt>
                <c:pt idx="169">
                  <c:v>245.45</c:v>
                </c:pt>
                <c:pt idx="170">
                  <c:v>248.75</c:v>
                </c:pt>
                <c:pt idx="171">
                  <c:v>241.3</c:v>
                </c:pt>
                <c:pt idx="172">
                  <c:v>234.96</c:v>
                </c:pt>
                <c:pt idx="173">
                  <c:v>229.28</c:v>
                </c:pt>
                <c:pt idx="174">
                  <c:v>230.56</c:v>
                </c:pt>
                <c:pt idx="175">
                  <c:v>235</c:v>
                </c:pt>
                <c:pt idx="176">
                  <c:v>235.81</c:v>
                </c:pt>
                <c:pt idx="177">
                  <c:v>234.5</c:v>
                </c:pt>
                <c:pt idx="178">
                  <c:v>232.26</c:v>
                </c:pt>
                <c:pt idx="179">
                  <c:v>237.32</c:v>
                </c:pt>
                <c:pt idx="180">
                  <c:v>229.98</c:v>
                </c:pt>
                <c:pt idx="181">
                  <c:v>218.96</c:v>
                </c:pt>
                <c:pt idx="182">
                  <c:v>218.63</c:v>
                </c:pt>
                <c:pt idx="183">
                  <c:v>210.24</c:v>
                </c:pt>
                <c:pt idx="184">
                  <c:v>212.82</c:v>
                </c:pt>
                <c:pt idx="185">
                  <c:v>210.72</c:v>
                </c:pt>
                <c:pt idx="186">
                  <c:v>215.27</c:v>
                </c:pt>
                <c:pt idx="187">
                  <c:v>207.04</c:v>
                </c:pt>
                <c:pt idx="188">
                  <c:v>205.17</c:v>
                </c:pt>
                <c:pt idx="189">
                  <c:v>210.87</c:v>
                </c:pt>
                <c:pt idx="190">
                  <c:v>208.18</c:v>
                </c:pt>
                <c:pt idx="191">
                  <c:v>211.1</c:v>
                </c:pt>
                <c:pt idx="192">
                  <c:v>215.22</c:v>
                </c:pt>
                <c:pt idx="193">
                  <c:v>199.86</c:v>
                </c:pt>
                <c:pt idx="194">
                  <c:v>176.38</c:v>
                </c:pt>
                <c:pt idx="195">
                  <c:v>177.48</c:v>
                </c:pt>
                <c:pt idx="196">
                  <c:v>177.15</c:v>
                </c:pt>
                <c:pt idx="197">
                  <c:v>174.02</c:v>
                </c:pt>
                <c:pt idx="198">
                  <c:v>171.14</c:v>
                </c:pt>
                <c:pt idx="199">
                  <c:v>168.1</c:v>
                </c:pt>
                <c:pt idx="200">
                  <c:v>169.14</c:v>
                </c:pt>
                <c:pt idx="201">
                  <c:v>166.57</c:v>
                </c:pt>
                <c:pt idx="202">
                  <c:v>165.53</c:v>
                </c:pt>
                <c:pt idx="203">
                  <c:v>162.9</c:v>
                </c:pt>
                <c:pt idx="204">
                  <c:v>163.85</c:v>
                </c:pt>
                <c:pt idx="205">
                  <c:v>161.91</c:v>
                </c:pt>
                <c:pt idx="206">
                  <c:v>155.97</c:v>
                </c:pt>
                <c:pt idx="207">
                  <c:v>157.31</c:v>
                </c:pt>
                <c:pt idx="208">
                  <c:v>157.18</c:v>
                </c:pt>
                <c:pt idx="209">
                  <c:v>160.31</c:v>
                </c:pt>
                <c:pt idx="210">
                  <c:v>159.63999999999999</c:v>
                </c:pt>
                <c:pt idx="211">
                  <c:v>160.49</c:v>
                </c:pt>
                <c:pt idx="212">
                  <c:v>159.4</c:v>
                </c:pt>
                <c:pt idx="213">
                  <c:v>162.94999999999999</c:v>
                </c:pt>
                <c:pt idx="214">
                  <c:v>162.27000000000001</c:v>
                </c:pt>
                <c:pt idx="215">
                  <c:v>157.22</c:v>
                </c:pt>
                <c:pt idx="216">
                  <c:v>150.34</c:v>
                </c:pt>
                <c:pt idx="217">
                  <c:v>150.30000000000001</c:v>
                </c:pt>
                <c:pt idx="218">
                  <c:v>149.37</c:v>
                </c:pt>
                <c:pt idx="219">
                  <c:v>147.69999999999999</c:v>
                </c:pt>
                <c:pt idx="220">
                  <c:v>149.29</c:v>
                </c:pt>
                <c:pt idx="221">
                  <c:v>150.72999999999999</c:v>
                </c:pt>
                <c:pt idx="222">
                  <c:v>145.49</c:v>
                </c:pt>
                <c:pt idx="223">
                  <c:v>140.72</c:v>
                </c:pt>
                <c:pt idx="224">
                  <c:v>140.79</c:v>
                </c:pt>
                <c:pt idx="225">
                  <c:v>140.13999999999999</c:v>
                </c:pt>
                <c:pt idx="226">
                  <c:v>138.49</c:v>
                </c:pt>
                <c:pt idx="227">
                  <c:v>137.51</c:v>
                </c:pt>
                <c:pt idx="228">
                  <c:v>131.4</c:v>
                </c:pt>
                <c:pt idx="229">
                  <c:v>127.24</c:v>
                </c:pt>
                <c:pt idx="230">
                  <c:v>122.82</c:v>
                </c:pt>
                <c:pt idx="231">
                  <c:v>128.62</c:v>
                </c:pt>
                <c:pt idx="232">
                  <c:v>129.76</c:v>
                </c:pt>
                <c:pt idx="233">
                  <c:v>133.94</c:v>
                </c:pt>
                <c:pt idx="234">
                  <c:v>134.63999999999999</c:v>
                </c:pt>
                <c:pt idx="235">
                  <c:v>132.35</c:v>
                </c:pt>
                <c:pt idx="236">
                  <c:v>133.35</c:v>
                </c:pt>
                <c:pt idx="237">
                  <c:v>139.69</c:v>
                </c:pt>
                <c:pt idx="238">
                  <c:v>124.5</c:v>
                </c:pt>
                <c:pt idx="239">
                  <c:v>127.16</c:v>
                </c:pt>
                <c:pt idx="240">
                  <c:v>128.27000000000001</c:v>
                </c:pt>
                <c:pt idx="241">
                  <c:v>137.22999999999999</c:v>
                </c:pt>
                <c:pt idx="242">
                  <c:v>145.86000000000001</c:v>
                </c:pt>
                <c:pt idx="243">
                  <c:v>141.94</c:v>
                </c:pt>
                <c:pt idx="244">
                  <c:v>139.81</c:v>
                </c:pt>
                <c:pt idx="245">
                  <c:v>140.87</c:v>
                </c:pt>
                <c:pt idx="246">
                  <c:v>145.78</c:v>
                </c:pt>
                <c:pt idx="247">
                  <c:v>147.80000000000001</c:v>
                </c:pt>
                <c:pt idx="248">
                  <c:v>153.93</c:v>
                </c:pt>
                <c:pt idx="249">
                  <c:v>154.87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5-41EA-BCFB-5F2142E8A424}"/>
            </c:ext>
          </c:extLst>
        </c:ser>
        <c:ser>
          <c:idx val="1"/>
          <c:order val="1"/>
          <c:tx>
            <c:strRef>
              <c:f>'Simulate Lognormal Model (ORCL)'!$F$1</c:f>
              <c:strCache>
                <c:ptCount val="1"/>
                <c:pt idx="0">
                  <c:v>Simulated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'Simulate Lognormal Model (ORCL)'!$A$2:$A$251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'Simulate Lognormal Model (ORCL)'!$F$2:$F$251</c:f>
              <c:numCache>
                <c:formatCode>General</c:formatCode>
                <c:ptCount val="250"/>
                <c:pt idx="0">
                  <c:v>149.68</c:v>
                </c:pt>
                <c:pt idx="1">
                  <c:v>145.1945127420538</c:v>
                </c:pt>
                <c:pt idx="2">
                  <c:v>139.96833443062894</c:v>
                </c:pt>
                <c:pt idx="3">
                  <c:v>145.07230344470065</c:v>
                </c:pt>
                <c:pt idx="4">
                  <c:v>146.84248236487704</c:v>
                </c:pt>
                <c:pt idx="5">
                  <c:v>139.13280858672366</c:v>
                </c:pt>
                <c:pt idx="6">
                  <c:v>134.43023215873157</c:v>
                </c:pt>
                <c:pt idx="7">
                  <c:v>134.54752243505447</c:v>
                </c:pt>
                <c:pt idx="8">
                  <c:v>134.76397847482718</c:v>
                </c:pt>
                <c:pt idx="9">
                  <c:v>141.79915560376836</c:v>
                </c:pt>
                <c:pt idx="10">
                  <c:v>140.06378676362294</c:v>
                </c:pt>
                <c:pt idx="11">
                  <c:v>141.19802598470716</c:v>
                </c:pt>
                <c:pt idx="12">
                  <c:v>138.85772128532022</c:v>
                </c:pt>
                <c:pt idx="13">
                  <c:v>133.27821454980565</c:v>
                </c:pt>
                <c:pt idx="14">
                  <c:v>134.52999894083743</c:v>
                </c:pt>
                <c:pt idx="15">
                  <c:v>132.42044942973797</c:v>
                </c:pt>
                <c:pt idx="16">
                  <c:v>138.86634326417186</c:v>
                </c:pt>
                <c:pt idx="17">
                  <c:v>133.67196348957316</c:v>
                </c:pt>
                <c:pt idx="18">
                  <c:v>133.13984659610844</c:v>
                </c:pt>
                <c:pt idx="19">
                  <c:v>133.48278469088402</c:v>
                </c:pt>
                <c:pt idx="20">
                  <c:v>137.65456467703621</c:v>
                </c:pt>
                <c:pt idx="21">
                  <c:v>140.40546145429718</c:v>
                </c:pt>
                <c:pt idx="22">
                  <c:v>136.22740818893999</c:v>
                </c:pt>
                <c:pt idx="23">
                  <c:v>143.17513695707092</c:v>
                </c:pt>
                <c:pt idx="24">
                  <c:v>141.46862787789135</c:v>
                </c:pt>
                <c:pt idx="25">
                  <c:v>145.23761971494829</c:v>
                </c:pt>
                <c:pt idx="26">
                  <c:v>151.83385013104444</c:v>
                </c:pt>
                <c:pt idx="27">
                  <c:v>143.53423599994846</c:v>
                </c:pt>
                <c:pt idx="28">
                  <c:v>139.91731629790488</c:v>
                </c:pt>
                <c:pt idx="29">
                  <c:v>141.74171411278081</c:v>
                </c:pt>
                <c:pt idx="30">
                  <c:v>140.28233945779445</c:v>
                </c:pt>
                <c:pt idx="31">
                  <c:v>150.92563951335151</c:v>
                </c:pt>
                <c:pt idx="32">
                  <c:v>154.13109352903354</c:v>
                </c:pt>
                <c:pt idx="33">
                  <c:v>146.11899876512337</c:v>
                </c:pt>
                <c:pt idx="34">
                  <c:v>153.96494037349296</c:v>
                </c:pt>
                <c:pt idx="35">
                  <c:v>158.07914810431296</c:v>
                </c:pt>
                <c:pt idx="36">
                  <c:v>154.89503509425845</c:v>
                </c:pt>
                <c:pt idx="37">
                  <c:v>154.03735659179347</c:v>
                </c:pt>
                <c:pt idx="38">
                  <c:v>148.26525494256319</c:v>
                </c:pt>
                <c:pt idx="39">
                  <c:v>147.14394255913604</c:v>
                </c:pt>
                <c:pt idx="40">
                  <c:v>146.48515275388073</c:v>
                </c:pt>
                <c:pt idx="41">
                  <c:v>143.45085314243477</c:v>
                </c:pt>
                <c:pt idx="42">
                  <c:v>143.16971257925618</c:v>
                </c:pt>
                <c:pt idx="43">
                  <c:v>147.83121970950188</c:v>
                </c:pt>
                <c:pt idx="44">
                  <c:v>140.28107631355982</c:v>
                </c:pt>
                <c:pt idx="45">
                  <c:v>137.44717604055509</c:v>
                </c:pt>
                <c:pt idx="46">
                  <c:v>142.56829483051882</c:v>
                </c:pt>
                <c:pt idx="47">
                  <c:v>131.87168709629552</c:v>
                </c:pt>
                <c:pt idx="48">
                  <c:v>138.70231295070073</c:v>
                </c:pt>
                <c:pt idx="49">
                  <c:v>144.89086834838517</c:v>
                </c:pt>
                <c:pt idx="50">
                  <c:v>138.56196005801735</c:v>
                </c:pt>
                <c:pt idx="51">
                  <c:v>139.80005220367138</c:v>
                </c:pt>
                <c:pt idx="52">
                  <c:v>139.82198622009585</c:v>
                </c:pt>
                <c:pt idx="53">
                  <c:v>144.09851122666225</c:v>
                </c:pt>
                <c:pt idx="54">
                  <c:v>141.9807399410237</c:v>
                </c:pt>
                <c:pt idx="55">
                  <c:v>139.77059321527989</c:v>
                </c:pt>
                <c:pt idx="56">
                  <c:v>134.09877527339049</c:v>
                </c:pt>
                <c:pt idx="57">
                  <c:v>126.98511981684111</c:v>
                </c:pt>
                <c:pt idx="58">
                  <c:v>123.08024243256136</c:v>
                </c:pt>
                <c:pt idx="59">
                  <c:v>120.49787883103227</c:v>
                </c:pt>
                <c:pt idx="60">
                  <c:v>125.20496201701268</c:v>
                </c:pt>
                <c:pt idx="61">
                  <c:v>125.0433005084291</c:v>
                </c:pt>
                <c:pt idx="62">
                  <c:v>126.13078461562208</c:v>
                </c:pt>
                <c:pt idx="63">
                  <c:v>129.96996236319487</c:v>
                </c:pt>
                <c:pt idx="64">
                  <c:v>139.13565579531462</c:v>
                </c:pt>
                <c:pt idx="65">
                  <c:v>129.77220510607265</c:v>
                </c:pt>
                <c:pt idx="66">
                  <c:v>133.54313579041121</c:v>
                </c:pt>
                <c:pt idx="67">
                  <c:v>135.24892982687822</c:v>
                </c:pt>
                <c:pt idx="68">
                  <c:v>139.76619849840111</c:v>
                </c:pt>
                <c:pt idx="69">
                  <c:v>142.98026194059238</c:v>
                </c:pt>
                <c:pt idx="70">
                  <c:v>134.42586321877494</c:v>
                </c:pt>
                <c:pt idx="71">
                  <c:v>133.47953341688222</c:v>
                </c:pt>
                <c:pt idx="72">
                  <c:v>132.0924384310693</c:v>
                </c:pt>
                <c:pt idx="73">
                  <c:v>125.96204437025706</c:v>
                </c:pt>
                <c:pt idx="74">
                  <c:v>125.06806675528341</c:v>
                </c:pt>
                <c:pt idx="75">
                  <c:v>137.24923300456086</c:v>
                </c:pt>
                <c:pt idx="76">
                  <c:v>142.1968244234177</c:v>
                </c:pt>
                <c:pt idx="77">
                  <c:v>148.0065530705275</c:v>
                </c:pt>
                <c:pt idx="78">
                  <c:v>147.41049868539835</c:v>
                </c:pt>
                <c:pt idx="79">
                  <c:v>144.78300410897702</c:v>
                </c:pt>
                <c:pt idx="80">
                  <c:v>135.40368288181901</c:v>
                </c:pt>
                <c:pt idx="81">
                  <c:v>129.0966718615868</c:v>
                </c:pt>
                <c:pt idx="82">
                  <c:v>128.8242731353626</c:v>
                </c:pt>
                <c:pt idx="83">
                  <c:v>126.57269209317407</c:v>
                </c:pt>
                <c:pt idx="84">
                  <c:v>128.13266766816966</c:v>
                </c:pt>
                <c:pt idx="85">
                  <c:v>126.18683170511495</c:v>
                </c:pt>
                <c:pt idx="86">
                  <c:v>115.3749794899782</c:v>
                </c:pt>
                <c:pt idx="87">
                  <c:v>112.49453769590295</c:v>
                </c:pt>
                <c:pt idx="88">
                  <c:v>113.21334209040467</c:v>
                </c:pt>
                <c:pt idx="89">
                  <c:v>116.0496714045662</c:v>
                </c:pt>
                <c:pt idx="90">
                  <c:v>114.87786647670715</c:v>
                </c:pt>
                <c:pt idx="91">
                  <c:v>116.72675916525068</c:v>
                </c:pt>
                <c:pt idx="92">
                  <c:v>114.14375450131809</c:v>
                </c:pt>
                <c:pt idx="93">
                  <c:v>119.38646446391334</c:v>
                </c:pt>
                <c:pt idx="94">
                  <c:v>119.12717751803193</c:v>
                </c:pt>
                <c:pt idx="95">
                  <c:v>120.5910472011545</c:v>
                </c:pt>
                <c:pt idx="96">
                  <c:v>119.1421205802542</c:v>
                </c:pt>
                <c:pt idx="97">
                  <c:v>120.4954230109047</c:v>
                </c:pt>
                <c:pt idx="98">
                  <c:v>121.40226917731462</c:v>
                </c:pt>
                <c:pt idx="99">
                  <c:v>118.44785781494326</c:v>
                </c:pt>
                <c:pt idx="100">
                  <c:v>123.82689563924592</c:v>
                </c:pt>
                <c:pt idx="101">
                  <c:v>127.40953160617643</c:v>
                </c:pt>
                <c:pt idx="102">
                  <c:v>123.94131931833412</c:v>
                </c:pt>
                <c:pt idx="103">
                  <c:v>122.70577912250145</c:v>
                </c:pt>
                <c:pt idx="104">
                  <c:v>117.20278773095971</c:v>
                </c:pt>
                <c:pt idx="105">
                  <c:v>125.59687066467485</c:v>
                </c:pt>
                <c:pt idx="106">
                  <c:v>128.49303387235253</c:v>
                </c:pt>
                <c:pt idx="107">
                  <c:v>125.70813617796348</c:v>
                </c:pt>
                <c:pt idx="108">
                  <c:v>128.89362696381676</c:v>
                </c:pt>
                <c:pt idx="109">
                  <c:v>133.73873737740522</c:v>
                </c:pt>
                <c:pt idx="110">
                  <c:v>138.22001522354313</c:v>
                </c:pt>
                <c:pt idx="111">
                  <c:v>142.02976247907642</c:v>
                </c:pt>
                <c:pt idx="112">
                  <c:v>138.09582615415655</c:v>
                </c:pt>
                <c:pt idx="113">
                  <c:v>136.79377396825282</c:v>
                </c:pt>
                <c:pt idx="114">
                  <c:v>133.12503385782108</c:v>
                </c:pt>
                <c:pt idx="115">
                  <c:v>134.71309069679751</c:v>
                </c:pt>
                <c:pt idx="116">
                  <c:v>131.70384337764682</c:v>
                </c:pt>
                <c:pt idx="117">
                  <c:v>128.63422772871036</c:v>
                </c:pt>
                <c:pt idx="118">
                  <c:v>125.6812468199001</c:v>
                </c:pt>
                <c:pt idx="119">
                  <c:v>122.76401140096399</c:v>
                </c:pt>
                <c:pt idx="120">
                  <c:v>119.3361736748158</c:v>
                </c:pt>
                <c:pt idx="121">
                  <c:v>106.58088931640486</c:v>
                </c:pt>
                <c:pt idx="122">
                  <c:v>106.67208803000329</c:v>
                </c:pt>
                <c:pt idx="123">
                  <c:v>105.67461260746974</c:v>
                </c:pt>
                <c:pt idx="124">
                  <c:v>107.96924603732752</c:v>
                </c:pt>
                <c:pt idx="125">
                  <c:v>111.30751375780575</c:v>
                </c:pt>
                <c:pt idx="126">
                  <c:v>106.45461057401324</c:v>
                </c:pt>
                <c:pt idx="127">
                  <c:v>102.39474844807089</c:v>
                </c:pt>
                <c:pt idx="128">
                  <c:v>107.26191601343064</c:v>
                </c:pt>
                <c:pt idx="129">
                  <c:v>105.23832598266971</c:v>
                </c:pt>
                <c:pt idx="130">
                  <c:v>105.67386870202371</c:v>
                </c:pt>
                <c:pt idx="131">
                  <c:v>103.37581374782727</c:v>
                </c:pt>
                <c:pt idx="132">
                  <c:v>106.81333534516573</c:v>
                </c:pt>
                <c:pt idx="133">
                  <c:v>108.00404277154909</c:v>
                </c:pt>
                <c:pt idx="134">
                  <c:v>104.29706784094415</c:v>
                </c:pt>
                <c:pt idx="135">
                  <c:v>107.11968591885807</c:v>
                </c:pt>
                <c:pt idx="136">
                  <c:v>112.26628493782302</c:v>
                </c:pt>
                <c:pt idx="137">
                  <c:v>104.00578079732554</c:v>
                </c:pt>
                <c:pt idx="138">
                  <c:v>102.0781842098521</c:v>
                </c:pt>
                <c:pt idx="139">
                  <c:v>99.362492486746589</c:v>
                </c:pt>
                <c:pt idx="140">
                  <c:v>94.320131343338488</c:v>
                </c:pt>
                <c:pt idx="141">
                  <c:v>98.743705544807838</c:v>
                </c:pt>
                <c:pt idx="142">
                  <c:v>98.934371755225925</c:v>
                </c:pt>
                <c:pt idx="143">
                  <c:v>96.449892007036624</c:v>
                </c:pt>
                <c:pt idx="144">
                  <c:v>97.821293794136821</c:v>
                </c:pt>
                <c:pt idx="145">
                  <c:v>97.130323313891409</c:v>
                </c:pt>
                <c:pt idx="146">
                  <c:v>90.76049451275631</c:v>
                </c:pt>
                <c:pt idx="147">
                  <c:v>87.945443839923669</c:v>
                </c:pt>
                <c:pt idx="148">
                  <c:v>82.232110446747782</c:v>
                </c:pt>
                <c:pt idx="149">
                  <c:v>81.043693475154171</c:v>
                </c:pt>
                <c:pt idx="150">
                  <c:v>79.941923971830406</c:v>
                </c:pt>
                <c:pt idx="151">
                  <c:v>84.913360510048875</c:v>
                </c:pt>
                <c:pt idx="152">
                  <c:v>83.529340102254409</c:v>
                </c:pt>
                <c:pt idx="153">
                  <c:v>82.741187156194044</c:v>
                </c:pt>
                <c:pt idx="154">
                  <c:v>83.850793770845343</c:v>
                </c:pt>
                <c:pt idx="155">
                  <c:v>81.881444433505735</c:v>
                </c:pt>
                <c:pt idx="156">
                  <c:v>78.025915378795077</c:v>
                </c:pt>
                <c:pt idx="157">
                  <c:v>73.360717584021629</c:v>
                </c:pt>
                <c:pt idx="158">
                  <c:v>73.649829216006552</c:v>
                </c:pt>
                <c:pt idx="159">
                  <c:v>77.037101634260864</c:v>
                </c:pt>
                <c:pt idx="160">
                  <c:v>77.110813832612251</c:v>
                </c:pt>
                <c:pt idx="161">
                  <c:v>79.773509971238184</c:v>
                </c:pt>
                <c:pt idx="162">
                  <c:v>79.034067229967661</c:v>
                </c:pt>
                <c:pt idx="163">
                  <c:v>77.022412300210817</c:v>
                </c:pt>
                <c:pt idx="164">
                  <c:v>79.66693920332979</c:v>
                </c:pt>
                <c:pt idx="165">
                  <c:v>80.984692672485878</c:v>
                </c:pt>
                <c:pt idx="166">
                  <c:v>86.694549025369369</c:v>
                </c:pt>
                <c:pt idx="167">
                  <c:v>87.258849565731879</c:v>
                </c:pt>
                <c:pt idx="168">
                  <c:v>89.027150900469323</c:v>
                </c:pt>
                <c:pt idx="169">
                  <c:v>83.974946943287335</c:v>
                </c:pt>
                <c:pt idx="170">
                  <c:v>84.808006229272522</c:v>
                </c:pt>
                <c:pt idx="171">
                  <c:v>82.229088440355412</c:v>
                </c:pt>
                <c:pt idx="172">
                  <c:v>79.55518689959959</c:v>
                </c:pt>
                <c:pt idx="173">
                  <c:v>76.949875768337776</c:v>
                </c:pt>
                <c:pt idx="174">
                  <c:v>75.024772698441652</c:v>
                </c:pt>
                <c:pt idx="175">
                  <c:v>76.063877641065261</c:v>
                </c:pt>
                <c:pt idx="176">
                  <c:v>81.724519163384628</c:v>
                </c:pt>
                <c:pt idx="177">
                  <c:v>78.632351550679701</c:v>
                </c:pt>
                <c:pt idx="178">
                  <c:v>73.669743588178619</c:v>
                </c:pt>
                <c:pt idx="179">
                  <c:v>72.37011402279947</c:v>
                </c:pt>
                <c:pt idx="180">
                  <c:v>77.909882114456252</c:v>
                </c:pt>
                <c:pt idx="181">
                  <c:v>77.713334426584012</c:v>
                </c:pt>
                <c:pt idx="182">
                  <c:v>83.424994883099544</c:v>
                </c:pt>
                <c:pt idx="183">
                  <c:v>85.411661985546104</c:v>
                </c:pt>
                <c:pt idx="184">
                  <c:v>86.849958640739388</c:v>
                </c:pt>
                <c:pt idx="185">
                  <c:v>87.685325560605563</c:v>
                </c:pt>
                <c:pt idx="186">
                  <c:v>94.020120998162284</c:v>
                </c:pt>
                <c:pt idx="187">
                  <c:v>97.949663874769684</c:v>
                </c:pt>
                <c:pt idx="188">
                  <c:v>96.846847286952951</c:v>
                </c:pt>
                <c:pt idx="189">
                  <c:v>101.79692579204421</c:v>
                </c:pt>
                <c:pt idx="190">
                  <c:v>101.45812825687747</c:v>
                </c:pt>
                <c:pt idx="191">
                  <c:v>108.50482430090098</c:v>
                </c:pt>
                <c:pt idx="192">
                  <c:v>110.77493707559292</c:v>
                </c:pt>
                <c:pt idx="193">
                  <c:v>107.14117908677946</c:v>
                </c:pt>
                <c:pt idx="194">
                  <c:v>99.797147263073313</c:v>
                </c:pt>
                <c:pt idx="195">
                  <c:v>97.570892456519942</c:v>
                </c:pt>
                <c:pt idx="196">
                  <c:v>99.060935120176154</c:v>
                </c:pt>
                <c:pt idx="197">
                  <c:v>93.021527051864084</c:v>
                </c:pt>
                <c:pt idx="198">
                  <c:v>93.420015085119516</c:v>
                </c:pt>
                <c:pt idx="199">
                  <c:v>87.393853784057043</c:v>
                </c:pt>
                <c:pt idx="200">
                  <c:v>88.242361403960075</c:v>
                </c:pt>
                <c:pt idx="201">
                  <c:v>93.089675635936828</c:v>
                </c:pt>
                <c:pt idx="202">
                  <c:v>93.652490368614281</c:v>
                </c:pt>
                <c:pt idx="203">
                  <c:v>94.834180756210927</c:v>
                </c:pt>
                <c:pt idx="204">
                  <c:v>96.173177829371426</c:v>
                </c:pt>
                <c:pt idx="205">
                  <c:v>95.334605208923406</c:v>
                </c:pt>
                <c:pt idx="206">
                  <c:v>95.918747053716089</c:v>
                </c:pt>
                <c:pt idx="207">
                  <c:v>93.410127131141067</c:v>
                </c:pt>
                <c:pt idx="208">
                  <c:v>89.806438545452394</c:v>
                </c:pt>
                <c:pt idx="209">
                  <c:v>89.490948756696383</c:v>
                </c:pt>
                <c:pt idx="210">
                  <c:v>88.264545751319162</c:v>
                </c:pt>
                <c:pt idx="211">
                  <c:v>88.272544022303819</c:v>
                </c:pt>
                <c:pt idx="212">
                  <c:v>96.624771478811738</c:v>
                </c:pt>
                <c:pt idx="213">
                  <c:v>95.048181275273777</c:v>
                </c:pt>
                <c:pt idx="214">
                  <c:v>95.505174435271471</c:v>
                </c:pt>
                <c:pt idx="215">
                  <c:v>90.8891568999383</c:v>
                </c:pt>
                <c:pt idx="216">
                  <c:v>90.551727544595494</c:v>
                </c:pt>
                <c:pt idx="217">
                  <c:v>92.934701487072175</c:v>
                </c:pt>
                <c:pt idx="218">
                  <c:v>92.736495767520708</c:v>
                </c:pt>
                <c:pt idx="219">
                  <c:v>86.837299812485298</c:v>
                </c:pt>
                <c:pt idx="220">
                  <c:v>84.419043715880733</c:v>
                </c:pt>
                <c:pt idx="221">
                  <c:v>87.206550420894629</c:v>
                </c:pt>
                <c:pt idx="222">
                  <c:v>84.821814178478618</c:v>
                </c:pt>
                <c:pt idx="223">
                  <c:v>88.914118317908461</c:v>
                </c:pt>
                <c:pt idx="224">
                  <c:v>84.500694561824787</c:v>
                </c:pt>
                <c:pt idx="225">
                  <c:v>85.584637269332319</c:v>
                </c:pt>
                <c:pt idx="226">
                  <c:v>86.643827023006793</c:v>
                </c:pt>
                <c:pt idx="227">
                  <c:v>85.634642442682917</c:v>
                </c:pt>
                <c:pt idx="228">
                  <c:v>93.280804045740098</c:v>
                </c:pt>
                <c:pt idx="229">
                  <c:v>87.880315244907223</c:v>
                </c:pt>
                <c:pt idx="230">
                  <c:v>84.996394929591744</c:v>
                </c:pt>
                <c:pt idx="231">
                  <c:v>84.419434442192298</c:v>
                </c:pt>
                <c:pt idx="232">
                  <c:v>86.045569462290601</c:v>
                </c:pt>
                <c:pt idx="233">
                  <c:v>87.396804349739199</c:v>
                </c:pt>
                <c:pt idx="234">
                  <c:v>85.648142719845239</c:v>
                </c:pt>
                <c:pt idx="235">
                  <c:v>84.764667712876999</c:v>
                </c:pt>
                <c:pt idx="236">
                  <c:v>82.024328984624972</c:v>
                </c:pt>
                <c:pt idx="237">
                  <c:v>80.786952934996336</c:v>
                </c:pt>
                <c:pt idx="238">
                  <c:v>82.446162760222663</c:v>
                </c:pt>
                <c:pt idx="239">
                  <c:v>84.528821842065966</c:v>
                </c:pt>
                <c:pt idx="240">
                  <c:v>83.976313850634867</c:v>
                </c:pt>
                <c:pt idx="241">
                  <c:v>80.524023450996694</c:v>
                </c:pt>
                <c:pt idx="242">
                  <c:v>83.239355001797591</c:v>
                </c:pt>
                <c:pt idx="243">
                  <c:v>80.957741262406174</c:v>
                </c:pt>
                <c:pt idx="244">
                  <c:v>83.359314598017505</c:v>
                </c:pt>
                <c:pt idx="245">
                  <c:v>88.540655399315185</c:v>
                </c:pt>
                <c:pt idx="246">
                  <c:v>92.554040701126311</c:v>
                </c:pt>
                <c:pt idx="247">
                  <c:v>93.057954297369037</c:v>
                </c:pt>
                <c:pt idx="248">
                  <c:v>90.473963397888539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5-41EA-BCFB-5F2142E8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312160"/>
        <c:axId val="698313600"/>
      </c:lineChart>
      <c:dateAx>
        <c:axId val="698312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13600"/>
        <c:crosses val="autoZero"/>
        <c:auto val="1"/>
        <c:lblOffset val="100"/>
        <c:baseTimeUnit val="days"/>
      </c:dateAx>
      <c:valAx>
        <c:axId val="6983136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1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</a:t>
            </a:r>
            <a:r>
              <a:rPr lang="en-GB" baseline="0"/>
              <a:t> vs Simulated Log Returns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'Simulate Lognormal Model (ORCL)'!$H$1</c:f>
              <c:strCache>
                <c:ptCount val="1"/>
                <c:pt idx="0">
                  <c:v>Bins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'Simulate Lognormal Model (ORCL)'!$H$2:$H$22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(ORCL)'!$H$2:$H$23</c:f>
              <c:numCache>
                <c:formatCode>General</c:formatCode>
                <c:ptCount val="22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3-4643-BCD4-8CA2A871122E}"/>
            </c:ext>
          </c:extLst>
        </c:ser>
        <c:ser>
          <c:idx val="1"/>
          <c:order val="1"/>
          <c:tx>
            <c:strRef>
              <c:f>'Simulate Lognormal Model (ORCL)'!$I$1</c:f>
              <c:strCache>
                <c:ptCount val="1"/>
                <c:pt idx="0">
                  <c:v>Real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'Simulate Lognormal Model (ORCL)'!$H$2:$H$22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(ORCL)'!$I$2:$I$23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21</c:v>
                </c:pt>
                <c:pt idx="9">
                  <c:v>26</c:v>
                </c:pt>
                <c:pt idx="10">
                  <c:v>27</c:v>
                </c:pt>
                <c:pt idx="11">
                  <c:v>33</c:v>
                </c:pt>
                <c:pt idx="12">
                  <c:v>32</c:v>
                </c:pt>
                <c:pt idx="13">
                  <c:v>16</c:v>
                </c:pt>
                <c:pt idx="14">
                  <c:v>16</c:v>
                </c:pt>
                <c:pt idx="15">
                  <c:v>14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3-4643-BCD4-8CA2A871122E}"/>
            </c:ext>
          </c:extLst>
        </c:ser>
        <c:ser>
          <c:idx val="2"/>
          <c:order val="2"/>
          <c:tx>
            <c:strRef>
              <c:f>'Simulate Lognormal Model (ORCL)'!$J$1</c:f>
              <c:strCache>
                <c:ptCount val="1"/>
                <c:pt idx="0">
                  <c:v>Simulated Frequency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'Simulate Lognormal Model (ORCL)'!$H$2:$H$22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(ORCL)'!$J$2:$J$23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13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19</c:v>
                </c:pt>
                <c:pt idx="11">
                  <c:v>18</c:v>
                </c:pt>
                <c:pt idx="12">
                  <c:v>25</c:v>
                </c:pt>
                <c:pt idx="13">
                  <c:v>12</c:v>
                </c:pt>
                <c:pt idx="14">
                  <c:v>15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2</c:v>
                </c:pt>
                <c:pt idx="19">
                  <c:v>7</c:v>
                </c:pt>
                <c:pt idx="20">
                  <c:v>2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3-4643-BCD4-8CA2A8711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24591"/>
        <c:axId val="168724111"/>
      </c:barChart>
      <c:catAx>
        <c:axId val="16872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</a:t>
                </a:r>
                <a:r>
                  <a:rPr lang="en-GB" baseline="0"/>
                  <a:t> Return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4111"/>
        <c:crosses val="autoZero"/>
        <c:auto val="1"/>
        <c:lblAlgn val="ctr"/>
        <c:lblOffset val="100"/>
        <c:noMultiLvlLbl val="0"/>
      </c:catAx>
      <c:valAx>
        <c:axId val="1687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vs Simulated Prices (SONY)</a:t>
            </a:r>
          </a:p>
        </c:rich>
      </c:tx>
      <c:layout>
        <c:manualLayout>
          <c:xMode val="edge"/>
          <c:yMode val="edge"/>
          <c:x val="0.34016112813511451"/>
          <c:y val="2.0278825871949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'Simulate Lognormal Model (SONY)'!$B$1</c:f>
              <c:strCache>
                <c:ptCount val="1"/>
                <c:pt idx="0">
                  <c:v>Real Price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'Simulate Lognormal Model (SONY)'!$A$2:$A$251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'Simulate Lognormal Model (SONY)'!$B$2:$B$251</c:f>
              <c:numCache>
                <c:formatCode>#,##0.00</c:formatCode>
                <c:ptCount val="250"/>
                <c:pt idx="0">
                  <c:v>20.22</c:v>
                </c:pt>
                <c:pt idx="1">
                  <c:v>20.62</c:v>
                </c:pt>
                <c:pt idx="2">
                  <c:v>20.38</c:v>
                </c:pt>
                <c:pt idx="3">
                  <c:v>20.92</c:v>
                </c:pt>
                <c:pt idx="4">
                  <c:v>21.65</c:v>
                </c:pt>
                <c:pt idx="5">
                  <c:v>21.49</c:v>
                </c:pt>
                <c:pt idx="6">
                  <c:v>21.46</c:v>
                </c:pt>
                <c:pt idx="7">
                  <c:v>21.49</c:v>
                </c:pt>
                <c:pt idx="8">
                  <c:v>21.68</c:v>
                </c:pt>
                <c:pt idx="9">
                  <c:v>21.62</c:v>
                </c:pt>
                <c:pt idx="10">
                  <c:v>21.48</c:v>
                </c:pt>
                <c:pt idx="11">
                  <c:v>21.37</c:v>
                </c:pt>
                <c:pt idx="12">
                  <c:v>21.99</c:v>
                </c:pt>
                <c:pt idx="13">
                  <c:v>21.58</c:v>
                </c:pt>
                <c:pt idx="14">
                  <c:v>22.69</c:v>
                </c:pt>
                <c:pt idx="15">
                  <c:v>23.06</c:v>
                </c:pt>
                <c:pt idx="16">
                  <c:v>22.59</c:v>
                </c:pt>
                <c:pt idx="17">
                  <c:v>21.41</c:v>
                </c:pt>
                <c:pt idx="18">
                  <c:v>21.6</c:v>
                </c:pt>
                <c:pt idx="19">
                  <c:v>21.67</c:v>
                </c:pt>
                <c:pt idx="20">
                  <c:v>21.93</c:v>
                </c:pt>
                <c:pt idx="21">
                  <c:v>22.25</c:v>
                </c:pt>
                <c:pt idx="22">
                  <c:v>22.5</c:v>
                </c:pt>
                <c:pt idx="23">
                  <c:v>22.82</c:v>
                </c:pt>
                <c:pt idx="24">
                  <c:v>23.19</c:v>
                </c:pt>
                <c:pt idx="25">
                  <c:v>22.87</c:v>
                </c:pt>
                <c:pt idx="26">
                  <c:v>22.95</c:v>
                </c:pt>
                <c:pt idx="27">
                  <c:v>22.83</c:v>
                </c:pt>
                <c:pt idx="28">
                  <c:v>22.33</c:v>
                </c:pt>
                <c:pt idx="29">
                  <c:v>22.26</c:v>
                </c:pt>
                <c:pt idx="30">
                  <c:v>21.24</c:v>
                </c:pt>
                <c:pt idx="31">
                  <c:v>21.91</c:v>
                </c:pt>
                <c:pt idx="32">
                  <c:v>21.93</c:v>
                </c:pt>
                <c:pt idx="33">
                  <c:v>22.12</c:v>
                </c:pt>
                <c:pt idx="34">
                  <c:v>22.1</c:v>
                </c:pt>
                <c:pt idx="35">
                  <c:v>22.29</c:v>
                </c:pt>
                <c:pt idx="36">
                  <c:v>22.28</c:v>
                </c:pt>
                <c:pt idx="37">
                  <c:v>22.6</c:v>
                </c:pt>
                <c:pt idx="38">
                  <c:v>22.96</c:v>
                </c:pt>
                <c:pt idx="39">
                  <c:v>23.09</c:v>
                </c:pt>
                <c:pt idx="40">
                  <c:v>22.96</c:v>
                </c:pt>
                <c:pt idx="41">
                  <c:v>23.68</c:v>
                </c:pt>
                <c:pt idx="42">
                  <c:v>23.72</c:v>
                </c:pt>
                <c:pt idx="43">
                  <c:v>24.05</c:v>
                </c:pt>
                <c:pt idx="44">
                  <c:v>24.12</c:v>
                </c:pt>
                <c:pt idx="45">
                  <c:v>24.09</c:v>
                </c:pt>
                <c:pt idx="46">
                  <c:v>24.41</c:v>
                </c:pt>
                <c:pt idx="47">
                  <c:v>25.18</c:v>
                </c:pt>
                <c:pt idx="48">
                  <c:v>25.04</c:v>
                </c:pt>
                <c:pt idx="49">
                  <c:v>25.25</c:v>
                </c:pt>
                <c:pt idx="50">
                  <c:v>25.12</c:v>
                </c:pt>
                <c:pt idx="51">
                  <c:v>25.74</c:v>
                </c:pt>
                <c:pt idx="52">
                  <c:v>25.83</c:v>
                </c:pt>
                <c:pt idx="53">
                  <c:v>25.88</c:v>
                </c:pt>
                <c:pt idx="54">
                  <c:v>25.6</c:v>
                </c:pt>
                <c:pt idx="55">
                  <c:v>25.72</c:v>
                </c:pt>
                <c:pt idx="56">
                  <c:v>25.77</c:v>
                </c:pt>
                <c:pt idx="57">
                  <c:v>25.82</c:v>
                </c:pt>
                <c:pt idx="58">
                  <c:v>25.7</c:v>
                </c:pt>
                <c:pt idx="59">
                  <c:v>25.76</c:v>
                </c:pt>
                <c:pt idx="60">
                  <c:v>25.23</c:v>
                </c:pt>
                <c:pt idx="61">
                  <c:v>25.4</c:v>
                </c:pt>
                <c:pt idx="62">
                  <c:v>25.91</c:v>
                </c:pt>
                <c:pt idx="63">
                  <c:v>25.96</c:v>
                </c:pt>
                <c:pt idx="64">
                  <c:v>26.45</c:v>
                </c:pt>
                <c:pt idx="65">
                  <c:v>26.64</c:v>
                </c:pt>
                <c:pt idx="66">
                  <c:v>26.77</c:v>
                </c:pt>
                <c:pt idx="67">
                  <c:v>26.73</c:v>
                </c:pt>
                <c:pt idx="68">
                  <c:v>27.08</c:v>
                </c:pt>
                <c:pt idx="69">
                  <c:v>27.56</c:v>
                </c:pt>
                <c:pt idx="70">
                  <c:v>27.55</c:v>
                </c:pt>
                <c:pt idx="71">
                  <c:v>28.03</c:v>
                </c:pt>
                <c:pt idx="72">
                  <c:v>28.29</c:v>
                </c:pt>
                <c:pt idx="73">
                  <c:v>28.46</c:v>
                </c:pt>
                <c:pt idx="74">
                  <c:v>28.57</c:v>
                </c:pt>
                <c:pt idx="75">
                  <c:v>28.78</c:v>
                </c:pt>
                <c:pt idx="76">
                  <c:v>29.35</c:v>
                </c:pt>
                <c:pt idx="77">
                  <c:v>29.08</c:v>
                </c:pt>
                <c:pt idx="78">
                  <c:v>28.6</c:v>
                </c:pt>
                <c:pt idx="79">
                  <c:v>29.01</c:v>
                </c:pt>
                <c:pt idx="80">
                  <c:v>28.53</c:v>
                </c:pt>
                <c:pt idx="81">
                  <c:v>27.75</c:v>
                </c:pt>
                <c:pt idx="82">
                  <c:v>28.55</c:v>
                </c:pt>
                <c:pt idx="83">
                  <c:v>28.67</c:v>
                </c:pt>
                <c:pt idx="84">
                  <c:v>29.09</c:v>
                </c:pt>
                <c:pt idx="85">
                  <c:v>30.12</c:v>
                </c:pt>
                <c:pt idx="86">
                  <c:v>29.44</c:v>
                </c:pt>
                <c:pt idx="87">
                  <c:v>30.26</c:v>
                </c:pt>
                <c:pt idx="88">
                  <c:v>29.16</c:v>
                </c:pt>
                <c:pt idx="89">
                  <c:v>27.97</c:v>
                </c:pt>
                <c:pt idx="90">
                  <c:v>27.71</c:v>
                </c:pt>
                <c:pt idx="91">
                  <c:v>28.29</c:v>
                </c:pt>
                <c:pt idx="92">
                  <c:v>28.08</c:v>
                </c:pt>
                <c:pt idx="93">
                  <c:v>27.91</c:v>
                </c:pt>
                <c:pt idx="94">
                  <c:v>27.95</c:v>
                </c:pt>
                <c:pt idx="95">
                  <c:v>27.89</c:v>
                </c:pt>
                <c:pt idx="96">
                  <c:v>27.75</c:v>
                </c:pt>
                <c:pt idx="97">
                  <c:v>28.18</c:v>
                </c:pt>
                <c:pt idx="98">
                  <c:v>28.99</c:v>
                </c:pt>
                <c:pt idx="99">
                  <c:v>28.7</c:v>
                </c:pt>
                <c:pt idx="100">
                  <c:v>28.65</c:v>
                </c:pt>
                <c:pt idx="101">
                  <c:v>28.71</c:v>
                </c:pt>
                <c:pt idx="102">
                  <c:v>28.75</c:v>
                </c:pt>
                <c:pt idx="103">
                  <c:v>29.14</c:v>
                </c:pt>
                <c:pt idx="104">
                  <c:v>29.19</c:v>
                </c:pt>
                <c:pt idx="105">
                  <c:v>28.9</c:v>
                </c:pt>
                <c:pt idx="106">
                  <c:v>28.5</c:v>
                </c:pt>
                <c:pt idx="107">
                  <c:v>28.89</c:v>
                </c:pt>
                <c:pt idx="108">
                  <c:v>28.83</c:v>
                </c:pt>
                <c:pt idx="109">
                  <c:v>28.87</c:v>
                </c:pt>
                <c:pt idx="110">
                  <c:v>28.25</c:v>
                </c:pt>
                <c:pt idx="111">
                  <c:v>29.84</c:v>
                </c:pt>
                <c:pt idx="112">
                  <c:v>29.75</c:v>
                </c:pt>
                <c:pt idx="113">
                  <c:v>29.74</c:v>
                </c:pt>
                <c:pt idx="114">
                  <c:v>30.1</c:v>
                </c:pt>
                <c:pt idx="115">
                  <c:v>28.96</c:v>
                </c:pt>
                <c:pt idx="116">
                  <c:v>28.08</c:v>
                </c:pt>
                <c:pt idx="117">
                  <c:v>28.74</c:v>
                </c:pt>
                <c:pt idx="118">
                  <c:v>28.79</c:v>
                </c:pt>
                <c:pt idx="119">
                  <c:v>29.1</c:v>
                </c:pt>
                <c:pt idx="120">
                  <c:v>29.04</c:v>
                </c:pt>
                <c:pt idx="121">
                  <c:v>29.088799999999999</c:v>
                </c:pt>
                <c:pt idx="122">
                  <c:v>28.610900000000001</c:v>
                </c:pt>
                <c:pt idx="123">
                  <c:v>29.020499999999998</c:v>
                </c:pt>
                <c:pt idx="124">
                  <c:v>28.991199999999999</c:v>
                </c:pt>
                <c:pt idx="125">
                  <c:v>28.630400000000002</c:v>
                </c:pt>
                <c:pt idx="126">
                  <c:v>29.322800000000001</c:v>
                </c:pt>
                <c:pt idx="127">
                  <c:v>28.435400000000001</c:v>
                </c:pt>
                <c:pt idx="128">
                  <c:v>28.103899999999999</c:v>
                </c:pt>
                <c:pt idx="129">
                  <c:v>28.610900000000001</c:v>
                </c:pt>
                <c:pt idx="130">
                  <c:v>28.484200000000001</c:v>
                </c:pt>
                <c:pt idx="131">
                  <c:v>28.464700000000001</c:v>
                </c:pt>
                <c:pt idx="132">
                  <c:v>27.938099999999999</c:v>
                </c:pt>
                <c:pt idx="133">
                  <c:v>27.996600000000001</c:v>
                </c:pt>
                <c:pt idx="134">
                  <c:v>27.957599999999999</c:v>
                </c:pt>
                <c:pt idx="135">
                  <c:v>26.884899999999998</c:v>
                </c:pt>
                <c:pt idx="136">
                  <c:v>27.148199999999999</c:v>
                </c:pt>
                <c:pt idx="137">
                  <c:v>26.3583</c:v>
                </c:pt>
                <c:pt idx="138">
                  <c:v>26.2803</c:v>
                </c:pt>
                <c:pt idx="139">
                  <c:v>26.836200000000002</c:v>
                </c:pt>
                <c:pt idx="140">
                  <c:v>27.304200000000002</c:v>
                </c:pt>
                <c:pt idx="141">
                  <c:v>27.148199999999999</c:v>
                </c:pt>
                <c:pt idx="142">
                  <c:v>27.187200000000001</c:v>
                </c:pt>
                <c:pt idx="143">
                  <c:v>27.421199999999999</c:v>
                </c:pt>
                <c:pt idx="144">
                  <c:v>27.899100000000001</c:v>
                </c:pt>
                <c:pt idx="145">
                  <c:v>26.9434</c:v>
                </c:pt>
                <c:pt idx="146">
                  <c:v>27.421199999999999</c:v>
                </c:pt>
                <c:pt idx="147">
                  <c:v>27.5383</c:v>
                </c:pt>
                <c:pt idx="148">
                  <c:v>27.645499999999998</c:v>
                </c:pt>
                <c:pt idx="149">
                  <c:v>28.0258</c:v>
                </c:pt>
                <c:pt idx="150">
                  <c:v>27.050699999999999</c:v>
                </c:pt>
                <c:pt idx="151">
                  <c:v>27.284700000000001</c:v>
                </c:pt>
                <c:pt idx="152">
                  <c:v>26.514399999999998</c:v>
                </c:pt>
                <c:pt idx="153">
                  <c:v>26.6021</c:v>
                </c:pt>
                <c:pt idx="154">
                  <c:v>26.4754</c:v>
                </c:pt>
                <c:pt idx="155">
                  <c:v>25.383199999999999</c:v>
                </c:pt>
                <c:pt idx="156">
                  <c:v>24.300799999999999</c:v>
                </c:pt>
                <c:pt idx="157">
                  <c:v>23.920500000000001</c:v>
                </c:pt>
                <c:pt idx="158">
                  <c:v>24.1447</c:v>
                </c:pt>
                <c:pt idx="159">
                  <c:v>23.764399999999998</c:v>
                </c:pt>
                <c:pt idx="160">
                  <c:v>23.715699999999998</c:v>
                </c:pt>
                <c:pt idx="161">
                  <c:v>23.598700000000001</c:v>
                </c:pt>
                <c:pt idx="162">
                  <c:v>23.549900000000001</c:v>
                </c:pt>
                <c:pt idx="163">
                  <c:v>23.7547</c:v>
                </c:pt>
                <c:pt idx="164">
                  <c:v>24.261800000000001</c:v>
                </c:pt>
                <c:pt idx="165">
                  <c:v>24.749300000000002</c:v>
                </c:pt>
                <c:pt idx="166">
                  <c:v>24.632300000000001</c:v>
                </c:pt>
                <c:pt idx="167">
                  <c:v>23.491399999999999</c:v>
                </c:pt>
                <c:pt idx="168">
                  <c:v>23.471900000000002</c:v>
                </c:pt>
                <c:pt idx="169">
                  <c:v>23.325600000000001</c:v>
                </c:pt>
                <c:pt idx="170">
                  <c:v>23.8034</c:v>
                </c:pt>
                <c:pt idx="171">
                  <c:v>23.3841</c:v>
                </c:pt>
                <c:pt idx="172">
                  <c:v>23.4816</c:v>
                </c:pt>
                <c:pt idx="173">
                  <c:v>23.793700000000001</c:v>
                </c:pt>
                <c:pt idx="174">
                  <c:v>23.822900000000001</c:v>
                </c:pt>
                <c:pt idx="175">
                  <c:v>24.037500000000001</c:v>
                </c:pt>
                <c:pt idx="176">
                  <c:v>24.544599999999999</c:v>
                </c:pt>
                <c:pt idx="177">
                  <c:v>24.622599999999998</c:v>
                </c:pt>
                <c:pt idx="178">
                  <c:v>24.671299999999999</c:v>
                </c:pt>
                <c:pt idx="179">
                  <c:v>24.944400000000002</c:v>
                </c:pt>
                <c:pt idx="180">
                  <c:v>25.071100000000001</c:v>
                </c:pt>
                <c:pt idx="181">
                  <c:v>24.8371</c:v>
                </c:pt>
                <c:pt idx="182">
                  <c:v>25.383199999999999</c:v>
                </c:pt>
                <c:pt idx="183">
                  <c:v>25.6465</c:v>
                </c:pt>
                <c:pt idx="184">
                  <c:v>24.9054</c:v>
                </c:pt>
                <c:pt idx="185">
                  <c:v>24.300799999999999</c:v>
                </c:pt>
                <c:pt idx="186">
                  <c:v>24.369</c:v>
                </c:pt>
                <c:pt idx="187">
                  <c:v>23.813199999999998</c:v>
                </c:pt>
                <c:pt idx="188">
                  <c:v>24.135000000000002</c:v>
                </c:pt>
                <c:pt idx="189">
                  <c:v>25.236899999999999</c:v>
                </c:pt>
                <c:pt idx="190">
                  <c:v>25.022400000000001</c:v>
                </c:pt>
                <c:pt idx="191">
                  <c:v>25.441700000000001</c:v>
                </c:pt>
                <c:pt idx="192">
                  <c:v>25.285699999999999</c:v>
                </c:pt>
                <c:pt idx="193">
                  <c:v>25.744</c:v>
                </c:pt>
                <c:pt idx="194">
                  <c:v>25.266200000000001</c:v>
                </c:pt>
                <c:pt idx="195">
                  <c:v>25.548999999999999</c:v>
                </c:pt>
                <c:pt idx="196">
                  <c:v>25.929300000000001</c:v>
                </c:pt>
                <c:pt idx="197">
                  <c:v>25.997499999999999</c:v>
                </c:pt>
                <c:pt idx="198">
                  <c:v>25.675699999999999</c:v>
                </c:pt>
                <c:pt idx="199">
                  <c:v>26.007300000000001</c:v>
                </c:pt>
                <c:pt idx="200">
                  <c:v>26.104800000000001</c:v>
                </c:pt>
                <c:pt idx="201">
                  <c:v>26.2121</c:v>
                </c:pt>
                <c:pt idx="202">
                  <c:v>25.724499999999999</c:v>
                </c:pt>
                <c:pt idx="203">
                  <c:v>25.958500000000001</c:v>
                </c:pt>
                <c:pt idx="204">
                  <c:v>25.6465</c:v>
                </c:pt>
                <c:pt idx="205">
                  <c:v>25.9</c:v>
                </c:pt>
                <c:pt idx="206">
                  <c:v>24.895600000000002</c:v>
                </c:pt>
                <c:pt idx="207">
                  <c:v>24.700600000000001</c:v>
                </c:pt>
                <c:pt idx="208">
                  <c:v>24.2715</c:v>
                </c:pt>
                <c:pt idx="209">
                  <c:v>25.158899999999999</c:v>
                </c:pt>
                <c:pt idx="210">
                  <c:v>24.4178</c:v>
                </c:pt>
                <c:pt idx="211">
                  <c:v>24.066700000000001</c:v>
                </c:pt>
                <c:pt idx="212">
                  <c:v>24.251999999999999</c:v>
                </c:pt>
                <c:pt idx="213">
                  <c:v>24.261800000000001</c:v>
                </c:pt>
                <c:pt idx="214">
                  <c:v>23.930199999999999</c:v>
                </c:pt>
                <c:pt idx="215">
                  <c:v>24.1252</c:v>
                </c:pt>
                <c:pt idx="216">
                  <c:v>24.086200000000002</c:v>
                </c:pt>
                <c:pt idx="217">
                  <c:v>23.842400000000001</c:v>
                </c:pt>
                <c:pt idx="218">
                  <c:v>24.398299999999999</c:v>
                </c:pt>
                <c:pt idx="219">
                  <c:v>24.603100000000001</c:v>
                </c:pt>
                <c:pt idx="220">
                  <c:v>24.6128</c:v>
                </c:pt>
                <c:pt idx="221">
                  <c:v>24.700600000000001</c:v>
                </c:pt>
                <c:pt idx="222">
                  <c:v>24.651800000000001</c:v>
                </c:pt>
                <c:pt idx="223">
                  <c:v>25.353899999999999</c:v>
                </c:pt>
                <c:pt idx="224">
                  <c:v>25.110099999999999</c:v>
                </c:pt>
                <c:pt idx="225">
                  <c:v>24.651800000000001</c:v>
                </c:pt>
                <c:pt idx="226">
                  <c:v>24.349499999999999</c:v>
                </c:pt>
                <c:pt idx="227">
                  <c:v>24.495799999999999</c:v>
                </c:pt>
                <c:pt idx="228">
                  <c:v>24.2715</c:v>
                </c:pt>
                <c:pt idx="229">
                  <c:v>23.7254</c:v>
                </c:pt>
                <c:pt idx="230">
                  <c:v>23.159800000000001</c:v>
                </c:pt>
                <c:pt idx="231">
                  <c:v>23.413399999999999</c:v>
                </c:pt>
                <c:pt idx="232">
                  <c:v>22.779499999999999</c:v>
                </c:pt>
                <c:pt idx="233">
                  <c:v>23.0916</c:v>
                </c:pt>
                <c:pt idx="234">
                  <c:v>22.857500000000002</c:v>
                </c:pt>
                <c:pt idx="235">
                  <c:v>22.37</c:v>
                </c:pt>
                <c:pt idx="236">
                  <c:v>22.3505</c:v>
                </c:pt>
                <c:pt idx="237">
                  <c:v>22.3992</c:v>
                </c:pt>
                <c:pt idx="238">
                  <c:v>20.790199999999999</c:v>
                </c:pt>
                <c:pt idx="239">
                  <c:v>20.712199999999999</c:v>
                </c:pt>
                <c:pt idx="240">
                  <c:v>21.277799999999999</c:v>
                </c:pt>
                <c:pt idx="241">
                  <c:v>22.798999999999999</c:v>
                </c:pt>
                <c:pt idx="242">
                  <c:v>24.222799999999999</c:v>
                </c:pt>
                <c:pt idx="243">
                  <c:v>24.544599999999999</c:v>
                </c:pt>
                <c:pt idx="244">
                  <c:v>24.7591</c:v>
                </c:pt>
                <c:pt idx="245">
                  <c:v>24.4665</c:v>
                </c:pt>
                <c:pt idx="246">
                  <c:v>25.0029</c:v>
                </c:pt>
                <c:pt idx="247">
                  <c:v>24.866399999999999</c:v>
                </c:pt>
                <c:pt idx="248">
                  <c:v>24.632300000000001</c:v>
                </c:pt>
                <c:pt idx="249">
                  <c:v>24.642099999999999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8-45EA-9564-2A549F4DA73A}"/>
            </c:ext>
          </c:extLst>
        </c:ser>
        <c:ser>
          <c:idx val="1"/>
          <c:order val="1"/>
          <c:tx>
            <c:strRef>
              <c:f>'Simulate Lognormal Model (SONY)'!$F$1</c:f>
              <c:strCache>
                <c:ptCount val="1"/>
                <c:pt idx="0">
                  <c:v>Simulated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'Simulate Lognormal Model (SONY)'!$A$2:$A$251</c:f>
              <c:numCache>
                <c:formatCode>m/d/yyyy</c:formatCode>
                <c:ptCount val="250"/>
                <c:pt idx="0">
                  <c:v>46101</c:v>
                </c:pt>
                <c:pt idx="1">
                  <c:v>46100</c:v>
                </c:pt>
                <c:pt idx="2">
                  <c:v>46099</c:v>
                </c:pt>
                <c:pt idx="3">
                  <c:v>46098</c:v>
                </c:pt>
                <c:pt idx="4">
                  <c:v>46097</c:v>
                </c:pt>
                <c:pt idx="5">
                  <c:v>46094</c:v>
                </c:pt>
                <c:pt idx="6">
                  <c:v>46093</c:v>
                </c:pt>
                <c:pt idx="7">
                  <c:v>46092</c:v>
                </c:pt>
                <c:pt idx="8">
                  <c:v>46091</c:v>
                </c:pt>
                <c:pt idx="9">
                  <c:v>46090</c:v>
                </c:pt>
                <c:pt idx="10">
                  <c:v>46087</c:v>
                </c:pt>
                <c:pt idx="11">
                  <c:v>46086</c:v>
                </c:pt>
                <c:pt idx="12">
                  <c:v>46085</c:v>
                </c:pt>
                <c:pt idx="13">
                  <c:v>46084</c:v>
                </c:pt>
                <c:pt idx="14">
                  <c:v>46083</c:v>
                </c:pt>
                <c:pt idx="15">
                  <c:v>46080</c:v>
                </c:pt>
                <c:pt idx="16">
                  <c:v>46079</c:v>
                </c:pt>
                <c:pt idx="17">
                  <c:v>46078</c:v>
                </c:pt>
                <c:pt idx="18">
                  <c:v>46077</c:v>
                </c:pt>
                <c:pt idx="19">
                  <c:v>46076</c:v>
                </c:pt>
                <c:pt idx="20">
                  <c:v>46073</c:v>
                </c:pt>
                <c:pt idx="21">
                  <c:v>46072</c:v>
                </c:pt>
                <c:pt idx="22">
                  <c:v>46071</c:v>
                </c:pt>
                <c:pt idx="23">
                  <c:v>46070</c:v>
                </c:pt>
                <c:pt idx="24">
                  <c:v>46066</c:v>
                </c:pt>
                <c:pt idx="25">
                  <c:v>46065</c:v>
                </c:pt>
                <c:pt idx="26">
                  <c:v>46064</c:v>
                </c:pt>
                <c:pt idx="27">
                  <c:v>46063</c:v>
                </c:pt>
                <c:pt idx="28">
                  <c:v>46062</c:v>
                </c:pt>
                <c:pt idx="29">
                  <c:v>46059</c:v>
                </c:pt>
                <c:pt idx="30">
                  <c:v>46058</c:v>
                </c:pt>
                <c:pt idx="31">
                  <c:v>46057</c:v>
                </c:pt>
                <c:pt idx="32">
                  <c:v>46056</c:v>
                </c:pt>
                <c:pt idx="33">
                  <c:v>46055</c:v>
                </c:pt>
                <c:pt idx="34">
                  <c:v>46052</c:v>
                </c:pt>
                <c:pt idx="35">
                  <c:v>46051</c:v>
                </c:pt>
                <c:pt idx="36">
                  <c:v>46050</c:v>
                </c:pt>
                <c:pt idx="37">
                  <c:v>46049</c:v>
                </c:pt>
                <c:pt idx="38">
                  <c:v>46048</c:v>
                </c:pt>
                <c:pt idx="39">
                  <c:v>46045</c:v>
                </c:pt>
                <c:pt idx="40">
                  <c:v>46044</c:v>
                </c:pt>
                <c:pt idx="41">
                  <c:v>46043</c:v>
                </c:pt>
                <c:pt idx="42">
                  <c:v>46042</c:v>
                </c:pt>
                <c:pt idx="43">
                  <c:v>46038</c:v>
                </c:pt>
                <c:pt idx="44">
                  <c:v>46037</c:v>
                </c:pt>
                <c:pt idx="45">
                  <c:v>46036</c:v>
                </c:pt>
                <c:pt idx="46">
                  <c:v>46035</c:v>
                </c:pt>
                <c:pt idx="47">
                  <c:v>46034</c:v>
                </c:pt>
                <c:pt idx="48">
                  <c:v>46031</c:v>
                </c:pt>
                <c:pt idx="49">
                  <c:v>46030</c:v>
                </c:pt>
                <c:pt idx="50">
                  <c:v>46029</c:v>
                </c:pt>
                <c:pt idx="51">
                  <c:v>46028</c:v>
                </c:pt>
                <c:pt idx="52">
                  <c:v>46027</c:v>
                </c:pt>
                <c:pt idx="53">
                  <c:v>46024</c:v>
                </c:pt>
                <c:pt idx="54">
                  <c:v>46022</c:v>
                </c:pt>
                <c:pt idx="55">
                  <c:v>46021</c:v>
                </c:pt>
                <c:pt idx="56">
                  <c:v>46020</c:v>
                </c:pt>
                <c:pt idx="57">
                  <c:v>46017</c:v>
                </c:pt>
                <c:pt idx="58">
                  <c:v>46015</c:v>
                </c:pt>
                <c:pt idx="59">
                  <c:v>46014</c:v>
                </c:pt>
                <c:pt idx="60">
                  <c:v>46013</c:v>
                </c:pt>
                <c:pt idx="61">
                  <c:v>46010</c:v>
                </c:pt>
                <c:pt idx="62">
                  <c:v>46009</c:v>
                </c:pt>
                <c:pt idx="63">
                  <c:v>46008</c:v>
                </c:pt>
                <c:pt idx="64">
                  <c:v>46007</c:v>
                </c:pt>
                <c:pt idx="65">
                  <c:v>46006</c:v>
                </c:pt>
                <c:pt idx="66">
                  <c:v>46003</c:v>
                </c:pt>
                <c:pt idx="67">
                  <c:v>46002</c:v>
                </c:pt>
                <c:pt idx="68">
                  <c:v>46001</c:v>
                </c:pt>
                <c:pt idx="69">
                  <c:v>46000</c:v>
                </c:pt>
                <c:pt idx="70">
                  <c:v>45999</c:v>
                </c:pt>
                <c:pt idx="71">
                  <c:v>45996</c:v>
                </c:pt>
                <c:pt idx="72">
                  <c:v>45995</c:v>
                </c:pt>
                <c:pt idx="73">
                  <c:v>45994</c:v>
                </c:pt>
                <c:pt idx="74">
                  <c:v>45993</c:v>
                </c:pt>
                <c:pt idx="75">
                  <c:v>45992</c:v>
                </c:pt>
                <c:pt idx="76">
                  <c:v>45989</c:v>
                </c:pt>
                <c:pt idx="77">
                  <c:v>45987</c:v>
                </c:pt>
                <c:pt idx="78">
                  <c:v>45986</c:v>
                </c:pt>
                <c:pt idx="79">
                  <c:v>45985</c:v>
                </c:pt>
                <c:pt idx="80">
                  <c:v>45982</c:v>
                </c:pt>
                <c:pt idx="81">
                  <c:v>45981</c:v>
                </c:pt>
                <c:pt idx="82">
                  <c:v>45980</c:v>
                </c:pt>
                <c:pt idx="83">
                  <c:v>45979</c:v>
                </c:pt>
                <c:pt idx="84">
                  <c:v>45978</c:v>
                </c:pt>
                <c:pt idx="85">
                  <c:v>45975</c:v>
                </c:pt>
                <c:pt idx="86">
                  <c:v>45974</c:v>
                </c:pt>
                <c:pt idx="87">
                  <c:v>45973</c:v>
                </c:pt>
                <c:pt idx="88">
                  <c:v>45972</c:v>
                </c:pt>
                <c:pt idx="89">
                  <c:v>45971</c:v>
                </c:pt>
                <c:pt idx="90">
                  <c:v>45968</c:v>
                </c:pt>
                <c:pt idx="91">
                  <c:v>45967</c:v>
                </c:pt>
                <c:pt idx="92">
                  <c:v>45966</c:v>
                </c:pt>
                <c:pt idx="93">
                  <c:v>45965</c:v>
                </c:pt>
                <c:pt idx="94">
                  <c:v>45964</c:v>
                </c:pt>
                <c:pt idx="95">
                  <c:v>45961</c:v>
                </c:pt>
                <c:pt idx="96">
                  <c:v>45960</c:v>
                </c:pt>
                <c:pt idx="97">
                  <c:v>45959</c:v>
                </c:pt>
                <c:pt idx="98">
                  <c:v>45958</c:v>
                </c:pt>
                <c:pt idx="99">
                  <c:v>45957</c:v>
                </c:pt>
                <c:pt idx="100">
                  <c:v>45954</c:v>
                </c:pt>
                <c:pt idx="101">
                  <c:v>45953</c:v>
                </c:pt>
                <c:pt idx="102">
                  <c:v>45952</c:v>
                </c:pt>
                <c:pt idx="103">
                  <c:v>45951</c:v>
                </c:pt>
                <c:pt idx="104">
                  <c:v>45950</c:v>
                </c:pt>
                <c:pt idx="105">
                  <c:v>45947</c:v>
                </c:pt>
                <c:pt idx="106">
                  <c:v>45946</c:v>
                </c:pt>
                <c:pt idx="107">
                  <c:v>45945</c:v>
                </c:pt>
                <c:pt idx="108">
                  <c:v>45944</c:v>
                </c:pt>
                <c:pt idx="109">
                  <c:v>45943</c:v>
                </c:pt>
                <c:pt idx="110">
                  <c:v>45940</c:v>
                </c:pt>
                <c:pt idx="111">
                  <c:v>45939</c:v>
                </c:pt>
                <c:pt idx="112">
                  <c:v>45938</c:v>
                </c:pt>
                <c:pt idx="113">
                  <c:v>45937</c:v>
                </c:pt>
                <c:pt idx="114">
                  <c:v>45936</c:v>
                </c:pt>
                <c:pt idx="115">
                  <c:v>45933</c:v>
                </c:pt>
                <c:pt idx="116">
                  <c:v>45932</c:v>
                </c:pt>
                <c:pt idx="117">
                  <c:v>45931</c:v>
                </c:pt>
                <c:pt idx="118">
                  <c:v>45930</c:v>
                </c:pt>
                <c:pt idx="119">
                  <c:v>45929</c:v>
                </c:pt>
                <c:pt idx="120">
                  <c:v>45926</c:v>
                </c:pt>
                <c:pt idx="121">
                  <c:v>45925</c:v>
                </c:pt>
                <c:pt idx="122">
                  <c:v>45924</c:v>
                </c:pt>
                <c:pt idx="123">
                  <c:v>45923</c:v>
                </c:pt>
                <c:pt idx="124">
                  <c:v>45922</c:v>
                </c:pt>
                <c:pt idx="125">
                  <c:v>45919</c:v>
                </c:pt>
                <c:pt idx="126">
                  <c:v>45918</c:v>
                </c:pt>
                <c:pt idx="127">
                  <c:v>45917</c:v>
                </c:pt>
                <c:pt idx="128">
                  <c:v>45916</c:v>
                </c:pt>
                <c:pt idx="129">
                  <c:v>45915</c:v>
                </c:pt>
                <c:pt idx="130">
                  <c:v>45912</c:v>
                </c:pt>
                <c:pt idx="131">
                  <c:v>45911</c:v>
                </c:pt>
                <c:pt idx="132">
                  <c:v>45910</c:v>
                </c:pt>
                <c:pt idx="133">
                  <c:v>45909</c:v>
                </c:pt>
                <c:pt idx="134">
                  <c:v>45908</c:v>
                </c:pt>
                <c:pt idx="135">
                  <c:v>45905</c:v>
                </c:pt>
                <c:pt idx="136">
                  <c:v>45904</c:v>
                </c:pt>
                <c:pt idx="137">
                  <c:v>45903</c:v>
                </c:pt>
                <c:pt idx="138">
                  <c:v>45902</c:v>
                </c:pt>
                <c:pt idx="139">
                  <c:v>45898</c:v>
                </c:pt>
                <c:pt idx="140">
                  <c:v>45897</c:v>
                </c:pt>
                <c:pt idx="141">
                  <c:v>45896</c:v>
                </c:pt>
                <c:pt idx="142">
                  <c:v>45895</c:v>
                </c:pt>
                <c:pt idx="143">
                  <c:v>45894</c:v>
                </c:pt>
                <c:pt idx="144">
                  <c:v>45891</c:v>
                </c:pt>
                <c:pt idx="145">
                  <c:v>45890</c:v>
                </c:pt>
                <c:pt idx="146">
                  <c:v>45889</c:v>
                </c:pt>
                <c:pt idx="147">
                  <c:v>45888</c:v>
                </c:pt>
                <c:pt idx="148">
                  <c:v>45887</c:v>
                </c:pt>
                <c:pt idx="149">
                  <c:v>45884</c:v>
                </c:pt>
                <c:pt idx="150">
                  <c:v>45883</c:v>
                </c:pt>
                <c:pt idx="151">
                  <c:v>45882</c:v>
                </c:pt>
                <c:pt idx="152">
                  <c:v>45881</c:v>
                </c:pt>
                <c:pt idx="153">
                  <c:v>45880</c:v>
                </c:pt>
                <c:pt idx="154">
                  <c:v>45877</c:v>
                </c:pt>
                <c:pt idx="155">
                  <c:v>45876</c:v>
                </c:pt>
                <c:pt idx="156">
                  <c:v>45875</c:v>
                </c:pt>
                <c:pt idx="157">
                  <c:v>45874</c:v>
                </c:pt>
                <c:pt idx="158">
                  <c:v>45873</c:v>
                </c:pt>
                <c:pt idx="159">
                  <c:v>45870</c:v>
                </c:pt>
                <c:pt idx="160">
                  <c:v>45869</c:v>
                </c:pt>
                <c:pt idx="161">
                  <c:v>45868</c:v>
                </c:pt>
                <c:pt idx="162">
                  <c:v>45867</c:v>
                </c:pt>
                <c:pt idx="163">
                  <c:v>45866</c:v>
                </c:pt>
                <c:pt idx="164">
                  <c:v>45863</c:v>
                </c:pt>
                <c:pt idx="165">
                  <c:v>45862</c:v>
                </c:pt>
                <c:pt idx="166">
                  <c:v>45861</c:v>
                </c:pt>
                <c:pt idx="167">
                  <c:v>45860</c:v>
                </c:pt>
                <c:pt idx="168">
                  <c:v>45859</c:v>
                </c:pt>
                <c:pt idx="169">
                  <c:v>45856</c:v>
                </c:pt>
                <c:pt idx="170">
                  <c:v>45855</c:v>
                </c:pt>
                <c:pt idx="171">
                  <c:v>45854</c:v>
                </c:pt>
                <c:pt idx="172">
                  <c:v>45853</c:v>
                </c:pt>
                <c:pt idx="173">
                  <c:v>45852</c:v>
                </c:pt>
                <c:pt idx="174">
                  <c:v>45849</c:v>
                </c:pt>
                <c:pt idx="175">
                  <c:v>45848</c:v>
                </c:pt>
                <c:pt idx="176">
                  <c:v>45847</c:v>
                </c:pt>
                <c:pt idx="177">
                  <c:v>45846</c:v>
                </c:pt>
                <c:pt idx="178">
                  <c:v>45845</c:v>
                </c:pt>
                <c:pt idx="179">
                  <c:v>45841</c:v>
                </c:pt>
                <c:pt idx="180">
                  <c:v>45840</c:v>
                </c:pt>
                <c:pt idx="181">
                  <c:v>45839</c:v>
                </c:pt>
                <c:pt idx="182">
                  <c:v>45838</c:v>
                </c:pt>
                <c:pt idx="183">
                  <c:v>45835</c:v>
                </c:pt>
                <c:pt idx="184">
                  <c:v>45834</c:v>
                </c:pt>
                <c:pt idx="185">
                  <c:v>45833</c:v>
                </c:pt>
                <c:pt idx="186">
                  <c:v>45832</c:v>
                </c:pt>
                <c:pt idx="187">
                  <c:v>45831</c:v>
                </c:pt>
                <c:pt idx="188">
                  <c:v>45828</c:v>
                </c:pt>
                <c:pt idx="189">
                  <c:v>45826</c:v>
                </c:pt>
                <c:pt idx="190">
                  <c:v>45825</c:v>
                </c:pt>
                <c:pt idx="191">
                  <c:v>45824</c:v>
                </c:pt>
                <c:pt idx="192">
                  <c:v>45821</c:v>
                </c:pt>
                <c:pt idx="193">
                  <c:v>45820</c:v>
                </c:pt>
                <c:pt idx="194">
                  <c:v>45819</c:v>
                </c:pt>
                <c:pt idx="195">
                  <c:v>45818</c:v>
                </c:pt>
                <c:pt idx="196">
                  <c:v>45817</c:v>
                </c:pt>
                <c:pt idx="197">
                  <c:v>45814</c:v>
                </c:pt>
                <c:pt idx="198">
                  <c:v>45813</c:v>
                </c:pt>
                <c:pt idx="199">
                  <c:v>45812</c:v>
                </c:pt>
                <c:pt idx="200">
                  <c:v>45811</c:v>
                </c:pt>
                <c:pt idx="201">
                  <c:v>45810</c:v>
                </c:pt>
                <c:pt idx="202">
                  <c:v>45807</c:v>
                </c:pt>
                <c:pt idx="203">
                  <c:v>45806</c:v>
                </c:pt>
                <c:pt idx="204">
                  <c:v>45805</c:v>
                </c:pt>
                <c:pt idx="205">
                  <c:v>45804</c:v>
                </c:pt>
                <c:pt idx="206">
                  <c:v>45800</c:v>
                </c:pt>
                <c:pt idx="207">
                  <c:v>45799</c:v>
                </c:pt>
                <c:pt idx="208">
                  <c:v>45798</c:v>
                </c:pt>
                <c:pt idx="209">
                  <c:v>45797</c:v>
                </c:pt>
                <c:pt idx="210">
                  <c:v>45796</c:v>
                </c:pt>
                <c:pt idx="211">
                  <c:v>45793</c:v>
                </c:pt>
                <c:pt idx="212">
                  <c:v>45792</c:v>
                </c:pt>
                <c:pt idx="213">
                  <c:v>45791</c:v>
                </c:pt>
                <c:pt idx="214">
                  <c:v>45790</c:v>
                </c:pt>
                <c:pt idx="215">
                  <c:v>45789</c:v>
                </c:pt>
                <c:pt idx="216">
                  <c:v>45786</c:v>
                </c:pt>
                <c:pt idx="217">
                  <c:v>45785</c:v>
                </c:pt>
                <c:pt idx="218">
                  <c:v>45784</c:v>
                </c:pt>
                <c:pt idx="219">
                  <c:v>45783</c:v>
                </c:pt>
                <c:pt idx="220">
                  <c:v>45782</c:v>
                </c:pt>
                <c:pt idx="221">
                  <c:v>45779</c:v>
                </c:pt>
                <c:pt idx="222">
                  <c:v>45778</c:v>
                </c:pt>
                <c:pt idx="223">
                  <c:v>45777</c:v>
                </c:pt>
                <c:pt idx="224">
                  <c:v>45776</c:v>
                </c:pt>
                <c:pt idx="225">
                  <c:v>45775</c:v>
                </c:pt>
                <c:pt idx="226">
                  <c:v>45772</c:v>
                </c:pt>
                <c:pt idx="227">
                  <c:v>45771</c:v>
                </c:pt>
                <c:pt idx="228">
                  <c:v>45770</c:v>
                </c:pt>
                <c:pt idx="229">
                  <c:v>45769</c:v>
                </c:pt>
                <c:pt idx="230">
                  <c:v>45768</c:v>
                </c:pt>
                <c:pt idx="231">
                  <c:v>45764</c:v>
                </c:pt>
                <c:pt idx="232">
                  <c:v>45763</c:v>
                </c:pt>
                <c:pt idx="233">
                  <c:v>45762</c:v>
                </c:pt>
                <c:pt idx="234">
                  <c:v>45761</c:v>
                </c:pt>
                <c:pt idx="235">
                  <c:v>45758</c:v>
                </c:pt>
                <c:pt idx="236">
                  <c:v>45757</c:v>
                </c:pt>
                <c:pt idx="237">
                  <c:v>45756</c:v>
                </c:pt>
                <c:pt idx="238">
                  <c:v>45755</c:v>
                </c:pt>
                <c:pt idx="239">
                  <c:v>45754</c:v>
                </c:pt>
                <c:pt idx="240">
                  <c:v>45751</c:v>
                </c:pt>
                <c:pt idx="241">
                  <c:v>45750</c:v>
                </c:pt>
                <c:pt idx="242">
                  <c:v>45749</c:v>
                </c:pt>
                <c:pt idx="243">
                  <c:v>45748</c:v>
                </c:pt>
                <c:pt idx="244">
                  <c:v>45747</c:v>
                </c:pt>
                <c:pt idx="245">
                  <c:v>45744</c:v>
                </c:pt>
                <c:pt idx="246">
                  <c:v>45743</c:v>
                </c:pt>
                <c:pt idx="247">
                  <c:v>45742</c:v>
                </c:pt>
                <c:pt idx="248">
                  <c:v>45741</c:v>
                </c:pt>
                <c:pt idx="249">
                  <c:v>45740</c:v>
                </c:pt>
              </c:numCache>
            </c:numRef>
          </c:cat>
          <c:val>
            <c:numRef>
              <c:f>'Simulate Lognormal Model (SONY)'!$F$2:$F$251</c:f>
              <c:numCache>
                <c:formatCode>General</c:formatCode>
                <c:ptCount val="250"/>
                <c:pt idx="0" formatCode="#,##0.00">
                  <c:v>20.22</c:v>
                </c:pt>
                <c:pt idx="1">
                  <c:v>20.24175905328995</c:v>
                </c:pt>
                <c:pt idx="2">
                  <c:v>20.366149791219065</c:v>
                </c:pt>
                <c:pt idx="3">
                  <c:v>20.034356472957693</c:v>
                </c:pt>
                <c:pt idx="4">
                  <c:v>20.133967791595023</c:v>
                </c:pt>
                <c:pt idx="5">
                  <c:v>19.551647665700639</c:v>
                </c:pt>
                <c:pt idx="6">
                  <c:v>19.674407159037575</c:v>
                </c:pt>
                <c:pt idx="7">
                  <c:v>19.124748903577121</c:v>
                </c:pt>
                <c:pt idx="8">
                  <c:v>19.215190001600089</c:v>
                </c:pt>
                <c:pt idx="9">
                  <c:v>19.862719669711144</c:v>
                </c:pt>
                <c:pt idx="10">
                  <c:v>19.866626244343198</c:v>
                </c:pt>
                <c:pt idx="11">
                  <c:v>19.680631053418033</c:v>
                </c:pt>
                <c:pt idx="12">
                  <c:v>19.621711875127673</c:v>
                </c:pt>
                <c:pt idx="13">
                  <c:v>19.444423883695514</c:v>
                </c:pt>
                <c:pt idx="14">
                  <c:v>19.463588173645629</c:v>
                </c:pt>
                <c:pt idx="15">
                  <c:v>19.308549912433136</c:v>
                </c:pt>
                <c:pt idx="16">
                  <c:v>19.219942675448639</c:v>
                </c:pt>
                <c:pt idx="17">
                  <c:v>19.048317538476894</c:v>
                </c:pt>
                <c:pt idx="18">
                  <c:v>18.762917803613753</c:v>
                </c:pt>
                <c:pt idx="19">
                  <c:v>18.669614714327068</c:v>
                </c:pt>
                <c:pt idx="20">
                  <c:v>18.381979385821825</c:v>
                </c:pt>
                <c:pt idx="21">
                  <c:v>17.844921147293412</c:v>
                </c:pt>
                <c:pt idx="22">
                  <c:v>18.064407969644392</c:v>
                </c:pt>
                <c:pt idx="23">
                  <c:v>18.42463011428244</c:v>
                </c:pt>
                <c:pt idx="24">
                  <c:v>18.552228663340873</c:v>
                </c:pt>
                <c:pt idx="25">
                  <c:v>18.535171633311727</c:v>
                </c:pt>
                <c:pt idx="26">
                  <c:v>18.827105709865513</c:v>
                </c:pt>
                <c:pt idx="27">
                  <c:v>18.44157409312729</c:v>
                </c:pt>
                <c:pt idx="28">
                  <c:v>18.963880717342843</c:v>
                </c:pt>
                <c:pt idx="29">
                  <c:v>19.015148308553592</c:v>
                </c:pt>
                <c:pt idx="30">
                  <c:v>19.272624571453878</c:v>
                </c:pt>
                <c:pt idx="31">
                  <c:v>19.039865659640945</c:v>
                </c:pt>
                <c:pt idx="32">
                  <c:v>18.966275107282403</c:v>
                </c:pt>
                <c:pt idx="33">
                  <c:v>18.294630602734877</c:v>
                </c:pt>
                <c:pt idx="34">
                  <c:v>17.84211537275467</c:v>
                </c:pt>
                <c:pt idx="35">
                  <c:v>17.735927840392044</c:v>
                </c:pt>
                <c:pt idx="36">
                  <c:v>18.631573032274964</c:v>
                </c:pt>
                <c:pt idx="37">
                  <c:v>18.806302536842459</c:v>
                </c:pt>
                <c:pt idx="38">
                  <c:v>18.91740552631023</c:v>
                </c:pt>
                <c:pt idx="39">
                  <c:v>18.966121414730466</c:v>
                </c:pt>
                <c:pt idx="40">
                  <c:v>19.036187071905285</c:v>
                </c:pt>
                <c:pt idx="41">
                  <c:v>18.970898479877022</c:v>
                </c:pt>
                <c:pt idx="42">
                  <c:v>18.982935115156547</c:v>
                </c:pt>
                <c:pt idx="43">
                  <c:v>18.663534966675329</c:v>
                </c:pt>
                <c:pt idx="44">
                  <c:v>18.312710428521431</c:v>
                </c:pt>
                <c:pt idx="45">
                  <c:v>18.176535107423526</c:v>
                </c:pt>
                <c:pt idx="46">
                  <c:v>18.427921146356091</c:v>
                </c:pt>
                <c:pt idx="47">
                  <c:v>18.329374629487514</c:v>
                </c:pt>
                <c:pt idx="48">
                  <c:v>18.552400630619296</c:v>
                </c:pt>
                <c:pt idx="49">
                  <c:v>18.542676815943317</c:v>
                </c:pt>
                <c:pt idx="50">
                  <c:v>18.751476160265135</c:v>
                </c:pt>
                <c:pt idx="51">
                  <c:v>19.000286284207579</c:v>
                </c:pt>
                <c:pt idx="52">
                  <c:v>18.877506889978811</c:v>
                </c:pt>
                <c:pt idx="53">
                  <c:v>19.521051734772954</c:v>
                </c:pt>
                <c:pt idx="54">
                  <c:v>19.563996708038399</c:v>
                </c:pt>
                <c:pt idx="55">
                  <c:v>19.361340222335919</c:v>
                </c:pt>
                <c:pt idx="56">
                  <c:v>19.39547129787972</c:v>
                </c:pt>
                <c:pt idx="57">
                  <c:v>18.635196390416745</c:v>
                </c:pt>
                <c:pt idx="58">
                  <c:v>17.776389845881948</c:v>
                </c:pt>
                <c:pt idx="59">
                  <c:v>17.41139552066419</c:v>
                </c:pt>
                <c:pt idx="60">
                  <c:v>17.726435845020767</c:v>
                </c:pt>
                <c:pt idx="61">
                  <c:v>17.35790962745148</c:v>
                </c:pt>
                <c:pt idx="62">
                  <c:v>17.506095194052151</c:v>
                </c:pt>
                <c:pt idx="63">
                  <c:v>17.754762579378742</c:v>
                </c:pt>
                <c:pt idx="64">
                  <c:v>18.289130990830923</c:v>
                </c:pt>
                <c:pt idx="65">
                  <c:v>18.197490011583479</c:v>
                </c:pt>
                <c:pt idx="66">
                  <c:v>18.269316190499605</c:v>
                </c:pt>
                <c:pt idx="67">
                  <c:v>18.825278042616631</c:v>
                </c:pt>
                <c:pt idx="68">
                  <c:v>18.939307330173524</c:v>
                </c:pt>
                <c:pt idx="69">
                  <c:v>19.564825341976125</c:v>
                </c:pt>
                <c:pt idx="70">
                  <c:v>20.073300880747436</c:v>
                </c:pt>
                <c:pt idx="71">
                  <c:v>20.812868360119047</c:v>
                </c:pt>
                <c:pt idx="72">
                  <c:v>20.3646880546973</c:v>
                </c:pt>
                <c:pt idx="73">
                  <c:v>20.413062997907648</c:v>
                </c:pt>
                <c:pt idx="74">
                  <c:v>19.856935847703703</c:v>
                </c:pt>
                <c:pt idx="75">
                  <c:v>19.84661150838798</c:v>
                </c:pt>
                <c:pt idx="76">
                  <c:v>20.111177488535905</c:v>
                </c:pt>
                <c:pt idx="77">
                  <c:v>20.161188252363388</c:v>
                </c:pt>
                <c:pt idx="78">
                  <c:v>19.644381143936876</c:v>
                </c:pt>
                <c:pt idx="79">
                  <c:v>19.497679405298673</c:v>
                </c:pt>
                <c:pt idx="80">
                  <c:v>19.732754544238347</c:v>
                </c:pt>
                <c:pt idx="81">
                  <c:v>20.121130046735743</c:v>
                </c:pt>
                <c:pt idx="82">
                  <c:v>20.542271260796902</c:v>
                </c:pt>
                <c:pt idx="83">
                  <c:v>21.282364579778225</c:v>
                </c:pt>
                <c:pt idx="84">
                  <c:v>20.188077386508777</c:v>
                </c:pt>
                <c:pt idx="85">
                  <c:v>19.27682977845215</c:v>
                </c:pt>
                <c:pt idx="86">
                  <c:v>19.615769728494602</c:v>
                </c:pt>
                <c:pt idx="87">
                  <c:v>19.803766304897298</c:v>
                </c:pt>
                <c:pt idx="88">
                  <c:v>19.589457627706359</c:v>
                </c:pt>
                <c:pt idx="89">
                  <c:v>19.277490718607144</c:v>
                </c:pt>
                <c:pt idx="90">
                  <c:v>19.162281819775426</c:v>
                </c:pt>
                <c:pt idx="91">
                  <c:v>19.337264298214947</c:v>
                </c:pt>
                <c:pt idx="92">
                  <c:v>19.623595265827326</c:v>
                </c:pt>
                <c:pt idx="93">
                  <c:v>20.204049675300961</c:v>
                </c:pt>
                <c:pt idx="94">
                  <c:v>20.194507404602795</c:v>
                </c:pt>
                <c:pt idx="95">
                  <c:v>19.889277203501099</c:v>
                </c:pt>
                <c:pt idx="96">
                  <c:v>19.878272457548075</c:v>
                </c:pt>
                <c:pt idx="97">
                  <c:v>19.929243303911583</c:v>
                </c:pt>
                <c:pt idx="98">
                  <c:v>20.553027782684559</c:v>
                </c:pt>
                <c:pt idx="99">
                  <c:v>20.448119997231569</c:v>
                </c:pt>
                <c:pt idx="100">
                  <c:v>20.710664128855488</c:v>
                </c:pt>
                <c:pt idx="101">
                  <c:v>20.998088109082431</c:v>
                </c:pt>
                <c:pt idx="102">
                  <c:v>21.026612031325261</c:v>
                </c:pt>
                <c:pt idx="103">
                  <c:v>21.406427158373255</c:v>
                </c:pt>
                <c:pt idx="104">
                  <c:v>21.019123236524361</c:v>
                </c:pt>
                <c:pt idx="105">
                  <c:v>21.277666147707603</c:v>
                </c:pt>
                <c:pt idx="106">
                  <c:v>21.218555345411218</c:v>
                </c:pt>
                <c:pt idx="107">
                  <c:v>21.548817736655501</c:v>
                </c:pt>
                <c:pt idx="108">
                  <c:v>21.252695360284509</c:v>
                </c:pt>
                <c:pt idx="109">
                  <c:v>22.353846498117324</c:v>
                </c:pt>
                <c:pt idx="110">
                  <c:v>22.637989255757873</c:v>
                </c:pt>
                <c:pt idx="111">
                  <c:v>23.018308887317652</c:v>
                </c:pt>
                <c:pt idx="112">
                  <c:v>22.816713920461385</c:v>
                </c:pt>
                <c:pt idx="113">
                  <c:v>22.534822917107117</c:v>
                </c:pt>
                <c:pt idx="114">
                  <c:v>22.923257412443331</c:v>
                </c:pt>
                <c:pt idx="115">
                  <c:v>23.175162347527802</c:v>
                </c:pt>
                <c:pt idx="116">
                  <c:v>22.93046060129851</c:v>
                </c:pt>
                <c:pt idx="117">
                  <c:v>22.367809251626724</c:v>
                </c:pt>
                <c:pt idx="118">
                  <c:v>21.871858118489591</c:v>
                </c:pt>
                <c:pt idx="119">
                  <c:v>20.845221168087996</c:v>
                </c:pt>
                <c:pt idx="120">
                  <c:v>20.845121706285802</c:v>
                </c:pt>
                <c:pt idx="121">
                  <c:v>21.439577159408518</c:v>
                </c:pt>
                <c:pt idx="122">
                  <c:v>21.181991569427957</c:v>
                </c:pt>
                <c:pt idx="123">
                  <c:v>21.002428669617657</c:v>
                </c:pt>
                <c:pt idx="124">
                  <c:v>21.011369610692228</c:v>
                </c:pt>
                <c:pt idx="125">
                  <c:v>20.415905993330032</c:v>
                </c:pt>
                <c:pt idx="126">
                  <c:v>20.201039230392652</c:v>
                </c:pt>
                <c:pt idx="127">
                  <c:v>20.117397373955392</c:v>
                </c:pt>
                <c:pt idx="128">
                  <c:v>18.975063849375893</c:v>
                </c:pt>
                <c:pt idx="129">
                  <c:v>18.438522070157074</c:v>
                </c:pt>
                <c:pt idx="130">
                  <c:v>18.449196170839695</c:v>
                </c:pt>
                <c:pt idx="131">
                  <c:v>19.346032104880141</c:v>
                </c:pt>
                <c:pt idx="132">
                  <c:v>19.387475105681212</c:v>
                </c:pt>
                <c:pt idx="133">
                  <c:v>19.470410657375421</c:v>
                </c:pt>
                <c:pt idx="134">
                  <c:v>19.267063983348216</c:v>
                </c:pt>
                <c:pt idx="135">
                  <c:v>18.91755565154855</c:v>
                </c:pt>
                <c:pt idx="136">
                  <c:v>19.376924838508174</c:v>
                </c:pt>
                <c:pt idx="137">
                  <c:v>19.209438212386541</c:v>
                </c:pt>
                <c:pt idx="138">
                  <c:v>19.09316735900163</c:v>
                </c:pt>
                <c:pt idx="139">
                  <c:v>18.892480264615966</c:v>
                </c:pt>
                <c:pt idx="140">
                  <c:v>18.832005147649948</c:v>
                </c:pt>
                <c:pt idx="141">
                  <c:v>19.21169324555936</c:v>
                </c:pt>
                <c:pt idx="142">
                  <c:v>18.789074210459649</c:v>
                </c:pt>
                <c:pt idx="143">
                  <c:v>19.147390856876687</c:v>
                </c:pt>
                <c:pt idx="144">
                  <c:v>19.445748049015091</c:v>
                </c:pt>
                <c:pt idx="145">
                  <c:v>19.987996929133363</c:v>
                </c:pt>
                <c:pt idx="146">
                  <c:v>19.786052502738354</c:v>
                </c:pt>
                <c:pt idx="147">
                  <c:v>18.973472819458198</c:v>
                </c:pt>
                <c:pt idx="148">
                  <c:v>19.152041793261716</c:v>
                </c:pt>
                <c:pt idx="149">
                  <c:v>19.202231295891149</c:v>
                </c:pt>
                <c:pt idx="150">
                  <c:v>19.734193651103975</c:v>
                </c:pt>
                <c:pt idx="151">
                  <c:v>20.197246982232318</c:v>
                </c:pt>
                <c:pt idx="152">
                  <c:v>19.816728787468179</c:v>
                </c:pt>
                <c:pt idx="153">
                  <c:v>19.612689293236013</c:v>
                </c:pt>
                <c:pt idx="154">
                  <c:v>19.190015063502571</c:v>
                </c:pt>
                <c:pt idx="155">
                  <c:v>19.173184238251107</c:v>
                </c:pt>
                <c:pt idx="156">
                  <c:v>18.48601032645681</c:v>
                </c:pt>
                <c:pt idx="157">
                  <c:v>18.596404160961772</c:v>
                </c:pt>
                <c:pt idx="158">
                  <c:v>18.901995429237495</c:v>
                </c:pt>
                <c:pt idx="159">
                  <c:v>18.534946429579776</c:v>
                </c:pt>
                <c:pt idx="160">
                  <c:v>18.666438724113259</c:v>
                </c:pt>
                <c:pt idx="161">
                  <c:v>18.756335737621765</c:v>
                </c:pt>
                <c:pt idx="162">
                  <c:v>19.077615139613414</c:v>
                </c:pt>
                <c:pt idx="163">
                  <c:v>18.629168743142284</c:v>
                </c:pt>
                <c:pt idx="164">
                  <c:v>18.356485105294976</c:v>
                </c:pt>
                <c:pt idx="165">
                  <c:v>18.339961742893731</c:v>
                </c:pt>
                <c:pt idx="166">
                  <c:v>18.339668333838244</c:v>
                </c:pt>
                <c:pt idx="167">
                  <c:v>18.371117159249046</c:v>
                </c:pt>
                <c:pt idx="168">
                  <c:v>17.991056342214673</c:v>
                </c:pt>
                <c:pt idx="169">
                  <c:v>17.73080975875504</c:v>
                </c:pt>
                <c:pt idx="170">
                  <c:v>18.058297692193978</c:v>
                </c:pt>
                <c:pt idx="171">
                  <c:v>18.294353936024912</c:v>
                </c:pt>
                <c:pt idx="172">
                  <c:v>18.728867417696478</c:v>
                </c:pt>
                <c:pt idx="173">
                  <c:v>18.121413661337733</c:v>
                </c:pt>
                <c:pt idx="174">
                  <c:v>18.439456250378967</c:v>
                </c:pt>
                <c:pt idx="175">
                  <c:v>18.780551598896952</c:v>
                </c:pt>
                <c:pt idx="176">
                  <c:v>19.053545656630469</c:v>
                </c:pt>
                <c:pt idx="177">
                  <c:v>18.713632131397574</c:v>
                </c:pt>
                <c:pt idx="178">
                  <c:v>19.113480835871666</c:v>
                </c:pt>
                <c:pt idx="179">
                  <c:v>18.97106097495017</c:v>
                </c:pt>
                <c:pt idx="180">
                  <c:v>19.212624854436886</c:v>
                </c:pt>
                <c:pt idx="181">
                  <c:v>19.05070087151573</c:v>
                </c:pt>
                <c:pt idx="182">
                  <c:v>19.348778417007207</c:v>
                </c:pt>
                <c:pt idx="183">
                  <c:v>18.614914447867225</c:v>
                </c:pt>
                <c:pt idx="184">
                  <c:v>18.964737588881384</c:v>
                </c:pt>
                <c:pt idx="185">
                  <c:v>18.876299969853637</c:v>
                </c:pt>
                <c:pt idx="186">
                  <c:v>18.744274101110481</c:v>
                </c:pt>
                <c:pt idx="187">
                  <c:v>18.875241700356447</c:v>
                </c:pt>
                <c:pt idx="188">
                  <c:v>19.180152082258825</c:v>
                </c:pt>
                <c:pt idx="189">
                  <c:v>19.560046362623943</c:v>
                </c:pt>
                <c:pt idx="190">
                  <c:v>19.3389782831978</c:v>
                </c:pt>
                <c:pt idx="191">
                  <c:v>19.182314742175354</c:v>
                </c:pt>
                <c:pt idx="192">
                  <c:v>19.185916433420129</c:v>
                </c:pt>
                <c:pt idx="193">
                  <c:v>19.343180387293259</c:v>
                </c:pt>
                <c:pt idx="194">
                  <c:v>19.411915701657119</c:v>
                </c:pt>
                <c:pt idx="195">
                  <c:v>19.173857917021497</c:v>
                </c:pt>
                <c:pt idx="196">
                  <c:v>19.381505322974462</c:v>
                </c:pt>
                <c:pt idx="197">
                  <c:v>19.320626602480566</c:v>
                </c:pt>
                <c:pt idx="198">
                  <c:v>19.433061093671231</c:v>
                </c:pt>
                <c:pt idx="199">
                  <c:v>19.355561666449752</c:v>
                </c:pt>
                <c:pt idx="200">
                  <c:v>19.749399917860178</c:v>
                </c:pt>
                <c:pt idx="201">
                  <c:v>20.158293004776279</c:v>
                </c:pt>
                <c:pt idx="202">
                  <c:v>19.752380982055808</c:v>
                </c:pt>
                <c:pt idx="203">
                  <c:v>19.687318338122989</c:v>
                </c:pt>
                <c:pt idx="204">
                  <c:v>19.671651170506561</c:v>
                </c:pt>
                <c:pt idx="205">
                  <c:v>19.697964760296269</c:v>
                </c:pt>
                <c:pt idx="206">
                  <c:v>20.108213488009017</c:v>
                </c:pt>
                <c:pt idx="207">
                  <c:v>20.057037054277249</c:v>
                </c:pt>
                <c:pt idx="208">
                  <c:v>20.233249057904857</c:v>
                </c:pt>
                <c:pt idx="209">
                  <c:v>19.485644867646208</c:v>
                </c:pt>
                <c:pt idx="210">
                  <c:v>19.67564381137317</c:v>
                </c:pt>
                <c:pt idx="211">
                  <c:v>18.947933219468396</c:v>
                </c:pt>
                <c:pt idx="212">
                  <c:v>18.328044764712079</c:v>
                </c:pt>
                <c:pt idx="213">
                  <c:v>18.113361292256258</c:v>
                </c:pt>
                <c:pt idx="214">
                  <c:v>18.265991041486338</c:v>
                </c:pt>
                <c:pt idx="215">
                  <c:v>18.196922302674615</c:v>
                </c:pt>
                <c:pt idx="216">
                  <c:v>18.214084028449768</c:v>
                </c:pt>
                <c:pt idx="217">
                  <c:v>18.599310046570611</c:v>
                </c:pt>
                <c:pt idx="218">
                  <c:v>18.46869791628524</c:v>
                </c:pt>
                <c:pt idx="219">
                  <c:v>18.531260001965045</c:v>
                </c:pt>
                <c:pt idx="220">
                  <c:v>19.040585617779037</c:v>
                </c:pt>
                <c:pt idx="221">
                  <c:v>19.364356342432153</c:v>
                </c:pt>
                <c:pt idx="222">
                  <c:v>19.19092390348845</c:v>
                </c:pt>
                <c:pt idx="223">
                  <c:v>18.359785751417803</c:v>
                </c:pt>
                <c:pt idx="224">
                  <c:v>18.452988429036772</c:v>
                </c:pt>
                <c:pt idx="225">
                  <c:v>17.911177467868395</c:v>
                </c:pt>
                <c:pt idx="226">
                  <c:v>18.12076648044134</c:v>
                </c:pt>
                <c:pt idx="227">
                  <c:v>17.643526590542105</c:v>
                </c:pt>
                <c:pt idx="228">
                  <c:v>17.034060057081625</c:v>
                </c:pt>
                <c:pt idx="229">
                  <c:v>17.167284765935431</c:v>
                </c:pt>
                <c:pt idx="230">
                  <c:v>16.849388912770905</c:v>
                </c:pt>
                <c:pt idx="231">
                  <c:v>16.369818772179599</c:v>
                </c:pt>
                <c:pt idx="232">
                  <c:v>16.303748390290494</c:v>
                </c:pt>
                <c:pt idx="233">
                  <c:v>16.401286192348572</c:v>
                </c:pt>
                <c:pt idx="234">
                  <c:v>16.283120087755297</c:v>
                </c:pt>
                <c:pt idx="235">
                  <c:v>16.160998235331267</c:v>
                </c:pt>
                <c:pt idx="236">
                  <c:v>15.900991591536574</c:v>
                </c:pt>
                <c:pt idx="237">
                  <c:v>15.550583261640476</c:v>
                </c:pt>
                <c:pt idx="238">
                  <c:v>15.240687866405937</c:v>
                </c:pt>
                <c:pt idx="239">
                  <c:v>15.520291726137831</c:v>
                </c:pt>
                <c:pt idx="240">
                  <c:v>16.035009756659111</c:v>
                </c:pt>
                <c:pt idx="241">
                  <c:v>15.121557186123791</c:v>
                </c:pt>
                <c:pt idx="242">
                  <c:v>15.233768958053011</c:v>
                </c:pt>
                <c:pt idx="243">
                  <c:v>15.282996458070388</c:v>
                </c:pt>
                <c:pt idx="244">
                  <c:v>15.370460408562819</c:v>
                </c:pt>
                <c:pt idx="245">
                  <c:v>14.898571257511378</c:v>
                </c:pt>
                <c:pt idx="246">
                  <c:v>15.209153046226939</c:v>
                </c:pt>
                <c:pt idx="247">
                  <c:v>15.879481906414446</c:v>
                </c:pt>
                <c:pt idx="248">
                  <c:v>15.866030315437948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8-45EA-9564-2A549F4DA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464832"/>
        <c:axId val="2091472992"/>
      </c:lineChart>
      <c:dateAx>
        <c:axId val="209146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72992"/>
        <c:crosses val="autoZero"/>
        <c:auto val="1"/>
        <c:lblOffset val="100"/>
        <c:baseTimeUnit val="days"/>
      </c:dateAx>
      <c:valAx>
        <c:axId val="2091472992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6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</a:t>
            </a:r>
            <a:r>
              <a:rPr lang="en-GB" baseline="0"/>
              <a:t> vs Simulated Log Return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'Simulate Lognormal Model (SONY)'!$H$1</c:f>
              <c:strCache>
                <c:ptCount val="1"/>
                <c:pt idx="0">
                  <c:v>Bins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'Simulate Lognormal Model (SONY)'!$H$2:$H$22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(SONY)'!$H$2:$H$23</c:f>
              <c:numCache>
                <c:formatCode>General</c:formatCode>
                <c:ptCount val="22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4-49E1-BBE6-D9C90CB750D1}"/>
            </c:ext>
          </c:extLst>
        </c:ser>
        <c:ser>
          <c:idx val="1"/>
          <c:order val="1"/>
          <c:tx>
            <c:strRef>
              <c:f>'Simulate Lognormal Model (SONY)'!$I$1</c:f>
              <c:strCache>
                <c:ptCount val="1"/>
                <c:pt idx="0">
                  <c:v>Real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'Simulate Lognormal Model (SONY)'!$H$2:$H$22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(SONY)'!$I$2:$I$23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11</c:v>
                </c:pt>
                <c:pt idx="8">
                  <c:v>25</c:v>
                </c:pt>
                <c:pt idx="9">
                  <c:v>45</c:v>
                </c:pt>
                <c:pt idx="10">
                  <c:v>49</c:v>
                </c:pt>
                <c:pt idx="11">
                  <c:v>45</c:v>
                </c:pt>
                <c:pt idx="12">
                  <c:v>25</c:v>
                </c:pt>
                <c:pt idx="13">
                  <c:v>18</c:v>
                </c:pt>
                <c:pt idx="14">
                  <c:v>10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4-49E1-BBE6-D9C90CB750D1}"/>
            </c:ext>
          </c:extLst>
        </c:ser>
        <c:ser>
          <c:idx val="2"/>
          <c:order val="2"/>
          <c:tx>
            <c:strRef>
              <c:f>'Simulate Lognormal Model (SONY)'!$J$1</c:f>
              <c:strCache>
                <c:ptCount val="1"/>
                <c:pt idx="0">
                  <c:v>Simulated Frequency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'Simulate Lognormal Model (SONY)'!$H$2:$H$22</c:f>
              <c:numCache>
                <c:formatCode>General</c:formatCode>
                <c:ptCount val="21"/>
                <c:pt idx="0">
                  <c:v>-0.08</c:v>
                </c:pt>
                <c:pt idx="1">
                  <c:v>-7.1999999999999995E-2</c:v>
                </c:pt>
                <c:pt idx="2">
                  <c:v>-6.4000000000000001E-2</c:v>
                </c:pt>
                <c:pt idx="3">
                  <c:v>-5.6000000000000001E-2</c:v>
                </c:pt>
                <c:pt idx="4">
                  <c:v>-4.8000000000000001E-2</c:v>
                </c:pt>
                <c:pt idx="5">
                  <c:v>-0.04</c:v>
                </c:pt>
                <c:pt idx="6">
                  <c:v>-3.2000000000000001E-2</c:v>
                </c:pt>
                <c:pt idx="7">
                  <c:v>-2.4E-2</c:v>
                </c:pt>
                <c:pt idx="8">
                  <c:v>-1.59999999999999E-2</c:v>
                </c:pt>
                <c:pt idx="9">
                  <c:v>-7.9999999999998996E-3</c:v>
                </c:pt>
                <c:pt idx="10">
                  <c:v>0</c:v>
                </c:pt>
                <c:pt idx="11">
                  <c:v>8.0000000000001008E-3</c:v>
                </c:pt>
                <c:pt idx="12">
                  <c:v>1.6000000000000101E-2</c:v>
                </c:pt>
                <c:pt idx="13">
                  <c:v>2.4E-2</c:v>
                </c:pt>
                <c:pt idx="14">
                  <c:v>3.2000000000000001E-2</c:v>
                </c:pt>
                <c:pt idx="15">
                  <c:v>0.04</c:v>
                </c:pt>
                <c:pt idx="16">
                  <c:v>4.8000000000000001E-2</c:v>
                </c:pt>
                <c:pt idx="17">
                  <c:v>5.6000000000000001E-2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0.08</c:v>
                </c:pt>
              </c:numCache>
            </c:numRef>
          </c:cat>
          <c:val>
            <c:numRef>
              <c:f>'Simulate Lognormal Model (SONY)'!$J$2:$J$23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9</c:v>
                </c:pt>
                <c:pt idx="7">
                  <c:v>13</c:v>
                </c:pt>
                <c:pt idx="8">
                  <c:v>23</c:v>
                </c:pt>
                <c:pt idx="9">
                  <c:v>29</c:v>
                </c:pt>
                <c:pt idx="10">
                  <c:v>41</c:v>
                </c:pt>
                <c:pt idx="11">
                  <c:v>43</c:v>
                </c:pt>
                <c:pt idx="12">
                  <c:v>33</c:v>
                </c:pt>
                <c:pt idx="13">
                  <c:v>29</c:v>
                </c:pt>
                <c:pt idx="14">
                  <c:v>10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4-49E1-BBE6-D9C90CB75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17871"/>
        <c:axId val="115818351"/>
      </c:barChart>
      <c:catAx>
        <c:axId val="11581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</a:t>
                </a:r>
                <a:r>
                  <a:rPr lang="en-GB" baseline="0"/>
                  <a:t> Return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8351"/>
        <c:crosses val="autoZero"/>
        <c:auto val="1"/>
        <c:lblAlgn val="ctr"/>
        <c:lblOffset val="100"/>
        <c:noMultiLvlLbl val="0"/>
      </c:catAx>
      <c:valAx>
        <c:axId val="11581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384000</xdr:colOff>
      <xdr:row>15</xdr:row>
      <xdr:rowOff>162200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FC2D0D-D30D-4A45-9EB0-3149BB42C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171450</xdr:rowOff>
    </xdr:from>
    <xdr:to>
      <xdr:col>10</xdr:col>
      <xdr:colOff>384000</xdr:colOff>
      <xdr:row>32</xdr:row>
      <xdr:rowOff>159025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1035A40B-D06C-4882-B1F4-3511040CE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28575</xdr:rowOff>
    </xdr:from>
    <xdr:to>
      <xdr:col>10</xdr:col>
      <xdr:colOff>384000</xdr:colOff>
      <xdr:row>50</xdr:row>
      <xdr:rowOff>6625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6032CD87-B40D-4B83-BAFF-7EFCBF0DC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28576</xdr:rowOff>
    </xdr:from>
    <xdr:to>
      <xdr:col>10</xdr:col>
      <xdr:colOff>384001</xdr:colOff>
      <xdr:row>16</xdr:row>
      <xdr:rowOff>6626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2B37E-3393-4133-BBB8-C9E0CE7A7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9525</xdr:rowOff>
    </xdr:from>
    <xdr:to>
      <xdr:col>10</xdr:col>
      <xdr:colOff>384000</xdr:colOff>
      <xdr:row>49</xdr:row>
      <xdr:rowOff>171725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EFBAA80C-39EF-4883-9C5C-788224E30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161925</xdr:rowOff>
    </xdr:from>
    <xdr:to>
      <xdr:col>10</xdr:col>
      <xdr:colOff>384000</xdr:colOff>
      <xdr:row>32</xdr:row>
      <xdr:rowOff>139975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15A67B-C265-4386-A925-11ECC4FCC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26987</xdr:colOff>
      <xdr:row>6</xdr:row>
      <xdr:rowOff>7936</xdr:rowOff>
    </xdr:from>
    <xdr:to>
      <xdr:col>21</xdr:col>
      <xdr:colOff>29987</xdr:colOff>
      <xdr:row>28</xdr:row>
      <xdr:rowOff>29816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F56FB5E4-78C7-8414-ECE3-8C8549225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598581</xdr:colOff>
      <xdr:row>28</xdr:row>
      <xdr:rowOff>56496</xdr:rowOff>
    </xdr:from>
    <xdr:to>
      <xdr:col>11</xdr:col>
      <xdr:colOff>280052</xdr:colOff>
      <xdr:row>43</xdr:row>
      <xdr:rowOff>74284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56D060BB-978C-4601-F533-6E4217C40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28575</xdr:rowOff>
    </xdr:from>
    <xdr:to>
      <xdr:col>21</xdr:col>
      <xdr:colOff>488775</xdr:colOff>
      <xdr:row>28</xdr:row>
      <xdr:rowOff>7125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2F86EE02-09B0-6A4C-F6D2-589D5B4A9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530225</xdr:colOff>
      <xdr:row>29</xdr:row>
      <xdr:rowOff>1587</xdr:rowOff>
    </xdr:from>
    <xdr:to>
      <xdr:col>12</xdr:col>
      <xdr:colOff>7375</xdr:colOff>
      <xdr:row>43</xdr:row>
      <xdr:rowOff>168787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DE85039F-531D-0690-AF16-D5FCEA72F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610</xdr:colOff>
      <xdr:row>6</xdr:row>
      <xdr:rowOff>10866</xdr:rowOff>
    </xdr:from>
    <xdr:to>
      <xdr:col>21</xdr:col>
      <xdr:colOff>51235</xdr:colOff>
      <xdr:row>27</xdr:row>
      <xdr:rowOff>164041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319C9D3-E3EE-C6D0-3496-9F4F711E0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9526</xdr:colOff>
      <xdr:row>28</xdr:row>
      <xdr:rowOff>171448</xdr:rowOff>
    </xdr:from>
    <xdr:to>
      <xdr:col>12</xdr:col>
      <xdr:colOff>1</xdr:colOff>
      <xdr:row>43</xdr:row>
      <xdr:rowOff>161924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BFEE970-38BB-A968-23F1-25E794AA6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l/MTAM_CW_EXCEL.xlsx" TargetMode="External"/><Relationship Id="rId2" Type="http://schemas.openxmlformats.org/officeDocument/2006/relationships/externalLinkPath" Target="https://qmulprod-my.sharepoint.com/personal/ah22465_qmul_ac_uk/Documents/MTAM%20CW/Final/MTAM_CW_EXCEL.xlsx" TargetMode="External"/><Relationship Id="rId1" Type="http://schemas.openxmlformats.org/officeDocument/2006/relationships/externalLinkPath" Target="/personal/ah22465_qmul_ac_uk/Documents/MTAM%20CW/Final/MTAM_CW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ces"/>
      <sheetName val="Returns"/>
      <sheetName val="Statistics"/>
      <sheetName val="Portfolio Weights Returns"/>
      <sheetName val="Portfolio Weights Std"/>
      <sheetName val="Plot"/>
      <sheetName val="Analytical MVP"/>
      <sheetName val="Efficient Frontier (Only)"/>
      <sheetName val="Lagrangian"/>
    </sheetNames>
    <sheetDataSet>
      <sheetData sheetId="0">
        <row r="2">
          <cell r="B2">
            <v>381.87</v>
          </cell>
          <cell r="C2">
            <v>149.68</v>
          </cell>
          <cell r="D2">
            <v>20.22</v>
          </cell>
        </row>
        <row r="3">
          <cell r="A3">
            <v>46100</v>
          </cell>
          <cell r="B3">
            <v>389.02</v>
          </cell>
          <cell r="C3">
            <v>155.52000000000001</v>
          </cell>
          <cell r="D3">
            <v>20.62</v>
          </cell>
        </row>
        <row r="4">
          <cell r="A4">
            <v>46099</v>
          </cell>
          <cell r="B4">
            <v>391.79</v>
          </cell>
          <cell r="C4">
            <v>152.9</v>
          </cell>
          <cell r="D4">
            <v>20.38</v>
          </cell>
        </row>
        <row r="5">
          <cell r="A5">
            <v>46098</v>
          </cell>
          <cell r="B5">
            <v>399.41</v>
          </cell>
          <cell r="C5">
            <v>154.69</v>
          </cell>
          <cell r="D5">
            <v>20.92</v>
          </cell>
        </row>
        <row r="6">
          <cell r="A6">
            <v>46097</v>
          </cell>
          <cell r="B6">
            <v>399.95</v>
          </cell>
          <cell r="C6">
            <v>155.97</v>
          </cell>
          <cell r="D6">
            <v>21.65</v>
          </cell>
        </row>
        <row r="7">
          <cell r="A7">
            <v>46094</v>
          </cell>
          <cell r="B7">
            <v>395.55</v>
          </cell>
          <cell r="C7">
            <v>155.11000000000001</v>
          </cell>
          <cell r="D7">
            <v>21.49</v>
          </cell>
        </row>
        <row r="8">
          <cell r="A8">
            <v>46093</v>
          </cell>
          <cell r="B8">
            <v>401.86</v>
          </cell>
          <cell r="C8">
            <v>159.16</v>
          </cell>
          <cell r="D8">
            <v>21.46</v>
          </cell>
        </row>
        <row r="9">
          <cell r="A9">
            <v>46092</v>
          </cell>
          <cell r="B9">
            <v>404.88</v>
          </cell>
          <cell r="C9">
            <v>163.12</v>
          </cell>
          <cell r="D9">
            <v>21.49</v>
          </cell>
        </row>
        <row r="10">
          <cell r="A10">
            <v>46091</v>
          </cell>
          <cell r="B10">
            <v>405.76</v>
          </cell>
          <cell r="C10">
            <v>149.4</v>
          </cell>
          <cell r="D10">
            <v>21.68</v>
          </cell>
        </row>
        <row r="11">
          <cell r="A11">
            <v>46090</v>
          </cell>
          <cell r="B11">
            <v>409.41</v>
          </cell>
          <cell r="C11">
            <v>151.56</v>
          </cell>
          <cell r="D11">
            <v>21.62</v>
          </cell>
        </row>
        <row r="12">
          <cell r="A12">
            <v>46087</v>
          </cell>
          <cell r="B12">
            <v>408.96</v>
          </cell>
          <cell r="C12">
            <v>152.96</v>
          </cell>
          <cell r="D12">
            <v>21.48</v>
          </cell>
        </row>
        <row r="13">
          <cell r="A13">
            <v>46086</v>
          </cell>
          <cell r="B13">
            <v>410.68</v>
          </cell>
          <cell r="C13">
            <v>154.79</v>
          </cell>
          <cell r="D13">
            <v>21.37</v>
          </cell>
        </row>
        <row r="14">
          <cell r="A14">
            <v>46085</v>
          </cell>
          <cell r="B14">
            <v>405.2</v>
          </cell>
          <cell r="C14">
            <v>152.37</v>
          </cell>
          <cell r="D14">
            <v>21.99</v>
          </cell>
        </row>
        <row r="15">
          <cell r="A15">
            <v>46084</v>
          </cell>
          <cell r="B15">
            <v>403.93</v>
          </cell>
          <cell r="C15">
            <v>149.01</v>
          </cell>
          <cell r="D15">
            <v>21.58</v>
          </cell>
        </row>
        <row r="16">
          <cell r="A16">
            <v>46083</v>
          </cell>
          <cell r="B16">
            <v>398.55</v>
          </cell>
          <cell r="C16">
            <v>149.25</v>
          </cell>
          <cell r="D16">
            <v>22.69</v>
          </cell>
        </row>
        <row r="17">
          <cell r="A17">
            <v>46080</v>
          </cell>
          <cell r="B17">
            <v>392.74</v>
          </cell>
          <cell r="C17">
            <v>145.4</v>
          </cell>
          <cell r="D17">
            <v>23.06</v>
          </cell>
        </row>
        <row r="18">
          <cell r="A18">
            <v>46079</v>
          </cell>
          <cell r="B18">
            <v>401.72</v>
          </cell>
          <cell r="C18">
            <v>150.31</v>
          </cell>
          <cell r="D18">
            <v>22.59</v>
          </cell>
        </row>
        <row r="19">
          <cell r="A19">
            <v>46078</v>
          </cell>
          <cell r="B19">
            <v>400.6</v>
          </cell>
          <cell r="C19">
            <v>147.88999999999999</v>
          </cell>
          <cell r="D19">
            <v>21.41</v>
          </cell>
        </row>
        <row r="20">
          <cell r="A20">
            <v>46077</v>
          </cell>
          <cell r="B20">
            <v>389</v>
          </cell>
          <cell r="C20">
            <v>146.13999999999999</v>
          </cell>
          <cell r="D20">
            <v>21.6</v>
          </cell>
        </row>
        <row r="21">
          <cell r="A21">
            <v>46076</v>
          </cell>
          <cell r="B21">
            <v>384.47</v>
          </cell>
          <cell r="C21">
            <v>141.31</v>
          </cell>
          <cell r="D21">
            <v>21.67</v>
          </cell>
        </row>
        <row r="22">
          <cell r="A22">
            <v>46073</v>
          </cell>
          <cell r="B22">
            <v>397.23</v>
          </cell>
          <cell r="C22">
            <v>148.08000000000001</v>
          </cell>
          <cell r="D22">
            <v>21.93</v>
          </cell>
        </row>
        <row r="23">
          <cell r="A23">
            <v>46072</v>
          </cell>
          <cell r="B23">
            <v>398.46</v>
          </cell>
          <cell r="C23">
            <v>156.54</v>
          </cell>
          <cell r="D23">
            <v>22.25</v>
          </cell>
        </row>
        <row r="24">
          <cell r="A24">
            <v>46071</v>
          </cell>
          <cell r="B24">
            <v>399.6</v>
          </cell>
          <cell r="C24">
            <v>156.16999999999999</v>
          </cell>
          <cell r="D24">
            <v>22.5</v>
          </cell>
        </row>
        <row r="25">
          <cell r="A25">
            <v>46070</v>
          </cell>
          <cell r="B25">
            <v>396.86</v>
          </cell>
          <cell r="C25">
            <v>153.97</v>
          </cell>
          <cell r="D25">
            <v>22.82</v>
          </cell>
        </row>
        <row r="26">
          <cell r="A26">
            <v>46066</v>
          </cell>
          <cell r="B26">
            <v>401.32</v>
          </cell>
          <cell r="C26">
            <v>160.13999999999999</v>
          </cell>
          <cell r="D26">
            <v>23.19</v>
          </cell>
        </row>
        <row r="27">
          <cell r="A27">
            <v>46065</v>
          </cell>
          <cell r="B27">
            <v>401.84</v>
          </cell>
          <cell r="C27">
            <v>156.47999999999999</v>
          </cell>
          <cell r="D27">
            <v>22.87</v>
          </cell>
        </row>
        <row r="28">
          <cell r="A28">
            <v>46064</v>
          </cell>
          <cell r="B28">
            <v>404.37</v>
          </cell>
          <cell r="C28">
            <v>157.16</v>
          </cell>
          <cell r="D28">
            <v>22.95</v>
          </cell>
        </row>
        <row r="29">
          <cell r="A29">
            <v>46063</v>
          </cell>
          <cell r="B29">
            <v>413.27</v>
          </cell>
          <cell r="C29">
            <v>159.88999999999999</v>
          </cell>
          <cell r="D29">
            <v>22.83</v>
          </cell>
        </row>
        <row r="30">
          <cell r="A30">
            <v>46062</v>
          </cell>
          <cell r="B30">
            <v>413.6</v>
          </cell>
          <cell r="C30">
            <v>156.59</v>
          </cell>
          <cell r="D30">
            <v>22.33</v>
          </cell>
        </row>
        <row r="31">
          <cell r="A31">
            <v>46059</v>
          </cell>
          <cell r="B31">
            <v>401.14</v>
          </cell>
          <cell r="C31">
            <v>142.82</v>
          </cell>
          <cell r="D31">
            <v>22.26</v>
          </cell>
        </row>
        <row r="32">
          <cell r="A32">
            <v>46058</v>
          </cell>
          <cell r="B32">
            <v>393.67</v>
          </cell>
          <cell r="C32">
            <v>136.47999999999999</v>
          </cell>
          <cell r="D32">
            <v>21.24</v>
          </cell>
        </row>
        <row r="33">
          <cell r="A33">
            <v>46057</v>
          </cell>
          <cell r="B33">
            <v>414.19</v>
          </cell>
          <cell r="C33">
            <v>146.66999999999999</v>
          </cell>
          <cell r="D33">
            <v>21.91</v>
          </cell>
        </row>
        <row r="34">
          <cell r="A34">
            <v>46056</v>
          </cell>
          <cell r="B34">
            <v>411.21</v>
          </cell>
          <cell r="C34">
            <v>154.66999999999999</v>
          </cell>
          <cell r="D34">
            <v>21.93</v>
          </cell>
        </row>
        <row r="35">
          <cell r="A35">
            <v>46055</v>
          </cell>
          <cell r="B35">
            <v>423.37</v>
          </cell>
          <cell r="C35">
            <v>160.06</v>
          </cell>
          <cell r="D35">
            <v>22.12</v>
          </cell>
        </row>
        <row r="36">
          <cell r="A36">
            <v>46052</v>
          </cell>
          <cell r="B36">
            <v>430.29</v>
          </cell>
          <cell r="C36">
            <v>164.58</v>
          </cell>
          <cell r="D36">
            <v>22.1</v>
          </cell>
        </row>
        <row r="37">
          <cell r="A37">
            <v>46051</v>
          </cell>
          <cell r="B37">
            <v>433.5</v>
          </cell>
          <cell r="C37">
            <v>169.01</v>
          </cell>
          <cell r="D37">
            <v>22.29</v>
          </cell>
        </row>
        <row r="38">
          <cell r="A38">
            <v>46050</v>
          </cell>
          <cell r="B38">
            <v>481.63</v>
          </cell>
          <cell r="C38">
            <v>172.8</v>
          </cell>
          <cell r="D38">
            <v>22.28</v>
          </cell>
        </row>
        <row r="39">
          <cell r="A39">
            <v>46049</v>
          </cell>
          <cell r="B39">
            <v>480.58</v>
          </cell>
          <cell r="C39">
            <v>174.9</v>
          </cell>
          <cell r="D39">
            <v>22.6</v>
          </cell>
        </row>
        <row r="40">
          <cell r="A40">
            <v>46048</v>
          </cell>
          <cell r="B40">
            <v>470.28</v>
          </cell>
          <cell r="C40">
            <v>182.44</v>
          </cell>
          <cell r="D40">
            <v>22.96</v>
          </cell>
        </row>
        <row r="41">
          <cell r="A41">
            <v>46045</v>
          </cell>
          <cell r="B41">
            <v>465.95</v>
          </cell>
          <cell r="C41">
            <v>177.16</v>
          </cell>
          <cell r="D41">
            <v>23.09</v>
          </cell>
        </row>
        <row r="42">
          <cell r="A42">
            <v>46044</v>
          </cell>
          <cell r="B42">
            <v>451.14</v>
          </cell>
          <cell r="C42">
            <v>178.18</v>
          </cell>
          <cell r="D42">
            <v>22.96</v>
          </cell>
        </row>
        <row r="43">
          <cell r="A43">
            <v>46043</v>
          </cell>
          <cell r="B43">
            <v>444.11</v>
          </cell>
          <cell r="C43">
            <v>173.88</v>
          </cell>
          <cell r="D43">
            <v>23.68</v>
          </cell>
        </row>
        <row r="44">
          <cell r="A44">
            <v>46042</v>
          </cell>
          <cell r="B44">
            <v>454.52</v>
          </cell>
          <cell r="C44">
            <v>179.92</v>
          </cell>
          <cell r="D44">
            <v>23.72</v>
          </cell>
        </row>
        <row r="45">
          <cell r="A45">
            <v>46038</v>
          </cell>
          <cell r="B45">
            <v>459.86</v>
          </cell>
          <cell r="C45">
            <v>191.09</v>
          </cell>
          <cell r="D45">
            <v>24.05</v>
          </cell>
        </row>
        <row r="46">
          <cell r="A46">
            <v>46037</v>
          </cell>
          <cell r="B46">
            <v>456.66</v>
          </cell>
          <cell r="C46">
            <v>189.85</v>
          </cell>
          <cell r="D46">
            <v>24.12</v>
          </cell>
        </row>
        <row r="47">
          <cell r="A47">
            <v>46036</v>
          </cell>
          <cell r="B47">
            <v>459.38</v>
          </cell>
          <cell r="C47">
            <v>193.61</v>
          </cell>
          <cell r="D47">
            <v>24.09</v>
          </cell>
        </row>
        <row r="48">
          <cell r="A48">
            <v>46035</v>
          </cell>
          <cell r="B48">
            <v>470.67</v>
          </cell>
          <cell r="C48">
            <v>202.29</v>
          </cell>
          <cell r="D48">
            <v>24.41</v>
          </cell>
        </row>
        <row r="49">
          <cell r="A49">
            <v>46034</v>
          </cell>
          <cell r="B49">
            <v>477.18</v>
          </cell>
          <cell r="C49">
            <v>204.68</v>
          </cell>
          <cell r="D49">
            <v>25.18</v>
          </cell>
        </row>
        <row r="50">
          <cell r="A50">
            <v>46031</v>
          </cell>
          <cell r="B50">
            <v>479.28</v>
          </cell>
          <cell r="C50">
            <v>198.52</v>
          </cell>
          <cell r="D50">
            <v>25.04</v>
          </cell>
        </row>
        <row r="51">
          <cell r="A51">
            <v>46030</v>
          </cell>
          <cell r="B51">
            <v>478.11</v>
          </cell>
          <cell r="C51">
            <v>189.65</v>
          </cell>
          <cell r="D51">
            <v>25.25</v>
          </cell>
        </row>
        <row r="52">
          <cell r="A52">
            <v>46029</v>
          </cell>
          <cell r="B52">
            <v>483.47</v>
          </cell>
          <cell r="C52">
            <v>192.84</v>
          </cell>
          <cell r="D52">
            <v>25.12</v>
          </cell>
        </row>
        <row r="53">
          <cell r="A53">
            <v>46028</v>
          </cell>
          <cell r="B53">
            <v>478.51</v>
          </cell>
          <cell r="C53">
            <v>193.75</v>
          </cell>
          <cell r="D53">
            <v>25.74</v>
          </cell>
        </row>
        <row r="54">
          <cell r="A54">
            <v>46027</v>
          </cell>
          <cell r="B54">
            <v>472.85</v>
          </cell>
          <cell r="C54">
            <v>192.59</v>
          </cell>
          <cell r="D54">
            <v>25.83</v>
          </cell>
        </row>
        <row r="55">
          <cell r="A55">
            <v>46024</v>
          </cell>
          <cell r="B55">
            <v>472.94</v>
          </cell>
          <cell r="C55">
            <v>195.71</v>
          </cell>
          <cell r="D55">
            <v>25.88</v>
          </cell>
        </row>
        <row r="56">
          <cell r="A56">
            <v>46022</v>
          </cell>
          <cell r="B56">
            <v>483.62</v>
          </cell>
          <cell r="C56">
            <v>194.91</v>
          </cell>
          <cell r="D56">
            <v>25.6</v>
          </cell>
        </row>
        <row r="57">
          <cell r="A57">
            <v>46021</v>
          </cell>
          <cell r="B57">
            <v>487.48</v>
          </cell>
          <cell r="C57">
            <v>197.21</v>
          </cell>
          <cell r="D57">
            <v>25.72</v>
          </cell>
        </row>
        <row r="58">
          <cell r="A58">
            <v>46020</v>
          </cell>
          <cell r="B58">
            <v>487.1</v>
          </cell>
          <cell r="C58">
            <v>195.38</v>
          </cell>
          <cell r="D58">
            <v>25.77</v>
          </cell>
        </row>
        <row r="59">
          <cell r="A59">
            <v>46017</v>
          </cell>
          <cell r="B59">
            <v>487.71</v>
          </cell>
          <cell r="C59">
            <v>197.99</v>
          </cell>
          <cell r="D59">
            <v>25.82</v>
          </cell>
        </row>
        <row r="60">
          <cell r="A60">
            <v>46015</v>
          </cell>
          <cell r="B60">
            <v>488.02</v>
          </cell>
          <cell r="C60">
            <v>197.49</v>
          </cell>
          <cell r="D60">
            <v>25.7</v>
          </cell>
        </row>
        <row r="61">
          <cell r="A61">
            <v>46014</v>
          </cell>
          <cell r="B61">
            <v>486.85</v>
          </cell>
          <cell r="C61">
            <v>195.34</v>
          </cell>
          <cell r="D61">
            <v>25.76</v>
          </cell>
        </row>
        <row r="62">
          <cell r="A62">
            <v>46013</v>
          </cell>
          <cell r="B62">
            <v>484.92</v>
          </cell>
          <cell r="C62">
            <v>198.38</v>
          </cell>
          <cell r="D62">
            <v>25.23</v>
          </cell>
        </row>
        <row r="63">
          <cell r="A63">
            <v>46010</v>
          </cell>
          <cell r="B63">
            <v>485.92</v>
          </cell>
          <cell r="C63">
            <v>191.97</v>
          </cell>
          <cell r="D63">
            <v>25.4</v>
          </cell>
        </row>
        <row r="64">
          <cell r="A64">
            <v>46009</v>
          </cell>
          <cell r="B64">
            <v>483.98</v>
          </cell>
          <cell r="C64">
            <v>180.03</v>
          </cell>
          <cell r="D64">
            <v>25.91</v>
          </cell>
        </row>
        <row r="65">
          <cell r="A65">
            <v>46008</v>
          </cell>
          <cell r="B65">
            <v>476.12</v>
          </cell>
          <cell r="C65">
            <v>178.46</v>
          </cell>
          <cell r="D65">
            <v>25.96</v>
          </cell>
        </row>
        <row r="66">
          <cell r="A66">
            <v>46007</v>
          </cell>
          <cell r="B66">
            <v>476.39</v>
          </cell>
          <cell r="C66">
            <v>188.65</v>
          </cell>
          <cell r="D66">
            <v>26.45</v>
          </cell>
        </row>
        <row r="67">
          <cell r="A67">
            <v>46006</v>
          </cell>
          <cell r="B67">
            <v>474.82</v>
          </cell>
          <cell r="C67">
            <v>184.92</v>
          </cell>
          <cell r="D67">
            <v>26.64</v>
          </cell>
        </row>
        <row r="68">
          <cell r="A68">
            <v>46003</v>
          </cell>
          <cell r="B68">
            <v>478.53</v>
          </cell>
          <cell r="C68">
            <v>189.97</v>
          </cell>
          <cell r="D68">
            <v>26.77</v>
          </cell>
        </row>
        <row r="69">
          <cell r="A69">
            <v>46002</v>
          </cell>
          <cell r="B69">
            <v>483.47</v>
          </cell>
          <cell r="C69">
            <v>198.85</v>
          </cell>
          <cell r="D69">
            <v>26.73</v>
          </cell>
        </row>
        <row r="70">
          <cell r="A70">
            <v>46001</v>
          </cell>
          <cell r="B70">
            <v>478.56</v>
          </cell>
          <cell r="C70">
            <v>223.01</v>
          </cell>
          <cell r="D70">
            <v>27.08</v>
          </cell>
        </row>
        <row r="71">
          <cell r="A71">
            <v>46000</v>
          </cell>
          <cell r="B71">
            <v>492.02</v>
          </cell>
          <cell r="C71">
            <v>221.53</v>
          </cell>
          <cell r="D71">
            <v>27.56</v>
          </cell>
        </row>
        <row r="72">
          <cell r="A72">
            <v>45999</v>
          </cell>
          <cell r="B72">
            <v>491.02</v>
          </cell>
          <cell r="C72">
            <v>220.54</v>
          </cell>
          <cell r="D72">
            <v>27.55</v>
          </cell>
        </row>
        <row r="73">
          <cell r="A73">
            <v>45996</v>
          </cell>
          <cell r="B73">
            <v>483.16</v>
          </cell>
          <cell r="C73">
            <v>217.58</v>
          </cell>
          <cell r="D73">
            <v>28.03</v>
          </cell>
        </row>
        <row r="74">
          <cell r="A74">
            <v>45995</v>
          </cell>
          <cell r="B74">
            <v>480.84</v>
          </cell>
          <cell r="C74">
            <v>214.33</v>
          </cell>
          <cell r="D74">
            <v>28.29</v>
          </cell>
        </row>
        <row r="75">
          <cell r="A75">
            <v>45994</v>
          </cell>
          <cell r="B75">
            <v>477.73</v>
          </cell>
          <cell r="C75">
            <v>207.73</v>
          </cell>
          <cell r="D75">
            <v>28.46</v>
          </cell>
        </row>
        <row r="76">
          <cell r="A76">
            <v>45993</v>
          </cell>
          <cell r="B76">
            <v>490</v>
          </cell>
          <cell r="C76">
            <v>201.1</v>
          </cell>
          <cell r="D76">
            <v>28.57</v>
          </cell>
        </row>
        <row r="77">
          <cell r="A77">
            <v>45992</v>
          </cell>
          <cell r="B77">
            <v>486.74</v>
          </cell>
          <cell r="C77">
            <v>200.94</v>
          </cell>
          <cell r="D77">
            <v>28.78</v>
          </cell>
        </row>
        <row r="78">
          <cell r="A78">
            <v>45989</v>
          </cell>
          <cell r="B78">
            <v>492.01</v>
          </cell>
          <cell r="C78">
            <v>201.95</v>
          </cell>
          <cell r="D78">
            <v>29.35</v>
          </cell>
        </row>
        <row r="79">
          <cell r="A79">
            <v>45987</v>
          </cell>
          <cell r="B79">
            <v>485.5</v>
          </cell>
          <cell r="C79">
            <v>204.96</v>
          </cell>
          <cell r="D79">
            <v>29.08</v>
          </cell>
        </row>
        <row r="80">
          <cell r="A80">
            <v>45986</v>
          </cell>
          <cell r="B80">
            <v>476.99</v>
          </cell>
          <cell r="C80">
            <v>197.03</v>
          </cell>
          <cell r="D80">
            <v>28.6</v>
          </cell>
        </row>
        <row r="81">
          <cell r="A81">
            <v>45985</v>
          </cell>
          <cell r="B81">
            <v>474</v>
          </cell>
          <cell r="C81">
            <v>200.28</v>
          </cell>
          <cell r="D81">
            <v>29.01</v>
          </cell>
        </row>
        <row r="82">
          <cell r="A82">
            <v>45982</v>
          </cell>
          <cell r="B82">
            <v>472.12</v>
          </cell>
          <cell r="C82">
            <v>198.76</v>
          </cell>
          <cell r="D82">
            <v>28.53</v>
          </cell>
        </row>
        <row r="83">
          <cell r="A83">
            <v>45981</v>
          </cell>
          <cell r="B83">
            <v>478.43</v>
          </cell>
          <cell r="C83">
            <v>210.69</v>
          </cell>
          <cell r="D83">
            <v>27.75</v>
          </cell>
        </row>
        <row r="84">
          <cell r="A84">
            <v>45980</v>
          </cell>
          <cell r="B84">
            <v>487.12</v>
          </cell>
          <cell r="C84">
            <v>225.53</v>
          </cell>
          <cell r="D84">
            <v>28.55</v>
          </cell>
        </row>
        <row r="85">
          <cell r="A85">
            <v>45979</v>
          </cell>
          <cell r="B85">
            <v>493.79</v>
          </cell>
          <cell r="C85">
            <v>220.49</v>
          </cell>
          <cell r="D85">
            <v>28.67</v>
          </cell>
        </row>
        <row r="86">
          <cell r="A86">
            <v>45978</v>
          </cell>
          <cell r="B86">
            <v>507.49</v>
          </cell>
          <cell r="C86">
            <v>219.86</v>
          </cell>
          <cell r="D86">
            <v>29.09</v>
          </cell>
        </row>
        <row r="87">
          <cell r="A87">
            <v>45975</v>
          </cell>
          <cell r="B87">
            <v>510.18</v>
          </cell>
          <cell r="C87">
            <v>222.85</v>
          </cell>
          <cell r="D87">
            <v>30.12</v>
          </cell>
        </row>
        <row r="88">
          <cell r="A88">
            <v>45974</v>
          </cell>
          <cell r="B88">
            <v>503.29</v>
          </cell>
          <cell r="C88">
            <v>217.57</v>
          </cell>
          <cell r="D88">
            <v>29.44</v>
          </cell>
        </row>
        <row r="89">
          <cell r="A89">
            <v>45973</v>
          </cell>
          <cell r="B89">
            <v>511.14</v>
          </cell>
          <cell r="C89">
            <v>226.99</v>
          </cell>
          <cell r="D89">
            <v>30.26</v>
          </cell>
        </row>
        <row r="90">
          <cell r="A90">
            <v>45972</v>
          </cell>
          <cell r="B90">
            <v>508.68</v>
          </cell>
          <cell r="C90">
            <v>236.15</v>
          </cell>
          <cell r="D90">
            <v>29.16</v>
          </cell>
        </row>
        <row r="91">
          <cell r="A91">
            <v>45971</v>
          </cell>
          <cell r="B91">
            <v>506</v>
          </cell>
          <cell r="C91">
            <v>240.83</v>
          </cell>
          <cell r="D91">
            <v>27.97</v>
          </cell>
        </row>
        <row r="92">
          <cell r="A92">
            <v>45968</v>
          </cell>
          <cell r="B92">
            <v>496.82</v>
          </cell>
          <cell r="C92">
            <v>239.26</v>
          </cell>
          <cell r="D92">
            <v>27.71</v>
          </cell>
        </row>
        <row r="93">
          <cell r="A93">
            <v>45967</v>
          </cell>
          <cell r="B93">
            <v>497.1</v>
          </cell>
          <cell r="C93">
            <v>243.8</v>
          </cell>
          <cell r="D93">
            <v>28.29</v>
          </cell>
        </row>
        <row r="94">
          <cell r="A94">
            <v>45966</v>
          </cell>
          <cell r="B94">
            <v>507.16</v>
          </cell>
          <cell r="C94">
            <v>250.31</v>
          </cell>
          <cell r="D94">
            <v>28.08</v>
          </cell>
        </row>
        <row r="95">
          <cell r="A95">
            <v>45965</v>
          </cell>
          <cell r="B95">
            <v>514.33000000000004</v>
          </cell>
          <cell r="C95">
            <v>248.17</v>
          </cell>
          <cell r="D95">
            <v>27.91</v>
          </cell>
        </row>
        <row r="96">
          <cell r="A96">
            <v>45964</v>
          </cell>
          <cell r="B96">
            <v>517.03</v>
          </cell>
          <cell r="C96">
            <v>257.85000000000002</v>
          </cell>
          <cell r="D96">
            <v>27.95</v>
          </cell>
        </row>
        <row r="97">
          <cell r="A97">
            <v>45961</v>
          </cell>
          <cell r="B97">
            <v>517.80999999999995</v>
          </cell>
          <cell r="C97">
            <v>262.61</v>
          </cell>
          <cell r="D97">
            <v>27.89</v>
          </cell>
        </row>
        <row r="98">
          <cell r="A98">
            <v>45960</v>
          </cell>
          <cell r="B98">
            <v>525.76</v>
          </cell>
          <cell r="C98">
            <v>256.89</v>
          </cell>
          <cell r="D98">
            <v>27.75</v>
          </cell>
        </row>
        <row r="99">
          <cell r="A99">
            <v>45959</v>
          </cell>
          <cell r="B99">
            <v>541.54999999999995</v>
          </cell>
          <cell r="C99">
            <v>275.3</v>
          </cell>
          <cell r="D99">
            <v>28.18</v>
          </cell>
        </row>
        <row r="100">
          <cell r="A100">
            <v>45958</v>
          </cell>
          <cell r="B100">
            <v>542.07000000000005</v>
          </cell>
          <cell r="C100">
            <v>280.83</v>
          </cell>
          <cell r="D100">
            <v>28.99</v>
          </cell>
        </row>
        <row r="101">
          <cell r="A101">
            <v>45957</v>
          </cell>
          <cell r="B101">
            <v>531.52</v>
          </cell>
          <cell r="C101">
            <v>281.39999999999998</v>
          </cell>
          <cell r="D101">
            <v>28.7</v>
          </cell>
        </row>
        <row r="102">
          <cell r="A102">
            <v>45954</v>
          </cell>
          <cell r="B102">
            <v>523.61</v>
          </cell>
          <cell r="C102">
            <v>283.33</v>
          </cell>
          <cell r="D102">
            <v>28.65</v>
          </cell>
        </row>
        <row r="103">
          <cell r="A103">
            <v>45953</v>
          </cell>
          <cell r="B103">
            <v>520.55999999999995</v>
          </cell>
          <cell r="C103">
            <v>280.07</v>
          </cell>
          <cell r="D103">
            <v>28.71</v>
          </cell>
        </row>
        <row r="104">
          <cell r="A104">
            <v>45952</v>
          </cell>
          <cell r="B104">
            <v>520.54</v>
          </cell>
          <cell r="C104">
            <v>272.66000000000003</v>
          </cell>
          <cell r="D104">
            <v>28.75</v>
          </cell>
        </row>
        <row r="105">
          <cell r="A105">
            <v>45951</v>
          </cell>
          <cell r="B105">
            <v>517.66</v>
          </cell>
          <cell r="C105">
            <v>275.14999999999998</v>
          </cell>
          <cell r="D105">
            <v>29.14</v>
          </cell>
        </row>
        <row r="106">
          <cell r="A106">
            <v>45950</v>
          </cell>
          <cell r="B106">
            <v>516.79</v>
          </cell>
          <cell r="C106">
            <v>277.18</v>
          </cell>
          <cell r="D106">
            <v>29.19</v>
          </cell>
        </row>
        <row r="107">
          <cell r="A107">
            <v>45947</v>
          </cell>
          <cell r="B107">
            <v>513.58000000000004</v>
          </cell>
          <cell r="C107">
            <v>291.31</v>
          </cell>
          <cell r="D107">
            <v>28.9</v>
          </cell>
        </row>
        <row r="108">
          <cell r="A108">
            <v>45946</v>
          </cell>
          <cell r="B108">
            <v>511.61</v>
          </cell>
          <cell r="C108">
            <v>313</v>
          </cell>
          <cell r="D108">
            <v>28.5</v>
          </cell>
        </row>
        <row r="109">
          <cell r="A109">
            <v>45945</v>
          </cell>
          <cell r="B109">
            <v>513.42999999999995</v>
          </cell>
          <cell r="C109">
            <v>303.62</v>
          </cell>
          <cell r="D109">
            <v>28.89</v>
          </cell>
        </row>
        <row r="110">
          <cell r="A110">
            <v>45944</v>
          </cell>
          <cell r="B110">
            <v>513.57000000000005</v>
          </cell>
          <cell r="C110">
            <v>299</v>
          </cell>
          <cell r="D110">
            <v>28.83</v>
          </cell>
        </row>
        <row r="111">
          <cell r="A111">
            <v>45943</v>
          </cell>
          <cell r="B111">
            <v>514.04999999999995</v>
          </cell>
          <cell r="C111">
            <v>308.01</v>
          </cell>
          <cell r="D111">
            <v>28.87</v>
          </cell>
        </row>
        <row r="112">
          <cell r="A112">
            <v>45940</v>
          </cell>
          <cell r="B112">
            <v>510.96</v>
          </cell>
          <cell r="C112">
            <v>292.95999999999998</v>
          </cell>
          <cell r="D112">
            <v>28.25</v>
          </cell>
        </row>
        <row r="113">
          <cell r="A113">
            <v>45939</v>
          </cell>
          <cell r="B113">
            <v>522.4</v>
          </cell>
          <cell r="C113">
            <v>296.95999999999998</v>
          </cell>
          <cell r="D113">
            <v>29.84</v>
          </cell>
        </row>
        <row r="114">
          <cell r="A114">
            <v>45938</v>
          </cell>
          <cell r="B114">
            <v>524.85</v>
          </cell>
          <cell r="C114">
            <v>288.63</v>
          </cell>
          <cell r="D114">
            <v>29.75</v>
          </cell>
        </row>
        <row r="115">
          <cell r="A115">
            <v>45937</v>
          </cell>
          <cell r="B115">
            <v>523.98</v>
          </cell>
          <cell r="C115">
            <v>284.24</v>
          </cell>
          <cell r="D115">
            <v>29.74</v>
          </cell>
        </row>
        <row r="116">
          <cell r="A116">
            <v>45936</v>
          </cell>
          <cell r="B116">
            <v>528.57000000000005</v>
          </cell>
          <cell r="C116">
            <v>291.58999999999997</v>
          </cell>
          <cell r="D116">
            <v>30.1</v>
          </cell>
        </row>
        <row r="117">
          <cell r="A117">
            <v>45933</v>
          </cell>
          <cell r="B117">
            <v>517.35</v>
          </cell>
          <cell r="C117">
            <v>286.14</v>
          </cell>
          <cell r="D117">
            <v>28.96</v>
          </cell>
        </row>
        <row r="118">
          <cell r="A118">
            <v>45932</v>
          </cell>
          <cell r="B118">
            <v>515.74</v>
          </cell>
          <cell r="C118">
            <v>288.77999999999997</v>
          </cell>
          <cell r="D118">
            <v>28.08</v>
          </cell>
        </row>
        <row r="119">
          <cell r="A119">
            <v>45931</v>
          </cell>
          <cell r="B119">
            <v>519.71</v>
          </cell>
          <cell r="C119">
            <v>289.01</v>
          </cell>
          <cell r="D119">
            <v>28.74</v>
          </cell>
        </row>
        <row r="120">
          <cell r="A120">
            <v>45930</v>
          </cell>
          <cell r="B120">
            <v>517.95000000000005</v>
          </cell>
          <cell r="C120">
            <v>281.24</v>
          </cell>
          <cell r="D120">
            <v>28.79</v>
          </cell>
        </row>
        <row r="121">
          <cell r="A121">
            <v>45929</v>
          </cell>
          <cell r="B121">
            <v>514.6</v>
          </cell>
          <cell r="C121">
            <v>282.76</v>
          </cell>
          <cell r="D121">
            <v>29.1</v>
          </cell>
        </row>
        <row r="122">
          <cell r="A122">
            <v>45926</v>
          </cell>
          <cell r="B122">
            <v>511.46</v>
          </cell>
          <cell r="C122">
            <v>283.45999999999998</v>
          </cell>
          <cell r="D122">
            <v>29.04</v>
          </cell>
        </row>
        <row r="123">
          <cell r="A123">
            <v>45925</v>
          </cell>
          <cell r="B123">
            <v>507.03</v>
          </cell>
          <cell r="C123">
            <v>291.33</v>
          </cell>
          <cell r="D123">
            <v>29.088799999999999</v>
          </cell>
        </row>
        <row r="124">
          <cell r="A124">
            <v>45924</v>
          </cell>
          <cell r="B124">
            <v>510.15</v>
          </cell>
          <cell r="C124">
            <v>308.45999999999998</v>
          </cell>
          <cell r="D124">
            <v>28.610900000000001</v>
          </cell>
        </row>
        <row r="125">
          <cell r="A125">
            <v>45923</v>
          </cell>
          <cell r="B125">
            <v>509.23</v>
          </cell>
          <cell r="C125">
            <v>313.83</v>
          </cell>
          <cell r="D125">
            <v>29.020499999999998</v>
          </cell>
        </row>
        <row r="126">
          <cell r="A126">
            <v>45922</v>
          </cell>
          <cell r="B126">
            <v>514.45000000000005</v>
          </cell>
          <cell r="C126">
            <v>328.15</v>
          </cell>
          <cell r="D126">
            <v>28.991199999999999</v>
          </cell>
        </row>
        <row r="127">
          <cell r="A127">
            <v>45919</v>
          </cell>
          <cell r="B127">
            <v>517.92999999999995</v>
          </cell>
          <cell r="C127">
            <v>308.66000000000003</v>
          </cell>
          <cell r="D127">
            <v>28.630400000000002</v>
          </cell>
        </row>
        <row r="128">
          <cell r="A128">
            <v>45918</v>
          </cell>
          <cell r="B128">
            <v>508.45</v>
          </cell>
          <cell r="C128">
            <v>296.62</v>
          </cell>
          <cell r="D128">
            <v>29.322800000000001</v>
          </cell>
        </row>
        <row r="129">
          <cell r="A129">
            <v>45917</v>
          </cell>
          <cell r="B129">
            <v>510.02</v>
          </cell>
          <cell r="C129">
            <v>301.41000000000003</v>
          </cell>
          <cell r="D129">
            <v>28.435400000000001</v>
          </cell>
        </row>
        <row r="130">
          <cell r="A130">
            <v>45916</v>
          </cell>
          <cell r="B130">
            <v>509.04</v>
          </cell>
          <cell r="C130">
            <v>306.64999999999998</v>
          </cell>
          <cell r="D130">
            <v>28.103899999999999</v>
          </cell>
        </row>
        <row r="131">
          <cell r="A131">
            <v>45915</v>
          </cell>
          <cell r="B131">
            <v>515.36</v>
          </cell>
          <cell r="C131">
            <v>302.14</v>
          </cell>
          <cell r="D131">
            <v>28.610900000000001</v>
          </cell>
        </row>
        <row r="132">
          <cell r="A132">
            <v>45912</v>
          </cell>
          <cell r="B132">
            <v>509.9</v>
          </cell>
          <cell r="C132">
            <v>292.18</v>
          </cell>
          <cell r="D132">
            <v>28.484200000000001</v>
          </cell>
        </row>
        <row r="133">
          <cell r="A133">
            <v>45911</v>
          </cell>
          <cell r="B133">
            <v>501.01</v>
          </cell>
          <cell r="C133">
            <v>307.86</v>
          </cell>
          <cell r="D133">
            <v>28.464700000000001</v>
          </cell>
        </row>
        <row r="134">
          <cell r="A134">
            <v>45910</v>
          </cell>
          <cell r="B134">
            <v>500.37</v>
          </cell>
          <cell r="C134">
            <v>328.33</v>
          </cell>
          <cell r="D134">
            <v>27.938099999999999</v>
          </cell>
        </row>
        <row r="135">
          <cell r="A135">
            <v>45909</v>
          </cell>
          <cell r="B135">
            <v>498.41</v>
          </cell>
          <cell r="C135">
            <v>241.51</v>
          </cell>
          <cell r="D135">
            <v>27.996600000000001</v>
          </cell>
        </row>
        <row r="136">
          <cell r="A136">
            <v>45908</v>
          </cell>
          <cell r="B136">
            <v>498.2</v>
          </cell>
          <cell r="C136">
            <v>238.48</v>
          </cell>
          <cell r="D136">
            <v>27.957599999999999</v>
          </cell>
        </row>
        <row r="137">
          <cell r="A137">
            <v>45905</v>
          </cell>
          <cell r="B137">
            <v>495</v>
          </cell>
          <cell r="C137">
            <v>232.8</v>
          </cell>
          <cell r="D137">
            <v>26.884899999999998</v>
          </cell>
        </row>
        <row r="138">
          <cell r="A138">
            <v>45904</v>
          </cell>
          <cell r="B138">
            <v>507.97</v>
          </cell>
          <cell r="C138">
            <v>223</v>
          </cell>
          <cell r="D138">
            <v>27.148199999999999</v>
          </cell>
        </row>
        <row r="139">
          <cell r="A139">
            <v>45903</v>
          </cell>
          <cell r="B139">
            <v>505.35</v>
          </cell>
          <cell r="C139">
            <v>223.45</v>
          </cell>
          <cell r="D139">
            <v>26.3583</v>
          </cell>
        </row>
        <row r="140">
          <cell r="A140">
            <v>45902</v>
          </cell>
          <cell r="B140">
            <v>505.12</v>
          </cell>
          <cell r="C140">
            <v>225.3</v>
          </cell>
          <cell r="D140">
            <v>26.2803</v>
          </cell>
        </row>
        <row r="141">
          <cell r="A141">
            <v>45898</v>
          </cell>
          <cell r="B141">
            <v>506.69</v>
          </cell>
          <cell r="C141">
            <v>226.13</v>
          </cell>
          <cell r="D141">
            <v>26.836200000000002</v>
          </cell>
        </row>
        <row r="142">
          <cell r="A142">
            <v>45897</v>
          </cell>
          <cell r="B142">
            <v>509.64</v>
          </cell>
          <cell r="C142">
            <v>240.32</v>
          </cell>
          <cell r="D142">
            <v>27.304200000000002</v>
          </cell>
        </row>
        <row r="143">
          <cell r="A143">
            <v>45896</v>
          </cell>
          <cell r="B143">
            <v>506.74</v>
          </cell>
          <cell r="C143">
            <v>235.81</v>
          </cell>
          <cell r="D143">
            <v>27.148199999999999</v>
          </cell>
        </row>
        <row r="144">
          <cell r="A144">
            <v>45895</v>
          </cell>
          <cell r="B144">
            <v>502.04</v>
          </cell>
          <cell r="C144">
            <v>234.21</v>
          </cell>
          <cell r="D144">
            <v>27.187200000000001</v>
          </cell>
        </row>
        <row r="145">
          <cell r="A145">
            <v>45894</v>
          </cell>
          <cell r="B145">
            <v>504.26</v>
          </cell>
          <cell r="C145">
            <v>235.41</v>
          </cell>
          <cell r="D145">
            <v>27.421199999999999</v>
          </cell>
        </row>
        <row r="146">
          <cell r="A146">
            <v>45891</v>
          </cell>
          <cell r="B146">
            <v>507.23</v>
          </cell>
          <cell r="C146">
            <v>236.37</v>
          </cell>
          <cell r="D146">
            <v>27.899100000000001</v>
          </cell>
        </row>
        <row r="147">
          <cell r="A147">
            <v>45890</v>
          </cell>
          <cell r="B147">
            <v>504.24</v>
          </cell>
          <cell r="C147">
            <v>233.16</v>
          </cell>
          <cell r="D147">
            <v>26.9434</v>
          </cell>
        </row>
        <row r="148">
          <cell r="A148">
            <v>45889</v>
          </cell>
          <cell r="B148">
            <v>505.72</v>
          </cell>
          <cell r="C148">
            <v>235.06</v>
          </cell>
          <cell r="D148">
            <v>27.421199999999999</v>
          </cell>
        </row>
        <row r="149">
          <cell r="A149">
            <v>45888</v>
          </cell>
          <cell r="B149">
            <v>509.77</v>
          </cell>
          <cell r="C149">
            <v>234.62</v>
          </cell>
          <cell r="D149">
            <v>27.5383</v>
          </cell>
        </row>
        <row r="150">
          <cell r="A150">
            <v>45887</v>
          </cell>
          <cell r="B150">
            <v>517.1</v>
          </cell>
          <cell r="C150">
            <v>249.07</v>
          </cell>
          <cell r="D150">
            <v>27.645499999999998</v>
          </cell>
        </row>
        <row r="151">
          <cell r="A151">
            <v>45884</v>
          </cell>
          <cell r="B151">
            <v>520.16999999999996</v>
          </cell>
          <cell r="C151">
            <v>248.28</v>
          </cell>
          <cell r="D151">
            <v>28.0258</v>
          </cell>
        </row>
        <row r="152">
          <cell r="A152">
            <v>45883</v>
          </cell>
          <cell r="B152">
            <v>522.48</v>
          </cell>
          <cell r="C152">
            <v>244.96</v>
          </cell>
          <cell r="D152">
            <v>27.050699999999999</v>
          </cell>
        </row>
        <row r="153">
          <cell r="A153">
            <v>45882</v>
          </cell>
          <cell r="B153">
            <v>520.58000000000004</v>
          </cell>
          <cell r="C153">
            <v>244.18</v>
          </cell>
          <cell r="D153">
            <v>27.284700000000001</v>
          </cell>
        </row>
        <row r="154">
          <cell r="A154">
            <v>45881</v>
          </cell>
          <cell r="B154">
            <v>529.24</v>
          </cell>
          <cell r="C154">
            <v>253.86</v>
          </cell>
          <cell r="D154">
            <v>26.514399999999998</v>
          </cell>
        </row>
        <row r="155">
          <cell r="A155">
            <v>45880</v>
          </cell>
          <cell r="B155">
            <v>521.77</v>
          </cell>
          <cell r="C155">
            <v>252.68</v>
          </cell>
          <cell r="D155">
            <v>26.6021</v>
          </cell>
        </row>
        <row r="156">
          <cell r="A156">
            <v>45877</v>
          </cell>
          <cell r="B156">
            <v>522.04</v>
          </cell>
          <cell r="C156">
            <v>250.05</v>
          </cell>
          <cell r="D156">
            <v>26.4754</v>
          </cell>
        </row>
        <row r="157">
          <cell r="A157">
            <v>45876</v>
          </cell>
          <cell r="B157">
            <v>520.84</v>
          </cell>
          <cell r="C157">
            <v>249.39</v>
          </cell>
          <cell r="D157">
            <v>25.383199999999999</v>
          </cell>
        </row>
        <row r="158">
          <cell r="A158">
            <v>45875</v>
          </cell>
          <cell r="B158">
            <v>524.94000000000005</v>
          </cell>
          <cell r="C158">
            <v>256.43</v>
          </cell>
          <cell r="D158">
            <v>24.300799999999999</v>
          </cell>
        </row>
        <row r="159">
          <cell r="A159">
            <v>45874</v>
          </cell>
          <cell r="B159">
            <v>527.75</v>
          </cell>
          <cell r="C159">
            <v>255.67</v>
          </cell>
          <cell r="D159">
            <v>23.920500000000001</v>
          </cell>
        </row>
        <row r="160">
          <cell r="A160">
            <v>45873</v>
          </cell>
          <cell r="B160">
            <v>535.64</v>
          </cell>
          <cell r="C160">
            <v>252.53</v>
          </cell>
          <cell r="D160">
            <v>24.1447</v>
          </cell>
        </row>
        <row r="161">
          <cell r="A161">
            <v>45870</v>
          </cell>
          <cell r="B161">
            <v>524.11</v>
          </cell>
          <cell r="C161">
            <v>244.42</v>
          </cell>
          <cell r="D161">
            <v>23.764399999999998</v>
          </cell>
        </row>
        <row r="162">
          <cell r="A162">
            <v>45869</v>
          </cell>
          <cell r="B162">
            <v>533.5</v>
          </cell>
          <cell r="C162">
            <v>253.77</v>
          </cell>
          <cell r="D162">
            <v>23.715699999999998</v>
          </cell>
        </row>
        <row r="163">
          <cell r="A163">
            <v>45868</v>
          </cell>
          <cell r="B163">
            <v>513.24</v>
          </cell>
          <cell r="C163">
            <v>250.6</v>
          </cell>
          <cell r="D163">
            <v>23.598700000000001</v>
          </cell>
        </row>
        <row r="164">
          <cell r="A164">
            <v>45867</v>
          </cell>
          <cell r="B164">
            <v>512.57000000000005</v>
          </cell>
          <cell r="C164">
            <v>249.98</v>
          </cell>
          <cell r="D164">
            <v>23.549900000000001</v>
          </cell>
        </row>
        <row r="165">
          <cell r="A165">
            <v>45866</v>
          </cell>
          <cell r="B165">
            <v>512.5</v>
          </cell>
          <cell r="C165">
            <v>247.71</v>
          </cell>
          <cell r="D165">
            <v>23.7547</v>
          </cell>
        </row>
        <row r="166">
          <cell r="A166">
            <v>45863</v>
          </cell>
          <cell r="B166">
            <v>513.71</v>
          </cell>
          <cell r="C166">
            <v>245.12</v>
          </cell>
          <cell r="D166">
            <v>24.261800000000001</v>
          </cell>
        </row>
        <row r="167">
          <cell r="A167">
            <v>45862</v>
          </cell>
          <cell r="B167">
            <v>510.88</v>
          </cell>
          <cell r="C167">
            <v>242.83</v>
          </cell>
          <cell r="D167">
            <v>24.749300000000002</v>
          </cell>
        </row>
        <row r="168">
          <cell r="A168">
            <v>45861</v>
          </cell>
          <cell r="B168">
            <v>505.87</v>
          </cell>
          <cell r="C168">
            <v>241.9</v>
          </cell>
          <cell r="D168">
            <v>24.632300000000001</v>
          </cell>
        </row>
        <row r="169">
          <cell r="A169">
            <v>45860</v>
          </cell>
          <cell r="B169">
            <v>505.27</v>
          </cell>
          <cell r="C169">
            <v>238.11</v>
          </cell>
          <cell r="D169">
            <v>23.491399999999999</v>
          </cell>
        </row>
        <row r="170">
          <cell r="A170">
            <v>45859</v>
          </cell>
          <cell r="B170">
            <v>510.06</v>
          </cell>
          <cell r="C170">
            <v>243.54</v>
          </cell>
          <cell r="D170">
            <v>23.471900000000002</v>
          </cell>
        </row>
        <row r="171">
          <cell r="A171">
            <v>45856</v>
          </cell>
          <cell r="B171">
            <v>510.05</v>
          </cell>
          <cell r="C171">
            <v>245.45</v>
          </cell>
          <cell r="D171">
            <v>23.325600000000001</v>
          </cell>
        </row>
        <row r="172">
          <cell r="A172">
            <v>45855</v>
          </cell>
          <cell r="B172">
            <v>511.7</v>
          </cell>
          <cell r="C172">
            <v>248.75</v>
          </cell>
          <cell r="D172">
            <v>23.8034</v>
          </cell>
        </row>
        <row r="173">
          <cell r="A173">
            <v>45854</v>
          </cell>
          <cell r="B173">
            <v>505.62</v>
          </cell>
          <cell r="C173">
            <v>241.3</v>
          </cell>
          <cell r="D173">
            <v>23.3841</v>
          </cell>
        </row>
        <row r="174">
          <cell r="A174">
            <v>45853</v>
          </cell>
          <cell r="B174">
            <v>505.82</v>
          </cell>
          <cell r="C174">
            <v>234.96</v>
          </cell>
          <cell r="D174">
            <v>23.4816</v>
          </cell>
        </row>
        <row r="175">
          <cell r="A175">
            <v>45852</v>
          </cell>
          <cell r="B175">
            <v>503.02</v>
          </cell>
          <cell r="C175">
            <v>229.28</v>
          </cell>
          <cell r="D175">
            <v>23.793700000000001</v>
          </cell>
        </row>
        <row r="176">
          <cell r="A176">
            <v>45849</v>
          </cell>
          <cell r="B176">
            <v>503.32</v>
          </cell>
          <cell r="C176">
            <v>230.56</v>
          </cell>
          <cell r="D176">
            <v>23.822900000000001</v>
          </cell>
        </row>
        <row r="177">
          <cell r="A177">
            <v>45848</v>
          </cell>
          <cell r="B177">
            <v>501.48</v>
          </cell>
          <cell r="C177">
            <v>235</v>
          </cell>
          <cell r="D177">
            <v>24.037500000000001</v>
          </cell>
        </row>
        <row r="178">
          <cell r="A178">
            <v>45847</v>
          </cell>
          <cell r="B178">
            <v>503.51</v>
          </cell>
          <cell r="C178">
            <v>235.81</v>
          </cell>
          <cell r="D178">
            <v>24.544599999999999</v>
          </cell>
        </row>
        <row r="179">
          <cell r="A179">
            <v>45846</v>
          </cell>
          <cell r="B179">
            <v>496.62</v>
          </cell>
          <cell r="C179">
            <v>234.5</v>
          </cell>
          <cell r="D179">
            <v>24.622599999999998</v>
          </cell>
        </row>
        <row r="180">
          <cell r="A180">
            <v>45845</v>
          </cell>
          <cell r="B180">
            <v>497.72</v>
          </cell>
          <cell r="C180">
            <v>232.26</v>
          </cell>
          <cell r="D180">
            <v>24.671299999999999</v>
          </cell>
        </row>
        <row r="181">
          <cell r="A181">
            <v>45841</v>
          </cell>
          <cell r="B181">
            <v>498.84</v>
          </cell>
          <cell r="C181">
            <v>237.32</v>
          </cell>
          <cell r="D181">
            <v>24.944400000000002</v>
          </cell>
        </row>
        <row r="182">
          <cell r="A182">
            <v>45840</v>
          </cell>
          <cell r="B182">
            <v>491.09</v>
          </cell>
          <cell r="C182">
            <v>229.98</v>
          </cell>
          <cell r="D182">
            <v>25.071100000000001</v>
          </cell>
        </row>
        <row r="183">
          <cell r="A183">
            <v>45839</v>
          </cell>
          <cell r="B183">
            <v>492.05</v>
          </cell>
          <cell r="C183">
            <v>218.96</v>
          </cell>
          <cell r="D183">
            <v>24.8371</v>
          </cell>
        </row>
        <row r="184">
          <cell r="A184">
            <v>45838</v>
          </cell>
          <cell r="B184">
            <v>497.41</v>
          </cell>
          <cell r="C184">
            <v>218.63</v>
          </cell>
          <cell r="D184">
            <v>25.383199999999999</v>
          </cell>
        </row>
        <row r="185">
          <cell r="A185">
            <v>45835</v>
          </cell>
          <cell r="B185">
            <v>495.94</v>
          </cell>
          <cell r="C185">
            <v>210.24</v>
          </cell>
          <cell r="D185">
            <v>25.6465</v>
          </cell>
        </row>
        <row r="186">
          <cell r="A186">
            <v>45834</v>
          </cell>
          <cell r="B186">
            <v>497.45</v>
          </cell>
          <cell r="C186">
            <v>212.82</v>
          </cell>
          <cell r="D186">
            <v>24.9054</v>
          </cell>
        </row>
        <row r="187">
          <cell r="A187">
            <v>45833</v>
          </cell>
          <cell r="B187">
            <v>492.27</v>
          </cell>
          <cell r="C187">
            <v>210.72</v>
          </cell>
          <cell r="D187">
            <v>24.300799999999999</v>
          </cell>
        </row>
        <row r="188">
          <cell r="A188">
            <v>45832</v>
          </cell>
          <cell r="B188">
            <v>490.11</v>
          </cell>
          <cell r="C188">
            <v>215.27</v>
          </cell>
          <cell r="D188">
            <v>24.369</v>
          </cell>
        </row>
        <row r="189">
          <cell r="A189">
            <v>45831</v>
          </cell>
          <cell r="B189">
            <v>486</v>
          </cell>
          <cell r="C189">
            <v>207.04</v>
          </cell>
          <cell r="D189">
            <v>23.813199999999998</v>
          </cell>
        </row>
        <row r="190">
          <cell r="A190">
            <v>45828</v>
          </cell>
          <cell r="B190">
            <v>477.4</v>
          </cell>
          <cell r="C190">
            <v>205.17</v>
          </cell>
          <cell r="D190">
            <v>24.135000000000002</v>
          </cell>
        </row>
        <row r="191">
          <cell r="A191">
            <v>45826</v>
          </cell>
          <cell r="B191">
            <v>480.24</v>
          </cell>
          <cell r="C191">
            <v>210.87</v>
          </cell>
          <cell r="D191">
            <v>25.236899999999999</v>
          </cell>
        </row>
        <row r="192">
          <cell r="A192">
            <v>45825</v>
          </cell>
          <cell r="B192">
            <v>478.04</v>
          </cell>
          <cell r="C192">
            <v>208.18</v>
          </cell>
          <cell r="D192">
            <v>25.022400000000001</v>
          </cell>
        </row>
        <row r="193">
          <cell r="A193">
            <v>45824</v>
          </cell>
          <cell r="B193">
            <v>479.14</v>
          </cell>
          <cell r="C193">
            <v>211.1</v>
          </cell>
          <cell r="D193">
            <v>25.441700000000001</v>
          </cell>
        </row>
        <row r="194">
          <cell r="A194">
            <v>45821</v>
          </cell>
          <cell r="B194">
            <v>474.96</v>
          </cell>
          <cell r="C194">
            <v>215.22</v>
          </cell>
          <cell r="D194">
            <v>25.285699999999999</v>
          </cell>
        </row>
        <row r="195">
          <cell r="A195">
            <v>45820</v>
          </cell>
          <cell r="B195">
            <v>478.87</v>
          </cell>
          <cell r="C195">
            <v>199.86</v>
          </cell>
          <cell r="D195">
            <v>25.744</v>
          </cell>
        </row>
        <row r="196">
          <cell r="A196">
            <v>45819</v>
          </cell>
          <cell r="B196">
            <v>472.62</v>
          </cell>
          <cell r="C196">
            <v>176.38</v>
          </cell>
          <cell r="D196">
            <v>25.266200000000001</v>
          </cell>
        </row>
        <row r="197">
          <cell r="A197">
            <v>45818</v>
          </cell>
          <cell r="B197">
            <v>470.92</v>
          </cell>
          <cell r="C197">
            <v>177.48</v>
          </cell>
          <cell r="D197">
            <v>25.548999999999999</v>
          </cell>
        </row>
        <row r="198">
          <cell r="A198">
            <v>45817</v>
          </cell>
          <cell r="B198">
            <v>472.75</v>
          </cell>
          <cell r="C198">
            <v>177.15</v>
          </cell>
          <cell r="D198">
            <v>25.929300000000001</v>
          </cell>
        </row>
        <row r="199">
          <cell r="A199">
            <v>45814</v>
          </cell>
          <cell r="B199">
            <v>470.38</v>
          </cell>
          <cell r="C199">
            <v>174.02</v>
          </cell>
          <cell r="D199">
            <v>25.997499999999999</v>
          </cell>
        </row>
        <row r="200">
          <cell r="A200">
            <v>45813</v>
          </cell>
          <cell r="B200">
            <v>467.68</v>
          </cell>
          <cell r="C200">
            <v>171.14</v>
          </cell>
          <cell r="D200">
            <v>25.675699999999999</v>
          </cell>
        </row>
        <row r="201">
          <cell r="A201">
            <v>45812</v>
          </cell>
          <cell r="B201">
            <v>463.87</v>
          </cell>
          <cell r="C201">
            <v>168.1</v>
          </cell>
          <cell r="D201">
            <v>26.007300000000001</v>
          </cell>
        </row>
        <row r="202">
          <cell r="A202">
            <v>45811</v>
          </cell>
          <cell r="B202">
            <v>462.97</v>
          </cell>
          <cell r="C202">
            <v>169.14</v>
          </cell>
          <cell r="D202">
            <v>26.104800000000001</v>
          </cell>
        </row>
        <row r="203">
          <cell r="A203">
            <v>45810</v>
          </cell>
          <cell r="B203">
            <v>461.97</v>
          </cell>
          <cell r="C203">
            <v>166.57</v>
          </cell>
          <cell r="D203">
            <v>26.2121</v>
          </cell>
        </row>
        <row r="204">
          <cell r="A204">
            <v>45807</v>
          </cell>
          <cell r="B204">
            <v>460.36</v>
          </cell>
          <cell r="C204">
            <v>165.53</v>
          </cell>
          <cell r="D204">
            <v>25.724499999999999</v>
          </cell>
        </row>
        <row r="205">
          <cell r="A205">
            <v>45806</v>
          </cell>
          <cell r="B205">
            <v>458.68</v>
          </cell>
          <cell r="C205">
            <v>162.9</v>
          </cell>
          <cell r="D205">
            <v>25.958500000000001</v>
          </cell>
        </row>
        <row r="206">
          <cell r="A206">
            <v>45805</v>
          </cell>
          <cell r="B206">
            <v>457.36</v>
          </cell>
          <cell r="C206">
            <v>163.85</v>
          </cell>
          <cell r="D206">
            <v>25.6465</v>
          </cell>
        </row>
        <row r="207">
          <cell r="A207">
            <v>45804</v>
          </cell>
          <cell r="B207">
            <v>460.69</v>
          </cell>
          <cell r="C207">
            <v>161.91</v>
          </cell>
          <cell r="D207">
            <v>25.9</v>
          </cell>
        </row>
        <row r="208">
          <cell r="A208">
            <v>45800</v>
          </cell>
          <cell r="B208">
            <v>450.18</v>
          </cell>
          <cell r="C208">
            <v>155.97</v>
          </cell>
          <cell r="D208">
            <v>24.895600000000002</v>
          </cell>
        </row>
        <row r="209">
          <cell r="A209">
            <v>45799</v>
          </cell>
          <cell r="B209">
            <v>454.86</v>
          </cell>
          <cell r="C209">
            <v>157.31</v>
          </cell>
          <cell r="D209">
            <v>24.700600000000001</v>
          </cell>
        </row>
        <row r="210">
          <cell r="A210">
            <v>45798</v>
          </cell>
          <cell r="B210">
            <v>452.57</v>
          </cell>
          <cell r="C210">
            <v>157.18</v>
          </cell>
          <cell r="D210">
            <v>24.2715</v>
          </cell>
        </row>
        <row r="211">
          <cell r="A211">
            <v>45797</v>
          </cell>
          <cell r="B211">
            <v>458.17</v>
          </cell>
          <cell r="C211">
            <v>160.31</v>
          </cell>
          <cell r="D211">
            <v>25.158899999999999</v>
          </cell>
        </row>
        <row r="212">
          <cell r="A212">
            <v>45796</v>
          </cell>
          <cell r="B212">
            <v>458.87</v>
          </cell>
          <cell r="C212">
            <v>159.63999999999999</v>
          </cell>
          <cell r="D212">
            <v>24.4178</v>
          </cell>
        </row>
        <row r="213">
          <cell r="A213">
            <v>45793</v>
          </cell>
          <cell r="B213">
            <v>454.27</v>
          </cell>
          <cell r="C213">
            <v>160.49</v>
          </cell>
          <cell r="D213">
            <v>24.066700000000001</v>
          </cell>
        </row>
        <row r="214">
          <cell r="A214">
            <v>45792</v>
          </cell>
          <cell r="B214">
            <v>453.13</v>
          </cell>
          <cell r="C214">
            <v>159.4</v>
          </cell>
          <cell r="D214">
            <v>24.251999999999999</v>
          </cell>
        </row>
        <row r="215">
          <cell r="A215">
            <v>45791</v>
          </cell>
          <cell r="B215">
            <v>452.94</v>
          </cell>
          <cell r="C215">
            <v>162.94999999999999</v>
          </cell>
          <cell r="D215">
            <v>24.261800000000001</v>
          </cell>
        </row>
        <row r="216">
          <cell r="A216">
            <v>45790</v>
          </cell>
          <cell r="B216">
            <v>449.14</v>
          </cell>
          <cell r="C216">
            <v>162.27000000000001</v>
          </cell>
          <cell r="D216">
            <v>23.930199999999999</v>
          </cell>
        </row>
        <row r="217">
          <cell r="A217">
            <v>45789</v>
          </cell>
          <cell r="B217">
            <v>449.26</v>
          </cell>
          <cell r="C217">
            <v>157.22</v>
          </cell>
          <cell r="D217">
            <v>24.1252</v>
          </cell>
        </row>
        <row r="218">
          <cell r="A218">
            <v>45786</v>
          </cell>
          <cell r="B218">
            <v>438.73</v>
          </cell>
          <cell r="C218">
            <v>150.34</v>
          </cell>
          <cell r="D218">
            <v>24.086200000000002</v>
          </cell>
        </row>
        <row r="219">
          <cell r="A219">
            <v>45785</v>
          </cell>
          <cell r="B219">
            <v>438.17</v>
          </cell>
          <cell r="C219">
            <v>150.30000000000001</v>
          </cell>
          <cell r="D219">
            <v>23.842400000000001</v>
          </cell>
        </row>
        <row r="220">
          <cell r="A220">
            <v>45784</v>
          </cell>
          <cell r="B220">
            <v>433.35</v>
          </cell>
          <cell r="C220">
            <v>149.37</v>
          </cell>
          <cell r="D220">
            <v>24.398299999999999</v>
          </cell>
        </row>
        <row r="221">
          <cell r="A221">
            <v>45783</v>
          </cell>
          <cell r="B221">
            <v>433.31</v>
          </cell>
          <cell r="C221">
            <v>147.69999999999999</v>
          </cell>
          <cell r="D221">
            <v>24.603100000000001</v>
          </cell>
        </row>
        <row r="222">
          <cell r="A222">
            <v>45782</v>
          </cell>
          <cell r="B222">
            <v>436.17</v>
          </cell>
          <cell r="C222">
            <v>149.29</v>
          </cell>
          <cell r="D222">
            <v>24.6128</v>
          </cell>
        </row>
        <row r="223">
          <cell r="A223">
            <v>45779</v>
          </cell>
          <cell r="B223">
            <v>435.28</v>
          </cell>
          <cell r="C223">
            <v>150.72999999999999</v>
          </cell>
          <cell r="D223">
            <v>24.700600000000001</v>
          </cell>
        </row>
        <row r="224">
          <cell r="A224">
            <v>45778</v>
          </cell>
          <cell r="B224">
            <v>425.4</v>
          </cell>
          <cell r="C224">
            <v>145.49</v>
          </cell>
          <cell r="D224">
            <v>24.651800000000001</v>
          </cell>
        </row>
        <row r="225">
          <cell r="A225">
            <v>45777</v>
          </cell>
          <cell r="B225">
            <v>395.26</v>
          </cell>
          <cell r="C225">
            <v>140.72</v>
          </cell>
          <cell r="D225">
            <v>25.353899999999999</v>
          </cell>
        </row>
        <row r="226">
          <cell r="A226">
            <v>45776</v>
          </cell>
          <cell r="B226">
            <v>394.04</v>
          </cell>
          <cell r="C226">
            <v>140.79</v>
          </cell>
          <cell r="D226">
            <v>25.110099999999999</v>
          </cell>
        </row>
        <row r="227">
          <cell r="A227">
            <v>45775</v>
          </cell>
          <cell r="B227">
            <v>391.16</v>
          </cell>
          <cell r="C227">
            <v>140.13999999999999</v>
          </cell>
          <cell r="D227">
            <v>24.651800000000001</v>
          </cell>
        </row>
        <row r="228">
          <cell r="A228">
            <v>45772</v>
          </cell>
          <cell r="B228">
            <v>391.85</v>
          </cell>
          <cell r="C228">
            <v>138.49</v>
          </cell>
          <cell r="D228">
            <v>24.349499999999999</v>
          </cell>
        </row>
        <row r="229">
          <cell r="A229">
            <v>45771</v>
          </cell>
          <cell r="B229">
            <v>387.3</v>
          </cell>
          <cell r="C229">
            <v>137.51</v>
          </cell>
          <cell r="D229">
            <v>24.495799999999999</v>
          </cell>
        </row>
        <row r="230">
          <cell r="A230">
            <v>45770</v>
          </cell>
          <cell r="B230">
            <v>374.39</v>
          </cell>
          <cell r="C230">
            <v>131.4</v>
          </cell>
          <cell r="D230">
            <v>24.2715</v>
          </cell>
        </row>
        <row r="231">
          <cell r="A231">
            <v>45769</v>
          </cell>
          <cell r="B231">
            <v>366.82</v>
          </cell>
          <cell r="C231">
            <v>127.24</v>
          </cell>
          <cell r="D231">
            <v>23.7254</v>
          </cell>
        </row>
        <row r="232">
          <cell r="A232">
            <v>45768</v>
          </cell>
          <cell r="B232">
            <v>359.12</v>
          </cell>
          <cell r="C232">
            <v>122.82</v>
          </cell>
          <cell r="D232">
            <v>23.159800000000001</v>
          </cell>
        </row>
        <row r="233">
          <cell r="A233">
            <v>45764</v>
          </cell>
          <cell r="B233">
            <v>367.78</v>
          </cell>
          <cell r="C233">
            <v>128.62</v>
          </cell>
          <cell r="D233">
            <v>23.413399999999999</v>
          </cell>
        </row>
        <row r="234">
          <cell r="A234">
            <v>45763</v>
          </cell>
          <cell r="B234">
            <v>371.61</v>
          </cell>
          <cell r="C234">
            <v>129.76</v>
          </cell>
          <cell r="D234">
            <v>22.779499999999999</v>
          </cell>
        </row>
        <row r="235">
          <cell r="A235">
            <v>45762</v>
          </cell>
          <cell r="B235">
            <v>385.73</v>
          </cell>
          <cell r="C235">
            <v>133.94</v>
          </cell>
          <cell r="D235">
            <v>23.0916</v>
          </cell>
        </row>
        <row r="236">
          <cell r="A236">
            <v>45761</v>
          </cell>
          <cell r="B236">
            <v>387.81</v>
          </cell>
          <cell r="C236">
            <v>134.63999999999999</v>
          </cell>
          <cell r="D236">
            <v>22.857500000000002</v>
          </cell>
        </row>
        <row r="237">
          <cell r="A237">
            <v>45758</v>
          </cell>
          <cell r="B237">
            <v>388.45</v>
          </cell>
          <cell r="C237">
            <v>132.35</v>
          </cell>
          <cell r="D237">
            <v>22.37</v>
          </cell>
        </row>
        <row r="238">
          <cell r="A238">
            <v>45757</v>
          </cell>
          <cell r="B238">
            <v>381.35</v>
          </cell>
          <cell r="C238">
            <v>133.35</v>
          </cell>
          <cell r="D238">
            <v>22.3505</v>
          </cell>
        </row>
        <row r="239">
          <cell r="A239">
            <v>45756</v>
          </cell>
          <cell r="B239">
            <v>390.49</v>
          </cell>
          <cell r="C239">
            <v>139.69</v>
          </cell>
          <cell r="D239">
            <v>22.3992</v>
          </cell>
        </row>
        <row r="240">
          <cell r="A240">
            <v>45755</v>
          </cell>
          <cell r="B240">
            <v>354.56</v>
          </cell>
          <cell r="C240">
            <v>124.5</v>
          </cell>
          <cell r="D240">
            <v>20.790199999999999</v>
          </cell>
        </row>
        <row r="241">
          <cell r="A241">
            <v>45754</v>
          </cell>
          <cell r="B241">
            <v>357.86</v>
          </cell>
          <cell r="C241">
            <v>127.16</v>
          </cell>
          <cell r="D241">
            <v>20.712199999999999</v>
          </cell>
        </row>
        <row r="242">
          <cell r="A242">
            <v>45751</v>
          </cell>
          <cell r="B242">
            <v>359.84</v>
          </cell>
          <cell r="C242">
            <v>128.27000000000001</v>
          </cell>
          <cell r="D242">
            <v>21.277799999999999</v>
          </cell>
        </row>
        <row r="243">
          <cell r="A243">
            <v>45750</v>
          </cell>
          <cell r="B243">
            <v>373.11</v>
          </cell>
          <cell r="C243">
            <v>137.22999999999999</v>
          </cell>
          <cell r="D243">
            <v>22.798999999999999</v>
          </cell>
        </row>
        <row r="244">
          <cell r="A244">
            <v>45749</v>
          </cell>
          <cell r="B244">
            <v>382.14</v>
          </cell>
          <cell r="C244">
            <v>145.86000000000001</v>
          </cell>
          <cell r="D244">
            <v>24.222799999999999</v>
          </cell>
        </row>
        <row r="245">
          <cell r="A245">
            <v>45748</v>
          </cell>
          <cell r="B245">
            <v>382.19</v>
          </cell>
          <cell r="C245">
            <v>141.94</v>
          </cell>
          <cell r="D245">
            <v>24.544599999999999</v>
          </cell>
        </row>
        <row r="246">
          <cell r="A246">
            <v>45747</v>
          </cell>
          <cell r="B246">
            <v>375.39</v>
          </cell>
          <cell r="C246">
            <v>139.81</v>
          </cell>
          <cell r="D246">
            <v>24.7591</v>
          </cell>
        </row>
        <row r="247">
          <cell r="A247">
            <v>45744</v>
          </cell>
          <cell r="B247">
            <v>378.8</v>
          </cell>
          <cell r="C247">
            <v>140.87</v>
          </cell>
          <cell r="D247">
            <v>24.4665</v>
          </cell>
        </row>
        <row r="248">
          <cell r="A248">
            <v>45743</v>
          </cell>
          <cell r="B248">
            <v>390.58</v>
          </cell>
          <cell r="C248">
            <v>145.78</v>
          </cell>
          <cell r="D248">
            <v>25.0029</v>
          </cell>
        </row>
        <row r="249">
          <cell r="A249">
            <v>45742</v>
          </cell>
          <cell r="B249">
            <v>389.97</v>
          </cell>
          <cell r="C249">
            <v>147.80000000000001</v>
          </cell>
          <cell r="D249">
            <v>24.866399999999999</v>
          </cell>
        </row>
        <row r="250">
          <cell r="A250">
            <v>45741</v>
          </cell>
          <cell r="B250">
            <v>395.16</v>
          </cell>
          <cell r="C250">
            <v>153.93</v>
          </cell>
          <cell r="D250">
            <v>24.632300000000001</v>
          </cell>
        </row>
        <row r="251">
          <cell r="A251">
            <v>45740</v>
          </cell>
          <cell r="B251">
            <v>393.08</v>
          </cell>
          <cell r="C251">
            <v>154.87</v>
          </cell>
          <cell r="D251">
            <v>24.642099999999999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50EE2-B0F9-4111-93E9-0B0A65A05B89}" name="Table1" displayName="Table1" ref="A1:D251" totalsRowShown="0" headerRowDxfId="5" tableBorderDxfId="4" headerRowCellStyle="Accent1">
  <autoFilter ref="A1:D251" xr:uid="{18F50EE2-B0F9-4111-93E9-0B0A65A05B89}"/>
  <tableColumns count="4">
    <tableColumn id="1" xr3:uid="{4960AF20-70AA-4241-86F7-1CD044B2AFA8}" name="Date" dataDxfId="3">
      <calculatedColumnFormula>[1]Prices!A2</calculatedColumnFormula>
    </tableColumn>
    <tableColumn id="2" xr3:uid="{04361AA9-80A7-445D-BAE9-64914A05A729}" name="MSFT Return (USD)" dataDxfId="2">
      <calculatedColumnFormula>LN([1]Prices!B1)-LN([1]Prices!B2)</calculatedColumnFormula>
    </tableColumn>
    <tableColumn id="3" xr3:uid="{54DD8205-BCD8-4FB5-85A2-32EF58BC400F}" name="ORCL Return (USD)" dataDxfId="1">
      <calculatedColumnFormula>LN([1]Prices!C2)-LN([1]Prices!C1)</calculatedColumnFormula>
    </tableColumn>
    <tableColumn id="4" xr3:uid="{6C60BD37-8AF2-4A87-B7C3-1151FDD51AF9}" name="SONY Return (USD)" dataDxfId="0">
      <calculatedColumnFormula>LN([1]Prices!D2)-LN([1]Prices!D1)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D88F-8C6E-492B-A5AA-84CB1BA53F5A}">
  <dimension ref="A1:D10"/>
  <sheetViews>
    <sheetView workbookViewId="0">
      <selection activeCell="D9" sqref="D9"/>
    </sheetView>
  </sheetViews>
  <sheetFormatPr defaultRowHeight="14.45"/>
  <cols>
    <col min="2" max="2" width="32.140625" customWidth="1"/>
    <col min="4" max="4" width="14.140625" customWidth="1"/>
  </cols>
  <sheetData>
    <row r="1" spans="1:4">
      <c r="A1" s="35" t="s">
        <v>0</v>
      </c>
      <c r="B1" s="35"/>
      <c r="C1" s="35"/>
      <c r="D1" s="35"/>
    </row>
    <row r="2" spans="1:4">
      <c r="A2" s="35"/>
      <c r="B2" s="35"/>
      <c r="C2" s="35"/>
      <c r="D2" s="35"/>
    </row>
    <row r="3" spans="1:4">
      <c r="A3" s="35"/>
      <c r="B3" s="35"/>
      <c r="C3" s="35"/>
      <c r="D3" s="35"/>
    </row>
    <row r="6" spans="1:4">
      <c r="A6" s="28" t="s">
        <v>1</v>
      </c>
      <c r="B6" s="27" t="s">
        <v>2</v>
      </c>
      <c r="C6" s="26" t="b">
        <v>1</v>
      </c>
    </row>
    <row r="7" spans="1:4">
      <c r="A7" s="28" t="s">
        <v>3</v>
      </c>
      <c r="B7" s="27" t="s">
        <v>4</v>
      </c>
      <c r="C7" s="26" t="b">
        <v>1</v>
      </c>
    </row>
    <row r="8" spans="1:4">
      <c r="A8" s="28" t="s">
        <v>5</v>
      </c>
      <c r="B8" s="27" t="s">
        <v>6</v>
      </c>
      <c r="C8" s="26" t="b">
        <v>1</v>
      </c>
    </row>
    <row r="9" spans="1:4">
      <c r="A9" s="28" t="s">
        <v>7</v>
      </c>
      <c r="B9" s="27" t="s">
        <v>8</v>
      </c>
      <c r="C9" s="26" t="b">
        <v>0</v>
      </c>
    </row>
    <row r="10" spans="1:4">
      <c r="A10" s="28" t="s">
        <v>9</v>
      </c>
      <c r="B10" s="27" t="s">
        <v>10</v>
      </c>
      <c r="C10" s="26" t="b">
        <v>0</v>
      </c>
    </row>
  </sheetData>
  <mergeCells count="1">
    <mergeCell ref="A1:D3"/>
  </mergeCells>
  <pageMargins left="0.7" right="0.7" top="0.75" bottom="0.75" header="0.3" footer="0.3"/>
  <pageSetup paperSize="9" orientation="portrait" r:id="rId1"/>
  <ignoredErrors>
    <ignoredError sqref="A6:A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D888-6344-471D-9A8C-9B6492836464}">
  <dimension ref="A1:D251"/>
  <sheetViews>
    <sheetView topLeftCell="A195" workbookViewId="0">
      <selection activeCell="D251" sqref="D251"/>
    </sheetView>
  </sheetViews>
  <sheetFormatPr defaultRowHeight="14.45"/>
  <cols>
    <col min="1" max="1" width="13" customWidth="1"/>
    <col min="2" max="2" width="18.28515625" customWidth="1"/>
    <col min="3" max="3" width="18.140625" customWidth="1"/>
    <col min="4" max="4" width="17.28515625" customWidth="1"/>
  </cols>
  <sheetData>
    <row r="1" spans="1:4">
      <c r="A1" s="1" t="s">
        <v>11</v>
      </c>
      <c r="B1" s="2" t="s">
        <v>12</v>
      </c>
      <c r="C1" s="2" t="s">
        <v>13</v>
      </c>
      <c r="D1" s="3" t="s">
        <v>14</v>
      </c>
    </row>
    <row r="2" spans="1:4">
      <c r="A2" s="4">
        <v>46101</v>
      </c>
      <c r="B2" s="5">
        <v>381.87</v>
      </c>
      <c r="C2" s="5">
        <v>149.68</v>
      </c>
      <c r="D2" s="6">
        <v>20.22</v>
      </c>
    </row>
    <row r="3" spans="1:4">
      <c r="A3" s="7">
        <v>46100</v>
      </c>
      <c r="B3" s="8">
        <v>389.02</v>
      </c>
      <c r="C3" s="8">
        <v>155.52000000000001</v>
      </c>
      <c r="D3" s="9">
        <v>20.62</v>
      </c>
    </row>
    <row r="4" spans="1:4">
      <c r="A4" s="4">
        <v>46099</v>
      </c>
      <c r="B4" s="5">
        <v>391.79</v>
      </c>
      <c r="C4" s="5">
        <v>152.9</v>
      </c>
      <c r="D4" s="6">
        <v>20.38</v>
      </c>
    </row>
    <row r="5" spans="1:4">
      <c r="A5" s="7">
        <v>46098</v>
      </c>
      <c r="B5" s="8">
        <v>399.41</v>
      </c>
      <c r="C5" s="8">
        <v>154.69</v>
      </c>
      <c r="D5" s="9">
        <v>20.92</v>
      </c>
    </row>
    <row r="6" spans="1:4">
      <c r="A6" s="4">
        <v>46097</v>
      </c>
      <c r="B6" s="5">
        <v>399.95</v>
      </c>
      <c r="C6" s="5">
        <v>155.97</v>
      </c>
      <c r="D6" s="6">
        <v>21.65</v>
      </c>
    </row>
    <row r="7" spans="1:4">
      <c r="A7" s="7">
        <v>46094</v>
      </c>
      <c r="B7" s="8">
        <v>395.55</v>
      </c>
      <c r="C7" s="8">
        <v>155.11000000000001</v>
      </c>
      <c r="D7" s="9">
        <v>21.49</v>
      </c>
    </row>
    <row r="8" spans="1:4">
      <c r="A8" s="4">
        <v>46093</v>
      </c>
      <c r="B8" s="5">
        <v>401.86</v>
      </c>
      <c r="C8" s="5">
        <v>159.16</v>
      </c>
      <c r="D8" s="6">
        <v>21.46</v>
      </c>
    </row>
    <row r="9" spans="1:4">
      <c r="A9" s="7">
        <v>46092</v>
      </c>
      <c r="B9" s="8">
        <v>404.88</v>
      </c>
      <c r="C9" s="8">
        <v>163.12</v>
      </c>
      <c r="D9" s="9">
        <v>21.49</v>
      </c>
    </row>
    <row r="10" spans="1:4">
      <c r="A10" s="4">
        <v>46091</v>
      </c>
      <c r="B10" s="5">
        <v>405.76</v>
      </c>
      <c r="C10" s="5">
        <v>149.4</v>
      </c>
      <c r="D10" s="6">
        <v>21.68</v>
      </c>
    </row>
    <row r="11" spans="1:4">
      <c r="A11" s="7">
        <v>46090</v>
      </c>
      <c r="B11" s="8">
        <v>409.41</v>
      </c>
      <c r="C11" s="8">
        <v>151.56</v>
      </c>
      <c r="D11" s="9">
        <v>21.62</v>
      </c>
    </row>
    <row r="12" spans="1:4">
      <c r="A12" s="4">
        <v>46087</v>
      </c>
      <c r="B12" s="5">
        <v>408.96</v>
      </c>
      <c r="C12" s="5">
        <v>152.96</v>
      </c>
      <c r="D12" s="6">
        <v>21.48</v>
      </c>
    </row>
    <row r="13" spans="1:4">
      <c r="A13" s="7">
        <v>46086</v>
      </c>
      <c r="B13" s="8">
        <v>410.68</v>
      </c>
      <c r="C13" s="8">
        <v>154.79</v>
      </c>
      <c r="D13" s="9">
        <v>21.37</v>
      </c>
    </row>
    <row r="14" spans="1:4">
      <c r="A14" s="4">
        <v>46085</v>
      </c>
      <c r="B14" s="5">
        <v>405.2</v>
      </c>
      <c r="C14" s="5">
        <v>152.37</v>
      </c>
      <c r="D14" s="6">
        <v>21.99</v>
      </c>
    </row>
    <row r="15" spans="1:4">
      <c r="A15" s="7">
        <v>46084</v>
      </c>
      <c r="B15" s="8">
        <v>403.93</v>
      </c>
      <c r="C15" s="8">
        <v>149.01</v>
      </c>
      <c r="D15" s="9">
        <v>21.58</v>
      </c>
    </row>
    <row r="16" spans="1:4">
      <c r="A16" s="4">
        <v>46083</v>
      </c>
      <c r="B16" s="5">
        <v>398.55</v>
      </c>
      <c r="C16" s="5">
        <v>149.25</v>
      </c>
      <c r="D16" s="6">
        <v>22.69</v>
      </c>
    </row>
    <row r="17" spans="1:4">
      <c r="A17" s="7">
        <v>46080</v>
      </c>
      <c r="B17" s="8">
        <v>392.74</v>
      </c>
      <c r="C17" s="8">
        <v>145.4</v>
      </c>
      <c r="D17" s="9">
        <v>23.06</v>
      </c>
    </row>
    <row r="18" spans="1:4">
      <c r="A18" s="4">
        <v>46079</v>
      </c>
      <c r="B18" s="5">
        <v>401.72</v>
      </c>
      <c r="C18" s="5">
        <v>150.31</v>
      </c>
      <c r="D18" s="6">
        <v>22.59</v>
      </c>
    </row>
    <row r="19" spans="1:4">
      <c r="A19" s="7">
        <v>46078</v>
      </c>
      <c r="B19" s="8">
        <v>400.6</v>
      </c>
      <c r="C19" s="8">
        <v>147.88999999999999</v>
      </c>
      <c r="D19" s="9">
        <v>21.41</v>
      </c>
    </row>
    <row r="20" spans="1:4">
      <c r="A20" s="4">
        <v>46077</v>
      </c>
      <c r="B20" s="5">
        <v>389</v>
      </c>
      <c r="C20" s="5">
        <v>146.13999999999999</v>
      </c>
      <c r="D20" s="6">
        <v>21.6</v>
      </c>
    </row>
    <row r="21" spans="1:4">
      <c r="A21" s="7">
        <v>46076</v>
      </c>
      <c r="B21" s="8">
        <v>384.47</v>
      </c>
      <c r="C21" s="8">
        <v>141.31</v>
      </c>
      <c r="D21" s="9">
        <v>21.67</v>
      </c>
    </row>
    <row r="22" spans="1:4">
      <c r="A22" s="4">
        <v>46073</v>
      </c>
      <c r="B22" s="5">
        <v>397.23</v>
      </c>
      <c r="C22" s="5">
        <v>148.08000000000001</v>
      </c>
      <c r="D22" s="6">
        <v>21.93</v>
      </c>
    </row>
    <row r="23" spans="1:4">
      <c r="A23" s="7">
        <v>46072</v>
      </c>
      <c r="B23" s="8">
        <v>398.46</v>
      </c>
      <c r="C23" s="8">
        <v>156.54</v>
      </c>
      <c r="D23" s="9">
        <v>22.25</v>
      </c>
    </row>
    <row r="24" spans="1:4">
      <c r="A24" s="4">
        <v>46071</v>
      </c>
      <c r="B24" s="5">
        <v>399.6</v>
      </c>
      <c r="C24" s="5">
        <v>156.16999999999999</v>
      </c>
      <c r="D24" s="6">
        <v>22.5</v>
      </c>
    </row>
    <row r="25" spans="1:4">
      <c r="A25" s="7">
        <v>46070</v>
      </c>
      <c r="B25" s="8">
        <v>396.86</v>
      </c>
      <c r="C25" s="8">
        <v>153.97</v>
      </c>
      <c r="D25" s="9">
        <v>22.82</v>
      </c>
    </row>
    <row r="26" spans="1:4">
      <c r="A26" s="4">
        <v>46066</v>
      </c>
      <c r="B26" s="5">
        <v>401.32</v>
      </c>
      <c r="C26" s="5">
        <v>160.13999999999999</v>
      </c>
      <c r="D26" s="6">
        <v>23.19</v>
      </c>
    </row>
    <row r="27" spans="1:4">
      <c r="A27" s="7">
        <v>46065</v>
      </c>
      <c r="B27" s="8">
        <v>401.84</v>
      </c>
      <c r="C27" s="8">
        <v>156.47999999999999</v>
      </c>
      <c r="D27" s="9">
        <v>22.87</v>
      </c>
    </row>
    <row r="28" spans="1:4">
      <c r="A28" s="4">
        <v>46064</v>
      </c>
      <c r="B28" s="5">
        <v>404.37</v>
      </c>
      <c r="C28" s="5">
        <v>157.16</v>
      </c>
      <c r="D28" s="6">
        <v>22.95</v>
      </c>
    </row>
    <row r="29" spans="1:4">
      <c r="A29" s="7">
        <v>46063</v>
      </c>
      <c r="B29" s="8">
        <v>413.27</v>
      </c>
      <c r="C29" s="8">
        <v>159.88999999999999</v>
      </c>
      <c r="D29" s="9">
        <v>22.83</v>
      </c>
    </row>
    <row r="30" spans="1:4">
      <c r="A30" s="4">
        <v>46062</v>
      </c>
      <c r="B30" s="5">
        <v>413.6</v>
      </c>
      <c r="C30" s="5">
        <v>156.59</v>
      </c>
      <c r="D30" s="6">
        <v>22.33</v>
      </c>
    </row>
    <row r="31" spans="1:4">
      <c r="A31" s="7">
        <v>46059</v>
      </c>
      <c r="B31" s="8">
        <v>401.14</v>
      </c>
      <c r="C31" s="8">
        <v>142.82</v>
      </c>
      <c r="D31" s="9">
        <v>22.26</v>
      </c>
    </row>
    <row r="32" spans="1:4">
      <c r="A32" s="4">
        <v>46058</v>
      </c>
      <c r="B32" s="5">
        <v>393.67</v>
      </c>
      <c r="C32" s="5">
        <v>136.47999999999999</v>
      </c>
      <c r="D32" s="6">
        <v>21.24</v>
      </c>
    </row>
    <row r="33" spans="1:4">
      <c r="A33" s="7">
        <v>46057</v>
      </c>
      <c r="B33" s="8">
        <v>414.19</v>
      </c>
      <c r="C33" s="8">
        <v>146.66999999999999</v>
      </c>
      <c r="D33" s="9">
        <v>21.91</v>
      </c>
    </row>
    <row r="34" spans="1:4">
      <c r="A34" s="4">
        <v>46056</v>
      </c>
      <c r="B34" s="5">
        <v>411.21</v>
      </c>
      <c r="C34" s="5">
        <v>154.66999999999999</v>
      </c>
      <c r="D34" s="6">
        <v>21.93</v>
      </c>
    </row>
    <row r="35" spans="1:4">
      <c r="A35" s="7">
        <v>46055</v>
      </c>
      <c r="B35" s="8">
        <v>423.37</v>
      </c>
      <c r="C35" s="8">
        <v>160.06</v>
      </c>
      <c r="D35" s="9">
        <v>22.12</v>
      </c>
    </row>
    <row r="36" spans="1:4">
      <c r="A36" s="4">
        <v>46052</v>
      </c>
      <c r="B36" s="5">
        <v>430.29</v>
      </c>
      <c r="C36" s="5">
        <v>164.58</v>
      </c>
      <c r="D36" s="6">
        <v>22.1</v>
      </c>
    </row>
    <row r="37" spans="1:4">
      <c r="A37" s="7">
        <v>46051</v>
      </c>
      <c r="B37" s="8">
        <v>433.5</v>
      </c>
      <c r="C37" s="8">
        <v>169.01</v>
      </c>
      <c r="D37" s="9">
        <v>22.29</v>
      </c>
    </row>
    <row r="38" spans="1:4">
      <c r="A38" s="4">
        <v>46050</v>
      </c>
      <c r="B38" s="5">
        <v>481.63</v>
      </c>
      <c r="C38" s="5">
        <v>172.8</v>
      </c>
      <c r="D38" s="6">
        <v>22.28</v>
      </c>
    </row>
    <row r="39" spans="1:4">
      <c r="A39" s="7">
        <v>46049</v>
      </c>
      <c r="B39" s="8">
        <v>480.58</v>
      </c>
      <c r="C39" s="8">
        <v>174.9</v>
      </c>
      <c r="D39" s="9">
        <v>22.6</v>
      </c>
    </row>
    <row r="40" spans="1:4">
      <c r="A40" s="4">
        <v>46048</v>
      </c>
      <c r="B40" s="5">
        <v>470.28</v>
      </c>
      <c r="C40" s="5">
        <v>182.44</v>
      </c>
      <c r="D40" s="6">
        <v>22.96</v>
      </c>
    </row>
    <row r="41" spans="1:4">
      <c r="A41" s="7">
        <v>46045</v>
      </c>
      <c r="B41" s="8">
        <v>465.95</v>
      </c>
      <c r="C41" s="8">
        <v>177.16</v>
      </c>
      <c r="D41" s="9">
        <v>23.09</v>
      </c>
    </row>
    <row r="42" spans="1:4">
      <c r="A42" s="4">
        <v>46044</v>
      </c>
      <c r="B42" s="5">
        <v>451.14</v>
      </c>
      <c r="C42" s="5">
        <v>178.18</v>
      </c>
      <c r="D42" s="6">
        <v>22.96</v>
      </c>
    </row>
    <row r="43" spans="1:4">
      <c r="A43" s="7">
        <v>46043</v>
      </c>
      <c r="B43" s="8">
        <v>444.11</v>
      </c>
      <c r="C43" s="8">
        <v>173.88</v>
      </c>
      <c r="D43" s="9">
        <v>23.68</v>
      </c>
    </row>
    <row r="44" spans="1:4">
      <c r="A44" s="4">
        <v>46042</v>
      </c>
      <c r="B44" s="5">
        <v>454.52</v>
      </c>
      <c r="C44" s="5">
        <v>179.92</v>
      </c>
      <c r="D44" s="6">
        <v>23.72</v>
      </c>
    </row>
    <row r="45" spans="1:4">
      <c r="A45" s="7">
        <v>46038</v>
      </c>
      <c r="B45" s="8">
        <v>459.86</v>
      </c>
      <c r="C45" s="8">
        <v>191.09</v>
      </c>
      <c r="D45" s="9">
        <v>24.05</v>
      </c>
    </row>
    <row r="46" spans="1:4">
      <c r="A46" s="4">
        <v>46037</v>
      </c>
      <c r="B46" s="5">
        <v>456.66</v>
      </c>
      <c r="C46" s="5">
        <v>189.85</v>
      </c>
      <c r="D46" s="6">
        <v>24.12</v>
      </c>
    </row>
    <row r="47" spans="1:4">
      <c r="A47" s="7">
        <v>46036</v>
      </c>
      <c r="B47" s="8">
        <v>459.38</v>
      </c>
      <c r="C47" s="8">
        <v>193.61</v>
      </c>
      <c r="D47" s="9">
        <v>24.09</v>
      </c>
    </row>
    <row r="48" spans="1:4">
      <c r="A48" s="4">
        <v>46035</v>
      </c>
      <c r="B48" s="5">
        <v>470.67</v>
      </c>
      <c r="C48" s="5">
        <v>202.29</v>
      </c>
      <c r="D48" s="6">
        <v>24.41</v>
      </c>
    </row>
    <row r="49" spans="1:4">
      <c r="A49" s="7">
        <v>46034</v>
      </c>
      <c r="B49" s="8">
        <v>477.18</v>
      </c>
      <c r="C49" s="8">
        <v>204.68</v>
      </c>
      <c r="D49" s="9">
        <v>25.18</v>
      </c>
    </row>
    <row r="50" spans="1:4">
      <c r="A50" s="4">
        <v>46031</v>
      </c>
      <c r="B50" s="5">
        <v>479.28</v>
      </c>
      <c r="C50" s="5">
        <v>198.52</v>
      </c>
      <c r="D50" s="6">
        <v>25.04</v>
      </c>
    </row>
    <row r="51" spans="1:4">
      <c r="A51" s="7">
        <v>46030</v>
      </c>
      <c r="B51" s="8">
        <v>478.11</v>
      </c>
      <c r="C51" s="8">
        <v>189.65</v>
      </c>
      <c r="D51" s="9">
        <v>25.25</v>
      </c>
    </row>
    <row r="52" spans="1:4">
      <c r="A52" s="4">
        <v>46029</v>
      </c>
      <c r="B52" s="5">
        <v>483.47</v>
      </c>
      <c r="C52" s="5">
        <v>192.84</v>
      </c>
      <c r="D52" s="6">
        <v>25.12</v>
      </c>
    </row>
    <row r="53" spans="1:4">
      <c r="A53" s="7">
        <v>46028</v>
      </c>
      <c r="B53" s="8">
        <v>478.51</v>
      </c>
      <c r="C53" s="8">
        <v>193.75</v>
      </c>
      <c r="D53" s="9">
        <v>25.74</v>
      </c>
    </row>
    <row r="54" spans="1:4">
      <c r="A54" s="4">
        <v>46027</v>
      </c>
      <c r="B54" s="5">
        <v>472.85</v>
      </c>
      <c r="C54" s="5">
        <v>192.59</v>
      </c>
      <c r="D54" s="6">
        <v>25.83</v>
      </c>
    </row>
    <row r="55" spans="1:4">
      <c r="A55" s="7">
        <v>46024</v>
      </c>
      <c r="B55" s="8">
        <v>472.94</v>
      </c>
      <c r="C55" s="8">
        <v>195.71</v>
      </c>
      <c r="D55" s="9">
        <v>25.88</v>
      </c>
    </row>
    <row r="56" spans="1:4">
      <c r="A56" s="4">
        <v>46022</v>
      </c>
      <c r="B56" s="5">
        <v>483.62</v>
      </c>
      <c r="C56" s="5">
        <v>194.91</v>
      </c>
      <c r="D56" s="6">
        <v>25.6</v>
      </c>
    </row>
    <row r="57" spans="1:4">
      <c r="A57" s="7">
        <v>46021</v>
      </c>
      <c r="B57" s="8">
        <v>487.48</v>
      </c>
      <c r="C57" s="8">
        <v>197.21</v>
      </c>
      <c r="D57" s="9">
        <v>25.72</v>
      </c>
    </row>
    <row r="58" spans="1:4">
      <c r="A58" s="4">
        <v>46020</v>
      </c>
      <c r="B58" s="5">
        <v>487.1</v>
      </c>
      <c r="C58" s="5">
        <v>195.38</v>
      </c>
      <c r="D58" s="6">
        <v>25.77</v>
      </c>
    </row>
    <row r="59" spans="1:4">
      <c r="A59" s="7">
        <v>46017</v>
      </c>
      <c r="B59" s="8">
        <v>487.71</v>
      </c>
      <c r="C59" s="8">
        <v>197.99</v>
      </c>
      <c r="D59" s="9">
        <v>25.82</v>
      </c>
    </row>
    <row r="60" spans="1:4">
      <c r="A60" s="4">
        <v>46015</v>
      </c>
      <c r="B60" s="5">
        <v>488.02</v>
      </c>
      <c r="C60" s="5">
        <v>197.49</v>
      </c>
      <c r="D60" s="6">
        <v>25.7</v>
      </c>
    </row>
    <row r="61" spans="1:4">
      <c r="A61" s="7">
        <v>46014</v>
      </c>
      <c r="B61" s="8">
        <v>486.85</v>
      </c>
      <c r="C61" s="8">
        <v>195.34</v>
      </c>
      <c r="D61" s="9">
        <v>25.76</v>
      </c>
    </row>
    <row r="62" spans="1:4">
      <c r="A62" s="4">
        <v>46013</v>
      </c>
      <c r="B62" s="5">
        <v>484.92</v>
      </c>
      <c r="C62" s="5">
        <v>198.38</v>
      </c>
      <c r="D62" s="6">
        <v>25.23</v>
      </c>
    </row>
    <row r="63" spans="1:4">
      <c r="A63" s="7">
        <v>46010</v>
      </c>
      <c r="B63" s="8">
        <v>485.92</v>
      </c>
      <c r="C63" s="8">
        <v>191.97</v>
      </c>
      <c r="D63" s="9">
        <v>25.4</v>
      </c>
    </row>
    <row r="64" spans="1:4">
      <c r="A64" s="4">
        <v>46009</v>
      </c>
      <c r="B64" s="5">
        <v>483.98</v>
      </c>
      <c r="C64" s="5">
        <v>180.03</v>
      </c>
      <c r="D64" s="6">
        <v>25.91</v>
      </c>
    </row>
    <row r="65" spans="1:4">
      <c r="A65" s="7">
        <v>46008</v>
      </c>
      <c r="B65" s="8">
        <v>476.12</v>
      </c>
      <c r="C65" s="8">
        <v>178.46</v>
      </c>
      <c r="D65" s="9">
        <v>25.96</v>
      </c>
    </row>
    <row r="66" spans="1:4">
      <c r="A66" s="4">
        <v>46007</v>
      </c>
      <c r="B66" s="5">
        <v>476.39</v>
      </c>
      <c r="C66" s="5">
        <v>188.65</v>
      </c>
      <c r="D66" s="6">
        <v>26.45</v>
      </c>
    </row>
    <row r="67" spans="1:4">
      <c r="A67" s="7">
        <v>46006</v>
      </c>
      <c r="B67" s="8">
        <v>474.82</v>
      </c>
      <c r="C67" s="8">
        <v>184.92</v>
      </c>
      <c r="D67" s="9">
        <v>26.64</v>
      </c>
    </row>
    <row r="68" spans="1:4">
      <c r="A68" s="4">
        <v>46003</v>
      </c>
      <c r="B68" s="5">
        <v>478.53</v>
      </c>
      <c r="C68" s="5">
        <v>189.97</v>
      </c>
      <c r="D68" s="6">
        <v>26.77</v>
      </c>
    </row>
    <row r="69" spans="1:4">
      <c r="A69" s="7">
        <v>46002</v>
      </c>
      <c r="B69" s="8">
        <v>483.47</v>
      </c>
      <c r="C69" s="8">
        <v>198.85</v>
      </c>
      <c r="D69" s="9">
        <v>26.73</v>
      </c>
    </row>
    <row r="70" spans="1:4">
      <c r="A70" s="4">
        <v>46001</v>
      </c>
      <c r="B70" s="5">
        <v>478.56</v>
      </c>
      <c r="C70" s="5">
        <v>223.01</v>
      </c>
      <c r="D70" s="6">
        <v>27.08</v>
      </c>
    </row>
    <row r="71" spans="1:4">
      <c r="A71" s="7">
        <v>46000</v>
      </c>
      <c r="B71" s="8">
        <v>492.02</v>
      </c>
      <c r="C71" s="8">
        <v>221.53</v>
      </c>
      <c r="D71" s="9">
        <v>27.56</v>
      </c>
    </row>
    <row r="72" spans="1:4">
      <c r="A72" s="4">
        <v>45999</v>
      </c>
      <c r="B72" s="5">
        <v>491.02</v>
      </c>
      <c r="C72" s="5">
        <v>220.54</v>
      </c>
      <c r="D72" s="6">
        <v>27.55</v>
      </c>
    </row>
    <row r="73" spans="1:4">
      <c r="A73" s="7">
        <v>45996</v>
      </c>
      <c r="B73" s="8">
        <v>483.16</v>
      </c>
      <c r="C73" s="8">
        <v>217.58</v>
      </c>
      <c r="D73" s="9">
        <v>28.03</v>
      </c>
    </row>
    <row r="74" spans="1:4">
      <c r="A74" s="4">
        <v>45995</v>
      </c>
      <c r="B74" s="5">
        <v>480.84</v>
      </c>
      <c r="C74" s="5">
        <v>214.33</v>
      </c>
      <c r="D74" s="6">
        <v>28.29</v>
      </c>
    </row>
    <row r="75" spans="1:4">
      <c r="A75" s="7">
        <v>45994</v>
      </c>
      <c r="B75" s="8">
        <v>477.73</v>
      </c>
      <c r="C75" s="8">
        <v>207.73</v>
      </c>
      <c r="D75" s="9">
        <v>28.46</v>
      </c>
    </row>
    <row r="76" spans="1:4">
      <c r="A76" s="4">
        <v>45993</v>
      </c>
      <c r="B76" s="5">
        <v>490</v>
      </c>
      <c r="C76" s="5">
        <v>201.1</v>
      </c>
      <c r="D76" s="6">
        <v>28.57</v>
      </c>
    </row>
    <row r="77" spans="1:4">
      <c r="A77" s="7">
        <v>45992</v>
      </c>
      <c r="B77" s="8">
        <v>486.74</v>
      </c>
      <c r="C77" s="8">
        <v>200.94</v>
      </c>
      <c r="D77" s="9">
        <v>28.78</v>
      </c>
    </row>
    <row r="78" spans="1:4">
      <c r="A78" s="4">
        <v>45989</v>
      </c>
      <c r="B78" s="5">
        <v>492.01</v>
      </c>
      <c r="C78" s="5">
        <v>201.95</v>
      </c>
      <c r="D78" s="6">
        <v>29.35</v>
      </c>
    </row>
    <row r="79" spans="1:4">
      <c r="A79" s="7">
        <v>45987</v>
      </c>
      <c r="B79" s="8">
        <v>485.5</v>
      </c>
      <c r="C79" s="8">
        <v>204.96</v>
      </c>
      <c r="D79" s="9">
        <v>29.08</v>
      </c>
    </row>
    <row r="80" spans="1:4">
      <c r="A80" s="4">
        <v>45986</v>
      </c>
      <c r="B80" s="5">
        <v>476.99</v>
      </c>
      <c r="C80" s="5">
        <v>197.03</v>
      </c>
      <c r="D80" s="6">
        <v>28.6</v>
      </c>
    </row>
    <row r="81" spans="1:4">
      <c r="A81" s="7">
        <v>45985</v>
      </c>
      <c r="B81" s="8">
        <v>474</v>
      </c>
      <c r="C81" s="8">
        <v>200.28</v>
      </c>
      <c r="D81" s="9">
        <v>29.01</v>
      </c>
    </row>
    <row r="82" spans="1:4">
      <c r="A82" s="4">
        <v>45982</v>
      </c>
      <c r="B82" s="5">
        <v>472.12</v>
      </c>
      <c r="C82" s="5">
        <v>198.76</v>
      </c>
      <c r="D82" s="6">
        <v>28.53</v>
      </c>
    </row>
    <row r="83" spans="1:4">
      <c r="A83" s="7">
        <v>45981</v>
      </c>
      <c r="B83" s="8">
        <v>478.43</v>
      </c>
      <c r="C83" s="8">
        <v>210.69</v>
      </c>
      <c r="D83" s="9">
        <v>27.75</v>
      </c>
    </row>
    <row r="84" spans="1:4">
      <c r="A84" s="4">
        <v>45980</v>
      </c>
      <c r="B84" s="5">
        <v>487.12</v>
      </c>
      <c r="C84" s="5">
        <v>225.53</v>
      </c>
      <c r="D84" s="6">
        <v>28.55</v>
      </c>
    </row>
    <row r="85" spans="1:4">
      <c r="A85" s="7">
        <v>45979</v>
      </c>
      <c r="B85" s="8">
        <v>493.79</v>
      </c>
      <c r="C85" s="8">
        <v>220.49</v>
      </c>
      <c r="D85" s="9">
        <v>28.67</v>
      </c>
    </row>
    <row r="86" spans="1:4">
      <c r="A86" s="4">
        <v>45978</v>
      </c>
      <c r="B86" s="5">
        <v>507.49</v>
      </c>
      <c r="C86" s="5">
        <v>219.86</v>
      </c>
      <c r="D86" s="6">
        <v>29.09</v>
      </c>
    </row>
    <row r="87" spans="1:4">
      <c r="A87" s="7">
        <v>45975</v>
      </c>
      <c r="B87" s="8">
        <v>510.18</v>
      </c>
      <c r="C87" s="8">
        <v>222.85</v>
      </c>
      <c r="D87" s="9">
        <v>30.12</v>
      </c>
    </row>
    <row r="88" spans="1:4">
      <c r="A88" s="4">
        <v>45974</v>
      </c>
      <c r="B88" s="5">
        <v>503.29</v>
      </c>
      <c r="C88" s="5">
        <v>217.57</v>
      </c>
      <c r="D88" s="6">
        <v>29.44</v>
      </c>
    </row>
    <row r="89" spans="1:4">
      <c r="A89" s="7">
        <v>45973</v>
      </c>
      <c r="B89" s="8">
        <v>511.14</v>
      </c>
      <c r="C89" s="8">
        <v>226.99</v>
      </c>
      <c r="D89" s="9">
        <v>30.26</v>
      </c>
    </row>
    <row r="90" spans="1:4">
      <c r="A90" s="4">
        <v>45972</v>
      </c>
      <c r="B90" s="5">
        <v>508.68</v>
      </c>
      <c r="C90" s="5">
        <v>236.15</v>
      </c>
      <c r="D90" s="6">
        <v>29.16</v>
      </c>
    </row>
    <row r="91" spans="1:4">
      <c r="A91" s="7">
        <v>45971</v>
      </c>
      <c r="B91" s="8">
        <v>506</v>
      </c>
      <c r="C91" s="8">
        <v>240.83</v>
      </c>
      <c r="D91" s="9">
        <v>27.97</v>
      </c>
    </row>
    <row r="92" spans="1:4">
      <c r="A92" s="4">
        <v>45968</v>
      </c>
      <c r="B92" s="5">
        <v>496.82</v>
      </c>
      <c r="C92" s="5">
        <v>239.26</v>
      </c>
      <c r="D92" s="6">
        <v>27.71</v>
      </c>
    </row>
    <row r="93" spans="1:4">
      <c r="A93" s="7">
        <v>45967</v>
      </c>
      <c r="B93" s="8">
        <v>497.1</v>
      </c>
      <c r="C93" s="8">
        <v>243.8</v>
      </c>
      <c r="D93" s="9">
        <v>28.29</v>
      </c>
    </row>
    <row r="94" spans="1:4">
      <c r="A94" s="4">
        <v>45966</v>
      </c>
      <c r="B94" s="5">
        <v>507.16</v>
      </c>
      <c r="C94" s="5">
        <v>250.31</v>
      </c>
      <c r="D94" s="6">
        <v>28.08</v>
      </c>
    </row>
    <row r="95" spans="1:4">
      <c r="A95" s="7">
        <v>45965</v>
      </c>
      <c r="B95" s="8">
        <v>514.33000000000004</v>
      </c>
      <c r="C95" s="8">
        <v>248.17</v>
      </c>
      <c r="D95" s="9">
        <v>27.91</v>
      </c>
    </row>
    <row r="96" spans="1:4">
      <c r="A96" s="4">
        <v>45964</v>
      </c>
      <c r="B96" s="5">
        <v>517.03</v>
      </c>
      <c r="C96" s="5">
        <v>257.85000000000002</v>
      </c>
      <c r="D96" s="6">
        <v>27.95</v>
      </c>
    </row>
    <row r="97" spans="1:4">
      <c r="A97" s="7">
        <v>45961</v>
      </c>
      <c r="B97" s="8">
        <v>517.80999999999995</v>
      </c>
      <c r="C97" s="8">
        <v>262.61</v>
      </c>
      <c r="D97" s="9">
        <v>27.89</v>
      </c>
    </row>
    <row r="98" spans="1:4">
      <c r="A98" s="4">
        <v>45960</v>
      </c>
      <c r="B98" s="5">
        <v>525.76</v>
      </c>
      <c r="C98" s="5">
        <v>256.89</v>
      </c>
      <c r="D98" s="6">
        <v>27.75</v>
      </c>
    </row>
    <row r="99" spans="1:4">
      <c r="A99" s="7">
        <v>45959</v>
      </c>
      <c r="B99" s="8">
        <v>541.54999999999995</v>
      </c>
      <c r="C99" s="8">
        <v>275.3</v>
      </c>
      <c r="D99" s="9">
        <v>28.18</v>
      </c>
    </row>
    <row r="100" spans="1:4">
      <c r="A100" s="4">
        <v>45958</v>
      </c>
      <c r="B100" s="5">
        <v>542.07000000000005</v>
      </c>
      <c r="C100" s="5">
        <v>280.83</v>
      </c>
      <c r="D100" s="6">
        <v>28.99</v>
      </c>
    </row>
    <row r="101" spans="1:4">
      <c r="A101" s="7">
        <v>45957</v>
      </c>
      <c r="B101" s="8">
        <v>531.52</v>
      </c>
      <c r="C101" s="8">
        <v>281.39999999999998</v>
      </c>
      <c r="D101" s="9">
        <v>28.7</v>
      </c>
    </row>
    <row r="102" spans="1:4">
      <c r="A102" s="4">
        <v>45954</v>
      </c>
      <c r="B102" s="5">
        <v>523.61</v>
      </c>
      <c r="C102" s="5">
        <v>283.33</v>
      </c>
      <c r="D102" s="6">
        <v>28.65</v>
      </c>
    </row>
    <row r="103" spans="1:4">
      <c r="A103" s="7">
        <v>45953</v>
      </c>
      <c r="B103" s="8">
        <v>520.55999999999995</v>
      </c>
      <c r="C103" s="8">
        <v>280.07</v>
      </c>
      <c r="D103" s="9">
        <v>28.71</v>
      </c>
    </row>
    <row r="104" spans="1:4">
      <c r="A104" s="4">
        <v>45952</v>
      </c>
      <c r="B104" s="5">
        <v>520.54</v>
      </c>
      <c r="C104" s="5">
        <v>272.66000000000003</v>
      </c>
      <c r="D104" s="6">
        <v>28.75</v>
      </c>
    </row>
    <row r="105" spans="1:4">
      <c r="A105" s="7">
        <v>45951</v>
      </c>
      <c r="B105" s="8">
        <v>517.66</v>
      </c>
      <c r="C105" s="8">
        <v>275.14999999999998</v>
      </c>
      <c r="D105" s="9">
        <v>29.14</v>
      </c>
    </row>
    <row r="106" spans="1:4">
      <c r="A106" s="4">
        <v>45950</v>
      </c>
      <c r="B106" s="5">
        <v>516.79</v>
      </c>
      <c r="C106" s="5">
        <v>277.18</v>
      </c>
      <c r="D106" s="6">
        <v>29.19</v>
      </c>
    </row>
    <row r="107" spans="1:4">
      <c r="A107" s="7">
        <v>45947</v>
      </c>
      <c r="B107" s="8">
        <v>513.58000000000004</v>
      </c>
      <c r="C107" s="8">
        <v>291.31</v>
      </c>
      <c r="D107" s="9">
        <v>28.9</v>
      </c>
    </row>
    <row r="108" spans="1:4">
      <c r="A108" s="4">
        <v>45946</v>
      </c>
      <c r="B108" s="5">
        <v>511.61</v>
      </c>
      <c r="C108" s="5">
        <v>313</v>
      </c>
      <c r="D108" s="6">
        <v>28.5</v>
      </c>
    </row>
    <row r="109" spans="1:4">
      <c r="A109" s="7">
        <v>45945</v>
      </c>
      <c r="B109" s="8">
        <v>513.42999999999995</v>
      </c>
      <c r="C109" s="8">
        <v>303.62</v>
      </c>
      <c r="D109" s="9">
        <v>28.89</v>
      </c>
    </row>
    <row r="110" spans="1:4">
      <c r="A110" s="4">
        <v>45944</v>
      </c>
      <c r="B110" s="5">
        <v>513.57000000000005</v>
      </c>
      <c r="C110" s="5">
        <v>299</v>
      </c>
      <c r="D110" s="6">
        <v>28.83</v>
      </c>
    </row>
    <row r="111" spans="1:4">
      <c r="A111" s="7">
        <v>45943</v>
      </c>
      <c r="B111" s="8">
        <v>514.04999999999995</v>
      </c>
      <c r="C111" s="8">
        <v>308.01</v>
      </c>
      <c r="D111" s="9">
        <v>28.87</v>
      </c>
    </row>
    <row r="112" spans="1:4">
      <c r="A112" s="4">
        <v>45940</v>
      </c>
      <c r="B112" s="5">
        <v>510.96</v>
      </c>
      <c r="C112" s="5">
        <v>292.95999999999998</v>
      </c>
      <c r="D112" s="6">
        <v>28.25</v>
      </c>
    </row>
    <row r="113" spans="1:4">
      <c r="A113" s="7">
        <v>45939</v>
      </c>
      <c r="B113" s="8">
        <v>522.4</v>
      </c>
      <c r="C113" s="8">
        <v>296.95999999999998</v>
      </c>
      <c r="D113" s="9">
        <v>29.84</v>
      </c>
    </row>
    <row r="114" spans="1:4">
      <c r="A114" s="4">
        <v>45938</v>
      </c>
      <c r="B114" s="5">
        <v>524.85</v>
      </c>
      <c r="C114" s="5">
        <v>288.63</v>
      </c>
      <c r="D114" s="6">
        <v>29.75</v>
      </c>
    </row>
    <row r="115" spans="1:4">
      <c r="A115" s="7">
        <v>45937</v>
      </c>
      <c r="B115" s="8">
        <v>523.98</v>
      </c>
      <c r="C115" s="8">
        <v>284.24</v>
      </c>
      <c r="D115" s="9">
        <v>29.74</v>
      </c>
    </row>
    <row r="116" spans="1:4">
      <c r="A116" s="4">
        <v>45936</v>
      </c>
      <c r="B116" s="5">
        <v>528.57000000000005</v>
      </c>
      <c r="C116" s="5">
        <v>291.58999999999997</v>
      </c>
      <c r="D116" s="6">
        <v>30.1</v>
      </c>
    </row>
    <row r="117" spans="1:4">
      <c r="A117" s="7">
        <v>45933</v>
      </c>
      <c r="B117" s="8">
        <v>517.35</v>
      </c>
      <c r="C117" s="8">
        <v>286.14</v>
      </c>
      <c r="D117" s="9">
        <v>28.96</v>
      </c>
    </row>
    <row r="118" spans="1:4">
      <c r="A118" s="4">
        <v>45932</v>
      </c>
      <c r="B118" s="5">
        <v>515.74</v>
      </c>
      <c r="C118" s="5">
        <v>288.77999999999997</v>
      </c>
      <c r="D118" s="6">
        <v>28.08</v>
      </c>
    </row>
    <row r="119" spans="1:4">
      <c r="A119" s="7">
        <v>45931</v>
      </c>
      <c r="B119" s="8">
        <v>519.71</v>
      </c>
      <c r="C119" s="8">
        <v>289.01</v>
      </c>
      <c r="D119" s="9">
        <v>28.74</v>
      </c>
    </row>
    <row r="120" spans="1:4">
      <c r="A120" s="4">
        <v>45930</v>
      </c>
      <c r="B120" s="5">
        <v>517.95000000000005</v>
      </c>
      <c r="C120" s="5">
        <v>281.24</v>
      </c>
      <c r="D120" s="6">
        <v>28.79</v>
      </c>
    </row>
    <row r="121" spans="1:4">
      <c r="A121" s="7">
        <v>45929</v>
      </c>
      <c r="B121" s="8">
        <v>514.6</v>
      </c>
      <c r="C121" s="8">
        <v>282.76</v>
      </c>
      <c r="D121" s="9">
        <v>29.1</v>
      </c>
    </row>
    <row r="122" spans="1:4">
      <c r="A122" s="4">
        <v>45926</v>
      </c>
      <c r="B122" s="5">
        <v>511.46</v>
      </c>
      <c r="C122" s="5">
        <v>283.45999999999998</v>
      </c>
      <c r="D122" s="6">
        <v>29.04</v>
      </c>
    </row>
    <row r="123" spans="1:4">
      <c r="A123" s="7">
        <v>45925</v>
      </c>
      <c r="B123" s="8">
        <v>507.03</v>
      </c>
      <c r="C123" s="8">
        <v>291.33</v>
      </c>
      <c r="D123" s="9">
        <v>29.088799999999999</v>
      </c>
    </row>
    <row r="124" spans="1:4">
      <c r="A124" s="4">
        <v>45924</v>
      </c>
      <c r="B124" s="5">
        <v>510.15</v>
      </c>
      <c r="C124" s="5">
        <v>308.45999999999998</v>
      </c>
      <c r="D124" s="6">
        <v>28.610900000000001</v>
      </c>
    </row>
    <row r="125" spans="1:4">
      <c r="A125" s="7">
        <v>45923</v>
      </c>
      <c r="B125" s="8">
        <v>509.23</v>
      </c>
      <c r="C125" s="8">
        <v>313.83</v>
      </c>
      <c r="D125" s="9">
        <v>29.020499999999998</v>
      </c>
    </row>
    <row r="126" spans="1:4">
      <c r="A126" s="4">
        <v>45922</v>
      </c>
      <c r="B126" s="5">
        <v>514.45000000000005</v>
      </c>
      <c r="C126" s="5">
        <v>328.15</v>
      </c>
      <c r="D126" s="6">
        <v>28.991199999999999</v>
      </c>
    </row>
    <row r="127" spans="1:4">
      <c r="A127" s="7">
        <v>45919</v>
      </c>
      <c r="B127" s="8">
        <v>517.92999999999995</v>
      </c>
      <c r="C127" s="8">
        <v>308.66000000000003</v>
      </c>
      <c r="D127" s="9">
        <v>28.630400000000002</v>
      </c>
    </row>
    <row r="128" spans="1:4">
      <c r="A128" s="4">
        <v>45918</v>
      </c>
      <c r="B128" s="5">
        <v>508.45</v>
      </c>
      <c r="C128" s="5">
        <v>296.62</v>
      </c>
      <c r="D128" s="6">
        <v>29.322800000000001</v>
      </c>
    </row>
    <row r="129" spans="1:4">
      <c r="A129" s="7">
        <v>45917</v>
      </c>
      <c r="B129" s="8">
        <v>510.02</v>
      </c>
      <c r="C129" s="8">
        <v>301.41000000000003</v>
      </c>
      <c r="D129" s="9">
        <v>28.435400000000001</v>
      </c>
    </row>
    <row r="130" spans="1:4">
      <c r="A130" s="4">
        <v>45916</v>
      </c>
      <c r="B130" s="5">
        <v>509.04</v>
      </c>
      <c r="C130" s="5">
        <v>306.64999999999998</v>
      </c>
      <c r="D130" s="6">
        <v>28.103899999999999</v>
      </c>
    </row>
    <row r="131" spans="1:4">
      <c r="A131" s="7">
        <v>45915</v>
      </c>
      <c r="B131" s="8">
        <v>515.36</v>
      </c>
      <c r="C131" s="8">
        <v>302.14</v>
      </c>
      <c r="D131" s="9">
        <v>28.610900000000001</v>
      </c>
    </row>
    <row r="132" spans="1:4">
      <c r="A132" s="4">
        <v>45912</v>
      </c>
      <c r="B132" s="5">
        <v>509.9</v>
      </c>
      <c r="C132" s="5">
        <v>292.18</v>
      </c>
      <c r="D132" s="6">
        <v>28.484200000000001</v>
      </c>
    </row>
    <row r="133" spans="1:4">
      <c r="A133" s="7">
        <v>45911</v>
      </c>
      <c r="B133" s="8">
        <v>501.01</v>
      </c>
      <c r="C133" s="8">
        <v>307.86</v>
      </c>
      <c r="D133" s="9">
        <v>28.464700000000001</v>
      </c>
    </row>
    <row r="134" spans="1:4">
      <c r="A134" s="4">
        <v>45910</v>
      </c>
      <c r="B134" s="5">
        <v>500.37</v>
      </c>
      <c r="C134" s="5">
        <v>328.33</v>
      </c>
      <c r="D134" s="6">
        <v>27.938099999999999</v>
      </c>
    </row>
    <row r="135" spans="1:4">
      <c r="A135" s="7">
        <v>45909</v>
      </c>
      <c r="B135" s="8">
        <v>498.41</v>
      </c>
      <c r="C135" s="8">
        <v>241.51</v>
      </c>
      <c r="D135" s="9">
        <v>27.996600000000001</v>
      </c>
    </row>
    <row r="136" spans="1:4">
      <c r="A136" s="4">
        <v>45908</v>
      </c>
      <c r="B136" s="5">
        <v>498.2</v>
      </c>
      <c r="C136" s="5">
        <v>238.48</v>
      </c>
      <c r="D136" s="6">
        <v>27.957599999999999</v>
      </c>
    </row>
    <row r="137" spans="1:4">
      <c r="A137" s="7">
        <v>45905</v>
      </c>
      <c r="B137" s="8">
        <v>495</v>
      </c>
      <c r="C137" s="8">
        <v>232.8</v>
      </c>
      <c r="D137" s="9">
        <v>26.884899999999998</v>
      </c>
    </row>
    <row r="138" spans="1:4">
      <c r="A138" s="4">
        <v>45904</v>
      </c>
      <c r="B138" s="5">
        <v>507.97</v>
      </c>
      <c r="C138" s="5">
        <v>223</v>
      </c>
      <c r="D138" s="6">
        <v>27.148199999999999</v>
      </c>
    </row>
    <row r="139" spans="1:4">
      <c r="A139" s="7">
        <v>45903</v>
      </c>
      <c r="B139" s="8">
        <v>505.35</v>
      </c>
      <c r="C139" s="8">
        <v>223.45</v>
      </c>
      <c r="D139" s="9">
        <v>26.3583</v>
      </c>
    </row>
    <row r="140" spans="1:4">
      <c r="A140" s="4">
        <v>45902</v>
      </c>
      <c r="B140" s="5">
        <v>505.12</v>
      </c>
      <c r="C140" s="5">
        <v>225.3</v>
      </c>
      <c r="D140" s="6">
        <v>26.2803</v>
      </c>
    </row>
    <row r="141" spans="1:4">
      <c r="A141" s="7">
        <v>45898</v>
      </c>
      <c r="B141" s="8">
        <v>506.69</v>
      </c>
      <c r="C141" s="8">
        <v>226.13</v>
      </c>
      <c r="D141" s="9">
        <v>26.836200000000002</v>
      </c>
    </row>
    <row r="142" spans="1:4">
      <c r="A142" s="4">
        <v>45897</v>
      </c>
      <c r="B142" s="5">
        <v>509.64</v>
      </c>
      <c r="C142" s="5">
        <v>240.32</v>
      </c>
      <c r="D142" s="6">
        <v>27.304200000000002</v>
      </c>
    </row>
    <row r="143" spans="1:4">
      <c r="A143" s="7">
        <v>45896</v>
      </c>
      <c r="B143" s="8">
        <v>506.74</v>
      </c>
      <c r="C143" s="8">
        <v>235.81</v>
      </c>
      <c r="D143" s="9">
        <v>27.148199999999999</v>
      </c>
    </row>
    <row r="144" spans="1:4">
      <c r="A144" s="4">
        <v>45895</v>
      </c>
      <c r="B144" s="5">
        <v>502.04</v>
      </c>
      <c r="C144" s="5">
        <v>234.21</v>
      </c>
      <c r="D144" s="6">
        <v>27.187200000000001</v>
      </c>
    </row>
    <row r="145" spans="1:4">
      <c r="A145" s="7">
        <v>45894</v>
      </c>
      <c r="B145" s="8">
        <v>504.26</v>
      </c>
      <c r="C145" s="8">
        <v>235.41</v>
      </c>
      <c r="D145" s="9">
        <v>27.421199999999999</v>
      </c>
    </row>
    <row r="146" spans="1:4">
      <c r="A146" s="4">
        <v>45891</v>
      </c>
      <c r="B146" s="5">
        <v>507.23</v>
      </c>
      <c r="C146" s="5">
        <v>236.37</v>
      </c>
      <c r="D146" s="6">
        <v>27.899100000000001</v>
      </c>
    </row>
    <row r="147" spans="1:4">
      <c r="A147" s="7">
        <v>45890</v>
      </c>
      <c r="B147" s="8">
        <v>504.24</v>
      </c>
      <c r="C147" s="8">
        <v>233.16</v>
      </c>
      <c r="D147" s="9">
        <v>26.9434</v>
      </c>
    </row>
    <row r="148" spans="1:4">
      <c r="A148" s="4">
        <v>45889</v>
      </c>
      <c r="B148" s="5">
        <v>505.72</v>
      </c>
      <c r="C148" s="5">
        <v>235.06</v>
      </c>
      <c r="D148" s="6">
        <v>27.421199999999999</v>
      </c>
    </row>
    <row r="149" spans="1:4">
      <c r="A149" s="7">
        <v>45888</v>
      </c>
      <c r="B149" s="8">
        <v>509.77</v>
      </c>
      <c r="C149" s="8">
        <v>234.62</v>
      </c>
      <c r="D149" s="9">
        <v>27.5383</v>
      </c>
    </row>
    <row r="150" spans="1:4">
      <c r="A150" s="4">
        <v>45887</v>
      </c>
      <c r="B150" s="5">
        <v>517.1</v>
      </c>
      <c r="C150" s="5">
        <v>249.07</v>
      </c>
      <c r="D150" s="6">
        <v>27.645499999999998</v>
      </c>
    </row>
    <row r="151" spans="1:4">
      <c r="A151" s="7">
        <v>45884</v>
      </c>
      <c r="B151" s="8">
        <v>520.16999999999996</v>
      </c>
      <c r="C151" s="8">
        <v>248.28</v>
      </c>
      <c r="D151" s="9">
        <v>28.0258</v>
      </c>
    </row>
    <row r="152" spans="1:4">
      <c r="A152" s="4">
        <v>45883</v>
      </c>
      <c r="B152" s="5">
        <v>522.48</v>
      </c>
      <c r="C152" s="5">
        <v>244.96</v>
      </c>
      <c r="D152" s="6">
        <v>27.050699999999999</v>
      </c>
    </row>
    <row r="153" spans="1:4">
      <c r="A153" s="7">
        <v>45882</v>
      </c>
      <c r="B153" s="8">
        <v>520.58000000000004</v>
      </c>
      <c r="C153" s="8">
        <v>244.18</v>
      </c>
      <c r="D153" s="9">
        <v>27.284700000000001</v>
      </c>
    </row>
    <row r="154" spans="1:4">
      <c r="A154" s="4">
        <v>45881</v>
      </c>
      <c r="B154" s="5">
        <v>529.24</v>
      </c>
      <c r="C154" s="5">
        <v>253.86</v>
      </c>
      <c r="D154" s="6">
        <v>26.514399999999998</v>
      </c>
    </row>
    <row r="155" spans="1:4">
      <c r="A155" s="7">
        <v>45880</v>
      </c>
      <c r="B155" s="8">
        <v>521.77</v>
      </c>
      <c r="C155" s="8">
        <v>252.68</v>
      </c>
      <c r="D155" s="9">
        <v>26.6021</v>
      </c>
    </row>
    <row r="156" spans="1:4">
      <c r="A156" s="4">
        <v>45877</v>
      </c>
      <c r="B156" s="5">
        <v>522.04</v>
      </c>
      <c r="C156" s="5">
        <v>250.05</v>
      </c>
      <c r="D156" s="6">
        <v>26.4754</v>
      </c>
    </row>
    <row r="157" spans="1:4">
      <c r="A157" s="7">
        <v>45876</v>
      </c>
      <c r="B157" s="8">
        <v>520.84</v>
      </c>
      <c r="C157" s="8">
        <v>249.39</v>
      </c>
      <c r="D157" s="9">
        <v>25.383199999999999</v>
      </c>
    </row>
    <row r="158" spans="1:4">
      <c r="A158" s="4">
        <v>45875</v>
      </c>
      <c r="B158" s="5">
        <v>524.94000000000005</v>
      </c>
      <c r="C158" s="5">
        <v>256.43</v>
      </c>
      <c r="D158" s="6">
        <v>24.300799999999999</v>
      </c>
    </row>
    <row r="159" spans="1:4">
      <c r="A159" s="7">
        <v>45874</v>
      </c>
      <c r="B159" s="8">
        <v>527.75</v>
      </c>
      <c r="C159" s="8">
        <v>255.67</v>
      </c>
      <c r="D159" s="9">
        <v>23.920500000000001</v>
      </c>
    </row>
    <row r="160" spans="1:4">
      <c r="A160" s="4">
        <v>45873</v>
      </c>
      <c r="B160" s="5">
        <v>535.64</v>
      </c>
      <c r="C160" s="5">
        <v>252.53</v>
      </c>
      <c r="D160" s="6">
        <v>24.1447</v>
      </c>
    </row>
    <row r="161" spans="1:4">
      <c r="A161" s="7">
        <v>45870</v>
      </c>
      <c r="B161" s="8">
        <v>524.11</v>
      </c>
      <c r="C161" s="8">
        <v>244.42</v>
      </c>
      <c r="D161" s="9">
        <v>23.764399999999998</v>
      </c>
    </row>
    <row r="162" spans="1:4">
      <c r="A162" s="4">
        <v>45869</v>
      </c>
      <c r="B162" s="5">
        <v>533.5</v>
      </c>
      <c r="C162" s="5">
        <v>253.77</v>
      </c>
      <c r="D162" s="6">
        <v>23.715699999999998</v>
      </c>
    </row>
    <row r="163" spans="1:4">
      <c r="A163" s="7">
        <v>45868</v>
      </c>
      <c r="B163" s="8">
        <v>513.24</v>
      </c>
      <c r="C163" s="8">
        <v>250.6</v>
      </c>
      <c r="D163" s="9">
        <v>23.598700000000001</v>
      </c>
    </row>
    <row r="164" spans="1:4">
      <c r="A164" s="4">
        <v>45867</v>
      </c>
      <c r="B164" s="5">
        <v>512.57000000000005</v>
      </c>
      <c r="C164" s="5">
        <v>249.98</v>
      </c>
      <c r="D164" s="6">
        <v>23.549900000000001</v>
      </c>
    </row>
    <row r="165" spans="1:4">
      <c r="A165" s="7">
        <v>45866</v>
      </c>
      <c r="B165" s="8">
        <v>512.5</v>
      </c>
      <c r="C165" s="8">
        <v>247.71</v>
      </c>
      <c r="D165" s="9">
        <v>23.7547</v>
      </c>
    </row>
    <row r="166" spans="1:4">
      <c r="A166" s="4">
        <v>45863</v>
      </c>
      <c r="B166" s="5">
        <v>513.71</v>
      </c>
      <c r="C166" s="5">
        <v>245.12</v>
      </c>
      <c r="D166" s="6">
        <v>24.261800000000001</v>
      </c>
    </row>
    <row r="167" spans="1:4">
      <c r="A167" s="7">
        <v>45862</v>
      </c>
      <c r="B167" s="8">
        <v>510.88</v>
      </c>
      <c r="C167" s="8">
        <v>242.83</v>
      </c>
      <c r="D167" s="9">
        <v>24.749300000000002</v>
      </c>
    </row>
    <row r="168" spans="1:4">
      <c r="A168" s="4">
        <v>45861</v>
      </c>
      <c r="B168" s="5">
        <v>505.87</v>
      </c>
      <c r="C168" s="5">
        <v>241.9</v>
      </c>
      <c r="D168" s="6">
        <v>24.632300000000001</v>
      </c>
    </row>
    <row r="169" spans="1:4">
      <c r="A169" s="7">
        <v>45860</v>
      </c>
      <c r="B169" s="8">
        <v>505.27</v>
      </c>
      <c r="C169" s="8">
        <v>238.11</v>
      </c>
      <c r="D169" s="9">
        <v>23.491399999999999</v>
      </c>
    </row>
    <row r="170" spans="1:4">
      <c r="A170" s="4">
        <v>45859</v>
      </c>
      <c r="B170" s="5">
        <v>510.06</v>
      </c>
      <c r="C170" s="5">
        <v>243.54</v>
      </c>
      <c r="D170" s="6">
        <v>23.471900000000002</v>
      </c>
    </row>
    <row r="171" spans="1:4">
      <c r="A171" s="7">
        <v>45856</v>
      </c>
      <c r="B171" s="8">
        <v>510.05</v>
      </c>
      <c r="C171" s="8">
        <v>245.45</v>
      </c>
      <c r="D171" s="9">
        <v>23.325600000000001</v>
      </c>
    </row>
    <row r="172" spans="1:4">
      <c r="A172" s="4">
        <v>45855</v>
      </c>
      <c r="B172" s="5">
        <v>511.7</v>
      </c>
      <c r="C172" s="5">
        <v>248.75</v>
      </c>
      <c r="D172" s="6">
        <v>23.8034</v>
      </c>
    </row>
    <row r="173" spans="1:4">
      <c r="A173" s="7">
        <v>45854</v>
      </c>
      <c r="B173" s="8">
        <v>505.62</v>
      </c>
      <c r="C173" s="8">
        <v>241.3</v>
      </c>
      <c r="D173" s="9">
        <v>23.3841</v>
      </c>
    </row>
    <row r="174" spans="1:4">
      <c r="A174" s="4">
        <v>45853</v>
      </c>
      <c r="B174" s="5">
        <v>505.82</v>
      </c>
      <c r="C174" s="5">
        <v>234.96</v>
      </c>
      <c r="D174" s="6">
        <v>23.4816</v>
      </c>
    </row>
    <row r="175" spans="1:4">
      <c r="A175" s="7">
        <v>45852</v>
      </c>
      <c r="B175" s="8">
        <v>503.02</v>
      </c>
      <c r="C175" s="8">
        <v>229.28</v>
      </c>
      <c r="D175" s="9">
        <v>23.793700000000001</v>
      </c>
    </row>
    <row r="176" spans="1:4">
      <c r="A176" s="4">
        <v>45849</v>
      </c>
      <c r="B176" s="5">
        <v>503.32</v>
      </c>
      <c r="C176" s="5">
        <v>230.56</v>
      </c>
      <c r="D176" s="6">
        <v>23.822900000000001</v>
      </c>
    </row>
    <row r="177" spans="1:4">
      <c r="A177" s="7">
        <v>45848</v>
      </c>
      <c r="B177" s="8">
        <v>501.48</v>
      </c>
      <c r="C177" s="8">
        <v>235</v>
      </c>
      <c r="D177" s="9">
        <v>24.037500000000001</v>
      </c>
    </row>
    <row r="178" spans="1:4">
      <c r="A178" s="4">
        <v>45847</v>
      </c>
      <c r="B178" s="5">
        <v>503.51</v>
      </c>
      <c r="C178" s="5">
        <v>235.81</v>
      </c>
      <c r="D178" s="6">
        <v>24.544599999999999</v>
      </c>
    </row>
    <row r="179" spans="1:4">
      <c r="A179" s="7">
        <v>45846</v>
      </c>
      <c r="B179" s="8">
        <v>496.62</v>
      </c>
      <c r="C179" s="8">
        <v>234.5</v>
      </c>
      <c r="D179" s="9">
        <v>24.622599999999998</v>
      </c>
    </row>
    <row r="180" spans="1:4">
      <c r="A180" s="4">
        <v>45845</v>
      </c>
      <c r="B180" s="5">
        <v>497.72</v>
      </c>
      <c r="C180" s="5">
        <v>232.26</v>
      </c>
      <c r="D180" s="6">
        <v>24.671299999999999</v>
      </c>
    </row>
    <row r="181" spans="1:4">
      <c r="A181" s="7">
        <v>45841</v>
      </c>
      <c r="B181" s="8">
        <v>498.84</v>
      </c>
      <c r="C181" s="8">
        <v>237.32</v>
      </c>
      <c r="D181" s="9">
        <v>24.944400000000002</v>
      </c>
    </row>
    <row r="182" spans="1:4">
      <c r="A182" s="4">
        <v>45840</v>
      </c>
      <c r="B182" s="5">
        <v>491.09</v>
      </c>
      <c r="C182" s="5">
        <v>229.98</v>
      </c>
      <c r="D182" s="6">
        <v>25.071100000000001</v>
      </c>
    </row>
    <row r="183" spans="1:4">
      <c r="A183" s="7">
        <v>45839</v>
      </c>
      <c r="B183" s="8">
        <v>492.05</v>
      </c>
      <c r="C183" s="8">
        <v>218.96</v>
      </c>
      <c r="D183" s="9">
        <v>24.8371</v>
      </c>
    </row>
    <row r="184" spans="1:4">
      <c r="A184" s="4">
        <v>45838</v>
      </c>
      <c r="B184" s="5">
        <v>497.41</v>
      </c>
      <c r="C184" s="5">
        <v>218.63</v>
      </c>
      <c r="D184" s="6">
        <v>25.383199999999999</v>
      </c>
    </row>
    <row r="185" spans="1:4">
      <c r="A185" s="7">
        <v>45835</v>
      </c>
      <c r="B185" s="8">
        <v>495.94</v>
      </c>
      <c r="C185" s="8">
        <v>210.24</v>
      </c>
      <c r="D185" s="9">
        <v>25.6465</v>
      </c>
    </row>
    <row r="186" spans="1:4">
      <c r="A186" s="4">
        <v>45834</v>
      </c>
      <c r="B186" s="5">
        <v>497.45</v>
      </c>
      <c r="C186" s="5">
        <v>212.82</v>
      </c>
      <c r="D186" s="6">
        <v>24.9054</v>
      </c>
    </row>
    <row r="187" spans="1:4">
      <c r="A187" s="7">
        <v>45833</v>
      </c>
      <c r="B187" s="8">
        <v>492.27</v>
      </c>
      <c r="C187" s="8">
        <v>210.72</v>
      </c>
      <c r="D187" s="9">
        <v>24.300799999999999</v>
      </c>
    </row>
    <row r="188" spans="1:4">
      <c r="A188" s="4">
        <v>45832</v>
      </c>
      <c r="B188" s="5">
        <v>490.11</v>
      </c>
      <c r="C188" s="5">
        <v>215.27</v>
      </c>
      <c r="D188" s="6">
        <v>24.369</v>
      </c>
    </row>
    <row r="189" spans="1:4">
      <c r="A189" s="7">
        <v>45831</v>
      </c>
      <c r="B189" s="8">
        <v>486</v>
      </c>
      <c r="C189" s="8">
        <v>207.04</v>
      </c>
      <c r="D189" s="9">
        <v>23.813199999999998</v>
      </c>
    </row>
    <row r="190" spans="1:4">
      <c r="A190" s="4">
        <v>45828</v>
      </c>
      <c r="B190" s="5">
        <v>477.4</v>
      </c>
      <c r="C190" s="5">
        <v>205.17</v>
      </c>
      <c r="D190" s="6">
        <v>24.135000000000002</v>
      </c>
    </row>
    <row r="191" spans="1:4">
      <c r="A191" s="7">
        <v>45826</v>
      </c>
      <c r="B191" s="8">
        <v>480.24</v>
      </c>
      <c r="C191" s="8">
        <v>210.87</v>
      </c>
      <c r="D191" s="9">
        <v>25.236899999999999</v>
      </c>
    </row>
    <row r="192" spans="1:4">
      <c r="A192" s="4">
        <v>45825</v>
      </c>
      <c r="B192" s="5">
        <v>478.04</v>
      </c>
      <c r="C192" s="5">
        <v>208.18</v>
      </c>
      <c r="D192" s="6">
        <v>25.022400000000001</v>
      </c>
    </row>
    <row r="193" spans="1:4">
      <c r="A193" s="7">
        <v>45824</v>
      </c>
      <c r="B193" s="8">
        <v>479.14</v>
      </c>
      <c r="C193" s="8">
        <v>211.1</v>
      </c>
      <c r="D193" s="9">
        <v>25.441700000000001</v>
      </c>
    </row>
    <row r="194" spans="1:4">
      <c r="A194" s="4">
        <v>45821</v>
      </c>
      <c r="B194" s="5">
        <v>474.96</v>
      </c>
      <c r="C194" s="5">
        <v>215.22</v>
      </c>
      <c r="D194" s="6">
        <v>25.285699999999999</v>
      </c>
    </row>
    <row r="195" spans="1:4">
      <c r="A195" s="7">
        <v>45820</v>
      </c>
      <c r="B195" s="8">
        <v>478.87</v>
      </c>
      <c r="C195" s="8">
        <v>199.86</v>
      </c>
      <c r="D195" s="9">
        <v>25.744</v>
      </c>
    </row>
    <row r="196" spans="1:4">
      <c r="A196" s="4">
        <v>45819</v>
      </c>
      <c r="B196" s="5">
        <v>472.62</v>
      </c>
      <c r="C196" s="5">
        <v>176.38</v>
      </c>
      <c r="D196" s="6">
        <v>25.266200000000001</v>
      </c>
    </row>
    <row r="197" spans="1:4">
      <c r="A197" s="7">
        <v>45818</v>
      </c>
      <c r="B197" s="8">
        <v>470.92</v>
      </c>
      <c r="C197" s="8">
        <v>177.48</v>
      </c>
      <c r="D197" s="9">
        <v>25.548999999999999</v>
      </c>
    </row>
    <row r="198" spans="1:4">
      <c r="A198" s="4">
        <v>45817</v>
      </c>
      <c r="B198" s="5">
        <v>472.75</v>
      </c>
      <c r="C198" s="5">
        <v>177.15</v>
      </c>
      <c r="D198" s="6">
        <v>25.929300000000001</v>
      </c>
    </row>
    <row r="199" spans="1:4">
      <c r="A199" s="7">
        <v>45814</v>
      </c>
      <c r="B199" s="8">
        <v>470.38</v>
      </c>
      <c r="C199" s="8">
        <v>174.02</v>
      </c>
      <c r="D199" s="9">
        <v>25.997499999999999</v>
      </c>
    </row>
    <row r="200" spans="1:4">
      <c r="A200" s="4">
        <v>45813</v>
      </c>
      <c r="B200" s="5">
        <v>467.68</v>
      </c>
      <c r="C200" s="5">
        <v>171.14</v>
      </c>
      <c r="D200" s="6">
        <v>25.675699999999999</v>
      </c>
    </row>
    <row r="201" spans="1:4">
      <c r="A201" s="7">
        <v>45812</v>
      </c>
      <c r="B201" s="8">
        <v>463.87</v>
      </c>
      <c r="C201" s="8">
        <v>168.1</v>
      </c>
      <c r="D201" s="9">
        <v>26.007300000000001</v>
      </c>
    </row>
    <row r="202" spans="1:4">
      <c r="A202" s="4">
        <v>45811</v>
      </c>
      <c r="B202" s="5">
        <v>462.97</v>
      </c>
      <c r="C202" s="5">
        <v>169.14</v>
      </c>
      <c r="D202" s="6">
        <v>26.104800000000001</v>
      </c>
    </row>
    <row r="203" spans="1:4">
      <c r="A203" s="7">
        <v>45810</v>
      </c>
      <c r="B203" s="8">
        <v>461.97</v>
      </c>
      <c r="C203" s="8">
        <v>166.57</v>
      </c>
      <c r="D203" s="9">
        <v>26.2121</v>
      </c>
    </row>
    <row r="204" spans="1:4">
      <c r="A204" s="4">
        <v>45807</v>
      </c>
      <c r="B204" s="5">
        <v>460.36</v>
      </c>
      <c r="C204" s="5">
        <v>165.53</v>
      </c>
      <c r="D204" s="6">
        <v>25.724499999999999</v>
      </c>
    </row>
    <row r="205" spans="1:4">
      <c r="A205" s="7">
        <v>45806</v>
      </c>
      <c r="B205" s="8">
        <v>458.68</v>
      </c>
      <c r="C205" s="8">
        <v>162.9</v>
      </c>
      <c r="D205" s="9">
        <v>25.958500000000001</v>
      </c>
    </row>
    <row r="206" spans="1:4">
      <c r="A206" s="4">
        <v>45805</v>
      </c>
      <c r="B206" s="5">
        <v>457.36</v>
      </c>
      <c r="C206" s="5">
        <v>163.85</v>
      </c>
      <c r="D206" s="6">
        <v>25.6465</v>
      </c>
    </row>
    <row r="207" spans="1:4">
      <c r="A207" s="7">
        <v>45804</v>
      </c>
      <c r="B207" s="8">
        <v>460.69</v>
      </c>
      <c r="C207" s="8">
        <v>161.91</v>
      </c>
      <c r="D207" s="9">
        <v>25.9</v>
      </c>
    </row>
    <row r="208" spans="1:4">
      <c r="A208" s="4">
        <v>45800</v>
      </c>
      <c r="B208" s="5">
        <v>450.18</v>
      </c>
      <c r="C208" s="5">
        <v>155.97</v>
      </c>
      <c r="D208" s="6">
        <v>24.895600000000002</v>
      </c>
    </row>
    <row r="209" spans="1:4">
      <c r="A209" s="7">
        <v>45799</v>
      </c>
      <c r="B209" s="8">
        <v>454.86</v>
      </c>
      <c r="C209" s="8">
        <v>157.31</v>
      </c>
      <c r="D209" s="9">
        <v>24.700600000000001</v>
      </c>
    </row>
    <row r="210" spans="1:4">
      <c r="A210" s="4">
        <v>45798</v>
      </c>
      <c r="B210" s="5">
        <v>452.57</v>
      </c>
      <c r="C210" s="5">
        <v>157.18</v>
      </c>
      <c r="D210" s="6">
        <v>24.2715</v>
      </c>
    </row>
    <row r="211" spans="1:4">
      <c r="A211" s="7">
        <v>45797</v>
      </c>
      <c r="B211" s="8">
        <v>458.17</v>
      </c>
      <c r="C211" s="8">
        <v>160.31</v>
      </c>
      <c r="D211" s="9">
        <v>25.158899999999999</v>
      </c>
    </row>
    <row r="212" spans="1:4">
      <c r="A212" s="4">
        <v>45796</v>
      </c>
      <c r="B212" s="5">
        <v>458.87</v>
      </c>
      <c r="C212" s="5">
        <v>159.63999999999999</v>
      </c>
      <c r="D212" s="6">
        <v>24.4178</v>
      </c>
    </row>
    <row r="213" spans="1:4">
      <c r="A213" s="7">
        <v>45793</v>
      </c>
      <c r="B213" s="8">
        <v>454.27</v>
      </c>
      <c r="C213" s="8">
        <v>160.49</v>
      </c>
      <c r="D213" s="9">
        <v>24.066700000000001</v>
      </c>
    </row>
    <row r="214" spans="1:4">
      <c r="A214" s="4">
        <v>45792</v>
      </c>
      <c r="B214" s="5">
        <v>453.13</v>
      </c>
      <c r="C214" s="5">
        <v>159.4</v>
      </c>
      <c r="D214" s="6">
        <v>24.251999999999999</v>
      </c>
    </row>
    <row r="215" spans="1:4">
      <c r="A215" s="7">
        <v>45791</v>
      </c>
      <c r="B215" s="8">
        <v>452.94</v>
      </c>
      <c r="C215" s="8">
        <v>162.94999999999999</v>
      </c>
      <c r="D215" s="9">
        <v>24.261800000000001</v>
      </c>
    </row>
    <row r="216" spans="1:4">
      <c r="A216" s="4">
        <v>45790</v>
      </c>
      <c r="B216" s="5">
        <v>449.14</v>
      </c>
      <c r="C216" s="5">
        <v>162.27000000000001</v>
      </c>
      <c r="D216" s="6">
        <v>23.930199999999999</v>
      </c>
    </row>
    <row r="217" spans="1:4">
      <c r="A217" s="7">
        <v>45789</v>
      </c>
      <c r="B217" s="8">
        <v>449.26</v>
      </c>
      <c r="C217" s="8">
        <v>157.22</v>
      </c>
      <c r="D217" s="9">
        <v>24.1252</v>
      </c>
    </row>
    <row r="218" spans="1:4">
      <c r="A218" s="4">
        <v>45786</v>
      </c>
      <c r="B218" s="5">
        <v>438.73</v>
      </c>
      <c r="C218" s="5">
        <v>150.34</v>
      </c>
      <c r="D218" s="6">
        <v>24.086200000000002</v>
      </c>
    </row>
    <row r="219" spans="1:4">
      <c r="A219" s="7">
        <v>45785</v>
      </c>
      <c r="B219" s="8">
        <v>438.17</v>
      </c>
      <c r="C219" s="8">
        <v>150.30000000000001</v>
      </c>
      <c r="D219" s="9">
        <v>23.842400000000001</v>
      </c>
    </row>
    <row r="220" spans="1:4">
      <c r="A220" s="4">
        <v>45784</v>
      </c>
      <c r="B220" s="5">
        <v>433.35</v>
      </c>
      <c r="C220" s="5">
        <v>149.37</v>
      </c>
      <c r="D220" s="6">
        <v>24.398299999999999</v>
      </c>
    </row>
    <row r="221" spans="1:4">
      <c r="A221" s="7">
        <v>45783</v>
      </c>
      <c r="B221" s="8">
        <v>433.31</v>
      </c>
      <c r="C221" s="8">
        <v>147.69999999999999</v>
      </c>
      <c r="D221" s="9">
        <v>24.603100000000001</v>
      </c>
    </row>
    <row r="222" spans="1:4">
      <c r="A222" s="4">
        <v>45782</v>
      </c>
      <c r="B222" s="5">
        <v>436.17</v>
      </c>
      <c r="C222" s="5">
        <v>149.29</v>
      </c>
      <c r="D222" s="6">
        <v>24.6128</v>
      </c>
    </row>
    <row r="223" spans="1:4">
      <c r="A223" s="7">
        <v>45779</v>
      </c>
      <c r="B223" s="8">
        <v>435.28</v>
      </c>
      <c r="C223" s="8">
        <v>150.72999999999999</v>
      </c>
      <c r="D223" s="9">
        <v>24.700600000000001</v>
      </c>
    </row>
    <row r="224" spans="1:4">
      <c r="A224" s="4">
        <v>45778</v>
      </c>
      <c r="B224" s="5">
        <v>425.4</v>
      </c>
      <c r="C224" s="5">
        <v>145.49</v>
      </c>
      <c r="D224" s="6">
        <v>24.651800000000001</v>
      </c>
    </row>
    <row r="225" spans="1:4">
      <c r="A225" s="7">
        <v>45777</v>
      </c>
      <c r="B225" s="8">
        <v>395.26</v>
      </c>
      <c r="C225" s="8">
        <v>140.72</v>
      </c>
      <c r="D225" s="9">
        <v>25.353899999999999</v>
      </c>
    </row>
    <row r="226" spans="1:4">
      <c r="A226" s="4">
        <v>45776</v>
      </c>
      <c r="B226" s="5">
        <v>394.04</v>
      </c>
      <c r="C226" s="5">
        <v>140.79</v>
      </c>
      <c r="D226" s="6">
        <v>25.110099999999999</v>
      </c>
    </row>
    <row r="227" spans="1:4">
      <c r="A227" s="7">
        <v>45775</v>
      </c>
      <c r="B227" s="8">
        <v>391.16</v>
      </c>
      <c r="C227" s="8">
        <v>140.13999999999999</v>
      </c>
      <c r="D227" s="9">
        <v>24.651800000000001</v>
      </c>
    </row>
    <row r="228" spans="1:4">
      <c r="A228" s="4">
        <v>45772</v>
      </c>
      <c r="B228" s="5">
        <v>391.85</v>
      </c>
      <c r="C228" s="5">
        <v>138.49</v>
      </c>
      <c r="D228" s="6">
        <v>24.349499999999999</v>
      </c>
    </row>
    <row r="229" spans="1:4">
      <c r="A229" s="7">
        <v>45771</v>
      </c>
      <c r="B229" s="8">
        <v>387.3</v>
      </c>
      <c r="C229" s="8">
        <v>137.51</v>
      </c>
      <c r="D229" s="9">
        <v>24.495799999999999</v>
      </c>
    </row>
    <row r="230" spans="1:4">
      <c r="A230" s="4">
        <v>45770</v>
      </c>
      <c r="B230" s="5">
        <v>374.39</v>
      </c>
      <c r="C230" s="5">
        <v>131.4</v>
      </c>
      <c r="D230" s="6">
        <v>24.2715</v>
      </c>
    </row>
    <row r="231" spans="1:4">
      <c r="A231" s="7">
        <v>45769</v>
      </c>
      <c r="B231" s="8">
        <v>366.82</v>
      </c>
      <c r="C231" s="8">
        <v>127.24</v>
      </c>
      <c r="D231" s="9">
        <v>23.7254</v>
      </c>
    </row>
    <row r="232" spans="1:4">
      <c r="A232" s="4">
        <v>45768</v>
      </c>
      <c r="B232" s="5">
        <v>359.12</v>
      </c>
      <c r="C232" s="5">
        <v>122.82</v>
      </c>
      <c r="D232" s="6">
        <v>23.159800000000001</v>
      </c>
    </row>
    <row r="233" spans="1:4">
      <c r="A233" s="7">
        <v>45764</v>
      </c>
      <c r="B233" s="8">
        <v>367.78</v>
      </c>
      <c r="C233" s="8">
        <v>128.62</v>
      </c>
      <c r="D233" s="9">
        <v>23.413399999999999</v>
      </c>
    </row>
    <row r="234" spans="1:4">
      <c r="A234" s="4">
        <v>45763</v>
      </c>
      <c r="B234" s="5">
        <v>371.61</v>
      </c>
      <c r="C234" s="5">
        <v>129.76</v>
      </c>
      <c r="D234" s="6">
        <v>22.779499999999999</v>
      </c>
    </row>
    <row r="235" spans="1:4">
      <c r="A235" s="7">
        <v>45762</v>
      </c>
      <c r="B235" s="8">
        <v>385.73</v>
      </c>
      <c r="C235" s="8">
        <v>133.94</v>
      </c>
      <c r="D235" s="9">
        <v>23.0916</v>
      </c>
    </row>
    <row r="236" spans="1:4">
      <c r="A236" s="4">
        <v>45761</v>
      </c>
      <c r="B236" s="5">
        <v>387.81</v>
      </c>
      <c r="C236" s="5">
        <v>134.63999999999999</v>
      </c>
      <c r="D236" s="6">
        <v>22.857500000000002</v>
      </c>
    </row>
    <row r="237" spans="1:4">
      <c r="A237" s="7">
        <v>45758</v>
      </c>
      <c r="B237" s="8">
        <v>388.45</v>
      </c>
      <c r="C237" s="8">
        <v>132.35</v>
      </c>
      <c r="D237" s="9">
        <v>22.37</v>
      </c>
    </row>
    <row r="238" spans="1:4">
      <c r="A238" s="4">
        <v>45757</v>
      </c>
      <c r="B238" s="5">
        <v>381.35</v>
      </c>
      <c r="C238" s="5">
        <v>133.35</v>
      </c>
      <c r="D238" s="6">
        <v>22.3505</v>
      </c>
    </row>
    <row r="239" spans="1:4">
      <c r="A239" s="7">
        <v>45756</v>
      </c>
      <c r="B239" s="8">
        <v>390.49</v>
      </c>
      <c r="C239" s="8">
        <v>139.69</v>
      </c>
      <c r="D239" s="9">
        <v>22.3992</v>
      </c>
    </row>
    <row r="240" spans="1:4">
      <c r="A240" s="4">
        <v>45755</v>
      </c>
      <c r="B240" s="5">
        <v>354.56</v>
      </c>
      <c r="C240" s="5">
        <v>124.5</v>
      </c>
      <c r="D240" s="6">
        <v>20.790199999999999</v>
      </c>
    </row>
    <row r="241" spans="1:4">
      <c r="A241" s="7">
        <v>45754</v>
      </c>
      <c r="B241" s="8">
        <v>357.86</v>
      </c>
      <c r="C241" s="8">
        <v>127.16</v>
      </c>
      <c r="D241" s="9">
        <v>20.712199999999999</v>
      </c>
    </row>
    <row r="242" spans="1:4">
      <c r="A242" s="4">
        <v>45751</v>
      </c>
      <c r="B242" s="5">
        <v>359.84</v>
      </c>
      <c r="C242" s="5">
        <v>128.27000000000001</v>
      </c>
      <c r="D242" s="6">
        <v>21.277799999999999</v>
      </c>
    </row>
    <row r="243" spans="1:4">
      <c r="A243" s="7">
        <v>45750</v>
      </c>
      <c r="B243" s="8">
        <v>373.11</v>
      </c>
      <c r="C243" s="8">
        <v>137.22999999999999</v>
      </c>
      <c r="D243" s="9">
        <v>22.798999999999999</v>
      </c>
    </row>
    <row r="244" spans="1:4">
      <c r="A244" s="4">
        <v>45749</v>
      </c>
      <c r="B244" s="5">
        <v>382.14</v>
      </c>
      <c r="C244" s="5">
        <v>145.86000000000001</v>
      </c>
      <c r="D244" s="6">
        <v>24.222799999999999</v>
      </c>
    </row>
    <row r="245" spans="1:4">
      <c r="A245" s="7">
        <v>45748</v>
      </c>
      <c r="B245" s="8">
        <v>382.19</v>
      </c>
      <c r="C245" s="8">
        <v>141.94</v>
      </c>
      <c r="D245" s="9">
        <v>24.544599999999999</v>
      </c>
    </row>
    <row r="246" spans="1:4">
      <c r="A246" s="4">
        <v>45747</v>
      </c>
      <c r="B246" s="5">
        <v>375.39</v>
      </c>
      <c r="C246" s="5">
        <v>139.81</v>
      </c>
      <c r="D246" s="6">
        <v>24.7591</v>
      </c>
    </row>
    <row r="247" spans="1:4">
      <c r="A247" s="7">
        <v>45744</v>
      </c>
      <c r="B247" s="8">
        <v>378.8</v>
      </c>
      <c r="C247" s="8">
        <v>140.87</v>
      </c>
      <c r="D247" s="9">
        <v>24.4665</v>
      </c>
    </row>
    <row r="248" spans="1:4">
      <c r="A248" s="4">
        <v>45743</v>
      </c>
      <c r="B248" s="5">
        <v>390.58</v>
      </c>
      <c r="C248" s="5">
        <v>145.78</v>
      </c>
      <c r="D248" s="6">
        <v>25.0029</v>
      </c>
    </row>
    <row r="249" spans="1:4">
      <c r="A249" s="7">
        <v>45742</v>
      </c>
      <c r="B249" s="8">
        <v>389.97</v>
      </c>
      <c r="C249" s="8">
        <v>147.80000000000001</v>
      </c>
      <c r="D249" s="9">
        <v>24.866399999999999</v>
      </c>
    </row>
    <row r="250" spans="1:4">
      <c r="A250" s="4">
        <v>45741</v>
      </c>
      <c r="B250" s="5">
        <v>395.16</v>
      </c>
      <c r="C250" s="5">
        <v>153.93</v>
      </c>
      <c r="D250" s="6">
        <v>24.632300000000001</v>
      </c>
    </row>
    <row r="251" spans="1:4">
      <c r="A251" s="10">
        <v>45740</v>
      </c>
      <c r="B251" s="11">
        <v>393.08</v>
      </c>
      <c r="C251" s="11">
        <v>154.87</v>
      </c>
      <c r="D251" s="12">
        <v>24.642099999999999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ED6-A2ED-43D5-9474-70ADFDB4F1AC}">
  <dimension ref="A1:D251"/>
  <sheetViews>
    <sheetView zoomScale="115" zoomScaleNormal="115" workbookViewId="0">
      <selection activeCell="H20" sqref="H20"/>
    </sheetView>
  </sheetViews>
  <sheetFormatPr defaultRowHeight="14.45"/>
  <cols>
    <col min="1" max="1" width="13.85546875" customWidth="1"/>
    <col min="2" max="2" width="21.42578125" customWidth="1"/>
    <col min="3" max="3" width="23.140625" customWidth="1"/>
    <col min="4" max="4" width="20.140625" customWidth="1"/>
  </cols>
  <sheetData>
    <row r="1" spans="1:4">
      <c r="A1" s="13" t="s">
        <v>11</v>
      </c>
      <c r="B1" s="14" t="s">
        <v>15</v>
      </c>
      <c r="C1" s="14" t="s">
        <v>16</v>
      </c>
      <c r="D1" s="15" t="s">
        <v>17</v>
      </c>
    </row>
    <row r="2" spans="1:4">
      <c r="A2" s="16"/>
      <c r="B2" s="17"/>
      <c r="C2" s="17"/>
      <c r="D2" s="18"/>
    </row>
    <row r="3" spans="1:4">
      <c r="A3" s="19">
        <f>[1]Prices!A3</f>
        <v>46100</v>
      </c>
      <c r="B3" s="20">
        <f>LN([1]Prices!B2)-LN([1]Prices!B3)</f>
        <v>-1.8550519628092843E-2</v>
      </c>
      <c r="C3" s="20">
        <f>LN([1]Prices!C2)-LN([1]Prices!C3)</f>
        <v>-3.8274658746294321E-2</v>
      </c>
      <c r="D3" s="21">
        <f>LN([1]Prices!D2)-LN([1]Prices!D3)</f>
        <v>-1.9589264996488609E-2</v>
      </c>
    </row>
    <row r="4" spans="1:4">
      <c r="A4" s="22">
        <f>[1]Prices!A4</f>
        <v>46099</v>
      </c>
      <c r="B4" s="23">
        <f>LN([1]Prices!B3)-LN([1]Prices!B4)</f>
        <v>-7.0952257800360741E-3</v>
      </c>
      <c r="C4" s="23">
        <f>LN([1]Prices!C3)-LN([1]Prices!C4)</f>
        <v>1.6990227777112565E-2</v>
      </c>
      <c r="D4" s="24">
        <f>LN([1]Prices!D3)-LN([1]Prices!D4)</f>
        <v>1.1707450794235186E-2</v>
      </c>
    </row>
    <row r="5" spans="1:4">
      <c r="A5" s="19">
        <f>[1]Prices!A5</f>
        <v>46098</v>
      </c>
      <c r="B5" s="20">
        <f>LN([1]Prices!B4)-LN([1]Prices!B5)</f>
        <v>-1.9262476266033168E-2</v>
      </c>
      <c r="C5" s="20">
        <f>LN([1]Prices!C4)-LN([1]Prices!C5)</f>
        <v>-1.1639001313556996E-2</v>
      </c>
      <c r="D5" s="21">
        <f>LN([1]Prices!D4)-LN([1]Prices!D5)</f>
        <v>-2.6151611402143615E-2</v>
      </c>
    </row>
    <row r="6" spans="1:4">
      <c r="A6" s="22">
        <f>[1]Prices!A6</f>
        <v>46097</v>
      </c>
      <c r="B6" s="20">
        <f>LN([1]Prices!B5)-LN([1]Prices!B6)</f>
        <v>-1.3510810702159759E-3</v>
      </c>
      <c r="C6" s="20">
        <f>LN([1]Prices!C5)-LN([1]Prices!C6)</f>
        <v>-8.2405668151608324E-3</v>
      </c>
      <c r="D6" s="21">
        <f>LN([1]Prices!D5)-LN([1]Prices!D6)</f>
        <v>-3.4299815251776611E-2</v>
      </c>
    </row>
    <row r="7" spans="1:4">
      <c r="A7" s="19">
        <f>[1]Prices!A7</f>
        <v>46094</v>
      </c>
      <c r="B7" s="20">
        <f>LN([1]Prices!B6)-LN([1]Prices!B7)</f>
        <v>1.1062337827425495E-2</v>
      </c>
      <c r="C7" s="20">
        <f>LN([1]Prices!C6)-LN([1]Prices!C7)</f>
        <v>5.5291384270743649E-3</v>
      </c>
      <c r="D7" s="21">
        <f>LN([1]Prices!D6)-LN([1]Prices!D7)</f>
        <v>7.4177437940798896E-3</v>
      </c>
    </row>
    <row r="8" spans="1:4">
      <c r="A8" s="22">
        <f>[1]Prices!A8</f>
        <v>46093</v>
      </c>
      <c r="B8" s="20">
        <f>LN([1]Prices!B7)-LN([1]Prices!B8)</f>
        <v>-1.5826567789001267E-2</v>
      </c>
      <c r="C8" s="20">
        <f>LN([1]Prices!C7)-LN([1]Prices!C8)</f>
        <v>-2.5775442922068237E-2</v>
      </c>
      <c r="D8" s="24">
        <f>LN([1]Prices!D7)-LN([1]Prices!D8)</f>
        <v>1.3969734518664012E-3</v>
      </c>
    </row>
    <row r="9" spans="1:4">
      <c r="A9" s="19">
        <f>[1]Prices!A9</f>
        <v>46092</v>
      </c>
      <c r="B9" s="23">
        <f>LN([1]Prices!B8)-LN([1]Prices!B9)</f>
        <v>-7.4869576494158707E-3</v>
      </c>
      <c r="C9" s="23">
        <f>LN([1]Prices!C8)-LN([1]Prices!C9)</f>
        <v>-2.4576140707472049E-2</v>
      </c>
      <c r="D9" s="21">
        <f>LN([1]Prices!D8)-LN([1]Prices!D9)</f>
        <v>-1.3969734518664012E-3</v>
      </c>
    </row>
    <row r="10" spans="1:4">
      <c r="A10" s="22">
        <f>[1]Prices!A10</f>
        <v>46091</v>
      </c>
      <c r="B10" s="20">
        <f>LN([1]Prices!B9)-LN([1]Prices!B10)</f>
        <v>-2.1711249029836566E-3</v>
      </c>
      <c r="C10" s="20">
        <f>LN([1]Prices!C9)-LN([1]Prices!C10)</f>
        <v>8.7858853567483131E-2</v>
      </c>
      <c r="D10" s="21">
        <f>LN([1]Prices!D9)-LN([1]Prices!D10)</f>
        <v>-8.8024659170264918E-3</v>
      </c>
    </row>
    <row r="11" spans="1:4">
      <c r="A11" s="19">
        <f>[1]Prices!A11</f>
        <v>46090</v>
      </c>
      <c r="B11" s="20">
        <f>LN([1]Prices!B10)-LN([1]Prices!B11)</f>
        <v>-8.9552471093261587E-3</v>
      </c>
      <c r="C11" s="20">
        <f>LN([1]Prices!C10)-LN([1]Prices!C11)</f>
        <v>-1.4354313451683254E-2</v>
      </c>
      <c r="D11" s="21">
        <f>LN([1]Prices!D10)-LN([1]Prices!D11)</f>
        <v>2.7713643603832772E-3</v>
      </c>
    </row>
    <row r="12" spans="1:4">
      <c r="A12" s="22">
        <f>[1]Prices!A12</f>
        <v>46087</v>
      </c>
      <c r="B12" s="20">
        <f>LN([1]Prices!B11)-LN([1]Prices!B12)</f>
        <v>1.0997471690172844E-3</v>
      </c>
      <c r="C12" s="20">
        <f>LN([1]Prices!C11)-LN([1]Prices!C12)</f>
        <v>-9.1948631526914681E-3</v>
      </c>
      <c r="D12" s="24">
        <f>LN([1]Prices!D11)-LN([1]Prices!D12)</f>
        <v>6.4965425703982227E-3</v>
      </c>
    </row>
    <row r="13" spans="1:4">
      <c r="A13" s="19">
        <f>[1]Prices!A13</f>
        <v>46086</v>
      </c>
      <c r="B13" s="20">
        <f>LN([1]Prices!B12)-LN([1]Prices!B13)</f>
        <v>-4.1969706816491481E-3</v>
      </c>
      <c r="C13" s="20">
        <f>LN([1]Prices!C12)-LN([1]Prices!C13)</f>
        <v>-1.1892910282694125E-2</v>
      </c>
      <c r="D13" s="21">
        <f>LN([1]Prices!D12)-LN([1]Prices!D13)</f>
        <v>5.1342003096075395E-3</v>
      </c>
    </row>
    <row r="14" spans="1:4">
      <c r="A14" s="22">
        <f>[1]Prices!A14</f>
        <v>46085</v>
      </c>
      <c r="B14" s="23">
        <f>LN([1]Prices!B13)-LN([1]Prices!B14)</f>
        <v>1.3433550056236143E-2</v>
      </c>
      <c r="C14" s="23">
        <f>LN([1]Prices!C13)-LN([1]Prices!C14)</f>
        <v>1.5757586104522048E-2</v>
      </c>
      <c r="D14" s="21">
        <f>LN([1]Prices!D13)-LN([1]Prices!D14)</f>
        <v>-2.8599735235613544E-2</v>
      </c>
    </row>
    <row r="15" spans="1:4">
      <c r="A15" s="19">
        <f>[1]Prices!A15</f>
        <v>46084</v>
      </c>
      <c r="B15" s="20">
        <f>LN([1]Prices!B14)-LN([1]Prices!B15)</f>
        <v>3.1391767526285363E-3</v>
      </c>
      <c r="C15" s="20">
        <f>LN([1]Prices!C14)-LN([1]Prices!C15)</f>
        <v>2.2298355693894933E-2</v>
      </c>
      <c r="D15" s="21">
        <f>LN([1]Prices!D14)-LN([1]Prices!D15)</f>
        <v>1.882084473668133E-2</v>
      </c>
    </row>
    <row r="16" spans="1:4">
      <c r="A16" s="22">
        <f>[1]Prices!A16</f>
        <v>46083</v>
      </c>
      <c r="B16" s="20">
        <f>LN([1]Prices!B15)-LN([1]Prices!B16)</f>
        <v>1.3408634747967163E-2</v>
      </c>
      <c r="C16" s="20">
        <f>LN([1]Prices!C15)-LN([1]Prices!C16)</f>
        <v>-1.6093344853427283E-3</v>
      </c>
      <c r="D16" s="24">
        <f>LN([1]Prices!D15)-LN([1]Prices!D16)</f>
        <v>-5.0157338961761777E-2</v>
      </c>
    </row>
    <row r="17" spans="1:4">
      <c r="A17" s="19">
        <f>[1]Prices!A17</f>
        <v>46080</v>
      </c>
      <c r="B17" s="20">
        <f>LN([1]Prices!B16)-LN([1]Prices!B17)</f>
        <v>1.4685145551847967E-2</v>
      </c>
      <c r="C17" s="20">
        <f>LN([1]Prices!C16)-LN([1]Prices!C17)</f>
        <v>2.6134187173292744E-2</v>
      </c>
      <c r="D17" s="21">
        <f>LN([1]Prices!D16)-LN([1]Prices!D17)</f>
        <v>-1.6175216049162611E-2</v>
      </c>
    </row>
    <row r="18" spans="1:4">
      <c r="A18" s="22">
        <f>[1]Prices!A18</f>
        <v>46079</v>
      </c>
      <c r="B18" s="20">
        <f>LN([1]Prices!B17)-LN([1]Prices!B18)</f>
        <v>-2.2607513203054097E-2</v>
      </c>
      <c r="C18" s="20">
        <f>LN([1]Prices!C17)-LN([1]Prices!C18)</f>
        <v>-3.3211263045716422E-2</v>
      </c>
      <c r="D18" s="21">
        <f>LN([1]Prices!D17)-LN([1]Prices!D18)</f>
        <v>2.0592184361001298E-2</v>
      </c>
    </row>
    <row r="19" spans="1:4">
      <c r="A19" s="19">
        <f>[1]Prices!A19</f>
        <v>46078</v>
      </c>
      <c r="B19" s="23">
        <f>LN([1]Prices!B18)-LN([1]Prices!B19)</f>
        <v>2.7919052934208821E-3</v>
      </c>
      <c r="C19" s="23">
        <f>LN([1]Prices!C18)-LN([1]Prices!C19)</f>
        <v>1.6231073966457288E-2</v>
      </c>
      <c r="D19" s="21">
        <f>LN([1]Prices!D18)-LN([1]Prices!D19)</f>
        <v>5.3649227878320271E-2</v>
      </c>
    </row>
    <row r="20" spans="1:4">
      <c r="A20" s="22">
        <f>[1]Prices!A20</f>
        <v>46077</v>
      </c>
      <c r="B20" s="20">
        <f>LN([1]Prices!B19)-LN([1]Prices!B20)</f>
        <v>2.938407961327183E-2</v>
      </c>
      <c r="C20" s="20">
        <f>LN([1]Prices!C19)-LN([1]Prices!C20)</f>
        <v>1.1903687815606467E-2</v>
      </c>
      <c r="D20" s="24">
        <f>LN([1]Prices!D19)-LN([1]Prices!D20)</f>
        <v>-8.8352120885279994E-3</v>
      </c>
    </row>
    <row r="21" spans="1:4">
      <c r="A21" s="19">
        <f>[1]Prices!A21</f>
        <v>46076</v>
      </c>
      <c r="B21" s="20">
        <f>LN([1]Prices!B20)-LN([1]Prices!B21)</f>
        <v>1.1713581123753869E-2</v>
      </c>
      <c r="C21" s="20">
        <f>LN([1]Prices!C20)-LN([1]Prices!C21)</f>
        <v>3.3609007768416355E-2</v>
      </c>
      <c r="D21" s="21">
        <f>LN([1]Prices!D20)-LN([1]Prices!D21)</f>
        <v>-3.2355008581483879E-3</v>
      </c>
    </row>
    <row r="22" spans="1:4">
      <c r="A22" s="22">
        <f>[1]Prices!A22</f>
        <v>46073</v>
      </c>
      <c r="B22" s="20">
        <f>LN([1]Prices!B21)-LN([1]Prices!B22)</f>
        <v>-3.2649695525083011E-2</v>
      </c>
      <c r="C22" s="20">
        <f>LN([1]Prices!C21)-LN([1]Prices!C22)</f>
        <v>-4.6796609670587408E-2</v>
      </c>
      <c r="D22" s="21">
        <f>LN([1]Prices!D21)-LN([1]Prices!D22)</f>
        <v>-1.1926746881528949E-2</v>
      </c>
    </row>
    <row r="23" spans="1:4">
      <c r="A23" s="19">
        <f>[1]Prices!A23</f>
        <v>46072</v>
      </c>
      <c r="B23" s="20">
        <f>LN([1]Prices!B22)-LN([1]Prices!B23)</f>
        <v>-3.0916587609022272E-3</v>
      </c>
      <c r="C23" s="20">
        <f>LN([1]Prices!C22)-LN([1]Prices!C23)</f>
        <v>-5.5558900111449816E-2</v>
      </c>
      <c r="D23" s="21">
        <f>LN([1]Prices!D22)-LN([1]Prices!D23)</f>
        <v>-1.4486446182452539E-2</v>
      </c>
    </row>
    <row r="24" spans="1:4">
      <c r="A24" s="22">
        <f>[1]Prices!A24</f>
        <v>46071</v>
      </c>
      <c r="B24" s="23">
        <f>LN([1]Prices!B23)-LN([1]Prices!B24)</f>
        <v>-2.8569299937215575E-3</v>
      </c>
      <c r="C24" s="23">
        <f>LN([1]Prices!C23)-LN([1]Prices!C24)</f>
        <v>2.3664108769381187E-3</v>
      </c>
      <c r="D24" s="24">
        <f>LN([1]Prices!D23)-LN([1]Prices!D24)</f>
        <v>-1.1173300598124936E-2</v>
      </c>
    </row>
    <row r="25" spans="1:4">
      <c r="A25" s="19">
        <f>[1]Prices!A25</f>
        <v>46070</v>
      </c>
      <c r="B25" s="20">
        <f>LN([1]Prices!B24)-LN([1]Prices!B25)</f>
        <v>6.8804731172926736E-3</v>
      </c>
      <c r="C25" s="20">
        <f>LN([1]Prices!C24)-LN([1]Prices!C25)</f>
        <v>1.4187379257927013E-2</v>
      </c>
      <c r="D25" s="21">
        <f>LN([1]Prices!D24)-LN([1]Prices!D25)</f>
        <v>-1.4122035223555152E-2</v>
      </c>
    </row>
    <row r="26" spans="1:4">
      <c r="A26" s="22">
        <f>[1]Prices!A26</f>
        <v>46066</v>
      </c>
      <c r="B26" s="20">
        <f>LN([1]Prices!B25)-LN([1]Prices!B26)</f>
        <v>-1.117554040030555E-2</v>
      </c>
      <c r="C26" s="20">
        <f>LN([1]Prices!C25)-LN([1]Prices!C26)</f>
        <v>-3.929065440266033E-2</v>
      </c>
      <c r="D26" s="21">
        <f>LN([1]Prices!D25)-LN([1]Prices!D26)</f>
        <v>-1.6083806833511183E-2</v>
      </c>
    </row>
    <row r="27" spans="1:4">
      <c r="A27" s="19">
        <f>[1]Prices!A27</f>
        <v>46065</v>
      </c>
      <c r="B27" s="20">
        <f>LN([1]Prices!B26)-LN([1]Prices!B27)</f>
        <v>-1.2948853843779418E-3</v>
      </c>
      <c r="C27" s="20">
        <f>LN([1]Prices!C26)-LN([1]Prices!C27)</f>
        <v>2.3120226357979945E-2</v>
      </c>
      <c r="D27" s="21">
        <f>LN([1]Prices!D26)-LN([1]Prices!D27)</f>
        <v>1.3895143232750762E-2</v>
      </c>
    </row>
    <row r="28" spans="1:4">
      <c r="A28" s="22">
        <f>[1]Prices!A28</f>
        <v>46064</v>
      </c>
      <c r="B28" s="20">
        <f>LN([1]Prices!B27)-LN([1]Prices!B28)</f>
        <v>-6.2763009764985611E-3</v>
      </c>
      <c r="C28" s="20">
        <f>LN([1]Prices!C27)-LN([1]Prices!C28)</f>
        <v>-4.3361884037516063E-3</v>
      </c>
      <c r="D28" s="24">
        <f>LN([1]Prices!D27)-LN([1]Prices!D28)</f>
        <v>-3.4919284718641919E-3</v>
      </c>
    </row>
    <row r="29" spans="1:4">
      <c r="A29" s="19">
        <f>[1]Prices!A29</f>
        <v>46063</v>
      </c>
      <c r="B29" s="23">
        <f>LN([1]Prices!B28)-LN([1]Prices!B29)</f>
        <v>-2.1770831965960191E-2</v>
      </c>
      <c r="C29" s="23">
        <f>LN([1]Prices!C28)-LN([1]Prices!C29)</f>
        <v>-1.7221684107069812E-2</v>
      </c>
      <c r="D29" s="21">
        <f>LN([1]Prices!D28)-LN([1]Prices!D29)</f>
        <v>5.2424759648497243E-3</v>
      </c>
    </row>
    <row r="30" spans="1:4">
      <c r="A30" s="22">
        <f>[1]Prices!A30</f>
        <v>46062</v>
      </c>
      <c r="B30" s="20">
        <f>LN([1]Prices!B29)-LN([1]Prices!B30)</f>
        <v>-7.9819080997101111E-4</v>
      </c>
      <c r="C30" s="20">
        <f>LN([1]Prices!C29)-LN([1]Prices!C30)</f>
        <v>2.0855154239977303E-2</v>
      </c>
      <c r="D30" s="21">
        <f>LN([1]Prices!D29)-LN([1]Prices!D30)</f>
        <v>2.2144394689637803E-2</v>
      </c>
    </row>
    <row r="31" spans="1:4">
      <c r="A31" s="19">
        <f>[1]Prices!A31</f>
        <v>46059</v>
      </c>
      <c r="B31" s="20">
        <f>LN([1]Prices!B30)-LN([1]Prices!B31)</f>
        <v>3.0588829636318593E-2</v>
      </c>
      <c r="C31" s="20">
        <f>LN([1]Prices!C30)-LN([1]Prices!C31)</f>
        <v>9.2045828436387644E-2</v>
      </c>
      <c r="D31" s="21">
        <f>LN([1]Prices!D30)-LN([1]Prices!D31)</f>
        <v>3.1397200046674456E-3</v>
      </c>
    </row>
    <row r="32" spans="1:4">
      <c r="A32" s="22">
        <f>[1]Prices!A32</f>
        <v>46058</v>
      </c>
      <c r="B32" s="20">
        <f>LN([1]Prices!B31)-LN([1]Prices!B32)</f>
        <v>1.8797498663988499E-2</v>
      </c>
      <c r="C32" s="20">
        <f>LN([1]Prices!C31)-LN([1]Prices!C32)</f>
        <v>4.5407012377594924E-2</v>
      </c>
      <c r="D32" s="24">
        <f>LN([1]Prices!D31)-LN([1]Prices!D32)</f>
        <v>4.6905149473661201E-2</v>
      </c>
    </row>
    <row r="33" spans="1:4">
      <c r="A33" s="19">
        <f>[1]Prices!A33</f>
        <v>46057</v>
      </c>
      <c r="B33" s="20">
        <f>LN([1]Prices!B32)-LN([1]Prices!B33)</f>
        <v>-5.0811810850003525E-2</v>
      </c>
      <c r="C33" s="20">
        <f>LN([1]Prices!C32)-LN([1]Prices!C33)</f>
        <v>-7.2007081515295113E-2</v>
      </c>
      <c r="D33" s="21">
        <f>LN([1]Prices!D32)-LN([1]Prices!D33)</f>
        <v>-3.1056957233637217E-2</v>
      </c>
    </row>
    <row r="34" spans="1:4">
      <c r="A34" s="22">
        <f>[1]Prices!A34</f>
        <v>46056</v>
      </c>
      <c r="B34" s="23">
        <f>LN([1]Prices!B33)-LN([1]Prices!B34)</f>
        <v>7.2207728325164311E-3</v>
      </c>
      <c r="C34" s="23">
        <f>LN([1]Prices!C33)-LN([1]Prices!C34)</f>
        <v>-5.3108649791384188E-2</v>
      </c>
      <c r="D34" s="21">
        <f>LN([1]Prices!D33)-LN([1]Prices!D34)</f>
        <v>-9.124088224217175E-4</v>
      </c>
    </row>
    <row r="35" spans="1:4">
      <c r="A35" s="19">
        <f>[1]Prices!A35</f>
        <v>46055</v>
      </c>
      <c r="B35" s="20">
        <f>LN([1]Prices!B34)-LN([1]Prices!B35)</f>
        <v>-2.9142468295565216E-2</v>
      </c>
      <c r="C35" s="20">
        <f>LN([1]Prices!C34)-LN([1]Prices!C35)</f>
        <v>-3.4254929888851926E-2</v>
      </c>
      <c r="D35" s="21">
        <f>LN([1]Prices!D34)-LN([1]Prices!D35)</f>
        <v>-8.6266142243371924E-3</v>
      </c>
    </row>
    <row r="36" spans="1:4">
      <c r="A36" s="22">
        <f>[1]Prices!A36</f>
        <v>46052</v>
      </c>
      <c r="B36" s="20">
        <f>LN([1]Prices!B35)-LN([1]Prices!B36)</f>
        <v>-1.621289876726717E-2</v>
      </c>
      <c r="C36" s="20">
        <f>LN([1]Prices!C35)-LN([1]Prices!C36)</f>
        <v>-2.784802923866625E-2</v>
      </c>
      <c r="D36" s="24">
        <f>LN([1]Prices!D35)-LN([1]Prices!D36)</f>
        <v>9.0456813042694151E-4</v>
      </c>
    </row>
    <row r="37" spans="1:4">
      <c r="A37" s="19">
        <f>[1]Prices!A37</f>
        <v>46051</v>
      </c>
      <c r="B37" s="20">
        <f>LN([1]Prices!B36)-LN([1]Prices!B37)</f>
        <v>-7.4323962463651583E-3</v>
      </c>
      <c r="C37" s="20">
        <f>LN([1]Prices!C36)-LN([1]Prices!C37)</f>
        <v>-2.6561110592569825E-2</v>
      </c>
      <c r="D37" s="21">
        <f>LN([1]Prices!D36)-LN([1]Prices!D37)</f>
        <v>-8.5605388740703781E-3</v>
      </c>
    </row>
    <row r="38" spans="1:4">
      <c r="A38" s="22">
        <f>[1]Prices!A38</f>
        <v>46050</v>
      </c>
      <c r="B38" s="20">
        <f>LN([1]Prices!B37)-LN([1]Prices!B38)</f>
        <v>-0.10528438819272967</v>
      </c>
      <c r="C38" s="20">
        <f>LN([1]Prices!C37)-LN([1]Prices!C38)</f>
        <v>-2.217697159981924E-2</v>
      </c>
      <c r="D38" s="21">
        <f>LN([1]Prices!D37)-LN([1]Prices!D38)</f>
        <v>4.4873233869413554E-4</v>
      </c>
    </row>
    <row r="39" spans="1:4">
      <c r="A39" s="19">
        <f>[1]Prices!A39</f>
        <v>46049</v>
      </c>
      <c r="B39" s="23">
        <f>LN([1]Prices!B38)-LN([1]Prices!B39)</f>
        <v>2.1824766252276362E-3</v>
      </c>
      <c r="C39" s="23">
        <f>LN([1]Prices!C38)-LN([1]Prices!C39)</f>
        <v>-1.2079525654600687E-2</v>
      </c>
      <c r="D39" s="21">
        <f>LN([1]Prices!D38)-LN([1]Prices!D39)</f>
        <v>-1.4260491219157068E-2</v>
      </c>
    </row>
    <row r="40" spans="1:4">
      <c r="A40" s="22">
        <f>[1]Prices!A40</f>
        <v>46048</v>
      </c>
      <c r="B40" s="20">
        <f>LN([1]Prices!B39)-LN([1]Prices!B40)</f>
        <v>2.1665445788558557E-2</v>
      </c>
      <c r="C40" s="20">
        <f>LN([1]Prices!C39)-LN([1]Prices!C40)</f>
        <v>-4.2206969818943563E-2</v>
      </c>
      <c r="D40" s="24">
        <f>LN([1]Prices!D39)-LN([1]Prices!D40)</f>
        <v>-1.5803665173125481E-2</v>
      </c>
    </row>
    <row r="41" spans="1:4">
      <c r="A41" s="19">
        <f>[1]Prices!A41</f>
        <v>46045</v>
      </c>
      <c r="B41" s="20">
        <f>LN([1]Prices!B40)-LN([1]Prices!B41)</f>
        <v>9.249929767875642E-3</v>
      </c>
      <c r="C41" s="20">
        <f>LN([1]Prices!C40)-LN([1]Prices!C41)</f>
        <v>2.9368072788502175E-2</v>
      </c>
      <c r="D41" s="21">
        <f>LN([1]Prices!D40)-LN([1]Prices!D41)</f>
        <v>-5.6460519150380861E-3</v>
      </c>
    </row>
    <row r="42" spans="1:4">
      <c r="A42" s="22">
        <f>[1]Prices!A42</f>
        <v>46044</v>
      </c>
      <c r="B42" s="20">
        <f>LN([1]Prices!B41)-LN([1]Prices!B42)</f>
        <v>3.2300619613674364E-2</v>
      </c>
      <c r="C42" s="20">
        <f>LN([1]Prices!C41)-LN([1]Prices!C42)</f>
        <v>-5.7409962374999068E-3</v>
      </c>
      <c r="D42" s="21">
        <f>LN([1]Prices!D41)-LN([1]Prices!D42)</f>
        <v>5.6460519150380861E-3</v>
      </c>
    </row>
    <row r="43" spans="1:4">
      <c r="A43" s="19">
        <f>[1]Prices!A43</f>
        <v>46043</v>
      </c>
      <c r="B43" s="20">
        <f>LN([1]Prices!B42)-LN([1]Prices!B43)</f>
        <v>1.5705433122422896E-2</v>
      </c>
      <c r="C43" s="20">
        <f>LN([1]Prices!C42)-LN([1]Prices!C43)</f>
        <v>2.4428869171906342E-2</v>
      </c>
      <c r="D43" s="21">
        <f>LN([1]Prices!D42)-LN([1]Prices!D43)</f>
        <v>-3.0877238564439136E-2</v>
      </c>
    </row>
    <row r="44" spans="1:4">
      <c r="A44" s="22">
        <f>[1]Prices!A44</f>
        <v>46042</v>
      </c>
      <c r="B44" s="23">
        <f>LN([1]Prices!B43)-LN([1]Prices!B44)</f>
        <v>-2.316963755424073E-2</v>
      </c>
      <c r="C44" s="23">
        <f>LN([1]Prices!C43)-LN([1]Prices!C44)</f>
        <v>-3.4146901530468732E-2</v>
      </c>
      <c r="D44" s="24">
        <f>LN([1]Prices!D43)-LN([1]Prices!D44)</f>
        <v>-1.6877641137198474E-3</v>
      </c>
    </row>
    <row r="45" spans="1:4">
      <c r="A45" s="19">
        <f>[1]Prices!A45</f>
        <v>46038</v>
      </c>
      <c r="B45" s="20">
        <f>LN([1]Prices!B44)-LN([1]Prices!B45)</f>
        <v>-1.1680178284046328E-2</v>
      </c>
      <c r="C45" s="20">
        <f>LN([1]Prices!C44)-LN([1]Prices!C45)</f>
        <v>-6.0232213602220419E-2</v>
      </c>
      <c r="D45" s="21">
        <f>LN([1]Prices!D44)-LN([1]Prices!D45)</f>
        <v>-1.3816422422245456E-2</v>
      </c>
    </row>
    <row r="46" spans="1:4">
      <c r="A46" s="22">
        <f>[1]Prices!A46</f>
        <v>46037</v>
      </c>
      <c r="B46" s="20">
        <f>LN([1]Prices!B45)-LN([1]Prices!B46)</f>
        <v>6.9829638264993221E-3</v>
      </c>
      <c r="C46" s="20">
        <f>LN([1]Prices!C45)-LN([1]Prices!C46)</f>
        <v>6.5102345754688429E-3</v>
      </c>
      <c r="D46" s="21">
        <f>LN([1]Prices!D45)-LN([1]Prices!D46)</f>
        <v>-2.9063753072144927E-3</v>
      </c>
    </row>
    <row r="47" spans="1:4">
      <c r="A47" s="19">
        <f>[1]Prices!A47</f>
        <v>46036</v>
      </c>
      <c r="B47" s="20">
        <f>LN([1]Prices!B46)-LN([1]Prices!B47)</f>
        <v>-5.9386227542530534E-3</v>
      </c>
      <c r="C47" s="20">
        <f>LN([1]Prices!C46)-LN([1]Prices!C47)</f>
        <v>-1.9611539723262794E-2</v>
      </c>
      <c r="D47" s="21">
        <f>LN([1]Prices!D46)-LN([1]Prices!D47)</f>
        <v>1.2445552322049025E-3</v>
      </c>
    </row>
    <row r="48" spans="1:4">
      <c r="A48" s="22">
        <f>[1]Prices!A48</f>
        <v>46035</v>
      </c>
      <c r="B48" s="20">
        <f>LN([1]Prices!B47)-LN([1]Prices!B48)</f>
        <v>-2.4279457251365599E-2</v>
      </c>
      <c r="C48" s="20">
        <f>LN([1]Prices!C47)-LN([1]Prices!C48)</f>
        <v>-4.3856485013526125E-2</v>
      </c>
      <c r="D48" s="24">
        <f>LN([1]Prices!D47)-LN([1]Prices!D48)</f>
        <v>-1.3196067778088683E-2</v>
      </c>
    </row>
    <row r="49" spans="1:4">
      <c r="A49" s="19">
        <f>[1]Prices!A49</f>
        <v>46034</v>
      </c>
      <c r="B49" s="23">
        <f>LN([1]Prices!B48)-LN([1]Prices!B49)</f>
        <v>-1.3736566684125151E-2</v>
      </c>
      <c r="C49" s="23">
        <f>LN([1]Prices!C48)-LN([1]Prices!C49)</f>
        <v>-1.1745472522290967E-2</v>
      </c>
      <c r="D49" s="21">
        <f>LN([1]Prices!D48)-LN([1]Prices!D49)</f>
        <v>-3.1057144211332766E-2</v>
      </c>
    </row>
    <row r="50" spans="1:4">
      <c r="A50" s="22">
        <f>[1]Prices!A50</f>
        <v>46031</v>
      </c>
      <c r="B50" s="20">
        <f>LN([1]Prices!B49)-LN([1]Prices!B50)</f>
        <v>-4.3911995785705926E-3</v>
      </c>
      <c r="C50" s="20">
        <f>LN([1]Prices!C49)-LN([1]Prices!C50)</f>
        <v>3.0557933217651545E-2</v>
      </c>
      <c r="D50" s="21">
        <f>LN([1]Prices!D49)-LN([1]Prices!D50)</f>
        <v>5.5754823843034984E-3</v>
      </c>
    </row>
    <row r="51" spans="1:4">
      <c r="A51" s="19">
        <f>[1]Prices!A51</f>
        <v>46030</v>
      </c>
      <c r="B51" s="20">
        <f>LN([1]Prices!B50)-LN([1]Prices!B51)</f>
        <v>2.4441462360176303E-3</v>
      </c>
      <c r="C51" s="20">
        <f>LN([1]Prices!C50)-LN([1]Prices!C51)</f>
        <v>4.5709582584332331E-2</v>
      </c>
      <c r="D51" s="21">
        <f>LN([1]Prices!D50)-LN([1]Prices!D51)</f>
        <v>-8.3516094894711124E-3</v>
      </c>
    </row>
    <row r="52" spans="1:4">
      <c r="A52" s="22">
        <f>[1]Prices!A52</f>
        <v>46029</v>
      </c>
      <c r="B52" s="20">
        <f>LN([1]Prices!B51)-LN([1]Prices!B52)</f>
        <v>-1.1148433858863882E-2</v>
      </c>
      <c r="C52" s="20">
        <f>LN([1]Prices!C51)-LN([1]Prices!C52)</f>
        <v>-1.6680561402513838E-2</v>
      </c>
      <c r="D52" s="24">
        <f>LN([1]Prices!D51)-LN([1]Prices!D52)</f>
        <v>5.1618141213709556E-3</v>
      </c>
    </row>
    <row r="53" spans="1:4">
      <c r="A53" s="19">
        <f>[1]Prices!A53</f>
        <v>46028</v>
      </c>
      <c r="B53" s="20">
        <f>LN([1]Prices!B52)-LN([1]Prices!B53)</f>
        <v>1.0312156082291857E-2</v>
      </c>
      <c r="C53" s="20">
        <f>LN([1]Prices!C52)-LN([1]Prices!C53)</f>
        <v>-4.7078386960350826E-3</v>
      </c>
      <c r="D53" s="21">
        <f>LN([1]Prices!D52)-LN([1]Prices!D53)</f>
        <v>-2.4381860567982638E-2</v>
      </c>
    </row>
    <row r="54" spans="1:4">
      <c r="A54" s="22">
        <f>[1]Prices!A54</f>
        <v>46027</v>
      </c>
      <c r="B54" s="23">
        <f>LN([1]Prices!B53)-LN([1]Prices!B54)</f>
        <v>1.1898895854702829E-2</v>
      </c>
      <c r="C54" s="23">
        <f>LN([1]Prices!C53)-LN([1]Prices!C54)</f>
        <v>6.0050912973359516E-3</v>
      </c>
      <c r="D54" s="21">
        <f>LN([1]Prices!D53)-LN([1]Prices!D54)</f>
        <v>-3.4904049397685988E-3</v>
      </c>
    </row>
    <row r="55" spans="1:4">
      <c r="A55" s="19">
        <f>[1]Prices!A55</f>
        <v>46024</v>
      </c>
      <c r="B55" s="20">
        <f>LN([1]Prices!B54)-LN([1]Prices!B55)</f>
        <v>-1.9031708999150965E-4</v>
      </c>
      <c r="C55" s="20">
        <f>LN([1]Prices!C54)-LN([1]Prices!C55)</f>
        <v>-1.6070394780757447E-2</v>
      </c>
      <c r="D55" s="21">
        <f>LN([1]Prices!D54)-LN([1]Prices!D55)</f>
        <v>-1.9338625249507579E-3</v>
      </c>
    </row>
    <row r="56" spans="1:4">
      <c r="A56" s="22">
        <f>[1]Prices!A56</f>
        <v>46022</v>
      </c>
      <c r="B56" s="20">
        <f>LN([1]Prices!B55)-LN([1]Prices!B56)</f>
        <v>-2.2330943826937677E-2</v>
      </c>
      <c r="C56" s="20">
        <f>LN([1]Prices!C55)-LN([1]Prices!C56)</f>
        <v>4.0960581563282972E-3</v>
      </c>
      <c r="D56" s="24">
        <f>LN([1]Prices!D55)-LN([1]Prices!D56)</f>
        <v>1.0878118147183091E-2</v>
      </c>
    </row>
    <row r="57" spans="1:4">
      <c r="A57" s="19">
        <f>[1]Prices!A57</f>
        <v>46021</v>
      </c>
      <c r="B57" s="20">
        <f>LN([1]Prices!B56)-LN([1]Prices!B57)</f>
        <v>-7.9497895768509963E-3</v>
      </c>
      <c r="C57" s="20">
        <f>LN([1]Prices!C56)-LN([1]Prices!C57)</f>
        <v>-1.1731237261427552E-2</v>
      </c>
      <c r="D57" s="21">
        <f>LN([1]Prices!D56)-LN([1]Prices!D57)</f>
        <v>-4.6765478839017049E-3</v>
      </c>
    </row>
    <row r="58" spans="1:4">
      <c r="A58" s="22">
        <f>[1]Prices!A58</f>
        <v>46020</v>
      </c>
      <c r="B58" s="20">
        <f>LN([1]Prices!B57)-LN([1]Prices!B58)</f>
        <v>7.7982314280422571E-4</v>
      </c>
      <c r="C58" s="20">
        <f>LN([1]Prices!C57)-LN([1]Prices!C58)</f>
        <v>9.322770597180785E-3</v>
      </c>
      <c r="D58" s="21">
        <f>LN([1]Prices!D57)-LN([1]Prices!D58)</f>
        <v>-1.942125294855046E-3</v>
      </c>
    </row>
    <row r="59" spans="1:4">
      <c r="A59" s="19">
        <f>[1]Prices!A59</f>
        <v>46017</v>
      </c>
      <c r="B59" s="23">
        <f>LN([1]Prices!B58)-LN([1]Prices!B59)</f>
        <v>-1.2515261017451706E-3</v>
      </c>
      <c r="C59" s="23">
        <f>LN([1]Prices!C58)-LN([1]Prices!C59)</f>
        <v>-1.3270144143811002E-2</v>
      </c>
      <c r="D59" s="21">
        <f>LN([1]Prices!D58)-LN([1]Prices!D59)</f>
        <v>-1.9383607542229342E-3</v>
      </c>
    </row>
    <row r="60" spans="1:4">
      <c r="A60" s="22">
        <f>[1]Prices!A60</f>
        <v>46015</v>
      </c>
      <c r="B60" s="20">
        <f>LN([1]Prices!B59)-LN([1]Prices!B60)</f>
        <v>-6.3542170565700218E-4</v>
      </c>
      <c r="C60" s="20">
        <f>LN([1]Prices!C59)-LN([1]Prices!C60)</f>
        <v>2.5285742207126205E-3</v>
      </c>
      <c r="D60" s="24">
        <f>LN([1]Prices!D59)-LN([1]Prices!D60)</f>
        <v>4.6583935173223345E-3</v>
      </c>
    </row>
    <row r="61" spans="1:4">
      <c r="A61" s="19">
        <f>[1]Prices!A61</f>
        <v>46014</v>
      </c>
      <c r="B61" s="20">
        <f>LN([1]Prices!B60)-LN([1]Prices!B61)</f>
        <v>2.4003211951342251E-3</v>
      </c>
      <c r="C61" s="20">
        <f>LN([1]Prices!C60)-LN([1]Prices!C61)</f>
        <v>1.0946320128564224E-2</v>
      </c>
      <c r="D61" s="21">
        <f>LN([1]Prices!D60)-LN([1]Prices!D61)</f>
        <v>-2.3319093349787323E-3</v>
      </c>
    </row>
    <row r="62" spans="1:4">
      <c r="A62" s="22">
        <f>[1]Prices!A62</f>
        <v>46013</v>
      </c>
      <c r="B62" s="20">
        <f>LN([1]Prices!B61)-LN([1]Prices!B62)</f>
        <v>3.9721385463824532E-3</v>
      </c>
      <c r="C62" s="20">
        <f>LN([1]Prices!C61)-LN([1]Prices!C62)</f>
        <v>-1.5442753298517076E-2</v>
      </c>
      <c r="D62" s="21">
        <f>LN([1]Prices!D61)-LN([1]Prices!D62)</f>
        <v>2.0789138583186428E-2</v>
      </c>
    </row>
    <row r="63" spans="1:4">
      <c r="A63" s="19">
        <f>[1]Prices!A63</f>
        <v>46010</v>
      </c>
      <c r="B63" s="20">
        <f>LN([1]Prices!B62)-LN([1]Prices!B63)</f>
        <v>-2.060072419055814E-3</v>
      </c>
      <c r="C63" s="20">
        <f>LN([1]Prices!C62)-LN([1]Prices!C63)</f>
        <v>3.2845273498368854E-2</v>
      </c>
      <c r="D63" s="21">
        <f>LN([1]Prices!D62)-LN([1]Prices!D63)</f>
        <v>-6.7154113715242048E-3</v>
      </c>
    </row>
    <row r="64" spans="1:4">
      <c r="A64" s="22">
        <f>[1]Prices!A64</f>
        <v>46009</v>
      </c>
      <c r="B64" s="23">
        <f>LN([1]Prices!B63)-LN([1]Prices!B64)</f>
        <v>4.0004177486467896E-3</v>
      </c>
      <c r="C64" s="23">
        <f>LN([1]Prices!C63)-LN([1]Prices!C64)</f>
        <v>6.4215606149947924E-2</v>
      </c>
      <c r="D64" s="24">
        <f>LN([1]Prices!D63)-LN([1]Prices!D64)</f>
        <v>-1.987982054952786E-2</v>
      </c>
    </row>
    <row r="65" spans="1:4">
      <c r="A65" s="19">
        <f>[1]Prices!A65</f>
        <v>46008</v>
      </c>
      <c r="B65" s="20">
        <f>LN([1]Prices!B64)-LN([1]Prices!B65)</f>
        <v>1.6373660249112909E-2</v>
      </c>
      <c r="C65" s="20">
        <f>LN([1]Prices!C64)-LN([1]Prices!C65)</f>
        <v>8.7590171975255871E-3</v>
      </c>
      <c r="D65" s="21">
        <f>LN([1]Prices!D64)-LN([1]Prices!D65)</f>
        <v>-1.9278972618708146E-3</v>
      </c>
    </row>
    <row r="66" spans="1:4">
      <c r="A66" s="22">
        <f>[1]Prices!A66</f>
        <v>46007</v>
      </c>
      <c r="B66" s="20">
        <f>LN([1]Prices!B65)-LN([1]Prices!B66)</f>
        <v>-5.6692319709306105E-4</v>
      </c>
      <c r="C66" s="20">
        <f>LN([1]Prices!C65)-LN([1]Prices!C66)</f>
        <v>-5.5528959938314415E-2</v>
      </c>
      <c r="D66" s="21">
        <f>LN([1]Prices!D65)-LN([1]Prices!D66)</f>
        <v>-1.8699266468419129E-2</v>
      </c>
    </row>
    <row r="67" spans="1:4">
      <c r="A67" s="19">
        <f>[1]Prices!A67</f>
        <v>46006</v>
      </c>
      <c r="B67" s="20">
        <f>LN([1]Prices!B66)-LN([1]Prices!B67)</f>
        <v>3.3010616492497036E-3</v>
      </c>
      <c r="C67" s="20">
        <f>LN([1]Prices!C66)-LN([1]Prices!C67)</f>
        <v>1.9970147290295337E-2</v>
      </c>
      <c r="D67" s="21">
        <f>LN([1]Prices!D66)-LN([1]Prices!D67)</f>
        <v>-7.1576873678798059E-3</v>
      </c>
    </row>
    <row r="68" spans="1:4">
      <c r="A68" s="22">
        <f>[1]Prices!A68</f>
        <v>46003</v>
      </c>
      <c r="B68" s="20">
        <f>LN([1]Prices!B67)-LN([1]Prices!B68)</f>
        <v>-7.7831200049445215E-3</v>
      </c>
      <c r="C68" s="20">
        <f>LN([1]Prices!C67)-LN([1]Prices!C68)</f>
        <v>-2.6942865836933727E-2</v>
      </c>
      <c r="D68" s="24">
        <f>LN([1]Prices!D67)-LN([1]Prices!D68)</f>
        <v>-4.8680118600730182E-3</v>
      </c>
    </row>
    <row r="69" spans="1:4">
      <c r="A69" s="19">
        <f>[1]Prices!A69</f>
        <v>46002</v>
      </c>
      <c r="B69" s="23">
        <f>LN([1]Prices!B68)-LN([1]Prices!B69)</f>
        <v>-1.027036054604924E-2</v>
      </c>
      <c r="C69" s="23">
        <f>LN([1]Prices!C68)-LN([1]Prices!C69)</f>
        <v>-4.5684606696741348E-2</v>
      </c>
      <c r="D69" s="21">
        <f>LN([1]Prices!D68)-LN([1]Prices!D69)</f>
        <v>1.4953273814337642E-3</v>
      </c>
    </row>
    <row r="70" spans="1:4">
      <c r="A70" s="22">
        <f>[1]Prices!A70</f>
        <v>46001</v>
      </c>
      <c r="B70" s="20">
        <f>LN([1]Prices!B69)-LN([1]Prices!B70)</f>
        <v>1.0207670516877876E-2</v>
      </c>
      <c r="C70" s="20">
        <f>LN([1]Prices!C69)-LN([1]Prices!C70)</f>
        <v>-0.1146658418503268</v>
      </c>
      <c r="D70" s="21">
        <f>LN([1]Prices!D69)-LN([1]Prices!D70)</f>
        <v>-1.300891789324643E-2</v>
      </c>
    </row>
    <row r="71" spans="1:4">
      <c r="A71" s="19">
        <f>[1]Prices!A71</f>
        <v>46000</v>
      </c>
      <c r="B71" s="20">
        <f>LN([1]Prices!B70)-LN([1]Prices!B71)</f>
        <v>-2.7737771190968985E-2</v>
      </c>
      <c r="C71" s="20">
        <f>LN([1]Prices!C70)-LN([1]Prices!C71)</f>
        <v>6.6585930094422707E-3</v>
      </c>
      <c r="D71" s="21">
        <f>LN([1]Prices!D70)-LN([1]Prices!D71)</f>
        <v>-1.756999810138371E-2</v>
      </c>
    </row>
    <row r="72" spans="1:4">
      <c r="A72" s="22">
        <f>[1]Prices!A72</f>
        <v>45999</v>
      </c>
      <c r="B72" s="20">
        <f>LN([1]Prices!B71)-LN([1]Prices!B72)</f>
        <v>2.0345059101050111E-3</v>
      </c>
      <c r="C72" s="20">
        <f>LN([1]Prices!C71)-LN([1]Prices!C72)</f>
        <v>4.4789361640518166E-3</v>
      </c>
      <c r="D72" s="24">
        <f>LN([1]Prices!D71)-LN([1]Prices!D72)</f>
        <v>3.6291054653414534E-4</v>
      </c>
    </row>
    <row r="73" spans="1:4">
      <c r="A73" s="19">
        <f>[1]Prices!A73</f>
        <v>45996</v>
      </c>
      <c r="B73" s="20">
        <f>LN([1]Prices!B72)-LN([1]Prices!B73)</f>
        <v>1.6136998425424487E-2</v>
      </c>
      <c r="C73" s="20">
        <f>LN([1]Prices!C72)-LN([1]Prices!C73)</f>
        <v>1.3512485337595415E-2</v>
      </c>
      <c r="D73" s="21">
        <f>LN([1]Prices!D72)-LN([1]Prices!D73)</f>
        <v>-1.7272829577773319E-2</v>
      </c>
    </row>
    <row r="74" spans="1:4">
      <c r="A74" s="22">
        <f>[1]Prices!A74</f>
        <v>45995</v>
      </c>
      <c r="B74" s="23">
        <f>LN([1]Prices!B73)-LN([1]Prices!B74)</f>
        <v>4.8132873010242605E-3</v>
      </c>
      <c r="C74" s="23">
        <f>LN([1]Prices!C73)-LN([1]Prices!C74)</f>
        <v>1.5049715643895567E-2</v>
      </c>
      <c r="D74" s="21">
        <f>LN([1]Prices!D73)-LN([1]Prices!D74)</f>
        <v>-9.2330201367789577E-3</v>
      </c>
    </row>
    <row r="75" spans="1:4">
      <c r="A75" s="19">
        <f>[1]Prices!A75</f>
        <v>45994</v>
      </c>
      <c r="B75" s="20">
        <f>LN([1]Prices!B74)-LN([1]Prices!B75)</f>
        <v>6.4888550909518727E-3</v>
      </c>
      <c r="C75" s="20">
        <f>LN([1]Prices!C74)-LN([1]Prices!C75)</f>
        <v>3.1277723802448421E-2</v>
      </c>
      <c r="D75" s="21">
        <f>LN([1]Prices!D74)-LN([1]Prices!D75)</f>
        <v>-5.9912073482304429E-3</v>
      </c>
    </row>
    <row r="76" spans="1:4">
      <c r="A76" s="22">
        <f>[1]Prices!A76</f>
        <v>45993</v>
      </c>
      <c r="B76" s="20">
        <f>LN([1]Prices!B75)-LN([1]Prices!B76)</f>
        <v>-2.5359671759570546E-2</v>
      </c>
      <c r="C76" s="20">
        <f>LN([1]Prices!C75)-LN([1]Prices!C76)</f>
        <v>3.2436862767986518E-2</v>
      </c>
      <c r="D76" s="24">
        <f>LN([1]Prices!D75)-LN([1]Prices!D76)</f>
        <v>-3.8576235809753001E-3</v>
      </c>
    </row>
    <row r="77" spans="1:4">
      <c r="A77" s="19">
        <f>[1]Prices!A77</f>
        <v>45992</v>
      </c>
      <c r="B77" s="20">
        <f>LN([1]Prices!B76)-LN([1]Prices!B77)</f>
        <v>6.6752914907262095E-3</v>
      </c>
      <c r="C77" s="20">
        <f>LN([1]Prices!C76)-LN([1]Prices!C77)</f>
        <v>7.9594074443800622E-4</v>
      </c>
      <c r="D77" s="21">
        <f>LN([1]Prices!D76)-LN([1]Prices!D77)</f>
        <v>-7.3234852165402486E-3</v>
      </c>
    </row>
    <row r="78" spans="1:4">
      <c r="A78" s="22">
        <f>[1]Prices!A78</f>
        <v>45989</v>
      </c>
      <c r="B78" s="20">
        <f>LN([1]Prices!B77)-LN([1]Prices!B78)</f>
        <v>-1.0768941875060278E-2</v>
      </c>
      <c r="C78" s="20">
        <f>LN([1]Prices!C77)-LN([1]Prices!C78)</f>
        <v>-5.013785975253704E-3</v>
      </c>
      <c r="D78" s="21">
        <f>LN([1]Prices!D77)-LN([1]Prices!D78)</f>
        <v>-1.961184481488365E-2</v>
      </c>
    </row>
    <row r="79" spans="1:4">
      <c r="A79" s="19">
        <f>[1]Prices!A79</f>
        <v>45987</v>
      </c>
      <c r="B79" s="23">
        <f>LN([1]Prices!B78)-LN([1]Prices!B79)</f>
        <v>1.3319753757626174E-2</v>
      </c>
      <c r="C79" s="23">
        <f>LN([1]Prices!C78)-LN([1]Prices!C79)</f>
        <v>-1.4794696139001751E-2</v>
      </c>
      <c r="D79" s="21">
        <f>LN([1]Prices!D78)-LN([1]Prices!D79)</f>
        <v>9.2418936087867998E-3</v>
      </c>
    </row>
    <row r="80" spans="1:4">
      <c r="A80" s="22">
        <f>[1]Prices!A80</f>
        <v>45986</v>
      </c>
      <c r="B80" s="20">
        <f>LN([1]Prices!B79)-LN([1]Prices!B80)</f>
        <v>1.7683761423381128E-2</v>
      </c>
      <c r="C80" s="20">
        <f>LN([1]Prices!C79)-LN([1]Prices!C80)</f>
        <v>3.9458836740546843E-2</v>
      </c>
      <c r="D80" s="24">
        <f>LN([1]Prices!D79)-LN([1]Prices!D80)</f>
        <v>1.6643934839511765E-2</v>
      </c>
    </row>
    <row r="81" spans="1:4">
      <c r="A81" s="19">
        <f>[1]Prices!A81</f>
        <v>45985</v>
      </c>
      <c r="B81" s="20">
        <f>LN([1]Prices!B80)-LN([1]Prices!B81)</f>
        <v>6.2882046129217883E-3</v>
      </c>
      <c r="C81" s="20">
        <f>LN([1]Prices!C80)-LN([1]Prices!C81)</f>
        <v>-1.6360386053866804E-2</v>
      </c>
      <c r="D81" s="21">
        <f>LN([1]Prices!D80)-LN([1]Prices!D81)</f>
        <v>-1.4233880307505942E-2</v>
      </c>
    </row>
    <row r="82" spans="1:4">
      <c r="A82" s="22">
        <f>[1]Prices!A82</f>
        <v>45982</v>
      </c>
      <c r="B82" s="20">
        <f>LN([1]Prices!B81)-LN([1]Prices!B82)</f>
        <v>3.9741311342087471E-3</v>
      </c>
      <c r="C82" s="20">
        <f>LN([1]Prices!C81)-LN([1]Prices!C82)</f>
        <v>7.6183207276239173E-3</v>
      </c>
      <c r="D82" s="21">
        <f>LN([1]Prices!D81)-LN([1]Prices!D82)</f>
        <v>1.6684432907904334E-2</v>
      </c>
    </row>
    <row r="83" spans="1:4">
      <c r="A83" s="19">
        <f>[1]Prices!A83</f>
        <v>45981</v>
      </c>
      <c r="B83" s="20">
        <f>LN([1]Prices!B82)-LN([1]Prices!B83)</f>
        <v>-1.3276719139525106E-2</v>
      </c>
      <c r="C83" s="20">
        <f>LN([1]Prices!C82)-LN([1]Prices!C83)</f>
        <v>-5.8289792104918803E-2</v>
      </c>
      <c r="D83" s="21">
        <f>LN([1]Prices!D82)-LN([1]Prices!D83)</f>
        <v>2.7720325032964954E-2</v>
      </c>
    </row>
    <row r="84" spans="1:4">
      <c r="A84" s="22">
        <f>[1]Prices!A84</f>
        <v>45980</v>
      </c>
      <c r="B84" s="23">
        <f>LN([1]Prices!B83)-LN([1]Prices!B84)</f>
        <v>-1.8000589599925121E-2</v>
      </c>
      <c r="C84" s="23">
        <f>LN([1]Prices!C83)-LN([1]Prices!C84)</f>
        <v>-6.8065328948978987E-2</v>
      </c>
      <c r="D84" s="24">
        <f>LN([1]Prices!D83)-LN([1]Prices!D84)</f>
        <v>-2.8421095909575644E-2</v>
      </c>
    </row>
    <row r="85" spans="1:4">
      <c r="A85" s="19">
        <f>[1]Prices!A85</f>
        <v>45979</v>
      </c>
      <c r="B85" s="20">
        <f>LN([1]Prices!B84)-LN([1]Prices!B85)</f>
        <v>-1.3599826291892825E-2</v>
      </c>
      <c r="C85" s="20">
        <f>LN([1]Prices!C84)-LN([1]Prices!C85)</f>
        <v>2.2600845403449199E-2</v>
      </c>
      <c r="D85" s="21">
        <f>LN([1]Prices!D84)-LN([1]Prices!D85)</f>
        <v>-4.1943437932592254E-3</v>
      </c>
    </row>
    <row r="86" spans="1:4">
      <c r="A86" s="22">
        <f>[1]Prices!A86</f>
        <v>45978</v>
      </c>
      <c r="B86" s="20">
        <f>LN([1]Prices!B85)-LN([1]Prices!B86)</f>
        <v>-2.7366680696098378E-2</v>
      </c>
      <c r="C86" s="20">
        <f>LN([1]Prices!C85)-LN([1]Prices!C86)</f>
        <v>2.8613622338502509E-3</v>
      </c>
      <c r="D86" s="21">
        <f>LN([1]Prices!D85)-LN([1]Prices!D86)</f>
        <v>-1.4543192611832012E-2</v>
      </c>
    </row>
    <row r="87" spans="1:4">
      <c r="A87" s="19">
        <f>[1]Prices!A87</f>
        <v>45975</v>
      </c>
      <c r="B87" s="20">
        <f>LN([1]Prices!B86)-LN([1]Prices!B87)</f>
        <v>-5.2865983374461578E-3</v>
      </c>
      <c r="C87" s="20">
        <f>LN([1]Prices!C86)-LN([1]Prices!C87)</f>
        <v>-1.35079192418468E-2</v>
      </c>
      <c r="D87" s="21">
        <f>LN([1]Prices!D86)-LN([1]Prices!D87)</f>
        <v>-3.4794930424582482E-2</v>
      </c>
    </row>
    <row r="88" spans="1:4">
      <c r="A88" s="22">
        <f>[1]Prices!A88</f>
        <v>45974</v>
      </c>
      <c r="B88" s="20">
        <f>LN([1]Prices!B87)-LN([1]Prices!B88)</f>
        <v>1.3597059906317988E-2</v>
      </c>
      <c r="C88" s="20">
        <f>LN([1]Prices!C87)-LN([1]Prices!C88)</f>
        <v>2.3978261562453973E-2</v>
      </c>
      <c r="D88" s="24">
        <f>LN([1]Prices!D87)-LN([1]Prices!D88)</f>
        <v>2.2835109071017268E-2</v>
      </c>
    </row>
    <row r="89" spans="1:4">
      <c r="A89" s="19">
        <f>[1]Prices!A89</f>
        <v>45973</v>
      </c>
      <c r="B89" s="23">
        <f>LN([1]Prices!B88)-LN([1]Prices!B89)</f>
        <v>-1.5476980563366105E-2</v>
      </c>
      <c r="C89" s="23">
        <f>LN([1]Prices!C88)-LN([1]Prices!C89)</f>
        <v>-4.2385325817499542E-2</v>
      </c>
      <c r="D89" s="21">
        <f>LN([1]Prices!D88)-LN([1]Prices!D89)</f>
        <v>-2.7472414499534192E-2</v>
      </c>
    </row>
    <row r="90" spans="1:4">
      <c r="A90" s="22">
        <f>[1]Prices!A90</f>
        <v>45972</v>
      </c>
      <c r="B90" s="20">
        <f>LN([1]Prices!B89)-LN([1]Prices!B90)</f>
        <v>4.8243901302580383E-3</v>
      </c>
      <c r="C90" s="20">
        <f>LN([1]Prices!C89)-LN([1]Prices!C90)</f>
        <v>-3.9561232694516058E-2</v>
      </c>
      <c r="D90" s="21">
        <f>LN([1]Prices!D89)-LN([1]Prices!D90)</f>
        <v>3.7028801219752605E-2</v>
      </c>
    </row>
    <row r="91" spans="1:4">
      <c r="A91" s="19">
        <f>[1]Prices!A91</f>
        <v>45971</v>
      </c>
      <c r="B91" s="20">
        <f>LN([1]Prices!B90)-LN([1]Prices!B91)</f>
        <v>5.2824658650800771E-3</v>
      </c>
      <c r="C91" s="20">
        <f>LN([1]Prices!C90)-LN([1]Prices!C91)</f>
        <v>-1.9624094050116447E-2</v>
      </c>
      <c r="D91" s="21">
        <f>LN([1]Prices!D90)-LN([1]Prices!D91)</f>
        <v>4.1665399926588798E-2</v>
      </c>
    </row>
    <row r="92" spans="1:4">
      <c r="A92" s="22">
        <f>[1]Prices!A92</f>
        <v>45968</v>
      </c>
      <c r="B92" s="20">
        <f>LN([1]Prices!B91)-LN([1]Prices!B92)</f>
        <v>1.8308881829560697E-2</v>
      </c>
      <c r="C92" s="20">
        <f>LN([1]Prices!C91)-LN([1]Prices!C92)</f>
        <v>6.5404636494852397E-3</v>
      </c>
      <c r="D92" s="24">
        <f>LN([1]Prices!D91)-LN([1]Prices!D92)</f>
        <v>9.3391483389813068E-3</v>
      </c>
    </row>
    <row r="93" spans="1:4">
      <c r="A93" s="19">
        <f>[1]Prices!A93</f>
        <v>45967</v>
      </c>
      <c r="B93" s="20">
        <f>LN([1]Prices!B92)-LN([1]Prices!B93)</f>
        <v>-5.6342564272160445E-4</v>
      </c>
      <c r="C93" s="20">
        <f>LN([1]Prices!C92)-LN([1]Prices!C93)</f>
        <v>-1.8797390304413852E-2</v>
      </c>
      <c r="D93" s="21">
        <f>LN([1]Prices!D92)-LN([1]Prices!D93)</f>
        <v>-2.0715026438588691E-2</v>
      </c>
    </row>
    <row r="94" spans="1:4">
      <c r="A94" s="22">
        <f>[1]Prices!A94</f>
        <v>45966</v>
      </c>
      <c r="B94" s="23">
        <f>LN([1]Prices!B93)-LN([1]Prices!B94)</f>
        <v>-2.0035322559120772E-2</v>
      </c>
      <c r="C94" s="23">
        <f>LN([1]Prices!C93)-LN([1]Prices!C94)</f>
        <v>-2.6351932650025667E-2</v>
      </c>
      <c r="D94" s="21">
        <f>LN([1]Prices!D93)-LN([1]Prices!D94)</f>
        <v>7.4508061558655747E-3</v>
      </c>
    </row>
    <row r="95" spans="1:4">
      <c r="A95" s="19">
        <f>[1]Prices!A95</f>
        <v>45965</v>
      </c>
      <c r="B95" s="20">
        <f>LN([1]Prices!B94)-LN([1]Prices!B95)</f>
        <v>-1.4038547132902757E-2</v>
      </c>
      <c r="C95" s="20">
        <f>LN([1]Prices!C94)-LN([1]Prices!C95)</f>
        <v>8.5861544980039284E-3</v>
      </c>
      <c r="D95" s="21">
        <f>LN([1]Prices!D94)-LN([1]Prices!D95)</f>
        <v>6.0725316093792614E-3</v>
      </c>
    </row>
    <row r="96" spans="1:4">
      <c r="A96" s="22">
        <f>[1]Prices!A96</f>
        <v>45964</v>
      </c>
      <c r="B96" s="20">
        <f>LN([1]Prices!B95)-LN([1]Prices!B96)</f>
        <v>-5.2358171115765018E-3</v>
      </c>
      <c r="C96" s="20">
        <f>LN([1]Prices!C95)-LN([1]Prices!C96)</f>
        <v>-3.8264025297774396E-2</v>
      </c>
      <c r="D96" s="24">
        <f>LN([1]Prices!D95)-LN([1]Prices!D96)</f>
        <v>-1.432152052877278E-3</v>
      </c>
    </row>
    <row r="97" spans="1:4">
      <c r="A97" s="19">
        <f>[1]Prices!A97</f>
        <v>45961</v>
      </c>
      <c r="B97" s="20">
        <f>LN([1]Prices!B96)-LN([1]Prices!B97)</f>
        <v>-1.5074797025862452E-3</v>
      </c>
      <c r="C97" s="20">
        <f>LN([1]Prices!C96)-LN([1]Prices!C97)</f>
        <v>-1.8292021377825485E-2</v>
      </c>
      <c r="D97" s="21">
        <f>LN([1]Prices!D96)-LN([1]Prices!D97)</f>
        <v>2.1489979617106414E-3</v>
      </c>
    </row>
    <row r="98" spans="1:4">
      <c r="A98" s="22">
        <f>[1]Prices!A98</f>
        <v>45960</v>
      </c>
      <c r="B98" s="20">
        <f>LN([1]Prices!B97)-LN([1]Prices!B98)</f>
        <v>-1.5236455242090052E-2</v>
      </c>
      <c r="C98" s="20">
        <f>LN([1]Prices!C97)-LN([1]Prices!C98)</f>
        <v>2.20220641685831E-2</v>
      </c>
      <c r="D98" s="21">
        <f>LN([1]Prices!D97)-LN([1]Prices!D98)</f>
        <v>5.0323614469540701E-3</v>
      </c>
    </row>
    <row r="99" spans="1:4">
      <c r="A99" s="19">
        <f>[1]Prices!A99</f>
        <v>45959</v>
      </c>
      <c r="B99" s="23">
        <f>LN([1]Prices!B98)-LN([1]Prices!B99)</f>
        <v>-2.9590563432843275E-2</v>
      </c>
      <c r="C99" s="23">
        <f>LN([1]Prices!C98)-LN([1]Prices!C99)</f>
        <v>-6.921343444235184E-2</v>
      </c>
      <c r="D99" s="21">
        <f>LN([1]Prices!D98)-LN([1]Prices!D99)</f>
        <v>-1.5376666278090756E-2</v>
      </c>
    </row>
    <row r="100" spans="1:4">
      <c r="A100" s="22">
        <f>[1]Prices!A100</f>
        <v>45958</v>
      </c>
      <c r="B100" s="20">
        <f>LN([1]Prices!B99)-LN([1]Prices!B100)</f>
        <v>-9.5974611010252175E-4</v>
      </c>
      <c r="C100" s="20">
        <f>LN([1]Prices!C99)-LN([1]Prices!C100)</f>
        <v>-1.9888091903201399E-2</v>
      </c>
      <c r="D100" s="24">
        <f>LN([1]Prices!D99)-LN([1]Prices!D100)</f>
        <v>-2.8338436463029915E-2</v>
      </c>
    </row>
    <row r="101" spans="1:4">
      <c r="A101" s="19">
        <f>[1]Prices!A101</f>
        <v>45957</v>
      </c>
      <c r="B101" s="20">
        <f>LN([1]Prices!B100)-LN([1]Prices!B101)</f>
        <v>1.9654317966918633E-2</v>
      </c>
      <c r="C101" s="20">
        <f>LN([1]Prices!C100)-LN([1]Prices!C101)</f>
        <v>-2.0276406285253401E-3</v>
      </c>
      <c r="D101" s="21">
        <f>LN([1]Prices!D100)-LN([1]Prices!D101)</f>
        <v>1.0053820167988725E-2</v>
      </c>
    </row>
    <row r="102" spans="1:4">
      <c r="A102" s="22">
        <f>[1]Prices!A102</f>
        <v>45954</v>
      </c>
      <c r="B102" s="20">
        <f>LN([1]Prices!B101)-LN([1]Prices!B102)</f>
        <v>1.4993694023050175E-2</v>
      </c>
      <c r="C102" s="20">
        <f>LN([1]Prices!C101)-LN([1]Prices!C102)</f>
        <v>-6.8351513608764236E-3</v>
      </c>
      <c r="D102" s="21">
        <f>LN([1]Prices!D101)-LN([1]Prices!D102)</f>
        <v>1.7436796048269088E-3</v>
      </c>
    </row>
    <row r="103" spans="1:4">
      <c r="A103" s="19">
        <f>[1]Prices!A103</f>
        <v>45953</v>
      </c>
      <c r="B103" s="20">
        <f>LN([1]Prices!B102)-LN([1]Prices!B103)</f>
        <v>5.8419772151516725E-3</v>
      </c>
      <c r="C103" s="20">
        <f>LN([1]Prices!C102)-LN([1]Prices!C103)</f>
        <v>1.1572724116708066E-2</v>
      </c>
      <c r="D103" s="21">
        <f>LN([1]Prices!D102)-LN([1]Prices!D103)</f>
        <v>-2.09205097222398E-3</v>
      </c>
    </row>
    <row r="104" spans="1:4">
      <c r="A104" s="22">
        <f>[1]Prices!A104</f>
        <v>45952</v>
      </c>
      <c r="B104" s="23">
        <f>LN([1]Prices!B103)-LN([1]Prices!B104)</f>
        <v>3.8420900974500682E-5</v>
      </c>
      <c r="C104" s="23">
        <f>LN([1]Prices!C103)-LN([1]Prices!C104)</f>
        <v>2.6813974166473464E-2</v>
      </c>
      <c r="D104" s="24">
        <f>LN([1]Prices!D103)-LN([1]Prices!D104)</f>
        <v>-1.3922731103868102E-3</v>
      </c>
    </row>
    <row r="105" spans="1:4">
      <c r="A105" s="19">
        <f>[1]Prices!A105</f>
        <v>45951</v>
      </c>
      <c r="B105" s="20">
        <f>LN([1]Prices!B104)-LN([1]Prices!B105)</f>
        <v>5.5480781881671604E-3</v>
      </c>
      <c r="C105" s="20">
        <f>LN([1]Prices!C104)-LN([1]Prices!C105)</f>
        <v>-9.0908057477845361E-3</v>
      </c>
      <c r="D105" s="21">
        <f>LN([1]Prices!D104)-LN([1]Prices!D105)</f>
        <v>-1.3474033523699358E-2</v>
      </c>
    </row>
    <row r="106" spans="1:4">
      <c r="A106" s="22">
        <f>[1]Prices!A106</f>
        <v>45950</v>
      </c>
      <c r="B106" s="20">
        <f>LN([1]Prices!B105)-LN([1]Prices!B106)</f>
        <v>1.682053661606453E-3</v>
      </c>
      <c r="C106" s="20">
        <f>LN([1]Prices!C105)-LN([1]Prices!C106)</f>
        <v>-7.350711134888499E-3</v>
      </c>
      <c r="D106" s="21">
        <f>LN([1]Prices!D105)-LN([1]Prices!D106)</f>
        <v>-1.7143840989648496E-3</v>
      </c>
    </row>
    <row r="107" spans="1:4">
      <c r="A107" s="19">
        <f>[1]Prices!A107</f>
        <v>45947</v>
      </c>
      <c r="B107" s="20">
        <f>LN([1]Prices!B106)-LN([1]Prices!B107)</f>
        <v>6.2307916284103371E-3</v>
      </c>
      <c r="C107" s="20">
        <f>LN([1]Prices!C106)-LN([1]Prices!C107)</f>
        <v>-4.9720877606090674E-2</v>
      </c>
      <c r="D107" s="21">
        <f>LN([1]Prices!D106)-LN([1]Prices!D107)</f>
        <v>9.9845897476371626E-3</v>
      </c>
    </row>
    <row r="108" spans="1:4">
      <c r="A108" s="22">
        <f>[1]Prices!A108</f>
        <v>45946</v>
      </c>
      <c r="B108" s="20">
        <f>LN([1]Prices!B107)-LN([1]Prices!B108)</f>
        <v>3.8431947731938365E-3</v>
      </c>
      <c r="C108" s="20">
        <f>LN([1]Prices!C107)-LN([1]Prices!C108)</f>
        <v>-7.1815198293405658E-2</v>
      </c>
      <c r="D108" s="24">
        <f>LN([1]Prices!D107)-LN([1]Prices!D108)</f>
        <v>1.393750784378156E-2</v>
      </c>
    </row>
    <row r="109" spans="1:4">
      <c r="A109" s="19">
        <f>[1]Prices!A109</f>
        <v>45945</v>
      </c>
      <c r="B109" s="23">
        <f>LN([1]Prices!B108)-LN([1]Prices!B109)</f>
        <v>-3.5510846650801398E-3</v>
      </c>
      <c r="C109" s="23">
        <f>LN([1]Prices!C108)-LN([1]Prices!C109)</f>
        <v>3.0426271035583596E-2</v>
      </c>
      <c r="D109" s="21">
        <f>LN([1]Prices!D108)-LN([1]Prices!D109)</f>
        <v>-1.3591427203539119E-2</v>
      </c>
    </row>
    <row r="110" spans="1:4">
      <c r="A110" s="22">
        <f>[1]Prices!A110</f>
        <v>45944</v>
      </c>
      <c r="B110" s="20">
        <f>LN([1]Prices!B109)-LN([1]Prices!B110)</f>
        <v>-2.7263875534089266E-4</v>
      </c>
      <c r="C110" s="20">
        <f>LN([1]Prices!C109)-LN([1]Prices!C110)</f>
        <v>1.5333346113882484E-2</v>
      </c>
      <c r="D110" s="21">
        <f>LN([1]Prices!D109)-LN([1]Prices!D110)</f>
        <v>2.0790028278332429E-3</v>
      </c>
    </row>
    <row r="111" spans="1:4">
      <c r="A111" s="19">
        <f>[1]Prices!A111</f>
        <v>45943</v>
      </c>
      <c r="B111" s="20">
        <f>LN([1]Prices!B110)-LN([1]Prices!B111)</f>
        <v>-9.3419753393053639E-4</v>
      </c>
      <c r="C111" s="20">
        <f>LN([1]Prices!C110)-LN([1]Prices!C111)</f>
        <v>-2.968867658829577E-2</v>
      </c>
      <c r="D111" s="21">
        <f>LN([1]Prices!D110)-LN([1]Prices!D111)</f>
        <v>-1.3864820245328424E-3</v>
      </c>
    </row>
    <row r="112" spans="1:4">
      <c r="A112" s="22">
        <f>[1]Prices!A112</f>
        <v>45940</v>
      </c>
      <c r="B112" s="20">
        <f>LN([1]Prices!B111)-LN([1]Prices!B112)</f>
        <v>6.0292277353939383E-3</v>
      </c>
      <c r="C112" s="20">
        <f>LN([1]Prices!C111)-LN([1]Prices!C112)</f>
        <v>5.0096169052782358E-2</v>
      </c>
      <c r="D112" s="24">
        <f>LN([1]Prices!D111)-LN([1]Prices!D112)</f>
        <v>2.1709536082393566E-2</v>
      </c>
    </row>
    <row r="113" spans="1:4">
      <c r="A113" s="19">
        <f>[1]Prices!A113</f>
        <v>45939</v>
      </c>
      <c r="B113" s="20">
        <f>LN([1]Prices!B112)-LN([1]Prices!B113)</f>
        <v>-2.2142268708887691E-2</v>
      </c>
      <c r="C113" s="20">
        <f>LN([1]Prices!C112)-LN([1]Prices!C113)</f>
        <v>-1.3561368671635599E-2</v>
      </c>
      <c r="D113" s="21">
        <f>LN([1]Prices!D112)-LN([1]Prices!D113)</f>
        <v>-5.4756317743110294E-2</v>
      </c>
    </row>
    <row r="114" spans="1:4">
      <c r="A114" s="22">
        <f>[1]Prices!A114</f>
        <v>45938</v>
      </c>
      <c r="B114" s="23">
        <f>LN([1]Prices!B113)-LN([1]Prices!B114)</f>
        <v>-4.67892951958504E-3</v>
      </c>
      <c r="C114" s="23">
        <f>LN([1]Prices!C113)-LN([1]Prices!C114)</f>
        <v>2.8451858556552523E-2</v>
      </c>
      <c r="D114" s="21">
        <f>LN([1]Prices!D113)-LN([1]Prices!D114)</f>
        <v>3.0206433439214919E-3</v>
      </c>
    </row>
    <row r="115" spans="1:4">
      <c r="A115" s="19">
        <f>[1]Prices!A115</f>
        <v>45937</v>
      </c>
      <c r="B115" s="20">
        <f>LN([1]Prices!B114)-LN([1]Prices!B115)</f>
        <v>1.6589918281093574E-3</v>
      </c>
      <c r="C115" s="20">
        <f>LN([1]Prices!C114)-LN([1]Prices!C115)</f>
        <v>1.532663932851186E-2</v>
      </c>
      <c r="D115" s="21">
        <f>LN([1]Prices!D114)-LN([1]Prices!D115)</f>
        <v>3.3619095962977852E-4</v>
      </c>
    </row>
    <row r="116" spans="1:4">
      <c r="A116" s="22">
        <f>[1]Prices!A116</f>
        <v>45936</v>
      </c>
      <c r="B116" s="20">
        <f>LN([1]Prices!B115)-LN([1]Prices!B116)</f>
        <v>-8.7217312169505234E-3</v>
      </c>
      <c r="C116" s="20">
        <f>LN([1]Prices!C115)-LN([1]Prices!C116)</f>
        <v>-2.5529754280881889E-2</v>
      </c>
      <c r="D116" s="24">
        <f>LN([1]Prices!D115)-LN([1]Prices!D116)</f>
        <v>-1.2032230722820891E-2</v>
      </c>
    </row>
    <row r="117" spans="1:4">
      <c r="A117" s="19">
        <f>[1]Prices!A117</f>
        <v>45933</v>
      </c>
      <c r="B117" s="20">
        <f>LN([1]Prices!B116)-LN([1]Prices!B117)</f>
        <v>2.1455618819687494E-2</v>
      </c>
      <c r="C117" s="20">
        <f>LN([1]Prices!C116)-LN([1]Prices!C117)</f>
        <v>1.8867504455465145E-2</v>
      </c>
      <c r="D117" s="21">
        <f>LN([1]Prices!D116)-LN([1]Prices!D117)</f>
        <v>3.8609604237314077E-2</v>
      </c>
    </row>
    <row r="118" spans="1:4">
      <c r="A118" s="22">
        <f>[1]Prices!A118</f>
        <v>45932</v>
      </c>
      <c r="B118" s="20">
        <f>LN([1]Prices!B117)-LN([1]Prices!B118)</f>
        <v>3.1168655265449985E-3</v>
      </c>
      <c r="C118" s="20">
        <f>LN([1]Prices!C117)-LN([1]Prices!C118)</f>
        <v>-9.1839510048847828E-3</v>
      </c>
      <c r="D118" s="21">
        <f>LN([1]Prices!D117)-LN([1]Prices!D118)</f>
        <v>3.0857988359905608E-2</v>
      </c>
    </row>
    <row r="119" spans="1:4">
      <c r="A119" s="19">
        <f>[1]Prices!A119</f>
        <v>45931</v>
      </c>
      <c r="B119" s="23">
        <f>LN([1]Prices!B118)-LN([1]Prices!B119)</f>
        <v>-7.668201175168754E-3</v>
      </c>
      <c r="C119" s="23">
        <f>LN([1]Prices!C118)-LN([1]Prices!C119)</f>
        <v>-7.9613704684522446E-4</v>
      </c>
      <c r="D119" s="21">
        <f>LN([1]Prices!D118)-LN([1]Prices!D119)</f>
        <v>-2.3232301493268714E-2</v>
      </c>
    </row>
    <row r="120" spans="1:4">
      <c r="A120" s="22">
        <f>[1]Prices!A120</f>
        <v>45930</v>
      </c>
      <c r="B120" s="20">
        <f>LN([1]Prices!B119)-LN([1]Prices!B120)</f>
        <v>3.3922511954722623E-3</v>
      </c>
      <c r="C120" s="20">
        <f>LN([1]Prices!C119)-LN([1]Prices!C120)</f>
        <v>2.7252892258957218E-2</v>
      </c>
      <c r="D120" s="24">
        <f>LN([1]Prices!D119)-LN([1]Prices!D120)</f>
        <v>-1.7382239732053328E-3</v>
      </c>
    </row>
    <row r="121" spans="1:4">
      <c r="A121" s="19">
        <f>[1]Prices!A121</f>
        <v>45929</v>
      </c>
      <c r="B121" s="20">
        <f>LN([1]Prices!B120)-LN([1]Prices!B121)</f>
        <v>6.4888126564675019E-3</v>
      </c>
      <c r="C121" s="20">
        <f>LN([1]Prices!C120)-LN([1]Prices!C121)</f>
        <v>-5.3900839717924143E-3</v>
      </c>
      <c r="D121" s="21">
        <f>LN([1]Prices!D120)-LN([1]Prices!D121)</f>
        <v>-1.0710069553362622E-2</v>
      </c>
    </row>
    <row r="122" spans="1:4">
      <c r="A122" s="22">
        <f>[1]Prices!A122</f>
        <v>45926</v>
      </c>
      <c r="B122" s="20">
        <f>LN([1]Prices!B121)-LN([1]Prices!B122)</f>
        <v>6.1205188823736378E-3</v>
      </c>
      <c r="C122" s="20">
        <f>LN([1]Prices!C121)-LN([1]Prices!C122)</f>
        <v>-2.4725384360060332E-3</v>
      </c>
      <c r="D122" s="21">
        <f>LN([1]Prices!D121)-LN([1]Prices!D122)</f>
        <v>2.0639842208516335E-3</v>
      </c>
    </row>
    <row r="123" spans="1:4">
      <c r="A123" s="19">
        <f>[1]Prices!A123</f>
        <v>45925</v>
      </c>
      <c r="B123" s="20">
        <f>LN([1]Prices!B122)-LN([1]Prices!B123)</f>
        <v>8.6992075270240221E-3</v>
      </c>
      <c r="C123" s="20">
        <f>LN([1]Prices!C122)-LN([1]Prices!C123)</f>
        <v>-2.7385625535612412E-2</v>
      </c>
      <c r="D123" s="21">
        <f>LN([1]Prices!D122)-LN([1]Prices!D123)</f>
        <v>-1.679030410554283E-3</v>
      </c>
    </row>
    <row r="124" spans="1:4">
      <c r="A124" s="22">
        <f>[1]Prices!A124</f>
        <v>45924</v>
      </c>
      <c r="B124" s="23">
        <f>LN([1]Prices!B123)-LN([1]Prices!B124)</f>
        <v>-6.1346266830675233E-3</v>
      </c>
      <c r="C124" s="23">
        <f>LN([1]Prices!C123)-LN([1]Prices!C124)</f>
        <v>-5.7135530021096059E-2</v>
      </c>
      <c r="D124" s="24">
        <f>LN([1]Prices!D123)-LN([1]Prices!D124)</f>
        <v>1.6565456267576995E-2</v>
      </c>
    </row>
    <row r="125" spans="1:4">
      <c r="A125" s="19">
        <f>[1]Prices!A125</f>
        <v>45923</v>
      </c>
      <c r="B125" s="20">
        <f>LN([1]Prices!B124)-LN([1]Prices!B125)</f>
        <v>1.8050192269560839E-3</v>
      </c>
      <c r="C125" s="20">
        <f>LN([1]Prices!C124)-LN([1]Prices!C125)</f>
        <v>-1.7259262728311242E-2</v>
      </c>
      <c r="D125" s="21">
        <f>LN([1]Prices!D124)-LN([1]Prices!D125)</f>
        <v>-1.4214712704941679E-2</v>
      </c>
    </row>
    <row r="126" spans="1:4">
      <c r="A126" s="22">
        <f>[1]Prices!A126</f>
        <v>45922</v>
      </c>
      <c r="B126" s="20">
        <f>LN([1]Prices!B125)-LN([1]Prices!B126)</f>
        <v>-1.0198587927461311E-2</v>
      </c>
      <c r="C126" s="20">
        <f>LN([1]Prices!C125)-LN([1]Prices!C126)</f>
        <v>-4.4619382895952242E-2</v>
      </c>
      <c r="D126" s="21">
        <f>LN([1]Prices!D125)-LN([1]Prices!D126)</f>
        <v>1.0101411436465035E-3</v>
      </c>
    </row>
    <row r="127" spans="1:4">
      <c r="A127" s="19">
        <f>[1]Prices!A127</f>
        <v>45919</v>
      </c>
      <c r="B127" s="20">
        <f>LN([1]Prices!B126)-LN([1]Prices!B127)</f>
        <v>-6.7417291709537253E-3</v>
      </c>
      <c r="C127" s="20">
        <f>LN([1]Prices!C126)-LN([1]Prices!C127)</f>
        <v>6.123047344704613E-2</v>
      </c>
      <c r="D127" s="21">
        <f>LN([1]Prices!D126)-LN([1]Prices!D127)</f>
        <v>1.2523245289727925E-2</v>
      </c>
    </row>
    <row r="128" spans="1:4">
      <c r="A128" s="22">
        <f>[1]Prices!A128</f>
        <v>45918</v>
      </c>
      <c r="B128" s="20">
        <f>LN([1]Prices!B127)-LN([1]Prices!B128)</f>
        <v>1.8473215755625993E-2</v>
      </c>
      <c r="C128" s="20">
        <f>LN([1]Prices!C127)-LN([1]Prices!C128)</f>
        <v>3.9788489158868678E-2</v>
      </c>
      <c r="D128" s="24">
        <f>LN([1]Prices!D127)-LN([1]Prices!D128)</f>
        <v>-2.3896280041286744E-2</v>
      </c>
    </row>
    <row r="129" spans="1:4">
      <c r="A129" s="19">
        <f>[1]Prices!A129</f>
        <v>45917</v>
      </c>
      <c r="B129" s="23">
        <f>LN([1]Prices!B128)-LN([1]Prices!B129)</f>
        <v>-3.0830583985839155E-3</v>
      </c>
      <c r="C129" s="23">
        <f>LN([1]Prices!C128)-LN([1]Prices!C129)</f>
        <v>-1.6019605828516248E-2</v>
      </c>
      <c r="D129" s="21">
        <f>LN([1]Prices!D128)-LN([1]Prices!D129)</f>
        <v>3.0730522581865038E-2</v>
      </c>
    </row>
    <row r="130" spans="1:4">
      <c r="A130" s="22">
        <f>[1]Prices!A130</f>
        <v>45916</v>
      </c>
      <c r="B130" s="20">
        <f>LN([1]Prices!B129)-LN([1]Prices!B130)</f>
        <v>1.9233417111941264E-3</v>
      </c>
      <c r="C130" s="20">
        <f>LN([1]Prices!C129)-LN([1]Prices!C130)</f>
        <v>-1.7235567929660078E-2</v>
      </c>
      <c r="D130" s="21">
        <f>LN([1]Prices!D129)-LN([1]Prices!D130)</f>
        <v>1.1726491085719992E-2</v>
      </c>
    </row>
    <row r="131" spans="1:4">
      <c r="A131" s="19">
        <f>[1]Prices!A131</f>
        <v>45915</v>
      </c>
      <c r="B131" s="20">
        <f>LN([1]Prices!B130)-LN([1]Prices!B131)</f>
        <v>-1.2339086658352372E-2</v>
      </c>
      <c r="C131" s="20">
        <f>LN([1]Prices!C130)-LN([1]Prices!C131)</f>
        <v>1.4816545956414018E-2</v>
      </c>
      <c r="D131" s="21">
        <f>LN([1]Prices!D130)-LN([1]Prices!D131)</f>
        <v>-1.7879407354731036E-2</v>
      </c>
    </row>
    <row r="132" spans="1:4">
      <c r="A132" s="22">
        <f>[1]Prices!A132</f>
        <v>45912</v>
      </c>
      <c r="B132" s="20">
        <f>LN([1]Prices!B131)-LN([1]Prices!B132)</f>
        <v>1.065105752177864E-2</v>
      </c>
      <c r="C132" s="20">
        <f>LN([1]Prices!C131)-LN([1]Prices!C132)</f>
        <v>3.3520435411211302E-2</v>
      </c>
      <c r="D132" s="24">
        <f>LN([1]Prices!D131)-LN([1]Prices!D132)</f>
        <v>4.4382165185985478E-3</v>
      </c>
    </row>
    <row r="133" spans="1:4">
      <c r="A133" s="19">
        <f>[1]Prices!A133</f>
        <v>45911</v>
      </c>
      <c r="B133" s="20">
        <f>LN([1]Prices!B132)-LN([1]Prices!B133)</f>
        <v>1.7588567095605079E-2</v>
      </c>
      <c r="C133" s="20">
        <f>LN([1]Prices!C132)-LN([1]Prices!C133)</f>
        <v>-5.2275083477560713E-2</v>
      </c>
      <c r="D133" s="21">
        <f>LN([1]Prices!D132)-LN([1]Prices!D133)</f>
        <v>6.8482449220619301E-4</v>
      </c>
    </row>
    <row r="134" spans="1:4">
      <c r="A134" s="22">
        <f>[1]Prices!A134</f>
        <v>45910</v>
      </c>
      <c r="B134" s="23">
        <f>LN([1]Prices!B133)-LN([1]Prices!B134)</f>
        <v>1.2782362083134657E-3</v>
      </c>
      <c r="C134" s="23">
        <f>LN([1]Prices!C133)-LN([1]Prices!C134)</f>
        <v>-6.4374065986251949E-2</v>
      </c>
      <c r="D134" s="21">
        <f>LN([1]Prices!D133)-LN([1]Prices!D134)</f>
        <v>1.8673374435530299E-2</v>
      </c>
    </row>
    <row r="135" spans="1:4">
      <c r="A135" s="19">
        <f>[1]Prices!A135</f>
        <v>45909</v>
      </c>
      <c r="B135" s="20">
        <f>LN([1]Prices!B134)-LN([1]Prices!B135)</f>
        <v>3.9247932797747964E-3</v>
      </c>
      <c r="C135" s="20">
        <f>LN([1]Prices!C134)-LN([1]Prices!C135)</f>
        <v>0.30710832006533995</v>
      </c>
      <c r="D135" s="21">
        <f>LN([1]Prices!D134)-LN([1]Prices!D135)</f>
        <v>-2.0917255774919319E-3</v>
      </c>
    </row>
    <row r="136" spans="1:4">
      <c r="A136" s="22">
        <f>[1]Prices!A136</f>
        <v>45908</v>
      </c>
      <c r="B136" s="20">
        <f>LN([1]Prices!B135)-LN([1]Prices!B136)</f>
        <v>4.2142864933669699E-4</v>
      </c>
      <c r="C136" s="20">
        <f>LN([1]Prices!C135)-LN([1]Prices!C136)</f>
        <v>1.2625430733024245E-2</v>
      </c>
      <c r="D136" s="24">
        <f>LN([1]Prices!D135)-LN([1]Prices!D136)</f>
        <v>1.3939974591896664E-3</v>
      </c>
    </row>
    <row r="137" spans="1:4">
      <c r="A137" s="19">
        <f>[1]Prices!A137</f>
        <v>45905</v>
      </c>
      <c r="B137" s="20">
        <f>LN([1]Prices!B136)-LN([1]Prices!B137)</f>
        <v>6.4438402593900435E-3</v>
      </c>
      <c r="C137" s="20">
        <f>LN([1]Prices!C136)-LN([1]Prices!C137)</f>
        <v>2.4105733512532979E-2</v>
      </c>
      <c r="D137" s="21">
        <f>LN([1]Prices!D136)-LN([1]Prices!D137)</f>
        <v>3.9124286063031199E-2</v>
      </c>
    </row>
    <row r="138" spans="1:4">
      <c r="A138" s="22">
        <f>[1]Prices!A138</f>
        <v>45904</v>
      </c>
      <c r="B138" s="20">
        <f>LN([1]Prices!B137)-LN([1]Prices!B138)</f>
        <v>-2.5864628147859392E-2</v>
      </c>
      <c r="C138" s="20">
        <f>LN([1]Prices!C137)-LN([1]Prices!C138)</f>
        <v>4.3007944397164266E-2</v>
      </c>
      <c r="D138" s="21">
        <f>LN([1]Prices!D137)-LN([1]Prices!D138)</f>
        <v>-9.7459551310619119E-3</v>
      </c>
    </row>
    <row r="139" spans="1:4">
      <c r="A139" s="19">
        <f>[1]Prices!A139</f>
        <v>45903</v>
      </c>
      <c r="B139" s="23">
        <f>LN([1]Prices!B138)-LN([1]Prices!B139)</f>
        <v>5.1711321958780587E-3</v>
      </c>
      <c r="C139" s="23">
        <f>LN([1]Prices!C138)-LN([1]Prices!C139)</f>
        <v>-2.0159039193412553E-3</v>
      </c>
      <c r="D139" s="21">
        <f>LN([1]Prices!D138)-LN([1]Prices!D139)</f>
        <v>2.9527529938961461E-2</v>
      </c>
    </row>
    <row r="140" spans="1:4">
      <c r="A140" s="22">
        <f>[1]Prices!A140</f>
        <v>45902</v>
      </c>
      <c r="B140" s="20">
        <f>LN([1]Prices!B139)-LN([1]Prices!B140)</f>
        <v>4.5523371098976639E-4</v>
      </c>
      <c r="C140" s="20">
        <f>LN([1]Prices!C139)-LN([1]Prices!C140)</f>
        <v>-8.2451720587384258E-3</v>
      </c>
      <c r="D140" s="24">
        <f>LN([1]Prices!D139)-LN([1]Prices!D140)</f>
        <v>2.9636068242417934E-3</v>
      </c>
    </row>
    <row r="141" spans="1:4">
      <c r="A141" s="19">
        <f>[1]Prices!A141</f>
        <v>45898</v>
      </c>
      <c r="B141" s="20">
        <f>LN([1]Prices!B140)-LN([1]Prices!B141)</f>
        <v>-3.1033519337198001E-3</v>
      </c>
      <c r="C141" s="20">
        <f>LN([1]Prices!C140)-LN([1]Prices!C141)</f>
        <v>-3.6772076967039879E-3</v>
      </c>
      <c r="D141" s="21">
        <f>LN([1]Prices!D140)-LN([1]Prices!D141)</f>
        <v>-2.0932113272013719E-2</v>
      </c>
    </row>
    <row r="142" spans="1:4">
      <c r="A142" s="22">
        <f>[1]Prices!A142</f>
        <v>45897</v>
      </c>
      <c r="B142" s="20">
        <f>LN([1]Prices!B141)-LN([1]Prices!B142)</f>
        <v>-5.8052173697786813E-3</v>
      </c>
      <c r="C142" s="20">
        <f>LN([1]Prices!C141)-LN([1]Prices!C142)</f>
        <v>-6.0861313440867093E-2</v>
      </c>
      <c r="D142" s="21">
        <f>LN([1]Prices!D141)-LN([1]Prices!D142)</f>
        <v>-1.7288814163273436E-2</v>
      </c>
    </row>
    <row r="143" spans="1:4">
      <c r="A143" s="19">
        <f>[1]Prices!A143</f>
        <v>45896</v>
      </c>
      <c r="B143" s="20">
        <f>LN([1]Prices!B142)-LN([1]Prices!B143)</f>
        <v>5.706542572228912E-3</v>
      </c>
      <c r="C143" s="20">
        <f>LN([1]Prices!C142)-LN([1]Prices!C143)</f>
        <v>1.8944972550692718E-2</v>
      </c>
      <c r="D143" s="21">
        <f>LN([1]Prices!D142)-LN([1]Prices!D143)</f>
        <v>5.7297906720839009E-3</v>
      </c>
    </row>
    <row r="144" spans="1:4">
      <c r="A144" s="22">
        <f>[1]Prices!A144</f>
        <v>45895</v>
      </c>
      <c r="B144" s="23">
        <f>LN([1]Prices!B143)-LN([1]Prices!B144)</f>
        <v>9.3182537487059847E-3</v>
      </c>
      <c r="C144" s="23">
        <f>LN([1]Prices!C143)-LN([1]Prices!C144)</f>
        <v>6.8082472247672499E-3</v>
      </c>
      <c r="D144" s="24">
        <f>LN([1]Prices!D143)-LN([1]Prices!D144)</f>
        <v>-1.435528465693281E-3</v>
      </c>
    </row>
    <row r="145" spans="1:4">
      <c r="A145" s="19">
        <f>[1]Prices!A145</f>
        <v>45894</v>
      </c>
      <c r="B145" s="20">
        <f>LN([1]Prices!B144)-LN([1]Prices!B145)</f>
        <v>-4.4122102782564454E-3</v>
      </c>
      <c r="C145" s="20">
        <f>LN([1]Prices!C144)-LN([1]Prices!C145)</f>
        <v>-5.1105260071819814E-3</v>
      </c>
      <c r="D145" s="21">
        <f>LN([1]Prices!D144)-LN([1]Prices!D145)</f>
        <v>-8.5701625474516874E-3</v>
      </c>
    </row>
    <row r="146" spans="1:4">
      <c r="A146" s="22">
        <f>[1]Prices!A146</f>
        <v>45891</v>
      </c>
      <c r="B146" s="20">
        <f>LN([1]Prices!B145)-LN([1]Prices!B146)</f>
        <v>-5.8725415683085203E-3</v>
      </c>
      <c r="C146" s="20">
        <f>LN([1]Prices!C145)-LN([1]Prices!C146)</f>
        <v>-4.0696991182151976E-3</v>
      </c>
      <c r="D146" s="21">
        <f>LN([1]Prices!D145)-LN([1]Prices!D146)</f>
        <v>-1.7277993389785973E-2</v>
      </c>
    </row>
    <row r="147" spans="1:4">
      <c r="A147" s="19">
        <f>[1]Prices!A147</f>
        <v>45890</v>
      </c>
      <c r="B147" s="20">
        <f>LN([1]Prices!B146)-LN([1]Prices!B147)</f>
        <v>5.9122044339554591E-3</v>
      </c>
      <c r="C147" s="20">
        <f>LN([1]Prices!C146)-LN([1]Prices!C147)</f>
        <v>1.3673460748357513E-2</v>
      </c>
      <c r="D147" s="21">
        <f>LN([1]Prices!D146)-LN([1]Prices!D147)</f>
        <v>3.4856060839080882E-2</v>
      </c>
    </row>
    <row r="148" spans="1:4">
      <c r="A148" s="22">
        <f>[1]Prices!A148</f>
        <v>45889</v>
      </c>
      <c r="B148" s="20">
        <f>LN([1]Prices!B147)-LN([1]Prices!B148)</f>
        <v>-2.9308112388424234E-3</v>
      </c>
      <c r="C148" s="20">
        <f>LN([1]Prices!C147)-LN([1]Prices!C148)</f>
        <v>-8.1158875273583675E-3</v>
      </c>
      <c r="D148" s="24">
        <f>LN([1]Prices!D147)-LN([1]Prices!D148)</f>
        <v>-1.757806744929491E-2</v>
      </c>
    </row>
    <row r="149" spans="1:4">
      <c r="A149" s="19">
        <f>[1]Prices!A149</f>
        <v>45888</v>
      </c>
      <c r="B149" s="23">
        <f>LN([1]Prices!B148)-LN([1]Prices!B149)</f>
        <v>-7.9764871602758802E-3</v>
      </c>
      <c r="C149" s="23">
        <f>LN([1]Prices!C148)-LN([1]Prices!C149)</f>
        <v>1.8736166271331456E-3</v>
      </c>
      <c r="D149" s="21">
        <f>LN([1]Prices!D148)-LN([1]Prices!D149)</f>
        <v>-4.2613261474557795E-3</v>
      </c>
    </row>
    <row r="150" spans="1:4">
      <c r="A150" s="22">
        <f>[1]Prices!A150</f>
        <v>45887</v>
      </c>
      <c r="B150" s="20">
        <f>LN([1]Prices!B149)-LN([1]Prices!B150)</f>
        <v>-1.4276635798202264E-2</v>
      </c>
      <c r="C150" s="20">
        <f>LN([1]Prices!C149)-LN([1]Prices!C150)</f>
        <v>-5.9766797377037939E-2</v>
      </c>
      <c r="D150" s="21">
        <f>LN([1]Prices!D149)-LN([1]Prices!D150)</f>
        <v>-3.8852030794136461E-3</v>
      </c>
    </row>
    <row r="151" spans="1:4">
      <c r="A151" s="19">
        <f>[1]Prices!A151</f>
        <v>45884</v>
      </c>
      <c r="B151" s="20">
        <f>LN([1]Prices!B150)-LN([1]Prices!B151)</f>
        <v>-5.9194018225152689E-3</v>
      </c>
      <c r="C151" s="20">
        <f>LN([1]Prices!C150)-LN([1]Prices!C151)</f>
        <v>3.1768399091607336E-3</v>
      </c>
      <c r="D151" s="21">
        <f>LN([1]Prices!D150)-LN([1]Prices!D151)</f>
        <v>-1.3662548412335163E-2</v>
      </c>
    </row>
    <row r="152" spans="1:4">
      <c r="A152" s="22">
        <f>[1]Prices!A152</f>
        <v>45883</v>
      </c>
      <c r="B152" s="20">
        <f>LN([1]Prices!B151)-LN([1]Prices!B152)</f>
        <v>-4.4310243697109897E-3</v>
      </c>
      <c r="C152" s="20">
        <f>LN([1]Prices!C151)-LN([1]Prices!C152)</f>
        <v>1.3462209636077915E-2</v>
      </c>
      <c r="D152" s="24">
        <f>LN([1]Prices!D151)-LN([1]Prices!D152)</f>
        <v>3.5412631530562511E-2</v>
      </c>
    </row>
    <row r="153" spans="1:4">
      <c r="A153" s="19">
        <f>[1]Prices!A153</f>
        <v>45882</v>
      </c>
      <c r="B153" s="20">
        <f>LN([1]Prices!B152)-LN([1]Prices!B153)</f>
        <v>3.6431309828071079E-3</v>
      </c>
      <c r="C153" s="20">
        <f>LN([1]Prices!C152)-LN([1]Prices!C153)</f>
        <v>3.1892736686645051E-3</v>
      </c>
      <c r="D153" s="21">
        <f>LN([1]Prices!D152)-LN([1]Prices!D153)</f>
        <v>-8.6132225641653015E-3</v>
      </c>
    </row>
    <row r="154" spans="1:4">
      <c r="A154" s="22">
        <f>[1]Prices!A154</f>
        <v>45881</v>
      </c>
      <c r="B154" s="23">
        <f>LN([1]Prices!B153)-LN([1]Prices!B154)</f>
        <v>-1.649844056261518E-2</v>
      </c>
      <c r="C154" s="23">
        <f>LN([1]Prices!C153)-LN([1]Prices!C154)</f>
        <v>-3.8877275719321425E-2</v>
      </c>
      <c r="D154" s="21">
        <f>LN([1]Prices!D153)-LN([1]Prices!D154)</f>
        <v>2.8638123893197864E-2</v>
      </c>
    </row>
    <row r="155" spans="1:4">
      <c r="A155" s="19">
        <f>[1]Prices!A155</f>
        <v>45880</v>
      </c>
      <c r="B155" s="20">
        <f>LN([1]Prices!B154)-LN([1]Prices!B155)</f>
        <v>1.4215137416833556E-2</v>
      </c>
      <c r="C155" s="20">
        <f>LN([1]Prices!C154)-LN([1]Prices!C155)</f>
        <v>4.6590679295306359E-3</v>
      </c>
      <c r="D155" s="21">
        <f>LN([1]Prices!D154)-LN([1]Prices!D155)</f>
        <v>-3.3021784075697447E-3</v>
      </c>
    </row>
    <row r="156" spans="1:4">
      <c r="A156" s="22">
        <f>[1]Prices!A156</f>
        <v>45877</v>
      </c>
      <c r="B156" s="20">
        <f>LN([1]Prices!B155)-LN([1]Prices!B156)</f>
        <v>-5.1733554195099174E-4</v>
      </c>
      <c r="C156" s="20">
        <f>LN([1]Prices!C155)-LN([1]Prices!C156)</f>
        <v>1.0462968165587228E-2</v>
      </c>
      <c r="D156" s="24">
        <f>LN([1]Prices!D155)-LN([1]Prices!D156)</f>
        <v>4.7741600735458078E-3</v>
      </c>
    </row>
    <row r="157" spans="1:4">
      <c r="A157" s="19">
        <f>[1]Prices!A157</f>
        <v>45876</v>
      </c>
      <c r="B157" s="20">
        <f>LN([1]Prices!B156)-LN([1]Prices!B157)</f>
        <v>2.3013204388000474E-3</v>
      </c>
      <c r="C157" s="20">
        <f>LN([1]Prices!C156)-LN([1]Prices!C157)</f>
        <v>2.6429616538061751E-3</v>
      </c>
      <c r="D157" s="21">
        <f>LN([1]Prices!D156)-LN([1]Prices!D157)</f>
        <v>4.2128462097628994E-2</v>
      </c>
    </row>
    <row r="158" spans="1:4">
      <c r="A158" s="22">
        <f>[1]Prices!A158</f>
        <v>45875</v>
      </c>
      <c r="B158" s="20">
        <f>LN([1]Prices!B157)-LN([1]Prices!B158)</f>
        <v>-7.8410774857013976E-3</v>
      </c>
      <c r="C158" s="20">
        <f>LN([1]Prices!C157)-LN([1]Prices!C158)</f>
        <v>-2.7837786671081943E-2</v>
      </c>
      <c r="D158" s="21">
        <f>LN([1]Prices!D157)-LN([1]Prices!D158)</f>
        <v>4.3578266253428755E-2</v>
      </c>
    </row>
    <row r="159" spans="1:4">
      <c r="A159" s="19">
        <f>[1]Prices!A159</f>
        <v>45874</v>
      </c>
      <c r="B159" s="23">
        <f>LN([1]Prices!B158)-LN([1]Prices!B159)</f>
        <v>-5.3387163822016248E-3</v>
      </c>
      <c r="C159" s="23">
        <f>LN([1]Prices!C158)-LN([1]Prices!C159)</f>
        <v>2.9681724583854319E-3</v>
      </c>
      <c r="D159" s="21">
        <f>LN([1]Prices!D158)-LN([1]Prices!D159)</f>
        <v>1.5773439741291639E-2</v>
      </c>
    </row>
    <row r="160" spans="1:4">
      <c r="A160" s="22">
        <f>[1]Prices!A160</f>
        <v>45873</v>
      </c>
      <c r="B160" s="20">
        <f>LN([1]Prices!B159)-LN([1]Prices!B160)</f>
        <v>-1.4839606898934932E-2</v>
      </c>
      <c r="C160" s="20">
        <f>LN([1]Prices!C159)-LN([1]Prices!C160)</f>
        <v>1.2357496884773056E-2</v>
      </c>
      <c r="D160" s="24">
        <f>LN([1]Prices!D159)-LN([1]Prices!D160)</f>
        <v>-9.3290624416173529E-3</v>
      </c>
    </row>
    <row r="161" spans="1:4">
      <c r="A161" s="19">
        <f>[1]Prices!A161</f>
        <v>45870</v>
      </c>
      <c r="B161" s="20">
        <f>LN([1]Prices!B160)-LN([1]Prices!B161)</f>
        <v>2.1760707673090351E-2</v>
      </c>
      <c r="C161" s="20">
        <f>LN([1]Prices!C160)-LN([1]Prices!C161)</f>
        <v>3.2641996529175543E-2</v>
      </c>
      <c r="D161" s="21">
        <f>LN([1]Prices!D160)-LN([1]Prices!D161)</f>
        <v>1.5876231780647565E-2</v>
      </c>
    </row>
    <row r="162" spans="1:4">
      <c r="A162" s="22">
        <f>[1]Prices!A162</f>
        <v>45869</v>
      </c>
      <c r="B162" s="20">
        <f>LN([1]Prices!B161)-LN([1]Prices!B162)</f>
        <v>-1.7757484787533251E-2</v>
      </c>
      <c r="C162" s="20">
        <f>LN([1]Prices!C161)-LN([1]Prices!C162)</f>
        <v>-3.7540287974178632E-2</v>
      </c>
      <c r="D162" s="21">
        <f>LN([1]Prices!D161)-LN([1]Prices!D162)</f>
        <v>2.0513864578304286E-3</v>
      </c>
    </row>
    <row r="163" spans="1:4">
      <c r="A163" s="19">
        <f>[1]Prices!A163</f>
        <v>45868</v>
      </c>
      <c r="B163" s="20">
        <f>LN([1]Prices!B162)-LN([1]Prices!B163)</f>
        <v>3.8715498714990915E-2</v>
      </c>
      <c r="C163" s="20">
        <f>LN([1]Prices!C162)-LN([1]Prices!C163)</f>
        <v>1.2570302522065369E-2</v>
      </c>
      <c r="D163" s="21">
        <f>LN([1]Prices!D162)-LN([1]Prices!D163)</f>
        <v>4.9456503085574255E-3</v>
      </c>
    </row>
    <row r="164" spans="1:4">
      <c r="A164" s="22">
        <f>[1]Prices!A164</f>
        <v>45867</v>
      </c>
      <c r="B164" s="23">
        <f>LN([1]Prices!B163)-LN([1]Prices!B164)</f>
        <v>1.3062849753318062E-3</v>
      </c>
      <c r="C164" s="23">
        <f>LN([1]Prices!C163)-LN([1]Prices!C164)</f>
        <v>2.4771277998922869E-3</v>
      </c>
      <c r="D164" s="24">
        <f>LN([1]Prices!D163)-LN([1]Prices!D164)</f>
        <v>2.0700515996714408E-3</v>
      </c>
    </row>
    <row r="165" spans="1:4">
      <c r="A165" s="19">
        <f>[1]Prices!A165</f>
        <v>45866</v>
      </c>
      <c r="B165" s="20">
        <f>LN([1]Prices!B164)-LN([1]Prices!B165)</f>
        <v>1.3657603892180958E-4</v>
      </c>
      <c r="C165" s="20">
        <f>LN([1]Prices!C164)-LN([1]Prices!C165)</f>
        <v>9.1222075646291145E-3</v>
      </c>
      <c r="D165" s="21">
        <f>LN([1]Prices!D164)-LN([1]Prices!D165)</f>
        <v>-8.6588314700017932E-3</v>
      </c>
    </row>
    <row r="166" spans="1:4">
      <c r="A166" s="22">
        <f>[1]Prices!A166</f>
        <v>45863</v>
      </c>
      <c r="B166" s="20">
        <f>LN([1]Prices!B165)-LN([1]Prices!B166)</f>
        <v>-2.3581928859419676E-3</v>
      </c>
      <c r="C166" s="20">
        <f>LN([1]Prices!C165)-LN([1]Prices!C166)</f>
        <v>1.0510820545220234E-2</v>
      </c>
      <c r="D166" s="21">
        <f>LN([1]Prices!D165)-LN([1]Prices!D166)</f>
        <v>-2.1122691332339016E-2</v>
      </c>
    </row>
    <row r="167" spans="1:4">
      <c r="A167" s="19">
        <f>[1]Prices!A167</f>
        <v>45862</v>
      </c>
      <c r="B167" s="20">
        <f>LN([1]Prices!B166)-LN([1]Prices!B167)</f>
        <v>5.5241749320336098E-3</v>
      </c>
      <c r="C167" s="20">
        <f>LN([1]Prices!C166)-LN([1]Prices!C167)</f>
        <v>9.3862765152543659E-3</v>
      </c>
      <c r="D167" s="21">
        <f>LN([1]Prices!D166)-LN([1]Prices!D167)</f>
        <v>-1.989410881519893E-2</v>
      </c>
    </row>
    <row r="168" spans="1:4">
      <c r="A168" s="22">
        <f>[1]Prices!A168</f>
        <v>45861</v>
      </c>
      <c r="B168" s="20">
        <f>LN([1]Prices!B167)-LN([1]Prices!B168)</f>
        <v>9.8550096838794232E-3</v>
      </c>
      <c r="C168" s="20">
        <f>LN([1]Prices!C167)-LN([1]Prices!C168)</f>
        <v>3.8371924209901209E-3</v>
      </c>
      <c r="D168" s="24">
        <f>LN([1]Prices!D167)-LN([1]Prices!D168)</f>
        <v>4.7386159594307031E-3</v>
      </c>
    </row>
    <row r="169" spans="1:4">
      <c r="A169" s="19">
        <f>[1]Prices!A169</f>
        <v>45860</v>
      </c>
      <c r="B169" s="23">
        <f>LN([1]Prices!B168)-LN([1]Prices!B169)</f>
        <v>1.1867794181261715E-3</v>
      </c>
      <c r="C169" s="23">
        <f>LN([1]Prices!C168)-LN([1]Prices!C169)</f>
        <v>1.5791665845087621E-2</v>
      </c>
      <c r="D169" s="21">
        <f>LN([1]Prices!D168)-LN([1]Prices!D169)</f>
        <v>4.7424193102482359E-2</v>
      </c>
    </row>
    <row r="170" spans="1:4">
      <c r="A170" s="22">
        <f>[1]Prices!A170</f>
        <v>45859</v>
      </c>
      <c r="B170" s="20">
        <f>LN([1]Prices!B169)-LN([1]Prices!B170)</f>
        <v>-9.4354259928559614E-3</v>
      </c>
      <c r="C170" s="20">
        <f>LN([1]Prices!C169)-LN([1]Prices!C170)</f>
        <v>-2.2548448307967206E-2</v>
      </c>
      <c r="D170" s="21">
        <f>LN([1]Prices!D169)-LN([1]Prices!D170)</f>
        <v>8.3043572835084234E-4</v>
      </c>
    </row>
    <row r="171" spans="1:4">
      <c r="A171" s="19">
        <f>[1]Prices!A171</f>
        <v>45856</v>
      </c>
      <c r="B171" s="20">
        <f>LN([1]Prices!B170)-LN([1]Prices!B171)</f>
        <v>1.9605728794225286E-5</v>
      </c>
      <c r="C171" s="20">
        <f>LN([1]Prices!C170)-LN([1]Prices!C171)</f>
        <v>-7.812060425200329E-3</v>
      </c>
      <c r="D171" s="21">
        <f>LN([1]Prices!D170)-LN([1]Prices!D171)</f>
        <v>6.2524911209522749E-3</v>
      </c>
    </row>
    <row r="172" spans="1:4">
      <c r="A172" s="22">
        <f>[1]Prices!A172</f>
        <v>45855</v>
      </c>
      <c r="B172" s="20">
        <f>LN([1]Prices!B171)-LN([1]Prices!B172)</f>
        <v>-3.2297556825175988E-3</v>
      </c>
      <c r="C172" s="20">
        <f>LN([1]Prices!C171)-LN([1]Prices!C172)</f>
        <v>-1.3355115534640305E-2</v>
      </c>
      <c r="D172" s="24">
        <f>LN([1]Prices!D171)-LN([1]Prices!D172)</f>
        <v>-2.0276957741942603E-2</v>
      </c>
    </row>
    <row r="173" spans="1:4">
      <c r="A173" s="19">
        <f>[1]Prices!A173</f>
        <v>45854</v>
      </c>
      <c r="B173" s="20">
        <f>LN([1]Prices!B172)-LN([1]Prices!B173)</f>
        <v>1.1953116798729013E-2</v>
      </c>
      <c r="C173" s="20">
        <f>LN([1]Prices!C172)-LN([1]Prices!C173)</f>
        <v>3.0407403407715528E-2</v>
      </c>
      <c r="D173" s="21">
        <f>LN([1]Prices!D172)-LN([1]Prices!D173)</f>
        <v>1.7772123389048211E-2</v>
      </c>
    </row>
    <row r="174" spans="1:4">
      <c r="A174" s="22">
        <f>[1]Prices!A174</f>
        <v>45853</v>
      </c>
      <c r="B174" s="23">
        <f>LN([1]Prices!B173)-LN([1]Prices!B174)</f>
        <v>-3.9547576249088223E-4</v>
      </c>
      <c r="C174" s="23">
        <f>LN([1]Prices!C173)-LN([1]Prices!C174)</f>
        <v>2.6625685740621741E-2</v>
      </c>
      <c r="D174" s="21">
        <f>LN([1]Prices!D173)-LN([1]Prices!D174)</f>
        <v>-4.1608315106431704E-3</v>
      </c>
    </row>
    <row r="175" spans="1:4">
      <c r="A175" s="19">
        <f>[1]Prices!A175</f>
        <v>45852</v>
      </c>
      <c r="B175" s="20">
        <f>LN([1]Prices!B174)-LN([1]Prices!B175)</f>
        <v>5.5509440341214855E-3</v>
      </c>
      <c r="C175" s="20">
        <f>LN([1]Prices!C174)-LN([1]Prices!C175)</f>
        <v>2.4471322810502905E-2</v>
      </c>
      <c r="D175" s="21">
        <f>LN([1]Prices!D174)-LN([1]Prices!D175)</f>
        <v>-1.3203704015519069E-2</v>
      </c>
    </row>
    <row r="176" spans="1:4">
      <c r="A176" s="22">
        <f>[1]Prices!A176</f>
        <v>45849</v>
      </c>
      <c r="B176" s="20">
        <f>LN([1]Prices!B175)-LN([1]Prices!B176)</f>
        <v>-5.9621998308134749E-4</v>
      </c>
      <c r="C176" s="20">
        <f>LN([1]Prices!C175)-LN([1]Prices!C176)</f>
        <v>-5.5671681713498344E-3</v>
      </c>
      <c r="D176" s="24">
        <f>LN([1]Prices!D175)-LN([1]Prices!D176)</f>
        <v>-1.2264631939387094E-3</v>
      </c>
    </row>
    <row r="177" spans="1:4">
      <c r="A177" s="19">
        <f>[1]Prices!A177</f>
        <v>45848</v>
      </c>
      <c r="B177" s="20">
        <f>LN([1]Prices!B176)-LN([1]Prices!B177)</f>
        <v>3.6624244759426716E-3</v>
      </c>
      <c r="C177" s="20">
        <f>LN([1]Prices!C176)-LN([1]Prices!C177)</f>
        <v>-1.9074381892947301E-2</v>
      </c>
      <c r="D177" s="21">
        <f>LN([1]Prices!D176)-LN([1]Prices!D177)</f>
        <v>-8.9678079666692945E-3</v>
      </c>
    </row>
    <row r="178" spans="1:4">
      <c r="A178" s="22">
        <f>[1]Prices!A178</f>
        <v>45847</v>
      </c>
      <c r="B178" s="20">
        <f>LN([1]Prices!B177)-LN([1]Prices!B178)</f>
        <v>-4.039846686753279E-3</v>
      </c>
      <c r="C178" s="20">
        <f>LN([1]Prices!C177)-LN([1]Prices!C178)</f>
        <v>-3.4408818809179564E-3</v>
      </c>
      <c r="D178" s="21">
        <f>LN([1]Prices!D177)-LN([1]Prices!D178)</f>
        <v>-2.0876759864241201E-2</v>
      </c>
    </row>
    <row r="179" spans="1:4">
      <c r="A179" s="19">
        <f>[1]Prices!A179</f>
        <v>45846</v>
      </c>
      <c r="B179" s="23">
        <f>LN([1]Prices!B178)-LN([1]Prices!B179)</f>
        <v>1.377842680921848E-2</v>
      </c>
      <c r="C179" s="23">
        <f>LN([1]Prices!C178)-LN([1]Prices!C179)</f>
        <v>5.5708081387431108E-3</v>
      </c>
      <c r="D179" s="21">
        <f>LN([1]Prices!D178)-LN([1]Prices!D179)</f>
        <v>-3.1728496003564644E-3</v>
      </c>
    </row>
    <row r="180" spans="1:4">
      <c r="A180" s="22">
        <f>[1]Prices!A180</f>
        <v>45845</v>
      </c>
      <c r="B180" s="20">
        <f>LN([1]Prices!B179)-LN([1]Prices!B180)</f>
        <v>-2.2125237820711519E-3</v>
      </c>
      <c r="C180" s="20">
        <f>LN([1]Prices!C179)-LN([1]Prices!C180)</f>
        <v>9.5981540687217759E-3</v>
      </c>
      <c r="D180" s="24">
        <f>LN([1]Prices!D179)-LN([1]Prices!D180)</f>
        <v>-1.9759043550839905E-3</v>
      </c>
    </row>
    <row r="181" spans="1:4">
      <c r="A181" s="19">
        <f>[1]Prices!A181</f>
        <v>45841</v>
      </c>
      <c r="B181" s="20">
        <f>LN([1]Prices!B180)-LN([1]Prices!B181)</f>
        <v>-2.2477331451158378E-3</v>
      </c>
      <c r="C181" s="20">
        <f>LN([1]Prices!C180)-LN([1]Prices!C181)</f>
        <v>-2.1552007572830156E-2</v>
      </c>
      <c r="D181" s="21">
        <f>LN([1]Prices!D180)-LN([1]Prices!D181)</f>
        <v>-1.1008723372728735E-2</v>
      </c>
    </row>
    <row r="182" spans="1:4">
      <c r="A182" s="22">
        <f>[1]Prices!A182</f>
        <v>45840</v>
      </c>
      <c r="B182" s="20">
        <f>LN([1]Prices!B181)-LN([1]Prices!B182)</f>
        <v>1.5657992666304743E-2</v>
      </c>
      <c r="C182" s="20">
        <f>LN([1]Prices!C181)-LN([1]Prices!C182)</f>
        <v>3.1417092769923549E-2</v>
      </c>
      <c r="D182" s="21">
        <f>LN([1]Prices!D181)-LN([1]Prices!D182)</f>
        <v>-5.0664402443163503E-3</v>
      </c>
    </row>
    <row r="183" spans="1:4">
      <c r="A183" s="19">
        <f>[1]Prices!A183</f>
        <v>45839</v>
      </c>
      <c r="B183" s="20">
        <f>LN([1]Prices!B182)-LN([1]Prices!B183)</f>
        <v>-1.9529269587525988E-3</v>
      </c>
      <c r="C183" s="20">
        <f>LN([1]Prices!C182)-LN([1]Prices!C183)</f>
        <v>4.9103283888094928E-2</v>
      </c>
      <c r="D183" s="21">
        <f>LN([1]Prices!D182)-LN([1]Prices!D183)</f>
        <v>9.3772852837941123E-3</v>
      </c>
    </row>
    <row r="184" spans="1:4">
      <c r="A184" s="22">
        <f>[1]Prices!A184</f>
        <v>45838</v>
      </c>
      <c r="B184" s="23">
        <f>LN([1]Prices!B183)-LN([1]Prices!B184)</f>
        <v>-1.0834298365843154E-2</v>
      </c>
      <c r="C184" s="23">
        <f>LN([1]Prices!C183)-LN([1]Prices!C184)</f>
        <v>1.5082614436270347E-3</v>
      </c>
      <c r="D184" s="24">
        <f>LN([1]Prices!D183)-LN([1]Prices!D184)</f>
        <v>-2.1749034800889078E-2</v>
      </c>
    </row>
    <row r="185" spans="1:4">
      <c r="A185" s="19">
        <f>[1]Prices!A185</f>
        <v>45835</v>
      </c>
      <c r="B185" s="20">
        <f>LN([1]Prices!B184)-LN([1]Prices!B185)</f>
        <v>2.9596840450327733E-3</v>
      </c>
      <c r="C185" s="20">
        <f>LN([1]Prices!C184)-LN([1]Prices!C185)</f>
        <v>3.9131067992550506E-2</v>
      </c>
      <c r="D185" s="21">
        <f>LN([1]Prices!D184)-LN([1]Prices!D185)</f>
        <v>-1.0319572195889304E-2</v>
      </c>
    </row>
    <row r="186" spans="1:4">
      <c r="A186" s="22">
        <f>[1]Prices!A186</f>
        <v>45834</v>
      </c>
      <c r="B186" s="20">
        <f>LN([1]Prices!B185)-LN([1]Prices!B186)</f>
        <v>-3.040097369564343E-3</v>
      </c>
      <c r="C186" s="20">
        <f>LN([1]Prices!C185)-LN([1]Prices!C186)</f>
        <v>-1.21970027173397E-2</v>
      </c>
      <c r="D186" s="21">
        <f>LN([1]Prices!D185)-LN([1]Prices!D186)</f>
        <v>2.9322462636418134E-2</v>
      </c>
    </row>
    <row r="187" spans="1:4">
      <c r="A187" s="19">
        <f>[1]Prices!A187</f>
        <v>45833</v>
      </c>
      <c r="B187" s="20">
        <f>LN([1]Prices!B186)-LN([1]Prices!B187)</f>
        <v>1.0467702580200466E-2</v>
      </c>
      <c r="C187" s="20">
        <f>LN([1]Prices!C186)-LN([1]Prices!C187)</f>
        <v>9.9165000186145491E-3</v>
      </c>
      <c r="D187" s="21">
        <f>LN([1]Prices!D186)-LN([1]Prices!D187)</f>
        <v>2.4575375812899924E-2</v>
      </c>
    </row>
    <row r="188" spans="1:4">
      <c r="A188" s="22">
        <f>[1]Prices!A188</f>
        <v>45832</v>
      </c>
      <c r="B188" s="20">
        <f>LN([1]Prices!B187)-LN([1]Prices!B188)</f>
        <v>4.3974907486417081E-3</v>
      </c>
      <c r="C188" s="20">
        <f>LN([1]Prices!C187)-LN([1]Prices!C188)</f>
        <v>-2.1362816211384583E-2</v>
      </c>
      <c r="D188" s="24">
        <f>LN([1]Prices!D187)-LN([1]Prices!D188)</f>
        <v>-2.8025611216353497E-3</v>
      </c>
    </row>
    <row r="189" spans="1:4">
      <c r="A189" s="19">
        <f>[1]Prices!A189</f>
        <v>45831</v>
      </c>
      <c r="B189" s="23">
        <f>LN([1]Prices!B188)-LN([1]Prices!B189)</f>
        <v>8.4212318060332692E-3</v>
      </c>
      <c r="C189" s="23">
        <f>LN([1]Prices!C188)-LN([1]Prices!C189)</f>
        <v>3.8981042893819762E-2</v>
      </c>
      <c r="D189" s="21">
        <f>LN([1]Prices!D188)-LN([1]Prices!D189)</f>
        <v>2.3071783956611025E-2</v>
      </c>
    </row>
    <row r="190" spans="1:4">
      <c r="A190" s="22">
        <f>[1]Prices!A190</f>
        <v>45828</v>
      </c>
      <c r="B190" s="20">
        <f>LN([1]Prices!B189)-LN([1]Prices!B190)</f>
        <v>1.785390999576375E-2</v>
      </c>
      <c r="C190" s="20">
        <f>LN([1]Prices!C189)-LN([1]Prices!C190)</f>
        <v>9.0731075344221424E-3</v>
      </c>
      <c r="D190" s="21">
        <f>LN([1]Prices!D189)-LN([1]Prices!D190)</f>
        <v>-1.3423020332140823E-2</v>
      </c>
    </row>
    <row r="191" spans="1:4">
      <c r="A191" s="19">
        <f>[1]Prices!A191</f>
        <v>45826</v>
      </c>
      <c r="B191" s="20">
        <f>LN([1]Prices!B190)-LN([1]Prices!B191)</f>
        <v>-5.9312650388578803E-3</v>
      </c>
      <c r="C191" s="20">
        <f>LN([1]Prices!C190)-LN([1]Prices!C191)</f>
        <v>-2.7402926077809475E-2</v>
      </c>
      <c r="D191" s="21">
        <f>LN([1]Prices!D190)-LN([1]Prices!D191)</f>
        <v>-4.4644140098273333E-2</v>
      </c>
    </row>
    <row r="192" spans="1:4">
      <c r="A192" s="22">
        <f>[1]Prices!A192</f>
        <v>45825</v>
      </c>
      <c r="B192" s="20">
        <f>LN([1]Prices!B191)-LN([1]Prices!B192)</f>
        <v>4.5915679449075597E-3</v>
      </c>
      <c r="C192" s="20">
        <f>LN([1]Prices!C191)-LN([1]Prices!C192)</f>
        <v>1.2838739768601393E-2</v>
      </c>
      <c r="D192" s="24">
        <f>LN([1]Prices!D191)-LN([1]Prices!D192)</f>
        <v>8.5357855109156056E-3</v>
      </c>
    </row>
    <row r="193" spans="1:4">
      <c r="A193" s="19">
        <f>[1]Prices!A193</f>
        <v>45824</v>
      </c>
      <c r="B193" s="20">
        <f>LN([1]Prices!B192)-LN([1]Prices!B193)</f>
        <v>-2.2984192821624561E-3</v>
      </c>
      <c r="C193" s="20">
        <f>LN([1]Prices!C192)-LN([1]Prices!C193)</f>
        <v>-1.3928864766953097E-2</v>
      </c>
      <c r="D193" s="21">
        <f>LN([1]Prices!D192)-LN([1]Prices!D193)</f>
        <v>-1.6618136438861342E-2</v>
      </c>
    </row>
    <row r="194" spans="1:4">
      <c r="A194" s="22">
        <f>[1]Prices!A194</f>
        <v>45821</v>
      </c>
      <c r="B194" s="23">
        <f>LN([1]Prices!B193)-LN([1]Prices!B194)</f>
        <v>8.7622403184228759E-3</v>
      </c>
      <c r="C194" s="23">
        <f>LN([1]Prices!C193)-LN([1]Prices!C194)</f>
        <v>-1.9328805917971259E-2</v>
      </c>
      <c r="D194" s="21">
        <f>LN([1]Prices!D193)-LN([1]Prices!D194)</f>
        <v>6.1505415920706241E-3</v>
      </c>
    </row>
    <row r="195" spans="1:4">
      <c r="A195" s="19">
        <f>[1]Prices!A195</f>
        <v>45820</v>
      </c>
      <c r="B195" s="20">
        <f>LN([1]Prices!B194)-LN([1]Prices!B195)</f>
        <v>-8.1985718658001971E-3</v>
      </c>
      <c r="C195" s="20">
        <f>LN([1]Prices!C194)-LN([1]Prices!C195)</f>
        <v>7.4043639338603029E-2</v>
      </c>
      <c r="D195" s="21">
        <f>LN([1]Prices!D194)-LN([1]Prices!D195)</f>
        <v>-1.7962571703422636E-2</v>
      </c>
    </row>
    <row r="196" spans="1:4">
      <c r="A196" s="22">
        <f>[1]Prices!A196</f>
        <v>45819</v>
      </c>
      <c r="B196" s="20">
        <f>LN([1]Prices!B195)-LN([1]Prices!B196)</f>
        <v>1.3137478884932108E-2</v>
      </c>
      <c r="C196" s="20">
        <f>LN([1]Prices!C195)-LN([1]Prices!C196)</f>
        <v>0.1249763629736087</v>
      </c>
      <c r="D196" s="24">
        <f>LN([1]Prices!D195)-LN([1]Prices!D196)</f>
        <v>1.8734056097369223E-2</v>
      </c>
    </row>
    <row r="197" spans="1:4">
      <c r="A197" s="19">
        <f>[1]Prices!A197</f>
        <v>45818</v>
      </c>
      <c r="B197" s="20">
        <f>LN([1]Prices!B196)-LN([1]Prices!B197)</f>
        <v>3.6034547332919331E-3</v>
      </c>
      <c r="C197" s="20">
        <f>LN([1]Prices!C196)-LN([1]Prices!C197)</f>
        <v>-6.2171680506741822E-3</v>
      </c>
      <c r="D197" s="21">
        <f>LN([1]Prices!D196)-LN([1]Prices!D197)</f>
        <v>-1.1130642787858136E-2</v>
      </c>
    </row>
    <row r="198" spans="1:4">
      <c r="A198" s="22">
        <f>[1]Prices!A198</f>
        <v>45817</v>
      </c>
      <c r="B198" s="20">
        <f>LN([1]Prices!B197)-LN([1]Prices!B198)</f>
        <v>-3.878479328570883E-3</v>
      </c>
      <c r="C198" s="20">
        <f>LN([1]Prices!C197)-LN([1]Prices!C198)</f>
        <v>1.8610951992279468E-3</v>
      </c>
      <c r="D198" s="21">
        <f>LN([1]Prices!D197)-LN([1]Prices!D198)</f>
        <v>-1.4775426487855015E-2</v>
      </c>
    </row>
    <row r="199" spans="1:4">
      <c r="A199" s="19">
        <f>[1]Prices!A199</f>
        <v>45814</v>
      </c>
      <c r="B199" s="23">
        <f>LN([1]Prices!B198)-LN([1]Prices!B199)</f>
        <v>5.0258288648263871E-3</v>
      </c>
      <c r="C199" s="23">
        <f>LN([1]Prices!C198)-LN([1]Prices!C199)</f>
        <v>1.7826596173602383E-2</v>
      </c>
      <c r="D199" s="21">
        <f>LN([1]Prices!D198)-LN([1]Prices!D199)</f>
        <v>-2.626776123879182E-3</v>
      </c>
    </row>
    <row r="200" spans="1:4">
      <c r="A200" s="22">
        <f>[1]Prices!A200</f>
        <v>45813</v>
      </c>
      <c r="B200" s="20">
        <f>LN([1]Prices!B199)-LN([1]Prices!B200)</f>
        <v>5.7565773108043672E-3</v>
      </c>
      <c r="C200" s="20">
        <f>LN([1]Prices!C199)-LN([1]Prices!C200)</f>
        <v>1.6688300147969848E-2</v>
      </c>
      <c r="D200" s="24">
        <f>LN([1]Prices!D199)-LN([1]Prices!D200)</f>
        <v>1.2455360233916135E-2</v>
      </c>
    </row>
    <row r="201" spans="1:4">
      <c r="A201" s="19">
        <f>[1]Prices!A201</f>
        <v>45812</v>
      </c>
      <c r="B201" s="20">
        <f>LN([1]Prices!B200)-LN([1]Prices!B201)</f>
        <v>8.1799608060970641E-3</v>
      </c>
      <c r="C201" s="20">
        <f>LN([1]Prices!C200)-LN([1]Prices!C201)</f>
        <v>1.7922894575338688E-2</v>
      </c>
      <c r="D201" s="21">
        <f>LN([1]Prices!D200)-LN([1]Prices!D201)</f>
        <v>-1.2832248525612489E-2</v>
      </c>
    </row>
    <row r="202" spans="1:4">
      <c r="A202" s="22">
        <f>[1]Prices!A202</f>
        <v>45811</v>
      </c>
      <c r="B202" s="20">
        <f>LN([1]Prices!B201)-LN([1]Prices!B202)</f>
        <v>1.9420833862939801E-3</v>
      </c>
      <c r="C202" s="20">
        <f>LN([1]Prices!C201)-LN([1]Prices!C202)</f>
        <v>-6.1677339395060926E-3</v>
      </c>
      <c r="D202" s="21">
        <f>LN([1]Prices!D201)-LN([1]Prices!D202)</f>
        <v>-3.7419376216663025E-3</v>
      </c>
    </row>
    <row r="203" spans="1:4">
      <c r="A203" s="19">
        <f>[1]Prices!A203</f>
        <v>45810</v>
      </c>
      <c r="B203" s="20">
        <f>LN([1]Prices!B202)-LN([1]Prices!B203)</f>
        <v>2.1623032621134186E-3</v>
      </c>
      <c r="C203" s="20">
        <f>LN([1]Prices!C202)-LN([1]Prices!C203)</f>
        <v>1.5311132865059918E-2</v>
      </c>
      <c r="D203" s="21">
        <f>LN([1]Prices!D202)-LN([1]Prices!D203)</f>
        <v>-4.1019307509033709E-3</v>
      </c>
    </row>
    <row r="204" spans="1:4">
      <c r="A204" s="22">
        <f>[1]Prices!A204</f>
        <v>45807</v>
      </c>
      <c r="B204" s="23">
        <f>LN([1]Prices!B203)-LN([1]Prices!B204)</f>
        <v>3.491161808141463E-3</v>
      </c>
      <c r="C204" s="23">
        <f>LN([1]Prices!C203)-LN([1]Prices!C204)</f>
        <v>6.2631942169417698E-3</v>
      </c>
      <c r="D204" s="24">
        <f>LN([1]Prices!D203)-LN([1]Prices!D204)</f>
        <v>1.8777291031258248E-2</v>
      </c>
    </row>
    <row r="205" spans="1:4">
      <c r="A205" s="19">
        <f>[1]Prices!A205</f>
        <v>45806</v>
      </c>
      <c r="B205" s="20">
        <f>LN([1]Prices!B204)-LN([1]Prices!B205)</f>
        <v>3.6559929301862581E-3</v>
      </c>
      <c r="C205" s="20">
        <f>LN([1]Prices!C204)-LN([1]Prices!C205)</f>
        <v>1.6015931664075111E-2</v>
      </c>
      <c r="D205" s="21">
        <f>LN([1]Prices!D204)-LN([1]Prices!D205)</f>
        <v>-9.0552637793841484E-3</v>
      </c>
    </row>
    <row r="206" spans="1:4">
      <c r="A206" s="22">
        <f>[1]Prices!A206</f>
        <v>45805</v>
      </c>
      <c r="B206" s="20">
        <f>LN([1]Prices!B205)-LN([1]Prices!B206)</f>
        <v>2.8819722143875737E-3</v>
      </c>
      <c r="C206" s="20">
        <f>LN([1]Prices!C205)-LN([1]Prices!C206)</f>
        <v>-5.8148595368239242E-3</v>
      </c>
      <c r="D206" s="21">
        <f>LN([1]Prices!D205)-LN([1]Prices!D206)</f>
        <v>1.2091998900033207E-2</v>
      </c>
    </row>
    <row r="207" spans="1:4">
      <c r="A207" s="19">
        <f>[1]Prices!A207</f>
        <v>45804</v>
      </c>
      <c r="B207" s="20">
        <f>LN([1]Prices!B206)-LN([1]Prices!B207)</f>
        <v>-7.254538651160658E-3</v>
      </c>
      <c r="C207" s="20">
        <f>LN([1]Prices!C206)-LN([1]Prices!C207)</f>
        <v>1.1910749846162361E-2</v>
      </c>
      <c r="D207" s="21">
        <f>LN([1]Prices!D206)-LN([1]Prices!D207)</f>
        <v>-9.8358586408826554E-3</v>
      </c>
    </row>
    <row r="208" spans="1:4">
      <c r="A208" s="22">
        <f>[1]Prices!A208</f>
        <v>45800</v>
      </c>
      <c r="B208" s="20">
        <f>LN([1]Prices!B207)-LN([1]Prices!B208)</f>
        <v>2.3077862821184958E-2</v>
      </c>
      <c r="C208" s="20">
        <f>LN([1]Prices!C207)-LN([1]Prices!C208)</f>
        <v>3.7376944234926768E-2</v>
      </c>
      <c r="D208" s="24">
        <f>LN([1]Prices!D207)-LN([1]Prices!D208)</f>
        <v>3.9551887676629871E-2</v>
      </c>
    </row>
    <row r="209" spans="1:4">
      <c r="A209" s="19">
        <f>[1]Prices!A209</f>
        <v>45799</v>
      </c>
      <c r="B209" s="23">
        <f>LN([1]Prices!B208)-LN([1]Prices!B209)</f>
        <v>-1.0342176510575563E-2</v>
      </c>
      <c r="C209" s="23">
        <f>LN([1]Prices!C208)-LN([1]Prices!C209)</f>
        <v>-8.5546997706797967E-3</v>
      </c>
      <c r="D209" s="21">
        <f>LN([1]Prices!D208)-LN([1]Prices!D209)</f>
        <v>7.8635461919884797E-3</v>
      </c>
    </row>
    <row r="210" spans="1:4">
      <c r="A210" s="22">
        <f>[1]Prices!A210</f>
        <v>45798</v>
      </c>
      <c r="B210" s="20">
        <f>LN([1]Prices!B209)-LN([1]Prices!B210)</f>
        <v>5.0472319879029115E-3</v>
      </c>
      <c r="C210" s="20">
        <f>LN([1]Prices!C209)-LN([1]Prices!C210)</f>
        <v>8.267353963846702E-4</v>
      </c>
      <c r="D210" s="21">
        <f>LN([1]Prices!D209)-LN([1]Prices!D210)</f>
        <v>1.7524712311038027E-2</v>
      </c>
    </row>
    <row r="211" spans="1:4">
      <c r="A211" s="19">
        <f>[1]Prices!A211</f>
        <v>45797</v>
      </c>
      <c r="B211" s="20">
        <f>LN([1]Prices!B210)-LN([1]Prices!B211)</f>
        <v>-1.2297846975223514E-2</v>
      </c>
      <c r="C211" s="20">
        <f>LN([1]Prices!C210)-LN([1]Prices!C211)</f>
        <v>-1.9717795263552773E-2</v>
      </c>
      <c r="D211" s="21">
        <f>LN([1]Prices!D210)-LN([1]Prices!D211)</f>
        <v>-3.5908888159869701E-2</v>
      </c>
    </row>
    <row r="212" spans="1:4">
      <c r="A212" s="22">
        <f>[1]Prices!A212</f>
        <v>45796</v>
      </c>
      <c r="B212" s="20">
        <f>LN([1]Prices!B211)-LN([1]Prices!B212)</f>
        <v>-1.5266512604803495E-3</v>
      </c>
      <c r="C212" s="20">
        <f>LN([1]Prices!C211)-LN([1]Prices!C212)</f>
        <v>4.1881605210489781E-3</v>
      </c>
      <c r="D212" s="24">
        <f>LN([1]Prices!D211)-LN([1]Prices!D212)</f>
        <v>2.9899336151592681E-2</v>
      </c>
    </row>
    <row r="213" spans="1:4">
      <c r="A213" s="19">
        <f>[1]Prices!A213</f>
        <v>45793</v>
      </c>
      <c r="B213" s="20">
        <f>LN([1]Prices!B212)-LN([1]Prices!B213)</f>
        <v>1.0075210618417429E-2</v>
      </c>
      <c r="C213" s="20">
        <f>LN([1]Prices!C212)-LN([1]Prices!C213)</f>
        <v>-5.3103551525319759E-3</v>
      </c>
      <c r="D213" s="21">
        <f>LN([1]Prices!D212)-LN([1]Prices!D213)</f>
        <v>1.4483232262849643E-2</v>
      </c>
    </row>
    <row r="214" spans="1:4">
      <c r="A214" s="22">
        <f>[1]Prices!A214</f>
        <v>45792</v>
      </c>
      <c r="B214" s="23">
        <f>LN([1]Prices!B213)-LN([1]Prices!B214)</f>
        <v>2.512674894832756E-3</v>
      </c>
      <c r="C214" s="23">
        <f>LN([1]Prices!C213)-LN([1]Prices!C214)</f>
        <v>6.8148689769502724E-3</v>
      </c>
      <c r="D214" s="21">
        <f>LN([1]Prices!D213)-LN([1]Prices!D214)</f>
        <v>-7.6699459382214563E-3</v>
      </c>
    </row>
    <row r="215" spans="1:4">
      <c r="A215" s="19">
        <f>[1]Prices!A215</f>
        <v>45791</v>
      </c>
      <c r="B215" s="20">
        <f>LN([1]Prices!B214)-LN([1]Prices!B215)</f>
        <v>4.1939365122978245E-4</v>
      </c>
      <c r="C215" s="20">
        <f>LN([1]Prices!C214)-LN([1]Prices!C215)</f>
        <v>-2.2026638927456155E-2</v>
      </c>
      <c r="D215" s="21">
        <f>LN([1]Prices!D214)-LN([1]Prices!D215)</f>
        <v>-4.0400876176649447E-4</v>
      </c>
    </row>
    <row r="216" spans="1:4">
      <c r="A216" s="22">
        <f>[1]Prices!A216</f>
        <v>45790</v>
      </c>
      <c r="B216" s="20">
        <f>LN([1]Prices!B215)-LN([1]Prices!B216)</f>
        <v>8.4250232291935845E-3</v>
      </c>
      <c r="C216" s="20">
        <f>LN([1]Prices!C215)-LN([1]Prices!C216)</f>
        <v>4.1817907321251013E-3</v>
      </c>
      <c r="D216" s="24">
        <f>LN([1]Prices!D215)-LN([1]Prices!D216)</f>
        <v>1.3761837375906971E-2</v>
      </c>
    </row>
    <row r="217" spans="1:4">
      <c r="A217" s="19">
        <f>[1]Prices!A217</f>
        <v>45789</v>
      </c>
      <c r="B217" s="20">
        <f>LN([1]Prices!B216)-LN([1]Prices!B217)</f>
        <v>-2.6714158662954901E-4</v>
      </c>
      <c r="C217" s="20">
        <f>LN([1]Prices!C216)-LN([1]Prices!C217)</f>
        <v>3.1615516185834913E-2</v>
      </c>
      <c r="D217" s="21">
        <f>LN([1]Prices!D216)-LN([1]Prices!D217)</f>
        <v>-8.1156777507831457E-3</v>
      </c>
    </row>
    <row r="218" spans="1:4">
      <c r="A218" s="22">
        <f>[1]Prices!A218</f>
        <v>45786</v>
      </c>
      <c r="B218" s="20">
        <f>LN([1]Prices!B217)-LN([1]Prices!B218)</f>
        <v>2.3717595041516937E-2</v>
      </c>
      <c r="C218" s="20">
        <f>LN([1]Prices!C217)-LN([1]Prices!C218)</f>
        <v>4.474670261628777E-2</v>
      </c>
      <c r="D218" s="21">
        <f>LN([1]Prices!D217)-LN([1]Prices!D218)</f>
        <v>1.6178749634709888E-3</v>
      </c>
    </row>
    <row r="219" spans="1:4">
      <c r="A219" s="19">
        <f>[1]Prices!A219</f>
        <v>45785</v>
      </c>
      <c r="B219" s="23">
        <f>LN([1]Prices!B218)-LN([1]Prices!B219)</f>
        <v>1.2772267673115678E-3</v>
      </c>
      <c r="C219" s="23">
        <f>LN([1]Prices!C218)-LN([1]Prices!C219)</f>
        <v>2.6609899039442553E-4</v>
      </c>
      <c r="D219" s="21">
        <f>LN([1]Prices!D218)-LN([1]Prices!D219)</f>
        <v>1.0173554111566396E-2</v>
      </c>
    </row>
    <row r="220" spans="1:4">
      <c r="A220" s="22">
        <f>[1]Prices!A220</f>
        <v>45784</v>
      </c>
      <c r="B220" s="20">
        <f>LN([1]Prices!B219)-LN([1]Prices!B220)</f>
        <v>1.1061247347842418E-2</v>
      </c>
      <c r="C220" s="20">
        <f>LN([1]Prices!C219)-LN([1]Prices!C220)</f>
        <v>6.2068474367276139E-3</v>
      </c>
      <c r="D220" s="24">
        <f>LN([1]Prices!D219)-LN([1]Prices!D220)</f>
        <v>-2.3047949469703344E-2</v>
      </c>
    </row>
    <row r="221" spans="1:4">
      <c r="A221" s="19">
        <f>[1]Prices!A221</f>
        <v>45783</v>
      </c>
      <c r="B221" s="20">
        <f>LN([1]Prices!B220)-LN([1]Prices!B221)</f>
        <v>9.2308402437346615E-5</v>
      </c>
      <c r="C221" s="20">
        <f>LN([1]Prices!C220)-LN([1]Prices!C221)</f>
        <v>1.1243259784866844E-2</v>
      </c>
      <c r="D221" s="21">
        <f>LN([1]Prices!D220)-LN([1]Prices!D221)</f>
        <v>-8.3589935183048247E-3</v>
      </c>
    </row>
    <row r="222" spans="1:4">
      <c r="A222" s="22">
        <f>[1]Prices!A222</f>
        <v>45782</v>
      </c>
      <c r="B222" s="20">
        <f>LN([1]Prices!B221)-LN([1]Prices!B222)</f>
        <v>-6.5786684335273904E-3</v>
      </c>
      <c r="C222" s="20">
        <f>LN([1]Prices!C221)-LN([1]Prices!C222)</f>
        <v>-1.0707533528164781E-2</v>
      </c>
      <c r="D222" s="21">
        <f>LN([1]Prices!D221)-LN([1]Prices!D222)</f>
        <v>-3.9418156025172735E-4</v>
      </c>
    </row>
    <row r="223" spans="1:4">
      <c r="A223" s="19">
        <f>[1]Prices!A223</f>
        <v>45779</v>
      </c>
      <c r="B223" s="20">
        <f>LN([1]Prices!B222)-LN([1]Prices!B223)</f>
        <v>2.0425734337736756E-3</v>
      </c>
      <c r="C223" s="20">
        <f>LN([1]Prices!C222)-LN([1]Prices!C223)</f>
        <v>-9.5994337569385024E-3</v>
      </c>
      <c r="D223" s="21">
        <f>LN([1]Prices!D222)-LN([1]Prices!D223)</f>
        <v>-3.5609020175240147E-3</v>
      </c>
    </row>
    <row r="224" spans="1:4">
      <c r="A224" s="22">
        <f>[1]Prices!A224</f>
        <v>45778</v>
      </c>
      <c r="B224" s="23">
        <f>LN([1]Prices!B223)-LN([1]Prices!B224)</f>
        <v>2.2959599411533027E-2</v>
      </c>
      <c r="C224" s="23">
        <f>LN([1]Prices!C223)-LN([1]Prices!C224)</f>
        <v>3.5382801095139804E-2</v>
      </c>
      <c r="D224" s="24">
        <f>LN([1]Prices!D223)-LN([1]Prices!D224)</f>
        <v>1.9776147018002455E-3</v>
      </c>
    </row>
    <row r="225" spans="1:4">
      <c r="A225" s="19">
        <f>[1]Prices!A225</f>
        <v>45777</v>
      </c>
      <c r="B225" s="20">
        <f>LN([1]Prices!B224)-LN([1]Prices!B225)</f>
        <v>7.348612655384823E-2</v>
      </c>
      <c r="C225" s="20">
        <f>LN([1]Prices!C224)-LN([1]Prices!C225)</f>
        <v>3.3335255297995303E-2</v>
      </c>
      <c r="D225" s="21">
        <f>LN([1]Prices!D224)-LN([1]Prices!D225)</f>
        <v>-2.8082644222858999E-2</v>
      </c>
    </row>
    <row r="226" spans="1:4">
      <c r="A226" s="22">
        <f>[1]Prices!A226</f>
        <v>45776</v>
      </c>
      <c r="B226" s="20">
        <f>LN([1]Prices!B225)-LN([1]Prices!B226)</f>
        <v>3.091349224810358E-3</v>
      </c>
      <c r="C226" s="20">
        <f>LN([1]Prices!C225)-LN([1]Prices!C226)</f>
        <v>-4.9731804513353239E-4</v>
      </c>
      <c r="D226" s="21">
        <f>LN([1]Prices!D225)-LN([1]Prices!D226)</f>
        <v>9.6624087192678232E-3</v>
      </c>
    </row>
    <row r="227" spans="1:4">
      <c r="A227" s="19">
        <f>[1]Prices!A227</f>
        <v>45775</v>
      </c>
      <c r="B227" s="20">
        <f>LN([1]Prices!B226)-LN([1]Prices!B227)</f>
        <v>7.3357435434040497E-3</v>
      </c>
      <c r="C227" s="20">
        <f>LN([1]Prices!C226)-LN([1]Prices!C227)</f>
        <v>4.6274955320484423E-3</v>
      </c>
      <c r="D227" s="21">
        <f>LN([1]Prices!D226)-LN([1]Prices!D227)</f>
        <v>1.8420235503591176E-2</v>
      </c>
    </row>
    <row r="228" spans="1:4">
      <c r="A228" s="22">
        <f>[1]Prices!A228</f>
        <v>45772</v>
      </c>
      <c r="B228" s="20">
        <f>LN([1]Prices!B227)-LN([1]Prices!B228)</f>
        <v>-1.7624300547991467E-3</v>
      </c>
      <c r="C228" s="20">
        <f>LN([1]Prices!C227)-LN([1]Prices!C228)</f>
        <v>1.1843802087761368E-2</v>
      </c>
      <c r="D228" s="24">
        <f>LN([1]Prices!D227)-LN([1]Prices!D228)</f>
        <v>1.2338604698201028E-2</v>
      </c>
    </row>
    <row r="229" spans="1:4">
      <c r="A229" s="19">
        <f>[1]Prices!A229</f>
        <v>45771</v>
      </c>
      <c r="B229" s="23">
        <f>LN([1]Prices!B228)-LN([1]Prices!B229)</f>
        <v>1.1679526978166876E-2</v>
      </c>
      <c r="C229" s="23">
        <f>LN([1]Prices!C228)-LN([1]Prices!C229)</f>
        <v>7.1014791197727689E-3</v>
      </c>
      <c r="D229" s="21">
        <f>LN([1]Prices!D228)-LN([1]Prices!D229)</f>
        <v>-5.9903588468235291E-3</v>
      </c>
    </row>
    <row r="230" spans="1:4">
      <c r="A230" s="22">
        <f>[1]Prices!A230</f>
        <v>45770</v>
      </c>
      <c r="B230" s="20">
        <f>LN([1]Prices!B229)-LN([1]Prices!B230)</f>
        <v>3.3901551675681318E-2</v>
      </c>
      <c r="C230" s="20">
        <f>LN([1]Prices!C229)-LN([1]Prices!C230)</f>
        <v>4.5450535684342874E-2</v>
      </c>
      <c r="D230" s="21">
        <f>LN([1]Prices!D229)-LN([1]Prices!D230)</f>
        <v>9.1988517578602824E-3</v>
      </c>
    </row>
    <row r="231" spans="1:4">
      <c r="A231" s="19">
        <f>[1]Prices!A231</f>
        <v>45769</v>
      </c>
      <c r="B231" s="20">
        <f>LN([1]Prices!B230)-LN([1]Prices!B231)</f>
        <v>2.0426770322139021E-2</v>
      </c>
      <c r="C231" s="20">
        <f>LN([1]Prices!C230)-LN([1]Prices!C231)</f>
        <v>3.2171039169567095E-2</v>
      </c>
      <c r="D231" s="21">
        <f>LN([1]Prices!D230)-LN([1]Prices!D231)</f>
        <v>2.275661831949316E-2</v>
      </c>
    </row>
    <row r="232" spans="1:4">
      <c r="A232" s="22">
        <f>[1]Prices!A232</f>
        <v>45768</v>
      </c>
      <c r="B232" s="20">
        <f>LN([1]Prices!B231)-LN([1]Prices!B232)</f>
        <v>2.1214670049209516E-2</v>
      </c>
      <c r="C232" s="20">
        <f>LN([1]Prices!C231)-LN([1]Prices!C232)</f>
        <v>3.5355197979690445E-2</v>
      </c>
      <c r="D232" s="24">
        <f>LN([1]Prices!D231)-LN([1]Prices!D232)</f>
        <v>2.4128187117418598E-2</v>
      </c>
    </row>
    <row r="233" spans="1:4">
      <c r="A233" s="19">
        <f>[1]Prices!A233</f>
        <v>45764</v>
      </c>
      <c r="B233" s="20">
        <f>LN([1]Prices!B232)-LN([1]Prices!B233)</f>
        <v>-2.3828338839030572E-2</v>
      </c>
      <c r="C233" s="20">
        <f>LN([1]Prices!C232)-LN([1]Prices!C233)</f>
        <v>-4.6142451805463836E-2</v>
      </c>
      <c r="D233" s="21">
        <f>LN([1]Prices!D232)-LN([1]Prices!D233)</f>
        <v>-1.0890490946183995E-2</v>
      </c>
    </row>
    <row r="234" spans="1:4">
      <c r="A234" s="22">
        <f>[1]Prices!A234</f>
        <v>45763</v>
      </c>
      <c r="B234" s="23">
        <f>LN([1]Prices!B233)-LN([1]Prices!B234)</f>
        <v>-1.0359983921510718E-2</v>
      </c>
      <c r="C234" s="23">
        <f>LN([1]Prices!C233)-LN([1]Prices!C234)</f>
        <v>-8.8242696603861859E-3</v>
      </c>
      <c r="D234" s="21">
        <f>LN([1]Prices!D233)-LN([1]Prices!D234)</f>
        <v>2.7447499335095049E-2</v>
      </c>
    </row>
    <row r="235" spans="1:4">
      <c r="A235" s="19">
        <f>[1]Prices!A235</f>
        <v>45762</v>
      </c>
      <c r="B235" s="20">
        <f>LN([1]Prices!B234)-LN([1]Prices!B235)</f>
        <v>-3.7292725613748523E-2</v>
      </c>
      <c r="C235" s="20">
        <f>LN([1]Prices!C234)-LN([1]Prices!C235)</f>
        <v>-3.1705348114801524E-2</v>
      </c>
      <c r="D235" s="21">
        <f>LN([1]Prices!D234)-LN([1]Prices!D235)</f>
        <v>-1.3607906332363751E-2</v>
      </c>
    </row>
    <row r="236" spans="1:4">
      <c r="A236" s="22">
        <f>[1]Prices!A236</f>
        <v>45761</v>
      </c>
      <c r="B236" s="20">
        <f>LN([1]Prices!B235)-LN([1]Prices!B236)</f>
        <v>-5.3778861159994307E-3</v>
      </c>
      <c r="C236" s="20">
        <f>LN([1]Prices!C235)-LN([1]Prices!C236)</f>
        <v>-5.2126114006458835E-3</v>
      </c>
      <c r="D236" s="24">
        <f>LN([1]Prices!D235)-LN([1]Prices!D236)</f>
        <v>1.0189623975931816E-2</v>
      </c>
    </row>
    <row r="237" spans="1:4">
      <c r="A237" s="19">
        <f>[1]Prices!A237</f>
        <v>45758</v>
      </c>
      <c r="B237" s="20">
        <f>LN([1]Prices!B236)-LN([1]Prices!B237)</f>
        <v>-1.6489324324640009E-3</v>
      </c>
      <c r="C237" s="20">
        <f>LN([1]Prices!C236)-LN([1]Prices!C237)</f>
        <v>1.7154621209440002E-2</v>
      </c>
      <c r="D237" s="21">
        <f>LN([1]Prices!D236)-LN([1]Prices!D237)</f>
        <v>2.1558515554406465E-2</v>
      </c>
    </row>
    <row r="238" spans="1:4">
      <c r="A238" s="22">
        <f>[1]Prices!A238</f>
        <v>45757</v>
      </c>
      <c r="B238" s="20">
        <f>LN([1]Prices!B237)-LN([1]Prices!B238)</f>
        <v>1.8446872786181956E-2</v>
      </c>
      <c r="C238" s="20">
        <f>LN([1]Prices!C237)-LN([1]Prices!C238)</f>
        <v>-7.5273219549130133E-3</v>
      </c>
      <c r="D238" s="21">
        <f>LN([1]Prices!D237)-LN([1]Prices!D238)</f>
        <v>8.7208332804245003E-4</v>
      </c>
    </row>
    <row r="239" spans="1:4">
      <c r="A239" s="19">
        <f>[1]Prices!A239</f>
        <v>45756</v>
      </c>
      <c r="B239" s="23">
        <f>LN([1]Prices!B238)-LN([1]Prices!B239)</f>
        <v>-2.3684772146975064E-2</v>
      </c>
      <c r="C239" s="23">
        <f>LN([1]Prices!C238)-LN([1]Prices!C239)</f>
        <v>-4.644843111143615E-2</v>
      </c>
      <c r="D239" s="21">
        <f>LN([1]Prices!D238)-LN([1]Prices!D239)</f>
        <v>-2.1765517635139453E-3</v>
      </c>
    </row>
    <row r="240" spans="1:4">
      <c r="A240" s="22">
        <f>[1]Prices!A240</f>
        <v>45755</v>
      </c>
      <c r="B240" s="20">
        <f>LN([1]Prices!B239)-LN([1]Prices!B240)</f>
        <v>9.6524776638358567E-2</v>
      </c>
      <c r="C240" s="20">
        <f>LN([1]Prices!C239)-LN([1]Prices!C240)</f>
        <v>0.11511996583469752</v>
      </c>
      <c r="D240" s="24">
        <f>LN([1]Prices!D239)-LN([1]Prices!D240)</f>
        <v>7.454352210424009E-2</v>
      </c>
    </row>
    <row r="241" spans="1:4">
      <c r="A241" s="19">
        <f>[1]Prices!A241</f>
        <v>45754</v>
      </c>
      <c r="B241" s="20">
        <f>LN([1]Prices!B240)-LN([1]Prices!B241)</f>
        <v>-9.2642643448517248E-3</v>
      </c>
      <c r="C241" s="20">
        <f>LN([1]Prices!C240)-LN([1]Prices!C241)</f>
        <v>-2.114042013784001E-2</v>
      </c>
      <c r="D241" s="21">
        <f>LN([1]Prices!D240)-LN([1]Prices!D241)</f>
        <v>3.7588231927245808E-3</v>
      </c>
    </row>
    <row r="242" spans="1:4">
      <c r="A242" s="22">
        <f>[1]Prices!A242</f>
        <v>45751</v>
      </c>
      <c r="B242" s="20">
        <f>LN([1]Prices!B241)-LN([1]Prices!B242)</f>
        <v>-5.5176397472891381E-3</v>
      </c>
      <c r="C242" s="20">
        <f>LN([1]Prices!C241)-LN([1]Prices!C242)</f>
        <v>-8.6912812691570807E-3</v>
      </c>
      <c r="D242" s="21">
        <f>LN([1]Prices!D241)-LN([1]Prices!D242)</f>
        <v>-2.6941377029813918E-2</v>
      </c>
    </row>
    <row r="243" spans="1:4">
      <c r="A243" s="19">
        <f>[1]Prices!A243</f>
        <v>45750</v>
      </c>
      <c r="B243" s="20">
        <f>LN([1]Prices!B242)-LN([1]Prices!B243)</f>
        <v>-3.6213794122754273E-2</v>
      </c>
      <c r="C243" s="20">
        <f>LN([1]Prices!C242)-LN([1]Prices!C243)</f>
        <v>-6.7520932969782343E-2</v>
      </c>
      <c r="D243" s="21">
        <f>LN([1]Prices!D242)-LN([1]Prices!D243)</f>
        <v>-6.9052399679050858E-2</v>
      </c>
    </row>
    <row r="244" spans="1:4">
      <c r="A244" s="22">
        <f>[1]Prices!A244</f>
        <v>45749</v>
      </c>
      <c r="B244" s="23">
        <f>LN([1]Prices!B243)-LN([1]Prices!B244)</f>
        <v>-2.3913751277569339E-2</v>
      </c>
      <c r="C244" s="23">
        <f>LN([1]Prices!C243)-LN([1]Prices!C244)</f>
        <v>-6.0988907274545312E-2</v>
      </c>
      <c r="D244" s="24">
        <f>LN([1]Prices!D243)-LN([1]Prices!D244)</f>
        <v>-6.0577663029985906E-2</v>
      </c>
    </row>
    <row r="245" spans="1:4">
      <c r="A245" s="19">
        <f>[1]Prices!A245</f>
        <v>45748</v>
      </c>
      <c r="B245" s="20">
        <f>LN([1]Prices!B244)-LN([1]Prices!B245)</f>
        <v>-1.308335406733363E-4</v>
      </c>
      <c r="C245" s="20">
        <f>LN([1]Prices!C244)-LN([1]Prices!C245)</f>
        <v>2.7242824459249526E-2</v>
      </c>
      <c r="D245" s="21">
        <f>LN([1]Prices!D244)-LN([1]Prices!D245)</f>
        <v>-1.319753239974375E-2</v>
      </c>
    </row>
    <row r="246" spans="1:4">
      <c r="A246" s="22">
        <f>[1]Prices!A246</f>
        <v>45747</v>
      </c>
      <c r="B246" s="20">
        <f>LN([1]Prices!B245)-LN([1]Prices!B246)</f>
        <v>1.7952381606929357E-2</v>
      </c>
      <c r="C246" s="20">
        <f>LN([1]Prices!C245)-LN([1]Prices!C246)</f>
        <v>1.5120075097104113E-2</v>
      </c>
      <c r="D246" s="21">
        <f>LN([1]Prices!D245)-LN([1]Prices!D246)</f>
        <v>-8.7012274266977663E-3</v>
      </c>
    </row>
    <row r="247" spans="1:4">
      <c r="A247" s="19">
        <f>[1]Prices!A247</f>
        <v>45744</v>
      </c>
      <c r="B247" s="20">
        <f>LN([1]Prices!B246)-LN([1]Prices!B247)</f>
        <v>-9.0428757668501447E-3</v>
      </c>
      <c r="C247" s="20">
        <f>LN([1]Prices!C246)-LN([1]Prices!C247)</f>
        <v>-7.5531212724824215E-3</v>
      </c>
      <c r="D247" s="21">
        <f>LN([1]Prices!D246)-LN([1]Prices!D247)</f>
        <v>1.1888263265779742E-2</v>
      </c>
    </row>
    <row r="248" spans="1:4">
      <c r="A248" s="22">
        <f>[1]Prices!A248</f>
        <v>45743</v>
      </c>
      <c r="B248" s="20">
        <f>LN([1]Prices!B247)-LN([1]Prices!B248)</f>
        <v>-3.0624452542713065E-2</v>
      </c>
      <c r="C248" s="20">
        <f>LN([1]Prices!C247)-LN([1]Prices!C248)</f>
        <v>-3.4261156681851368E-2</v>
      </c>
      <c r="D248" s="24">
        <f>LN([1]Prices!D247)-LN([1]Prices!D248)</f>
        <v>-2.1686983200663423E-2</v>
      </c>
    </row>
    <row r="249" spans="1:4">
      <c r="A249" s="19">
        <f>[1]Prices!A249</f>
        <v>45742</v>
      </c>
      <c r="B249" s="23">
        <f>LN([1]Prices!B248)-LN([1]Prices!B249)</f>
        <v>1.5630007665983214E-3</v>
      </c>
      <c r="C249" s="23">
        <f>LN([1]Prices!C248)-LN([1]Prices!C249)</f>
        <v>-1.3761372560034957E-2</v>
      </c>
      <c r="D249" s="21">
        <f>LN([1]Prices!D248)-LN([1]Prices!D249)</f>
        <v>5.4743235172063365E-3</v>
      </c>
    </row>
    <row r="250" spans="1:4">
      <c r="A250" s="22">
        <f>[1]Prices!A250</f>
        <v>45741</v>
      </c>
      <c r="B250" s="20">
        <f>LN([1]Prices!B249)-LN([1]Prices!B250)</f>
        <v>-1.3220933088235576E-2</v>
      </c>
      <c r="C250" s="20">
        <f>LN([1]Prices!C249)-LN([1]Prices!C250)</f>
        <v>-4.0637945107881102E-2</v>
      </c>
      <c r="D250" s="21">
        <f>LN([1]Prices!D249)-LN([1]Prices!D250)</f>
        <v>9.4589047964954709E-3</v>
      </c>
    </row>
    <row r="251" spans="1:4">
      <c r="A251" s="25">
        <f>[1]Prices!A251</f>
        <v>45740</v>
      </c>
      <c r="B251" s="20">
        <f>LN([1]Prices!B250)-LN([1]Prices!B251)</f>
        <v>5.2775926820469721E-3</v>
      </c>
      <c r="C251" s="20">
        <f>LN([1]Prices!C250)-LN([1]Prices!C251)</f>
        <v>-6.0881017061005238E-3</v>
      </c>
      <c r="D251" s="21">
        <f>LN([1]Prices!D250)-LN([1]Prices!D251)</f>
        <v>-3.9777247938932447E-4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B5AA-60A2-4C5C-AB24-058E58C8E301}">
  <dimension ref="A1"/>
  <sheetViews>
    <sheetView workbookViewId="0">
      <selection activeCell="N18" sqref="N18"/>
    </sheetView>
  </sheetViews>
  <sheetFormatPr defaultRowHeight="14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7FF8-F254-4651-973D-3BCF081877BC}">
  <dimension ref="A1"/>
  <sheetViews>
    <sheetView zoomScaleNormal="100" workbookViewId="0">
      <selection activeCell="M7" sqref="M7"/>
    </sheetView>
  </sheetViews>
  <sheetFormatPr defaultRowHeight="14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2744-5428-4881-854A-F8158D383538}">
  <dimension ref="A1:N251"/>
  <sheetViews>
    <sheetView tabSelected="1" zoomScale="85" zoomScaleNormal="85" workbookViewId="0">
      <selection activeCell="I47" sqref="I47"/>
    </sheetView>
  </sheetViews>
  <sheetFormatPr defaultRowHeight="14.45"/>
  <cols>
    <col min="1" max="1" width="12.5703125" customWidth="1"/>
    <col min="2" max="2" width="14.85546875" customWidth="1"/>
    <col min="3" max="4" width="14.42578125" customWidth="1"/>
    <col min="5" max="5" width="18.42578125" customWidth="1"/>
    <col min="6" max="6" width="13.85546875" customWidth="1"/>
    <col min="8" max="8" width="14.85546875" customWidth="1"/>
    <col min="9" max="9" width="16.85546875" customWidth="1"/>
    <col min="10" max="10" width="19.85546875" customWidth="1"/>
    <col min="13" max="13" width="21.140625" customWidth="1"/>
    <col min="14" max="14" width="9.5703125" bestFit="1" customWidth="1"/>
  </cols>
  <sheetData>
    <row r="1" spans="1:14">
      <c r="A1" t="s">
        <v>11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H1" t="s">
        <v>23</v>
      </c>
      <c r="I1" t="s">
        <v>24</v>
      </c>
      <c r="J1" t="s">
        <v>25</v>
      </c>
    </row>
    <row r="2" spans="1:14">
      <c r="A2" s="4">
        <v>46101</v>
      </c>
      <c r="B2" s="5">
        <v>381.87</v>
      </c>
      <c r="C2" s="31">
        <f t="shared" ref="C2:C65" si="0">LN(B2)-LN(B3)</f>
        <v>-1.8550519628092843E-2</v>
      </c>
      <c r="D2">
        <v>0.48886903312270302</v>
      </c>
      <c r="E2" s="30">
        <f>_xlfn.NORM.INV(D2,$N$4,$N$5)</f>
        <v>-5.7919061727365877E-4</v>
      </c>
      <c r="F2" s="29">
        <f>B2</f>
        <v>381.87</v>
      </c>
      <c r="H2">
        <v>-0.08</v>
      </c>
      <c r="I2" cm="1">
        <f t="array" ref="I2:I23">FREQUENCY(C2:C250,H2:H22)</f>
        <v>1</v>
      </c>
      <c r="J2" cm="1">
        <f t="array" ref="J2:J23">FREQUENCY(E2:E250, H2:H22)</f>
        <v>0</v>
      </c>
      <c r="M2" t="s">
        <v>26</v>
      </c>
      <c r="N2">
        <f>MAX(B2:B250)</f>
        <v>542.07000000000005</v>
      </c>
    </row>
    <row r="3" spans="1:14">
      <c r="A3" s="7">
        <v>46100</v>
      </c>
      <c r="B3" s="8">
        <v>389.02</v>
      </c>
      <c r="C3" s="31">
        <f t="shared" si="0"/>
        <v>-7.0952257800360741E-3</v>
      </c>
      <c r="D3">
        <v>0.39285824076082621</v>
      </c>
      <c r="E3" s="30">
        <f>_xlfn.NORM.INV(D3,$N$4,$N$5)</f>
        <v>-4.6271571224890872E-3</v>
      </c>
      <c r="F3">
        <f>F2*EXP(E3)</f>
        <v>380.10710924127574</v>
      </c>
      <c r="H3">
        <v>-7.1999999999999995E-2</v>
      </c>
      <c r="I3">
        <v>0</v>
      </c>
      <c r="J3">
        <v>0</v>
      </c>
      <c r="M3" t="s">
        <v>27</v>
      </c>
      <c r="N3" s="29">
        <f>MIN(B2:B250)</f>
        <v>354.56</v>
      </c>
    </row>
    <row r="4" spans="1:14">
      <c r="A4" s="4">
        <v>46099</v>
      </c>
      <c r="B4" s="5">
        <v>391.79</v>
      </c>
      <c r="C4" s="31">
        <f t="shared" si="0"/>
        <v>-1.9262476266033168E-2</v>
      </c>
      <c r="D4">
        <v>0.53682221786365925</v>
      </c>
      <c r="E4" s="30">
        <f>_xlfn.NORM.INV(D4,$N$4,$N$5)</f>
        <v>1.4174111626331484E-3</v>
      </c>
      <c r="F4">
        <f t="shared" ref="F4:F67" si="1">F3*EXP(E4)</f>
        <v>380.64625930930777</v>
      </c>
      <c r="H4">
        <v>-6.4000000000000001E-2</v>
      </c>
      <c r="I4">
        <v>0</v>
      </c>
      <c r="J4">
        <v>0</v>
      </c>
      <c r="M4" t="s">
        <v>28</v>
      </c>
      <c r="N4" s="33">
        <f>AVERAGE(C2:C250)</f>
        <v>-1.1619645358945195E-4</v>
      </c>
    </row>
    <row r="5" spans="1:14">
      <c r="A5" s="7">
        <v>46098</v>
      </c>
      <c r="B5" s="8">
        <v>399.41</v>
      </c>
      <c r="C5" s="31">
        <f t="shared" si="0"/>
        <v>-1.3510810702159759E-3</v>
      </c>
      <c r="D5">
        <v>0.67387809187875825</v>
      </c>
      <c r="E5" s="30">
        <f>_xlfn.NORM.INV(D5,$N$4,$N$5)</f>
        <v>7.360901054197155E-3</v>
      </c>
      <c r="F5">
        <f t="shared" si="1"/>
        <v>383.4584963621673</v>
      </c>
      <c r="H5">
        <v>-5.6000000000000001E-2</v>
      </c>
      <c r="I5">
        <v>0</v>
      </c>
      <c r="J5">
        <v>0</v>
      </c>
      <c r="M5" t="s">
        <v>29</v>
      </c>
      <c r="N5" s="31">
        <f>_xlfn.STDEV.S(C2:C250)</f>
        <v>1.6591908047772424E-2</v>
      </c>
    </row>
    <row r="6" spans="1:14">
      <c r="A6" s="4">
        <v>46097</v>
      </c>
      <c r="B6" s="5">
        <v>399.95</v>
      </c>
      <c r="C6" s="31">
        <f t="shared" si="0"/>
        <v>1.1062337827425495E-2</v>
      </c>
      <c r="D6">
        <v>0.46756562509846011</v>
      </c>
      <c r="E6" s="30">
        <f>_xlfn.NORM.INV(D6,$N$4,$N$5)</f>
        <v>-1.4666233533932455E-3</v>
      </c>
      <c r="F6">
        <f t="shared" si="1"/>
        <v>382.89651938136114</v>
      </c>
      <c r="H6">
        <v>-4.8000000000000001E-2</v>
      </c>
      <c r="I6">
        <v>1</v>
      </c>
      <c r="J6">
        <v>0</v>
      </c>
    </row>
    <row r="7" spans="1:14">
      <c r="A7" s="7">
        <v>46094</v>
      </c>
      <c r="B7" s="8">
        <v>395.55</v>
      </c>
      <c r="C7" s="31">
        <f t="shared" si="0"/>
        <v>-1.5826567789001267E-2</v>
      </c>
      <c r="D7">
        <v>0.94313995729947886</v>
      </c>
      <c r="E7" s="30">
        <f>_xlfn.NORM.INV(D7,$N$4,$N$5)</f>
        <v>2.6127078294430478E-2</v>
      </c>
      <c r="F7">
        <f t="shared" si="1"/>
        <v>393.03231957248926</v>
      </c>
      <c r="H7">
        <v>-0.04</v>
      </c>
      <c r="I7">
        <v>0</v>
      </c>
      <c r="J7">
        <v>1</v>
      </c>
    </row>
    <row r="8" spans="1:14">
      <c r="A8" s="4">
        <v>46093</v>
      </c>
      <c r="B8" s="5">
        <v>401.86</v>
      </c>
      <c r="C8" s="31">
        <f t="shared" si="0"/>
        <v>-7.4869576494158707E-3</v>
      </c>
      <c r="D8">
        <v>0.56560974309228462</v>
      </c>
      <c r="E8" s="30">
        <f>_xlfn.NORM.INV(D8,$N$4,$N$5)</f>
        <v>2.6249143240213713E-3</v>
      </c>
      <c r="F8">
        <f t="shared" si="1"/>
        <v>394.06535095422674</v>
      </c>
      <c r="H8">
        <v>-3.2000000000000001E-2</v>
      </c>
      <c r="I8">
        <v>3</v>
      </c>
      <c r="J8">
        <v>2</v>
      </c>
    </row>
    <row r="9" spans="1:14">
      <c r="A9" s="7">
        <v>46092</v>
      </c>
      <c r="B9" s="8">
        <v>404.88</v>
      </c>
      <c r="C9" s="31">
        <f t="shared" si="0"/>
        <v>-2.1711249029836566E-3</v>
      </c>
      <c r="D9">
        <v>0.77786231530331107</v>
      </c>
      <c r="E9" s="30">
        <f>_xlfn.NORM.INV(D9,$N$4,$N$5)</f>
        <v>1.2576506631628386E-2</v>
      </c>
      <c r="F9">
        <f t="shared" si="1"/>
        <v>399.05261187837442</v>
      </c>
      <c r="H9">
        <v>-2.4E-2</v>
      </c>
      <c r="I9">
        <v>8</v>
      </c>
      <c r="J9">
        <v>9</v>
      </c>
    </row>
    <row r="10" spans="1:14">
      <c r="A10" s="4">
        <v>46091</v>
      </c>
      <c r="B10" s="5">
        <v>405.76</v>
      </c>
      <c r="C10" s="31">
        <f t="shared" si="0"/>
        <v>-8.9552471093261587E-3</v>
      </c>
      <c r="D10">
        <v>0.67427825901686844</v>
      </c>
      <c r="E10" s="30">
        <f>_xlfn.NORM.INV(D10,$N$4,$N$5)</f>
        <v>7.3793272357445027E-3</v>
      </c>
      <c r="F10">
        <f t="shared" si="1"/>
        <v>402.00824356011975</v>
      </c>
      <c r="H10">
        <v>-1.59999999999999E-2</v>
      </c>
      <c r="I10">
        <v>15</v>
      </c>
      <c r="J10">
        <v>27</v>
      </c>
    </row>
    <row r="11" spans="1:14">
      <c r="A11" s="7">
        <v>46090</v>
      </c>
      <c r="B11" s="8">
        <v>409.41</v>
      </c>
      <c r="C11" s="31">
        <f t="shared" si="0"/>
        <v>1.0997471690172844E-3</v>
      </c>
      <c r="D11">
        <v>0.13800401654141514</v>
      </c>
      <c r="E11" s="30">
        <f>_xlfn.NORM.INV(D11,$N$4,$N$5)</f>
        <v>-1.819027300071047E-2</v>
      </c>
      <c r="F11">
        <f t="shared" si="1"/>
        <v>394.76171186967815</v>
      </c>
      <c r="H11">
        <v>-7.9999999999998996E-3</v>
      </c>
      <c r="I11">
        <v>27</v>
      </c>
      <c r="J11">
        <v>33</v>
      </c>
    </row>
    <row r="12" spans="1:14">
      <c r="A12" s="4">
        <v>46087</v>
      </c>
      <c r="B12" s="5">
        <v>408.96</v>
      </c>
      <c r="C12" s="31">
        <f t="shared" si="0"/>
        <v>-4.1969706816491481E-3</v>
      </c>
      <c r="D12">
        <v>0.12303653218962951</v>
      </c>
      <c r="E12" s="30">
        <f>_xlfn.NORM.INV(D12,$N$4,$N$5)</f>
        <v>-1.9361821248352753E-2</v>
      </c>
      <c r="F12">
        <f t="shared" si="1"/>
        <v>387.19192507688769</v>
      </c>
      <c r="H12">
        <v>0</v>
      </c>
      <c r="I12">
        <v>65</v>
      </c>
      <c r="J12">
        <v>52</v>
      </c>
    </row>
    <row r="13" spans="1:14">
      <c r="A13" s="7">
        <v>46086</v>
      </c>
      <c r="B13" s="8">
        <v>410.68</v>
      </c>
      <c r="C13" s="31">
        <f t="shared" si="0"/>
        <v>1.3433550056236143E-2</v>
      </c>
      <c r="D13">
        <v>0.39446057784948585</v>
      </c>
      <c r="E13" s="30">
        <f>_xlfn.NORM.INV(D13,$N$4,$N$5)</f>
        <v>-4.5580462482432849E-3</v>
      </c>
      <c r="F13">
        <f t="shared" si="1"/>
        <v>385.43110237962395</v>
      </c>
      <c r="H13">
        <v>8.0000000000001008E-3</v>
      </c>
      <c r="I13">
        <v>73</v>
      </c>
      <c r="J13">
        <v>47</v>
      </c>
    </row>
    <row r="14" spans="1:14">
      <c r="A14" s="4">
        <v>46085</v>
      </c>
      <c r="B14" s="5">
        <v>405.2</v>
      </c>
      <c r="C14" s="31">
        <f t="shared" si="0"/>
        <v>3.1391767526285363E-3</v>
      </c>
      <c r="D14">
        <v>0.54644385122150041</v>
      </c>
      <c r="E14" s="30">
        <f>_xlfn.NORM.INV(D14,$N$4,$N$5)</f>
        <v>1.8197754775937873E-3</v>
      </c>
      <c r="F14">
        <f t="shared" si="1"/>
        <v>386.13313902883795</v>
      </c>
      <c r="H14">
        <v>1.6000000000000101E-2</v>
      </c>
      <c r="I14">
        <v>30</v>
      </c>
      <c r="J14">
        <v>43</v>
      </c>
    </row>
    <row r="15" spans="1:14">
      <c r="A15" s="7">
        <v>46084</v>
      </c>
      <c r="B15" s="8">
        <v>403.93</v>
      </c>
      <c r="C15" s="31">
        <f t="shared" si="0"/>
        <v>1.3408634747967163E-2</v>
      </c>
      <c r="D15">
        <v>0.6412344753205611</v>
      </c>
      <c r="E15" s="30">
        <f>_xlfn.NORM.INV(D15,$N$4,$N$5)</f>
        <v>5.8860996708105223E-3</v>
      </c>
      <c r="F15">
        <f t="shared" si="1"/>
        <v>388.41265933183371</v>
      </c>
      <c r="H15">
        <v>2.4E-2</v>
      </c>
      <c r="I15">
        <v>19</v>
      </c>
      <c r="J15">
        <v>17</v>
      </c>
    </row>
    <row r="16" spans="1:14">
      <c r="A16" s="4">
        <v>46083</v>
      </c>
      <c r="B16" s="5">
        <v>398.55</v>
      </c>
      <c r="C16" s="31">
        <f t="shared" si="0"/>
        <v>1.4685145551847967E-2</v>
      </c>
      <c r="D16">
        <v>0.28537257146695361</v>
      </c>
      <c r="E16" s="30">
        <f>_xlfn.NORM.INV(D16,$N$4,$N$5)</f>
        <v>-9.5230522143864762E-3</v>
      </c>
      <c r="F16">
        <f t="shared" si="1"/>
        <v>384.73134180685418</v>
      </c>
      <c r="H16">
        <v>3.2000000000000001E-2</v>
      </c>
      <c r="I16">
        <v>2</v>
      </c>
      <c r="J16">
        <v>12</v>
      </c>
    </row>
    <row r="17" spans="1:10">
      <c r="A17" s="7">
        <v>46080</v>
      </c>
      <c r="B17" s="8">
        <v>392.74</v>
      </c>
      <c r="C17" s="31">
        <f t="shared" si="0"/>
        <v>-2.2607513203054097E-2</v>
      </c>
      <c r="D17">
        <v>0.14094320732896981</v>
      </c>
      <c r="E17" s="30">
        <f>_xlfn.NORM.INV(D17,$N$4,$N$5)</f>
        <v>-1.7970604782005788E-2</v>
      </c>
      <c r="F17">
        <f t="shared" si="1"/>
        <v>377.87923952897847</v>
      </c>
      <c r="H17">
        <v>0.04</v>
      </c>
      <c r="I17">
        <v>3</v>
      </c>
      <c r="J17">
        <v>5</v>
      </c>
    </row>
    <row r="18" spans="1:10">
      <c r="A18" s="4">
        <v>46079</v>
      </c>
      <c r="B18" s="5">
        <v>401.72</v>
      </c>
      <c r="C18" s="31">
        <f t="shared" si="0"/>
        <v>2.7919052934208821E-3</v>
      </c>
      <c r="D18">
        <v>0.92258036023173706</v>
      </c>
      <c r="E18" s="30">
        <f>_xlfn.NORM.INV(D18,$N$4,$N$5)</f>
        <v>2.3488187841466633E-2</v>
      </c>
      <c r="F18">
        <f t="shared" si="1"/>
        <v>386.85999605381369</v>
      </c>
      <c r="H18">
        <v>4.8000000000000001E-2</v>
      </c>
      <c r="I18">
        <v>0</v>
      </c>
      <c r="J18">
        <v>1</v>
      </c>
    </row>
    <row r="19" spans="1:10">
      <c r="A19" s="7">
        <v>46078</v>
      </c>
      <c r="B19" s="8">
        <v>400.6</v>
      </c>
      <c r="C19" s="31">
        <f t="shared" si="0"/>
        <v>2.938407961327183E-2</v>
      </c>
      <c r="D19">
        <v>0.72552020109553672</v>
      </c>
      <c r="E19" s="30">
        <f>_xlfn.NORM.INV(D19,$N$4,$N$5)</f>
        <v>9.8276637767053567E-3</v>
      </c>
      <c r="F19">
        <f t="shared" si="1"/>
        <v>390.68066941935615</v>
      </c>
      <c r="H19">
        <v>5.6000000000000001E-2</v>
      </c>
      <c r="I19">
        <v>0</v>
      </c>
      <c r="J19">
        <v>0</v>
      </c>
    </row>
    <row r="20" spans="1:10">
      <c r="A20" s="4">
        <v>46077</v>
      </c>
      <c r="B20" s="5">
        <v>389</v>
      </c>
      <c r="C20" s="31">
        <f t="shared" si="0"/>
        <v>1.1713581123753869E-2</v>
      </c>
      <c r="D20">
        <v>0.81729249598942189</v>
      </c>
      <c r="E20" s="30">
        <f>_xlfn.NORM.INV(D20,$N$4,$N$5)</f>
        <v>1.4901058213357471E-2</v>
      </c>
      <c r="F20">
        <f t="shared" si="1"/>
        <v>396.54581472795633</v>
      </c>
      <c r="H20">
        <v>6.4000000000000001E-2</v>
      </c>
      <c r="I20">
        <v>0</v>
      </c>
      <c r="J20">
        <v>0</v>
      </c>
    </row>
    <row r="21" spans="1:10">
      <c r="A21" s="7">
        <v>46076</v>
      </c>
      <c r="B21" s="8">
        <v>384.47</v>
      </c>
      <c r="C21" s="31">
        <f t="shared" si="0"/>
        <v>-3.2649695525083011E-2</v>
      </c>
      <c r="D21">
        <v>0.27388182976774389</v>
      </c>
      <c r="E21" s="30">
        <f>_xlfn.NORM.INV(D21,$N$4,$N$5)</f>
        <v>-1.0089834627044773E-2</v>
      </c>
      <c r="F21">
        <f t="shared" si="1"/>
        <v>392.56485044431332</v>
      </c>
      <c r="H21">
        <v>7.1999999999999995E-2</v>
      </c>
      <c r="I21">
        <v>0</v>
      </c>
      <c r="J21">
        <v>0</v>
      </c>
    </row>
    <row r="22" spans="1:10">
      <c r="A22" s="4">
        <v>46073</v>
      </c>
      <c r="B22" s="5">
        <v>397.23</v>
      </c>
      <c r="C22" s="31">
        <f t="shared" si="0"/>
        <v>-3.0916587609022272E-3</v>
      </c>
      <c r="D22">
        <v>3.1304002082579996E-2</v>
      </c>
      <c r="E22" s="30">
        <f>_xlfn.NORM.INV(D22,$N$4,$N$5)</f>
        <v>-3.1009750835680736E-2</v>
      </c>
      <c r="F22">
        <f t="shared" si="1"/>
        <v>380.57832237922742</v>
      </c>
      <c r="H22">
        <v>0.08</v>
      </c>
      <c r="I22">
        <v>1</v>
      </c>
      <c r="J22">
        <v>0</v>
      </c>
    </row>
    <row r="23" spans="1:10">
      <c r="A23" s="7">
        <v>46072</v>
      </c>
      <c r="B23" s="8">
        <v>398.46</v>
      </c>
      <c r="C23" s="31">
        <f t="shared" si="0"/>
        <v>-2.8569299937215575E-3</v>
      </c>
      <c r="D23">
        <v>0.55425948652242563</v>
      </c>
      <c r="E23" s="30">
        <f>_xlfn.NORM.INV(D23,$N$4,$N$5)</f>
        <v>2.1474445271221689E-3</v>
      </c>
      <c r="F23">
        <f t="shared" si="1"/>
        <v>381.39647136513412</v>
      </c>
      <c r="I23">
        <v>1</v>
      </c>
      <c r="J23">
        <v>0</v>
      </c>
    </row>
    <row r="24" spans="1:10">
      <c r="A24" s="4">
        <v>46071</v>
      </c>
      <c r="B24" s="5">
        <v>399.6</v>
      </c>
      <c r="C24" s="31">
        <f t="shared" si="0"/>
        <v>6.8804731172926736E-3</v>
      </c>
      <c r="D24">
        <v>0.33671199395534523</v>
      </c>
      <c r="E24" s="30">
        <f>_xlfn.NORM.INV(D24,$N$4,$N$5)</f>
        <v>-7.1089135267697282E-3</v>
      </c>
      <c r="F24">
        <f t="shared" si="1"/>
        <v>378.69477128480412</v>
      </c>
    </row>
    <row r="25" spans="1:10">
      <c r="A25" s="7">
        <v>46070</v>
      </c>
      <c r="B25" s="8">
        <v>396.86</v>
      </c>
      <c r="C25" s="31">
        <f t="shared" si="0"/>
        <v>-1.117554040030555E-2</v>
      </c>
      <c r="D25">
        <v>0.40879237457004647</v>
      </c>
      <c r="E25" s="30">
        <f>_xlfn.NORM.INV(D25,$N$4,$N$5)</f>
        <v>-3.9431621407336678E-3</v>
      </c>
      <c r="F25">
        <f t="shared" si="1"/>
        <v>377.20445660700381</v>
      </c>
    </row>
    <row r="26" spans="1:10">
      <c r="A26" s="4">
        <v>46066</v>
      </c>
      <c r="B26" s="5">
        <v>401.32</v>
      </c>
      <c r="C26" s="31">
        <f t="shared" si="0"/>
        <v>-1.2948853843779418E-3</v>
      </c>
      <c r="D26">
        <v>0.34754340299785746</v>
      </c>
      <c r="E26" s="30">
        <f>_xlfn.NORM.INV(D26,$N$4,$N$5)</f>
        <v>-6.6195823593294782E-3</v>
      </c>
      <c r="F26">
        <f t="shared" si="1"/>
        <v>374.71576677147903</v>
      </c>
    </row>
    <row r="27" spans="1:10">
      <c r="A27" s="7">
        <v>46065</v>
      </c>
      <c r="B27" s="8">
        <v>401.84</v>
      </c>
      <c r="C27" s="31">
        <f t="shared" si="0"/>
        <v>-6.2763009764985611E-3</v>
      </c>
      <c r="D27">
        <v>0.65321172045505149</v>
      </c>
      <c r="E27" s="30">
        <f>_xlfn.NORM.INV(D27,$N$4,$N$5)</f>
        <v>6.4211160006471223E-3</v>
      </c>
      <c r="F27">
        <f t="shared" si="1"/>
        <v>377.12960164036429</v>
      </c>
    </row>
    <row r="28" spans="1:10">
      <c r="A28" s="4">
        <v>46064</v>
      </c>
      <c r="B28" s="5">
        <v>404.37</v>
      </c>
      <c r="C28" s="31">
        <f t="shared" si="0"/>
        <v>-2.1770831965960191E-2</v>
      </c>
      <c r="D28">
        <v>0.16039885225224237</v>
      </c>
      <c r="E28" s="30">
        <f>_xlfn.NORM.INV(D28,$N$4,$N$5)</f>
        <v>-1.6588973819557734E-2</v>
      </c>
      <c r="F28">
        <f t="shared" si="1"/>
        <v>370.92501470541708</v>
      </c>
    </row>
    <row r="29" spans="1:10">
      <c r="A29" s="7">
        <v>46063</v>
      </c>
      <c r="B29" s="8">
        <v>413.27</v>
      </c>
      <c r="C29" s="31">
        <f t="shared" si="0"/>
        <v>-7.9819080997101111E-4</v>
      </c>
      <c r="D29">
        <v>0.94022938663017241</v>
      </c>
      <c r="E29" s="30">
        <f>_xlfn.NORM.INV(D29,$N$4,$N$5)</f>
        <v>2.5712461864647207E-2</v>
      </c>
      <c r="F29">
        <f t="shared" si="1"/>
        <v>380.58608265814428</v>
      </c>
    </row>
    <row r="30" spans="1:10">
      <c r="A30" s="4">
        <v>46062</v>
      </c>
      <c r="B30" s="5">
        <v>413.6</v>
      </c>
      <c r="C30" s="31">
        <f t="shared" si="0"/>
        <v>3.0588829636318593E-2</v>
      </c>
      <c r="D30">
        <v>0.14835715761768553</v>
      </c>
      <c r="E30" s="30">
        <f>_xlfn.NORM.INV(D30,$N$4,$N$5)</f>
        <v>-1.7429940875868324E-2</v>
      </c>
      <c r="F30">
        <f t="shared" si="1"/>
        <v>374.00996687988237</v>
      </c>
    </row>
    <row r="31" spans="1:10">
      <c r="A31" s="7">
        <v>46059</v>
      </c>
      <c r="B31" s="8">
        <v>401.14</v>
      </c>
      <c r="C31" s="31">
        <f t="shared" si="0"/>
        <v>1.8797498663988499E-2</v>
      </c>
      <c r="D31">
        <v>0.96422872189387332</v>
      </c>
      <c r="E31" s="30">
        <f>_xlfn.NORM.INV(D31,$N$4,$N$5)</f>
        <v>2.9782722338856135E-2</v>
      </c>
      <c r="F31">
        <f t="shared" si="1"/>
        <v>385.31653634338767</v>
      </c>
    </row>
    <row r="32" spans="1:10">
      <c r="A32" s="4">
        <v>46058</v>
      </c>
      <c r="B32" s="5">
        <v>393.67</v>
      </c>
      <c r="C32" s="31">
        <f t="shared" si="0"/>
        <v>-5.0811810850003525E-2</v>
      </c>
      <c r="D32">
        <v>0.48386489241143393</v>
      </c>
      <c r="E32" s="30">
        <f>_xlfn.NORM.INV(D32,$N$4,$N$5)</f>
        <v>-7.8743453134355113E-4</v>
      </c>
      <c r="F32">
        <f t="shared" si="1"/>
        <v>385.0132442241885</v>
      </c>
    </row>
    <row r="33" spans="1:10">
      <c r="A33" s="7">
        <v>46057</v>
      </c>
      <c r="B33" s="8">
        <v>414.19</v>
      </c>
      <c r="C33" s="31">
        <f t="shared" si="0"/>
        <v>7.2207728325164311E-3</v>
      </c>
      <c r="D33">
        <v>0.37075562650366445</v>
      </c>
      <c r="E33" s="30">
        <f>_xlfn.NORM.INV(D33,$N$4,$N$5)</f>
        <v>-5.5890823824920177E-3</v>
      </c>
      <c r="F33">
        <f t="shared" si="1"/>
        <v>382.86737578762796</v>
      </c>
    </row>
    <row r="34" spans="1:10">
      <c r="A34" s="4">
        <v>46056</v>
      </c>
      <c r="B34" s="5">
        <v>411.21</v>
      </c>
      <c r="C34" s="31">
        <f t="shared" si="0"/>
        <v>-2.9142468295565216E-2</v>
      </c>
      <c r="D34">
        <v>0.99760504165145791</v>
      </c>
      <c r="E34" s="30">
        <f>_xlfn.NORM.INV(D34,$N$4,$N$5)</f>
        <v>4.6686801319848606E-2</v>
      </c>
      <c r="F34">
        <f t="shared" si="1"/>
        <v>401.16605876352958</v>
      </c>
    </row>
    <row r="35" spans="1:10">
      <c r="A35" s="7">
        <v>46055</v>
      </c>
      <c r="B35" s="8">
        <v>423.37</v>
      </c>
      <c r="C35" s="31">
        <f t="shared" si="0"/>
        <v>-1.621289876726717E-2</v>
      </c>
      <c r="D35">
        <v>0.68043913880566853</v>
      </c>
      <c r="E35" s="30">
        <f>_xlfn.NORM.INV(D35,$N$4,$N$5)</f>
        <v>7.6641993914040281E-3</v>
      </c>
      <c r="F35">
        <f t="shared" si="1"/>
        <v>404.25248782277248</v>
      </c>
    </row>
    <row r="36" spans="1:10">
      <c r="A36" s="4">
        <v>46052</v>
      </c>
      <c r="B36" s="5">
        <v>430.29</v>
      </c>
      <c r="C36" s="31">
        <f t="shared" si="0"/>
        <v>-7.4323962463651583E-3</v>
      </c>
      <c r="D36">
        <v>0.31656045551713707</v>
      </c>
      <c r="E36" s="30">
        <f>_xlfn.NORM.INV(D36,$N$4,$N$5)</f>
        <v>-8.0361573525901866E-3</v>
      </c>
      <c r="F36">
        <f t="shared" si="1"/>
        <v>401.01686960198299</v>
      </c>
    </row>
    <row r="37" spans="1:10">
      <c r="A37" s="7">
        <v>46051</v>
      </c>
      <c r="B37" s="8">
        <v>433.5</v>
      </c>
      <c r="C37" s="31">
        <f t="shared" si="0"/>
        <v>-0.10528438819272967</v>
      </c>
      <c r="D37">
        <v>0.20758573151197868</v>
      </c>
      <c r="E37" s="30">
        <f>_xlfn.NORM.INV(D37,$N$4,$N$5)</f>
        <v>-1.3635727650944948E-2</v>
      </c>
      <c r="F37">
        <f t="shared" si="1"/>
        <v>395.58582505742811</v>
      </c>
    </row>
    <row r="38" spans="1:10">
      <c r="A38" s="4">
        <v>46050</v>
      </c>
      <c r="B38" s="5">
        <v>481.63</v>
      </c>
      <c r="C38" s="31">
        <f t="shared" si="0"/>
        <v>2.1824766252276362E-3</v>
      </c>
      <c r="D38">
        <v>7.7939405538776096E-3</v>
      </c>
      <c r="E38" s="30">
        <f>_xlfn.NORM.INV(D38,$N$4,$N$5)</f>
        <v>-4.0242472957212706E-2</v>
      </c>
      <c r="F38">
        <f t="shared" si="1"/>
        <v>379.98253633317637</v>
      </c>
    </row>
    <row r="39" spans="1:10">
      <c r="A39" s="7">
        <v>46049</v>
      </c>
      <c r="B39" s="8">
        <v>480.58</v>
      </c>
      <c r="C39" s="31">
        <f t="shared" si="0"/>
        <v>2.1665445788558557E-2</v>
      </c>
      <c r="D39">
        <v>0.92602100126636877</v>
      </c>
      <c r="E39" s="30">
        <f>_xlfn.NORM.INV(D39,$N$4,$N$5)</f>
        <v>2.3888676993924777E-2</v>
      </c>
      <c r="F39">
        <f t="shared" si="1"/>
        <v>389.16910704718657</v>
      </c>
    </row>
    <row r="40" spans="1:10">
      <c r="A40" s="4">
        <v>46048</v>
      </c>
      <c r="B40" s="5">
        <v>470.28</v>
      </c>
      <c r="C40" s="31">
        <f t="shared" si="0"/>
        <v>9.249929767875642E-3</v>
      </c>
      <c r="D40">
        <v>0.3659275344624886</v>
      </c>
      <c r="E40" s="30">
        <f>_xlfn.NORM.INV(D40,$N$4,$N$5)</f>
        <v>-5.8015617858696222E-3</v>
      </c>
      <c r="F40">
        <f t="shared" si="1"/>
        <v>386.91785513045113</v>
      </c>
    </row>
    <row r="41" spans="1:10">
      <c r="A41" s="7">
        <v>46045</v>
      </c>
      <c r="B41" s="8">
        <v>465.95</v>
      </c>
      <c r="C41" s="31">
        <f t="shared" si="0"/>
        <v>3.2300619613674364E-2</v>
      </c>
      <c r="D41">
        <v>0.68614661790339426</v>
      </c>
      <c r="E41" s="30">
        <f>_xlfn.NORM.INV(D41,$N$4,$N$5)</f>
        <v>7.9301674566813751E-3</v>
      </c>
      <c r="F41">
        <f t="shared" si="1"/>
        <v>389.99837689648814</v>
      </c>
    </row>
    <row r="42" spans="1:10">
      <c r="A42" s="4">
        <v>46044</v>
      </c>
      <c r="B42" s="5">
        <v>451.14</v>
      </c>
      <c r="C42" s="31">
        <f t="shared" si="0"/>
        <v>1.5705433122422896E-2</v>
      </c>
      <c r="D42">
        <v>0.54490972453453346</v>
      </c>
      <c r="E42" s="30">
        <f>_xlfn.NORM.INV(D42,$N$4,$N$5)</f>
        <v>1.7555500696148398E-3</v>
      </c>
      <c r="F42">
        <f t="shared" si="1"/>
        <v>390.68363990496368</v>
      </c>
    </row>
    <row r="43" spans="1:10">
      <c r="A43" s="7">
        <v>46043</v>
      </c>
      <c r="B43" s="8">
        <v>444.11</v>
      </c>
      <c r="C43" s="31">
        <f t="shared" si="0"/>
        <v>-2.316963755424073E-2</v>
      </c>
      <c r="D43">
        <v>0.13856347385085455</v>
      </c>
      <c r="E43" s="30">
        <f>_xlfn.NORM.INV(D43,$N$4,$N$5)</f>
        <v>-1.8148216811746994E-2</v>
      </c>
      <c r="F43">
        <f t="shared" si="1"/>
        <v>383.65737840678338</v>
      </c>
    </row>
    <row r="44" spans="1:10">
      <c r="A44" s="4">
        <v>46042</v>
      </c>
      <c r="B44" s="5">
        <v>454.52</v>
      </c>
      <c r="C44" s="31">
        <f t="shared" si="0"/>
        <v>-1.1680178284046328E-2</v>
      </c>
      <c r="D44">
        <v>0.71992237462546604</v>
      </c>
      <c r="E44" s="30">
        <f>_xlfn.NORM.INV(D44,$N$4,$N$5)</f>
        <v>9.5504304030094196E-3</v>
      </c>
      <c r="F44">
        <f t="shared" si="1"/>
        <v>387.33902416489462</v>
      </c>
    </row>
    <row r="45" spans="1:10">
      <c r="A45" s="7">
        <v>46038</v>
      </c>
      <c r="B45" s="8">
        <v>459.86</v>
      </c>
      <c r="C45" s="31">
        <f t="shared" si="0"/>
        <v>6.9829638264993221E-3</v>
      </c>
      <c r="D45">
        <v>0.62829331894357465</v>
      </c>
      <c r="E45" s="30">
        <f>_xlfn.NORM.INV(D45,$N$4,$N$5)</f>
        <v>5.3149412377038446E-3</v>
      </c>
      <c r="F45">
        <f t="shared" si="1"/>
        <v>389.40318891543285</v>
      </c>
    </row>
    <row r="46" spans="1:10">
      <c r="A46" s="4">
        <v>46037</v>
      </c>
      <c r="B46" s="5">
        <v>456.66</v>
      </c>
      <c r="C46" s="31">
        <f t="shared" si="0"/>
        <v>-5.9386227542530534E-3</v>
      </c>
      <c r="D46">
        <v>0.80856504746203739</v>
      </c>
      <c r="E46" s="30">
        <f>_xlfn.NORM.INV(D46,$N$4,$N$5)</f>
        <v>1.4362244405289916E-2</v>
      </c>
      <c r="F46">
        <f t="shared" si="1"/>
        <v>395.03624754003494</v>
      </c>
      <c r="I46" t="s">
        <v>30</v>
      </c>
      <c r="J46" s="34">
        <f>KURT(C2:C250)</f>
        <v>11.611243351807875</v>
      </c>
    </row>
    <row r="47" spans="1:10">
      <c r="A47" s="7">
        <v>46036</v>
      </c>
      <c r="B47" s="8">
        <v>459.38</v>
      </c>
      <c r="C47" s="31">
        <f t="shared" si="0"/>
        <v>-2.4279457251365599E-2</v>
      </c>
      <c r="D47">
        <v>0.28318355305050025</v>
      </c>
      <c r="E47" s="30">
        <f>_xlfn.NORM.INV(D47,$N$4,$N$5)</f>
        <v>-9.6301628128991051E-3</v>
      </c>
      <c r="F47">
        <f t="shared" si="1"/>
        <v>391.25024333713833</v>
      </c>
    </row>
    <row r="48" spans="1:10">
      <c r="A48" s="4">
        <v>46035</v>
      </c>
      <c r="B48" s="5">
        <v>470.67</v>
      </c>
      <c r="C48" s="31">
        <f t="shared" si="0"/>
        <v>-1.3736566684125151E-2</v>
      </c>
      <c r="D48">
        <v>0.98087796489512646</v>
      </c>
      <c r="E48" s="30">
        <f>_xlfn.NORM.INV(D48,$N$4,$N$5)</f>
        <v>3.4266040114982153E-2</v>
      </c>
      <c r="F48">
        <f t="shared" si="1"/>
        <v>404.88918157243461</v>
      </c>
    </row>
    <row r="49" spans="1:6">
      <c r="A49" s="7">
        <v>46034</v>
      </c>
      <c r="B49" s="8">
        <v>477.18</v>
      </c>
      <c r="C49" s="31">
        <f t="shared" si="0"/>
        <v>-4.3911995785705926E-3</v>
      </c>
      <c r="D49">
        <v>0.89999192899573854</v>
      </c>
      <c r="E49" s="30">
        <f>_xlfn.NORM.INV(D49,$N$4,$N$5)</f>
        <v>2.114642625654618E-2</v>
      </c>
      <c r="F49">
        <f t="shared" si="1"/>
        <v>413.54230971048463</v>
      </c>
    </row>
    <row r="50" spans="1:6">
      <c r="A50" s="4">
        <v>46031</v>
      </c>
      <c r="B50" s="5">
        <v>479.28</v>
      </c>
      <c r="C50" s="31">
        <f t="shared" si="0"/>
        <v>2.4441462360176303E-3</v>
      </c>
      <c r="D50">
        <v>0.35710562191155981</v>
      </c>
      <c r="E50" s="30">
        <f>_xlfn.NORM.INV(D50,$N$4,$N$5)</f>
        <v>-6.1922554346720707E-3</v>
      </c>
      <c r="F50">
        <f t="shared" si="1"/>
        <v>410.98946219486362</v>
      </c>
    </row>
    <row r="51" spans="1:6">
      <c r="A51" s="7">
        <v>46030</v>
      </c>
      <c r="B51" s="8">
        <v>478.11</v>
      </c>
      <c r="C51" s="31">
        <f t="shared" si="0"/>
        <v>-1.1148433858863882E-2</v>
      </c>
      <c r="D51">
        <v>0.44777100350155041</v>
      </c>
      <c r="E51" s="30">
        <f>_xlfn.NORM.INV(D51,$N$4,$N$5)</f>
        <v>-2.2946297616449601E-3</v>
      </c>
      <c r="F51">
        <f t="shared" si="1"/>
        <v>410.04747471276715</v>
      </c>
    </row>
    <row r="52" spans="1:6">
      <c r="A52" s="4">
        <v>46029</v>
      </c>
      <c r="B52" s="5">
        <v>483.47</v>
      </c>
      <c r="C52" s="31">
        <f t="shared" si="0"/>
        <v>1.0312156082291857E-2</v>
      </c>
      <c r="D52">
        <v>0.64365022269791228</v>
      </c>
      <c r="E52" s="30">
        <f>_xlfn.NORM.INV(D52,$N$4,$N$5)</f>
        <v>5.9934905399045835E-3</v>
      </c>
      <c r="F52">
        <f t="shared" si="1"/>
        <v>412.51246995726507</v>
      </c>
    </row>
    <row r="53" spans="1:6">
      <c r="A53" s="7">
        <v>46028</v>
      </c>
      <c r="B53" s="8">
        <v>478.51</v>
      </c>
      <c r="C53" s="31">
        <f t="shared" si="0"/>
        <v>1.1898895854702829E-2</v>
      </c>
      <c r="D53">
        <v>0.98840440910368754</v>
      </c>
      <c r="E53" s="30">
        <f>_xlfn.NORM.INV(D53,$N$4,$N$5)</f>
        <v>3.7551921282643237E-2</v>
      </c>
      <c r="F53">
        <f t="shared" si="1"/>
        <v>428.29763244062133</v>
      </c>
    </row>
    <row r="54" spans="1:6">
      <c r="A54" s="4">
        <v>46027</v>
      </c>
      <c r="B54" s="5">
        <v>472.85</v>
      </c>
      <c r="C54" s="31">
        <f t="shared" si="0"/>
        <v>-1.9031708999150965E-4</v>
      </c>
      <c r="D54">
        <v>0.85083284648318158</v>
      </c>
      <c r="E54" s="30">
        <f>_xlfn.NORM.INV(D54,$N$4,$N$5)</f>
        <v>1.7139587680933731E-2</v>
      </c>
      <c r="F54">
        <f t="shared" si="1"/>
        <v>435.70174775193482</v>
      </c>
    </row>
    <row r="55" spans="1:6">
      <c r="A55" s="7">
        <v>46024</v>
      </c>
      <c r="B55" s="8">
        <v>472.94</v>
      </c>
      <c r="C55" s="31">
        <f t="shared" si="0"/>
        <v>-2.2330943826937677E-2</v>
      </c>
      <c r="D55">
        <v>0.61388901420511033</v>
      </c>
      <c r="E55" s="30">
        <f>_xlfn.NORM.INV(D55,$N$4,$N$5)</f>
        <v>4.6866580210724795E-3</v>
      </c>
      <c r="F55">
        <f t="shared" si="1"/>
        <v>437.74852536978756</v>
      </c>
    </row>
    <row r="56" spans="1:6">
      <c r="A56" s="4">
        <v>46022</v>
      </c>
      <c r="B56" s="5">
        <v>483.62</v>
      </c>
      <c r="C56" s="31">
        <f t="shared" si="0"/>
        <v>-7.9497895768509963E-3</v>
      </c>
      <c r="D56">
        <v>0.11442962346952046</v>
      </c>
      <c r="E56" s="30">
        <f>_xlfn.NORM.INV(D56,$N$4,$N$5)</f>
        <v>-2.0081282390656791E-2</v>
      </c>
      <c r="F56">
        <f t="shared" si="1"/>
        <v>429.04564853608679</v>
      </c>
    </row>
    <row r="57" spans="1:6">
      <c r="A57" s="7">
        <v>46021</v>
      </c>
      <c r="B57" s="8">
        <v>487.48</v>
      </c>
      <c r="C57" s="31">
        <f t="shared" si="0"/>
        <v>7.7982314280422571E-4</v>
      </c>
      <c r="D57">
        <v>0.72967982985106405</v>
      </c>
      <c r="E57" s="30">
        <f>_xlfn.NORM.INV(D57,$N$4,$N$5)</f>
        <v>1.0035478856027128E-2</v>
      </c>
      <c r="F57">
        <f t="shared" si="1"/>
        <v>433.37300429628448</v>
      </c>
    </row>
    <row r="58" spans="1:6">
      <c r="A58" s="4">
        <v>46020</v>
      </c>
      <c r="B58" s="5">
        <v>487.1</v>
      </c>
      <c r="C58" s="31">
        <f t="shared" si="0"/>
        <v>-1.2515261017451706E-3</v>
      </c>
      <c r="D58">
        <v>0.86213580875192941</v>
      </c>
      <c r="E58" s="30">
        <f>_xlfn.NORM.INV(D58,$N$4,$N$5)</f>
        <v>1.7968409359306572E-2</v>
      </c>
      <c r="F58">
        <f t="shared" si="1"/>
        <v>441.23040896980967</v>
      </c>
    </row>
    <row r="59" spans="1:6">
      <c r="A59" s="7">
        <v>46017</v>
      </c>
      <c r="B59" s="8">
        <v>487.71</v>
      </c>
      <c r="C59" s="31">
        <f t="shared" si="0"/>
        <v>-6.3542170565700218E-4</v>
      </c>
      <c r="D59">
        <v>0.57492461572892917</v>
      </c>
      <c r="E59" s="30">
        <f>_xlfn.NORM.INV(D59,$N$4,$N$5)</f>
        <v>3.0184473596515772E-3</v>
      </c>
      <c r="F59">
        <f t="shared" si="1"/>
        <v>442.56425178720508</v>
      </c>
    </row>
    <row r="60" spans="1:6">
      <c r="A60" s="4">
        <v>46015</v>
      </c>
      <c r="B60" s="5">
        <v>488.02</v>
      </c>
      <c r="C60" s="31">
        <f t="shared" si="0"/>
        <v>2.4003211951342251E-3</v>
      </c>
      <c r="D60">
        <v>0.57982997225101574</v>
      </c>
      <c r="E60" s="30">
        <f>_xlfn.NORM.INV(D60,$N$4,$N$5)</f>
        <v>3.2263848961143816E-3</v>
      </c>
      <c r="F60">
        <f t="shared" si="1"/>
        <v>443.9944403334577</v>
      </c>
    </row>
    <row r="61" spans="1:6">
      <c r="A61" s="7">
        <v>46014</v>
      </c>
      <c r="B61" s="8">
        <v>486.85</v>
      </c>
      <c r="C61" s="31">
        <f t="shared" si="0"/>
        <v>3.9721385463824532E-3</v>
      </c>
      <c r="D61">
        <v>0.28170975528068598</v>
      </c>
      <c r="E61" s="30">
        <f>_xlfn.NORM.INV(D61,$N$4,$N$5)</f>
        <v>-9.7025007454753925E-3</v>
      </c>
      <c r="F61">
        <f t="shared" si="1"/>
        <v>439.70741500946878</v>
      </c>
    </row>
    <row r="62" spans="1:6">
      <c r="A62" s="4">
        <v>46013</v>
      </c>
      <c r="B62" s="5">
        <v>484.92</v>
      </c>
      <c r="C62" s="31">
        <f t="shared" si="0"/>
        <v>-2.060072419055814E-3</v>
      </c>
      <c r="D62">
        <v>0.7829334794817141</v>
      </c>
      <c r="E62" s="30">
        <f>_xlfn.NORM.INV(D62,$N$4,$N$5)</f>
        <v>1.2860977620201408E-2</v>
      </c>
      <c r="F62">
        <f t="shared" si="1"/>
        <v>445.39900347820657</v>
      </c>
    </row>
    <row r="63" spans="1:6">
      <c r="A63" s="7">
        <v>46010</v>
      </c>
      <c r="B63" s="8">
        <v>485.92</v>
      </c>
      <c r="C63" s="31">
        <f t="shared" si="0"/>
        <v>4.0004177486467896E-3</v>
      </c>
      <c r="D63">
        <v>0.52085848464558437</v>
      </c>
      <c r="E63" s="30">
        <f>_xlfn.NORM.INV(D63,$N$4,$N$5)</f>
        <v>7.5169824214367444E-4</v>
      </c>
      <c r="F63">
        <f t="shared" si="1"/>
        <v>445.73393499411844</v>
      </c>
    </row>
    <row r="64" spans="1:6">
      <c r="A64" s="4">
        <v>46009</v>
      </c>
      <c r="B64" s="5">
        <v>483.98</v>
      </c>
      <c r="C64" s="31">
        <f t="shared" si="0"/>
        <v>1.6373660249112909E-2</v>
      </c>
      <c r="D64">
        <v>0.41411032105935708</v>
      </c>
      <c r="E64" s="30">
        <f>_xlfn.NORM.INV(D64,$N$4,$N$5)</f>
        <v>-3.7163786899246177E-3</v>
      </c>
      <c r="F64">
        <f t="shared" si="1"/>
        <v>444.08049320767827</v>
      </c>
    </row>
    <row r="65" spans="1:6">
      <c r="A65" s="7">
        <v>46008</v>
      </c>
      <c r="B65" s="8">
        <v>476.12</v>
      </c>
      <c r="C65" s="31">
        <f t="shared" si="0"/>
        <v>-5.6692319709306105E-4</v>
      </c>
      <c r="D65">
        <v>0.31918254199500851</v>
      </c>
      <c r="E65" s="30">
        <f>_xlfn.NORM.INV(D65,$N$4,$N$5)</f>
        <v>-7.9141594611228661E-3</v>
      </c>
      <c r="F65">
        <f t="shared" si="1"/>
        <v>440.57984000630245</v>
      </c>
    </row>
    <row r="66" spans="1:6">
      <c r="A66" s="4">
        <v>46007</v>
      </c>
      <c r="B66" s="5">
        <v>476.39</v>
      </c>
      <c r="C66" s="31">
        <f t="shared" ref="C66:C129" si="2">LN(B66)-LN(B67)</f>
        <v>3.3010616492497036E-3</v>
      </c>
      <c r="D66">
        <v>0.22451959434546298</v>
      </c>
      <c r="E66" s="30">
        <f>_xlfn.NORM.INV(D66,$N$4,$N$5)</f>
        <v>-1.2676566451516767E-2</v>
      </c>
      <c r="F66">
        <f t="shared" si="1"/>
        <v>435.03005084140528</v>
      </c>
    </row>
    <row r="67" spans="1:6">
      <c r="A67" s="7">
        <v>46006</v>
      </c>
      <c r="B67" s="8">
        <v>474.82</v>
      </c>
      <c r="C67" s="31">
        <f t="shared" si="2"/>
        <v>-7.7831200049445215E-3</v>
      </c>
      <c r="D67">
        <v>0.49860838267131724</v>
      </c>
      <c r="E67" s="30">
        <f>_xlfn.NORM.INV(D67,$N$4,$N$5)</f>
        <v>-1.7407358197472488E-4</v>
      </c>
      <c r="F67">
        <f t="shared" si="1"/>
        <v>434.95433019286213</v>
      </c>
    </row>
    <row r="68" spans="1:6">
      <c r="A68" s="4">
        <v>46003</v>
      </c>
      <c r="B68" s="5">
        <v>478.53</v>
      </c>
      <c r="C68" s="31">
        <f t="shared" si="2"/>
        <v>-1.027036054604924E-2</v>
      </c>
      <c r="D68">
        <v>0.37458819748811911</v>
      </c>
      <c r="E68" s="30">
        <f>_xlfn.NORM.INV(D68,$N$4,$N$5)</f>
        <v>-5.4210532607980172E-3</v>
      </c>
      <c r="F68">
        <f t="shared" ref="F68:F131" si="3">F67*EXP(E68)</f>
        <v>432.60279924897839</v>
      </c>
    </row>
    <row r="69" spans="1:6">
      <c r="A69" s="7">
        <v>46002</v>
      </c>
      <c r="B69" s="8">
        <v>483.47</v>
      </c>
      <c r="C69" s="31">
        <f t="shared" si="2"/>
        <v>1.0207670516877876E-2</v>
      </c>
      <c r="D69">
        <v>0.92755532196193657</v>
      </c>
      <c r="E69" s="30">
        <f>_xlfn.NORM.INV(D69,$N$4,$N$5)</f>
        <v>2.4071867559599135E-2</v>
      </c>
      <c r="F69">
        <f t="shared" si="3"/>
        <v>443.14270520350925</v>
      </c>
    </row>
    <row r="70" spans="1:6">
      <c r="A70" s="4">
        <v>46001</v>
      </c>
      <c r="B70" s="5">
        <v>478.56</v>
      </c>
      <c r="C70" s="31">
        <f t="shared" si="2"/>
        <v>-2.7737771190968985E-2</v>
      </c>
      <c r="D70">
        <v>0.11635664900805442</v>
      </c>
      <c r="E70" s="30">
        <f>_xlfn.NORM.INV(D70,$N$4,$N$5)</f>
        <v>-1.9916956501474251E-2</v>
      </c>
      <c r="F70">
        <f t="shared" si="3"/>
        <v>434.40396465321282</v>
      </c>
    </row>
    <row r="71" spans="1:6">
      <c r="A71" s="7">
        <v>46000</v>
      </c>
      <c r="B71" s="8">
        <v>492.02</v>
      </c>
      <c r="C71" s="31">
        <f t="shared" si="2"/>
        <v>2.0345059101050111E-3</v>
      </c>
      <c r="D71">
        <v>0.78807149077924055</v>
      </c>
      <c r="E71" s="30">
        <f>_xlfn.NORM.INV(D71,$N$4,$N$5)</f>
        <v>1.3153143039811539E-2</v>
      </c>
      <c r="F71">
        <f t="shared" si="3"/>
        <v>440.15548449898751</v>
      </c>
    </row>
    <row r="72" spans="1:6">
      <c r="A72" s="4">
        <v>45999</v>
      </c>
      <c r="B72" s="5">
        <v>491.02</v>
      </c>
      <c r="C72" s="31">
        <f t="shared" si="2"/>
        <v>1.6136998425424487E-2</v>
      </c>
      <c r="D72">
        <v>5.5516212672344967E-2</v>
      </c>
      <c r="E72" s="30">
        <f>_xlfn.NORM.INV(D72,$N$4,$N$5)</f>
        <v>-2.6556559876666549E-2</v>
      </c>
      <c r="F72">
        <f t="shared" si="3"/>
        <v>428.62031416511985</v>
      </c>
    </row>
    <row r="73" spans="1:6">
      <c r="A73" s="7">
        <v>45996</v>
      </c>
      <c r="B73" s="8">
        <v>483.16</v>
      </c>
      <c r="C73" s="31">
        <f t="shared" si="2"/>
        <v>4.8132873010242605E-3</v>
      </c>
      <c r="D73">
        <v>0.8723685969137791</v>
      </c>
      <c r="E73" s="30">
        <f>_xlfn.NORM.INV(D73,$N$4,$N$5)</f>
        <v>1.8759740785810004E-2</v>
      </c>
      <c r="F73">
        <f t="shared" si="3"/>
        <v>436.73701572329253</v>
      </c>
    </row>
    <row r="74" spans="1:6">
      <c r="A74" s="4">
        <v>45995</v>
      </c>
      <c r="B74" s="5">
        <v>480.84</v>
      </c>
      <c r="C74" s="31">
        <f t="shared" si="2"/>
        <v>6.4888550909518727E-3</v>
      </c>
      <c r="D74">
        <v>0.91365269676699856</v>
      </c>
      <c r="E74" s="30">
        <f>_xlfn.NORM.INV(D74,$N$4,$N$5)</f>
        <v>2.2508470646391325E-2</v>
      </c>
      <c r="F74">
        <f t="shared" si="3"/>
        <v>446.67876507879879</v>
      </c>
    </row>
    <row r="75" spans="1:6">
      <c r="A75" s="7">
        <v>45994</v>
      </c>
      <c r="B75" s="8">
        <v>477.73</v>
      </c>
      <c r="C75" s="31">
        <f t="shared" si="2"/>
        <v>-2.5359671759570546E-2</v>
      </c>
      <c r="D75">
        <v>0.94431518715579277</v>
      </c>
      <c r="E75" s="30">
        <f>_xlfn.NORM.INV(D75,$N$4,$N$5)</f>
        <v>2.6299234683405809E-2</v>
      </c>
      <c r="F75">
        <f t="shared" si="3"/>
        <v>458.58191049773916</v>
      </c>
    </row>
    <row r="76" spans="1:6">
      <c r="A76" s="4">
        <v>45993</v>
      </c>
      <c r="B76" s="5">
        <v>490</v>
      </c>
      <c r="C76" s="31">
        <f t="shared" si="2"/>
        <v>6.6752914907262095E-3</v>
      </c>
      <c r="D76">
        <v>0.17889371045920577</v>
      </c>
      <c r="E76" s="30">
        <f>_xlfn.NORM.INV(D76,$N$4,$N$5)</f>
        <v>-1.5373937542617084E-2</v>
      </c>
      <c r="F76">
        <f t="shared" si="3"/>
        <v>451.58561892430112</v>
      </c>
    </row>
    <row r="77" spans="1:6">
      <c r="A77" s="7">
        <v>45992</v>
      </c>
      <c r="B77" s="8">
        <v>486.74</v>
      </c>
      <c r="C77" s="31">
        <f t="shared" si="2"/>
        <v>-1.0768941875060278E-2</v>
      </c>
      <c r="D77">
        <v>0.89042790315840226</v>
      </c>
      <c r="E77" s="30">
        <f>_xlfn.NORM.INV(D77,$N$4,$N$5)</f>
        <v>2.0272055533642336E-2</v>
      </c>
      <c r="F77">
        <f t="shared" si="3"/>
        <v>460.83360884418624</v>
      </c>
    </row>
    <row r="78" spans="1:6">
      <c r="A78" s="4">
        <v>45989</v>
      </c>
      <c r="B78" s="5">
        <v>492.01</v>
      </c>
      <c r="C78" s="31">
        <f t="shared" si="2"/>
        <v>1.3319753757626174E-2</v>
      </c>
      <c r="D78">
        <v>0.31356537631254044</v>
      </c>
      <c r="E78" s="30">
        <f>_xlfn.NORM.INV(D78,$N$4,$N$5)</f>
        <v>-8.1760357890103743E-3</v>
      </c>
      <c r="F78">
        <f t="shared" si="3"/>
        <v>457.0811776746491</v>
      </c>
    </row>
    <row r="79" spans="1:6">
      <c r="A79" s="7">
        <v>45987</v>
      </c>
      <c r="B79" s="8">
        <v>485.5</v>
      </c>
      <c r="C79" s="31">
        <f t="shared" si="2"/>
        <v>1.7683761423381128E-2</v>
      </c>
      <c r="D79">
        <v>0.87061369134771793</v>
      </c>
      <c r="E79" s="30">
        <f>_xlfn.NORM.INV(D79,$N$4,$N$5)</f>
        <v>1.8620993511697558E-2</v>
      </c>
      <c r="F79">
        <f t="shared" si="3"/>
        <v>465.67222197070333</v>
      </c>
    </row>
    <row r="80" spans="1:6">
      <c r="A80" s="4">
        <v>45986</v>
      </c>
      <c r="B80" s="5">
        <v>476.99</v>
      </c>
      <c r="C80" s="31">
        <f t="shared" si="2"/>
        <v>6.2882046129217883E-3</v>
      </c>
      <c r="D80">
        <v>0.10103099918680747</v>
      </c>
      <c r="E80" s="30">
        <f>_xlfn.NORM.INV(D80,$N$4,$N$5)</f>
        <v>-2.1282474323823141E-2</v>
      </c>
      <c r="F80">
        <f t="shared" si="3"/>
        <v>455.86628231816474</v>
      </c>
    </row>
    <row r="81" spans="1:6">
      <c r="A81" s="7">
        <v>45985</v>
      </c>
      <c r="B81" s="8">
        <v>474</v>
      </c>
      <c r="C81" s="31">
        <f t="shared" si="2"/>
        <v>3.9741311342087471E-3</v>
      </c>
      <c r="D81">
        <v>0.32669264032001566</v>
      </c>
      <c r="E81" s="30">
        <f>_xlfn.NORM.INV(D81,$N$4,$N$5)</f>
        <v>-7.5670298440766092E-3</v>
      </c>
      <c r="F81">
        <f t="shared" si="3"/>
        <v>452.429747135068</v>
      </c>
    </row>
    <row r="82" spans="1:6">
      <c r="A82" s="4">
        <v>45982</v>
      </c>
      <c r="B82" s="5">
        <v>472.12</v>
      </c>
      <c r="C82" s="31">
        <f t="shared" si="2"/>
        <v>-1.3276719139525106E-2</v>
      </c>
      <c r="D82">
        <v>0.4462721751411014</v>
      </c>
      <c r="E82" s="30">
        <f>_xlfn.NORM.INV(D82,$N$4,$N$5)</f>
        <v>-2.3575210560577986E-3</v>
      </c>
      <c r="F82">
        <f t="shared" si="3"/>
        <v>451.3643907732669</v>
      </c>
    </row>
    <row r="83" spans="1:6">
      <c r="A83" s="7">
        <v>45981</v>
      </c>
      <c r="B83" s="8">
        <v>478.43</v>
      </c>
      <c r="C83" s="31">
        <f t="shared" si="2"/>
        <v>-1.8000589599925121E-2</v>
      </c>
      <c r="D83">
        <v>0.72139007450435488</v>
      </c>
      <c r="E83" s="30">
        <f>_xlfn.NORM.INV(D83,$N$4,$N$5)</f>
        <v>9.6228547347967062E-3</v>
      </c>
      <c r="F83">
        <f t="shared" si="3"/>
        <v>455.72876995340221</v>
      </c>
    </row>
    <row r="84" spans="1:6">
      <c r="A84" s="4">
        <v>45980</v>
      </c>
      <c r="B84" s="5">
        <v>487.12</v>
      </c>
      <c r="C84" s="31">
        <f t="shared" si="2"/>
        <v>-1.3599826291892825E-2</v>
      </c>
      <c r="D84">
        <v>0.35876297939960711</v>
      </c>
      <c r="E84" s="30">
        <f>_xlfn.NORM.INV(D84,$N$4,$N$5)</f>
        <v>-6.118605594145652E-3</v>
      </c>
      <c r="F84">
        <f t="shared" si="3"/>
        <v>452.94885861538467</v>
      </c>
    </row>
    <row r="85" spans="1:6">
      <c r="A85" s="7">
        <v>45979</v>
      </c>
      <c r="B85" s="8">
        <v>493.79</v>
      </c>
      <c r="C85" s="31">
        <f t="shared" si="2"/>
        <v>-2.7366680696098378E-2</v>
      </c>
      <c r="D85">
        <v>0.63032748844071251</v>
      </c>
      <c r="E85" s="30">
        <f>_xlfn.NORM.INV(D85,$N$4,$N$5)</f>
        <v>5.4042769937261963E-3</v>
      </c>
      <c r="F85">
        <f t="shared" si="3"/>
        <v>455.40334610261021</v>
      </c>
    </row>
    <row r="86" spans="1:6">
      <c r="A86" s="4">
        <v>45978</v>
      </c>
      <c r="B86" s="5">
        <v>507.49</v>
      </c>
      <c r="C86" s="31">
        <f t="shared" si="2"/>
        <v>-5.2865983374461578E-3</v>
      </c>
      <c r="D86">
        <v>0.46858511389464474</v>
      </c>
      <c r="E86" s="30">
        <f>_xlfn.NORM.INV(D86,$N$4,$N$5)</f>
        <v>-1.4240867930318147E-3</v>
      </c>
      <c r="F86">
        <f t="shared" si="3"/>
        <v>454.75527377706834</v>
      </c>
    </row>
    <row r="87" spans="1:6">
      <c r="A87" s="7">
        <v>45975</v>
      </c>
      <c r="B87" s="8">
        <v>510.18</v>
      </c>
      <c r="C87" s="31">
        <f t="shared" si="2"/>
        <v>1.3597059906317988E-2</v>
      </c>
      <c r="D87">
        <v>0.21895276791089624</v>
      </c>
      <c r="E87" s="30">
        <f>_xlfn.NORM.INV(D87,$N$4,$N$5)</f>
        <v>-1.2987118387878152E-2</v>
      </c>
      <c r="F87">
        <f t="shared" si="3"/>
        <v>448.88749841954944</v>
      </c>
    </row>
    <row r="88" spans="1:6">
      <c r="A88" s="4">
        <v>45974</v>
      </c>
      <c r="B88" s="5">
        <v>503.29</v>
      </c>
      <c r="C88" s="31">
        <f t="shared" si="2"/>
        <v>-1.5476980563366105E-2</v>
      </c>
      <c r="D88">
        <v>0.6928636222296507</v>
      </c>
      <c r="E88" s="30">
        <f>_xlfn.NORM.INV(D88,$N$4,$N$5)</f>
        <v>8.2458565439905221E-3</v>
      </c>
      <c r="F88">
        <f t="shared" si="3"/>
        <v>452.6042632307969</v>
      </c>
    </row>
    <row r="89" spans="1:6">
      <c r="A89" s="7">
        <v>45973</v>
      </c>
      <c r="B89" s="8">
        <v>511.14</v>
      </c>
      <c r="C89" s="31">
        <f t="shared" si="2"/>
        <v>4.8243901302580383E-3</v>
      </c>
      <c r="D89">
        <v>0.49308182827156755</v>
      </c>
      <c r="E89" s="30">
        <f>_xlfn.NORM.INV(D89,$N$4,$N$5)</f>
        <v>-4.0393587977350016E-4</v>
      </c>
      <c r="F89">
        <f t="shared" si="3"/>
        <v>452.42147704897349</v>
      </c>
    </row>
    <row r="90" spans="1:6">
      <c r="A90" s="4">
        <v>45972</v>
      </c>
      <c r="B90" s="5">
        <v>508.68</v>
      </c>
      <c r="C90" s="31">
        <f t="shared" si="2"/>
        <v>5.2824658650800771E-3</v>
      </c>
      <c r="D90">
        <v>0.3221846065054389</v>
      </c>
      <c r="E90" s="30">
        <f>_xlfn.NORM.INV(D90,$N$4,$N$5)</f>
        <v>-7.7749976495823147E-3</v>
      </c>
      <c r="F90">
        <f t="shared" si="3"/>
        <v>448.91754032941185</v>
      </c>
    </row>
    <row r="91" spans="1:6">
      <c r="A91" s="7">
        <v>45971</v>
      </c>
      <c r="B91" s="8">
        <v>506</v>
      </c>
      <c r="C91" s="31">
        <f t="shared" si="2"/>
        <v>1.8308881829560697E-2</v>
      </c>
      <c r="D91">
        <v>0.58467593062929901</v>
      </c>
      <c r="E91" s="30">
        <f>_xlfn.NORM.INV(D91,$N$4,$N$5)</f>
        <v>3.4323212338534131E-3</v>
      </c>
      <c r="F91">
        <f t="shared" si="3"/>
        <v>450.4610168737064</v>
      </c>
    </row>
    <row r="92" spans="1:6">
      <c r="A92" s="4">
        <v>45968</v>
      </c>
      <c r="B92" s="5">
        <v>496.82</v>
      </c>
      <c r="C92" s="31">
        <f t="shared" si="2"/>
        <v>-5.6342564272160445E-4</v>
      </c>
      <c r="D92">
        <v>0.94220447206011093</v>
      </c>
      <c r="E92" s="30">
        <f>_xlfn.NORM.INV(D92,$N$4,$N$5)</f>
        <v>2.5992033764681413E-2</v>
      </c>
      <c r="F92">
        <f t="shared" si="3"/>
        <v>462.32290432075223</v>
      </c>
    </row>
    <row r="93" spans="1:6">
      <c r="A93" s="7">
        <v>45967</v>
      </c>
      <c r="B93" s="8">
        <v>497.1</v>
      </c>
      <c r="C93" s="31">
        <f t="shared" si="2"/>
        <v>-2.0035322559120772E-2</v>
      </c>
      <c r="D93">
        <v>7.8159228869934427E-2</v>
      </c>
      <c r="E93" s="30">
        <f>_xlfn.NORM.INV(D93,$N$4,$N$5)</f>
        <v>-2.3636267493301853E-2</v>
      </c>
      <c r="F93">
        <f t="shared" si="3"/>
        <v>451.52344867298564</v>
      </c>
    </row>
    <row r="94" spans="1:6">
      <c r="A94" s="4">
        <v>45966</v>
      </c>
      <c r="B94" s="5">
        <v>507.16</v>
      </c>
      <c r="C94" s="31">
        <f t="shared" si="2"/>
        <v>-1.4038547132902757E-2</v>
      </c>
      <c r="D94">
        <v>0.37162979087818204</v>
      </c>
      <c r="E94" s="30">
        <f>_xlfn.NORM.INV(D94,$N$4,$N$5)</f>
        <v>-5.5507080956865937E-3</v>
      </c>
      <c r="F94">
        <f t="shared" si="3"/>
        <v>449.02411675909474</v>
      </c>
    </row>
    <row r="95" spans="1:6">
      <c r="A95" s="7">
        <v>45965</v>
      </c>
      <c r="B95" s="8">
        <v>514.33000000000004</v>
      </c>
      <c r="C95" s="31">
        <f t="shared" si="2"/>
        <v>-5.2358171115765018E-3</v>
      </c>
      <c r="D95">
        <v>0.21987516553950492</v>
      </c>
      <c r="E95" s="30">
        <f>_xlfn.NORM.INV(D95,$N$4,$N$5)</f>
        <v>-1.2935351624856524E-2</v>
      </c>
      <c r="F95">
        <f t="shared" si="3"/>
        <v>443.25323656967191</v>
      </c>
    </row>
    <row r="96" spans="1:6">
      <c r="A96" s="4">
        <v>45964</v>
      </c>
      <c r="B96" s="5">
        <v>517.03</v>
      </c>
      <c r="C96" s="31">
        <f t="shared" si="2"/>
        <v>-1.5074797025862452E-3</v>
      </c>
      <c r="D96">
        <v>0.26951849499158342</v>
      </c>
      <c r="E96" s="30">
        <f>_xlfn.NORM.INV(D96,$N$4,$N$5)</f>
        <v>-1.0308106137317011E-2</v>
      </c>
      <c r="F96">
        <f t="shared" si="3"/>
        <v>438.70760384409056</v>
      </c>
    </row>
    <row r="97" spans="1:6">
      <c r="A97" s="7">
        <v>45961</v>
      </c>
      <c r="B97" s="8">
        <v>517.80999999999995</v>
      </c>
      <c r="C97" s="31">
        <f t="shared" si="2"/>
        <v>-1.5236455242090052E-2</v>
      </c>
      <c r="D97">
        <v>0.75857172008850293</v>
      </c>
      <c r="E97" s="30">
        <f>_xlfn.NORM.INV(D97,$N$4,$N$5)</f>
        <v>1.1526603792620925E-2</v>
      </c>
      <c r="F97">
        <f t="shared" si="3"/>
        <v>443.79366878996791</v>
      </c>
    </row>
    <row r="98" spans="1:6">
      <c r="A98" s="4">
        <v>45960</v>
      </c>
      <c r="B98" s="5">
        <v>525.76</v>
      </c>
      <c r="C98" s="31">
        <f t="shared" si="2"/>
        <v>-2.9590563432843275E-2</v>
      </c>
      <c r="D98">
        <v>0.39989496646063005</v>
      </c>
      <c r="E98" s="30">
        <f>_xlfn.NORM.INV(D98,$N$4,$N$5)</f>
        <v>-4.3242192300869875E-3</v>
      </c>
      <c r="F98">
        <f t="shared" si="3"/>
        <v>441.87875091943482</v>
      </c>
    </row>
    <row r="99" spans="1:6">
      <c r="A99" s="7">
        <v>45959</v>
      </c>
      <c r="B99" s="8">
        <v>541.54999999999995</v>
      </c>
      <c r="C99" s="31">
        <f t="shared" si="2"/>
        <v>-9.5974611010252175E-4</v>
      </c>
      <c r="D99">
        <v>0.45316304057029611</v>
      </c>
      <c r="E99" s="30">
        <f>_xlfn.NORM.INV(D99,$N$4,$N$5)</f>
        <v>-2.0686302849822671E-3</v>
      </c>
      <c r="F99">
        <f t="shared" si="3"/>
        <v>440.96561195208159</v>
      </c>
    </row>
    <row r="100" spans="1:6">
      <c r="A100" s="4">
        <v>45958</v>
      </c>
      <c r="B100" s="5">
        <v>542.07000000000005</v>
      </c>
      <c r="C100" s="31">
        <f t="shared" si="2"/>
        <v>1.9654317966918633E-2</v>
      </c>
      <c r="D100">
        <v>0.39885194138401492</v>
      </c>
      <c r="E100" s="30">
        <f>_xlfn.NORM.INV(D100,$N$4,$N$5)</f>
        <v>-4.3690315833824801E-3</v>
      </c>
      <c r="F100">
        <f t="shared" si="3"/>
        <v>439.04322181583871</v>
      </c>
    </row>
    <row r="101" spans="1:6">
      <c r="A101" s="7">
        <v>45957</v>
      </c>
      <c r="B101" s="8">
        <v>531.52</v>
      </c>
      <c r="C101" s="31">
        <f t="shared" si="2"/>
        <v>1.4993694023050175E-2</v>
      </c>
      <c r="D101">
        <v>0.37926992256726277</v>
      </c>
      <c r="E101" s="30">
        <f>_xlfn.NORM.INV(D101,$N$4,$N$5)</f>
        <v>-5.2165289971708544E-3</v>
      </c>
      <c r="F101">
        <f t="shared" si="3"/>
        <v>436.75890340494328</v>
      </c>
    </row>
    <row r="102" spans="1:6">
      <c r="A102" s="4">
        <v>45954</v>
      </c>
      <c r="B102" s="5">
        <v>523.61</v>
      </c>
      <c r="C102" s="31">
        <f t="shared" si="2"/>
        <v>5.8419772151516725E-3</v>
      </c>
      <c r="D102">
        <v>0.73516922208990687</v>
      </c>
      <c r="E102" s="30">
        <f>_xlfn.NORM.INV(D102,$N$4,$N$5)</f>
        <v>1.0312195026049402E-2</v>
      </c>
      <c r="F102">
        <f t="shared" si="3"/>
        <v>441.28614919760349</v>
      </c>
    </row>
    <row r="103" spans="1:6">
      <c r="A103" s="7">
        <v>45953</v>
      </c>
      <c r="B103" s="8">
        <v>520.55999999999995</v>
      </c>
      <c r="C103" s="31">
        <f t="shared" si="2"/>
        <v>3.8420900974500682E-5</v>
      </c>
      <c r="D103">
        <v>0.18580243912668348</v>
      </c>
      <c r="E103" s="30">
        <f>_xlfn.NORM.INV(D103,$N$4,$N$5)</f>
        <v>-1.4940588762869429E-2</v>
      </c>
      <c r="F103">
        <f t="shared" si="3"/>
        <v>434.74208215371283</v>
      </c>
    </row>
    <row r="104" spans="1:6">
      <c r="A104" s="4">
        <v>45952</v>
      </c>
      <c r="B104" s="5">
        <v>520.54</v>
      </c>
      <c r="C104" s="31">
        <f t="shared" si="2"/>
        <v>5.5480781881671604E-3</v>
      </c>
      <c r="D104">
        <v>1.5877428314250874E-2</v>
      </c>
      <c r="E104" s="30">
        <f>_xlfn.NORM.INV(D104,$N$4,$N$5)</f>
        <v>-3.5747035365520083E-2</v>
      </c>
      <c r="F104">
        <f t="shared" si="3"/>
        <v>419.47582884770958</v>
      </c>
    </row>
    <row r="105" spans="1:6">
      <c r="A105" s="7">
        <v>45951</v>
      </c>
      <c r="B105" s="8">
        <v>517.66</v>
      </c>
      <c r="C105" s="31">
        <f t="shared" si="2"/>
        <v>1.682053661606453E-3</v>
      </c>
      <c r="D105">
        <v>0.51488578161301712</v>
      </c>
      <c r="E105" s="30">
        <f>_xlfn.NORM.INV(D105,$N$4,$N$5)</f>
        <v>5.030431484099549E-4</v>
      </c>
      <c r="F105">
        <f t="shared" si="3"/>
        <v>419.68689637292033</v>
      </c>
    </row>
    <row r="106" spans="1:6">
      <c r="A106" s="4">
        <v>45950</v>
      </c>
      <c r="B106" s="5">
        <v>516.79</v>
      </c>
      <c r="C106" s="31">
        <f t="shared" si="2"/>
        <v>6.2307916284103371E-3</v>
      </c>
      <c r="D106">
        <v>0.45017317533328927</v>
      </c>
      <c r="E106" s="30">
        <f>_xlfn.NORM.INV(D106,$N$4,$N$5)</f>
        <v>-2.193898756826523E-3</v>
      </c>
      <c r="F106">
        <f t="shared" si="3"/>
        <v>418.7671550912462</v>
      </c>
    </row>
    <row r="107" spans="1:6">
      <c r="A107" s="7">
        <v>45947</v>
      </c>
      <c r="B107" s="8">
        <v>513.58000000000004</v>
      </c>
      <c r="C107" s="31">
        <f t="shared" si="2"/>
        <v>3.8431947731938365E-3</v>
      </c>
      <c r="D107">
        <v>0.22783444088492155</v>
      </c>
      <c r="E107" s="30">
        <f>_xlfn.NORM.INV(D107,$N$4,$N$5)</f>
        <v>-1.2493719571373985E-2</v>
      </c>
      <c r="F107">
        <f t="shared" si="3"/>
        <v>413.56774331863068</v>
      </c>
    </row>
    <row r="108" spans="1:6">
      <c r="A108" s="4">
        <v>45946</v>
      </c>
      <c r="B108" s="5">
        <v>511.61</v>
      </c>
      <c r="C108" s="31">
        <f t="shared" si="2"/>
        <v>-3.5510846650801398E-3</v>
      </c>
      <c r="D108">
        <v>0.49718812155774461</v>
      </c>
      <c r="E108" s="30">
        <f>_xlfn.NORM.INV(D108,$N$4,$N$5)</f>
        <v>-2.331427316479571E-4</v>
      </c>
      <c r="F108">
        <f t="shared" si="3"/>
        <v>413.4713342442061</v>
      </c>
    </row>
    <row r="109" spans="1:6">
      <c r="A109" s="7">
        <v>45945</v>
      </c>
      <c r="B109" s="8">
        <v>513.42999999999995</v>
      </c>
      <c r="C109" s="31">
        <f t="shared" si="2"/>
        <v>-2.7263875534089266E-4</v>
      </c>
      <c r="D109">
        <v>0.95147897352013266</v>
      </c>
      <c r="E109" s="30">
        <f>_xlfn.NORM.INV(D109,$N$4,$N$5)</f>
        <v>2.7415852478013685E-2</v>
      </c>
      <c r="F109">
        <f t="shared" si="3"/>
        <v>424.96382168637126</v>
      </c>
    </row>
    <row r="110" spans="1:6">
      <c r="A110" s="4">
        <v>45944</v>
      </c>
      <c r="B110" s="5">
        <v>513.57000000000005</v>
      </c>
      <c r="C110" s="31">
        <f t="shared" si="2"/>
        <v>-9.3419753393053639E-4</v>
      </c>
      <c r="D110">
        <v>0.18554519258775226</v>
      </c>
      <c r="E110" s="30">
        <f>_xlfn.NORM.INV(D110,$N$4,$N$5)</f>
        <v>-1.4956542743647329E-2</v>
      </c>
      <c r="F110">
        <f t="shared" si="3"/>
        <v>418.65512785048929</v>
      </c>
    </row>
    <row r="111" spans="1:6">
      <c r="A111" s="7">
        <v>45943</v>
      </c>
      <c r="B111" s="8">
        <v>514.04999999999995</v>
      </c>
      <c r="C111" s="31">
        <f t="shared" si="2"/>
        <v>6.0292277353939383E-3</v>
      </c>
      <c r="D111">
        <v>0.70105130527423565</v>
      </c>
      <c r="E111" s="30">
        <f>_xlfn.NORM.INV(D111,$N$4,$N$5)</f>
        <v>8.6348168635082493E-3</v>
      </c>
      <c r="F111">
        <f t="shared" si="3"/>
        <v>422.28579070435569</v>
      </c>
    </row>
    <row r="112" spans="1:6">
      <c r="A112" s="4">
        <v>45940</v>
      </c>
      <c r="B112" s="5">
        <v>510.96</v>
      </c>
      <c r="C112" s="31">
        <f t="shared" si="2"/>
        <v>-2.2142268708887691E-2</v>
      </c>
      <c r="D112">
        <v>5.2205101248942953E-2</v>
      </c>
      <c r="E112" s="30">
        <f>_xlfn.NORM.INV(D112,$N$4,$N$5)</f>
        <v>-2.7058781621848275E-2</v>
      </c>
      <c r="F112">
        <f t="shared" si="3"/>
        <v>411.01246082893528</v>
      </c>
    </row>
    <row r="113" spans="1:6">
      <c r="A113" s="7">
        <v>45939</v>
      </c>
      <c r="B113" s="8">
        <v>522.4</v>
      </c>
      <c r="C113" s="31">
        <f t="shared" si="2"/>
        <v>-4.67892951958504E-3</v>
      </c>
      <c r="D113">
        <v>0.77077349499765779</v>
      </c>
      <c r="E113" s="30">
        <f>_xlfn.NORM.INV(D113,$N$4,$N$5)</f>
        <v>1.2184987634711621E-2</v>
      </c>
      <c r="F113">
        <f t="shared" si="3"/>
        <v>416.05127920739216</v>
      </c>
    </row>
    <row r="114" spans="1:6">
      <c r="A114" s="4">
        <v>45938</v>
      </c>
      <c r="B114" s="5">
        <v>524.85</v>
      </c>
      <c r="C114" s="31">
        <f t="shared" si="2"/>
        <v>1.6589918281093574E-3</v>
      </c>
      <c r="D114">
        <v>0.37617560529249494</v>
      </c>
      <c r="E114" s="30">
        <f>_xlfn.NORM.INV(D114,$N$4,$N$5)</f>
        <v>-5.351617497157183E-3</v>
      </c>
      <c r="F114">
        <f t="shared" si="3"/>
        <v>413.83067910285263</v>
      </c>
    </row>
    <row r="115" spans="1:6">
      <c r="A115" s="7">
        <v>45937</v>
      </c>
      <c r="B115" s="8">
        <v>523.98</v>
      </c>
      <c r="C115" s="31">
        <f t="shared" si="2"/>
        <v>-8.7217312169505234E-3</v>
      </c>
      <c r="D115">
        <v>0.26654605356821881</v>
      </c>
      <c r="E115" s="30">
        <f>_xlfn.NORM.INV(D115,$N$4,$N$5)</f>
        <v>-1.0457813813703773E-2</v>
      </c>
      <c r="F115">
        <f t="shared" si="3"/>
        <v>409.52546570733483</v>
      </c>
    </row>
    <row r="116" spans="1:6">
      <c r="A116" s="4">
        <v>45936</v>
      </c>
      <c r="B116" s="5">
        <v>528.57000000000005</v>
      </c>
      <c r="C116" s="31">
        <f t="shared" si="2"/>
        <v>2.1455618819687494E-2</v>
      </c>
      <c r="D116">
        <v>0.795875488123856</v>
      </c>
      <c r="E116" s="30">
        <f>_xlfn.NORM.INV(D116,$N$4,$N$5)</f>
        <v>1.3604961331527434E-2</v>
      </c>
      <c r="F116">
        <f t="shared" si="3"/>
        <v>415.13511684974492</v>
      </c>
    </row>
    <row r="117" spans="1:6">
      <c r="A117" s="7">
        <v>45933</v>
      </c>
      <c r="B117" s="8">
        <v>517.35</v>
      </c>
      <c r="C117" s="31">
        <f t="shared" si="2"/>
        <v>3.1168655265449985E-3</v>
      </c>
      <c r="D117">
        <v>0.67121548506063977</v>
      </c>
      <c r="E117" s="30">
        <f>_xlfn.NORM.INV(D117,$N$4,$N$5)</f>
        <v>7.2385312613886636E-3</v>
      </c>
      <c r="F117">
        <f t="shared" si="3"/>
        <v>418.150987439164</v>
      </c>
    </row>
    <row r="118" spans="1:6">
      <c r="A118" s="4">
        <v>45932</v>
      </c>
      <c r="B118" s="5">
        <v>515.74</v>
      </c>
      <c r="C118" s="31">
        <f t="shared" si="2"/>
        <v>-7.668201175168754E-3</v>
      </c>
      <c r="D118">
        <v>0.7043881584822731</v>
      </c>
      <c r="E118" s="30">
        <f>_xlfn.NORM.INV(D118,$N$4,$N$5)</f>
        <v>8.7947134135174503E-3</v>
      </c>
      <c r="F118">
        <f t="shared" si="3"/>
        <v>421.84472440805007</v>
      </c>
    </row>
    <row r="119" spans="1:6">
      <c r="A119" s="7">
        <v>45931</v>
      </c>
      <c r="B119" s="8">
        <v>519.71</v>
      </c>
      <c r="C119" s="31">
        <f t="shared" si="2"/>
        <v>3.3922511954722623E-3</v>
      </c>
      <c r="D119">
        <v>0.69389016119034486</v>
      </c>
      <c r="E119" s="30">
        <f>_xlfn.NORM.INV(D119,$N$4,$N$5)</f>
        <v>8.2943672487577075E-3</v>
      </c>
      <c r="F119">
        <f t="shared" si="3"/>
        <v>425.35821040287692</v>
      </c>
    </row>
    <row r="120" spans="1:6">
      <c r="A120" s="4">
        <v>45930</v>
      </c>
      <c r="B120" s="5">
        <v>517.95000000000005</v>
      </c>
      <c r="C120" s="31">
        <f t="shared" si="2"/>
        <v>6.4888126564675019E-3</v>
      </c>
      <c r="D120">
        <v>0.5903210285146514</v>
      </c>
      <c r="E120" s="30">
        <f>_xlfn.NORM.INV(D120,$N$4,$N$5)</f>
        <v>3.6729118202075452E-3</v>
      </c>
      <c r="F120">
        <f t="shared" si="3"/>
        <v>426.92338621851013</v>
      </c>
    </row>
    <row r="121" spans="1:6">
      <c r="A121" s="7">
        <v>45929</v>
      </c>
      <c r="B121" s="8">
        <v>514.6</v>
      </c>
      <c r="C121" s="31">
        <f t="shared" si="2"/>
        <v>6.1205188823736378E-3</v>
      </c>
      <c r="D121">
        <v>7.1761428425216489E-2</v>
      </c>
      <c r="E121" s="30">
        <f>_xlfn.NORM.INV(D121,$N$4,$N$5)</f>
        <v>-2.438679446086674E-2</v>
      </c>
      <c r="F121">
        <f t="shared" si="3"/>
        <v>416.63801667893409</v>
      </c>
    </row>
    <row r="122" spans="1:6">
      <c r="A122" s="4">
        <v>45926</v>
      </c>
      <c r="B122" s="5">
        <v>511.46</v>
      </c>
      <c r="C122" s="31">
        <f t="shared" si="2"/>
        <v>8.6992075270240221E-3</v>
      </c>
      <c r="D122">
        <v>0.24402742289969248</v>
      </c>
      <c r="E122" s="30">
        <f>_xlfn.NORM.INV(D122,$N$4,$N$5)</f>
        <v>-1.1621123780108782E-2</v>
      </c>
      <c r="F122">
        <f t="shared" si="3"/>
        <v>411.82423964015288</v>
      </c>
    </row>
    <row r="123" spans="1:6">
      <c r="A123" s="7">
        <v>45925</v>
      </c>
      <c r="B123" s="8">
        <v>507.03</v>
      </c>
      <c r="C123" s="31">
        <f t="shared" si="2"/>
        <v>-6.1346266830675233E-3</v>
      </c>
      <c r="D123">
        <v>0.53421583961265062</v>
      </c>
      <c r="E123" s="30">
        <f>_xlfn.NORM.INV(D123,$N$4,$N$5)</f>
        <v>1.3085807280850425E-3</v>
      </c>
      <c r="F123">
        <f t="shared" si="3"/>
        <v>412.36349765787759</v>
      </c>
    </row>
    <row r="124" spans="1:6">
      <c r="A124" s="4">
        <v>45924</v>
      </c>
      <c r="B124" s="5">
        <v>510.15</v>
      </c>
      <c r="C124" s="31">
        <f t="shared" si="2"/>
        <v>1.8050192269560839E-3</v>
      </c>
      <c r="D124">
        <v>4.9798742459147394E-2</v>
      </c>
      <c r="E124" s="30">
        <f>_xlfn.NORM.INV(D124,$N$4,$N$5)</f>
        <v>-2.7439885910020015E-2</v>
      </c>
      <c r="F124">
        <f t="shared" si="3"/>
        <v>401.20212405622698</v>
      </c>
    </row>
    <row r="125" spans="1:6">
      <c r="A125" s="7">
        <v>45923</v>
      </c>
      <c r="B125" s="8">
        <v>509.23</v>
      </c>
      <c r="C125" s="31">
        <f t="shared" si="2"/>
        <v>-1.0198587927461311E-2</v>
      </c>
      <c r="D125">
        <v>0.79253137830216946</v>
      </c>
      <c r="E125" s="30">
        <f>_xlfn.NORM.INV(D125,$N$4,$N$5)</f>
        <v>1.3410124048393483E-2</v>
      </c>
      <c r="F125">
        <f t="shared" si="3"/>
        <v>406.61853047955185</v>
      </c>
    </row>
    <row r="126" spans="1:6">
      <c r="A126" s="4">
        <v>45922</v>
      </c>
      <c r="B126" s="5">
        <v>514.45000000000005</v>
      </c>
      <c r="C126" s="31">
        <f t="shared" si="2"/>
        <v>-6.7417291709537253E-3</v>
      </c>
      <c r="D126">
        <v>0.22813413373703451</v>
      </c>
      <c r="E126" s="30">
        <f>_xlfn.NORM.INV(D126,$N$4,$N$5)</f>
        <v>-1.2477262704084053E-2</v>
      </c>
      <c r="F126">
        <f t="shared" si="3"/>
        <v>401.57656463242938</v>
      </c>
    </row>
    <row r="127" spans="1:6">
      <c r="A127" s="7">
        <v>45919</v>
      </c>
      <c r="B127" s="8">
        <v>517.92999999999995</v>
      </c>
      <c r="C127" s="31">
        <f t="shared" si="2"/>
        <v>1.8473215755625993E-2</v>
      </c>
      <c r="D127">
        <v>0.66274583401518361</v>
      </c>
      <c r="E127" s="30">
        <f>_xlfn.NORM.INV(D127,$N$4,$N$5)</f>
        <v>6.8518853117754772E-3</v>
      </c>
      <c r="F127">
        <f t="shared" si="3"/>
        <v>404.33756943928938</v>
      </c>
    </row>
    <row r="128" spans="1:6">
      <c r="A128" s="4">
        <v>45918</v>
      </c>
      <c r="B128" s="5">
        <v>508.45</v>
      </c>
      <c r="C128" s="31">
        <f t="shared" si="2"/>
        <v>-3.0830583985839155E-3</v>
      </c>
      <c r="D128">
        <v>0.6931971188659436</v>
      </c>
      <c r="E128" s="30">
        <f>_xlfn.NORM.INV(D128,$N$4,$N$5)</f>
        <v>8.2616085915298895E-3</v>
      </c>
      <c r="F128">
        <f t="shared" si="3"/>
        <v>407.69188511965297</v>
      </c>
    </row>
    <row r="129" spans="1:6">
      <c r="A129" s="7">
        <v>45917</v>
      </c>
      <c r="B129" s="8">
        <v>510.02</v>
      </c>
      <c r="C129" s="31">
        <f t="shared" si="2"/>
        <v>1.9233417111941264E-3</v>
      </c>
      <c r="D129">
        <v>0.51340931253525179</v>
      </c>
      <c r="E129" s="30">
        <f>_xlfn.NORM.INV(D129,$N$4,$N$5)</f>
        <v>4.41598499130322E-4</v>
      </c>
      <c r="F129">
        <f t="shared" si="3"/>
        <v>407.87196100192273</v>
      </c>
    </row>
    <row r="130" spans="1:6">
      <c r="A130" s="4">
        <v>45916</v>
      </c>
      <c r="B130" s="5">
        <v>509.04</v>
      </c>
      <c r="C130" s="31">
        <f t="shared" ref="C130:C193" si="4">LN(B130)-LN(B131)</f>
        <v>-1.2339086658352372E-2</v>
      </c>
      <c r="D130">
        <v>0.13949010569105103</v>
      </c>
      <c r="E130" s="30">
        <f>_xlfn.NORM.INV(D130,$N$4,$N$5)</f>
        <v>-1.8078812669037665E-2</v>
      </c>
      <c r="F130">
        <f t="shared" si="3"/>
        <v>400.56437549602589</v>
      </c>
    </row>
    <row r="131" spans="1:6">
      <c r="A131" s="7">
        <v>45915</v>
      </c>
      <c r="B131" s="8">
        <v>515.36</v>
      </c>
      <c r="C131" s="31">
        <f t="shared" si="4"/>
        <v>1.065105752177864E-2</v>
      </c>
      <c r="D131">
        <v>0.43586330359692649</v>
      </c>
      <c r="E131" s="30">
        <f>_xlfn.NORM.INV(D131,$N$4,$N$5)</f>
        <v>-2.7952208609696694E-3</v>
      </c>
      <c r="F131">
        <f t="shared" si="3"/>
        <v>399.44627299719485</v>
      </c>
    </row>
    <row r="132" spans="1:6">
      <c r="A132" s="4">
        <v>45912</v>
      </c>
      <c r="B132" s="5">
        <v>509.9</v>
      </c>
      <c r="C132" s="31">
        <f t="shared" si="4"/>
        <v>1.7588567095605079E-2</v>
      </c>
      <c r="D132">
        <v>0.53115108858772242</v>
      </c>
      <c r="E132" s="30">
        <f>_xlfn.NORM.INV(D132,$N$4,$N$5)</f>
        <v>1.1806887619594305E-3</v>
      </c>
      <c r="F132">
        <f t="shared" ref="F132:F195" si="5">F131*EXP(E132)</f>
        <v>399.91817325157268</v>
      </c>
    </row>
    <row r="133" spans="1:6">
      <c r="A133" s="7">
        <v>45911</v>
      </c>
      <c r="B133" s="8">
        <v>501.01</v>
      </c>
      <c r="C133" s="31">
        <f t="shared" si="4"/>
        <v>1.2782362083134657E-3</v>
      </c>
      <c r="D133">
        <v>0.93695240398077095</v>
      </c>
      <c r="E133" s="30">
        <f>_xlfn.NORM.INV(D133,$N$4,$N$5)</f>
        <v>2.5264164667004877E-2</v>
      </c>
      <c r="F133">
        <f t="shared" si="5"/>
        <v>410.15048296359998</v>
      </c>
    </row>
    <row r="134" spans="1:6">
      <c r="A134" s="4">
        <v>45910</v>
      </c>
      <c r="B134" s="5">
        <v>500.37</v>
      </c>
      <c r="C134" s="31">
        <f t="shared" si="4"/>
        <v>3.9247932797747964E-3</v>
      </c>
      <c r="D134">
        <v>0.98741818784188307</v>
      </c>
      <c r="E134" s="30">
        <f>_xlfn.NORM.INV(D134,$N$4,$N$5)</f>
        <v>3.7031120338852037E-2</v>
      </c>
      <c r="F134">
        <f t="shared" si="5"/>
        <v>425.62353900738361</v>
      </c>
    </row>
    <row r="135" spans="1:6">
      <c r="A135" s="7">
        <v>45909</v>
      </c>
      <c r="B135" s="8">
        <v>498.41</v>
      </c>
      <c r="C135" s="31">
        <f t="shared" si="4"/>
        <v>4.2142864933669699E-4</v>
      </c>
      <c r="D135">
        <v>0.55970017280682272</v>
      </c>
      <c r="E135" s="30">
        <f>_xlfn.NORM.INV(D135,$N$4,$N$5)</f>
        <v>2.3760589576206971E-3</v>
      </c>
      <c r="F135">
        <f t="shared" si="5"/>
        <v>426.63604804404292</v>
      </c>
    </row>
    <row r="136" spans="1:6">
      <c r="A136" s="4">
        <v>45908</v>
      </c>
      <c r="B136" s="5">
        <v>498.2</v>
      </c>
      <c r="C136" s="31">
        <f t="shared" si="4"/>
        <v>6.4438402593900435E-3</v>
      </c>
      <c r="D136">
        <v>0.31903035323794626</v>
      </c>
      <c r="E136" s="30">
        <f>_xlfn.NORM.INV(D136,$N$4,$N$5)</f>
        <v>-7.9212287752742066E-3</v>
      </c>
      <c r="F136">
        <f t="shared" si="5"/>
        <v>423.26991585616918</v>
      </c>
    </row>
    <row r="137" spans="1:6">
      <c r="A137" s="7">
        <v>45905</v>
      </c>
      <c r="B137" s="8">
        <v>495</v>
      </c>
      <c r="C137" s="31">
        <f t="shared" si="4"/>
        <v>-2.5864628147859392E-2</v>
      </c>
      <c r="D137">
        <v>0.28316551468647322</v>
      </c>
      <c r="E137" s="30">
        <f>_xlfn.NORM.INV(D137,$N$4,$N$5)</f>
        <v>-9.6310470889375763E-3</v>
      </c>
      <c r="F137">
        <f t="shared" si="5"/>
        <v>419.21295113366563</v>
      </c>
    </row>
    <row r="138" spans="1:6">
      <c r="A138" s="4">
        <v>45904</v>
      </c>
      <c r="B138" s="5">
        <v>507.97</v>
      </c>
      <c r="C138" s="31">
        <f t="shared" si="4"/>
        <v>5.1711321958780587E-3</v>
      </c>
      <c r="D138">
        <v>0.95744774426890733</v>
      </c>
      <c r="E138" s="30">
        <f>_xlfn.NORM.INV(D138,$N$4,$N$5)</f>
        <v>2.8451864647179873E-2</v>
      </c>
      <c r="F138">
        <f t="shared" si="5"/>
        <v>431.31164025524828</v>
      </c>
    </row>
    <row r="139" spans="1:6">
      <c r="A139" s="7">
        <v>45903</v>
      </c>
      <c r="B139" s="8">
        <v>505.35</v>
      </c>
      <c r="C139" s="31">
        <f t="shared" si="4"/>
        <v>4.5523371098976639E-4</v>
      </c>
      <c r="D139">
        <v>0.83249632649148997</v>
      </c>
      <c r="E139" s="30">
        <f>_xlfn.NORM.INV(D139,$N$4,$N$5)</f>
        <v>1.5879679683598963E-2</v>
      </c>
      <c r="F139">
        <f t="shared" si="5"/>
        <v>438.21540062511218</v>
      </c>
    </row>
    <row r="140" spans="1:6">
      <c r="A140" s="4">
        <v>45902</v>
      </c>
      <c r="B140" s="5">
        <v>505.12</v>
      </c>
      <c r="C140" s="31">
        <f t="shared" si="4"/>
        <v>-3.1033519337198001E-3</v>
      </c>
      <c r="D140">
        <v>0.72909763712842102</v>
      </c>
      <c r="E140" s="30">
        <f>_xlfn.NORM.INV(D140,$N$4,$N$5)</f>
        <v>1.0006297224982618E-2</v>
      </c>
      <c r="F140">
        <f t="shared" si="5"/>
        <v>442.62232590384269</v>
      </c>
    </row>
    <row r="141" spans="1:6">
      <c r="A141" s="7">
        <v>45898</v>
      </c>
      <c r="B141" s="8">
        <v>506.69</v>
      </c>
      <c r="C141" s="31">
        <f t="shared" si="4"/>
        <v>-5.8052173697786813E-3</v>
      </c>
      <c r="D141">
        <v>0.50802923936755229</v>
      </c>
      <c r="E141" s="30">
        <f>_xlfn.NORM.INV(D141,$N$4,$N$5)</f>
        <v>2.1776011858323405E-4</v>
      </c>
      <c r="F141">
        <f t="shared" si="5"/>
        <v>442.71872188923879</v>
      </c>
    </row>
    <row r="142" spans="1:6">
      <c r="A142" s="4">
        <v>45897</v>
      </c>
      <c r="B142" s="5">
        <v>509.64</v>
      </c>
      <c r="C142" s="31">
        <f t="shared" si="4"/>
        <v>5.706542572228912E-3</v>
      </c>
      <c r="D142">
        <v>0.61342413189598199</v>
      </c>
      <c r="E142" s="30">
        <f>_xlfn.NORM.INV(D142,$N$4,$N$5)</f>
        <v>4.6664999776280186E-3</v>
      </c>
      <c r="F142">
        <f t="shared" si="5"/>
        <v>444.78949667246729</v>
      </c>
    </row>
    <row r="143" spans="1:6">
      <c r="A143" s="7">
        <v>45896</v>
      </c>
      <c r="B143" s="8">
        <v>506.74</v>
      </c>
      <c r="C143" s="31">
        <f t="shared" si="4"/>
        <v>9.3182537487059847E-3</v>
      </c>
      <c r="D143">
        <v>0.93843833604621207</v>
      </c>
      <c r="E143" s="30">
        <f>_xlfn.NORM.INV(D143,$N$4,$N$5)</f>
        <v>2.5465130529488629E-2</v>
      </c>
      <c r="F143">
        <f t="shared" si="5"/>
        <v>456.26156822592043</v>
      </c>
    </row>
    <row r="144" spans="1:6">
      <c r="A144" s="4">
        <v>45895</v>
      </c>
      <c r="B144" s="5">
        <v>502.04</v>
      </c>
      <c r="C144" s="31">
        <f t="shared" si="4"/>
        <v>-4.4122102782564454E-3</v>
      </c>
      <c r="D144">
        <v>0.63830296712918033</v>
      </c>
      <c r="E144" s="30">
        <f>_xlfn.NORM.INV(D144,$N$4,$N$5)</f>
        <v>5.7561172967883602E-3</v>
      </c>
      <c r="F144">
        <f t="shared" si="5"/>
        <v>458.89543648566831</v>
      </c>
    </row>
    <row r="145" spans="1:6">
      <c r="A145" s="7">
        <v>45894</v>
      </c>
      <c r="B145" s="8">
        <v>504.26</v>
      </c>
      <c r="C145" s="31">
        <f t="shared" si="4"/>
        <v>-5.8725415683085203E-3</v>
      </c>
      <c r="D145">
        <v>0.60914147854516265</v>
      </c>
      <c r="E145" s="30">
        <f>_xlfn.NORM.INV(D145,$N$4,$N$5)</f>
        <v>4.4811247715504359E-3</v>
      </c>
      <c r="F145">
        <f t="shared" si="5"/>
        <v>460.95641850365195</v>
      </c>
    </row>
    <row r="146" spans="1:6">
      <c r="A146" s="4">
        <v>45891</v>
      </c>
      <c r="B146" s="5">
        <v>507.23</v>
      </c>
      <c r="C146" s="31">
        <f t="shared" si="4"/>
        <v>5.9122044339554591E-3</v>
      </c>
      <c r="D146">
        <v>0.79619782677069528</v>
      </c>
      <c r="E146" s="30">
        <f>_xlfn.NORM.INV(D146,$N$4,$N$5)</f>
        <v>1.362384162677902E-2</v>
      </c>
      <c r="F146">
        <f t="shared" si="5"/>
        <v>467.27938952433442</v>
      </c>
    </row>
    <row r="147" spans="1:6">
      <c r="A147" s="7">
        <v>45890</v>
      </c>
      <c r="B147" s="8">
        <v>504.24</v>
      </c>
      <c r="C147" s="31">
        <f t="shared" si="4"/>
        <v>-2.9308112388424234E-3</v>
      </c>
      <c r="D147">
        <v>0.23528065151580657</v>
      </c>
      <c r="E147" s="30">
        <f>_xlfn.NORM.INV(D147,$N$4,$N$5)</f>
        <v>-1.2088354420782382E-2</v>
      </c>
      <c r="F147">
        <f t="shared" si="5"/>
        <v>461.66475486832746</v>
      </c>
    </row>
    <row r="148" spans="1:6">
      <c r="A148" s="4">
        <v>45889</v>
      </c>
      <c r="B148" s="5">
        <v>505.72</v>
      </c>
      <c r="C148" s="31">
        <f t="shared" si="4"/>
        <v>-7.9764871602758802E-3</v>
      </c>
      <c r="D148">
        <v>0.40415853967492055</v>
      </c>
      <c r="E148" s="30">
        <f>_xlfn.NORM.INV(D148,$N$4,$N$5)</f>
        <v>-4.1413548372850875E-3</v>
      </c>
      <c r="F148">
        <f t="shared" si="5"/>
        <v>459.75679080757385</v>
      </c>
    </row>
    <row r="149" spans="1:6">
      <c r="A149" s="7">
        <v>45888</v>
      </c>
      <c r="B149" s="8">
        <v>509.77</v>
      </c>
      <c r="C149" s="31">
        <f t="shared" si="4"/>
        <v>-1.4276635798202264E-2</v>
      </c>
      <c r="D149">
        <v>0.71453090488521598</v>
      </c>
      <c r="E149" s="30">
        <f>_xlfn.NORM.INV(D149,$N$4,$N$5)</f>
        <v>9.2859453650540238E-3</v>
      </c>
      <c r="F149">
        <f t="shared" si="5"/>
        <v>464.04595088056584</v>
      </c>
    </row>
    <row r="150" spans="1:6">
      <c r="A150" s="4">
        <v>45887</v>
      </c>
      <c r="B150" s="5">
        <v>517.1</v>
      </c>
      <c r="C150" s="31">
        <f t="shared" si="4"/>
        <v>-5.9194018225152689E-3</v>
      </c>
      <c r="D150">
        <v>0.5764698007196889</v>
      </c>
      <c r="E150" s="30">
        <f>_xlfn.NORM.INV(D150,$N$4,$N$5)</f>
        <v>3.0838929411901679E-3</v>
      </c>
      <c r="F150">
        <f t="shared" si="5"/>
        <v>465.47922781326304</v>
      </c>
    </row>
    <row r="151" spans="1:6">
      <c r="A151" s="7">
        <v>45884</v>
      </c>
      <c r="B151" s="8">
        <v>520.16999999999996</v>
      </c>
      <c r="C151" s="31">
        <f t="shared" si="4"/>
        <v>-4.4310243697109897E-3</v>
      </c>
      <c r="D151">
        <v>0.64740645716826895</v>
      </c>
      <c r="E151" s="30">
        <f>_xlfn.NORM.INV(D151,$N$4,$N$5)</f>
        <v>6.1609838483798517E-3</v>
      </c>
      <c r="F151">
        <f t="shared" si="5"/>
        <v>468.35589025370297</v>
      </c>
    </row>
    <row r="152" spans="1:6">
      <c r="A152" s="4">
        <v>45883</v>
      </c>
      <c r="B152" s="5">
        <v>522.48</v>
      </c>
      <c r="C152" s="31">
        <f t="shared" si="4"/>
        <v>3.6431309828071079E-3</v>
      </c>
      <c r="D152">
        <v>0.62816474204242212</v>
      </c>
      <c r="E152" s="30">
        <f>_xlfn.NORM.INV(D152,$N$4,$N$5)</f>
        <v>5.3092997685797077E-3</v>
      </c>
      <c r="F152">
        <f t="shared" si="5"/>
        <v>470.84914493490032</v>
      </c>
    </row>
    <row r="153" spans="1:6">
      <c r="A153" s="7">
        <v>45882</v>
      </c>
      <c r="B153" s="8">
        <v>520.58000000000004</v>
      </c>
      <c r="C153" s="31">
        <f t="shared" si="4"/>
        <v>-1.649844056261518E-2</v>
      </c>
      <c r="D153">
        <v>0.33049262996813367</v>
      </c>
      <c r="E153" s="30">
        <f>_xlfn.NORM.INV(D153,$N$4,$N$5)</f>
        <v>-7.3926320610562214E-3</v>
      </c>
      <c r="F153">
        <f t="shared" si="5"/>
        <v>467.38116499401849</v>
      </c>
    </row>
    <row r="154" spans="1:6">
      <c r="A154" s="4">
        <v>45881</v>
      </c>
      <c r="B154" s="5">
        <v>529.24</v>
      </c>
      <c r="C154" s="31">
        <f t="shared" si="4"/>
        <v>1.4215137416833556E-2</v>
      </c>
      <c r="D154">
        <v>0.20048205942538888</v>
      </c>
      <c r="E154" s="30">
        <f>_xlfn.NORM.INV(D154,$N$4,$N$5)</f>
        <v>-1.4051750047487481E-2</v>
      </c>
      <c r="F154">
        <f t="shared" si="5"/>
        <v>460.8595689136236</v>
      </c>
    </row>
    <row r="155" spans="1:6">
      <c r="A155" s="7">
        <v>45880</v>
      </c>
      <c r="B155" s="8">
        <v>521.77</v>
      </c>
      <c r="C155" s="31">
        <f t="shared" si="4"/>
        <v>-5.1733554195099174E-4</v>
      </c>
      <c r="D155">
        <v>0.21357455966966077</v>
      </c>
      <c r="E155" s="30">
        <f>_xlfn.NORM.INV(D155,$N$4,$N$5)</f>
        <v>-1.3291491404371688E-2</v>
      </c>
      <c r="F155">
        <f t="shared" si="5"/>
        <v>454.7745867416171</v>
      </c>
    </row>
    <row r="156" spans="1:6">
      <c r="A156" s="4">
        <v>45877</v>
      </c>
      <c r="B156" s="5">
        <v>522.04</v>
      </c>
      <c r="C156" s="31">
        <f t="shared" si="4"/>
        <v>2.3013204388000474E-3</v>
      </c>
      <c r="D156">
        <v>0.15977220308659967</v>
      </c>
      <c r="E156" s="30">
        <f>_xlfn.NORM.INV(D156,$N$4,$N$5)</f>
        <v>-1.6631691368683626E-2</v>
      </c>
      <c r="F156">
        <f t="shared" si="5"/>
        <v>447.27346723313462</v>
      </c>
    </row>
    <row r="157" spans="1:6">
      <c r="A157" s="7">
        <v>45876</v>
      </c>
      <c r="B157" s="8">
        <v>520.84</v>
      </c>
      <c r="C157" s="31">
        <f t="shared" si="4"/>
        <v>-7.8410774857013976E-3</v>
      </c>
      <c r="D157">
        <v>0.37182014878637859</v>
      </c>
      <c r="E157" s="30">
        <f>_xlfn.NORM.INV(D157,$N$4,$N$5)</f>
        <v>-5.542355576628538E-3</v>
      </c>
      <c r="F157">
        <f t="shared" si="5"/>
        <v>444.80137557131968</v>
      </c>
    </row>
    <row r="158" spans="1:6">
      <c r="A158" s="4">
        <v>45875</v>
      </c>
      <c r="B158" s="5">
        <v>524.94000000000005</v>
      </c>
      <c r="C158" s="31">
        <f t="shared" si="4"/>
        <v>-5.3387163822016248E-3</v>
      </c>
      <c r="D158">
        <v>0.36544694469302286</v>
      </c>
      <c r="E158" s="30">
        <f>_xlfn.NORM.INV(D158,$N$4,$N$5)</f>
        <v>-5.8227625908935524E-3</v>
      </c>
      <c r="F158">
        <f t="shared" si="5"/>
        <v>442.21892854562304</v>
      </c>
    </row>
    <row r="159" spans="1:6">
      <c r="A159" s="7">
        <v>45874</v>
      </c>
      <c r="B159" s="8">
        <v>527.75</v>
      </c>
      <c r="C159" s="31">
        <f t="shared" si="4"/>
        <v>-1.4839606898934932E-2</v>
      </c>
      <c r="D159">
        <v>0.72144615166535708</v>
      </c>
      <c r="E159" s="30">
        <f>_xlfn.NORM.INV(D159,$N$4,$N$5)</f>
        <v>9.6256255633370112E-3</v>
      </c>
      <c r="F159">
        <f t="shared" si="5"/>
        <v>446.49611464038907</v>
      </c>
    </row>
    <row r="160" spans="1:6">
      <c r="A160" s="4">
        <v>45873</v>
      </c>
      <c r="B160" s="5">
        <v>535.64</v>
      </c>
      <c r="C160" s="31">
        <f t="shared" si="4"/>
        <v>2.1760707673090351E-2</v>
      </c>
      <c r="D160">
        <v>3.4759437659289349E-2</v>
      </c>
      <c r="E160" s="30">
        <f>_xlfn.NORM.INV(D160,$N$4,$N$5)</f>
        <v>-3.0231053096823307E-2</v>
      </c>
      <c r="F160">
        <f t="shared" si="5"/>
        <v>433.20005642074949</v>
      </c>
    </row>
    <row r="161" spans="1:6">
      <c r="A161" s="7">
        <v>45870</v>
      </c>
      <c r="B161" s="8">
        <v>524.11</v>
      </c>
      <c r="C161" s="31">
        <f t="shared" si="4"/>
        <v>-1.7757484787533251E-2</v>
      </c>
      <c r="D161">
        <v>9.7643313406915677E-2</v>
      </c>
      <c r="E161" s="30">
        <f>_xlfn.NORM.INV(D161,$N$4,$N$5)</f>
        <v>-2.1604333663596501E-2</v>
      </c>
      <c r="F161">
        <f t="shared" si="5"/>
        <v>423.9414311901287</v>
      </c>
    </row>
    <row r="162" spans="1:6">
      <c r="A162" s="4">
        <v>45869</v>
      </c>
      <c r="B162" s="5">
        <v>533.5</v>
      </c>
      <c r="C162" s="31">
        <f t="shared" si="4"/>
        <v>3.8715498714990915E-2</v>
      </c>
      <c r="D162">
        <v>0.59142906389720384</v>
      </c>
      <c r="E162" s="30">
        <f>_xlfn.NORM.INV(D162,$N$4,$N$5)</f>
        <v>3.7202276900416284E-3</v>
      </c>
      <c r="F162">
        <f t="shared" si="5"/>
        <v>425.52152717743121</v>
      </c>
    </row>
    <row r="163" spans="1:6">
      <c r="A163" s="7">
        <v>45868</v>
      </c>
      <c r="B163" s="8">
        <v>513.24</v>
      </c>
      <c r="C163" s="31">
        <f t="shared" si="4"/>
        <v>1.3062849753318062E-3</v>
      </c>
      <c r="D163">
        <v>0.13860656486118128</v>
      </c>
      <c r="E163" s="30">
        <f>_xlfn.NORM.INV(D163,$N$4,$N$5)</f>
        <v>-1.8144982326883698E-2</v>
      </c>
      <c r="F163">
        <f t="shared" si="5"/>
        <v>417.87007425556527</v>
      </c>
    </row>
    <row r="164" spans="1:6">
      <c r="A164" s="4">
        <v>45867</v>
      </c>
      <c r="B164" s="5">
        <v>512.57000000000005</v>
      </c>
      <c r="C164" s="31">
        <f t="shared" si="4"/>
        <v>1.3657603892180958E-4</v>
      </c>
      <c r="D164">
        <v>0.32245464777033894</v>
      </c>
      <c r="E164" s="30">
        <f>_xlfn.NORM.INV(D164,$N$4,$N$5)</f>
        <v>-7.7625063034016855E-3</v>
      </c>
      <c r="F164">
        <f t="shared" si="5"/>
        <v>414.6389123523345</v>
      </c>
    </row>
    <row r="165" spans="1:6">
      <c r="A165" s="7">
        <v>45866</v>
      </c>
      <c r="B165" s="8">
        <v>512.5</v>
      </c>
      <c r="C165" s="31">
        <f t="shared" si="4"/>
        <v>-2.3581928859419676E-3</v>
      </c>
      <c r="D165">
        <v>0.57803986197165036</v>
      </c>
      <c r="E165" s="30">
        <f>_xlfn.NORM.INV(D165,$N$4,$N$5)</f>
        <v>3.1504431875064268E-3</v>
      </c>
      <c r="F165">
        <f t="shared" si="5"/>
        <v>415.94726855782585</v>
      </c>
    </row>
    <row r="166" spans="1:6">
      <c r="A166" s="4">
        <v>45863</v>
      </c>
      <c r="B166" s="5">
        <v>513.71</v>
      </c>
      <c r="C166" s="31">
        <f t="shared" si="4"/>
        <v>5.5241749320336098E-3</v>
      </c>
      <c r="D166">
        <v>0.18999175244185595</v>
      </c>
      <c r="E166" s="30">
        <f>_xlfn.NORM.INV(D166,$N$4,$N$5)</f>
        <v>-1.4682675338294725E-2</v>
      </c>
      <c r="F166">
        <f t="shared" si="5"/>
        <v>409.88466638021964</v>
      </c>
    </row>
    <row r="167" spans="1:6">
      <c r="A167" s="7">
        <v>45862</v>
      </c>
      <c r="B167" s="8">
        <v>510.88</v>
      </c>
      <c r="C167" s="31">
        <f t="shared" si="4"/>
        <v>9.8550096838794232E-3</v>
      </c>
      <c r="D167">
        <v>0.91686957329342711</v>
      </c>
      <c r="E167" s="30">
        <f>_xlfn.NORM.INV(D167,$N$4,$N$5)</f>
        <v>2.2852294139833747E-2</v>
      </c>
      <c r="F167">
        <f t="shared" si="5"/>
        <v>419.35931777679133</v>
      </c>
    </row>
    <row r="168" spans="1:6">
      <c r="A168" s="4">
        <v>45861</v>
      </c>
      <c r="B168" s="5">
        <v>505.87</v>
      </c>
      <c r="C168" s="31">
        <f t="shared" si="4"/>
        <v>1.1867794181261715E-3</v>
      </c>
      <c r="D168">
        <v>0.49181625871148416</v>
      </c>
      <c r="E168" s="30">
        <f>_xlfn.NORM.INV(D168,$N$4,$N$5)</f>
        <v>-4.5658004833409497E-4</v>
      </c>
      <c r="F168">
        <f t="shared" si="5"/>
        <v>419.16789038350117</v>
      </c>
    </row>
    <row r="169" spans="1:6">
      <c r="A169" s="7">
        <v>45860</v>
      </c>
      <c r="B169" s="8">
        <v>505.27</v>
      </c>
      <c r="C169" s="31">
        <f t="shared" si="4"/>
        <v>-9.4354259928559614E-3</v>
      </c>
      <c r="D169">
        <v>0.19836369485320415</v>
      </c>
      <c r="E169" s="30">
        <f>_xlfn.NORM.INV(D169,$N$4,$N$5)</f>
        <v>-1.4177513846966069E-2</v>
      </c>
      <c r="F169">
        <f t="shared" si="5"/>
        <v>413.26706020368516</v>
      </c>
    </row>
    <row r="170" spans="1:6">
      <c r="A170" s="4">
        <v>45859</v>
      </c>
      <c r="B170" s="5">
        <v>510.06</v>
      </c>
      <c r="C170" s="31">
        <f t="shared" si="4"/>
        <v>1.9605728794225286E-5</v>
      </c>
      <c r="D170">
        <v>0.68781432218419414</v>
      </c>
      <c r="E170" s="30">
        <f>_xlfn.NORM.INV(D170,$N$4,$N$5)</f>
        <v>8.0082712204651747E-3</v>
      </c>
      <c r="F170">
        <f t="shared" si="5"/>
        <v>416.589902260016</v>
      </c>
    </row>
    <row r="171" spans="1:6">
      <c r="A171" s="7">
        <v>45856</v>
      </c>
      <c r="B171" s="8">
        <v>510.05</v>
      </c>
      <c r="C171" s="31">
        <f t="shared" si="4"/>
        <v>-3.2297556825175988E-3</v>
      </c>
      <c r="D171">
        <v>0.37407048913143437</v>
      </c>
      <c r="E171" s="30">
        <f>_xlfn.NORM.INV(D171,$N$4,$N$5)</f>
        <v>-5.4437187014241455E-3</v>
      </c>
      <c r="F171">
        <f t="shared" si="5"/>
        <v>414.32826546065206</v>
      </c>
    </row>
    <row r="172" spans="1:6">
      <c r="A172" s="4">
        <v>45855</v>
      </c>
      <c r="B172" s="5">
        <v>511.7</v>
      </c>
      <c r="C172" s="31">
        <f t="shared" si="4"/>
        <v>1.1953116798729013E-2</v>
      </c>
      <c r="D172">
        <v>0.13619370856771007</v>
      </c>
      <c r="E172" s="30">
        <f>_xlfn.NORM.INV(D172,$N$4,$N$5)</f>
        <v>-1.8327162369195488E-2</v>
      </c>
      <c r="F172">
        <f t="shared" si="5"/>
        <v>406.80396421777704</v>
      </c>
    </row>
    <row r="173" spans="1:6">
      <c r="A173" s="7">
        <v>45854</v>
      </c>
      <c r="B173" s="8">
        <v>505.62</v>
      </c>
      <c r="C173" s="31">
        <f t="shared" si="4"/>
        <v>-3.9547576249088223E-4</v>
      </c>
      <c r="D173">
        <v>0.36724349727913075</v>
      </c>
      <c r="E173" s="30">
        <f>_xlfn.NORM.INV(D173,$N$4,$N$5)</f>
        <v>-5.7435565778468211E-3</v>
      </c>
      <c r="F173">
        <f t="shared" si="5"/>
        <v>404.4741597198892</v>
      </c>
    </row>
    <row r="174" spans="1:6">
      <c r="A174" s="4">
        <v>45853</v>
      </c>
      <c r="B174" s="5">
        <v>505.82</v>
      </c>
      <c r="C174" s="31">
        <f t="shared" si="4"/>
        <v>5.5509440341214855E-3</v>
      </c>
      <c r="D174">
        <v>0.30105561430870875</v>
      </c>
      <c r="E174" s="30">
        <f>_xlfn.NORM.INV(D174,$N$4,$N$5)</f>
        <v>-8.7666675564916797E-3</v>
      </c>
      <c r="F174">
        <f t="shared" si="5"/>
        <v>400.9437667277947</v>
      </c>
    </row>
    <row r="175" spans="1:6">
      <c r="A175" s="7">
        <v>45852</v>
      </c>
      <c r="B175" s="8">
        <v>503.02</v>
      </c>
      <c r="C175" s="31">
        <f t="shared" si="4"/>
        <v>-5.9621998308134749E-4</v>
      </c>
      <c r="D175">
        <v>0.2191989600758506</v>
      </c>
      <c r="E175" s="30">
        <f>_xlfn.NORM.INV(D175,$N$4,$N$5)</f>
        <v>-1.2973289359618854E-2</v>
      </c>
      <c r="F175">
        <f t="shared" si="5"/>
        <v>395.77580245622863</v>
      </c>
    </row>
    <row r="176" spans="1:6">
      <c r="A176" s="4">
        <v>45849</v>
      </c>
      <c r="B176" s="5">
        <v>503.32</v>
      </c>
      <c r="C176" s="31">
        <f t="shared" si="4"/>
        <v>3.6624244759426716E-3</v>
      </c>
      <c r="D176">
        <v>0.74846174637380158</v>
      </c>
      <c r="E176" s="30">
        <f>_xlfn.NORM.INV(D176,$N$4,$N$5)</f>
        <v>1.0994689918300113E-2</v>
      </c>
      <c r="F176">
        <f t="shared" si="5"/>
        <v>400.15124391609407</v>
      </c>
    </row>
    <row r="177" spans="1:6">
      <c r="A177" s="7">
        <v>45848</v>
      </c>
      <c r="B177" s="8">
        <v>501.48</v>
      </c>
      <c r="C177" s="31">
        <f t="shared" si="4"/>
        <v>-4.039846686753279E-3</v>
      </c>
      <c r="D177">
        <v>0.83971025992814896</v>
      </c>
      <c r="E177" s="30">
        <f>_xlfn.NORM.INV(D177,$N$4,$N$5)</f>
        <v>1.6364011039365731E-2</v>
      </c>
      <c r="F177">
        <f t="shared" si="5"/>
        <v>406.75319315172823</v>
      </c>
    </row>
    <row r="178" spans="1:6">
      <c r="A178" s="4">
        <v>45847</v>
      </c>
      <c r="B178" s="5">
        <v>503.51</v>
      </c>
      <c r="C178" s="31">
        <f t="shared" si="4"/>
        <v>1.377842680921848E-2</v>
      </c>
      <c r="D178">
        <v>0.87002506341545072</v>
      </c>
      <c r="E178" s="30">
        <f>_xlfn.NORM.INV(D178,$N$4,$N$5)</f>
        <v>1.8574747490476554E-2</v>
      </c>
      <c r="F178">
        <f t="shared" si="5"/>
        <v>414.37913673557193</v>
      </c>
    </row>
    <row r="179" spans="1:6">
      <c r="A179" s="7">
        <v>45846</v>
      </c>
      <c r="B179" s="8">
        <v>496.62</v>
      </c>
      <c r="C179" s="31">
        <f t="shared" si="4"/>
        <v>-2.2125237820711519E-3</v>
      </c>
      <c r="D179">
        <v>0.36418317687916002</v>
      </c>
      <c r="E179" s="30">
        <f>_xlfn.NORM.INV(D179,$N$4,$N$5)</f>
        <v>-5.8785572178975407E-3</v>
      </c>
      <c r="F179">
        <f t="shared" si="5"/>
        <v>411.95033120095883</v>
      </c>
    </row>
    <row r="180" spans="1:6">
      <c r="A180" s="4">
        <v>45845</v>
      </c>
      <c r="B180" s="5">
        <v>497.72</v>
      </c>
      <c r="C180" s="31">
        <f t="shared" si="4"/>
        <v>-2.2477331451158378E-3</v>
      </c>
      <c r="D180">
        <v>0.30980045661441291</v>
      </c>
      <c r="E180" s="30">
        <f>_xlfn.NORM.INV(D180,$N$4,$N$5)</f>
        <v>-8.3526856806262449E-3</v>
      </c>
      <c r="F180">
        <f t="shared" si="5"/>
        <v>408.52376998463052</v>
      </c>
    </row>
    <row r="181" spans="1:6">
      <c r="A181" s="7">
        <v>45841</v>
      </c>
      <c r="B181" s="8">
        <v>498.84</v>
      </c>
      <c r="C181" s="31">
        <f t="shared" si="4"/>
        <v>1.5657992666304743E-2</v>
      </c>
      <c r="D181">
        <v>0.50178632886171892</v>
      </c>
      <c r="E181" s="30">
        <f>_xlfn.NORM.INV(D181,$N$4,$N$5)</f>
        <v>-4.190324198183257E-5</v>
      </c>
      <c r="F181">
        <f t="shared" si="5"/>
        <v>408.50665187289621</v>
      </c>
    </row>
    <row r="182" spans="1:6">
      <c r="A182" s="4">
        <v>45840</v>
      </c>
      <c r="B182" s="5">
        <v>491.09</v>
      </c>
      <c r="C182" s="31">
        <f t="shared" si="4"/>
        <v>-1.9529269587525988E-3</v>
      </c>
      <c r="D182">
        <v>0.31948373987133805</v>
      </c>
      <c r="E182" s="30">
        <f>_xlfn.NORM.INV(D182,$N$4,$N$5)</f>
        <v>-7.9001727006339818E-3</v>
      </c>
      <c r="F182">
        <f t="shared" si="5"/>
        <v>405.29209327687209</v>
      </c>
    </row>
    <row r="183" spans="1:6">
      <c r="A183" s="7">
        <v>45839</v>
      </c>
      <c r="B183" s="8">
        <v>492.05</v>
      </c>
      <c r="C183" s="31">
        <f t="shared" si="4"/>
        <v>-1.0834298365843154E-2</v>
      </c>
      <c r="D183">
        <v>0.55262864790070365</v>
      </c>
      <c r="E183" s="30">
        <f>_xlfn.NORM.INV(D183,$N$4,$N$5)</f>
        <v>2.0790032517601508E-3</v>
      </c>
      <c r="F183">
        <f t="shared" si="5"/>
        <v>406.13557335180542</v>
      </c>
    </row>
    <row r="184" spans="1:6">
      <c r="A184" s="4">
        <v>45838</v>
      </c>
      <c r="B184" s="5">
        <v>497.41</v>
      </c>
      <c r="C184" s="31">
        <f t="shared" si="4"/>
        <v>2.9596840450327733E-3</v>
      </c>
      <c r="D184">
        <v>0.3011074788210788</v>
      </c>
      <c r="E184" s="30">
        <f>_xlfn.NORM.INV(D184,$N$4,$N$5)</f>
        <v>-8.7641965982283229E-3</v>
      </c>
      <c r="F184">
        <f t="shared" si="5"/>
        <v>402.59167374208698</v>
      </c>
    </row>
    <row r="185" spans="1:6">
      <c r="A185" s="7">
        <v>45835</v>
      </c>
      <c r="B185" s="8">
        <v>495.94</v>
      </c>
      <c r="C185" s="31">
        <f t="shared" si="4"/>
        <v>-3.040097369564343E-3</v>
      </c>
      <c r="D185">
        <v>0.59213576179887406</v>
      </c>
      <c r="E185" s="30">
        <f>_xlfn.NORM.INV(D185,$N$4,$N$5)</f>
        <v>3.7504217290936586E-3</v>
      </c>
      <c r="F185">
        <f t="shared" si="5"/>
        <v>404.10439720559418</v>
      </c>
    </row>
    <row r="186" spans="1:6">
      <c r="A186" s="4">
        <v>45834</v>
      </c>
      <c r="B186" s="5">
        <v>497.45</v>
      </c>
      <c r="C186" s="31">
        <f t="shared" si="4"/>
        <v>1.0467702580200466E-2</v>
      </c>
      <c r="D186">
        <v>0.39906730372160037</v>
      </c>
      <c r="E186" s="30">
        <f>_xlfn.NORM.INV(D186,$N$4,$N$5)</f>
        <v>-4.3597762612294219E-3</v>
      </c>
      <c r="F186">
        <f t="shared" si="5"/>
        <v>402.34642740966279</v>
      </c>
    </row>
    <row r="187" spans="1:6">
      <c r="A187" s="7">
        <v>45833</v>
      </c>
      <c r="B187" s="8">
        <v>492.27</v>
      </c>
      <c r="C187" s="31">
        <f t="shared" si="4"/>
        <v>4.3974907486417081E-3</v>
      </c>
      <c r="D187">
        <v>0.73797217175258245</v>
      </c>
      <c r="E187" s="30">
        <f>_xlfn.NORM.INV(D187,$N$4,$N$5)</f>
        <v>1.0454611386014442E-2</v>
      </c>
      <c r="F187">
        <f t="shared" si="5"/>
        <v>406.57486778765616</v>
      </c>
    </row>
    <row r="188" spans="1:6">
      <c r="A188" s="4">
        <v>45832</v>
      </c>
      <c r="B188" s="5">
        <v>490.11</v>
      </c>
      <c r="C188" s="31">
        <f t="shared" si="4"/>
        <v>8.4212318060332692E-3</v>
      </c>
      <c r="D188">
        <v>9.208251951033497E-2</v>
      </c>
      <c r="E188" s="30">
        <f>_xlfn.NORM.INV(D188,$N$4,$N$5)</f>
        <v>-2.2150906683768692E-2</v>
      </c>
      <c r="F188">
        <f t="shared" si="5"/>
        <v>397.66787896141727</v>
      </c>
    </row>
    <row r="189" spans="1:6">
      <c r="A189" s="7">
        <v>45831</v>
      </c>
      <c r="B189" s="8">
        <v>486</v>
      </c>
      <c r="C189" s="31">
        <f t="shared" si="4"/>
        <v>1.785390999576375E-2</v>
      </c>
      <c r="D189">
        <v>0.77570323494364324</v>
      </c>
      <c r="E189" s="30">
        <f>_xlfn.NORM.INV(D189,$N$4,$N$5)</f>
        <v>1.2456519444456499E-2</v>
      </c>
      <c r="F189">
        <f t="shared" si="5"/>
        <v>402.65241717478608</v>
      </c>
    </row>
    <row r="190" spans="1:6">
      <c r="A190" s="4">
        <v>45828</v>
      </c>
      <c r="B190" s="5">
        <v>477.4</v>
      </c>
      <c r="C190" s="31">
        <f t="shared" si="4"/>
        <v>-5.9312650388578803E-3</v>
      </c>
      <c r="D190">
        <v>0.83400776959909362</v>
      </c>
      <c r="E190" s="30">
        <f>_xlfn.NORM.INV(D190,$N$4,$N$5)</f>
        <v>1.5980019292499304E-2</v>
      </c>
      <c r="F190">
        <f t="shared" si="5"/>
        <v>409.13849638110798</v>
      </c>
    </row>
    <row r="191" spans="1:6">
      <c r="A191" s="7">
        <v>45826</v>
      </c>
      <c r="B191" s="8">
        <v>480.24</v>
      </c>
      <c r="C191" s="31">
        <f t="shared" si="4"/>
        <v>4.5915679449075597E-3</v>
      </c>
      <c r="D191">
        <v>0.40193984917519143</v>
      </c>
      <c r="E191" s="30">
        <f>_xlfn.NORM.INV(D191,$N$4,$N$5)</f>
        <v>-4.236451914711151E-3</v>
      </c>
      <c r="F191">
        <f t="shared" si="5"/>
        <v>407.40886714715174</v>
      </c>
    </row>
    <row r="192" spans="1:6">
      <c r="A192" s="4">
        <v>45825</v>
      </c>
      <c r="B192" s="5">
        <v>478.04</v>
      </c>
      <c r="C192" s="31">
        <f t="shared" si="4"/>
        <v>-2.2984192821624561E-3</v>
      </c>
      <c r="D192">
        <v>0.84634170382914475</v>
      </c>
      <c r="E192" s="30">
        <f>_xlfn.NORM.INV(D192,$N$4,$N$5)</f>
        <v>1.6821965172233985E-2</v>
      </c>
      <c r="F192">
        <f t="shared" si="5"/>
        <v>414.32025349096074</v>
      </c>
    </row>
    <row r="193" spans="1:6">
      <c r="A193" s="7">
        <v>45824</v>
      </c>
      <c r="B193" s="8">
        <v>479.14</v>
      </c>
      <c r="C193" s="31">
        <f t="shared" si="4"/>
        <v>8.7622403184228759E-3</v>
      </c>
      <c r="D193">
        <v>0.60356789468672967</v>
      </c>
      <c r="E193" s="30">
        <f>_xlfn.NORM.INV(D193,$N$4,$N$5)</f>
        <v>4.240724293241984E-3</v>
      </c>
      <c r="F193">
        <f t="shared" si="5"/>
        <v>416.08100224138519</v>
      </c>
    </row>
    <row r="194" spans="1:6">
      <c r="A194" s="4">
        <v>45821</v>
      </c>
      <c r="B194" s="5">
        <v>474.96</v>
      </c>
      <c r="C194" s="31">
        <f t="shared" ref="C194:C250" si="6">LN(B194)-LN(B195)</f>
        <v>-8.1985718658001971E-3</v>
      </c>
      <c r="D194">
        <v>0.39032176122607498</v>
      </c>
      <c r="E194" s="30">
        <f>_xlfn.NORM.INV(D194,$N$4,$N$5)</f>
        <v>-4.7367195089313046E-3</v>
      </c>
      <c r="F194">
        <f t="shared" si="5"/>
        <v>414.11480358276361</v>
      </c>
    </row>
    <row r="195" spans="1:6">
      <c r="A195" s="7">
        <v>45820</v>
      </c>
      <c r="B195" s="8">
        <v>478.87</v>
      </c>
      <c r="C195" s="31">
        <f t="shared" si="6"/>
        <v>1.3137478884932108E-2</v>
      </c>
      <c r="D195">
        <v>0.13442543723529421</v>
      </c>
      <c r="E195" s="30">
        <f>_xlfn.NORM.INV(D195,$N$4,$N$5)</f>
        <v>-1.8462080544190171E-2</v>
      </c>
      <c r="F195">
        <f t="shared" si="5"/>
        <v>406.5395255879572</v>
      </c>
    </row>
    <row r="196" spans="1:6">
      <c r="A196" s="4">
        <v>45819</v>
      </c>
      <c r="B196" s="5">
        <v>472.62</v>
      </c>
      <c r="C196" s="31">
        <f t="shared" si="6"/>
        <v>3.6034547332919331E-3</v>
      </c>
      <c r="D196">
        <v>7.8446743827202292E-2</v>
      </c>
      <c r="E196" s="30">
        <f>_xlfn.NORM.INV(D196,$N$4,$N$5)</f>
        <v>-2.360365411863783E-2</v>
      </c>
      <c r="F196">
        <f t="shared" ref="F196:F250" si="7">F195*EXP(E196)</f>
        <v>397.056069638493</v>
      </c>
    </row>
    <row r="197" spans="1:6">
      <c r="A197" s="7">
        <v>45818</v>
      </c>
      <c r="B197" s="8">
        <v>470.92</v>
      </c>
      <c r="C197" s="31">
        <f t="shared" si="6"/>
        <v>-3.878479328570883E-3</v>
      </c>
      <c r="D197">
        <v>0.71122360320418665</v>
      </c>
      <c r="E197" s="30">
        <f>_xlfn.NORM.INV(D197,$N$4,$N$5)</f>
        <v>9.1248803780957094E-3</v>
      </c>
      <c r="F197">
        <f t="shared" si="7"/>
        <v>400.69573929822127</v>
      </c>
    </row>
    <row r="198" spans="1:6">
      <c r="A198" s="4">
        <v>45817</v>
      </c>
      <c r="B198" s="5">
        <v>472.75</v>
      </c>
      <c r="C198" s="31">
        <f t="shared" si="6"/>
        <v>5.0258288648263871E-3</v>
      </c>
      <c r="D198">
        <v>0.69804600931296268</v>
      </c>
      <c r="E198" s="30">
        <f>_xlfn.NORM.INV(D198,$N$4,$N$5)</f>
        <v>8.4915007464765897E-3</v>
      </c>
      <c r="F198">
        <f t="shared" si="7"/>
        <v>404.11273464483764</v>
      </c>
    </row>
    <row r="199" spans="1:6">
      <c r="A199" s="7">
        <v>45814</v>
      </c>
      <c r="B199" s="8">
        <v>470.38</v>
      </c>
      <c r="C199" s="31">
        <f t="shared" si="6"/>
        <v>5.7565773108043672E-3</v>
      </c>
      <c r="D199">
        <v>0.64684297380482858</v>
      </c>
      <c r="E199" s="30">
        <f>_xlfn.NORM.INV(D199,$N$4,$N$5)</f>
        <v>6.1358173020185309E-3</v>
      </c>
      <c r="F199">
        <f t="shared" si="7"/>
        <v>406.59991920589425</v>
      </c>
    </row>
    <row r="200" spans="1:6">
      <c r="A200" s="4">
        <v>45813</v>
      </c>
      <c r="B200" s="5">
        <v>467.68</v>
      </c>
      <c r="C200" s="31">
        <f t="shared" si="6"/>
        <v>8.1799608060970641E-3</v>
      </c>
      <c r="D200">
        <v>0.19486109795104989</v>
      </c>
      <c r="E200" s="30">
        <f>_xlfn.NORM.INV(D200,$N$4,$N$5)</f>
        <v>-1.4387249524664122E-2</v>
      </c>
      <c r="F200">
        <f t="shared" si="7"/>
        <v>400.79194528041199</v>
      </c>
    </row>
    <row r="201" spans="1:6">
      <c r="A201" s="7">
        <v>45812</v>
      </c>
      <c r="B201" s="8">
        <v>463.87</v>
      </c>
      <c r="C201" s="31">
        <f t="shared" si="6"/>
        <v>1.9420833862939801E-3</v>
      </c>
      <c r="D201">
        <v>0.97636155561621429</v>
      </c>
      <c r="E201" s="30">
        <f>_xlfn.NORM.INV(D201,$N$4,$N$5)</f>
        <v>3.2799016908361497E-2</v>
      </c>
      <c r="F201">
        <f t="shared" si="7"/>
        <v>414.15548455313626</v>
      </c>
    </row>
    <row r="202" spans="1:6">
      <c r="A202" s="4">
        <v>45811</v>
      </c>
      <c r="B202" s="5">
        <v>462.97</v>
      </c>
      <c r="C202" s="31">
        <f t="shared" si="6"/>
        <v>2.1623032621134186E-3</v>
      </c>
      <c r="D202">
        <v>0.3428667193974233</v>
      </c>
      <c r="E202" s="30">
        <f>_xlfn.NORM.INV(D202,$N$4,$N$5)</f>
        <v>-6.8301427660438256E-3</v>
      </c>
      <c r="F202">
        <f t="shared" si="7"/>
        <v>411.33638186267518</v>
      </c>
    </row>
    <row r="203" spans="1:6">
      <c r="A203" s="7">
        <v>45810</v>
      </c>
      <c r="B203" s="8">
        <v>461.97</v>
      </c>
      <c r="C203" s="31">
        <f t="shared" si="6"/>
        <v>3.491161808141463E-3</v>
      </c>
      <c r="D203">
        <v>0.10403011479309054</v>
      </c>
      <c r="E203" s="30">
        <f>_xlfn.NORM.INV(D203,$N$4,$N$5)</f>
        <v>-2.1004035378860576E-2</v>
      </c>
      <c r="F203">
        <f t="shared" si="7"/>
        <v>402.78676053685831</v>
      </c>
    </row>
    <row r="204" spans="1:6">
      <c r="A204" s="4">
        <v>45807</v>
      </c>
      <c r="B204" s="5">
        <v>460.36</v>
      </c>
      <c r="C204" s="31">
        <f t="shared" si="6"/>
        <v>3.6559929301862581E-3</v>
      </c>
      <c r="D204">
        <v>0.55839341570813439</v>
      </c>
      <c r="E204" s="30">
        <f>_xlfn.NORM.INV(D204,$N$4,$N$5)</f>
        <v>2.3211082433999652E-3</v>
      </c>
      <c r="F204">
        <f t="shared" si="7"/>
        <v>403.72275806263201</v>
      </c>
    </row>
    <row r="205" spans="1:6">
      <c r="A205" s="7">
        <v>45806</v>
      </c>
      <c r="B205" s="8">
        <v>458.68</v>
      </c>
      <c r="C205" s="31">
        <f t="shared" si="6"/>
        <v>2.8819722143875737E-3</v>
      </c>
      <c r="D205">
        <v>0.62344764864076174</v>
      </c>
      <c r="E205" s="30">
        <f>_xlfn.NORM.INV(D205,$N$4,$N$5)</f>
        <v>5.1027586123270786E-3</v>
      </c>
      <c r="F205">
        <f t="shared" si="7"/>
        <v>405.78812289089046</v>
      </c>
    </row>
    <row r="206" spans="1:6">
      <c r="A206" s="4">
        <v>45805</v>
      </c>
      <c r="B206" s="5">
        <v>457.36</v>
      </c>
      <c r="C206" s="31">
        <f t="shared" si="6"/>
        <v>-7.254538651160658E-3</v>
      </c>
      <c r="D206">
        <v>0.30548628361632824</v>
      </c>
      <c r="E206" s="30">
        <f>_xlfn.NORM.INV(D206,$N$4,$N$5)</f>
        <v>-8.5562623444420411E-3</v>
      </c>
      <c r="F206">
        <f t="shared" si="7"/>
        <v>402.33090477952652</v>
      </c>
    </row>
    <row r="207" spans="1:6">
      <c r="A207" s="7">
        <v>45804</v>
      </c>
      <c r="B207" s="8">
        <v>460.69</v>
      </c>
      <c r="C207" s="31">
        <f t="shared" si="6"/>
        <v>2.3077862821184958E-2</v>
      </c>
      <c r="D207">
        <v>6.2910784750734083E-2</v>
      </c>
      <c r="E207" s="30">
        <f>_xlfn.NORM.INV(D207,$N$4,$N$5)</f>
        <v>-2.5514905412789776E-2</v>
      </c>
      <c r="F207">
        <f t="shared" si="7"/>
        <v>392.19532385185335</v>
      </c>
    </row>
    <row r="208" spans="1:6">
      <c r="A208" s="4">
        <v>45800</v>
      </c>
      <c r="B208" s="5">
        <v>450.18</v>
      </c>
      <c r="C208" s="31">
        <f t="shared" si="6"/>
        <v>-1.0342176510575563E-2</v>
      </c>
      <c r="D208">
        <v>0.54664283757913967</v>
      </c>
      <c r="E208" s="30">
        <f>_xlfn.NORM.INV(D208,$N$4,$N$5)</f>
        <v>1.8281080421724807E-3</v>
      </c>
      <c r="F208">
        <f t="shared" si="7"/>
        <v>392.91295503129561</v>
      </c>
    </row>
    <row r="209" spans="1:6">
      <c r="A209" s="7">
        <v>45799</v>
      </c>
      <c r="B209" s="8">
        <v>454.86</v>
      </c>
      <c r="C209" s="31">
        <f t="shared" si="6"/>
        <v>5.0472319879029115E-3</v>
      </c>
      <c r="D209">
        <v>8.9658028993847783E-2</v>
      </c>
      <c r="E209" s="30">
        <f>_xlfn.NORM.INV(D209,$N$4,$N$5)</f>
        <v>-2.2396870273110148E-2</v>
      </c>
      <c r="F209">
        <f t="shared" si="7"/>
        <v>384.21074939767988</v>
      </c>
    </row>
    <row r="210" spans="1:6">
      <c r="A210" s="4">
        <v>45798</v>
      </c>
      <c r="B210" s="5">
        <v>452.57</v>
      </c>
      <c r="C210" s="31">
        <f t="shared" si="6"/>
        <v>-1.2297846975223514E-2</v>
      </c>
      <c r="D210">
        <v>0.95654737962040226</v>
      </c>
      <c r="E210" s="30">
        <f>_xlfn.NORM.INV(D210,$N$4,$N$5)</f>
        <v>2.8288378363468512E-2</v>
      </c>
      <c r="F210">
        <f t="shared" si="7"/>
        <v>395.23463727409109</v>
      </c>
    </row>
    <row r="211" spans="1:6">
      <c r="A211" s="7">
        <v>45797</v>
      </c>
      <c r="B211" s="8">
        <v>458.17</v>
      </c>
      <c r="C211" s="31">
        <f t="shared" si="6"/>
        <v>-1.5266512604803495E-3</v>
      </c>
      <c r="D211">
        <v>0.77262004763239689</v>
      </c>
      <c r="E211" s="30">
        <f>_xlfn.NORM.INV(D211,$N$4,$N$5)</f>
        <v>1.2286307003896962E-2</v>
      </c>
      <c r="F211">
        <f t="shared" si="7"/>
        <v>400.12056490756305</v>
      </c>
    </row>
    <row r="212" spans="1:6">
      <c r="A212" s="4">
        <v>45796</v>
      </c>
      <c r="B212" s="5">
        <v>458.87</v>
      </c>
      <c r="C212" s="31">
        <f t="shared" si="6"/>
        <v>1.0075210618417429E-2</v>
      </c>
      <c r="D212">
        <v>0.11168416944459847</v>
      </c>
      <c r="E212" s="30">
        <f>_xlfn.NORM.INV(D212,$N$4,$N$5)</f>
        <v>-2.0318838660020551E-2</v>
      </c>
      <c r="F212">
        <f t="shared" si="7"/>
        <v>392.07261904586022</v>
      </c>
    </row>
    <row r="213" spans="1:6">
      <c r="A213" s="7">
        <v>45793</v>
      </c>
      <c r="B213" s="8">
        <v>454.27</v>
      </c>
      <c r="C213" s="31">
        <f t="shared" si="6"/>
        <v>2.512674894832756E-3</v>
      </c>
      <c r="D213">
        <v>0.14466698073861006</v>
      </c>
      <c r="E213" s="30">
        <f>_xlfn.NORM.INV(D213,$N$4,$N$5)</f>
        <v>-1.7696714355868864E-2</v>
      </c>
      <c r="F213">
        <f t="shared" si="7"/>
        <v>385.19525475870142</v>
      </c>
    </row>
    <row r="214" spans="1:6">
      <c r="A214" s="4">
        <v>45792</v>
      </c>
      <c r="B214" s="5">
        <v>453.13</v>
      </c>
      <c r="C214" s="31">
        <f t="shared" si="6"/>
        <v>4.1939365122978245E-4</v>
      </c>
      <c r="D214">
        <v>0.33875429826637338</v>
      </c>
      <c r="E214" s="30">
        <f>_xlfn.NORM.INV(D214,$N$4,$N$5)</f>
        <v>-7.0161947244304999E-3</v>
      </c>
      <c r="F214">
        <f t="shared" si="7"/>
        <v>382.50210871088086</v>
      </c>
    </row>
    <row r="215" spans="1:6">
      <c r="A215" s="7">
        <v>45791</v>
      </c>
      <c r="B215" s="8">
        <v>452.94</v>
      </c>
      <c r="C215" s="31">
        <f t="shared" si="6"/>
        <v>8.4250232291935845E-3</v>
      </c>
      <c r="D215">
        <v>0.98965073491166755</v>
      </c>
      <c r="E215" s="30">
        <f>_xlfn.NORM.INV(D215,$N$4,$N$5)</f>
        <v>3.8268166103464459E-2</v>
      </c>
      <c r="F215">
        <f t="shared" si="7"/>
        <v>397.4234481687086</v>
      </c>
    </row>
    <row r="216" spans="1:6">
      <c r="A216" s="4">
        <v>45790</v>
      </c>
      <c r="B216" s="5">
        <v>449.14</v>
      </c>
      <c r="C216" s="31">
        <f t="shared" si="6"/>
        <v>-2.6714158662954901E-4</v>
      </c>
      <c r="D216">
        <v>0.83365186892796372</v>
      </c>
      <c r="E216" s="30">
        <f>_xlfn.NORM.INV(D216,$N$4,$N$5)</f>
        <v>1.5956339341275619E-2</v>
      </c>
      <c r="F216">
        <f t="shared" si="7"/>
        <v>403.81573469135418</v>
      </c>
    </row>
    <row r="217" spans="1:6">
      <c r="A217" s="7">
        <v>45789</v>
      </c>
      <c r="B217" s="8">
        <v>449.26</v>
      </c>
      <c r="C217" s="31">
        <f t="shared" si="6"/>
        <v>2.3717595041516937E-2</v>
      </c>
      <c r="D217">
        <v>0.63394517752974566</v>
      </c>
      <c r="E217" s="30">
        <f>_xlfn.NORM.INV(D217,$N$4,$N$5)</f>
        <v>5.5635552334702834E-3</v>
      </c>
      <c r="F217">
        <f t="shared" si="7"/>
        <v>406.06864712561156</v>
      </c>
    </row>
    <row r="218" spans="1:6">
      <c r="A218" s="4">
        <v>45786</v>
      </c>
      <c r="B218" s="5">
        <v>438.73</v>
      </c>
      <c r="C218" s="31">
        <f t="shared" si="6"/>
        <v>1.2772267673115678E-3</v>
      </c>
      <c r="D218">
        <v>1.194226300615997E-2</v>
      </c>
      <c r="E218" s="30">
        <f>_xlfn.NORM.INV(D218,$N$4,$N$5)</f>
        <v>-3.7597012361515331E-2</v>
      </c>
      <c r="F218">
        <f t="shared" si="7"/>
        <v>391.08511219215961</v>
      </c>
    </row>
    <row r="219" spans="1:6">
      <c r="A219" s="7">
        <v>45785</v>
      </c>
      <c r="B219" s="8">
        <v>438.17</v>
      </c>
      <c r="C219" s="31">
        <f t="shared" si="6"/>
        <v>1.1061247347842418E-2</v>
      </c>
      <c r="D219">
        <v>0.10227395122687788</v>
      </c>
      <c r="E219" s="30">
        <f>_xlfn.NORM.INV(D219,$N$4,$N$5)</f>
        <v>-2.1166358565257785E-2</v>
      </c>
      <c r="F219">
        <f t="shared" si="7"/>
        <v>382.8942555817074</v>
      </c>
    </row>
    <row r="220" spans="1:6">
      <c r="A220" s="4">
        <v>45784</v>
      </c>
      <c r="B220" s="5">
        <v>433.35</v>
      </c>
      <c r="C220" s="31">
        <f t="shared" si="6"/>
        <v>9.2308402437346615E-5</v>
      </c>
      <c r="D220">
        <v>0.7739181663433462</v>
      </c>
      <c r="E220" s="30">
        <f>_xlfn.NORM.INV(D220,$N$4,$N$5)</f>
        <v>1.2357811732066496E-2</v>
      </c>
      <c r="F220">
        <f t="shared" si="7"/>
        <v>387.65534845927914</v>
      </c>
    </row>
    <row r="221" spans="1:6">
      <c r="A221" s="7">
        <v>45783</v>
      </c>
      <c r="B221" s="8">
        <v>433.31</v>
      </c>
      <c r="C221" s="31">
        <f t="shared" si="6"/>
        <v>-6.5786684335273904E-3</v>
      </c>
      <c r="D221">
        <v>0.37659935617502294</v>
      </c>
      <c r="E221" s="30">
        <f>_xlfn.NORM.INV(D221,$N$4,$N$5)</f>
        <v>-5.3330974986894372E-3</v>
      </c>
      <c r="F221">
        <f t="shared" si="7"/>
        <v>385.59344773588646</v>
      </c>
    </row>
    <row r="222" spans="1:6">
      <c r="A222" s="4">
        <v>45782</v>
      </c>
      <c r="B222" s="5">
        <v>436.17</v>
      </c>
      <c r="C222" s="31">
        <f t="shared" si="6"/>
        <v>2.0425734337736756E-3</v>
      </c>
      <c r="D222">
        <v>0.83793218730535546</v>
      </c>
      <c r="E222" s="30">
        <f>_xlfn.NORM.INV(D222,$N$4,$N$5)</f>
        <v>1.6243339928977502E-2</v>
      </c>
      <c r="F222">
        <f t="shared" si="7"/>
        <v>391.90791839175773</v>
      </c>
    </row>
    <row r="223" spans="1:6">
      <c r="A223" s="7">
        <v>45779</v>
      </c>
      <c r="B223" s="8">
        <v>435.28</v>
      </c>
      <c r="C223" s="31">
        <f t="shared" si="6"/>
        <v>2.2959599411533027E-2</v>
      </c>
      <c r="D223">
        <v>0.15150374937418432</v>
      </c>
      <c r="E223" s="30">
        <f>_xlfn.NORM.INV(D223,$N$4,$N$5)</f>
        <v>-1.720595034684334E-2</v>
      </c>
      <c r="F223">
        <f t="shared" si="7"/>
        <v>385.22245005779786</v>
      </c>
    </row>
    <row r="224" spans="1:6">
      <c r="A224" s="4">
        <v>45778</v>
      </c>
      <c r="B224" s="5">
        <v>425.4</v>
      </c>
      <c r="C224" s="31">
        <f t="shared" si="6"/>
        <v>7.348612655384823E-2</v>
      </c>
      <c r="D224">
        <v>0.73780036614871747</v>
      </c>
      <c r="E224" s="30">
        <f>_xlfn.NORM.INV(D224,$N$4,$N$5)</f>
        <v>1.0445859701696935E-2</v>
      </c>
      <c r="F224">
        <f t="shared" si="7"/>
        <v>389.26752006016017</v>
      </c>
    </row>
    <row r="225" spans="1:6">
      <c r="A225" s="7">
        <v>45777</v>
      </c>
      <c r="B225" s="8">
        <v>395.26</v>
      </c>
      <c r="C225" s="31">
        <f t="shared" si="6"/>
        <v>3.091349224810358E-3</v>
      </c>
      <c r="D225">
        <v>0.17286571263973771</v>
      </c>
      <c r="E225" s="30">
        <f>_xlfn.NORM.INV(D225,$N$4,$N$5)</f>
        <v>-1.5760726974124398E-2</v>
      </c>
      <c r="F225">
        <f t="shared" si="7"/>
        <v>383.18047508513325</v>
      </c>
    </row>
    <row r="226" spans="1:6">
      <c r="A226" s="4">
        <v>45776</v>
      </c>
      <c r="B226" s="5">
        <v>394.04</v>
      </c>
      <c r="C226" s="31">
        <f t="shared" si="6"/>
        <v>7.3357435434040497E-3</v>
      </c>
      <c r="D226">
        <v>0.89730146067645056</v>
      </c>
      <c r="E226" s="30">
        <f>_xlfn.NORM.INV(D226,$N$4,$N$5)</f>
        <v>2.0894536269459515E-2</v>
      </c>
      <c r="F226">
        <f t="shared" si="7"/>
        <v>391.27108382967731</v>
      </c>
    </row>
    <row r="227" spans="1:6">
      <c r="A227" s="7">
        <v>45775</v>
      </c>
      <c r="B227" s="8">
        <v>391.16</v>
      </c>
      <c r="C227" s="31">
        <f t="shared" si="6"/>
        <v>-1.7624300547991467E-3</v>
      </c>
      <c r="D227">
        <v>0.79735126762873543</v>
      </c>
      <c r="E227" s="30">
        <f>_xlfn.NORM.INV(D227,$N$4,$N$5)</f>
        <v>1.3691548239044221E-2</v>
      </c>
      <c r="F227">
        <f t="shared" si="7"/>
        <v>396.6650322393761</v>
      </c>
    </row>
    <row r="228" spans="1:6">
      <c r="A228" s="4">
        <v>45772</v>
      </c>
      <c r="B228" s="5">
        <v>391.85</v>
      </c>
      <c r="C228" s="31">
        <f t="shared" si="6"/>
        <v>1.1679526978166876E-2</v>
      </c>
      <c r="D228">
        <v>0.82091190080781984</v>
      </c>
      <c r="E228" s="30">
        <f>_xlfn.NORM.INV(D228,$N$4,$N$5)</f>
        <v>1.5129209659719501E-2</v>
      </c>
      <c r="F228">
        <f t="shared" si="7"/>
        <v>402.71188740682277</v>
      </c>
    </row>
    <row r="229" spans="1:6">
      <c r="A229" s="7">
        <v>45771</v>
      </c>
      <c r="B229" s="8">
        <v>387.3</v>
      </c>
      <c r="C229" s="31">
        <f t="shared" si="6"/>
        <v>3.3901551675681318E-2</v>
      </c>
      <c r="D229">
        <v>0.9213751962664366</v>
      </c>
      <c r="E229" s="30">
        <f>_xlfn.NORM.INV(D229,$N$4,$N$5)</f>
        <v>2.3351108950452188E-2</v>
      </c>
      <c r="F229">
        <f t="shared" si="7"/>
        <v>412.2263104023624</v>
      </c>
    </row>
    <row r="230" spans="1:6">
      <c r="A230" s="4">
        <v>45770</v>
      </c>
      <c r="B230" s="5">
        <v>374.39</v>
      </c>
      <c r="C230" s="31">
        <f t="shared" si="6"/>
        <v>2.0426770322139021E-2</v>
      </c>
      <c r="D230">
        <v>0.47934061960094232</v>
      </c>
      <c r="E230" s="30">
        <f>_xlfn.NORM.INV(D230,$N$4,$N$5)</f>
        <v>-9.7579922594679259E-4</v>
      </c>
      <c r="F230">
        <f t="shared" si="7"/>
        <v>411.82425648161166</v>
      </c>
    </row>
    <row r="231" spans="1:6">
      <c r="A231" s="7">
        <v>45769</v>
      </c>
      <c r="B231" s="8">
        <v>366.82</v>
      </c>
      <c r="C231" s="31">
        <f t="shared" si="6"/>
        <v>2.1214670049209516E-2</v>
      </c>
      <c r="D231">
        <v>0.60412382306912493</v>
      </c>
      <c r="E231" s="30">
        <f>_xlfn.NORM.INV(D231,$N$4,$N$5)</f>
        <v>4.2646608094889975E-3</v>
      </c>
      <c r="F231">
        <f t="shared" si="7"/>
        <v>413.58429757021571</v>
      </c>
    </row>
    <row r="232" spans="1:6">
      <c r="A232" s="4">
        <v>45768</v>
      </c>
      <c r="B232" s="5">
        <v>359.12</v>
      </c>
      <c r="C232" s="31">
        <f t="shared" si="6"/>
        <v>-2.3828338839030572E-2</v>
      </c>
      <c r="D232">
        <v>0.72403197815133924</v>
      </c>
      <c r="E232" s="30">
        <f>_xlfn.NORM.INV(D232,$N$4,$N$5)</f>
        <v>9.7536911158029697E-3</v>
      </c>
      <c r="F232">
        <f t="shared" si="7"/>
        <v>417.63800824269077</v>
      </c>
    </row>
    <row r="233" spans="1:6">
      <c r="A233" s="7">
        <v>45764</v>
      </c>
      <c r="B233" s="8">
        <v>367.78</v>
      </c>
      <c r="C233" s="31">
        <f t="shared" si="6"/>
        <v>-1.0359983921510718E-2</v>
      </c>
      <c r="D233">
        <v>6.1897336276548254E-2</v>
      </c>
      <c r="E233" s="30">
        <f>_xlfn.NORM.INV(D233,$N$4,$N$5)</f>
        <v>-2.5651797016216137E-2</v>
      </c>
      <c r="F233">
        <f t="shared" si="7"/>
        <v>407.06108139402426</v>
      </c>
    </row>
    <row r="234" spans="1:6">
      <c r="A234" s="4">
        <v>45763</v>
      </c>
      <c r="B234" s="5">
        <v>371.61</v>
      </c>
      <c r="C234" s="31">
        <f t="shared" si="6"/>
        <v>-3.7292725613748523E-2</v>
      </c>
      <c r="D234">
        <v>0.96645364981592108</v>
      </c>
      <c r="E234" s="30">
        <f>_xlfn.NORM.INV(D234,$N$4,$N$5)</f>
        <v>3.0264459033729641E-2</v>
      </c>
      <c r="F234">
        <f t="shared" si="7"/>
        <v>419.56888102862098</v>
      </c>
    </row>
    <row r="235" spans="1:6">
      <c r="A235" s="7">
        <v>45762</v>
      </c>
      <c r="B235" s="8">
        <v>385.73</v>
      </c>
      <c r="C235" s="31">
        <f t="shared" si="6"/>
        <v>-5.3778861159994307E-3</v>
      </c>
      <c r="D235">
        <v>0.12760440112517846</v>
      </c>
      <c r="E235" s="30">
        <f>_xlfn.NORM.INV(D235,$N$4,$N$5)</f>
        <v>-1.899427885624453E-2</v>
      </c>
      <c r="F235">
        <f t="shared" si="7"/>
        <v>411.67468234789095</v>
      </c>
    </row>
    <row r="236" spans="1:6">
      <c r="A236" s="4">
        <v>45761</v>
      </c>
      <c r="B236" s="5">
        <v>387.81</v>
      </c>
      <c r="C236" s="31">
        <f t="shared" si="6"/>
        <v>-1.6489324324640009E-3</v>
      </c>
      <c r="D236">
        <v>0.81349055138391435</v>
      </c>
      <c r="E236" s="30">
        <f>_xlfn.NORM.INV(D236,$N$4,$N$5)</f>
        <v>1.4664418788635157E-2</v>
      </c>
      <c r="F236">
        <f t="shared" si="7"/>
        <v>417.75613378805593</v>
      </c>
    </row>
    <row r="237" spans="1:6">
      <c r="A237" s="7">
        <v>45758</v>
      </c>
      <c r="B237" s="8">
        <v>388.45</v>
      </c>
      <c r="C237" s="31">
        <f t="shared" si="6"/>
        <v>1.8446872786181956E-2</v>
      </c>
      <c r="D237">
        <v>0.5793084244007376</v>
      </c>
      <c r="E237" s="30">
        <f>_xlfn.NORM.INV(D237,$N$4,$N$5)</f>
        <v>3.2042521533746436E-3</v>
      </c>
      <c r="F237">
        <f t="shared" si="7"/>
        <v>419.0968766713242</v>
      </c>
    </row>
    <row r="238" spans="1:6">
      <c r="A238" s="4">
        <v>45757</v>
      </c>
      <c r="B238" s="5">
        <v>381.35</v>
      </c>
      <c r="C238" s="31">
        <f t="shared" si="6"/>
        <v>-2.3684772146975064E-2</v>
      </c>
      <c r="D238">
        <v>0.41796040971973203</v>
      </c>
      <c r="E238" s="30">
        <f>_xlfn.NORM.INV(D238,$N$4,$N$5)</f>
        <v>-3.5526130943791534E-3</v>
      </c>
      <c r="F238">
        <f t="shared" si="7"/>
        <v>417.61062921370581</v>
      </c>
    </row>
    <row r="239" spans="1:6">
      <c r="A239" s="7">
        <v>45756</v>
      </c>
      <c r="B239" s="8">
        <v>390.49</v>
      </c>
      <c r="C239" s="31">
        <f t="shared" si="6"/>
        <v>9.6524776638358567E-2</v>
      </c>
      <c r="D239">
        <v>0.79348862446239898</v>
      </c>
      <c r="E239" s="30">
        <f>_xlfn.NORM.INV(D239,$N$4,$N$5)</f>
        <v>1.3465704459229087E-2</v>
      </c>
      <c r="F239">
        <f t="shared" si="7"/>
        <v>423.27208270876184</v>
      </c>
    </row>
    <row r="240" spans="1:6">
      <c r="A240" s="4">
        <v>45755</v>
      </c>
      <c r="B240" s="5">
        <v>354.56</v>
      </c>
      <c r="C240" s="31">
        <f t="shared" si="6"/>
        <v>-9.2642643448517248E-3</v>
      </c>
      <c r="D240">
        <v>0.20005973448488934</v>
      </c>
      <c r="E240" s="30">
        <f>_xlfn.NORM.INV(D240,$N$4,$N$5)</f>
        <v>-1.407675873313485E-2</v>
      </c>
      <c r="F240">
        <f t="shared" si="7"/>
        <v>417.35552440327638</v>
      </c>
    </row>
    <row r="241" spans="1:6">
      <c r="A241" s="7">
        <v>45754</v>
      </c>
      <c r="B241" s="8">
        <v>357.86</v>
      </c>
      <c r="C241" s="31">
        <f t="shared" si="6"/>
        <v>-5.5176397472891381E-3</v>
      </c>
      <c r="D241">
        <v>0.65180327930664028</v>
      </c>
      <c r="E241" s="30">
        <f>_xlfn.NORM.INV(D241,$N$4,$N$5)</f>
        <v>6.3578588100250393E-3</v>
      </c>
      <c r="F241">
        <f t="shared" si="7"/>
        <v>420.0174650556076</v>
      </c>
    </row>
    <row r="242" spans="1:6">
      <c r="A242" s="4">
        <v>45751</v>
      </c>
      <c r="B242" s="5">
        <v>359.84</v>
      </c>
      <c r="C242" s="31">
        <f t="shared" si="6"/>
        <v>-3.6213794122754273E-2</v>
      </c>
      <c r="D242">
        <v>3.6064793924949212E-2</v>
      </c>
      <c r="E242" s="30">
        <f>_xlfn.NORM.INV(D242,$N$4,$N$5)</f>
        <v>-2.9953413371888903E-2</v>
      </c>
      <c r="F242">
        <f t="shared" si="7"/>
        <v>407.62306231726654</v>
      </c>
    </row>
    <row r="243" spans="1:6">
      <c r="A243" s="7">
        <v>45750</v>
      </c>
      <c r="B243" s="8">
        <v>373.11</v>
      </c>
      <c r="C243" s="31">
        <f t="shared" si="6"/>
        <v>-2.3913751277569339E-2</v>
      </c>
      <c r="D243">
        <v>0.74237859156089714</v>
      </c>
      <c r="E243" s="30">
        <f>_xlfn.NORM.INV(D243,$N$4,$N$5)</f>
        <v>1.0680089918966811E-2</v>
      </c>
      <c r="F243">
        <f t="shared" si="7"/>
        <v>411.99984388339493</v>
      </c>
    </row>
    <row r="244" spans="1:6">
      <c r="A244" s="4">
        <v>45749</v>
      </c>
      <c r="B244" s="5">
        <v>382.14</v>
      </c>
      <c r="C244" s="31">
        <f t="shared" si="6"/>
        <v>-1.308335406733363E-4</v>
      </c>
      <c r="D244">
        <v>0.84657360993606046</v>
      </c>
      <c r="E244" s="30">
        <f>_xlfn.NORM.INV(D244,$N$4,$N$5)</f>
        <v>1.68382139471203E-2</v>
      </c>
      <c r="F244">
        <f t="shared" si="7"/>
        <v>418.99592082467404</v>
      </c>
    </row>
    <row r="245" spans="1:6">
      <c r="A245" s="7">
        <v>45748</v>
      </c>
      <c r="B245" s="8">
        <v>382.19</v>
      </c>
      <c r="C245" s="31">
        <f t="shared" si="6"/>
        <v>1.7952381606929357E-2</v>
      </c>
      <c r="D245">
        <v>0.73953396048748432</v>
      </c>
      <c r="E245" s="30">
        <f>_xlfn.NORM.INV(D245,$N$4,$N$5)</f>
        <v>1.0534303535995304E-2</v>
      </c>
      <c r="F245">
        <f t="shared" si="7"/>
        <v>423.43308119895715</v>
      </c>
    </row>
    <row r="246" spans="1:6">
      <c r="A246" s="4">
        <v>45747</v>
      </c>
      <c r="B246" s="5">
        <v>375.39</v>
      </c>
      <c r="C246" s="31">
        <f t="shared" si="6"/>
        <v>-9.0428757668501447E-3</v>
      </c>
      <c r="D246">
        <v>0.40494315713655049</v>
      </c>
      <c r="E246" s="30">
        <f>_xlfn.NORM.INV(D246,$N$4,$N$5)</f>
        <v>-4.1077565021899395E-3</v>
      </c>
      <c r="F246">
        <f t="shared" si="7"/>
        <v>421.69728875353599</v>
      </c>
    </row>
    <row r="247" spans="1:6">
      <c r="A247" s="7">
        <v>45744</v>
      </c>
      <c r="B247" s="8">
        <v>378.8</v>
      </c>
      <c r="C247" s="31">
        <f t="shared" si="6"/>
        <v>-3.0624452542713065E-2</v>
      </c>
      <c r="D247">
        <v>0.14048159175320685</v>
      </c>
      <c r="E247" s="30">
        <f>_xlfn.NORM.INV(D247,$N$4,$N$5)</f>
        <v>-1.8004897383971215E-2</v>
      </c>
      <c r="F247">
        <f t="shared" si="7"/>
        <v>414.17261609757111</v>
      </c>
    </row>
    <row r="248" spans="1:6">
      <c r="A248" s="4">
        <v>45743</v>
      </c>
      <c r="B248" s="5">
        <v>390.58</v>
      </c>
      <c r="C248" s="31">
        <f t="shared" si="6"/>
        <v>1.5630007665983214E-3</v>
      </c>
      <c r="D248">
        <v>0.15370045314176817</v>
      </c>
      <c r="E248" s="30">
        <f>_xlfn.NORM.INV(D248,$N$4,$N$5)</f>
        <v>-1.7051406046129931E-2</v>
      </c>
      <c r="F248">
        <f t="shared" si="7"/>
        <v>407.17026031386195</v>
      </c>
    </row>
    <row r="249" spans="1:6">
      <c r="A249" s="7">
        <v>45742</v>
      </c>
      <c r="B249" s="8">
        <v>389.97</v>
      </c>
      <c r="C249" s="31">
        <f t="shared" si="6"/>
        <v>-1.3220933088235576E-2</v>
      </c>
      <c r="D249">
        <v>0.82630900360727144</v>
      </c>
      <c r="E249" s="30">
        <f>_xlfn.NORM.INV(D249,$N$4,$N$5)</f>
        <v>1.5474879105843459E-2</v>
      </c>
      <c r="F249">
        <f t="shared" si="7"/>
        <v>413.52017624000365</v>
      </c>
    </row>
    <row r="250" spans="1:6">
      <c r="A250" s="4">
        <v>45741</v>
      </c>
      <c r="B250" s="5">
        <v>395.16</v>
      </c>
      <c r="C250" s="31">
        <f t="shared" si="6"/>
        <v>5.2775926820469721E-3</v>
      </c>
      <c r="D250">
        <v>0.27866074752533321</v>
      </c>
      <c r="E250" s="30">
        <f>_xlfn.NORM.INV(D250,$N$4,$N$5)</f>
        <v>-9.8527367093248115E-3</v>
      </c>
      <c r="F250">
        <f t="shared" si="7"/>
        <v>409.46587659103011</v>
      </c>
    </row>
    <row r="251" spans="1:6">
      <c r="A251" s="10">
        <v>45740</v>
      </c>
      <c r="B251" s="11">
        <v>393.08</v>
      </c>
      <c r="C251" s="30"/>
      <c r="D251" s="30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36FC-03F9-42E2-9E8A-102FF26F6DDC}">
  <dimension ref="A1:N251"/>
  <sheetViews>
    <sheetView topLeftCell="A30" workbookViewId="0">
      <selection activeCell="I46" sqref="I46"/>
    </sheetView>
  </sheetViews>
  <sheetFormatPr defaultRowHeight="14.45"/>
  <cols>
    <col min="2" max="2" width="15.85546875" customWidth="1"/>
    <col min="3" max="3" width="16.42578125" customWidth="1"/>
    <col min="4" max="4" width="17.42578125" customWidth="1"/>
    <col min="5" max="5" width="21.140625" customWidth="1"/>
    <col min="6" max="6" width="18.42578125" customWidth="1"/>
    <col min="8" max="8" width="11.7109375" customWidth="1"/>
    <col min="9" max="9" width="13.85546875" customWidth="1"/>
    <col min="10" max="10" width="19" customWidth="1"/>
    <col min="12" max="12" width="10" customWidth="1"/>
    <col min="13" max="13" width="16" customWidth="1"/>
  </cols>
  <sheetData>
    <row r="1" spans="1:14">
      <c r="A1" t="s">
        <v>11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H1" t="s">
        <v>23</v>
      </c>
      <c r="I1" t="s">
        <v>24</v>
      </c>
      <c r="J1" t="s">
        <v>25</v>
      </c>
    </row>
    <row r="2" spans="1:14">
      <c r="A2" s="4">
        <v>46101</v>
      </c>
      <c r="B2">
        <v>149.68</v>
      </c>
      <c r="C2" s="30">
        <f t="shared" ref="C2:C65" si="0">LN(B2)-LN(B3)</f>
        <v>-3.8274658746294321E-2</v>
      </c>
      <c r="D2">
        <v>8.1594490290377464E-2</v>
      </c>
      <c r="E2" s="30">
        <f>_xlfn.NORM.INV(D2,$N$4,$N$5)</f>
        <v>-5.1723858551637969E-2</v>
      </c>
      <c r="F2">
        <f>B2</f>
        <v>149.68</v>
      </c>
      <c r="H2">
        <v>-0.08</v>
      </c>
      <c r="I2" cm="1">
        <f t="array" ref="I2:I23">FREQUENCY(C2:C250,H2:H22)</f>
        <v>1</v>
      </c>
      <c r="J2" cm="1">
        <f t="array" ref="J2:J23">FREQUENCY(E2:E250,H2:H22)</f>
        <v>2</v>
      </c>
      <c r="M2" t="s">
        <v>26</v>
      </c>
      <c r="N2">
        <f>MAX(B2:B250)</f>
        <v>328.33</v>
      </c>
    </row>
    <row r="3" spans="1:14">
      <c r="A3" s="7">
        <v>46100</v>
      </c>
      <c r="B3">
        <v>155.52000000000001</v>
      </c>
      <c r="C3" s="30">
        <f t="shared" si="0"/>
        <v>1.6990227777112565E-2</v>
      </c>
      <c r="D3">
        <v>0.20647440093036096</v>
      </c>
      <c r="E3" s="30">
        <f>_xlfn.NORM.INV(D3,$N$4,$N$5)</f>
        <v>-3.0425371321924806E-2</v>
      </c>
      <c r="F3">
        <f>F2*EXP(E3)</f>
        <v>145.1945127420538</v>
      </c>
      <c r="H3">
        <v>-7.1999999999999995E-2</v>
      </c>
      <c r="I3">
        <v>1</v>
      </c>
      <c r="J3">
        <v>2</v>
      </c>
      <c r="M3" t="s">
        <v>31</v>
      </c>
      <c r="N3">
        <f>MIN(B2:B250)</f>
        <v>122.82</v>
      </c>
    </row>
    <row r="4" spans="1:14">
      <c r="A4" s="4">
        <v>46099</v>
      </c>
      <c r="B4">
        <v>152.9</v>
      </c>
      <c r="C4" s="30">
        <f t="shared" si="0"/>
        <v>-1.1639001313556996E-2</v>
      </c>
      <c r="D4">
        <v>0.16177484030938882</v>
      </c>
      <c r="E4" s="30">
        <f>_xlfn.NORM.INV(D4,$N$4,$N$5)</f>
        <v>-3.6658096256120341E-2</v>
      </c>
      <c r="F4">
        <f t="shared" ref="F4:F67" si="1">F3*EXP(E4)</f>
        <v>139.96833443062894</v>
      </c>
      <c r="H4">
        <v>-6.4000000000000001E-2</v>
      </c>
      <c r="I4">
        <v>5</v>
      </c>
      <c r="J4">
        <v>8</v>
      </c>
      <c r="M4" t="s">
        <v>28</v>
      </c>
      <c r="N4" s="33">
        <f>AVERAGE(C2:C251)</f>
        <v>-1.3689306571184319E-4</v>
      </c>
    </row>
    <row r="5" spans="1:14">
      <c r="A5" s="7">
        <v>46098</v>
      </c>
      <c r="B5">
        <v>154.69</v>
      </c>
      <c r="C5" s="30">
        <f t="shared" si="0"/>
        <v>-8.2405668151608324E-3</v>
      </c>
      <c r="D5">
        <v>0.83443223254796028</v>
      </c>
      <c r="E5" s="30">
        <f>_xlfn.NORM.INV(D5,$N$4,$N$5)</f>
        <v>3.5816048197168139E-2</v>
      </c>
      <c r="F5">
        <f t="shared" si="1"/>
        <v>145.07230344470065</v>
      </c>
      <c r="H5">
        <v>-5.6000000000000001E-2</v>
      </c>
      <c r="I5">
        <v>6</v>
      </c>
      <c r="J5">
        <v>6</v>
      </c>
      <c r="M5" t="s">
        <v>29</v>
      </c>
      <c r="N5" s="31">
        <f>_xlfn.STDEV.S(C2:C251)</f>
        <v>3.699512412260339E-2</v>
      </c>
    </row>
    <row r="6" spans="1:14">
      <c r="A6" s="4">
        <v>46097</v>
      </c>
      <c r="B6">
        <v>155.97</v>
      </c>
      <c r="C6" s="30">
        <f t="shared" si="0"/>
        <v>5.5291384270743649E-3</v>
      </c>
      <c r="D6">
        <v>0.62987893571849385</v>
      </c>
      <c r="E6" s="30">
        <f>_xlfn.NORM.INV(D6,$N$4,$N$5)</f>
        <v>1.2128201136939651E-2</v>
      </c>
      <c r="F6">
        <f t="shared" si="1"/>
        <v>146.84248236487704</v>
      </c>
      <c r="H6">
        <v>-4.8000000000000001E-2</v>
      </c>
      <c r="I6">
        <v>5</v>
      </c>
      <c r="J6">
        <v>9</v>
      </c>
    </row>
    <row r="7" spans="1:14">
      <c r="A7" s="7">
        <v>46094</v>
      </c>
      <c r="B7">
        <v>155.11000000000001</v>
      </c>
      <c r="C7" s="30">
        <f t="shared" si="0"/>
        <v>-2.5775442922068237E-2</v>
      </c>
      <c r="D7">
        <v>7.2959193488443597E-2</v>
      </c>
      <c r="E7" s="30">
        <f>_xlfn.NORM.INV(D7,$N$4,$N$5)</f>
        <v>-5.3931529291701773E-2</v>
      </c>
      <c r="F7">
        <f t="shared" si="1"/>
        <v>139.13280858672366</v>
      </c>
      <c r="H7">
        <v>-0.04</v>
      </c>
      <c r="I7">
        <v>9</v>
      </c>
      <c r="J7">
        <v>8</v>
      </c>
    </row>
    <row r="8" spans="1:14">
      <c r="A8" s="4">
        <v>46093</v>
      </c>
      <c r="B8">
        <v>159.16</v>
      </c>
      <c r="C8" s="30">
        <f t="shared" si="0"/>
        <v>-2.4576140707472049E-2</v>
      </c>
      <c r="D8">
        <v>0.17729877238512515</v>
      </c>
      <c r="E8" s="30">
        <f>_xlfn.NORM.INV(D8,$N$4,$N$5)</f>
        <v>-3.4383589979498329E-2</v>
      </c>
      <c r="F8">
        <f t="shared" si="1"/>
        <v>134.43023215873157</v>
      </c>
      <c r="H8">
        <v>-3.2000000000000001E-2</v>
      </c>
      <c r="I8">
        <v>10</v>
      </c>
      <c r="J8">
        <v>13</v>
      </c>
    </row>
    <row r="9" spans="1:14">
      <c r="A9" s="7">
        <v>46092</v>
      </c>
      <c r="B9">
        <v>163.12</v>
      </c>
      <c r="C9" s="30">
        <f t="shared" si="0"/>
        <v>8.7858853567483131E-2</v>
      </c>
      <c r="D9">
        <v>0.51087947721035964</v>
      </c>
      <c r="E9" s="30">
        <f>_xlfn.NORM.INV(D9,$N$4,$N$5)</f>
        <v>8.7211884071384084E-4</v>
      </c>
      <c r="F9">
        <f t="shared" si="1"/>
        <v>134.54752243505447</v>
      </c>
      <c r="H9">
        <v>-2.4E-2</v>
      </c>
      <c r="I9">
        <v>12</v>
      </c>
      <c r="J9">
        <v>21</v>
      </c>
    </row>
    <row r="10" spans="1:14">
      <c r="A10" s="4">
        <v>46091</v>
      </c>
      <c r="B10">
        <v>149.4</v>
      </c>
      <c r="C10" s="30">
        <f t="shared" si="0"/>
        <v>-1.4354313451683254E-2</v>
      </c>
      <c r="D10">
        <v>0.51880370466431824</v>
      </c>
      <c r="E10" s="30">
        <f>_xlfn.NORM.INV(D10,$N$4,$N$5)</f>
        <v>1.6074774798054087E-3</v>
      </c>
      <c r="F10">
        <f t="shared" si="1"/>
        <v>134.76397847482718</v>
      </c>
      <c r="H10">
        <v>-1.59999999999999E-2</v>
      </c>
      <c r="I10">
        <v>21</v>
      </c>
      <c r="J10">
        <v>22</v>
      </c>
    </row>
    <row r="11" spans="1:14">
      <c r="A11" s="7">
        <v>46090</v>
      </c>
      <c r="B11">
        <v>151.56</v>
      </c>
      <c r="C11" s="30">
        <f t="shared" si="0"/>
        <v>-9.1948631526914681E-3</v>
      </c>
      <c r="D11">
        <v>0.91608318578087145</v>
      </c>
      <c r="E11" s="30">
        <f>_xlfn.NORM.INV(D11,$N$4,$N$5)</f>
        <v>5.0886718469647561E-2</v>
      </c>
      <c r="F11">
        <f t="shared" si="1"/>
        <v>141.79915560376836</v>
      </c>
      <c r="H11">
        <v>-7.9999999999998996E-3</v>
      </c>
      <c r="I11">
        <v>26</v>
      </c>
      <c r="J11">
        <v>23</v>
      </c>
    </row>
    <row r="12" spans="1:14">
      <c r="A12" s="4">
        <v>46087</v>
      </c>
      <c r="B12">
        <v>152.96</v>
      </c>
      <c r="C12" s="30">
        <f t="shared" si="0"/>
        <v>-1.1892910282694125E-2</v>
      </c>
      <c r="D12">
        <v>0.37102235707046749</v>
      </c>
      <c r="E12" s="30">
        <f>_xlfn.NORM.INV(D12,$N$4,$N$5)</f>
        <v>-1.2313720654552758E-2</v>
      </c>
      <c r="F12">
        <f t="shared" si="1"/>
        <v>140.06378676362294</v>
      </c>
      <c r="H12">
        <v>0</v>
      </c>
      <c r="I12">
        <v>27</v>
      </c>
      <c r="J12">
        <v>19</v>
      </c>
    </row>
    <row r="13" spans="1:14">
      <c r="A13" s="7">
        <v>46086</v>
      </c>
      <c r="B13">
        <v>154.79</v>
      </c>
      <c r="C13" s="30">
        <f t="shared" si="0"/>
        <v>1.5757586104522048E-2</v>
      </c>
      <c r="D13">
        <v>0.58773133695090529</v>
      </c>
      <c r="E13" s="30">
        <f>_xlfn.NORM.INV(D13,$N$4,$N$5)</f>
        <v>8.0654060968279491E-3</v>
      </c>
      <c r="F13">
        <f t="shared" si="1"/>
        <v>141.19802598470716</v>
      </c>
      <c r="H13">
        <v>8.0000000000001008E-3</v>
      </c>
      <c r="I13">
        <v>33</v>
      </c>
      <c r="J13">
        <v>18</v>
      </c>
    </row>
    <row r="14" spans="1:14">
      <c r="A14" s="4">
        <v>46085</v>
      </c>
      <c r="B14">
        <v>152.37</v>
      </c>
      <c r="C14" s="30">
        <f t="shared" si="0"/>
        <v>2.2298355693894933E-2</v>
      </c>
      <c r="D14">
        <v>0.32704914143402375</v>
      </c>
      <c r="E14" s="30">
        <f>_xlfn.NORM.INV(D14,$N$4,$N$5)</f>
        <v>-1.6713523651666982E-2</v>
      </c>
      <c r="F14">
        <f t="shared" si="1"/>
        <v>138.85772128532022</v>
      </c>
      <c r="H14">
        <v>1.6000000000000101E-2</v>
      </c>
      <c r="I14">
        <v>32</v>
      </c>
      <c r="J14">
        <v>25</v>
      </c>
    </row>
    <row r="15" spans="1:14">
      <c r="A15" s="7">
        <v>46084</v>
      </c>
      <c r="B15">
        <v>149.01</v>
      </c>
      <c r="C15" s="30">
        <f t="shared" si="0"/>
        <v>-1.6093344853427283E-3</v>
      </c>
      <c r="D15">
        <v>0.13461180937797468</v>
      </c>
      <c r="E15" s="30">
        <f>_xlfn.NORM.INV(D15,$N$4,$N$5)</f>
        <v>-4.1011038937621119E-2</v>
      </c>
      <c r="F15">
        <f t="shared" si="1"/>
        <v>133.27821454980565</v>
      </c>
      <c r="H15">
        <v>2.4E-2</v>
      </c>
      <c r="I15">
        <v>16</v>
      </c>
      <c r="J15">
        <v>12</v>
      </c>
    </row>
    <row r="16" spans="1:14">
      <c r="A16" s="4">
        <v>46083</v>
      </c>
      <c r="B16">
        <v>149.25</v>
      </c>
      <c r="C16" s="30">
        <f t="shared" si="0"/>
        <v>2.6134187173292744E-2</v>
      </c>
      <c r="D16">
        <v>0.60117666625519806</v>
      </c>
      <c r="E16" s="30">
        <f>_xlfn.NORM.INV(D16,$N$4,$N$5)</f>
        <v>9.3484325305422909E-3</v>
      </c>
      <c r="F16">
        <f t="shared" si="1"/>
        <v>134.52999894083743</v>
      </c>
      <c r="H16">
        <v>3.2000000000000001E-2</v>
      </c>
      <c r="I16">
        <v>16</v>
      </c>
      <c r="J16">
        <v>15</v>
      </c>
    </row>
    <row r="17" spans="1:10">
      <c r="A17" s="7">
        <v>46080</v>
      </c>
      <c r="B17">
        <v>145.4</v>
      </c>
      <c r="C17" s="30">
        <f t="shared" si="0"/>
        <v>-3.3211263045716422E-2</v>
      </c>
      <c r="D17">
        <v>0.33595733248158899</v>
      </c>
      <c r="E17" s="30">
        <f>_xlfn.NORM.INV(D17,$N$4,$N$5)</f>
        <v>-1.5805131161711224E-2</v>
      </c>
      <c r="F17">
        <f t="shared" si="1"/>
        <v>132.42044942973797</v>
      </c>
      <c r="H17">
        <v>0.04</v>
      </c>
      <c r="I17">
        <v>14</v>
      </c>
      <c r="J17">
        <v>13</v>
      </c>
    </row>
    <row r="18" spans="1:10">
      <c r="A18" s="4">
        <v>46079</v>
      </c>
      <c r="B18">
        <v>150.31</v>
      </c>
      <c r="C18" s="30">
        <f t="shared" si="0"/>
        <v>1.6231073966457288E-2</v>
      </c>
      <c r="D18">
        <v>0.90120697916073034</v>
      </c>
      <c r="E18" s="30">
        <f>_xlfn.NORM.INV(D18,$N$4,$N$5)</f>
        <v>4.7529827822786391E-2</v>
      </c>
      <c r="F18">
        <f t="shared" si="1"/>
        <v>138.86634326417186</v>
      </c>
      <c r="H18">
        <v>4.8000000000000001E-2</v>
      </c>
      <c r="I18">
        <v>5</v>
      </c>
      <c r="J18">
        <v>13</v>
      </c>
    </row>
    <row r="19" spans="1:10">
      <c r="A19" s="7">
        <v>46078</v>
      </c>
      <c r="B19">
        <v>147.88999999999999</v>
      </c>
      <c r="C19" s="30">
        <f t="shared" si="0"/>
        <v>1.1903687815606467E-2</v>
      </c>
      <c r="D19">
        <v>0.15225949011790019</v>
      </c>
      <c r="E19" s="30">
        <f>_xlfn.NORM.INV(D19,$N$4,$N$5)</f>
        <v>-3.8123146328103055E-2</v>
      </c>
      <c r="F19">
        <f t="shared" si="1"/>
        <v>133.67196348957316</v>
      </c>
      <c r="H19">
        <v>5.6000000000000001E-2</v>
      </c>
      <c r="I19">
        <v>2</v>
      </c>
      <c r="J19">
        <v>6</v>
      </c>
    </row>
    <row r="20" spans="1:10">
      <c r="A20" s="4">
        <v>46077</v>
      </c>
      <c r="B20">
        <v>146.13999999999999</v>
      </c>
      <c r="C20" s="30">
        <f t="shared" si="0"/>
        <v>3.3609007768416355E-2</v>
      </c>
      <c r="D20">
        <v>0.45853828673129438</v>
      </c>
      <c r="E20" s="30">
        <f>_xlfn.NORM.INV(D20,$N$4,$N$5)</f>
        <v>-3.9887109853478679E-3</v>
      </c>
      <c r="F20">
        <f t="shared" si="1"/>
        <v>133.13984659610844</v>
      </c>
      <c r="H20">
        <v>6.4000000000000001E-2</v>
      </c>
      <c r="I20">
        <v>1</v>
      </c>
      <c r="J20">
        <v>2</v>
      </c>
    </row>
    <row r="21" spans="1:10">
      <c r="A21" s="7">
        <v>46076</v>
      </c>
      <c r="B21">
        <v>141.31</v>
      </c>
      <c r="C21" s="30">
        <f t="shared" si="0"/>
        <v>-4.6796609670587408E-2</v>
      </c>
      <c r="D21">
        <v>0.52919062607118594</v>
      </c>
      <c r="E21" s="30">
        <f>_xlfn.NORM.INV(D21,$N$4,$N$5)</f>
        <v>2.5724619267163229E-3</v>
      </c>
      <c r="F21">
        <f t="shared" si="1"/>
        <v>133.48278469088402</v>
      </c>
      <c r="H21">
        <v>7.1999999999999995E-2</v>
      </c>
      <c r="I21">
        <v>1</v>
      </c>
      <c r="J21">
        <v>7</v>
      </c>
    </row>
    <row r="22" spans="1:10">
      <c r="A22" s="4">
        <v>46073</v>
      </c>
      <c r="B22">
        <v>148.08000000000001</v>
      </c>
      <c r="C22" s="30">
        <f t="shared" si="0"/>
        <v>-5.5558900111449816E-2</v>
      </c>
      <c r="D22">
        <v>0.79829970166329689</v>
      </c>
      <c r="E22" s="30">
        <f>_xlfn.NORM.INV(D22,$N$4,$N$5)</f>
        <v>3.0774876615071056E-2</v>
      </c>
      <c r="F22">
        <f t="shared" si="1"/>
        <v>137.65456467703621</v>
      </c>
      <c r="H22">
        <v>0.08</v>
      </c>
      <c r="I22">
        <v>1</v>
      </c>
      <c r="J22">
        <v>2</v>
      </c>
    </row>
    <row r="23" spans="1:10">
      <c r="A23" s="7">
        <v>46072</v>
      </c>
      <c r="B23">
        <v>156.54</v>
      </c>
      <c r="C23" s="30">
        <f t="shared" si="0"/>
        <v>2.3664108769381187E-3</v>
      </c>
      <c r="D23">
        <v>0.70490285551359755</v>
      </c>
      <c r="E23" s="30">
        <f>_xlfn.NORM.INV(D23,$N$4,$N$5)</f>
        <v>1.9786997568481075E-2</v>
      </c>
      <c r="F23">
        <f t="shared" si="1"/>
        <v>140.40546145429718</v>
      </c>
      <c r="I23">
        <v>5</v>
      </c>
      <c r="J23">
        <v>3</v>
      </c>
    </row>
    <row r="24" spans="1:10">
      <c r="A24" s="4">
        <v>46071</v>
      </c>
      <c r="B24">
        <v>156.16999999999999</v>
      </c>
      <c r="C24" s="30">
        <f t="shared" si="0"/>
        <v>1.4187379257927013E-2</v>
      </c>
      <c r="D24">
        <v>0.20814891654140022</v>
      </c>
      <c r="E24" s="30">
        <f>_xlfn.NORM.INV(D24,$N$4,$N$5)</f>
        <v>-3.0208781744492669E-2</v>
      </c>
      <c r="F24">
        <f t="shared" si="1"/>
        <v>136.22740818893999</v>
      </c>
    </row>
    <row r="25" spans="1:10">
      <c r="A25" s="7">
        <v>46070</v>
      </c>
      <c r="B25">
        <v>153.97</v>
      </c>
      <c r="C25" s="30">
        <f t="shared" si="0"/>
        <v>-3.929065440266033E-2</v>
      </c>
      <c r="D25">
        <v>0.91121632259838692</v>
      </c>
      <c r="E25" s="30">
        <f>_xlfn.NORM.INV(D25,$N$4,$N$5)</f>
        <v>4.9743006512796374E-2</v>
      </c>
      <c r="F25">
        <f t="shared" si="1"/>
        <v>143.17513695707092</v>
      </c>
    </row>
    <row r="26" spans="1:10">
      <c r="A26" s="4">
        <v>46066</v>
      </c>
      <c r="B26">
        <v>160.13999999999999</v>
      </c>
      <c r="C26" s="30">
        <f t="shared" si="0"/>
        <v>2.3120226357979945E-2</v>
      </c>
      <c r="D26">
        <v>0.37432741384489998</v>
      </c>
      <c r="E26" s="30">
        <f>_xlfn.NORM.INV(D26,$N$4,$N$5)</f>
        <v>-1.1990633459147009E-2</v>
      </c>
      <c r="F26">
        <f t="shared" si="1"/>
        <v>141.46862787789135</v>
      </c>
    </row>
    <row r="27" spans="1:10">
      <c r="A27" s="7">
        <v>46065</v>
      </c>
      <c r="B27">
        <v>156.47999999999999</v>
      </c>
      <c r="C27" s="30">
        <f t="shared" si="0"/>
        <v>-4.3361884037516063E-3</v>
      </c>
      <c r="D27">
        <v>0.76251635335425672</v>
      </c>
      <c r="E27" s="30">
        <f>_xlfn.NORM.INV(D27,$N$4,$N$5)</f>
        <v>2.6293176387433514E-2</v>
      </c>
      <c r="F27">
        <f t="shared" si="1"/>
        <v>145.23761971494829</v>
      </c>
    </row>
    <row r="28" spans="1:10">
      <c r="A28" s="4">
        <v>46064</v>
      </c>
      <c r="B28">
        <v>157.16</v>
      </c>
      <c r="C28" s="30">
        <f t="shared" si="0"/>
        <v>-1.7221684107069812E-2</v>
      </c>
      <c r="D28">
        <v>0.88575972519560053</v>
      </c>
      <c r="E28" s="30">
        <f>_xlfn.NORM.INV(D28,$N$4,$N$5)</f>
        <v>4.4415673964322222E-2</v>
      </c>
      <c r="F28">
        <f t="shared" si="1"/>
        <v>151.83385013104444</v>
      </c>
    </row>
    <row r="29" spans="1:10">
      <c r="A29" s="7">
        <v>46063</v>
      </c>
      <c r="B29">
        <v>159.88999999999999</v>
      </c>
      <c r="C29" s="30">
        <f t="shared" si="0"/>
        <v>2.0855154239977303E-2</v>
      </c>
      <c r="D29">
        <v>6.478789099691562E-2</v>
      </c>
      <c r="E29" s="30">
        <f>_xlfn.NORM.INV(D29,$N$4,$N$5)</f>
        <v>-5.621324660196874E-2</v>
      </c>
      <c r="F29">
        <f t="shared" si="1"/>
        <v>143.53423599994846</v>
      </c>
    </row>
    <row r="30" spans="1:10">
      <c r="A30" s="4">
        <v>46062</v>
      </c>
      <c r="B30">
        <v>156.59</v>
      </c>
      <c r="C30" s="30">
        <f t="shared" si="0"/>
        <v>9.2045828436387644E-2</v>
      </c>
      <c r="D30">
        <v>0.24630212585362221</v>
      </c>
      <c r="E30" s="30">
        <f>_xlfn.NORM.INV(D30,$N$4,$N$5)</f>
        <v>-2.5521934875654694E-2</v>
      </c>
      <c r="F30">
        <f t="shared" si="1"/>
        <v>139.91731629790488</v>
      </c>
    </row>
    <row r="31" spans="1:10">
      <c r="A31" s="7">
        <v>46059</v>
      </c>
      <c r="B31">
        <v>142.82</v>
      </c>
      <c r="C31" s="30">
        <f t="shared" si="0"/>
        <v>4.5407012377594924E-2</v>
      </c>
      <c r="D31">
        <v>0.63828452781699574</v>
      </c>
      <c r="E31" s="30">
        <f>_xlfn.NORM.INV(D31,$N$4,$N$5)</f>
        <v>1.2954836402948726E-2</v>
      </c>
      <c r="F31">
        <f t="shared" si="1"/>
        <v>141.74171411278081</v>
      </c>
    </row>
    <row r="32" spans="1:10">
      <c r="A32" s="4">
        <v>46058</v>
      </c>
      <c r="B32">
        <v>136.47999999999999</v>
      </c>
      <c r="C32" s="30">
        <f t="shared" si="0"/>
        <v>-7.2007081515295113E-2</v>
      </c>
      <c r="D32">
        <v>0.39125496241795088</v>
      </c>
      <c r="E32" s="30">
        <f>_xlfn.NORM.INV(D32,$N$4,$N$5)</f>
        <v>-1.0349384476906254E-2</v>
      </c>
      <c r="F32">
        <f t="shared" si="1"/>
        <v>140.28233945779445</v>
      </c>
    </row>
    <row r="33" spans="1:10">
      <c r="A33" s="7">
        <v>46057</v>
      </c>
      <c r="B33">
        <v>146.66999999999999</v>
      </c>
      <c r="C33" s="30">
        <f t="shared" si="0"/>
        <v>-5.3108649791384188E-2</v>
      </c>
      <c r="D33">
        <v>0.97617359674447057</v>
      </c>
      <c r="E33" s="30">
        <f>_xlfn.NORM.INV(D33,$N$4,$N$5)</f>
        <v>7.3130159774269413E-2</v>
      </c>
      <c r="F33">
        <f t="shared" si="1"/>
        <v>150.92563951335151</v>
      </c>
    </row>
    <row r="34" spans="1:10">
      <c r="A34" s="4">
        <v>46056</v>
      </c>
      <c r="B34">
        <v>154.66999999999999</v>
      </c>
      <c r="C34" s="30">
        <f t="shared" si="0"/>
        <v>-3.4254929888851926E-2</v>
      </c>
      <c r="D34">
        <v>0.71626499870668625</v>
      </c>
      <c r="E34" s="30">
        <f>_xlfn.NORM.INV(D34,$N$4,$N$5)</f>
        <v>2.1016235016295872E-2</v>
      </c>
      <c r="F34">
        <f t="shared" si="1"/>
        <v>154.13109352903354</v>
      </c>
    </row>
    <row r="35" spans="1:10">
      <c r="A35" s="7">
        <v>46055</v>
      </c>
      <c r="B35">
        <v>160.06</v>
      </c>
      <c r="C35" s="30">
        <f t="shared" si="0"/>
        <v>-2.784802923866625E-2</v>
      </c>
      <c r="D35">
        <v>7.5039768513196048E-2</v>
      </c>
      <c r="E35" s="30">
        <f>_xlfn.NORM.INV(D35,$N$4,$N$5)</f>
        <v>-5.3382147219807094E-2</v>
      </c>
      <c r="F35">
        <f t="shared" si="1"/>
        <v>146.11899876512337</v>
      </c>
    </row>
    <row r="36" spans="1:10">
      <c r="A36" s="4">
        <v>46052</v>
      </c>
      <c r="B36">
        <v>164.58</v>
      </c>
      <c r="C36" s="30">
        <f t="shared" si="0"/>
        <v>-2.6561110592569825E-2</v>
      </c>
      <c r="D36">
        <v>0.92183109519021977</v>
      </c>
      <c r="E36" s="30">
        <f>_xlfn.NORM.INV(D36,$N$4,$N$5)</f>
        <v>5.230356682041911E-2</v>
      </c>
      <c r="F36">
        <f t="shared" si="1"/>
        <v>153.96494037349296</v>
      </c>
    </row>
    <row r="37" spans="1:10">
      <c r="A37" s="7">
        <v>46051</v>
      </c>
      <c r="B37">
        <v>169.01</v>
      </c>
      <c r="C37" s="30">
        <f t="shared" si="0"/>
        <v>-2.217697159981924E-2</v>
      </c>
      <c r="D37">
        <v>0.7631654653555161</v>
      </c>
      <c r="E37" s="30">
        <f>_xlfn.NORM.INV(D37,$N$4,$N$5)</f>
        <v>2.6370928386003793E-2</v>
      </c>
      <c r="F37">
        <f t="shared" si="1"/>
        <v>158.07914810431296</v>
      </c>
    </row>
    <row r="38" spans="1:10">
      <c r="A38" s="4">
        <v>46050</v>
      </c>
      <c r="B38">
        <v>172.8</v>
      </c>
      <c r="C38" s="30">
        <f t="shared" si="0"/>
        <v>-1.2079525654600687E-2</v>
      </c>
      <c r="D38">
        <v>0.29242224193642474</v>
      </c>
      <c r="E38" s="30">
        <f>_xlfn.NORM.INV(D38,$N$4,$N$5)</f>
        <v>-2.0348150388529402E-2</v>
      </c>
      <c r="F38">
        <f t="shared" si="1"/>
        <v>154.89503509425845</v>
      </c>
    </row>
    <row r="39" spans="1:10">
      <c r="A39" s="7">
        <v>46049</v>
      </c>
      <c r="B39">
        <v>174.9</v>
      </c>
      <c r="C39" s="30">
        <f t="shared" si="0"/>
        <v>-4.2206969818943563E-2</v>
      </c>
      <c r="D39">
        <v>0.44180743240988762</v>
      </c>
      <c r="E39" s="30">
        <f>_xlfn.NORM.INV(D39,$N$4,$N$5)</f>
        <v>-5.5525463118774156E-3</v>
      </c>
      <c r="F39">
        <f t="shared" si="1"/>
        <v>154.03735659179347</v>
      </c>
    </row>
    <row r="40" spans="1:10">
      <c r="A40" s="4">
        <v>46048</v>
      </c>
      <c r="B40">
        <v>182.44</v>
      </c>
      <c r="C40" s="30">
        <f t="shared" si="0"/>
        <v>2.9368072788502175E-2</v>
      </c>
      <c r="D40">
        <v>0.15182025648499364</v>
      </c>
      <c r="E40" s="30">
        <f>_xlfn.NORM.INV(D40,$N$4,$N$5)</f>
        <v>-3.8192215565940282E-2</v>
      </c>
      <c r="F40">
        <f t="shared" si="1"/>
        <v>148.26525494256319</v>
      </c>
    </row>
    <row r="41" spans="1:10">
      <c r="A41" s="7">
        <v>46045</v>
      </c>
      <c r="B41">
        <v>177.16</v>
      </c>
      <c r="C41" s="30">
        <f t="shared" si="0"/>
        <v>-5.7409962374999068E-3</v>
      </c>
      <c r="D41">
        <v>0.42015156005718435</v>
      </c>
      <c r="E41" s="30">
        <f>_xlfn.NORM.INV(D41,$N$4,$N$5)</f>
        <v>-7.5916239458022807E-3</v>
      </c>
      <c r="F41">
        <f t="shared" si="1"/>
        <v>147.14394255913604</v>
      </c>
    </row>
    <row r="42" spans="1:10">
      <c r="A42" s="4">
        <v>46044</v>
      </c>
      <c r="B42">
        <v>178.18</v>
      </c>
      <c r="C42" s="30">
        <f t="shared" si="0"/>
        <v>2.4428869171906342E-2</v>
      </c>
      <c r="D42">
        <v>0.45319538501987588</v>
      </c>
      <c r="E42" s="30">
        <f>_xlfn.NORM.INV(D42,$N$4,$N$5)</f>
        <v>-4.4872318253116284E-3</v>
      </c>
      <c r="F42">
        <f t="shared" si="1"/>
        <v>146.48515275388073</v>
      </c>
    </row>
    <row r="43" spans="1:10">
      <c r="A43" s="7">
        <v>46043</v>
      </c>
      <c r="B43">
        <v>173.88</v>
      </c>
      <c r="C43" s="30">
        <f t="shared" si="0"/>
        <v>-3.4146901530468732E-2</v>
      </c>
      <c r="D43">
        <v>0.28702638544102566</v>
      </c>
      <c r="E43" s="30">
        <f>_xlfn.NORM.INV(D43,$N$4,$N$5)</f>
        <v>-2.0931587205965135E-2</v>
      </c>
      <c r="F43">
        <f t="shared" si="1"/>
        <v>143.45085314243477</v>
      </c>
    </row>
    <row r="44" spans="1:10">
      <c r="A44" s="4">
        <v>46042</v>
      </c>
      <c r="B44">
        <v>179.92</v>
      </c>
      <c r="C44" s="30">
        <f t="shared" si="0"/>
        <v>-6.0232213602220419E-2</v>
      </c>
      <c r="D44">
        <v>0.48032923992668519</v>
      </c>
      <c r="E44" s="30">
        <f>_xlfn.NORM.INV(D44,$N$4,$N$5)</f>
        <v>-1.9617619038258365E-3</v>
      </c>
      <c r="F44">
        <f t="shared" si="1"/>
        <v>143.16971257925618</v>
      </c>
    </row>
    <row r="45" spans="1:10">
      <c r="A45" s="7">
        <v>46038</v>
      </c>
      <c r="B45">
        <v>191.09</v>
      </c>
      <c r="C45" s="30">
        <f t="shared" si="0"/>
        <v>6.5102345754688429E-3</v>
      </c>
      <c r="D45">
        <v>0.80778791885006229</v>
      </c>
      <c r="E45" s="30">
        <f>_xlfn.NORM.INV(D45,$N$4,$N$5)</f>
        <v>3.2040487815055037E-2</v>
      </c>
      <c r="F45">
        <f t="shared" si="1"/>
        <v>147.83121970950188</v>
      </c>
    </row>
    <row r="46" spans="1:10">
      <c r="A46" s="4">
        <v>46037</v>
      </c>
      <c r="B46">
        <v>189.85</v>
      </c>
      <c r="C46" s="30">
        <f t="shared" si="0"/>
        <v>-1.9611539723262794E-2</v>
      </c>
      <c r="D46">
        <v>7.8779732123120949E-2</v>
      </c>
      <c r="E46" s="30">
        <f>_xlfn.NORM.INV(D46,$N$4,$N$5)</f>
        <v>-5.2423117785276863E-2</v>
      </c>
      <c r="F46">
        <f t="shared" si="1"/>
        <v>140.28107631355982</v>
      </c>
      <c r="I46" t="s">
        <v>30</v>
      </c>
      <c r="J46">
        <f>KURT(C2:C250)</f>
        <v>19.198332411207073</v>
      </c>
    </row>
    <row r="47" spans="1:10">
      <c r="A47" s="7">
        <v>46036</v>
      </c>
      <c r="B47">
        <v>193.61</v>
      </c>
      <c r="C47" s="30">
        <f t="shared" si="0"/>
        <v>-4.3856485013526125E-2</v>
      </c>
      <c r="D47">
        <v>0.29186258424210931</v>
      </c>
      <c r="E47" s="30">
        <f>_xlfn.NORM.INV(D47,$N$4,$N$5)</f>
        <v>-2.0408428809039477E-2</v>
      </c>
      <c r="F47">
        <f t="shared" si="1"/>
        <v>137.44717604055509</v>
      </c>
    </row>
    <row r="48" spans="1:10">
      <c r="A48" s="4">
        <v>46035</v>
      </c>
      <c r="B48">
        <v>202.29</v>
      </c>
      <c r="C48" s="30">
        <f t="shared" si="0"/>
        <v>-1.1745472522290967E-2</v>
      </c>
      <c r="D48">
        <v>0.83952784020514215</v>
      </c>
      <c r="E48" s="30">
        <f>_xlfn.NORM.INV(D48,$N$4,$N$5)</f>
        <v>3.6581477825637643E-2</v>
      </c>
      <c r="F48">
        <f t="shared" si="1"/>
        <v>142.56829483051882</v>
      </c>
    </row>
    <row r="49" spans="1:6">
      <c r="A49" s="7">
        <v>46034</v>
      </c>
      <c r="B49">
        <v>204.68</v>
      </c>
      <c r="C49" s="30">
        <f t="shared" si="0"/>
        <v>3.0557933217651545E-2</v>
      </c>
      <c r="D49">
        <v>1.7669037630797413E-2</v>
      </c>
      <c r="E49" s="30">
        <f>_xlfn.NORM.INV(D49,$N$4,$N$5)</f>
        <v>-7.7991764497821137E-2</v>
      </c>
      <c r="F49">
        <f t="shared" si="1"/>
        <v>131.87168709629552</v>
      </c>
    </row>
    <row r="50" spans="1:6">
      <c r="A50" s="4">
        <v>46031</v>
      </c>
      <c r="B50">
        <v>198.52</v>
      </c>
      <c r="C50" s="30">
        <f t="shared" si="0"/>
        <v>4.5709582584332331E-2</v>
      </c>
      <c r="D50">
        <v>0.9144631320586698</v>
      </c>
      <c r="E50" s="30">
        <f>_xlfn.NORM.INV(D50,$N$4,$N$5)</f>
        <v>5.0500620735945544E-2</v>
      </c>
      <c r="F50">
        <f t="shared" si="1"/>
        <v>138.70231295070073</v>
      </c>
    </row>
    <row r="51" spans="1:6">
      <c r="A51" s="7">
        <v>46030</v>
      </c>
      <c r="B51">
        <v>189.65</v>
      </c>
      <c r="C51" s="30">
        <f t="shared" si="0"/>
        <v>-1.6680561402513838E-2</v>
      </c>
      <c r="D51">
        <v>0.88171582143029059</v>
      </c>
      <c r="E51" s="30">
        <f>_xlfn.NORM.INV(D51,$N$4,$N$5)</f>
        <v>4.3650823864710545E-2</v>
      </c>
      <c r="F51">
        <f t="shared" si="1"/>
        <v>144.89086834838517</v>
      </c>
    </row>
    <row r="52" spans="1:6">
      <c r="A52" s="4">
        <v>46029</v>
      </c>
      <c r="B52">
        <v>192.84</v>
      </c>
      <c r="C52" s="30">
        <f t="shared" si="0"/>
        <v>-4.7078386960350826E-3</v>
      </c>
      <c r="D52">
        <v>0.11437727403593911</v>
      </c>
      <c r="E52" s="30">
        <f>_xlfn.NORM.INV(D52,$N$4,$N$5)</f>
        <v>-4.4663236341432377E-2</v>
      </c>
      <c r="F52">
        <f t="shared" si="1"/>
        <v>138.56196005801735</v>
      </c>
    </row>
    <row r="53" spans="1:6">
      <c r="A53" s="7">
        <v>46028</v>
      </c>
      <c r="B53">
        <v>193.75</v>
      </c>
      <c r="C53" s="30">
        <f t="shared" si="0"/>
        <v>6.0050912973359516E-3</v>
      </c>
      <c r="D53">
        <v>0.59644420442338952</v>
      </c>
      <c r="E53" s="30">
        <f>_xlfn.NORM.INV(D53,$N$4,$N$5)</f>
        <v>8.8956125871351259E-3</v>
      </c>
      <c r="F53">
        <f t="shared" si="1"/>
        <v>139.80005220367138</v>
      </c>
    </row>
    <row r="54" spans="1:6">
      <c r="A54" s="4">
        <v>46027</v>
      </c>
      <c r="B54">
        <v>192.59</v>
      </c>
      <c r="C54" s="30">
        <f t="shared" si="0"/>
        <v>-1.6070394780757447E-2</v>
      </c>
      <c r="D54">
        <v>0.50316794688916489</v>
      </c>
      <c r="E54" s="30">
        <f>_xlfn.NORM.INV(D54,$N$4,$N$5)</f>
        <v>1.56883317159748E-4</v>
      </c>
      <c r="F54">
        <f t="shared" si="1"/>
        <v>139.82198622009585</v>
      </c>
    </row>
    <row r="55" spans="1:6">
      <c r="A55" s="7">
        <v>46024</v>
      </c>
      <c r="B55">
        <v>195.71</v>
      </c>
      <c r="C55" s="30">
        <f t="shared" si="0"/>
        <v>4.0960581563282972E-3</v>
      </c>
      <c r="D55">
        <v>0.79333658156918707</v>
      </c>
      <c r="E55" s="30">
        <f>_xlfn.NORM.INV(D55,$N$4,$N$5)</f>
        <v>3.0127084889424716E-2</v>
      </c>
      <c r="F55">
        <f t="shared" si="1"/>
        <v>144.09851122666225</v>
      </c>
    </row>
    <row r="56" spans="1:6">
      <c r="A56" s="4">
        <v>46022</v>
      </c>
      <c r="B56">
        <v>194.91</v>
      </c>
      <c r="C56" s="30">
        <f t="shared" si="0"/>
        <v>-1.1731237261427552E-2</v>
      </c>
      <c r="D56">
        <v>0.3458651387332311</v>
      </c>
      <c r="E56" s="30">
        <f>_xlfn.NORM.INV(D56,$N$4,$N$5)</f>
        <v>-1.4805757239079082E-2</v>
      </c>
      <c r="F56">
        <f t="shared" si="1"/>
        <v>141.9807399410237</v>
      </c>
    </row>
    <row r="57" spans="1:6">
      <c r="A57" s="7">
        <v>46021</v>
      </c>
      <c r="B57">
        <v>197.21</v>
      </c>
      <c r="C57" s="30">
        <f t="shared" si="0"/>
        <v>9.322770597180785E-3</v>
      </c>
      <c r="D57">
        <v>0.33710342352896217</v>
      </c>
      <c r="E57" s="30">
        <f>_xlfn.NORM.INV(D57,$N$4,$N$5)</f>
        <v>-1.5688955471502921E-2</v>
      </c>
      <c r="F57">
        <f t="shared" si="1"/>
        <v>139.77059321527989</v>
      </c>
    </row>
    <row r="58" spans="1:6">
      <c r="A58" s="4">
        <v>46020</v>
      </c>
      <c r="B58">
        <v>195.38</v>
      </c>
      <c r="C58" s="30">
        <f t="shared" si="0"/>
        <v>-1.3270144143811002E-2</v>
      </c>
      <c r="D58">
        <v>0.13219747363829748</v>
      </c>
      <c r="E58" s="30">
        <f>_xlfn.NORM.INV(D58,$N$4,$N$5)</f>
        <v>-4.1425801401729016E-2</v>
      </c>
      <c r="F58">
        <f t="shared" si="1"/>
        <v>134.09877527339049</v>
      </c>
    </row>
    <row r="59" spans="1:6">
      <c r="A59" s="7">
        <v>46017</v>
      </c>
      <c r="B59">
        <v>197.99</v>
      </c>
      <c r="C59" s="30">
        <f t="shared" si="0"/>
        <v>2.5285742207126205E-3</v>
      </c>
      <c r="D59">
        <v>7.0828405335336631E-2</v>
      </c>
      <c r="E59" s="30">
        <f>_xlfn.NORM.INV(D59,$N$4,$N$5)</f>
        <v>-5.4506744513234125E-2</v>
      </c>
      <c r="F59">
        <f t="shared" si="1"/>
        <v>126.98511981684111</v>
      </c>
    </row>
    <row r="60" spans="1:6">
      <c r="A60" s="4">
        <v>46015</v>
      </c>
      <c r="B60">
        <v>197.49</v>
      </c>
      <c r="C60" s="30">
        <f t="shared" si="0"/>
        <v>1.0946320128564224E-2</v>
      </c>
      <c r="D60">
        <v>0.20029816147558455</v>
      </c>
      <c r="E60" s="30">
        <f>_xlfn.NORM.INV(D60,$N$4,$N$5)</f>
        <v>-3.1233392630279813E-2</v>
      </c>
      <c r="F60">
        <f t="shared" si="1"/>
        <v>123.08024243256136</v>
      </c>
    </row>
    <row r="61" spans="1:6">
      <c r="A61" s="7">
        <v>46014</v>
      </c>
      <c r="B61">
        <v>195.34</v>
      </c>
      <c r="C61" s="30">
        <f t="shared" si="0"/>
        <v>-1.5442753298517076E-2</v>
      </c>
      <c r="D61">
        <v>0.28451985863727514</v>
      </c>
      <c r="E61" s="30">
        <f>_xlfn.NORM.INV(D61,$N$4,$N$5)</f>
        <v>-2.1204370453418265E-2</v>
      </c>
      <c r="F61">
        <f t="shared" si="1"/>
        <v>120.49787883103227</v>
      </c>
    </row>
    <row r="62" spans="1:6">
      <c r="A62" s="4">
        <v>46013</v>
      </c>
      <c r="B62">
        <v>198.38</v>
      </c>
      <c r="C62" s="30">
        <f t="shared" si="0"/>
        <v>3.2845273498368854E-2</v>
      </c>
      <c r="D62">
        <v>0.85071639918093833</v>
      </c>
      <c r="E62" s="30">
        <f>_xlfn.NORM.INV(D62,$N$4,$N$5)</f>
        <v>3.8319940890584762E-2</v>
      </c>
      <c r="F62">
        <f t="shared" si="1"/>
        <v>125.20496201701268</v>
      </c>
    </row>
    <row r="63" spans="1:6">
      <c r="A63" s="7">
        <v>46010</v>
      </c>
      <c r="B63">
        <v>191.97</v>
      </c>
      <c r="C63" s="30">
        <f t="shared" si="0"/>
        <v>6.4215606149947924E-2</v>
      </c>
      <c r="D63">
        <v>0.48754566129041388</v>
      </c>
      <c r="E63" s="30">
        <f>_xlfn.NORM.INV(D63,$N$4,$N$5)</f>
        <v>-1.2920092186889491E-3</v>
      </c>
      <c r="F63">
        <f t="shared" si="1"/>
        <v>125.0433005084291</v>
      </c>
    </row>
    <row r="64" spans="1:6">
      <c r="A64" s="4">
        <v>46009</v>
      </c>
      <c r="B64">
        <v>180.03</v>
      </c>
      <c r="C64" s="30">
        <f t="shared" si="0"/>
        <v>8.7590171975255871E-3</v>
      </c>
      <c r="D64">
        <v>0.59396839827224612</v>
      </c>
      <c r="E64" s="30">
        <f>_xlfn.NORM.INV(D64,$N$4,$N$5)</f>
        <v>8.659260383995818E-3</v>
      </c>
      <c r="F64">
        <f t="shared" si="1"/>
        <v>126.13078461562208</v>
      </c>
    </row>
    <row r="65" spans="1:6">
      <c r="A65" s="7">
        <v>46008</v>
      </c>
      <c r="B65">
        <v>178.46</v>
      </c>
      <c r="C65" s="30">
        <f t="shared" si="0"/>
        <v>-5.5528959938314415E-2</v>
      </c>
      <c r="D65">
        <v>0.79223083013121909</v>
      </c>
      <c r="E65" s="30">
        <f>_xlfn.NORM.INV(D65,$N$4,$N$5)</f>
        <v>2.9984023243050235E-2</v>
      </c>
      <c r="F65">
        <f t="shared" si="1"/>
        <v>129.96996236319487</v>
      </c>
    </row>
    <row r="66" spans="1:6">
      <c r="A66" s="4">
        <v>46007</v>
      </c>
      <c r="B66">
        <v>188.65</v>
      </c>
      <c r="C66" s="30">
        <f t="shared" ref="C66:C129" si="2">LN(B66)-LN(B67)</f>
        <v>1.9970147290295337E-2</v>
      </c>
      <c r="D66">
        <v>0.96753412518163662</v>
      </c>
      <c r="E66" s="30">
        <f>_xlfn.NORM.INV(D66,$N$4,$N$5)</f>
        <v>6.8146033170665171E-2</v>
      </c>
      <c r="F66">
        <f t="shared" si="1"/>
        <v>139.13565579531462</v>
      </c>
    </row>
    <row r="67" spans="1:6">
      <c r="A67" s="7">
        <v>46006</v>
      </c>
      <c r="B67">
        <v>184.92</v>
      </c>
      <c r="C67" s="30">
        <f t="shared" si="2"/>
        <v>-2.6942865836933727E-2</v>
      </c>
      <c r="D67">
        <v>3.0089003804700365E-2</v>
      </c>
      <c r="E67" s="30">
        <f>_xlfn.NORM.INV(D67,$N$4,$N$5)</f>
        <v>-6.9668753160724975E-2</v>
      </c>
      <c r="F67">
        <f t="shared" si="1"/>
        <v>129.77220510607265</v>
      </c>
    </row>
    <row r="68" spans="1:6">
      <c r="A68" s="4">
        <v>46003</v>
      </c>
      <c r="B68">
        <v>189.97</v>
      </c>
      <c r="C68" s="30">
        <f t="shared" si="2"/>
        <v>-4.5684606696741348E-2</v>
      </c>
      <c r="D68">
        <v>0.78170419240342515</v>
      </c>
      <c r="E68" s="30">
        <f>_xlfn.NORM.INV(D68,$N$4,$N$5)</f>
        <v>2.8643895162277166E-2</v>
      </c>
      <c r="F68">
        <f t="shared" ref="F68:F131" si="3">F67*EXP(E68)</f>
        <v>133.54313579041121</v>
      </c>
    </row>
    <row r="69" spans="1:6">
      <c r="A69" s="7">
        <v>46002</v>
      </c>
      <c r="B69">
        <v>198.85</v>
      </c>
      <c r="C69" s="30">
        <f t="shared" si="2"/>
        <v>-0.1146658418503268</v>
      </c>
      <c r="D69">
        <v>0.63562361615582208</v>
      </c>
      <c r="E69" s="30">
        <f>_xlfn.NORM.INV(D69,$N$4,$N$5)</f>
        <v>1.2692464954897268E-2</v>
      </c>
      <c r="F69">
        <f t="shared" si="3"/>
        <v>135.24892982687822</v>
      </c>
    </row>
    <row r="70" spans="1:6">
      <c r="A70" s="4">
        <v>46001</v>
      </c>
      <c r="B70">
        <v>223.01</v>
      </c>
      <c r="C70" s="30">
        <f t="shared" si="2"/>
        <v>6.6585930094422707E-3</v>
      </c>
      <c r="D70">
        <v>0.81374016276863625</v>
      </c>
      <c r="E70" s="30">
        <f>_xlfn.NORM.INV(D70,$N$4,$N$5)</f>
        <v>3.2854010721363743E-2</v>
      </c>
      <c r="F70">
        <f t="shared" si="3"/>
        <v>139.76619849840111</v>
      </c>
    </row>
    <row r="71" spans="1:6">
      <c r="A71" s="7">
        <v>46000</v>
      </c>
      <c r="B71">
        <v>221.53</v>
      </c>
      <c r="C71" s="30">
        <f t="shared" si="2"/>
        <v>4.4789361640518166E-3</v>
      </c>
      <c r="D71">
        <v>0.73179680720183715</v>
      </c>
      <c r="E71" s="30">
        <f>_xlfn.NORM.INV(D71,$N$4,$N$5)</f>
        <v>2.2735576484425705E-2</v>
      </c>
      <c r="F71">
        <f t="shared" si="3"/>
        <v>142.98026194059238</v>
      </c>
    </row>
    <row r="72" spans="1:6">
      <c r="A72" s="4">
        <v>45999</v>
      </c>
      <c r="B72">
        <v>220.54</v>
      </c>
      <c r="C72" s="30">
        <f t="shared" si="2"/>
        <v>1.3512485337595415E-2</v>
      </c>
      <c r="D72">
        <v>4.8064403011159551E-2</v>
      </c>
      <c r="E72" s="30">
        <f>_xlfn.NORM.INV(D72,$N$4,$N$5)</f>
        <v>-6.1693748106268598E-2</v>
      </c>
      <c r="F72">
        <f t="shared" si="3"/>
        <v>134.42586321877494</v>
      </c>
    </row>
    <row r="73" spans="1:6">
      <c r="A73" s="7">
        <v>45996</v>
      </c>
      <c r="B73">
        <v>217.58</v>
      </c>
      <c r="C73" s="30">
        <f t="shared" si="2"/>
        <v>1.5049715643895567E-2</v>
      </c>
      <c r="D73">
        <v>0.42572748175418507</v>
      </c>
      <c r="E73" s="30">
        <f>_xlfn.NORM.INV(D73,$N$4,$N$5)</f>
        <v>-7.064685890616762E-3</v>
      </c>
      <c r="F73">
        <f t="shared" si="3"/>
        <v>133.47953341688222</v>
      </c>
    </row>
    <row r="74" spans="1:6">
      <c r="A74" s="4">
        <v>45995</v>
      </c>
      <c r="B74">
        <v>214.33</v>
      </c>
      <c r="C74" s="30">
        <f t="shared" si="2"/>
        <v>3.1277723802448421E-2</v>
      </c>
      <c r="D74">
        <v>0.39025043984854046</v>
      </c>
      <c r="E74" s="30">
        <f>_xlfn.NORM.INV(D74,$N$4,$N$5)</f>
        <v>-1.0446189707354052E-2</v>
      </c>
      <c r="F74">
        <f t="shared" si="3"/>
        <v>132.0924384310693</v>
      </c>
    </row>
    <row r="75" spans="1:6">
      <c r="A75" s="7">
        <v>45994</v>
      </c>
      <c r="B75">
        <v>207.73</v>
      </c>
      <c r="C75" s="30">
        <f t="shared" si="2"/>
        <v>3.2436862767986518E-2</v>
      </c>
      <c r="D75">
        <v>0.10012676650496366</v>
      </c>
      <c r="E75" s="30">
        <f>_xlfn.NORM.INV(D75,$N$4,$N$5)</f>
        <v>-4.7521342227043191E-2</v>
      </c>
      <c r="F75">
        <f t="shared" si="3"/>
        <v>125.96204437025706</v>
      </c>
    </row>
    <row r="76" spans="1:6">
      <c r="A76" s="4">
        <v>45993</v>
      </c>
      <c r="B76">
        <v>201.1</v>
      </c>
      <c r="C76" s="30">
        <f t="shared" si="2"/>
        <v>7.9594074443800622E-4</v>
      </c>
      <c r="D76">
        <v>0.42511492610605184</v>
      </c>
      <c r="E76" s="30">
        <f>_xlfn.NORM.INV(D76,$N$4,$N$5)</f>
        <v>-7.1225032746583669E-3</v>
      </c>
      <c r="F76">
        <f t="shared" si="3"/>
        <v>125.06806675528341</v>
      </c>
    </row>
    <row r="77" spans="1:6">
      <c r="A77" s="7">
        <v>45992</v>
      </c>
      <c r="B77">
        <v>200.94</v>
      </c>
      <c r="C77" s="30">
        <f t="shared" si="2"/>
        <v>-5.013785975253704E-3</v>
      </c>
      <c r="D77">
        <v>0.99406411637224878</v>
      </c>
      <c r="E77" s="30">
        <f>_xlfn.NORM.INV(D77,$N$4,$N$5)</f>
        <v>9.2940368925108804E-2</v>
      </c>
      <c r="F77">
        <f t="shared" si="3"/>
        <v>137.24923300456086</v>
      </c>
    </row>
    <row r="78" spans="1:6">
      <c r="A78" s="4">
        <v>45989</v>
      </c>
      <c r="B78">
        <v>201.95</v>
      </c>
      <c r="C78" s="30">
        <f t="shared" si="2"/>
        <v>-1.4794696139001751E-2</v>
      </c>
      <c r="D78">
        <v>0.83171217360375549</v>
      </c>
      <c r="E78" s="30">
        <f>_xlfn.NORM.INV(D78,$N$4,$N$5)</f>
        <v>3.5413693292785813E-2</v>
      </c>
      <c r="F78">
        <f t="shared" si="3"/>
        <v>142.1968244234177</v>
      </c>
    </row>
    <row r="79" spans="1:6">
      <c r="A79" s="7">
        <v>45987</v>
      </c>
      <c r="B79">
        <v>204.96</v>
      </c>
      <c r="C79" s="30">
        <f t="shared" si="2"/>
        <v>3.9458836740546843E-2</v>
      </c>
      <c r="D79">
        <v>0.86128772778987572</v>
      </c>
      <c r="E79" s="30">
        <f>_xlfn.NORM.INV(D79,$N$4,$N$5)</f>
        <v>4.0044364929858654E-2</v>
      </c>
      <c r="F79">
        <f t="shared" si="3"/>
        <v>148.0065530705275</v>
      </c>
    </row>
    <row r="80" spans="1:6">
      <c r="A80" s="4">
        <v>45986</v>
      </c>
      <c r="B80">
        <v>197.03</v>
      </c>
      <c r="C80" s="30">
        <f t="shared" si="2"/>
        <v>-1.6360386053866804E-2</v>
      </c>
      <c r="D80">
        <v>0.4580381292270701</v>
      </c>
      <c r="E80" s="30">
        <f>_xlfn.NORM.INV(D80,$N$4,$N$5)</f>
        <v>-4.0353472518475158E-3</v>
      </c>
      <c r="F80">
        <f t="shared" si="3"/>
        <v>147.41049868539835</v>
      </c>
    </row>
    <row r="81" spans="1:6">
      <c r="A81" s="7">
        <v>45985</v>
      </c>
      <c r="B81">
        <v>200.28</v>
      </c>
      <c r="C81" s="30">
        <f t="shared" si="2"/>
        <v>7.6183207276239173E-3</v>
      </c>
      <c r="D81">
        <v>0.31474397814190813</v>
      </c>
      <c r="E81" s="30">
        <f>_xlfn.NORM.INV(D81,$N$4,$N$5)</f>
        <v>-1.7985104910977011E-2</v>
      </c>
      <c r="F81">
        <f t="shared" si="3"/>
        <v>144.78300410897702</v>
      </c>
    </row>
    <row r="82" spans="1:6">
      <c r="A82" s="4">
        <v>45982</v>
      </c>
      <c r="B82">
        <v>198.76</v>
      </c>
      <c r="C82" s="30">
        <f t="shared" si="2"/>
        <v>-5.8289792104918803E-2</v>
      </c>
      <c r="D82">
        <v>3.5405473840093626E-2</v>
      </c>
      <c r="E82" s="30">
        <f>_xlfn.NORM.INV(D82,$N$4,$N$5)</f>
        <v>-6.6975538002939511E-2</v>
      </c>
      <c r="F82">
        <f t="shared" si="3"/>
        <v>135.40368288181901</v>
      </c>
    </row>
    <row r="83" spans="1:6">
      <c r="A83" s="7">
        <v>45981</v>
      </c>
      <c r="B83">
        <v>210.69</v>
      </c>
      <c r="C83" s="30">
        <f t="shared" si="2"/>
        <v>-6.8065328948978987E-2</v>
      </c>
      <c r="D83">
        <v>9.928560281635157E-2</v>
      </c>
      <c r="E83" s="30">
        <f>_xlfn.NORM.INV(D83,$N$4,$N$5)</f>
        <v>-4.7699042139841046E-2</v>
      </c>
      <c r="F83">
        <f t="shared" si="3"/>
        <v>129.0966718615868</v>
      </c>
    </row>
    <row r="84" spans="1:6">
      <c r="A84" s="4">
        <v>45980</v>
      </c>
      <c r="B84">
        <v>225.53</v>
      </c>
      <c r="C84" s="30">
        <f t="shared" si="2"/>
        <v>2.2600845403449199E-2</v>
      </c>
      <c r="D84">
        <v>0.47870839710424384</v>
      </c>
      <c r="E84" s="30">
        <f>_xlfn.NORM.INV(D84,$N$4,$N$5)</f>
        <v>-2.1122660473098655E-3</v>
      </c>
      <c r="F84">
        <f t="shared" si="3"/>
        <v>128.8242731353626</v>
      </c>
    </row>
    <row r="85" spans="1:6">
      <c r="A85" s="7">
        <v>45979</v>
      </c>
      <c r="B85">
        <v>220.49</v>
      </c>
      <c r="C85" s="30">
        <f t="shared" si="2"/>
        <v>2.8613622338502509E-3</v>
      </c>
      <c r="D85">
        <v>0.31813666489552339</v>
      </c>
      <c r="E85" s="30">
        <f>_xlfn.NORM.INV(D85,$N$4,$N$5)</f>
        <v>-1.7632467757155643E-2</v>
      </c>
      <c r="F85">
        <f t="shared" si="3"/>
        <v>126.57269209317407</v>
      </c>
    </row>
    <row r="86" spans="1:6">
      <c r="A86" s="4">
        <v>45978</v>
      </c>
      <c r="B86">
        <v>219.86</v>
      </c>
      <c r="C86" s="30">
        <f t="shared" si="2"/>
        <v>-1.35079192418468E-2</v>
      </c>
      <c r="D86">
        <v>0.63111543178505347</v>
      </c>
      <c r="E86" s="30">
        <f>_xlfn.NORM.INV(D86,$N$4,$N$5)</f>
        <v>1.2249409139613291E-2</v>
      </c>
      <c r="F86">
        <f t="shared" si="3"/>
        <v>128.13266766816966</v>
      </c>
    </row>
    <row r="87" spans="1:6">
      <c r="A87" s="7">
        <v>45975</v>
      </c>
      <c r="B87">
        <v>222.85</v>
      </c>
      <c r="C87" s="30">
        <f t="shared" si="2"/>
        <v>2.3978261562453973E-2</v>
      </c>
      <c r="D87">
        <v>0.34092578346717317</v>
      </c>
      <c r="E87" s="30">
        <f>_xlfn.NORM.INV(D87,$N$4,$N$5)</f>
        <v>-1.5302593304607081E-2</v>
      </c>
      <c r="F87">
        <f t="shared" si="3"/>
        <v>126.18683170511495</v>
      </c>
    </row>
    <row r="88" spans="1:6">
      <c r="A88" s="4">
        <v>45974</v>
      </c>
      <c r="B88">
        <v>217.57</v>
      </c>
      <c r="C88" s="30">
        <f t="shared" si="2"/>
        <v>-4.2385325817499542E-2</v>
      </c>
      <c r="D88">
        <v>7.8117479971600012E-3</v>
      </c>
      <c r="E88" s="30">
        <f>_xlfn.NORM.INV(D88,$N$4,$N$5)</f>
        <v>-8.9576084957730728E-2</v>
      </c>
      <c r="F88">
        <f t="shared" si="3"/>
        <v>115.3749794899782</v>
      </c>
    </row>
    <row r="89" spans="1:6">
      <c r="A89" s="7">
        <v>45973</v>
      </c>
      <c r="B89">
        <v>226.99</v>
      </c>
      <c r="C89" s="30">
        <f t="shared" si="2"/>
        <v>-3.9561232694516058E-2</v>
      </c>
      <c r="D89">
        <v>0.24834405555664663</v>
      </c>
      <c r="E89" s="30">
        <f>_xlfn.NORM.INV(D89,$N$4,$N$5)</f>
        <v>-2.5282848403159995E-2</v>
      </c>
      <c r="F89">
        <f t="shared" si="3"/>
        <v>112.49453769590295</v>
      </c>
    </row>
    <row r="90" spans="1:6">
      <c r="A90" s="4">
        <v>45972</v>
      </c>
      <c r="B90">
        <v>236.15</v>
      </c>
      <c r="C90" s="30">
        <f t="shared" si="2"/>
        <v>-1.9624094050116447E-2</v>
      </c>
      <c r="D90">
        <v>0.56980106815288845</v>
      </c>
      <c r="E90" s="30">
        <f>_xlfn.NORM.INV(D90,$N$4,$N$5)</f>
        <v>6.3693551617222798E-3</v>
      </c>
      <c r="F90">
        <f t="shared" si="3"/>
        <v>113.21334209040467</v>
      </c>
    </row>
    <row r="91" spans="1:6">
      <c r="A91" s="7">
        <v>45971</v>
      </c>
      <c r="B91">
        <v>240.83</v>
      </c>
      <c r="C91" s="30">
        <f t="shared" si="2"/>
        <v>6.5404636494852397E-3</v>
      </c>
      <c r="D91">
        <v>0.74938406487553855</v>
      </c>
      <c r="E91" s="30">
        <f>_xlfn.NORM.INV(D91,$N$4,$N$5)</f>
        <v>2.4744279404427246E-2</v>
      </c>
      <c r="F91">
        <f t="shared" si="3"/>
        <v>116.0496714045662</v>
      </c>
    </row>
    <row r="92" spans="1:6">
      <c r="A92" s="4">
        <v>45968</v>
      </c>
      <c r="B92">
        <v>239.26</v>
      </c>
      <c r="C92" s="30">
        <f t="shared" si="2"/>
        <v>-1.8797390304413852E-2</v>
      </c>
      <c r="D92">
        <v>0.39333901235166391</v>
      </c>
      <c r="E92" s="30">
        <f>_xlfn.NORM.INV(D92,$N$4,$N$5)</f>
        <v>-1.0148767845880018E-2</v>
      </c>
      <c r="F92">
        <f t="shared" si="3"/>
        <v>114.87786647670715</v>
      </c>
    </row>
    <row r="93" spans="1:6">
      <c r="A93" s="7">
        <v>45967</v>
      </c>
      <c r="B93">
        <v>243.8</v>
      </c>
      <c r="C93" s="30">
        <f t="shared" si="2"/>
        <v>-2.6351932650025667E-2</v>
      </c>
      <c r="D93">
        <v>0.66831975087963436</v>
      </c>
      <c r="E93" s="30">
        <f>_xlfn.NORM.INV(D93,$N$4,$N$5)</f>
        <v>1.5966278395439657E-2</v>
      </c>
      <c r="F93">
        <f t="shared" si="3"/>
        <v>116.72675916525068</v>
      </c>
    </row>
    <row r="94" spans="1:6">
      <c r="A94" s="4">
        <v>45966</v>
      </c>
      <c r="B94">
        <v>250.31</v>
      </c>
      <c r="C94" s="30">
        <f t="shared" si="2"/>
        <v>8.5861544980039284E-3</v>
      </c>
      <c r="D94">
        <v>0.27386426810838627</v>
      </c>
      <c r="E94" s="30">
        <f>_xlfn.NORM.INV(D94,$N$4,$N$5)</f>
        <v>-2.237715337348006E-2</v>
      </c>
      <c r="F94">
        <f t="shared" si="3"/>
        <v>114.14375450131809</v>
      </c>
    </row>
    <row r="95" spans="1:6">
      <c r="A95" s="7">
        <v>45965</v>
      </c>
      <c r="B95">
        <v>248.17</v>
      </c>
      <c r="C95" s="30">
        <f t="shared" si="2"/>
        <v>-3.8264025297774396E-2</v>
      </c>
      <c r="D95">
        <v>0.88830584254591705</v>
      </c>
      <c r="E95" s="30">
        <f>_xlfn.NORM.INV(D95,$N$4,$N$5)</f>
        <v>4.4907173189903941E-2</v>
      </c>
      <c r="F95">
        <f t="shared" si="3"/>
        <v>119.38646446391334</v>
      </c>
    </row>
    <row r="96" spans="1:6">
      <c r="A96" s="4">
        <v>45964</v>
      </c>
      <c r="B96">
        <v>257.85000000000002</v>
      </c>
      <c r="C96" s="30">
        <f t="shared" si="2"/>
        <v>-1.8292021377825485E-2</v>
      </c>
      <c r="D96">
        <v>0.47804160709452115</v>
      </c>
      <c r="E96" s="30">
        <f>_xlfn.NORM.INV(D96,$N$4,$N$5)</f>
        <v>-2.1741905063923281E-3</v>
      </c>
      <c r="F96">
        <f t="shared" si="3"/>
        <v>119.12717751803193</v>
      </c>
    </row>
    <row r="97" spans="1:6">
      <c r="A97" s="7">
        <v>45961</v>
      </c>
      <c r="B97">
        <v>262.61</v>
      </c>
      <c r="C97" s="30">
        <f t="shared" si="2"/>
        <v>2.20220641685831E-2</v>
      </c>
      <c r="D97">
        <v>0.6307482785480254</v>
      </c>
      <c r="E97" s="30">
        <f>_xlfn.NORM.INV(D97,$N$4,$N$5)</f>
        <v>1.2213404980602775E-2</v>
      </c>
      <c r="F97">
        <f t="shared" si="3"/>
        <v>120.5910472011545</v>
      </c>
    </row>
    <row r="98" spans="1:6">
      <c r="A98" s="4">
        <v>45960</v>
      </c>
      <c r="B98">
        <v>256.89</v>
      </c>
      <c r="C98" s="30">
        <f t="shared" si="2"/>
        <v>-6.921343444235184E-2</v>
      </c>
      <c r="D98">
        <v>0.37333066294705186</v>
      </c>
      <c r="E98" s="30">
        <f>_xlfn.NORM.INV(D98,$N$4,$N$5)</f>
        <v>-1.2087974953644765E-2</v>
      </c>
      <c r="F98">
        <f t="shared" si="3"/>
        <v>119.1421205802542</v>
      </c>
    </row>
    <row r="99" spans="1:6">
      <c r="A99" s="7">
        <v>45959</v>
      </c>
      <c r="B99">
        <v>275.3</v>
      </c>
      <c r="C99" s="30">
        <f t="shared" si="2"/>
        <v>-1.9888091903201399E-2</v>
      </c>
      <c r="D99">
        <v>0.62134023903009139</v>
      </c>
      <c r="E99" s="30">
        <f>_xlfn.NORM.INV(D99,$N$4,$N$5)</f>
        <v>1.1294697793128219E-2</v>
      </c>
      <c r="F99">
        <f t="shared" si="3"/>
        <v>120.4954230109047</v>
      </c>
    </row>
    <row r="100" spans="1:6">
      <c r="A100" s="4">
        <v>45958</v>
      </c>
      <c r="B100">
        <v>280.83</v>
      </c>
      <c r="C100" s="30">
        <f t="shared" si="2"/>
        <v>-2.0276406285253401E-3</v>
      </c>
      <c r="D100">
        <v>0.58174916035453916</v>
      </c>
      <c r="E100" s="30">
        <f>_xlfn.NORM.INV(D100,$N$4,$N$5)</f>
        <v>7.4978012940258663E-3</v>
      </c>
      <c r="F100">
        <f t="shared" si="3"/>
        <v>121.40226917731462</v>
      </c>
    </row>
    <row r="101" spans="1:6">
      <c r="A101" s="7">
        <v>45957</v>
      </c>
      <c r="B101">
        <v>281.39999999999998</v>
      </c>
      <c r="C101" s="30">
        <f t="shared" si="2"/>
        <v>-6.8351513608764236E-3</v>
      </c>
      <c r="D101">
        <v>0.2539071453615116</v>
      </c>
      <c r="E101" s="30">
        <f>_xlfn.NORM.INV(D101,$N$4,$N$5)</f>
        <v>-2.4636724891989707E-2</v>
      </c>
      <c r="F101">
        <f t="shared" si="3"/>
        <v>118.44785781494326</v>
      </c>
    </row>
    <row r="102" spans="1:6">
      <c r="A102" s="4">
        <v>45954</v>
      </c>
      <c r="B102">
        <v>283.33</v>
      </c>
      <c r="C102" s="30">
        <f t="shared" si="2"/>
        <v>1.1572724116708066E-2</v>
      </c>
      <c r="D102">
        <v>0.88573919151361225</v>
      </c>
      <c r="E102" s="30">
        <f>_xlfn.NORM.INV(D102,$N$4,$N$5)</f>
        <v>4.4411742076495557E-2</v>
      </c>
      <c r="F102">
        <f t="shared" si="3"/>
        <v>123.82689563924592</v>
      </c>
    </row>
    <row r="103" spans="1:6">
      <c r="A103" s="7">
        <v>45953</v>
      </c>
      <c r="B103">
        <v>280.07</v>
      </c>
      <c r="C103" s="30">
        <f t="shared" si="2"/>
        <v>2.6813974166473464E-2</v>
      </c>
      <c r="D103">
        <v>0.78073145735328686</v>
      </c>
      <c r="E103" s="30">
        <f>_xlfn.NORM.INV(D103,$N$4,$N$5)</f>
        <v>2.8521969338605752E-2</v>
      </c>
      <c r="F103">
        <f t="shared" si="3"/>
        <v>127.40953160617643</v>
      </c>
    </row>
    <row r="104" spans="1:6">
      <c r="A104" s="4">
        <v>45952</v>
      </c>
      <c r="B104">
        <v>272.66000000000003</v>
      </c>
      <c r="C104" s="30">
        <f t="shared" si="2"/>
        <v>-9.0908057477845361E-3</v>
      </c>
      <c r="D104">
        <v>0.22895311748780822</v>
      </c>
      <c r="E104" s="30">
        <f>_xlfn.NORM.INV(D104,$N$4,$N$5)</f>
        <v>-2.7598334422461263E-2</v>
      </c>
      <c r="F104">
        <f t="shared" si="3"/>
        <v>123.94131931833412</v>
      </c>
    </row>
    <row r="105" spans="1:6">
      <c r="A105" s="7">
        <v>45951</v>
      </c>
      <c r="B105">
        <v>275.14999999999998</v>
      </c>
      <c r="C105" s="30">
        <f t="shared" si="2"/>
        <v>-7.350711134888499E-3</v>
      </c>
      <c r="D105">
        <v>0.39469107496602929</v>
      </c>
      <c r="E105" s="30">
        <f>_xlfn.NORM.INV(D105,$N$4,$N$5)</f>
        <v>-1.0018772071404806E-2</v>
      </c>
      <c r="F105">
        <f t="shared" si="3"/>
        <v>122.70577912250145</v>
      </c>
    </row>
    <row r="106" spans="1:6">
      <c r="A106" s="4">
        <v>45950</v>
      </c>
      <c r="B106">
        <v>277.18</v>
      </c>
      <c r="C106" s="30">
        <f t="shared" si="2"/>
        <v>-4.9720877606090674E-2</v>
      </c>
      <c r="D106">
        <v>0.10812421717165832</v>
      </c>
      <c r="E106" s="30">
        <f>_xlfn.NORM.INV(D106,$N$4,$N$5)</f>
        <v>-4.5883787260236369E-2</v>
      </c>
      <c r="F106">
        <f t="shared" si="3"/>
        <v>117.20278773095971</v>
      </c>
    </row>
    <row r="107" spans="1:6">
      <c r="A107" s="7">
        <v>45947</v>
      </c>
      <c r="B107">
        <v>291.31</v>
      </c>
      <c r="C107" s="30">
        <f t="shared" si="2"/>
        <v>-7.1815198293405658E-2</v>
      </c>
      <c r="D107">
        <v>0.96949696414243458</v>
      </c>
      <c r="E107" s="30">
        <f>_xlfn.NORM.INV(D107,$N$4,$N$5)</f>
        <v>6.9171675673177641E-2</v>
      </c>
      <c r="F107">
        <f t="shared" si="3"/>
        <v>125.59687066467485</v>
      </c>
    </row>
    <row r="108" spans="1:6">
      <c r="A108" s="4">
        <v>45946</v>
      </c>
      <c r="B108">
        <v>313</v>
      </c>
      <c r="C108" s="30">
        <f t="shared" si="2"/>
        <v>3.0426271035583596E-2</v>
      </c>
      <c r="D108">
        <v>0.73234680750069736</v>
      </c>
      <c r="E108" s="30">
        <f>_xlfn.NORM.INV(D108,$N$4,$N$5)</f>
        <v>2.2797353122158078E-2</v>
      </c>
      <c r="F108">
        <f t="shared" si="3"/>
        <v>128.49303387235253</v>
      </c>
    </row>
    <row r="109" spans="1:6">
      <c r="A109" s="7">
        <v>45945</v>
      </c>
      <c r="B109">
        <v>303.62</v>
      </c>
      <c r="C109" s="30">
        <f t="shared" si="2"/>
        <v>1.5333346113882484E-2</v>
      </c>
      <c r="D109">
        <v>0.27806818883433926</v>
      </c>
      <c r="E109" s="30">
        <f>_xlfn.NORM.INV(D109,$N$4,$N$5)</f>
        <v>-2.1911851301426803E-2</v>
      </c>
      <c r="F109">
        <f t="shared" si="3"/>
        <v>125.70813617796348</v>
      </c>
    </row>
    <row r="110" spans="1:6">
      <c r="A110" s="4">
        <v>45944</v>
      </c>
      <c r="B110">
        <v>299</v>
      </c>
      <c r="C110" s="30">
        <f t="shared" si="2"/>
        <v>-2.968867658829577E-2</v>
      </c>
      <c r="D110">
        <v>0.7517891460586188</v>
      </c>
      <c r="E110" s="30">
        <f>_xlfn.NORM.INV(D110,$N$4,$N$5)</f>
        <v>2.5024626560413838E-2</v>
      </c>
      <c r="F110">
        <f t="shared" si="3"/>
        <v>128.89362696381676</v>
      </c>
    </row>
    <row r="111" spans="1:6">
      <c r="A111" s="7">
        <v>45943</v>
      </c>
      <c r="B111">
        <v>308.01</v>
      </c>
      <c r="C111" s="30">
        <f t="shared" si="2"/>
        <v>5.0096169052782358E-2</v>
      </c>
      <c r="D111">
        <v>0.84162241626324663</v>
      </c>
      <c r="E111" s="30">
        <f>_xlfn.NORM.INV(D111,$N$4,$N$5)</f>
        <v>3.69007086917853E-2</v>
      </c>
      <c r="F111">
        <f t="shared" si="3"/>
        <v>133.73873737740522</v>
      </c>
    </row>
    <row r="112" spans="1:6">
      <c r="A112" s="4">
        <v>45940</v>
      </c>
      <c r="B112">
        <v>292.95999999999998</v>
      </c>
      <c r="C112" s="30">
        <f t="shared" si="2"/>
        <v>-1.3561368671635599E-2</v>
      </c>
      <c r="D112">
        <v>0.81449669181792383</v>
      </c>
      <c r="E112" s="30">
        <f>_xlfn.NORM.INV(D112,$N$4,$N$5)</f>
        <v>3.2958553096712209E-2</v>
      </c>
      <c r="F112">
        <f t="shared" si="3"/>
        <v>138.22001522354313</v>
      </c>
    </row>
    <row r="113" spans="1:6">
      <c r="A113" s="7">
        <v>45939</v>
      </c>
      <c r="B113">
        <v>296.95999999999998</v>
      </c>
      <c r="C113" s="30">
        <f t="shared" si="2"/>
        <v>2.8451858556552523E-2</v>
      </c>
      <c r="D113">
        <v>0.76994306628873843</v>
      </c>
      <c r="E113" s="30">
        <f>_xlfn.NORM.INV(D113,$N$4,$N$5)</f>
        <v>2.7189901759200195E-2</v>
      </c>
      <c r="F113">
        <f t="shared" si="3"/>
        <v>142.02976247907642</v>
      </c>
    </row>
    <row r="114" spans="1:6">
      <c r="A114" s="4">
        <v>45938</v>
      </c>
      <c r="B114">
        <v>288.63</v>
      </c>
      <c r="C114" s="30">
        <f t="shared" si="2"/>
        <v>1.532663932851186E-2</v>
      </c>
      <c r="D114">
        <v>0.22495761796365243</v>
      </c>
      <c r="E114" s="30">
        <f>_xlfn.NORM.INV(D114,$N$4,$N$5)</f>
        <v>-2.8088793962625841E-2</v>
      </c>
      <c r="F114">
        <f t="shared" si="3"/>
        <v>138.09582615415655</v>
      </c>
    </row>
    <row r="115" spans="1:6">
      <c r="A115" s="7">
        <v>45937</v>
      </c>
      <c r="B115">
        <v>284.24</v>
      </c>
      <c r="C115" s="30">
        <f t="shared" si="2"/>
        <v>-2.5529754280881889E-2</v>
      </c>
      <c r="D115">
        <v>0.40037762846308877</v>
      </c>
      <c r="E115" s="30">
        <f>_xlfn.NORM.INV(D115,$N$4,$N$5)</f>
        <v>-9.4733443749866284E-3</v>
      </c>
      <c r="F115">
        <f t="shared" si="3"/>
        <v>136.79377396825282</v>
      </c>
    </row>
    <row r="116" spans="1:6">
      <c r="A116" s="4">
        <v>45936</v>
      </c>
      <c r="B116">
        <v>291.58999999999997</v>
      </c>
      <c r="C116" s="30">
        <f t="shared" si="2"/>
        <v>1.8867504455465145E-2</v>
      </c>
      <c r="D116">
        <v>0.23234522637934796</v>
      </c>
      <c r="E116" s="30">
        <f>_xlfn.NORM.INV(D116,$N$4,$N$5)</f>
        <v>-2.7185701430066891E-2</v>
      </c>
      <c r="F116">
        <f t="shared" si="3"/>
        <v>133.12503385782108</v>
      </c>
    </row>
    <row r="117" spans="1:6">
      <c r="A117" s="7">
        <v>45933</v>
      </c>
      <c r="B117">
        <v>286.14</v>
      </c>
      <c r="C117" s="30">
        <f t="shared" si="2"/>
        <v>-9.1839510048847828E-3</v>
      </c>
      <c r="D117">
        <v>0.62712250495194632</v>
      </c>
      <c r="E117" s="30">
        <f>_xlfn.NORM.INV(D117,$N$4,$N$5)</f>
        <v>1.1858471988611476E-2</v>
      </c>
      <c r="F117">
        <f t="shared" si="3"/>
        <v>134.71309069679751</v>
      </c>
    </row>
    <row r="118" spans="1:6">
      <c r="A118" s="4">
        <v>45932</v>
      </c>
      <c r="B118">
        <v>288.77999999999997</v>
      </c>
      <c r="C118" s="30">
        <f t="shared" si="2"/>
        <v>-7.9613704684522446E-4</v>
      </c>
      <c r="D118">
        <v>0.27193856726268961</v>
      </c>
      <c r="E118" s="30">
        <f>_xlfn.NORM.INV(D118,$N$4,$N$5)</f>
        <v>-2.2591471637974217E-2</v>
      </c>
      <c r="F118">
        <f t="shared" si="3"/>
        <v>131.70384337764682</v>
      </c>
    </row>
    <row r="119" spans="1:6">
      <c r="A119" s="7">
        <v>45931</v>
      </c>
      <c r="B119">
        <v>289.01</v>
      </c>
      <c r="C119" s="30">
        <f t="shared" si="2"/>
        <v>2.7252892258957218E-2</v>
      </c>
      <c r="D119">
        <v>0.26311930142744455</v>
      </c>
      <c r="E119" s="30">
        <f>_xlfn.NORM.INV(D119,$N$4,$N$5)</f>
        <v>-2.358285823333579E-2</v>
      </c>
      <c r="F119">
        <f t="shared" si="3"/>
        <v>128.63422772871036</v>
      </c>
    </row>
    <row r="120" spans="1:6">
      <c r="A120" s="4">
        <v>45930</v>
      </c>
      <c r="B120">
        <v>281.24</v>
      </c>
      <c r="C120" s="30">
        <f t="shared" si="2"/>
        <v>-5.3900839717924143E-3</v>
      </c>
      <c r="D120">
        <v>0.26629455072741381</v>
      </c>
      <c r="E120" s="30">
        <f>_xlfn.NORM.INV(D120,$N$4,$N$5)</f>
        <v>-2.3224018422667188E-2</v>
      </c>
      <c r="F120">
        <f t="shared" si="3"/>
        <v>125.6812468199001</v>
      </c>
    </row>
    <row r="121" spans="1:6">
      <c r="A121" s="7">
        <v>45929</v>
      </c>
      <c r="B121">
        <v>282.76</v>
      </c>
      <c r="C121" s="30">
        <f t="shared" si="2"/>
        <v>-2.4725384360060332E-3</v>
      </c>
      <c r="D121">
        <v>0.26398321777606504</v>
      </c>
      <c r="E121" s="30">
        <f>_xlfn.NORM.INV(D121,$N$4,$N$5)</f>
        <v>-2.3485008496151139E-2</v>
      </c>
      <c r="F121">
        <f t="shared" si="3"/>
        <v>122.76401140096399</v>
      </c>
    </row>
    <row r="122" spans="1:6">
      <c r="A122" s="4">
        <v>45926</v>
      </c>
      <c r="B122">
        <v>283.45999999999998</v>
      </c>
      <c r="C122" s="30">
        <f t="shared" si="2"/>
        <v>-2.7385625535612412E-2</v>
      </c>
      <c r="D122">
        <v>0.2230926899447252</v>
      </c>
      <c r="E122" s="30">
        <f>_xlfn.NORM.INV(D122,$N$4,$N$5)</f>
        <v>-2.8319406799590614E-2</v>
      </c>
      <c r="F122">
        <f t="shared" si="3"/>
        <v>119.3361736748158</v>
      </c>
    </row>
    <row r="123" spans="1:6">
      <c r="A123" s="7">
        <v>45925</v>
      </c>
      <c r="B123">
        <v>291.33</v>
      </c>
      <c r="C123" s="30">
        <f t="shared" si="2"/>
        <v>-5.7135530021096059E-2</v>
      </c>
      <c r="D123">
        <v>1.1371975029270676E-3</v>
      </c>
      <c r="E123" s="30">
        <f>_xlfn.NORM.INV(D123,$N$4,$N$5)</f>
        <v>-0.11304027823888202</v>
      </c>
      <c r="F123">
        <f t="shared" si="3"/>
        <v>106.58088931640486</v>
      </c>
    </row>
    <row r="124" spans="1:6">
      <c r="A124" s="4">
        <v>45924</v>
      </c>
      <c r="B124">
        <v>308.45999999999998</v>
      </c>
      <c r="C124" s="30">
        <f t="shared" si="2"/>
        <v>-1.7259262728311242E-2</v>
      </c>
      <c r="D124">
        <v>0.51069828466255662</v>
      </c>
      <c r="E124" s="30">
        <f>_xlfn.NORM.INV(D124,$N$4,$N$5)</f>
        <v>8.5531016066449426E-4</v>
      </c>
      <c r="F124">
        <f t="shared" si="3"/>
        <v>106.67208803000329</v>
      </c>
    </row>
    <row r="125" spans="1:6">
      <c r="A125" s="7">
        <v>45923</v>
      </c>
      <c r="B125">
        <v>313.83</v>
      </c>
      <c r="C125" s="30">
        <f t="shared" si="2"/>
        <v>-4.4619382895952242E-2</v>
      </c>
      <c r="D125">
        <v>0.40119776616133218</v>
      </c>
      <c r="E125" s="30">
        <f>_xlfn.NORM.INV(D125,$N$4,$N$5)</f>
        <v>-9.3948505555058494E-3</v>
      </c>
      <c r="F125">
        <f t="shared" si="3"/>
        <v>105.67461260746974</v>
      </c>
    </row>
    <row r="126" spans="1:6">
      <c r="A126" s="4">
        <v>45922</v>
      </c>
      <c r="B126">
        <v>328.15</v>
      </c>
      <c r="C126" s="30">
        <f t="shared" si="2"/>
        <v>6.123047344704613E-2</v>
      </c>
      <c r="D126">
        <v>0.72051247409458818</v>
      </c>
      <c r="E126" s="30">
        <f>_xlfn.NORM.INV(D126,$N$4,$N$5)</f>
        <v>2.1481747099190991E-2</v>
      </c>
      <c r="F126">
        <f t="shared" si="3"/>
        <v>107.96924603732752</v>
      </c>
    </row>
    <row r="127" spans="1:6">
      <c r="A127" s="7">
        <v>45919</v>
      </c>
      <c r="B127">
        <v>308.66000000000003</v>
      </c>
      <c r="C127" s="30">
        <f t="shared" si="2"/>
        <v>3.9788489158868678E-2</v>
      </c>
      <c r="D127">
        <v>0.79582219408795163</v>
      </c>
      <c r="E127" s="30">
        <f>_xlfn.NORM.INV(D127,$N$4,$N$5)</f>
        <v>3.0450337398656279E-2</v>
      </c>
      <c r="F127">
        <f t="shared" si="3"/>
        <v>111.30751375780575</v>
      </c>
    </row>
    <row r="128" spans="1:6">
      <c r="A128" s="4">
        <v>45918</v>
      </c>
      <c r="B128">
        <v>296.62</v>
      </c>
      <c r="C128" s="30">
        <f t="shared" si="2"/>
        <v>-1.6019605828516248E-2</v>
      </c>
      <c r="D128">
        <v>0.11482304934148502</v>
      </c>
      <c r="E128" s="30">
        <f>_xlfn.NORM.INV(D128,$N$4,$N$5)</f>
        <v>-4.4578062547082027E-2</v>
      </c>
      <c r="F128">
        <f t="shared" si="3"/>
        <v>106.45461057401324</v>
      </c>
    </row>
    <row r="129" spans="1:6">
      <c r="A129" s="7">
        <v>45917</v>
      </c>
      <c r="B129">
        <v>301.41000000000003</v>
      </c>
      <c r="C129" s="30">
        <f t="shared" si="2"/>
        <v>-1.7235567929660078E-2</v>
      </c>
      <c r="D129">
        <v>0.14747196054181788</v>
      </c>
      <c r="E129" s="30">
        <f>_xlfn.NORM.INV(D129,$N$4,$N$5)</f>
        <v>-3.8883275907146769E-2</v>
      </c>
      <c r="F129">
        <f t="shared" si="3"/>
        <v>102.39474844807089</v>
      </c>
    </row>
    <row r="130" spans="1:6">
      <c r="A130" s="4">
        <v>45916</v>
      </c>
      <c r="B130">
        <v>306.64999999999998</v>
      </c>
      <c r="C130" s="30">
        <f t="shared" ref="C130:C193" si="4">LN(B130)-LN(B131)</f>
        <v>1.4816545956414018E-2</v>
      </c>
      <c r="D130">
        <v>0.8959763487082304</v>
      </c>
      <c r="E130" s="30">
        <f>_xlfn.NORM.INV(D130,$N$4,$N$5)</f>
        <v>4.6438230053257951E-2</v>
      </c>
      <c r="F130">
        <f t="shared" si="3"/>
        <v>107.26191601343064</v>
      </c>
    </row>
    <row r="131" spans="1:6">
      <c r="A131" s="7">
        <v>45915</v>
      </c>
      <c r="B131">
        <v>302.14</v>
      </c>
      <c r="C131" s="30">
        <f t="shared" si="4"/>
        <v>3.3520435411211302E-2</v>
      </c>
      <c r="D131">
        <v>0.30463099541803795</v>
      </c>
      <c r="E131" s="30">
        <f>_xlfn.NORM.INV(D131,$N$4,$N$5)</f>
        <v>-1.9046107275277158E-2</v>
      </c>
      <c r="F131">
        <f t="shared" si="3"/>
        <v>105.23832598266971</v>
      </c>
    </row>
    <row r="132" spans="1:6">
      <c r="A132" s="4">
        <v>45912</v>
      </c>
      <c r="B132">
        <v>292.18</v>
      </c>
      <c r="C132" s="30">
        <f t="shared" si="4"/>
        <v>-5.2275083477560713E-2</v>
      </c>
      <c r="D132">
        <v>0.54591182944245797</v>
      </c>
      <c r="E132" s="30">
        <f>_xlfn.NORM.INV(D132,$N$4,$N$5)</f>
        <v>4.1300915683557329E-3</v>
      </c>
      <c r="F132">
        <f t="shared" ref="F132:F195" si="5">F131*EXP(E132)</f>
        <v>105.67386870202371</v>
      </c>
    </row>
    <row r="133" spans="1:6">
      <c r="A133" s="7">
        <v>45911</v>
      </c>
      <c r="B133">
        <v>307.86</v>
      </c>
      <c r="C133" s="30">
        <f t="shared" si="4"/>
        <v>-6.4374065986251949E-2</v>
      </c>
      <c r="D133">
        <v>0.27739058705397224</v>
      </c>
      <c r="E133" s="30">
        <f>_xlfn.NORM.INV(D133,$N$4,$N$5)</f>
        <v>-2.1986615832099973E-2</v>
      </c>
      <c r="F133">
        <f t="shared" si="5"/>
        <v>103.37581374782727</v>
      </c>
    </row>
    <row r="134" spans="1:6">
      <c r="A134" s="4">
        <v>45910</v>
      </c>
      <c r="B134">
        <v>328.33</v>
      </c>
      <c r="C134" s="30">
        <f t="shared" si="4"/>
        <v>0.30710832006533995</v>
      </c>
      <c r="D134">
        <v>0.81270766257855331</v>
      </c>
      <c r="E134" s="30">
        <f>_xlfn.NORM.INV(D134,$N$4,$N$5)</f>
        <v>3.2711756396105213E-2</v>
      </c>
      <c r="F134">
        <f t="shared" si="5"/>
        <v>106.81333534516573</v>
      </c>
    </row>
    <row r="135" spans="1:6">
      <c r="A135" s="7">
        <v>45909</v>
      </c>
      <c r="B135">
        <v>241.51</v>
      </c>
      <c r="C135" s="30">
        <f t="shared" si="4"/>
        <v>1.2625430733024245E-2</v>
      </c>
      <c r="D135">
        <v>0.61919151826322072</v>
      </c>
      <c r="E135" s="30">
        <f>_xlfn.NORM.INV(D135,$N$4,$N$5)</f>
        <v>1.1085877979682142E-2</v>
      </c>
      <c r="F135">
        <f t="shared" si="5"/>
        <v>108.00404277154909</v>
      </c>
    </row>
    <row r="136" spans="1:6">
      <c r="A136" s="4">
        <v>45908</v>
      </c>
      <c r="B136">
        <v>238.48</v>
      </c>
      <c r="C136" s="30">
        <f t="shared" si="4"/>
        <v>2.4105733512532979E-2</v>
      </c>
      <c r="D136">
        <v>0.17351797266003643</v>
      </c>
      <c r="E136" s="30">
        <f>_xlfn.NORM.INV(D136,$N$4,$N$5)</f>
        <v>-3.492541062458817E-2</v>
      </c>
      <c r="F136">
        <f t="shared" si="5"/>
        <v>104.29706784094415</v>
      </c>
    </row>
    <row r="137" spans="1:6">
      <c r="A137" s="7">
        <v>45905</v>
      </c>
      <c r="B137">
        <v>232.8</v>
      </c>
      <c r="C137" s="30">
        <f t="shared" si="4"/>
        <v>4.3007944397164266E-2</v>
      </c>
      <c r="D137">
        <v>0.76593106540179767</v>
      </c>
      <c r="E137" s="30">
        <f>_xlfn.NORM.INV(D137,$N$4,$N$5)</f>
        <v>2.6703520460192615E-2</v>
      </c>
      <c r="F137">
        <f t="shared" si="5"/>
        <v>107.11968591885807</v>
      </c>
    </row>
    <row r="138" spans="1:6">
      <c r="A138" s="4">
        <v>45904</v>
      </c>
      <c r="B138">
        <v>223</v>
      </c>
      <c r="C138" s="30">
        <f t="shared" si="4"/>
        <v>-2.0159039193412553E-3</v>
      </c>
      <c r="D138">
        <v>0.89834186236263469</v>
      </c>
      <c r="E138" s="30">
        <f>_xlfn.NORM.INV(D138,$N$4,$N$5)</f>
        <v>4.6926824167619521E-2</v>
      </c>
      <c r="F138">
        <f t="shared" si="5"/>
        <v>112.26628493782302</v>
      </c>
    </row>
    <row r="139" spans="1:6">
      <c r="A139" s="7">
        <v>45903</v>
      </c>
      <c r="B139">
        <v>223.45</v>
      </c>
      <c r="C139" s="30">
        <f t="shared" si="4"/>
        <v>-8.2451720587384258E-3</v>
      </c>
      <c r="D139">
        <v>1.9595798599844172E-2</v>
      </c>
      <c r="E139" s="30">
        <f>_xlfn.NORM.INV(D139,$N$4,$N$5)</f>
        <v>-7.6427111310467533E-2</v>
      </c>
      <c r="F139">
        <f t="shared" si="5"/>
        <v>104.00578079732554</v>
      </c>
    </row>
    <row r="140" spans="1:6">
      <c r="A140" s="4">
        <v>45902</v>
      </c>
      <c r="B140">
        <v>225.3</v>
      </c>
      <c r="C140" s="30">
        <f t="shared" si="4"/>
        <v>-3.6772076967039879E-3</v>
      </c>
      <c r="D140">
        <v>0.30784321730521402</v>
      </c>
      <c r="E140" s="30">
        <f>_xlfn.NORM.INV(D140,$N$4,$N$5)</f>
        <v>-1.8707450660893146E-2</v>
      </c>
      <c r="F140">
        <f t="shared" si="5"/>
        <v>102.0781842098521</v>
      </c>
    </row>
    <row r="141" spans="1:6">
      <c r="A141" s="7">
        <v>45898</v>
      </c>
      <c r="B141">
        <v>226.13</v>
      </c>
      <c r="C141" s="30">
        <f t="shared" si="4"/>
        <v>-6.0861313440867093E-2</v>
      </c>
      <c r="D141">
        <v>0.23417651694247721</v>
      </c>
      <c r="E141" s="30">
        <f>_xlfn.NORM.INV(D141,$N$4,$N$5)</f>
        <v>-2.6964328240730927E-2</v>
      </c>
      <c r="F141">
        <f t="shared" si="5"/>
        <v>99.362492486746589</v>
      </c>
    </row>
    <row r="142" spans="1:6">
      <c r="A142" s="4">
        <v>45897</v>
      </c>
      <c r="B142">
        <v>240.32</v>
      </c>
      <c r="C142" s="30">
        <f t="shared" si="4"/>
        <v>1.8944972550692718E-2</v>
      </c>
      <c r="D142">
        <v>8.015134696299131E-2</v>
      </c>
      <c r="E142" s="30">
        <f>_xlfn.NORM.INV(D142,$N$4,$N$5)</f>
        <v>-5.2080054527471158E-2</v>
      </c>
      <c r="F142">
        <f t="shared" si="5"/>
        <v>94.320131343338488</v>
      </c>
    </row>
    <row r="143" spans="1:6">
      <c r="A143" s="7">
        <v>45896</v>
      </c>
      <c r="B143">
        <v>235.81</v>
      </c>
      <c r="C143" s="30">
        <f t="shared" si="4"/>
        <v>6.8082472247672499E-3</v>
      </c>
      <c r="D143">
        <v>0.89299118661368004</v>
      </c>
      <c r="E143" s="30">
        <f>_xlfn.NORM.INV(D143,$N$4,$N$5)</f>
        <v>4.583301167408553E-2</v>
      </c>
      <c r="F143">
        <f t="shared" si="5"/>
        <v>98.743705544807838</v>
      </c>
    </row>
    <row r="144" spans="1:6">
      <c r="A144" s="4">
        <v>45895</v>
      </c>
      <c r="B144">
        <v>234.21</v>
      </c>
      <c r="C144" s="30">
        <f t="shared" si="4"/>
        <v>-5.1105260071819814E-3</v>
      </c>
      <c r="D144">
        <v>0.52226691205148379</v>
      </c>
      <c r="E144" s="30">
        <f>_xlfn.NORM.INV(D144,$N$4,$N$5)</f>
        <v>1.929058316925516E-3</v>
      </c>
      <c r="F144">
        <f t="shared" si="5"/>
        <v>98.934371755225925</v>
      </c>
    </row>
    <row r="145" spans="1:6">
      <c r="A145" s="7">
        <v>45894</v>
      </c>
      <c r="B145">
        <v>235.41</v>
      </c>
      <c r="C145" s="30">
        <f t="shared" si="4"/>
        <v>-4.0696991182151976E-3</v>
      </c>
      <c r="D145">
        <v>0.24705977992027339</v>
      </c>
      <c r="E145" s="30">
        <f>_xlfn.NORM.INV(D145,$N$4,$N$5)</f>
        <v>-2.543309907528974E-2</v>
      </c>
      <c r="F145">
        <f t="shared" si="5"/>
        <v>96.449892007036624</v>
      </c>
    </row>
    <row r="146" spans="1:6">
      <c r="A146" s="4">
        <v>45891</v>
      </c>
      <c r="B146">
        <v>236.37</v>
      </c>
      <c r="C146" s="30">
        <f t="shared" si="4"/>
        <v>1.3673460748357513E-2</v>
      </c>
      <c r="D146">
        <v>0.65000576904644691</v>
      </c>
      <c r="E146" s="30">
        <f>_xlfn.NORM.INV(D146,$N$4,$N$5)</f>
        <v>1.411866162498826E-2</v>
      </c>
      <c r="F146">
        <f t="shared" si="5"/>
        <v>97.821293794136821</v>
      </c>
    </row>
    <row r="147" spans="1:6">
      <c r="A147" s="7">
        <v>45890</v>
      </c>
      <c r="B147">
        <v>233.16</v>
      </c>
      <c r="C147" s="30">
        <f t="shared" si="4"/>
        <v>-8.1158875273583675E-3</v>
      </c>
      <c r="D147">
        <v>0.42547340704615266</v>
      </c>
      <c r="E147" s="30">
        <f>_xlfn.NORM.INV(D147,$N$4,$N$5)</f>
        <v>-7.088665217395527E-3</v>
      </c>
      <c r="F147">
        <f t="shared" si="5"/>
        <v>97.130323313891409</v>
      </c>
    </row>
    <row r="148" spans="1:6">
      <c r="A148" s="4">
        <v>45889</v>
      </c>
      <c r="B148">
        <v>235.06</v>
      </c>
      <c r="C148" s="30">
        <f t="shared" si="4"/>
        <v>1.8736166271331456E-3</v>
      </c>
      <c r="D148">
        <v>3.3642075716958764E-2</v>
      </c>
      <c r="E148" s="30">
        <f>_xlfn.NORM.INV(D148,$N$4,$N$5)</f>
        <v>-6.7829507607712211E-2</v>
      </c>
      <c r="F148">
        <f t="shared" si="5"/>
        <v>90.76049451275631</v>
      </c>
    </row>
    <row r="149" spans="1:6">
      <c r="A149" s="7">
        <v>45888</v>
      </c>
      <c r="B149">
        <v>234.62</v>
      </c>
      <c r="C149" s="30">
        <f t="shared" si="4"/>
        <v>-5.9766797377037939E-2</v>
      </c>
      <c r="D149">
        <v>0.1982288886883844</v>
      </c>
      <c r="E149" s="30">
        <f>_xlfn.NORM.INV(D149,$N$4,$N$5)</f>
        <v>-3.1507442611488592E-2</v>
      </c>
      <c r="F149">
        <f t="shared" si="5"/>
        <v>87.945443839923669</v>
      </c>
    </row>
    <row r="150" spans="1:6">
      <c r="A150" s="4">
        <v>45887</v>
      </c>
      <c r="B150">
        <v>249.07</v>
      </c>
      <c r="C150" s="30">
        <f t="shared" si="4"/>
        <v>3.1768399091607336E-3</v>
      </c>
      <c r="D150">
        <v>3.4995721125136492E-2</v>
      </c>
      <c r="E150" s="30">
        <f>_xlfn.NORM.INV(D150,$N$4,$N$5)</f>
        <v>-6.7170802040038571E-2</v>
      </c>
      <c r="F150">
        <f t="shared" si="5"/>
        <v>82.232110446747782</v>
      </c>
    </row>
    <row r="151" spans="1:6">
      <c r="A151" s="7">
        <v>45884</v>
      </c>
      <c r="B151">
        <v>248.28</v>
      </c>
      <c r="C151" s="30">
        <f t="shared" si="4"/>
        <v>1.3462209636077915E-2</v>
      </c>
      <c r="D151">
        <v>0.3483438558389641</v>
      </c>
      <c r="E151" s="30">
        <f>_xlfn.NORM.INV(D151,$N$4,$N$5)</f>
        <v>-1.4557428967327974E-2</v>
      </c>
      <c r="F151">
        <f t="shared" si="5"/>
        <v>81.043693475154171</v>
      </c>
    </row>
    <row r="152" spans="1:6">
      <c r="A152" s="4">
        <v>45883</v>
      </c>
      <c r="B152">
        <v>244.96</v>
      </c>
      <c r="C152" s="30">
        <f t="shared" si="4"/>
        <v>3.1892736686645051E-3</v>
      </c>
      <c r="D152">
        <v>0.35707255968783846</v>
      </c>
      <c r="E152" s="30">
        <f>_xlfn.NORM.INV(D152,$N$4,$N$5)</f>
        <v>-1.3688014161717213E-2</v>
      </c>
      <c r="F152">
        <f t="shared" si="5"/>
        <v>79.941923971830406</v>
      </c>
    </row>
    <row r="153" spans="1:6">
      <c r="A153" s="7">
        <v>45882</v>
      </c>
      <c r="B153">
        <v>244.18</v>
      </c>
      <c r="C153" s="30">
        <f t="shared" si="4"/>
        <v>-3.8877275719321425E-2</v>
      </c>
      <c r="D153">
        <v>0.94892131870382657</v>
      </c>
      <c r="E153" s="30">
        <f>_xlfn.NORM.INV(D153,$N$4,$N$5)</f>
        <v>6.033102785363656E-2</v>
      </c>
      <c r="F153">
        <f t="shared" si="5"/>
        <v>84.913360510048875</v>
      </c>
    </row>
    <row r="154" spans="1:6">
      <c r="A154" s="4">
        <v>45881</v>
      </c>
      <c r="B154">
        <v>253.86</v>
      </c>
      <c r="C154" s="30">
        <f t="shared" si="4"/>
        <v>4.6590679295306359E-3</v>
      </c>
      <c r="D154">
        <v>0.3297850135461996</v>
      </c>
      <c r="E154" s="30">
        <f>_xlfn.NORM.INV(D154,$N$4,$N$5)</f>
        <v>-1.6433499937880347E-2</v>
      </c>
      <c r="F154">
        <f t="shared" si="5"/>
        <v>83.529340102254409</v>
      </c>
    </row>
    <row r="155" spans="1:6">
      <c r="A155" s="7">
        <v>45880</v>
      </c>
      <c r="B155">
        <v>252.68</v>
      </c>
      <c r="C155" s="30">
        <f t="shared" si="4"/>
        <v>1.0462968165587228E-2</v>
      </c>
      <c r="D155">
        <v>0.40030351556551647</v>
      </c>
      <c r="E155" s="30">
        <f>_xlfn.NORM.INV(D155,$N$4,$N$5)</f>
        <v>-9.4804396453131209E-3</v>
      </c>
      <c r="F155">
        <f t="shared" si="5"/>
        <v>82.741187156194044</v>
      </c>
    </row>
    <row r="156" spans="1:6">
      <c r="A156" s="4">
        <v>45877</v>
      </c>
      <c r="B156">
        <v>250.05</v>
      </c>
      <c r="C156" s="30">
        <f t="shared" si="4"/>
        <v>2.6429616538061751E-3</v>
      </c>
      <c r="D156">
        <v>0.64199140057518489</v>
      </c>
      <c r="E156" s="30">
        <f>_xlfn.NORM.INV(D156,$N$4,$N$5)</f>
        <v>1.3321445819245947E-2</v>
      </c>
      <c r="F156">
        <f t="shared" si="5"/>
        <v>83.850793770845343</v>
      </c>
    </row>
    <row r="157" spans="1:6">
      <c r="A157" s="7">
        <v>45876</v>
      </c>
      <c r="B157">
        <v>249.39</v>
      </c>
      <c r="C157" s="30">
        <f t="shared" si="4"/>
        <v>-2.7837786671081943E-2</v>
      </c>
      <c r="D157">
        <v>0.26150136662699086</v>
      </c>
      <c r="E157" s="30">
        <f>_xlfn.NORM.INV(D157,$N$4,$N$5)</f>
        <v>-2.3766553285763835E-2</v>
      </c>
      <c r="F157">
        <f t="shared" si="5"/>
        <v>81.881444433505735</v>
      </c>
    </row>
    <row r="158" spans="1:6">
      <c r="A158" s="4">
        <v>45875</v>
      </c>
      <c r="B158">
        <v>256.43</v>
      </c>
      <c r="C158" s="30">
        <f t="shared" si="4"/>
        <v>2.9681724583854319E-3</v>
      </c>
      <c r="D158">
        <v>9.679665327188125E-2</v>
      </c>
      <c r="E158" s="30">
        <f>_xlfn.NORM.INV(D158,$N$4,$N$5)</f>
        <v>-4.8231381542744263E-2</v>
      </c>
      <c r="F158">
        <f t="shared" si="5"/>
        <v>78.025915378795077</v>
      </c>
    </row>
    <row r="159" spans="1:6">
      <c r="A159" s="7">
        <v>45874</v>
      </c>
      <c r="B159">
        <v>255.67</v>
      </c>
      <c r="C159" s="30">
        <f t="shared" si="4"/>
        <v>1.2357496884773056E-2</v>
      </c>
      <c r="D159">
        <v>4.8176170893156178E-2</v>
      </c>
      <c r="E159" s="30">
        <f>_xlfn.NORM.INV(D159,$N$4,$N$5)</f>
        <v>-6.1652410373336838E-2</v>
      </c>
      <c r="F159">
        <f t="shared" si="5"/>
        <v>73.360717584021629</v>
      </c>
    </row>
    <row r="160" spans="1:6">
      <c r="A160" s="4">
        <v>45873</v>
      </c>
      <c r="B160">
        <v>252.53</v>
      </c>
      <c r="C160" s="30">
        <f t="shared" si="4"/>
        <v>3.2641996529175543E-2</v>
      </c>
      <c r="D160">
        <v>0.5438022140148866</v>
      </c>
      <c r="E160" s="30">
        <f>_xlfn.NORM.INV(D160,$N$4,$N$5)</f>
        <v>3.9332144665160029E-3</v>
      </c>
      <c r="F160">
        <f t="shared" si="5"/>
        <v>73.649829216006552</v>
      </c>
    </row>
    <row r="161" spans="1:6">
      <c r="A161" s="7">
        <v>45870</v>
      </c>
      <c r="B161">
        <v>244.42</v>
      </c>
      <c r="C161" s="30">
        <f t="shared" si="4"/>
        <v>-3.7540287974178632E-2</v>
      </c>
      <c r="D161">
        <v>0.88860436020002598</v>
      </c>
      <c r="E161" s="30">
        <f>_xlfn.NORM.INV(D161,$N$4,$N$5)</f>
        <v>4.49653211657692E-2</v>
      </c>
      <c r="F161">
        <f t="shared" si="5"/>
        <v>77.037101634260864</v>
      </c>
    </row>
    <row r="162" spans="1:6">
      <c r="A162" s="4">
        <v>45869</v>
      </c>
      <c r="B162">
        <v>253.77</v>
      </c>
      <c r="C162" s="30">
        <f t="shared" si="4"/>
        <v>1.2570302522065369E-2</v>
      </c>
      <c r="D162">
        <v>0.51178778242002221</v>
      </c>
      <c r="E162" s="30">
        <f>_xlfn.NORM.INV(D162,$N$4,$N$5)</f>
        <v>9.563827541443548E-4</v>
      </c>
      <c r="F162">
        <f t="shared" si="5"/>
        <v>77.110813832612251</v>
      </c>
    </row>
    <row r="163" spans="1:6">
      <c r="A163" s="7">
        <v>45868</v>
      </c>
      <c r="B163">
        <v>250.6</v>
      </c>
      <c r="C163" s="30">
        <f t="shared" si="4"/>
        <v>2.4771277998922869E-3</v>
      </c>
      <c r="D163">
        <v>0.821561916624447</v>
      </c>
      <c r="E163" s="30">
        <f>_xlfn.NORM.INV(D163,$N$4,$N$5)</f>
        <v>3.3947966132298966E-2</v>
      </c>
      <c r="F163">
        <f t="shared" si="5"/>
        <v>79.773509971238184</v>
      </c>
    </row>
    <row r="164" spans="1:6">
      <c r="A164" s="4">
        <v>45867</v>
      </c>
      <c r="B164">
        <v>249.98</v>
      </c>
      <c r="C164" s="30">
        <f t="shared" si="4"/>
        <v>9.1222075646291145E-3</v>
      </c>
      <c r="D164">
        <v>0.40205862885659338</v>
      </c>
      <c r="E164" s="30">
        <f>_xlfn.NORM.INV(D164,$N$4,$N$5)</f>
        <v>-9.3125038259378873E-3</v>
      </c>
      <c r="F164">
        <f t="shared" si="5"/>
        <v>79.034067229967661</v>
      </c>
    </row>
    <row r="165" spans="1:6">
      <c r="A165" s="7">
        <v>45866</v>
      </c>
      <c r="B165">
        <v>247.71</v>
      </c>
      <c r="C165" s="30">
        <f t="shared" si="4"/>
        <v>1.0510820545220234E-2</v>
      </c>
      <c r="D165">
        <v>0.24408669134143834</v>
      </c>
      <c r="E165" s="30">
        <f>_xlfn.NORM.INV(D165,$N$4,$N$5)</f>
        <v>-2.5782541937568348E-2</v>
      </c>
      <c r="F165">
        <f t="shared" si="5"/>
        <v>77.022412300210817</v>
      </c>
    </row>
    <row r="166" spans="1:6">
      <c r="A166" s="4">
        <v>45863</v>
      </c>
      <c r="B166">
        <v>245.12</v>
      </c>
      <c r="C166" s="30">
        <f t="shared" si="4"/>
        <v>9.3862765152543659E-3</v>
      </c>
      <c r="D166">
        <v>0.82022038799659402</v>
      </c>
      <c r="E166" s="30">
        <f>_xlfn.NORM.INV(D166,$N$4,$N$5)</f>
        <v>3.3758235884572538E-2</v>
      </c>
      <c r="F166">
        <f t="shared" si="5"/>
        <v>79.66693920332979</v>
      </c>
    </row>
    <row r="167" spans="1:6">
      <c r="A167" s="7">
        <v>45862</v>
      </c>
      <c r="B167">
        <v>242.83</v>
      </c>
      <c r="C167" s="30">
        <f t="shared" si="4"/>
        <v>3.8371924209901209E-3</v>
      </c>
      <c r="D167">
        <v>0.67261658648852496</v>
      </c>
      <c r="E167" s="30">
        <f>_xlfn.NORM.INV(D167,$N$4,$N$5)</f>
        <v>1.6405473241716633E-2</v>
      </c>
      <c r="F167">
        <f t="shared" si="5"/>
        <v>80.984692672485878</v>
      </c>
    </row>
    <row r="168" spans="1:6">
      <c r="A168" s="4">
        <v>45861</v>
      </c>
      <c r="B168">
        <v>241.9</v>
      </c>
      <c r="C168" s="30">
        <f t="shared" si="4"/>
        <v>1.5791665845087621E-2</v>
      </c>
      <c r="D168">
        <v>0.96750430856847314</v>
      </c>
      <c r="E168" s="30">
        <f>_xlfn.NORM.INV(D168,$N$4,$N$5)</f>
        <v>6.8130852668717129E-2</v>
      </c>
      <c r="F168">
        <f t="shared" si="5"/>
        <v>86.694549025369369</v>
      </c>
    </row>
    <row r="169" spans="1:6">
      <c r="A169" s="7">
        <v>45860</v>
      </c>
      <c r="B169">
        <v>238.11</v>
      </c>
      <c r="C169" s="30">
        <f t="shared" si="4"/>
        <v>-2.2548448307967206E-2</v>
      </c>
      <c r="D169">
        <v>0.57106021959728404</v>
      </c>
      <c r="E169" s="30">
        <f>_xlfn.NORM.INV(D169,$N$4,$N$5)</f>
        <v>6.4879734962859413E-3</v>
      </c>
      <c r="F169">
        <f t="shared" si="5"/>
        <v>87.258849565731879</v>
      </c>
    </row>
    <row r="170" spans="1:6">
      <c r="A170" s="4">
        <v>45859</v>
      </c>
      <c r="B170">
        <v>243.54</v>
      </c>
      <c r="C170" s="30">
        <f t="shared" si="4"/>
        <v>-7.812060425200329E-3</v>
      </c>
      <c r="D170">
        <v>0.70746667069415192</v>
      </c>
      <c r="E170" s="30">
        <f>_xlfn.NORM.INV(D170,$N$4,$N$5)</f>
        <v>2.0062405879718758E-2</v>
      </c>
      <c r="F170">
        <f t="shared" si="5"/>
        <v>89.027150900469323</v>
      </c>
    </row>
    <row r="171" spans="1:6">
      <c r="A171" s="7">
        <v>45856</v>
      </c>
      <c r="B171">
        <v>245.45</v>
      </c>
      <c r="C171" s="30">
        <f t="shared" si="4"/>
        <v>-1.3355115534640305E-2</v>
      </c>
      <c r="D171">
        <v>5.7569994651108347E-2</v>
      </c>
      <c r="E171" s="30">
        <f>_xlfn.NORM.INV(D171,$N$4,$N$5)</f>
        <v>-5.8422885823701858E-2</v>
      </c>
      <c r="F171">
        <f t="shared" si="5"/>
        <v>83.974946943287335</v>
      </c>
    </row>
    <row r="172" spans="1:6">
      <c r="A172" s="4">
        <v>45855</v>
      </c>
      <c r="B172">
        <v>248.75</v>
      </c>
      <c r="C172" s="30">
        <f t="shared" si="4"/>
        <v>3.0407403407715528E-2</v>
      </c>
      <c r="D172">
        <v>0.60662424833719031</v>
      </c>
      <c r="E172" s="30">
        <f>_xlfn.NORM.INV(D172,$N$4,$N$5)</f>
        <v>9.8714477396820311E-3</v>
      </c>
      <c r="F172">
        <f t="shared" si="5"/>
        <v>84.808006229272522</v>
      </c>
    </row>
    <row r="173" spans="1:6">
      <c r="A173" s="7">
        <v>45854</v>
      </c>
      <c r="B173">
        <v>241.3</v>
      </c>
      <c r="C173" s="30">
        <f t="shared" si="4"/>
        <v>2.6625685740621741E-2</v>
      </c>
      <c r="D173">
        <v>0.20297920431773664</v>
      </c>
      <c r="E173" s="30">
        <f>_xlfn.NORM.INV(D173,$N$4,$N$5)</f>
        <v>-3.0880837988497879E-2</v>
      </c>
      <c r="F173">
        <f t="shared" si="5"/>
        <v>82.229088440355412</v>
      </c>
    </row>
    <row r="174" spans="1:6">
      <c r="A174" s="4">
        <v>45853</v>
      </c>
      <c r="B174">
        <v>234.96</v>
      </c>
      <c r="C174" s="30">
        <f t="shared" si="4"/>
        <v>2.4471322810502905E-2</v>
      </c>
      <c r="D174">
        <v>0.18676484528513038</v>
      </c>
      <c r="E174" s="30">
        <f>_xlfn.NORM.INV(D174,$N$4,$N$5)</f>
        <v>-3.3058157763660015E-2</v>
      </c>
      <c r="F174">
        <f t="shared" si="5"/>
        <v>79.55518689959959</v>
      </c>
    </row>
    <row r="175" spans="1:6">
      <c r="A175" s="7">
        <v>45852</v>
      </c>
      <c r="B175">
        <v>229.28</v>
      </c>
      <c r="C175" s="30">
        <f t="shared" si="4"/>
        <v>-5.5671681713498344E-3</v>
      </c>
      <c r="D175">
        <v>0.18503843533682085</v>
      </c>
      <c r="E175" s="30">
        <f>_xlfn.NORM.INV(D175,$N$4,$N$5)</f>
        <v>-3.3296709833076553E-2</v>
      </c>
      <c r="F175">
        <f t="shared" si="5"/>
        <v>76.949875768337776</v>
      </c>
    </row>
    <row r="176" spans="1:6">
      <c r="A176" s="4">
        <v>45849</v>
      </c>
      <c r="B176">
        <v>230.56</v>
      </c>
      <c r="C176" s="30">
        <f t="shared" si="4"/>
        <v>-1.9074381892947301E-2</v>
      </c>
      <c r="D176">
        <v>0.2478903233209987</v>
      </c>
      <c r="E176" s="30">
        <f>_xlfn.NORM.INV(D176,$N$4,$N$5)</f>
        <v>-2.5335884192743182E-2</v>
      </c>
      <c r="F176">
        <f t="shared" si="5"/>
        <v>75.024772698441652</v>
      </c>
    </row>
    <row r="177" spans="1:6">
      <c r="A177" s="7">
        <v>45848</v>
      </c>
      <c r="B177">
        <v>235</v>
      </c>
      <c r="C177" s="30">
        <f t="shared" si="4"/>
        <v>-3.4408818809179564E-3</v>
      </c>
      <c r="D177">
        <v>0.64635914245839943</v>
      </c>
      <c r="E177" s="30">
        <f>_xlfn.NORM.INV(D177,$N$4,$N$5)</f>
        <v>1.3755120900853851E-2</v>
      </c>
      <c r="F177">
        <f t="shared" si="5"/>
        <v>76.063877641065261</v>
      </c>
    </row>
    <row r="178" spans="1:6">
      <c r="A178" s="4">
        <v>45847</v>
      </c>
      <c r="B178">
        <v>235.81</v>
      </c>
      <c r="C178" s="30">
        <f t="shared" si="4"/>
        <v>5.5708081387431108E-3</v>
      </c>
      <c r="D178">
        <v>0.97405057651224325</v>
      </c>
      <c r="E178" s="30">
        <f>_xlfn.NORM.INV(D178,$N$4,$N$5)</f>
        <v>7.1780586455098744E-2</v>
      </c>
      <c r="F178">
        <f t="shared" si="5"/>
        <v>81.724519163384628</v>
      </c>
    </row>
    <row r="179" spans="1:6">
      <c r="A179" s="7">
        <v>45846</v>
      </c>
      <c r="B179">
        <v>234.5</v>
      </c>
      <c r="C179" s="30">
        <f t="shared" si="4"/>
        <v>9.5981540687217759E-3</v>
      </c>
      <c r="D179">
        <v>0.14942732431807326</v>
      </c>
      <c r="E179" s="30">
        <f>_xlfn.NORM.INV(D179,$N$4,$N$5)</f>
        <v>-3.8570856911136923E-2</v>
      </c>
      <c r="F179">
        <f t="shared" si="5"/>
        <v>78.632351550679701</v>
      </c>
    </row>
    <row r="180" spans="1:6">
      <c r="A180" s="4">
        <v>45845</v>
      </c>
      <c r="B180">
        <v>232.26</v>
      </c>
      <c r="C180" s="30">
        <f t="shared" si="4"/>
        <v>-2.1552007572830156E-2</v>
      </c>
      <c r="D180">
        <v>3.9335341535029156E-2</v>
      </c>
      <c r="E180" s="30">
        <f>_xlfn.NORM.INV(D180,$N$4,$N$5)</f>
        <v>-6.5191031946406588E-2</v>
      </c>
      <c r="F180">
        <f t="shared" si="5"/>
        <v>73.669743588178619</v>
      </c>
    </row>
    <row r="181" spans="1:6">
      <c r="A181" s="7">
        <v>45841</v>
      </c>
      <c r="B181">
        <v>237.32</v>
      </c>
      <c r="C181" s="30">
        <f t="shared" si="4"/>
        <v>3.1417092769923549E-2</v>
      </c>
      <c r="D181">
        <v>0.31653490068764312</v>
      </c>
      <c r="E181" s="30">
        <f>_xlfn.NORM.INV(D181,$N$4,$N$5)</f>
        <v>-1.7798755712504253E-2</v>
      </c>
      <c r="F181">
        <f t="shared" si="5"/>
        <v>72.37011402279947</v>
      </c>
    </row>
    <row r="182" spans="1:6">
      <c r="A182" s="4">
        <v>45840</v>
      </c>
      <c r="B182">
        <v>229.98</v>
      </c>
      <c r="C182" s="30">
        <f t="shared" si="4"/>
        <v>4.9103283888094928E-2</v>
      </c>
      <c r="D182">
        <v>0.97711236645506117</v>
      </c>
      <c r="E182" s="30">
        <f>_xlfn.NORM.INV(D182,$N$4,$N$5)</f>
        <v>7.3759376812419619E-2</v>
      </c>
      <c r="F182">
        <f t="shared" si="5"/>
        <v>77.909882114456252</v>
      </c>
    </row>
    <row r="183" spans="1:6">
      <c r="A183" s="7">
        <v>45839</v>
      </c>
      <c r="B183">
        <v>218.96</v>
      </c>
      <c r="C183" s="30">
        <f t="shared" si="4"/>
        <v>1.5082614436270347E-3</v>
      </c>
      <c r="D183">
        <v>0.47425521429978013</v>
      </c>
      <c r="E183" s="30">
        <f>_xlfn.NORM.INV(D183,$N$4,$N$5)</f>
        <v>-2.5259443513007958E-3</v>
      </c>
      <c r="F183">
        <f t="shared" si="5"/>
        <v>77.713334426584012</v>
      </c>
    </row>
    <row r="184" spans="1:6">
      <c r="A184" s="4">
        <v>45838</v>
      </c>
      <c r="B184">
        <v>218.63</v>
      </c>
      <c r="C184" s="30">
        <f t="shared" si="4"/>
        <v>3.9131067992550506E-2</v>
      </c>
      <c r="D184">
        <v>0.9726177269975298</v>
      </c>
      <c r="E184" s="30">
        <f>_xlfn.NORM.INV(D184,$N$4,$N$5)</f>
        <v>7.0921106410786389E-2</v>
      </c>
      <c r="F184">
        <f t="shared" si="5"/>
        <v>83.424994883099544</v>
      </c>
    </row>
    <row r="185" spans="1:6">
      <c r="A185" s="7">
        <v>45835</v>
      </c>
      <c r="B185">
        <v>210.24</v>
      </c>
      <c r="C185" s="30">
        <f t="shared" si="4"/>
        <v>-1.21970027173397E-2</v>
      </c>
      <c r="D185">
        <v>0.73886712031355306</v>
      </c>
      <c r="E185" s="30">
        <f>_xlfn.NORM.INV(D185,$N$4,$N$5)</f>
        <v>2.3534685377138091E-2</v>
      </c>
      <c r="F185">
        <f t="shared" si="5"/>
        <v>85.411661985546104</v>
      </c>
    </row>
    <row r="186" spans="1:6">
      <c r="A186" s="4">
        <v>45834</v>
      </c>
      <c r="B186">
        <v>212.82</v>
      </c>
      <c r="C186" s="30">
        <f t="shared" si="4"/>
        <v>9.9165000186145491E-3</v>
      </c>
      <c r="D186">
        <v>0.67547921070628791</v>
      </c>
      <c r="E186" s="30">
        <f>_xlfn.NORM.INV(D186,$N$4,$N$5)</f>
        <v>1.6699367792903118E-2</v>
      </c>
      <c r="F186">
        <f t="shared" si="5"/>
        <v>86.849958640739388</v>
      </c>
    </row>
    <row r="187" spans="1:6">
      <c r="A187" s="7">
        <v>45833</v>
      </c>
      <c r="B187">
        <v>210.72</v>
      </c>
      <c r="C187" s="30">
        <f t="shared" si="4"/>
        <v>-2.1362816211384583E-2</v>
      </c>
      <c r="D187">
        <v>0.60351342558279164</v>
      </c>
      <c r="E187" s="30">
        <f>_xlfn.NORM.INV(D187,$N$4,$N$5)</f>
        <v>9.5725434848478522E-3</v>
      </c>
      <c r="F187">
        <f t="shared" si="5"/>
        <v>87.685325560605563</v>
      </c>
    </row>
    <row r="188" spans="1:6">
      <c r="A188" s="4">
        <v>45832</v>
      </c>
      <c r="B188">
        <v>215.27</v>
      </c>
      <c r="C188" s="30">
        <f t="shared" si="4"/>
        <v>3.8981042893819762E-2</v>
      </c>
      <c r="D188">
        <v>0.97056740506120776</v>
      </c>
      <c r="E188" s="30">
        <f>_xlfn.NORM.INV(D188,$N$4,$N$5)</f>
        <v>6.9754252578843406E-2</v>
      </c>
      <c r="F188">
        <f t="shared" si="5"/>
        <v>94.020120998162284</v>
      </c>
    </row>
    <row r="189" spans="1:6">
      <c r="A189" s="7">
        <v>45831</v>
      </c>
      <c r="B189">
        <v>207.04</v>
      </c>
      <c r="C189" s="30">
        <f t="shared" si="4"/>
        <v>9.0731075344221424E-3</v>
      </c>
      <c r="D189">
        <v>0.8666006652787307</v>
      </c>
      <c r="E189" s="30">
        <f>_xlfn.NORM.INV(D189,$N$4,$N$5)</f>
        <v>4.0944900248724929E-2</v>
      </c>
      <c r="F189">
        <f t="shared" si="5"/>
        <v>97.949663874769684</v>
      </c>
    </row>
    <row r="190" spans="1:6">
      <c r="A190" s="4">
        <v>45828</v>
      </c>
      <c r="B190">
        <v>205.17</v>
      </c>
      <c r="C190" s="30">
        <f t="shared" si="4"/>
        <v>-2.7402926077809475E-2</v>
      </c>
      <c r="D190">
        <v>0.38118740853173982</v>
      </c>
      <c r="E190" s="30">
        <f>_xlfn.NORM.INV(D190,$N$4,$N$5)</f>
        <v>-1.1322875996730358E-2</v>
      </c>
      <c r="F190">
        <f t="shared" si="5"/>
        <v>96.846847286952951</v>
      </c>
    </row>
    <row r="191" spans="1:6">
      <c r="A191" s="7">
        <v>45826</v>
      </c>
      <c r="B191">
        <v>210.87</v>
      </c>
      <c r="C191" s="30">
        <f t="shared" si="4"/>
        <v>1.2838739768601393E-2</v>
      </c>
      <c r="D191">
        <v>0.91167630397188293</v>
      </c>
      <c r="E191" s="30">
        <f>_xlfn.NORM.INV(D191,$N$4,$N$5)</f>
        <v>4.9849068366170091E-2</v>
      </c>
      <c r="F191">
        <f t="shared" si="5"/>
        <v>101.79692579204421</v>
      </c>
    </row>
    <row r="192" spans="1:6">
      <c r="A192" s="4">
        <v>45825</v>
      </c>
      <c r="B192">
        <v>208.18</v>
      </c>
      <c r="C192" s="30">
        <f t="shared" si="4"/>
        <v>-1.3928864766953097E-2</v>
      </c>
      <c r="D192">
        <v>0.46556939444149081</v>
      </c>
      <c r="E192" s="30">
        <f>_xlfn.NORM.INV(D192,$N$4,$N$5)</f>
        <v>-3.3337212747445006E-3</v>
      </c>
      <c r="F192">
        <f t="shared" si="5"/>
        <v>101.45812825687747</v>
      </c>
    </row>
    <row r="193" spans="1:6">
      <c r="A193" s="7">
        <v>45824</v>
      </c>
      <c r="B193">
        <v>211.1</v>
      </c>
      <c r="C193" s="30">
        <f t="shared" si="4"/>
        <v>-1.9328805917971259E-2</v>
      </c>
      <c r="D193">
        <v>0.96552616479567488</v>
      </c>
      <c r="E193" s="30">
        <f>_xlfn.NORM.INV(D193,$N$4,$N$5)</f>
        <v>6.7148451715559804E-2</v>
      </c>
      <c r="F193">
        <f t="shared" si="5"/>
        <v>108.50482430090098</v>
      </c>
    </row>
    <row r="194" spans="1:6">
      <c r="A194" s="4">
        <v>45821</v>
      </c>
      <c r="B194">
        <v>215.22</v>
      </c>
      <c r="C194" s="30">
        <f t="shared" ref="C194:C250" si="6">LN(B194)-LN(B195)</f>
        <v>7.4043639338603029E-2</v>
      </c>
      <c r="D194">
        <v>0.71341646414065241</v>
      </c>
      <c r="E194" s="30">
        <f>_xlfn.NORM.INV(D194,$N$4,$N$5)</f>
        <v>2.070591345260174E-2</v>
      </c>
      <c r="F194">
        <f t="shared" si="5"/>
        <v>110.77493707559292</v>
      </c>
    </row>
    <row r="195" spans="1:6">
      <c r="A195" s="7">
        <v>45820</v>
      </c>
      <c r="B195">
        <v>199.86</v>
      </c>
      <c r="C195" s="30">
        <f t="shared" si="6"/>
        <v>0.1249763629736087</v>
      </c>
      <c r="D195">
        <v>0.18463140514049114</v>
      </c>
      <c r="E195" s="30">
        <f>_xlfn.NORM.INV(D195,$N$4,$N$5)</f>
        <v>-3.335315355174355E-2</v>
      </c>
      <c r="F195">
        <f t="shared" si="5"/>
        <v>107.14117908677946</v>
      </c>
    </row>
    <row r="196" spans="1:6">
      <c r="A196" s="4">
        <v>45819</v>
      </c>
      <c r="B196">
        <v>176.38</v>
      </c>
      <c r="C196" s="30">
        <f t="shared" si="6"/>
        <v>-6.2171680506741822E-3</v>
      </c>
      <c r="D196">
        <v>2.7702774072085989E-2</v>
      </c>
      <c r="E196" s="30">
        <f>_xlfn.NORM.INV(D196,$N$4,$N$5)</f>
        <v>-7.1007797125140576E-2</v>
      </c>
      <c r="F196">
        <f t="shared" ref="F196:F250" si="7">F195*EXP(E196)</f>
        <v>99.797147263073313</v>
      </c>
    </row>
    <row r="197" spans="1:6">
      <c r="A197" s="7">
        <v>45818</v>
      </c>
      <c r="B197">
        <v>177.48</v>
      </c>
      <c r="C197" s="30">
        <f t="shared" si="6"/>
        <v>1.8610951992279468E-3</v>
      </c>
      <c r="D197">
        <v>0.27221749279544438</v>
      </c>
      <c r="E197" s="30">
        <f>_xlfn.NORM.INV(D197,$N$4,$N$5)</f>
        <v>-2.2560382459255054E-2</v>
      </c>
      <c r="F197">
        <f t="shared" si="7"/>
        <v>97.570892456519942</v>
      </c>
    </row>
    <row r="198" spans="1:6">
      <c r="A198" s="4">
        <v>45817</v>
      </c>
      <c r="B198">
        <v>177.15</v>
      </c>
      <c r="C198" s="30">
        <f t="shared" si="6"/>
        <v>1.7826596173602383E-2</v>
      </c>
      <c r="D198">
        <v>0.66033390516568036</v>
      </c>
      <c r="E198" s="30">
        <f>_xlfn.NORM.INV(D198,$N$4,$N$5)</f>
        <v>1.515595114143258E-2</v>
      </c>
      <c r="F198">
        <f t="shared" si="7"/>
        <v>99.060935120176154</v>
      </c>
    </row>
    <row r="199" spans="1:6">
      <c r="A199" s="7">
        <v>45814</v>
      </c>
      <c r="B199">
        <v>174.02</v>
      </c>
      <c r="C199" s="30">
        <f t="shared" si="6"/>
        <v>1.6688300147969848E-2</v>
      </c>
      <c r="D199">
        <v>4.4882559079933659E-2</v>
      </c>
      <c r="E199" s="30">
        <f>_xlfn.NORM.INV(D199,$N$4,$N$5)</f>
        <v>-6.2904227009390648E-2</v>
      </c>
      <c r="F199">
        <f t="shared" si="7"/>
        <v>93.021527051864084</v>
      </c>
    </row>
    <row r="200" spans="1:6">
      <c r="A200" s="4">
        <v>45813</v>
      </c>
      <c r="B200">
        <v>171.14</v>
      </c>
      <c r="C200" s="30">
        <f t="shared" si="6"/>
        <v>1.7922894575338688E-2</v>
      </c>
      <c r="D200">
        <v>0.5474602927298714</v>
      </c>
      <c r="E200" s="30">
        <f>_xlfn.NORM.INV(D200,$N$4,$N$5)</f>
        <v>4.274676506971292E-3</v>
      </c>
      <c r="F200">
        <f t="shared" si="7"/>
        <v>93.420015085119516</v>
      </c>
    </row>
    <row r="201" spans="1:6">
      <c r="A201" s="7">
        <v>45812</v>
      </c>
      <c r="B201">
        <v>168.1</v>
      </c>
      <c r="C201" s="30">
        <f t="shared" si="6"/>
        <v>-6.1677339395060926E-3</v>
      </c>
      <c r="D201">
        <v>3.6031713242350327E-2</v>
      </c>
      <c r="E201" s="30">
        <f>_xlfn.NORM.INV(D201,$N$4,$N$5)</f>
        <v>-6.6680659198439907E-2</v>
      </c>
      <c r="F201">
        <f t="shared" si="7"/>
        <v>87.393853784057043</v>
      </c>
    </row>
    <row r="202" spans="1:6">
      <c r="A202" s="4">
        <v>45811</v>
      </c>
      <c r="B202">
        <v>169.14</v>
      </c>
      <c r="C202" s="30">
        <f t="shared" si="6"/>
        <v>1.5311132865059918E-2</v>
      </c>
      <c r="D202">
        <v>0.60444699564529403</v>
      </c>
      <c r="E202" s="30">
        <f>_xlfn.NORM.INV(D202,$N$4,$N$5)</f>
        <v>9.6621783862793111E-3</v>
      </c>
      <c r="F202">
        <f t="shared" si="7"/>
        <v>88.242361403960075</v>
      </c>
    </row>
    <row r="203" spans="1:6">
      <c r="A203" s="7">
        <v>45810</v>
      </c>
      <c r="B203">
        <v>166.57</v>
      </c>
      <c r="C203" s="30">
        <f t="shared" si="6"/>
        <v>6.2631942169417698E-3</v>
      </c>
      <c r="D203">
        <v>0.92635802247793142</v>
      </c>
      <c r="E203" s="30">
        <f>_xlfn.NORM.INV(D203,$N$4,$N$5)</f>
        <v>5.3476146970589049E-2</v>
      </c>
      <c r="F203">
        <f t="shared" si="7"/>
        <v>93.089675635936828</v>
      </c>
    </row>
    <row r="204" spans="1:6">
      <c r="A204" s="4">
        <v>45807</v>
      </c>
      <c r="B204">
        <v>165.53</v>
      </c>
      <c r="C204" s="30">
        <f t="shared" si="6"/>
        <v>1.6015931664075111E-2</v>
      </c>
      <c r="D204">
        <v>0.56617082789236783</v>
      </c>
      <c r="E204" s="30">
        <f>_xlfn.NORM.INV(D204,$N$4,$N$5)</f>
        <v>6.0277381248154708E-3</v>
      </c>
      <c r="F204">
        <f t="shared" si="7"/>
        <v>93.652490368614281</v>
      </c>
    </row>
    <row r="205" spans="1:6">
      <c r="A205" s="7">
        <v>45806</v>
      </c>
      <c r="B205">
        <v>162.9</v>
      </c>
      <c r="C205" s="30">
        <f t="shared" si="6"/>
        <v>-5.8148595368239242E-3</v>
      </c>
      <c r="D205">
        <v>0.6340629438733919</v>
      </c>
      <c r="E205" s="30">
        <f>_xlfn.NORM.INV(D205,$N$4,$N$5)</f>
        <v>1.2538879942685374E-2</v>
      </c>
      <c r="F205">
        <f t="shared" si="7"/>
        <v>94.834180756210927</v>
      </c>
    </row>
    <row r="206" spans="1:6">
      <c r="A206" s="4">
        <v>45805</v>
      </c>
      <c r="B206">
        <v>163.85</v>
      </c>
      <c r="C206" s="30">
        <f t="shared" si="6"/>
        <v>1.1910749846162361E-2</v>
      </c>
      <c r="D206">
        <v>0.64902348418895095</v>
      </c>
      <c r="E206" s="30">
        <f>_xlfn.NORM.INV(D206,$N$4,$N$5)</f>
        <v>1.4020601276329061E-2</v>
      </c>
      <c r="F206">
        <f t="shared" si="7"/>
        <v>96.173177829371426</v>
      </c>
    </row>
    <row r="207" spans="1:6">
      <c r="A207" s="7">
        <v>45804</v>
      </c>
      <c r="B207">
        <v>161.91</v>
      </c>
      <c r="C207" s="30">
        <f t="shared" si="6"/>
        <v>3.7376944234926768E-2</v>
      </c>
      <c r="D207">
        <v>0.40787145009945347</v>
      </c>
      <c r="E207" s="30">
        <f>_xlfn.NORM.INV(D207,$N$4,$N$5)</f>
        <v>-8.7576386374543236E-3</v>
      </c>
      <c r="F207">
        <f t="shared" si="7"/>
        <v>95.334605208923406</v>
      </c>
    </row>
    <row r="208" spans="1:6">
      <c r="A208" s="4">
        <v>45800</v>
      </c>
      <c r="B208">
        <v>155.97</v>
      </c>
      <c r="C208" s="30">
        <f t="shared" si="6"/>
        <v>-8.5546997706797967E-3</v>
      </c>
      <c r="D208">
        <v>0.56703047241552373</v>
      </c>
      <c r="E208" s="30">
        <f>_xlfn.NORM.INV(D208,$N$4,$N$5)</f>
        <v>6.1085848097217265E-3</v>
      </c>
      <c r="F208">
        <f t="shared" si="7"/>
        <v>95.918747053716089</v>
      </c>
    </row>
    <row r="209" spans="1:6">
      <c r="A209" s="7">
        <v>45799</v>
      </c>
      <c r="B209">
        <v>157.31</v>
      </c>
      <c r="C209" s="30">
        <f t="shared" si="6"/>
        <v>8.267353963846702E-4</v>
      </c>
      <c r="D209">
        <v>0.23802939940808632</v>
      </c>
      <c r="E209" s="30">
        <f>_xlfn.NORM.INV(D209,$N$4,$N$5)</f>
        <v>-2.6501681339578715E-2</v>
      </c>
      <c r="F209">
        <f t="shared" si="7"/>
        <v>93.410127131141067</v>
      </c>
    </row>
    <row r="210" spans="1:6">
      <c r="A210" s="4">
        <v>45798</v>
      </c>
      <c r="B210">
        <v>157.18</v>
      </c>
      <c r="C210" s="30">
        <f t="shared" si="6"/>
        <v>-1.9717795263552773E-2</v>
      </c>
      <c r="D210">
        <v>0.14462536413027871</v>
      </c>
      <c r="E210" s="30">
        <f>_xlfn.NORM.INV(D210,$N$4,$N$5)</f>
        <v>-3.9343095422896983E-2</v>
      </c>
      <c r="F210">
        <f t="shared" si="7"/>
        <v>89.806438545452394</v>
      </c>
    </row>
    <row r="211" spans="1:6">
      <c r="A211" s="7">
        <v>45797</v>
      </c>
      <c r="B211">
        <v>160.31</v>
      </c>
      <c r="C211" s="30">
        <f t="shared" si="6"/>
        <v>4.1881605210489781E-3</v>
      </c>
      <c r="D211">
        <v>0.46357733918396349</v>
      </c>
      <c r="E211" s="30">
        <f>_xlfn.NORM.INV(D211,$N$4,$N$5)</f>
        <v>-3.5191825057296778E-3</v>
      </c>
      <c r="F211">
        <f t="shared" si="7"/>
        <v>89.490948756696383</v>
      </c>
    </row>
    <row r="212" spans="1:6">
      <c r="A212" s="4">
        <v>45796</v>
      </c>
      <c r="B212">
        <v>159.63999999999999</v>
      </c>
      <c r="C212" s="30">
        <f t="shared" si="6"/>
        <v>-5.3103551525319759E-3</v>
      </c>
      <c r="D212">
        <v>0.35595417863680079</v>
      </c>
      <c r="E212" s="30">
        <f>_xlfn.NORM.INV(D212,$N$4,$N$5)</f>
        <v>-1.3798982347692666E-2</v>
      </c>
      <c r="F212">
        <f t="shared" si="7"/>
        <v>88.264545751319162</v>
      </c>
    </row>
    <row r="213" spans="1:6">
      <c r="A213" s="7">
        <v>45793</v>
      </c>
      <c r="B213">
        <v>160.49</v>
      </c>
      <c r="C213" s="30">
        <f t="shared" si="6"/>
        <v>6.8148689769502724E-3</v>
      </c>
      <c r="D213">
        <v>0.50245332834019263</v>
      </c>
      <c r="E213" s="30">
        <f>_xlfn.NORM.INV(D213,$N$4,$N$5)</f>
        <v>9.0612924461129453E-5</v>
      </c>
      <c r="F213">
        <f t="shared" si="7"/>
        <v>88.272544022303819</v>
      </c>
    </row>
    <row r="214" spans="1:6">
      <c r="A214" s="4">
        <v>45792</v>
      </c>
      <c r="B214">
        <v>159.4</v>
      </c>
      <c r="C214" s="30">
        <f t="shared" si="6"/>
        <v>-2.2026638927456155E-2</v>
      </c>
      <c r="D214">
        <v>0.99280601344121533</v>
      </c>
      <c r="E214" s="30">
        <f>_xlfn.NORM.INV(D214,$N$4,$N$5)</f>
        <v>9.0406022339710554E-2</v>
      </c>
      <c r="F214">
        <f t="shared" si="7"/>
        <v>96.624771478811738</v>
      </c>
    </row>
    <row r="215" spans="1:6">
      <c r="A215" s="7">
        <v>45791</v>
      </c>
      <c r="B215">
        <v>162.94999999999999</v>
      </c>
      <c r="C215" s="30">
        <f t="shared" si="6"/>
        <v>4.1817907321251013E-3</v>
      </c>
      <c r="D215">
        <v>0.32961173593083393</v>
      </c>
      <c r="E215" s="30">
        <f>_xlfn.NORM.INV(D215,$N$4,$N$5)</f>
        <v>-1.645120752177906E-2</v>
      </c>
      <c r="F215">
        <f t="shared" si="7"/>
        <v>95.048181275273777</v>
      </c>
    </row>
    <row r="216" spans="1:6">
      <c r="A216" s="4">
        <v>45790</v>
      </c>
      <c r="B216">
        <v>162.27000000000001</v>
      </c>
      <c r="C216" s="30">
        <f t="shared" si="6"/>
        <v>3.1615516185834913E-2</v>
      </c>
      <c r="D216">
        <v>0.55304264202814002</v>
      </c>
      <c r="E216" s="30">
        <f>_xlfn.NORM.INV(D216,$N$4,$N$5)</f>
        <v>4.7964942358420855E-3</v>
      </c>
      <c r="F216">
        <f t="shared" si="7"/>
        <v>95.505174435271471</v>
      </c>
    </row>
    <row r="217" spans="1:6">
      <c r="A217" s="7">
        <v>45789</v>
      </c>
      <c r="B217">
        <v>157.22</v>
      </c>
      <c r="C217" s="30">
        <f t="shared" si="6"/>
        <v>4.474670261628777E-2</v>
      </c>
      <c r="D217">
        <v>9.0874771719736569E-2</v>
      </c>
      <c r="E217" s="30">
        <f>_xlfn.NORM.INV(D217,$N$4,$N$5)</f>
        <v>-4.9539720548142603E-2</v>
      </c>
      <c r="F217">
        <f t="shared" si="7"/>
        <v>90.8891568999383</v>
      </c>
    </row>
    <row r="218" spans="1:6">
      <c r="A218" s="4">
        <v>45786</v>
      </c>
      <c r="B218">
        <v>150.34</v>
      </c>
      <c r="C218" s="30">
        <f t="shared" si="6"/>
        <v>2.6609899039442553E-4</v>
      </c>
      <c r="D218">
        <v>0.46142732291662714</v>
      </c>
      <c r="E218" s="30">
        <f>_xlfn.NORM.INV(D218,$N$4,$N$5)</f>
        <v>-3.7194455415412954E-3</v>
      </c>
      <c r="F218">
        <f t="shared" si="7"/>
        <v>90.551727544595494</v>
      </c>
    </row>
    <row r="219" spans="1:6">
      <c r="A219" s="7">
        <v>45785</v>
      </c>
      <c r="B219">
        <v>150.30000000000001</v>
      </c>
      <c r="C219" s="30">
        <f t="shared" si="6"/>
        <v>6.2068474367276139E-3</v>
      </c>
      <c r="D219">
        <v>0.75985705360240385</v>
      </c>
      <c r="E219" s="30">
        <f>_xlfn.NORM.INV(D219,$N$4,$N$5)</f>
        <v>2.597584949627408E-2</v>
      </c>
      <c r="F219">
        <f t="shared" si="7"/>
        <v>92.934701487072175</v>
      </c>
    </row>
    <row r="220" spans="1:6">
      <c r="A220" s="4">
        <v>45784</v>
      </c>
      <c r="B220">
        <v>149.37</v>
      </c>
      <c r="C220" s="30">
        <f t="shared" si="6"/>
        <v>1.1243259784866844E-2</v>
      </c>
      <c r="D220">
        <v>0.47846338766634455</v>
      </c>
      <c r="E220" s="30">
        <f>_xlfn.NORM.INV(D220,$N$4,$N$5)</f>
        <v>-2.1350193004885162E-3</v>
      </c>
      <c r="F220">
        <f t="shared" si="7"/>
        <v>92.736495767520708</v>
      </c>
    </row>
    <row r="221" spans="1:6">
      <c r="A221" s="7">
        <v>45783</v>
      </c>
      <c r="B221">
        <v>147.69999999999999</v>
      </c>
      <c r="C221" s="30">
        <f t="shared" si="6"/>
        <v>-1.0707533528164781E-2</v>
      </c>
      <c r="D221">
        <v>3.8121982225908124E-2</v>
      </c>
      <c r="E221" s="30">
        <f>_xlfn.NORM.INV(D221,$N$4,$N$5)</f>
        <v>-6.5725841988724221E-2</v>
      </c>
      <c r="F221">
        <f t="shared" si="7"/>
        <v>86.837299812485298</v>
      </c>
    </row>
    <row r="222" spans="1:6">
      <c r="A222" s="4">
        <v>45782</v>
      </c>
      <c r="B222">
        <v>149.29</v>
      </c>
      <c r="C222" s="30">
        <f t="shared" si="6"/>
        <v>-9.5994337569385024E-3</v>
      </c>
      <c r="D222">
        <v>0.22370767793881519</v>
      </c>
      <c r="E222" s="30">
        <f>_xlfn.NORM.INV(D222,$N$4,$N$5)</f>
        <v>-2.8243238110605421E-2</v>
      </c>
      <c r="F222">
        <f t="shared" si="7"/>
        <v>84.419043715880733</v>
      </c>
    </row>
    <row r="223" spans="1:6">
      <c r="A223" s="7">
        <v>45779</v>
      </c>
      <c r="B223">
        <v>150.72999999999999</v>
      </c>
      <c r="C223" s="30">
        <f t="shared" si="6"/>
        <v>3.5382801095139804E-2</v>
      </c>
      <c r="D223">
        <v>0.81106502599108332</v>
      </c>
      <c r="E223" s="30">
        <f>_xlfn.NORM.INV(D223,$N$4,$N$5)</f>
        <v>3.2486435005355523E-2</v>
      </c>
      <c r="F223">
        <f t="shared" si="7"/>
        <v>87.206550420894629</v>
      </c>
    </row>
    <row r="224" spans="1:6">
      <c r="A224" s="4">
        <v>45778</v>
      </c>
      <c r="B224">
        <v>145.49</v>
      </c>
      <c r="C224" s="30">
        <f t="shared" si="6"/>
        <v>3.3335255297995303E-2</v>
      </c>
      <c r="D224">
        <v>0.22790360374082719</v>
      </c>
      <c r="E224" s="30">
        <f>_xlfn.NORM.INV(D224,$N$4,$N$5)</f>
        <v>-2.7726695211904444E-2</v>
      </c>
      <c r="F224">
        <f t="shared" si="7"/>
        <v>84.821814178478618</v>
      </c>
    </row>
    <row r="225" spans="1:6">
      <c r="A225" s="7">
        <v>45777</v>
      </c>
      <c r="B225">
        <v>140.72</v>
      </c>
      <c r="C225" s="30">
        <f t="shared" si="6"/>
        <v>-4.9731804513353239E-4</v>
      </c>
      <c r="D225">
        <v>0.8992575933103063</v>
      </c>
      <c r="E225" s="30">
        <f>_xlfn.NORM.INV(D225,$N$4,$N$5)</f>
        <v>4.7118188748385213E-2</v>
      </c>
      <c r="F225">
        <f t="shared" si="7"/>
        <v>88.914118317908461</v>
      </c>
    </row>
    <row r="226" spans="1:6">
      <c r="A226" s="4">
        <v>45776</v>
      </c>
      <c r="B226">
        <v>140.79</v>
      </c>
      <c r="C226" s="30">
        <f t="shared" si="6"/>
        <v>4.6274955320484423E-3</v>
      </c>
      <c r="D226">
        <v>8.4960284308236766E-2</v>
      </c>
      <c r="E226" s="30">
        <f>_xlfn.NORM.INV(D226,$N$4,$N$5)</f>
        <v>-5.0911187139845979E-2</v>
      </c>
      <c r="F226">
        <f t="shared" si="7"/>
        <v>84.500694561824787</v>
      </c>
    </row>
    <row r="227" spans="1:6">
      <c r="A227" s="7">
        <v>45775</v>
      </c>
      <c r="B227">
        <v>140.13999999999999</v>
      </c>
      <c r="C227" s="30">
        <f t="shared" si="6"/>
        <v>1.1843802087761368E-2</v>
      </c>
      <c r="D227">
        <v>0.63616751752344614</v>
      </c>
      <c r="E227" s="30">
        <f>_xlfn.NORM.INV(D227,$N$4,$N$5)</f>
        <v>1.2746041892249559E-2</v>
      </c>
      <c r="F227">
        <f t="shared" si="7"/>
        <v>85.584637269332319</v>
      </c>
    </row>
    <row r="228" spans="1:6">
      <c r="A228" s="4">
        <v>45772</v>
      </c>
      <c r="B228">
        <v>138.49</v>
      </c>
      <c r="C228" s="30">
        <f t="shared" si="6"/>
        <v>7.1014791197727689E-3</v>
      </c>
      <c r="D228">
        <v>0.63163090050784643</v>
      </c>
      <c r="E228" s="30">
        <f>_xlfn.NORM.INV(D228,$N$4,$N$5)</f>
        <v>1.2299977378055577E-2</v>
      </c>
      <c r="F228">
        <f t="shared" si="7"/>
        <v>86.643827023006793</v>
      </c>
    </row>
    <row r="229" spans="1:6">
      <c r="A229" s="7">
        <v>45771</v>
      </c>
      <c r="B229">
        <v>137.51</v>
      </c>
      <c r="C229" s="30">
        <f t="shared" si="6"/>
        <v>4.5450535684342874E-2</v>
      </c>
      <c r="D229">
        <v>0.37714542779347282</v>
      </c>
      <c r="E229" s="30">
        <f>_xlfn.NORM.INV(D229,$N$4,$N$5)</f>
        <v>-1.1715870554846864E-2</v>
      </c>
      <c r="F229">
        <f t="shared" si="7"/>
        <v>85.634642442682917</v>
      </c>
    </row>
    <row r="230" spans="1:6">
      <c r="A230" s="4">
        <v>45770</v>
      </c>
      <c r="B230">
        <v>131.4</v>
      </c>
      <c r="C230" s="30">
        <f t="shared" si="6"/>
        <v>3.2171039169567095E-2</v>
      </c>
      <c r="D230">
        <v>0.98970655957199472</v>
      </c>
      <c r="E230" s="30">
        <f>_xlfn.NORM.INV(D230,$N$4,$N$5)</f>
        <v>8.5524439554992296E-2</v>
      </c>
      <c r="F230">
        <f t="shared" si="7"/>
        <v>93.280804045740098</v>
      </c>
    </row>
    <row r="231" spans="1:6">
      <c r="A231" s="7">
        <v>45769</v>
      </c>
      <c r="B231">
        <v>127.24</v>
      </c>
      <c r="C231" s="30">
        <f t="shared" si="6"/>
        <v>3.5355197979690445E-2</v>
      </c>
      <c r="D231">
        <v>5.387777421286688E-2</v>
      </c>
      <c r="E231" s="30">
        <f>_xlfn.NORM.INV(D231,$N$4,$N$5)</f>
        <v>-5.9638507536232795E-2</v>
      </c>
      <c r="F231">
        <f t="shared" si="7"/>
        <v>87.880315244907223</v>
      </c>
    </row>
    <row r="232" spans="1:6">
      <c r="A232" s="4">
        <v>45768</v>
      </c>
      <c r="B232">
        <v>122.82</v>
      </c>
      <c r="C232" s="30">
        <f t="shared" si="6"/>
        <v>-4.6142451805463836E-2</v>
      </c>
      <c r="D232">
        <v>0.18453169949723824</v>
      </c>
      <c r="E232" s="30">
        <f>_xlfn.NORM.INV(D232,$N$4,$N$5)</f>
        <v>-3.3366991732291719E-2</v>
      </c>
      <c r="F232">
        <f t="shared" si="7"/>
        <v>84.996394929591744</v>
      </c>
    </row>
    <row r="233" spans="1:6">
      <c r="A233" s="7">
        <v>45764</v>
      </c>
      <c r="B233">
        <v>128.62</v>
      </c>
      <c r="C233" s="30">
        <f t="shared" si="6"/>
        <v>-8.8242696603861859E-3</v>
      </c>
      <c r="D233">
        <v>0.42841515488475856</v>
      </c>
      <c r="E233" s="30">
        <f>_xlfn.NORM.INV(D233,$N$4,$N$5)</f>
        <v>-6.8112020002988188E-3</v>
      </c>
      <c r="F233">
        <f t="shared" si="7"/>
        <v>84.419434442192298</v>
      </c>
    </row>
    <row r="234" spans="1:6">
      <c r="A234" s="4">
        <v>45763</v>
      </c>
      <c r="B234">
        <v>129.76</v>
      </c>
      <c r="C234" s="30">
        <f t="shared" si="6"/>
        <v>-3.1705348114801524E-2</v>
      </c>
      <c r="D234">
        <v>0.69826867663735948</v>
      </c>
      <c r="E234" s="30">
        <f>_xlfn.NORM.INV(D234,$N$4,$N$5)</f>
        <v>1.9079392388969166E-2</v>
      </c>
      <c r="F234">
        <f t="shared" si="7"/>
        <v>86.045569462290601</v>
      </c>
    </row>
    <row r="235" spans="1:6">
      <c r="A235" s="7">
        <v>45762</v>
      </c>
      <c r="B235">
        <v>133.94</v>
      </c>
      <c r="C235" s="30">
        <f t="shared" si="6"/>
        <v>-5.2126114006458835E-3</v>
      </c>
      <c r="D235">
        <v>0.66453880758745687</v>
      </c>
      <c r="E235" s="30">
        <f>_xlfn.NORM.INV(D235,$N$4,$N$5)</f>
        <v>1.5581685102391664E-2</v>
      </c>
      <c r="F235">
        <f t="shared" si="7"/>
        <v>87.396804349739199</v>
      </c>
    </row>
    <row r="236" spans="1:6">
      <c r="A236" s="4">
        <v>45761</v>
      </c>
      <c r="B236">
        <v>134.63999999999999</v>
      </c>
      <c r="C236" s="30">
        <f t="shared" si="6"/>
        <v>1.7154621209440002E-2</v>
      </c>
      <c r="D236">
        <v>0.29369581506191977</v>
      </c>
      <c r="E236" s="30">
        <f>_xlfn.NORM.INV(D236,$N$4,$N$5)</f>
        <v>-2.0211178485755443E-2</v>
      </c>
      <c r="F236">
        <f t="shared" si="7"/>
        <v>85.648142719845239</v>
      </c>
    </row>
    <row r="237" spans="1:6">
      <c r="A237" s="7">
        <v>45758</v>
      </c>
      <c r="B237">
        <v>132.35</v>
      </c>
      <c r="C237" s="30">
        <f t="shared" si="6"/>
        <v>-7.5273219549130133E-3</v>
      </c>
      <c r="D237">
        <v>0.39105407398527059</v>
      </c>
      <c r="E237" s="30">
        <f>_xlfn.NORM.INV(D237,$N$4,$N$5)</f>
        <v>-1.0368738359101216E-2</v>
      </c>
      <c r="F237">
        <f t="shared" si="7"/>
        <v>84.764667712876999</v>
      </c>
    </row>
    <row r="238" spans="1:6">
      <c r="A238" s="4">
        <v>45757</v>
      </c>
      <c r="B238">
        <v>133.35</v>
      </c>
      <c r="C238" s="30">
        <f t="shared" si="6"/>
        <v>-4.644843111143615E-2</v>
      </c>
      <c r="D238">
        <v>0.18818530215716711</v>
      </c>
      <c r="E238" s="30">
        <f>_xlfn.NORM.INV(D238,$N$4,$N$5)</f>
        <v>-3.286290345057781E-2</v>
      </c>
      <c r="F238">
        <f t="shared" si="7"/>
        <v>82.024328984624972</v>
      </c>
    </row>
    <row r="239" spans="1:6">
      <c r="A239" s="7">
        <v>45756</v>
      </c>
      <c r="B239">
        <v>139.69</v>
      </c>
      <c r="C239" s="30">
        <f t="shared" si="6"/>
        <v>0.11511996583469752</v>
      </c>
      <c r="D239">
        <v>0.3419393680880326</v>
      </c>
      <c r="E239" s="30">
        <f>_xlfn.NORM.INV(D239,$N$4,$N$5)</f>
        <v>-1.5200419281455747E-2</v>
      </c>
      <c r="F239">
        <f t="shared" si="7"/>
        <v>80.786952934996336</v>
      </c>
    </row>
    <row r="240" spans="1:6">
      <c r="A240" s="4">
        <v>45755</v>
      </c>
      <c r="B240">
        <v>124.5</v>
      </c>
      <c r="C240" s="30">
        <f t="shared" si="6"/>
        <v>-2.114042013784001E-2</v>
      </c>
      <c r="D240">
        <v>0.70994804850757909</v>
      </c>
      <c r="E240" s="30">
        <f>_xlfn.NORM.INV(D240,$N$4,$N$5)</f>
        <v>2.0330028807084111E-2</v>
      </c>
      <c r="F240">
        <f t="shared" si="7"/>
        <v>82.446162760222663</v>
      </c>
    </row>
    <row r="241" spans="1:6">
      <c r="A241" s="7">
        <v>45754</v>
      </c>
      <c r="B241">
        <v>127.16</v>
      </c>
      <c r="C241" s="30">
        <f t="shared" si="6"/>
        <v>-8.6912812691570807E-3</v>
      </c>
      <c r="D241">
        <v>0.75112490164966372</v>
      </c>
      <c r="E241" s="30">
        <f>_xlfn.NORM.INV(D241,$N$4,$N$5)</f>
        <v>2.4947055375479959E-2</v>
      </c>
      <c r="F241">
        <f t="shared" si="7"/>
        <v>84.528821842065966</v>
      </c>
    </row>
    <row r="242" spans="1:6">
      <c r="A242" s="4">
        <v>45751</v>
      </c>
      <c r="B242">
        <v>128.27000000000001</v>
      </c>
      <c r="C242" s="30">
        <f t="shared" si="6"/>
        <v>-6.7520932969782343E-2</v>
      </c>
      <c r="D242">
        <v>0.43110547390785892</v>
      </c>
      <c r="E242" s="30">
        <f>_xlfn.NORM.INV(D242,$N$4,$N$5)</f>
        <v>-6.5577819831553821E-3</v>
      </c>
      <c r="F242">
        <f t="shared" si="7"/>
        <v>83.976313850634867</v>
      </c>
    </row>
    <row r="243" spans="1:6">
      <c r="A243" s="7">
        <v>45750</v>
      </c>
      <c r="B243">
        <v>137.22999999999999</v>
      </c>
      <c r="C243" s="30">
        <f t="shared" si="6"/>
        <v>-6.0988907274545312E-2</v>
      </c>
      <c r="D243">
        <v>0.12902279701925667</v>
      </c>
      <c r="E243" s="30">
        <f>_xlfn.NORM.INV(D243,$N$4,$N$5)</f>
        <v>-4.1979213244976173E-2</v>
      </c>
      <c r="F243">
        <f t="shared" si="7"/>
        <v>80.524023450996694</v>
      </c>
    </row>
    <row r="244" spans="1:6">
      <c r="A244" s="4">
        <v>45749</v>
      </c>
      <c r="B244">
        <v>145.86000000000001</v>
      </c>
      <c r="C244" s="30">
        <f t="shared" si="6"/>
        <v>2.7242824459249526E-2</v>
      </c>
      <c r="D244">
        <v>0.81598278399721402</v>
      </c>
      <c r="E244" s="30">
        <f>_xlfn.NORM.INV(D244,$N$4,$N$5)</f>
        <v>3.3164684972045562E-2</v>
      </c>
      <c r="F244">
        <f t="shared" si="7"/>
        <v>83.239355001797591</v>
      </c>
    </row>
    <row r="245" spans="1:6">
      <c r="A245" s="7">
        <v>45748</v>
      </c>
      <c r="B245">
        <v>141.94</v>
      </c>
      <c r="C245" s="30">
        <f t="shared" si="6"/>
        <v>1.5120075097104113E-2</v>
      </c>
      <c r="D245">
        <v>0.22736297046839349</v>
      </c>
      <c r="E245" s="30">
        <f>_xlfn.NORM.INV(D245,$N$4,$N$5)</f>
        <v>-2.7792947115330063E-2</v>
      </c>
      <c r="F245">
        <f t="shared" si="7"/>
        <v>80.957741262406174</v>
      </c>
    </row>
    <row r="246" spans="1:6">
      <c r="A246" s="4">
        <v>45747</v>
      </c>
      <c r="B246">
        <v>139.81</v>
      </c>
      <c r="C246" s="30">
        <f t="shared" si="6"/>
        <v>-7.5531212724824215E-3</v>
      </c>
      <c r="D246">
        <v>0.78636935157857479</v>
      </c>
      <c r="E246" s="30">
        <f>_xlfn.NORM.INV(D246,$N$4,$N$5)</f>
        <v>2.9233050055408119E-2</v>
      </c>
      <c r="F246">
        <f t="shared" si="7"/>
        <v>83.359314598017505</v>
      </c>
    </row>
    <row r="247" spans="1:6">
      <c r="A247" s="7">
        <v>45744</v>
      </c>
      <c r="B247">
        <v>140.87</v>
      </c>
      <c r="C247" s="30">
        <f t="shared" si="6"/>
        <v>-3.4261156681851368E-2</v>
      </c>
      <c r="D247">
        <v>0.94883745974230738</v>
      </c>
      <c r="E247" s="30">
        <f>_xlfn.NORM.INV(D247,$N$4,$N$5)</f>
        <v>6.0301473794340865E-2</v>
      </c>
      <c r="F247">
        <f t="shared" si="7"/>
        <v>88.540655399315185</v>
      </c>
    </row>
    <row r="248" spans="1:6">
      <c r="A248" s="4">
        <v>45743</v>
      </c>
      <c r="B248">
        <v>145.78</v>
      </c>
      <c r="C248" s="30">
        <f t="shared" si="6"/>
        <v>-1.3761372560034957E-2</v>
      </c>
      <c r="D248">
        <v>0.88531625669772762</v>
      </c>
      <c r="E248" s="30">
        <f>_xlfn.NORM.INV(D248,$N$4,$N$5)</f>
        <v>4.4330868149150354E-2</v>
      </c>
      <c r="F248">
        <f t="shared" si="7"/>
        <v>92.554040701126311</v>
      </c>
    </row>
    <row r="249" spans="1:6">
      <c r="A249" s="7">
        <v>45742</v>
      </c>
      <c r="B249">
        <v>147.80000000000001</v>
      </c>
      <c r="C249" s="30">
        <f t="shared" si="6"/>
        <v>-4.0637945107881102E-2</v>
      </c>
      <c r="D249">
        <v>0.55980311853325437</v>
      </c>
      <c r="E249" s="30">
        <f>_xlfn.NORM.INV(D249,$N$4,$N$5)</f>
        <v>5.4297658326759955E-3</v>
      </c>
      <c r="F249">
        <f t="shared" si="7"/>
        <v>93.057954297369037</v>
      </c>
    </row>
    <row r="250" spans="1:6">
      <c r="A250" s="4">
        <v>45741</v>
      </c>
      <c r="B250">
        <v>153.93</v>
      </c>
      <c r="C250" s="30">
        <f t="shared" si="6"/>
        <v>-6.0881017061005238E-3</v>
      </c>
      <c r="D250">
        <v>0.22437800037529398</v>
      </c>
      <c r="E250" s="30">
        <f>_xlfn.NORM.INV(D250,$N$4,$N$5)</f>
        <v>-2.8160351502549062E-2</v>
      </c>
      <c r="F250">
        <f t="shared" si="7"/>
        <v>90.473963397888539</v>
      </c>
    </row>
    <row r="251" spans="1:6">
      <c r="A251" s="10">
        <v>45740</v>
      </c>
      <c r="B251">
        <v>154.87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72CC-CED8-4282-A315-69220C448A82}">
  <dimension ref="A1:N251"/>
  <sheetViews>
    <sheetView topLeftCell="A27" zoomScale="70" zoomScaleNormal="70" workbookViewId="0">
      <selection activeCell="J46" sqref="J46"/>
    </sheetView>
  </sheetViews>
  <sheetFormatPr defaultRowHeight="14.45"/>
  <cols>
    <col min="1" max="1" width="16.5703125" customWidth="1"/>
    <col min="2" max="2" width="14.28515625" customWidth="1"/>
    <col min="3" max="4" width="23.42578125" customWidth="1"/>
    <col min="5" max="5" width="23.5703125" customWidth="1"/>
    <col min="6" max="6" width="19.28515625" customWidth="1"/>
    <col min="8" max="8" width="7.140625" customWidth="1"/>
    <col min="9" max="9" width="15.140625" customWidth="1"/>
    <col min="10" max="10" width="19" customWidth="1"/>
    <col min="12" max="12" width="14.5703125" customWidth="1"/>
    <col min="13" max="13" width="22.28515625" customWidth="1"/>
  </cols>
  <sheetData>
    <row r="1" spans="1:14">
      <c r="A1" t="s">
        <v>11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H1" t="s">
        <v>23</v>
      </c>
      <c r="I1" t="s">
        <v>24</v>
      </c>
      <c r="J1" t="s">
        <v>25</v>
      </c>
    </row>
    <row r="2" spans="1:14">
      <c r="A2" s="4">
        <v>46101</v>
      </c>
      <c r="B2" s="6">
        <v>20.22</v>
      </c>
      <c r="C2" s="30">
        <f>LN(B2)-LN(B3)</f>
        <v>-1.9589264996488609E-2</v>
      </c>
      <c r="D2">
        <v>0.99102080421659133</v>
      </c>
      <c r="E2" s="30">
        <f>_xlfn.NORM.INV(D2,$N$4,$N$5)</f>
        <v>4.4496693826838143E-2</v>
      </c>
      <c r="F2" s="29">
        <f>B2</f>
        <v>20.22</v>
      </c>
      <c r="H2">
        <v>-0.08</v>
      </c>
      <c r="I2" cm="1">
        <f t="array" ref="I2:I23">FREQUENCY(C2:C250,H2:H22)</f>
        <v>0</v>
      </c>
      <c r="J2" cm="1">
        <f t="array" ref="J2:J23">FREQUENCY(E2:E250,H2:H22)</f>
        <v>0</v>
      </c>
      <c r="M2" t="s">
        <v>26</v>
      </c>
      <c r="N2" s="29">
        <f>MAX(B2:B250)</f>
        <v>30.26</v>
      </c>
    </row>
    <row r="3" spans="1:14">
      <c r="A3" s="7">
        <v>46100</v>
      </c>
      <c r="B3" s="9">
        <v>20.62</v>
      </c>
      <c r="C3" s="30">
        <f t="shared" ref="C3:C66" si="0">LN(B3)-LN(B4)</f>
        <v>1.1707450794235186E-2</v>
      </c>
      <c r="D3">
        <v>0.5389149455178881</v>
      </c>
      <c r="E3" s="30">
        <f>_xlfn.NORM.INV(D3,$N$4,$N$5)</f>
        <v>1.0755367980334045E-3</v>
      </c>
      <c r="F3">
        <f>F2*EXP(E3)</f>
        <v>20.24175905328995</v>
      </c>
      <c r="H3">
        <v>-7.1999999999999995E-2</v>
      </c>
      <c r="I3">
        <v>0</v>
      </c>
      <c r="J3">
        <v>0</v>
      </c>
      <c r="M3" t="s">
        <v>31</v>
      </c>
      <c r="N3" s="29">
        <f>MIN(B2:B250)</f>
        <v>20.22</v>
      </c>
    </row>
    <row r="4" spans="1:14">
      <c r="A4" s="4">
        <v>46099</v>
      </c>
      <c r="B4" s="6">
        <v>20.38</v>
      </c>
      <c r="C4" s="30">
        <f t="shared" si="0"/>
        <v>-2.6151611402143615E-2</v>
      </c>
      <c r="D4">
        <v>0.64117931632074354</v>
      </c>
      <c r="E4" s="30">
        <f>_xlfn.NORM.INV(D4,$N$4,$N$5)</f>
        <v>6.1264482971594069E-3</v>
      </c>
      <c r="F4">
        <f>F3*EXP(E4)</f>
        <v>20.366149791219065</v>
      </c>
      <c r="H4">
        <v>-6.4000000000000001E-2</v>
      </c>
      <c r="I4">
        <v>1</v>
      </c>
      <c r="J4">
        <v>0</v>
      </c>
      <c r="M4" t="s">
        <v>28</v>
      </c>
      <c r="N4" s="33">
        <f>AVERAGE(C2:C251)</f>
        <v>-7.943138502573624E-4</v>
      </c>
    </row>
    <row r="5" spans="1:14">
      <c r="A5" s="7">
        <v>46098</v>
      </c>
      <c r="B5" s="9">
        <v>20.92</v>
      </c>
      <c r="C5" s="30">
        <f t="shared" si="0"/>
        <v>-3.4299815251776611E-2</v>
      </c>
      <c r="D5">
        <v>0.2070384486668454</v>
      </c>
      <c r="E5" s="30">
        <f>_xlfn.NORM.INV(D5,$N$4,$N$5)</f>
        <v>-1.6425575257140133E-2</v>
      </c>
      <c r="F5">
        <f t="shared" ref="F5:F68" si="1">F4*EXP(E5)</f>
        <v>20.034356472957693</v>
      </c>
      <c r="H5">
        <v>-5.6000000000000001E-2</v>
      </c>
      <c r="I5">
        <v>1</v>
      </c>
      <c r="J5">
        <v>2</v>
      </c>
      <c r="M5" t="s">
        <v>29</v>
      </c>
      <c r="N5" s="31">
        <f>_xlfn.STDEV.S(C2:C251)</f>
        <v>1.9138596200581511E-2</v>
      </c>
    </row>
    <row r="6" spans="1:14">
      <c r="A6" s="4">
        <v>46097</v>
      </c>
      <c r="B6" s="6">
        <v>21.65</v>
      </c>
      <c r="C6" s="30">
        <f t="shared" si="0"/>
        <v>7.4177437940798896E-3</v>
      </c>
      <c r="D6">
        <v>0.61815930159453913</v>
      </c>
      <c r="E6" s="30">
        <f>_xlfn.NORM.INV(D6,$N$4,$N$5)</f>
        <v>4.9597051733302616E-3</v>
      </c>
      <c r="F6">
        <f t="shared" si="1"/>
        <v>20.133967791595023</v>
      </c>
      <c r="H6">
        <v>-4.8000000000000001E-2</v>
      </c>
      <c r="I6">
        <v>2</v>
      </c>
      <c r="J6">
        <v>2</v>
      </c>
    </row>
    <row r="7" spans="1:14">
      <c r="A7" s="7">
        <v>46094</v>
      </c>
      <c r="B7" s="9">
        <v>21.49</v>
      </c>
      <c r="C7" s="30">
        <f t="shared" si="0"/>
        <v>1.3969734518664012E-3</v>
      </c>
      <c r="D7">
        <v>6.785185495682855E-2</v>
      </c>
      <c r="E7" s="30">
        <f>_xlfn.NORM.INV(D7,$N$4,$N$5)</f>
        <v>-2.9348766148177087E-2</v>
      </c>
      <c r="F7">
        <f t="shared" si="1"/>
        <v>19.551647665700639</v>
      </c>
      <c r="H7">
        <v>-0.04</v>
      </c>
      <c r="I7">
        <v>1</v>
      </c>
      <c r="J7">
        <v>4</v>
      </c>
    </row>
    <row r="8" spans="1:14">
      <c r="A8" s="4">
        <v>46093</v>
      </c>
      <c r="B8" s="6">
        <v>21.46</v>
      </c>
      <c r="C8" s="30">
        <f t="shared" si="0"/>
        <v>-1.3969734518664012E-3</v>
      </c>
      <c r="D8">
        <v>0.64376615431498097</v>
      </c>
      <c r="E8" s="30">
        <f>_xlfn.NORM.INV(D8,$N$4,$N$5)</f>
        <v>6.2590997059152418E-3</v>
      </c>
      <c r="F8">
        <f t="shared" si="1"/>
        <v>19.674407159037575</v>
      </c>
      <c r="H8">
        <v>-3.2000000000000001E-2</v>
      </c>
      <c r="I8">
        <v>3</v>
      </c>
      <c r="J8">
        <v>9</v>
      </c>
    </row>
    <row r="9" spans="1:14">
      <c r="A9" s="7">
        <v>46092</v>
      </c>
      <c r="B9" s="9">
        <v>21.49</v>
      </c>
      <c r="C9" s="30">
        <f t="shared" si="0"/>
        <v>-8.8024659170264918E-3</v>
      </c>
      <c r="D9">
        <v>7.5070391156736638E-2</v>
      </c>
      <c r="E9" s="30">
        <f>_xlfn.NORM.INV(D9,$N$4,$N$5)</f>
        <v>-2.8335411759761519E-2</v>
      </c>
      <c r="F9">
        <f t="shared" si="1"/>
        <v>19.124748903577121</v>
      </c>
      <c r="H9">
        <v>-2.4E-2</v>
      </c>
      <c r="I9">
        <v>11</v>
      </c>
      <c r="J9">
        <v>13</v>
      </c>
    </row>
    <row r="10" spans="1:14">
      <c r="A10" s="4">
        <v>46091</v>
      </c>
      <c r="B10" s="6">
        <v>21.68</v>
      </c>
      <c r="C10" s="30">
        <f t="shared" si="0"/>
        <v>2.7713643603832772E-3</v>
      </c>
      <c r="D10">
        <v>0.61333182820965881</v>
      </c>
      <c r="E10" s="30">
        <f>_xlfn.NORM.INV(D10,$N$4,$N$5)</f>
        <v>4.7178617577562313E-3</v>
      </c>
      <c r="F10">
        <f t="shared" si="1"/>
        <v>19.215190001600089</v>
      </c>
      <c r="H10">
        <v>-1.59999999999999E-2</v>
      </c>
      <c r="I10">
        <v>25</v>
      </c>
      <c r="J10">
        <v>23</v>
      </c>
    </row>
    <row r="11" spans="1:14">
      <c r="A11" s="7">
        <v>46090</v>
      </c>
      <c r="B11" s="9">
        <v>21.62</v>
      </c>
      <c r="C11" s="30">
        <f t="shared" si="0"/>
        <v>6.4965425703982227E-3</v>
      </c>
      <c r="D11">
        <v>0.96190755479183887</v>
      </c>
      <c r="E11" s="30">
        <f>_xlfn.NORM.INV(D11,$N$4,$N$5)</f>
        <v>3.3143479161992694E-2</v>
      </c>
      <c r="F11">
        <f t="shared" si="1"/>
        <v>19.862719669711144</v>
      </c>
      <c r="H11">
        <v>-7.9999999999998996E-3</v>
      </c>
      <c r="I11">
        <v>45</v>
      </c>
      <c r="J11">
        <v>29</v>
      </c>
    </row>
    <row r="12" spans="1:14">
      <c r="A12" s="4">
        <v>46087</v>
      </c>
      <c r="B12" s="6">
        <v>21.48</v>
      </c>
      <c r="C12" s="30">
        <f t="shared" si="0"/>
        <v>5.1342003096075395E-3</v>
      </c>
      <c r="D12">
        <v>0.52064751982587909</v>
      </c>
      <c r="E12" s="30">
        <f>_xlfn.NORM.INV(D12,$N$4,$N$5)</f>
        <v>1.9665939897910395E-4</v>
      </c>
      <c r="F12">
        <f t="shared" si="1"/>
        <v>19.866626244343198</v>
      </c>
      <c r="H12">
        <v>0</v>
      </c>
      <c r="I12">
        <v>49</v>
      </c>
      <c r="J12">
        <v>41</v>
      </c>
    </row>
    <row r="13" spans="1:14">
      <c r="A13" s="7">
        <v>46086</v>
      </c>
      <c r="B13" s="9">
        <v>21.37</v>
      </c>
      <c r="C13" s="30">
        <f t="shared" si="0"/>
        <v>-2.8599735235613544E-2</v>
      </c>
      <c r="D13">
        <v>0.32636253410346228</v>
      </c>
      <c r="E13" s="30">
        <f>_xlfn.NORM.INV(D13,$N$4,$N$5)</f>
        <v>-9.4062938879387343E-3</v>
      </c>
      <c r="F13">
        <f t="shared" si="1"/>
        <v>19.680631053418033</v>
      </c>
      <c r="H13">
        <v>8.0000000000001008E-3</v>
      </c>
      <c r="I13">
        <v>45</v>
      </c>
      <c r="J13">
        <v>43</v>
      </c>
    </row>
    <row r="14" spans="1:14">
      <c r="A14" s="4">
        <v>46085</v>
      </c>
      <c r="B14" s="6">
        <v>21.99</v>
      </c>
      <c r="C14" s="30">
        <f t="shared" si="0"/>
        <v>1.882084473668133E-2</v>
      </c>
      <c r="D14">
        <v>0.45416038614814025</v>
      </c>
      <c r="E14" s="30">
        <f>_xlfn.NORM.INV(D14,$N$4,$N$5)</f>
        <v>-2.9982549658916753E-3</v>
      </c>
      <c r="F14">
        <f t="shared" si="1"/>
        <v>19.621711875127673</v>
      </c>
      <c r="H14">
        <v>1.6000000000000101E-2</v>
      </c>
      <c r="I14">
        <v>25</v>
      </c>
      <c r="J14">
        <v>33</v>
      </c>
    </row>
    <row r="15" spans="1:14">
      <c r="A15" s="7">
        <v>46084</v>
      </c>
      <c r="B15" s="9">
        <v>21.58</v>
      </c>
      <c r="C15" s="30">
        <f t="shared" si="0"/>
        <v>-5.0157338961761777E-2</v>
      </c>
      <c r="D15">
        <v>0.33260159198632844</v>
      </c>
      <c r="E15" s="30">
        <f>_xlfn.NORM.INV(D15,$N$4,$N$5)</f>
        <v>-9.0763626897917629E-3</v>
      </c>
      <c r="F15">
        <f t="shared" si="1"/>
        <v>19.444423883695514</v>
      </c>
      <c r="H15">
        <v>2.4E-2</v>
      </c>
      <c r="I15">
        <v>18</v>
      </c>
      <c r="J15">
        <v>29</v>
      </c>
    </row>
    <row r="16" spans="1:14">
      <c r="A16" s="4">
        <v>46083</v>
      </c>
      <c r="B16" s="6">
        <v>22.69</v>
      </c>
      <c r="C16" s="30">
        <f t="shared" si="0"/>
        <v>-1.6175216049162611E-2</v>
      </c>
      <c r="D16">
        <v>0.53703850859627944</v>
      </c>
      <c r="E16" s="30">
        <f>_xlfn.NORM.INV(D16,$N$4,$N$5)</f>
        <v>9.8510771877433198E-4</v>
      </c>
      <c r="F16">
        <f t="shared" si="1"/>
        <v>19.463588173645629</v>
      </c>
      <c r="H16">
        <v>3.2000000000000001E-2</v>
      </c>
      <c r="I16">
        <v>10</v>
      </c>
      <c r="J16">
        <v>10</v>
      </c>
    </row>
    <row r="17" spans="1:10">
      <c r="A17" s="7">
        <v>46080</v>
      </c>
      <c r="B17" s="9">
        <v>23.06</v>
      </c>
      <c r="C17" s="30">
        <f t="shared" si="0"/>
        <v>2.0592184361001298E-2</v>
      </c>
      <c r="D17">
        <v>0.35332206600149874</v>
      </c>
      <c r="E17" s="30">
        <f>_xlfn.NORM.INV(D17,$N$4,$N$5)</f>
        <v>-7.9974484363364799E-3</v>
      </c>
      <c r="F17">
        <f t="shared" si="1"/>
        <v>19.308549912433136</v>
      </c>
      <c r="H17">
        <v>0.04</v>
      </c>
      <c r="I17">
        <v>6</v>
      </c>
      <c r="J17">
        <v>6</v>
      </c>
    </row>
    <row r="18" spans="1:10">
      <c r="A18" s="4">
        <v>46079</v>
      </c>
      <c r="B18" s="6">
        <v>22.59</v>
      </c>
      <c r="C18" s="30">
        <f t="shared" si="0"/>
        <v>5.3649227878320271E-2</v>
      </c>
      <c r="D18">
        <v>0.42119916095952881</v>
      </c>
      <c r="E18" s="30">
        <f>_xlfn.NORM.INV(D18,$N$4,$N$5)</f>
        <v>-4.5995774684268031E-3</v>
      </c>
      <c r="F18">
        <f t="shared" si="1"/>
        <v>19.219942675448639</v>
      </c>
      <c r="H18">
        <v>4.8000000000000001E-2</v>
      </c>
      <c r="I18">
        <v>5</v>
      </c>
      <c r="J18">
        <v>3</v>
      </c>
    </row>
    <row r="19" spans="1:10">
      <c r="A19" s="7">
        <v>46078</v>
      </c>
      <c r="B19" s="9">
        <v>21.41</v>
      </c>
      <c r="C19" s="30">
        <f t="shared" si="0"/>
        <v>-8.8352120885279994E-3</v>
      </c>
      <c r="D19">
        <v>0.3346297812849558</v>
      </c>
      <c r="E19" s="30">
        <f>_xlfn.NORM.INV(D19,$N$4,$N$5)</f>
        <v>-8.9696415085619551E-3</v>
      </c>
      <c r="F19">
        <f t="shared" si="1"/>
        <v>19.048317538476894</v>
      </c>
      <c r="H19">
        <v>5.6000000000000001E-2</v>
      </c>
      <c r="I19">
        <v>1</v>
      </c>
      <c r="J19">
        <v>2</v>
      </c>
    </row>
    <row r="20" spans="1:10">
      <c r="A20" s="4">
        <v>46077</v>
      </c>
      <c r="B20" s="6">
        <v>21.6</v>
      </c>
      <c r="C20" s="30">
        <f t="shared" si="0"/>
        <v>-3.2355008581483879E-3</v>
      </c>
      <c r="D20">
        <v>0.22744553527086997</v>
      </c>
      <c r="E20" s="30">
        <f>_xlfn.NORM.INV(D20,$N$4,$N$5)</f>
        <v>-1.5096314756530324E-2</v>
      </c>
      <c r="F20">
        <f t="shared" si="1"/>
        <v>18.762917803613753</v>
      </c>
      <c r="H20">
        <v>6.4000000000000001E-2</v>
      </c>
      <c r="I20">
        <v>0</v>
      </c>
      <c r="J20">
        <v>0</v>
      </c>
    </row>
    <row r="21" spans="1:10">
      <c r="A21" s="7">
        <v>46076</v>
      </c>
      <c r="B21" s="9">
        <v>21.67</v>
      </c>
      <c r="C21" s="30">
        <f t="shared" si="0"/>
        <v>-1.1926746881528949E-2</v>
      </c>
      <c r="D21">
        <v>0.41333565556094753</v>
      </c>
      <c r="E21" s="30">
        <f>_xlfn.NORM.INV(D21,$N$4,$N$5)</f>
        <v>-4.9851440038125739E-3</v>
      </c>
      <c r="F21">
        <f t="shared" si="1"/>
        <v>18.669614714327068</v>
      </c>
      <c r="H21">
        <v>7.1999999999999995E-2</v>
      </c>
      <c r="I21">
        <v>0</v>
      </c>
      <c r="J21">
        <v>0</v>
      </c>
    </row>
    <row r="22" spans="1:10">
      <c r="A22" s="4">
        <v>46073</v>
      </c>
      <c r="B22" s="6">
        <v>21.93</v>
      </c>
      <c r="C22" s="30">
        <f t="shared" si="0"/>
        <v>-1.4486446182452539E-2</v>
      </c>
      <c r="D22">
        <v>0.22071993351124564</v>
      </c>
      <c r="E22" s="30">
        <f>_xlfn.NORM.INV(D22,$N$4,$N$5)</f>
        <v>-1.5526517219431886E-2</v>
      </c>
      <c r="F22">
        <f t="shared" si="1"/>
        <v>18.381979385821825</v>
      </c>
      <c r="H22">
        <v>0.08</v>
      </c>
      <c r="I22">
        <v>1</v>
      </c>
      <c r="J22">
        <v>0</v>
      </c>
    </row>
    <row r="23" spans="1:10">
      <c r="A23" s="7">
        <v>46072</v>
      </c>
      <c r="B23" s="9">
        <v>22.25</v>
      </c>
      <c r="C23" s="30">
        <f t="shared" si="0"/>
        <v>-1.1173300598124936E-2</v>
      </c>
      <c r="D23">
        <v>6.5800345435185648E-2</v>
      </c>
      <c r="E23" s="30">
        <f>_xlfn.NORM.INV(D23,$N$4,$N$5)</f>
        <v>-2.9651865326426882E-2</v>
      </c>
      <c r="F23">
        <f t="shared" si="1"/>
        <v>17.844921147293412</v>
      </c>
      <c r="I23">
        <v>0</v>
      </c>
      <c r="J23">
        <v>0</v>
      </c>
    </row>
    <row r="24" spans="1:10">
      <c r="A24" s="4">
        <v>46071</v>
      </c>
      <c r="B24" s="6">
        <v>22.5</v>
      </c>
      <c r="C24" s="30">
        <f t="shared" si="0"/>
        <v>-1.4122035223555152E-2</v>
      </c>
      <c r="D24">
        <v>0.75182587634875531</v>
      </c>
      <c r="E24" s="30">
        <f>_xlfn.NORM.INV(D24,$N$4,$N$5)</f>
        <v>1.222465365540089E-2</v>
      </c>
      <c r="F24">
        <f t="shared" si="1"/>
        <v>18.064407969644392</v>
      </c>
    </row>
    <row r="25" spans="1:10">
      <c r="A25" s="7">
        <v>46070</v>
      </c>
      <c r="B25" s="9">
        <v>22.82</v>
      </c>
      <c r="C25" s="30">
        <f t="shared" si="0"/>
        <v>-1.6083806833511183E-2</v>
      </c>
      <c r="D25">
        <v>0.85840395172713302</v>
      </c>
      <c r="E25" s="30">
        <f>_xlfn.NORM.INV(D25,$N$4,$N$5)</f>
        <v>1.9744770833900346E-2</v>
      </c>
      <c r="F25">
        <f t="shared" si="1"/>
        <v>18.42463011428244</v>
      </c>
    </row>
    <row r="26" spans="1:10">
      <c r="A26" s="4">
        <v>46066</v>
      </c>
      <c r="B26" s="6">
        <v>23.19</v>
      </c>
      <c r="C26" s="30">
        <f t="shared" si="0"/>
        <v>1.3895143232750762E-2</v>
      </c>
      <c r="D26">
        <v>0.65619953370667983</v>
      </c>
      <c r="E26" s="30">
        <f>_xlfn.NORM.INV(D26,$N$4,$N$5)</f>
        <v>6.9015627477711167E-3</v>
      </c>
      <c r="F26">
        <f t="shared" si="1"/>
        <v>18.552228663340873</v>
      </c>
    </row>
    <row r="27" spans="1:10">
      <c r="A27" s="7">
        <v>46065</v>
      </c>
      <c r="B27" s="9">
        <v>22.87</v>
      </c>
      <c r="C27" s="30">
        <f t="shared" si="0"/>
        <v>-3.4919284718641919E-3</v>
      </c>
      <c r="D27">
        <v>0.49738366915555632</v>
      </c>
      <c r="E27" s="30">
        <f>_xlfn.NORM.INV(D27,$N$4,$N$5)</f>
        <v>-9.1982889581651572E-4</v>
      </c>
      <c r="F27">
        <f t="shared" si="1"/>
        <v>18.535171633311727</v>
      </c>
    </row>
    <row r="28" spans="1:10">
      <c r="A28" s="4">
        <v>46064</v>
      </c>
      <c r="B28" s="6">
        <v>22.95</v>
      </c>
      <c r="C28" s="30">
        <f t="shared" si="0"/>
        <v>5.2424759648497243E-3</v>
      </c>
      <c r="D28">
        <v>0.80456713105742184</v>
      </c>
      <c r="E28" s="30">
        <f>_xlfn.NORM.INV(D28,$N$4,$N$5)</f>
        <v>1.5627528010894599E-2</v>
      </c>
      <c r="F28">
        <f t="shared" si="1"/>
        <v>18.827105709865513</v>
      </c>
    </row>
    <row r="29" spans="1:10">
      <c r="A29" s="7">
        <v>46063</v>
      </c>
      <c r="B29" s="9">
        <v>22.83</v>
      </c>
      <c r="C29" s="30">
        <f t="shared" si="0"/>
        <v>2.2144394689637803E-2</v>
      </c>
      <c r="D29">
        <v>0.14927201246934851</v>
      </c>
      <c r="E29" s="30">
        <f>_xlfn.NORM.INV(D29,$N$4,$N$5)</f>
        <v>-2.0690047075093792E-2</v>
      </c>
      <c r="F29">
        <f t="shared" si="1"/>
        <v>18.44157409312729</v>
      </c>
    </row>
    <row r="30" spans="1:10">
      <c r="A30" s="4">
        <v>46062</v>
      </c>
      <c r="B30" s="6">
        <v>22.33</v>
      </c>
      <c r="C30" s="30">
        <f t="shared" si="0"/>
        <v>3.1397200046674456E-3</v>
      </c>
      <c r="D30">
        <v>0.93329423016797064</v>
      </c>
      <c r="E30" s="30">
        <f>_xlfn.NORM.INV(D30,$N$4,$N$5)</f>
        <v>2.7928577614603867E-2</v>
      </c>
      <c r="F30">
        <f t="shared" si="1"/>
        <v>18.963880717342843</v>
      </c>
    </row>
    <row r="31" spans="1:10">
      <c r="A31" s="7">
        <v>46059</v>
      </c>
      <c r="B31" s="9">
        <v>22.26</v>
      </c>
      <c r="C31" s="30">
        <f t="shared" si="0"/>
        <v>4.6905149473661201E-2</v>
      </c>
      <c r="D31">
        <v>0.57243159407481636</v>
      </c>
      <c r="E31" s="30">
        <f>_xlfn.NORM.INV(D31,$N$4,$N$5)</f>
        <v>2.6997858379110458E-3</v>
      </c>
      <c r="F31">
        <f t="shared" si="1"/>
        <v>19.015148308553592</v>
      </c>
    </row>
    <row r="32" spans="1:10">
      <c r="A32" s="4">
        <v>46058</v>
      </c>
      <c r="B32" s="6">
        <v>21.24</v>
      </c>
      <c r="C32" s="30">
        <f t="shared" si="0"/>
        <v>-3.1056957233637217E-2</v>
      </c>
      <c r="D32">
        <v>0.77163968100917546</v>
      </c>
      <c r="E32" s="30">
        <f>_xlfn.NORM.INV(D32,$N$4,$N$5)</f>
        <v>1.3449732114176983E-2</v>
      </c>
      <c r="F32">
        <f t="shared" si="1"/>
        <v>19.272624571453878</v>
      </c>
    </row>
    <row r="33" spans="1:10">
      <c r="A33" s="7">
        <v>46057</v>
      </c>
      <c r="B33" s="9">
        <v>21.91</v>
      </c>
      <c r="C33" s="30">
        <f t="shared" si="0"/>
        <v>-9.124088224217175E-4</v>
      </c>
      <c r="D33">
        <v>0.27646474088395523</v>
      </c>
      <c r="E33" s="30">
        <f>_xlfn.NORM.INV(D33,$N$4,$N$5)</f>
        <v>-1.2150699372585352E-2</v>
      </c>
      <c r="F33">
        <f t="shared" si="1"/>
        <v>19.039865659640945</v>
      </c>
    </row>
    <row r="34" spans="1:10">
      <c r="A34" s="4">
        <v>46056</v>
      </c>
      <c r="B34" s="6">
        <v>21.93</v>
      </c>
      <c r="C34" s="30">
        <f t="shared" si="0"/>
        <v>-8.6266142243371924E-3</v>
      </c>
      <c r="D34">
        <v>0.43610970295504436</v>
      </c>
      <c r="E34" s="30">
        <f>_xlfn.NORM.INV(D34,$N$4,$N$5)</f>
        <v>-3.872566003382804E-3</v>
      </c>
      <c r="F34">
        <f t="shared" si="1"/>
        <v>18.966275107282403</v>
      </c>
    </row>
    <row r="35" spans="1:10">
      <c r="A35" s="7">
        <v>46055</v>
      </c>
      <c r="B35" s="9">
        <v>22.12</v>
      </c>
      <c r="C35" s="30">
        <f t="shared" si="0"/>
        <v>9.0456813042694151E-4</v>
      </c>
      <c r="D35">
        <v>3.2710098791189801E-2</v>
      </c>
      <c r="E35" s="30">
        <f>_xlfn.NORM.INV(D35,$N$4,$N$5)</f>
        <v>-3.6054800536105179E-2</v>
      </c>
      <c r="F35">
        <f t="shared" si="1"/>
        <v>18.294630602734877</v>
      </c>
    </row>
    <row r="36" spans="1:10">
      <c r="A36" s="4">
        <v>46052</v>
      </c>
      <c r="B36" s="6">
        <v>22.1</v>
      </c>
      <c r="C36" s="30">
        <f t="shared" si="0"/>
        <v>-8.5605388740703781E-3</v>
      </c>
      <c r="D36">
        <v>0.10254965089242052</v>
      </c>
      <c r="E36" s="30">
        <f>_xlfn.NORM.INV(D36,$N$4,$N$5)</f>
        <v>-2.5045912279294896E-2</v>
      </c>
      <c r="F36">
        <f t="shared" si="1"/>
        <v>17.84211537275467</v>
      </c>
    </row>
    <row r="37" spans="1:10">
      <c r="A37" s="7">
        <v>46051</v>
      </c>
      <c r="B37" s="9">
        <v>22.29</v>
      </c>
      <c r="C37" s="30">
        <f t="shared" si="0"/>
        <v>4.4873233869413554E-4</v>
      </c>
      <c r="D37">
        <v>0.39342826366007255</v>
      </c>
      <c r="E37" s="30">
        <f>_xlfn.NORM.INV(D37,$N$4,$N$5)</f>
        <v>-5.9692910616981681E-3</v>
      </c>
      <c r="F37">
        <f t="shared" si="1"/>
        <v>17.735927840392044</v>
      </c>
    </row>
    <row r="38" spans="1:10">
      <c r="A38" s="4">
        <v>46050</v>
      </c>
      <c r="B38" s="6">
        <v>22.28</v>
      </c>
      <c r="C38" s="30">
        <f t="shared" si="0"/>
        <v>-1.4260491219157068E-2</v>
      </c>
      <c r="D38">
        <v>0.99554687687253574</v>
      </c>
      <c r="E38" s="30">
        <f>_xlfn.NORM.INV(D38,$N$4,$N$5)</f>
        <v>4.9265212723796581E-2</v>
      </c>
      <c r="F38">
        <f t="shared" si="1"/>
        <v>18.631573032274964</v>
      </c>
    </row>
    <row r="39" spans="1:10">
      <c r="A39" s="7">
        <v>46049</v>
      </c>
      <c r="B39" s="9">
        <v>22.6</v>
      </c>
      <c r="C39" s="30">
        <f t="shared" si="0"/>
        <v>-1.5803665173125481E-2</v>
      </c>
      <c r="D39">
        <v>0.70167764525149479</v>
      </c>
      <c r="E39" s="30">
        <f>_xlfn.NORM.INV(D39,$N$4,$N$5)</f>
        <v>9.3344384859788687E-3</v>
      </c>
      <c r="F39">
        <f t="shared" si="1"/>
        <v>18.806302536842459</v>
      </c>
    </row>
    <row r="40" spans="1:10">
      <c r="A40" s="4">
        <v>46048</v>
      </c>
      <c r="B40" s="6">
        <v>22.96</v>
      </c>
      <c r="C40" s="30">
        <f t="shared" si="0"/>
        <v>-5.6460519150380861E-3</v>
      </c>
      <c r="D40">
        <v>0.63655957302479804</v>
      </c>
      <c r="E40" s="30">
        <f>_xlfn.NORM.INV(D40,$N$4,$N$5)</f>
        <v>5.8903706137095916E-3</v>
      </c>
      <c r="F40">
        <f t="shared" si="1"/>
        <v>18.91740552631023</v>
      </c>
    </row>
    <row r="41" spans="1:10">
      <c r="A41" s="7">
        <v>46045</v>
      </c>
      <c r="B41" s="9">
        <v>23.09</v>
      </c>
      <c r="C41" s="30">
        <f t="shared" si="0"/>
        <v>5.6460519150380861E-3</v>
      </c>
      <c r="D41">
        <v>0.56980786352418067</v>
      </c>
      <c r="E41" s="30">
        <f>_xlfn.NORM.INV(D41,$N$4,$N$5)</f>
        <v>2.5718785554943212E-3</v>
      </c>
      <c r="F41">
        <f t="shared" si="1"/>
        <v>18.966121414730466</v>
      </c>
    </row>
    <row r="42" spans="1:10">
      <c r="A42" s="4">
        <v>46044</v>
      </c>
      <c r="B42" s="6">
        <v>22.96</v>
      </c>
      <c r="C42" s="30">
        <f t="shared" si="0"/>
        <v>-3.0877238564439136E-2</v>
      </c>
      <c r="D42">
        <v>0.59257502131663931</v>
      </c>
      <c r="E42" s="30">
        <f>_xlfn.NORM.INV(D42,$N$4,$N$5)</f>
        <v>3.6874463345399682E-3</v>
      </c>
      <c r="F42">
        <f t="shared" si="1"/>
        <v>19.036187071905285</v>
      </c>
    </row>
    <row r="43" spans="1:10">
      <c r="A43" s="7">
        <v>46043</v>
      </c>
      <c r="B43" s="9">
        <v>23.68</v>
      </c>
      <c r="C43" s="30">
        <f t="shared" si="0"/>
        <v>-1.6877641137198474E-3</v>
      </c>
      <c r="D43">
        <v>0.44511681578597151</v>
      </c>
      <c r="E43" s="30">
        <f>_xlfn.NORM.INV(D43,$N$4,$N$5)</f>
        <v>-3.4356044563388552E-3</v>
      </c>
      <c r="F43">
        <f t="shared" si="1"/>
        <v>18.970898479877022</v>
      </c>
    </row>
    <row r="44" spans="1:10">
      <c r="A44" s="4">
        <v>46042</v>
      </c>
      <c r="B44" s="6">
        <v>23.72</v>
      </c>
      <c r="C44" s="30">
        <f t="shared" si="0"/>
        <v>-1.3816422422245456E-2</v>
      </c>
      <c r="D44">
        <v>0.52975122970509114</v>
      </c>
      <c r="E44" s="30">
        <f>_xlfn.NORM.INV(D44,$N$4,$N$5)</f>
        <v>6.3427772864735896E-4</v>
      </c>
      <c r="F44">
        <f t="shared" si="1"/>
        <v>18.982935115156547</v>
      </c>
    </row>
    <row r="45" spans="1:10">
      <c r="A45" s="7">
        <v>46038</v>
      </c>
      <c r="B45" s="9">
        <v>24.05</v>
      </c>
      <c r="C45" s="30">
        <f t="shared" si="0"/>
        <v>-2.9063753072144927E-3</v>
      </c>
      <c r="D45">
        <v>0.1990207380750032</v>
      </c>
      <c r="E45" s="30">
        <f>_xlfn.NORM.INV(D45,$N$4,$N$5)</f>
        <v>-1.6968805402801566E-2</v>
      </c>
      <c r="F45">
        <f t="shared" si="1"/>
        <v>18.663534966675329</v>
      </c>
    </row>
    <row r="46" spans="1:10">
      <c r="A46" s="4">
        <v>46037</v>
      </c>
      <c r="B46" s="6">
        <v>24.12</v>
      </c>
      <c r="C46" s="30">
        <f t="shared" si="0"/>
        <v>1.2445552322049025E-3</v>
      </c>
      <c r="D46">
        <v>0.17105266932916396</v>
      </c>
      <c r="E46" s="30">
        <f>_xlfn.NORM.INV(D46,$N$4,$N$5)</f>
        <v>-1.8976240661200974E-2</v>
      </c>
      <c r="F46">
        <f t="shared" si="1"/>
        <v>18.312710428521431</v>
      </c>
      <c r="I46" t="s">
        <v>30</v>
      </c>
      <c r="J46">
        <f>KURT(C2:C250)</f>
        <v>1.7021422855618287</v>
      </c>
    </row>
    <row r="47" spans="1:10">
      <c r="A47" s="7">
        <v>46036</v>
      </c>
      <c r="B47" s="9">
        <v>24.09</v>
      </c>
      <c r="C47" s="30">
        <f t="shared" si="0"/>
        <v>-1.3196067778088683E-2</v>
      </c>
      <c r="D47">
        <v>0.36373666028758067</v>
      </c>
      <c r="E47" s="30">
        <f>_xlfn.NORM.INV(D47,$N$4,$N$5)</f>
        <v>-7.4638952539627578E-3</v>
      </c>
      <c r="F47">
        <f t="shared" si="1"/>
        <v>18.176535107423526</v>
      </c>
    </row>
    <row r="48" spans="1:10">
      <c r="A48" s="4">
        <v>46035</v>
      </c>
      <c r="B48" s="6">
        <v>24.41</v>
      </c>
      <c r="C48" s="30">
        <f t="shared" si="0"/>
        <v>-3.1057144211332766E-2</v>
      </c>
      <c r="D48">
        <v>0.77613005604206209</v>
      </c>
      <c r="E48" s="30">
        <f>_xlfn.NORM.INV(D48,$N$4,$N$5)</f>
        <v>1.373548561734891E-2</v>
      </c>
      <c r="F48">
        <f t="shared" si="1"/>
        <v>18.427921146356091</v>
      </c>
    </row>
    <row r="49" spans="1:6">
      <c r="A49" s="7">
        <v>46034</v>
      </c>
      <c r="B49" s="9">
        <v>25.18</v>
      </c>
      <c r="C49" s="30">
        <f t="shared" si="0"/>
        <v>5.5754823843034984E-3</v>
      </c>
      <c r="D49">
        <v>0.40568273612853378</v>
      </c>
      <c r="E49" s="30">
        <f>_xlfn.NORM.INV(D49,$N$4,$N$5)</f>
        <v>-5.3620241043387798E-3</v>
      </c>
      <c r="F49">
        <f t="shared" si="1"/>
        <v>18.329374629487514</v>
      </c>
    </row>
    <row r="50" spans="1:6">
      <c r="A50" s="4">
        <v>46031</v>
      </c>
      <c r="B50" s="6">
        <v>25.04</v>
      </c>
      <c r="C50" s="30">
        <f t="shared" si="0"/>
        <v>-8.3516094894711124E-3</v>
      </c>
      <c r="D50">
        <v>0.74966410940107808</v>
      </c>
      <c r="E50" s="30">
        <f>_xlfn.NORM.INV(D50,$N$4,$N$5)</f>
        <v>1.2094250782133829E-2</v>
      </c>
      <c r="F50">
        <f t="shared" si="1"/>
        <v>18.552400630619296</v>
      </c>
    </row>
    <row r="51" spans="1:6">
      <c r="A51" s="7">
        <v>46030</v>
      </c>
      <c r="B51" s="9">
        <v>25.25</v>
      </c>
      <c r="C51" s="30">
        <f t="shared" si="0"/>
        <v>5.1618141213709556E-3</v>
      </c>
      <c r="D51">
        <v>0.50562896848937244</v>
      </c>
      <c r="E51" s="30">
        <f>_xlfn.NORM.INV(D51,$N$4,$N$5)</f>
        <v>-5.2426443442295332E-4</v>
      </c>
      <c r="F51">
        <f t="shared" si="1"/>
        <v>18.542676815943317</v>
      </c>
    </row>
    <row r="52" spans="1:6">
      <c r="A52" s="4">
        <v>46029</v>
      </c>
      <c r="B52" s="6">
        <v>25.12</v>
      </c>
      <c r="C52" s="30">
        <f t="shared" si="0"/>
        <v>-2.4381860567982638E-2</v>
      </c>
      <c r="D52">
        <v>0.73453270593290376</v>
      </c>
      <c r="E52" s="30">
        <f>_xlfn.NORM.INV(D52,$N$4,$N$5)</f>
        <v>1.1197547569660935E-2</v>
      </c>
      <c r="F52">
        <f t="shared" si="1"/>
        <v>18.751476160265135</v>
      </c>
    </row>
    <row r="53" spans="1:6">
      <c r="A53" s="7">
        <v>46028</v>
      </c>
      <c r="B53" s="9">
        <v>25.74</v>
      </c>
      <c r="C53" s="30">
        <f t="shared" si="0"/>
        <v>-3.4904049397685988E-3</v>
      </c>
      <c r="D53">
        <v>0.76738007422619148</v>
      </c>
      <c r="E53" s="30">
        <f>_xlfn.NORM.INV(D53,$N$4,$N$5)</f>
        <v>1.3181568777833863E-2</v>
      </c>
      <c r="F53">
        <f t="shared" si="1"/>
        <v>19.000286284207579</v>
      </c>
    </row>
    <row r="54" spans="1:6">
      <c r="A54" s="4">
        <v>46027</v>
      </c>
      <c r="B54" s="6">
        <v>25.83</v>
      </c>
      <c r="C54" s="30">
        <f t="shared" si="0"/>
        <v>-1.9338625249507579E-3</v>
      </c>
      <c r="D54">
        <v>0.38314414018055098</v>
      </c>
      <c r="E54" s="30">
        <f>_xlfn.NORM.INV(D54,$N$4,$N$5)</f>
        <v>-6.482944963773378E-3</v>
      </c>
      <c r="F54">
        <f t="shared" si="1"/>
        <v>18.877506889978811</v>
      </c>
    </row>
    <row r="55" spans="1:6">
      <c r="A55" s="7">
        <v>46024</v>
      </c>
      <c r="B55" s="9">
        <v>25.88</v>
      </c>
      <c r="C55" s="30">
        <f t="shared" si="0"/>
        <v>1.0878118147183091E-2</v>
      </c>
      <c r="D55">
        <v>0.96351841927155135</v>
      </c>
      <c r="E55" s="30">
        <f>_xlfn.NORM.INV(D55,$N$4,$N$5)</f>
        <v>3.3522357709626055E-2</v>
      </c>
      <c r="F55">
        <f t="shared" si="1"/>
        <v>19.521051734772954</v>
      </c>
    </row>
    <row r="56" spans="1:6">
      <c r="A56" s="4">
        <v>46022</v>
      </c>
      <c r="B56" s="6">
        <v>25.6</v>
      </c>
      <c r="C56" s="30">
        <f t="shared" si="0"/>
        <v>-4.6765478839017049E-3</v>
      </c>
      <c r="D56">
        <v>0.56211132350417103</v>
      </c>
      <c r="E56" s="30">
        <f>_xlfn.NORM.INV(D56,$N$4,$N$5)</f>
        <v>2.1975150221605895E-3</v>
      </c>
      <c r="F56">
        <f t="shared" si="1"/>
        <v>19.563996708038399</v>
      </c>
    </row>
    <row r="57" spans="1:6">
      <c r="A57" s="7">
        <v>46021</v>
      </c>
      <c r="B57" s="9">
        <v>25.72</v>
      </c>
      <c r="C57" s="30">
        <f t="shared" si="0"/>
        <v>-1.942125294855046E-3</v>
      </c>
      <c r="D57">
        <v>0.307635692905462</v>
      </c>
      <c r="E57" s="30">
        <f>_xlfn.NORM.INV(D57,$N$4,$N$5)</f>
        <v>-1.0412668598088152E-2</v>
      </c>
      <c r="F57">
        <f t="shared" si="1"/>
        <v>19.361340222335919</v>
      </c>
    </row>
    <row r="58" spans="1:6">
      <c r="A58" s="4">
        <v>46020</v>
      </c>
      <c r="B58" s="6">
        <v>25.77</v>
      </c>
      <c r="C58" s="30">
        <f t="shared" si="0"/>
        <v>-1.9383607542229342E-3</v>
      </c>
      <c r="D58">
        <v>0.55311353798260465</v>
      </c>
      <c r="E58" s="30">
        <f>_xlfn.NORM.INV(D58,$N$4,$N$5)</f>
        <v>1.7612947519862424E-3</v>
      </c>
      <c r="F58">
        <f t="shared" si="1"/>
        <v>19.39547129787972</v>
      </c>
    </row>
    <row r="59" spans="1:6">
      <c r="A59" s="7">
        <v>46017</v>
      </c>
      <c r="B59" s="9">
        <v>25.82</v>
      </c>
      <c r="C59" s="30">
        <f t="shared" si="0"/>
        <v>4.6583935173223345E-3</v>
      </c>
      <c r="D59">
        <v>2.0286733044579508E-2</v>
      </c>
      <c r="E59" s="30">
        <f>_xlfn.NORM.INV(D59,$N$4,$N$5)</f>
        <v>-3.9987528895527362E-2</v>
      </c>
      <c r="F59">
        <f t="shared" si="1"/>
        <v>18.635196390416745</v>
      </c>
    </row>
    <row r="60" spans="1:6">
      <c r="A60" s="4">
        <v>46015</v>
      </c>
      <c r="B60" s="6">
        <v>25.7</v>
      </c>
      <c r="C60" s="30">
        <f t="shared" si="0"/>
        <v>-2.3319093349787323E-3</v>
      </c>
      <c r="D60">
        <v>7.681227233030663E-3</v>
      </c>
      <c r="E60" s="30">
        <f>_xlfn.NORM.INV(D60,$N$4,$N$5)</f>
        <v>-4.7180907988427452E-2</v>
      </c>
      <c r="F60">
        <f t="shared" si="1"/>
        <v>17.776389845881948</v>
      </c>
    </row>
    <row r="61" spans="1:6">
      <c r="A61" s="7">
        <v>46014</v>
      </c>
      <c r="B61" s="9">
        <v>25.76</v>
      </c>
      <c r="C61" s="30">
        <f t="shared" si="0"/>
        <v>2.0789138583186428E-2</v>
      </c>
      <c r="D61">
        <v>0.14859048991244883</v>
      </c>
      <c r="E61" s="30">
        <f>_xlfn.NORM.INV(D61,$N$4,$N$5)</f>
        <v>-2.0746256842798787E-2</v>
      </c>
      <c r="F61">
        <f t="shared" si="1"/>
        <v>17.41139552066419</v>
      </c>
    </row>
    <row r="62" spans="1:6">
      <c r="A62" s="4">
        <v>46013</v>
      </c>
      <c r="B62" s="6">
        <v>25.23</v>
      </c>
      <c r="C62" s="30">
        <f t="shared" si="0"/>
        <v>-6.7154113715242048E-3</v>
      </c>
      <c r="D62">
        <v>0.83607827313715199</v>
      </c>
      <c r="E62" s="30">
        <f>_xlfn.NORM.INV(D62,$N$4,$N$5)</f>
        <v>1.7932169070634142E-2</v>
      </c>
      <c r="F62">
        <f t="shared" si="1"/>
        <v>17.726435845020767</v>
      </c>
    </row>
    <row r="63" spans="1:6">
      <c r="A63" s="7">
        <v>46010</v>
      </c>
      <c r="B63" s="9">
        <v>25.4</v>
      </c>
      <c r="C63" s="30">
        <f t="shared" si="0"/>
        <v>-1.987982054952786E-2</v>
      </c>
      <c r="D63">
        <v>0.1454349894168433</v>
      </c>
      <c r="E63" s="30">
        <f>_xlfn.NORM.INV(D63,$N$4,$N$5)</f>
        <v>-2.1008787091870578E-2</v>
      </c>
      <c r="F63">
        <f t="shared" si="1"/>
        <v>17.35790962745148</v>
      </c>
    </row>
    <row r="64" spans="1:6">
      <c r="A64" s="4">
        <v>46009</v>
      </c>
      <c r="B64" s="6">
        <v>25.91</v>
      </c>
      <c r="C64" s="30">
        <f t="shared" si="0"/>
        <v>-1.9278972618708146E-3</v>
      </c>
      <c r="D64">
        <v>0.68640127602559786</v>
      </c>
      <c r="E64" s="30">
        <f>_xlfn.NORM.INV(D64,$N$4,$N$5)</f>
        <v>8.5008282744776613E-3</v>
      </c>
      <c r="F64">
        <f t="shared" si="1"/>
        <v>17.506095194052151</v>
      </c>
    </row>
    <row r="65" spans="1:6">
      <c r="A65" s="7">
        <v>46008</v>
      </c>
      <c r="B65" s="9">
        <v>25.96</v>
      </c>
      <c r="C65" s="30">
        <f t="shared" si="0"/>
        <v>-1.8699266468419129E-2</v>
      </c>
      <c r="D65">
        <v>0.78185659418400688</v>
      </c>
      <c r="E65" s="30">
        <f>_xlfn.NORM.INV(D65,$N$4,$N$5)</f>
        <v>1.4104677171571786E-2</v>
      </c>
      <c r="F65">
        <f t="shared" si="1"/>
        <v>17.754762579378742</v>
      </c>
    </row>
    <row r="66" spans="1:6">
      <c r="A66" s="4">
        <v>46007</v>
      </c>
      <c r="B66" s="6">
        <v>26.45</v>
      </c>
      <c r="C66" s="30">
        <f t="shared" si="0"/>
        <v>-7.1576873678798059E-3</v>
      </c>
      <c r="D66">
        <v>0.94418322578893865</v>
      </c>
      <c r="E66" s="30">
        <f>_xlfn.NORM.INV(D66,$N$4,$N$5)</f>
        <v>2.9653154208115724E-2</v>
      </c>
      <c r="F66">
        <f t="shared" si="1"/>
        <v>18.289130990830923</v>
      </c>
    </row>
    <row r="67" spans="1:6">
      <c r="A67" s="7">
        <v>46006</v>
      </c>
      <c r="B67" s="9">
        <v>26.64</v>
      </c>
      <c r="C67" s="30">
        <f t="shared" ref="C67:C130" si="2">LN(B67)-LN(B68)</f>
        <v>-4.8680118600730182E-3</v>
      </c>
      <c r="D67">
        <v>0.41255981031357503</v>
      </c>
      <c r="E67" s="30">
        <f>_xlfn.NORM.INV(D67,$N$4,$N$5)</f>
        <v>-5.0232753502509617E-3</v>
      </c>
      <c r="F67">
        <f t="shared" si="1"/>
        <v>18.197490011583479</v>
      </c>
    </row>
    <row r="68" spans="1:6">
      <c r="A68" s="4">
        <v>46003</v>
      </c>
      <c r="B68" s="6">
        <v>26.77</v>
      </c>
      <c r="C68" s="30">
        <f t="shared" si="2"/>
        <v>1.4953273814337642E-3</v>
      </c>
      <c r="D68">
        <v>0.59767425413093112</v>
      </c>
      <c r="E68" s="30">
        <f>_xlfn.NORM.INV(D68,$N$4,$N$5)</f>
        <v>3.9392685720990601E-3</v>
      </c>
      <c r="F68">
        <f t="shared" si="1"/>
        <v>18.269316190499605</v>
      </c>
    </row>
    <row r="69" spans="1:6">
      <c r="A69" s="7">
        <v>46002</v>
      </c>
      <c r="B69" s="9">
        <v>26.73</v>
      </c>
      <c r="C69" s="30">
        <f t="shared" si="2"/>
        <v>-1.300891789324643E-2</v>
      </c>
      <c r="D69">
        <v>0.94606554592502412</v>
      </c>
      <c r="E69" s="30">
        <f>_xlfn.NORM.INV(D69,$N$4,$N$5)</f>
        <v>2.9977601744264414E-2</v>
      </c>
      <c r="F69">
        <f t="shared" ref="F69:F132" si="3">F68*EXP(E69)</f>
        <v>18.825278042616631</v>
      </c>
    </row>
    <row r="70" spans="1:6">
      <c r="A70" s="4">
        <v>46001</v>
      </c>
      <c r="B70" s="6">
        <v>27.08</v>
      </c>
      <c r="C70" s="30">
        <f t="shared" si="2"/>
        <v>-1.756999810138371E-2</v>
      </c>
      <c r="D70">
        <v>0.63946987763880081</v>
      </c>
      <c r="E70" s="30">
        <f>_xlfn.NORM.INV(D70,$N$4,$N$5)</f>
        <v>6.0389718556299755E-3</v>
      </c>
      <c r="F70">
        <f t="shared" si="3"/>
        <v>18.939307330173524</v>
      </c>
    </row>
    <row r="71" spans="1:6">
      <c r="A71" s="7">
        <v>46000</v>
      </c>
      <c r="B71" s="9">
        <v>27.56</v>
      </c>
      <c r="C71" s="30">
        <f t="shared" si="2"/>
        <v>3.6291054653414534E-4</v>
      </c>
      <c r="D71">
        <v>0.95901068074954954</v>
      </c>
      <c r="E71" s="30">
        <f>_xlfn.NORM.INV(D71,$N$4,$N$5)</f>
        <v>3.2493813265047654E-2</v>
      </c>
      <c r="F71">
        <f t="shared" si="3"/>
        <v>19.564825341976125</v>
      </c>
    </row>
    <row r="72" spans="1:6">
      <c r="A72" s="4">
        <v>45999</v>
      </c>
      <c r="B72" s="6">
        <v>27.55</v>
      </c>
      <c r="C72" s="30">
        <f t="shared" si="2"/>
        <v>-1.7272829577773319E-2</v>
      </c>
      <c r="D72">
        <v>0.9165306971472803</v>
      </c>
      <c r="E72" s="30">
        <f>_xlfn.NORM.INV(D72,$N$4,$N$5)</f>
        <v>2.5657289125106411E-2</v>
      </c>
      <c r="F72">
        <f t="shared" si="3"/>
        <v>20.073300880747436</v>
      </c>
    </row>
    <row r="73" spans="1:6">
      <c r="A73" s="7">
        <v>45996</v>
      </c>
      <c r="B73" s="9">
        <v>28.03</v>
      </c>
      <c r="C73" s="30">
        <f t="shared" si="2"/>
        <v>-9.2330201367789577E-3</v>
      </c>
      <c r="D73">
        <v>0.97331829574250739</v>
      </c>
      <c r="E73" s="30">
        <f>_xlfn.NORM.INV(D73,$N$4,$N$5)</f>
        <v>3.6180848885954985E-2</v>
      </c>
      <c r="F73">
        <f t="shared" si="3"/>
        <v>20.812868360119047</v>
      </c>
    </row>
    <row r="74" spans="1:6">
      <c r="A74" s="4">
        <v>45995</v>
      </c>
      <c r="B74" s="6">
        <v>28.29</v>
      </c>
      <c r="C74" s="30">
        <f t="shared" si="2"/>
        <v>-5.9912073482304429E-3</v>
      </c>
      <c r="D74">
        <v>0.13655278694584527</v>
      </c>
      <c r="E74" s="30">
        <f>_xlfn.NORM.INV(D74,$N$4,$N$5)</f>
        <v>-2.1769043302481177E-2</v>
      </c>
      <c r="F74">
        <f t="shared" si="3"/>
        <v>20.3646880546973</v>
      </c>
    </row>
    <row r="75" spans="1:6">
      <c r="A75" s="7">
        <v>45994</v>
      </c>
      <c r="B75" s="9">
        <v>28.46</v>
      </c>
      <c r="C75" s="30">
        <f t="shared" si="2"/>
        <v>-3.8576235809753001E-3</v>
      </c>
      <c r="D75">
        <v>0.56571432711494984</v>
      </c>
      <c r="E75" s="30">
        <f>_xlfn.NORM.INV(D75,$N$4,$N$5)</f>
        <v>2.3726156864831323E-3</v>
      </c>
      <c r="F75">
        <f t="shared" si="3"/>
        <v>20.413062997907648</v>
      </c>
    </row>
    <row r="76" spans="1:6">
      <c r="A76" s="4">
        <v>45993</v>
      </c>
      <c r="B76" s="6">
        <v>28.57</v>
      </c>
      <c r="C76" s="30">
        <f t="shared" si="2"/>
        <v>-7.3234852165402486E-3</v>
      </c>
      <c r="D76">
        <v>8.0496215112422997E-2</v>
      </c>
      <c r="E76" s="30">
        <f>_xlfn.NORM.INV(D76,$N$4,$N$5)</f>
        <v>-2.7621679867484577E-2</v>
      </c>
      <c r="F76">
        <f t="shared" si="3"/>
        <v>19.856935847703703</v>
      </c>
    </row>
    <row r="77" spans="1:6">
      <c r="A77" s="7">
        <v>45992</v>
      </c>
      <c r="B77" s="9">
        <v>28.78</v>
      </c>
      <c r="C77" s="30">
        <f t="shared" si="2"/>
        <v>-1.961184481488365E-2</v>
      </c>
      <c r="D77">
        <v>0.50571636326045111</v>
      </c>
      <c r="E77" s="30">
        <f>_xlfn.NORM.INV(D77,$N$4,$N$5)</f>
        <v>-5.2007139089279685E-4</v>
      </c>
      <c r="F77">
        <f t="shared" si="3"/>
        <v>19.84661150838798</v>
      </c>
    </row>
    <row r="78" spans="1:6">
      <c r="A78" s="4">
        <v>45989</v>
      </c>
      <c r="B78" s="6">
        <v>29.35</v>
      </c>
      <c r="C78" s="30">
        <f t="shared" si="2"/>
        <v>9.2418936087867998E-3</v>
      </c>
      <c r="D78">
        <v>0.76835125922819403</v>
      </c>
      <c r="E78" s="30">
        <f>_xlfn.NORM.INV(D78,$N$4,$N$5)</f>
        <v>1.3242466764733122E-2</v>
      </c>
      <c r="F78">
        <f t="shared" si="3"/>
        <v>20.111177488535905</v>
      </c>
    </row>
    <row r="79" spans="1:6">
      <c r="A79" s="7">
        <v>45987</v>
      </c>
      <c r="B79" s="9">
        <v>29.08</v>
      </c>
      <c r="C79" s="30">
        <f t="shared" si="2"/>
        <v>1.6643934839511765E-2</v>
      </c>
      <c r="D79">
        <v>0.56799579767106423</v>
      </c>
      <c r="E79" s="30">
        <f>_xlfn.NORM.INV(D79,$N$4,$N$5)</f>
        <v>2.483628096569622E-3</v>
      </c>
      <c r="F79">
        <f t="shared" si="3"/>
        <v>20.161188252363388</v>
      </c>
    </row>
    <row r="80" spans="1:6">
      <c r="A80" s="4">
        <v>45986</v>
      </c>
      <c r="B80" s="6">
        <v>28.6</v>
      </c>
      <c r="C80" s="30">
        <f t="shared" si="2"/>
        <v>-1.4233880307505942E-2</v>
      </c>
      <c r="D80">
        <v>9.419820742032825E-2</v>
      </c>
      <c r="E80" s="30">
        <f>_xlfn.NORM.INV(D80,$N$4,$N$5)</f>
        <v>-2.5968032004437428E-2</v>
      </c>
      <c r="F80">
        <f t="shared" si="3"/>
        <v>19.644381143936876</v>
      </c>
    </row>
    <row r="81" spans="1:6">
      <c r="A81" s="7">
        <v>45985</v>
      </c>
      <c r="B81" s="9">
        <v>29.01</v>
      </c>
      <c r="C81" s="30">
        <f t="shared" si="2"/>
        <v>1.6684432907904334E-2</v>
      </c>
      <c r="D81">
        <v>0.36310907239822554</v>
      </c>
      <c r="E81" s="30">
        <f>_xlfn.NORM.INV(D81,$N$4,$N$5)</f>
        <v>-7.4958969196433365E-3</v>
      </c>
      <c r="F81">
        <f t="shared" si="3"/>
        <v>19.497679405298673</v>
      </c>
    </row>
    <row r="82" spans="1:6">
      <c r="A82" s="4">
        <v>45982</v>
      </c>
      <c r="B82" s="6">
        <v>28.53</v>
      </c>
      <c r="C82" s="30">
        <f t="shared" si="2"/>
        <v>2.7720325032964954E-2</v>
      </c>
      <c r="D82">
        <v>0.74783647420775223</v>
      </c>
      <c r="E82" s="30">
        <f>_xlfn.NORM.INV(D82,$N$4,$N$5)</f>
        <v>1.1984468631656866E-2</v>
      </c>
      <c r="F82">
        <f t="shared" si="3"/>
        <v>19.732754544238347</v>
      </c>
    </row>
    <row r="83" spans="1:6">
      <c r="A83" s="7">
        <v>45981</v>
      </c>
      <c r="B83" s="9">
        <v>27.75</v>
      </c>
      <c r="C83" s="30">
        <f t="shared" si="2"/>
        <v>-2.8421095909575644E-2</v>
      </c>
      <c r="D83">
        <v>0.85540379289582857</v>
      </c>
      <c r="E83" s="30">
        <f>_xlfn.NORM.INV(D83,$N$4,$N$5)</f>
        <v>1.949058673580353E-2</v>
      </c>
      <c r="F83">
        <f t="shared" si="3"/>
        <v>20.121130046735743</v>
      </c>
    </row>
    <row r="84" spans="1:6">
      <c r="A84" s="4">
        <v>45980</v>
      </c>
      <c r="B84" s="6">
        <v>28.55</v>
      </c>
      <c r="C84" s="30">
        <f t="shared" si="2"/>
        <v>-4.1943437932592254E-3</v>
      </c>
      <c r="D84">
        <v>0.86945800177627464</v>
      </c>
      <c r="E84" s="30">
        <f>_xlfn.NORM.INV(D84,$N$4,$N$5)</f>
        <v>2.0714266836862796E-2</v>
      </c>
      <c r="F84">
        <f t="shared" si="3"/>
        <v>20.542271260796902</v>
      </c>
    </row>
    <row r="85" spans="1:6">
      <c r="A85" s="7">
        <v>45979</v>
      </c>
      <c r="B85" s="9">
        <v>28.67</v>
      </c>
      <c r="C85" s="30">
        <f t="shared" si="2"/>
        <v>-1.4543192611832012E-2</v>
      </c>
      <c r="D85">
        <v>0.97067816065722379</v>
      </c>
      <c r="E85" s="30">
        <f>_xlfn.NORM.INV(D85,$N$4,$N$5)</f>
        <v>3.5393999935229833E-2</v>
      </c>
      <c r="F85">
        <f t="shared" si="3"/>
        <v>21.282364579778225</v>
      </c>
    </row>
    <row r="86" spans="1:6">
      <c r="A86" s="4">
        <v>45978</v>
      </c>
      <c r="B86" s="6">
        <v>29.09</v>
      </c>
      <c r="C86" s="30">
        <f t="shared" si="2"/>
        <v>-3.4794930424582482E-2</v>
      </c>
      <c r="D86">
        <v>3.2976312978282296E-3</v>
      </c>
      <c r="E86" s="30">
        <f>_xlfn.NORM.INV(D86,$N$4,$N$5)</f>
        <v>-5.2786574007977684E-2</v>
      </c>
      <c r="F86">
        <f t="shared" si="3"/>
        <v>20.188077386508777</v>
      </c>
    </row>
    <row r="87" spans="1:6">
      <c r="A87" s="7">
        <v>45975</v>
      </c>
      <c r="B87" s="9">
        <v>30.12</v>
      </c>
      <c r="C87" s="30">
        <f t="shared" si="2"/>
        <v>2.2835109071017268E-2</v>
      </c>
      <c r="D87">
        <v>8.8494327451212884E-3</v>
      </c>
      <c r="E87" s="30">
        <f>_xlfn.NORM.INV(D87,$N$4,$N$5)</f>
        <v>-4.61883566791563E-2</v>
      </c>
      <c r="F87">
        <f t="shared" si="3"/>
        <v>19.27682977845215</v>
      </c>
    </row>
    <row r="88" spans="1:6">
      <c r="A88" s="4">
        <v>45974</v>
      </c>
      <c r="B88" s="6">
        <v>29.44</v>
      </c>
      <c r="C88" s="30">
        <f t="shared" si="2"/>
        <v>-2.7472414499534192E-2</v>
      </c>
      <c r="D88">
        <v>0.82950908378032995</v>
      </c>
      <c r="E88" s="30">
        <f>_xlfn.NORM.INV(D88,$N$4,$N$5)</f>
        <v>1.7429975637530216E-2</v>
      </c>
      <c r="F88">
        <f t="shared" si="3"/>
        <v>19.615769728494602</v>
      </c>
    </row>
    <row r="89" spans="1:6">
      <c r="A89" s="7">
        <v>45973</v>
      </c>
      <c r="B89" s="9">
        <v>30.26</v>
      </c>
      <c r="C89" s="30">
        <f t="shared" si="2"/>
        <v>3.7028801219752605E-2</v>
      </c>
      <c r="D89">
        <v>0.70536163297813037</v>
      </c>
      <c r="E89" s="30">
        <f>_xlfn.NORM.INV(D89,$N$4,$N$5)</f>
        <v>9.5383163089733658E-3</v>
      </c>
      <c r="F89">
        <f t="shared" si="3"/>
        <v>19.803766304897298</v>
      </c>
    </row>
    <row r="90" spans="1:6">
      <c r="A90" s="4">
        <v>45972</v>
      </c>
      <c r="B90" s="6">
        <v>29.16</v>
      </c>
      <c r="C90" s="30">
        <f t="shared" si="2"/>
        <v>4.1665399926588798E-2</v>
      </c>
      <c r="D90">
        <v>0.29909248381353071</v>
      </c>
      <c r="E90" s="30">
        <f>_xlfn.NORM.INV(D90,$N$4,$N$5)</f>
        <v>-1.0880591638726273E-2</v>
      </c>
      <c r="F90">
        <f t="shared" si="3"/>
        <v>19.589457627706359</v>
      </c>
    </row>
    <row r="91" spans="1:6">
      <c r="A91" s="7">
        <v>45971</v>
      </c>
      <c r="B91" s="9">
        <v>27.97</v>
      </c>
      <c r="C91" s="30">
        <f t="shared" si="2"/>
        <v>9.3391483389813068E-3</v>
      </c>
      <c r="D91">
        <v>0.21263996458689904</v>
      </c>
      <c r="E91" s="30">
        <f>_xlfn.NORM.INV(D91,$N$4,$N$5)</f>
        <v>-1.6053414129391277E-2</v>
      </c>
      <c r="F91">
        <f t="shared" si="3"/>
        <v>19.277490718607144</v>
      </c>
    </row>
    <row r="92" spans="1:6">
      <c r="A92" s="4">
        <v>45968</v>
      </c>
      <c r="B92" s="6">
        <v>27.71</v>
      </c>
      <c r="C92" s="30">
        <f t="shared" si="2"/>
        <v>-2.0715026438588691E-2</v>
      </c>
      <c r="D92">
        <v>0.39292630077240176</v>
      </c>
      <c r="E92" s="30">
        <f>_xlfn.NORM.INV(D92,$N$4,$N$5)</f>
        <v>-5.9942729205108144E-3</v>
      </c>
      <c r="F92">
        <f t="shared" si="3"/>
        <v>19.162281819775426</v>
      </c>
    </row>
    <row r="93" spans="1:6">
      <c r="A93" s="7">
        <v>45967</v>
      </c>
      <c r="B93" s="9">
        <v>28.29</v>
      </c>
      <c r="C93" s="30">
        <f t="shared" si="2"/>
        <v>7.4508061558655747E-3</v>
      </c>
      <c r="D93">
        <v>0.69723639059820319</v>
      </c>
      <c r="E93" s="30">
        <f>_xlfn.NORM.INV(D93,$N$4,$N$5)</f>
        <v>9.0901686382882964E-3</v>
      </c>
      <c r="F93">
        <f t="shared" si="3"/>
        <v>19.337264298214947</v>
      </c>
    </row>
    <row r="94" spans="1:6">
      <c r="A94" s="4">
        <v>45966</v>
      </c>
      <c r="B94" s="6">
        <v>28.08</v>
      </c>
      <c r="C94" s="30">
        <f t="shared" si="2"/>
        <v>6.0725316093792614E-3</v>
      </c>
      <c r="D94">
        <v>0.79089033752609439</v>
      </c>
      <c r="E94" s="30">
        <f>_xlfn.NORM.INV(D94,$N$4,$N$5)</f>
        <v>1.4698655315074804E-2</v>
      </c>
      <c r="F94">
        <f t="shared" si="3"/>
        <v>19.623595265827326</v>
      </c>
    </row>
    <row r="95" spans="1:6">
      <c r="A95" s="7">
        <v>45965</v>
      </c>
      <c r="B95" s="9">
        <v>27.91</v>
      </c>
      <c r="C95" s="30">
        <f t="shared" si="2"/>
        <v>-1.432152052877278E-3</v>
      </c>
      <c r="D95">
        <v>0.94116437681604082</v>
      </c>
      <c r="E95" s="30">
        <f>_xlfn.NORM.INV(D95,$N$4,$N$5)</f>
        <v>2.9150380993989419E-2</v>
      </c>
      <c r="F95">
        <f t="shared" si="3"/>
        <v>20.204049675300961</v>
      </c>
    </row>
    <row r="96" spans="1:6">
      <c r="A96" s="4">
        <v>45964</v>
      </c>
      <c r="B96" s="6">
        <v>27.95</v>
      </c>
      <c r="C96" s="30">
        <f t="shared" si="2"/>
        <v>2.1489979617106414E-3</v>
      </c>
      <c r="D96">
        <v>0.50670981237080837</v>
      </c>
      <c r="E96" s="30">
        <f>_xlfn.NORM.INV(D96,$N$4,$N$5)</f>
        <v>-4.7240651970585103E-4</v>
      </c>
      <c r="F96">
        <f t="shared" si="3"/>
        <v>20.194507404602795</v>
      </c>
    </row>
    <row r="97" spans="1:6">
      <c r="A97" s="7">
        <v>45961</v>
      </c>
      <c r="B97" s="9">
        <v>27.89</v>
      </c>
      <c r="C97" s="30">
        <f t="shared" si="2"/>
        <v>5.0323614469540701E-3</v>
      </c>
      <c r="D97">
        <v>0.22534478819894865</v>
      </c>
      <c r="E97" s="30">
        <f>_xlfn.NORM.INV(D97,$N$4,$N$5)</f>
        <v>-1.5229904257203971E-2</v>
      </c>
      <c r="F97">
        <f t="shared" si="3"/>
        <v>19.889277203501099</v>
      </c>
    </row>
    <row r="98" spans="1:6">
      <c r="A98" s="4">
        <v>45960</v>
      </c>
      <c r="B98" s="6">
        <v>27.75</v>
      </c>
      <c r="C98" s="30">
        <f t="shared" si="2"/>
        <v>-1.5376666278090756E-2</v>
      </c>
      <c r="D98">
        <v>0.50502057782288545</v>
      </c>
      <c r="E98" s="30">
        <f>_xlfn.NORM.INV(D98,$N$4,$N$5)</f>
        <v>-5.534535734650519E-4</v>
      </c>
      <c r="F98">
        <f t="shared" si="3"/>
        <v>19.878272457548075</v>
      </c>
    </row>
    <row r="99" spans="1:6">
      <c r="A99" s="7">
        <v>45959</v>
      </c>
      <c r="B99" s="9">
        <v>28.18</v>
      </c>
      <c r="C99" s="30">
        <f t="shared" si="2"/>
        <v>-2.8338436463029915E-2</v>
      </c>
      <c r="D99">
        <v>0.56958183772030901</v>
      </c>
      <c r="E99" s="30">
        <f>_xlfn.NORM.INV(D99,$N$4,$N$5)</f>
        <v>2.5608668737166838E-3</v>
      </c>
      <c r="F99">
        <f t="shared" si="3"/>
        <v>19.929243303911583</v>
      </c>
    </row>
    <row r="100" spans="1:6">
      <c r="A100" s="4">
        <v>45958</v>
      </c>
      <c r="B100" s="6">
        <v>28.99</v>
      </c>
      <c r="C100" s="30">
        <f t="shared" si="2"/>
        <v>1.0053820167988725E-2</v>
      </c>
      <c r="D100">
        <v>0.95071916665543077</v>
      </c>
      <c r="E100" s="30">
        <f>_xlfn.NORM.INV(D100,$N$4,$N$5)</f>
        <v>3.0820101633502274E-2</v>
      </c>
      <c r="F100">
        <f t="shared" si="3"/>
        <v>20.553027782684559</v>
      </c>
    </row>
    <row r="101" spans="1:6">
      <c r="A101" s="7">
        <v>45957</v>
      </c>
      <c r="B101" s="9">
        <v>28.7</v>
      </c>
      <c r="C101" s="30">
        <f t="shared" si="2"/>
        <v>1.7436796048269088E-3</v>
      </c>
      <c r="D101">
        <v>0.41064776489838062</v>
      </c>
      <c r="E101" s="30">
        <f>_xlfn.NORM.INV(D101,$N$4,$N$5)</f>
        <v>-5.117320858956686E-3</v>
      </c>
      <c r="F101">
        <f t="shared" si="3"/>
        <v>20.448119997231569</v>
      </c>
    </row>
    <row r="102" spans="1:6">
      <c r="A102" s="4">
        <v>45954</v>
      </c>
      <c r="B102" s="6">
        <v>28.65</v>
      </c>
      <c r="C102" s="30">
        <f t="shared" si="2"/>
        <v>-2.09205097222398E-3</v>
      </c>
      <c r="D102">
        <v>0.76055955925115659</v>
      </c>
      <c r="E102" s="30">
        <f>_xlfn.NORM.INV(D102,$N$4,$N$5)</f>
        <v>1.2757796333995134E-2</v>
      </c>
      <c r="F102">
        <f t="shared" si="3"/>
        <v>20.710664128855488</v>
      </c>
    </row>
    <row r="103" spans="1:6">
      <c r="A103" s="7">
        <v>45953</v>
      </c>
      <c r="B103" s="9">
        <v>28.71</v>
      </c>
      <c r="C103" s="30">
        <f t="shared" si="2"/>
        <v>-1.3922731103868102E-3</v>
      </c>
      <c r="D103">
        <v>0.77686632204779082</v>
      </c>
      <c r="E103" s="30">
        <f>_xlfn.NORM.INV(D103,$N$4,$N$5)</f>
        <v>1.3782648233051123E-2</v>
      </c>
      <c r="F103">
        <f t="shared" si="3"/>
        <v>20.998088109082431</v>
      </c>
    </row>
    <row r="104" spans="1:6">
      <c r="A104" s="4">
        <v>45952</v>
      </c>
      <c r="B104" s="6">
        <v>28.75</v>
      </c>
      <c r="C104" s="30">
        <f t="shared" si="2"/>
        <v>-1.3474033523699358E-2</v>
      </c>
      <c r="D104">
        <v>0.54475970489639891</v>
      </c>
      <c r="E104" s="30">
        <f>_xlfn.NORM.INV(D104,$N$4,$N$5)</f>
        <v>1.3574838857988839E-3</v>
      </c>
      <c r="F104">
        <f t="shared" si="3"/>
        <v>21.026612031325261</v>
      </c>
    </row>
    <row r="105" spans="1:6">
      <c r="A105" s="7">
        <v>45951</v>
      </c>
      <c r="B105" s="9">
        <v>29.14</v>
      </c>
      <c r="C105" s="30">
        <f t="shared" si="2"/>
        <v>-1.7143840989648496E-3</v>
      </c>
      <c r="D105">
        <v>0.83569268207296599</v>
      </c>
      <c r="E105" s="30">
        <f>_xlfn.NORM.INV(D105,$N$4,$N$5)</f>
        <v>1.7902336399887673E-2</v>
      </c>
      <c r="F105">
        <f t="shared" si="3"/>
        <v>21.406427158373255</v>
      </c>
    </row>
    <row r="106" spans="1:6">
      <c r="A106" s="4">
        <v>45950</v>
      </c>
      <c r="B106" s="6">
        <v>29.19</v>
      </c>
      <c r="C106" s="30">
        <f t="shared" si="2"/>
        <v>9.9845897476371626E-3</v>
      </c>
      <c r="D106">
        <v>0.18074900596147636</v>
      </c>
      <c r="E106" s="30">
        <f>_xlfn.NORM.INV(D106,$N$4,$N$5)</f>
        <v>-1.82585577779837E-2</v>
      </c>
      <c r="F106">
        <f t="shared" si="3"/>
        <v>21.019123236524361</v>
      </c>
    </row>
    <row r="107" spans="1:6">
      <c r="A107" s="7">
        <v>45947</v>
      </c>
      <c r="B107" s="9">
        <v>28.9</v>
      </c>
      <c r="C107" s="30">
        <f t="shared" si="2"/>
        <v>1.393750784378156E-2</v>
      </c>
      <c r="D107">
        <v>0.75183708379474556</v>
      </c>
      <c r="E107" s="30">
        <f>_xlfn.NORM.INV(D107,$N$4,$N$5)</f>
        <v>1.2225331287016991E-2</v>
      </c>
      <c r="F107">
        <f t="shared" si="3"/>
        <v>21.277666147707603</v>
      </c>
    </row>
    <row r="108" spans="1:6">
      <c r="A108" s="4">
        <v>45946</v>
      </c>
      <c r="B108" s="6">
        <v>28.5</v>
      </c>
      <c r="C108" s="30">
        <f t="shared" si="2"/>
        <v>-1.3591427203539119E-2</v>
      </c>
      <c r="D108">
        <v>0.45864259955070885</v>
      </c>
      <c r="E108" s="30">
        <f>_xlfn.NORM.INV(D108,$N$4,$N$5)</f>
        <v>-2.7819339386804106E-3</v>
      </c>
      <c r="F108">
        <f t="shared" si="3"/>
        <v>21.218555345411218</v>
      </c>
    </row>
    <row r="109" spans="1:6">
      <c r="A109" s="7">
        <v>45945</v>
      </c>
      <c r="B109" s="9">
        <v>28.89</v>
      </c>
      <c r="C109" s="30">
        <f t="shared" si="2"/>
        <v>2.0790028278332429E-3</v>
      </c>
      <c r="D109">
        <v>0.80192192407002949</v>
      </c>
      <c r="E109" s="30">
        <f>_xlfn.NORM.INV(D109,$N$4,$N$5)</f>
        <v>1.5444902626514271E-2</v>
      </c>
      <c r="F109">
        <f t="shared" si="3"/>
        <v>21.548817736655501</v>
      </c>
    </row>
    <row r="110" spans="1:6">
      <c r="A110" s="4">
        <v>45944</v>
      </c>
      <c r="B110" s="6">
        <v>28.83</v>
      </c>
      <c r="C110" s="30">
        <f t="shared" si="2"/>
        <v>-1.3864820245328424E-3</v>
      </c>
      <c r="D110">
        <v>0.24777826645334933</v>
      </c>
      <c r="E110" s="30">
        <f>_xlfn.NORM.INV(D110,$N$4,$N$5)</f>
        <v>-1.3837225825888663E-2</v>
      </c>
      <c r="F110">
        <f t="shared" si="3"/>
        <v>21.252695360284509</v>
      </c>
    </row>
    <row r="111" spans="1:6">
      <c r="A111" s="7">
        <v>45943</v>
      </c>
      <c r="B111" s="9">
        <v>28.87</v>
      </c>
      <c r="C111" s="30">
        <f t="shared" si="2"/>
        <v>2.1709536082393566E-2</v>
      </c>
      <c r="D111">
        <v>0.99632896792886017</v>
      </c>
      <c r="E111" s="30">
        <f>_xlfn.NORM.INV(D111,$N$4,$N$5)</f>
        <v>5.051468126479837E-2</v>
      </c>
      <c r="F111">
        <f t="shared" si="3"/>
        <v>22.353846498117324</v>
      </c>
    </row>
    <row r="112" spans="1:6">
      <c r="A112" s="4">
        <v>45940</v>
      </c>
      <c r="B112" s="6">
        <v>28.25</v>
      </c>
      <c r="C112" s="30">
        <f t="shared" si="2"/>
        <v>-5.4756317743110294E-2</v>
      </c>
      <c r="D112">
        <v>0.75849821007906815</v>
      </c>
      <c r="E112" s="30">
        <f>_xlfn.NORM.INV(D112,$N$4,$N$5)</f>
        <v>1.2631026523563271E-2</v>
      </c>
      <c r="F112">
        <f t="shared" si="3"/>
        <v>22.637989255757873</v>
      </c>
    </row>
    <row r="113" spans="1:6">
      <c r="A113" s="7">
        <v>45939</v>
      </c>
      <c r="B113" s="9">
        <v>29.84</v>
      </c>
      <c r="C113" s="30">
        <f t="shared" si="2"/>
        <v>3.0206433439214919E-3</v>
      </c>
      <c r="D113">
        <v>0.81912136716465322</v>
      </c>
      <c r="E113" s="30">
        <f>_xlfn.NORM.INV(D113,$N$4,$N$5)</f>
        <v>1.6660502238321426E-2</v>
      </c>
      <c r="F113">
        <f t="shared" si="3"/>
        <v>23.018308887317652</v>
      </c>
    </row>
    <row r="114" spans="1:6">
      <c r="A114" s="4">
        <v>45938</v>
      </c>
      <c r="B114" s="6">
        <v>29.75</v>
      </c>
      <c r="C114" s="30">
        <f t="shared" si="2"/>
        <v>3.3619095962977852E-4</v>
      </c>
      <c r="D114">
        <v>0.33792854431492048</v>
      </c>
      <c r="E114" s="30">
        <f>_xlfn.NORM.INV(D114,$N$4,$N$5)</f>
        <v>-8.79660375235637E-3</v>
      </c>
      <c r="F114">
        <f t="shared" si="3"/>
        <v>22.816713920461385</v>
      </c>
    </row>
    <row r="115" spans="1:6">
      <c r="A115" s="7">
        <v>45937</v>
      </c>
      <c r="B115" s="9">
        <v>29.74</v>
      </c>
      <c r="C115" s="30">
        <f t="shared" si="2"/>
        <v>-1.2032230722820891E-2</v>
      </c>
      <c r="D115">
        <v>0.27157717654700264</v>
      </c>
      <c r="E115" s="30">
        <f>_xlfn.NORM.INV(D115,$N$4,$N$5)</f>
        <v>-1.2431536100460844E-2</v>
      </c>
      <c r="F115">
        <f t="shared" si="3"/>
        <v>22.534822917107117</v>
      </c>
    </row>
    <row r="116" spans="1:6">
      <c r="A116" s="4">
        <v>45936</v>
      </c>
      <c r="B116" s="6">
        <v>30.1</v>
      </c>
      <c r="C116" s="30">
        <f t="shared" si="2"/>
        <v>3.8609604237314077E-2</v>
      </c>
      <c r="D116">
        <v>0.82497025267003032</v>
      </c>
      <c r="E116" s="30">
        <f>_xlfn.NORM.INV(D116,$N$4,$N$5)</f>
        <v>1.7090204725367823E-2</v>
      </c>
      <c r="F116">
        <f t="shared" si="3"/>
        <v>22.923257412443331</v>
      </c>
    </row>
    <row r="117" spans="1:6">
      <c r="A117" s="7">
        <v>45933</v>
      </c>
      <c r="B117" s="9">
        <v>28.96</v>
      </c>
      <c r="C117" s="30">
        <f t="shared" si="2"/>
        <v>3.0857988359905608E-2</v>
      </c>
      <c r="D117">
        <v>0.72991443151630542</v>
      </c>
      <c r="E117" s="30">
        <f>_xlfn.NORM.INV(D117,$N$4,$N$5)</f>
        <v>1.0929114004387341E-2</v>
      </c>
      <c r="F117">
        <f t="shared" si="3"/>
        <v>23.175162347527802</v>
      </c>
    </row>
    <row r="118" spans="1:6">
      <c r="A118" s="4">
        <v>45932</v>
      </c>
      <c r="B118" s="6">
        <v>28.08</v>
      </c>
      <c r="C118" s="30">
        <f t="shared" si="2"/>
        <v>-2.3232301493268714E-2</v>
      </c>
      <c r="D118">
        <v>0.30392962636321486</v>
      </c>
      <c r="E118" s="30">
        <f>_xlfn.NORM.INV(D118,$N$4,$N$5)</f>
        <v>-1.0614932767774359E-2</v>
      </c>
      <c r="F118">
        <f t="shared" si="3"/>
        <v>22.93046060129851</v>
      </c>
    </row>
    <row r="119" spans="1:6">
      <c r="A119" s="7">
        <v>45931</v>
      </c>
      <c r="B119" s="9">
        <v>28.74</v>
      </c>
      <c r="C119" s="30">
        <f t="shared" si="2"/>
        <v>-1.7382239732053328E-3</v>
      </c>
      <c r="D119">
        <v>0.1044542565217742</v>
      </c>
      <c r="E119" s="30">
        <f>_xlfn.NORM.INV(D119,$N$4,$N$5)</f>
        <v>-2.4843345666493925E-2</v>
      </c>
      <c r="F119">
        <f t="shared" si="3"/>
        <v>22.367809251626724</v>
      </c>
    </row>
    <row r="120" spans="1:6">
      <c r="A120" s="4">
        <v>45930</v>
      </c>
      <c r="B120" s="6">
        <v>28.79</v>
      </c>
      <c r="C120" s="30">
        <f t="shared" si="2"/>
        <v>-1.0710069553362622E-2</v>
      </c>
      <c r="D120">
        <v>0.12922580893745517</v>
      </c>
      <c r="E120" s="30">
        <f>_xlfn.NORM.INV(D120,$N$4,$N$5)</f>
        <v>-2.2422045221164602E-2</v>
      </c>
      <c r="F120">
        <f t="shared" si="3"/>
        <v>21.871858118489591</v>
      </c>
    </row>
    <row r="121" spans="1:6">
      <c r="A121" s="7">
        <v>45929</v>
      </c>
      <c r="B121" s="9">
        <v>29.1</v>
      </c>
      <c r="C121" s="30">
        <f t="shared" si="2"/>
        <v>2.0639842208516335E-3</v>
      </c>
      <c r="D121">
        <v>6.7463579712255806E-3</v>
      </c>
      <c r="E121" s="30">
        <f>_xlfn.NORM.INV(D121,$N$4,$N$5)</f>
        <v>-4.8076071655990926E-2</v>
      </c>
      <c r="F121">
        <f t="shared" si="3"/>
        <v>20.845221168087996</v>
      </c>
    </row>
    <row r="122" spans="1:6">
      <c r="A122" s="4">
        <v>45926</v>
      </c>
      <c r="B122" s="6">
        <v>29.04</v>
      </c>
      <c r="C122" s="30">
        <f t="shared" si="2"/>
        <v>-1.679030410554283E-3</v>
      </c>
      <c r="D122">
        <v>0.51645327165727994</v>
      </c>
      <c r="E122" s="30">
        <f>_xlfn.NORM.INV(D122,$N$4,$N$5)</f>
        <v>-4.7714552262395019E-6</v>
      </c>
      <c r="F122">
        <f t="shared" si="3"/>
        <v>20.845121706285802</v>
      </c>
    </row>
    <row r="123" spans="1:6">
      <c r="A123" s="7">
        <v>45925</v>
      </c>
      <c r="B123" s="9">
        <v>29.088799999999999</v>
      </c>
      <c r="C123" s="30">
        <f t="shared" si="2"/>
        <v>1.6565456267576995E-2</v>
      </c>
      <c r="D123">
        <v>0.93456955044355239</v>
      </c>
      <c r="E123" s="30">
        <f>_xlfn.NORM.INV(D123,$N$4,$N$5)</f>
        <v>2.8118664017806026E-2</v>
      </c>
      <c r="F123">
        <f t="shared" si="3"/>
        <v>21.439577159408518</v>
      </c>
    </row>
    <row r="124" spans="1:6">
      <c r="A124" s="4">
        <v>45924</v>
      </c>
      <c r="B124" s="6">
        <v>28.610900000000001</v>
      </c>
      <c r="C124" s="30">
        <f t="shared" si="2"/>
        <v>-1.4214712704941679E-2</v>
      </c>
      <c r="D124">
        <v>0.277574973661605</v>
      </c>
      <c r="E124" s="30">
        <f>_xlfn.NORM.INV(D124,$N$4,$N$5)</f>
        <v>-1.2087247550630264E-2</v>
      </c>
      <c r="F124">
        <f t="shared" si="3"/>
        <v>21.181991569427957</v>
      </c>
    </row>
    <row r="125" spans="1:6">
      <c r="A125" s="7">
        <v>45923</v>
      </c>
      <c r="B125" s="9">
        <v>29.020499999999998</v>
      </c>
      <c r="C125" s="30">
        <f t="shared" si="2"/>
        <v>1.0101411436465035E-3</v>
      </c>
      <c r="D125">
        <v>0.34335656947464832</v>
      </c>
      <c r="E125" s="30">
        <f>_xlfn.NORM.INV(D125,$N$4,$N$5)</f>
        <v>-8.5132844444323237E-3</v>
      </c>
      <c r="F125">
        <f t="shared" si="3"/>
        <v>21.002428669617657</v>
      </c>
    </row>
    <row r="126" spans="1:6">
      <c r="A126" s="4">
        <v>45922</v>
      </c>
      <c r="B126" s="6">
        <v>28.991199999999999</v>
      </c>
      <c r="C126" s="30">
        <f t="shared" si="2"/>
        <v>1.2523245289727925E-2</v>
      </c>
      <c r="D126">
        <v>0.52541218435400572</v>
      </c>
      <c r="E126" s="30">
        <f>_xlfn.NORM.INV(D126,$N$4,$N$5)</f>
        <v>4.2561927630967557E-4</v>
      </c>
      <c r="F126">
        <f t="shared" si="3"/>
        <v>21.011369610692228</v>
      </c>
    </row>
    <row r="127" spans="1:6">
      <c r="A127" s="7">
        <v>45919</v>
      </c>
      <c r="B127" s="9">
        <v>28.630400000000002</v>
      </c>
      <c r="C127" s="30">
        <f t="shared" si="2"/>
        <v>-2.3896280041286744E-2</v>
      </c>
      <c r="D127">
        <v>7.205364778822887E-2</v>
      </c>
      <c r="E127" s="30">
        <f>_xlfn.NORM.INV(D127,$N$4,$N$5)</f>
        <v>-2.8749398653752586E-2</v>
      </c>
      <c r="F127">
        <f t="shared" si="3"/>
        <v>20.415905993330032</v>
      </c>
    </row>
    <row r="128" spans="1:6">
      <c r="A128" s="4">
        <v>45918</v>
      </c>
      <c r="B128" s="6">
        <v>29.322800000000001</v>
      </c>
      <c r="C128" s="30">
        <f t="shared" si="2"/>
        <v>3.0730522581865038E-2</v>
      </c>
      <c r="D128">
        <v>0.30456365498550464</v>
      </c>
      <c r="E128" s="30">
        <f>_xlfn.NORM.INV(D128,$N$4,$N$5)</f>
        <v>-1.0580252460154177E-2</v>
      </c>
      <c r="F128">
        <f t="shared" si="3"/>
        <v>20.201039230392652</v>
      </c>
    </row>
    <row r="129" spans="1:6">
      <c r="A129" s="7">
        <v>45917</v>
      </c>
      <c r="B129" s="9">
        <v>28.435400000000001</v>
      </c>
      <c r="C129" s="30">
        <f t="shared" si="2"/>
        <v>1.1726491085719992E-2</v>
      </c>
      <c r="D129">
        <v>0.43042690957643626</v>
      </c>
      <c r="E129" s="30">
        <f>_xlfn.NORM.INV(D129,$N$4,$N$5)</f>
        <v>-4.149068439712621E-3</v>
      </c>
      <c r="F129">
        <f t="shared" si="3"/>
        <v>20.117397373955392</v>
      </c>
    </row>
    <row r="130" spans="1:6">
      <c r="A130" s="4">
        <v>45916</v>
      </c>
      <c r="B130" s="6">
        <v>28.103899999999999</v>
      </c>
      <c r="C130" s="30">
        <f t="shared" si="2"/>
        <v>-1.7879407354731036E-2</v>
      </c>
      <c r="D130">
        <v>1.2933078988902613E-3</v>
      </c>
      <c r="E130" s="30">
        <f>_xlfn.NORM.INV(D130,$N$4,$N$5)</f>
        <v>-5.8459293496205683E-2</v>
      </c>
      <c r="F130">
        <f t="shared" si="3"/>
        <v>18.975063849375893</v>
      </c>
    </row>
    <row r="131" spans="1:6">
      <c r="A131" s="7">
        <v>45915</v>
      </c>
      <c r="B131" s="9">
        <v>28.610900000000001</v>
      </c>
      <c r="C131" s="30">
        <f t="shared" ref="C131:C194" si="4">LN(B131)-LN(B132)</f>
        <v>4.4382165185985478E-3</v>
      </c>
      <c r="D131">
        <v>7.252666061310753E-2</v>
      </c>
      <c r="E131" s="30">
        <f>_xlfn.NORM.INV(D131,$N$4,$N$5)</f>
        <v>-2.8683621319810181E-2</v>
      </c>
      <c r="F131">
        <f t="shared" si="3"/>
        <v>18.438522070157074</v>
      </c>
    </row>
    <row r="132" spans="1:6">
      <c r="A132" s="4">
        <v>45912</v>
      </c>
      <c r="B132" s="6">
        <v>28.484200000000001</v>
      </c>
      <c r="C132" s="30">
        <f t="shared" si="4"/>
        <v>6.8482449220619301E-4</v>
      </c>
      <c r="D132">
        <v>0.52859653759668912</v>
      </c>
      <c r="E132" s="30">
        <f>_xlfn.NORM.INV(D132,$N$4,$N$5)</f>
        <v>5.7873468403824339E-4</v>
      </c>
      <c r="F132">
        <f t="shared" si="3"/>
        <v>18.449196170839695</v>
      </c>
    </row>
    <row r="133" spans="1:6">
      <c r="A133" s="7">
        <v>45911</v>
      </c>
      <c r="B133" s="9">
        <v>28.464700000000001</v>
      </c>
      <c r="C133" s="30">
        <f t="shared" si="4"/>
        <v>1.8673374435530299E-2</v>
      </c>
      <c r="D133">
        <v>0.99415971589680485</v>
      </c>
      <c r="E133" s="30">
        <f>_xlfn.NORM.INV(D133,$N$4,$N$5)</f>
        <v>4.7466537707705724E-2</v>
      </c>
      <c r="F133">
        <f t="shared" ref="F133:F196" si="5">F132*EXP(E133)</f>
        <v>19.346032104880141</v>
      </c>
    </row>
    <row r="134" spans="1:6">
      <c r="A134" s="4">
        <v>45910</v>
      </c>
      <c r="B134" s="6">
        <v>27.938099999999999</v>
      </c>
      <c r="C134" s="30">
        <f t="shared" si="4"/>
        <v>-2.0917255774919319E-3</v>
      </c>
      <c r="D134">
        <v>0.56092475830490895</v>
      </c>
      <c r="E134" s="30">
        <f>_xlfn.NORM.INV(D134,$N$4,$N$5)</f>
        <v>2.1399051932171594E-3</v>
      </c>
      <c r="F134">
        <f t="shared" si="5"/>
        <v>19.387475105681212</v>
      </c>
    </row>
    <row r="135" spans="1:6">
      <c r="A135" s="7">
        <v>45909</v>
      </c>
      <c r="B135" s="9">
        <v>27.996600000000001</v>
      </c>
      <c r="C135" s="30">
        <f t="shared" si="4"/>
        <v>1.3939974591896664E-3</v>
      </c>
      <c r="D135">
        <v>0.60431920609022705</v>
      </c>
      <c r="E135" s="30">
        <f>_xlfn.NORM.INV(D135,$N$4,$N$5)</f>
        <v>4.2686665010113149E-3</v>
      </c>
      <c r="F135">
        <f t="shared" si="5"/>
        <v>19.470410657375421</v>
      </c>
    </row>
    <row r="136" spans="1:6">
      <c r="A136" s="4">
        <v>45908</v>
      </c>
      <c r="B136" s="6">
        <v>27.957599999999999</v>
      </c>
      <c r="C136" s="30">
        <f t="shared" si="4"/>
        <v>3.9124286063031199E-2</v>
      </c>
      <c r="D136">
        <v>0.30605504475801082</v>
      </c>
      <c r="E136" s="30">
        <f>_xlfn.NORM.INV(D136,$N$4,$N$5)</f>
        <v>-1.0498802192507638E-2</v>
      </c>
      <c r="F136">
        <f t="shared" si="5"/>
        <v>19.267063983348216</v>
      </c>
    </row>
    <row r="137" spans="1:6">
      <c r="A137" s="7">
        <v>45905</v>
      </c>
      <c r="B137" s="9">
        <v>26.884899999999998</v>
      </c>
      <c r="C137" s="30">
        <f t="shared" si="4"/>
        <v>-9.7459551310619119E-3</v>
      </c>
      <c r="D137">
        <v>0.18008733909143348</v>
      </c>
      <c r="E137" s="30">
        <f>_xlfn.NORM.INV(D137,$N$4,$N$5)</f>
        <v>-1.8306747385983247E-2</v>
      </c>
      <c r="F137">
        <f t="shared" si="5"/>
        <v>18.91755565154855</v>
      </c>
    </row>
    <row r="138" spans="1:6">
      <c r="A138" s="4">
        <v>45904</v>
      </c>
      <c r="B138" s="6">
        <v>27.148199999999999</v>
      </c>
      <c r="C138" s="30">
        <f t="shared" si="4"/>
        <v>2.9527529938961461E-2</v>
      </c>
      <c r="D138">
        <v>0.9023613977809567</v>
      </c>
      <c r="E138" s="30">
        <f>_xlfn.NORM.INV(D138,$N$4,$N$5)</f>
        <v>2.3992555423821726E-2</v>
      </c>
      <c r="F138">
        <f t="shared" si="5"/>
        <v>19.376924838508174</v>
      </c>
    </row>
    <row r="139" spans="1:6">
      <c r="A139" s="7">
        <v>45903</v>
      </c>
      <c r="B139" s="9">
        <v>26.3583</v>
      </c>
      <c r="C139" s="30">
        <f t="shared" si="4"/>
        <v>2.9636068242417934E-3</v>
      </c>
      <c r="D139">
        <v>0.34013582833154321</v>
      </c>
      <c r="E139" s="30">
        <f>_xlfn.NORM.INV(D139,$N$4,$N$5)</f>
        <v>-8.6811849956889963E-3</v>
      </c>
      <c r="F139">
        <f t="shared" si="5"/>
        <v>19.209438212386541</v>
      </c>
    </row>
    <row r="140" spans="1:6">
      <c r="A140" s="4">
        <v>45902</v>
      </c>
      <c r="B140" s="6">
        <v>26.2803</v>
      </c>
      <c r="C140" s="30">
        <f t="shared" si="4"/>
        <v>-2.0932113272013719E-2</v>
      </c>
      <c r="D140">
        <v>0.39138190645315829</v>
      </c>
      <c r="E140" s="30">
        <f>_xlfn.NORM.INV(D140,$N$4,$N$5)</f>
        <v>-6.0711906560534309E-3</v>
      </c>
      <c r="F140">
        <f t="shared" si="5"/>
        <v>19.09316735900163</v>
      </c>
    </row>
    <row r="141" spans="1:6">
      <c r="A141" s="7">
        <v>45898</v>
      </c>
      <c r="B141" s="9">
        <v>26.836200000000002</v>
      </c>
      <c r="C141" s="30">
        <f t="shared" si="4"/>
        <v>-1.7288814163273436E-2</v>
      </c>
      <c r="D141">
        <v>0.30481399993291547</v>
      </c>
      <c r="E141" s="30">
        <f>_xlfn.NORM.INV(D141,$N$4,$N$5)</f>
        <v>-1.0566567859329606E-2</v>
      </c>
      <c r="F141">
        <f t="shared" si="5"/>
        <v>18.892480264615966</v>
      </c>
    </row>
    <row r="142" spans="1:6">
      <c r="A142" s="4">
        <v>45897</v>
      </c>
      <c r="B142" s="6">
        <v>27.304200000000002</v>
      </c>
      <c r="C142" s="30">
        <f t="shared" si="4"/>
        <v>5.7297906720839009E-3</v>
      </c>
      <c r="D142">
        <v>0.44985825974431437</v>
      </c>
      <c r="E142" s="30">
        <f>_xlfn.NORM.INV(D142,$N$4,$N$5)</f>
        <v>-3.2061494336677898E-3</v>
      </c>
      <c r="F142">
        <f t="shared" si="5"/>
        <v>18.832005147649948</v>
      </c>
    </row>
    <row r="143" spans="1:6">
      <c r="A143" s="7">
        <v>45896</v>
      </c>
      <c r="B143" s="9">
        <v>27.148199999999999</v>
      </c>
      <c r="C143" s="30">
        <f t="shared" si="4"/>
        <v>-1.435528465693281E-3</v>
      </c>
      <c r="D143">
        <v>0.86092609257213282</v>
      </c>
      <c r="E143" s="30">
        <f>_xlfn.NORM.INV(D143,$N$4,$N$5)</f>
        <v>1.9961292996801355E-2</v>
      </c>
      <c r="F143">
        <f t="shared" si="5"/>
        <v>19.21169324555936</v>
      </c>
    </row>
    <row r="144" spans="1:6">
      <c r="A144" s="4">
        <v>45895</v>
      </c>
      <c r="B144" s="6">
        <v>27.187200000000001</v>
      </c>
      <c r="C144" s="30">
        <f t="shared" si="4"/>
        <v>-8.5701625474516874E-3</v>
      </c>
      <c r="D144">
        <v>0.13120071212209927</v>
      </c>
      <c r="E144" s="30">
        <f>_xlfn.NORM.INV(D144,$N$4,$N$5)</f>
        <v>-2.2243574981141614E-2</v>
      </c>
      <c r="F144">
        <f t="shared" si="5"/>
        <v>18.789074210459649</v>
      </c>
    </row>
    <row r="145" spans="1:6">
      <c r="A145" s="7">
        <v>45894</v>
      </c>
      <c r="B145" s="9">
        <v>27.421199999999999</v>
      </c>
      <c r="C145" s="30">
        <f t="shared" si="4"/>
        <v>-1.7277993389785973E-2</v>
      </c>
      <c r="D145">
        <v>0.84815720241253278</v>
      </c>
      <c r="E145" s="30">
        <f>_xlfn.NORM.INV(D145,$N$4,$N$5)</f>
        <v>1.8890916781975655E-2</v>
      </c>
      <c r="F145">
        <f t="shared" si="5"/>
        <v>19.147390856876687</v>
      </c>
    </row>
    <row r="146" spans="1:6">
      <c r="A146" s="4">
        <v>45891</v>
      </c>
      <c r="B146" s="6">
        <v>27.899100000000001</v>
      </c>
      <c r="C146" s="30">
        <f t="shared" si="4"/>
        <v>3.4856060839080882E-2</v>
      </c>
      <c r="D146">
        <v>0.80217016473372882</v>
      </c>
      <c r="E146" s="30">
        <f>_xlfn.NORM.INV(D146,$N$4,$N$5)</f>
        <v>1.546197819940456E-2</v>
      </c>
      <c r="F146">
        <f t="shared" si="5"/>
        <v>19.445748049015091</v>
      </c>
    </row>
    <row r="147" spans="1:6">
      <c r="A147" s="7">
        <v>45890</v>
      </c>
      <c r="B147" s="9">
        <v>26.9434</v>
      </c>
      <c r="C147" s="30">
        <f t="shared" si="4"/>
        <v>-1.757806744929491E-2</v>
      </c>
      <c r="D147">
        <v>0.93037279992089406</v>
      </c>
      <c r="E147" s="30">
        <f>_xlfn.NORM.INV(D147,$N$4,$N$5)</f>
        <v>2.7503502985612171E-2</v>
      </c>
      <c r="F147">
        <f t="shared" si="5"/>
        <v>19.987996929133363</v>
      </c>
    </row>
    <row r="148" spans="1:6">
      <c r="A148" s="4">
        <v>45889</v>
      </c>
      <c r="B148" s="6">
        <v>27.421199999999999</v>
      </c>
      <c r="C148" s="30">
        <f t="shared" si="4"/>
        <v>-4.2613261474557795E-3</v>
      </c>
      <c r="D148">
        <v>0.31239158800371014</v>
      </c>
      <c r="E148" s="30">
        <f>_xlfn.NORM.INV(D148,$N$4,$N$5)</f>
        <v>-1.0154669419238033E-2</v>
      </c>
      <c r="F148">
        <f t="shared" si="5"/>
        <v>19.786052502738354</v>
      </c>
    </row>
    <row r="149" spans="1:6">
      <c r="A149" s="7">
        <v>45888</v>
      </c>
      <c r="B149" s="9">
        <v>27.5383</v>
      </c>
      <c r="C149" s="30">
        <f t="shared" si="4"/>
        <v>-3.8852030794136461E-3</v>
      </c>
      <c r="D149">
        <v>1.5791792140454675E-2</v>
      </c>
      <c r="E149" s="30">
        <f>_xlfn.NORM.INV(D149,$N$4,$N$5)</f>
        <v>-4.1935434207518524E-2</v>
      </c>
      <c r="F149">
        <f t="shared" si="5"/>
        <v>18.973472819458198</v>
      </c>
    </row>
    <row r="150" spans="1:6">
      <c r="A150" s="4">
        <v>45887</v>
      </c>
      <c r="B150" s="6">
        <v>27.645499999999998</v>
      </c>
      <c r="C150" s="30">
        <f t="shared" si="4"/>
        <v>-1.3662548412335163E-2</v>
      </c>
      <c r="D150">
        <v>0.70227638146149363</v>
      </c>
      <c r="E150" s="30">
        <f>_xlfn.NORM.INV(D150,$N$4,$N$5)</f>
        <v>9.3674947814099338E-3</v>
      </c>
      <c r="F150">
        <f t="shared" si="5"/>
        <v>19.152041793261716</v>
      </c>
    </row>
    <row r="151" spans="1:6">
      <c r="A151" s="7">
        <v>45884</v>
      </c>
      <c r="B151" s="9">
        <v>28.0258</v>
      </c>
      <c r="C151" s="30">
        <f t="shared" si="4"/>
        <v>3.5412631530562511E-2</v>
      </c>
      <c r="D151">
        <v>0.57073695873153452</v>
      </c>
      <c r="E151" s="30">
        <f>_xlfn.NORM.INV(D151,$N$4,$N$5)</f>
        <v>2.6171546080673912E-3</v>
      </c>
      <c r="F151">
        <f t="shared" si="5"/>
        <v>19.202231295891149</v>
      </c>
    </row>
    <row r="152" spans="1:6">
      <c r="A152" s="4">
        <v>45883</v>
      </c>
      <c r="B152" s="6">
        <v>27.050699999999999</v>
      </c>
      <c r="C152" s="30">
        <f t="shared" si="4"/>
        <v>-8.6132225641653015E-3</v>
      </c>
      <c r="D152">
        <v>0.9291266777074072</v>
      </c>
      <c r="E152" s="30">
        <f>_xlfn.NORM.INV(D152,$N$4,$N$5)</f>
        <v>2.7326363846689683E-2</v>
      </c>
      <c r="F152">
        <f t="shared" si="5"/>
        <v>19.734193651103975</v>
      </c>
    </row>
    <row r="153" spans="1:6">
      <c r="A153" s="7">
        <v>45882</v>
      </c>
      <c r="B153" s="9">
        <v>27.284700000000001</v>
      </c>
      <c r="C153" s="30">
        <f t="shared" si="4"/>
        <v>2.8638123893197864E-2</v>
      </c>
      <c r="D153">
        <v>0.89496473531041498</v>
      </c>
      <c r="E153" s="30">
        <f>_xlfn.NORM.INV(D153,$N$4,$N$5)</f>
        <v>2.3193457654959782E-2</v>
      </c>
      <c r="F153">
        <f t="shared" si="5"/>
        <v>20.197246982232318</v>
      </c>
    </row>
    <row r="154" spans="1:6">
      <c r="A154" s="4">
        <v>45881</v>
      </c>
      <c r="B154" s="6">
        <v>26.514399999999998</v>
      </c>
      <c r="C154" s="30">
        <f t="shared" si="4"/>
        <v>-3.3021784075697447E-3</v>
      </c>
      <c r="D154">
        <v>0.17047456334117828</v>
      </c>
      <c r="E154" s="30">
        <f>_xlfn.NORM.INV(D154,$N$4,$N$5)</f>
        <v>-1.9019837871517842E-2</v>
      </c>
      <c r="F154">
        <f t="shared" si="5"/>
        <v>19.816728787468179</v>
      </c>
    </row>
    <row r="155" spans="1:6">
      <c r="A155" s="7">
        <v>45880</v>
      </c>
      <c r="B155" s="9">
        <v>26.6021</v>
      </c>
      <c r="C155" s="30">
        <f t="shared" si="4"/>
        <v>4.7741600735458078E-3</v>
      </c>
      <c r="D155">
        <v>0.30879351145756839</v>
      </c>
      <c r="E155" s="30">
        <f>_xlfn.NORM.INV(D155,$N$4,$N$5)</f>
        <v>-1.0349699563944865E-2</v>
      </c>
      <c r="F155">
        <f t="shared" si="5"/>
        <v>19.612689293236013</v>
      </c>
    </row>
    <row r="156" spans="1:6">
      <c r="A156" s="4">
        <v>45877</v>
      </c>
      <c r="B156" s="6">
        <v>26.4754</v>
      </c>
      <c r="C156" s="30">
        <f t="shared" si="4"/>
        <v>4.2128462097628994E-2</v>
      </c>
      <c r="D156">
        <v>0.13635129597148954</v>
      </c>
      <c r="E156" s="30">
        <f>_xlfn.NORM.INV(D156,$N$4,$N$5)</f>
        <v>-2.1786674689778074E-2</v>
      </c>
      <c r="F156">
        <f t="shared" si="5"/>
        <v>19.190015063502571</v>
      </c>
    </row>
    <row r="157" spans="1:6">
      <c r="A157" s="7">
        <v>45876</v>
      </c>
      <c r="B157" s="9">
        <v>25.383199999999999</v>
      </c>
      <c r="C157" s="30">
        <f t="shared" si="4"/>
        <v>4.3578266253428755E-2</v>
      </c>
      <c r="D157">
        <v>0.49826711424524994</v>
      </c>
      <c r="E157" s="30">
        <f>_xlfn.NORM.INV(D157,$N$4,$N$5)</f>
        <v>-8.7744644021653297E-4</v>
      </c>
      <c r="F157">
        <f t="shared" si="5"/>
        <v>19.173184238251107</v>
      </c>
    </row>
    <row r="158" spans="1:6">
      <c r="A158" s="4">
        <v>45875</v>
      </c>
      <c r="B158" s="6">
        <v>24.300799999999999</v>
      </c>
      <c r="C158" s="30">
        <f t="shared" si="4"/>
        <v>1.5773439741291639E-2</v>
      </c>
      <c r="D158">
        <v>3.1051885927840139E-2</v>
      </c>
      <c r="E158" s="30">
        <f>_xlfn.NORM.INV(D158,$N$4,$N$5)</f>
        <v>-3.649840109333017E-2</v>
      </c>
      <c r="F158">
        <f t="shared" si="5"/>
        <v>18.48601032645681</v>
      </c>
    </row>
    <row r="159" spans="1:6">
      <c r="A159" s="7">
        <v>45874</v>
      </c>
      <c r="B159" s="9">
        <v>23.920500000000001</v>
      </c>
      <c r="C159" s="30">
        <f t="shared" si="4"/>
        <v>-9.3290624416173529E-3</v>
      </c>
      <c r="D159">
        <v>0.63780651147560918</v>
      </c>
      <c r="E159" s="30">
        <f>_xlfn.NORM.INV(D159,$N$4,$N$5)</f>
        <v>5.9539898980402539E-3</v>
      </c>
      <c r="F159">
        <f t="shared" si="5"/>
        <v>18.596404160961772</v>
      </c>
    </row>
    <row r="160" spans="1:6">
      <c r="A160" s="4">
        <v>45873</v>
      </c>
      <c r="B160" s="6">
        <v>24.1447</v>
      </c>
      <c r="C160" s="30">
        <f t="shared" si="4"/>
        <v>1.5876231780647565E-2</v>
      </c>
      <c r="D160">
        <v>0.81411065264601112</v>
      </c>
      <c r="E160" s="30">
        <f>_xlfn.NORM.INV(D160,$N$4,$N$5)</f>
        <v>1.6299257409081586E-2</v>
      </c>
      <c r="F160">
        <f t="shared" si="5"/>
        <v>18.901995429237495</v>
      </c>
    </row>
    <row r="161" spans="1:6">
      <c r="A161" s="7">
        <v>45870</v>
      </c>
      <c r="B161" s="9">
        <v>23.764399999999998</v>
      </c>
      <c r="C161" s="30">
        <f t="shared" si="4"/>
        <v>2.0513864578304286E-3</v>
      </c>
      <c r="D161">
        <v>0.16277807569985425</v>
      </c>
      <c r="E161" s="30">
        <f>_xlfn.NORM.INV(D161,$N$4,$N$5)</f>
        <v>-1.9609548391006117E-2</v>
      </c>
      <c r="F161">
        <f t="shared" si="5"/>
        <v>18.534946429579776</v>
      </c>
    </row>
    <row r="162" spans="1:6">
      <c r="A162" s="4">
        <v>45869</v>
      </c>
      <c r="B162" s="6">
        <v>23.715699999999998</v>
      </c>
      <c r="C162" s="30">
        <f t="shared" si="4"/>
        <v>4.9456503085574255E-3</v>
      </c>
      <c r="D162">
        <v>0.65941766411574287</v>
      </c>
      <c r="E162" s="30">
        <f>_xlfn.NORM.INV(D162,$N$4,$N$5)</f>
        <v>7.0692444161321328E-3</v>
      </c>
      <c r="F162">
        <f t="shared" si="5"/>
        <v>18.666438724113259</v>
      </c>
    </row>
    <row r="163" spans="1:6">
      <c r="A163" s="7">
        <v>45868</v>
      </c>
      <c r="B163" s="9">
        <v>23.598700000000001</v>
      </c>
      <c r="C163" s="30">
        <f t="shared" si="4"/>
        <v>2.0700515996714408E-3</v>
      </c>
      <c r="D163">
        <v>0.61506150126876902</v>
      </c>
      <c r="E163" s="30">
        <f>_xlfn.NORM.INV(D163,$N$4,$N$5)</f>
        <v>4.8044105612730301E-3</v>
      </c>
      <c r="F163">
        <f t="shared" si="5"/>
        <v>18.756335737621765</v>
      </c>
    </row>
    <row r="164" spans="1:6">
      <c r="A164" s="4">
        <v>45867</v>
      </c>
      <c r="B164" s="6">
        <v>23.549900000000001</v>
      </c>
      <c r="C164" s="30">
        <f t="shared" si="4"/>
        <v>-8.6588314700017932E-3</v>
      </c>
      <c r="D164">
        <v>0.82353680135268892</v>
      </c>
      <c r="E164" s="30">
        <f>_xlfn.NORM.INV(D164,$N$4,$N$5)</f>
        <v>1.6984064179632146E-2</v>
      </c>
      <c r="F164">
        <f t="shared" si="5"/>
        <v>19.077615139613414</v>
      </c>
    </row>
    <row r="165" spans="1:6">
      <c r="A165" s="7">
        <v>45866</v>
      </c>
      <c r="B165" s="9">
        <v>23.7547</v>
      </c>
      <c r="C165" s="30">
        <f t="shared" si="4"/>
        <v>-2.1122691332339016E-2</v>
      </c>
      <c r="D165">
        <v>0.11480130130618027</v>
      </c>
      <c r="E165" s="30">
        <f>_xlfn.NORM.INV(D165,$N$4,$N$5)</f>
        <v>-2.3787101169498094E-2</v>
      </c>
      <c r="F165">
        <f t="shared" si="5"/>
        <v>18.629168743142284</v>
      </c>
    </row>
    <row r="166" spans="1:6">
      <c r="A166" s="4">
        <v>45863</v>
      </c>
      <c r="B166" s="6">
        <v>24.261800000000001</v>
      </c>
      <c r="C166" s="30">
        <f t="shared" si="4"/>
        <v>-1.989410881519893E-2</v>
      </c>
      <c r="D166">
        <v>0.23301217654356277</v>
      </c>
      <c r="E166" s="30">
        <f>_xlfn.NORM.INV(D166,$N$4,$N$5)</f>
        <v>-1.4745640557612093E-2</v>
      </c>
      <c r="F166">
        <f t="shared" si="5"/>
        <v>18.356485105294976</v>
      </c>
    </row>
    <row r="167" spans="1:6">
      <c r="A167" s="7">
        <v>45862</v>
      </c>
      <c r="B167" s="9">
        <v>24.749300000000002</v>
      </c>
      <c r="C167" s="30">
        <f t="shared" si="4"/>
        <v>4.7386159594307031E-3</v>
      </c>
      <c r="D167">
        <v>0.49778567523542216</v>
      </c>
      <c r="E167" s="30">
        <f>_xlfn.NORM.INV(D167,$N$4,$N$5)</f>
        <v>-9.0054296462395271E-4</v>
      </c>
      <c r="F167">
        <f t="shared" si="5"/>
        <v>18.339961742893731</v>
      </c>
    </row>
    <row r="168" spans="1:6">
      <c r="A168" s="4">
        <v>45861</v>
      </c>
      <c r="B168" s="6">
        <v>24.632300000000001</v>
      </c>
      <c r="C168" s="30">
        <f t="shared" si="4"/>
        <v>4.7424193102482359E-2</v>
      </c>
      <c r="D168">
        <v>0.51621944172263934</v>
      </c>
      <c r="E168" s="30">
        <f>_xlfn.NORM.INV(D168,$N$4,$N$5)</f>
        <v>-1.5998474078433335E-5</v>
      </c>
      <c r="F168">
        <f t="shared" si="5"/>
        <v>18.339668333838244</v>
      </c>
    </row>
    <row r="169" spans="1:6">
      <c r="A169" s="7">
        <v>45860</v>
      </c>
      <c r="B169" s="9">
        <v>23.491399999999999</v>
      </c>
      <c r="C169" s="30">
        <f t="shared" si="4"/>
        <v>8.3043572835084234E-4</v>
      </c>
      <c r="D169">
        <v>0.55212241302201981</v>
      </c>
      <c r="E169" s="30">
        <f>_xlfn.NORM.INV(D169,$N$4,$N$5)</f>
        <v>1.7133293489394897E-3</v>
      </c>
      <c r="F169">
        <f t="shared" si="5"/>
        <v>18.371117159249046</v>
      </c>
    </row>
    <row r="170" spans="1:6">
      <c r="A170" s="4">
        <v>45859</v>
      </c>
      <c r="B170" s="6">
        <v>23.471900000000002</v>
      </c>
      <c r="C170" s="30">
        <f t="shared" si="4"/>
        <v>6.2524911209522749E-3</v>
      </c>
      <c r="D170">
        <v>0.14667767100670659</v>
      </c>
      <c r="E170" s="30">
        <f>_xlfn.NORM.INV(D170,$N$4,$N$5)</f>
        <v>-2.0904947169835528E-2</v>
      </c>
      <c r="F170">
        <f t="shared" si="5"/>
        <v>17.991056342214673</v>
      </c>
    </row>
    <row r="171" spans="1:6">
      <c r="A171" s="7">
        <v>45856</v>
      </c>
      <c r="B171" s="9">
        <v>23.325600000000001</v>
      </c>
      <c r="C171" s="30">
        <f t="shared" si="4"/>
        <v>-2.0276957741942603E-2</v>
      </c>
      <c r="D171">
        <v>0.23581283653875218</v>
      </c>
      <c r="E171" s="30">
        <f>_xlfn.NORM.INV(D171,$N$4,$N$5)</f>
        <v>-1.4570973822671921E-2</v>
      </c>
      <c r="F171">
        <f t="shared" si="5"/>
        <v>17.73080975875504</v>
      </c>
    </row>
    <row r="172" spans="1:6">
      <c r="A172" s="4">
        <v>45855</v>
      </c>
      <c r="B172" s="6">
        <v>23.8034</v>
      </c>
      <c r="C172" s="30">
        <f t="shared" si="4"/>
        <v>1.7772123389048211E-2</v>
      </c>
      <c r="D172">
        <v>0.84080316965592417</v>
      </c>
      <c r="E172" s="30">
        <f>_xlfn.NORM.INV(D172,$N$4,$N$5)</f>
        <v>1.8301494369423094E-2</v>
      </c>
      <c r="F172">
        <f t="shared" si="5"/>
        <v>18.058297692193978</v>
      </c>
    </row>
    <row r="173" spans="1:6">
      <c r="A173" s="7">
        <v>45854</v>
      </c>
      <c r="B173" s="9">
        <v>23.3841</v>
      </c>
      <c r="C173" s="30">
        <f t="shared" si="4"/>
        <v>-4.1608315106431704E-3</v>
      </c>
      <c r="D173">
        <v>0.76426522697536559</v>
      </c>
      <c r="E173" s="30">
        <f>_xlfn.NORM.INV(D173,$N$4,$N$5)</f>
        <v>1.2987199071511746E-2</v>
      </c>
      <c r="F173">
        <f t="shared" si="5"/>
        <v>18.294353936024912</v>
      </c>
    </row>
    <row r="174" spans="1:6">
      <c r="A174" s="4">
        <v>45853</v>
      </c>
      <c r="B174" s="6">
        <v>23.4816</v>
      </c>
      <c r="C174" s="30">
        <f t="shared" si="4"/>
        <v>-1.3203704015519069E-2</v>
      </c>
      <c r="D174">
        <v>0.89760228840622935</v>
      </c>
      <c r="E174" s="30">
        <f>_xlfn.NORM.INV(D174,$N$4,$N$5)</f>
        <v>2.3473561581286859E-2</v>
      </c>
      <c r="F174">
        <f t="shared" si="5"/>
        <v>18.728867417696478</v>
      </c>
    </row>
    <row r="175" spans="1:6">
      <c r="A175" s="7">
        <v>45852</v>
      </c>
      <c r="B175" s="9">
        <v>23.793700000000001</v>
      </c>
      <c r="C175" s="30">
        <f t="shared" si="4"/>
        <v>-1.2264631939387094E-3</v>
      </c>
      <c r="D175">
        <v>4.6353871381332845E-2</v>
      </c>
      <c r="E175" s="30">
        <f>_xlfn.NORM.INV(D175,$N$4,$N$5)</f>
        <v>-3.2971731536197979E-2</v>
      </c>
      <c r="F175">
        <f t="shared" si="5"/>
        <v>18.121413661337733</v>
      </c>
    </row>
    <row r="176" spans="1:6">
      <c r="A176" s="4">
        <v>45849</v>
      </c>
      <c r="B176" s="6">
        <v>23.822900000000001</v>
      </c>
      <c r="C176" s="30">
        <f t="shared" si="4"/>
        <v>-8.9678079666692945E-3</v>
      </c>
      <c r="D176">
        <v>0.82909069723942652</v>
      </c>
      <c r="E176" s="30">
        <f>_xlfn.NORM.INV(D176,$N$4,$N$5)</f>
        <v>1.7398415985307138E-2</v>
      </c>
      <c r="F176">
        <f t="shared" si="5"/>
        <v>18.439456250378967</v>
      </c>
    </row>
    <row r="177" spans="1:6">
      <c r="A177" s="7">
        <v>45848</v>
      </c>
      <c r="B177" s="9">
        <v>24.037500000000001</v>
      </c>
      <c r="C177" s="30">
        <f t="shared" si="4"/>
        <v>-2.0876759864241201E-2</v>
      </c>
      <c r="D177">
        <v>0.84115290527334863</v>
      </c>
      <c r="E177" s="30">
        <f>_xlfn.NORM.INV(D177,$N$4,$N$5)</f>
        <v>1.8329114774916472E-2</v>
      </c>
      <c r="F177">
        <f t="shared" si="5"/>
        <v>18.780551598896952</v>
      </c>
    </row>
    <row r="178" spans="1:6">
      <c r="A178" s="4">
        <v>45847</v>
      </c>
      <c r="B178" s="6">
        <v>24.544599999999999</v>
      </c>
      <c r="C178" s="30">
        <f t="shared" si="4"/>
        <v>-3.1728496003564644E-3</v>
      </c>
      <c r="D178">
        <v>0.78685267418583649</v>
      </c>
      <c r="E178" s="30">
        <f>_xlfn.NORM.INV(D178,$N$4,$N$5)</f>
        <v>1.4431362999441954E-2</v>
      </c>
      <c r="F178">
        <f t="shared" si="5"/>
        <v>19.053545656630469</v>
      </c>
    </row>
    <row r="179" spans="1:6">
      <c r="A179" s="7">
        <v>45846</v>
      </c>
      <c r="B179" s="9">
        <v>24.622599999999998</v>
      </c>
      <c r="C179" s="30">
        <f t="shared" si="4"/>
        <v>-1.9759043550839905E-3</v>
      </c>
      <c r="D179">
        <v>0.18431176291591744</v>
      </c>
      <c r="E179" s="30">
        <f>_xlfn.NORM.INV(D179,$N$4,$N$5)</f>
        <v>-1.8000958701971853E-2</v>
      </c>
      <c r="F179">
        <f t="shared" si="5"/>
        <v>18.713632131397574</v>
      </c>
    </row>
    <row r="180" spans="1:6">
      <c r="A180" s="4">
        <v>45845</v>
      </c>
      <c r="B180" s="6">
        <v>24.671299999999999</v>
      </c>
      <c r="C180" s="30">
        <f t="shared" si="4"/>
        <v>-1.1008723372728735E-2</v>
      </c>
      <c r="D180">
        <v>0.8741361728642022</v>
      </c>
      <c r="E180" s="30">
        <f>_xlfn.NORM.INV(D180,$N$4,$N$5)</f>
        <v>2.114163975655017E-2</v>
      </c>
      <c r="F180">
        <f t="shared" si="5"/>
        <v>19.113480835871666</v>
      </c>
    </row>
    <row r="181" spans="1:6">
      <c r="A181" s="7">
        <v>45841</v>
      </c>
      <c r="B181" s="9">
        <v>24.944400000000002</v>
      </c>
      <c r="C181" s="30">
        <f t="shared" si="4"/>
        <v>-5.0664402443163503E-3</v>
      </c>
      <c r="D181">
        <v>0.36343691216401408</v>
      </c>
      <c r="E181" s="30">
        <f>_xlfn.NORM.INV(D181,$N$4,$N$5)</f>
        <v>-7.4791775371569266E-3</v>
      </c>
      <c r="F181">
        <f t="shared" si="5"/>
        <v>18.97106097495017</v>
      </c>
    </row>
    <row r="182" spans="1:6">
      <c r="A182" s="4">
        <v>45840</v>
      </c>
      <c r="B182" s="6">
        <v>25.071100000000001</v>
      </c>
      <c r="C182" s="30">
        <f t="shared" si="4"/>
        <v>9.3772852837941123E-3</v>
      </c>
      <c r="D182">
        <v>0.75885450620221639</v>
      </c>
      <c r="E182" s="30">
        <f>_xlfn.NORM.INV(D182,$N$4,$N$5)</f>
        <v>1.2652895969091384E-2</v>
      </c>
      <c r="F182">
        <f t="shared" si="5"/>
        <v>19.212624854436886</v>
      </c>
    </row>
    <row r="183" spans="1:6">
      <c r="A183" s="7">
        <v>45839</v>
      </c>
      <c r="B183" s="9">
        <v>24.8371</v>
      </c>
      <c r="C183" s="30">
        <f t="shared" si="4"/>
        <v>-2.1749034800889078E-2</v>
      </c>
      <c r="D183">
        <v>0.34430961645408942</v>
      </c>
      <c r="E183" s="30">
        <f>_xlfn.NORM.INV(D183,$N$4,$N$5)</f>
        <v>-8.463715396377261E-3</v>
      </c>
      <c r="F183">
        <f t="shared" si="5"/>
        <v>19.05070087151573</v>
      </c>
    </row>
    <row r="184" spans="1:6">
      <c r="A184" s="4">
        <v>45838</v>
      </c>
      <c r="B184" s="6">
        <v>25.383199999999999</v>
      </c>
      <c r="C184" s="30">
        <f t="shared" si="4"/>
        <v>-1.0319572195889304E-2</v>
      </c>
      <c r="D184">
        <v>0.80309044985918365</v>
      </c>
      <c r="E184" s="30">
        <f>_xlfn.NORM.INV(D184,$N$4,$N$5)</f>
        <v>1.5525394527317878E-2</v>
      </c>
      <c r="F184">
        <f t="shared" si="5"/>
        <v>19.348778417007207</v>
      </c>
    </row>
    <row r="185" spans="1:6">
      <c r="A185" s="7">
        <v>45835</v>
      </c>
      <c r="B185" s="9">
        <v>25.6465</v>
      </c>
      <c r="C185" s="30">
        <f t="shared" si="4"/>
        <v>2.9322462636418134E-2</v>
      </c>
      <c r="D185">
        <v>2.3918066287517914E-2</v>
      </c>
      <c r="E185" s="30">
        <f>_xlfn.NORM.INV(D185,$N$4,$N$5)</f>
        <v>-3.8666175135495452E-2</v>
      </c>
      <c r="F185">
        <f t="shared" si="5"/>
        <v>18.614914447867225</v>
      </c>
    </row>
    <row r="186" spans="1:6">
      <c r="A186" s="4">
        <v>45834</v>
      </c>
      <c r="B186" s="6">
        <v>24.9054</v>
      </c>
      <c r="C186" s="30">
        <f t="shared" si="4"/>
        <v>2.4575375812899924E-2</v>
      </c>
      <c r="D186">
        <v>0.84478346211519351</v>
      </c>
      <c r="E186" s="30">
        <f>_xlfn.NORM.INV(D186,$N$4,$N$5)</f>
        <v>1.8618227001720177E-2</v>
      </c>
      <c r="F186">
        <f t="shared" si="5"/>
        <v>18.964737588881384</v>
      </c>
    </row>
    <row r="187" spans="1:6">
      <c r="A187" s="7">
        <v>45833</v>
      </c>
      <c r="B187" s="9">
        <v>24.300799999999999</v>
      </c>
      <c r="C187" s="30">
        <f t="shared" si="4"/>
        <v>-2.8025611216353497E-3</v>
      </c>
      <c r="D187">
        <v>0.4196752493548831</v>
      </c>
      <c r="E187" s="30">
        <f>_xlfn.NORM.INV(D187,$N$4,$N$5)</f>
        <v>-4.6741731066471653E-3</v>
      </c>
      <c r="F187">
        <f t="shared" si="5"/>
        <v>18.876299969853637</v>
      </c>
    </row>
    <row r="188" spans="1:6">
      <c r="A188" s="4">
        <v>45832</v>
      </c>
      <c r="B188" s="6">
        <v>24.369</v>
      </c>
      <c r="C188" s="30">
        <f t="shared" si="4"/>
        <v>2.3071783956611025E-2</v>
      </c>
      <c r="D188">
        <v>0.37250189431787362</v>
      </c>
      <c r="E188" s="30">
        <f>_xlfn.NORM.INV(D188,$N$4,$N$5)</f>
        <v>-7.0188408345529833E-3</v>
      </c>
      <c r="F188">
        <f t="shared" si="5"/>
        <v>18.744274101110481</v>
      </c>
    </row>
    <row r="189" spans="1:6">
      <c r="A189" s="7">
        <v>45831</v>
      </c>
      <c r="B189" s="9">
        <v>23.813199999999998</v>
      </c>
      <c r="C189" s="30">
        <f t="shared" si="4"/>
        <v>-1.3423020332140823E-2</v>
      </c>
      <c r="D189">
        <v>0.65737565719589264</v>
      </c>
      <c r="E189" s="30">
        <f>_xlfn.NORM.INV(D189,$N$4,$N$5)</f>
        <v>6.9627758660433551E-3</v>
      </c>
      <c r="F189">
        <f t="shared" si="5"/>
        <v>18.875241700356447</v>
      </c>
    </row>
    <row r="190" spans="1:6">
      <c r="A190" s="4">
        <v>45828</v>
      </c>
      <c r="B190" s="6">
        <v>24.135000000000002</v>
      </c>
      <c r="C190" s="30">
        <f t="shared" si="4"/>
        <v>-4.4644140098273333E-2</v>
      </c>
      <c r="D190">
        <v>0.81024816552177847</v>
      </c>
      <c r="E190" s="30">
        <f>_xlfn.NORM.INV(D190,$N$4,$N$5)</f>
        <v>1.6024898264431996E-2</v>
      </c>
      <c r="F190">
        <f t="shared" si="5"/>
        <v>19.180152082258825</v>
      </c>
    </row>
    <row r="191" spans="1:6">
      <c r="A191" s="7">
        <v>45826</v>
      </c>
      <c r="B191" s="9">
        <v>25.236899999999999</v>
      </c>
      <c r="C191" s="30">
        <f t="shared" si="4"/>
        <v>8.5357855109156056E-3</v>
      </c>
      <c r="D191">
        <v>0.85685438104243761</v>
      </c>
      <c r="E191" s="30">
        <f>_xlfn.NORM.INV(D191,$N$4,$N$5)</f>
        <v>1.9613036246728919E-2</v>
      </c>
      <c r="F191">
        <f t="shared" si="5"/>
        <v>19.560046362623943</v>
      </c>
    </row>
    <row r="192" spans="1:6">
      <c r="A192" s="4">
        <v>45825</v>
      </c>
      <c r="B192" s="6">
        <v>25.022400000000001</v>
      </c>
      <c r="C192" s="30">
        <f t="shared" si="4"/>
        <v>-1.6618136438861342E-2</v>
      </c>
      <c r="D192">
        <v>0.29033893580121517</v>
      </c>
      <c r="E192" s="30">
        <f>_xlfn.NORM.INV(D192,$N$4,$N$5)</f>
        <v>-1.1366375455359691E-2</v>
      </c>
      <c r="F192">
        <f t="shared" si="5"/>
        <v>19.3389782831978</v>
      </c>
    </row>
    <row r="193" spans="1:6">
      <c r="A193" s="7">
        <v>45824</v>
      </c>
      <c r="B193" s="9">
        <v>25.441700000000001</v>
      </c>
      <c r="C193" s="30">
        <f t="shared" si="4"/>
        <v>6.1505415920706241E-3</v>
      </c>
      <c r="D193">
        <v>0.35067557015678574</v>
      </c>
      <c r="E193" s="30">
        <f>_xlfn.NORM.INV(D193,$N$4,$N$5)</f>
        <v>-8.1339120503293848E-3</v>
      </c>
      <c r="F193">
        <f t="shared" si="5"/>
        <v>19.182314742175354</v>
      </c>
    </row>
    <row r="194" spans="1:6">
      <c r="A194" s="4">
        <v>45821</v>
      </c>
      <c r="B194" s="6">
        <v>25.285699999999999</v>
      </c>
      <c r="C194" s="30">
        <f t="shared" si="4"/>
        <v>-1.7962571703422636E-2</v>
      </c>
      <c r="D194">
        <v>0.52046191357051486</v>
      </c>
      <c r="E194" s="30">
        <f>_xlfn.NORM.INV(D194,$N$4,$N$5)</f>
        <v>1.8774340880449848E-4</v>
      </c>
      <c r="F194">
        <f t="shared" si="5"/>
        <v>19.185916433420129</v>
      </c>
    </row>
    <row r="195" spans="1:6">
      <c r="A195" s="7">
        <v>45820</v>
      </c>
      <c r="B195" s="9">
        <v>25.744</v>
      </c>
      <c r="C195" s="30">
        <f t="shared" ref="C195:C250" si="6">LN(B195)-LN(B196)</f>
        <v>1.8734056097369223E-2</v>
      </c>
      <c r="D195">
        <v>0.68012419496870136</v>
      </c>
      <c r="E195" s="30">
        <f>_xlfn.NORM.INV(D195,$N$4,$N$5)</f>
        <v>8.1634318065815798E-3</v>
      </c>
      <c r="F195">
        <f t="shared" si="5"/>
        <v>19.343180387293259</v>
      </c>
    </row>
    <row r="196" spans="1:6">
      <c r="A196" s="4">
        <v>45819</v>
      </c>
      <c r="B196" s="6">
        <v>25.266200000000001</v>
      </c>
      <c r="C196" s="30">
        <f t="shared" si="6"/>
        <v>-1.1130642787858136E-2</v>
      </c>
      <c r="D196">
        <v>0.58972756697838613</v>
      </c>
      <c r="E196" s="30">
        <f>_xlfn.NORM.INV(D196,$N$4,$N$5)</f>
        <v>3.5471663534154228E-3</v>
      </c>
      <c r="F196">
        <f t="shared" si="5"/>
        <v>19.411915701657119</v>
      </c>
    </row>
    <row r="197" spans="1:6">
      <c r="A197" s="7">
        <v>45818</v>
      </c>
      <c r="B197" s="9">
        <v>25.548999999999999</v>
      </c>
      <c r="C197" s="30">
        <f t="shared" si="6"/>
        <v>-1.4775426487855015E-2</v>
      </c>
      <c r="D197">
        <v>0.27317758106992784</v>
      </c>
      <c r="E197" s="30">
        <f>_xlfn.NORM.INV(D197,$N$4,$N$5)</f>
        <v>-1.2339304506685246E-2</v>
      </c>
      <c r="F197">
        <f t="shared" ref="F197:F250" si="7">F196*EXP(E197)</f>
        <v>19.173857917021497</v>
      </c>
    </row>
    <row r="198" spans="1:6">
      <c r="A198" s="4">
        <v>45817</v>
      </c>
      <c r="B198" s="6">
        <v>25.929300000000001</v>
      </c>
      <c r="C198" s="30">
        <f t="shared" si="6"/>
        <v>-2.626776123879182E-3</v>
      </c>
      <c r="D198">
        <v>0.72718403083013894</v>
      </c>
      <c r="E198" s="30">
        <f>_xlfn.NORM.INV(D198,$N$4,$N$5)</f>
        <v>1.0771493052650745E-2</v>
      </c>
      <c r="F198">
        <f t="shared" si="7"/>
        <v>19.381505322974462</v>
      </c>
    </row>
    <row r="199" spans="1:6">
      <c r="A199" s="7">
        <v>45814</v>
      </c>
      <c r="B199" s="9">
        <v>25.997499999999999</v>
      </c>
      <c r="C199" s="30">
        <f t="shared" si="6"/>
        <v>1.2455360233916135E-2</v>
      </c>
      <c r="D199">
        <v>0.45110205798249436</v>
      </c>
      <c r="E199" s="30">
        <f>_xlfn.NORM.INV(D199,$N$4,$N$5)</f>
        <v>-3.1460163911900059E-3</v>
      </c>
      <c r="F199">
        <f t="shared" si="7"/>
        <v>19.320626602480566</v>
      </c>
    </row>
    <row r="200" spans="1:6">
      <c r="A200" s="4">
        <v>45813</v>
      </c>
      <c r="B200" s="6">
        <v>25.675699999999999</v>
      </c>
      <c r="C200" s="30">
        <f t="shared" si="6"/>
        <v>-1.2832248525612489E-2</v>
      </c>
      <c r="D200">
        <v>0.63483560815938367</v>
      </c>
      <c r="E200" s="30">
        <f>_xlfn.NORM.INV(D200,$N$4,$N$5)</f>
        <v>5.8025345891686885E-3</v>
      </c>
      <c r="F200">
        <f t="shared" si="7"/>
        <v>19.433061093671231</v>
      </c>
    </row>
    <row r="201" spans="1:6">
      <c r="A201" s="7">
        <v>45812</v>
      </c>
      <c r="B201" s="9">
        <v>26.007300000000001</v>
      </c>
      <c r="C201" s="30">
        <f t="shared" si="6"/>
        <v>-3.7419376216663025E-3</v>
      </c>
      <c r="D201">
        <v>0.43357127974624743</v>
      </c>
      <c r="E201" s="30">
        <f>_xlfn.NORM.INV(D201,$N$4,$N$5)</f>
        <v>-3.9959928882429309E-3</v>
      </c>
      <c r="F201">
        <f t="shared" si="7"/>
        <v>19.355561666449752</v>
      </c>
    </row>
    <row r="202" spans="1:6">
      <c r="A202" s="4">
        <v>45811</v>
      </c>
      <c r="B202" s="6">
        <v>26.104800000000001</v>
      </c>
      <c r="C202" s="30">
        <f t="shared" si="6"/>
        <v>-4.1019307509033709E-3</v>
      </c>
      <c r="D202">
        <v>0.86302243970074866</v>
      </c>
      <c r="E202" s="30">
        <f>_xlfn.NORM.INV(D202,$N$4,$N$5)</f>
        <v>2.0143304179743266E-2</v>
      </c>
      <c r="F202">
        <f t="shared" si="7"/>
        <v>19.749399917860178</v>
      </c>
    </row>
    <row r="203" spans="1:6">
      <c r="A203" s="7">
        <v>45810</v>
      </c>
      <c r="B203" s="9">
        <v>26.2121</v>
      </c>
      <c r="C203" s="30">
        <f t="shared" si="6"/>
        <v>1.8777291031258248E-2</v>
      </c>
      <c r="D203">
        <v>0.86698545384117709</v>
      </c>
      <c r="E203" s="30">
        <f>_xlfn.NORM.INV(D203,$N$4,$N$5)</f>
        <v>2.0492660256413452E-2</v>
      </c>
      <c r="F203">
        <f t="shared" si="7"/>
        <v>20.158293004776279</v>
      </c>
    </row>
    <row r="204" spans="1:6">
      <c r="A204" s="4">
        <v>45807</v>
      </c>
      <c r="B204" s="6">
        <v>25.724499999999999</v>
      </c>
      <c r="C204" s="30">
        <f t="shared" si="6"/>
        <v>-9.0552637793841484E-3</v>
      </c>
      <c r="D204">
        <v>0.1535417487594678</v>
      </c>
      <c r="E204" s="30">
        <f>_xlfn.NORM.INV(D204,$N$4,$N$5)</f>
        <v>-2.034172710183791E-2</v>
      </c>
      <c r="F204">
        <f t="shared" si="7"/>
        <v>19.752380982055808</v>
      </c>
    </row>
    <row r="205" spans="1:6">
      <c r="A205" s="7">
        <v>45806</v>
      </c>
      <c r="B205" s="9">
        <v>25.958500000000001</v>
      </c>
      <c r="C205" s="30">
        <f t="shared" si="6"/>
        <v>1.2091998900033207E-2</v>
      </c>
      <c r="D205">
        <v>0.44793144889064251</v>
      </c>
      <c r="E205" s="30">
        <f>_xlfn.NORM.INV(D205,$N$4,$N$5)</f>
        <v>-3.2993508609556257E-3</v>
      </c>
      <c r="F205">
        <f t="shared" si="7"/>
        <v>19.687318338122989</v>
      </c>
    </row>
    <row r="206" spans="1:6">
      <c r="A206" s="4">
        <v>45805</v>
      </c>
      <c r="B206" s="6">
        <v>25.6465</v>
      </c>
      <c r="C206" s="30">
        <f t="shared" si="6"/>
        <v>-9.8358586408826554E-3</v>
      </c>
      <c r="D206">
        <v>0.49996241766163374</v>
      </c>
      <c r="E206" s="30">
        <f>_xlfn.NORM.INV(D206,$N$4,$N$5)</f>
        <v>-7.9611680079598565E-4</v>
      </c>
      <c r="F206">
        <f t="shared" si="7"/>
        <v>19.671651170506561</v>
      </c>
    </row>
    <row r="207" spans="1:6">
      <c r="A207" s="7">
        <v>45804</v>
      </c>
      <c r="B207" s="9">
        <v>25.9</v>
      </c>
      <c r="C207" s="30">
        <f t="shared" si="6"/>
        <v>3.9551887676629871E-2</v>
      </c>
      <c r="D207">
        <v>0.54433012878393838</v>
      </c>
      <c r="E207" s="30">
        <f>_xlfn.NORM.INV(D207,$N$4,$N$5)</f>
        <v>1.3367462742970059E-3</v>
      </c>
      <c r="F207">
        <f t="shared" si="7"/>
        <v>19.697964760296269</v>
      </c>
    </row>
    <row r="208" spans="1:6">
      <c r="A208" s="4">
        <v>45800</v>
      </c>
      <c r="B208" s="6">
        <v>24.895600000000002</v>
      </c>
      <c r="C208" s="30">
        <f t="shared" si="6"/>
        <v>7.8635461919884797E-3</v>
      </c>
      <c r="D208">
        <v>0.86833259266675367</v>
      </c>
      <c r="E208" s="30">
        <f>_xlfn.NORM.INV(D208,$N$4,$N$5)</f>
        <v>2.0613044095412369E-2</v>
      </c>
      <c r="F208">
        <f t="shared" si="7"/>
        <v>20.108213488009017</v>
      </c>
    </row>
    <row r="209" spans="1:6">
      <c r="A209" s="7">
        <v>45799</v>
      </c>
      <c r="B209" s="9">
        <v>24.700600000000001</v>
      </c>
      <c r="C209" s="30">
        <f t="shared" si="6"/>
        <v>1.7524712311038027E-2</v>
      </c>
      <c r="D209">
        <v>0.46348953181315988</v>
      </c>
      <c r="E209" s="30">
        <f>_xlfn.NORM.INV(D209,$N$4,$N$5)</f>
        <v>-2.5482953914132138E-3</v>
      </c>
      <c r="F209">
        <f t="shared" si="7"/>
        <v>20.057037054277249</v>
      </c>
    </row>
    <row r="210" spans="1:6">
      <c r="A210" s="4">
        <v>45798</v>
      </c>
      <c r="B210" s="6">
        <v>24.2715</v>
      </c>
      <c r="C210" s="30">
        <f t="shared" si="6"/>
        <v>-3.5908888159869701E-2</v>
      </c>
      <c r="D210">
        <v>0.69095074105961862</v>
      </c>
      <c r="E210" s="30">
        <f>_xlfn.NORM.INV(D210,$N$4,$N$5)</f>
        <v>8.7471767601473016E-3</v>
      </c>
      <c r="F210">
        <f t="shared" si="7"/>
        <v>20.233249057904857</v>
      </c>
    </row>
    <row r="211" spans="1:6">
      <c r="A211" s="7">
        <v>45797</v>
      </c>
      <c r="B211" s="9">
        <v>25.158899999999999</v>
      </c>
      <c r="C211" s="30">
        <f t="shared" si="6"/>
        <v>2.9899336151592681E-2</v>
      </c>
      <c r="D211">
        <v>2.7071895217969821E-2</v>
      </c>
      <c r="E211" s="30">
        <f>_xlfn.NORM.INV(D211,$N$4,$N$5)</f>
        <v>-3.7649210374106699E-2</v>
      </c>
      <c r="F211">
        <f t="shared" si="7"/>
        <v>19.485644867646208</v>
      </c>
    </row>
    <row r="212" spans="1:6">
      <c r="A212" s="4">
        <v>45796</v>
      </c>
      <c r="B212" s="6">
        <v>24.4178</v>
      </c>
      <c r="C212" s="30">
        <f t="shared" si="6"/>
        <v>1.4483232262849643E-2</v>
      </c>
      <c r="D212">
        <v>0.70833063634258941</v>
      </c>
      <c r="E212" s="30">
        <f>_xlfn.NORM.INV(D212,$N$4,$N$5)</f>
        <v>9.703482237359437E-3</v>
      </c>
      <c r="F212">
        <f t="shared" si="7"/>
        <v>19.67564381137317</v>
      </c>
    </row>
    <row r="213" spans="1:6">
      <c r="A213" s="7">
        <v>45793</v>
      </c>
      <c r="B213" s="9">
        <v>24.066700000000001</v>
      </c>
      <c r="C213" s="30">
        <f t="shared" si="6"/>
        <v>-7.6699459382214563E-3</v>
      </c>
      <c r="D213">
        <v>2.6949901412744337E-2</v>
      </c>
      <c r="E213" s="30">
        <f>_xlfn.NORM.INV(D213,$N$4,$N$5)</f>
        <v>-3.7686655429518906E-2</v>
      </c>
      <c r="F213">
        <f t="shared" si="7"/>
        <v>18.947933219468396</v>
      </c>
    </row>
    <row r="214" spans="1:6">
      <c r="A214" s="4">
        <v>45792</v>
      </c>
      <c r="B214" s="6">
        <v>24.251999999999999</v>
      </c>
      <c r="C214" s="30">
        <f t="shared" si="6"/>
        <v>-4.0400876176649447E-4</v>
      </c>
      <c r="D214">
        <v>4.4897934726444322E-2</v>
      </c>
      <c r="E214" s="30">
        <f>_xlfn.NORM.INV(D214,$N$4,$N$5)</f>
        <v>-3.3262473074415648E-2</v>
      </c>
      <c r="F214">
        <f t="shared" si="7"/>
        <v>18.328044764712079</v>
      </c>
    </row>
    <row r="215" spans="1:6">
      <c r="A215" s="7">
        <v>45791</v>
      </c>
      <c r="B215" s="9">
        <v>24.261800000000001</v>
      </c>
      <c r="C215" s="30">
        <f t="shared" si="6"/>
        <v>1.3761837375906971E-2</v>
      </c>
      <c r="D215">
        <v>0.28293686573460763</v>
      </c>
      <c r="E215" s="30">
        <f>_xlfn.NORM.INV(D215,$N$4,$N$5)</f>
        <v>-1.1782528686584384E-2</v>
      </c>
      <c r="F215">
        <f t="shared" si="7"/>
        <v>18.113361292256258</v>
      </c>
    </row>
    <row r="216" spans="1:6">
      <c r="A216" s="4">
        <v>45790</v>
      </c>
      <c r="B216" s="6">
        <v>23.930199999999999</v>
      </c>
      <c r="C216" s="30">
        <f t="shared" si="6"/>
        <v>-8.1156777507831457E-3</v>
      </c>
      <c r="D216">
        <v>0.68436487699951232</v>
      </c>
      <c r="E216" s="30">
        <f>_xlfn.NORM.INV(D216,$N$4,$N$5)</f>
        <v>8.3910589381694153E-3</v>
      </c>
      <c r="F216">
        <f t="shared" si="7"/>
        <v>18.265991041486338</v>
      </c>
    </row>
    <row r="217" spans="1:6">
      <c r="A217" s="7">
        <v>45789</v>
      </c>
      <c r="B217" s="9">
        <v>24.1252</v>
      </c>
      <c r="C217" s="30">
        <f t="shared" si="6"/>
        <v>1.6178749634709888E-3</v>
      </c>
      <c r="D217">
        <v>0.43784132485053784</v>
      </c>
      <c r="E217" s="30">
        <f>_xlfn.NORM.INV(D217,$N$4,$N$5)</f>
        <v>-3.7884422875208469E-3</v>
      </c>
      <c r="F217">
        <f t="shared" si="7"/>
        <v>18.196922302674615</v>
      </c>
    </row>
    <row r="218" spans="1:6">
      <c r="A218" s="4">
        <v>45786</v>
      </c>
      <c r="B218" s="6">
        <v>24.086200000000002</v>
      </c>
      <c r="C218" s="30">
        <f t="shared" si="6"/>
        <v>1.0173554111566396E-2</v>
      </c>
      <c r="D218">
        <v>0.53615756111748014</v>
      </c>
      <c r="E218" s="30">
        <f>_xlfn.NORM.INV(D218,$N$4,$N$5)</f>
        <v>9.4266699963962476E-4</v>
      </c>
      <c r="F218">
        <f t="shared" si="7"/>
        <v>18.214084028449768</v>
      </c>
    </row>
    <row r="219" spans="1:6">
      <c r="A219" s="7">
        <v>45785</v>
      </c>
      <c r="B219" s="9">
        <v>23.842400000000001</v>
      </c>
      <c r="C219" s="30">
        <f t="shared" si="6"/>
        <v>-2.3047949469703344E-2</v>
      </c>
      <c r="D219">
        <v>0.87182712192278755</v>
      </c>
      <c r="E219" s="30">
        <f>_xlfn.NORM.INV(D219,$N$4,$N$5)</f>
        <v>2.0929343226742739E-2</v>
      </c>
      <c r="F219">
        <f t="shared" si="7"/>
        <v>18.599310046570611</v>
      </c>
    </row>
    <row r="220" spans="1:6">
      <c r="A220" s="4">
        <v>45784</v>
      </c>
      <c r="B220" s="6">
        <v>24.398299999999999</v>
      </c>
      <c r="C220" s="30">
        <f t="shared" si="6"/>
        <v>-8.3589935183048247E-3</v>
      </c>
      <c r="D220">
        <v>0.3719415105950048</v>
      </c>
      <c r="E220" s="30">
        <f>_xlfn.NORM.INV(D220,$N$4,$N$5)</f>
        <v>-7.0471912579684283E-3</v>
      </c>
      <c r="F220">
        <f t="shared" si="7"/>
        <v>18.46869791628524</v>
      </c>
    </row>
    <row r="221" spans="1:6">
      <c r="A221" s="7">
        <v>45783</v>
      </c>
      <c r="B221" s="9">
        <v>24.603100000000001</v>
      </c>
      <c r="C221" s="30">
        <f t="shared" si="6"/>
        <v>-3.9418156025172735E-4</v>
      </c>
      <c r="D221">
        <v>0.58636363406525993</v>
      </c>
      <c r="E221" s="30">
        <f>_xlfn.NORM.INV(D221,$N$4,$N$5)</f>
        <v>3.3817414301174475E-3</v>
      </c>
      <c r="F221">
        <f t="shared" si="7"/>
        <v>18.531260001965045</v>
      </c>
    </row>
    <row r="222" spans="1:6">
      <c r="A222" s="4">
        <v>45782</v>
      </c>
      <c r="B222" s="6">
        <v>24.6128</v>
      </c>
      <c r="C222" s="30">
        <f t="shared" si="6"/>
        <v>-3.5609020175240147E-3</v>
      </c>
      <c r="D222">
        <v>0.92760846197945346</v>
      </c>
      <c r="E222" s="30">
        <f>_xlfn.NORM.INV(D222,$N$4,$N$5)</f>
        <v>2.7113750193621236E-2</v>
      </c>
      <c r="F222">
        <f t="shared" si="7"/>
        <v>19.040585617779037</v>
      </c>
    </row>
    <row r="223" spans="1:6">
      <c r="A223" s="7">
        <v>45779</v>
      </c>
      <c r="B223" s="9">
        <v>24.700600000000001</v>
      </c>
      <c r="C223" s="30">
        <f t="shared" si="6"/>
        <v>1.9776147018002455E-3</v>
      </c>
      <c r="D223">
        <v>0.82186944853032096</v>
      </c>
      <c r="E223" s="30">
        <f>_xlfn.NORM.INV(D223,$N$4,$N$5)</f>
        <v>1.6861288096840194E-2</v>
      </c>
      <c r="F223">
        <f t="shared" si="7"/>
        <v>19.364356342432153</v>
      </c>
    </row>
    <row r="224" spans="1:6">
      <c r="A224" s="4">
        <v>45778</v>
      </c>
      <c r="B224" s="6">
        <v>24.651800000000001</v>
      </c>
      <c r="C224" s="30">
        <f t="shared" si="6"/>
        <v>-2.8082644222858999E-2</v>
      </c>
      <c r="D224">
        <v>0.33411660205967952</v>
      </c>
      <c r="E224" s="30">
        <f>_xlfn.NORM.INV(D224,$N$4,$N$5)</f>
        <v>-8.9966203137833902E-3</v>
      </c>
      <c r="F224">
        <f t="shared" si="7"/>
        <v>19.19092390348845</v>
      </c>
    </row>
    <row r="225" spans="1:6">
      <c r="A225" s="7">
        <v>45777</v>
      </c>
      <c r="B225" s="9">
        <v>25.353899999999999</v>
      </c>
      <c r="C225" s="30">
        <f t="shared" si="6"/>
        <v>9.6624087192678232E-3</v>
      </c>
      <c r="D225">
        <v>1.1547147430241655E-2</v>
      </c>
      <c r="E225" s="30">
        <f>_xlfn.NORM.INV(D225,$N$4,$N$5)</f>
        <v>-4.4274738098074258E-2</v>
      </c>
      <c r="F225">
        <f t="shared" si="7"/>
        <v>18.359785751417803</v>
      </c>
    </row>
    <row r="226" spans="1:6">
      <c r="A226" s="4">
        <v>45776</v>
      </c>
      <c r="B226" s="6">
        <v>25.110099999999999</v>
      </c>
      <c r="C226" s="30">
        <f t="shared" si="6"/>
        <v>1.8420235503591176E-2</v>
      </c>
      <c r="D226">
        <v>0.6202279007602699</v>
      </c>
      <c r="E226" s="30">
        <f>_xlfn.NORM.INV(D226,$N$4,$N$5)</f>
        <v>5.0636160321235702E-3</v>
      </c>
      <c r="F226">
        <f t="shared" si="7"/>
        <v>18.452988429036772</v>
      </c>
    </row>
    <row r="227" spans="1:6">
      <c r="A227" s="7">
        <v>45775</v>
      </c>
      <c r="B227" s="9">
        <v>24.651800000000001</v>
      </c>
      <c r="C227" s="30">
        <f t="shared" si="6"/>
        <v>1.2338604698201028E-2</v>
      </c>
      <c r="D227">
        <v>6.4806270641200481E-2</v>
      </c>
      <c r="E227" s="30">
        <f>_xlfn.NORM.INV(D227,$N$4,$N$5)</f>
        <v>-2.9801374332445205E-2</v>
      </c>
      <c r="F227">
        <f t="shared" si="7"/>
        <v>17.911177467868395</v>
      </c>
    </row>
    <row r="228" spans="1:6">
      <c r="A228" s="4">
        <v>45772</v>
      </c>
      <c r="B228" s="6">
        <v>24.349499999999999</v>
      </c>
      <c r="C228" s="30">
        <f t="shared" si="6"/>
        <v>-5.9903588468235291E-3</v>
      </c>
      <c r="D228">
        <v>0.74194912717138484</v>
      </c>
      <c r="E228" s="30">
        <f>_xlfn.NORM.INV(D228,$N$4,$N$5)</f>
        <v>1.163364245413019E-2</v>
      </c>
      <c r="F228">
        <f t="shared" si="7"/>
        <v>18.12076648044134</v>
      </c>
    </row>
    <row r="229" spans="1:6">
      <c r="A229" s="7">
        <v>45771</v>
      </c>
      <c r="B229" s="9">
        <v>24.495799999999999</v>
      </c>
      <c r="C229" s="30">
        <f t="shared" si="6"/>
        <v>9.1988517578602824E-3</v>
      </c>
      <c r="D229">
        <v>8.802101524644268E-2</v>
      </c>
      <c r="E229" s="30">
        <f>_xlfn.NORM.INV(D229,$N$4,$N$5)</f>
        <v>-2.6689649269266064E-2</v>
      </c>
      <c r="F229">
        <f t="shared" si="7"/>
        <v>17.643526590542105</v>
      </c>
    </row>
    <row r="230" spans="1:6">
      <c r="A230" s="4">
        <v>45770</v>
      </c>
      <c r="B230" s="6">
        <v>24.2715</v>
      </c>
      <c r="C230" s="30">
        <f t="shared" si="6"/>
        <v>2.275661831949316E-2</v>
      </c>
      <c r="D230">
        <v>3.63019480438318E-2</v>
      </c>
      <c r="E230" s="30">
        <f>_xlfn.NORM.INV(D230,$N$4,$N$5)</f>
        <v>-3.5154078265299267E-2</v>
      </c>
      <c r="F230">
        <f t="shared" si="7"/>
        <v>17.034060057081625</v>
      </c>
    </row>
    <row r="231" spans="1:6">
      <c r="A231" s="7">
        <v>45769</v>
      </c>
      <c r="B231" s="9">
        <v>23.7254</v>
      </c>
      <c r="C231" s="30">
        <f t="shared" si="6"/>
        <v>2.4128187117418598E-2</v>
      </c>
      <c r="D231">
        <v>0.67312840930384554</v>
      </c>
      <c r="E231" s="30">
        <f>_xlfn.NORM.INV(D231,$N$4,$N$5)</f>
        <v>7.7906517052895967E-3</v>
      </c>
      <c r="F231">
        <f t="shared" si="7"/>
        <v>17.167284765935431</v>
      </c>
    </row>
    <row r="232" spans="1:6">
      <c r="A232" s="4">
        <v>45768</v>
      </c>
      <c r="B232" s="6">
        <v>23.159800000000001</v>
      </c>
      <c r="C232" s="30">
        <f t="shared" si="6"/>
        <v>-1.0890490946183995E-2</v>
      </c>
      <c r="D232">
        <v>0.17486408688452038</v>
      </c>
      <c r="E232" s="30">
        <f>_xlfn.NORM.INV(D232,$N$4,$N$5)</f>
        <v>-1.8691134299699503E-2</v>
      </c>
      <c r="F232">
        <f t="shared" si="7"/>
        <v>16.849388912770905</v>
      </c>
    </row>
    <row r="233" spans="1:6">
      <c r="A233" s="7">
        <v>45764</v>
      </c>
      <c r="B233" s="9">
        <v>23.413399999999999</v>
      </c>
      <c r="C233" s="30">
        <f t="shared" si="6"/>
        <v>2.7447499335095049E-2</v>
      </c>
      <c r="D233">
        <v>7.1156515619580141E-2</v>
      </c>
      <c r="E233" s="30">
        <f>_xlfn.NORM.INV(D233,$N$4,$N$5)</f>
        <v>-2.887506924275832E-2</v>
      </c>
      <c r="F233">
        <f t="shared" si="7"/>
        <v>16.369818772179599</v>
      </c>
    </row>
    <row r="234" spans="1:6">
      <c r="A234" s="4">
        <v>45763</v>
      </c>
      <c r="B234" s="6">
        <v>22.779499999999999</v>
      </c>
      <c r="C234" s="30">
        <f t="shared" si="6"/>
        <v>-1.3607906332363751E-2</v>
      </c>
      <c r="D234">
        <v>0.4325790054587999</v>
      </c>
      <c r="E234" s="30">
        <f>_xlfn.NORM.INV(D234,$N$4,$N$5)</f>
        <v>-4.0442766236957568E-3</v>
      </c>
      <c r="F234">
        <f t="shared" si="7"/>
        <v>16.303748390290494</v>
      </c>
    </row>
    <row r="235" spans="1:6">
      <c r="A235" s="7">
        <v>45762</v>
      </c>
      <c r="B235" s="9">
        <v>23.0916</v>
      </c>
      <c r="C235" s="30">
        <f t="shared" si="6"/>
        <v>1.0189623975931816E-2</v>
      </c>
      <c r="D235">
        <v>0.63801656331536616</v>
      </c>
      <c r="E235" s="30">
        <f>_xlfn.NORM.INV(D235,$N$4,$N$5)</f>
        <v>5.9647141478032153E-3</v>
      </c>
      <c r="F235">
        <f t="shared" si="7"/>
        <v>16.401286192348572</v>
      </c>
    </row>
    <row r="236" spans="1:6">
      <c r="A236" s="4">
        <v>45761</v>
      </c>
      <c r="B236" s="6">
        <v>22.857500000000002</v>
      </c>
      <c r="C236" s="30">
        <f t="shared" si="6"/>
        <v>2.1558515554406465E-2</v>
      </c>
      <c r="D236">
        <v>0.36831955586688125</v>
      </c>
      <c r="E236" s="30">
        <f>_xlfn.NORM.INV(D236,$N$4,$N$5)</f>
        <v>-7.2307643240874728E-3</v>
      </c>
      <c r="F236">
        <f t="shared" si="7"/>
        <v>16.283120087755297</v>
      </c>
    </row>
    <row r="237" spans="1:6">
      <c r="A237" s="7">
        <v>45758</v>
      </c>
      <c r="B237" s="9">
        <v>22.37</v>
      </c>
      <c r="C237" s="30">
        <f t="shared" si="6"/>
        <v>8.7208332804245003E-4</v>
      </c>
      <c r="D237">
        <v>0.36247652165602251</v>
      </c>
      <c r="E237" s="30">
        <f>_xlfn.NORM.INV(D237,$N$4,$N$5)</f>
        <v>-7.5281706201370093E-3</v>
      </c>
      <c r="F237">
        <f t="shared" si="7"/>
        <v>16.160998235331267</v>
      </c>
    </row>
    <row r="238" spans="1:6">
      <c r="A238" s="4">
        <v>45757</v>
      </c>
      <c r="B238" s="6">
        <v>22.3505</v>
      </c>
      <c r="C238" s="30">
        <f t="shared" si="6"/>
        <v>-2.1765517635139453E-3</v>
      </c>
      <c r="D238">
        <v>0.21013152861284012</v>
      </c>
      <c r="E238" s="30">
        <f>_xlfn.NORM.INV(D238,$N$4,$N$5)</f>
        <v>-1.6219351644259312E-2</v>
      </c>
      <c r="F238">
        <f t="shared" si="7"/>
        <v>15.900991591536574</v>
      </c>
    </row>
    <row r="239" spans="1:6">
      <c r="A239" s="7">
        <v>45756</v>
      </c>
      <c r="B239" s="9">
        <v>22.3992</v>
      </c>
      <c r="C239" s="30">
        <f t="shared" si="6"/>
        <v>7.454352210424009E-2</v>
      </c>
      <c r="D239">
        <v>0.13075905685221156</v>
      </c>
      <c r="E239" s="30">
        <f>_xlfn.NORM.INV(D239,$N$4,$N$5)</f>
        <v>-2.2283324820225194E-2</v>
      </c>
      <c r="F239">
        <f t="shared" si="7"/>
        <v>15.550583261640476</v>
      </c>
    </row>
    <row r="240" spans="1:6">
      <c r="A240" s="4">
        <v>45755</v>
      </c>
      <c r="B240" s="6">
        <v>20.790199999999999</v>
      </c>
      <c r="C240" s="30">
        <f t="shared" si="6"/>
        <v>3.7588231927245808E-3</v>
      </c>
      <c r="D240">
        <v>0.15618299451070472</v>
      </c>
      <c r="E240" s="30">
        <f>_xlfn.NORM.INV(D240,$N$4,$N$5)</f>
        <v>-2.0129461878114312E-2</v>
      </c>
      <c r="F240">
        <f t="shared" si="7"/>
        <v>15.240687866405937</v>
      </c>
    </row>
    <row r="241" spans="1:6">
      <c r="A241" s="7">
        <v>45754</v>
      </c>
      <c r="B241" s="9">
        <v>20.712199999999999</v>
      </c>
      <c r="C241" s="30">
        <f t="shared" si="6"/>
        <v>-2.6941377029813918E-2</v>
      </c>
      <c r="D241">
        <v>0.83925403517947239</v>
      </c>
      <c r="E241" s="30">
        <f>_xlfn.NORM.INV(D241,$N$4,$N$5)</f>
        <v>1.8179626534785776E-2</v>
      </c>
      <c r="F241">
        <f t="shared" si="7"/>
        <v>15.520291726137831</v>
      </c>
    </row>
    <row r="242" spans="1:6">
      <c r="A242" s="4">
        <v>45751</v>
      </c>
      <c r="B242" s="6">
        <v>21.277799999999999</v>
      </c>
      <c r="C242" s="30">
        <f t="shared" si="6"/>
        <v>-6.9052399679050858E-2</v>
      </c>
      <c r="D242">
        <v>0.95961474470820807</v>
      </c>
      <c r="E242" s="30">
        <f>_xlfn.NORM.INV(D242,$N$4,$N$5)</f>
        <v>3.2626130239474173E-2</v>
      </c>
      <c r="F242">
        <f t="shared" si="7"/>
        <v>16.035009756659111</v>
      </c>
    </row>
    <row r="243" spans="1:6">
      <c r="A243" s="7">
        <v>45750</v>
      </c>
      <c r="B243" s="9">
        <v>22.798999999999999</v>
      </c>
      <c r="C243" s="30">
        <f t="shared" si="6"/>
        <v>-6.0577663029985906E-2</v>
      </c>
      <c r="D243">
        <v>1.250806897161727E-3</v>
      </c>
      <c r="E243" s="30">
        <f>_xlfn.NORM.INV(D243,$N$4,$N$5)</f>
        <v>-5.8653087656434635E-2</v>
      </c>
      <c r="F243">
        <f t="shared" si="7"/>
        <v>15.121557186123791</v>
      </c>
    </row>
    <row r="244" spans="1:6">
      <c r="A244" s="4">
        <v>45749</v>
      </c>
      <c r="B244" s="6">
        <v>24.222799999999999</v>
      </c>
      <c r="C244" s="30">
        <f t="shared" si="6"/>
        <v>-1.319753239974375E-2</v>
      </c>
      <c r="D244">
        <v>0.66560304066683174</v>
      </c>
      <c r="E244" s="30">
        <f>_xlfn.NORM.INV(D244,$N$4,$N$5)</f>
        <v>7.3932516832137148E-3</v>
      </c>
      <c r="F244">
        <f t="shared" si="7"/>
        <v>15.233768958053011</v>
      </c>
    </row>
    <row r="245" spans="1:6">
      <c r="A245" s="7">
        <v>45748</v>
      </c>
      <c r="B245" s="9">
        <v>24.544599999999999</v>
      </c>
      <c r="C245" s="30">
        <f t="shared" si="6"/>
        <v>-8.7012274266977663E-3</v>
      </c>
      <c r="D245">
        <v>0.58319615342281517</v>
      </c>
      <c r="E245" s="30">
        <f>_xlfn.NORM.INV(D245,$N$4,$N$5)</f>
        <v>3.2262621575981417E-3</v>
      </c>
      <c r="F245">
        <f t="shared" si="7"/>
        <v>15.282996458070388</v>
      </c>
    </row>
    <row r="246" spans="1:6">
      <c r="A246" s="4">
        <v>45747</v>
      </c>
      <c r="B246" s="6">
        <v>24.7591</v>
      </c>
      <c r="C246" s="30">
        <f t="shared" si="6"/>
        <v>1.1888263265779742E-2</v>
      </c>
      <c r="D246">
        <v>0.63295044697583835</v>
      </c>
      <c r="E246" s="30">
        <f>_xlfn.NORM.INV(D246,$N$4,$N$5)</f>
        <v>5.7066443262103871E-3</v>
      </c>
      <c r="F246">
        <f t="shared" si="7"/>
        <v>15.370460408562819</v>
      </c>
    </row>
    <row r="247" spans="1:6">
      <c r="A247" s="7">
        <v>45744</v>
      </c>
      <c r="B247" s="9">
        <v>24.4665</v>
      </c>
      <c r="C247" s="30">
        <f t="shared" si="6"/>
        <v>-2.1686983200663423E-2</v>
      </c>
      <c r="D247">
        <v>5.6168057247251602E-2</v>
      </c>
      <c r="E247" s="30">
        <f>_xlfn.NORM.INV(D247,$N$4,$N$5)</f>
        <v>-3.118219251954148E-2</v>
      </c>
      <c r="F247">
        <f t="shared" si="7"/>
        <v>14.898571257511378</v>
      </c>
    </row>
    <row r="248" spans="1:6">
      <c r="A248" s="4">
        <v>45743</v>
      </c>
      <c r="B248" s="6">
        <v>25.0029</v>
      </c>
      <c r="C248" s="30">
        <f t="shared" si="6"/>
        <v>5.4743235172063365E-3</v>
      </c>
      <c r="D248">
        <v>0.86854498138247116</v>
      </c>
      <c r="E248" s="30">
        <f>_xlfn.NORM.INV(D248,$N$4,$N$5)</f>
        <v>2.0632101115874196E-2</v>
      </c>
      <c r="F248">
        <f t="shared" si="7"/>
        <v>15.209153046226939</v>
      </c>
    </row>
    <row r="249" spans="1:6">
      <c r="A249" s="7">
        <v>45742</v>
      </c>
      <c r="B249" s="9">
        <v>24.866399999999999</v>
      </c>
      <c r="C249" s="30">
        <f t="shared" si="6"/>
        <v>9.4589047964954709E-3</v>
      </c>
      <c r="D249">
        <v>0.98913589991123674</v>
      </c>
      <c r="E249" s="30">
        <f>_xlfn.NORM.INV(D249,$N$4,$N$5)</f>
        <v>4.3130409034071962E-2</v>
      </c>
      <c r="F249">
        <f t="shared" si="7"/>
        <v>15.879481906414446</v>
      </c>
    </row>
    <row r="250" spans="1:6">
      <c r="A250" s="4">
        <v>45741</v>
      </c>
      <c r="B250" s="6">
        <v>24.632300000000001</v>
      </c>
      <c r="C250" s="30">
        <f t="shared" si="6"/>
        <v>-3.9777247938932447E-4</v>
      </c>
      <c r="D250">
        <v>0.49889208828566345</v>
      </c>
      <c r="E250" s="30">
        <f>_xlfn.NORM.INV(D250,$N$4,$N$5)</f>
        <v>-8.4746415099966278E-4</v>
      </c>
      <c r="F250">
        <f t="shared" si="7"/>
        <v>15.866030315437948</v>
      </c>
    </row>
    <row r="251" spans="1:6">
      <c r="A251" s="10">
        <v>45740</v>
      </c>
      <c r="B251" s="12">
        <v>24.642099999999999</v>
      </c>
      <c r="C251" s="32"/>
      <c r="D251" s="32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Mosan Shahzad</dc:creator>
  <cp:keywords/>
  <dc:description/>
  <cp:lastModifiedBy/>
  <cp:revision/>
  <dcterms:created xsi:type="dcterms:W3CDTF">2026-04-07T19:42:36Z</dcterms:created>
  <dcterms:modified xsi:type="dcterms:W3CDTF">2026-04-13T20:50:45Z</dcterms:modified>
  <cp:category/>
  <cp:contentStatus/>
</cp:coreProperties>
</file>